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 Khách hàng" sheetId="1" r:id="rId4"/>
    <sheet state="visible" name="1.DS Dự án" sheetId="2" r:id="rId5"/>
    <sheet state="hidden" name="Config" sheetId="3" r:id="rId6"/>
    <sheet state="visible" name="2.Tổ chức nhân sự" sheetId="4" r:id="rId7"/>
    <sheet state="visible" name="3.Tổ chức phòng ban" sheetId="5" r:id="rId8"/>
    <sheet state="visible" name="4.Phân bổ nguồn lực" sheetId="6" r:id="rId9"/>
    <sheet state="visible" name="5.Deliverable List" sheetId="7" r:id="rId10"/>
    <sheet state="hidden" name="Phân bổ nguồn lực_Old" sheetId="8" r:id="rId11"/>
    <sheet state="visible" name="6.Master Schedule" sheetId="9" r:id="rId12"/>
    <sheet state="visible" name="BC01_Resource Summary" sheetId="10" r:id="rId13"/>
    <sheet state="visible" name="BC02_Resource Summary_Old" sheetId="11" r:id="rId14"/>
    <sheet state="visible" name="BC03_Timeline Summary" sheetId="12" r:id="rId15"/>
    <sheet state="hidden" name="Mr Trường" sheetId="13" r:id="rId16"/>
    <sheet state="hidden" name="Ms Trang" sheetId="14" r:id="rId17"/>
    <sheet state="hidden" name="Mr Hoàng Anh" sheetId="15" r:id="rId18"/>
  </sheets>
  <definedNames>
    <definedName hidden="1" localSheetId="3" name="_xlnm._FilterDatabase">'2.Tổ chức nhân sự'!$A$1:$L$90</definedName>
    <definedName hidden="1" localSheetId="12" name="_xlnm._FilterDatabase">'Mr Trường'!$A$2:$T$200</definedName>
    <definedName hidden="1" localSheetId="13" name="_xlnm._FilterDatabase">'Ms Trang'!$A$2:$T$201</definedName>
    <definedName hidden="1" localSheetId="14" name="_xlnm._FilterDatabase">'Mr Hoàng Anh'!$A$2:$T$201</definedName>
  </definedNames>
  <calcPr/>
  <pivotCaches>
    <pivotCache cacheId="0" r:id="rId19"/>
    <pivotCache cacheId="1" r:id="rId20"/>
    <pivotCache cacheId="2" r:id="rId21"/>
  </pivotCaches>
  <extLst>
    <ext uri="GoogleSheetsCustomDataVersion2">
      <go:sheetsCustomData xmlns:go="http://customooxmlschemas.google.com/" r:id="rId22" roundtripDataChecksum="y+WIk7wV+KM2BdVWqR238HFJorOkJSaopc6J0lSR8J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ID#AAAB9BC91Sk
Grep Kus    (2026-06-09 08:18:41)
Có công thức tính cho cột phần trăm hoàn thành cho các mốc thời gian.
Người dùng ko cần nhập DL cho các mốc thời gian này</t>
      </text>
    </comment>
    <comment authorId="0" ref="F1">
      <text>
        <t xml:space="preserve">======
ID#AAAB9BC91Sg
Grep Kus    (2026-06-09 08:18:19)
Nhập tỷ lệ phân bổ nguồn lực của nhân sự cho dự án</t>
      </text>
    </comment>
    <comment authorId="0" ref="H1">
      <text>
        <t xml:space="preserve">======
ID#AAAB9AXtLUQ
Grep Kus    (2026-06-09 07:08:50)
Có công thức tính cho cột phần trăm hoàn thành cho các mốc thời gian.
Người dùng ko cần nhập DL cho các mốc thời gian này</t>
      </text>
    </comment>
  </commentList>
  <extLst>
    <ext uri="GoogleSheetsCustomDataVersion2">
      <go:sheetsCustomData xmlns:go="http://customooxmlschemas.google.com/" r:id="rId1" roundtripDataSignature="AMtx7mhhx23GZ2PgfjOkktiFrwwfA8d8F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
ID#AAAB9AXtLUY
Grep Kus    (2026-06-09 07:11:39)
Có công thức tính, ng dùng ko cần nhập giá trị này</t>
      </text>
    </comment>
  </commentList>
  <extLst>
    <ext uri="GoogleSheetsCustomDataVersion2">
      <go:sheetsCustomData xmlns:go="http://customooxmlschemas.google.com/" r:id="rId1" roundtripDataSignature="AMtx7mhy34MlvmSbN7X2sYEsq7Z1N+WMG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ID#AAAB9BC91Sc
Grep Kus    (2026-06-09 07:55:30)
Tỷ lệ phân bổ nguồn lực nhân sự cho dự án</t>
      </text>
    </comment>
    <comment authorId="0" ref="G1">
      <text>
        <t xml:space="preserve">======
ID#AAAB9AXtLUg
Grep Kus    (2026-06-09 07:13:31)
Người dùng ko cần nhập giá trị cho các cột time series, excel tự tính toán</t>
      </text>
    </comment>
  </commentList>
  <extLst>
    <ext uri="GoogleSheetsCustomDataVersion2">
      <go:sheetsCustomData xmlns:go="http://customooxmlschemas.google.com/" r:id="rId1" roundtripDataSignature="AMtx7miaK/c+GVDJTa/Z/7I5+g4S+sJ3q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ID#AAAB9AXtLUU
Grep Kus    (2026-06-09 07:10:36)
BC pivot table, người dùng ko cần nhập BC này</t>
      </text>
    </comment>
  </commentList>
  <extLst>
    <ext uri="GoogleSheetsCustomDataVersion2">
      <go:sheetsCustomData xmlns:go="http://customooxmlschemas.google.com/" r:id="rId1" roundtripDataSignature="AMtx7mjbHIbU0//DAy/MhSfQpD4e0VWap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ID#AAAB9AXtLUk
Grep Kus    (2026-06-09 07:14:20)
báo cáo, người dùng ko cần nhập DL cho sheet này</t>
      </text>
    </comment>
  </commentList>
  <extLst>
    <ext uri="GoogleSheetsCustomDataVersion2">
      <go:sheetsCustomData xmlns:go="http://customooxmlschemas.google.com/" r:id="rId1" roundtripDataSignature="AMtx7mhnSkPC1XrcI5JcayHtCPH5Kc/St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ID#AAAB9AXtLUc
Grep Kus    (2026-06-09 07:12:22)
Báo cáo, người dùng ko cần nhập giá trị cho sheet này</t>
      </text>
    </comment>
  </commentList>
  <extLst>
    <ext uri="GoogleSheetsCustomDataVersion2">
      <go:sheetsCustomData xmlns:go="http://customooxmlschemas.google.com/" r:id="rId1" roundtripDataSignature="AMtx7mjrpExyvnA/P52d9+4igaayhlgZZA=="/>
    </ext>
  </extLst>
</comments>
</file>

<file path=xl/sharedStrings.xml><?xml version="1.0" encoding="utf-8"?>
<sst xmlns="http://schemas.openxmlformats.org/spreadsheetml/2006/main" count="4092" uniqueCount="986">
  <si>
    <t>No.</t>
  </si>
  <si>
    <t>Chủ đầu tư</t>
  </si>
  <si>
    <t>Tên chủ đầu tư</t>
  </si>
  <si>
    <t>Đơn vị thụ hưởng</t>
  </si>
  <si>
    <t>Tên đơn vị thụ hưởng</t>
  </si>
  <si>
    <t>Mã Đề án</t>
  </si>
  <si>
    <t>Bản Việt - VoiceDNA</t>
  </si>
  <si>
    <t>Vikki bank</t>
  </si>
  <si>
    <t>Tên đề án</t>
  </si>
  <si>
    <t>Chủ nhiệm đề án</t>
  </si>
  <si>
    <t>Mã Sản phẩm</t>
  </si>
  <si>
    <t>Sản phẩm</t>
  </si>
  <si>
    <t>PM</t>
  </si>
  <si>
    <t>Start Date</t>
  </si>
  <si>
    <t>End Date</t>
  </si>
  <si>
    <t>Trạng thái dự án</t>
  </si>
  <si>
    <t>Giai đoạn hiện tại</t>
  </si>
  <si>
    <t>Đã có kế hoạch công việc?</t>
  </si>
  <si>
    <t>TEST</t>
  </si>
  <si>
    <t>Giai đoạn</t>
  </si>
  <si>
    <t>Giai đoạn thành phần</t>
  </si>
  <si>
    <t>Tiền dự án</t>
  </si>
  <si>
    <t>Đề xuất</t>
  </si>
  <si>
    <t>Khảo sát</t>
  </si>
  <si>
    <t>Thuyết minh sơ bộ phần mềm</t>
  </si>
  <si>
    <t>Một số trường hợp cần PoC</t>
  </si>
  <si>
    <t>Xây dựng báo cáo nghiên cứu kinh tế
&amp;
Xây dựng báo cáo chủ trương đầu tư</t>
  </si>
  <si>
    <t>Thầu</t>
  </si>
  <si>
    <t>Ký Hợp đồng</t>
  </si>
  <si>
    <t>Sản xuất</t>
  </si>
  <si>
    <t>Chưa bắt đầu</t>
  </si>
  <si>
    <t>Kickoff</t>
  </si>
  <si>
    <t>Phân tích yêu cầu nghiệp vụ</t>
  </si>
  <si>
    <t xml:space="preserve">Coding </t>
  </si>
  <si>
    <t>Kiểm thử nội bộ</t>
  </si>
  <si>
    <t>Pilot</t>
  </si>
  <si>
    <t>UAT</t>
  </si>
  <si>
    <t>Golive</t>
  </si>
  <si>
    <t>STT</t>
  </si>
  <si>
    <t>Nhân sự</t>
  </si>
  <si>
    <t>Account</t>
  </si>
  <si>
    <t>Công ty</t>
  </si>
  <si>
    <t>Trung tâm</t>
  </si>
  <si>
    <t>Role</t>
  </si>
  <si>
    <t>Level</t>
  </si>
  <si>
    <t>Hình thức HĐ</t>
  </si>
  <si>
    <t>Hình thức làm việc</t>
  </si>
  <si>
    <t>Thời gian làm việc</t>
  </si>
  <si>
    <t>Chi trả</t>
  </si>
  <si>
    <t>Trạng thái làm việc</t>
  </si>
  <si>
    <t>Văn A</t>
  </si>
  <si>
    <t>Bộ phận</t>
  </si>
  <si>
    <t>GĐ/Quản lý</t>
  </si>
  <si>
    <t>Dự án</t>
  </si>
  <si>
    <t>Vai trò trong dự án</t>
  </si>
  <si>
    <t>From Date</t>
  </si>
  <si>
    <t>To Date</t>
  </si>
  <si>
    <t>%</t>
  </si>
  <si>
    <t>T6-2025</t>
  </si>
  <si>
    <t>T7-2025</t>
  </si>
  <si>
    <t>T8-2025</t>
  </si>
  <si>
    <t>T9-2025</t>
  </si>
  <si>
    <t>T10-2025</t>
  </si>
  <si>
    <t>T11-2025</t>
  </si>
  <si>
    <t>T12-2025</t>
  </si>
  <si>
    <t>T1-2026</t>
  </si>
  <si>
    <t>T2-2026</t>
  </si>
  <si>
    <t>T3-2026</t>
  </si>
  <si>
    <t>T4-2026</t>
  </si>
  <si>
    <t>T5-2026</t>
  </si>
  <si>
    <t>T6-2026</t>
  </si>
  <si>
    <t>T7-2026</t>
  </si>
  <si>
    <t>T8-2026</t>
  </si>
  <si>
    <t>T9-2026</t>
  </si>
  <si>
    <t>T10-2026</t>
  </si>
  <si>
    <t>T11-2026</t>
  </si>
  <si>
    <t>T12-2026</t>
  </si>
  <si>
    <t>1. PO, 2. PM</t>
  </si>
  <si>
    <t>Theo đề án</t>
  </si>
  <si>
    <t>Trên hệ thống</t>
  </si>
  <si>
    <t>Tổ chức nhân sự</t>
  </si>
  <si>
    <t>Plan</t>
  </si>
  <si>
    <t>Actual</t>
  </si>
  <si>
    <t>Milestone</t>
  </si>
  <si>
    <t>Mã dự án</t>
  </si>
  <si>
    <t>Milestone thành phần</t>
  </si>
  <si>
    <t>Milestone chi tiết</t>
  </si>
  <si>
    <t>GTEL</t>
  </si>
  <si>
    <t>Vendor</t>
  </si>
  <si>
    <t>Remind</t>
  </si>
  <si>
    <t>Trạng thái Milestone</t>
  </si>
  <si>
    <t>Outsource
tại Gtel Site</t>
  </si>
  <si>
    <t>Outsource
Online</t>
  </si>
  <si>
    <t>19/1/2026</t>
  </si>
  <si>
    <t>16/3/2026</t>
  </si>
  <si>
    <t>25/2/2026</t>
  </si>
  <si>
    <t>14/4/2026</t>
  </si>
  <si>
    <t>15/4/2026</t>
  </si>
  <si>
    <t>18/5/2026</t>
  </si>
  <si>
    <t>Giai đoạn 2</t>
  </si>
  <si>
    <t>Hỗ trợ vận hành thử nghiệm HT GĐ1</t>
  </si>
  <si>
    <t>-Hỗ trợ người dùng thực hiện thao tác phần mềm
- Đào tạo người dùng phần mềm
- Cấu hình hệ thống, chức năng
- Phân quyền theo site
- Ghi nhận yêu cầu người dùng
- Phân tích và giải đáp thắc mắc về hệ thống</t>
  </si>
  <si>
    <t>- Phân tích yêu cầu người dùng và điều chỉnh tài liệu theo góp ý
- Mô hình hóa quy trình theo site được chọn thử nghiệm
- Điều chỉnh và UAT các lỗi và yêu cầu phát sinh khi thử nghiệm</t>
  </si>
  <si>
    <t>- Đánh giá vận hành thử nghiệm và đưa vào sử dụng chính thức</t>
  </si>
  <si>
    <t>HIS</t>
  </si>
  <si>
    <t>Quản lý tiếp đón người bệnh</t>
  </si>
  <si>
    <t>Hàng đợi tiếp đón bệnh nhân</t>
  </si>
  <si>
    <t>Danh sách quản lý người bệnh đăng ký khám</t>
  </si>
  <si>
    <t>Màn hình hiển thị STT tiếp đón tập trung</t>
  </si>
  <si>
    <t>Màn hình hiển thị STT tiếp đón riêng từng bàn</t>
  </si>
  <si>
    <t>Quản lý khám bệnh</t>
  </si>
  <si>
    <t>Hàng đợi phòng khám</t>
  </si>
  <si>
    <t>Gọi lại</t>
  </si>
  <si>
    <t>Hoàn tất</t>
  </si>
  <si>
    <t>Bỏ qua</t>
  </si>
  <si>
    <t>Danh sách</t>
  </si>
  <si>
    <t>Gọi tiếp theo</t>
  </si>
  <si>
    <t>Cấu hình phát loa</t>
  </si>
  <si>
    <t>Màn hình hiển thị STT từng phòng khám (Trao đổi chi tiết)</t>
  </si>
  <si>
    <t>Báo cáo hoạt động khám bệnh</t>
  </si>
  <si>
    <t>Báo cáo hoạt động khám bệnh, thống kê dịch vụ của phòng khám</t>
  </si>
  <si>
    <t>Quản lý CLS (TDCN, CDHA, SA, NS)</t>
  </si>
  <si>
    <t>Hệ thống điều phối, xếp hàng cấp số STT cho các phòng CĐHA, TDCN</t>
  </si>
  <si>
    <t>Quản lý phòng mổ</t>
  </si>
  <si>
    <t>Quản lý phòng mổ, xếp lịch mổ</t>
  </si>
  <si>
    <t>Chức năng cho các bác sĩ thực hiện việc tạo lịch mổ cho bệnh nhân mà trong quá trình điều trị được xác định phải phẫu thuật cho bệnh nhân. Trong đó:
 + Hiển thị danh sách lịch sử các lịch mổ đã được tạo
 + Thêm lịch mổ mới cho bệnh nhân.
 + Sửa lịch mổ của bệnh nhân.
 + Xóa lịch mổ của bệnh nhân
 + Chọn dịch vụ kỹ thuật khi thực hiện mổ
 + Chỉ định dịch vụ khi thực hiện mổ 
 + Biên bản hội chẩn phẫu thuật
 + Khai báo các thành viên trong ekip mổ dự kiến và thời gian mổ dự kiến
 + Chuyển mổ phiên để sắp lịch và phòng mổ hoặc mổ cấp cứu để thực hiện mổ trực tiếp cho bệnh nhân 
 + Đóng màn hình lên lịch mổ cho bệnh nhân.</t>
  </si>
  <si>
    <t>Duyệt/ Bỏ duyệt lịch mổ</t>
  </si>
  <si>
    <t>Chức năng cho bộ phân chuyên môn phối hợp với phòng mổ để sắp xếp lịch mổ phiên của toàn viện khi bác sĩ thực hiện lên lịch mổ phiên.
 - Chức năng hiển thị danh sách các bệnh nhân có lịch mổ theo tìm kiếm từ ngày đến ngày để bộ phân chuyên môn phối hợp với phòng mổ kiểm soát thông tin phòng mổ 1 cách dễ dàng hơn.
 - Hiển thị lịch sử duyệt mổ của từng bệnh nhân nhằm đánh giá mức độ ưu tiên trong quá trình thực hiện duyệt mổ.
 - Duyệt mổ: chức năng sắp xếp thời gian khám mê, phòng mổ dự kiến để thực hiện khám mê và phẫu thuật cho bệnh nhân.
 - Hủy duyệt: hủy trạng thái đã duyệt mổ trước đó nếu có vấn đề thay đổi lịch mổ và lịch khám mê để thông báo tới khoa phòng và bệnh nhân</t>
  </si>
  <si>
    <t>Phiếu kiểm tra và bàn giao NB trước mổ</t>
  </si>
  <si>
    <t>Điều dưỡng phụ trách chuyển bệnh</t>
  </si>
  <si>
    <t>Điều dưỡng phụ trách nhận bệnh</t>
  </si>
  <si>
    <t>Liên thông hệ thống</t>
  </si>
  <si>
    <t>Chức năng tích hợp, liên thông hồ sơ sức khỏe cá nhân liên thông thông tin khám chữa bệnh, kết quả CLS, đơn thuốc điện tử, PTTT…sau khi kết thúc khám</t>
  </si>
  <si>
    <t>Thanh toán viện phí chăm sóc khách hàng (gói dịch vụ, thẻ thành viên)</t>
  </si>
  <si>
    <t>Xây dựng chức năng thanh toán viện phí</t>
  </si>
  <si>
    <t>Hiển thị danh sách thu tiền viện phí</t>
  </si>
  <si>
    <t>Tích hợp sổ thu hóa đơn</t>
  </si>
  <si>
    <t>Thu tiền Tạm ứng</t>
  </si>
  <si>
    <t>Thu tiền hóa đơn + phiếu thu</t>
  </si>
  <si>
    <t>Thu tiền hóa đơn + phiếu chi</t>
  </si>
  <si>
    <t>Xây dựng luồng gửi duyệt hủy chứng từ thu tiền CSKH</t>
  </si>
  <si>
    <t>Bổ sung hàm update thông tin miễn giảm: Ghi nhận miễn giảm + gửi duyệt hủy</t>
  </si>
  <si>
    <t>Thanh toán viện phí nhà thuốc</t>
  </si>
  <si>
    <t>Xây dựng luồng gửi duyệt hủy chứng từ thu tiền nhà thuốc</t>
  </si>
  <si>
    <t>Phát hành hóa đơn (Tiếp)</t>
  </si>
  <si>
    <t>Phát hành hóa đơn</t>
  </si>
  <si>
    <t>Tích hợp hóa đơn điện tử</t>
  </si>
  <si>
    <t>Hiển thị danh sách hóa đơn</t>
  </si>
  <si>
    <t>Chọn thông tin gửi hóa đơn điện tử</t>
  </si>
  <si>
    <t>Hiển thị danh sách thông tin hóa đơn</t>
  </si>
  <si>
    <t>Phát hành hóa đơn điện tử</t>
  </si>
  <si>
    <t>Hủy hóa đơn điện tử</t>
  </si>
  <si>
    <t>Phát hành điều chỉnh hóa đơn</t>
  </si>
  <si>
    <t>Phát hành thay thế hóa đơn</t>
  </si>
  <si>
    <t>Duyệt BHYT (Tiếp)</t>
  </si>
  <si>
    <t>Duyệt BHYT</t>
  </si>
  <si>
    <t>Xây dựng màn hình duyệt BHYT</t>
  </si>
  <si>
    <t>Hiển thị danh sách hồ sơ thanh toán BHYT</t>
  </si>
  <si>
    <t>Hiển thị chi phí chi tiết khi chọn bệnh nhân</t>
  </si>
  <si>
    <t>Hiển thị thông tin thanh toán viện phí</t>
  </si>
  <si>
    <t>Tích hợp tìm kiếm QRCode</t>
  </si>
  <si>
    <t>Duyệt bệnh nhân</t>
  </si>
  <si>
    <t>Import danh sách bằng XML</t>
  </si>
  <si>
    <t>Load thông tin duyệt</t>
  </si>
  <si>
    <t>Duyệt nhiều bệnh nhân</t>
  </si>
  <si>
    <t>Gỡ duyệt bệnh nhân</t>
  </si>
  <si>
    <t>Kết nối với BHXH để thanh quyết toán BHYT (tập tin XML tiếp)</t>
  </si>
  <si>
    <t>Kết nối với BHXH để thanh quyết toán BHYT (tập tin XML)</t>
  </si>
  <si>
    <t>Hiển thị danh sách bệnh nhân duyệt BHYT</t>
  </si>
  <si>
    <t>Hiển thị tổng số hồ sơ</t>
  </si>
  <si>
    <t>Xuất XML0 - checkin</t>
  </si>
  <si>
    <t>Xuất XML1</t>
  </si>
  <si>
    <t>Xuất XML2</t>
  </si>
  <si>
    <t>Xuất XML3</t>
  </si>
  <si>
    <t>Xuất XML4</t>
  </si>
  <si>
    <t>Xuất XML5</t>
  </si>
  <si>
    <t>Xuất XML6</t>
  </si>
  <si>
    <t>Xuất XML7</t>
  </si>
  <si>
    <t>Xuất XML8</t>
  </si>
  <si>
    <t>Xuất XML9</t>
  </si>
  <si>
    <t>Xuất XML10</t>
  </si>
  <si>
    <t>Xuất XML11</t>
  </si>
  <si>
    <t>Xuất XML12</t>
  </si>
  <si>
    <t>Xuất XML13</t>
  </si>
  <si>
    <t>Xuất XML14</t>
  </si>
  <si>
    <t>Xuất XML15</t>
  </si>
  <si>
    <t>Báo cáo thống kê</t>
  </si>
  <si>
    <t>Báo cáo thống kê mẫu biểu theo các thông tư (TT102, NDD70...)</t>
  </si>
  <si>
    <t>Báo cáo tạm thu: tổng hợp, chi tiết</t>
  </si>
  <si>
    <t>Báo cáo thu tiền nội, ngoại trú theo thu ngân</t>
  </si>
  <si>
    <t>Báo cáo doanh thu: tổng hợp, chi tiết</t>
  </si>
  <si>
    <t>Báo cáo hủy hoàn chứng từ thu</t>
  </si>
  <si>
    <t>Bảng kê thu tiền theo nội dung</t>
  </si>
  <si>
    <t>Xuất báo cáo BHYT - Mẫu 19</t>
  </si>
  <si>
    <t>Xuất báo cáo BHYT - Mẫu 20</t>
  </si>
  <si>
    <t>Xuất báo cáo BHYT - Mẫu 21</t>
  </si>
  <si>
    <t>Xuất báo cáo 79, 80 tổng hợp</t>
  </si>
  <si>
    <t>Xuất báo cáo 79, 80 chi tiết</t>
  </si>
  <si>
    <t>Ký số và gửi hồ sơ (bổ sung và hoàn thành)</t>
  </si>
  <si>
    <t>Ký số và gửi hồ sơ</t>
  </si>
  <si>
    <t>Hiển thị danh sách hồ sơ gửi BHYT</t>
  </si>
  <si>
    <t>Import hồ sơ XML</t>
  </si>
  <si>
    <t>Tích hợp ký số hồ sơ XML</t>
  </si>
  <si>
    <t>Tích hợp ký số, ký điện tử các mẫu phiếu:
 - Bảng kê viện phí
 - Phiếu tạm ứng
 - Phiếu thu tiền 
 - Phiếu chi
 - Phiếu hoàn ứng</t>
  </si>
  <si>
    <t>Tích hợp API gửi thông tin lên cổng BHYT</t>
  </si>
  <si>
    <t>Gửi ký số</t>
  </si>
  <si>
    <t>Tiếp nhận mã giao dịch HS từ cổng BHXH</t>
  </si>
  <si>
    <t>Đếm lần gửi HSBA</t>
  </si>
  <si>
    <t>Ghi log lần gửi HSBA</t>
  </si>
  <si>
    <t>Hủy ký số hồ sơ bệnh án</t>
  </si>
  <si>
    <t>Tích hợp gửi Hồ sơ bệnh án về cổng GMed và GMed Bộ Công An</t>
  </si>
  <si>
    <t>Quản lý Dược - VTYT</t>
  </si>
  <si>
    <t>Import tồn đầu kỳ</t>
  </si>
  <si>
    <t>Thêm chức năng tồn kho</t>
  </si>
  <si>
    <t>Tải file mẫu</t>
  </si>
  <si>
    <t>Load thông tin từ file mẫu</t>
  </si>
  <si>
    <t>Nhập kho NCC</t>
  </si>
  <si>
    <t>API tính tồn khả dụng, tồn kho theo đơn vị quản lý</t>
  </si>
  <si>
    <t>API tính tồn khả dung, tồn kho, công thức quy đổi theo đơn vị kê đơn</t>
  </si>
  <si>
    <t>Check lỗi import</t>
  </si>
  <si>
    <t>Quản lý Khám Sức Khỏe</t>
  </si>
  <si>
    <t>- Kết nối với phần mềm THDB</t>
  </si>
  <si>
    <t>- Kết nối dữ liệu KSK - CBCS vùng trong</t>
  </si>
  <si>
    <t>- Hoàn thiện kết quả KSK CBCS vào vùng trong</t>
  </si>
  <si>
    <t>Quản lý suất ăn</t>
  </si>
  <si>
    <t>Danh mục xuất ăn</t>
  </si>
  <si>
    <t>Khai báo danh mục suất ăn dùng tại bệnh viện các thông tin bao gồm:
 - Tên suất ăn
 - Đơn giá (viện phí, dịch vụ)
 - Nhóm dịch vụ</t>
  </si>
  <si>
    <t>Tạo phiếu xuất ăn</t>
  </si>
  <si>
    <t>- Tạo phiếu suất ăn của bệnh nhân
 + Chọn suất ăn cho bệnh nhân
 + Chọn thời gian dùng bữa
 + Lưu thông tin xuất ăn</t>
  </si>
  <si>
    <t>Suất ăn</t>
  </si>
  <si>
    <t>- Danh sách suất ăn đã tạo
 + Tìm kiếm thông tin xuất ăn
 + Xóa suất ăn của bệnh nhân nếu chưa sử dụng hoặc theo giờ đào tạo</t>
  </si>
  <si>
    <t>Tổng hợp suất ăn</t>
  </si>
  <si>
    <t>Hiển thị tất cả các phiếu ăn của bệnh nhân trong khoa.
 - Tìm kiếm thông tin theo thời gian 
 - Tạo phiếu theo danh sách đã chọn
 - Hiển thị danh sách suất ăn đã tổng hợp.
 - In phiếu tổng hợp suất ăn
 - In phiếu tổng hợp suất ăn
 - Hủy phiếu tổng hợp suất ăn khi chưa gửi</t>
  </si>
  <si>
    <t>Duyệt phiếu suất ăn</t>
  </si>
  <si>
    <t>Duyệt các phiếu tổng hợp suất ăn đã được gửi
 - Tìm kiếm các phiếu tổng hợp theo tiêu chí
 + Trạng thái
 + Khoa
 + Thời gian từ ngày đến ngày
 + Khung giờ
 - Hiển thị danh sách các phiếu tổng hợp suất ăn theo điều kiện tìm kiếm
 - Hiển thị thông tin chi tiết của từng phiếu suất ăn</t>
  </si>
  <si>
    <t>Duyệt phiếu</t>
  </si>
  <si>
    <t>- Hiển thị danh sách suất ăn trong danh sách hiển thị
 - Tìm kiếm theo khoa, theo trạng thái phiếu, theo từ ngày đến ngày
 - Tìm kiếm thông tin suất ăn chi tiết theo khoa
 - Duyệt suất ăn của khoa
 - Hủy duyệt suất ăn
 - Chỉ định tính tiền cho bệnh nhân vào chi phí điều trị
 - In phiếu suất ăn
 - In phiếu tổng hợp</t>
  </si>
  <si>
    <t>Nhà ăn</t>
  </si>
  <si>
    <t>- Hiển thị danh sách suất ăn trong danh sách hiển thị
 - Tìm kiếm theo khoa, theo trạng thái phiếu, theo từ ngày đến ngày
 - Tìm kiếm thông tin suất ăn chi tiết theo khoa
 - Xử lý suất ăn
 - Phát suất ăn
 - In phiếu suất ăn
 - In phiếu tổng hợp</t>
  </si>
  <si>
    <t>Quản Lý Lưu Trữ Hồ Sơ Bệnh Án Giấy</t>
  </si>
  <si>
    <t>Quản lý danh mục tủ lưu trữ phim</t>
  </si>
  <si>
    <t>Quản lý danh mục loại hồ sơ bệnh án</t>
  </si>
  <si>
    <t>Quản lý danh mục tủ lưu trữ hồ sơ bệnh án</t>
  </si>
  <si>
    <t>Quản lý danh mục lý do</t>
  </si>
  <si>
    <t>Quản lý danh mục lý do hủy</t>
  </si>
  <si>
    <t>Bàn giao hồ sơ bệnh án</t>
  </si>
  <si>
    <t>Thực hiện quản lý thông tin bàn giao hồ sơ bệnh án từ khoa phòng chuyển về phòng hành chính.</t>
  </si>
  <si>
    <t>Quản lý tiếp nhận hồ sơ bệnh án</t>
  </si>
  <si>
    <t>Tiếp nhận hồ sơ lưu trữ từ phòng tổng hợp sang phòng/khoa lưu trữ</t>
  </si>
  <si>
    <t>Quản lý lưu trữ hồ sơ bệnh án</t>
  </si>
  <si>
    <t>Cho phép phòng lưu trữ thực hiện đánh số và lưu trữ hồ sơ bệnh án của các bệnh nhân đã kết thúc điều trị</t>
  </si>
  <si>
    <t>Quản lý hồ sơ</t>
  </si>
  <si>
    <t>Thực hiện quản lý thông tin mượn trả hồ sơ bệnh án trong phòng lưu trữ</t>
  </si>
  <si>
    <t>Quản lý mượn hồ sơ bệnh án</t>
  </si>
  <si>
    <t>Cho phép phòng lưu trữ thực hiện nhập thông tin mượn hồ sơ bệnh án của các bệnh nhân đã kết thúc điều trị</t>
  </si>
  <si>
    <t>Quản lý trả hồ sơ bệnh án</t>
  </si>
  <si>
    <t>Cho phép phòng lưu trữ thực hiện lưu thông tin trả hồ sơ bệnh án mượn từ khoa khác</t>
  </si>
  <si>
    <t>Quản lý tra cứu hồ sơ bệnh án</t>
  </si>
  <si>
    <t>Quản lý hủy - khôi phục hồ sơ</t>
  </si>
  <si>
    <t>Cho phép phòng lưu trữ thực hiện hủy/khôi phục hồ sơ bệnh án đang lưu trữ</t>
  </si>
  <si>
    <t>Quản lý mẫu phiếu, báo cáo</t>
  </si>
  <si>
    <t>Báo cáo thống kê trạng thái hồ sơ</t>
  </si>
  <si>
    <t>Báo cáo danh sách chi tiết hồ sơ hủy</t>
  </si>
  <si>
    <t>Báo cáo thống kê mượn trả theo khoa</t>
  </si>
  <si>
    <t>Báo cáo thống kê mượn trả chi tiết</t>
  </si>
  <si>
    <t>LIS</t>
  </si>
  <si>
    <t>Khai báo kết nối LIS - Gateways</t>
  </si>
  <si>
    <t>Cấu hình kết nối LIS – Gateway ( tại Trung Tâm Dữ Liệu)</t>
  </si>
  <si>
    <t>Cấu hình kết nối Gateway – LIS ( tại Cơ Sở Y Tế)</t>
  </si>
  <si>
    <t>Quản lý danh sách cổng kết nối - Máy</t>
  </si>
  <si>
    <t>Danh sách log dữ liệu kết quả từ máy</t>
  </si>
  <si>
    <t>Trả kết quả xét nghiệm - Vi Sinh</t>
  </si>
  <si>
    <t>Trả kết quả xét nghiệm - Kháng Sinh Đồ</t>
  </si>
  <si>
    <t>Trả kết quả xét nghiệm - Giải Phẫu Bệnh</t>
  </si>
  <si>
    <t>Quản lý kho máu</t>
  </si>
  <si>
    <t>Sổ Xét Nghiệm (bổ sung)</t>
  </si>
  <si>
    <t>Dashboard thống kê chỉ số xét nghiệm</t>
  </si>
  <si>
    <t>Truy cập hệ thống</t>
  </si>
  <si>
    <t>Uỷ quyền, thông báo uỷ quyền</t>
  </si>
  <si>
    <t>Ký số</t>
  </si>
  <si>
    <t>Xây dựng chức năng ủy quyền ký số</t>
  </si>
  <si>
    <t>Xây dựng Core ký số + ký bệnh nhân</t>
  </si>
  <si>
    <t>Xây dựng hàm Core hủy ký + Ghi log ký số</t>
  </si>
  <si>
    <t>Xây dựng hàm merger dữ liệu XML log ký số</t>
  </si>
  <si>
    <t>Xây dựng hàm core ghép XML load dữ liệu HSBA</t>
  </si>
  <si>
    <t>Tích hợp chữ kỹ số, chữ ký điện tử</t>
  </si>
  <si>
    <t>Tích hợp hàm core ký số vào chức năng tiếp nhận</t>
  </si>
  <si>
    <t>Tích hợp ký số vào chức năng khám bệnh</t>
  </si>
  <si>
    <t>Tích hợp ký số vào chức năng tiếp nhận KSK</t>
  </si>
  <si>
    <t>Tích hợp ký số vào chức năng ký số trả kết quả KSK</t>
  </si>
  <si>
    <t>Tích hợp ký số vào chức năng viện phí</t>
  </si>
  <si>
    <t>Tích hợp ký số vào chức năng nội trú</t>
  </si>
  <si>
    <t>Tích hợp ký số vào chức năng duyệt BHYT</t>
  </si>
  <si>
    <t>Tích hợp ký số vào chức năng đóng dấu pháp nhân</t>
  </si>
  <si>
    <t>Tích hợp ký số vào chức năng tổng hợp y lệnh</t>
  </si>
  <si>
    <t>Tích hợp ký số vào chức năng tổng hợp bổ sung, hoàn trả tủ trực</t>
  </si>
  <si>
    <t>Tích hợp ký số vào chức năng tạo lập báo cáo</t>
  </si>
  <si>
    <t>Tích hợp ký số vào chức năng thực hiện PTTT</t>
  </si>
  <si>
    <t>Tích hợp ký vào chức năng bàn giao hồ sơ bệnh án</t>
  </si>
  <si>
    <t>Tích hợp ký số vào chức năng tạo các biểu mẫu phiếu in (108) biểu mẫu</t>
  </si>
  <si>
    <t>Tích hợp ký số vào chức năng trả kết quả CLS</t>
  </si>
  <si>
    <t>Tích hợp ký số các chức năng dược</t>
  </si>
  <si>
    <t>Xây dựng hàm core in phiếu</t>
  </si>
  <si>
    <t>Xây dựng hàm core in nhiều phiếu</t>
  </si>
  <si>
    <t>Tích hợp ký số vào hệ thống EMR</t>
  </si>
  <si>
    <t>Tích hợp ký số vào hệ thống LIS</t>
  </si>
  <si>
    <t>EMR</t>
  </si>
  <si>
    <t>Danh mục người dùng ngoại viện</t>
  </si>
  <si>
    <t>Tạo lập danh mục người dùng ngoại viện</t>
  </si>
  <si>
    <t>Khai thác danh mục người dùng ngoại viện</t>
  </si>
  <si>
    <t>Danh mục thông tin cơ sở y tế</t>
  </si>
  <si>
    <t>Tạo lập danh mục thông tin cơ sở y tế</t>
  </si>
  <si>
    <t>Khai thác danh mục thông tin cơ sở y tế</t>
  </si>
  <si>
    <t>Import danh mục thông tin cơ sở y tế</t>
  </si>
  <si>
    <t>Danh mục nhóm người dùng</t>
  </si>
  <si>
    <t>Tạo lập danh mục nhóm người dùng</t>
  </si>
  <si>
    <t>Khai thác danh mục nhóm người dùng</t>
  </si>
  <si>
    <t>Import danh mục nhóm người dùng</t>
  </si>
  <si>
    <t>Danh mục nhân viên</t>
  </si>
  <si>
    <t>Tạo lập danh mục nhân viên</t>
  </si>
  <si>
    <t>Khai thác danh mục nhân viên</t>
  </si>
  <si>
    <t>Import danh mục nhân viên</t>
  </si>
  <si>
    <t>Danh mục User login</t>
  </si>
  <si>
    <t>Tạo lập danh mục user login</t>
  </si>
  <si>
    <t>Khai thác danh mục user login</t>
  </si>
  <si>
    <t>Import danh mục user login</t>
  </si>
  <si>
    <t>Danh mục phân quyền</t>
  </si>
  <si>
    <t>Tạo lập danh mục phân quyền</t>
  </si>
  <si>
    <t>Khai thác danh mục phân quyền</t>
  </si>
  <si>
    <t>Danh mục chức năng</t>
  </si>
  <si>
    <t>Tạo lập danh mục chức năng</t>
  </si>
  <si>
    <t>Khai thác danh mục chức năng</t>
  </si>
  <si>
    <t>Danh mục hệ thống - phân quyền chức năng</t>
  </si>
  <si>
    <t>Tạo lập danh mục hệ thống - phân quyền chức năng</t>
  </si>
  <si>
    <t>Khai thác danh mục hệ thống - phân quyền chức năng</t>
  </si>
  <si>
    <t>Import danh mục hệ thống - phân quyền chức năng</t>
  </si>
  <si>
    <t>Danh mục phân quyền chức năng - nhóm người dùng</t>
  </si>
  <si>
    <t>Tạo lập danh mục phân quyền chức năng - nhóm người dùng</t>
  </si>
  <si>
    <t>Khai thác danh mục phân quyền chức năng - nhóm người dùng</t>
  </si>
  <si>
    <t>Danh mục khai báo nhóm vai trò người dùng</t>
  </si>
  <si>
    <t>Tạo lập danh mục khai báo nhóm vai trò người dùng</t>
  </si>
  <si>
    <t>Khai thác danh mục khai báo nhóm vai trò người dùng</t>
  </si>
  <si>
    <t>Phân quyền nhóm vai trò người dùng</t>
  </si>
  <si>
    <t>Tạo lập Phân quyền nhóm vai trò người dùng</t>
  </si>
  <si>
    <t>Khai thác Phân quyền nhóm vai trò người dùng</t>
  </si>
  <si>
    <t>Phân quyền vai trò người dùng - user login</t>
  </si>
  <si>
    <t>Tạo lập Phân quyền vai trò người dùng - user login</t>
  </si>
  <si>
    <t>Khai thác Phân quyền vai trò người dùng - user login</t>
  </si>
  <si>
    <t>Nhóm thông tin hồ sơ bệnh án</t>
  </si>
  <si>
    <t>Tạo lập khai thác nhóm thông tin hồ sơ bệnh án</t>
  </si>
  <si>
    <t>Khai thác nhóm thông tin hồ sơ bệnh án</t>
  </si>
  <si>
    <t>Phân quyền nhóm thông tin hồ sơ bệnh án</t>
  </si>
  <si>
    <t>Tạo lập khai thác phân quyền nhóm thông tin hồ sơ bệnh án</t>
  </si>
  <si>
    <t>Khai thác phân quyền nhóm thông tin hồ sơ bệnh án</t>
  </si>
  <si>
    <t>Thông tin sổ y bạ điện tử</t>
  </si>
  <si>
    <t>Tạo lập thông tin sổ y bạ điện tử</t>
  </si>
  <si>
    <t>Khai thác thông tin sổ y bạ điện tử</t>
  </si>
  <si>
    <t>Đề nghị khai thác thông tin sổ y bạ điện tử</t>
  </si>
  <si>
    <t>Tạo lập đề nghị khai thác thông tin sổ y bạ điện tử</t>
  </si>
  <si>
    <t>Duyệt đề nghị khai thác sổ y bạ điện tử</t>
  </si>
  <si>
    <t>Xem danh sách và khai thác sổ y bạ điện tử đã được duyệt</t>
  </si>
  <si>
    <t>Tra cứu lịch sử khai thác thông tin sổ y bạ điện tử</t>
  </si>
  <si>
    <t>Import thông tin sổ y bạ điện tử</t>
  </si>
  <si>
    <t>Cấu hình EMR</t>
  </si>
  <si>
    <t>- Cấu hình gáy hồ sơ bệnh án</t>
  </si>
  <si>
    <t>- Phân quyền mẫu biểu, phiếu in</t>
  </si>
  <si>
    <t>- Chia sẻ và xuất file HSBA</t>
  </si>
  <si>
    <t>- Import HSBA và lọc dữ liệu trước khi chia sẻ thanh quyết toán BHXH</t>
  </si>
  <si>
    <t>Đề nghị khai thác hồ sơ bệnh án</t>
  </si>
  <si>
    <t>Tạo lập đề nghị khai thác hồ sơ bệnh án</t>
  </si>
  <si>
    <t>Duyệt đề nghị khai thác hồ sơ bệnh án</t>
  </si>
  <si>
    <t>Khai thác đề nghị khai thác hồ sơ bệnh án</t>
  </si>
  <si>
    <t>Xem danh sách và khai thác hồ sơ bệnh án đã được duyệt</t>
  </si>
  <si>
    <t>Giấy cam kết ra viện không theo chỉ định của bác sỹ (khi chưa kết thúc việc chữa bệnh)</t>
  </si>
  <si>
    <t>Tạo lập thông tin giấy cam kết ra viện không theo chỉ định của bác sỹ (khi chưa kết thúc việc chữa bệnh)</t>
  </si>
  <si>
    <t>SQL + Vẽ Report_code</t>
  </si>
  <si>
    <t>Ký số giấy cam kết ra viện không theo chỉ định của bác sỹ (khi chưa kết thúc việc chữa bệnh)</t>
  </si>
  <si>
    <t>Khai thác thông tin giấy cam kết ra viện không theo chỉ định của bác sỹ (khi chưa kết thúc việc chữa bệnh)</t>
  </si>
  <si>
    <t>Giấy khám/chữa bệnh theo yêu cầu</t>
  </si>
  <si>
    <t>Tạo lập thông tin giấy khám/chữa bệnh theo yêu cầu</t>
  </si>
  <si>
    <t>Ký số giấy khám/chữa bệnh theo yêu cầu</t>
  </si>
  <si>
    <t>Khai thác thông tin giấy khám/chữa bệnh theo yêu cầu</t>
  </si>
  <si>
    <t>Giấy cam kết chấp thuận phẫu thuật, thủ thuật và gây mê hồi sức</t>
  </si>
  <si>
    <t>Tạo lập thông tin giấy cam kết chấp thuận phẫu thuật, thủ thuật và gây mê hồi sức</t>
  </si>
  <si>
    <t>Ký số giấy cam kết chấp thuận phẫu thuật, thủ thuật và gây mê hồi sức</t>
  </si>
  <si>
    <t>Khai thác thông tin giấy cam kết chấp thuận phẫu thuật, thủ thuật và gây mê hồi sức</t>
  </si>
  <si>
    <t>Hồ sơ bệnh án Nhi khoa</t>
  </si>
  <si>
    <t>Tạo lập thông tin hồ sơ bệnh án Nhi khoa</t>
  </si>
  <si>
    <t>Ký số hồ sơ bệnh án Nhi khoa</t>
  </si>
  <si>
    <t>Khai thác thông tin hồ sơ bệnh án Nhi khoa</t>
  </si>
  <si>
    <t>Kết xuất hồ sơ bệnh án Nhi khoa</t>
  </si>
  <si>
    <t>Kết xuất hồ sơ bệnh án Nhi khoa theo tiêu chuẩn HL7 CDA, CCD</t>
  </si>
  <si>
    <t>Import thông tin hồ sơ bệnh án Nhi khoa</t>
  </si>
  <si>
    <t>Hồ sơ bệnh án Truyền nhiễm</t>
  </si>
  <si>
    <t>Tạo lập thông tin hồ sơ bệnh án Truyền nhiễm</t>
  </si>
  <si>
    <t>Ký số hồ sơ bệnh án Truyền nhiễm</t>
  </si>
  <si>
    <t>Khai thác thông tin hồ sơ bệnh án Truyền nhiễm</t>
  </si>
  <si>
    <t>Kết xuất hồ sơ bệnh án Truyền nhiễm</t>
  </si>
  <si>
    <t>Kết xuất hồ sơ bệnh án Truyền nhiễm theo tiêu chuẩn HL7 CDA, CCD</t>
  </si>
  <si>
    <t>Import thông tin hồ sơ bệnh án Truyền nhiễm</t>
  </si>
  <si>
    <t>Hồ sơ bệnh án Phụ khoa</t>
  </si>
  <si>
    <t>Tạo lập thông tin hồ sơ bệnh án Phụ khoa</t>
  </si>
  <si>
    <t>Ký số hồ sơ bệnh án Phụ khoa</t>
  </si>
  <si>
    <t>Khai thác thông tin hồ sơ bệnh án Phụ khoa</t>
  </si>
  <si>
    <t>Kết xuất hồ sơ bệnh án Phụ khoa</t>
  </si>
  <si>
    <t>Kết xuất hồ sơ bệnh án Phụ khoa theo tiêu chuẩn HL7 CDA, CCD</t>
  </si>
  <si>
    <t>Import thông tin hồ sơ bệnh án Phụ khoa</t>
  </si>
  <si>
    <t>Hồ sơ bệnh án Sản khoa</t>
  </si>
  <si>
    <t>Tạo lập thông tin hồ sơ bệnh án Sản khoa</t>
  </si>
  <si>
    <t>Ký số hồ sơ bệnh án Sản khoa</t>
  </si>
  <si>
    <t>Khai thác thông tin hồ sơ bệnh án Sản khoa</t>
  </si>
  <si>
    <t>Kết xuất hồ sơ bệnh án Sản khoa</t>
  </si>
  <si>
    <t>Kết xuất hồ sơ bệnh án Sản khoa theo tiêu chuẩn HL7 CDA, CCD</t>
  </si>
  <si>
    <t>Import thông tin hồ sơ bệnh án Sản khoa</t>
  </si>
  <si>
    <t>Hồ sơ bệnh án Da liễu</t>
  </si>
  <si>
    <t>Tạo lập thông tin hồ sơ bệnh án Da liễu</t>
  </si>
  <si>
    <t>Ký số hồ sơ bệnh án Da liễu</t>
  </si>
  <si>
    <t>Khai thác thông tin hồ sơ bệnh án Da liễu</t>
  </si>
  <si>
    <t>Kết xuất hồ sơ bệnh án Da liễu</t>
  </si>
  <si>
    <t>Kết xuất hồ sơ bệnh án Da liễu theo tiêu chuẩn HL7 CDA, CCD</t>
  </si>
  <si>
    <t>Import thông tin hồ sơ bệnh án Da liễu</t>
  </si>
  <si>
    <t>Hồ sơ bệnh án Ngoại trú Răng Hàm Mặt</t>
  </si>
  <si>
    <t>Tạo lập thông tin hồ sơ bệnh án Ngoại trú Răng Hàm Mặt</t>
  </si>
  <si>
    <t>Ký số hồ sơ bệnh án Ngoại trú Răng Hàm Mặt</t>
  </si>
  <si>
    <t>Khai thác thông tin hồ sơ bệnh án Ngoại trú Răng Hàm Mặt</t>
  </si>
  <si>
    <t>Kết xuất hồ sơ bệnh án Ngoại trú Răng Hàm Mặt</t>
  </si>
  <si>
    <t>Kết xuất hồ sơ bệnh án Ngoại trú Răng Hàm Mặt theo tiêu chuẩn HL7 CDA, CCD</t>
  </si>
  <si>
    <t>Import thông tin hồ sơ bệnh án Ngoại trú Răng Hàm Mặt</t>
  </si>
  <si>
    <t>Hồ sơ bệnh án dùng cho tuyến xã/phường</t>
  </si>
  <si>
    <t>Tạo lập thông tin hồ sơ bệnh án dùng cho tuyến xã/phường</t>
  </si>
  <si>
    <t>Ký số hồ sơ bệnh án dùng cho tuyến xã/phường</t>
  </si>
  <si>
    <t>Khai thác thông tin hồ sơ bệnh án dùng cho tuyến xã/phường</t>
  </si>
  <si>
    <t>Kết xuất hồ sơ bệnh án dùng cho tuyến xã/phường</t>
  </si>
  <si>
    <t>Kết xuất hồ sơ bệnh án dùng cho tuyến xã/phường theo tiêu chuẩn HL7 CDA, CCD</t>
  </si>
  <si>
    <t>Import thông tin hồ sơ bệnh án dùng cho tuyến xã/phường</t>
  </si>
  <si>
    <t>Hồ sơ bệnh án Nội trú Nhi Y học cổ truyền</t>
  </si>
  <si>
    <t>Tạo lập thông tin hồ sơ bệnh án Nội trú Nhi Y học cổ truyền</t>
  </si>
  <si>
    <t>Ký số hồ sơ bệnh án Nội trú Nhi Y học cổ truyền</t>
  </si>
  <si>
    <t>Khai thác thông tin hồ sơ bệnh án Nội trú Nhi Y học cổ truyền</t>
  </si>
  <si>
    <t>Kết xuất hồ sơ bệnh án Nội trú Nhi Y học cổ truyền</t>
  </si>
  <si>
    <t>Kết xuất hồ sơ bệnh án Nội trú Nhi Y học cổ truyền theo tiêu chuẩn HL7 CDA, CCD</t>
  </si>
  <si>
    <t>Import thông tin hồ sơ bệnh án Nội trú Nhi Y học cổ truyền</t>
  </si>
  <si>
    <t>Hồ sơ bệnh án Mắt trẻ em</t>
  </si>
  <si>
    <t>Tạo lập thông tin hồ sơ bệnh án Mắt trẻ em</t>
  </si>
  <si>
    <t>Ký số hồ sơ bệnh án Mắt trẻ em</t>
  </si>
  <si>
    <t>Khai thác thông tin hồ sơ bệnh án Mắt trẻ em</t>
  </si>
  <si>
    <t>Kết xuất hồ sơ bệnh án Mắt trẻ em</t>
  </si>
  <si>
    <t>Kết xuất hồ sơ bệnh án Mắt trẻ em theo tiêu chuẩn HL7 CDA, CCD</t>
  </si>
  <si>
    <t>Import thông tin hồ sơ bệnh án Mắt trẻ em</t>
  </si>
  <si>
    <t>Hồ sơ bệnh án phục hồi chức năng</t>
  </si>
  <si>
    <t>Tạo lập thông tin hồ sơ bệnh án phục hồi chức năng</t>
  </si>
  <si>
    <t>Ký số hồ sơ bệnh án phục hồi chức năng</t>
  </si>
  <si>
    <t>Khai thác thông tin hồ sơ bệnh án phục hồi chức năng</t>
  </si>
  <si>
    <t>Kết xuất hồ sơ bệnh án phục hồi chức năng</t>
  </si>
  <si>
    <t>Kết xuất hồ sơ bệnh án phục hồi chức năng theo tiêu chuẩn HL7 CDA, CCD</t>
  </si>
  <si>
    <t>Import thông tin hồ sơ bệnh án phục hồi chức năng</t>
  </si>
  <si>
    <t>Hồ sơ bệnh án phục hồi chức năng nhi</t>
  </si>
  <si>
    <t>Tạo lập thông tin hồ sơ bệnh án phục hồi chức năng nhi</t>
  </si>
  <si>
    <t>Ký số hồ sơ bệnh án phục hồi chức năng nhi</t>
  </si>
  <si>
    <t>Khai thác thông tin hồ sơ bệnh án phục hồi chức năng nhi</t>
  </si>
  <si>
    <t>Kết xuất hồ sơ bệnh án phục hồi chức năng nhi</t>
  </si>
  <si>
    <t>Kết xuất hồ sơ bệnh án phục hồi chức năng nhi theo tiêu chuẩn HL7 CDA, CCD</t>
  </si>
  <si>
    <t>Import thông tin hồ sơ bệnh án phục hồi chức năng nhi</t>
  </si>
  <si>
    <t>Quản lý thông tin hồ sơ bệnh án phục hồi chức năng nhi</t>
  </si>
  <si>
    <t>Hồ sơ bệnh án ngoại trú phục hồi chức năng</t>
  </si>
  <si>
    <t>Tạo lập thông tin hồ sơ bệnh án ngoại trú phục hồi chức năng</t>
  </si>
  <si>
    <t>Ký số hồ sơ bệnh án ngoại trú phục hồi chức năng</t>
  </si>
  <si>
    <t>Khai thác thông tin hồ sơ bệnh án ngoại trú phục hồi chức năng</t>
  </si>
  <si>
    <t>Kết xuất hồ sơ bệnh án ngoại trú phục hồi chức năng</t>
  </si>
  <si>
    <t>Kết xuất hồ sơ bệnh án ngoại trú phục hồi chức năng theo tiêu chuẩn HL7 CDA, CCD</t>
  </si>
  <si>
    <t>Import thông tin hồ sơ bệnh án ngoại trú phục hồi chức năng</t>
  </si>
  <si>
    <t>Phiếu xét nghiệm vi sinh</t>
  </si>
  <si>
    <t>Khai thác thông tin phiếu xét nghiệm vi sinh</t>
  </si>
  <si>
    <t>Sao chép thông tin phiếu sao chép xét nghiệm vi sinh</t>
  </si>
  <si>
    <t>Ký số phiếu sao chép xét nghiệm vi sinh</t>
  </si>
  <si>
    <t>Tra cứu lịch sử sao chép phiếu sao chép xét nghiệm vi sinh</t>
  </si>
  <si>
    <t>Tạo lập đề nghị sao chép thông tin phiếu xét nghiệm vi sinh</t>
  </si>
  <si>
    <t>Phiếu đánh giá dinh dưỡng</t>
  </si>
  <si>
    <t>Tạo lập thông tin phiếu đánh giá dinh dưỡng</t>
  </si>
  <si>
    <t>Ký số phiếu đánh giá dinh dưỡng</t>
  </si>
  <si>
    <t>Khai thác thông tin phiếu đánh giá dinh dưỡng</t>
  </si>
  <si>
    <t>Biểu đồ chuyển dạ</t>
  </si>
  <si>
    <t>Tạo lập thông tin biểu đồ chuyển dạ</t>
  </si>
  <si>
    <t>Ký số biểu đồ chuyển dạ</t>
  </si>
  <si>
    <t>Khai thác thông tin biểu đồ chuyển dạ</t>
  </si>
  <si>
    <t>Giám định y khoa</t>
  </si>
  <si>
    <t>Ký số giám định y khoa</t>
  </si>
  <si>
    <t>Khai thác thông tin giám định y khoa</t>
  </si>
  <si>
    <t>Xem thông tin giám định y khoa chỉ tiêu dữ liệu từ file XML chuẩn định dạng theo quyết định 130</t>
  </si>
  <si>
    <t>Import file xml thông tin KCB của người bệnh BHYT</t>
  </si>
  <si>
    <t>Quản lý Chi phí KCB</t>
  </si>
  <si>
    <t>Tạo lập thông tin thông tin chi phí khám chữa bệnh người bệnh khám chữa bệnh BHYT</t>
  </si>
  <si>
    <t>Tạo lập thông tin thông tin chi phí khám chữa bệnh người bệnh khám chữa bệnh tự nguyện</t>
  </si>
  <si>
    <t>Khai thác Dữ liệu chuẩn QĐ 130</t>
  </si>
  <si>
    <t>Khai thác thông tin đợt điều trị của bệnh nhân chuẩn định dạng theo quyết định 130</t>
  </si>
  <si>
    <t>Báo cáo thống kê chung</t>
  </si>
  <si>
    <t>báo cáo thống kê số lượng bệnh án điện tử</t>
  </si>
  <si>
    <t>báo cáo thống kê số lượng sổ y bạ điện tử</t>
  </si>
  <si>
    <t>báo cáo thống kê số lượng người bệnh khám bệnh</t>
  </si>
  <si>
    <t>báo cáo thống kê khai thác hồ sơ bệnh án điện tử</t>
  </si>
  <si>
    <t>báo cáo thống kê cấp lại giấy chứng sinh</t>
  </si>
  <si>
    <t>báo cáo thống kê cấp giấy chứng tử</t>
  </si>
  <si>
    <t>báo cáo thống kê cấp lại giấy chứng nhận phẫu thuật</t>
  </si>
  <si>
    <t>báo cáo thống kê trích sao hồ sơ bệnh án</t>
  </si>
  <si>
    <t>báo cáo thống kê sao chép hồ sơ bệnh án</t>
  </si>
  <si>
    <t>báo cáo thống kê chia sẻ tra cứu hồ sơ bệnh án</t>
  </si>
  <si>
    <t>báo cáo thống kê tình hình bệnh tật</t>
  </si>
  <si>
    <t>báo cáo thống kê bệnh truyền nhiễm</t>
  </si>
  <si>
    <t>báo cáo thống kê bệnh dài ngày</t>
  </si>
  <si>
    <t>Báo cáo thống kê hoạt động khám chữa bệnh</t>
  </si>
  <si>
    <t>Tổng hợp Báo cáo thống kê hoạt động khám chữa bệnh</t>
  </si>
  <si>
    <t>Kết nối HIS - EMR</t>
  </si>
  <si>
    <t>Kết nối hệ thống</t>
  </si>
  <si>
    <t>DM khai báo kết nối  tại HIS</t>
  </si>
  <si>
    <t>API xác thực thông tin kết nối</t>
  </si>
  <si>
    <t>Check thông tin kết nối</t>
  </si>
  <si>
    <t>Đồng bộ dữ liệu</t>
  </si>
  <si>
    <t>API đồng bộ CSKCB</t>
  </si>
  <si>
    <t>API đồng bộ danh mục khoa</t>
  </si>
  <si>
    <t>API đồng bộ danh mục phòng</t>
  </si>
  <si>
    <t>API đồng bộ thông tin bệnh nhân</t>
  </si>
  <si>
    <t>API update thông tin bệnh nhân</t>
  </si>
  <si>
    <t>API đồng bộ danh mục nhân viên</t>
  </si>
  <si>
    <t>API đồng bộ tải khoản người dùng</t>
  </si>
  <si>
    <t>API đồng bộ phân quyền người dùng</t>
  </si>
  <si>
    <t>Nghiệp vụ</t>
  </si>
  <si>
    <t>API lấy thông tin chỉ định</t>
  </si>
  <si>
    <t>API lấy kết quả thực hiện chỉ định</t>
  </si>
  <si>
    <t>API lấy thông tin đơn thuốc</t>
  </si>
  <si>
    <t>API giao nhân hồ sơ bệnh án</t>
  </si>
  <si>
    <t>API yêu cầu khai thác hồ sơ bệnh án</t>
  </si>
  <si>
    <t>API xuất hồ sơ bệnh án</t>
  </si>
  <si>
    <t>Kết nối HIS với các hệ thống khác</t>
  </si>
  <si>
    <t>Đơn thuốc quốc gia</t>
  </si>
  <si>
    <t>API Kết nối, xác thực Cổng đơn thuốc QG</t>
  </si>
  <si>
    <t>API Tạo đơn thuốc</t>
  </si>
  <si>
    <t>API Gửi đơn thuốc lên Cổng quốc gia</t>
  </si>
  <si>
    <t>API cập nhật mã đơn thuốc quốc gia</t>
  </si>
  <si>
    <t>API Hủy / điều chỉnh đơn thuốc</t>
  </si>
  <si>
    <t>API Tra cứu lịch sử đơn thuốc</t>
  </si>
  <si>
    <t>Bà mẹ trẻ em (eMCH)</t>
  </si>
  <si>
    <t>API Kết nối, xác thực hệ thống eMCH</t>
  </si>
  <si>
    <t>API Tiếp nhận hồ sơ (XML)</t>
  </si>
  <si>
    <t>API Tra cứu kết quả tiếp nhận</t>
  </si>
  <si>
    <t>API Truy xuất dữ liệu hồ sơ</t>
  </si>
  <si>
    <t>API Tra cứu hồ sơ liên thông (XML)</t>
  </si>
  <si>
    <t>BHXH (QĐ3176, Đề án 06)</t>
  </si>
  <si>
    <t>API Kết nối, xác thực hệ thống BHXH</t>
  </si>
  <si>
    <t>API GuiGiayToDienTu (gửi hồ sơ)</t>
  </si>
  <si>
    <t>API checkInKcbQd4750</t>
  </si>
  <si>
    <t>API guiHoSoXmlQD4750</t>
  </si>
  <si>
    <t>API KQNhanLichSuKCB2024</t>
  </si>
  <si>
    <t>Cổng Dược quốc gia</t>
  </si>
  <si>
    <t>API Kết nối, xác thực hệ thống Cổng Dược QG</t>
  </si>
  <si>
    <t>API Đồng bộ danh mục thuốc với cơ sở dữ liệu Dược quốc gia</t>
  </si>
  <si>
    <t>API Lấy thuốc từ cơ sở dữ liệu Dược Quốc Gia</t>
  </si>
  <si>
    <t>API Đồng bộ chứng từ với cơ sở dữ liệu Dược quốc gia</t>
  </si>
  <si>
    <t>Chứng từ mua hàng trong nước nhập kho</t>
  </si>
  <si>
    <t>Chứng từ mua hàng nhiều hóa đơn trong nước nhập kho</t>
  </si>
  <si>
    <t>Chứng từ mua hàng nhập khẩu nhập kho</t>
  </si>
  <si>
    <t>Chứng từ mua hàng nhiều hóa đơn nhập khẩu nhập kho</t>
  </si>
  <si>
    <t>Chứng từ trả lại hàng bán kiêm phiếu nhập kho</t>
  </si>
  <si>
    <t>Phiếu nhập kho hàng bán bị trả lại</t>
  </si>
  <si>
    <t>Chứng từ trả lại hàng mua kiêm phiếu xuất kho</t>
  </si>
  <si>
    <t>Phiếu xuất kho loại Khác khi có tích chọn là loại xuất hủy</t>
  </si>
  <si>
    <t>Chứng từ bán hàng trong nước/xuất khẩu lập kèm hóa đơn</t>
  </si>
  <si>
    <t>Hóa đơn bán hàng trong nước</t>
  </si>
  <si>
    <t>Hóa đơn bán hàng xuất khẩu</t>
  </si>
  <si>
    <t>KSK-CBCS (vùng trong)</t>
  </si>
  <si>
    <t>Xây dựng cây thư mục đơn vị cơ quan tổ chức BCA</t>
  </si>
  <si>
    <t>Xây dựng hệ thống phân quyền theo cơ quan tổ chức</t>
  </si>
  <si>
    <t>Khai thác danh mục CBCS trong toàn ngành</t>
  </si>
  <si>
    <t>Quản lý tài khoản CBCS trong ngành theo tổ chức</t>
  </si>
  <si>
    <t>Quản lý nhóm quyền, vai trò</t>
  </si>
  <si>
    <t>Cấu hình người dùng - Phạm vi quản lý</t>
  </si>
  <si>
    <t>Đăng nhập hệ thống bằng tài khoản</t>
  </si>
  <si>
    <t>Đổi mật khẩu</t>
  </si>
  <si>
    <t>Đăng xuất</t>
  </si>
  <si>
    <t>Quản lý chức năng trên menu trung tâm dữ liệu</t>
  </si>
  <si>
    <t>Quản lý thông báo</t>
  </si>
  <si>
    <t>Quản lý tham số hệ thống</t>
  </si>
  <si>
    <t>Quản lý thông tin API</t>
  </si>
  <si>
    <t>Tra cứu file thông tin API</t>
  </si>
  <si>
    <t>Quản lý file danh mục</t>
  </si>
  <si>
    <t>Khai thác Danh mục quân hàm</t>
  </si>
  <si>
    <t>Khai thác Danh mục chức danh</t>
  </si>
  <si>
    <t>Khai thác danh mục giới tính</t>
  </si>
  <si>
    <t>Khai thác danh mục chức vụ</t>
  </si>
  <si>
    <t>Khai thác danh mục cơ quan đơn vị</t>
  </si>
  <si>
    <t>Khai thác danh mục nhóm máu</t>
  </si>
  <si>
    <t>Khai thác danh mục dân tộc</t>
  </si>
  <si>
    <t>Khai thác danh mục tôn giáo</t>
  </si>
  <si>
    <t>Khai thác danh mục trình độ chuyên môn</t>
  </si>
  <si>
    <t>Khai thác danh mục nghề nghiệp</t>
  </si>
  <si>
    <t>Khai thác danh mục quan hệ với chủ hộ</t>
  </si>
  <si>
    <t>Khai thác danh mục tỉnh/thành phố</t>
  </si>
  <si>
    <t>Khai thác danh mục quận/huyện</t>
  </si>
  <si>
    <t>Khai thác danh mục xã/phường</t>
  </si>
  <si>
    <t>Khai thác danh mục bệnh tật ICD10</t>
  </si>
  <si>
    <t>Khai thác danh mục thuốc</t>
  </si>
  <si>
    <t>Khai thác danh mục vật tư y tế</t>
  </si>
  <si>
    <t>Khai thác danh mục cơ sở y tế</t>
  </si>
  <si>
    <t>Khai thác danh mục hóa chất</t>
  </si>
  <si>
    <t>Khai thác danh mục phân loại sức khỏe</t>
  </si>
  <si>
    <t>Khai thác danh mục đối tượng khám chữa bệnh</t>
  </si>
  <si>
    <t>Khai thác danh mục chuyên khoa</t>
  </si>
  <si>
    <t>Khai thác danh mục khoa</t>
  </si>
  <si>
    <t>Quản lý danh mục cán bộ chiến sĩ</t>
  </si>
  <si>
    <t>Khai thác danh mục loại hợp đồng cán bộ cơ sở</t>
  </si>
  <si>
    <t>Khai thác nhật ký truy cập phần mềm</t>
  </si>
  <si>
    <t>Khai thác nhật ký lỗi phát sinh</t>
  </si>
  <si>
    <t>Khai thác nhật ký thay đổi cấu hình</t>
  </si>
  <si>
    <t>Quản lý gói dịch vụ kĩ thuật khám sức khỏe</t>
  </si>
  <si>
    <t>Khai thác kế hoạch khám sức khỏe định kỳ</t>
  </si>
  <si>
    <t>Chi tiết kế hoạch khám sức khỏe định kỳ</t>
  </si>
  <si>
    <t>Quản lý gói dịch vụ kĩ thuật trong kế hoạch khám sức khỏe định kỳ</t>
  </si>
  <si>
    <t>Kết xuất dữ liệu gói dịch vụ kĩ thuật trong kế hoạch khám sức khỏe định kỳ ra định dạng excel</t>
  </si>
  <si>
    <t>Quản lý hợp đồng khám sức khỏe theo kế hoạch khám sức khỏe định kỳ</t>
  </si>
  <si>
    <t>Quản lý Cán bộ chiến sỹ dự kiến khám sức khỏe định kỳ</t>
  </si>
  <si>
    <t>Import Cán bộ chiến sỹ dự kiến khám sức khỏe định kỳ</t>
  </si>
  <si>
    <t>Kết xuất dữ liệu Cán bộ chiến sỹ dự kiến khám sức khỏe định kỳ ra định dạng excel</t>
  </si>
  <si>
    <t>Kết nối và đồng bộ dữ liệu Cán bộ chiến sỹ dự kiến khám sức khỏe định kỳ ra HIS</t>
  </si>
  <si>
    <t>Quản lý đợt khám sức khỏe theo kế hoạch khám sức khỏe định kỳ</t>
  </si>
  <si>
    <t>Đồng bộ kết quả khám sức khỏe định kỳ từ hệ thống HIS nội bộ</t>
  </si>
  <si>
    <t>Import kết quả khám sức khỏe định kỳ</t>
  </si>
  <si>
    <t>Tích hợp ký số</t>
  </si>
  <si>
    <t>Khai thác Cán bộ chiến sỹ có kết quả khám sức khỏe định kỳ</t>
  </si>
  <si>
    <t>Chi tiết tiền sử hồ sơ khám sức khỏe định kỳ</t>
  </si>
  <si>
    <t>Kết xuất dữ liệu tiền sử hồ sơ khám sức khỏe định kỳ ra định dạng excel</t>
  </si>
  <si>
    <t>Chi tiết kết quả khám lâm sàng khám sức khỏe định kỳ</t>
  </si>
  <si>
    <t>Kết xuất dữ liệu kết quả khám lâm sàng khám sức khỏe định kỳ ra định dạng excel</t>
  </si>
  <si>
    <t>Chi tiết kết quả xét nghiệm khám sức khỏe</t>
  </si>
  <si>
    <t>Kết xuất dữ liệu kết quả xét nghiệm khám sức khỏe ra định dạng excel</t>
  </si>
  <si>
    <t>Chi tiết kết quả chẩn đoán hình ảnh, thăm dò chức năng khám sức khỏe</t>
  </si>
  <si>
    <t>Kết xuất dữ liệu kết quả chẩn đoán hình ảnh, thăm dò chức năng khám sức khỏe ra định dạng excel</t>
  </si>
  <si>
    <t>Chi tiết kết quả, kết luận, phân loại khám sức khỏe định kỳ</t>
  </si>
  <si>
    <t>Kết xuất dữ liệu kết quả, kết luận, phân loại khám sức khỏe định kỳ ra định dạng excel</t>
  </si>
  <si>
    <t>Import kết quả khám sức khỏe bệnh nghề nghiệp</t>
  </si>
  <si>
    <t>Khai thác Cán bộ chiến sỹ có kết quả khám sức khỏe bệnh nghề nghiệp</t>
  </si>
  <si>
    <t>Chi tiết tiền sử hồ sơ khám sức khỏe bệnh nghề nghiệp</t>
  </si>
  <si>
    <t>Kết xuất dữ liệu tiền sử hồ sơ khám sức khỏe bệnh nghề nghiệp ra định dạng excel</t>
  </si>
  <si>
    <t>Chi tiết kết quả khám lâm sàng khám sức khỏe bệnh nghề nghiệp</t>
  </si>
  <si>
    <t>Kết xuất dữ liệu kết quả khám lâm sàng khám sức khỏe bệnh nghề nghiệp ra định dạng excel</t>
  </si>
  <si>
    <t>Chi tiết kết quả, kết luận, phân loại khám sức khỏe bệnh nghề nghiệp</t>
  </si>
  <si>
    <t>Kết xuất dữ liệu kết quả, kết luận, phân loại khám sức khỏe bệnh nghề nghiệp ra định dạng excel</t>
  </si>
  <si>
    <t>Lập báo cáo tổng hợp phân loại sức khỏe cán bộ chiến sỹ</t>
  </si>
  <si>
    <t>Kết xuất dữ liệu báo cáo tổng hợp phân loại sức khỏe cán bộ chiến sỹ ra định dạng excel</t>
  </si>
  <si>
    <t>Lập báo cáo chi tiết Cán bộ chiến sỹ và kết quả khám sức khỏe định kỳ</t>
  </si>
  <si>
    <t>Kết xuất dữ liệu báo cáo chi tiết Cán bộ chiến sỹ và kết quả khám sức khỏe định kỳ ra định dạng excel</t>
  </si>
  <si>
    <t>Lập báo cáo tổng hợp phân loại sức khỏe bệnh nghề nghiệp</t>
  </si>
  <si>
    <t>Kết xuất dữ liệu báo cáo tổng hợp phân loại sức khỏe bệnh nghề nghiệp ra định dạng excel</t>
  </si>
  <si>
    <t>Lập báo cáo chi tiết Cán bộ chiến sỹ và kết quả khám sức khỏe bệnh nghề nghiệp</t>
  </si>
  <si>
    <t>Kết xuất dữ liệu báo cáo chi tiết Cán bộ chiến sỹ và kết quả khám sức khỏe bệnh nghề nghiệp ra định dạng excel</t>
  </si>
  <si>
    <t>Lập báo cáo báo cáo tình hình sức khỏe cán bộ chiến sỹ mắc bệnh nghề nghiệp</t>
  </si>
  <si>
    <t>Kết xuất dữ liệu báo cáo tình hình sức khỏe cán bộ chiến sỹ mắc bệnh nghề nghiệp ra định dạng excel</t>
  </si>
  <si>
    <t>Lập báo cáo báo cáo tình hình sức khỏe cán bộ chiến sỹ mắc bệnh dài ngày</t>
  </si>
  <si>
    <t>Kết xuất dữ liệu báo cáo tình hình sức khỏe cán bộ chiến sỹ mắc bệnh dài ngày ra định dạng excel</t>
  </si>
  <si>
    <t>Lập báo cáo báo cáo tổng hợp tình hình khám sức khỏe cán bộ chiến sỹ</t>
  </si>
  <si>
    <t>Kết xuất dữ liệu báo cáo tổng hợp tình hình khám sức khỏe cán bộ chiến sỹ ra định dạng excel</t>
  </si>
  <si>
    <t>Chuẩn bị dữ liệu cho biểu đồ tình hình bệnh tật của cán bộ chiến sỹ theo thời gian</t>
  </si>
  <si>
    <t>Chuẩn bị dữ liệu cho biểu đồ phân loại sức khỏe cán bộ chiến sỹ theo thời gian</t>
  </si>
  <si>
    <t>Biểu đồ tình hình bệnh tật của cán bộ chiến sỹ theo thời gian</t>
  </si>
  <si>
    <t>Biểu đồ phân loại sức khỏe cán bộ chiến sỹ theo thời gian</t>
  </si>
  <si>
    <t>API đồng bộ lịch sử KSK - CBCS sang TTDL</t>
  </si>
  <si>
    <t>3. Tài liệu bàn giao</t>
  </si>
  <si>
    <t>Tài liệu đặc tả yêu cầu phần mềm</t>
  </si>
  <si>
    <t>Tài liệu thiết kế kiến trúc phần mềm</t>
  </si>
  <si>
    <t>Tài liệu thiết kế biểu đồ các tác nhân sử dụng</t>
  </si>
  <si>
    <t>Tài liệu thiết kế biểu đồ tuần tự</t>
  </si>
  <si>
    <t>Tài liệu thiết kế biểu đồ lớp</t>
  </si>
  <si>
    <t>Tài liệu thiết kế mô hình cơ sở dữ liệu</t>
  </si>
  <si>
    <t>Tài liệu thiết kế giao diện phần mềm</t>
  </si>
  <si>
    <t>Biên bản kiểm tra các chức năng của phần mềm</t>
  </si>
  <si>
    <t>4. UAT</t>
  </si>
  <si>
    <t>Kiểm thử hệ thống</t>
  </si>
  <si>
    <t>Hoàn  thiện thủ tục nghiệm thu (Test ATTT, ATBM...)</t>
  </si>
  <si>
    <t>Tạo tài liệu hướng dẫn sử dụng:
+ Tài liệu hướng dẫn cấu hình và phân quyền hệ thống
+ Tài liệu hướng dẫn nghiệp vụ cho từng đối tượng người dùng</t>
  </si>
  <si>
    <t>5. Đào tạo + Triển khai</t>
  </si>
  <si>
    <t>5.1. Vận hành thử nghiệm</t>
  </si>
  <si>
    <t>- Vận hành thử hệ thống</t>
  </si>
  <si>
    <t>- Nghiệm thu hệ thống và đồng ý đưa vào sử dụng chính thức</t>
  </si>
  <si>
    <t>5.2. Triển khai tổng thể phần mềm</t>
  </si>
  <si>
    <t>- Khảo sát lấy các danh mục khởi tạo</t>
  </si>
  <si>
    <t>- Thống nhất nhất dữ liệu khi chuyển đổi</t>
  </si>
  <si>
    <t>- import, rà soát, kiểm tra dữ liệu đầu vào</t>
  </si>
  <si>
    <t>- Triển khai chính thức</t>
  </si>
  <si>
    <t>6. Vận hành/Bảo trì + Nghiệm thu</t>
  </si>
  <si>
    <t>6.1. Hỗ trợ sử dụng + Thủ tục nghiệm thu hợp đồng</t>
  </si>
  <si>
    <t>6.2. Hỗ trợ sử dụng + Quyết toán dự án/Lưu trữ hồ sơ</t>
  </si>
  <si>
    <t>1. PO</t>
  </si>
  <si>
    <t xml:space="preserve">  </t>
  </si>
  <si>
    <t>Master Schedule</t>
  </si>
  <si>
    <t>Task</t>
  </si>
  <si>
    <t>Nội dung</t>
  </si>
  <si>
    <t>Phân hệ</t>
  </si>
  <si>
    <t>SUM of T5-2026</t>
  </si>
  <si>
    <t>COUNT of T5-2026</t>
  </si>
  <si>
    <t xml:space="preserve"> Total</t>
  </si>
  <si>
    <t>1. PO, 2. PM Total</t>
  </si>
  <si>
    <t>Grand Total</t>
  </si>
  <si>
    <t>COUNT of T11-2025</t>
  </si>
  <si>
    <t>1. PO Total</t>
  </si>
  <si>
    <t>SUM of T6-2025</t>
  </si>
  <si>
    <t>SUM of T7-2025</t>
  </si>
  <si>
    <t>SUM of T8-2025</t>
  </si>
  <si>
    <t>SUM of T9-2025</t>
  </si>
  <si>
    <t>SUM of T10-2025</t>
  </si>
  <si>
    <t>SUM of T11-2025</t>
  </si>
  <si>
    <t>SUM of T12-2025</t>
  </si>
  <si>
    <t>SUM of T1-2026</t>
  </si>
  <si>
    <t>SUM of T2-2026</t>
  </si>
  <si>
    <t>SUM of T3-2026</t>
  </si>
  <si>
    <t>SUM of T4-2026</t>
  </si>
  <si>
    <t>COUNTA of Milestone chi tiết</t>
  </si>
  <si>
    <t>Giai đoạn 1</t>
  </si>
  <si>
    <t>Gửi mail thông báo kết quả khám sức khỏe, tư vấn điều trị bệnh (nếu có)</t>
  </si>
  <si>
    <t>Chưa có kế hoạch</t>
  </si>
  <si>
    <t>Chưa bắt đầu Total</t>
  </si>
  <si>
    <t>Chưa đến hạn</t>
  </si>
  <si>
    <t>- Quản lý kê đơn</t>
  </si>
  <si>
    <t>Quản lý nội trú</t>
  </si>
  <si>
    <t>Quá hạn</t>
  </si>
  <si>
    <t>-Quản lý mẫu phiếu in và ký số 
Đơn thuốc/ Vật tư</t>
  </si>
  <si>
    <t>Viện phí</t>
  </si>
  <si>
    <t>Sắp đến hạn</t>
  </si>
  <si>
    <t>Thanh toán: Bảng kê chi phí KCB</t>
  </si>
  <si>
    <t xml:space="preserve">
Quản lý danh mục</t>
  </si>
  <si>
    <t>Giai đoạn 1 Total</t>
  </si>
  <si>
    <t>Tra cứu log người dùng</t>
  </si>
  <si>
    <t>Cận lâm sàng (TDCN, CDHA, SA, NS)</t>
  </si>
  <si>
    <t>THDB</t>
  </si>
  <si>
    <t>Chưa có kế hoạch Total</t>
  </si>
  <si>
    <t>Phẫu thuật thủ thuật</t>
  </si>
  <si>
    <t>Quản lý chỉ dịnh vụ kỹ thuật</t>
  </si>
  <si>
    <t>Chưa đến hạn Total</t>
  </si>
  <si>
    <t>Quản lý điều trị ngoại trú</t>
  </si>
  <si>
    <t>Giai đoạn 2 Total</t>
  </si>
  <si>
    <t>- In phiếu thông tin: Tờ chỉ định, Barcode, vòng tay, phiếu khám bệnh</t>
  </si>
  <si>
    <t>- Quản lý khám bệnh</t>
  </si>
  <si>
    <t>- Quản lý thông tin thực hiện vật lý trị liệu</t>
  </si>
  <si>
    <t>- Quản lý thông tin, khai thác tiếp đón Bệnh nhân</t>
  </si>
  <si>
    <t>Bảng công khai thuốc, dịch vụ</t>
  </si>
  <si>
    <t>Bảng kiểm tiêm chủng TE</t>
  </si>
  <si>
    <t>Bảng kiểm tra an toàn trước mổ</t>
  </si>
  <si>
    <t>Bảng kiểm trước khi người bệnh rời khỏi phòng DSA</t>
  </si>
  <si>
    <t>Bên bản hội chẩn</t>
  </si>
  <si>
    <t>Quản lý phòng bệnh, giường bệnh</t>
  </si>
  <si>
    <t>Biên bản hội chẩn thông qua phẫu thuật</t>
  </si>
  <si>
    <t>Biên bản kiểm điểm tử vong</t>
  </si>
  <si>
    <t>Quản trị hệ thống</t>
  </si>
  <si>
    <t>Bổ sung cách kê thuốc cho nội trú</t>
  </si>
  <si>
    <t>Cập nhật đối tượng/ giá bệnh nhân điều trị ngoại trú</t>
  </si>
  <si>
    <t>Cập nhật đối tượng/ giá bệnh nhân nội trú</t>
  </si>
  <si>
    <t>Cấp phát thuốc ngoại trú</t>
  </si>
  <si>
    <t>Checklist thực hiện chẩn đoán hình ảnh</t>
  </si>
  <si>
    <t>Xét nghiệm</t>
  </si>
  <si>
    <t>Checklist thực hiện thăm dò chức năng</t>
  </si>
  <si>
    <t>Chỉ định dịch vụ Chẩn đoán hình ảnh, thăm dò chức năng</t>
  </si>
  <si>
    <t>Chỉ định dịch vụ công khám</t>
  </si>
  <si>
    <t>Chỉ định dịch vụ ngày giường</t>
  </si>
  <si>
    <t>Chỉ định dịch vụ phẫu thuật thủ thuật</t>
  </si>
  <si>
    <t>Quản lý Danh mục (2)</t>
  </si>
  <si>
    <t>Chỉ định dịch vụ vận chuyển</t>
  </si>
  <si>
    <t>Quản lý trả kết quả xét nghiệm</t>
  </si>
  <si>
    <t>Chỉ định dịch vụ xét nghiệm</t>
  </si>
  <si>
    <t>Quản lý cấu hình tích hợp đồng bộ</t>
  </si>
  <si>
    <t>Chức năng khóa/bỏ khóa</t>
  </si>
  <si>
    <t>Chức năng phân công công việc điều dưỡng</t>
  </si>
  <si>
    <t>Cơ sở khám chữa bệnh</t>
  </si>
  <si>
    <t>Dân tộc ...</t>
  </si>
  <si>
    <t>Đăng ký dịch vụ gói khám</t>
  </si>
  <si>
    <t>Danh mục chỉ số con</t>
  </si>
  <si>
    <t>Danh mục công ty khám sức khỏe</t>
  </si>
  <si>
    <t>Danh mục dịch vụ kỹ thuật</t>
  </si>
  <si>
    <t>Danh mục dùng chung</t>
  </si>
  <si>
    <t xml:space="preserve">Danh mục Dược </t>
  </si>
  <si>
    <t>Danh mục giá dịch vụ</t>
  </si>
  <si>
    <t>Danh mục giường bệnh</t>
  </si>
  <si>
    <t>Danh mục ICD 10, ICD 9, ICD YHCT</t>
  </si>
  <si>
    <t>Danh mục Kho</t>
  </si>
  <si>
    <t>Danh mục Khoa/phòng</t>
  </si>
  <si>
    <t>Danh mục nghiệp vụ</t>
  </si>
  <si>
    <t xml:space="preserve">Danh quản lý thuốc vật tư thầu </t>
  </si>
  <si>
    <t>Danh sách giường</t>
  </si>
  <si>
    <t>Danh sách khách hàng chờ kết luận</t>
  </si>
  <si>
    <t>Danh sách khách hàng chờ khám</t>
  </si>
  <si>
    <t>Danh sách khám tiền mê</t>
  </si>
  <si>
    <t>Danh sách lấy mẫu bệnh phẩm</t>
  </si>
  <si>
    <t>Danh sách Nội soi</t>
  </si>
  <si>
    <t>Danh sách phẫu thuật, thủ thuật</t>
  </si>
  <si>
    <t>Danh sách Siêu âm</t>
  </si>
  <si>
    <t>Danh sách thực hiện chẩn đoán hình ảnh (XQ, CT, MRI)</t>
  </si>
  <si>
    <t>Danh sách thực hiện Thăm dò chức năng</t>
  </si>
  <si>
    <t>Danh sách xét nghiệm</t>
  </si>
  <si>
    <t>Danh sách xét nghiệm giải phẩu bệnh</t>
  </si>
  <si>
    <t>Danh sách xét nghiệm vi sinh</t>
  </si>
  <si>
    <t>Dấu hiệu sinh tồn khám sức khỏe</t>
  </si>
  <si>
    <t>Địa phương</t>
  </si>
  <si>
    <t>Đọc kết quả Chẩn đoán hình ảnh (bác sĩ)</t>
  </si>
  <si>
    <t>Đổi phòng chỉ định/ Đổi bác sỹ chỉ định</t>
  </si>
  <si>
    <t>Đóng dấu đơn vị</t>
  </si>
  <si>
    <t>Dự trù từ kho khác</t>
  </si>
  <si>
    <t>Duyệt dự trù</t>
  </si>
  <si>
    <t xml:space="preserve">Duyệt hoàn trả </t>
  </si>
  <si>
    <t xml:space="preserve">Duyệt phiếu lĩnh, phiếu bù tủ trực </t>
  </si>
  <si>
    <t>Ghi nhận Thuốc, VTYT đi kèm</t>
  </si>
  <si>
    <t>Giấy cam kết chấp nhận phẫu thuật, thủ thuật</t>
  </si>
  <si>
    <t>Giấy chứng nhận phẫu thuật</t>
  </si>
  <si>
    <t>Giấy chứng sinh</t>
  </si>
  <si>
    <t>Giấy chuyển viện</t>
  </si>
  <si>
    <t>Giấy hẹn khám lại</t>
  </si>
  <si>
    <t>Giấy nghỉ ốm theo quy định của BHXH</t>
  </si>
  <si>
    <t>Giấy ra viện</t>
  </si>
  <si>
    <t>Giấy tai nạn thương tích</t>
  </si>
  <si>
    <t>Giấy thử phản ứng thuốc</t>
  </si>
  <si>
    <t xml:space="preserve">Hoàn trả thuốc từ kho </t>
  </si>
  <si>
    <t>Hội chẩn kháng sinh</t>
  </si>
  <si>
    <t>Hội đồng Khám sức khỏe</t>
  </si>
  <si>
    <t>In bảng kê thanh toán ra viện</t>
  </si>
  <si>
    <t>In báo cáo khám sức khỏe</t>
  </si>
  <si>
    <t>Kết quả khám sức khỏe</t>
  </si>
  <si>
    <t>Kết thúc khám chuyên khoa</t>
  </si>
  <si>
    <t>Khai thác thông tin hành chính chung bệnh án ngoại trú</t>
  </si>
  <si>
    <t>Khai thác thông tin phẫu thuật, thủ thuật</t>
  </si>
  <si>
    <t>Khám bệnh Khám sức khỏe</t>
  </si>
  <si>
    <t>Khám chuyên khoa (nội viện)</t>
  </si>
  <si>
    <t>Khám tiền mê</t>
  </si>
  <si>
    <t>Khám tiền mê ngoại trú</t>
  </si>
  <si>
    <t>Khám tiền mê nội trú</t>
  </si>
  <si>
    <t>Lập kế hoạch khám</t>
  </si>
  <si>
    <t>Lấy mẫu bệnh phẩm</t>
  </si>
  <si>
    <t>Màn hình kết quả xét nghiệm giải phẫu bệnh</t>
  </si>
  <si>
    <t>Màn hình kết quả xét nghiệm huyết học, sinh hóa, nước tiểu</t>
  </si>
  <si>
    <t>Màn hình kết quả xét nghiệm vi sinh</t>
  </si>
  <si>
    <t>Màn hình quản lý dịch vụ chuyên khoa</t>
  </si>
  <si>
    <t>Màn hình xóa các dịch vụ cận lâm sàng</t>
  </si>
  <si>
    <t>Nhân viên đăng ký gói khám</t>
  </si>
  <si>
    <t>Nhập thông tin bệnh án ngoại trú</t>
  </si>
  <si>
    <t>Phân quyền CSKCB</t>
  </si>
  <si>
    <t>Phân quyền dịch vụ kỹ thuật</t>
  </si>
  <si>
    <t>Phân quyền đối tượng</t>
  </si>
  <si>
    <t>Phân quyền dữ liệu hệ thống</t>
  </si>
  <si>
    <t>Phân quyền kho</t>
  </si>
  <si>
    <t>Phân quyền khoa</t>
  </si>
  <si>
    <t>Phân quyền user</t>
  </si>
  <si>
    <t>Phát phiếu lĩnh, phiếu bù tủ trực</t>
  </si>
  <si>
    <t>Phiếu bàn giao y dụng cụ</t>
  </si>
  <si>
    <t>Phiếu báo ăn</t>
  </si>
  <si>
    <t>Phiếu chăm sóc cấp 1</t>
  </si>
  <si>
    <t>Phiếu chăm sóc cấp 2 - 3</t>
  </si>
  <si>
    <t>Phiếu chỉ định dịch vụ</t>
  </si>
  <si>
    <t>Phiếu đánh giá dinh dưỡng các loại</t>
  </si>
  <si>
    <t>Phiếu đánh giá người bệnh trước khi ra khỏi phòng hồi tỉnh</t>
  </si>
  <si>
    <t>Phiếu đề nghị tạm ứng</t>
  </si>
  <si>
    <t>Phiếu gây mê hồi sức</t>
  </si>
  <si>
    <t>Phiếu ghi nhận vật tư phẫu thuật</t>
  </si>
  <si>
    <t>Phiếu hội chẩn, tư vấn dinh dưỡng</t>
  </si>
  <si>
    <t>Phiếu khám gây mê trước mổ</t>
  </si>
  <si>
    <t>Phiếu khám và chỉ định phục hồi chức năng</t>
  </si>
  <si>
    <t>Phiếu kiểm đếm y dụng cụ</t>
  </si>
  <si>
    <t>Phiếu phẫu thuật (Protocol)</t>
  </si>
  <si>
    <t>Phiếu phẫu thuật bề mặt nhãn cầu</t>
  </si>
  <si>
    <t>Phiếu phẫu thuật ghép giác mạc</t>
  </si>
  <si>
    <t>Phiếu phẫu thuật Glocom</t>
  </si>
  <si>
    <t>Phiếu phẫu thuật lác</t>
  </si>
  <si>
    <t>Phiếu phẫu thuật sụp mi, mộng, thể thủy tinh, Sapejko</t>
  </si>
  <si>
    <t>Phiếu phẫu thuật túi lệ</t>
  </si>
  <si>
    <t>Phiếu phục hồi chức năng lượng giá hoạt động</t>
  </si>
  <si>
    <t>Phiếu sàng lọc và đánh giá dinh dưỡng</t>
  </si>
  <si>
    <t>Phiếu sơ kết điều trị</t>
  </si>
  <si>
    <t>Phiếu sơ kết trước mổ</t>
  </si>
  <si>
    <t>Phiếu thăm dò chức năng hô hấp (dự kiến/thực tế/% giảm của dung tích sống, dung tích thở ra, tỷ số Tiffeneau, thông khí, khí dự trữ)</t>
  </si>
  <si>
    <t>Phiếu theo dõi tại phòng hồi tỉnh</t>
  </si>
  <si>
    <t>Phiếu thử phản ứng thuốc</t>
  </si>
  <si>
    <t>Phiếu thực hiện kỹ thuật phục hồi chức năng</t>
  </si>
  <si>
    <t>Phiếu tổng kết 15 ngày</t>
  </si>
  <si>
    <t>Phiếu truyền dịch</t>
  </si>
  <si>
    <t>Phiếu truyền máu</t>
  </si>
  <si>
    <t>Quản lý bệnh án theo đợt điều trị</t>
  </si>
  <si>
    <t>Quản lý chỉ định dịch vụ</t>
  </si>
  <si>
    <t>Quản lý chỉ định thuốc</t>
  </si>
  <si>
    <t>Quản lý chỉ định vật tư</t>
  </si>
  <si>
    <t>Quản lý chuyển bệnh nhân vào buồng phòng</t>
  </si>
  <si>
    <t>Quản lý chuyển mổ cấp cứu</t>
  </si>
  <si>
    <t>Quản lý chuyển phòng không chuyển giường</t>
  </si>
  <si>
    <t>Quản lý danh sách người bệnh</t>
  </si>
  <si>
    <t>Quản lý danh sách phiếu thuốc đi kèm</t>
  </si>
  <si>
    <t>Quản lý điều trị kết hợp</t>
  </si>
  <si>
    <t>Quản lý đơn thuốc cũ (sao chép)</t>
  </si>
  <si>
    <t>Quản lý đơn thuốc mẫu</t>
  </si>
  <si>
    <t>Quản lý gửi duyệt mổ phiên</t>
  </si>
  <si>
    <t>Quản lý hiển thị danh sách màn hình LCD</t>
  </si>
  <si>
    <t>Quản lý hợp đồng khám</t>
  </si>
  <si>
    <t>Quản lý hợp đồng thầu</t>
  </si>
  <si>
    <t>Quản lý mẫu phiếu điều trị khám (template)</t>
  </si>
  <si>
    <t>Quản lý mẫu phiếu in cận lâm sàng và ký số</t>
  </si>
  <si>
    <t>Quản lý mẫu phiếu in xét nghiệm và ký số</t>
  </si>
  <si>
    <t>Quản lý nhiều thẻ BHYT trong 01 đợt điều trị của BN</t>
  </si>
  <si>
    <t>Quản lý phác đồ điều trị</t>
  </si>
  <si>
    <t>Quản lý phiếu điều trị</t>
  </si>
  <si>
    <t>Quản lý phiếu lĩnh thuốc, vật tư</t>
  </si>
  <si>
    <t>Quản lý phiếu trả thuốc, vật tư</t>
  </si>
  <si>
    <t>Quản lý sổ thu, hóa đơn</t>
  </si>
  <si>
    <t>Quản lý thuốc còn sử dụng</t>
  </si>
  <si>
    <t>Quản lý trả về khoa điều trị</t>
  </si>
  <si>
    <t>Sổ phát thuốc, nhãn để phát thuốc cho bệnh nhân</t>
  </si>
  <si>
    <t>Tạo Biên bản đồng ý gây mê hồi sức</t>
  </si>
  <si>
    <t>Tạo Giấy báo tử</t>
  </si>
  <si>
    <t>Tạo Khám trước gây mê</t>
  </si>
  <si>
    <t>Tạo Lập phòng, giường cho người bệnh</t>
  </si>
  <si>
    <t>Tạo Phiếu chẩn đoán tử vong</t>
  </si>
  <si>
    <t>Tạo Phiếu chuẩn bị bệnh nhân trước mổ</t>
  </si>
  <si>
    <t>Tạo Phiếu chuẩn bị và bàn giao bệnh nhân</t>
  </si>
  <si>
    <t>Tạo phiếu thuốc, vật tư đi kèm</t>
  </si>
  <si>
    <t>Tạo phiếu thuốc, vật tư đi kèm hao phí</t>
  </si>
  <si>
    <t>Tạo Tiền sử dị ứng</t>
  </si>
  <si>
    <t>Thanh toán viện phí bảo hiểm y tế</t>
  </si>
  <si>
    <t>Thanh toán viện phí ngoại trú</t>
  </si>
  <si>
    <t xml:space="preserve">Thanh toán viện phí nội trú </t>
  </si>
  <si>
    <t>Thực hiện Chẩn đoán hình ảnh (kỹ thuật viên)</t>
  </si>
  <si>
    <t>Thực hiện và đọc kết quả Nội soi</t>
  </si>
  <si>
    <t>Thực hiện và đọc kết quả Nội soi hoạt nghiệm thanh quản</t>
  </si>
  <si>
    <t>Thực hiện và Đọc kết quả Thăm dò chức năng</t>
  </si>
  <si>
    <t>Thực hiện và Đọc KQ Siêu âm</t>
  </si>
  <si>
    <t>Thực hiện và Đọc KQ Siêu âm tim</t>
  </si>
  <si>
    <t>Thực hiện và Đọc KQ Siêu âm tim gắng sức</t>
  </si>
  <si>
    <t>Tích hợp kết nối tra cứu thông tin thẻ BHYT với cổng giám định</t>
  </si>
  <si>
    <t>Tiếp nhận bệnh nhân nhập viện</t>
  </si>
  <si>
    <t>Tiếp nhận xác nhận đến khám sức khỏe</t>
  </si>
  <si>
    <t>Tờ điều trị</t>
  </si>
  <si>
    <t>Tóm tắt bệnh án</t>
  </si>
  <si>
    <t>Tổng hợp phiếu lĩnh thuốc lẻ cho bệnh nhân</t>
  </si>
  <si>
    <t>Tra cứu bệnh nhân</t>
  </si>
  <si>
    <t>Tra cứu khám chuyên khoa nội viện</t>
  </si>
  <si>
    <t>Tra cứu thẻ kho, tra cứu NXT</t>
  </si>
  <si>
    <t>Xây dựng hàm core tính tiền</t>
  </si>
  <si>
    <t>Xem lịch sử bệnh án</t>
  </si>
  <si>
    <t>Xem lịch sử điều trị</t>
  </si>
  <si>
    <t>Xem sơ đồ phòng, giường</t>
  </si>
  <si>
    <t>Quá hạn Total</t>
  </si>
  <si>
    <t>- Dựng môi trường Dev, Test, POC</t>
  </si>
  <si>
    <t>Danh sách ghi nhận VTYT</t>
  </si>
  <si>
    <t>Ghi nhận VTYT</t>
  </si>
  <si>
    <t>Mẫu biểu, phiếu in, báo cáo dược (40 mẫu)</t>
  </si>
  <si>
    <t>Sắp đến hạn Total</t>
  </si>
  <si>
    <t>Danh mục Chỉ Số Chung</t>
  </si>
  <si>
    <t>Danh mục Chỉ Số thực hiện Xét Nghiệm</t>
  </si>
  <si>
    <t>Danh mục Cơ sở y tế - Dịch vụ kỹ thuật</t>
  </si>
  <si>
    <t>Danh mục Cơ sở y tế - Thiết bị</t>
  </si>
  <si>
    <t>Danh mục loại Thiết Bị – Chỉ Số</t>
  </si>
  <si>
    <t>Danh mục Phòng Ban</t>
  </si>
  <si>
    <t>Danh mục user login</t>
  </si>
  <si>
    <t>Quản lý mẫu bệnh phẩm</t>
  </si>
  <si>
    <t>Thông tin đơn vị - thông tin kết nối</t>
  </si>
  <si>
    <t>Trả kết quả xét nghiệm - Huyết Học</t>
  </si>
  <si>
    <t>Trả kết quả xét nghiệm - Nước tiểu</t>
  </si>
  <si>
    <t>Trả kết quả xét nghiệm - Sinh Hóa</t>
  </si>
  <si>
    <t>API thiết lập tích hợp</t>
  </si>
  <si>
    <t>Cấu hình tài khoản tích hơp</t>
  </si>
  <si>
    <t>Kết nối với Data - dioe</t>
  </si>
  <si>
    <t>Quản lý thông tin lên S3</t>
  </si>
  <si>
    <t>Quản trị hệ thống tích hợp đồng bộ</t>
  </si>
  <si>
    <t>Tạo bảng danh mục trên hệ thống</t>
  </si>
  <si>
    <t>Trường Nguyễn Viết</t>
  </si>
  <si>
    <t>Product</t>
  </si>
  <si>
    <t>Customer</t>
  </si>
  <si>
    <t>Country</t>
  </si>
  <si>
    <t>Sales in charge</t>
  </si>
  <si>
    <t>Reseller</t>
  </si>
  <si>
    <t>Reseller %</t>
  </si>
  <si>
    <t>Rating</t>
  </si>
  <si>
    <t>Contract value</t>
  </si>
  <si>
    <t>Start month</t>
  </si>
  <si>
    <t>Delivery time (months)</t>
  </si>
  <si>
    <t>Phí triển khai</t>
  </si>
  <si>
    <t>License</t>
  </si>
  <si>
    <t>Billable in 2025 - N</t>
  </si>
  <si>
    <t>Billable in 2025 - B</t>
  </si>
  <si>
    <t>Billable in 2025 - W</t>
  </si>
  <si>
    <t>Status</t>
  </si>
  <si>
    <t>Notes</t>
  </si>
  <si>
    <t>Selling Method</t>
  </si>
  <si>
    <t>Sector</t>
  </si>
  <si>
    <t>B</t>
  </si>
  <si>
    <t>Thi Trang Do</t>
  </si>
  <si>
    <t>Anh Nguyễn Hoàng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</si>
</sst>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M/d/yyyy"/>
    <numFmt numFmtId="167" formatCode="#,##0;(#,##0)"/>
  </numFmts>
  <fonts count="28">
    <font>
      <sz val="12.0"/>
      <color theme="1"/>
      <name val="Calibri"/>
      <scheme val="minor"/>
    </font>
    <font>
      <b/>
      <sz val="12.0"/>
      <color rgb="FFFFFFFF"/>
      <name val="Arial"/>
    </font>
    <font>
      <sz val="12.0"/>
      <color theme="1"/>
      <name val="Arial"/>
    </font>
    <font>
      <sz val="12.0"/>
      <color theme="1"/>
      <name val="Familjen Grotesk"/>
    </font>
    <font>
      <sz val="12.0"/>
      <color rgb="FFB10202"/>
      <name val="Arial"/>
    </font>
    <font>
      <sz val="12.0"/>
      <color rgb="FF434343"/>
      <name val="Arial"/>
    </font>
    <font>
      <sz val="12.0"/>
      <color rgb="FFC6DBE1"/>
      <name val="Arial"/>
    </font>
    <font>
      <b/>
      <sz val="12.0"/>
      <color theme="1"/>
      <name val="Arial"/>
    </font>
    <font>
      <sz val="12.0"/>
      <color theme="1"/>
      <name val="Calibri"/>
    </font>
    <font>
      <b/>
      <sz val="12.0"/>
      <color rgb="FFE7E6E6"/>
      <name val="Arial"/>
    </font>
    <font>
      <sz val="12.0"/>
      <color rgb="FF1155CC"/>
      <name val="Arial"/>
    </font>
    <font>
      <color theme="1"/>
      <name val="Arial"/>
    </font>
    <font>
      <u/>
      <sz val="12.0"/>
      <color rgb="FF0000FF"/>
      <name val="Familjen Grotesk"/>
    </font>
    <font>
      <color theme="1"/>
      <name val="Calibri"/>
    </font>
    <font>
      <b/>
      <sz val="12.0"/>
      <color theme="1"/>
      <name val="Familjen Grotesk"/>
    </font>
    <font>
      <sz val="12.0"/>
      <color rgb="FFFF0000"/>
      <name val="Familjen Grotesk"/>
    </font>
    <font>
      <b/>
      <sz val="16.0"/>
      <color rgb="FFFFFFFF"/>
      <name val="Arial"/>
    </font>
    <font/>
    <font>
      <b/>
      <u/>
      <sz val="12.0"/>
      <color theme="1"/>
      <name val="Arial"/>
    </font>
    <font>
      <b/>
      <u/>
      <sz val="12.0"/>
      <color theme="1"/>
      <name val="Arial"/>
    </font>
    <font>
      <u/>
      <sz val="12.0"/>
      <color theme="1"/>
      <name val="Arial"/>
    </font>
    <font>
      <u/>
      <sz val="12.0"/>
      <color theme="1"/>
      <name val="Arial"/>
    </font>
    <font>
      <u/>
      <sz val="12.0"/>
      <color theme="1"/>
      <name val="Arial"/>
    </font>
    <font>
      <u/>
      <sz val="12.0"/>
      <color theme="1"/>
      <name val="Arial"/>
    </font>
    <font>
      <color theme="1"/>
      <name val="Calibri"/>
      <scheme val="minor"/>
    </font>
    <font>
      <b/>
      <color rgb="FFFFFFFF"/>
      <name val="Roboto"/>
    </font>
    <font>
      <b/>
      <u/>
      <color theme="1"/>
      <name val="Roboto"/>
    </font>
    <font>
      <b/>
      <sz val="10.0"/>
      <color theme="1"/>
      <name val="Roboto"/>
    </font>
  </fonts>
  <fills count="13">
    <fill>
      <patternFill patternType="none"/>
    </fill>
    <fill>
      <patternFill patternType="lightGray"/>
    </fill>
    <fill>
      <patternFill patternType="solid">
        <fgColor rgb="FF2E75B5"/>
        <bgColor rgb="FF2E75B5"/>
      </patternFill>
    </fill>
    <fill>
      <patternFill patternType="solid">
        <fgColor rgb="FFF6F8F9"/>
        <bgColor rgb="FFF6F8F9"/>
      </patternFill>
    </fill>
    <fill>
      <patternFill patternType="solid">
        <fgColor rgb="FFFFFFFF"/>
        <bgColor rgb="FFFFFFFF"/>
      </patternFill>
    </fill>
    <fill>
      <patternFill patternType="solid">
        <fgColor rgb="FFF2F4F7"/>
        <bgColor rgb="FFF2F4F7"/>
      </patternFill>
    </fill>
    <fill>
      <patternFill patternType="solid">
        <fgColor rgb="FF00FFFF"/>
        <bgColor rgb="FF00FFFF"/>
      </patternFill>
    </fill>
    <fill>
      <patternFill patternType="solid">
        <fgColor rgb="FF4472C4"/>
        <bgColor rgb="FF4472C4"/>
      </patternFill>
    </fill>
    <fill>
      <patternFill patternType="solid">
        <fgColor theme="0"/>
        <bgColor theme="0"/>
      </patternFill>
    </fill>
    <fill>
      <patternFill patternType="solid">
        <fgColor rgb="FFFFFF00"/>
        <bgColor rgb="FFFFFF00"/>
      </patternFill>
    </fill>
    <fill>
      <patternFill patternType="solid">
        <fgColor rgb="FF0070C0"/>
        <bgColor rgb="FF0070C0"/>
      </patternFill>
    </fill>
    <fill>
      <patternFill patternType="solid">
        <fgColor rgb="FFFF0000"/>
        <bgColor rgb="FFFF0000"/>
      </patternFill>
    </fill>
    <fill>
      <patternFill patternType="solid">
        <fgColor rgb="FF999999"/>
        <bgColor rgb="FF999999"/>
      </patternFill>
    </fill>
  </fills>
  <borders count="9">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1" fillId="0" fontId="2" numFmtId="0" xfId="0" applyAlignment="1" applyBorder="1" applyFont="1">
      <alignment horizontal="center" shrinkToFit="0" vertical="center" wrapText="0"/>
    </xf>
    <xf borderId="1" fillId="0" fontId="2" numFmtId="49" xfId="0" applyAlignment="1" applyBorder="1" applyFont="1" applyNumberFormat="1">
      <alignment shrinkToFit="0" vertical="center" wrapText="1"/>
    </xf>
    <xf borderId="1" fillId="0" fontId="2" numFmtId="0" xfId="0" applyAlignment="1" applyBorder="1" applyFont="1">
      <alignment shrinkToFit="0" vertical="center" wrapText="0"/>
    </xf>
    <xf borderId="1" fillId="0" fontId="3" numFmtId="49" xfId="0" applyAlignment="1" applyBorder="1" applyFont="1" applyNumberFormat="1">
      <alignment shrinkToFit="0" vertical="center" wrapText="1"/>
    </xf>
    <xf borderId="1" fillId="0" fontId="2" numFmtId="49" xfId="0" applyAlignment="1" applyBorder="1" applyFont="1" applyNumberFormat="1">
      <alignment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0" fontId="2" numFmtId="49" xfId="0" applyAlignment="1" applyFont="1" applyNumberFormat="1">
      <alignment shrinkToFit="0" vertical="center" wrapText="1"/>
    </xf>
    <xf borderId="0" fillId="0" fontId="2" numFmtId="0" xfId="0" applyAlignment="1" applyFont="1">
      <alignment shrinkToFit="0" vertical="center" wrapText="1"/>
    </xf>
    <xf borderId="0" fillId="3" fontId="4" numFmtId="0" xfId="0" applyAlignment="1" applyFill="1" applyFont="1">
      <alignment shrinkToFit="0" vertical="center" wrapText="1"/>
    </xf>
    <xf borderId="2" fillId="3" fontId="5" numFmtId="49" xfId="0" applyAlignment="1" applyBorder="1" applyFont="1" applyNumberFormat="1">
      <alignment shrinkToFit="0" vertical="center" wrapText="1"/>
    </xf>
    <xf borderId="0" fillId="3" fontId="5" numFmtId="49" xfId="0" applyAlignment="1" applyFont="1" applyNumberFormat="1">
      <alignment shrinkToFit="0" vertical="center" wrapText="1"/>
    </xf>
    <xf borderId="0" fillId="3" fontId="5" numFmtId="0" xfId="0" applyAlignment="1" applyFont="1">
      <alignment shrinkToFit="0" vertical="center" wrapText="0"/>
    </xf>
    <xf borderId="0" fillId="4" fontId="4" numFmtId="0" xfId="0" applyAlignment="1" applyFill="1" applyFont="1">
      <alignment shrinkToFit="0" vertical="center" wrapText="1"/>
    </xf>
    <xf borderId="2" fillId="4" fontId="5" numFmtId="49" xfId="0" applyAlignment="1" applyBorder="1" applyFont="1" applyNumberFormat="1">
      <alignment shrinkToFit="0" vertical="center" wrapText="1"/>
    </xf>
    <xf borderId="0" fillId="4" fontId="5" numFmtId="49" xfId="0" applyAlignment="1" applyFont="1" applyNumberFormat="1">
      <alignment shrinkToFit="0" vertical="center" wrapText="1"/>
    </xf>
    <xf borderId="0" fillId="4" fontId="5" numFmtId="0" xfId="0" applyAlignment="1" applyFont="1">
      <alignment shrinkToFit="0" vertical="center" wrapText="0"/>
    </xf>
    <xf borderId="0" fillId="3" fontId="6" numFmtId="0" xfId="0" applyAlignment="1" applyFont="1">
      <alignment shrinkToFit="0" vertical="center" wrapText="0"/>
    </xf>
    <xf borderId="0" fillId="0" fontId="2" numFmtId="49" xfId="0" applyAlignment="1" applyFont="1" applyNumberFormat="1">
      <alignment shrinkToFit="0" vertical="center" wrapText="1"/>
    </xf>
    <xf borderId="1" fillId="0" fontId="3" numFmtId="49" xfId="0" applyAlignment="1" applyBorder="1" applyFont="1" applyNumberFormat="1">
      <alignment shrinkToFit="0" vertical="center" wrapText="1"/>
    </xf>
    <xf borderId="1" fillId="0" fontId="2" numFmtId="49" xfId="0" applyAlignment="1" applyBorder="1" applyFont="1" applyNumberFormat="1">
      <alignment shrinkToFit="0" vertical="center" wrapText="1"/>
    </xf>
    <xf borderId="1" fillId="0" fontId="3" numFmtId="49" xfId="0" applyAlignment="1" applyBorder="1" applyFont="1" applyNumberFormat="1">
      <alignment readingOrder="0" shrinkToFit="0" vertical="center" wrapText="1"/>
    </xf>
    <xf borderId="1" fillId="4" fontId="2" numFmtId="49" xfId="0" applyAlignment="1" applyBorder="1" applyFont="1" applyNumberFormat="1">
      <alignment shrinkToFit="0" vertical="center" wrapText="1"/>
    </xf>
    <xf borderId="1" fillId="0" fontId="2" numFmtId="164" xfId="0" applyAlignment="1" applyBorder="1" applyFont="1" applyNumberFormat="1">
      <alignment readingOrder="0" shrinkToFit="0" vertical="center" wrapText="1"/>
    </xf>
    <xf borderId="1" fillId="0" fontId="2" numFmtId="165" xfId="0" applyAlignment="1" applyBorder="1" applyFont="1" applyNumberFormat="1">
      <alignment readingOrder="0" shrinkToFit="0" vertical="center" wrapText="1"/>
    </xf>
    <xf borderId="1" fillId="0" fontId="2" numFmtId="49" xfId="0" applyAlignment="1" applyBorder="1" applyFont="1" applyNumberFormat="1">
      <alignment readingOrder="0" shrinkToFit="0" vertical="center" wrapText="1"/>
    </xf>
    <xf borderId="1" fillId="4" fontId="2" numFmtId="3" xfId="0" applyAlignment="1" applyBorder="1" applyFont="1" applyNumberFormat="1">
      <alignment shrinkToFit="0" vertical="center" wrapText="1"/>
    </xf>
    <xf borderId="1" fillId="0" fontId="2" numFmtId="14" xfId="0" applyAlignment="1" applyBorder="1" applyFont="1" applyNumberFormat="1">
      <alignment shrinkToFit="0" vertical="center" wrapText="1"/>
    </xf>
    <xf borderId="1" fillId="5" fontId="2" numFmtId="49" xfId="0" applyAlignment="1" applyBorder="1" applyFill="1" applyFont="1" applyNumberFormat="1">
      <alignment shrinkToFit="0" vertical="center" wrapText="1"/>
    </xf>
    <xf borderId="0" fillId="0" fontId="2" numFmtId="0" xfId="0" applyAlignment="1" applyFont="1">
      <alignment shrinkToFit="0" vertical="center" wrapText="1"/>
    </xf>
    <xf borderId="1" fillId="6" fontId="7" numFmtId="49" xfId="0" applyAlignment="1" applyBorder="1" applyFill="1" applyFont="1" applyNumberFormat="1">
      <alignment horizontal="center"/>
    </xf>
    <xf borderId="1" fillId="6" fontId="8" numFmtId="49" xfId="0" applyBorder="1" applyFont="1" applyNumberFormat="1"/>
    <xf borderId="0" fillId="0" fontId="8" numFmtId="49" xfId="0" applyFont="1" applyNumberFormat="1"/>
    <xf borderId="1" fillId="0" fontId="2" numFmtId="49" xfId="0" applyBorder="1" applyFont="1" applyNumberFormat="1"/>
    <xf borderId="1" fillId="4" fontId="8" numFmtId="49" xfId="0" applyBorder="1" applyFont="1" applyNumberFormat="1"/>
    <xf borderId="1" fillId="0" fontId="8" numFmtId="49" xfId="0" applyBorder="1" applyFont="1" applyNumberFormat="1"/>
    <xf borderId="1" fillId="4" fontId="2" numFmtId="3" xfId="0" applyBorder="1" applyFont="1" applyNumberFormat="1"/>
    <xf borderId="1" fillId="4" fontId="2" numFmtId="49" xfId="0" applyAlignment="1" applyBorder="1" applyFont="1" applyNumberFormat="1">
      <alignment shrinkToFit="0" wrapText="1"/>
    </xf>
    <xf borderId="1" fillId="5" fontId="8" numFmtId="49" xfId="0" applyBorder="1" applyFont="1" applyNumberFormat="1"/>
    <xf borderId="1" fillId="5" fontId="2" numFmtId="49" xfId="0" applyAlignment="1" applyBorder="1" applyFont="1" applyNumberFormat="1">
      <alignment shrinkToFit="0" wrapText="1"/>
    </xf>
    <xf borderId="0" fillId="0" fontId="8" numFmtId="0" xfId="0" applyFont="1"/>
    <xf borderId="1" fillId="7" fontId="9" numFmtId="0" xfId="0" applyAlignment="1" applyBorder="1" applyFill="1" applyFont="1">
      <alignment horizontal="center" vertical="center"/>
    </xf>
    <xf borderId="1" fillId="2" fontId="1"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shrinkToFit="0" vertical="center" wrapText="1"/>
    </xf>
    <xf borderId="1" fillId="4" fontId="2" numFmtId="0" xfId="0" applyAlignment="1" applyBorder="1" applyFont="1">
      <alignment readingOrder="0" vertical="center"/>
    </xf>
    <xf borderId="1" fillId="3" fontId="2" numFmtId="0" xfId="0" applyAlignment="1" applyBorder="1" applyFont="1">
      <alignment vertical="center"/>
    </xf>
    <xf borderId="1" fillId="4" fontId="2" numFmtId="0" xfId="0" applyAlignment="1" applyBorder="1" applyFont="1">
      <alignment vertical="center"/>
    </xf>
    <xf borderId="1" fillId="0" fontId="10" numFmtId="0" xfId="0" applyAlignment="1" applyBorder="1" applyFont="1">
      <alignment vertical="center"/>
    </xf>
    <xf borderId="1" fillId="8" fontId="2" numFmtId="0" xfId="0" applyAlignment="1" applyBorder="1" applyFill="1" applyFont="1">
      <alignment vertical="center"/>
    </xf>
    <xf borderId="1" fillId="8" fontId="2" numFmtId="0" xfId="0" applyAlignment="1" applyBorder="1" applyFont="1">
      <alignment shrinkToFit="0" vertical="center" wrapText="1"/>
    </xf>
    <xf borderId="0" fillId="8" fontId="2" numFmtId="0" xfId="0" applyAlignment="1" applyFont="1">
      <alignment vertical="center"/>
    </xf>
    <xf borderId="1" fillId="0" fontId="10" numFmtId="0" xfId="0" applyAlignment="1" applyBorder="1" applyFont="1">
      <alignment shrinkToFit="0" vertical="center" wrapText="1"/>
    </xf>
    <xf borderId="1" fillId="4" fontId="2" numFmtId="0" xfId="0" applyAlignment="1" applyBorder="1" applyFont="1">
      <alignment shrinkToFit="0" vertical="center" wrapText="1"/>
    </xf>
    <xf borderId="1" fillId="3" fontId="2" numFmtId="0" xfId="0" applyAlignment="1" applyBorder="1" applyFont="1">
      <alignment shrinkToFit="0" vertical="center" wrapText="1"/>
    </xf>
    <xf borderId="0" fillId="0" fontId="2" numFmtId="0" xfId="0" applyFont="1"/>
    <xf borderId="1" fillId="0" fontId="3" numFmtId="0" xfId="0" applyAlignment="1" applyBorder="1" applyFont="1">
      <alignment vertical="center"/>
    </xf>
    <xf borderId="1" fillId="0" fontId="11" numFmtId="0" xfId="0" applyAlignment="1" applyBorder="1" applyFont="1">
      <alignment vertical="center"/>
    </xf>
    <xf borderId="1" fillId="0" fontId="12" numFmtId="0" xfId="0" applyAlignment="1" applyBorder="1" applyFont="1">
      <alignment vertical="center"/>
    </xf>
    <xf borderId="0" fillId="0" fontId="3" numFmtId="0" xfId="0" applyAlignment="1" applyFont="1">
      <alignment vertical="center"/>
    </xf>
    <xf borderId="0" fillId="0" fontId="1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1" fillId="0" fontId="2" numFmtId="0" xfId="0" applyAlignment="1" applyBorder="1" applyFont="1">
      <alignment readingOrder="0" vertical="center"/>
    </xf>
    <xf borderId="1" fillId="0" fontId="2" numFmtId="14" xfId="0" applyAlignment="1" applyBorder="1" applyFont="1" applyNumberFormat="1">
      <alignment horizontal="right" vertical="center"/>
    </xf>
    <xf borderId="1" fillId="0" fontId="2" numFmtId="9" xfId="0" applyAlignment="1" applyBorder="1" applyFont="1" applyNumberFormat="1">
      <alignment horizontal="right" readingOrder="0" vertical="center"/>
    </xf>
    <xf borderId="1" fillId="0" fontId="2" numFmtId="9" xfId="0" applyAlignment="1" applyBorder="1" applyFont="1" applyNumberFormat="1">
      <alignment horizontal="right" vertical="center"/>
    </xf>
    <xf borderId="0" fillId="0" fontId="3" numFmtId="10" xfId="0" applyAlignment="1" applyFont="1" applyNumberFormat="1">
      <alignment horizontal="center" shrinkToFit="0" vertical="center" wrapText="1"/>
    </xf>
    <xf borderId="1" fillId="0" fontId="2" numFmtId="0" xfId="0" applyAlignment="1" applyBorder="1" applyFont="1">
      <alignment readingOrder="0" shrinkToFit="0" vertical="center" wrapText="1"/>
    </xf>
    <xf borderId="0" fillId="0" fontId="3" numFmtId="10" xfId="0" applyAlignment="1" applyFont="1" applyNumberFormat="1">
      <alignment horizontal="center" vertical="center"/>
    </xf>
    <xf borderId="0" fillId="0" fontId="3" numFmtId="0" xfId="0" applyAlignment="1" applyFont="1">
      <alignment horizontal="center" vertical="center"/>
    </xf>
    <xf borderId="0" fillId="0" fontId="13" numFmtId="0" xfId="0" applyAlignment="1" applyFont="1">
      <alignment shrinkToFit="0" wrapText="1"/>
    </xf>
    <xf borderId="0" fillId="0" fontId="3" numFmtId="0" xfId="0" applyAlignment="1" applyFont="1">
      <alignment horizontal="left" vertical="center"/>
    </xf>
    <xf borderId="0" fillId="0" fontId="3" numFmtId="4" xfId="0" applyAlignment="1" applyFont="1" applyNumberFormat="1">
      <alignment horizontal="left" vertical="center"/>
    </xf>
    <xf borderId="0" fillId="0" fontId="3" numFmtId="10" xfId="0" applyAlignment="1" applyFont="1" applyNumberFormat="1">
      <alignment horizontal="left" shrinkToFit="0" vertical="center" wrapText="1"/>
    </xf>
    <xf borderId="0" fillId="0" fontId="13" numFmtId="0" xfId="0" applyAlignment="1" applyFont="1">
      <alignment horizontal="center" shrinkToFit="0" wrapText="1"/>
    </xf>
    <xf borderId="1" fillId="0" fontId="3" numFmtId="0" xfId="0" applyAlignment="1" applyBorder="1" applyFont="1">
      <alignment shrinkToFit="0" vertical="center" wrapText="1"/>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14" xfId="0" applyAlignment="1" applyBorder="1" applyFont="1" applyNumberFormat="1">
      <alignment horizontal="right" vertical="center"/>
    </xf>
    <xf borderId="1" fillId="0" fontId="3" numFmtId="9" xfId="0" applyAlignment="1" applyBorder="1" applyFont="1" applyNumberFormat="1">
      <alignment horizontal="right" readingOrder="0" vertical="center"/>
    </xf>
    <xf borderId="1" fillId="0" fontId="3" numFmtId="9" xfId="0" applyAlignment="1" applyBorder="1" applyFont="1" applyNumberFormat="1">
      <alignment horizontal="right" vertical="center"/>
    </xf>
    <xf borderId="0" fillId="0" fontId="3" numFmtId="0" xfId="0" applyAlignment="1" applyFont="1">
      <alignment horizontal="left" shrinkToFit="0" vertical="center" wrapText="1"/>
    </xf>
    <xf borderId="0" fillId="0" fontId="3" numFmtId="4" xfId="0" applyAlignment="1" applyFont="1" applyNumberFormat="1">
      <alignment horizontal="left" shrinkToFit="0" vertical="center" wrapText="1"/>
    </xf>
    <xf borderId="0" fillId="0" fontId="13" numFmtId="0" xfId="0" applyAlignment="1" applyFont="1">
      <alignment horizontal="left" vertical="center"/>
    </xf>
    <xf borderId="0" fillId="0" fontId="13" numFmtId="0" xfId="0" applyAlignment="1" applyFont="1">
      <alignment horizontal="center" vertical="center"/>
    </xf>
    <xf borderId="0" fillId="0" fontId="13" numFmtId="10" xfId="0" applyAlignment="1" applyFont="1" applyNumberFormat="1">
      <alignment horizontal="center" vertical="center"/>
    </xf>
    <xf borderId="0" fillId="9" fontId="14" numFmtId="49" xfId="0" applyAlignment="1" applyFill="1" applyFont="1" applyNumberFormat="1">
      <alignment horizontal="center" shrinkToFit="0" vertical="center" wrapText="1"/>
    </xf>
    <xf borderId="0" fillId="0" fontId="3" numFmtId="49" xfId="0" applyAlignment="1" applyFont="1" applyNumberFormat="1">
      <alignment shrinkToFit="0" vertical="center" wrapText="1"/>
    </xf>
    <xf borderId="1" fillId="9" fontId="14" numFmtId="49" xfId="0" applyAlignment="1" applyBorder="1" applyFont="1" applyNumberFormat="1">
      <alignment horizontal="center" shrinkToFit="0" vertical="center" wrapText="1"/>
    </xf>
    <xf borderId="1" fillId="4" fontId="14" numFmtId="3" xfId="0" applyAlignment="1" applyBorder="1" applyFont="1" applyNumberFormat="1">
      <alignment shrinkToFit="0" vertical="center" wrapText="1"/>
    </xf>
    <xf borderId="1" fillId="4" fontId="3" numFmtId="49" xfId="0" applyAlignment="1" applyBorder="1" applyFont="1" applyNumberFormat="1">
      <alignment shrinkToFit="0" vertical="center" wrapText="1"/>
    </xf>
    <xf borderId="1" fillId="4" fontId="3" numFmtId="3" xfId="0" applyAlignment="1" applyBorder="1" applyFont="1" applyNumberFormat="1">
      <alignment shrinkToFit="0" vertical="center" wrapText="1"/>
    </xf>
    <xf borderId="1" fillId="4" fontId="3" numFmtId="3" xfId="0" applyAlignment="1" applyBorder="1" applyFont="1" applyNumberFormat="1">
      <alignment horizontal="center" shrinkToFit="0" vertical="center" wrapText="1"/>
    </xf>
    <xf borderId="1" fillId="0" fontId="3" numFmtId="14" xfId="0" applyAlignment="1" applyBorder="1" applyFont="1" applyNumberFormat="1">
      <alignment shrinkToFit="0" vertical="center" wrapText="1"/>
    </xf>
    <xf borderId="1" fillId="0" fontId="3" numFmtId="49" xfId="0" applyAlignment="1" applyBorder="1" applyFont="1" applyNumberFormat="1">
      <alignment horizontal="center" shrinkToFit="0" vertical="center" wrapText="1"/>
    </xf>
    <xf borderId="1" fillId="4" fontId="3" numFmtId="0" xfId="0" applyAlignment="1" applyBorder="1" applyFont="1">
      <alignment shrinkToFit="0" vertical="center" wrapText="1"/>
    </xf>
    <xf borderId="1" fillId="0" fontId="3" numFmtId="0" xfId="0" applyAlignment="1" applyBorder="1" applyFont="1">
      <alignment shrinkToFit="0" wrapText="1"/>
    </xf>
    <xf borderId="1" fillId="0" fontId="3" numFmtId="0" xfId="0" applyAlignment="1" applyBorder="1" applyFont="1">
      <alignment horizontal="right" shrinkToFit="0" wrapText="1"/>
    </xf>
    <xf borderId="1" fillId="0" fontId="3" numFmtId="49" xfId="0" applyAlignment="1" applyBorder="1" applyFont="1" applyNumberFormat="1">
      <alignment shrinkToFit="0" wrapText="1"/>
    </xf>
    <xf borderId="1" fillId="5" fontId="3" numFmtId="49" xfId="0" applyAlignment="1" applyBorder="1" applyFont="1" applyNumberFormat="1">
      <alignment shrinkToFit="0" vertical="center" wrapText="1"/>
    </xf>
    <xf borderId="1" fillId="4" fontId="14" numFmtId="0" xfId="0" applyAlignment="1" applyBorder="1" applyFont="1">
      <alignment shrinkToFit="0" vertical="center" wrapText="1"/>
    </xf>
    <xf borderId="1" fillId="8" fontId="3" numFmtId="0" xfId="0" applyAlignment="1" applyBorder="1" applyFont="1">
      <alignment shrinkToFit="0" vertical="center" wrapText="1"/>
    </xf>
    <xf borderId="1" fillId="0" fontId="15" numFmtId="0" xfId="0" applyAlignment="1" applyBorder="1" applyFont="1">
      <alignment shrinkToFit="0" vertical="center" wrapText="1"/>
    </xf>
    <xf borderId="1" fillId="0" fontId="15" numFmtId="49" xfId="0" applyAlignment="1" applyBorder="1" applyFont="1" applyNumberFormat="1">
      <alignment shrinkToFit="0" vertical="center" wrapText="1"/>
    </xf>
    <xf borderId="1" fillId="0" fontId="15" numFmtId="49" xfId="0" applyAlignment="1" applyBorder="1" applyFont="1" applyNumberFormat="1">
      <alignment horizontal="center" shrinkToFit="0" vertical="center" wrapText="1"/>
    </xf>
    <xf borderId="1" fillId="0" fontId="3" numFmtId="165" xfId="0" applyAlignment="1" applyBorder="1" applyFont="1" applyNumberFormat="1">
      <alignment shrinkToFit="0" vertical="center" wrapText="1"/>
    </xf>
    <xf borderId="1" fillId="0" fontId="3" numFmtId="164" xfId="0" applyAlignment="1" applyBorder="1" applyFont="1" applyNumberFormat="1">
      <alignment horizontal="right" readingOrder="0" vertical="center"/>
    </xf>
    <xf borderId="1" fillId="0" fontId="3" numFmtId="165" xfId="0" applyAlignment="1" applyBorder="1" applyFont="1" applyNumberFormat="1">
      <alignment horizontal="right" readingOrder="0" vertical="center"/>
    </xf>
    <xf borderId="1" fillId="0" fontId="3" numFmtId="166" xfId="0" applyAlignment="1" applyBorder="1" applyFont="1" applyNumberFormat="1">
      <alignment horizontal="right" vertical="center"/>
    </xf>
    <xf borderId="1" fillId="4" fontId="3" numFmtId="166" xfId="0" applyAlignment="1" applyBorder="1" applyFont="1" applyNumberFormat="1">
      <alignment horizontal="right" vertical="center"/>
    </xf>
    <xf borderId="1" fillId="0" fontId="3" numFmtId="166" xfId="0" applyAlignment="1" applyBorder="1" applyFont="1" applyNumberFormat="1">
      <alignment vertical="center"/>
    </xf>
    <xf borderId="1" fillId="10" fontId="1" numFmtId="0" xfId="0" applyBorder="1" applyFill="1" applyFont="1"/>
    <xf borderId="3" fillId="10" fontId="16" numFmtId="0" xfId="0" applyAlignment="1" applyBorder="1" applyFont="1">
      <alignment shrinkToFit="0" wrapText="1"/>
    </xf>
    <xf borderId="4" fillId="0" fontId="17" numFmtId="0" xfId="0" applyBorder="1" applyFont="1"/>
    <xf borderId="1" fillId="10" fontId="1" numFmtId="0" xfId="0" applyAlignment="1" applyBorder="1" applyFont="1">
      <alignment shrinkToFit="0" vertical="bottom" wrapText="1"/>
    </xf>
    <xf borderId="1" fillId="10" fontId="2" numFmtId="0" xfId="0" applyBorder="1" applyFont="1"/>
    <xf borderId="1" fillId="4" fontId="18" numFmtId="0" xfId="0" applyAlignment="1" applyBorder="1" applyFont="1">
      <alignment horizontal="center" shrinkToFit="0" wrapText="1"/>
    </xf>
    <xf borderId="1" fillId="4" fontId="19" numFmtId="0" xfId="0" applyAlignment="1" applyBorder="1" applyFont="1">
      <alignment horizontal="center" readingOrder="0" shrinkToFit="0" wrapText="1"/>
    </xf>
    <xf borderId="3" fillId="4" fontId="7" numFmtId="0" xfId="0" applyBorder="1" applyFont="1"/>
    <xf borderId="5" fillId="4" fontId="7" numFmtId="0" xfId="0" applyBorder="1" applyFont="1"/>
    <xf borderId="4" fillId="4" fontId="7" numFmtId="0" xfId="0" applyBorder="1" applyFont="1"/>
    <xf borderId="1" fillId="4" fontId="2" numFmtId="0" xfId="0" applyAlignment="1" applyBorder="1" applyFont="1">
      <alignment vertical="bottom"/>
    </xf>
    <xf borderId="1" fillId="4" fontId="2" numFmtId="0" xfId="0" applyBorder="1" applyFont="1"/>
    <xf borderId="3" fillId="4" fontId="2" numFmtId="0" xfId="0" applyBorder="1" applyFont="1"/>
    <xf borderId="5" fillId="4" fontId="2" numFmtId="0" xfId="0" applyBorder="1" applyFont="1"/>
    <xf borderId="4" fillId="4" fontId="2" numFmtId="0" xfId="0" applyBorder="1" applyFont="1"/>
    <xf borderId="6" fillId="0" fontId="2" numFmtId="0" xfId="0" applyAlignment="1" applyBorder="1" applyFont="1">
      <alignment shrinkToFit="0" wrapText="1"/>
    </xf>
    <xf borderId="6" fillId="0" fontId="2" numFmtId="0" xfId="0" applyAlignment="1" applyBorder="1" applyFont="1">
      <alignment horizontal="center" shrinkToFit="0" wrapText="1"/>
    </xf>
    <xf borderId="6" fillId="0" fontId="20" numFmtId="0" xfId="0" applyAlignment="1" applyBorder="1" applyFont="1">
      <alignment shrinkToFit="0" wrapText="1"/>
    </xf>
    <xf borderId="1" fillId="0" fontId="2" numFmtId="0" xfId="0" applyAlignment="1" applyBorder="1" applyFont="1">
      <alignment shrinkToFit="0" vertical="top" wrapText="1"/>
    </xf>
    <xf borderId="1" fillId="0" fontId="2" numFmtId="0" xfId="0" applyBorder="1" applyFont="1"/>
    <xf borderId="7" fillId="0" fontId="2" numFmtId="0" xfId="0" applyBorder="1" applyFont="1"/>
    <xf borderId="8" fillId="0" fontId="17" numFmtId="0" xfId="0" applyBorder="1" applyFont="1"/>
    <xf borderId="1" fillId="0" fontId="2" numFmtId="0" xfId="0" applyAlignment="1" applyBorder="1" applyFont="1">
      <alignment shrinkToFit="0" vertical="bottom" wrapText="1"/>
    </xf>
    <xf borderId="0" fillId="0" fontId="2" numFmtId="0" xfId="0" applyAlignment="1" applyFont="1">
      <alignment vertical="bottom"/>
    </xf>
    <xf borderId="1" fillId="0" fontId="2" numFmtId="0" xfId="0" applyAlignment="1" applyBorder="1" applyFont="1">
      <alignment horizontal="center" shrinkToFit="0" wrapText="1"/>
    </xf>
    <xf borderId="1" fillId="0" fontId="21" numFmtId="0" xfId="0" applyAlignment="1" applyBorder="1" applyFont="1">
      <alignment shrinkToFit="0" wrapText="1"/>
    </xf>
    <xf borderId="7" fillId="0" fontId="17" numFmtId="0" xfId="0" applyBorder="1" applyFont="1"/>
    <xf borderId="1" fillId="0" fontId="2" numFmtId="0" xfId="0" applyAlignment="1" applyBorder="1" applyFont="1">
      <alignment vertical="bottom"/>
    </xf>
    <xf borderId="0" fillId="0" fontId="2" numFmtId="0" xfId="0" applyAlignment="1" applyFont="1">
      <alignment shrinkToFit="0" vertical="bottom" wrapText="1"/>
    </xf>
    <xf borderId="6" fillId="0" fontId="2" numFmtId="0" xfId="0" applyAlignment="1" applyBorder="1" applyFont="1">
      <alignment shrinkToFit="0" vertical="bottom" wrapText="1"/>
    </xf>
    <xf borderId="7" fillId="0" fontId="2" numFmtId="0" xfId="0" applyAlignment="1" applyBorder="1" applyFont="1">
      <alignment shrinkToFit="0" wrapText="1"/>
    </xf>
    <xf borderId="7" fillId="0" fontId="2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0" fillId="0" fontId="23" numFmtId="0" xfId="0" applyAlignment="1" applyFont="1">
      <alignment shrinkToFit="0" wrapText="1"/>
    </xf>
    <xf borderId="0" fillId="0" fontId="2" numFmtId="0" xfId="0" applyFont="1"/>
    <xf borderId="0" fillId="0" fontId="11" numFmtId="0" xfId="0" applyFont="1"/>
    <xf borderId="0" fillId="0" fontId="11" numFmtId="9" xfId="0" applyFont="1" applyNumberFormat="1"/>
    <xf borderId="0" fillId="0" fontId="24" numFmtId="0" xfId="0" applyFont="1"/>
    <xf borderId="0" fillId="0" fontId="24" numFmtId="9" xfId="0" applyFont="1" applyNumberFormat="1"/>
    <xf borderId="0" fillId="0" fontId="3" numFmtId="3" xfId="0" applyAlignment="1" applyFont="1" applyNumberFormat="1">
      <alignment shrinkToFit="0" vertical="center" wrapText="1"/>
    </xf>
    <xf borderId="0" fillId="0" fontId="3" numFmtId="14" xfId="0" applyAlignment="1" applyFont="1" applyNumberFormat="1">
      <alignment shrinkToFit="0" vertical="center" wrapText="1"/>
    </xf>
    <xf borderId="0" fillId="0" fontId="3" numFmtId="165" xfId="0" applyAlignment="1" applyFont="1" applyNumberFormat="1">
      <alignment shrinkToFit="0" vertical="center" wrapText="1"/>
    </xf>
    <xf borderId="0" fillId="0" fontId="25" numFmtId="0" xfId="0" applyAlignment="1" applyFont="1">
      <alignment horizontal="center" vertical="center"/>
    </xf>
    <xf borderId="0" fillId="0" fontId="26" numFmtId="0" xfId="0" applyAlignment="1" applyFont="1">
      <alignment horizontal="center" vertical="center"/>
    </xf>
    <xf borderId="0" fillId="0" fontId="27" numFmtId="167" xfId="0" applyAlignment="1" applyFont="1" applyNumberFormat="1">
      <alignment horizontal="center" vertical="center"/>
    </xf>
    <xf borderId="0" fillId="0" fontId="25" numFmtId="0" xfId="0" applyAlignment="1" applyFont="1">
      <alignment horizontal="center" shrinkToFit="0" vertical="center" wrapText="1"/>
    </xf>
    <xf borderId="0" fillId="0" fontId="11" numFmtId="0" xfId="0" applyAlignment="1" applyFont="1">
      <alignment vertical="bottom"/>
    </xf>
    <xf borderId="0" fillId="11" fontId="25" numFmtId="0" xfId="0" applyAlignment="1" applyFill="1" applyFont="1">
      <alignment horizontal="center" vertical="center"/>
    </xf>
    <xf borderId="0" fillId="11" fontId="25" numFmtId="0" xfId="0" applyAlignment="1" applyFont="1">
      <alignment horizontal="center" shrinkToFit="0" vertical="center" wrapText="1"/>
    </xf>
    <xf borderId="0" fillId="12" fontId="25" numFmtId="0" xfId="0" applyAlignment="1" applyFill="1" applyFont="1">
      <alignment horizontal="center" vertical="center"/>
    </xf>
    <xf borderId="0" fillId="0" fontId="13" numFmtId="0" xfId="0" applyFont="1"/>
  </cellXfs>
  <cellStyles count="1">
    <cellStyle xfId="0" name="Normal" builtinId="0"/>
  </cellStyles>
  <dxfs count="9">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999999"/>
          <bgColor rgb="FF999999"/>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00FFFF"/>
          <bgColor rgb="FF00FFFF"/>
        </patternFill>
      </fill>
      <border/>
    </dxf>
  </dxfs>
  <tableStyles count="3">
    <tableStyle count="3" pivot="0" name="DS Khách hàng-style">
      <tableStyleElement dxfId="1" type="headerRow"/>
      <tableStyleElement dxfId="2" type="firstRowStripe"/>
      <tableStyleElement dxfId="3" type="secondRowStripe"/>
    </tableStyle>
    <tableStyle count="2" pivot="0" name="4.Phân bổ nguồn lực-style">
      <tableStyleElement dxfId="3" type="firstRowStripe"/>
      <tableStyleElement dxfId="2" type="secondRowStripe"/>
    </tableStyle>
    <tableStyle count="2" pivot="0" name="Phân bổ nguồn lực_Old-style">
      <tableStyleElement dxfId="3"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pivotCacheDefinition" Target="pivotCache/pivotCacheDefinition3.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pivotCacheDefinition" Target="pivotCache/pivotCacheDefinition1.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'BC02_Resource Summary_Old'!$A$3</c:f>
            </c:strRef>
          </c:tx>
          <c:spPr>
            <a:ln cmpd="sng">
              <a:solidFill>
                <a:srgbClr val="4472C4"/>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'BC02_Resource Summary_Old'!$B$2:$M$2</c:f>
            </c:strRef>
          </c:cat>
          <c:val>
            <c:numRef>
              <c:f>'BC02_Resource Summary_Old'!$B$3:$M$3</c:f>
              <c:numCache/>
            </c:numRef>
          </c:val>
          <c:smooth val="1"/>
        </c:ser>
        <c:ser>
          <c:idx val="1"/>
          <c:order val="1"/>
          <c:tx>
            <c:strRef>
              <c:f>'BC02_Resource Summary_Old'!$A$4</c:f>
            </c:strRef>
          </c:tx>
          <c:spPr>
            <a:ln cmpd="sng">
              <a:solidFill>
                <a:srgbClr val="ED7D31"/>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'BC02_Resource Summary_Old'!$B$2:$M$2</c:f>
            </c:strRef>
          </c:cat>
          <c:val>
            <c:numRef>
              <c:f>'BC02_Resource Summary_Old'!$B$4:$M$4</c:f>
              <c:numCache/>
            </c:numRef>
          </c:val>
          <c:smooth val="1"/>
        </c:ser>
        <c:ser>
          <c:idx val="2"/>
          <c:order val="2"/>
          <c:tx>
            <c:strRef>
              <c:f>'BC02_Resource Summary_Old'!$A$5</c:f>
            </c:strRef>
          </c:tx>
          <c:spPr>
            <a:ln cmpd="sng">
              <a:solidFill>
                <a:srgbClr val="A5A5A5"/>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'BC02_Resource Summary_Old'!$B$2:$M$2</c:f>
            </c:strRef>
          </c:cat>
          <c:val>
            <c:numRef>
              <c:f>'BC02_Resource Summary_Old'!$B$5:$M$5</c:f>
              <c:numCache/>
            </c:numRef>
          </c:val>
          <c:smooth val="1"/>
        </c:ser>
        <c:axId val="1843481554"/>
        <c:axId val="1217391523"/>
      </c:lineChart>
      <c:catAx>
        <c:axId val="18434815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17391523"/>
      </c:catAx>
      <c:valAx>
        <c:axId val="12173915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43481554"/>
      </c:valAx>
    </c:plotArea>
    <c:legend>
      <c:legendPos val="r"/>
      <c:overlay val="0"/>
      <c:txPr>
        <a:bodyPr/>
        <a:lstStyle/>
        <a:p>
          <a:pPr lvl="0">
            <a:defRPr b="0" i="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76200</xdr:colOff>
      <xdr:row>14</xdr:row>
      <xdr:rowOff>95250</xdr:rowOff>
    </xdr:from>
    <xdr:ext cx="5715000" cy="3533775"/>
    <xdr:graphicFrame>
      <xdr:nvGraphicFramePr>
        <xdr:cNvPr id="1580474647"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378" sheet="4.Phân bổ nguồn lực"/>
  </cacheSource>
  <cacheFields>
    <cacheField name="Dự án" numFmtId="0">
      <sharedItems containsString="0" containsBlank="1">
        <m/>
      </sharedItems>
    </cacheField>
    <cacheField name="Nhân sự" numFmtId="0">
      <sharedItems containsString="0" containsBlank="1">
        <m/>
      </sharedItems>
    </cacheField>
    <cacheField name="Vai trò trong dự án" numFmtId="0">
      <sharedItems containsBlank="1">
        <s v="1. PO, 2. PM"/>
        <m/>
      </sharedItems>
    </cacheField>
    <cacheField name="From Date" numFmtId="0">
      <sharedItems containsString="0" containsBlank="1">
        <m/>
      </sharedItems>
    </cacheField>
    <cacheField name="To Date" numFmtId="0">
      <sharedItems containsString="0" containsBlank="1">
        <m/>
      </sharedItems>
    </cacheField>
    <cacheField name="%" numFmtId="0">
      <sharedItems containsString="0" containsBlank="1">
        <m/>
      </sharedItems>
    </cacheField>
    <cacheField name="T6-2025" numFmtId="9">
      <sharedItems containsString="0" containsBlank="1" containsNumber="1" containsInteger="1">
        <n v="0.0"/>
        <m/>
      </sharedItems>
    </cacheField>
    <cacheField name="T7-2025" numFmtId="9">
      <sharedItems containsString="0" containsBlank="1" containsNumber="1" containsInteger="1">
        <n v="0.0"/>
        <m/>
      </sharedItems>
    </cacheField>
    <cacheField name="T8-2025" numFmtId="9">
      <sharedItems containsString="0" containsBlank="1" containsNumber="1" containsInteger="1">
        <n v="0.0"/>
        <m/>
      </sharedItems>
    </cacheField>
    <cacheField name="T9-2025" numFmtId="9">
      <sharedItems containsString="0" containsBlank="1" containsNumber="1" containsInteger="1">
        <n v="0.0"/>
        <m/>
      </sharedItems>
    </cacheField>
    <cacheField name="T10-2025" numFmtId="9">
      <sharedItems containsString="0" containsBlank="1" containsNumber="1" containsInteger="1">
        <n v="0.0"/>
        <m/>
      </sharedItems>
    </cacheField>
    <cacheField name="T11-2025" numFmtId="9">
      <sharedItems containsString="0" containsBlank="1" containsNumber="1" containsInteger="1">
        <n v="0.0"/>
        <m/>
      </sharedItems>
    </cacheField>
    <cacheField name="T12-2025" numFmtId="9">
      <sharedItems containsString="0" containsBlank="1" containsNumber="1" containsInteger="1">
        <n v="0.0"/>
        <m/>
      </sharedItems>
    </cacheField>
    <cacheField name="T1-2026" numFmtId="9">
      <sharedItems containsString="0" containsBlank="1" containsNumber="1" containsInteger="1">
        <n v="0.0"/>
        <m/>
      </sharedItems>
    </cacheField>
    <cacheField name="T2-2026" numFmtId="9">
      <sharedItems containsString="0" containsBlank="1" containsNumber="1" containsInteger="1">
        <n v="0.0"/>
        <m/>
      </sharedItems>
    </cacheField>
    <cacheField name="T3-2026" numFmtId="9">
      <sharedItems containsString="0" containsBlank="1" containsNumber="1" containsInteger="1">
        <n v="0.0"/>
        <m/>
      </sharedItems>
    </cacheField>
    <cacheField name="T4-2026" numFmtId="9">
      <sharedItems containsString="0" containsBlank="1" containsNumber="1" containsInteger="1">
        <n v="0.0"/>
        <m/>
      </sharedItems>
    </cacheField>
    <cacheField name="T5-2026" numFmtId="9">
      <sharedItems containsString="0" containsBlank="1" containsNumber="1" containsInteger="1">
        <n v="0.0"/>
        <m/>
      </sharedItems>
    </cacheField>
    <cacheField name="T6-2026" numFmtId="9">
      <sharedItems containsString="0" containsBlank="1" containsNumber="1" containsInteger="1">
        <n v="0.0"/>
        <m/>
      </sharedItems>
    </cacheField>
    <cacheField name="T7-2026" numFmtId="9">
      <sharedItems containsString="0" containsBlank="1" containsNumber="1" containsInteger="1">
        <n v="0.0"/>
        <m/>
      </sharedItems>
    </cacheField>
    <cacheField name="T8-2026" numFmtId="9">
      <sharedItems containsString="0" containsBlank="1" containsNumber="1" containsInteger="1">
        <n v="0.0"/>
        <m/>
      </sharedItems>
    </cacheField>
    <cacheField name="T9-2026" numFmtId="9">
      <sharedItems containsString="0" containsBlank="1" containsNumber="1" containsInteger="1">
        <n v="0.0"/>
        <m/>
      </sharedItems>
    </cacheField>
    <cacheField name="T10-2026" numFmtId="9">
      <sharedItems containsString="0" containsBlank="1" containsNumber="1" containsInteger="1">
        <n v="0.0"/>
        <m/>
      </sharedItems>
    </cacheField>
    <cacheField name="T11-2026" numFmtId="9">
      <sharedItems containsString="0" containsBlank="1" containsNumber="1" containsInteger="1">
        <n v="0.0"/>
        <m/>
      </sharedItems>
    </cacheField>
    <cacheField name="T12-2026" numFmtId="9">
      <sharedItems containsString="0" containsBlank="1" containsNumber="1" containsInteger="1">
        <n v="0.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89" sheet="Phân bổ nguồn lực_Old"/>
  </cacheSource>
  <cacheFields>
    <cacheField name="Dự án" numFmtId="0">
      <sharedItems containsBlank="1">
        <s v="TEST"/>
        <m/>
      </sharedItems>
    </cacheField>
    <cacheField name="Nhân sự" numFmtId="0">
      <sharedItems containsBlank="1">
        <s v="Văn A"/>
        <m/>
      </sharedItems>
    </cacheField>
    <cacheField name="Vai trò trong dự án" numFmtId="0">
      <sharedItems containsBlank="1">
        <s v="1. PO"/>
        <m/>
      </sharedItems>
    </cacheField>
    <cacheField name="From Date" numFmtId="164">
      <sharedItems containsDate="1" containsString="0" containsBlank="1">
        <d v="2026-01-06T00:00:00Z"/>
        <m/>
      </sharedItems>
    </cacheField>
    <cacheField name="To Date" numFmtId="165">
      <sharedItems containsDate="1" containsString="0" containsBlank="1">
        <d v="2026-12-31T00:00:00Z"/>
        <m/>
      </sharedItems>
    </cacheField>
    <cacheField name="%" numFmtId="9">
      <sharedItems containsString="0" containsBlank="1" containsNumber="1" containsInteger="1">
        <n v="1.0"/>
        <m/>
      </sharedItems>
    </cacheField>
    <cacheField name="T6-2025">
      <sharedItems containsMixedTypes="1" containsNumber="1" containsInteger="1">
        <s v=""/>
        <n v="0.0"/>
      </sharedItems>
    </cacheField>
    <cacheField name="T7-2025">
      <sharedItems containsMixedTypes="1" containsNumber="1" containsInteger="1">
        <s v=""/>
        <n v="0.0"/>
      </sharedItems>
    </cacheField>
    <cacheField name="T8-2025">
      <sharedItems containsMixedTypes="1" containsNumber="1" containsInteger="1">
        <s v=""/>
        <n v="0.0"/>
      </sharedItems>
    </cacheField>
    <cacheField name="T9-2025">
      <sharedItems containsMixedTypes="1" containsNumber="1" containsInteger="1">
        <s v=""/>
        <n v="0.0"/>
      </sharedItems>
    </cacheField>
    <cacheField name="T10-2025">
      <sharedItems containsMixedTypes="1" containsNumber="1" containsInteger="1">
        <s v=""/>
        <n v="0.0"/>
      </sharedItems>
    </cacheField>
    <cacheField name="T11-2025">
      <sharedItems containsMixedTypes="1" containsNumber="1" containsInteger="1">
        <s v=""/>
        <n v="0.0"/>
      </sharedItems>
    </cacheField>
    <cacheField name="T12-2025">
      <sharedItems containsMixedTypes="1" containsNumber="1" containsInteger="1">
        <s v=""/>
        <n v="0.0"/>
      </sharedItems>
    </cacheField>
    <cacheField name="T1-2026" numFmtId="9">
      <sharedItems containsSemiMixedTypes="0" containsString="0" containsNumber="1">
        <n v="0.8636363636363636"/>
        <n v="0.0"/>
      </sharedItems>
    </cacheField>
    <cacheField name="T2-2026" numFmtId="9">
      <sharedItems containsSemiMixedTypes="0" containsString="0" containsNumber="1" containsInteger="1">
        <n v="1.0"/>
        <n v="0.0"/>
      </sharedItems>
    </cacheField>
    <cacheField name="T3-2026" numFmtId="9">
      <sharedItems containsSemiMixedTypes="0" containsString="0" containsNumber="1" containsInteger="1">
        <n v="1.0"/>
        <n v="0.0"/>
      </sharedItems>
    </cacheField>
    <cacheField name="T4-2026" numFmtId="9">
      <sharedItems containsSemiMixedTypes="0" containsString="0" containsNumber="1" containsInteger="1">
        <n v="1.0"/>
        <n v="0.0"/>
      </sharedItems>
    </cacheField>
    <cacheField name="T5-2026" numFmtId="9">
      <sharedItems containsSemiMixedTypes="0" containsString="0" containsNumber="1" containsInteger="1">
        <n v="1.0"/>
        <n v="0.0"/>
      </sharedItems>
    </cacheField>
    <cacheField name="T6-2026" numFmtId="9">
      <sharedItems containsSemiMixedTypes="0" containsString="0" containsNumber="1" containsInteger="1">
        <n v="1.0"/>
        <n v="0.0"/>
      </sharedItems>
    </cacheField>
    <cacheField name="T7-2026" numFmtId="9">
      <sharedItems containsSemiMixedTypes="0" containsString="0" containsNumber="1" containsInteger="1">
        <n v="1.0"/>
        <n v="0.0"/>
      </sharedItems>
    </cacheField>
    <cacheField name="T8-2026" numFmtId="9">
      <sharedItems containsSemiMixedTypes="0" containsString="0" containsNumber="1" containsInteger="1">
        <n v="1.0"/>
        <n v="0.0"/>
      </sharedItems>
    </cacheField>
    <cacheField name="T9-2026" numFmtId="9">
      <sharedItems containsSemiMixedTypes="0" containsString="0" containsNumber="1" containsInteger="1">
        <n v="1.0"/>
        <n v="0.0"/>
      </sharedItems>
    </cacheField>
    <cacheField name="T10-2026" numFmtId="9">
      <sharedItems containsSemiMixedTypes="0" containsString="0" containsNumber="1" containsInteger="1">
        <n v="1.0"/>
        <n v="0.0"/>
      </sharedItems>
    </cacheField>
    <cacheField name="T11-2026" numFmtId="9">
      <sharedItems containsSemiMixedTypes="0" containsString="0" containsNumber="1" containsInteger="1">
        <n v="1.0"/>
        <n v="0.0"/>
      </sharedItems>
    </cacheField>
    <cacheField name="T12-2026" numFmtId="9">
      <sharedItems containsSemiMixedTypes="0" containsString="0" containsNumber="1" containsInteger="1">
        <n v="1.0"/>
        <n v="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K8" sheet="1.DS Dự án"/>
  </cacheSource>
  <cacheFields>
    <cacheField name="Mã Sản phẩm" numFmtId="49">
      <sharedItems containsBlank="1">
        <s v="TEST"/>
        <m/>
      </sharedItems>
    </cacheField>
    <cacheField name="Sản phẩm" numFmtId="0">
      <sharedItems containsString="0" containsBlank="1">
        <m/>
      </sharedItems>
    </cacheField>
    <cacheField name="PM" numFmtId="0">
      <sharedItems containsString="0" containsBlank="1">
        <m/>
      </sharedItems>
    </cacheField>
    <cacheField name="Start Date" numFmtId="0">
      <sharedItems containsString="0" containsBlank="1">
        <m/>
      </sharedItems>
    </cacheField>
    <cacheField name="End Date" numFmtId="0">
      <sharedItems containsString="0" containsBlank="1">
        <m/>
      </sharedItems>
    </cacheField>
    <cacheField name="Trạng thái dự án" numFmtId="0">
      <sharedItems containsString="0" containsBlank="1">
        <m/>
      </sharedItems>
    </cacheField>
    <cacheField name="Giai đoạn hiện tại" numFmtId="0">
      <sharedItems containsString="0" containsBlank="1">
        <m/>
      </sharedItems>
    </cacheField>
    <cacheField name="Đã có kế hoạch công việc?" numFmtId="49">
      <sharedItems>
        <s v="N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BC01_Resource Summary" cacheId="0" dataCaption="" compact="0" compactData="0">
  <location ref="A2:C7" firstHeaderRow="0" firstDataRow="2" firstDataCol="0"/>
  <pivotFields>
    <pivotField name="Dự án" axis="axisRow" compact="0" outline="0" multipleItemSelectionAllowed="1" showAll="0" sortType="ascending">
      <items>
        <item x="0"/>
        <item t="default"/>
      </items>
    </pivotField>
    <pivotField name="Nhân sự" compact="0" outline="0" multipleItemSelectionAllowed="1" showAll="0">
      <items>
        <item x="0"/>
        <item t="default"/>
      </items>
    </pivotField>
    <pivotField name="Vai trò trong dự án" axis="axisRow" compact="0" outline="0" multipleItemSelectionAllowed="1" showAll="0" sortType="ascending">
      <items>
        <item x="1"/>
        <item x="0"/>
        <item t="default"/>
      </items>
    </pivotField>
    <pivotField name="From Date" compact="0" outline="0" multipleItemSelectionAllowed="1" showAll="0">
      <items>
        <item x="0"/>
        <item t="default"/>
      </items>
    </pivotField>
    <pivotField name="To Date" compact="0" outline="0" multipleItemSelectionAllowed="1" showAll="0">
      <items>
        <item x="0"/>
        <item t="default"/>
      </items>
    </pivotField>
    <pivotField name="%" compact="0" outline="0" multipleItemSelectionAllowed="1" showAll="0">
      <items>
        <item x="0"/>
        <item t="default"/>
      </items>
    </pivotField>
    <pivotField name="T6-2025" compact="0" numFmtId="9" outline="0" multipleItemSelectionAllowed="1" showAll="0">
      <items>
        <item x="0"/>
        <item x="1"/>
        <item t="default"/>
      </items>
    </pivotField>
    <pivotField name="T7-2025" compact="0" numFmtId="9" outline="0" multipleItemSelectionAllowed="1" showAll="0">
      <items>
        <item x="0"/>
        <item x="1"/>
        <item t="default"/>
      </items>
    </pivotField>
    <pivotField name="T8-2025" compact="0" numFmtId="9" outline="0" multipleItemSelectionAllowed="1" showAll="0">
      <items>
        <item x="0"/>
        <item x="1"/>
        <item t="default"/>
      </items>
    </pivotField>
    <pivotField name="T9-2025" compact="0" numFmtId="9" outline="0" multipleItemSelectionAllowed="1" showAll="0">
      <items>
        <item x="0"/>
        <item x="1"/>
        <item t="default"/>
      </items>
    </pivotField>
    <pivotField name="T10-2025" compact="0" numFmtId="9" outline="0" multipleItemSelectionAllowed="1" showAll="0">
      <items>
        <item x="0"/>
        <item x="1"/>
        <item t="default"/>
      </items>
    </pivotField>
    <pivotField name="T11-2025" compact="0" numFmtId="9" outline="0" multipleItemSelectionAllowed="1" showAll="0">
      <items>
        <item x="0"/>
        <item x="1"/>
        <item t="default"/>
      </items>
    </pivotField>
    <pivotField name="T12-2025" compact="0" numFmtId="9" outline="0" multipleItemSelectionAllowed="1" showAll="0">
      <items>
        <item x="0"/>
        <item x="1"/>
        <item t="default"/>
      </items>
    </pivotField>
    <pivotField name="T1-2026" compact="0" numFmtId="9" outline="0" multipleItemSelectionAllowed="1" showAll="0">
      <items>
        <item x="0"/>
        <item x="1"/>
        <item t="default"/>
      </items>
    </pivotField>
    <pivotField name="T2-2026" compact="0" numFmtId="9" outline="0" multipleItemSelectionAllowed="1" showAll="0">
      <items>
        <item x="0"/>
        <item x="1"/>
        <item t="default"/>
      </items>
    </pivotField>
    <pivotField name="T3-2026" compact="0" numFmtId="9" outline="0" multipleItemSelectionAllowed="1" showAll="0">
      <items>
        <item x="0"/>
        <item x="1"/>
        <item t="default"/>
      </items>
    </pivotField>
    <pivotField name="T4-2026" compact="0" numFmtId="9" outline="0" multipleItemSelectionAllowed="1" showAll="0">
      <items>
        <item x="0"/>
        <item x="1"/>
        <item t="default"/>
      </items>
    </pivotField>
    <pivotField name="T5-2026" dataField="1" compact="0" numFmtId="9" outline="0" multipleItemSelectionAllowed="1" showAll="0">
      <items>
        <item x="0"/>
        <item x="1"/>
        <item t="default"/>
      </items>
    </pivotField>
    <pivotField name="T6-2026" compact="0" numFmtId="9" outline="0" multipleItemSelectionAllowed="1" showAll="0">
      <items>
        <item x="0"/>
        <item x="1"/>
        <item t="default"/>
      </items>
    </pivotField>
    <pivotField name="T7-2026" compact="0" numFmtId="9" outline="0" multipleItemSelectionAllowed="1" showAll="0">
      <items>
        <item x="0"/>
        <item x="1"/>
        <item t="default"/>
      </items>
    </pivotField>
    <pivotField name="T8-2026" compact="0" numFmtId="9" outline="0" multipleItemSelectionAllowed="1" showAll="0">
      <items>
        <item x="0"/>
        <item x="1"/>
        <item t="default"/>
      </items>
    </pivotField>
    <pivotField name="T9-2026" compact="0" numFmtId="9" outline="0" multipleItemSelectionAllowed="1" showAll="0">
      <items>
        <item x="0"/>
        <item x="1"/>
        <item t="default"/>
      </items>
    </pivotField>
    <pivotField name="T10-2026" compact="0" numFmtId="9" outline="0" multipleItemSelectionAllowed="1" showAll="0">
      <items>
        <item x="0"/>
        <item x="1"/>
        <item t="default"/>
      </items>
    </pivotField>
    <pivotField name="T11-2026" compact="0" numFmtId="9" outline="0" multipleItemSelectionAllowed="1" showAll="0">
      <items>
        <item x="0"/>
        <item x="1"/>
        <item t="default"/>
      </items>
    </pivotField>
    <pivotField name="T12-2026" compact="0" numFmtId="9" outline="0" multipleItemSelectionAllowed="1" showAll="0">
      <items>
        <item x="0"/>
        <item x="1"/>
        <item t="default"/>
      </items>
    </pivotField>
  </pivotFields>
  <rowFields>
    <field x="2"/>
    <field x="0"/>
  </rowFields>
  <dataFields>
    <dataField name="SUM of T5-2026" fld="17" baseField="0"/>
  </dataFields>
</pivotTableDefinition>
</file>

<file path=xl/pivotTables/pivotTable2.xml><?xml version="1.0" encoding="utf-8"?>
<pivotTableDefinition xmlns="http://schemas.openxmlformats.org/spreadsheetml/2006/main" name="BC01_Resource Summary 2" cacheId="0" dataCaption="" compact="0" compactData="0">
  <location ref="E2:H6" firstHeaderRow="0" firstDataRow="3" firstDataCol="0"/>
  <pivotFields>
    <pivotField name="Dự án" axis="axisRow" compact="0" outline="0" multipleItemSelectionAllowed="1" showAll="0" sortType="ascending">
      <items>
        <item x="0"/>
        <item t="default"/>
      </items>
    </pivotField>
    <pivotField name="Nhân sự" compact="0" outline="0" multipleItemSelectionAllowed="1" showAll="0">
      <items>
        <item x="0"/>
        <item t="default"/>
      </items>
    </pivotField>
    <pivotField name="Vai trò trong dự án" axis="axisRow" compact="0" outline="0" multipleItemSelectionAllowed="1" showAll="0" sortType="ascending">
      <items>
        <item x="1"/>
        <item x="0"/>
        <item t="default"/>
      </items>
    </pivotField>
    <pivotField name="From Date" compact="0" outline="0" multipleItemSelectionAllowed="1" showAll="0">
      <items>
        <item x="0"/>
        <item t="default"/>
      </items>
    </pivotField>
    <pivotField name="To Date" compact="0" outline="0" multipleItemSelectionAllowed="1" showAll="0">
      <items>
        <item x="0"/>
        <item t="default"/>
      </items>
    </pivotField>
    <pivotField name="%" compact="0" outline="0" multipleItemSelectionAllowed="1" showAll="0">
      <items>
        <item x="0"/>
        <item t="default"/>
      </items>
    </pivotField>
    <pivotField name="T6-2025" compact="0" numFmtId="9" outline="0" multipleItemSelectionAllowed="1" showAll="0">
      <items>
        <item x="0"/>
        <item x="1"/>
        <item t="default"/>
      </items>
    </pivotField>
    <pivotField name="T7-2025" compact="0" numFmtId="9" outline="0" multipleItemSelectionAllowed="1" showAll="0">
      <items>
        <item x="0"/>
        <item x="1"/>
        <item t="default"/>
      </items>
    </pivotField>
    <pivotField name="T8-2025" compact="0" numFmtId="9" outline="0" multipleItemSelectionAllowed="1" showAll="0">
      <items>
        <item x="0"/>
        <item x="1"/>
        <item t="default"/>
      </items>
    </pivotField>
    <pivotField name="T9-2025" compact="0" numFmtId="9" outline="0" multipleItemSelectionAllowed="1" showAll="0">
      <items>
        <item x="0"/>
        <item x="1"/>
        <item t="default"/>
      </items>
    </pivotField>
    <pivotField name="T10-2025" compact="0" numFmtId="9" outline="0" multipleItemSelectionAllowed="1" showAll="0">
      <items>
        <item x="0"/>
        <item x="1"/>
        <item t="default"/>
      </items>
    </pivotField>
    <pivotField name="T11-2025" compact="0" numFmtId="9" outline="0" multipleItemSelectionAllowed="1" showAll="0">
      <items>
        <item x="0"/>
        <item x="1"/>
        <item t="default"/>
      </items>
    </pivotField>
    <pivotField name="T12-2025" compact="0" numFmtId="9" outline="0" multipleItemSelectionAllowed="1" showAll="0">
      <items>
        <item x="0"/>
        <item x="1"/>
        <item t="default"/>
      </items>
    </pivotField>
    <pivotField name="T1-2026" compact="0" numFmtId="9" outline="0" multipleItemSelectionAllowed="1" showAll="0">
      <items>
        <item x="0"/>
        <item x="1"/>
        <item t="default"/>
      </items>
    </pivotField>
    <pivotField name="T2-2026" compact="0" numFmtId="9" outline="0" multipleItemSelectionAllowed="1" showAll="0">
      <items>
        <item x="0"/>
        <item x="1"/>
        <item t="default"/>
      </items>
    </pivotField>
    <pivotField name="T3-2026" compact="0" numFmtId="9" outline="0" multipleItemSelectionAllowed="1" showAll="0">
      <items>
        <item x="0"/>
        <item x="1"/>
        <item t="default"/>
      </items>
    </pivotField>
    <pivotField name="T4-2026" compact="0" numFmtId="9" outline="0" multipleItemSelectionAllowed="1" showAll="0">
      <items>
        <item x="0"/>
        <item x="1"/>
        <item t="default"/>
      </items>
    </pivotField>
    <pivotField name="T5-2026" dataField="1" compact="0" numFmtId="9" outline="0" multipleItemSelectionAllowed="1" showAll="0">
      <items>
        <item x="0"/>
        <item x="1"/>
        <item t="default"/>
      </items>
    </pivotField>
    <pivotField name="T6-2026" compact="0" numFmtId="9" outline="0" multipleItemSelectionAllowed="1" showAll="0">
      <items>
        <item x="0"/>
        <item x="1"/>
        <item t="default"/>
      </items>
    </pivotField>
    <pivotField name="T7-2026" compact="0" numFmtId="9" outline="0" multipleItemSelectionAllowed="1" showAll="0">
      <items>
        <item x="0"/>
        <item x="1"/>
        <item t="default"/>
      </items>
    </pivotField>
    <pivotField name="T8-2026" compact="0" numFmtId="9" outline="0" multipleItemSelectionAllowed="1" showAll="0">
      <items>
        <item x="0"/>
        <item x="1"/>
        <item t="default"/>
      </items>
    </pivotField>
    <pivotField name="T9-2026" compact="0" numFmtId="9" outline="0" multipleItemSelectionAllowed="1" showAll="0">
      <items>
        <item x="0"/>
        <item x="1"/>
        <item t="default"/>
      </items>
    </pivotField>
    <pivotField name="T10-2026" compact="0" numFmtId="9" outline="0" multipleItemSelectionAllowed="1" showAll="0">
      <items>
        <item x="0"/>
        <item x="1"/>
        <item t="default"/>
      </items>
    </pivotField>
    <pivotField name="T11-2026" compact="0" numFmtId="9" outline="0" multipleItemSelectionAllowed="1" showAll="0">
      <items>
        <item x="0"/>
        <item x="1"/>
        <item t="default"/>
      </items>
    </pivotField>
    <pivotField name="T12-2026" compact="0" numFmtId="9" outline="0" multipleItemSelectionAllowed="1" showAll="0">
      <items>
        <item x="0"/>
        <item x="1"/>
        <item t="default"/>
      </items>
    </pivotField>
  </pivotFields>
  <rowFields>
    <field x="0"/>
    <field x="2"/>
  </rowFields>
  <colFields>
    <field x="-2"/>
  </colFields>
  <dataFields>
    <dataField name="SUM of T5-2026" fld="17" baseField="0"/>
    <dataField name="COUNT of T5-2026" fld="17" subtotal="countNums" baseField="0"/>
  </dataFields>
</pivotTableDefinition>
</file>

<file path=xl/pivotTables/pivotTable3.xml><?xml version="1.0" encoding="utf-8"?>
<pivotTableDefinition xmlns="http://schemas.openxmlformats.org/spreadsheetml/2006/main" name="BC01_Resource Summary 3" cacheId="0" dataCaption="" compact="0" compactData="0">
  <location ref="J2:N6" firstHeaderRow="0" firstDataRow="4" firstDataCol="0"/>
  <pivotFields>
    <pivotField name="Dự án" axis="axisRow" compact="0" outline="0" multipleItemSelectionAllowed="1" showAll="0" sortType="ascending">
      <items>
        <item x="0"/>
        <item t="default"/>
      </items>
    </pivotField>
    <pivotField name="Nhân sự" axis="axisRow" compact="0" outline="0" multipleItemSelectionAllowed="1" showAll="0" sortType="ascending">
      <items>
        <item x="0"/>
        <item t="default"/>
      </items>
    </pivotField>
    <pivotField name="Vai trò trong dự án" axis="axisRow" compact="0" outline="0" multipleItemSelectionAllowed="1" showAll="0" sortType="ascending" defaultSubtotal="0">
      <items>
        <item x="1"/>
        <item x="0"/>
      </items>
    </pivotField>
    <pivotField name="From Date" compact="0" outline="0" multipleItemSelectionAllowed="1" showAll="0">
      <items>
        <item x="0"/>
        <item t="default"/>
      </items>
    </pivotField>
    <pivotField name="To Date" compact="0" outline="0" multipleItemSelectionAllowed="1" showAll="0">
      <items>
        <item x="0"/>
        <item t="default"/>
      </items>
    </pivotField>
    <pivotField name="%" compact="0" outline="0" multipleItemSelectionAllowed="1" showAll="0">
      <items>
        <item x="0"/>
        <item t="default"/>
      </items>
    </pivotField>
    <pivotField name="T6-2025" compact="0" numFmtId="9" outline="0" multipleItemSelectionAllowed="1" showAll="0">
      <items>
        <item x="0"/>
        <item x="1"/>
        <item t="default"/>
      </items>
    </pivotField>
    <pivotField name="T7-2025" compact="0" numFmtId="9" outline="0" multipleItemSelectionAllowed="1" showAll="0">
      <items>
        <item x="0"/>
        <item x="1"/>
        <item t="default"/>
      </items>
    </pivotField>
    <pivotField name="T8-2025" compact="0" numFmtId="9" outline="0" multipleItemSelectionAllowed="1" showAll="0">
      <items>
        <item x="0"/>
        <item x="1"/>
        <item t="default"/>
      </items>
    </pivotField>
    <pivotField name="T9-2025" compact="0" numFmtId="9" outline="0" multipleItemSelectionAllowed="1" showAll="0">
      <items>
        <item x="0"/>
        <item x="1"/>
        <item t="default"/>
      </items>
    </pivotField>
    <pivotField name="T10-2025" compact="0" numFmtId="9" outline="0" multipleItemSelectionAllowed="1" showAll="0">
      <items>
        <item x="0"/>
        <item x="1"/>
        <item t="default"/>
      </items>
    </pivotField>
    <pivotField name="T11-2025" compact="0" numFmtId="9" outline="0" multipleItemSelectionAllowed="1" showAll="0">
      <items>
        <item x="0"/>
        <item x="1"/>
        <item t="default"/>
      </items>
    </pivotField>
    <pivotField name="T12-2025" compact="0" numFmtId="9" outline="0" multipleItemSelectionAllowed="1" showAll="0">
      <items>
        <item x="0"/>
        <item x="1"/>
        <item t="default"/>
      </items>
    </pivotField>
    <pivotField name="T1-2026" compact="0" numFmtId="9" outline="0" multipleItemSelectionAllowed="1" showAll="0">
      <items>
        <item x="0"/>
        <item x="1"/>
        <item t="default"/>
      </items>
    </pivotField>
    <pivotField name="T2-2026" compact="0" numFmtId="9" outline="0" multipleItemSelectionAllowed="1" showAll="0">
      <items>
        <item x="0"/>
        <item x="1"/>
        <item t="default"/>
      </items>
    </pivotField>
    <pivotField name="T3-2026" compact="0" numFmtId="9" outline="0" multipleItemSelectionAllowed="1" showAll="0">
      <items>
        <item x="0"/>
        <item x="1"/>
        <item t="default"/>
      </items>
    </pivotField>
    <pivotField name="T4-2026" compact="0" numFmtId="9" outline="0" multipleItemSelectionAllowed="1" showAll="0">
      <items>
        <item x="0"/>
        <item x="1"/>
        <item t="default"/>
      </items>
    </pivotField>
    <pivotField name="T5-2026" dataField="1" compact="0" numFmtId="9" outline="0" multipleItemSelectionAllowed="1" showAll="0">
      <items>
        <item x="0"/>
        <item x="1"/>
        <item t="default"/>
      </items>
    </pivotField>
    <pivotField name="T6-2026" compact="0" numFmtId="9" outline="0" multipleItemSelectionAllowed="1" showAll="0">
      <items>
        <item x="0"/>
        <item x="1"/>
        <item t="default"/>
      </items>
    </pivotField>
    <pivotField name="T7-2026" compact="0" numFmtId="9" outline="0" multipleItemSelectionAllowed="1" showAll="0">
      <items>
        <item x="0"/>
        <item x="1"/>
        <item t="default"/>
      </items>
    </pivotField>
    <pivotField name="T8-2026" compact="0" numFmtId="9" outline="0" multipleItemSelectionAllowed="1" showAll="0">
      <items>
        <item x="0"/>
        <item x="1"/>
        <item t="default"/>
      </items>
    </pivotField>
    <pivotField name="T9-2026" compact="0" numFmtId="9" outline="0" multipleItemSelectionAllowed="1" showAll="0">
      <items>
        <item x="0"/>
        <item x="1"/>
        <item t="default"/>
      </items>
    </pivotField>
    <pivotField name="T10-2026" compact="0" numFmtId="9" outline="0" multipleItemSelectionAllowed="1" showAll="0">
      <items>
        <item x="0"/>
        <item x="1"/>
        <item t="default"/>
      </items>
    </pivotField>
    <pivotField name="T11-2026" compact="0" numFmtId="9" outline="0" multipleItemSelectionAllowed="1" showAll="0">
      <items>
        <item x="0"/>
        <item x="1"/>
        <item t="default"/>
      </items>
    </pivotField>
    <pivotField name="T12-2026" compact="0" numFmtId="9" outline="0" multipleItemSelectionAllowed="1" showAll="0">
      <items>
        <item x="0"/>
        <item x="1"/>
        <item t="default"/>
      </items>
    </pivotField>
  </pivotFields>
  <rowFields>
    <field x="0"/>
    <field x="2"/>
    <field x="1"/>
  </rowFields>
  <colFields>
    <field x="-2"/>
  </colFields>
  <dataFields>
    <dataField name="SUM of T5-2026" fld="17" baseField="0"/>
    <dataField name="COUNT of T5-2026" fld="17" subtotal="countNums" baseField="0"/>
  </dataFields>
</pivotTableDefinition>
</file>

<file path=xl/pivotTables/pivotTable4.xml><?xml version="1.0" encoding="utf-8"?>
<pivotTableDefinition xmlns="http://schemas.openxmlformats.org/spreadsheetml/2006/main" name="BC02_Resource Summary_Old" cacheId="1" dataCaption="" compact="0" compactData="0">
  <location ref="A2:M5" firstHeaderRow="0" firstDataRow="2" firstDataCol="0"/>
  <pivotFields>
    <pivotField name="Dự án" compact="0" outline="0" multipleItemSelectionAllowed="1" showAll="0">
      <items>
        <item x="0"/>
        <item x="1"/>
        <item t="default"/>
      </items>
    </pivotField>
    <pivotField name="Nhân sự" compact="0" outline="0" multipleItemSelectionAllowed="1" showAll="0">
      <items>
        <item x="0"/>
        <item x="1"/>
        <item t="default"/>
      </items>
    </pivotField>
    <pivotField name="Vai trò trong dự án" axis="axisRow" compact="0" outline="0" multipleItemSelectionAllowed="1" showAll="0" sortType="ascending">
      <items>
        <item x="1"/>
        <item x="0"/>
        <item t="default"/>
      </items>
    </pivotField>
    <pivotField name="From Date" compact="0" numFmtId="164" outline="0" multipleItemSelectionAllowed="1" showAll="0">
      <items>
        <item x="0"/>
        <item x="1"/>
        <item t="default"/>
      </items>
    </pivotField>
    <pivotField name="To Date" compact="0" numFmtId="165" outline="0" multipleItemSelectionAllowed="1" showAll="0">
      <items>
        <item x="0"/>
        <item x="1"/>
        <item t="default"/>
      </items>
    </pivotField>
    <pivotField name="%" compact="0" numFmtId="9" outline="0" multipleItemSelectionAllowed="1" showAll="0">
      <items>
        <item x="0"/>
        <item x="1"/>
        <item t="default"/>
      </items>
    </pivotField>
    <pivotField name="T6-2025" dataField="1" compact="0" outline="0" multipleItemSelectionAllowed="1" showAll="0">
      <items>
        <item x="0"/>
        <item x="1"/>
        <item t="default"/>
      </items>
    </pivotField>
    <pivotField name="T7-2025" dataField="1" compact="0" outline="0" multipleItemSelectionAllowed="1" showAll="0">
      <items>
        <item x="0"/>
        <item x="1"/>
        <item t="default"/>
      </items>
    </pivotField>
    <pivotField name="T8-2025" dataField="1" compact="0" outline="0" multipleItemSelectionAllowed="1" showAll="0">
      <items>
        <item x="0"/>
        <item x="1"/>
        <item t="default"/>
      </items>
    </pivotField>
    <pivotField name="T9-2025" dataField="1" compact="0" outline="0" multipleItemSelectionAllowed="1" showAll="0">
      <items>
        <item x="0"/>
        <item x="1"/>
        <item t="default"/>
      </items>
    </pivotField>
    <pivotField name="T10-2025" dataField="1" compact="0" outline="0" multipleItemSelectionAllowed="1" showAll="0">
      <items>
        <item x="0"/>
        <item x="1"/>
        <item t="default"/>
      </items>
    </pivotField>
    <pivotField name="T11-2025" dataField="1" compact="0" outline="0" multipleItemSelectionAllowed="1" showAll="0">
      <items>
        <item x="0"/>
        <item x="1"/>
        <item t="default"/>
      </items>
    </pivotField>
    <pivotField name="T12-2025" dataField="1" compact="0" outline="0" multipleItemSelectionAllowed="1" showAll="0">
      <items>
        <item x="0"/>
        <item x="1"/>
        <item t="default"/>
      </items>
    </pivotField>
    <pivotField name="T1-2026" dataField="1" compact="0" numFmtId="9" outline="0" multipleItemSelectionAllowed="1" showAll="0">
      <items>
        <item x="0"/>
        <item x="1"/>
        <item t="default"/>
      </items>
    </pivotField>
    <pivotField name="T2-2026" dataField="1" compact="0" numFmtId="9" outline="0" multipleItemSelectionAllowed="1" showAll="0">
      <items>
        <item x="0"/>
        <item x="1"/>
        <item t="default"/>
      </items>
    </pivotField>
    <pivotField name="T3-2026" dataField="1" compact="0" numFmtId="9" outline="0" multipleItemSelectionAllowed="1" showAll="0">
      <items>
        <item x="0"/>
        <item x="1"/>
        <item t="default"/>
      </items>
    </pivotField>
    <pivotField name="T4-2026" dataField="1" compact="0" numFmtId="9" outline="0" multipleItemSelectionAllowed="1" showAll="0">
      <items>
        <item x="0"/>
        <item x="1"/>
        <item t="default"/>
      </items>
    </pivotField>
    <pivotField name="T5-2026" dataField="1" compact="0" numFmtId="9" outline="0" multipleItemSelectionAllowed="1" showAll="0">
      <items>
        <item x="0"/>
        <item x="1"/>
        <item t="default"/>
      </items>
    </pivotField>
    <pivotField name="T6-2026" compact="0" numFmtId="9" outline="0" multipleItemSelectionAllowed="1" showAll="0">
      <items>
        <item x="0"/>
        <item x="1"/>
        <item t="default"/>
      </items>
    </pivotField>
    <pivotField name="T7-2026" compact="0" numFmtId="9" outline="0" multipleItemSelectionAllowed="1" showAll="0">
      <items>
        <item x="0"/>
        <item x="1"/>
        <item t="default"/>
      </items>
    </pivotField>
    <pivotField name="T8-2026" compact="0" numFmtId="9" outline="0" multipleItemSelectionAllowed="1" showAll="0">
      <items>
        <item x="0"/>
        <item x="1"/>
        <item t="default"/>
      </items>
    </pivotField>
    <pivotField name="T9-2026" compact="0" numFmtId="9" outline="0" multipleItemSelectionAllowed="1" showAll="0">
      <items>
        <item x="0"/>
        <item x="1"/>
        <item t="default"/>
      </items>
    </pivotField>
    <pivotField name="T10-2026" compact="0" numFmtId="9" outline="0" multipleItemSelectionAllowed="1" showAll="0">
      <items>
        <item x="0"/>
        <item x="1"/>
        <item t="default"/>
      </items>
    </pivotField>
    <pivotField name="T11-2026" compact="0" numFmtId="9" outline="0" multipleItemSelectionAllowed="1" showAll="0">
      <items>
        <item x="0"/>
        <item x="1"/>
        <item t="default"/>
      </items>
    </pivotField>
    <pivotField name="T12-2026" compact="0" numFmtId="9" outline="0" multipleItemSelectionAllowed="1" showAll="0">
      <items>
        <item x="0"/>
        <item x="1"/>
        <item t="default"/>
      </items>
    </pivotField>
  </pivotFields>
  <rowFields>
    <field x="2"/>
  </rowFields>
  <colFields>
    <field x="-2"/>
  </colFields>
  <dataFields>
    <dataField name="T6-2025" fld="6" subtotal="countNums" baseField="0"/>
    <dataField name="T7-2025" fld="7" subtotal="countNums" baseField="0"/>
    <dataField name="T8-2025" fld="8" subtotal="countNums" baseField="0"/>
    <dataField name="T9-2025" fld="9" subtotal="countNums" baseField="0"/>
    <dataField name="T10-2025" fld="10" subtotal="countNums" baseField="0"/>
    <dataField name="COUNT of T11-2025" fld="11" subtotal="countNums" baseField="0"/>
    <dataField name="T12-2025" fld="12" subtotal="countNums" baseField="0"/>
    <dataField name="T1-2026" fld="13" subtotal="countNums" baseField="0"/>
    <dataField name="T2-2026" fld="14" subtotal="countNums" baseField="0"/>
    <dataField name="T3-2026" fld="15" subtotal="countNums" baseField="0"/>
    <dataField name="T4-2026" fld="16" subtotal="countNums" baseField="0"/>
    <dataField name="T5-2026" fld="17" subtotal="countNums" baseField="0"/>
  </dataFields>
</pivotTableDefinition>
</file>

<file path=xl/pivotTables/pivotTable5.xml><?xml version="1.0" encoding="utf-8"?>
<pivotTableDefinition xmlns="http://schemas.openxmlformats.org/spreadsheetml/2006/main" name="BC02_Resource Summary_Old 2" cacheId="1" dataCaption="" compact="0" compactData="0">
  <location ref="A15:B18" firstHeaderRow="0" firstDataRow="1" firstDataCol="0"/>
  <pivotFields>
    <pivotField name="Dự án" compact="0" outline="0" multipleItemSelectionAllowed="1" showAll="0">
      <items>
        <item x="0"/>
        <item x="1"/>
        <item t="default"/>
      </items>
    </pivotField>
    <pivotField name="Nhân sự" compact="0" outline="0" multipleItemSelectionAllowed="1" showAll="0">
      <items>
        <item x="0"/>
        <item x="1"/>
        <item t="default"/>
      </items>
    </pivotField>
    <pivotField name="Vai trò trong dự án" axis="axisRow" compact="0" outline="0" multipleItemSelectionAllowed="1" showAll="0" sortType="ascending">
      <items>
        <item x="1"/>
        <item x="0"/>
        <item t="default"/>
      </items>
    </pivotField>
    <pivotField name="From Date" compact="0" numFmtId="164" outline="0" multipleItemSelectionAllowed="1" showAll="0">
      <items>
        <item x="0"/>
        <item x="1"/>
        <item t="default"/>
      </items>
    </pivotField>
    <pivotField name="To Date" compact="0" numFmtId="165" outline="0" multipleItemSelectionAllowed="1" showAll="0">
      <items>
        <item x="0"/>
        <item x="1"/>
        <item t="default"/>
      </items>
    </pivotField>
    <pivotField name="%" compact="0" numFmtId="9" outline="0" multipleItemSelectionAllowed="1" showAll="0">
      <items>
        <item x="0"/>
        <item x="1"/>
        <item t="default"/>
      </items>
    </pivotField>
    <pivotField name="T6-2025" compact="0" outline="0" multipleItemSelectionAllowed="1" showAll="0">
      <items>
        <item x="0"/>
        <item x="1"/>
        <item t="default"/>
      </items>
    </pivotField>
    <pivotField name="T7-2025" compact="0" outline="0" multipleItemSelectionAllowed="1" showAll="0">
      <items>
        <item x="0"/>
        <item x="1"/>
        <item t="default"/>
      </items>
    </pivotField>
    <pivotField name="T8-2025" compact="0" outline="0" multipleItemSelectionAllowed="1" showAll="0">
      <items>
        <item x="0"/>
        <item x="1"/>
        <item t="default"/>
      </items>
    </pivotField>
    <pivotField name="T9-2025" compact="0" outline="0" multipleItemSelectionAllowed="1" showAll="0">
      <items>
        <item x="0"/>
        <item x="1"/>
        <item t="default"/>
      </items>
    </pivotField>
    <pivotField name="T10-2025" compact="0" outline="0" multipleItemSelectionAllowed="1" showAll="0">
      <items>
        <item x="0"/>
        <item x="1"/>
        <item t="default"/>
      </items>
    </pivotField>
    <pivotField name="T11-2025" compact="0" outline="0" multipleItemSelectionAllowed="1" showAll="0">
      <items>
        <item x="0"/>
        <item x="1"/>
        <item t="default"/>
      </items>
    </pivotField>
    <pivotField name="T12-2025" compact="0" outline="0" multipleItemSelectionAllowed="1" showAll="0">
      <items>
        <item x="0"/>
        <item x="1"/>
        <item t="default"/>
      </items>
    </pivotField>
    <pivotField name="T1-2026" compact="0" numFmtId="9" outline="0" multipleItemSelectionAllowed="1" showAll="0">
      <items>
        <item x="0"/>
        <item x="1"/>
        <item t="default"/>
      </items>
    </pivotField>
    <pivotField name="T2-2026" compact="0" numFmtId="9" outline="0" multipleItemSelectionAllowed="1" showAll="0">
      <items>
        <item x="0"/>
        <item x="1"/>
        <item t="default"/>
      </items>
    </pivotField>
    <pivotField name="T3-2026" compact="0" numFmtId="9" outline="0" multipleItemSelectionAllowed="1" showAll="0">
      <items>
        <item x="0"/>
        <item x="1"/>
        <item t="default"/>
      </items>
    </pivotField>
    <pivotField name="T4-2026" compact="0" numFmtId="9" outline="0" multipleItemSelectionAllowed="1" showAll="0">
      <items>
        <item x="0"/>
        <item x="1"/>
        <item t="default"/>
      </items>
    </pivotField>
    <pivotField name="T5-2026" dataField="1" compact="0" numFmtId="9" outline="0" multipleItemSelectionAllowed="1" showAll="0">
      <items>
        <item x="0"/>
        <item x="1"/>
        <item t="default"/>
      </items>
    </pivotField>
    <pivotField name="T6-2026" compact="0" numFmtId="9" outline="0" multipleItemSelectionAllowed="1" showAll="0">
      <items>
        <item x="0"/>
        <item x="1"/>
        <item t="default"/>
      </items>
    </pivotField>
    <pivotField name="T7-2026" compact="0" numFmtId="9" outline="0" multipleItemSelectionAllowed="1" showAll="0">
      <items>
        <item x="0"/>
        <item x="1"/>
        <item t="default"/>
      </items>
    </pivotField>
    <pivotField name="T8-2026" compact="0" numFmtId="9" outline="0" multipleItemSelectionAllowed="1" showAll="0">
      <items>
        <item x="0"/>
        <item x="1"/>
        <item t="default"/>
      </items>
    </pivotField>
    <pivotField name="T9-2026" compact="0" numFmtId="9" outline="0" multipleItemSelectionAllowed="1" showAll="0">
      <items>
        <item x="0"/>
        <item x="1"/>
        <item t="default"/>
      </items>
    </pivotField>
    <pivotField name="T10-2026" compact="0" numFmtId="9" outline="0" multipleItemSelectionAllowed="1" showAll="0">
      <items>
        <item x="0"/>
        <item x="1"/>
        <item t="default"/>
      </items>
    </pivotField>
    <pivotField name="T11-2026" compact="0" numFmtId="9" outline="0" multipleItemSelectionAllowed="1" showAll="0">
      <items>
        <item x="0"/>
        <item x="1"/>
        <item t="default"/>
      </items>
    </pivotField>
    <pivotField name="T12-2026" compact="0" numFmtId="9" outline="0" multipleItemSelectionAllowed="1" showAll="0">
      <items>
        <item x="0"/>
        <item x="1"/>
        <item t="default"/>
      </items>
    </pivotField>
  </pivotFields>
  <rowFields>
    <field x="2"/>
  </rowFields>
  <dataFields>
    <dataField name="COUNT of T5-2026" fld="17" subtotal="countNums" baseField="0"/>
  </dataFields>
</pivotTableDefinition>
</file>

<file path=xl/pivotTables/pivotTable6.xml><?xml version="1.0" encoding="utf-8"?>
<pivotTableDefinition xmlns="http://schemas.openxmlformats.org/spreadsheetml/2006/main" name="BC02_Resource Summary_Old 3" cacheId="1" dataCaption="" compact="0" compactData="0">
  <location ref="D15:F20" firstHeaderRow="0" firstDataRow="2" firstDataCol="0"/>
  <pivotFields>
    <pivotField name="Dự án" axis="axisRow" compact="0" outline="0" multipleItemSelectionAllowed="1" showAll="0" sortType="ascending">
      <items>
        <item x="1"/>
        <item x="0"/>
        <item t="default"/>
      </items>
    </pivotField>
    <pivotField name="Nhân sự" compact="0" outline="0" multipleItemSelectionAllowed="1" showAll="0">
      <items>
        <item x="0"/>
        <item x="1"/>
        <item t="default"/>
      </items>
    </pivotField>
    <pivotField name="Vai trò trong dự án" axis="axisRow" compact="0" outline="0" multipleItemSelectionAllowed="1" showAll="0" sortType="ascending">
      <items>
        <item x="1"/>
        <item x="0"/>
        <item t="default"/>
      </items>
    </pivotField>
    <pivotField name="From Date" compact="0" numFmtId="164" outline="0" multipleItemSelectionAllowed="1" showAll="0">
      <items>
        <item x="0"/>
        <item x="1"/>
        <item t="default"/>
      </items>
    </pivotField>
    <pivotField name="To Date" compact="0" numFmtId="165" outline="0" multipleItemSelectionAllowed="1" showAll="0">
      <items>
        <item x="0"/>
        <item x="1"/>
        <item t="default"/>
      </items>
    </pivotField>
    <pivotField name="%" compact="0" numFmtId="9" outline="0" multipleItemSelectionAllowed="1" showAll="0">
      <items>
        <item x="0"/>
        <item x="1"/>
        <item t="default"/>
      </items>
    </pivotField>
    <pivotField name="T6-2025" compact="0" outline="0" multipleItemSelectionAllowed="1" showAll="0">
      <items>
        <item x="0"/>
        <item x="1"/>
        <item t="default"/>
      </items>
    </pivotField>
    <pivotField name="T7-2025" compact="0" outline="0" multipleItemSelectionAllowed="1" showAll="0">
      <items>
        <item x="0"/>
        <item x="1"/>
        <item t="default"/>
      </items>
    </pivotField>
    <pivotField name="T8-2025" compact="0" outline="0" multipleItemSelectionAllowed="1" showAll="0">
      <items>
        <item x="0"/>
        <item x="1"/>
        <item t="default"/>
      </items>
    </pivotField>
    <pivotField name="T9-2025" compact="0" outline="0" multipleItemSelectionAllowed="1" showAll="0">
      <items>
        <item x="0"/>
        <item x="1"/>
        <item t="default"/>
      </items>
    </pivotField>
    <pivotField name="T10-2025" compact="0" outline="0" multipleItemSelectionAllowed="1" showAll="0">
      <items>
        <item x="0"/>
        <item x="1"/>
        <item t="default"/>
      </items>
    </pivotField>
    <pivotField name="T11-2025" compact="0" outline="0" multipleItemSelectionAllowed="1" showAll="0">
      <items>
        <item x="0"/>
        <item x="1"/>
        <item t="default"/>
      </items>
    </pivotField>
    <pivotField name="T12-2025" compact="0" outline="0" multipleItemSelectionAllowed="1" showAll="0">
      <items>
        <item x="0"/>
        <item x="1"/>
        <item t="default"/>
      </items>
    </pivotField>
    <pivotField name="T1-2026" compact="0" numFmtId="9" outline="0" multipleItemSelectionAllowed="1" showAll="0">
      <items>
        <item x="0"/>
        <item x="1"/>
        <item t="default"/>
      </items>
    </pivotField>
    <pivotField name="T2-2026" compact="0" numFmtId="9" outline="0" multipleItemSelectionAllowed="1" showAll="0">
      <items>
        <item x="0"/>
        <item x="1"/>
        <item t="default"/>
      </items>
    </pivotField>
    <pivotField name="T3-2026" compact="0" numFmtId="9" outline="0" multipleItemSelectionAllowed="1" showAll="0">
      <items>
        <item x="0"/>
        <item x="1"/>
        <item t="default"/>
      </items>
    </pivotField>
    <pivotField name="T4-2026" compact="0" numFmtId="9" outline="0" multipleItemSelectionAllowed="1" showAll="0">
      <items>
        <item x="0"/>
        <item x="1"/>
        <item t="default"/>
      </items>
    </pivotField>
    <pivotField name="T5-2026" dataField="1" compact="0" numFmtId="9" outline="0" multipleItemSelectionAllowed="1" showAll="0">
      <items>
        <item x="0"/>
        <item x="1"/>
        <item t="default"/>
      </items>
    </pivotField>
    <pivotField name="T6-2026" compact="0" numFmtId="9" outline="0" multipleItemSelectionAllowed="1" showAll="0">
      <items>
        <item x="0"/>
        <item x="1"/>
        <item t="default"/>
      </items>
    </pivotField>
    <pivotField name="T7-2026" compact="0" numFmtId="9" outline="0" multipleItemSelectionAllowed="1" showAll="0">
      <items>
        <item x="0"/>
        <item x="1"/>
        <item t="default"/>
      </items>
    </pivotField>
    <pivotField name="T8-2026" compact="0" numFmtId="9" outline="0" multipleItemSelectionAllowed="1" showAll="0">
      <items>
        <item x="0"/>
        <item x="1"/>
        <item t="default"/>
      </items>
    </pivotField>
    <pivotField name="T9-2026" compact="0" numFmtId="9" outline="0" multipleItemSelectionAllowed="1" showAll="0">
      <items>
        <item x="0"/>
        <item x="1"/>
        <item t="default"/>
      </items>
    </pivotField>
    <pivotField name="T10-2026" compact="0" numFmtId="9" outline="0" multipleItemSelectionAllowed="1" showAll="0">
      <items>
        <item x="0"/>
        <item x="1"/>
        <item t="default"/>
      </items>
    </pivotField>
    <pivotField name="T11-2026" compact="0" numFmtId="9" outline="0" multipleItemSelectionAllowed="1" showAll="0">
      <items>
        <item x="0"/>
        <item x="1"/>
        <item t="default"/>
      </items>
    </pivotField>
    <pivotField name="T12-2026" compact="0" numFmtId="9" outline="0" multipleItemSelectionAllowed="1" showAll="0">
      <items>
        <item x="0"/>
        <item x="1"/>
        <item t="default"/>
      </items>
    </pivotField>
  </pivotFields>
  <rowFields>
    <field x="2"/>
    <field x="0"/>
  </rowFields>
  <dataFields>
    <dataField name="COUNT of T5-2026" fld="17" subtotal="countNums" baseField="0"/>
  </dataFields>
</pivotTableDefinition>
</file>

<file path=xl/pivotTables/pivotTable7.xml><?xml version="1.0" encoding="utf-8"?>
<pivotTableDefinition xmlns="http://schemas.openxmlformats.org/spreadsheetml/2006/main" name="BC02_Resource Summary_Old 4" cacheId="1" dataCaption="" compact="0" compactData="0">
  <location ref="A131:N136" firstHeaderRow="0" firstDataRow="3" firstDataCol="0"/>
  <pivotFields>
    <pivotField name="Dự án" compact="0" outline="0" multipleItemSelectionAllowed="1" showAll="0">
      <items>
        <item x="0"/>
        <item x="1"/>
        <item t="default"/>
      </items>
    </pivotField>
    <pivotField name="Nhân sự" axis="axisRow" compact="0" outline="0" multipleItemSelectionAllowed="1" showAll="0" sortType="ascending">
      <items>
        <item x="1"/>
        <item x="0"/>
        <item t="default"/>
      </items>
    </pivotField>
    <pivotField name="Vai trò trong dự án" axis="axisRow" compact="0" outline="0" multipleItemSelectionAllowed="1" showAll="0" sortType="ascending">
      <items>
        <item x="1"/>
        <item x="0"/>
        <item t="default"/>
      </items>
    </pivotField>
    <pivotField name="From Date" compact="0" numFmtId="164" outline="0" multipleItemSelectionAllowed="1" showAll="0">
      <items>
        <item x="0"/>
        <item x="1"/>
        <item t="default"/>
      </items>
    </pivotField>
    <pivotField name="To Date" compact="0" numFmtId="165" outline="0" multipleItemSelectionAllowed="1" showAll="0">
      <items>
        <item x="0"/>
        <item x="1"/>
        <item t="default"/>
      </items>
    </pivotField>
    <pivotField name="%" compact="0" numFmtId="9" outline="0" multipleItemSelectionAllowed="1" showAll="0">
      <items>
        <item x="0"/>
        <item x="1"/>
        <item t="default"/>
      </items>
    </pivotField>
    <pivotField name="T6-2025" dataField="1" compact="0" outline="0" multipleItemSelectionAllowed="1" showAll="0">
      <items>
        <item x="0"/>
        <item x="1"/>
        <item t="default"/>
      </items>
    </pivotField>
    <pivotField name="T7-2025" dataField="1" compact="0" outline="0" multipleItemSelectionAllowed="1" showAll="0">
      <items>
        <item x="0"/>
        <item x="1"/>
        <item t="default"/>
      </items>
    </pivotField>
    <pivotField name="T8-2025" dataField="1" compact="0" outline="0" multipleItemSelectionAllowed="1" showAll="0">
      <items>
        <item x="0"/>
        <item x="1"/>
        <item t="default"/>
      </items>
    </pivotField>
    <pivotField name="T9-2025" dataField="1" compact="0" outline="0" multipleItemSelectionAllowed="1" showAll="0">
      <items>
        <item x="0"/>
        <item x="1"/>
        <item t="default"/>
      </items>
    </pivotField>
    <pivotField name="T10-2025" dataField="1" compact="0" outline="0" multipleItemSelectionAllowed="1" showAll="0">
      <items>
        <item x="0"/>
        <item x="1"/>
        <item t="default"/>
      </items>
    </pivotField>
    <pivotField name="T11-2025" dataField="1" compact="0" outline="0" multipleItemSelectionAllowed="1" showAll="0">
      <items>
        <item x="0"/>
        <item x="1"/>
        <item t="default"/>
      </items>
    </pivotField>
    <pivotField name="T12-2025" dataField="1" compact="0" outline="0" multipleItemSelectionAllowed="1" showAll="0">
      <items>
        <item x="0"/>
        <item x="1"/>
        <item t="default"/>
      </items>
    </pivotField>
    <pivotField name="T1-2026" dataField="1" compact="0" numFmtId="9" outline="0" multipleItemSelectionAllowed="1" showAll="0">
      <items>
        <item x="0"/>
        <item x="1"/>
        <item t="default"/>
      </items>
    </pivotField>
    <pivotField name="T2-2026" dataField="1" compact="0" numFmtId="9" outline="0" multipleItemSelectionAllowed="1" showAll="0">
      <items>
        <item x="0"/>
        <item x="1"/>
        <item t="default"/>
      </items>
    </pivotField>
    <pivotField name="T3-2026" dataField="1" compact="0" numFmtId="9" outline="0" multipleItemSelectionAllowed="1" showAll="0">
      <items>
        <item x="0"/>
        <item x="1"/>
        <item t="default"/>
      </items>
    </pivotField>
    <pivotField name="T4-2026" dataField="1" compact="0" numFmtId="9" outline="0" multipleItemSelectionAllowed="1" showAll="0">
      <items>
        <item x="0"/>
        <item x="1"/>
        <item t="default"/>
      </items>
    </pivotField>
    <pivotField name="T5-2026" dataField="1" compact="0" numFmtId="9" outline="0" multipleItemSelectionAllowed="1" showAll="0">
      <items>
        <item x="0"/>
        <item x="1"/>
        <item t="default"/>
      </items>
    </pivotField>
    <pivotField name="T6-2026" compact="0" numFmtId="9" outline="0" multipleItemSelectionAllowed="1" showAll="0">
      <items>
        <item x="0"/>
        <item x="1"/>
        <item t="default"/>
      </items>
    </pivotField>
    <pivotField name="T7-2026" compact="0" numFmtId="9" outline="0" multipleItemSelectionAllowed="1" showAll="0">
      <items>
        <item x="0"/>
        <item x="1"/>
        <item t="default"/>
      </items>
    </pivotField>
    <pivotField name="T8-2026" compact="0" numFmtId="9" outline="0" multipleItemSelectionAllowed="1" showAll="0">
      <items>
        <item x="0"/>
        <item x="1"/>
        <item t="default"/>
      </items>
    </pivotField>
    <pivotField name="T9-2026" compact="0" numFmtId="9" outline="0" multipleItemSelectionAllowed="1" showAll="0">
      <items>
        <item x="0"/>
        <item x="1"/>
        <item t="default"/>
      </items>
    </pivotField>
    <pivotField name="T10-2026" compact="0" numFmtId="9" outline="0" multipleItemSelectionAllowed="1" showAll="0">
      <items>
        <item x="0"/>
        <item x="1"/>
        <item t="default"/>
      </items>
    </pivotField>
    <pivotField name="T11-2026" compact="0" numFmtId="9" outline="0" multipleItemSelectionAllowed="1" showAll="0">
      <items>
        <item x="0"/>
        <item x="1"/>
        <item t="default"/>
      </items>
    </pivotField>
    <pivotField name="T12-2026" compact="0" numFmtId="9" outline="0" multipleItemSelectionAllowed="1" showAll="0">
      <items>
        <item x="0"/>
        <item x="1"/>
        <item t="default"/>
      </items>
    </pivotField>
  </pivotFields>
  <rowFields>
    <field x="2"/>
    <field x="1"/>
  </rowFields>
  <colFields>
    <field x="-2"/>
  </colFields>
  <dataFields>
    <dataField name="SUM of T6-2025" fld="6" baseField="0"/>
    <dataField name="SUM of T7-2025" fld="7" baseField="0"/>
    <dataField name="SUM of T8-2025" fld="8" baseField="0"/>
    <dataField name="SUM of T9-2025" fld="9" baseField="0"/>
    <dataField name="SUM of T10-2025" fld="10" baseField="0"/>
    <dataField name="SUM of T11-2025" fld="11" baseField="0"/>
    <dataField name="SUM of T12-2025" fld="12" baseField="0"/>
    <dataField name="SUM of T1-2026" fld="13" baseField="0"/>
    <dataField name="SUM of T2-2026" fld="14" baseField="0"/>
    <dataField name="SUM of T3-2026" fld="15" baseField="0"/>
    <dataField name="SUM of T4-2026" fld="16" baseField="0"/>
    <dataField name="SUM of T5-2026" fld="17" baseField="0"/>
  </dataFields>
</pivotTableDefinition>
</file>

<file path=xl/pivotTables/pivotTable8.xml><?xml version="1.0" encoding="utf-8"?>
<pivotTableDefinition xmlns="http://schemas.openxmlformats.org/spreadsheetml/2006/main" name="BC03_Timeline Summary" cacheId="2" dataCaption="" rowGrandTotals="0" compact="0" compactData="0">
  <location ref="A16:E23" firstHeaderRow="0" firstDataRow="2" firstDataCol="0"/>
  <pivotFields>
    <pivotField name="Mã Sản phẩm" axis="axisRow" compact="0" numFmtId="49" outline="0" multipleItemSelectionAllowed="1" showAll="0" sortType="ascending" defaultSubtotal="0">
      <items>
        <item h="1" x="1"/>
        <item h="1" x="0"/>
      </items>
    </pivotField>
    <pivotField name="Sản phẩm" compact="0" outline="0" multipleItemSelectionAllowed="1" showAll="0">
      <items>
        <item x="0"/>
        <item t="default"/>
      </items>
    </pivotField>
    <pivotField name="PM" compact="0" outline="0" multipleItemSelectionAllowed="1" showAll="0">
      <items>
        <item x="0"/>
        <item t="default"/>
      </items>
    </pivotField>
    <pivotField name="Start Date" compact="0" outline="0" multipleItemSelectionAllowed="1" showAll="0">
      <items>
        <item x="0"/>
        <item t="default"/>
      </items>
    </pivotField>
    <pivotField name="End Date" compact="0" outline="0" multipleItemSelectionAllowed="1" showAll="0">
      <items>
        <item x="0"/>
        <item t="default"/>
      </items>
    </pivotField>
    <pivotField name="Trạng thái dự án" compact="0" outline="0" multipleItemSelectionAllowed="1" showAll="0">
      <items>
        <item x="0"/>
        <item t="default"/>
      </items>
    </pivotField>
    <pivotField name="Giai đoạn hiện tại" compact="0" outline="0" multipleItemSelectionAllowed="1" showAll="0">
      <items>
        <item x="0"/>
        <item t="default"/>
      </items>
    </pivotField>
    <pivotField name="Đã có kế hoạch công việc?" axis="axisRow" compact="0" numFmtId="49" outline="0" multipleItemSelectionAllowed="1" showAll="0" sortType="ascending">
      <items>
        <item x="0"/>
        <item t="default"/>
      </items>
    </pivotField>
  </pivotFields>
  <rowFields>
    <field x="0"/>
    <field x="7"/>
  </rowFields>
</pivotTableDefinition>
</file>

<file path=xl/tables/table1.xml><?xml version="1.0" encoding="utf-8"?>
<table xmlns="http://schemas.openxmlformats.org/spreadsheetml/2006/main" ref="A1:F991" displayName="Table_1" name="Table_1" id="1">
  <tableColumns count="6">
    <tableColumn name="No." id="1"/>
    <tableColumn name="Chủ đầu tư" id="2"/>
    <tableColumn name="Tên chủ đầu tư" id="3"/>
    <tableColumn name="Đơn vị thụ hưởng" id="4"/>
    <tableColumn name="Tên đơn vị thụ hưởng" id="5"/>
    <tableColumn name="Mã Đề án" id="6"/>
  </tableColumns>
  <tableStyleInfo name="DS Khách hàng-style" showColumnStripes="0" showFirstColumn="1" showLastColumn="1" showRowStripes="1"/>
</table>
</file>

<file path=xl/tables/table2.xml><?xml version="1.0" encoding="utf-8"?>
<table xmlns="http://schemas.openxmlformats.org/spreadsheetml/2006/main" headerRowCount="0" ref="D114:D159" displayName="Table_2" name="Table_2" id="2">
  <tableColumns count="1">
    <tableColumn name="Column1" id="1"/>
  </tableColumns>
  <tableStyleInfo name="4.Phân bổ nguồn lực-style" showColumnStripes="0" showFirstColumn="1" showLastColumn="1" showRowStripes="1"/>
</table>
</file>

<file path=xl/tables/table3.xml><?xml version="1.0" encoding="utf-8"?>
<table xmlns="http://schemas.openxmlformats.org/spreadsheetml/2006/main" headerRowCount="0" ref="D47:D79" displayName="Table_3" name="Table_3" id="3">
  <tableColumns count="1">
    <tableColumn name="Column1" id="1"/>
  </tableColumns>
  <tableStyleInfo name="Phân bổ nguồn lực_Ol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 Id="rId5"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5" Type="http://schemas.openxmlformats.org/officeDocument/2006/relationships/drawing" Target="../drawings/drawing10.xml"/><Relationship Id="rId6"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pivotTable" Target="../pivotTables/pivotTable4.xml"/><Relationship Id="rId3" Type="http://schemas.openxmlformats.org/officeDocument/2006/relationships/pivotTable" Target="../pivotTables/pivotTable5.xml"/><Relationship Id="rId4" Type="http://schemas.openxmlformats.org/officeDocument/2006/relationships/pivotTable" Target="../pivotTables/pivotTable6.xml"/><Relationship Id="rId5" Type="http://schemas.openxmlformats.org/officeDocument/2006/relationships/pivotTable" Target="../pivotTables/pivotTable7.xml"/><Relationship Id="rId6" Type="http://schemas.openxmlformats.org/officeDocument/2006/relationships/drawing" Target="../drawings/drawing11.xml"/><Relationship Id="rId7"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pivotTable" Target="../pivotTables/pivotTable8.xml"/><Relationship Id="rId3" Type="http://schemas.openxmlformats.org/officeDocument/2006/relationships/drawing" Target="../drawings/drawing12.xml"/><Relationship Id="rId4"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hyperlink" Target="mailto:truong.nv@namitech.i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trang.dt@namitech.i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anh.nh1@namitech.io"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7.89"/>
    <col customWidth="1" min="2" max="2" width="16.44"/>
    <col customWidth="1" min="3" max="3" width="24.44"/>
    <col customWidth="1" min="4" max="4" width="17.56"/>
    <col customWidth="1" min="5" max="5" width="36.89"/>
    <col customWidth="1" min="6" max="6" width="28.11"/>
  </cols>
  <sheetData>
    <row r="1" ht="29.2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c r="AB1" s="2"/>
    </row>
    <row r="2">
      <c r="A2" s="3"/>
      <c r="B2" s="4"/>
      <c r="C2" s="4"/>
      <c r="D2" s="5"/>
      <c r="E2" s="5"/>
      <c r="F2" s="6"/>
      <c r="G2" s="2"/>
      <c r="H2" s="2"/>
      <c r="I2" s="2"/>
      <c r="J2" s="2"/>
      <c r="K2" s="2"/>
      <c r="L2" s="2"/>
      <c r="M2" s="2"/>
      <c r="N2" s="2"/>
      <c r="O2" s="2"/>
      <c r="P2" s="2"/>
      <c r="Q2" s="2"/>
      <c r="R2" s="2"/>
      <c r="S2" s="2"/>
      <c r="T2" s="2"/>
      <c r="U2" s="2"/>
      <c r="V2" s="2"/>
      <c r="W2" s="2"/>
      <c r="X2" s="2"/>
      <c r="Y2" s="2"/>
      <c r="Z2" s="2"/>
      <c r="AA2" s="2"/>
      <c r="AB2" s="2"/>
    </row>
    <row r="3">
      <c r="A3" s="3"/>
      <c r="B3" s="4"/>
      <c r="C3" s="4"/>
      <c r="D3" s="5"/>
      <c r="E3" s="5"/>
      <c r="F3" s="4"/>
      <c r="G3" s="2"/>
      <c r="H3" s="2"/>
      <c r="I3" s="2"/>
      <c r="J3" s="2"/>
      <c r="K3" s="2"/>
      <c r="L3" s="2"/>
      <c r="M3" s="2"/>
      <c r="N3" s="2"/>
      <c r="O3" s="2"/>
      <c r="P3" s="2"/>
      <c r="Q3" s="2"/>
      <c r="R3" s="2"/>
      <c r="S3" s="2"/>
      <c r="T3" s="2"/>
      <c r="U3" s="2"/>
      <c r="V3" s="2"/>
      <c r="W3" s="2"/>
      <c r="X3" s="2"/>
      <c r="Y3" s="2"/>
      <c r="Z3" s="2"/>
      <c r="AA3" s="2"/>
      <c r="AB3" s="2"/>
    </row>
    <row r="4">
      <c r="A4" s="3"/>
      <c r="B4" s="4"/>
      <c r="C4" s="4"/>
      <c r="D4" s="5"/>
      <c r="E4" s="5"/>
      <c r="F4" s="4"/>
      <c r="G4" s="2"/>
      <c r="H4" s="2"/>
      <c r="I4" s="2"/>
      <c r="J4" s="2"/>
      <c r="K4" s="2"/>
      <c r="L4" s="2"/>
      <c r="M4" s="2"/>
      <c r="N4" s="2"/>
      <c r="O4" s="2"/>
      <c r="P4" s="2"/>
      <c r="Q4" s="2"/>
      <c r="R4" s="2"/>
      <c r="S4" s="2"/>
      <c r="T4" s="2"/>
      <c r="U4" s="2"/>
      <c r="V4" s="2"/>
      <c r="W4" s="2"/>
      <c r="X4" s="2"/>
      <c r="Y4" s="2"/>
      <c r="Z4" s="2"/>
      <c r="AA4" s="2"/>
      <c r="AB4" s="2"/>
    </row>
    <row r="5">
      <c r="A5" s="3"/>
      <c r="B5" s="4"/>
      <c r="C5" s="4"/>
      <c r="D5" s="5"/>
      <c r="E5" s="5"/>
      <c r="F5" s="4"/>
      <c r="G5" s="2"/>
      <c r="H5" s="2"/>
      <c r="I5" s="2"/>
      <c r="J5" s="2"/>
      <c r="K5" s="2"/>
      <c r="L5" s="2"/>
      <c r="M5" s="2"/>
      <c r="N5" s="2"/>
      <c r="O5" s="2"/>
      <c r="P5" s="2"/>
      <c r="Q5" s="2"/>
      <c r="R5" s="2"/>
      <c r="S5" s="2"/>
      <c r="T5" s="2"/>
      <c r="U5" s="2"/>
      <c r="V5" s="2"/>
      <c r="W5" s="2"/>
      <c r="X5" s="2"/>
      <c r="Y5" s="2"/>
      <c r="Z5" s="2"/>
      <c r="AA5" s="2"/>
      <c r="AB5" s="2"/>
    </row>
    <row r="6">
      <c r="A6" s="3"/>
      <c r="B6" s="4"/>
      <c r="C6" s="4"/>
      <c r="D6" s="5"/>
      <c r="E6" s="5"/>
      <c r="F6" s="4"/>
      <c r="G6" s="2"/>
      <c r="H6" s="2"/>
      <c r="I6" s="2"/>
      <c r="J6" s="2"/>
      <c r="K6" s="2"/>
      <c r="L6" s="2"/>
      <c r="M6" s="2"/>
      <c r="N6" s="2"/>
      <c r="O6" s="2"/>
      <c r="P6" s="2"/>
      <c r="Q6" s="2"/>
      <c r="R6" s="2"/>
      <c r="S6" s="2"/>
      <c r="T6" s="2"/>
      <c r="U6" s="2"/>
      <c r="V6" s="2"/>
      <c r="W6" s="2"/>
      <c r="X6" s="2"/>
      <c r="Y6" s="2"/>
      <c r="Z6" s="2"/>
      <c r="AA6" s="2"/>
      <c r="AB6" s="2"/>
    </row>
    <row r="7">
      <c r="A7" s="3"/>
      <c r="B7" s="4"/>
      <c r="C7" s="4"/>
      <c r="D7" s="5"/>
      <c r="E7" s="5"/>
      <c r="F7" s="4"/>
      <c r="G7" s="2"/>
      <c r="H7" s="2"/>
      <c r="I7" s="2"/>
      <c r="J7" s="2"/>
      <c r="K7" s="2"/>
      <c r="L7" s="2"/>
      <c r="M7" s="2"/>
      <c r="N7" s="2"/>
      <c r="O7" s="2"/>
      <c r="P7" s="2"/>
      <c r="Q7" s="2"/>
      <c r="R7" s="2"/>
      <c r="S7" s="2"/>
      <c r="T7" s="2"/>
      <c r="U7" s="2"/>
      <c r="V7" s="2"/>
      <c r="W7" s="2"/>
      <c r="X7" s="2"/>
      <c r="Y7" s="2"/>
      <c r="Z7" s="2"/>
      <c r="AA7" s="2"/>
      <c r="AB7" s="2"/>
    </row>
    <row r="8">
      <c r="A8" s="3"/>
      <c r="B8" s="4"/>
      <c r="C8" s="4"/>
      <c r="D8" s="5"/>
      <c r="E8" s="5"/>
      <c r="F8" s="4"/>
      <c r="G8" s="2"/>
      <c r="H8" s="2"/>
      <c r="I8" s="2"/>
      <c r="J8" s="2"/>
      <c r="K8" s="2"/>
      <c r="L8" s="2"/>
      <c r="M8" s="2"/>
      <c r="N8" s="2"/>
      <c r="O8" s="2"/>
      <c r="P8" s="2"/>
      <c r="Q8" s="2"/>
      <c r="R8" s="2"/>
      <c r="S8" s="2"/>
      <c r="T8" s="2"/>
      <c r="U8" s="2"/>
      <c r="V8" s="2"/>
      <c r="W8" s="2"/>
      <c r="X8" s="2"/>
      <c r="Y8" s="2"/>
      <c r="Z8" s="2"/>
      <c r="AA8" s="2"/>
      <c r="AB8" s="2"/>
    </row>
    <row r="9">
      <c r="A9" s="3"/>
      <c r="B9" s="4"/>
      <c r="C9" s="4"/>
      <c r="D9" s="5"/>
      <c r="E9" s="5"/>
      <c r="F9" s="4"/>
      <c r="G9" s="2"/>
      <c r="H9" s="2"/>
      <c r="I9" s="2"/>
      <c r="J9" s="2"/>
      <c r="K9" s="2"/>
      <c r="L9" s="2"/>
      <c r="M9" s="2"/>
      <c r="N9" s="2"/>
      <c r="O9" s="2"/>
      <c r="P9" s="2"/>
      <c r="Q9" s="2"/>
      <c r="R9" s="2"/>
      <c r="S9" s="2"/>
      <c r="T9" s="2"/>
      <c r="U9" s="2"/>
      <c r="V9" s="2"/>
      <c r="W9" s="2"/>
      <c r="X9" s="2"/>
      <c r="Y9" s="2"/>
      <c r="Z9" s="2"/>
      <c r="AA9" s="2"/>
      <c r="AB9" s="2"/>
    </row>
    <row r="10">
      <c r="A10" s="3"/>
      <c r="B10" s="7"/>
      <c r="C10" s="7"/>
      <c r="D10" s="5"/>
      <c r="E10" s="5"/>
      <c r="F10" s="4"/>
      <c r="G10" s="2"/>
      <c r="H10" s="2"/>
      <c r="I10" s="2"/>
      <c r="J10" s="2"/>
      <c r="K10" s="2"/>
      <c r="L10" s="2"/>
      <c r="M10" s="2"/>
      <c r="N10" s="2"/>
      <c r="O10" s="2"/>
      <c r="P10" s="2"/>
      <c r="Q10" s="2"/>
      <c r="R10" s="2"/>
      <c r="S10" s="2"/>
      <c r="T10" s="2"/>
      <c r="U10" s="2"/>
      <c r="V10" s="2"/>
      <c r="W10" s="2"/>
      <c r="X10" s="2"/>
      <c r="Y10" s="2"/>
      <c r="Z10" s="2"/>
      <c r="AA10" s="2"/>
      <c r="AB10" s="2"/>
    </row>
    <row r="11">
      <c r="A11" s="3"/>
      <c r="B11" s="4"/>
      <c r="C11" s="4"/>
      <c r="D11" s="5"/>
      <c r="E11" s="5"/>
      <c r="F11" s="4"/>
      <c r="G11" s="2"/>
      <c r="H11" s="2"/>
      <c r="I11" s="2"/>
      <c r="J11" s="2"/>
      <c r="K11" s="2"/>
      <c r="L11" s="2"/>
      <c r="M11" s="2"/>
      <c r="N11" s="2"/>
      <c r="O11" s="2"/>
      <c r="P11" s="2"/>
      <c r="Q11" s="2"/>
      <c r="R11" s="2"/>
      <c r="S11" s="2"/>
      <c r="T11" s="2"/>
      <c r="U11" s="2"/>
      <c r="V11" s="2"/>
      <c r="W11" s="2"/>
      <c r="X11" s="2"/>
      <c r="Y11" s="2"/>
      <c r="Z11" s="2"/>
      <c r="AA11" s="2"/>
      <c r="AB11" s="2"/>
    </row>
    <row r="12">
      <c r="A12" s="3"/>
      <c r="B12" s="7"/>
      <c r="C12" s="7"/>
      <c r="D12" s="5"/>
      <c r="E12" s="5"/>
      <c r="F12" s="4"/>
      <c r="G12" s="2"/>
      <c r="H12" s="2"/>
      <c r="I12" s="2"/>
      <c r="J12" s="2"/>
      <c r="K12" s="2"/>
      <c r="L12" s="2"/>
      <c r="M12" s="2"/>
      <c r="N12" s="2"/>
      <c r="O12" s="2"/>
      <c r="P12" s="2"/>
      <c r="Q12" s="2"/>
      <c r="R12" s="2"/>
      <c r="S12" s="2"/>
      <c r="T12" s="2"/>
      <c r="U12" s="2"/>
      <c r="V12" s="2"/>
      <c r="W12" s="2"/>
      <c r="X12" s="2"/>
      <c r="Y12" s="2"/>
      <c r="Z12" s="2"/>
      <c r="AA12" s="2"/>
      <c r="AB12" s="2"/>
    </row>
    <row r="13">
      <c r="A13" s="3"/>
      <c r="B13" s="7"/>
      <c r="C13" s="7"/>
      <c r="D13" s="5"/>
      <c r="E13" s="5"/>
      <c r="F13" s="4"/>
      <c r="G13" s="2"/>
      <c r="H13" s="2"/>
      <c r="I13" s="2"/>
      <c r="J13" s="2"/>
      <c r="K13" s="2"/>
      <c r="L13" s="2"/>
      <c r="M13" s="2"/>
      <c r="N13" s="2"/>
      <c r="O13" s="2"/>
      <c r="P13" s="2"/>
      <c r="Q13" s="2"/>
      <c r="R13" s="2"/>
      <c r="S13" s="2"/>
      <c r="T13" s="2"/>
      <c r="U13" s="2"/>
      <c r="V13" s="2"/>
      <c r="W13" s="2"/>
      <c r="X13" s="2"/>
      <c r="Y13" s="2"/>
      <c r="Z13" s="2"/>
      <c r="AA13" s="2"/>
      <c r="AB13" s="2"/>
    </row>
    <row r="14">
      <c r="A14" s="3"/>
      <c r="B14" s="7"/>
      <c r="C14" s="7"/>
      <c r="D14" s="5"/>
      <c r="E14" s="5"/>
      <c r="F14" s="4"/>
      <c r="G14" s="2"/>
      <c r="H14" s="2"/>
      <c r="I14" s="2"/>
      <c r="J14" s="2"/>
      <c r="K14" s="2"/>
      <c r="L14" s="2"/>
      <c r="M14" s="2"/>
      <c r="N14" s="2"/>
      <c r="O14" s="2"/>
      <c r="P14" s="2"/>
      <c r="Q14" s="2"/>
      <c r="R14" s="2"/>
      <c r="S14" s="2"/>
      <c r="T14" s="2"/>
      <c r="U14" s="2"/>
      <c r="V14" s="2"/>
      <c r="W14" s="2"/>
      <c r="X14" s="2"/>
      <c r="Y14" s="2"/>
      <c r="Z14" s="2"/>
      <c r="AA14" s="2"/>
      <c r="AB14" s="2"/>
    </row>
    <row r="15">
      <c r="A15" s="8"/>
      <c r="B15" s="9"/>
      <c r="C15" s="9"/>
      <c r="D15" s="8"/>
      <c r="E15" s="8"/>
      <c r="F15" s="10"/>
      <c r="G15" s="2"/>
      <c r="H15" s="2"/>
      <c r="I15" s="2"/>
      <c r="J15" s="2"/>
      <c r="K15" s="2"/>
      <c r="L15" s="2"/>
      <c r="M15" s="2"/>
      <c r="N15" s="2"/>
      <c r="O15" s="2"/>
      <c r="P15" s="2"/>
      <c r="Q15" s="2"/>
      <c r="R15" s="2"/>
      <c r="S15" s="2"/>
      <c r="T15" s="2"/>
      <c r="U15" s="2"/>
      <c r="V15" s="2"/>
      <c r="W15" s="2"/>
      <c r="X15" s="2"/>
      <c r="Y15" s="2"/>
      <c r="Z15" s="2"/>
      <c r="AA15" s="2"/>
      <c r="AB15" s="2"/>
    </row>
    <row r="16">
      <c r="A16" s="8"/>
      <c r="B16" s="9"/>
      <c r="C16" s="9"/>
      <c r="D16" s="8"/>
      <c r="E16" s="8"/>
      <c r="F16" s="10"/>
      <c r="G16" s="2"/>
      <c r="H16" s="2"/>
      <c r="I16" s="2"/>
      <c r="J16" s="2"/>
      <c r="K16" s="2"/>
      <c r="L16" s="2"/>
      <c r="M16" s="2"/>
      <c r="N16" s="2"/>
      <c r="O16" s="2"/>
      <c r="P16" s="2"/>
      <c r="Q16" s="2"/>
      <c r="R16" s="2"/>
      <c r="S16" s="2"/>
      <c r="T16" s="2"/>
      <c r="U16" s="2"/>
      <c r="V16" s="2"/>
      <c r="W16" s="2"/>
      <c r="X16" s="2"/>
      <c r="Y16" s="2"/>
      <c r="Z16" s="2"/>
      <c r="AA16" s="2"/>
      <c r="AB16" s="2"/>
    </row>
    <row r="17">
      <c r="A17" s="8"/>
      <c r="B17" s="9"/>
      <c r="C17" s="9"/>
      <c r="D17" s="8"/>
      <c r="E17" s="8"/>
      <c r="F17" s="10"/>
      <c r="G17" s="2"/>
      <c r="H17" s="2"/>
      <c r="I17" s="2"/>
      <c r="J17" s="2"/>
      <c r="K17" s="2"/>
      <c r="L17" s="2"/>
      <c r="M17" s="2"/>
      <c r="N17" s="2"/>
      <c r="O17" s="2"/>
      <c r="P17" s="2"/>
      <c r="Q17" s="2"/>
      <c r="R17" s="2"/>
      <c r="S17" s="2"/>
      <c r="T17" s="2"/>
      <c r="U17" s="2"/>
      <c r="V17" s="2"/>
      <c r="W17" s="2"/>
      <c r="X17" s="2"/>
      <c r="Y17" s="2"/>
      <c r="Z17" s="2"/>
      <c r="AA17" s="2"/>
      <c r="AB17" s="2"/>
    </row>
    <row r="18">
      <c r="A18" s="8"/>
      <c r="B18" s="9"/>
      <c r="C18" s="9"/>
      <c r="D18" s="8"/>
      <c r="E18" s="8"/>
      <c r="F18" s="10"/>
      <c r="G18" s="2"/>
      <c r="H18" s="2"/>
      <c r="I18" s="2"/>
      <c r="J18" s="2"/>
      <c r="K18" s="2"/>
      <c r="L18" s="2"/>
      <c r="M18" s="2"/>
      <c r="N18" s="2"/>
      <c r="O18" s="2"/>
      <c r="P18" s="2"/>
      <c r="Q18" s="2"/>
      <c r="R18" s="2"/>
      <c r="S18" s="2"/>
      <c r="T18" s="2"/>
      <c r="U18" s="2"/>
      <c r="V18" s="2"/>
      <c r="W18" s="2"/>
      <c r="X18" s="2"/>
      <c r="Y18" s="2"/>
      <c r="Z18" s="2"/>
      <c r="AA18" s="2"/>
      <c r="AB18" s="2"/>
    </row>
    <row r="19">
      <c r="A19" s="8"/>
      <c r="B19" s="9"/>
      <c r="C19" s="9"/>
      <c r="D19" s="8"/>
      <c r="E19" s="8"/>
      <c r="F19" s="10"/>
      <c r="G19" s="2"/>
      <c r="H19" s="2"/>
      <c r="I19" s="2"/>
      <c r="J19" s="2"/>
      <c r="K19" s="2"/>
      <c r="L19" s="2"/>
      <c r="M19" s="2"/>
      <c r="N19" s="2"/>
      <c r="O19" s="2"/>
      <c r="P19" s="2"/>
      <c r="Q19" s="2"/>
      <c r="R19" s="2"/>
      <c r="S19" s="2"/>
      <c r="T19" s="2"/>
      <c r="U19" s="2"/>
      <c r="V19" s="2"/>
      <c r="W19" s="2"/>
      <c r="X19" s="2"/>
      <c r="Y19" s="2"/>
      <c r="Z19" s="2"/>
      <c r="AA19" s="2"/>
      <c r="AB19" s="2"/>
    </row>
    <row r="20">
      <c r="A20" s="8"/>
      <c r="B20" s="9"/>
      <c r="C20" s="9"/>
      <c r="D20" s="8"/>
      <c r="E20" s="8"/>
      <c r="F20" s="10"/>
      <c r="G20" s="2"/>
      <c r="H20" s="2"/>
      <c r="I20" s="2"/>
      <c r="J20" s="2"/>
      <c r="K20" s="2"/>
      <c r="L20" s="2"/>
      <c r="M20" s="2"/>
      <c r="N20" s="2"/>
      <c r="O20" s="2"/>
      <c r="P20" s="2"/>
      <c r="Q20" s="2"/>
      <c r="R20" s="2"/>
      <c r="S20" s="2"/>
      <c r="T20" s="2"/>
      <c r="U20" s="2"/>
      <c r="V20" s="2"/>
      <c r="W20" s="2"/>
      <c r="X20" s="2"/>
      <c r="Y20" s="2"/>
      <c r="Z20" s="2"/>
      <c r="AA20" s="2"/>
      <c r="AB20" s="2"/>
    </row>
    <row r="21">
      <c r="A21" s="8"/>
      <c r="B21" s="9"/>
      <c r="C21" s="9"/>
      <c r="D21" s="8"/>
      <c r="E21" s="8"/>
      <c r="F21" s="10"/>
      <c r="G21" s="2"/>
      <c r="H21" s="2"/>
      <c r="I21" s="2"/>
      <c r="J21" s="2"/>
      <c r="K21" s="2"/>
      <c r="L21" s="2"/>
      <c r="M21" s="2"/>
      <c r="N21" s="2"/>
      <c r="O21" s="2"/>
      <c r="P21" s="2"/>
      <c r="Q21" s="2"/>
      <c r="R21" s="2"/>
      <c r="S21" s="2"/>
      <c r="T21" s="2"/>
      <c r="U21" s="2"/>
      <c r="V21" s="2"/>
      <c r="W21" s="2"/>
      <c r="X21" s="2"/>
      <c r="Y21" s="2"/>
      <c r="Z21" s="2"/>
      <c r="AA21" s="2"/>
      <c r="AB21" s="2"/>
    </row>
    <row r="22">
      <c r="A22" s="8"/>
      <c r="B22" s="9"/>
      <c r="C22" s="9"/>
      <c r="D22" s="8"/>
      <c r="E22" s="8"/>
      <c r="F22" s="10"/>
      <c r="G22" s="2"/>
      <c r="H22" s="2"/>
      <c r="I22" s="2"/>
      <c r="J22" s="2"/>
      <c r="K22" s="2"/>
      <c r="L22" s="2"/>
      <c r="M22" s="2"/>
      <c r="N22" s="2"/>
      <c r="O22" s="2"/>
      <c r="P22" s="2"/>
      <c r="Q22" s="2"/>
      <c r="R22" s="2"/>
      <c r="S22" s="2"/>
      <c r="T22" s="2"/>
      <c r="U22" s="2"/>
      <c r="V22" s="2"/>
      <c r="W22" s="2"/>
      <c r="X22" s="2"/>
      <c r="Y22" s="2"/>
      <c r="Z22" s="2"/>
      <c r="AA22" s="2"/>
      <c r="AB22" s="2"/>
    </row>
    <row r="23">
      <c r="A23" s="8"/>
      <c r="B23" s="9"/>
      <c r="C23" s="9"/>
      <c r="D23" s="8"/>
      <c r="E23" s="8"/>
      <c r="F23" s="10"/>
      <c r="G23" s="2"/>
      <c r="H23" s="2"/>
      <c r="I23" s="2"/>
      <c r="J23" s="2"/>
      <c r="K23" s="2"/>
      <c r="L23" s="2"/>
      <c r="M23" s="2"/>
      <c r="N23" s="2"/>
      <c r="O23" s="2"/>
      <c r="P23" s="2"/>
      <c r="Q23" s="2"/>
      <c r="R23" s="2"/>
      <c r="S23" s="2"/>
      <c r="T23" s="2"/>
      <c r="U23" s="2"/>
      <c r="V23" s="2"/>
      <c r="W23" s="2"/>
      <c r="X23" s="2"/>
      <c r="Y23" s="2"/>
      <c r="Z23" s="2"/>
      <c r="AA23" s="2"/>
      <c r="AB23" s="2"/>
    </row>
    <row r="24">
      <c r="A24" s="8"/>
      <c r="B24" s="9"/>
      <c r="C24" s="9"/>
      <c r="D24" s="8"/>
      <c r="E24" s="8"/>
      <c r="F24" s="10"/>
      <c r="G24" s="2"/>
      <c r="H24" s="2"/>
      <c r="I24" s="2"/>
      <c r="J24" s="2"/>
      <c r="K24" s="2"/>
      <c r="L24" s="2"/>
      <c r="M24" s="2"/>
      <c r="N24" s="2"/>
      <c r="O24" s="2"/>
      <c r="P24" s="2"/>
      <c r="Q24" s="2"/>
      <c r="R24" s="2"/>
      <c r="S24" s="2"/>
      <c r="T24" s="2"/>
      <c r="U24" s="2"/>
      <c r="V24" s="2"/>
      <c r="W24" s="2"/>
      <c r="X24" s="2"/>
      <c r="Y24" s="2"/>
      <c r="Z24" s="2"/>
      <c r="AA24" s="2"/>
      <c r="AB24" s="2"/>
    </row>
    <row r="25">
      <c r="A25" s="8"/>
      <c r="B25" s="9"/>
      <c r="C25" s="9"/>
      <c r="D25" s="8"/>
      <c r="E25" s="8"/>
      <c r="F25" s="10"/>
      <c r="G25" s="2"/>
      <c r="H25" s="2"/>
      <c r="I25" s="2"/>
      <c r="J25" s="2"/>
      <c r="K25" s="2"/>
      <c r="L25" s="2"/>
      <c r="M25" s="2"/>
      <c r="N25" s="2"/>
      <c r="O25" s="2"/>
      <c r="P25" s="2"/>
      <c r="Q25" s="2"/>
      <c r="R25" s="2"/>
      <c r="S25" s="2"/>
      <c r="T25" s="2"/>
      <c r="U25" s="2"/>
      <c r="V25" s="2"/>
      <c r="W25" s="2"/>
      <c r="X25" s="2"/>
      <c r="Y25" s="2"/>
      <c r="Z25" s="2"/>
      <c r="AA25" s="2"/>
      <c r="AB25" s="2"/>
    </row>
    <row r="26">
      <c r="A26" s="8"/>
      <c r="B26" s="9"/>
      <c r="C26" s="9"/>
      <c r="D26" s="8"/>
      <c r="E26" s="8"/>
      <c r="F26" s="10"/>
      <c r="G26" s="2"/>
      <c r="H26" s="2"/>
      <c r="I26" s="2"/>
      <c r="J26" s="2"/>
      <c r="K26" s="2"/>
      <c r="L26" s="2"/>
      <c r="M26" s="2"/>
      <c r="N26" s="2"/>
      <c r="O26" s="2"/>
      <c r="P26" s="2"/>
      <c r="Q26" s="2"/>
      <c r="R26" s="2"/>
      <c r="S26" s="2"/>
      <c r="T26" s="2"/>
      <c r="U26" s="2"/>
      <c r="V26" s="2"/>
      <c r="W26" s="2"/>
      <c r="X26" s="2"/>
      <c r="Y26" s="2"/>
      <c r="Z26" s="2"/>
      <c r="AA26" s="2"/>
      <c r="AB26" s="2"/>
    </row>
    <row r="27">
      <c r="A27" s="8"/>
      <c r="B27" s="9"/>
      <c r="C27" s="9"/>
      <c r="D27" s="8"/>
      <c r="E27" s="8"/>
      <c r="F27" s="10"/>
      <c r="G27" s="2"/>
      <c r="H27" s="2"/>
      <c r="I27" s="2"/>
      <c r="J27" s="2"/>
      <c r="K27" s="2"/>
      <c r="L27" s="2"/>
      <c r="M27" s="2"/>
      <c r="N27" s="2"/>
      <c r="O27" s="2"/>
      <c r="P27" s="2"/>
      <c r="Q27" s="2"/>
      <c r="R27" s="2"/>
      <c r="S27" s="2"/>
      <c r="T27" s="2"/>
      <c r="U27" s="2"/>
      <c r="V27" s="2"/>
      <c r="W27" s="2"/>
      <c r="X27" s="2"/>
      <c r="Y27" s="2"/>
      <c r="Z27" s="2"/>
      <c r="AA27" s="2"/>
      <c r="AB27" s="2"/>
    </row>
    <row r="28">
      <c r="A28" s="8"/>
      <c r="B28" s="9"/>
      <c r="C28" s="9"/>
      <c r="D28" s="8"/>
      <c r="E28" s="8"/>
      <c r="F28" s="10"/>
      <c r="G28" s="2"/>
      <c r="H28" s="2"/>
      <c r="I28" s="2"/>
      <c r="J28" s="2"/>
      <c r="K28" s="2"/>
      <c r="L28" s="2"/>
      <c r="M28" s="2"/>
      <c r="N28" s="2"/>
      <c r="O28" s="2"/>
      <c r="P28" s="2"/>
      <c r="Q28" s="2"/>
      <c r="R28" s="2"/>
      <c r="S28" s="2"/>
      <c r="T28" s="2"/>
      <c r="U28" s="2"/>
      <c r="V28" s="2"/>
      <c r="W28" s="2"/>
      <c r="X28" s="2"/>
      <c r="Y28" s="2"/>
      <c r="Z28" s="2"/>
      <c r="AA28" s="2"/>
      <c r="AB28" s="2"/>
    </row>
    <row r="29">
      <c r="A29" s="8"/>
      <c r="B29" s="9"/>
      <c r="C29" s="9"/>
      <c r="D29" s="8"/>
      <c r="E29" s="8"/>
      <c r="F29" s="10"/>
      <c r="G29" s="2"/>
      <c r="H29" s="2"/>
      <c r="I29" s="2"/>
      <c r="J29" s="2"/>
      <c r="K29" s="2"/>
      <c r="L29" s="2"/>
      <c r="M29" s="2"/>
      <c r="N29" s="2"/>
      <c r="O29" s="2"/>
      <c r="P29" s="2"/>
      <c r="Q29" s="2"/>
      <c r="R29" s="2"/>
      <c r="S29" s="2"/>
      <c r="T29" s="2"/>
      <c r="U29" s="2"/>
      <c r="V29" s="2"/>
      <c r="W29" s="2"/>
      <c r="X29" s="2"/>
      <c r="Y29" s="2"/>
      <c r="Z29" s="2"/>
      <c r="AA29" s="2"/>
      <c r="AB29" s="2"/>
    </row>
    <row r="30">
      <c r="A30" s="8"/>
      <c r="B30" s="9"/>
      <c r="C30" s="9"/>
      <c r="D30" s="8"/>
      <c r="E30" s="8"/>
      <c r="F30" s="10"/>
      <c r="G30" s="2"/>
      <c r="H30" s="2"/>
      <c r="I30" s="2"/>
      <c r="J30" s="2"/>
      <c r="K30" s="2"/>
      <c r="L30" s="2"/>
      <c r="M30" s="2"/>
      <c r="N30" s="2"/>
      <c r="O30" s="2"/>
      <c r="P30" s="2"/>
      <c r="Q30" s="2"/>
      <c r="R30" s="2"/>
      <c r="S30" s="2"/>
      <c r="T30" s="2"/>
      <c r="U30" s="2"/>
      <c r="V30" s="2"/>
      <c r="W30" s="2"/>
      <c r="X30" s="2"/>
      <c r="Y30" s="2"/>
      <c r="Z30" s="2"/>
      <c r="AA30" s="2"/>
      <c r="AB30" s="2"/>
    </row>
    <row r="31">
      <c r="A31" s="8"/>
      <c r="B31" s="9"/>
      <c r="C31" s="9"/>
      <c r="D31" s="8"/>
      <c r="E31" s="8"/>
      <c r="F31" s="10"/>
      <c r="G31" s="2"/>
      <c r="H31" s="2"/>
      <c r="I31" s="2"/>
      <c r="J31" s="2"/>
      <c r="K31" s="2"/>
      <c r="L31" s="2"/>
      <c r="M31" s="2"/>
      <c r="N31" s="2"/>
      <c r="O31" s="2"/>
      <c r="P31" s="2"/>
      <c r="Q31" s="2"/>
      <c r="R31" s="2"/>
      <c r="S31" s="2"/>
      <c r="T31" s="2"/>
      <c r="U31" s="2"/>
      <c r="V31" s="2"/>
      <c r="W31" s="2"/>
      <c r="X31" s="2"/>
      <c r="Y31" s="2"/>
      <c r="Z31" s="2"/>
      <c r="AA31" s="2"/>
      <c r="AB31" s="2"/>
    </row>
    <row r="32">
      <c r="A32" s="8"/>
      <c r="B32" s="9"/>
      <c r="C32" s="9"/>
      <c r="D32" s="8"/>
      <c r="E32" s="8"/>
      <c r="F32" s="10"/>
      <c r="G32" s="2"/>
      <c r="H32" s="2"/>
      <c r="I32" s="2"/>
      <c r="J32" s="2"/>
      <c r="K32" s="2"/>
      <c r="L32" s="2"/>
      <c r="M32" s="2"/>
      <c r="N32" s="2"/>
      <c r="O32" s="2"/>
      <c r="P32" s="2"/>
      <c r="Q32" s="2"/>
      <c r="R32" s="2"/>
      <c r="S32" s="2"/>
      <c r="T32" s="2"/>
      <c r="U32" s="2"/>
      <c r="V32" s="2"/>
      <c r="W32" s="2"/>
      <c r="X32" s="2"/>
      <c r="Y32" s="2"/>
      <c r="Z32" s="2"/>
      <c r="AA32" s="2"/>
      <c r="AB32" s="2"/>
    </row>
    <row r="33">
      <c r="A33" s="8"/>
      <c r="B33" s="9"/>
      <c r="C33" s="9"/>
      <c r="D33" s="8"/>
      <c r="E33" s="8"/>
      <c r="F33" s="10"/>
      <c r="G33" s="2"/>
      <c r="H33" s="2"/>
      <c r="I33" s="2"/>
      <c r="J33" s="2"/>
      <c r="K33" s="2"/>
      <c r="L33" s="2"/>
      <c r="M33" s="2"/>
      <c r="N33" s="2"/>
      <c r="O33" s="2"/>
      <c r="P33" s="2"/>
      <c r="Q33" s="2"/>
      <c r="R33" s="2"/>
      <c r="S33" s="2"/>
      <c r="T33" s="2"/>
      <c r="U33" s="2"/>
      <c r="V33" s="2"/>
      <c r="W33" s="2"/>
      <c r="X33" s="2"/>
      <c r="Y33" s="2"/>
      <c r="Z33" s="2"/>
      <c r="AA33" s="2"/>
      <c r="AB33" s="2"/>
    </row>
    <row r="34">
      <c r="A34" s="8"/>
      <c r="B34" s="9"/>
      <c r="C34" s="9"/>
      <c r="D34" s="8"/>
      <c r="E34" s="8"/>
      <c r="F34" s="10"/>
      <c r="G34" s="2"/>
      <c r="H34" s="2"/>
      <c r="I34" s="2"/>
      <c r="J34" s="2"/>
      <c r="K34" s="2"/>
      <c r="L34" s="2"/>
      <c r="M34" s="2"/>
      <c r="N34" s="2"/>
      <c r="O34" s="2"/>
      <c r="P34" s="2"/>
      <c r="Q34" s="2"/>
      <c r="R34" s="2"/>
      <c r="S34" s="2"/>
      <c r="T34" s="2"/>
      <c r="U34" s="2"/>
      <c r="V34" s="2"/>
      <c r="W34" s="2"/>
      <c r="X34" s="2"/>
      <c r="Y34" s="2"/>
      <c r="Z34" s="2"/>
      <c r="AA34" s="2"/>
      <c r="AB34" s="2"/>
    </row>
    <row r="35">
      <c r="A35" s="8"/>
      <c r="B35" s="9"/>
      <c r="C35" s="9"/>
      <c r="D35" s="8"/>
      <c r="E35" s="8"/>
      <c r="F35" s="10"/>
      <c r="G35" s="2"/>
      <c r="H35" s="2"/>
      <c r="I35" s="2"/>
      <c r="J35" s="2"/>
      <c r="K35" s="2"/>
      <c r="L35" s="2"/>
      <c r="M35" s="2"/>
      <c r="N35" s="2"/>
      <c r="O35" s="2"/>
      <c r="P35" s="2"/>
      <c r="Q35" s="2"/>
      <c r="R35" s="2"/>
      <c r="S35" s="2"/>
      <c r="T35" s="2"/>
      <c r="U35" s="2"/>
      <c r="V35" s="2"/>
      <c r="W35" s="2"/>
      <c r="X35" s="2"/>
      <c r="Y35" s="2"/>
      <c r="Z35" s="2"/>
      <c r="AA35" s="2"/>
      <c r="AB35" s="2"/>
    </row>
    <row r="36">
      <c r="A36" s="8"/>
      <c r="B36" s="9"/>
      <c r="C36" s="9"/>
      <c r="D36" s="8"/>
      <c r="E36" s="8"/>
      <c r="F36" s="10"/>
      <c r="G36" s="2"/>
      <c r="H36" s="2"/>
      <c r="I36" s="2"/>
      <c r="J36" s="2"/>
      <c r="K36" s="2"/>
      <c r="L36" s="2"/>
      <c r="M36" s="2"/>
      <c r="N36" s="2"/>
      <c r="O36" s="2"/>
      <c r="P36" s="2"/>
      <c r="Q36" s="2"/>
      <c r="R36" s="2"/>
      <c r="S36" s="2"/>
      <c r="T36" s="2"/>
      <c r="U36" s="2"/>
      <c r="V36" s="2"/>
      <c r="W36" s="2"/>
      <c r="X36" s="2"/>
      <c r="Y36" s="2"/>
      <c r="Z36" s="2"/>
      <c r="AA36" s="2"/>
      <c r="AB36" s="2"/>
    </row>
    <row r="37">
      <c r="A37" s="8"/>
      <c r="B37" s="9"/>
      <c r="C37" s="9"/>
      <c r="D37" s="8"/>
      <c r="E37" s="8"/>
      <c r="F37" s="10"/>
      <c r="G37" s="2"/>
      <c r="H37" s="2"/>
      <c r="I37" s="2"/>
      <c r="J37" s="2"/>
      <c r="K37" s="2"/>
      <c r="L37" s="2"/>
      <c r="M37" s="2"/>
      <c r="N37" s="2"/>
      <c r="O37" s="2"/>
      <c r="P37" s="2"/>
      <c r="Q37" s="2"/>
      <c r="R37" s="2"/>
      <c r="S37" s="2"/>
      <c r="T37" s="2"/>
      <c r="U37" s="2"/>
      <c r="V37" s="2"/>
      <c r="W37" s="2"/>
      <c r="X37" s="2"/>
      <c r="Y37" s="2"/>
      <c r="Z37" s="2"/>
      <c r="AA37" s="2"/>
      <c r="AB37" s="2"/>
    </row>
    <row r="38">
      <c r="A38" s="8"/>
      <c r="B38" s="9"/>
      <c r="C38" s="9"/>
      <c r="D38" s="8"/>
      <c r="E38" s="8"/>
      <c r="F38" s="10"/>
      <c r="G38" s="2"/>
      <c r="H38" s="2"/>
      <c r="I38" s="2"/>
      <c r="J38" s="2"/>
      <c r="K38" s="2"/>
      <c r="L38" s="2"/>
      <c r="M38" s="2"/>
      <c r="N38" s="2"/>
      <c r="O38" s="2"/>
      <c r="P38" s="2"/>
      <c r="Q38" s="2"/>
      <c r="R38" s="2"/>
      <c r="S38" s="2"/>
      <c r="T38" s="2"/>
      <c r="U38" s="2"/>
      <c r="V38" s="2"/>
      <c r="W38" s="2"/>
      <c r="X38" s="2"/>
      <c r="Y38" s="2"/>
      <c r="Z38" s="2"/>
      <c r="AA38" s="2"/>
      <c r="AB38" s="2"/>
    </row>
    <row r="39">
      <c r="A39" s="8"/>
      <c r="B39" s="9"/>
      <c r="C39" s="9"/>
      <c r="D39" s="8"/>
      <c r="E39" s="8"/>
      <c r="F39" s="10"/>
      <c r="G39" s="2"/>
      <c r="H39" s="2"/>
      <c r="I39" s="2"/>
      <c r="J39" s="2"/>
      <c r="K39" s="2"/>
      <c r="L39" s="2"/>
      <c r="M39" s="2"/>
      <c r="N39" s="2"/>
      <c r="O39" s="2"/>
      <c r="P39" s="2"/>
      <c r="Q39" s="2"/>
      <c r="R39" s="2"/>
      <c r="S39" s="2"/>
      <c r="T39" s="2"/>
      <c r="U39" s="2"/>
      <c r="V39" s="2"/>
      <c r="W39" s="2"/>
      <c r="X39" s="2"/>
      <c r="Y39" s="2"/>
      <c r="Z39" s="2"/>
      <c r="AA39" s="2"/>
      <c r="AB39" s="2"/>
    </row>
    <row r="40">
      <c r="A40" s="8"/>
      <c r="B40" s="9"/>
      <c r="C40" s="9"/>
      <c r="D40" s="8"/>
      <c r="E40" s="8"/>
      <c r="F40" s="11"/>
      <c r="G40" s="2"/>
      <c r="H40" s="2"/>
      <c r="I40" s="2"/>
      <c r="J40" s="2"/>
      <c r="K40" s="2"/>
      <c r="L40" s="2"/>
      <c r="M40" s="2"/>
      <c r="N40" s="2"/>
      <c r="O40" s="2"/>
      <c r="P40" s="2"/>
      <c r="Q40" s="2"/>
      <c r="R40" s="2"/>
      <c r="S40" s="2"/>
      <c r="T40" s="2"/>
      <c r="U40" s="2"/>
      <c r="V40" s="2"/>
      <c r="W40" s="2"/>
      <c r="X40" s="2"/>
      <c r="Y40" s="2"/>
      <c r="Z40" s="2"/>
      <c r="AA40" s="2"/>
      <c r="AB40" s="2"/>
    </row>
    <row r="41">
      <c r="A41" s="8"/>
      <c r="B41" s="9"/>
      <c r="C41" s="9"/>
      <c r="D41" s="8"/>
      <c r="E41" s="8"/>
      <c r="F41" s="11"/>
      <c r="G41" s="2"/>
      <c r="H41" s="2"/>
      <c r="I41" s="2"/>
      <c r="J41" s="2"/>
      <c r="K41" s="2"/>
      <c r="L41" s="2"/>
      <c r="M41" s="2"/>
      <c r="N41" s="2"/>
      <c r="O41" s="2"/>
      <c r="P41" s="2"/>
      <c r="Q41" s="2"/>
      <c r="R41" s="2"/>
      <c r="S41" s="2"/>
      <c r="T41" s="2"/>
      <c r="U41" s="2"/>
      <c r="V41" s="2"/>
      <c r="W41" s="2"/>
      <c r="X41" s="2"/>
      <c r="Y41" s="2"/>
      <c r="Z41" s="2"/>
      <c r="AA41" s="2"/>
      <c r="AB41" s="2"/>
    </row>
    <row r="42">
      <c r="A42" s="8"/>
      <c r="B42" s="9"/>
      <c r="C42" s="9"/>
      <c r="D42" s="8"/>
      <c r="E42" s="8"/>
      <c r="F42" s="11"/>
      <c r="G42" s="2"/>
      <c r="H42" s="2"/>
      <c r="I42" s="2"/>
      <c r="J42" s="2"/>
      <c r="K42" s="2"/>
      <c r="L42" s="2"/>
      <c r="M42" s="2"/>
      <c r="N42" s="2"/>
      <c r="O42" s="2"/>
      <c r="P42" s="2"/>
      <c r="Q42" s="2"/>
      <c r="R42" s="2"/>
      <c r="S42" s="2"/>
      <c r="T42" s="2"/>
      <c r="U42" s="2"/>
      <c r="V42" s="2"/>
      <c r="W42" s="2"/>
      <c r="X42" s="2"/>
      <c r="Y42" s="2"/>
      <c r="Z42" s="2"/>
      <c r="AA42" s="2"/>
      <c r="AB42" s="2"/>
    </row>
    <row r="43">
      <c r="A43" s="8"/>
      <c r="B43" s="9"/>
      <c r="C43" s="9"/>
      <c r="D43" s="8"/>
      <c r="E43" s="8"/>
      <c r="F43" s="11"/>
      <c r="G43" s="2"/>
      <c r="H43" s="2"/>
      <c r="I43" s="2"/>
      <c r="J43" s="2"/>
      <c r="K43" s="2"/>
      <c r="L43" s="2"/>
      <c r="M43" s="2"/>
      <c r="N43" s="2"/>
      <c r="O43" s="2"/>
      <c r="P43" s="2"/>
      <c r="Q43" s="2"/>
      <c r="R43" s="2"/>
      <c r="S43" s="2"/>
      <c r="T43" s="2"/>
      <c r="U43" s="2"/>
      <c r="V43" s="2"/>
      <c r="W43" s="2"/>
      <c r="X43" s="2"/>
      <c r="Y43" s="2"/>
      <c r="Z43" s="2"/>
      <c r="AA43" s="2"/>
      <c r="AB43" s="2"/>
    </row>
    <row r="44">
      <c r="A44" s="8"/>
      <c r="B44" s="9"/>
      <c r="C44" s="9"/>
      <c r="D44" s="8"/>
      <c r="E44" s="8"/>
      <c r="F44" s="11"/>
      <c r="G44" s="2"/>
      <c r="H44" s="2"/>
      <c r="I44" s="2"/>
      <c r="J44" s="2"/>
      <c r="K44" s="2"/>
      <c r="L44" s="2"/>
      <c r="M44" s="2"/>
      <c r="N44" s="2"/>
      <c r="O44" s="2"/>
      <c r="P44" s="2"/>
      <c r="Q44" s="2"/>
      <c r="R44" s="2"/>
      <c r="S44" s="2"/>
      <c r="T44" s="2"/>
      <c r="U44" s="2"/>
      <c r="V44" s="2"/>
      <c r="W44" s="2"/>
      <c r="X44" s="2"/>
      <c r="Y44" s="2"/>
      <c r="Z44" s="2"/>
      <c r="AA44" s="2"/>
      <c r="AB44" s="2"/>
    </row>
    <row r="45">
      <c r="A45" s="8"/>
      <c r="B45" s="9"/>
      <c r="C45" s="9"/>
      <c r="D45" s="8"/>
      <c r="E45" s="8"/>
      <c r="F45" s="11"/>
      <c r="G45" s="2"/>
      <c r="H45" s="2"/>
      <c r="I45" s="2"/>
      <c r="J45" s="2"/>
      <c r="K45" s="2"/>
      <c r="L45" s="2"/>
      <c r="M45" s="2"/>
      <c r="N45" s="2"/>
      <c r="O45" s="2"/>
      <c r="P45" s="2"/>
      <c r="Q45" s="2"/>
      <c r="R45" s="2"/>
      <c r="S45" s="2"/>
      <c r="T45" s="2"/>
      <c r="U45" s="2"/>
      <c r="V45" s="2"/>
      <c r="W45" s="2"/>
      <c r="X45" s="2"/>
      <c r="Y45" s="2"/>
      <c r="Z45" s="2"/>
      <c r="AA45" s="2"/>
      <c r="AB45" s="2"/>
    </row>
    <row r="46">
      <c r="A46" s="8"/>
      <c r="B46" s="9"/>
      <c r="C46" s="9"/>
      <c r="D46" s="8"/>
      <c r="E46" s="8"/>
      <c r="F46" s="11"/>
      <c r="G46" s="2"/>
      <c r="H46" s="2"/>
      <c r="I46" s="2"/>
      <c r="J46" s="2"/>
      <c r="K46" s="2"/>
      <c r="L46" s="2"/>
      <c r="M46" s="2"/>
      <c r="N46" s="2"/>
      <c r="O46" s="2"/>
      <c r="P46" s="2"/>
      <c r="Q46" s="2"/>
      <c r="R46" s="2"/>
      <c r="S46" s="2"/>
      <c r="T46" s="2"/>
      <c r="U46" s="2"/>
      <c r="V46" s="2"/>
      <c r="W46" s="2"/>
      <c r="X46" s="2"/>
      <c r="Y46" s="2"/>
      <c r="Z46" s="2"/>
      <c r="AA46" s="2"/>
      <c r="AB46" s="2"/>
    </row>
    <row r="47">
      <c r="A47" s="8"/>
      <c r="B47" s="9"/>
      <c r="C47" s="9"/>
      <c r="D47" s="8"/>
      <c r="E47" s="8"/>
      <c r="F47" s="11"/>
      <c r="G47" s="2"/>
      <c r="H47" s="2"/>
      <c r="I47" s="2"/>
      <c r="J47" s="2"/>
      <c r="K47" s="2"/>
      <c r="L47" s="2"/>
      <c r="M47" s="2"/>
      <c r="N47" s="2"/>
      <c r="O47" s="2"/>
      <c r="P47" s="2"/>
      <c r="Q47" s="2"/>
      <c r="R47" s="2"/>
      <c r="S47" s="2"/>
      <c r="T47" s="2"/>
      <c r="U47" s="2"/>
      <c r="V47" s="2"/>
      <c r="W47" s="2"/>
      <c r="X47" s="2"/>
      <c r="Y47" s="2"/>
      <c r="Z47" s="2"/>
      <c r="AA47" s="2"/>
      <c r="AB47" s="2"/>
    </row>
    <row r="48">
      <c r="A48" s="8"/>
      <c r="B48" s="9"/>
      <c r="C48" s="9"/>
      <c r="D48" s="8"/>
      <c r="E48" s="8"/>
      <c r="F48" s="11"/>
      <c r="G48" s="2"/>
      <c r="H48" s="2"/>
      <c r="I48" s="2"/>
      <c r="J48" s="2"/>
      <c r="K48" s="2"/>
      <c r="L48" s="2"/>
      <c r="M48" s="2"/>
      <c r="N48" s="2"/>
      <c r="O48" s="2"/>
      <c r="P48" s="2"/>
      <c r="Q48" s="2"/>
      <c r="R48" s="2"/>
      <c r="S48" s="2"/>
      <c r="T48" s="2"/>
      <c r="U48" s="2"/>
      <c r="V48" s="2"/>
      <c r="W48" s="2"/>
      <c r="X48" s="2"/>
      <c r="Y48" s="2"/>
      <c r="Z48" s="2"/>
      <c r="AA48" s="2"/>
      <c r="AB48" s="2"/>
    </row>
    <row r="49">
      <c r="A49" s="8"/>
      <c r="B49" s="9"/>
      <c r="C49" s="9"/>
      <c r="D49" s="8"/>
      <c r="E49" s="8"/>
      <c r="F49" s="11"/>
      <c r="G49" s="2"/>
      <c r="H49" s="2"/>
      <c r="I49" s="2"/>
      <c r="J49" s="2"/>
      <c r="K49" s="2"/>
      <c r="L49" s="2"/>
      <c r="M49" s="2"/>
      <c r="N49" s="2"/>
      <c r="O49" s="2"/>
      <c r="P49" s="2"/>
      <c r="Q49" s="2"/>
      <c r="R49" s="2"/>
      <c r="S49" s="2"/>
      <c r="T49" s="2"/>
      <c r="U49" s="2"/>
      <c r="V49" s="2"/>
      <c r="W49" s="2"/>
      <c r="X49" s="2"/>
      <c r="Y49" s="2"/>
      <c r="Z49" s="2"/>
      <c r="AA49" s="2"/>
      <c r="AB49" s="2"/>
    </row>
    <row r="50">
      <c r="A50" s="8"/>
      <c r="B50" s="9"/>
      <c r="C50" s="9"/>
      <c r="D50" s="8"/>
      <c r="E50" s="8"/>
      <c r="F50" s="11"/>
      <c r="G50" s="2"/>
      <c r="H50" s="2"/>
      <c r="I50" s="2"/>
      <c r="J50" s="2"/>
      <c r="K50" s="2"/>
      <c r="L50" s="2"/>
      <c r="M50" s="2"/>
      <c r="N50" s="2"/>
      <c r="O50" s="2"/>
      <c r="P50" s="2"/>
      <c r="Q50" s="2"/>
      <c r="R50" s="2"/>
      <c r="S50" s="2"/>
      <c r="T50" s="2"/>
      <c r="U50" s="2"/>
      <c r="V50" s="2"/>
      <c r="W50" s="2"/>
      <c r="X50" s="2"/>
      <c r="Y50" s="2"/>
      <c r="Z50" s="2"/>
      <c r="AA50" s="2"/>
      <c r="AB50" s="2"/>
    </row>
    <row r="51">
      <c r="A51" s="8"/>
      <c r="B51" s="9"/>
      <c r="C51" s="9"/>
      <c r="D51" s="8"/>
      <c r="E51" s="8"/>
      <c r="F51" s="11"/>
      <c r="G51" s="2"/>
      <c r="H51" s="2"/>
      <c r="I51" s="2"/>
      <c r="J51" s="2"/>
      <c r="K51" s="2"/>
      <c r="L51" s="2"/>
      <c r="M51" s="2"/>
      <c r="N51" s="2"/>
      <c r="O51" s="2"/>
      <c r="P51" s="2"/>
      <c r="Q51" s="2"/>
      <c r="R51" s="2"/>
      <c r="S51" s="2"/>
      <c r="T51" s="2"/>
      <c r="U51" s="2"/>
      <c r="V51" s="2"/>
      <c r="W51" s="2"/>
      <c r="X51" s="2"/>
      <c r="Y51" s="2"/>
      <c r="Z51" s="2"/>
      <c r="AA51" s="2"/>
      <c r="AB51" s="2"/>
    </row>
    <row r="52">
      <c r="A52" s="8"/>
      <c r="B52" s="9"/>
      <c r="C52" s="9"/>
      <c r="D52" s="8"/>
      <c r="E52" s="8"/>
      <c r="F52" s="11"/>
      <c r="G52" s="2"/>
      <c r="H52" s="2"/>
      <c r="I52" s="2"/>
      <c r="J52" s="2"/>
      <c r="K52" s="2"/>
      <c r="L52" s="2"/>
      <c r="M52" s="2"/>
      <c r="N52" s="2"/>
      <c r="O52" s="2"/>
      <c r="P52" s="2"/>
      <c r="Q52" s="2"/>
      <c r="R52" s="2"/>
      <c r="S52" s="2"/>
      <c r="T52" s="2"/>
      <c r="U52" s="2"/>
      <c r="V52" s="2"/>
      <c r="W52" s="2"/>
      <c r="X52" s="2"/>
      <c r="Y52" s="2"/>
      <c r="Z52" s="2"/>
      <c r="AA52" s="2"/>
      <c r="AB52" s="2"/>
    </row>
    <row r="53">
      <c r="A53" s="8"/>
      <c r="B53" s="9"/>
      <c r="C53" s="9"/>
      <c r="D53" s="8"/>
      <c r="E53" s="8"/>
      <c r="F53" s="11"/>
      <c r="G53" s="2"/>
      <c r="H53" s="2"/>
      <c r="I53" s="2"/>
      <c r="J53" s="2"/>
      <c r="K53" s="2"/>
      <c r="L53" s="2"/>
      <c r="M53" s="2"/>
      <c r="N53" s="2"/>
      <c r="O53" s="2"/>
      <c r="P53" s="2"/>
      <c r="Q53" s="2"/>
      <c r="R53" s="2"/>
      <c r="S53" s="2"/>
      <c r="T53" s="2"/>
      <c r="U53" s="2"/>
      <c r="V53" s="2"/>
      <c r="W53" s="2"/>
      <c r="X53" s="2"/>
      <c r="Y53" s="2"/>
      <c r="Z53" s="2"/>
      <c r="AA53" s="2"/>
      <c r="AB53" s="2"/>
    </row>
    <row r="54">
      <c r="A54" s="8"/>
      <c r="B54" s="9"/>
      <c r="C54" s="9"/>
      <c r="D54" s="8"/>
      <c r="E54" s="8"/>
      <c r="F54" s="11"/>
      <c r="G54" s="2"/>
      <c r="H54" s="2"/>
      <c r="I54" s="2"/>
      <c r="J54" s="2"/>
      <c r="K54" s="2"/>
      <c r="L54" s="2"/>
      <c r="M54" s="2"/>
      <c r="N54" s="2"/>
      <c r="O54" s="2"/>
      <c r="P54" s="2"/>
      <c r="Q54" s="2"/>
      <c r="R54" s="2"/>
      <c r="S54" s="2"/>
      <c r="T54" s="2"/>
      <c r="U54" s="2"/>
      <c r="V54" s="2"/>
      <c r="W54" s="2"/>
      <c r="X54" s="2"/>
      <c r="Y54" s="2"/>
      <c r="Z54" s="2"/>
      <c r="AA54" s="2"/>
      <c r="AB54" s="2"/>
    </row>
    <row r="55">
      <c r="A55" s="8"/>
      <c r="B55" s="9"/>
      <c r="C55" s="9"/>
      <c r="D55" s="8"/>
      <c r="E55" s="8"/>
      <c r="F55" s="11"/>
      <c r="G55" s="2"/>
      <c r="H55" s="2"/>
      <c r="I55" s="2"/>
      <c r="J55" s="2"/>
      <c r="K55" s="2"/>
      <c r="L55" s="2"/>
      <c r="M55" s="2"/>
      <c r="N55" s="2"/>
      <c r="O55" s="2"/>
      <c r="P55" s="2"/>
      <c r="Q55" s="2"/>
      <c r="R55" s="2"/>
      <c r="S55" s="2"/>
      <c r="T55" s="2"/>
      <c r="U55" s="2"/>
      <c r="V55" s="2"/>
      <c r="W55" s="2"/>
      <c r="X55" s="2"/>
      <c r="Y55" s="2"/>
      <c r="Z55" s="2"/>
      <c r="AA55" s="2"/>
      <c r="AB55" s="2"/>
    </row>
    <row r="56">
      <c r="A56" s="8"/>
      <c r="B56" s="9"/>
      <c r="C56" s="9"/>
      <c r="D56" s="8"/>
      <c r="E56" s="8"/>
      <c r="F56" s="11"/>
      <c r="G56" s="2"/>
      <c r="H56" s="2"/>
      <c r="I56" s="2"/>
      <c r="J56" s="2"/>
      <c r="K56" s="2"/>
      <c r="L56" s="2"/>
      <c r="M56" s="2"/>
      <c r="N56" s="2"/>
      <c r="O56" s="2"/>
      <c r="P56" s="2"/>
      <c r="Q56" s="2"/>
      <c r="R56" s="2"/>
      <c r="S56" s="2"/>
      <c r="T56" s="2"/>
      <c r="U56" s="2"/>
      <c r="V56" s="2"/>
      <c r="W56" s="2"/>
      <c r="X56" s="2"/>
      <c r="Y56" s="2"/>
      <c r="Z56" s="2"/>
      <c r="AA56" s="2"/>
      <c r="AB56" s="2"/>
    </row>
    <row r="57">
      <c r="A57" s="8"/>
      <c r="B57" s="9"/>
      <c r="C57" s="9"/>
      <c r="D57" s="8"/>
      <c r="E57" s="8"/>
      <c r="F57" s="11"/>
      <c r="G57" s="2"/>
      <c r="H57" s="2"/>
      <c r="I57" s="2"/>
      <c r="J57" s="2"/>
      <c r="K57" s="2"/>
      <c r="L57" s="2"/>
      <c r="M57" s="2"/>
      <c r="N57" s="2"/>
      <c r="O57" s="2"/>
      <c r="P57" s="2"/>
      <c r="Q57" s="2"/>
      <c r="R57" s="2"/>
      <c r="S57" s="2"/>
      <c r="T57" s="2"/>
      <c r="U57" s="2"/>
      <c r="V57" s="2"/>
      <c r="W57" s="2"/>
      <c r="X57" s="2"/>
      <c r="Y57" s="2"/>
      <c r="Z57" s="2"/>
      <c r="AA57" s="2"/>
      <c r="AB57" s="2"/>
    </row>
    <row r="58">
      <c r="A58" s="8"/>
      <c r="B58" s="9"/>
      <c r="C58" s="9"/>
      <c r="D58" s="8"/>
      <c r="E58" s="8"/>
      <c r="F58" s="11"/>
      <c r="G58" s="2"/>
      <c r="H58" s="2"/>
      <c r="I58" s="2"/>
      <c r="J58" s="2"/>
      <c r="K58" s="2"/>
      <c r="L58" s="2"/>
      <c r="M58" s="2"/>
      <c r="N58" s="2"/>
      <c r="O58" s="2"/>
      <c r="P58" s="2"/>
      <c r="Q58" s="2"/>
      <c r="R58" s="2"/>
      <c r="S58" s="2"/>
      <c r="T58" s="2"/>
      <c r="U58" s="2"/>
      <c r="V58" s="2"/>
      <c r="W58" s="2"/>
      <c r="X58" s="2"/>
      <c r="Y58" s="2"/>
      <c r="Z58" s="2"/>
      <c r="AA58" s="2"/>
      <c r="AB58" s="2"/>
    </row>
    <row r="59">
      <c r="A59" s="8"/>
      <c r="B59" s="9"/>
      <c r="C59" s="9"/>
      <c r="D59" s="8"/>
      <c r="E59" s="8"/>
      <c r="F59" s="10"/>
      <c r="G59" s="2"/>
      <c r="H59" s="2"/>
      <c r="I59" s="2"/>
      <c r="J59" s="2"/>
      <c r="K59" s="2"/>
      <c r="L59" s="2"/>
      <c r="M59" s="2"/>
      <c r="N59" s="2"/>
      <c r="O59" s="2"/>
      <c r="P59" s="2"/>
      <c r="Q59" s="2"/>
      <c r="R59" s="2"/>
      <c r="S59" s="2"/>
      <c r="T59" s="2"/>
      <c r="U59" s="2"/>
      <c r="V59" s="2"/>
      <c r="W59" s="2"/>
      <c r="X59" s="2"/>
      <c r="Y59" s="2"/>
      <c r="Z59" s="2"/>
      <c r="AA59" s="2"/>
      <c r="AB59" s="2"/>
    </row>
    <row r="60">
      <c r="A60" s="8"/>
      <c r="B60" s="9"/>
      <c r="C60" s="9"/>
      <c r="D60" s="8"/>
      <c r="E60" s="8"/>
      <c r="F60" s="10"/>
      <c r="G60" s="2"/>
      <c r="H60" s="2"/>
      <c r="I60" s="2"/>
      <c r="J60" s="2"/>
      <c r="K60" s="2"/>
      <c r="L60" s="2"/>
      <c r="M60" s="2"/>
      <c r="N60" s="2"/>
      <c r="O60" s="2"/>
      <c r="P60" s="2"/>
      <c r="Q60" s="2"/>
      <c r="R60" s="2"/>
      <c r="S60" s="2"/>
      <c r="T60" s="2"/>
      <c r="U60" s="2"/>
      <c r="V60" s="2"/>
      <c r="W60" s="2"/>
      <c r="X60" s="2"/>
      <c r="Y60" s="2"/>
      <c r="Z60" s="2"/>
      <c r="AA60" s="2"/>
      <c r="AB60" s="2"/>
    </row>
    <row r="61">
      <c r="A61" s="8"/>
      <c r="B61" s="9"/>
      <c r="C61" s="9"/>
      <c r="D61" s="8"/>
      <c r="E61" s="8"/>
      <c r="F61" s="10"/>
      <c r="G61" s="2"/>
      <c r="H61" s="2"/>
      <c r="I61" s="2"/>
      <c r="J61" s="2"/>
      <c r="K61" s="2"/>
      <c r="L61" s="2"/>
      <c r="M61" s="2"/>
      <c r="N61" s="2"/>
      <c r="O61" s="2"/>
      <c r="P61" s="2"/>
      <c r="Q61" s="2"/>
      <c r="R61" s="2"/>
      <c r="S61" s="2"/>
      <c r="T61" s="2"/>
      <c r="U61" s="2"/>
      <c r="V61" s="2"/>
      <c r="W61" s="2"/>
      <c r="X61" s="2"/>
      <c r="Y61" s="2"/>
      <c r="Z61" s="2"/>
      <c r="AA61" s="2"/>
      <c r="AB61" s="2"/>
    </row>
    <row r="62">
      <c r="A62" s="8"/>
      <c r="B62" s="9"/>
      <c r="C62" s="9"/>
      <c r="D62" s="8"/>
      <c r="E62" s="8"/>
      <c r="F62" s="10"/>
      <c r="G62" s="2"/>
      <c r="H62" s="2"/>
      <c r="I62" s="2"/>
      <c r="J62" s="2"/>
      <c r="K62" s="2"/>
      <c r="L62" s="2"/>
      <c r="M62" s="2"/>
      <c r="N62" s="2"/>
      <c r="O62" s="2"/>
      <c r="P62" s="2"/>
      <c r="Q62" s="2"/>
      <c r="R62" s="2"/>
      <c r="S62" s="2"/>
      <c r="T62" s="2"/>
      <c r="U62" s="2"/>
      <c r="V62" s="2"/>
      <c r="W62" s="2"/>
      <c r="X62" s="2"/>
      <c r="Y62" s="2"/>
      <c r="Z62" s="2"/>
      <c r="AA62" s="2"/>
      <c r="AB62" s="2"/>
    </row>
    <row r="63">
      <c r="A63" s="8"/>
      <c r="B63" s="9"/>
      <c r="C63" s="9"/>
      <c r="D63" s="8"/>
      <c r="E63" s="8"/>
      <c r="F63" s="10"/>
      <c r="G63" s="2"/>
      <c r="H63" s="2"/>
      <c r="I63" s="2"/>
      <c r="J63" s="2"/>
      <c r="K63" s="2"/>
      <c r="L63" s="2"/>
      <c r="M63" s="2"/>
      <c r="N63" s="2"/>
      <c r="O63" s="2"/>
      <c r="P63" s="2"/>
      <c r="Q63" s="2"/>
      <c r="R63" s="2"/>
      <c r="S63" s="2"/>
      <c r="T63" s="2"/>
      <c r="U63" s="2"/>
      <c r="V63" s="2"/>
      <c r="W63" s="2"/>
      <c r="X63" s="2"/>
      <c r="Y63" s="2"/>
      <c r="Z63" s="2"/>
      <c r="AA63" s="2"/>
      <c r="AB63" s="2"/>
    </row>
    <row r="64">
      <c r="A64" s="8"/>
      <c r="B64" s="9"/>
      <c r="C64" s="9"/>
      <c r="D64" s="8"/>
      <c r="E64" s="8"/>
      <c r="F64" s="10"/>
      <c r="G64" s="2"/>
      <c r="H64" s="2"/>
      <c r="I64" s="2"/>
      <c r="J64" s="2"/>
      <c r="K64" s="2"/>
      <c r="L64" s="2"/>
      <c r="M64" s="2"/>
      <c r="N64" s="2"/>
      <c r="O64" s="2"/>
      <c r="P64" s="2"/>
      <c r="Q64" s="2"/>
      <c r="R64" s="2"/>
      <c r="S64" s="2"/>
      <c r="T64" s="2"/>
      <c r="U64" s="2"/>
      <c r="V64" s="2"/>
      <c r="W64" s="2"/>
      <c r="X64" s="2"/>
      <c r="Y64" s="2"/>
      <c r="Z64" s="2"/>
      <c r="AA64" s="2"/>
      <c r="AB64" s="2"/>
    </row>
    <row r="65">
      <c r="A65" s="8"/>
      <c r="B65" s="9"/>
      <c r="C65" s="9"/>
      <c r="D65" s="8"/>
      <c r="E65" s="8"/>
      <c r="F65" s="10"/>
      <c r="G65" s="2"/>
      <c r="H65" s="2"/>
      <c r="I65" s="2"/>
      <c r="J65" s="2"/>
      <c r="K65" s="2"/>
      <c r="L65" s="2"/>
      <c r="M65" s="2"/>
      <c r="N65" s="2"/>
      <c r="O65" s="2"/>
      <c r="P65" s="2"/>
      <c r="Q65" s="2"/>
      <c r="R65" s="2"/>
      <c r="S65" s="2"/>
      <c r="T65" s="2"/>
      <c r="U65" s="2"/>
      <c r="V65" s="2"/>
      <c r="W65" s="2"/>
      <c r="X65" s="2"/>
      <c r="Y65" s="2"/>
      <c r="Z65" s="2"/>
      <c r="AA65" s="2"/>
      <c r="AB65" s="2"/>
    </row>
    <row r="66">
      <c r="A66" s="8"/>
      <c r="B66" s="9"/>
      <c r="C66" s="9"/>
      <c r="D66" s="8"/>
      <c r="E66" s="8"/>
      <c r="F66" s="10"/>
      <c r="G66" s="2"/>
      <c r="H66" s="2"/>
      <c r="I66" s="2"/>
      <c r="J66" s="2"/>
      <c r="K66" s="2"/>
      <c r="L66" s="2"/>
      <c r="M66" s="2"/>
      <c r="N66" s="2"/>
      <c r="O66" s="2"/>
      <c r="P66" s="2"/>
      <c r="Q66" s="2"/>
      <c r="R66" s="2"/>
      <c r="S66" s="2"/>
      <c r="T66" s="2"/>
      <c r="U66" s="2"/>
      <c r="V66" s="2"/>
      <c r="W66" s="2"/>
      <c r="X66" s="2"/>
      <c r="Y66" s="2"/>
      <c r="Z66" s="2"/>
      <c r="AA66" s="2"/>
      <c r="AB66" s="2"/>
    </row>
    <row r="67">
      <c r="A67" s="8"/>
      <c r="B67" s="9"/>
      <c r="C67" s="9"/>
      <c r="D67" s="8"/>
      <c r="E67" s="8"/>
      <c r="F67" s="10"/>
      <c r="G67" s="2"/>
      <c r="H67" s="2"/>
      <c r="I67" s="2"/>
      <c r="J67" s="2"/>
      <c r="K67" s="2"/>
      <c r="L67" s="2"/>
      <c r="M67" s="2"/>
      <c r="N67" s="2"/>
      <c r="O67" s="2"/>
      <c r="P67" s="2"/>
      <c r="Q67" s="2"/>
      <c r="R67" s="2"/>
      <c r="S67" s="2"/>
      <c r="T67" s="2"/>
      <c r="U67" s="2"/>
      <c r="V67" s="2"/>
      <c r="W67" s="2"/>
      <c r="X67" s="2"/>
      <c r="Y67" s="2"/>
      <c r="Z67" s="2"/>
      <c r="AA67" s="2"/>
      <c r="AB67" s="2"/>
    </row>
    <row r="68">
      <c r="A68" s="8"/>
      <c r="B68" s="9"/>
      <c r="C68" s="9"/>
      <c r="D68" s="8"/>
      <c r="E68" s="8"/>
      <c r="F68" s="10"/>
      <c r="G68" s="2"/>
      <c r="H68" s="2"/>
      <c r="I68" s="2"/>
      <c r="J68" s="2"/>
      <c r="K68" s="2"/>
      <c r="L68" s="2"/>
      <c r="M68" s="2"/>
      <c r="N68" s="2"/>
      <c r="O68" s="2"/>
      <c r="P68" s="2"/>
      <c r="Q68" s="2"/>
      <c r="R68" s="2"/>
      <c r="S68" s="2"/>
      <c r="T68" s="2"/>
      <c r="U68" s="2"/>
      <c r="V68" s="2"/>
      <c r="W68" s="2"/>
      <c r="X68" s="2"/>
      <c r="Y68" s="2"/>
      <c r="Z68" s="2"/>
      <c r="AA68" s="2"/>
      <c r="AB68" s="2"/>
    </row>
    <row r="69">
      <c r="A69" s="8"/>
      <c r="B69" s="9"/>
      <c r="C69" s="9"/>
      <c r="D69" s="8"/>
      <c r="E69" s="8"/>
      <c r="F69" s="10"/>
      <c r="G69" s="2"/>
      <c r="H69" s="2"/>
      <c r="I69" s="2"/>
      <c r="J69" s="2"/>
      <c r="K69" s="2"/>
      <c r="L69" s="2"/>
      <c r="M69" s="2"/>
      <c r="N69" s="2"/>
      <c r="O69" s="2"/>
      <c r="P69" s="2"/>
      <c r="Q69" s="2"/>
      <c r="R69" s="2"/>
      <c r="S69" s="2"/>
      <c r="T69" s="2"/>
      <c r="U69" s="2"/>
      <c r="V69" s="2"/>
      <c r="W69" s="2"/>
      <c r="X69" s="2"/>
      <c r="Y69" s="2"/>
      <c r="Z69" s="2"/>
      <c r="AA69" s="2"/>
      <c r="AB69" s="2"/>
    </row>
    <row r="70">
      <c r="A70" s="8"/>
      <c r="B70" s="9"/>
      <c r="C70" s="9"/>
      <c r="D70" s="8"/>
      <c r="E70" s="8"/>
      <c r="F70" s="10"/>
      <c r="G70" s="2"/>
      <c r="H70" s="2"/>
      <c r="I70" s="2"/>
      <c r="J70" s="2"/>
      <c r="K70" s="2"/>
      <c r="L70" s="2"/>
      <c r="M70" s="2"/>
      <c r="N70" s="2"/>
      <c r="O70" s="2"/>
      <c r="P70" s="2"/>
      <c r="Q70" s="2"/>
      <c r="R70" s="2"/>
      <c r="S70" s="2"/>
      <c r="T70" s="2"/>
      <c r="U70" s="2"/>
      <c r="V70" s="2"/>
      <c r="W70" s="2"/>
      <c r="X70" s="2"/>
      <c r="Y70" s="2"/>
      <c r="Z70" s="2"/>
      <c r="AA70" s="2"/>
      <c r="AB70" s="2"/>
    </row>
    <row r="71">
      <c r="A71" s="8"/>
      <c r="B71" s="9"/>
      <c r="C71" s="9"/>
      <c r="D71" s="8"/>
      <c r="E71" s="8"/>
      <c r="F71" s="10"/>
      <c r="G71" s="2"/>
      <c r="H71" s="2"/>
      <c r="I71" s="2"/>
      <c r="J71" s="2"/>
      <c r="K71" s="2"/>
      <c r="L71" s="2"/>
      <c r="M71" s="2"/>
      <c r="N71" s="2"/>
      <c r="O71" s="2"/>
      <c r="P71" s="2"/>
      <c r="Q71" s="2"/>
      <c r="R71" s="2"/>
      <c r="S71" s="2"/>
      <c r="T71" s="2"/>
      <c r="U71" s="2"/>
      <c r="V71" s="2"/>
      <c r="W71" s="2"/>
      <c r="X71" s="2"/>
      <c r="Y71" s="2"/>
      <c r="Z71" s="2"/>
      <c r="AA71" s="2"/>
      <c r="AB71" s="2"/>
    </row>
    <row r="72">
      <c r="A72" s="8"/>
      <c r="B72" s="9"/>
      <c r="C72" s="9"/>
      <c r="D72" s="8"/>
      <c r="E72" s="8"/>
      <c r="F72" s="10"/>
      <c r="G72" s="2"/>
      <c r="H72" s="2"/>
      <c r="I72" s="2"/>
      <c r="J72" s="2"/>
      <c r="K72" s="2"/>
      <c r="L72" s="2"/>
      <c r="M72" s="2"/>
      <c r="N72" s="2"/>
      <c r="O72" s="2"/>
      <c r="P72" s="2"/>
      <c r="Q72" s="2"/>
      <c r="R72" s="2"/>
      <c r="S72" s="2"/>
      <c r="T72" s="2"/>
      <c r="U72" s="2"/>
      <c r="V72" s="2"/>
      <c r="W72" s="2"/>
      <c r="X72" s="2"/>
      <c r="Y72" s="2"/>
      <c r="Z72" s="2"/>
      <c r="AA72" s="2"/>
      <c r="AB72" s="2"/>
    </row>
    <row r="73">
      <c r="A73" s="8"/>
      <c r="B73" s="9"/>
      <c r="C73" s="9"/>
      <c r="D73" s="8"/>
      <c r="E73" s="8"/>
      <c r="F73" s="10"/>
      <c r="G73" s="2"/>
      <c r="H73" s="2"/>
      <c r="I73" s="2"/>
      <c r="J73" s="2"/>
      <c r="K73" s="2"/>
      <c r="L73" s="2"/>
      <c r="M73" s="2"/>
      <c r="N73" s="2"/>
      <c r="O73" s="2"/>
      <c r="P73" s="2"/>
      <c r="Q73" s="2"/>
      <c r="R73" s="2"/>
      <c r="S73" s="2"/>
      <c r="T73" s="2"/>
      <c r="U73" s="2"/>
      <c r="V73" s="2"/>
      <c r="W73" s="2"/>
      <c r="X73" s="2"/>
      <c r="Y73" s="2"/>
      <c r="Z73" s="2"/>
      <c r="AA73" s="2"/>
      <c r="AB73" s="2"/>
    </row>
    <row r="74">
      <c r="A74" s="8"/>
      <c r="B74" s="9"/>
      <c r="C74" s="9"/>
      <c r="D74" s="8"/>
      <c r="E74" s="8"/>
      <c r="F74" s="10"/>
      <c r="G74" s="2"/>
      <c r="H74" s="2"/>
      <c r="I74" s="2"/>
      <c r="J74" s="2"/>
      <c r="K74" s="2"/>
      <c r="L74" s="2"/>
      <c r="M74" s="2"/>
      <c r="N74" s="2"/>
      <c r="O74" s="2"/>
      <c r="P74" s="2"/>
      <c r="Q74" s="2"/>
      <c r="R74" s="2"/>
      <c r="S74" s="2"/>
      <c r="T74" s="2"/>
      <c r="U74" s="2"/>
      <c r="V74" s="2"/>
      <c r="W74" s="2"/>
      <c r="X74" s="2"/>
      <c r="Y74" s="2"/>
      <c r="Z74" s="2"/>
      <c r="AA74" s="2"/>
      <c r="AB74" s="2"/>
    </row>
    <row r="75">
      <c r="A75" s="8"/>
      <c r="B75" s="9"/>
      <c r="C75" s="9"/>
      <c r="D75" s="8"/>
      <c r="E75" s="8"/>
      <c r="F75" s="10"/>
      <c r="G75" s="2"/>
      <c r="H75" s="2"/>
      <c r="I75" s="2"/>
      <c r="J75" s="2"/>
      <c r="K75" s="2"/>
      <c r="L75" s="2"/>
      <c r="M75" s="2"/>
      <c r="N75" s="2"/>
      <c r="O75" s="2"/>
      <c r="P75" s="2"/>
      <c r="Q75" s="2"/>
      <c r="R75" s="2"/>
      <c r="S75" s="2"/>
      <c r="T75" s="2"/>
      <c r="U75" s="2"/>
      <c r="V75" s="2"/>
      <c r="W75" s="2"/>
      <c r="X75" s="2"/>
      <c r="Y75" s="2"/>
      <c r="Z75" s="2"/>
      <c r="AA75" s="2"/>
      <c r="AB75" s="2"/>
    </row>
    <row r="76">
      <c r="A76" s="8"/>
      <c r="B76" s="9"/>
      <c r="C76" s="9"/>
      <c r="D76" s="8"/>
      <c r="E76" s="8"/>
      <c r="F76" s="10"/>
      <c r="G76" s="2"/>
      <c r="H76" s="2"/>
      <c r="I76" s="2"/>
      <c r="J76" s="2"/>
      <c r="K76" s="2"/>
      <c r="L76" s="2"/>
      <c r="M76" s="2"/>
      <c r="N76" s="2"/>
      <c r="O76" s="2"/>
      <c r="P76" s="2"/>
      <c r="Q76" s="2"/>
      <c r="R76" s="2"/>
      <c r="S76" s="2"/>
      <c r="T76" s="2"/>
      <c r="U76" s="2"/>
      <c r="V76" s="2"/>
      <c r="W76" s="2"/>
      <c r="X76" s="2"/>
      <c r="Y76" s="2"/>
      <c r="Z76" s="2"/>
      <c r="AA76" s="2"/>
      <c r="AB76" s="2"/>
    </row>
    <row r="77">
      <c r="A77" s="8"/>
      <c r="B77" s="9"/>
      <c r="C77" s="9"/>
      <c r="D77" s="8"/>
      <c r="E77" s="8"/>
      <c r="F77" s="10"/>
      <c r="G77" s="2"/>
      <c r="H77" s="2"/>
      <c r="I77" s="2"/>
      <c r="J77" s="2"/>
      <c r="K77" s="2"/>
      <c r="L77" s="2"/>
      <c r="M77" s="2"/>
      <c r="N77" s="2"/>
      <c r="O77" s="2"/>
      <c r="P77" s="2"/>
      <c r="Q77" s="2"/>
      <c r="R77" s="2"/>
      <c r="S77" s="2"/>
      <c r="T77" s="2"/>
      <c r="U77" s="2"/>
      <c r="V77" s="2"/>
      <c r="W77" s="2"/>
      <c r="X77" s="2"/>
      <c r="Y77" s="2"/>
      <c r="Z77" s="2"/>
      <c r="AA77" s="2"/>
      <c r="AB77" s="2"/>
    </row>
    <row r="78">
      <c r="A78" s="8"/>
      <c r="B78" s="9"/>
      <c r="C78" s="9"/>
      <c r="D78" s="8"/>
      <c r="E78" s="8"/>
      <c r="F78" s="10"/>
      <c r="G78" s="2"/>
      <c r="H78" s="2"/>
      <c r="I78" s="2"/>
      <c r="J78" s="2"/>
      <c r="K78" s="2"/>
      <c r="L78" s="2"/>
      <c r="M78" s="2"/>
      <c r="N78" s="2"/>
      <c r="O78" s="2"/>
      <c r="P78" s="2"/>
      <c r="Q78" s="2"/>
      <c r="R78" s="2"/>
      <c r="S78" s="2"/>
      <c r="T78" s="2"/>
      <c r="U78" s="2"/>
      <c r="V78" s="2"/>
      <c r="W78" s="2"/>
      <c r="X78" s="2"/>
      <c r="Y78" s="2"/>
      <c r="Z78" s="2"/>
      <c r="AA78" s="2"/>
      <c r="AB78" s="2"/>
    </row>
    <row r="79">
      <c r="A79" s="8"/>
      <c r="B79" s="9"/>
      <c r="C79" s="9"/>
      <c r="D79" s="8"/>
      <c r="E79" s="8"/>
      <c r="F79" s="10"/>
      <c r="G79" s="2"/>
      <c r="H79" s="2"/>
      <c r="I79" s="2"/>
      <c r="J79" s="2"/>
      <c r="K79" s="2"/>
      <c r="L79" s="2"/>
      <c r="M79" s="2"/>
      <c r="N79" s="2"/>
      <c r="O79" s="2"/>
      <c r="P79" s="2"/>
      <c r="Q79" s="2"/>
      <c r="R79" s="2"/>
      <c r="S79" s="2"/>
      <c r="T79" s="2"/>
      <c r="U79" s="2"/>
      <c r="V79" s="2"/>
      <c r="W79" s="2"/>
      <c r="X79" s="2"/>
      <c r="Y79" s="2"/>
      <c r="Z79" s="2"/>
      <c r="AA79" s="2"/>
      <c r="AB79" s="2"/>
    </row>
    <row r="80">
      <c r="A80" s="8"/>
      <c r="B80" s="9"/>
      <c r="C80" s="9"/>
      <c r="D80" s="8"/>
      <c r="E80" s="8"/>
      <c r="F80" s="10"/>
      <c r="G80" s="2"/>
      <c r="H80" s="2"/>
      <c r="I80" s="2"/>
      <c r="J80" s="2"/>
      <c r="K80" s="2"/>
      <c r="L80" s="2"/>
      <c r="M80" s="2"/>
      <c r="N80" s="2"/>
      <c r="O80" s="2"/>
      <c r="P80" s="2"/>
      <c r="Q80" s="2"/>
      <c r="R80" s="2"/>
      <c r="S80" s="2"/>
      <c r="T80" s="2"/>
      <c r="U80" s="2"/>
      <c r="V80" s="2"/>
      <c r="W80" s="2"/>
      <c r="X80" s="2"/>
      <c r="Y80" s="2"/>
      <c r="Z80" s="2"/>
      <c r="AA80" s="2"/>
      <c r="AB80" s="2"/>
    </row>
    <row r="81">
      <c r="A81" s="8"/>
      <c r="B81" s="9"/>
      <c r="C81" s="9"/>
      <c r="D81" s="8"/>
      <c r="E81" s="8"/>
      <c r="F81" s="10"/>
      <c r="G81" s="2"/>
      <c r="H81" s="2"/>
      <c r="I81" s="2"/>
      <c r="J81" s="2"/>
      <c r="K81" s="2"/>
      <c r="L81" s="2"/>
      <c r="M81" s="2"/>
      <c r="N81" s="2"/>
      <c r="O81" s="2"/>
      <c r="P81" s="2"/>
      <c r="Q81" s="2"/>
      <c r="R81" s="2"/>
      <c r="S81" s="2"/>
      <c r="T81" s="2"/>
      <c r="U81" s="2"/>
      <c r="V81" s="2"/>
      <c r="W81" s="2"/>
      <c r="X81" s="2"/>
      <c r="Y81" s="2"/>
      <c r="Z81" s="2"/>
      <c r="AA81" s="2"/>
      <c r="AB81" s="2"/>
    </row>
    <row r="82">
      <c r="A82" s="8"/>
      <c r="B82" s="9"/>
      <c r="C82" s="9"/>
      <c r="D82" s="8"/>
      <c r="E82" s="8"/>
      <c r="F82" s="10"/>
      <c r="G82" s="2"/>
      <c r="H82" s="2"/>
      <c r="I82" s="2"/>
      <c r="J82" s="2"/>
      <c r="K82" s="2"/>
      <c r="L82" s="2"/>
      <c r="M82" s="2"/>
      <c r="N82" s="2"/>
      <c r="O82" s="2"/>
      <c r="P82" s="2"/>
      <c r="Q82" s="2"/>
      <c r="R82" s="2"/>
      <c r="S82" s="2"/>
      <c r="T82" s="2"/>
      <c r="U82" s="2"/>
      <c r="V82" s="2"/>
      <c r="W82" s="2"/>
      <c r="X82" s="2"/>
      <c r="Y82" s="2"/>
      <c r="Z82" s="2"/>
      <c r="AA82" s="2"/>
      <c r="AB82" s="2"/>
    </row>
    <row r="83">
      <c r="A83" s="8"/>
      <c r="B83" s="9"/>
      <c r="C83" s="9"/>
      <c r="D83" s="8"/>
      <c r="E83" s="8"/>
      <c r="F83" s="10"/>
      <c r="G83" s="2"/>
      <c r="H83" s="2"/>
      <c r="I83" s="2"/>
      <c r="J83" s="2"/>
      <c r="K83" s="2"/>
      <c r="L83" s="2"/>
      <c r="M83" s="2"/>
      <c r="N83" s="2"/>
      <c r="O83" s="2"/>
      <c r="P83" s="2"/>
      <c r="Q83" s="2"/>
      <c r="R83" s="2"/>
      <c r="S83" s="2"/>
      <c r="T83" s="2"/>
      <c r="U83" s="2"/>
      <c r="V83" s="2"/>
      <c r="W83" s="2"/>
      <c r="X83" s="2"/>
      <c r="Y83" s="2"/>
      <c r="Z83" s="2"/>
      <c r="AA83" s="2"/>
      <c r="AB83" s="2"/>
    </row>
    <row r="84">
      <c r="A84" s="8"/>
      <c r="B84" s="9"/>
      <c r="C84" s="9"/>
      <c r="D84" s="8"/>
      <c r="E84" s="8"/>
      <c r="F84" s="10"/>
      <c r="G84" s="2"/>
      <c r="H84" s="2"/>
      <c r="I84" s="2"/>
      <c r="J84" s="2"/>
      <c r="K84" s="2"/>
      <c r="L84" s="2"/>
      <c r="M84" s="2"/>
      <c r="N84" s="2"/>
      <c r="O84" s="2"/>
      <c r="P84" s="2"/>
      <c r="Q84" s="2"/>
      <c r="R84" s="2"/>
      <c r="S84" s="2"/>
      <c r="T84" s="2"/>
      <c r="U84" s="2"/>
      <c r="V84" s="2"/>
      <c r="W84" s="2"/>
      <c r="X84" s="2"/>
      <c r="Y84" s="2"/>
      <c r="Z84" s="2"/>
      <c r="AA84" s="2"/>
      <c r="AB84" s="2"/>
    </row>
    <row r="85">
      <c r="A85" s="8"/>
      <c r="B85" s="9"/>
      <c r="C85" s="9"/>
      <c r="D85" s="8"/>
      <c r="E85" s="8"/>
      <c r="F85" s="10"/>
      <c r="G85" s="2"/>
      <c r="H85" s="2"/>
      <c r="I85" s="2"/>
      <c r="J85" s="2"/>
      <c r="K85" s="2"/>
      <c r="L85" s="2"/>
      <c r="M85" s="2"/>
      <c r="N85" s="2"/>
      <c r="O85" s="2"/>
      <c r="P85" s="2"/>
      <c r="Q85" s="2"/>
      <c r="R85" s="2"/>
      <c r="S85" s="2"/>
      <c r="T85" s="2"/>
      <c r="U85" s="2"/>
      <c r="V85" s="2"/>
      <c r="W85" s="2"/>
      <c r="X85" s="2"/>
      <c r="Y85" s="2"/>
      <c r="Z85" s="2"/>
      <c r="AA85" s="2"/>
      <c r="AB85" s="2"/>
    </row>
    <row r="86">
      <c r="A86" s="8"/>
      <c r="B86" s="9"/>
      <c r="C86" s="9"/>
      <c r="D86" s="8"/>
      <c r="E86" s="8"/>
      <c r="F86" s="10"/>
      <c r="G86" s="2"/>
      <c r="H86" s="2"/>
      <c r="I86" s="2"/>
      <c r="J86" s="2"/>
      <c r="K86" s="2"/>
      <c r="L86" s="2"/>
      <c r="M86" s="2"/>
      <c r="N86" s="2"/>
      <c r="O86" s="2"/>
      <c r="P86" s="2"/>
      <c r="Q86" s="2"/>
      <c r="R86" s="2"/>
      <c r="S86" s="2"/>
      <c r="T86" s="2"/>
      <c r="U86" s="2"/>
      <c r="V86" s="2"/>
      <c r="W86" s="2"/>
      <c r="X86" s="2"/>
      <c r="Y86" s="2"/>
      <c r="Z86" s="2"/>
      <c r="AA86" s="2"/>
      <c r="AB86" s="2"/>
    </row>
    <row r="87">
      <c r="A87" s="8"/>
      <c r="B87" s="9"/>
      <c r="C87" s="9"/>
      <c r="D87" s="8"/>
      <c r="E87" s="8"/>
      <c r="F87" s="10"/>
      <c r="G87" s="2"/>
      <c r="H87" s="2"/>
      <c r="I87" s="2"/>
      <c r="J87" s="2"/>
      <c r="K87" s="2"/>
      <c r="L87" s="2"/>
      <c r="M87" s="2"/>
      <c r="N87" s="2"/>
      <c r="O87" s="2"/>
      <c r="P87" s="2"/>
      <c r="Q87" s="2"/>
      <c r="R87" s="2"/>
      <c r="S87" s="2"/>
      <c r="T87" s="2"/>
      <c r="U87" s="2"/>
      <c r="V87" s="2"/>
      <c r="W87" s="2"/>
      <c r="X87" s="2"/>
      <c r="Y87" s="2"/>
      <c r="Z87" s="2"/>
      <c r="AA87" s="2"/>
      <c r="AB87" s="2"/>
    </row>
    <row r="88">
      <c r="A88" s="8"/>
      <c r="B88" s="9"/>
      <c r="C88" s="9"/>
      <c r="D88" s="8"/>
      <c r="E88" s="8"/>
      <c r="F88" s="10"/>
      <c r="G88" s="2"/>
      <c r="H88" s="2"/>
      <c r="I88" s="2"/>
      <c r="J88" s="2"/>
      <c r="K88" s="2"/>
      <c r="L88" s="2"/>
      <c r="M88" s="2"/>
      <c r="N88" s="2"/>
      <c r="O88" s="2"/>
      <c r="P88" s="2"/>
      <c r="Q88" s="2"/>
      <c r="R88" s="2"/>
      <c r="S88" s="2"/>
      <c r="T88" s="2"/>
      <c r="U88" s="2"/>
      <c r="V88" s="2"/>
      <c r="W88" s="2"/>
      <c r="X88" s="2"/>
      <c r="Y88" s="2"/>
      <c r="Z88" s="2"/>
      <c r="AA88" s="2"/>
      <c r="AB88" s="2"/>
    </row>
    <row r="89">
      <c r="A89" s="8"/>
      <c r="B89" s="9"/>
      <c r="C89" s="9"/>
      <c r="D89" s="8"/>
      <c r="E89" s="8"/>
      <c r="F89" s="10"/>
      <c r="G89" s="2"/>
      <c r="H89" s="2"/>
      <c r="I89" s="2"/>
      <c r="J89" s="2"/>
      <c r="K89" s="2"/>
      <c r="L89" s="2"/>
      <c r="M89" s="2"/>
      <c r="N89" s="2"/>
      <c r="O89" s="2"/>
      <c r="P89" s="2"/>
      <c r="Q89" s="2"/>
      <c r="R89" s="2"/>
      <c r="S89" s="2"/>
      <c r="T89" s="2"/>
      <c r="U89" s="2"/>
      <c r="V89" s="2"/>
      <c r="W89" s="2"/>
      <c r="X89" s="2"/>
      <c r="Y89" s="2"/>
      <c r="Z89" s="2"/>
      <c r="AA89" s="2"/>
      <c r="AB89" s="2"/>
    </row>
    <row r="90">
      <c r="A90" s="8"/>
      <c r="B90" s="9"/>
      <c r="C90" s="9"/>
      <c r="D90" s="8"/>
      <c r="E90" s="8"/>
      <c r="F90" s="10"/>
      <c r="G90" s="2"/>
      <c r="H90" s="2"/>
      <c r="I90" s="2"/>
      <c r="J90" s="2"/>
      <c r="K90" s="2"/>
      <c r="L90" s="2"/>
      <c r="M90" s="2"/>
      <c r="N90" s="2"/>
      <c r="O90" s="2"/>
      <c r="P90" s="2"/>
      <c r="Q90" s="2"/>
      <c r="R90" s="2"/>
      <c r="S90" s="2"/>
      <c r="T90" s="2"/>
      <c r="U90" s="2"/>
      <c r="V90" s="2"/>
      <c r="W90" s="2"/>
      <c r="X90" s="2"/>
      <c r="Y90" s="2"/>
      <c r="Z90" s="2"/>
      <c r="AA90" s="2"/>
      <c r="AB90" s="2"/>
    </row>
    <row r="91">
      <c r="A91" s="8"/>
      <c r="B91" s="9"/>
      <c r="C91" s="9"/>
      <c r="D91" s="8"/>
      <c r="E91" s="8"/>
      <c r="F91" s="10"/>
      <c r="G91" s="2"/>
      <c r="H91" s="2"/>
      <c r="I91" s="2"/>
      <c r="J91" s="2"/>
      <c r="K91" s="2"/>
      <c r="L91" s="2"/>
      <c r="M91" s="2"/>
      <c r="N91" s="2"/>
      <c r="O91" s="2"/>
      <c r="P91" s="2"/>
      <c r="Q91" s="2"/>
      <c r="R91" s="2"/>
      <c r="S91" s="2"/>
      <c r="T91" s="2"/>
      <c r="U91" s="2"/>
      <c r="V91" s="2"/>
      <c r="W91" s="2"/>
      <c r="X91" s="2"/>
      <c r="Y91" s="2"/>
      <c r="Z91" s="2"/>
      <c r="AA91" s="2"/>
      <c r="AB91" s="2"/>
    </row>
    <row r="92">
      <c r="A92" s="8"/>
      <c r="B92" s="9"/>
      <c r="C92" s="9"/>
      <c r="D92" s="8"/>
      <c r="E92" s="8"/>
      <c r="F92" s="10"/>
      <c r="G92" s="2"/>
      <c r="H92" s="2"/>
      <c r="I92" s="2"/>
      <c r="J92" s="2"/>
      <c r="K92" s="2"/>
      <c r="L92" s="2"/>
      <c r="M92" s="2"/>
      <c r="N92" s="2"/>
      <c r="O92" s="2"/>
      <c r="P92" s="2"/>
      <c r="Q92" s="2"/>
      <c r="R92" s="2"/>
      <c r="S92" s="2"/>
      <c r="T92" s="2"/>
      <c r="U92" s="2"/>
      <c r="V92" s="2"/>
      <c r="W92" s="2"/>
      <c r="X92" s="2"/>
      <c r="Y92" s="2"/>
      <c r="Z92" s="2"/>
      <c r="AA92" s="2"/>
      <c r="AB92" s="2"/>
    </row>
    <row r="93">
      <c r="A93" s="8"/>
      <c r="B93" s="9"/>
      <c r="C93" s="9"/>
      <c r="D93" s="8"/>
      <c r="E93" s="8"/>
      <c r="F93" s="10"/>
      <c r="G93" s="2"/>
      <c r="H93" s="2"/>
      <c r="I93" s="2"/>
      <c r="J93" s="2"/>
      <c r="K93" s="2"/>
      <c r="L93" s="2"/>
      <c r="M93" s="2"/>
      <c r="N93" s="2"/>
      <c r="O93" s="2"/>
      <c r="P93" s="2"/>
      <c r="Q93" s="2"/>
      <c r="R93" s="2"/>
      <c r="S93" s="2"/>
      <c r="T93" s="2"/>
      <c r="U93" s="2"/>
      <c r="V93" s="2"/>
      <c r="W93" s="2"/>
      <c r="X93" s="2"/>
      <c r="Y93" s="2"/>
      <c r="Z93" s="2"/>
      <c r="AA93" s="2"/>
      <c r="AB93" s="2"/>
    </row>
    <row r="94">
      <c r="A94" s="8"/>
      <c r="B94" s="9"/>
      <c r="C94" s="9"/>
      <c r="D94" s="8"/>
      <c r="E94" s="8"/>
      <c r="F94" s="10"/>
      <c r="G94" s="2"/>
      <c r="H94" s="2"/>
      <c r="I94" s="2"/>
      <c r="J94" s="2"/>
      <c r="K94" s="2"/>
      <c r="L94" s="2"/>
      <c r="M94" s="2"/>
      <c r="N94" s="2"/>
      <c r="O94" s="2"/>
      <c r="P94" s="2"/>
      <c r="Q94" s="2"/>
      <c r="R94" s="2"/>
      <c r="S94" s="2"/>
      <c r="T94" s="2"/>
      <c r="U94" s="2"/>
      <c r="V94" s="2"/>
      <c r="W94" s="2"/>
      <c r="X94" s="2"/>
      <c r="Y94" s="2"/>
      <c r="Z94" s="2"/>
      <c r="AA94" s="2"/>
      <c r="AB94" s="2"/>
    </row>
    <row r="95">
      <c r="A95" s="8"/>
      <c r="B95" s="9"/>
      <c r="C95" s="9"/>
      <c r="D95" s="8"/>
      <c r="E95" s="8"/>
      <c r="F95" s="10"/>
      <c r="G95" s="2"/>
      <c r="H95" s="2"/>
      <c r="I95" s="2"/>
      <c r="J95" s="2"/>
      <c r="K95" s="2"/>
      <c r="L95" s="2"/>
      <c r="M95" s="2"/>
      <c r="N95" s="2"/>
      <c r="O95" s="2"/>
      <c r="P95" s="2"/>
      <c r="Q95" s="2"/>
      <c r="R95" s="2"/>
      <c r="S95" s="2"/>
      <c r="T95" s="2"/>
      <c r="U95" s="2"/>
      <c r="V95" s="2"/>
      <c r="W95" s="2"/>
      <c r="X95" s="2"/>
      <c r="Y95" s="2"/>
      <c r="Z95" s="2"/>
      <c r="AA95" s="2"/>
      <c r="AB95" s="2"/>
    </row>
    <row r="96">
      <c r="A96" s="8"/>
      <c r="B96" s="9"/>
      <c r="C96" s="9"/>
      <c r="D96" s="8"/>
      <c r="E96" s="8"/>
      <c r="F96" s="10"/>
      <c r="G96" s="2"/>
      <c r="H96" s="2"/>
      <c r="I96" s="2"/>
      <c r="J96" s="2"/>
      <c r="K96" s="2"/>
      <c r="L96" s="2"/>
      <c r="M96" s="2"/>
      <c r="N96" s="2"/>
      <c r="O96" s="2"/>
      <c r="P96" s="2"/>
      <c r="Q96" s="2"/>
      <c r="R96" s="2"/>
      <c r="S96" s="2"/>
      <c r="T96" s="2"/>
      <c r="U96" s="2"/>
      <c r="V96" s="2"/>
      <c r="W96" s="2"/>
      <c r="X96" s="2"/>
      <c r="Y96" s="2"/>
      <c r="Z96" s="2"/>
      <c r="AA96" s="2"/>
      <c r="AB96" s="2"/>
    </row>
    <row r="97">
      <c r="A97" s="8"/>
      <c r="B97" s="9"/>
      <c r="C97" s="9"/>
      <c r="D97" s="8"/>
      <c r="E97" s="8"/>
      <c r="F97" s="11"/>
      <c r="G97" s="2"/>
      <c r="H97" s="2"/>
      <c r="I97" s="2"/>
      <c r="J97" s="2"/>
      <c r="K97" s="2"/>
      <c r="L97" s="2"/>
      <c r="M97" s="2"/>
      <c r="N97" s="2"/>
      <c r="O97" s="2"/>
      <c r="P97" s="2"/>
      <c r="Q97" s="2"/>
      <c r="R97" s="2"/>
      <c r="S97" s="2"/>
      <c r="T97" s="2"/>
      <c r="U97" s="2"/>
      <c r="V97" s="2"/>
      <c r="W97" s="2"/>
      <c r="X97" s="2"/>
      <c r="Y97" s="2"/>
      <c r="Z97" s="2"/>
      <c r="AA97" s="2"/>
      <c r="AB97" s="2"/>
    </row>
    <row r="98">
      <c r="A98" s="8"/>
      <c r="B98" s="9"/>
      <c r="C98" s="9"/>
      <c r="D98" s="8"/>
      <c r="E98" s="8"/>
      <c r="F98" s="11"/>
      <c r="G98" s="2"/>
      <c r="H98" s="2"/>
      <c r="I98" s="2"/>
      <c r="J98" s="2"/>
      <c r="K98" s="2"/>
      <c r="L98" s="2"/>
      <c r="M98" s="2"/>
      <c r="N98" s="2"/>
      <c r="O98" s="2"/>
      <c r="P98" s="2"/>
      <c r="Q98" s="2"/>
      <c r="R98" s="2"/>
      <c r="S98" s="2"/>
      <c r="T98" s="2"/>
      <c r="U98" s="2"/>
      <c r="V98" s="2"/>
      <c r="W98" s="2"/>
      <c r="X98" s="2"/>
      <c r="Y98" s="2"/>
      <c r="Z98" s="2"/>
      <c r="AA98" s="2"/>
      <c r="AB98" s="2"/>
    </row>
    <row r="99">
      <c r="A99" s="8"/>
      <c r="B99" s="9"/>
      <c r="C99" s="9"/>
      <c r="D99" s="8"/>
      <c r="E99" s="8"/>
      <c r="F99" s="11"/>
      <c r="G99" s="2"/>
      <c r="H99" s="2"/>
      <c r="I99" s="2"/>
      <c r="J99" s="2"/>
      <c r="K99" s="2"/>
      <c r="L99" s="2"/>
      <c r="M99" s="2"/>
      <c r="N99" s="2"/>
      <c r="O99" s="2"/>
      <c r="P99" s="2"/>
      <c r="Q99" s="2"/>
      <c r="R99" s="2"/>
      <c r="S99" s="2"/>
      <c r="T99" s="2"/>
      <c r="U99" s="2"/>
      <c r="V99" s="2"/>
      <c r="W99" s="2"/>
      <c r="X99" s="2"/>
      <c r="Y99" s="2"/>
      <c r="Z99" s="2"/>
      <c r="AA99" s="2"/>
      <c r="AB99" s="2"/>
    </row>
    <row r="100">
      <c r="A100" s="8"/>
      <c r="B100" s="9"/>
      <c r="C100" s="9"/>
      <c r="D100" s="8"/>
      <c r="E100" s="8"/>
      <c r="F100" s="11"/>
      <c r="G100" s="2"/>
      <c r="H100" s="2"/>
      <c r="I100" s="2"/>
      <c r="J100" s="2"/>
      <c r="K100" s="2"/>
      <c r="L100" s="2"/>
      <c r="M100" s="2"/>
      <c r="N100" s="2"/>
      <c r="O100" s="2"/>
      <c r="P100" s="2"/>
      <c r="Q100" s="2"/>
      <c r="R100" s="2"/>
      <c r="S100" s="2"/>
      <c r="T100" s="2"/>
      <c r="U100" s="2"/>
      <c r="V100" s="2"/>
      <c r="W100" s="2"/>
      <c r="X100" s="2"/>
      <c r="Y100" s="2"/>
      <c r="Z100" s="2"/>
      <c r="AA100" s="2"/>
      <c r="AB100" s="2"/>
    </row>
    <row r="101">
      <c r="A101" s="8"/>
      <c r="B101" s="9"/>
      <c r="C101" s="9"/>
      <c r="D101" s="8"/>
      <c r="E101" s="8"/>
      <c r="F101" s="11"/>
      <c r="G101" s="2"/>
      <c r="H101" s="2"/>
      <c r="I101" s="2"/>
      <c r="J101" s="2"/>
      <c r="K101" s="2"/>
      <c r="L101" s="2"/>
      <c r="M101" s="2"/>
      <c r="N101" s="2"/>
      <c r="O101" s="2"/>
      <c r="P101" s="2"/>
      <c r="Q101" s="2"/>
      <c r="R101" s="2"/>
      <c r="S101" s="2"/>
      <c r="T101" s="2"/>
      <c r="U101" s="2"/>
      <c r="V101" s="2"/>
      <c r="W101" s="2"/>
      <c r="X101" s="2"/>
      <c r="Y101" s="2"/>
      <c r="Z101" s="2"/>
      <c r="AA101" s="2"/>
      <c r="AB101" s="2"/>
    </row>
    <row r="102">
      <c r="A102" s="8"/>
      <c r="B102" s="9"/>
      <c r="C102" s="9"/>
      <c r="D102" s="8"/>
      <c r="E102" s="8"/>
      <c r="F102" s="11"/>
      <c r="G102" s="2"/>
      <c r="H102" s="2"/>
      <c r="I102" s="2"/>
      <c r="J102" s="2"/>
      <c r="K102" s="2"/>
      <c r="L102" s="2"/>
      <c r="M102" s="2"/>
      <c r="N102" s="2"/>
      <c r="O102" s="2"/>
      <c r="P102" s="2"/>
      <c r="Q102" s="2"/>
      <c r="R102" s="2"/>
      <c r="S102" s="2"/>
      <c r="T102" s="2"/>
      <c r="U102" s="2"/>
      <c r="V102" s="2"/>
      <c r="W102" s="2"/>
      <c r="X102" s="2"/>
      <c r="Y102" s="2"/>
      <c r="Z102" s="2"/>
      <c r="AA102" s="2"/>
      <c r="AB102" s="2"/>
    </row>
    <row r="103">
      <c r="A103" s="8"/>
      <c r="B103" s="9"/>
      <c r="C103" s="9"/>
      <c r="D103" s="8"/>
      <c r="E103" s="8"/>
      <c r="F103" s="11"/>
      <c r="G103" s="2"/>
      <c r="H103" s="2"/>
      <c r="I103" s="2"/>
      <c r="J103" s="2"/>
      <c r="K103" s="2"/>
      <c r="L103" s="2"/>
      <c r="M103" s="2"/>
      <c r="N103" s="2"/>
      <c r="O103" s="2"/>
      <c r="P103" s="2"/>
      <c r="Q103" s="2"/>
      <c r="R103" s="2"/>
      <c r="S103" s="2"/>
      <c r="T103" s="2"/>
      <c r="U103" s="2"/>
      <c r="V103" s="2"/>
      <c r="W103" s="2"/>
      <c r="X103" s="2"/>
      <c r="Y103" s="2"/>
      <c r="Z103" s="2"/>
      <c r="AA103" s="2"/>
      <c r="AB103" s="2"/>
    </row>
    <row r="104">
      <c r="A104" s="8"/>
      <c r="B104" s="9"/>
      <c r="C104" s="9"/>
      <c r="D104" s="8"/>
      <c r="E104" s="8"/>
      <c r="F104" s="11"/>
      <c r="G104" s="2"/>
      <c r="H104" s="2"/>
      <c r="I104" s="2"/>
      <c r="J104" s="2"/>
      <c r="K104" s="2"/>
      <c r="L104" s="2"/>
      <c r="M104" s="2"/>
      <c r="N104" s="2"/>
      <c r="O104" s="2"/>
      <c r="P104" s="2"/>
      <c r="Q104" s="2"/>
      <c r="R104" s="2"/>
      <c r="S104" s="2"/>
      <c r="T104" s="2"/>
      <c r="U104" s="2"/>
      <c r="V104" s="2"/>
      <c r="W104" s="2"/>
      <c r="X104" s="2"/>
      <c r="Y104" s="2"/>
      <c r="Z104" s="2"/>
      <c r="AA104" s="2"/>
      <c r="AB104" s="2"/>
    </row>
    <row r="105">
      <c r="A105" s="8"/>
      <c r="B105" s="9"/>
      <c r="C105" s="9"/>
      <c r="D105" s="8"/>
      <c r="E105" s="8"/>
      <c r="F105" s="11"/>
      <c r="G105" s="2"/>
      <c r="H105" s="2"/>
      <c r="I105" s="2"/>
      <c r="J105" s="2"/>
      <c r="K105" s="2"/>
      <c r="L105" s="2"/>
      <c r="M105" s="2"/>
      <c r="N105" s="2"/>
      <c r="O105" s="2"/>
      <c r="P105" s="2"/>
      <c r="Q105" s="2"/>
      <c r="R105" s="2"/>
      <c r="S105" s="2"/>
      <c r="T105" s="2"/>
      <c r="U105" s="2"/>
      <c r="V105" s="2"/>
      <c r="W105" s="2"/>
      <c r="X105" s="2"/>
      <c r="Y105" s="2"/>
      <c r="Z105" s="2"/>
      <c r="AA105" s="2"/>
      <c r="AB105" s="2"/>
    </row>
    <row r="106">
      <c r="A106" s="8"/>
      <c r="B106" s="9"/>
      <c r="C106" s="9"/>
      <c r="D106" s="8"/>
      <c r="E106" s="8"/>
      <c r="F106" s="11"/>
      <c r="G106" s="2"/>
      <c r="H106" s="2"/>
      <c r="I106" s="2"/>
      <c r="J106" s="2"/>
      <c r="K106" s="2"/>
      <c r="L106" s="2"/>
      <c r="M106" s="2"/>
      <c r="N106" s="2"/>
      <c r="O106" s="2"/>
      <c r="P106" s="2"/>
      <c r="Q106" s="2"/>
      <c r="R106" s="2"/>
      <c r="S106" s="2"/>
      <c r="T106" s="2"/>
      <c r="U106" s="2"/>
      <c r="V106" s="2"/>
      <c r="W106" s="2"/>
      <c r="X106" s="2"/>
      <c r="Y106" s="2"/>
      <c r="Z106" s="2"/>
      <c r="AA106" s="2"/>
      <c r="AB106" s="2"/>
    </row>
    <row r="107">
      <c r="A107" s="8"/>
      <c r="B107" s="9"/>
      <c r="C107" s="9"/>
      <c r="D107" s="8"/>
      <c r="E107" s="8"/>
      <c r="F107" s="10"/>
      <c r="G107" s="2"/>
      <c r="H107" s="2"/>
      <c r="I107" s="2"/>
      <c r="J107" s="2"/>
      <c r="K107" s="2"/>
      <c r="L107" s="2"/>
      <c r="M107" s="2"/>
      <c r="N107" s="2"/>
      <c r="O107" s="2"/>
      <c r="P107" s="2"/>
      <c r="Q107" s="2"/>
      <c r="R107" s="2"/>
      <c r="S107" s="2"/>
      <c r="T107" s="2"/>
      <c r="U107" s="2"/>
      <c r="V107" s="2"/>
      <c r="W107" s="2"/>
      <c r="X107" s="2"/>
      <c r="Y107" s="2"/>
      <c r="Z107" s="2"/>
      <c r="AA107" s="2"/>
      <c r="AB107" s="2"/>
    </row>
    <row r="108">
      <c r="A108" s="8"/>
      <c r="B108" s="9"/>
      <c r="C108" s="9"/>
      <c r="D108" s="8"/>
      <c r="E108" s="8"/>
      <c r="F108" s="10"/>
      <c r="G108" s="2"/>
      <c r="H108" s="2"/>
      <c r="I108" s="2"/>
      <c r="J108" s="2"/>
      <c r="K108" s="2"/>
      <c r="L108" s="2"/>
      <c r="M108" s="2"/>
      <c r="N108" s="2"/>
      <c r="O108" s="2"/>
      <c r="P108" s="2"/>
      <c r="Q108" s="2"/>
      <c r="R108" s="2"/>
      <c r="S108" s="2"/>
      <c r="T108" s="2"/>
      <c r="U108" s="2"/>
      <c r="V108" s="2"/>
      <c r="W108" s="2"/>
      <c r="X108" s="2"/>
      <c r="Y108" s="2"/>
      <c r="Z108" s="2"/>
      <c r="AA108" s="2"/>
      <c r="AB108" s="2"/>
    </row>
    <row r="109">
      <c r="A109" s="8"/>
      <c r="B109" s="9"/>
      <c r="C109" s="9"/>
      <c r="D109" s="8"/>
      <c r="E109" s="8"/>
      <c r="F109" s="11"/>
      <c r="G109" s="2"/>
      <c r="H109" s="2"/>
      <c r="I109" s="2"/>
      <c r="J109" s="2"/>
      <c r="K109" s="2"/>
      <c r="L109" s="2"/>
      <c r="M109" s="2"/>
      <c r="N109" s="2"/>
      <c r="O109" s="2"/>
      <c r="P109" s="2"/>
      <c r="Q109" s="2"/>
      <c r="R109" s="2"/>
      <c r="S109" s="2"/>
      <c r="T109" s="2"/>
      <c r="U109" s="2"/>
      <c r="V109" s="2"/>
      <c r="W109" s="2"/>
      <c r="X109" s="2"/>
      <c r="Y109" s="2"/>
      <c r="Z109" s="2"/>
      <c r="AA109" s="2"/>
      <c r="AB109" s="2"/>
    </row>
    <row r="110">
      <c r="A110" s="8"/>
      <c r="B110" s="9"/>
      <c r="C110" s="9"/>
      <c r="D110" s="8"/>
      <c r="E110" s="8"/>
      <c r="F110" s="11"/>
      <c r="G110" s="2"/>
      <c r="H110" s="2"/>
      <c r="I110" s="2"/>
      <c r="J110" s="2"/>
      <c r="K110" s="2"/>
      <c r="L110" s="2"/>
      <c r="M110" s="2"/>
      <c r="N110" s="2"/>
      <c r="O110" s="2"/>
      <c r="P110" s="2"/>
      <c r="Q110" s="2"/>
      <c r="R110" s="2"/>
      <c r="S110" s="2"/>
      <c r="T110" s="2"/>
      <c r="U110" s="2"/>
      <c r="V110" s="2"/>
      <c r="W110" s="2"/>
      <c r="X110" s="2"/>
      <c r="Y110" s="2"/>
      <c r="Z110" s="2"/>
      <c r="AA110" s="2"/>
      <c r="AB110" s="2"/>
    </row>
    <row r="111">
      <c r="A111" s="8"/>
      <c r="B111" s="9"/>
      <c r="C111" s="9"/>
      <c r="D111" s="8"/>
      <c r="E111" s="8"/>
      <c r="F111" s="10"/>
      <c r="G111" s="2"/>
      <c r="H111" s="2"/>
      <c r="I111" s="2"/>
      <c r="J111" s="2"/>
      <c r="K111" s="2"/>
      <c r="L111" s="2"/>
      <c r="M111" s="2"/>
      <c r="N111" s="2"/>
      <c r="O111" s="2"/>
      <c r="P111" s="2"/>
      <c r="Q111" s="2"/>
      <c r="R111" s="2"/>
      <c r="S111" s="2"/>
      <c r="T111" s="2"/>
      <c r="U111" s="2"/>
      <c r="V111" s="2"/>
      <c r="W111" s="2"/>
      <c r="X111" s="2"/>
      <c r="Y111" s="2"/>
      <c r="Z111" s="2"/>
      <c r="AA111" s="2"/>
      <c r="AB111" s="2"/>
    </row>
    <row r="112">
      <c r="A112" s="8"/>
      <c r="B112" s="9"/>
      <c r="C112" s="9"/>
      <c r="D112" s="8"/>
      <c r="E112" s="8"/>
      <c r="F112" s="10"/>
      <c r="G112" s="2"/>
      <c r="H112" s="2"/>
      <c r="I112" s="2"/>
      <c r="J112" s="2"/>
      <c r="K112" s="2"/>
      <c r="L112" s="2"/>
      <c r="M112" s="2"/>
      <c r="N112" s="2"/>
      <c r="O112" s="2"/>
      <c r="P112" s="2"/>
      <c r="Q112" s="2"/>
      <c r="R112" s="2"/>
      <c r="S112" s="2"/>
      <c r="T112" s="2"/>
      <c r="U112" s="2"/>
      <c r="V112" s="2"/>
      <c r="W112" s="2"/>
      <c r="X112" s="2"/>
      <c r="Y112" s="2"/>
      <c r="Z112" s="2"/>
      <c r="AA112" s="2"/>
      <c r="AB112" s="2"/>
    </row>
    <row r="113">
      <c r="A113" s="8"/>
      <c r="B113" s="9"/>
      <c r="C113" s="9"/>
      <c r="D113" s="8"/>
      <c r="E113" s="8"/>
      <c r="F113" s="10"/>
      <c r="G113" s="2"/>
      <c r="H113" s="2"/>
      <c r="I113" s="2"/>
      <c r="J113" s="2"/>
      <c r="K113" s="2"/>
      <c r="L113" s="2"/>
      <c r="M113" s="2"/>
      <c r="N113" s="2"/>
      <c r="O113" s="2"/>
      <c r="P113" s="2"/>
      <c r="Q113" s="2"/>
      <c r="R113" s="2"/>
      <c r="S113" s="2"/>
      <c r="T113" s="2"/>
      <c r="U113" s="2"/>
      <c r="V113" s="2"/>
      <c r="W113" s="2"/>
      <c r="X113" s="2"/>
      <c r="Y113" s="2"/>
      <c r="Z113" s="2"/>
      <c r="AA113" s="2"/>
      <c r="AB113" s="2"/>
    </row>
    <row r="114">
      <c r="A114" s="8"/>
      <c r="B114" s="9"/>
      <c r="C114" s="9"/>
      <c r="D114" s="8"/>
      <c r="E114" s="8"/>
      <c r="F114" s="10"/>
      <c r="G114" s="2"/>
      <c r="H114" s="2"/>
      <c r="I114" s="2"/>
      <c r="J114" s="2"/>
      <c r="K114" s="2"/>
      <c r="L114" s="2"/>
      <c r="M114" s="2"/>
      <c r="N114" s="2"/>
      <c r="O114" s="2"/>
      <c r="P114" s="2"/>
      <c r="Q114" s="2"/>
      <c r="R114" s="2"/>
      <c r="S114" s="2"/>
      <c r="T114" s="2"/>
      <c r="U114" s="2"/>
      <c r="V114" s="2"/>
      <c r="W114" s="2"/>
      <c r="X114" s="2"/>
      <c r="Y114" s="2"/>
      <c r="Z114" s="2"/>
      <c r="AA114" s="2"/>
      <c r="AB114" s="2"/>
    </row>
    <row r="115">
      <c r="A115" s="8"/>
      <c r="B115" s="9"/>
      <c r="C115" s="9"/>
      <c r="D115" s="8"/>
      <c r="E115" s="8"/>
      <c r="F115" s="10"/>
      <c r="G115" s="2"/>
      <c r="H115" s="2"/>
      <c r="I115" s="2"/>
      <c r="J115" s="2"/>
      <c r="K115" s="2"/>
      <c r="L115" s="2"/>
      <c r="M115" s="2"/>
      <c r="N115" s="2"/>
      <c r="O115" s="2"/>
      <c r="P115" s="2"/>
      <c r="Q115" s="2"/>
      <c r="R115" s="2"/>
      <c r="S115" s="2"/>
      <c r="T115" s="2"/>
      <c r="U115" s="2"/>
      <c r="V115" s="2"/>
      <c r="W115" s="2"/>
      <c r="X115" s="2"/>
      <c r="Y115" s="2"/>
      <c r="Z115" s="2"/>
      <c r="AA115" s="2"/>
      <c r="AB115" s="2"/>
    </row>
    <row r="116">
      <c r="A116" s="8"/>
      <c r="B116" s="9"/>
      <c r="C116" s="9"/>
      <c r="D116" s="8"/>
      <c r="E116" s="8"/>
      <c r="F116" s="10"/>
      <c r="G116" s="2"/>
      <c r="H116" s="2"/>
      <c r="I116" s="2"/>
      <c r="J116" s="2"/>
      <c r="K116" s="2"/>
      <c r="L116" s="2"/>
      <c r="M116" s="2"/>
      <c r="N116" s="2"/>
      <c r="O116" s="2"/>
      <c r="P116" s="2"/>
      <c r="Q116" s="2"/>
      <c r="R116" s="2"/>
      <c r="S116" s="2"/>
      <c r="T116" s="2"/>
      <c r="U116" s="2"/>
      <c r="V116" s="2"/>
      <c r="W116" s="2"/>
      <c r="X116" s="2"/>
      <c r="Y116" s="2"/>
      <c r="Z116" s="2"/>
      <c r="AA116" s="2"/>
      <c r="AB116" s="2"/>
    </row>
    <row r="117">
      <c r="A117" s="8"/>
      <c r="B117" s="9"/>
      <c r="C117" s="9"/>
      <c r="D117" s="8"/>
      <c r="E117" s="8"/>
      <c r="F117" s="10"/>
      <c r="G117" s="2"/>
      <c r="H117" s="2"/>
      <c r="I117" s="2"/>
      <c r="J117" s="2"/>
      <c r="K117" s="2"/>
      <c r="L117" s="2"/>
      <c r="M117" s="2"/>
      <c r="N117" s="2"/>
      <c r="O117" s="2"/>
      <c r="P117" s="2"/>
      <c r="Q117" s="2"/>
      <c r="R117" s="2"/>
      <c r="S117" s="2"/>
      <c r="T117" s="2"/>
      <c r="U117" s="2"/>
      <c r="V117" s="2"/>
      <c r="W117" s="2"/>
      <c r="X117" s="2"/>
      <c r="Y117" s="2"/>
      <c r="Z117" s="2"/>
      <c r="AA117" s="2"/>
      <c r="AB117" s="2"/>
    </row>
    <row r="118">
      <c r="A118" s="8"/>
      <c r="B118" s="9"/>
      <c r="C118" s="9"/>
      <c r="D118" s="8"/>
      <c r="E118" s="8"/>
      <c r="F118" s="10"/>
      <c r="G118" s="2"/>
      <c r="H118" s="2"/>
      <c r="I118" s="2"/>
      <c r="J118" s="2"/>
      <c r="K118" s="2"/>
      <c r="L118" s="2"/>
      <c r="M118" s="2"/>
      <c r="N118" s="2"/>
      <c r="O118" s="2"/>
      <c r="P118" s="2"/>
      <c r="Q118" s="2"/>
      <c r="R118" s="2"/>
      <c r="S118" s="2"/>
      <c r="T118" s="2"/>
      <c r="U118" s="2"/>
      <c r="V118" s="2"/>
      <c r="W118" s="2"/>
      <c r="X118" s="2"/>
      <c r="Y118" s="2"/>
      <c r="Z118" s="2"/>
      <c r="AA118" s="2"/>
      <c r="AB118" s="2"/>
    </row>
    <row r="119">
      <c r="A119" s="8"/>
      <c r="B119" s="9"/>
      <c r="C119" s="9"/>
      <c r="D119" s="8"/>
      <c r="E119" s="8"/>
      <c r="F119" s="10"/>
      <c r="G119" s="2"/>
      <c r="H119" s="2"/>
      <c r="I119" s="2"/>
      <c r="J119" s="2"/>
      <c r="K119" s="2"/>
      <c r="L119" s="2"/>
      <c r="M119" s="2"/>
      <c r="N119" s="2"/>
      <c r="O119" s="2"/>
      <c r="P119" s="2"/>
      <c r="Q119" s="2"/>
      <c r="R119" s="2"/>
      <c r="S119" s="2"/>
      <c r="T119" s="2"/>
      <c r="U119" s="2"/>
      <c r="V119" s="2"/>
      <c r="W119" s="2"/>
      <c r="X119" s="2"/>
      <c r="Y119" s="2"/>
      <c r="Z119" s="2"/>
      <c r="AA119" s="2"/>
      <c r="AB119" s="2"/>
    </row>
    <row r="120">
      <c r="A120" s="8"/>
      <c r="B120" s="9"/>
      <c r="C120" s="9"/>
      <c r="D120" s="8"/>
      <c r="E120" s="8"/>
      <c r="F120" s="10"/>
      <c r="G120" s="2"/>
      <c r="H120" s="2"/>
      <c r="I120" s="2"/>
      <c r="J120" s="2"/>
      <c r="K120" s="2"/>
      <c r="L120" s="2"/>
      <c r="M120" s="2"/>
      <c r="N120" s="2"/>
      <c r="O120" s="2"/>
      <c r="P120" s="2"/>
      <c r="Q120" s="2"/>
      <c r="R120" s="2"/>
      <c r="S120" s="2"/>
      <c r="T120" s="2"/>
      <c r="U120" s="2"/>
      <c r="V120" s="2"/>
      <c r="W120" s="2"/>
      <c r="X120" s="2"/>
      <c r="Y120" s="2"/>
      <c r="Z120" s="2"/>
      <c r="AA120" s="2"/>
      <c r="AB120" s="2"/>
    </row>
    <row r="121">
      <c r="A121" s="8"/>
      <c r="B121" s="9"/>
      <c r="C121" s="9"/>
      <c r="D121" s="8"/>
      <c r="E121" s="8"/>
      <c r="F121" s="10"/>
      <c r="G121" s="2"/>
      <c r="H121" s="2"/>
      <c r="I121" s="2"/>
      <c r="J121" s="2"/>
      <c r="K121" s="2"/>
      <c r="L121" s="2"/>
      <c r="M121" s="2"/>
      <c r="N121" s="2"/>
      <c r="O121" s="2"/>
      <c r="P121" s="2"/>
      <c r="Q121" s="2"/>
      <c r="R121" s="2"/>
      <c r="S121" s="2"/>
      <c r="T121" s="2"/>
      <c r="U121" s="2"/>
      <c r="V121" s="2"/>
      <c r="W121" s="2"/>
      <c r="X121" s="2"/>
      <c r="Y121" s="2"/>
      <c r="Z121" s="2"/>
      <c r="AA121" s="2"/>
      <c r="AB121" s="2"/>
    </row>
    <row r="122">
      <c r="A122" s="8"/>
      <c r="B122" s="9"/>
      <c r="C122" s="9"/>
      <c r="D122" s="8"/>
      <c r="E122" s="8"/>
      <c r="F122" s="10"/>
      <c r="G122" s="2"/>
      <c r="H122" s="2"/>
      <c r="I122" s="2"/>
      <c r="J122" s="2"/>
      <c r="K122" s="2"/>
      <c r="L122" s="2"/>
      <c r="M122" s="2"/>
      <c r="N122" s="2"/>
      <c r="O122" s="2"/>
      <c r="P122" s="2"/>
      <c r="Q122" s="2"/>
      <c r="R122" s="2"/>
      <c r="S122" s="2"/>
      <c r="T122" s="2"/>
      <c r="U122" s="2"/>
      <c r="V122" s="2"/>
      <c r="W122" s="2"/>
      <c r="X122" s="2"/>
      <c r="Y122" s="2"/>
      <c r="Z122" s="2"/>
      <c r="AA122" s="2"/>
      <c r="AB122" s="2"/>
    </row>
    <row r="123">
      <c r="A123" s="8"/>
      <c r="B123" s="9"/>
      <c r="C123" s="9"/>
      <c r="D123" s="8"/>
      <c r="E123" s="8"/>
      <c r="F123" s="10"/>
      <c r="G123" s="2"/>
      <c r="H123" s="2"/>
      <c r="I123" s="2"/>
      <c r="J123" s="2"/>
      <c r="K123" s="2"/>
      <c r="L123" s="2"/>
      <c r="M123" s="2"/>
      <c r="N123" s="2"/>
      <c r="O123" s="2"/>
      <c r="P123" s="2"/>
      <c r="Q123" s="2"/>
      <c r="R123" s="2"/>
      <c r="S123" s="2"/>
      <c r="T123" s="2"/>
      <c r="U123" s="2"/>
      <c r="V123" s="2"/>
      <c r="W123" s="2"/>
      <c r="X123" s="2"/>
      <c r="Y123" s="2"/>
      <c r="Z123" s="2"/>
      <c r="AA123" s="2"/>
      <c r="AB123" s="2"/>
    </row>
    <row r="124">
      <c r="A124" s="8"/>
      <c r="B124" s="9"/>
      <c r="C124" s="9"/>
      <c r="D124" s="8"/>
      <c r="E124" s="8"/>
      <c r="F124" s="10"/>
      <c r="G124" s="2"/>
      <c r="H124" s="2"/>
      <c r="I124" s="2"/>
      <c r="J124" s="2"/>
      <c r="K124" s="2"/>
      <c r="L124" s="2"/>
      <c r="M124" s="2"/>
      <c r="N124" s="2"/>
      <c r="O124" s="2"/>
      <c r="P124" s="2"/>
      <c r="Q124" s="2"/>
      <c r="R124" s="2"/>
      <c r="S124" s="2"/>
      <c r="T124" s="2"/>
      <c r="U124" s="2"/>
      <c r="V124" s="2"/>
      <c r="W124" s="2"/>
      <c r="X124" s="2"/>
      <c r="Y124" s="2"/>
      <c r="Z124" s="2"/>
      <c r="AA124" s="2"/>
      <c r="AB124" s="2"/>
    </row>
    <row r="125">
      <c r="A125" s="8"/>
      <c r="B125" s="9"/>
      <c r="C125" s="9"/>
      <c r="D125" s="8"/>
      <c r="E125" s="8"/>
      <c r="F125" s="10"/>
      <c r="G125" s="2"/>
      <c r="H125" s="2"/>
      <c r="I125" s="2"/>
      <c r="J125" s="2"/>
      <c r="K125" s="2"/>
      <c r="L125" s="2"/>
      <c r="M125" s="2"/>
      <c r="N125" s="2"/>
      <c r="O125" s="2"/>
      <c r="P125" s="2"/>
      <c r="Q125" s="2"/>
      <c r="R125" s="2"/>
      <c r="S125" s="2"/>
      <c r="T125" s="2"/>
      <c r="U125" s="2"/>
      <c r="V125" s="2"/>
      <c r="W125" s="2"/>
      <c r="X125" s="2"/>
      <c r="Y125" s="2"/>
      <c r="Z125" s="2"/>
      <c r="AA125" s="2"/>
      <c r="AB125" s="2"/>
    </row>
    <row r="126">
      <c r="A126" s="8"/>
      <c r="B126" s="9"/>
      <c r="C126" s="9"/>
      <c r="D126" s="8"/>
      <c r="E126" s="8"/>
      <c r="F126" s="10"/>
      <c r="G126" s="2"/>
      <c r="H126" s="2"/>
      <c r="I126" s="2"/>
      <c r="J126" s="2"/>
      <c r="K126" s="2"/>
      <c r="L126" s="2"/>
      <c r="M126" s="2"/>
      <c r="N126" s="2"/>
      <c r="O126" s="2"/>
      <c r="P126" s="2"/>
      <c r="Q126" s="2"/>
      <c r="R126" s="2"/>
      <c r="S126" s="2"/>
      <c r="T126" s="2"/>
      <c r="U126" s="2"/>
      <c r="V126" s="2"/>
      <c r="W126" s="2"/>
      <c r="X126" s="2"/>
      <c r="Y126" s="2"/>
      <c r="Z126" s="2"/>
      <c r="AA126" s="2"/>
      <c r="AB126" s="2"/>
    </row>
    <row r="127">
      <c r="A127" s="8"/>
      <c r="B127" s="9"/>
      <c r="C127" s="9"/>
      <c r="D127" s="8"/>
      <c r="E127" s="8"/>
      <c r="F127" s="10"/>
      <c r="G127" s="2"/>
      <c r="H127" s="2"/>
      <c r="I127" s="2"/>
      <c r="J127" s="2"/>
      <c r="K127" s="2"/>
      <c r="L127" s="2"/>
      <c r="M127" s="2"/>
      <c r="N127" s="2"/>
      <c r="O127" s="2"/>
      <c r="P127" s="2"/>
      <c r="Q127" s="2"/>
      <c r="R127" s="2"/>
      <c r="S127" s="2"/>
      <c r="T127" s="2"/>
      <c r="U127" s="2"/>
      <c r="V127" s="2"/>
      <c r="W127" s="2"/>
      <c r="X127" s="2"/>
      <c r="Y127" s="2"/>
      <c r="Z127" s="2"/>
      <c r="AA127" s="2"/>
      <c r="AB127" s="2"/>
    </row>
    <row r="128">
      <c r="A128" s="8"/>
      <c r="B128" s="9"/>
      <c r="C128" s="9"/>
      <c r="D128" s="8"/>
      <c r="E128" s="8"/>
      <c r="F128" s="10"/>
      <c r="G128" s="2"/>
      <c r="H128" s="2"/>
      <c r="I128" s="2"/>
      <c r="J128" s="2"/>
      <c r="K128" s="2"/>
      <c r="L128" s="2"/>
      <c r="M128" s="2"/>
      <c r="N128" s="2"/>
      <c r="O128" s="2"/>
      <c r="P128" s="2"/>
      <c r="Q128" s="2"/>
      <c r="R128" s="2"/>
      <c r="S128" s="2"/>
      <c r="T128" s="2"/>
      <c r="U128" s="2"/>
      <c r="V128" s="2"/>
      <c r="W128" s="2"/>
      <c r="X128" s="2"/>
      <c r="Y128" s="2"/>
      <c r="Z128" s="2"/>
      <c r="AA128" s="2"/>
      <c r="AB128" s="2"/>
    </row>
    <row r="129">
      <c r="A129" s="8"/>
      <c r="B129" s="9"/>
      <c r="C129" s="9"/>
      <c r="D129" s="8"/>
      <c r="E129" s="8"/>
      <c r="F129" s="10"/>
      <c r="G129" s="2"/>
      <c r="H129" s="2"/>
      <c r="I129" s="2"/>
      <c r="J129" s="2"/>
      <c r="K129" s="2"/>
      <c r="L129" s="2"/>
      <c r="M129" s="2"/>
      <c r="N129" s="2"/>
      <c r="O129" s="2"/>
      <c r="P129" s="2"/>
      <c r="Q129" s="2"/>
      <c r="R129" s="2"/>
      <c r="S129" s="2"/>
      <c r="T129" s="2"/>
      <c r="U129" s="2"/>
      <c r="V129" s="2"/>
      <c r="W129" s="2"/>
      <c r="X129" s="2"/>
      <c r="Y129" s="2"/>
      <c r="Z129" s="2"/>
      <c r="AA129" s="2"/>
      <c r="AB129" s="2"/>
    </row>
    <row r="130">
      <c r="A130" s="8"/>
      <c r="B130" s="9"/>
      <c r="C130" s="9"/>
      <c r="D130" s="8"/>
      <c r="E130" s="8"/>
      <c r="F130" s="10"/>
      <c r="G130" s="2"/>
      <c r="H130" s="2"/>
      <c r="I130" s="2"/>
      <c r="J130" s="2"/>
      <c r="K130" s="2"/>
      <c r="L130" s="2"/>
      <c r="M130" s="2"/>
      <c r="N130" s="2"/>
      <c r="O130" s="2"/>
      <c r="P130" s="2"/>
      <c r="Q130" s="2"/>
      <c r="R130" s="2"/>
      <c r="S130" s="2"/>
      <c r="T130" s="2"/>
      <c r="U130" s="2"/>
      <c r="V130" s="2"/>
      <c r="W130" s="2"/>
      <c r="X130" s="2"/>
      <c r="Y130" s="2"/>
      <c r="Z130" s="2"/>
      <c r="AA130" s="2"/>
      <c r="AB130" s="2"/>
    </row>
    <row r="131">
      <c r="A131" s="8"/>
      <c r="B131" s="9"/>
      <c r="C131" s="9"/>
      <c r="D131" s="8"/>
      <c r="E131" s="8"/>
      <c r="F131" s="10"/>
      <c r="G131" s="2"/>
      <c r="H131" s="2"/>
      <c r="I131" s="2"/>
      <c r="J131" s="2"/>
      <c r="K131" s="2"/>
      <c r="L131" s="2"/>
      <c r="M131" s="2"/>
      <c r="N131" s="2"/>
      <c r="O131" s="2"/>
      <c r="P131" s="2"/>
      <c r="Q131" s="2"/>
      <c r="R131" s="2"/>
      <c r="S131" s="2"/>
      <c r="T131" s="2"/>
      <c r="U131" s="2"/>
      <c r="V131" s="2"/>
      <c r="W131" s="2"/>
      <c r="X131" s="2"/>
      <c r="Y131" s="2"/>
      <c r="Z131" s="2"/>
      <c r="AA131" s="2"/>
      <c r="AB131" s="2"/>
    </row>
    <row r="132">
      <c r="A132" s="8"/>
      <c r="B132" s="9"/>
      <c r="C132" s="9"/>
      <c r="D132" s="8"/>
      <c r="E132" s="8"/>
      <c r="F132" s="10"/>
      <c r="G132" s="2"/>
      <c r="H132" s="2"/>
      <c r="I132" s="2"/>
      <c r="J132" s="2"/>
      <c r="K132" s="2"/>
      <c r="L132" s="2"/>
      <c r="M132" s="2"/>
      <c r="N132" s="2"/>
      <c r="O132" s="2"/>
      <c r="P132" s="2"/>
      <c r="Q132" s="2"/>
      <c r="R132" s="2"/>
      <c r="S132" s="2"/>
      <c r="T132" s="2"/>
      <c r="U132" s="2"/>
      <c r="V132" s="2"/>
      <c r="W132" s="2"/>
      <c r="X132" s="2"/>
      <c r="Y132" s="2"/>
      <c r="Z132" s="2"/>
      <c r="AA132" s="2"/>
      <c r="AB132" s="2"/>
    </row>
    <row r="133">
      <c r="A133" s="8"/>
      <c r="B133" s="9"/>
      <c r="C133" s="9"/>
      <c r="D133" s="8"/>
      <c r="E133" s="8"/>
      <c r="F133" s="11"/>
      <c r="G133" s="2"/>
      <c r="H133" s="2"/>
      <c r="I133" s="2"/>
      <c r="J133" s="2"/>
      <c r="K133" s="2"/>
      <c r="L133" s="2"/>
      <c r="M133" s="2"/>
      <c r="N133" s="2"/>
      <c r="O133" s="2"/>
      <c r="P133" s="2"/>
      <c r="Q133" s="2"/>
      <c r="R133" s="2"/>
      <c r="S133" s="2"/>
      <c r="T133" s="2"/>
      <c r="U133" s="2"/>
      <c r="V133" s="2"/>
      <c r="W133" s="2"/>
      <c r="X133" s="2"/>
      <c r="Y133" s="2"/>
      <c r="Z133" s="2"/>
      <c r="AA133" s="2"/>
      <c r="AB133" s="2"/>
    </row>
    <row r="134">
      <c r="A134" s="8"/>
      <c r="B134" s="9"/>
      <c r="C134" s="9"/>
      <c r="D134" s="8"/>
      <c r="E134" s="8"/>
      <c r="F134" s="10"/>
      <c r="G134" s="2"/>
      <c r="H134" s="2"/>
      <c r="I134" s="2"/>
      <c r="J134" s="2"/>
      <c r="K134" s="2"/>
      <c r="L134" s="2"/>
      <c r="M134" s="2"/>
      <c r="N134" s="2"/>
      <c r="O134" s="2"/>
      <c r="P134" s="2"/>
      <c r="Q134" s="2"/>
      <c r="R134" s="2"/>
      <c r="S134" s="2"/>
      <c r="T134" s="2"/>
      <c r="U134" s="2"/>
      <c r="V134" s="2"/>
      <c r="W134" s="2"/>
      <c r="X134" s="2"/>
      <c r="Y134" s="2"/>
      <c r="Z134" s="2"/>
      <c r="AA134" s="2"/>
      <c r="AB134" s="2"/>
    </row>
    <row r="135">
      <c r="A135" s="8"/>
      <c r="B135" s="9"/>
      <c r="C135" s="9"/>
      <c r="D135" s="8"/>
      <c r="E135" s="8"/>
      <c r="F135" s="11"/>
      <c r="G135" s="2"/>
      <c r="H135" s="2"/>
      <c r="I135" s="2"/>
      <c r="J135" s="2"/>
      <c r="K135" s="2"/>
      <c r="L135" s="2"/>
      <c r="M135" s="2"/>
      <c r="N135" s="2"/>
      <c r="O135" s="2"/>
      <c r="P135" s="2"/>
      <c r="Q135" s="2"/>
      <c r="R135" s="2"/>
      <c r="S135" s="2"/>
      <c r="T135" s="2"/>
      <c r="U135" s="2"/>
      <c r="V135" s="2"/>
      <c r="W135" s="2"/>
      <c r="X135" s="2"/>
      <c r="Y135" s="2"/>
      <c r="Z135" s="2"/>
      <c r="AA135" s="2"/>
      <c r="AB135" s="2"/>
    </row>
    <row r="136">
      <c r="A136" s="8"/>
      <c r="B136" s="9"/>
      <c r="C136" s="9"/>
      <c r="D136" s="8"/>
      <c r="E136" s="8"/>
      <c r="F136" s="11"/>
      <c r="G136" s="2"/>
      <c r="H136" s="2"/>
      <c r="I136" s="2"/>
      <c r="J136" s="2"/>
      <c r="K136" s="2"/>
      <c r="L136" s="2"/>
      <c r="M136" s="2"/>
      <c r="N136" s="2"/>
      <c r="O136" s="2"/>
      <c r="P136" s="2"/>
      <c r="Q136" s="2"/>
      <c r="R136" s="2"/>
      <c r="S136" s="2"/>
      <c r="T136" s="2"/>
      <c r="U136" s="2"/>
      <c r="V136" s="2"/>
      <c r="W136" s="2"/>
      <c r="X136" s="2"/>
      <c r="Y136" s="2"/>
      <c r="Z136" s="2"/>
      <c r="AA136" s="2"/>
      <c r="AB136" s="2"/>
    </row>
    <row r="137">
      <c r="A137" s="8"/>
      <c r="B137" s="9"/>
      <c r="C137" s="9"/>
      <c r="D137" s="8"/>
      <c r="E137" s="8"/>
      <c r="F137" s="11"/>
      <c r="G137" s="2"/>
      <c r="H137" s="2"/>
      <c r="I137" s="2"/>
      <c r="J137" s="2"/>
      <c r="K137" s="2"/>
      <c r="L137" s="2"/>
      <c r="M137" s="2"/>
      <c r="N137" s="2"/>
      <c r="O137" s="2"/>
      <c r="P137" s="2"/>
      <c r="Q137" s="2"/>
      <c r="R137" s="2"/>
      <c r="S137" s="2"/>
      <c r="T137" s="2"/>
      <c r="U137" s="2"/>
      <c r="V137" s="2"/>
      <c r="W137" s="2"/>
      <c r="X137" s="2"/>
      <c r="Y137" s="2"/>
      <c r="Z137" s="2"/>
      <c r="AA137" s="2"/>
      <c r="AB137" s="2"/>
    </row>
    <row r="138">
      <c r="A138" s="8"/>
      <c r="B138" s="9"/>
      <c r="C138" s="9"/>
      <c r="D138" s="8"/>
      <c r="E138" s="8"/>
      <c r="F138" s="11"/>
      <c r="G138" s="2"/>
      <c r="H138" s="2"/>
      <c r="I138" s="2"/>
      <c r="J138" s="2"/>
      <c r="K138" s="2"/>
      <c r="L138" s="2"/>
      <c r="M138" s="2"/>
      <c r="N138" s="2"/>
      <c r="O138" s="2"/>
      <c r="P138" s="2"/>
      <c r="Q138" s="2"/>
      <c r="R138" s="2"/>
      <c r="S138" s="2"/>
      <c r="T138" s="2"/>
      <c r="U138" s="2"/>
      <c r="V138" s="2"/>
      <c r="W138" s="2"/>
      <c r="X138" s="2"/>
      <c r="Y138" s="2"/>
      <c r="Z138" s="2"/>
      <c r="AA138" s="2"/>
      <c r="AB138" s="2"/>
    </row>
    <row r="139">
      <c r="A139" s="8"/>
      <c r="B139" s="9"/>
      <c r="C139" s="9"/>
      <c r="D139" s="8"/>
      <c r="E139" s="8"/>
      <c r="F139" s="11"/>
      <c r="G139" s="2"/>
      <c r="H139" s="2"/>
      <c r="I139" s="2"/>
      <c r="J139" s="2"/>
      <c r="K139" s="2"/>
      <c r="L139" s="2"/>
      <c r="M139" s="2"/>
      <c r="N139" s="2"/>
      <c r="O139" s="2"/>
      <c r="P139" s="2"/>
      <c r="Q139" s="2"/>
      <c r="R139" s="2"/>
      <c r="S139" s="2"/>
      <c r="T139" s="2"/>
      <c r="U139" s="2"/>
      <c r="V139" s="2"/>
      <c r="W139" s="2"/>
      <c r="X139" s="2"/>
      <c r="Y139" s="2"/>
      <c r="Z139" s="2"/>
      <c r="AA139" s="2"/>
      <c r="AB139" s="2"/>
    </row>
    <row r="140">
      <c r="A140" s="8"/>
      <c r="B140" s="9"/>
      <c r="C140" s="9"/>
      <c r="D140" s="8"/>
      <c r="E140" s="8"/>
      <c r="F140" s="11"/>
      <c r="G140" s="2"/>
      <c r="H140" s="2"/>
      <c r="I140" s="2"/>
      <c r="J140" s="2"/>
      <c r="K140" s="2"/>
      <c r="L140" s="2"/>
      <c r="M140" s="2"/>
      <c r="N140" s="2"/>
      <c r="O140" s="2"/>
      <c r="P140" s="2"/>
      <c r="Q140" s="2"/>
      <c r="R140" s="2"/>
      <c r="S140" s="2"/>
      <c r="T140" s="2"/>
      <c r="U140" s="2"/>
      <c r="V140" s="2"/>
      <c r="W140" s="2"/>
      <c r="X140" s="2"/>
      <c r="Y140" s="2"/>
      <c r="Z140" s="2"/>
      <c r="AA140" s="2"/>
      <c r="AB140" s="2"/>
    </row>
    <row r="141">
      <c r="A141" s="8"/>
      <c r="B141" s="9"/>
      <c r="C141" s="9"/>
      <c r="D141" s="8"/>
      <c r="E141" s="8"/>
      <c r="F141" s="11"/>
      <c r="G141" s="2"/>
      <c r="H141" s="2"/>
      <c r="I141" s="2"/>
      <c r="J141" s="2"/>
      <c r="K141" s="2"/>
      <c r="L141" s="2"/>
      <c r="M141" s="2"/>
      <c r="N141" s="2"/>
      <c r="O141" s="2"/>
      <c r="P141" s="2"/>
      <c r="Q141" s="2"/>
      <c r="R141" s="2"/>
      <c r="S141" s="2"/>
      <c r="T141" s="2"/>
      <c r="U141" s="2"/>
      <c r="V141" s="2"/>
      <c r="W141" s="2"/>
      <c r="X141" s="2"/>
      <c r="Y141" s="2"/>
      <c r="Z141" s="2"/>
      <c r="AA141" s="2"/>
      <c r="AB141" s="2"/>
    </row>
    <row r="142">
      <c r="A142" s="8"/>
      <c r="B142" s="9"/>
      <c r="C142" s="9"/>
      <c r="D142" s="8"/>
      <c r="E142" s="8"/>
      <c r="F142" s="11"/>
      <c r="G142" s="2"/>
      <c r="H142" s="2"/>
      <c r="I142" s="2"/>
      <c r="J142" s="2"/>
      <c r="K142" s="2"/>
      <c r="L142" s="2"/>
      <c r="M142" s="2"/>
      <c r="N142" s="2"/>
      <c r="O142" s="2"/>
      <c r="P142" s="2"/>
      <c r="Q142" s="2"/>
      <c r="R142" s="2"/>
      <c r="S142" s="2"/>
      <c r="T142" s="2"/>
      <c r="U142" s="2"/>
      <c r="V142" s="2"/>
      <c r="W142" s="2"/>
      <c r="X142" s="2"/>
      <c r="Y142" s="2"/>
      <c r="Z142" s="2"/>
      <c r="AA142" s="2"/>
      <c r="AB142" s="2"/>
    </row>
    <row r="143">
      <c r="A143" s="8"/>
      <c r="B143" s="9"/>
      <c r="C143" s="9"/>
      <c r="D143" s="8"/>
      <c r="E143" s="8"/>
      <c r="F143" s="11"/>
      <c r="G143" s="2"/>
      <c r="H143" s="2"/>
      <c r="I143" s="2"/>
      <c r="J143" s="2"/>
      <c r="K143" s="2"/>
      <c r="L143" s="2"/>
      <c r="M143" s="2"/>
      <c r="N143" s="2"/>
      <c r="O143" s="2"/>
      <c r="P143" s="2"/>
      <c r="Q143" s="2"/>
      <c r="R143" s="2"/>
      <c r="S143" s="2"/>
      <c r="T143" s="2"/>
      <c r="U143" s="2"/>
      <c r="V143" s="2"/>
      <c r="W143" s="2"/>
      <c r="X143" s="2"/>
      <c r="Y143" s="2"/>
      <c r="Z143" s="2"/>
      <c r="AA143" s="2"/>
      <c r="AB143" s="2"/>
    </row>
    <row r="144">
      <c r="A144" s="8"/>
      <c r="B144" s="9"/>
      <c r="C144" s="9"/>
      <c r="D144" s="8"/>
      <c r="E144" s="8"/>
      <c r="F144" s="11"/>
      <c r="G144" s="2"/>
      <c r="H144" s="2"/>
      <c r="I144" s="2"/>
      <c r="J144" s="2"/>
      <c r="K144" s="2"/>
      <c r="L144" s="2"/>
      <c r="M144" s="2"/>
      <c r="N144" s="2"/>
      <c r="O144" s="2"/>
      <c r="P144" s="2"/>
      <c r="Q144" s="2"/>
      <c r="R144" s="2"/>
      <c r="S144" s="2"/>
      <c r="T144" s="2"/>
      <c r="U144" s="2"/>
      <c r="V144" s="2"/>
      <c r="W144" s="2"/>
      <c r="X144" s="2"/>
      <c r="Y144" s="2"/>
      <c r="Z144" s="2"/>
      <c r="AA144" s="2"/>
      <c r="AB144" s="2"/>
    </row>
    <row r="145">
      <c r="A145" s="8"/>
      <c r="B145" s="9"/>
      <c r="C145" s="9"/>
      <c r="D145" s="8"/>
      <c r="E145" s="8"/>
      <c r="F145" s="11"/>
      <c r="G145" s="2"/>
      <c r="H145" s="2"/>
      <c r="I145" s="2"/>
      <c r="J145" s="2"/>
      <c r="K145" s="2"/>
      <c r="L145" s="2"/>
      <c r="M145" s="2"/>
      <c r="N145" s="2"/>
      <c r="O145" s="2"/>
      <c r="P145" s="2"/>
      <c r="Q145" s="2"/>
      <c r="R145" s="2"/>
      <c r="S145" s="2"/>
      <c r="T145" s="2"/>
      <c r="U145" s="2"/>
      <c r="V145" s="2"/>
      <c r="W145" s="2"/>
      <c r="X145" s="2"/>
      <c r="Y145" s="2"/>
      <c r="Z145" s="2"/>
      <c r="AA145" s="2"/>
      <c r="AB145" s="2"/>
    </row>
    <row r="146">
      <c r="A146" s="8"/>
      <c r="B146" s="9"/>
      <c r="C146" s="9"/>
      <c r="D146" s="8"/>
      <c r="E146" s="8"/>
      <c r="F146" s="11"/>
      <c r="G146" s="2"/>
      <c r="H146" s="2"/>
      <c r="I146" s="2"/>
      <c r="J146" s="2"/>
      <c r="K146" s="2"/>
      <c r="L146" s="2"/>
      <c r="M146" s="2"/>
      <c r="N146" s="2"/>
      <c r="O146" s="2"/>
      <c r="P146" s="2"/>
      <c r="Q146" s="2"/>
      <c r="R146" s="2"/>
      <c r="S146" s="2"/>
      <c r="T146" s="2"/>
      <c r="U146" s="2"/>
      <c r="V146" s="2"/>
      <c r="W146" s="2"/>
      <c r="X146" s="2"/>
      <c r="Y146" s="2"/>
      <c r="Z146" s="2"/>
      <c r="AA146" s="2"/>
      <c r="AB146" s="2"/>
    </row>
    <row r="147">
      <c r="A147" s="8"/>
      <c r="B147" s="9"/>
      <c r="C147" s="9"/>
      <c r="D147" s="8"/>
      <c r="E147" s="8"/>
      <c r="F147" s="11"/>
      <c r="G147" s="2"/>
      <c r="H147" s="2"/>
      <c r="I147" s="2"/>
      <c r="J147" s="2"/>
      <c r="K147" s="2"/>
      <c r="L147" s="2"/>
      <c r="M147" s="2"/>
      <c r="N147" s="2"/>
      <c r="O147" s="2"/>
      <c r="P147" s="2"/>
      <c r="Q147" s="2"/>
      <c r="R147" s="2"/>
      <c r="S147" s="2"/>
      <c r="T147" s="2"/>
      <c r="U147" s="2"/>
      <c r="V147" s="2"/>
      <c r="W147" s="2"/>
      <c r="X147" s="2"/>
      <c r="Y147" s="2"/>
      <c r="Z147" s="2"/>
      <c r="AA147" s="2"/>
      <c r="AB147" s="2"/>
    </row>
    <row r="148">
      <c r="A148" s="8"/>
      <c r="B148" s="9"/>
      <c r="C148" s="9"/>
      <c r="D148" s="8"/>
      <c r="E148" s="8"/>
      <c r="F148" s="11"/>
      <c r="G148" s="2"/>
      <c r="H148" s="2"/>
      <c r="I148" s="2"/>
      <c r="J148" s="2"/>
      <c r="K148" s="2"/>
      <c r="L148" s="2"/>
      <c r="M148" s="2"/>
      <c r="N148" s="2"/>
      <c r="O148" s="2"/>
      <c r="P148" s="2"/>
      <c r="Q148" s="2"/>
      <c r="R148" s="2"/>
      <c r="S148" s="2"/>
      <c r="T148" s="2"/>
      <c r="U148" s="2"/>
      <c r="V148" s="2"/>
      <c r="W148" s="2"/>
      <c r="X148" s="2"/>
      <c r="Y148" s="2"/>
      <c r="Z148" s="2"/>
      <c r="AA148" s="2"/>
      <c r="AB148" s="2"/>
    </row>
    <row r="149">
      <c r="A149" s="8"/>
      <c r="B149" s="9"/>
      <c r="C149" s="9"/>
      <c r="D149" s="8"/>
      <c r="E149" s="8"/>
      <c r="F149" s="11"/>
      <c r="G149" s="2"/>
      <c r="H149" s="2"/>
      <c r="I149" s="2"/>
      <c r="J149" s="2"/>
      <c r="K149" s="2"/>
      <c r="L149" s="2"/>
      <c r="M149" s="2"/>
      <c r="N149" s="2"/>
      <c r="O149" s="2"/>
      <c r="P149" s="2"/>
      <c r="Q149" s="2"/>
      <c r="R149" s="2"/>
      <c r="S149" s="2"/>
      <c r="T149" s="2"/>
      <c r="U149" s="2"/>
      <c r="V149" s="2"/>
      <c r="W149" s="2"/>
      <c r="X149" s="2"/>
      <c r="Y149" s="2"/>
      <c r="Z149" s="2"/>
      <c r="AA149" s="2"/>
      <c r="AB149" s="2"/>
    </row>
    <row r="150">
      <c r="A150" s="8"/>
      <c r="B150" s="9"/>
      <c r="C150" s="9"/>
      <c r="D150" s="8"/>
      <c r="E150" s="8"/>
      <c r="F150" s="11"/>
      <c r="G150" s="2"/>
      <c r="H150" s="2"/>
      <c r="I150" s="2"/>
      <c r="J150" s="2"/>
      <c r="K150" s="2"/>
      <c r="L150" s="2"/>
      <c r="M150" s="2"/>
      <c r="N150" s="2"/>
      <c r="O150" s="2"/>
      <c r="P150" s="2"/>
      <c r="Q150" s="2"/>
      <c r="R150" s="2"/>
      <c r="S150" s="2"/>
      <c r="T150" s="2"/>
      <c r="U150" s="2"/>
      <c r="V150" s="2"/>
      <c r="W150" s="2"/>
      <c r="X150" s="2"/>
      <c r="Y150" s="2"/>
      <c r="Z150" s="2"/>
      <c r="AA150" s="2"/>
      <c r="AB150" s="2"/>
    </row>
    <row r="151">
      <c r="A151" s="8"/>
      <c r="B151" s="9"/>
      <c r="C151" s="9"/>
      <c r="D151" s="8"/>
      <c r="E151" s="8"/>
      <c r="F151" s="11"/>
      <c r="G151" s="2"/>
      <c r="H151" s="2"/>
      <c r="I151" s="2"/>
      <c r="J151" s="2"/>
      <c r="K151" s="2"/>
      <c r="L151" s="2"/>
      <c r="M151" s="2"/>
      <c r="N151" s="2"/>
      <c r="O151" s="2"/>
      <c r="P151" s="2"/>
      <c r="Q151" s="2"/>
      <c r="R151" s="2"/>
      <c r="S151" s="2"/>
      <c r="T151" s="2"/>
      <c r="U151" s="2"/>
      <c r="V151" s="2"/>
      <c r="W151" s="2"/>
      <c r="X151" s="2"/>
      <c r="Y151" s="2"/>
      <c r="Z151" s="2"/>
      <c r="AA151" s="2"/>
      <c r="AB151" s="2"/>
    </row>
    <row r="152">
      <c r="A152" s="8"/>
      <c r="B152" s="9"/>
      <c r="C152" s="9"/>
      <c r="D152" s="8"/>
      <c r="E152" s="8"/>
      <c r="F152" s="11"/>
      <c r="G152" s="2"/>
      <c r="H152" s="2"/>
      <c r="I152" s="2"/>
      <c r="J152" s="2"/>
      <c r="K152" s="2"/>
      <c r="L152" s="2"/>
      <c r="M152" s="2"/>
      <c r="N152" s="2"/>
      <c r="O152" s="2"/>
      <c r="P152" s="2"/>
      <c r="Q152" s="2"/>
      <c r="R152" s="2"/>
      <c r="S152" s="2"/>
      <c r="T152" s="2"/>
      <c r="U152" s="2"/>
      <c r="V152" s="2"/>
      <c r="W152" s="2"/>
      <c r="X152" s="2"/>
      <c r="Y152" s="2"/>
      <c r="Z152" s="2"/>
      <c r="AA152" s="2"/>
      <c r="AB152" s="2"/>
    </row>
    <row r="153">
      <c r="A153" s="8"/>
      <c r="B153" s="9"/>
      <c r="C153" s="9"/>
      <c r="D153" s="8"/>
      <c r="E153" s="8"/>
      <c r="F153" s="11"/>
      <c r="G153" s="2"/>
      <c r="H153" s="2"/>
      <c r="I153" s="2"/>
      <c r="J153" s="2"/>
      <c r="K153" s="2"/>
      <c r="L153" s="2"/>
      <c r="M153" s="2"/>
      <c r="N153" s="2"/>
      <c r="O153" s="2"/>
      <c r="P153" s="2"/>
      <c r="Q153" s="2"/>
      <c r="R153" s="2"/>
      <c r="S153" s="2"/>
      <c r="T153" s="2"/>
      <c r="U153" s="2"/>
      <c r="V153" s="2"/>
      <c r="W153" s="2"/>
      <c r="X153" s="2"/>
      <c r="Y153" s="2"/>
      <c r="Z153" s="2"/>
      <c r="AA153" s="2"/>
      <c r="AB153" s="2"/>
    </row>
    <row r="154">
      <c r="A154" s="8"/>
      <c r="B154" s="9"/>
      <c r="C154" s="9"/>
      <c r="D154" s="8"/>
      <c r="E154" s="8"/>
      <c r="F154" s="11"/>
      <c r="G154" s="2"/>
      <c r="H154" s="2"/>
      <c r="I154" s="2"/>
      <c r="J154" s="2"/>
      <c r="K154" s="2"/>
      <c r="L154" s="2"/>
      <c r="M154" s="2"/>
      <c r="N154" s="2"/>
      <c r="O154" s="2"/>
      <c r="P154" s="2"/>
      <c r="Q154" s="2"/>
      <c r="R154" s="2"/>
      <c r="S154" s="2"/>
      <c r="T154" s="2"/>
      <c r="U154" s="2"/>
      <c r="V154" s="2"/>
      <c r="W154" s="2"/>
      <c r="X154" s="2"/>
      <c r="Y154" s="2"/>
      <c r="Z154" s="2"/>
      <c r="AA154" s="2"/>
      <c r="AB154" s="2"/>
    </row>
    <row r="155">
      <c r="A155" s="8"/>
      <c r="B155" s="9"/>
      <c r="C155" s="9"/>
      <c r="D155" s="8"/>
      <c r="E155" s="8"/>
      <c r="F155" s="11"/>
      <c r="G155" s="2"/>
      <c r="H155" s="2"/>
      <c r="I155" s="2"/>
      <c r="J155" s="2"/>
      <c r="K155" s="2"/>
      <c r="L155" s="2"/>
      <c r="M155" s="2"/>
      <c r="N155" s="2"/>
      <c r="O155" s="2"/>
      <c r="P155" s="2"/>
      <c r="Q155" s="2"/>
      <c r="R155" s="2"/>
      <c r="S155" s="2"/>
      <c r="T155" s="2"/>
      <c r="U155" s="2"/>
      <c r="V155" s="2"/>
      <c r="W155" s="2"/>
      <c r="X155" s="2"/>
      <c r="Y155" s="2"/>
      <c r="Z155" s="2"/>
      <c r="AA155" s="2"/>
      <c r="AB155" s="2"/>
    </row>
    <row r="156">
      <c r="A156" s="8"/>
      <c r="B156" s="9"/>
      <c r="C156" s="9"/>
      <c r="D156" s="8"/>
      <c r="E156" s="8"/>
      <c r="F156" s="11"/>
      <c r="G156" s="2"/>
      <c r="H156" s="2"/>
      <c r="I156" s="2"/>
      <c r="J156" s="2"/>
      <c r="K156" s="2"/>
      <c r="L156" s="2"/>
      <c r="M156" s="2"/>
      <c r="N156" s="2"/>
      <c r="O156" s="2"/>
      <c r="P156" s="2"/>
      <c r="Q156" s="2"/>
      <c r="R156" s="2"/>
      <c r="S156" s="2"/>
      <c r="T156" s="2"/>
      <c r="U156" s="2"/>
      <c r="V156" s="2"/>
      <c r="W156" s="2"/>
      <c r="X156" s="2"/>
      <c r="Y156" s="2"/>
      <c r="Z156" s="2"/>
      <c r="AA156" s="2"/>
      <c r="AB156" s="2"/>
    </row>
    <row r="157">
      <c r="A157" s="8"/>
      <c r="B157" s="9"/>
      <c r="C157" s="9"/>
      <c r="D157" s="8"/>
      <c r="E157" s="8"/>
      <c r="F157" s="11"/>
      <c r="G157" s="2"/>
      <c r="H157" s="2"/>
      <c r="I157" s="2"/>
      <c r="J157" s="2"/>
      <c r="K157" s="2"/>
      <c r="L157" s="2"/>
      <c r="M157" s="2"/>
      <c r="N157" s="2"/>
      <c r="O157" s="2"/>
      <c r="P157" s="2"/>
      <c r="Q157" s="2"/>
      <c r="R157" s="2"/>
      <c r="S157" s="2"/>
      <c r="T157" s="2"/>
      <c r="U157" s="2"/>
      <c r="V157" s="2"/>
      <c r="W157" s="2"/>
      <c r="X157" s="2"/>
      <c r="Y157" s="2"/>
      <c r="Z157" s="2"/>
      <c r="AA157" s="2"/>
      <c r="AB157" s="2"/>
    </row>
    <row r="158">
      <c r="A158" s="8"/>
      <c r="B158" s="9"/>
      <c r="C158" s="9"/>
      <c r="D158" s="8"/>
      <c r="E158" s="8"/>
      <c r="F158" s="11"/>
      <c r="G158" s="2"/>
      <c r="H158" s="2"/>
      <c r="I158" s="2"/>
      <c r="J158" s="2"/>
      <c r="K158" s="2"/>
      <c r="L158" s="2"/>
      <c r="M158" s="2"/>
      <c r="N158" s="2"/>
      <c r="O158" s="2"/>
      <c r="P158" s="2"/>
      <c r="Q158" s="2"/>
      <c r="R158" s="2"/>
      <c r="S158" s="2"/>
      <c r="T158" s="2"/>
      <c r="U158" s="2"/>
      <c r="V158" s="2"/>
      <c r="W158" s="2"/>
      <c r="X158" s="2"/>
      <c r="Y158" s="2"/>
      <c r="Z158" s="2"/>
      <c r="AA158" s="2"/>
      <c r="AB158" s="2"/>
    </row>
    <row r="159">
      <c r="A159" s="8"/>
      <c r="B159" s="9"/>
      <c r="C159" s="9"/>
      <c r="D159" s="8"/>
      <c r="E159" s="8"/>
      <c r="F159" s="10"/>
      <c r="G159" s="2"/>
      <c r="H159" s="2"/>
      <c r="I159" s="2"/>
      <c r="J159" s="2"/>
      <c r="K159" s="2"/>
      <c r="L159" s="2"/>
      <c r="M159" s="2"/>
      <c r="N159" s="2"/>
      <c r="O159" s="2"/>
      <c r="P159" s="2"/>
      <c r="Q159" s="2"/>
      <c r="R159" s="2"/>
      <c r="S159" s="2"/>
      <c r="T159" s="2"/>
      <c r="U159" s="2"/>
      <c r="V159" s="2"/>
      <c r="W159" s="2"/>
      <c r="X159" s="2"/>
      <c r="Y159" s="2"/>
      <c r="Z159" s="2"/>
      <c r="AA159" s="2"/>
      <c r="AB159" s="2"/>
    </row>
    <row r="160">
      <c r="A160" s="8"/>
      <c r="B160" s="9"/>
      <c r="C160" s="9"/>
      <c r="D160" s="8"/>
      <c r="E160" s="8"/>
      <c r="F160" s="10"/>
      <c r="G160" s="2"/>
      <c r="H160" s="2"/>
      <c r="I160" s="2"/>
      <c r="J160" s="2"/>
      <c r="K160" s="2"/>
      <c r="L160" s="2"/>
      <c r="M160" s="2"/>
      <c r="N160" s="2"/>
      <c r="O160" s="2"/>
      <c r="P160" s="2"/>
      <c r="Q160" s="2"/>
      <c r="R160" s="2"/>
      <c r="S160" s="2"/>
      <c r="T160" s="2"/>
      <c r="U160" s="2"/>
      <c r="V160" s="2"/>
      <c r="W160" s="2"/>
      <c r="X160" s="2"/>
      <c r="Y160" s="2"/>
      <c r="Z160" s="2"/>
      <c r="AA160" s="2"/>
      <c r="AB160" s="2"/>
    </row>
    <row r="161">
      <c r="A161" s="8"/>
      <c r="B161" s="9"/>
      <c r="C161" s="9"/>
      <c r="D161" s="8"/>
      <c r="E161" s="8"/>
      <c r="F161" s="11"/>
      <c r="G161" s="2"/>
      <c r="H161" s="2"/>
      <c r="I161" s="2"/>
      <c r="J161" s="2"/>
      <c r="K161" s="2"/>
      <c r="L161" s="2"/>
      <c r="M161" s="2"/>
      <c r="N161" s="2"/>
      <c r="O161" s="2"/>
      <c r="P161" s="2"/>
      <c r="Q161" s="2"/>
      <c r="R161" s="2"/>
      <c r="S161" s="2"/>
      <c r="T161" s="2"/>
      <c r="U161" s="2"/>
      <c r="V161" s="2"/>
      <c r="W161" s="2"/>
      <c r="X161" s="2"/>
      <c r="Y161" s="2"/>
      <c r="Z161" s="2"/>
      <c r="AA161" s="2"/>
      <c r="AB161" s="2"/>
    </row>
    <row r="162">
      <c r="A162" s="8"/>
      <c r="B162" s="9"/>
      <c r="C162" s="9"/>
      <c r="D162" s="8"/>
      <c r="E162" s="8"/>
      <c r="F162" s="11"/>
      <c r="G162" s="2"/>
      <c r="H162" s="2"/>
      <c r="I162" s="2"/>
      <c r="J162" s="2"/>
      <c r="K162" s="2"/>
      <c r="L162" s="2"/>
      <c r="M162" s="2"/>
      <c r="N162" s="2"/>
      <c r="O162" s="2"/>
      <c r="P162" s="2"/>
      <c r="Q162" s="2"/>
      <c r="R162" s="2"/>
      <c r="S162" s="2"/>
      <c r="T162" s="2"/>
      <c r="U162" s="2"/>
      <c r="V162" s="2"/>
      <c r="W162" s="2"/>
      <c r="X162" s="2"/>
      <c r="Y162" s="2"/>
      <c r="Z162" s="2"/>
      <c r="AA162" s="2"/>
      <c r="AB162" s="2"/>
    </row>
    <row r="163">
      <c r="A163" s="8"/>
      <c r="B163" s="9"/>
      <c r="C163" s="9"/>
      <c r="D163" s="8"/>
      <c r="E163" s="8"/>
      <c r="F163" s="10"/>
      <c r="G163" s="2"/>
      <c r="H163" s="2"/>
      <c r="I163" s="2"/>
      <c r="J163" s="2"/>
      <c r="K163" s="2"/>
      <c r="L163" s="2"/>
      <c r="M163" s="2"/>
      <c r="N163" s="2"/>
      <c r="O163" s="2"/>
      <c r="P163" s="2"/>
      <c r="Q163" s="2"/>
      <c r="R163" s="2"/>
      <c r="S163" s="2"/>
      <c r="T163" s="2"/>
      <c r="U163" s="2"/>
      <c r="V163" s="2"/>
      <c r="W163" s="2"/>
      <c r="X163" s="2"/>
      <c r="Y163" s="2"/>
      <c r="Z163" s="2"/>
      <c r="AA163" s="2"/>
      <c r="AB163" s="2"/>
    </row>
    <row r="164">
      <c r="A164" s="8"/>
      <c r="B164" s="9"/>
      <c r="C164" s="9"/>
      <c r="D164" s="8"/>
      <c r="E164" s="8"/>
      <c r="F164" s="10"/>
      <c r="G164" s="2"/>
      <c r="H164" s="2"/>
      <c r="I164" s="2"/>
      <c r="J164" s="2"/>
      <c r="K164" s="2"/>
      <c r="L164" s="2"/>
      <c r="M164" s="2"/>
      <c r="N164" s="2"/>
      <c r="O164" s="2"/>
      <c r="P164" s="2"/>
      <c r="Q164" s="2"/>
      <c r="R164" s="2"/>
      <c r="S164" s="2"/>
      <c r="T164" s="2"/>
      <c r="U164" s="2"/>
      <c r="V164" s="2"/>
      <c r="W164" s="2"/>
      <c r="X164" s="2"/>
      <c r="Y164" s="2"/>
      <c r="Z164" s="2"/>
      <c r="AA164" s="2"/>
      <c r="AB164" s="2"/>
    </row>
    <row r="165">
      <c r="A165" s="8"/>
      <c r="B165" s="9"/>
      <c r="C165" s="9"/>
      <c r="D165" s="8"/>
      <c r="E165" s="8"/>
      <c r="F165" s="11"/>
      <c r="G165" s="2"/>
      <c r="H165" s="2"/>
      <c r="I165" s="2"/>
      <c r="J165" s="2"/>
      <c r="K165" s="2"/>
      <c r="L165" s="2"/>
      <c r="M165" s="2"/>
      <c r="N165" s="2"/>
      <c r="O165" s="2"/>
      <c r="P165" s="2"/>
      <c r="Q165" s="2"/>
      <c r="R165" s="2"/>
      <c r="S165" s="2"/>
      <c r="T165" s="2"/>
      <c r="U165" s="2"/>
      <c r="V165" s="2"/>
      <c r="W165" s="2"/>
      <c r="X165" s="2"/>
      <c r="Y165" s="2"/>
      <c r="Z165" s="2"/>
      <c r="AA165" s="2"/>
      <c r="AB165" s="2"/>
    </row>
    <row r="166">
      <c r="A166" s="8"/>
      <c r="B166" s="9"/>
      <c r="C166" s="9"/>
      <c r="D166" s="8"/>
      <c r="E166" s="8"/>
      <c r="F166" s="11"/>
      <c r="G166" s="2"/>
      <c r="H166" s="2"/>
      <c r="I166" s="2"/>
      <c r="J166" s="2"/>
      <c r="K166" s="2"/>
      <c r="L166" s="2"/>
      <c r="M166" s="2"/>
      <c r="N166" s="2"/>
      <c r="O166" s="2"/>
      <c r="P166" s="2"/>
      <c r="Q166" s="2"/>
      <c r="R166" s="2"/>
      <c r="S166" s="2"/>
      <c r="T166" s="2"/>
      <c r="U166" s="2"/>
      <c r="V166" s="2"/>
      <c r="W166" s="2"/>
      <c r="X166" s="2"/>
      <c r="Y166" s="2"/>
      <c r="Z166" s="2"/>
      <c r="AA166" s="2"/>
      <c r="AB166" s="2"/>
    </row>
    <row r="167">
      <c r="A167" s="8"/>
      <c r="B167" s="9"/>
      <c r="C167" s="9"/>
      <c r="D167" s="8"/>
      <c r="E167" s="8"/>
      <c r="F167" s="11"/>
      <c r="G167" s="2"/>
      <c r="H167" s="2"/>
      <c r="I167" s="2"/>
      <c r="J167" s="2"/>
      <c r="K167" s="2"/>
      <c r="L167" s="2"/>
      <c r="M167" s="2"/>
      <c r="N167" s="2"/>
      <c r="O167" s="2"/>
      <c r="P167" s="2"/>
      <c r="Q167" s="2"/>
      <c r="R167" s="2"/>
      <c r="S167" s="2"/>
      <c r="T167" s="2"/>
      <c r="U167" s="2"/>
      <c r="V167" s="2"/>
      <c r="W167" s="2"/>
      <c r="X167" s="2"/>
      <c r="Y167" s="2"/>
      <c r="Z167" s="2"/>
      <c r="AA167" s="2"/>
      <c r="AB167" s="2"/>
    </row>
    <row r="168">
      <c r="A168" s="8"/>
      <c r="B168" s="9"/>
      <c r="C168" s="9"/>
      <c r="D168" s="8"/>
      <c r="E168" s="8"/>
      <c r="F168" s="10"/>
      <c r="G168" s="2"/>
      <c r="H168" s="2"/>
      <c r="I168" s="2"/>
      <c r="J168" s="2"/>
      <c r="K168" s="2"/>
      <c r="L168" s="2"/>
      <c r="M168" s="2"/>
      <c r="N168" s="2"/>
      <c r="O168" s="2"/>
      <c r="P168" s="2"/>
      <c r="Q168" s="2"/>
      <c r="R168" s="2"/>
      <c r="S168" s="2"/>
      <c r="T168" s="2"/>
      <c r="U168" s="2"/>
      <c r="V168" s="2"/>
      <c r="W168" s="2"/>
      <c r="X168" s="2"/>
      <c r="Y168" s="2"/>
      <c r="Z168" s="2"/>
      <c r="AA168" s="2"/>
      <c r="AB168" s="2"/>
    </row>
    <row r="169">
      <c r="A169" s="8"/>
      <c r="B169" s="9"/>
      <c r="C169" s="9"/>
      <c r="D169" s="8"/>
      <c r="E169" s="8"/>
      <c r="F169" s="10"/>
      <c r="G169" s="2"/>
      <c r="H169" s="2"/>
      <c r="I169" s="2"/>
      <c r="J169" s="2"/>
      <c r="K169" s="2"/>
      <c r="L169" s="2"/>
      <c r="M169" s="2"/>
      <c r="N169" s="2"/>
      <c r="O169" s="2"/>
      <c r="P169" s="2"/>
      <c r="Q169" s="2"/>
      <c r="R169" s="2"/>
      <c r="S169" s="2"/>
      <c r="T169" s="2"/>
      <c r="U169" s="2"/>
      <c r="V169" s="2"/>
      <c r="W169" s="2"/>
      <c r="X169" s="2"/>
      <c r="Y169" s="2"/>
      <c r="Z169" s="2"/>
      <c r="AA169" s="2"/>
      <c r="AB169" s="2"/>
    </row>
    <row r="170">
      <c r="A170" s="8"/>
      <c r="B170" s="9"/>
      <c r="C170" s="9"/>
      <c r="D170" s="8"/>
      <c r="E170" s="8"/>
      <c r="F170" s="11"/>
      <c r="G170" s="2"/>
      <c r="H170" s="2"/>
      <c r="I170" s="2"/>
      <c r="J170" s="2"/>
      <c r="K170" s="2"/>
      <c r="L170" s="2"/>
      <c r="M170" s="2"/>
      <c r="N170" s="2"/>
      <c r="O170" s="2"/>
      <c r="P170" s="2"/>
      <c r="Q170" s="2"/>
      <c r="R170" s="2"/>
      <c r="S170" s="2"/>
      <c r="T170" s="2"/>
      <c r="U170" s="2"/>
      <c r="V170" s="2"/>
      <c r="W170" s="2"/>
      <c r="X170" s="2"/>
      <c r="Y170" s="2"/>
      <c r="Z170" s="2"/>
      <c r="AA170" s="2"/>
      <c r="AB170" s="2"/>
    </row>
    <row r="171">
      <c r="A171" s="8"/>
      <c r="B171" s="9"/>
      <c r="C171" s="9"/>
      <c r="D171" s="8"/>
      <c r="E171" s="8"/>
      <c r="F171" s="11"/>
      <c r="G171" s="2"/>
      <c r="H171" s="2"/>
      <c r="I171" s="2"/>
      <c r="J171" s="2"/>
      <c r="K171" s="2"/>
      <c r="L171" s="2"/>
      <c r="M171" s="2"/>
      <c r="N171" s="2"/>
      <c r="O171" s="2"/>
      <c r="P171" s="2"/>
      <c r="Q171" s="2"/>
      <c r="R171" s="2"/>
      <c r="S171" s="2"/>
      <c r="T171" s="2"/>
      <c r="U171" s="2"/>
      <c r="V171" s="2"/>
      <c r="W171" s="2"/>
      <c r="X171" s="2"/>
      <c r="Y171" s="2"/>
      <c r="Z171" s="2"/>
      <c r="AA171" s="2"/>
      <c r="AB171" s="2"/>
    </row>
    <row r="172">
      <c r="A172" s="8"/>
      <c r="B172" s="9"/>
      <c r="C172" s="9"/>
      <c r="D172" s="8"/>
      <c r="E172" s="8"/>
      <c r="F172" s="11"/>
      <c r="G172" s="2"/>
      <c r="H172" s="2"/>
      <c r="I172" s="2"/>
      <c r="J172" s="2"/>
      <c r="K172" s="2"/>
      <c r="L172" s="2"/>
      <c r="M172" s="2"/>
      <c r="N172" s="2"/>
      <c r="O172" s="2"/>
      <c r="P172" s="2"/>
      <c r="Q172" s="2"/>
      <c r="R172" s="2"/>
      <c r="S172" s="2"/>
      <c r="T172" s="2"/>
      <c r="U172" s="2"/>
      <c r="V172" s="2"/>
      <c r="W172" s="2"/>
      <c r="X172" s="2"/>
      <c r="Y172" s="2"/>
      <c r="Z172" s="2"/>
      <c r="AA172" s="2"/>
      <c r="AB172" s="2"/>
    </row>
    <row r="173">
      <c r="A173" s="8"/>
      <c r="B173" s="9"/>
      <c r="C173" s="9"/>
      <c r="D173" s="8"/>
      <c r="E173" s="8"/>
      <c r="F173" s="11"/>
      <c r="G173" s="2"/>
      <c r="H173" s="2"/>
      <c r="I173" s="2"/>
      <c r="J173" s="2"/>
      <c r="K173" s="2"/>
      <c r="L173" s="2"/>
      <c r="M173" s="2"/>
      <c r="N173" s="2"/>
      <c r="O173" s="2"/>
      <c r="P173" s="2"/>
      <c r="Q173" s="2"/>
      <c r="R173" s="2"/>
      <c r="S173" s="2"/>
      <c r="T173" s="2"/>
      <c r="U173" s="2"/>
      <c r="V173" s="2"/>
      <c r="W173" s="2"/>
      <c r="X173" s="2"/>
      <c r="Y173" s="2"/>
      <c r="Z173" s="2"/>
      <c r="AA173" s="2"/>
      <c r="AB173" s="2"/>
    </row>
    <row r="174">
      <c r="A174" s="8"/>
      <c r="B174" s="9"/>
      <c r="C174" s="9"/>
      <c r="D174" s="8"/>
      <c r="E174" s="8"/>
      <c r="F174" s="11"/>
      <c r="G174" s="2"/>
      <c r="H174" s="2"/>
      <c r="I174" s="2"/>
      <c r="J174" s="2"/>
      <c r="K174" s="2"/>
      <c r="L174" s="2"/>
      <c r="M174" s="2"/>
      <c r="N174" s="2"/>
      <c r="O174" s="2"/>
      <c r="P174" s="2"/>
      <c r="Q174" s="2"/>
      <c r="R174" s="2"/>
      <c r="S174" s="2"/>
      <c r="T174" s="2"/>
      <c r="U174" s="2"/>
      <c r="V174" s="2"/>
      <c r="W174" s="2"/>
      <c r="X174" s="2"/>
      <c r="Y174" s="2"/>
      <c r="Z174" s="2"/>
      <c r="AA174" s="2"/>
      <c r="AB174" s="2"/>
    </row>
    <row r="175">
      <c r="A175" s="8"/>
      <c r="B175" s="9"/>
      <c r="C175" s="9"/>
      <c r="D175" s="8"/>
      <c r="E175" s="8"/>
      <c r="F175" s="11"/>
      <c r="G175" s="2"/>
      <c r="H175" s="2"/>
      <c r="I175" s="2"/>
      <c r="J175" s="2"/>
      <c r="K175" s="2"/>
      <c r="L175" s="2"/>
      <c r="M175" s="2"/>
      <c r="N175" s="2"/>
      <c r="O175" s="2"/>
      <c r="P175" s="2"/>
      <c r="Q175" s="2"/>
      <c r="R175" s="2"/>
      <c r="S175" s="2"/>
      <c r="T175" s="2"/>
      <c r="U175" s="2"/>
      <c r="V175" s="2"/>
      <c r="W175" s="2"/>
      <c r="X175" s="2"/>
      <c r="Y175" s="2"/>
      <c r="Z175" s="2"/>
      <c r="AA175" s="2"/>
      <c r="AB175" s="2"/>
    </row>
    <row r="176">
      <c r="A176" s="8"/>
      <c r="B176" s="9"/>
      <c r="C176" s="9"/>
      <c r="D176" s="8"/>
      <c r="E176" s="8"/>
      <c r="F176" s="11"/>
      <c r="G176" s="2"/>
      <c r="H176" s="2"/>
      <c r="I176" s="2"/>
      <c r="J176" s="2"/>
      <c r="K176" s="2"/>
      <c r="L176" s="2"/>
      <c r="M176" s="2"/>
      <c r="N176" s="2"/>
      <c r="O176" s="2"/>
      <c r="P176" s="2"/>
      <c r="Q176" s="2"/>
      <c r="R176" s="2"/>
      <c r="S176" s="2"/>
      <c r="T176" s="2"/>
      <c r="U176" s="2"/>
      <c r="V176" s="2"/>
      <c r="W176" s="2"/>
      <c r="X176" s="2"/>
      <c r="Y176" s="2"/>
      <c r="Z176" s="2"/>
      <c r="AA176" s="2"/>
      <c r="AB176" s="2"/>
    </row>
    <row r="177">
      <c r="A177" s="8"/>
      <c r="B177" s="9"/>
      <c r="C177" s="9"/>
      <c r="D177" s="8"/>
      <c r="E177" s="8"/>
      <c r="F177" s="11"/>
      <c r="G177" s="2"/>
      <c r="H177" s="2"/>
      <c r="I177" s="2"/>
      <c r="J177" s="2"/>
      <c r="K177" s="2"/>
      <c r="L177" s="2"/>
      <c r="M177" s="2"/>
      <c r="N177" s="2"/>
      <c r="O177" s="2"/>
      <c r="P177" s="2"/>
      <c r="Q177" s="2"/>
      <c r="R177" s="2"/>
      <c r="S177" s="2"/>
      <c r="T177" s="2"/>
      <c r="U177" s="2"/>
      <c r="V177" s="2"/>
      <c r="W177" s="2"/>
      <c r="X177" s="2"/>
      <c r="Y177" s="2"/>
      <c r="Z177" s="2"/>
      <c r="AA177" s="2"/>
      <c r="AB177" s="2"/>
    </row>
    <row r="178">
      <c r="A178" s="8"/>
      <c r="B178" s="9"/>
      <c r="C178" s="9"/>
      <c r="D178" s="8"/>
      <c r="E178" s="8"/>
      <c r="F178" s="11"/>
      <c r="G178" s="2"/>
      <c r="H178" s="2"/>
      <c r="I178" s="2"/>
      <c r="J178" s="2"/>
      <c r="K178" s="2"/>
      <c r="L178" s="2"/>
      <c r="M178" s="2"/>
      <c r="N178" s="2"/>
      <c r="O178" s="2"/>
      <c r="P178" s="2"/>
      <c r="Q178" s="2"/>
      <c r="R178" s="2"/>
      <c r="S178" s="2"/>
      <c r="T178" s="2"/>
      <c r="U178" s="2"/>
      <c r="V178" s="2"/>
      <c r="W178" s="2"/>
      <c r="X178" s="2"/>
      <c r="Y178" s="2"/>
      <c r="Z178" s="2"/>
      <c r="AA178" s="2"/>
      <c r="AB178" s="2"/>
    </row>
    <row r="179">
      <c r="A179" s="8"/>
      <c r="B179" s="9"/>
      <c r="C179" s="9"/>
      <c r="D179" s="8"/>
      <c r="E179" s="8"/>
      <c r="F179" s="11"/>
      <c r="G179" s="2"/>
      <c r="H179" s="2"/>
      <c r="I179" s="2"/>
      <c r="J179" s="2"/>
      <c r="K179" s="2"/>
      <c r="L179" s="2"/>
      <c r="M179" s="2"/>
      <c r="N179" s="2"/>
      <c r="O179" s="2"/>
      <c r="P179" s="2"/>
      <c r="Q179" s="2"/>
      <c r="R179" s="2"/>
      <c r="S179" s="2"/>
      <c r="T179" s="2"/>
      <c r="U179" s="2"/>
      <c r="V179" s="2"/>
      <c r="W179" s="2"/>
      <c r="X179" s="2"/>
      <c r="Y179" s="2"/>
      <c r="Z179" s="2"/>
      <c r="AA179" s="2"/>
      <c r="AB179" s="2"/>
    </row>
    <row r="180">
      <c r="A180" s="8"/>
      <c r="B180" s="9"/>
      <c r="C180" s="9"/>
      <c r="D180" s="8"/>
      <c r="E180" s="8"/>
      <c r="F180" s="11"/>
      <c r="G180" s="2"/>
      <c r="H180" s="2"/>
      <c r="I180" s="2"/>
      <c r="J180" s="2"/>
      <c r="K180" s="2"/>
      <c r="L180" s="2"/>
      <c r="M180" s="2"/>
      <c r="N180" s="2"/>
      <c r="O180" s="2"/>
      <c r="P180" s="2"/>
      <c r="Q180" s="2"/>
      <c r="R180" s="2"/>
      <c r="S180" s="2"/>
      <c r="T180" s="2"/>
      <c r="U180" s="2"/>
      <c r="V180" s="2"/>
      <c r="W180" s="2"/>
      <c r="X180" s="2"/>
      <c r="Y180" s="2"/>
      <c r="Z180" s="2"/>
      <c r="AA180" s="2"/>
      <c r="AB180" s="2"/>
    </row>
    <row r="181">
      <c r="A181" s="8"/>
      <c r="B181" s="9"/>
      <c r="C181" s="9"/>
      <c r="D181" s="8"/>
      <c r="E181" s="8"/>
      <c r="F181" s="11"/>
      <c r="G181" s="2"/>
      <c r="H181" s="2"/>
      <c r="I181" s="2"/>
      <c r="J181" s="2"/>
      <c r="K181" s="2"/>
      <c r="L181" s="2"/>
      <c r="M181" s="2"/>
      <c r="N181" s="2"/>
      <c r="O181" s="2"/>
      <c r="P181" s="2"/>
      <c r="Q181" s="2"/>
      <c r="R181" s="2"/>
      <c r="S181" s="2"/>
      <c r="T181" s="2"/>
      <c r="U181" s="2"/>
      <c r="V181" s="2"/>
      <c r="W181" s="2"/>
      <c r="X181" s="2"/>
      <c r="Y181" s="2"/>
      <c r="Z181" s="2"/>
      <c r="AA181" s="2"/>
      <c r="AB181" s="2"/>
    </row>
    <row r="182">
      <c r="A182" s="8"/>
      <c r="B182" s="9"/>
      <c r="C182" s="9"/>
      <c r="D182" s="8"/>
      <c r="E182" s="8"/>
      <c r="F182" s="11"/>
      <c r="G182" s="2"/>
      <c r="H182" s="2"/>
      <c r="I182" s="2"/>
      <c r="J182" s="2"/>
      <c r="K182" s="2"/>
      <c r="L182" s="2"/>
      <c r="M182" s="2"/>
      <c r="N182" s="2"/>
      <c r="O182" s="2"/>
      <c r="P182" s="2"/>
      <c r="Q182" s="2"/>
      <c r="R182" s="2"/>
      <c r="S182" s="2"/>
      <c r="T182" s="2"/>
      <c r="U182" s="2"/>
      <c r="V182" s="2"/>
      <c r="W182" s="2"/>
      <c r="X182" s="2"/>
      <c r="Y182" s="2"/>
      <c r="Z182" s="2"/>
      <c r="AA182" s="2"/>
      <c r="AB182" s="2"/>
    </row>
    <row r="183">
      <c r="A183" s="8"/>
      <c r="B183" s="9"/>
      <c r="C183" s="9"/>
      <c r="D183" s="8"/>
      <c r="E183" s="8"/>
      <c r="F183" s="11"/>
      <c r="G183" s="2"/>
      <c r="H183" s="2"/>
      <c r="I183" s="2"/>
      <c r="J183" s="2"/>
      <c r="K183" s="2"/>
      <c r="L183" s="2"/>
      <c r="M183" s="2"/>
      <c r="N183" s="2"/>
      <c r="O183" s="2"/>
      <c r="P183" s="2"/>
      <c r="Q183" s="2"/>
      <c r="R183" s="2"/>
      <c r="S183" s="2"/>
      <c r="T183" s="2"/>
      <c r="U183" s="2"/>
      <c r="V183" s="2"/>
      <c r="W183" s="2"/>
      <c r="X183" s="2"/>
      <c r="Y183" s="2"/>
      <c r="Z183" s="2"/>
      <c r="AA183" s="2"/>
      <c r="AB183" s="2"/>
    </row>
    <row r="184">
      <c r="A184" s="8"/>
      <c r="B184" s="9"/>
      <c r="C184" s="9"/>
      <c r="D184" s="8"/>
      <c r="E184" s="8"/>
      <c r="F184" s="11"/>
      <c r="G184" s="2"/>
      <c r="H184" s="2"/>
      <c r="I184" s="2"/>
      <c r="J184" s="2"/>
      <c r="K184" s="2"/>
      <c r="L184" s="2"/>
      <c r="M184" s="2"/>
      <c r="N184" s="2"/>
      <c r="O184" s="2"/>
      <c r="P184" s="2"/>
      <c r="Q184" s="2"/>
      <c r="R184" s="2"/>
      <c r="S184" s="2"/>
      <c r="T184" s="2"/>
      <c r="U184" s="2"/>
      <c r="V184" s="2"/>
      <c r="W184" s="2"/>
      <c r="X184" s="2"/>
      <c r="Y184" s="2"/>
      <c r="Z184" s="2"/>
      <c r="AA184" s="2"/>
      <c r="AB184" s="2"/>
    </row>
    <row r="185">
      <c r="A185" s="8"/>
      <c r="B185" s="9"/>
      <c r="C185" s="9"/>
      <c r="D185" s="8"/>
      <c r="E185" s="8"/>
      <c r="F185" s="11"/>
      <c r="G185" s="2"/>
      <c r="H185" s="2"/>
      <c r="I185" s="2"/>
      <c r="J185" s="2"/>
      <c r="K185" s="2"/>
      <c r="L185" s="2"/>
      <c r="M185" s="2"/>
      <c r="N185" s="2"/>
      <c r="O185" s="2"/>
      <c r="P185" s="2"/>
      <c r="Q185" s="2"/>
      <c r="R185" s="2"/>
      <c r="S185" s="2"/>
      <c r="T185" s="2"/>
      <c r="U185" s="2"/>
      <c r="V185" s="2"/>
      <c r="W185" s="2"/>
      <c r="X185" s="2"/>
      <c r="Y185" s="2"/>
      <c r="Z185" s="2"/>
      <c r="AA185" s="2"/>
      <c r="AB185" s="2"/>
    </row>
    <row r="186">
      <c r="A186" s="8"/>
      <c r="B186" s="9"/>
      <c r="C186" s="9"/>
      <c r="D186" s="8"/>
      <c r="E186" s="8"/>
      <c r="F186" s="11"/>
      <c r="G186" s="2"/>
      <c r="H186" s="2"/>
      <c r="I186" s="2"/>
      <c r="J186" s="2"/>
      <c r="K186" s="2"/>
      <c r="L186" s="2"/>
      <c r="M186" s="2"/>
      <c r="N186" s="2"/>
      <c r="O186" s="2"/>
      <c r="P186" s="2"/>
      <c r="Q186" s="2"/>
      <c r="R186" s="2"/>
      <c r="S186" s="2"/>
      <c r="T186" s="2"/>
      <c r="U186" s="2"/>
      <c r="V186" s="2"/>
      <c r="W186" s="2"/>
      <c r="X186" s="2"/>
      <c r="Y186" s="2"/>
      <c r="Z186" s="2"/>
      <c r="AA186" s="2"/>
      <c r="AB186" s="2"/>
    </row>
    <row r="187">
      <c r="A187" s="8"/>
      <c r="B187" s="9"/>
      <c r="C187" s="9"/>
      <c r="D187" s="8"/>
      <c r="E187" s="8"/>
      <c r="F187" s="11"/>
      <c r="G187" s="2"/>
      <c r="H187" s="2"/>
      <c r="I187" s="2"/>
      <c r="J187" s="2"/>
      <c r="K187" s="2"/>
      <c r="L187" s="2"/>
      <c r="M187" s="2"/>
      <c r="N187" s="2"/>
      <c r="O187" s="2"/>
      <c r="P187" s="2"/>
      <c r="Q187" s="2"/>
      <c r="R187" s="2"/>
      <c r="S187" s="2"/>
      <c r="T187" s="2"/>
      <c r="U187" s="2"/>
      <c r="V187" s="2"/>
      <c r="W187" s="2"/>
      <c r="X187" s="2"/>
      <c r="Y187" s="2"/>
      <c r="Z187" s="2"/>
      <c r="AA187" s="2"/>
      <c r="AB187" s="2"/>
    </row>
    <row r="188">
      <c r="A188" s="8"/>
      <c r="B188" s="9"/>
      <c r="C188" s="9"/>
      <c r="D188" s="8"/>
      <c r="E188" s="8"/>
      <c r="F188" s="11"/>
      <c r="G188" s="2"/>
      <c r="H188" s="2"/>
      <c r="I188" s="2"/>
      <c r="J188" s="2"/>
      <c r="K188" s="2"/>
      <c r="L188" s="2"/>
      <c r="M188" s="2"/>
      <c r="N188" s="2"/>
      <c r="O188" s="2"/>
      <c r="P188" s="2"/>
      <c r="Q188" s="2"/>
      <c r="R188" s="2"/>
      <c r="S188" s="2"/>
      <c r="T188" s="2"/>
      <c r="U188" s="2"/>
      <c r="V188" s="2"/>
      <c r="W188" s="2"/>
      <c r="X188" s="2"/>
      <c r="Y188" s="2"/>
      <c r="Z188" s="2"/>
      <c r="AA188" s="2"/>
      <c r="AB188" s="2"/>
    </row>
    <row r="189">
      <c r="A189" s="8"/>
      <c r="B189" s="9"/>
      <c r="C189" s="9"/>
      <c r="D189" s="8"/>
      <c r="E189" s="8"/>
      <c r="F189" s="11"/>
      <c r="G189" s="2"/>
      <c r="H189" s="2"/>
      <c r="I189" s="2"/>
      <c r="J189" s="2"/>
      <c r="K189" s="2"/>
      <c r="L189" s="2"/>
      <c r="M189" s="2"/>
      <c r="N189" s="2"/>
      <c r="O189" s="2"/>
      <c r="P189" s="2"/>
      <c r="Q189" s="2"/>
      <c r="R189" s="2"/>
      <c r="S189" s="2"/>
      <c r="T189" s="2"/>
      <c r="U189" s="2"/>
      <c r="V189" s="2"/>
      <c r="W189" s="2"/>
      <c r="X189" s="2"/>
      <c r="Y189" s="2"/>
      <c r="Z189" s="2"/>
      <c r="AA189" s="2"/>
      <c r="AB189" s="2"/>
    </row>
    <row r="190">
      <c r="A190" s="8"/>
      <c r="B190" s="9"/>
      <c r="C190" s="9"/>
      <c r="D190" s="8"/>
      <c r="E190" s="8"/>
      <c r="F190" s="11"/>
      <c r="G190" s="2"/>
      <c r="H190" s="2"/>
      <c r="I190" s="2"/>
      <c r="J190" s="2"/>
      <c r="K190" s="2"/>
      <c r="L190" s="2"/>
      <c r="M190" s="2"/>
      <c r="N190" s="2"/>
      <c r="O190" s="2"/>
      <c r="P190" s="2"/>
      <c r="Q190" s="2"/>
      <c r="R190" s="2"/>
      <c r="S190" s="2"/>
      <c r="T190" s="2"/>
      <c r="U190" s="2"/>
      <c r="V190" s="2"/>
      <c r="W190" s="2"/>
      <c r="X190" s="2"/>
      <c r="Y190" s="2"/>
      <c r="Z190" s="2"/>
      <c r="AA190" s="2"/>
      <c r="AB190" s="2"/>
    </row>
    <row r="191">
      <c r="A191" s="8"/>
      <c r="B191" s="9"/>
      <c r="C191" s="9"/>
      <c r="D191" s="8"/>
      <c r="E191" s="8"/>
      <c r="F191" s="11"/>
      <c r="G191" s="2"/>
      <c r="H191" s="2"/>
      <c r="I191" s="2"/>
      <c r="J191" s="2"/>
      <c r="K191" s="2"/>
      <c r="L191" s="2"/>
      <c r="M191" s="2"/>
      <c r="N191" s="2"/>
      <c r="O191" s="2"/>
      <c r="P191" s="2"/>
      <c r="Q191" s="2"/>
      <c r="R191" s="2"/>
      <c r="S191" s="2"/>
      <c r="T191" s="2"/>
      <c r="U191" s="2"/>
      <c r="V191" s="2"/>
      <c r="W191" s="2"/>
      <c r="X191" s="2"/>
      <c r="Y191" s="2"/>
      <c r="Z191" s="2"/>
      <c r="AA191" s="2"/>
      <c r="AB191" s="2"/>
    </row>
    <row r="192">
      <c r="A192" s="8"/>
      <c r="B192" s="9"/>
      <c r="C192" s="9"/>
      <c r="D192" s="8"/>
      <c r="E192" s="8"/>
      <c r="F192" s="11"/>
      <c r="G192" s="2"/>
      <c r="H192" s="2"/>
      <c r="I192" s="2"/>
      <c r="J192" s="2"/>
      <c r="K192" s="2"/>
      <c r="L192" s="2"/>
      <c r="M192" s="2"/>
      <c r="N192" s="2"/>
      <c r="O192" s="2"/>
      <c r="P192" s="2"/>
      <c r="Q192" s="2"/>
      <c r="R192" s="2"/>
      <c r="S192" s="2"/>
      <c r="T192" s="2"/>
      <c r="U192" s="2"/>
      <c r="V192" s="2"/>
      <c r="W192" s="2"/>
      <c r="X192" s="2"/>
      <c r="Y192" s="2"/>
      <c r="Z192" s="2"/>
      <c r="AA192" s="2"/>
      <c r="AB192" s="2"/>
    </row>
    <row r="193">
      <c r="A193" s="8"/>
      <c r="B193" s="9"/>
      <c r="C193" s="9"/>
      <c r="D193" s="8"/>
      <c r="E193" s="8"/>
      <c r="F193" s="11"/>
      <c r="G193" s="2"/>
      <c r="H193" s="2"/>
      <c r="I193" s="2"/>
      <c r="J193" s="2"/>
      <c r="K193" s="2"/>
      <c r="L193" s="2"/>
      <c r="M193" s="2"/>
      <c r="N193" s="2"/>
      <c r="O193" s="2"/>
      <c r="P193" s="2"/>
      <c r="Q193" s="2"/>
      <c r="R193" s="2"/>
      <c r="S193" s="2"/>
      <c r="T193" s="2"/>
      <c r="U193" s="2"/>
      <c r="V193" s="2"/>
      <c r="W193" s="2"/>
      <c r="X193" s="2"/>
      <c r="Y193" s="2"/>
      <c r="Z193" s="2"/>
      <c r="AA193" s="2"/>
      <c r="AB193" s="2"/>
    </row>
    <row r="194">
      <c r="A194" s="8"/>
      <c r="B194" s="9"/>
      <c r="C194" s="9"/>
      <c r="D194" s="8"/>
      <c r="E194" s="8"/>
      <c r="F194" s="11"/>
      <c r="G194" s="2"/>
      <c r="H194" s="2"/>
      <c r="I194" s="2"/>
      <c r="J194" s="2"/>
      <c r="K194" s="2"/>
      <c r="L194" s="2"/>
      <c r="M194" s="2"/>
      <c r="N194" s="2"/>
      <c r="O194" s="2"/>
      <c r="P194" s="2"/>
      <c r="Q194" s="2"/>
      <c r="R194" s="2"/>
      <c r="S194" s="2"/>
      <c r="T194" s="2"/>
      <c r="U194" s="2"/>
      <c r="V194" s="2"/>
      <c r="W194" s="2"/>
      <c r="X194" s="2"/>
      <c r="Y194" s="2"/>
      <c r="Z194" s="2"/>
      <c r="AA194" s="2"/>
      <c r="AB194" s="2"/>
    </row>
    <row r="195">
      <c r="A195" s="8"/>
      <c r="B195" s="9"/>
      <c r="C195" s="9"/>
      <c r="D195" s="8"/>
      <c r="E195" s="8"/>
      <c r="F195" s="11"/>
      <c r="G195" s="2"/>
      <c r="H195" s="2"/>
      <c r="I195" s="2"/>
      <c r="J195" s="2"/>
      <c r="K195" s="2"/>
      <c r="L195" s="2"/>
      <c r="M195" s="2"/>
      <c r="N195" s="2"/>
      <c r="O195" s="2"/>
      <c r="P195" s="2"/>
      <c r="Q195" s="2"/>
      <c r="R195" s="2"/>
      <c r="S195" s="2"/>
      <c r="T195" s="2"/>
      <c r="U195" s="2"/>
      <c r="V195" s="2"/>
      <c r="W195" s="2"/>
      <c r="X195" s="2"/>
      <c r="Y195" s="2"/>
      <c r="Z195" s="2"/>
      <c r="AA195" s="2"/>
      <c r="AB195" s="2"/>
    </row>
    <row r="196">
      <c r="A196" s="8"/>
      <c r="B196" s="9"/>
      <c r="C196" s="9"/>
      <c r="D196" s="8"/>
      <c r="E196" s="8"/>
      <c r="F196" s="11"/>
      <c r="G196" s="2"/>
      <c r="H196" s="2"/>
      <c r="I196" s="2"/>
      <c r="J196" s="2"/>
      <c r="K196" s="2"/>
      <c r="L196" s="2"/>
      <c r="M196" s="2"/>
      <c r="N196" s="2"/>
      <c r="O196" s="2"/>
      <c r="P196" s="2"/>
      <c r="Q196" s="2"/>
      <c r="R196" s="2"/>
      <c r="S196" s="2"/>
      <c r="T196" s="2"/>
      <c r="U196" s="2"/>
      <c r="V196" s="2"/>
      <c r="W196" s="2"/>
      <c r="X196" s="2"/>
      <c r="Y196" s="2"/>
      <c r="Z196" s="2"/>
      <c r="AA196" s="2"/>
      <c r="AB196" s="2"/>
    </row>
    <row r="197">
      <c r="A197" s="8"/>
      <c r="B197" s="9"/>
      <c r="C197" s="9"/>
      <c r="D197" s="8"/>
      <c r="E197" s="8"/>
      <c r="F197" s="11"/>
      <c r="G197" s="2"/>
      <c r="H197" s="2"/>
      <c r="I197" s="2"/>
      <c r="J197" s="2"/>
      <c r="K197" s="2"/>
      <c r="L197" s="2"/>
      <c r="M197" s="2"/>
      <c r="N197" s="2"/>
      <c r="O197" s="2"/>
      <c r="P197" s="2"/>
      <c r="Q197" s="2"/>
      <c r="R197" s="2"/>
      <c r="S197" s="2"/>
      <c r="T197" s="2"/>
      <c r="U197" s="2"/>
      <c r="V197" s="2"/>
      <c r="W197" s="2"/>
      <c r="X197" s="2"/>
      <c r="Y197" s="2"/>
      <c r="Z197" s="2"/>
      <c r="AA197" s="2"/>
      <c r="AB197" s="2"/>
    </row>
    <row r="198">
      <c r="A198" s="8"/>
      <c r="B198" s="9"/>
      <c r="C198" s="9"/>
      <c r="D198" s="8"/>
      <c r="E198" s="8"/>
      <c r="F198" s="11"/>
      <c r="G198" s="2"/>
      <c r="H198" s="2"/>
      <c r="I198" s="2"/>
      <c r="J198" s="2"/>
      <c r="K198" s="2"/>
      <c r="L198" s="2"/>
      <c r="M198" s="2"/>
      <c r="N198" s="2"/>
      <c r="O198" s="2"/>
      <c r="P198" s="2"/>
      <c r="Q198" s="2"/>
      <c r="R198" s="2"/>
      <c r="S198" s="2"/>
      <c r="T198" s="2"/>
      <c r="U198" s="2"/>
      <c r="V198" s="2"/>
      <c r="W198" s="2"/>
      <c r="X198" s="2"/>
      <c r="Y198" s="2"/>
      <c r="Z198" s="2"/>
      <c r="AA198" s="2"/>
      <c r="AB198" s="2"/>
    </row>
    <row r="199">
      <c r="A199" s="8"/>
      <c r="B199" s="9"/>
      <c r="C199" s="9"/>
      <c r="D199" s="8"/>
      <c r="E199" s="8"/>
      <c r="F199" s="11"/>
      <c r="G199" s="2"/>
      <c r="H199" s="2"/>
      <c r="I199" s="2"/>
      <c r="J199" s="2"/>
      <c r="K199" s="2"/>
      <c r="L199" s="2"/>
      <c r="M199" s="2"/>
      <c r="N199" s="2"/>
      <c r="O199" s="2"/>
      <c r="P199" s="2"/>
      <c r="Q199" s="2"/>
      <c r="R199" s="2"/>
      <c r="S199" s="2"/>
      <c r="T199" s="2"/>
      <c r="U199" s="2"/>
      <c r="V199" s="2"/>
      <c r="W199" s="2"/>
      <c r="X199" s="2"/>
      <c r="Y199" s="2"/>
      <c r="Z199" s="2"/>
      <c r="AA199" s="2"/>
      <c r="AB199" s="2"/>
    </row>
    <row r="200">
      <c r="A200" s="8"/>
      <c r="B200" s="9"/>
      <c r="C200" s="9"/>
      <c r="D200" s="8"/>
      <c r="E200" s="8"/>
      <c r="F200" s="11"/>
      <c r="G200" s="2"/>
      <c r="H200" s="2"/>
      <c r="I200" s="2"/>
      <c r="J200" s="2"/>
      <c r="K200" s="2"/>
      <c r="L200" s="2"/>
      <c r="M200" s="2"/>
      <c r="N200" s="2"/>
      <c r="O200" s="2"/>
      <c r="P200" s="2"/>
      <c r="Q200" s="2"/>
      <c r="R200" s="2"/>
      <c r="S200" s="2"/>
      <c r="T200" s="2"/>
      <c r="U200" s="2"/>
      <c r="V200" s="2"/>
      <c r="W200" s="2"/>
      <c r="X200" s="2"/>
      <c r="Y200" s="2"/>
      <c r="Z200" s="2"/>
      <c r="AA200" s="2"/>
      <c r="AB200" s="2"/>
    </row>
    <row r="201">
      <c r="A201" s="8"/>
      <c r="B201" s="9"/>
      <c r="C201" s="9"/>
      <c r="D201" s="8"/>
      <c r="E201" s="8"/>
      <c r="F201" s="11"/>
      <c r="G201" s="2"/>
      <c r="H201" s="2"/>
      <c r="I201" s="2"/>
      <c r="J201" s="2"/>
      <c r="K201" s="2"/>
      <c r="L201" s="2"/>
      <c r="M201" s="2"/>
      <c r="N201" s="2"/>
      <c r="O201" s="2"/>
      <c r="P201" s="2"/>
      <c r="Q201" s="2"/>
      <c r="R201" s="2"/>
      <c r="S201" s="2"/>
      <c r="T201" s="2"/>
      <c r="U201" s="2"/>
      <c r="V201" s="2"/>
      <c r="W201" s="2"/>
      <c r="X201" s="2"/>
      <c r="Y201" s="2"/>
      <c r="Z201" s="2"/>
      <c r="AA201" s="2"/>
      <c r="AB201" s="2"/>
    </row>
    <row r="202">
      <c r="A202" s="8"/>
      <c r="B202" s="9"/>
      <c r="C202" s="9"/>
      <c r="D202" s="8"/>
      <c r="E202" s="8"/>
      <c r="F202" s="11"/>
      <c r="G202" s="2"/>
      <c r="H202" s="2"/>
      <c r="I202" s="2"/>
      <c r="J202" s="2"/>
      <c r="K202" s="2"/>
      <c r="L202" s="2"/>
      <c r="M202" s="2"/>
      <c r="N202" s="2"/>
      <c r="O202" s="2"/>
      <c r="P202" s="2"/>
      <c r="Q202" s="2"/>
      <c r="R202" s="2"/>
      <c r="S202" s="2"/>
      <c r="T202" s="2"/>
      <c r="U202" s="2"/>
      <c r="V202" s="2"/>
      <c r="W202" s="2"/>
      <c r="X202" s="2"/>
      <c r="Y202" s="2"/>
      <c r="Z202" s="2"/>
      <c r="AA202" s="2"/>
      <c r="AB202" s="2"/>
    </row>
    <row r="203">
      <c r="A203" s="8"/>
      <c r="B203" s="9"/>
      <c r="C203" s="9"/>
      <c r="D203" s="8"/>
      <c r="E203" s="8"/>
      <c r="F203" s="11"/>
      <c r="G203" s="2"/>
      <c r="H203" s="2"/>
      <c r="I203" s="2"/>
      <c r="J203" s="2"/>
      <c r="K203" s="2"/>
      <c r="L203" s="2"/>
      <c r="M203" s="2"/>
      <c r="N203" s="2"/>
      <c r="O203" s="2"/>
      <c r="P203" s="2"/>
      <c r="Q203" s="2"/>
      <c r="R203" s="2"/>
      <c r="S203" s="2"/>
      <c r="T203" s="2"/>
      <c r="U203" s="2"/>
      <c r="V203" s="2"/>
      <c r="W203" s="2"/>
      <c r="X203" s="2"/>
      <c r="Y203" s="2"/>
      <c r="Z203" s="2"/>
      <c r="AA203" s="2"/>
      <c r="AB203" s="2"/>
    </row>
    <row r="204">
      <c r="A204" s="8"/>
      <c r="B204" s="9"/>
      <c r="C204" s="9"/>
      <c r="D204" s="8"/>
      <c r="E204" s="8"/>
      <c r="F204" s="11"/>
      <c r="G204" s="2"/>
      <c r="H204" s="2"/>
      <c r="I204" s="2"/>
      <c r="J204" s="2"/>
      <c r="K204" s="2"/>
      <c r="L204" s="2"/>
      <c r="M204" s="2"/>
      <c r="N204" s="2"/>
      <c r="O204" s="2"/>
      <c r="P204" s="2"/>
      <c r="Q204" s="2"/>
      <c r="R204" s="2"/>
      <c r="S204" s="2"/>
      <c r="T204" s="2"/>
      <c r="U204" s="2"/>
      <c r="V204" s="2"/>
      <c r="W204" s="2"/>
      <c r="X204" s="2"/>
      <c r="Y204" s="2"/>
      <c r="Z204" s="2"/>
      <c r="AA204" s="2"/>
      <c r="AB204" s="2"/>
    </row>
    <row r="205">
      <c r="A205" s="8"/>
      <c r="B205" s="9"/>
      <c r="C205" s="9"/>
      <c r="D205" s="8"/>
      <c r="E205" s="8"/>
      <c r="F205" s="11"/>
      <c r="G205" s="2"/>
      <c r="H205" s="2"/>
      <c r="I205" s="2"/>
      <c r="J205" s="2"/>
      <c r="K205" s="2"/>
      <c r="L205" s="2"/>
      <c r="M205" s="2"/>
      <c r="N205" s="2"/>
      <c r="O205" s="2"/>
      <c r="P205" s="2"/>
      <c r="Q205" s="2"/>
      <c r="R205" s="2"/>
      <c r="S205" s="2"/>
      <c r="T205" s="2"/>
      <c r="U205" s="2"/>
      <c r="V205" s="2"/>
      <c r="W205" s="2"/>
      <c r="X205" s="2"/>
      <c r="Y205" s="2"/>
      <c r="Z205" s="2"/>
      <c r="AA205" s="2"/>
      <c r="AB205" s="2"/>
    </row>
    <row r="206">
      <c r="A206" s="8"/>
      <c r="B206" s="9"/>
      <c r="C206" s="9"/>
      <c r="D206" s="8"/>
      <c r="E206" s="8"/>
      <c r="F206" s="11"/>
      <c r="G206" s="2"/>
      <c r="H206" s="2"/>
      <c r="I206" s="2"/>
      <c r="J206" s="2"/>
      <c r="K206" s="2"/>
      <c r="L206" s="2"/>
      <c r="M206" s="2"/>
      <c r="N206" s="2"/>
      <c r="O206" s="2"/>
      <c r="P206" s="2"/>
      <c r="Q206" s="2"/>
      <c r="R206" s="2"/>
      <c r="S206" s="2"/>
      <c r="T206" s="2"/>
      <c r="U206" s="2"/>
      <c r="V206" s="2"/>
      <c r="W206" s="2"/>
      <c r="X206" s="2"/>
      <c r="Y206" s="2"/>
      <c r="Z206" s="2"/>
      <c r="AA206" s="2"/>
      <c r="AB206" s="2"/>
    </row>
    <row r="207">
      <c r="A207" s="8"/>
      <c r="B207" s="9"/>
      <c r="C207" s="9"/>
      <c r="D207" s="8"/>
      <c r="E207" s="8"/>
      <c r="F207" s="11"/>
      <c r="G207" s="2"/>
      <c r="H207" s="2"/>
      <c r="I207" s="2"/>
      <c r="J207" s="2"/>
      <c r="K207" s="2"/>
      <c r="L207" s="2"/>
      <c r="M207" s="2"/>
      <c r="N207" s="2"/>
      <c r="O207" s="2"/>
      <c r="P207" s="2"/>
      <c r="Q207" s="2"/>
      <c r="R207" s="2"/>
      <c r="S207" s="2"/>
      <c r="T207" s="2"/>
      <c r="U207" s="2"/>
      <c r="V207" s="2"/>
      <c r="W207" s="2"/>
      <c r="X207" s="2"/>
      <c r="Y207" s="2"/>
      <c r="Z207" s="2"/>
      <c r="AA207" s="2"/>
      <c r="AB207" s="2"/>
    </row>
    <row r="208">
      <c r="A208" s="8"/>
      <c r="B208" s="9"/>
      <c r="C208" s="9"/>
      <c r="D208" s="8"/>
      <c r="E208" s="8"/>
      <c r="F208" s="11"/>
      <c r="G208" s="2"/>
      <c r="H208" s="2"/>
      <c r="I208" s="2"/>
      <c r="J208" s="2"/>
      <c r="K208" s="2"/>
      <c r="L208" s="2"/>
      <c r="M208" s="2"/>
      <c r="N208" s="2"/>
      <c r="O208" s="2"/>
      <c r="P208" s="2"/>
      <c r="Q208" s="2"/>
      <c r="R208" s="2"/>
      <c r="S208" s="2"/>
      <c r="T208" s="2"/>
      <c r="U208" s="2"/>
      <c r="V208" s="2"/>
      <c r="W208" s="2"/>
      <c r="X208" s="2"/>
      <c r="Y208" s="2"/>
      <c r="Z208" s="2"/>
      <c r="AA208" s="2"/>
      <c r="AB208" s="2"/>
    </row>
    <row r="209">
      <c r="A209" s="8"/>
      <c r="B209" s="9"/>
      <c r="C209" s="9"/>
      <c r="D209" s="8"/>
      <c r="E209" s="8"/>
      <c r="F209" s="11"/>
      <c r="G209" s="2"/>
      <c r="H209" s="2"/>
      <c r="I209" s="2"/>
      <c r="J209" s="2"/>
      <c r="K209" s="2"/>
      <c r="L209" s="2"/>
      <c r="M209" s="2"/>
      <c r="N209" s="2"/>
      <c r="O209" s="2"/>
      <c r="P209" s="2"/>
      <c r="Q209" s="2"/>
      <c r="R209" s="2"/>
      <c r="S209" s="2"/>
      <c r="T209" s="2"/>
      <c r="U209" s="2"/>
      <c r="V209" s="2"/>
      <c r="W209" s="2"/>
      <c r="X209" s="2"/>
      <c r="Y209" s="2"/>
      <c r="Z209" s="2"/>
      <c r="AA209" s="2"/>
      <c r="AB209" s="2"/>
    </row>
    <row r="210">
      <c r="A210" s="8"/>
      <c r="B210" s="9"/>
      <c r="C210" s="9"/>
      <c r="D210" s="8"/>
      <c r="E210" s="8"/>
      <c r="F210" s="11"/>
      <c r="G210" s="2"/>
      <c r="H210" s="2"/>
      <c r="I210" s="2"/>
      <c r="J210" s="2"/>
      <c r="K210" s="2"/>
      <c r="L210" s="2"/>
      <c r="M210" s="2"/>
      <c r="N210" s="2"/>
      <c r="O210" s="2"/>
      <c r="P210" s="2"/>
      <c r="Q210" s="2"/>
      <c r="R210" s="2"/>
      <c r="S210" s="2"/>
      <c r="T210" s="2"/>
      <c r="U210" s="2"/>
      <c r="V210" s="2"/>
      <c r="W210" s="2"/>
      <c r="X210" s="2"/>
      <c r="Y210" s="2"/>
      <c r="Z210" s="2"/>
      <c r="AA210" s="2"/>
      <c r="AB210" s="2"/>
    </row>
    <row r="211">
      <c r="A211" s="8"/>
      <c r="B211" s="9"/>
      <c r="C211" s="9"/>
      <c r="D211" s="8"/>
      <c r="E211" s="8"/>
      <c r="F211" s="11"/>
      <c r="G211" s="2"/>
      <c r="H211" s="2"/>
      <c r="I211" s="2"/>
      <c r="J211" s="2"/>
      <c r="K211" s="2"/>
      <c r="L211" s="2"/>
      <c r="M211" s="2"/>
      <c r="N211" s="2"/>
      <c r="O211" s="2"/>
      <c r="P211" s="2"/>
      <c r="Q211" s="2"/>
      <c r="R211" s="2"/>
      <c r="S211" s="2"/>
      <c r="T211" s="2"/>
      <c r="U211" s="2"/>
      <c r="V211" s="2"/>
      <c r="W211" s="2"/>
      <c r="X211" s="2"/>
      <c r="Y211" s="2"/>
      <c r="Z211" s="2"/>
      <c r="AA211" s="2"/>
      <c r="AB211" s="2"/>
    </row>
    <row r="212">
      <c r="A212" s="8"/>
      <c r="B212" s="9"/>
      <c r="C212" s="9"/>
      <c r="D212" s="8"/>
      <c r="E212" s="8"/>
      <c r="F212" s="11"/>
      <c r="G212" s="2"/>
      <c r="H212" s="2"/>
      <c r="I212" s="2"/>
      <c r="J212" s="2"/>
      <c r="K212" s="2"/>
      <c r="L212" s="2"/>
      <c r="M212" s="2"/>
      <c r="N212" s="2"/>
      <c r="O212" s="2"/>
      <c r="P212" s="2"/>
      <c r="Q212" s="2"/>
      <c r="R212" s="2"/>
      <c r="S212" s="2"/>
      <c r="T212" s="2"/>
      <c r="U212" s="2"/>
      <c r="V212" s="2"/>
      <c r="W212" s="2"/>
      <c r="X212" s="2"/>
      <c r="Y212" s="2"/>
      <c r="Z212" s="2"/>
      <c r="AA212" s="2"/>
      <c r="AB212" s="2"/>
    </row>
    <row r="213">
      <c r="A213" s="8"/>
      <c r="B213" s="9"/>
      <c r="C213" s="9"/>
      <c r="D213" s="8"/>
      <c r="E213" s="8"/>
      <c r="F213" s="11"/>
      <c r="G213" s="2"/>
      <c r="H213" s="2"/>
      <c r="I213" s="2"/>
      <c r="J213" s="2"/>
      <c r="K213" s="2"/>
      <c r="L213" s="2"/>
      <c r="M213" s="2"/>
      <c r="N213" s="2"/>
      <c r="O213" s="2"/>
      <c r="P213" s="2"/>
      <c r="Q213" s="2"/>
      <c r="R213" s="2"/>
      <c r="S213" s="2"/>
      <c r="T213" s="2"/>
      <c r="U213" s="2"/>
      <c r="V213" s="2"/>
      <c r="W213" s="2"/>
      <c r="X213" s="2"/>
      <c r="Y213" s="2"/>
      <c r="Z213" s="2"/>
      <c r="AA213" s="2"/>
      <c r="AB213" s="2"/>
    </row>
    <row r="214">
      <c r="A214" s="8"/>
      <c r="B214" s="9"/>
      <c r="C214" s="9"/>
      <c r="D214" s="8"/>
      <c r="E214" s="8"/>
      <c r="F214" s="11"/>
      <c r="G214" s="2"/>
      <c r="H214" s="2"/>
      <c r="I214" s="2"/>
      <c r="J214" s="2"/>
      <c r="K214" s="2"/>
      <c r="L214" s="2"/>
      <c r="M214" s="2"/>
      <c r="N214" s="2"/>
      <c r="O214" s="2"/>
      <c r="P214" s="2"/>
      <c r="Q214" s="2"/>
      <c r="R214" s="2"/>
      <c r="S214" s="2"/>
      <c r="T214" s="2"/>
      <c r="U214" s="2"/>
      <c r="V214" s="2"/>
      <c r="W214" s="2"/>
      <c r="X214" s="2"/>
      <c r="Y214" s="2"/>
      <c r="Z214" s="2"/>
      <c r="AA214" s="2"/>
      <c r="AB214" s="2"/>
    </row>
    <row r="215">
      <c r="A215" s="8"/>
      <c r="B215" s="9"/>
      <c r="C215" s="9"/>
      <c r="D215" s="8"/>
      <c r="E215" s="8"/>
      <c r="F215" s="11"/>
      <c r="G215" s="2"/>
      <c r="H215" s="2"/>
      <c r="I215" s="2"/>
      <c r="J215" s="2"/>
      <c r="K215" s="2"/>
      <c r="L215" s="2"/>
      <c r="M215" s="2"/>
      <c r="N215" s="2"/>
      <c r="O215" s="2"/>
      <c r="P215" s="2"/>
      <c r="Q215" s="2"/>
      <c r="R215" s="2"/>
      <c r="S215" s="2"/>
      <c r="T215" s="2"/>
      <c r="U215" s="2"/>
      <c r="V215" s="2"/>
      <c r="W215" s="2"/>
      <c r="X215" s="2"/>
      <c r="Y215" s="2"/>
      <c r="Z215" s="2"/>
      <c r="AA215" s="2"/>
      <c r="AB215" s="2"/>
    </row>
    <row r="216">
      <c r="A216" s="8"/>
      <c r="B216" s="9"/>
      <c r="C216" s="9"/>
      <c r="D216" s="8"/>
      <c r="E216" s="8"/>
      <c r="F216" s="11"/>
      <c r="G216" s="2"/>
      <c r="H216" s="2"/>
      <c r="I216" s="2"/>
      <c r="J216" s="2"/>
      <c r="K216" s="2"/>
      <c r="L216" s="2"/>
      <c r="M216" s="2"/>
      <c r="N216" s="2"/>
      <c r="O216" s="2"/>
      <c r="P216" s="2"/>
      <c r="Q216" s="2"/>
      <c r="R216" s="2"/>
      <c r="S216" s="2"/>
      <c r="T216" s="2"/>
      <c r="U216" s="2"/>
      <c r="V216" s="2"/>
      <c r="W216" s="2"/>
      <c r="X216" s="2"/>
      <c r="Y216" s="2"/>
      <c r="Z216" s="2"/>
      <c r="AA216" s="2"/>
      <c r="AB216" s="2"/>
    </row>
    <row r="217">
      <c r="A217" s="8"/>
      <c r="B217" s="9"/>
      <c r="C217" s="9"/>
      <c r="D217" s="8"/>
      <c r="E217" s="8"/>
      <c r="F217" s="11"/>
      <c r="G217" s="2"/>
      <c r="H217" s="2"/>
      <c r="I217" s="2"/>
      <c r="J217" s="2"/>
      <c r="K217" s="2"/>
      <c r="L217" s="2"/>
      <c r="M217" s="2"/>
      <c r="N217" s="2"/>
      <c r="O217" s="2"/>
      <c r="P217" s="2"/>
      <c r="Q217" s="2"/>
      <c r="R217" s="2"/>
      <c r="S217" s="2"/>
      <c r="T217" s="2"/>
      <c r="U217" s="2"/>
      <c r="V217" s="2"/>
      <c r="W217" s="2"/>
      <c r="X217" s="2"/>
      <c r="Y217" s="2"/>
      <c r="Z217" s="2"/>
      <c r="AA217" s="2"/>
      <c r="AB217" s="2"/>
    </row>
    <row r="218">
      <c r="A218" s="8"/>
      <c r="B218" s="9"/>
      <c r="C218" s="9"/>
      <c r="D218" s="8"/>
      <c r="E218" s="8"/>
      <c r="F218" s="11"/>
      <c r="G218" s="2"/>
      <c r="H218" s="2"/>
      <c r="I218" s="2"/>
      <c r="J218" s="2"/>
      <c r="K218" s="2"/>
      <c r="L218" s="2"/>
      <c r="M218" s="2"/>
      <c r="N218" s="2"/>
      <c r="O218" s="2"/>
      <c r="P218" s="2"/>
      <c r="Q218" s="2"/>
      <c r="R218" s="2"/>
      <c r="S218" s="2"/>
      <c r="T218" s="2"/>
      <c r="U218" s="2"/>
      <c r="V218" s="2"/>
      <c r="W218" s="2"/>
      <c r="X218" s="2"/>
      <c r="Y218" s="2"/>
      <c r="Z218" s="2"/>
      <c r="AA218" s="2"/>
      <c r="AB218" s="2"/>
    </row>
    <row r="219">
      <c r="A219" s="8"/>
      <c r="B219" s="9"/>
      <c r="C219" s="9"/>
      <c r="D219" s="8"/>
      <c r="E219" s="8"/>
      <c r="F219" s="11"/>
      <c r="G219" s="2"/>
      <c r="H219" s="2"/>
      <c r="I219" s="2"/>
      <c r="J219" s="2"/>
      <c r="K219" s="2"/>
      <c r="L219" s="2"/>
      <c r="M219" s="2"/>
      <c r="N219" s="2"/>
      <c r="O219" s="2"/>
      <c r="P219" s="2"/>
      <c r="Q219" s="2"/>
      <c r="R219" s="2"/>
      <c r="S219" s="2"/>
      <c r="T219" s="2"/>
      <c r="U219" s="2"/>
      <c r="V219" s="2"/>
      <c r="W219" s="2"/>
      <c r="X219" s="2"/>
      <c r="Y219" s="2"/>
      <c r="Z219" s="2"/>
      <c r="AA219" s="2"/>
      <c r="AB219" s="2"/>
    </row>
    <row r="220">
      <c r="A220" s="8"/>
      <c r="B220" s="9"/>
      <c r="C220" s="9"/>
      <c r="D220" s="8"/>
      <c r="E220" s="8"/>
      <c r="F220" s="11"/>
      <c r="G220" s="2"/>
      <c r="H220" s="2"/>
      <c r="I220" s="2"/>
      <c r="J220" s="2"/>
      <c r="K220" s="2"/>
      <c r="L220" s="2"/>
      <c r="M220" s="2"/>
      <c r="N220" s="2"/>
      <c r="O220" s="2"/>
      <c r="P220" s="2"/>
      <c r="Q220" s="2"/>
      <c r="R220" s="2"/>
      <c r="S220" s="2"/>
      <c r="T220" s="2"/>
      <c r="U220" s="2"/>
      <c r="V220" s="2"/>
      <c r="W220" s="2"/>
      <c r="X220" s="2"/>
      <c r="Y220" s="2"/>
      <c r="Z220" s="2"/>
      <c r="AA220" s="2"/>
      <c r="AB220" s="2"/>
    </row>
    <row r="221">
      <c r="A221" s="8"/>
      <c r="B221" s="9"/>
      <c r="C221" s="9"/>
      <c r="D221" s="8"/>
      <c r="E221" s="8"/>
      <c r="F221" s="11"/>
      <c r="G221" s="2"/>
      <c r="H221" s="2"/>
      <c r="I221" s="2"/>
      <c r="J221" s="2"/>
      <c r="K221" s="2"/>
      <c r="L221" s="2"/>
      <c r="M221" s="2"/>
      <c r="N221" s="2"/>
      <c r="O221" s="2"/>
      <c r="P221" s="2"/>
      <c r="Q221" s="2"/>
      <c r="R221" s="2"/>
      <c r="S221" s="2"/>
      <c r="T221" s="2"/>
      <c r="U221" s="2"/>
      <c r="V221" s="2"/>
      <c r="W221" s="2"/>
      <c r="X221" s="2"/>
      <c r="Y221" s="2"/>
      <c r="Z221" s="2"/>
      <c r="AA221" s="2"/>
      <c r="AB221" s="2"/>
    </row>
    <row r="222">
      <c r="A222" s="8"/>
      <c r="B222" s="9"/>
      <c r="C222" s="9"/>
      <c r="D222" s="8"/>
      <c r="E222" s="8"/>
      <c r="F222" s="11"/>
      <c r="G222" s="2"/>
      <c r="H222" s="2"/>
      <c r="I222" s="2"/>
      <c r="J222" s="2"/>
      <c r="K222" s="2"/>
      <c r="L222" s="2"/>
      <c r="M222" s="2"/>
      <c r="N222" s="2"/>
      <c r="O222" s="2"/>
      <c r="P222" s="2"/>
      <c r="Q222" s="2"/>
      <c r="R222" s="2"/>
      <c r="S222" s="2"/>
      <c r="T222" s="2"/>
      <c r="U222" s="2"/>
      <c r="V222" s="2"/>
      <c r="W222" s="2"/>
      <c r="X222" s="2"/>
      <c r="Y222" s="2"/>
      <c r="Z222" s="2"/>
      <c r="AA222" s="2"/>
      <c r="AB222" s="2"/>
    </row>
    <row r="223">
      <c r="A223" s="8"/>
      <c r="B223" s="9"/>
      <c r="C223" s="9"/>
      <c r="D223" s="8"/>
      <c r="E223" s="8"/>
      <c r="F223" s="11"/>
      <c r="G223" s="2"/>
      <c r="H223" s="2"/>
      <c r="I223" s="2"/>
      <c r="J223" s="2"/>
      <c r="K223" s="2"/>
      <c r="L223" s="2"/>
      <c r="M223" s="2"/>
      <c r="N223" s="2"/>
      <c r="O223" s="2"/>
      <c r="P223" s="2"/>
      <c r="Q223" s="2"/>
      <c r="R223" s="2"/>
      <c r="S223" s="2"/>
      <c r="T223" s="2"/>
      <c r="U223" s="2"/>
      <c r="V223" s="2"/>
      <c r="W223" s="2"/>
      <c r="X223" s="2"/>
      <c r="Y223" s="2"/>
      <c r="Z223" s="2"/>
      <c r="AA223" s="2"/>
      <c r="AB223" s="2"/>
    </row>
    <row r="224">
      <c r="A224" s="8"/>
      <c r="B224" s="9"/>
      <c r="C224" s="9"/>
      <c r="D224" s="8"/>
      <c r="E224" s="8"/>
      <c r="F224" s="11"/>
      <c r="G224" s="2"/>
      <c r="H224" s="2"/>
      <c r="I224" s="2"/>
      <c r="J224" s="2"/>
      <c r="K224" s="2"/>
      <c r="L224" s="2"/>
      <c r="M224" s="2"/>
      <c r="N224" s="2"/>
      <c r="O224" s="2"/>
      <c r="P224" s="2"/>
      <c r="Q224" s="2"/>
      <c r="R224" s="2"/>
      <c r="S224" s="2"/>
      <c r="T224" s="2"/>
      <c r="U224" s="2"/>
      <c r="V224" s="2"/>
      <c r="W224" s="2"/>
      <c r="X224" s="2"/>
      <c r="Y224" s="2"/>
      <c r="Z224" s="2"/>
      <c r="AA224" s="2"/>
      <c r="AB224" s="2"/>
    </row>
    <row r="225">
      <c r="A225" s="8"/>
      <c r="B225" s="9"/>
      <c r="C225" s="9"/>
      <c r="D225" s="8"/>
      <c r="E225" s="8"/>
      <c r="F225" s="11"/>
      <c r="G225" s="2"/>
      <c r="H225" s="2"/>
      <c r="I225" s="2"/>
      <c r="J225" s="2"/>
      <c r="K225" s="2"/>
      <c r="L225" s="2"/>
      <c r="M225" s="2"/>
      <c r="N225" s="2"/>
      <c r="O225" s="2"/>
      <c r="P225" s="2"/>
      <c r="Q225" s="2"/>
      <c r="R225" s="2"/>
      <c r="S225" s="2"/>
      <c r="T225" s="2"/>
      <c r="U225" s="2"/>
      <c r="V225" s="2"/>
      <c r="W225" s="2"/>
      <c r="X225" s="2"/>
      <c r="Y225" s="2"/>
      <c r="Z225" s="2"/>
      <c r="AA225" s="2"/>
      <c r="AB225" s="2"/>
    </row>
    <row r="226">
      <c r="A226" s="8"/>
      <c r="B226" s="9"/>
      <c r="C226" s="9"/>
      <c r="D226" s="8"/>
      <c r="E226" s="8"/>
      <c r="F226" s="11"/>
      <c r="G226" s="2"/>
      <c r="H226" s="2"/>
      <c r="I226" s="2"/>
      <c r="J226" s="2"/>
      <c r="K226" s="2"/>
      <c r="L226" s="2"/>
      <c r="M226" s="2"/>
      <c r="N226" s="2"/>
      <c r="O226" s="2"/>
      <c r="P226" s="2"/>
      <c r="Q226" s="2"/>
      <c r="R226" s="2"/>
      <c r="S226" s="2"/>
      <c r="T226" s="2"/>
      <c r="U226" s="2"/>
      <c r="V226" s="2"/>
      <c r="W226" s="2"/>
      <c r="X226" s="2"/>
      <c r="Y226" s="2"/>
      <c r="Z226" s="2"/>
      <c r="AA226" s="2"/>
      <c r="AB226" s="2"/>
    </row>
    <row r="227">
      <c r="A227" s="8"/>
      <c r="B227" s="9"/>
      <c r="C227" s="9"/>
      <c r="D227" s="8"/>
      <c r="E227" s="8"/>
      <c r="F227" s="11"/>
      <c r="G227" s="2"/>
      <c r="H227" s="2"/>
      <c r="I227" s="2"/>
      <c r="J227" s="2"/>
      <c r="K227" s="2"/>
      <c r="L227" s="2"/>
      <c r="M227" s="2"/>
      <c r="N227" s="2"/>
      <c r="O227" s="2"/>
      <c r="P227" s="2"/>
      <c r="Q227" s="2"/>
      <c r="R227" s="2"/>
      <c r="S227" s="2"/>
      <c r="T227" s="2"/>
      <c r="U227" s="2"/>
      <c r="V227" s="2"/>
      <c r="W227" s="2"/>
      <c r="X227" s="2"/>
      <c r="Y227" s="2"/>
      <c r="Z227" s="2"/>
      <c r="AA227" s="2"/>
      <c r="AB227" s="2"/>
    </row>
    <row r="228">
      <c r="A228" s="8"/>
      <c r="B228" s="9"/>
      <c r="C228" s="9"/>
      <c r="D228" s="8"/>
      <c r="E228" s="8"/>
      <c r="F228" s="11"/>
      <c r="G228" s="2"/>
      <c r="H228" s="2"/>
      <c r="I228" s="2"/>
      <c r="J228" s="2"/>
      <c r="K228" s="2"/>
      <c r="L228" s="2"/>
      <c r="M228" s="2"/>
      <c r="N228" s="2"/>
      <c r="O228" s="2"/>
      <c r="P228" s="2"/>
      <c r="Q228" s="2"/>
      <c r="R228" s="2"/>
      <c r="S228" s="2"/>
      <c r="T228" s="2"/>
      <c r="U228" s="2"/>
      <c r="V228" s="2"/>
      <c r="W228" s="2"/>
      <c r="X228" s="2"/>
      <c r="Y228" s="2"/>
      <c r="Z228" s="2"/>
      <c r="AA228" s="2"/>
      <c r="AB228" s="2"/>
    </row>
    <row r="229">
      <c r="A229" s="8"/>
      <c r="B229" s="9"/>
      <c r="C229" s="9"/>
      <c r="D229" s="8"/>
      <c r="E229" s="8"/>
      <c r="F229" s="11"/>
      <c r="G229" s="2"/>
      <c r="H229" s="2"/>
      <c r="I229" s="2"/>
      <c r="J229" s="2"/>
      <c r="K229" s="2"/>
      <c r="L229" s="2"/>
      <c r="M229" s="2"/>
      <c r="N229" s="2"/>
      <c r="O229" s="2"/>
      <c r="P229" s="2"/>
      <c r="Q229" s="2"/>
      <c r="R229" s="2"/>
      <c r="S229" s="2"/>
      <c r="T229" s="2"/>
      <c r="U229" s="2"/>
      <c r="V229" s="2"/>
      <c r="W229" s="2"/>
      <c r="X229" s="2"/>
      <c r="Y229" s="2"/>
      <c r="Z229" s="2"/>
      <c r="AA229" s="2"/>
      <c r="AB229" s="2"/>
    </row>
    <row r="230">
      <c r="A230" s="8"/>
      <c r="B230" s="9"/>
      <c r="C230" s="9"/>
      <c r="D230" s="8"/>
      <c r="E230" s="8"/>
      <c r="F230" s="11"/>
      <c r="G230" s="2"/>
      <c r="H230" s="2"/>
      <c r="I230" s="2"/>
      <c r="J230" s="2"/>
      <c r="K230" s="2"/>
      <c r="L230" s="2"/>
      <c r="M230" s="2"/>
      <c r="N230" s="2"/>
      <c r="O230" s="2"/>
      <c r="P230" s="2"/>
      <c r="Q230" s="2"/>
      <c r="R230" s="2"/>
      <c r="S230" s="2"/>
      <c r="T230" s="2"/>
      <c r="U230" s="2"/>
      <c r="V230" s="2"/>
      <c r="W230" s="2"/>
      <c r="X230" s="2"/>
      <c r="Y230" s="2"/>
      <c r="Z230" s="2"/>
      <c r="AA230" s="2"/>
      <c r="AB230" s="2"/>
    </row>
    <row r="231">
      <c r="A231" s="8"/>
      <c r="B231" s="9"/>
      <c r="C231" s="9"/>
      <c r="D231" s="8"/>
      <c r="E231" s="8"/>
      <c r="F231" s="11"/>
      <c r="G231" s="2"/>
      <c r="H231" s="2"/>
      <c r="I231" s="2"/>
      <c r="J231" s="2"/>
      <c r="K231" s="2"/>
      <c r="L231" s="2"/>
      <c r="M231" s="2"/>
      <c r="N231" s="2"/>
      <c r="O231" s="2"/>
      <c r="P231" s="2"/>
      <c r="Q231" s="2"/>
      <c r="R231" s="2"/>
      <c r="S231" s="2"/>
      <c r="T231" s="2"/>
      <c r="U231" s="2"/>
      <c r="V231" s="2"/>
      <c r="W231" s="2"/>
      <c r="X231" s="2"/>
      <c r="Y231" s="2"/>
      <c r="Z231" s="2"/>
      <c r="AA231" s="2"/>
      <c r="AB231" s="2"/>
    </row>
    <row r="232">
      <c r="A232" s="8"/>
      <c r="B232" s="9"/>
      <c r="C232" s="9"/>
      <c r="D232" s="8"/>
      <c r="E232" s="8"/>
      <c r="F232" s="11"/>
      <c r="G232" s="2"/>
      <c r="H232" s="2"/>
      <c r="I232" s="2"/>
      <c r="J232" s="2"/>
      <c r="K232" s="2"/>
      <c r="L232" s="2"/>
      <c r="M232" s="2"/>
      <c r="N232" s="2"/>
      <c r="O232" s="2"/>
      <c r="P232" s="2"/>
      <c r="Q232" s="2"/>
      <c r="R232" s="2"/>
      <c r="S232" s="2"/>
      <c r="T232" s="2"/>
      <c r="U232" s="2"/>
      <c r="V232" s="2"/>
      <c r="W232" s="2"/>
      <c r="X232" s="2"/>
      <c r="Y232" s="2"/>
      <c r="Z232" s="2"/>
      <c r="AA232" s="2"/>
      <c r="AB232" s="2"/>
    </row>
    <row r="233">
      <c r="A233" s="8"/>
      <c r="B233" s="9"/>
      <c r="C233" s="9"/>
      <c r="D233" s="8"/>
      <c r="E233" s="8"/>
      <c r="F233" s="11"/>
      <c r="G233" s="2"/>
      <c r="H233" s="2"/>
      <c r="I233" s="2"/>
      <c r="J233" s="2"/>
      <c r="K233" s="2"/>
      <c r="L233" s="2"/>
      <c r="M233" s="2"/>
      <c r="N233" s="2"/>
      <c r="O233" s="2"/>
      <c r="P233" s="2"/>
      <c r="Q233" s="2"/>
      <c r="R233" s="2"/>
      <c r="S233" s="2"/>
      <c r="T233" s="2"/>
      <c r="U233" s="2"/>
      <c r="V233" s="2"/>
      <c r="W233" s="2"/>
      <c r="X233" s="2"/>
      <c r="Y233" s="2"/>
      <c r="Z233" s="2"/>
      <c r="AA233" s="2"/>
      <c r="AB233" s="2"/>
    </row>
    <row r="234">
      <c r="A234" s="8"/>
      <c r="B234" s="9"/>
      <c r="C234" s="9"/>
      <c r="D234" s="8"/>
      <c r="E234" s="8"/>
      <c r="F234" s="11"/>
      <c r="G234" s="2"/>
      <c r="H234" s="2"/>
      <c r="I234" s="2"/>
      <c r="J234" s="2"/>
      <c r="K234" s="2"/>
      <c r="L234" s="2"/>
      <c r="M234" s="2"/>
      <c r="N234" s="2"/>
      <c r="O234" s="2"/>
      <c r="P234" s="2"/>
      <c r="Q234" s="2"/>
      <c r="R234" s="2"/>
      <c r="S234" s="2"/>
      <c r="T234" s="2"/>
      <c r="U234" s="2"/>
      <c r="V234" s="2"/>
      <c r="W234" s="2"/>
      <c r="X234" s="2"/>
      <c r="Y234" s="2"/>
      <c r="Z234" s="2"/>
      <c r="AA234" s="2"/>
      <c r="AB234" s="2"/>
    </row>
    <row r="235">
      <c r="A235" s="8"/>
      <c r="B235" s="9"/>
      <c r="C235" s="9"/>
      <c r="D235" s="8"/>
      <c r="E235" s="8"/>
      <c r="F235" s="11"/>
      <c r="G235" s="2"/>
      <c r="H235" s="2"/>
      <c r="I235" s="2"/>
      <c r="J235" s="2"/>
      <c r="K235" s="2"/>
      <c r="L235" s="2"/>
      <c r="M235" s="2"/>
      <c r="N235" s="2"/>
      <c r="O235" s="2"/>
      <c r="P235" s="2"/>
      <c r="Q235" s="2"/>
      <c r="R235" s="2"/>
      <c r="S235" s="2"/>
      <c r="T235" s="2"/>
      <c r="U235" s="2"/>
      <c r="V235" s="2"/>
      <c r="W235" s="2"/>
      <c r="X235" s="2"/>
      <c r="Y235" s="2"/>
      <c r="Z235" s="2"/>
      <c r="AA235" s="2"/>
      <c r="AB235" s="2"/>
    </row>
    <row r="236">
      <c r="A236" s="8"/>
      <c r="B236" s="9"/>
      <c r="C236" s="9"/>
      <c r="D236" s="8"/>
      <c r="E236" s="8"/>
      <c r="F236" s="11"/>
      <c r="G236" s="2"/>
      <c r="H236" s="2"/>
      <c r="I236" s="2"/>
      <c r="J236" s="2"/>
      <c r="K236" s="2"/>
      <c r="L236" s="2"/>
      <c r="M236" s="2"/>
      <c r="N236" s="2"/>
      <c r="O236" s="2"/>
      <c r="P236" s="2"/>
      <c r="Q236" s="2"/>
      <c r="R236" s="2"/>
      <c r="S236" s="2"/>
      <c r="T236" s="2"/>
      <c r="U236" s="2"/>
      <c r="V236" s="2"/>
      <c r="W236" s="2"/>
      <c r="X236" s="2"/>
      <c r="Y236" s="2"/>
      <c r="Z236" s="2"/>
      <c r="AA236" s="2"/>
      <c r="AB236" s="2"/>
    </row>
    <row r="237">
      <c r="A237" s="8"/>
      <c r="B237" s="9"/>
      <c r="C237" s="9"/>
      <c r="D237" s="8"/>
      <c r="E237" s="8"/>
      <c r="F237" s="11"/>
      <c r="G237" s="2"/>
      <c r="H237" s="2"/>
      <c r="I237" s="2"/>
      <c r="J237" s="2"/>
      <c r="K237" s="2"/>
      <c r="L237" s="2"/>
      <c r="M237" s="2"/>
      <c r="N237" s="2"/>
      <c r="O237" s="2"/>
      <c r="P237" s="2"/>
      <c r="Q237" s="2"/>
      <c r="R237" s="2"/>
      <c r="S237" s="2"/>
      <c r="T237" s="2"/>
      <c r="U237" s="2"/>
      <c r="V237" s="2"/>
      <c r="W237" s="2"/>
      <c r="X237" s="2"/>
      <c r="Y237" s="2"/>
      <c r="Z237" s="2"/>
      <c r="AA237" s="2"/>
      <c r="AB237" s="2"/>
    </row>
    <row r="238">
      <c r="A238" s="8"/>
      <c r="B238" s="9"/>
      <c r="C238" s="9"/>
      <c r="D238" s="8"/>
      <c r="E238" s="8"/>
      <c r="F238" s="11"/>
      <c r="G238" s="2"/>
      <c r="H238" s="2"/>
      <c r="I238" s="2"/>
      <c r="J238" s="2"/>
      <c r="K238" s="2"/>
      <c r="L238" s="2"/>
      <c r="M238" s="2"/>
      <c r="N238" s="2"/>
      <c r="O238" s="2"/>
      <c r="P238" s="2"/>
      <c r="Q238" s="2"/>
      <c r="R238" s="2"/>
      <c r="S238" s="2"/>
      <c r="T238" s="2"/>
      <c r="U238" s="2"/>
      <c r="V238" s="2"/>
      <c r="W238" s="2"/>
      <c r="X238" s="2"/>
      <c r="Y238" s="2"/>
      <c r="Z238" s="2"/>
      <c r="AA238" s="2"/>
      <c r="AB238" s="2"/>
    </row>
    <row r="239">
      <c r="A239" s="8"/>
      <c r="B239" s="9"/>
      <c r="C239" s="9"/>
      <c r="D239" s="8"/>
      <c r="E239" s="8"/>
      <c r="F239" s="11"/>
      <c r="G239" s="2"/>
      <c r="H239" s="2"/>
      <c r="I239" s="2"/>
      <c r="J239" s="2"/>
      <c r="K239" s="2"/>
      <c r="L239" s="2"/>
      <c r="M239" s="2"/>
      <c r="N239" s="2"/>
      <c r="O239" s="2"/>
      <c r="P239" s="2"/>
      <c r="Q239" s="2"/>
      <c r="R239" s="2"/>
      <c r="S239" s="2"/>
      <c r="T239" s="2"/>
      <c r="U239" s="2"/>
      <c r="V239" s="2"/>
      <c r="W239" s="2"/>
      <c r="X239" s="2"/>
      <c r="Y239" s="2"/>
      <c r="Z239" s="2"/>
      <c r="AA239" s="2"/>
      <c r="AB239" s="2"/>
    </row>
    <row r="240">
      <c r="A240" s="8"/>
      <c r="B240" s="9"/>
      <c r="C240" s="9"/>
      <c r="D240" s="8"/>
      <c r="E240" s="8"/>
      <c r="F240" s="11"/>
      <c r="G240" s="2"/>
      <c r="H240" s="2"/>
      <c r="I240" s="2"/>
      <c r="J240" s="2"/>
      <c r="K240" s="2"/>
      <c r="L240" s="2"/>
      <c r="M240" s="2"/>
      <c r="N240" s="2"/>
      <c r="O240" s="2"/>
      <c r="P240" s="2"/>
      <c r="Q240" s="2"/>
      <c r="R240" s="2"/>
      <c r="S240" s="2"/>
      <c r="T240" s="2"/>
      <c r="U240" s="2"/>
      <c r="V240" s="2"/>
      <c r="W240" s="2"/>
      <c r="X240" s="2"/>
      <c r="Y240" s="2"/>
      <c r="Z240" s="2"/>
      <c r="AA240" s="2"/>
      <c r="AB240" s="2"/>
    </row>
    <row r="241">
      <c r="A241" s="8"/>
      <c r="B241" s="9"/>
      <c r="C241" s="9"/>
      <c r="D241" s="8"/>
      <c r="E241" s="8"/>
      <c r="F241" s="11"/>
      <c r="G241" s="2"/>
      <c r="H241" s="2"/>
      <c r="I241" s="2"/>
      <c r="J241" s="2"/>
      <c r="K241" s="2"/>
      <c r="L241" s="2"/>
      <c r="M241" s="2"/>
      <c r="N241" s="2"/>
      <c r="O241" s="2"/>
      <c r="P241" s="2"/>
      <c r="Q241" s="2"/>
      <c r="R241" s="2"/>
      <c r="S241" s="2"/>
      <c r="T241" s="2"/>
      <c r="U241" s="2"/>
      <c r="V241" s="2"/>
      <c r="W241" s="2"/>
      <c r="X241" s="2"/>
      <c r="Y241" s="2"/>
      <c r="Z241" s="2"/>
      <c r="AA241" s="2"/>
      <c r="AB241" s="2"/>
    </row>
    <row r="242">
      <c r="A242" s="8"/>
      <c r="B242" s="9"/>
      <c r="C242" s="9"/>
      <c r="D242" s="8"/>
      <c r="E242" s="8"/>
      <c r="F242" s="11"/>
      <c r="G242" s="2"/>
      <c r="H242" s="2"/>
      <c r="I242" s="2"/>
      <c r="J242" s="2"/>
      <c r="K242" s="2"/>
      <c r="L242" s="2"/>
      <c r="M242" s="2"/>
      <c r="N242" s="2"/>
      <c r="O242" s="2"/>
      <c r="P242" s="2"/>
      <c r="Q242" s="2"/>
      <c r="R242" s="2"/>
      <c r="S242" s="2"/>
      <c r="T242" s="2"/>
      <c r="U242" s="2"/>
      <c r="V242" s="2"/>
      <c r="W242" s="2"/>
      <c r="X242" s="2"/>
      <c r="Y242" s="2"/>
      <c r="Z242" s="2"/>
      <c r="AA242" s="2"/>
      <c r="AB242" s="2"/>
    </row>
    <row r="243">
      <c r="A243" s="8"/>
      <c r="B243" s="9"/>
      <c r="C243" s="9"/>
      <c r="D243" s="8"/>
      <c r="E243" s="8"/>
      <c r="F243" s="11"/>
      <c r="G243" s="2"/>
      <c r="H243" s="2"/>
      <c r="I243" s="2"/>
      <c r="J243" s="2"/>
      <c r="K243" s="2"/>
      <c r="L243" s="2"/>
      <c r="M243" s="2"/>
      <c r="N243" s="2"/>
      <c r="O243" s="2"/>
      <c r="P243" s="2"/>
      <c r="Q243" s="2"/>
      <c r="R243" s="2"/>
      <c r="S243" s="2"/>
      <c r="T243" s="2"/>
      <c r="U243" s="2"/>
      <c r="V243" s="2"/>
      <c r="W243" s="2"/>
      <c r="X243" s="2"/>
      <c r="Y243" s="2"/>
      <c r="Z243" s="2"/>
      <c r="AA243" s="2"/>
      <c r="AB243" s="2"/>
    </row>
    <row r="244">
      <c r="A244" s="8"/>
      <c r="B244" s="9"/>
      <c r="C244" s="9"/>
      <c r="D244" s="8"/>
      <c r="E244" s="8"/>
      <c r="F244" s="11"/>
      <c r="G244" s="2"/>
      <c r="H244" s="2"/>
      <c r="I244" s="2"/>
      <c r="J244" s="2"/>
      <c r="K244" s="2"/>
      <c r="L244" s="2"/>
      <c r="M244" s="2"/>
      <c r="N244" s="2"/>
      <c r="O244" s="2"/>
      <c r="P244" s="2"/>
      <c r="Q244" s="2"/>
      <c r="R244" s="2"/>
      <c r="S244" s="2"/>
      <c r="T244" s="2"/>
      <c r="U244" s="2"/>
      <c r="V244" s="2"/>
      <c r="W244" s="2"/>
      <c r="X244" s="2"/>
      <c r="Y244" s="2"/>
      <c r="Z244" s="2"/>
      <c r="AA244" s="2"/>
      <c r="AB244" s="2"/>
    </row>
    <row r="245">
      <c r="A245" s="8"/>
      <c r="B245" s="9"/>
      <c r="C245" s="9"/>
      <c r="D245" s="8"/>
      <c r="E245" s="8"/>
      <c r="F245" s="11"/>
      <c r="G245" s="2"/>
      <c r="H245" s="2"/>
      <c r="I245" s="2"/>
      <c r="J245" s="2"/>
      <c r="K245" s="2"/>
      <c r="L245" s="2"/>
      <c r="M245" s="2"/>
      <c r="N245" s="2"/>
      <c r="O245" s="2"/>
      <c r="P245" s="2"/>
      <c r="Q245" s="2"/>
      <c r="R245" s="2"/>
      <c r="S245" s="2"/>
      <c r="T245" s="2"/>
      <c r="U245" s="2"/>
      <c r="V245" s="2"/>
      <c r="W245" s="2"/>
      <c r="X245" s="2"/>
      <c r="Y245" s="2"/>
      <c r="Z245" s="2"/>
      <c r="AA245" s="2"/>
      <c r="AB245" s="2"/>
    </row>
    <row r="246">
      <c r="A246" s="8"/>
      <c r="B246" s="9"/>
      <c r="C246" s="9"/>
      <c r="D246" s="8"/>
      <c r="E246" s="8"/>
      <c r="F246" s="11"/>
      <c r="G246" s="2"/>
      <c r="H246" s="2"/>
      <c r="I246" s="2"/>
      <c r="J246" s="2"/>
      <c r="K246" s="2"/>
      <c r="L246" s="2"/>
      <c r="M246" s="2"/>
      <c r="N246" s="2"/>
      <c r="O246" s="2"/>
      <c r="P246" s="2"/>
      <c r="Q246" s="2"/>
      <c r="R246" s="2"/>
      <c r="S246" s="2"/>
      <c r="T246" s="2"/>
      <c r="U246" s="2"/>
      <c r="V246" s="2"/>
      <c r="W246" s="2"/>
      <c r="X246" s="2"/>
      <c r="Y246" s="2"/>
      <c r="Z246" s="2"/>
      <c r="AA246" s="2"/>
      <c r="AB246" s="2"/>
    </row>
    <row r="247">
      <c r="A247" s="8"/>
      <c r="B247" s="9"/>
      <c r="C247" s="9"/>
      <c r="D247" s="8"/>
      <c r="E247" s="8"/>
      <c r="F247" s="11"/>
      <c r="G247" s="2"/>
      <c r="H247" s="2"/>
      <c r="I247" s="2"/>
      <c r="J247" s="2"/>
      <c r="K247" s="2"/>
      <c r="L247" s="2"/>
      <c r="M247" s="2"/>
      <c r="N247" s="2"/>
      <c r="O247" s="2"/>
      <c r="P247" s="2"/>
      <c r="Q247" s="2"/>
      <c r="R247" s="2"/>
      <c r="S247" s="2"/>
      <c r="T247" s="2"/>
      <c r="U247" s="2"/>
      <c r="V247" s="2"/>
      <c r="W247" s="2"/>
      <c r="X247" s="2"/>
      <c r="Y247" s="2"/>
      <c r="Z247" s="2"/>
      <c r="AA247" s="2"/>
      <c r="AB247" s="2"/>
    </row>
    <row r="248">
      <c r="A248" s="8"/>
      <c r="B248" s="9"/>
      <c r="C248" s="9"/>
      <c r="D248" s="8"/>
      <c r="E248" s="8"/>
      <c r="F248" s="11"/>
      <c r="G248" s="2"/>
      <c r="H248" s="2"/>
      <c r="I248" s="2"/>
      <c r="J248" s="2"/>
      <c r="K248" s="2"/>
      <c r="L248" s="2"/>
      <c r="M248" s="2"/>
      <c r="N248" s="2"/>
      <c r="O248" s="2"/>
      <c r="P248" s="2"/>
      <c r="Q248" s="2"/>
      <c r="R248" s="2"/>
      <c r="S248" s="2"/>
      <c r="T248" s="2"/>
      <c r="U248" s="2"/>
      <c r="V248" s="2"/>
      <c r="W248" s="2"/>
      <c r="X248" s="2"/>
      <c r="Y248" s="2"/>
      <c r="Z248" s="2"/>
      <c r="AA248" s="2"/>
      <c r="AB248" s="2"/>
    </row>
    <row r="249">
      <c r="A249" s="8"/>
      <c r="B249" s="9"/>
      <c r="C249" s="9"/>
      <c r="D249" s="8"/>
      <c r="E249" s="8"/>
      <c r="F249" s="11"/>
      <c r="G249" s="2"/>
      <c r="H249" s="2"/>
      <c r="I249" s="2"/>
      <c r="J249" s="2"/>
      <c r="K249" s="2"/>
      <c r="L249" s="2"/>
      <c r="M249" s="2"/>
      <c r="N249" s="2"/>
      <c r="O249" s="2"/>
      <c r="P249" s="2"/>
      <c r="Q249" s="2"/>
      <c r="R249" s="2"/>
      <c r="S249" s="2"/>
      <c r="T249" s="2"/>
      <c r="U249" s="2"/>
      <c r="V249" s="2"/>
      <c r="W249" s="2"/>
      <c r="X249" s="2"/>
      <c r="Y249" s="2"/>
      <c r="Z249" s="2"/>
      <c r="AA249" s="2"/>
      <c r="AB249" s="2"/>
    </row>
    <row r="250">
      <c r="A250" s="8"/>
      <c r="B250" s="9"/>
      <c r="C250" s="9"/>
      <c r="D250" s="8"/>
      <c r="E250" s="8"/>
      <c r="F250" s="11"/>
      <c r="G250" s="2"/>
      <c r="H250" s="2"/>
      <c r="I250" s="2"/>
      <c r="J250" s="2"/>
      <c r="K250" s="2"/>
      <c r="L250" s="2"/>
      <c r="M250" s="2"/>
      <c r="N250" s="2"/>
      <c r="O250" s="2"/>
      <c r="P250" s="2"/>
      <c r="Q250" s="2"/>
      <c r="R250" s="2"/>
      <c r="S250" s="2"/>
      <c r="T250" s="2"/>
      <c r="U250" s="2"/>
      <c r="V250" s="2"/>
      <c r="W250" s="2"/>
      <c r="X250" s="2"/>
      <c r="Y250" s="2"/>
      <c r="Z250" s="2"/>
      <c r="AA250" s="2"/>
      <c r="AB250" s="2"/>
    </row>
    <row r="251">
      <c r="A251" s="8"/>
      <c r="B251" s="9"/>
      <c r="C251" s="9"/>
      <c r="D251" s="8"/>
      <c r="E251" s="8"/>
      <c r="F251" s="11"/>
      <c r="G251" s="2"/>
      <c r="H251" s="2"/>
      <c r="I251" s="2"/>
      <c r="J251" s="2"/>
      <c r="K251" s="2"/>
      <c r="L251" s="2"/>
      <c r="M251" s="2"/>
      <c r="N251" s="2"/>
      <c r="O251" s="2"/>
      <c r="P251" s="2"/>
      <c r="Q251" s="2"/>
      <c r="R251" s="2"/>
      <c r="S251" s="2"/>
      <c r="T251" s="2"/>
      <c r="U251" s="2"/>
      <c r="V251" s="2"/>
      <c r="W251" s="2"/>
      <c r="X251" s="2"/>
      <c r="Y251" s="2"/>
      <c r="Z251" s="2"/>
      <c r="AA251" s="2"/>
      <c r="AB251" s="2"/>
    </row>
    <row r="252">
      <c r="A252" s="8"/>
      <c r="B252" s="9"/>
      <c r="C252" s="9"/>
      <c r="D252" s="8"/>
      <c r="E252" s="8"/>
      <c r="F252" s="11"/>
      <c r="G252" s="2"/>
      <c r="H252" s="2"/>
      <c r="I252" s="2"/>
      <c r="J252" s="2"/>
      <c r="K252" s="2"/>
      <c r="L252" s="2"/>
      <c r="M252" s="2"/>
      <c r="N252" s="2"/>
      <c r="O252" s="2"/>
      <c r="P252" s="2"/>
      <c r="Q252" s="2"/>
      <c r="R252" s="2"/>
      <c r="S252" s="2"/>
      <c r="T252" s="2"/>
      <c r="U252" s="2"/>
      <c r="V252" s="2"/>
      <c r="W252" s="2"/>
      <c r="X252" s="2"/>
      <c r="Y252" s="2"/>
      <c r="Z252" s="2"/>
      <c r="AA252" s="2"/>
      <c r="AB252" s="2"/>
    </row>
    <row r="253">
      <c r="A253" s="8"/>
      <c r="B253" s="9"/>
      <c r="C253" s="9"/>
      <c r="D253" s="8"/>
      <c r="E253" s="8"/>
      <c r="F253" s="11"/>
      <c r="G253" s="2"/>
      <c r="H253" s="2"/>
      <c r="I253" s="2"/>
      <c r="J253" s="2"/>
      <c r="K253" s="2"/>
      <c r="L253" s="2"/>
      <c r="M253" s="2"/>
      <c r="N253" s="2"/>
      <c r="O253" s="2"/>
      <c r="P253" s="2"/>
      <c r="Q253" s="2"/>
      <c r="R253" s="2"/>
      <c r="S253" s="2"/>
      <c r="T253" s="2"/>
      <c r="U253" s="2"/>
      <c r="V253" s="2"/>
      <c r="W253" s="2"/>
      <c r="X253" s="2"/>
      <c r="Y253" s="2"/>
      <c r="Z253" s="2"/>
      <c r="AA253" s="2"/>
      <c r="AB253" s="2"/>
    </row>
    <row r="254">
      <c r="A254" s="8"/>
      <c r="B254" s="9"/>
      <c r="C254" s="9"/>
      <c r="D254" s="8"/>
      <c r="E254" s="8"/>
      <c r="F254" s="11"/>
      <c r="G254" s="2"/>
      <c r="H254" s="2"/>
      <c r="I254" s="2"/>
      <c r="J254" s="2"/>
      <c r="K254" s="2"/>
      <c r="L254" s="2"/>
      <c r="M254" s="2"/>
      <c r="N254" s="2"/>
      <c r="O254" s="2"/>
      <c r="P254" s="2"/>
      <c r="Q254" s="2"/>
      <c r="R254" s="2"/>
      <c r="S254" s="2"/>
      <c r="T254" s="2"/>
      <c r="U254" s="2"/>
      <c r="V254" s="2"/>
      <c r="W254" s="2"/>
      <c r="X254" s="2"/>
      <c r="Y254" s="2"/>
      <c r="Z254" s="2"/>
      <c r="AA254" s="2"/>
      <c r="AB254" s="2"/>
    </row>
    <row r="255">
      <c r="A255" s="8"/>
      <c r="B255" s="9"/>
      <c r="C255" s="9"/>
      <c r="D255" s="8"/>
      <c r="E255" s="8"/>
      <c r="F255" s="11"/>
      <c r="G255" s="2"/>
      <c r="H255" s="2"/>
      <c r="I255" s="2"/>
      <c r="J255" s="2"/>
      <c r="K255" s="2"/>
      <c r="L255" s="2"/>
      <c r="M255" s="2"/>
      <c r="N255" s="2"/>
      <c r="O255" s="2"/>
      <c r="P255" s="2"/>
      <c r="Q255" s="2"/>
      <c r="R255" s="2"/>
      <c r="S255" s="2"/>
      <c r="T255" s="2"/>
      <c r="U255" s="2"/>
      <c r="V255" s="2"/>
      <c r="W255" s="2"/>
      <c r="X255" s="2"/>
      <c r="Y255" s="2"/>
      <c r="Z255" s="2"/>
      <c r="AA255" s="2"/>
      <c r="AB255" s="2"/>
    </row>
    <row r="256">
      <c r="A256" s="8"/>
      <c r="B256" s="9"/>
      <c r="C256" s="9"/>
      <c r="D256" s="8"/>
      <c r="E256" s="8"/>
      <c r="F256" s="11"/>
      <c r="G256" s="2"/>
      <c r="H256" s="2"/>
      <c r="I256" s="2"/>
      <c r="J256" s="2"/>
      <c r="K256" s="2"/>
      <c r="L256" s="2"/>
      <c r="M256" s="2"/>
      <c r="N256" s="2"/>
      <c r="O256" s="2"/>
      <c r="P256" s="2"/>
      <c r="Q256" s="2"/>
      <c r="R256" s="2"/>
      <c r="S256" s="2"/>
      <c r="T256" s="2"/>
      <c r="U256" s="2"/>
      <c r="V256" s="2"/>
      <c r="W256" s="2"/>
      <c r="X256" s="2"/>
      <c r="Y256" s="2"/>
      <c r="Z256" s="2"/>
      <c r="AA256" s="2"/>
      <c r="AB256" s="2"/>
    </row>
    <row r="257">
      <c r="A257" s="8"/>
      <c r="B257" s="9"/>
      <c r="C257" s="9"/>
      <c r="D257" s="8"/>
      <c r="E257" s="8"/>
      <c r="F257" s="11"/>
      <c r="G257" s="2"/>
      <c r="H257" s="2"/>
      <c r="I257" s="2"/>
      <c r="J257" s="2"/>
      <c r="K257" s="2"/>
      <c r="L257" s="2"/>
      <c r="M257" s="2"/>
      <c r="N257" s="2"/>
      <c r="O257" s="2"/>
      <c r="P257" s="2"/>
      <c r="Q257" s="2"/>
      <c r="R257" s="2"/>
      <c r="S257" s="2"/>
      <c r="T257" s="2"/>
      <c r="U257" s="2"/>
      <c r="V257" s="2"/>
      <c r="W257" s="2"/>
      <c r="X257" s="2"/>
      <c r="Y257" s="2"/>
      <c r="Z257" s="2"/>
      <c r="AA257" s="2"/>
      <c r="AB257" s="2"/>
    </row>
    <row r="258">
      <c r="A258" s="8"/>
      <c r="B258" s="9"/>
      <c r="C258" s="9"/>
      <c r="D258" s="8"/>
      <c r="E258" s="8"/>
      <c r="F258" s="11"/>
      <c r="G258" s="2"/>
      <c r="H258" s="2"/>
      <c r="I258" s="2"/>
      <c r="J258" s="2"/>
      <c r="K258" s="2"/>
      <c r="L258" s="2"/>
      <c r="M258" s="2"/>
      <c r="N258" s="2"/>
      <c r="O258" s="2"/>
      <c r="P258" s="2"/>
      <c r="Q258" s="2"/>
      <c r="R258" s="2"/>
      <c r="S258" s="2"/>
      <c r="T258" s="2"/>
      <c r="U258" s="2"/>
      <c r="V258" s="2"/>
      <c r="W258" s="2"/>
      <c r="X258" s="2"/>
      <c r="Y258" s="2"/>
      <c r="Z258" s="2"/>
      <c r="AA258" s="2"/>
      <c r="AB258" s="2"/>
    </row>
    <row r="259">
      <c r="A259" s="8"/>
      <c r="B259" s="9"/>
      <c r="C259" s="9"/>
      <c r="D259" s="8"/>
      <c r="E259" s="8"/>
      <c r="F259" s="11"/>
      <c r="G259" s="2"/>
      <c r="H259" s="2"/>
      <c r="I259" s="2"/>
      <c r="J259" s="2"/>
      <c r="K259" s="2"/>
      <c r="L259" s="2"/>
      <c r="M259" s="2"/>
      <c r="N259" s="2"/>
      <c r="O259" s="2"/>
      <c r="P259" s="2"/>
      <c r="Q259" s="2"/>
      <c r="R259" s="2"/>
      <c r="S259" s="2"/>
      <c r="T259" s="2"/>
      <c r="U259" s="2"/>
      <c r="V259" s="2"/>
      <c r="W259" s="2"/>
      <c r="X259" s="2"/>
      <c r="Y259" s="2"/>
      <c r="Z259" s="2"/>
      <c r="AA259" s="2"/>
      <c r="AB259" s="2"/>
    </row>
    <row r="260">
      <c r="A260" s="8"/>
      <c r="B260" s="9"/>
      <c r="C260" s="9"/>
      <c r="D260" s="8"/>
      <c r="E260" s="8"/>
      <c r="F260" s="11"/>
      <c r="G260" s="2"/>
      <c r="H260" s="2"/>
      <c r="I260" s="2"/>
      <c r="J260" s="2"/>
      <c r="K260" s="2"/>
      <c r="L260" s="2"/>
      <c r="M260" s="2"/>
      <c r="N260" s="2"/>
      <c r="O260" s="2"/>
      <c r="P260" s="2"/>
      <c r="Q260" s="2"/>
      <c r="R260" s="2"/>
      <c r="S260" s="2"/>
      <c r="T260" s="2"/>
      <c r="U260" s="2"/>
      <c r="V260" s="2"/>
      <c r="W260" s="2"/>
      <c r="X260" s="2"/>
      <c r="Y260" s="2"/>
      <c r="Z260" s="2"/>
      <c r="AA260" s="2"/>
      <c r="AB260" s="2"/>
    </row>
    <row r="261">
      <c r="A261" s="8"/>
      <c r="B261" s="9"/>
      <c r="C261" s="9"/>
      <c r="D261" s="8"/>
      <c r="E261" s="8"/>
      <c r="F261" s="11"/>
      <c r="G261" s="2"/>
      <c r="H261" s="2"/>
      <c r="I261" s="2"/>
      <c r="J261" s="2"/>
      <c r="K261" s="2"/>
      <c r="L261" s="2"/>
      <c r="M261" s="2"/>
      <c r="N261" s="2"/>
      <c r="O261" s="2"/>
      <c r="P261" s="2"/>
      <c r="Q261" s="2"/>
      <c r="R261" s="2"/>
      <c r="S261" s="2"/>
      <c r="T261" s="2"/>
      <c r="U261" s="2"/>
      <c r="V261" s="2"/>
      <c r="W261" s="2"/>
      <c r="X261" s="2"/>
      <c r="Y261" s="2"/>
      <c r="Z261" s="2"/>
      <c r="AA261" s="2"/>
      <c r="AB261" s="2"/>
    </row>
    <row r="262">
      <c r="A262" s="8"/>
      <c r="B262" s="9"/>
      <c r="C262" s="9"/>
      <c r="D262" s="8"/>
      <c r="E262" s="8"/>
      <c r="F262" s="11"/>
      <c r="G262" s="2"/>
      <c r="H262" s="2"/>
      <c r="I262" s="2"/>
      <c r="J262" s="2"/>
      <c r="K262" s="2"/>
      <c r="L262" s="2"/>
      <c r="M262" s="2"/>
      <c r="N262" s="2"/>
      <c r="O262" s="2"/>
      <c r="P262" s="2"/>
      <c r="Q262" s="2"/>
      <c r="R262" s="2"/>
      <c r="S262" s="2"/>
      <c r="T262" s="2"/>
      <c r="U262" s="2"/>
      <c r="V262" s="2"/>
      <c r="W262" s="2"/>
      <c r="X262" s="2"/>
      <c r="Y262" s="2"/>
      <c r="Z262" s="2"/>
      <c r="AA262" s="2"/>
      <c r="AB262" s="2"/>
    </row>
    <row r="263">
      <c r="A263" s="8"/>
      <c r="B263" s="9"/>
      <c r="C263" s="9"/>
      <c r="D263" s="8"/>
      <c r="E263" s="8"/>
      <c r="F263" s="11"/>
      <c r="G263" s="2"/>
      <c r="H263" s="2"/>
      <c r="I263" s="2"/>
      <c r="J263" s="2"/>
      <c r="K263" s="2"/>
      <c r="L263" s="2"/>
      <c r="M263" s="2"/>
      <c r="N263" s="2"/>
      <c r="O263" s="2"/>
      <c r="P263" s="2"/>
      <c r="Q263" s="2"/>
      <c r="R263" s="2"/>
      <c r="S263" s="2"/>
      <c r="T263" s="2"/>
      <c r="U263" s="2"/>
      <c r="V263" s="2"/>
      <c r="W263" s="2"/>
      <c r="X263" s="2"/>
      <c r="Y263" s="2"/>
      <c r="Z263" s="2"/>
      <c r="AA263" s="2"/>
      <c r="AB263" s="2"/>
    </row>
    <row r="264">
      <c r="A264" s="8"/>
      <c r="B264" s="9"/>
      <c r="C264" s="9"/>
      <c r="D264" s="8"/>
      <c r="E264" s="8"/>
      <c r="F264" s="11"/>
      <c r="G264" s="2"/>
      <c r="H264" s="2"/>
      <c r="I264" s="2"/>
      <c r="J264" s="2"/>
      <c r="K264" s="2"/>
      <c r="L264" s="2"/>
      <c r="M264" s="2"/>
      <c r="N264" s="2"/>
      <c r="O264" s="2"/>
      <c r="P264" s="2"/>
      <c r="Q264" s="2"/>
      <c r="R264" s="2"/>
      <c r="S264" s="2"/>
      <c r="T264" s="2"/>
      <c r="U264" s="2"/>
      <c r="V264" s="2"/>
      <c r="W264" s="2"/>
      <c r="X264" s="2"/>
      <c r="Y264" s="2"/>
      <c r="Z264" s="2"/>
      <c r="AA264" s="2"/>
      <c r="AB264" s="2"/>
    </row>
    <row r="265">
      <c r="A265" s="8"/>
      <c r="B265" s="9"/>
      <c r="C265" s="9"/>
      <c r="D265" s="8"/>
      <c r="E265" s="8"/>
      <c r="F265" s="11"/>
      <c r="G265" s="2"/>
      <c r="H265" s="2"/>
      <c r="I265" s="2"/>
      <c r="J265" s="2"/>
      <c r="K265" s="2"/>
      <c r="L265" s="2"/>
      <c r="M265" s="2"/>
      <c r="N265" s="2"/>
      <c r="O265" s="2"/>
      <c r="P265" s="2"/>
      <c r="Q265" s="2"/>
      <c r="R265" s="2"/>
      <c r="S265" s="2"/>
      <c r="T265" s="2"/>
      <c r="U265" s="2"/>
      <c r="V265" s="2"/>
      <c r="W265" s="2"/>
      <c r="X265" s="2"/>
      <c r="Y265" s="2"/>
      <c r="Z265" s="2"/>
      <c r="AA265" s="2"/>
      <c r="AB265" s="2"/>
    </row>
    <row r="266">
      <c r="A266" s="8"/>
      <c r="B266" s="9"/>
      <c r="C266" s="9"/>
      <c r="D266" s="8"/>
      <c r="E266" s="8"/>
      <c r="F266" s="11"/>
      <c r="G266" s="2"/>
      <c r="H266" s="2"/>
      <c r="I266" s="2"/>
      <c r="J266" s="2"/>
      <c r="K266" s="2"/>
      <c r="L266" s="2"/>
      <c r="M266" s="2"/>
      <c r="N266" s="2"/>
      <c r="O266" s="2"/>
      <c r="P266" s="2"/>
      <c r="Q266" s="2"/>
      <c r="R266" s="2"/>
      <c r="S266" s="2"/>
      <c r="T266" s="2"/>
      <c r="U266" s="2"/>
      <c r="V266" s="2"/>
      <c r="W266" s="2"/>
      <c r="X266" s="2"/>
      <c r="Y266" s="2"/>
      <c r="Z266" s="2"/>
      <c r="AA266" s="2"/>
      <c r="AB266" s="2"/>
    </row>
    <row r="267">
      <c r="A267" s="8"/>
      <c r="B267" s="9"/>
      <c r="C267" s="9"/>
      <c r="D267" s="8"/>
      <c r="E267" s="8"/>
      <c r="F267" s="11"/>
      <c r="G267" s="2"/>
      <c r="H267" s="2"/>
      <c r="I267" s="2"/>
      <c r="J267" s="2"/>
      <c r="K267" s="2"/>
      <c r="L267" s="2"/>
      <c r="M267" s="2"/>
      <c r="N267" s="2"/>
      <c r="O267" s="2"/>
      <c r="P267" s="2"/>
      <c r="Q267" s="2"/>
      <c r="R267" s="2"/>
      <c r="S267" s="2"/>
      <c r="T267" s="2"/>
      <c r="U267" s="2"/>
      <c r="V267" s="2"/>
      <c r="W267" s="2"/>
      <c r="X267" s="2"/>
      <c r="Y267" s="2"/>
      <c r="Z267" s="2"/>
      <c r="AA267" s="2"/>
      <c r="AB267" s="2"/>
    </row>
    <row r="268">
      <c r="A268" s="8"/>
      <c r="B268" s="9"/>
      <c r="C268" s="9"/>
      <c r="D268" s="8"/>
      <c r="E268" s="8"/>
      <c r="F268" s="11"/>
      <c r="G268" s="2"/>
      <c r="H268" s="2"/>
      <c r="I268" s="2"/>
      <c r="J268" s="2"/>
      <c r="K268" s="2"/>
      <c r="L268" s="2"/>
      <c r="M268" s="2"/>
      <c r="N268" s="2"/>
      <c r="O268" s="2"/>
      <c r="P268" s="2"/>
      <c r="Q268" s="2"/>
      <c r="R268" s="2"/>
      <c r="S268" s="2"/>
      <c r="T268" s="2"/>
      <c r="U268" s="2"/>
      <c r="V268" s="2"/>
      <c r="W268" s="2"/>
      <c r="X268" s="2"/>
      <c r="Y268" s="2"/>
      <c r="Z268" s="2"/>
      <c r="AA268" s="2"/>
      <c r="AB268" s="2"/>
    </row>
    <row r="269">
      <c r="A269" s="8"/>
      <c r="B269" s="9"/>
      <c r="C269" s="9"/>
      <c r="D269" s="8"/>
      <c r="E269" s="8"/>
      <c r="F269" s="11"/>
      <c r="G269" s="2"/>
      <c r="H269" s="2"/>
      <c r="I269" s="2"/>
      <c r="J269" s="2"/>
      <c r="K269" s="2"/>
      <c r="L269" s="2"/>
      <c r="M269" s="2"/>
      <c r="N269" s="2"/>
      <c r="O269" s="2"/>
      <c r="P269" s="2"/>
      <c r="Q269" s="2"/>
      <c r="R269" s="2"/>
      <c r="S269" s="2"/>
      <c r="T269" s="2"/>
      <c r="U269" s="2"/>
      <c r="V269" s="2"/>
      <c r="W269" s="2"/>
      <c r="X269" s="2"/>
      <c r="Y269" s="2"/>
      <c r="Z269" s="2"/>
      <c r="AA269" s="2"/>
      <c r="AB269" s="2"/>
    </row>
    <row r="270">
      <c r="A270" s="8"/>
      <c r="B270" s="9"/>
      <c r="C270" s="9"/>
      <c r="D270" s="8"/>
      <c r="E270" s="8"/>
      <c r="F270" s="11"/>
      <c r="G270" s="2"/>
      <c r="H270" s="2"/>
      <c r="I270" s="2"/>
      <c r="J270" s="2"/>
      <c r="K270" s="2"/>
      <c r="L270" s="2"/>
      <c r="M270" s="2"/>
      <c r="N270" s="2"/>
      <c r="O270" s="2"/>
      <c r="P270" s="2"/>
      <c r="Q270" s="2"/>
      <c r="R270" s="2"/>
      <c r="S270" s="2"/>
      <c r="T270" s="2"/>
      <c r="U270" s="2"/>
      <c r="V270" s="2"/>
      <c r="W270" s="2"/>
      <c r="X270" s="2"/>
      <c r="Y270" s="2"/>
      <c r="Z270" s="2"/>
      <c r="AA270" s="2"/>
      <c r="AB270" s="2"/>
    </row>
    <row r="271">
      <c r="A271" s="8"/>
      <c r="B271" s="9"/>
      <c r="C271" s="9"/>
      <c r="D271" s="8"/>
      <c r="E271" s="8"/>
      <c r="F271" s="11"/>
      <c r="G271" s="2"/>
      <c r="H271" s="2"/>
      <c r="I271" s="2"/>
      <c r="J271" s="2"/>
      <c r="K271" s="2"/>
      <c r="L271" s="2"/>
      <c r="M271" s="2"/>
      <c r="N271" s="2"/>
      <c r="O271" s="2"/>
      <c r="P271" s="2"/>
      <c r="Q271" s="2"/>
      <c r="R271" s="2"/>
      <c r="S271" s="2"/>
      <c r="T271" s="2"/>
      <c r="U271" s="2"/>
      <c r="V271" s="2"/>
      <c r="W271" s="2"/>
      <c r="X271" s="2"/>
      <c r="Y271" s="2"/>
      <c r="Z271" s="2"/>
      <c r="AA271" s="2"/>
      <c r="AB271" s="2"/>
    </row>
    <row r="272">
      <c r="A272" s="8"/>
      <c r="B272" s="9"/>
      <c r="C272" s="9"/>
      <c r="D272" s="8"/>
      <c r="E272" s="8"/>
      <c r="F272" s="11"/>
      <c r="G272" s="2"/>
      <c r="H272" s="2"/>
      <c r="I272" s="2"/>
      <c r="J272" s="2"/>
      <c r="K272" s="2"/>
      <c r="L272" s="2"/>
      <c r="M272" s="2"/>
      <c r="N272" s="2"/>
      <c r="O272" s="2"/>
      <c r="P272" s="2"/>
      <c r="Q272" s="2"/>
      <c r="R272" s="2"/>
      <c r="S272" s="2"/>
      <c r="T272" s="2"/>
      <c r="U272" s="2"/>
      <c r="V272" s="2"/>
      <c r="W272" s="2"/>
      <c r="X272" s="2"/>
      <c r="Y272" s="2"/>
      <c r="Z272" s="2"/>
      <c r="AA272" s="2"/>
      <c r="AB272" s="2"/>
    </row>
    <row r="273">
      <c r="A273" s="8"/>
      <c r="B273" s="9"/>
      <c r="C273" s="9"/>
      <c r="D273" s="8"/>
      <c r="E273" s="8"/>
      <c r="F273" s="11"/>
      <c r="G273" s="2"/>
      <c r="H273" s="2"/>
      <c r="I273" s="2"/>
      <c r="J273" s="2"/>
      <c r="K273" s="2"/>
      <c r="L273" s="2"/>
      <c r="M273" s="2"/>
      <c r="N273" s="2"/>
      <c r="O273" s="2"/>
      <c r="P273" s="2"/>
      <c r="Q273" s="2"/>
      <c r="R273" s="2"/>
      <c r="S273" s="2"/>
      <c r="T273" s="2"/>
      <c r="U273" s="2"/>
      <c r="V273" s="2"/>
      <c r="W273" s="2"/>
      <c r="X273" s="2"/>
      <c r="Y273" s="2"/>
      <c r="Z273" s="2"/>
      <c r="AA273" s="2"/>
      <c r="AB273" s="2"/>
    </row>
    <row r="274">
      <c r="A274" s="8"/>
      <c r="B274" s="9"/>
      <c r="C274" s="9"/>
      <c r="D274" s="8"/>
      <c r="E274" s="8"/>
      <c r="F274" s="11"/>
      <c r="G274" s="2"/>
      <c r="H274" s="2"/>
      <c r="I274" s="2"/>
      <c r="J274" s="2"/>
      <c r="K274" s="2"/>
      <c r="L274" s="2"/>
      <c r="M274" s="2"/>
      <c r="N274" s="2"/>
      <c r="O274" s="2"/>
      <c r="P274" s="2"/>
      <c r="Q274" s="2"/>
      <c r="R274" s="2"/>
      <c r="S274" s="2"/>
      <c r="T274" s="2"/>
      <c r="U274" s="2"/>
      <c r="V274" s="2"/>
      <c r="W274" s="2"/>
      <c r="X274" s="2"/>
      <c r="Y274" s="2"/>
      <c r="Z274" s="2"/>
      <c r="AA274" s="2"/>
      <c r="AB274" s="2"/>
    </row>
    <row r="275">
      <c r="A275" s="8"/>
      <c r="B275" s="9"/>
      <c r="C275" s="9"/>
      <c r="D275" s="8"/>
      <c r="E275" s="8"/>
      <c r="F275" s="11"/>
      <c r="G275" s="2"/>
      <c r="H275" s="2"/>
      <c r="I275" s="2"/>
      <c r="J275" s="2"/>
      <c r="K275" s="2"/>
      <c r="L275" s="2"/>
      <c r="M275" s="2"/>
      <c r="N275" s="2"/>
      <c r="O275" s="2"/>
      <c r="P275" s="2"/>
      <c r="Q275" s="2"/>
      <c r="R275" s="2"/>
      <c r="S275" s="2"/>
      <c r="T275" s="2"/>
      <c r="U275" s="2"/>
      <c r="V275" s="2"/>
      <c r="W275" s="2"/>
      <c r="X275" s="2"/>
      <c r="Y275" s="2"/>
      <c r="Z275" s="2"/>
      <c r="AA275" s="2"/>
      <c r="AB275" s="2"/>
    </row>
    <row r="276">
      <c r="A276" s="8"/>
      <c r="B276" s="9"/>
      <c r="C276" s="9"/>
      <c r="D276" s="8"/>
      <c r="E276" s="8"/>
      <c r="F276" s="11"/>
      <c r="G276" s="2"/>
      <c r="H276" s="2"/>
      <c r="I276" s="2"/>
      <c r="J276" s="2"/>
      <c r="K276" s="2"/>
      <c r="L276" s="2"/>
      <c r="M276" s="2"/>
      <c r="N276" s="2"/>
      <c r="O276" s="2"/>
      <c r="P276" s="2"/>
      <c r="Q276" s="2"/>
      <c r="R276" s="2"/>
      <c r="S276" s="2"/>
      <c r="T276" s="2"/>
      <c r="U276" s="2"/>
      <c r="V276" s="2"/>
      <c r="W276" s="2"/>
      <c r="X276" s="2"/>
      <c r="Y276" s="2"/>
      <c r="Z276" s="2"/>
      <c r="AA276" s="2"/>
      <c r="AB276" s="2"/>
    </row>
    <row r="277">
      <c r="A277" s="8"/>
      <c r="B277" s="9"/>
      <c r="C277" s="9"/>
      <c r="D277" s="8"/>
      <c r="E277" s="8"/>
      <c r="F277" s="11"/>
      <c r="G277" s="2"/>
      <c r="H277" s="2"/>
      <c r="I277" s="2"/>
      <c r="J277" s="2"/>
      <c r="K277" s="2"/>
      <c r="L277" s="2"/>
      <c r="M277" s="2"/>
      <c r="N277" s="2"/>
      <c r="O277" s="2"/>
      <c r="P277" s="2"/>
      <c r="Q277" s="2"/>
      <c r="R277" s="2"/>
      <c r="S277" s="2"/>
      <c r="T277" s="2"/>
      <c r="U277" s="2"/>
      <c r="V277" s="2"/>
      <c r="W277" s="2"/>
      <c r="X277" s="2"/>
      <c r="Y277" s="2"/>
      <c r="Z277" s="2"/>
      <c r="AA277" s="2"/>
      <c r="AB277" s="2"/>
    </row>
    <row r="278">
      <c r="A278" s="8"/>
      <c r="B278" s="9"/>
      <c r="C278" s="9"/>
      <c r="D278" s="8"/>
      <c r="E278" s="8"/>
      <c r="F278" s="11"/>
      <c r="G278" s="2"/>
      <c r="H278" s="2"/>
      <c r="I278" s="2"/>
      <c r="J278" s="2"/>
      <c r="K278" s="2"/>
      <c r="L278" s="2"/>
      <c r="M278" s="2"/>
      <c r="N278" s="2"/>
      <c r="O278" s="2"/>
      <c r="P278" s="2"/>
      <c r="Q278" s="2"/>
      <c r="R278" s="2"/>
      <c r="S278" s="2"/>
      <c r="T278" s="2"/>
      <c r="U278" s="2"/>
      <c r="V278" s="2"/>
      <c r="W278" s="2"/>
      <c r="X278" s="2"/>
      <c r="Y278" s="2"/>
      <c r="Z278" s="2"/>
      <c r="AA278" s="2"/>
      <c r="AB278" s="2"/>
    </row>
    <row r="279">
      <c r="A279" s="8"/>
      <c r="B279" s="9"/>
      <c r="C279" s="9"/>
      <c r="D279" s="8"/>
      <c r="E279" s="8"/>
      <c r="F279" s="11"/>
      <c r="G279" s="2"/>
      <c r="H279" s="2"/>
      <c r="I279" s="2"/>
      <c r="J279" s="2"/>
      <c r="K279" s="2"/>
      <c r="L279" s="2"/>
      <c r="M279" s="2"/>
      <c r="N279" s="2"/>
      <c r="O279" s="2"/>
      <c r="P279" s="2"/>
      <c r="Q279" s="2"/>
      <c r="R279" s="2"/>
      <c r="S279" s="2"/>
      <c r="T279" s="2"/>
      <c r="U279" s="2"/>
      <c r="V279" s="2"/>
      <c r="W279" s="2"/>
      <c r="X279" s="2"/>
      <c r="Y279" s="2"/>
      <c r="Z279" s="2"/>
      <c r="AA279" s="2"/>
      <c r="AB279" s="2"/>
    </row>
    <row r="280">
      <c r="A280" s="8"/>
      <c r="B280" s="9"/>
      <c r="C280" s="9"/>
      <c r="D280" s="8"/>
      <c r="E280" s="8"/>
      <c r="F280" s="11"/>
      <c r="G280" s="2"/>
      <c r="H280" s="2"/>
      <c r="I280" s="2"/>
      <c r="J280" s="2"/>
      <c r="K280" s="2"/>
      <c r="L280" s="2"/>
      <c r="M280" s="2"/>
      <c r="N280" s="2"/>
      <c r="O280" s="2"/>
      <c r="P280" s="2"/>
      <c r="Q280" s="2"/>
      <c r="R280" s="2"/>
      <c r="S280" s="2"/>
      <c r="T280" s="2"/>
      <c r="U280" s="2"/>
      <c r="V280" s="2"/>
      <c r="W280" s="2"/>
      <c r="X280" s="2"/>
      <c r="Y280" s="2"/>
      <c r="Z280" s="2"/>
      <c r="AA280" s="2"/>
      <c r="AB280" s="2"/>
    </row>
    <row r="281">
      <c r="A281" s="8"/>
      <c r="B281" s="9"/>
      <c r="C281" s="9"/>
      <c r="D281" s="8"/>
      <c r="E281" s="8"/>
      <c r="F281" s="11"/>
      <c r="G281" s="2"/>
      <c r="H281" s="2"/>
      <c r="I281" s="2"/>
      <c r="J281" s="2"/>
      <c r="K281" s="2"/>
      <c r="L281" s="2"/>
      <c r="M281" s="2"/>
      <c r="N281" s="2"/>
      <c r="O281" s="2"/>
      <c r="P281" s="2"/>
      <c r="Q281" s="2"/>
      <c r="R281" s="2"/>
      <c r="S281" s="2"/>
      <c r="T281" s="2"/>
      <c r="U281" s="2"/>
      <c r="V281" s="2"/>
      <c r="W281" s="2"/>
      <c r="X281" s="2"/>
      <c r="Y281" s="2"/>
      <c r="Z281" s="2"/>
      <c r="AA281" s="2"/>
      <c r="AB281" s="2"/>
    </row>
    <row r="282">
      <c r="A282" s="8"/>
      <c r="B282" s="9"/>
      <c r="C282" s="9"/>
      <c r="D282" s="8"/>
      <c r="E282" s="8"/>
      <c r="F282" s="11"/>
      <c r="G282" s="2"/>
      <c r="H282" s="2"/>
      <c r="I282" s="2"/>
      <c r="J282" s="2"/>
      <c r="K282" s="2"/>
      <c r="L282" s="2"/>
      <c r="M282" s="2"/>
      <c r="N282" s="2"/>
      <c r="O282" s="2"/>
      <c r="P282" s="2"/>
      <c r="Q282" s="2"/>
      <c r="R282" s="2"/>
      <c r="S282" s="2"/>
      <c r="T282" s="2"/>
      <c r="U282" s="2"/>
      <c r="V282" s="2"/>
      <c r="W282" s="2"/>
      <c r="X282" s="2"/>
      <c r="Y282" s="2"/>
      <c r="Z282" s="2"/>
      <c r="AA282" s="2"/>
      <c r="AB282" s="2"/>
    </row>
    <row r="283">
      <c r="A283" s="8"/>
      <c r="B283" s="9"/>
      <c r="C283" s="9"/>
      <c r="D283" s="8"/>
      <c r="E283" s="8"/>
      <c r="F283" s="11"/>
      <c r="G283" s="2"/>
      <c r="H283" s="2"/>
      <c r="I283" s="2"/>
      <c r="J283" s="2"/>
      <c r="K283" s="2"/>
      <c r="L283" s="2"/>
      <c r="M283" s="2"/>
      <c r="N283" s="2"/>
      <c r="O283" s="2"/>
      <c r="P283" s="2"/>
      <c r="Q283" s="2"/>
      <c r="R283" s="2"/>
      <c r="S283" s="2"/>
      <c r="T283" s="2"/>
      <c r="U283" s="2"/>
      <c r="V283" s="2"/>
      <c r="W283" s="2"/>
      <c r="X283" s="2"/>
      <c r="Y283" s="2"/>
      <c r="Z283" s="2"/>
      <c r="AA283" s="2"/>
      <c r="AB283" s="2"/>
    </row>
    <row r="284">
      <c r="A284" s="8"/>
      <c r="B284" s="9"/>
      <c r="C284" s="9"/>
      <c r="D284" s="8"/>
      <c r="E284" s="8"/>
      <c r="F284" s="11"/>
      <c r="G284" s="2"/>
      <c r="H284" s="2"/>
      <c r="I284" s="2"/>
      <c r="J284" s="2"/>
      <c r="K284" s="2"/>
      <c r="L284" s="2"/>
      <c r="M284" s="2"/>
      <c r="N284" s="2"/>
      <c r="O284" s="2"/>
      <c r="P284" s="2"/>
      <c r="Q284" s="2"/>
      <c r="R284" s="2"/>
      <c r="S284" s="2"/>
      <c r="T284" s="2"/>
      <c r="U284" s="2"/>
      <c r="V284" s="2"/>
      <c r="W284" s="2"/>
      <c r="X284" s="2"/>
      <c r="Y284" s="2"/>
      <c r="Z284" s="2"/>
      <c r="AA284" s="2"/>
      <c r="AB284" s="2"/>
    </row>
    <row r="285">
      <c r="A285" s="8"/>
      <c r="B285" s="9"/>
      <c r="C285" s="9"/>
      <c r="D285" s="8"/>
      <c r="E285" s="8"/>
      <c r="F285" s="11"/>
      <c r="G285" s="2"/>
      <c r="H285" s="2"/>
      <c r="I285" s="2"/>
      <c r="J285" s="2"/>
      <c r="K285" s="2"/>
      <c r="L285" s="2"/>
      <c r="M285" s="2"/>
      <c r="N285" s="2"/>
      <c r="O285" s="2"/>
      <c r="P285" s="2"/>
      <c r="Q285" s="2"/>
      <c r="R285" s="2"/>
      <c r="S285" s="2"/>
      <c r="T285" s="2"/>
      <c r="U285" s="2"/>
      <c r="V285" s="2"/>
      <c r="W285" s="2"/>
      <c r="X285" s="2"/>
      <c r="Y285" s="2"/>
      <c r="Z285" s="2"/>
      <c r="AA285" s="2"/>
      <c r="AB285" s="2"/>
    </row>
    <row r="286">
      <c r="A286" s="8"/>
      <c r="B286" s="9"/>
      <c r="C286" s="9"/>
      <c r="D286" s="8"/>
      <c r="E286" s="8"/>
      <c r="F286" s="11"/>
      <c r="G286" s="2"/>
      <c r="H286" s="2"/>
      <c r="I286" s="2"/>
      <c r="J286" s="2"/>
      <c r="K286" s="2"/>
      <c r="L286" s="2"/>
      <c r="M286" s="2"/>
      <c r="N286" s="2"/>
      <c r="O286" s="2"/>
      <c r="P286" s="2"/>
      <c r="Q286" s="2"/>
      <c r="R286" s="2"/>
      <c r="S286" s="2"/>
      <c r="T286" s="2"/>
      <c r="U286" s="2"/>
      <c r="V286" s="2"/>
      <c r="W286" s="2"/>
      <c r="X286" s="2"/>
      <c r="Y286" s="2"/>
      <c r="Z286" s="2"/>
      <c r="AA286" s="2"/>
      <c r="AB286" s="2"/>
    </row>
    <row r="287">
      <c r="A287" s="8"/>
      <c r="B287" s="9"/>
      <c r="C287" s="9"/>
      <c r="D287" s="8"/>
      <c r="E287" s="8"/>
      <c r="F287" s="11"/>
      <c r="G287" s="2"/>
      <c r="H287" s="2"/>
      <c r="I287" s="2"/>
      <c r="J287" s="2"/>
      <c r="K287" s="2"/>
      <c r="L287" s="2"/>
      <c r="M287" s="2"/>
      <c r="N287" s="2"/>
      <c r="O287" s="2"/>
      <c r="P287" s="2"/>
      <c r="Q287" s="2"/>
      <c r="R287" s="2"/>
      <c r="S287" s="2"/>
      <c r="T287" s="2"/>
      <c r="U287" s="2"/>
      <c r="V287" s="2"/>
      <c r="W287" s="2"/>
      <c r="X287" s="2"/>
      <c r="Y287" s="2"/>
      <c r="Z287" s="2"/>
      <c r="AA287" s="2"/>
      <c r="AB287" s="2"/>
    </row>
    <row r="288">
      <c r="A288" s="8"/>
      <c r="B288" s="9"/>
      <c r="C288" s="9"/>
      <c r="D288" s="8"/>
      <c r="E288" s="8"/>
      <c r="F288" s="11"/>
      <c r="G288" s="2"/>
      <c r="H288" s="2"/>
      <c r="I288" s="2"/>
      <c r="J288" s="2"/>
      <c r="K288" s="2"/>
      <c r="L288" s="2"/>
      <c r="M288" s="2"/>
      <c r="N288" s="2"/>
      <c r="O288" s="2"/>
      <c r="P288" s="2"/>
      <c r="Q288" s="2"/>
      <c r="R288" s="2"/>
      <c r="S288" s="2"/>
      <c r="T288" s="2"/>
      <c r="U288" s="2"/>
      <c r="V288" s="2"/>
      <c r="W288" s="2"/>
      <c r="X288" s="2"/>
      <c r="Y288" s="2"/>
      <c r="Z288" s="2"/>
      <c r="AA288" s="2"/>
      <c r="AB288" s="2"/>
    </row>
    <row r="289">
      <c r="A289" s="8"/>
      <c r="B289" s="9"/>
      <c r="C289" s="9"/>
      <c r="D289" s="8"/>
      <c r="E289" s="8"/>
      <c r="F289" s="11"/>
      <c r="G289" s="2"/>
      <c r="H289" s="2"/>
      <c r="I289" s="2"/>
      <c r="J289" s="2"/>
      <c r="K289" s="2"/>
      <c r="L289" s="2"/>
      <c r="M289" s="2"/>
      <c r="N289" s="2"/>
      <c r="O289" s="2"/>
      <c r="P289" s="2"/>
      <c r="Q289" s="2"/>
      <c r="R289" s="2"/>
      <c r="S289" s="2"/>
      <c r="T289" s="2"/>
      <c r="U289" s="2"/>
      <c r="V289" s="2"/>
      <c r="W289" s="2"/>
      <c r="X289" s="2"/>
      <c r="Y289" s="2"/>
      <c r="Z289" s="2"/>
      <c r="AA289" s="2"/>
      <c r="AB289" s="2"/>
    </row>
    <row r="290">
      <c r="A290" s="8"/>
      <c r="B290" s="9"/>
      <c r="C290" s="9"/>
      <c r="D290" s="8"/>
      <c r="E290" s="8"/>
      <c r="F290" s="11"/>
      <c r="G290" s="2"/>
      <c r="H290" s="2"/>
      <c r="I290" s="2"/>
      <c r="J290" s="2"/>
      <c r="K290" s="2"/>
      <c r="L290" s="2"/>
      <c r="M290" s="2"/>
      <c r="N290" s="2"/>
      <c r="O290" s="2"/>
      <c r="P290" s="2"/>
      <c r="Q290" s="2"/>
      <c r="R290" s="2"/>
      <c r="S290" s="2"/>
      <c r="T290" s="2"/>
      <c r="U290" s="2"/>
      <c r="V290" s="2"/>
      <c r="W290" s="2"/>
      <c r="X290" s="2"/>
      <c r="Y290" s="2"/>
      <c r="Z290" s="2"/>
      <c r="AA290" s="2"/>
      <c r="AB290" s="2"/>
    </row>
    <row r="291">
      <c r="A291" s="8"/>
      <c r="B291" s="9"/>
      <c r="C291" s="9"/>
      <c r="D291" s="8"/>
      <c r="E291" s="8"/>
      <c r="F291" s="11"/>
      <c r="G291" s="2"/>
      <c r="H291" s="2"/>
      <c r="I291" s="2"/>
      <c r="J291" s="2"/>
      <c r="K291" s="2"/>
      <c r="L291" s="2"/>
      <c r="M291" s="2"/>
      <c r="N291" s="2"/>
      <c r="O291" s="2"/>
      <c r="P291" s="2"/>
      <c r="Q291" s="2"/>
      <c r="R291" s="2"/>
      <c r="S291" s="2"/>
      <c r="T291" s="2"/>
      <c r="U291" s="2"/>
      <c r="V291" s="2"/>
      <c r="W291" s="2"/>
      <c r="X291" s="2"/>
      <c r="Y291" s="2"/>
      <c r="Z291" s="2"/>
      <c r="AA291" s="2"/>
      <c r="AB291" s="2"/>
    </row>
    <row r="292">
      <c r="A292" s="8"/>
      <c r="B292" s="9"/>
      <c r="C292" s="9"/>
      <c r="D292" s="8"/>
      <c r="E292" s="8"/>
      <c r="F292" s="11"/>
      <c r="G292" s="2"/>
      <c r="H292" s="2"/>
      <c r="I292" s="2"/>
      <c r="J292" s="2"/>
      <c r="K292" s="2"/>
      <c r="L292" s="2"/>
      <c r="M292" s="2"/>
      <c r="N292" s="2"/>
      <c r="O292" s="2"/>
      <c r="P292" s="2"/>
      <c r="Q292" s="2"/>
      <c r="R292" s="2"/>
      <c r="S292" s="2"/>
      <c r="T292" s="2"/>
      <c r="U292" s="2"/>
      <c r="V292" s="2"/>
      <c r="W292" s="2"/>
      <c r="X292" s="2"/>
      <c r="Y292" s="2"/>
      <c r="Z292" s="2"/>
      <c r="AA292" s="2"/>
      <c r="AB292" s="2"/>
    </row>
    <row r="293">
      <c r="A293" s="8"/>
      <c r="B293" s="9"/>
      <c r="C293" s="9"/>
      <c r="D293" s="8"/>
      <c r="E293" s="8"/>
      <c r="F293" s="11"/>
      <c r="G293" s="2"/>
      <c r="H293" s="2"/>
      <c r="I293" s="2"/>
      <c r="J293" s="2"/>
      <c r="K293" s="2"/>
      <c r="L293" s="2"/>
      <c r="M293" s="2"/>
      <c r="N293" s="2"/>
      <c r="O293" s="2"/>
      <c r="P293" s="2"/>
      <c r="Q293" s="2"/>
      <c r="R293" s="2"/>
      <c r="S293" s="2"/>
      <c r="T293" s="2"/>
      <c r="U293" s="2"/>
      <c r="V293" s="2"/>
      <c r="W293" s="2"/>
      <c r="X293" s="2"/>
      <c r="Y293" s="2"/>
      <c r="Z293" s="2"/>
      <c r="AA293" s="2"/>
      <c r="AB293" s="2"/>
    </row>
    <row r="294">
      <c r="A294" s="8"/>
      <c r="B294" s="9"/>
      <c r="C294" s="9"/>
      <c r="D294" s="8"/>
      <c r="E294" s="8"/>
      <c r="F294" s="11"/>
      <c r="G294" s="2"/>
      <c r="H294" s="2"/>
      <c r="I294" s="2"/>
      <c r="J294" s="2"/>
      <c r="K294" s="2"/>
      <c r="L294" s="2"/>
      <c r="M294" s="2"/>
      <c r="N294" s="2"/>
      <c r="O294" s="2"/>
      <c r="P294" s="2"/>
      <c r="Q294" s="2"/>
      <c r="R294" s="2"/>
      <c r="S294" s="2"/>
      <c r="T294" s="2"/>
      <c r="U294" s="2"/>
      <c r="V294" s="2"/>
      <c r="W294" s="2"/>
      <c r="X294" s="2"/>
      <c r="Y294" s="2"/>
      <c r="Z294" s="2"/>
      <c r="AA294" s="2"/>
      <c r="AB294" s="2"/>
    </row>
    <row r="295">
      <c r="A295" s="8"/>
      <c r="B295" s="9"/>
      <c r="C295" s="9"/>
      <c r="D295" s="8"/>
      <c r="E295" s="8"/>
      <c r="F295" s="11"/>
      <c r="G295" s="2"/>
      <c r="H295" s="2"/>
      <c r="I295" s="2"/>
      <c r="J295" s="2"/>
      <c r="K295" s="2"/>
      <c r="L295" s="2"/>
      <c r="M295" s="2"/>
      <c r="N295" s="2"/>
      <c r="O295" s="2"/>
      <c r="P295" s="2"/>
      <c r="Q295" s="2"/>
      <c r="R295" s="2"/>
      <c r="S295" s="2"/>
      <c r="T295" s="2"/>
      <c r="U295" s="2"/>
      <c r="V295" s="2"/>
      <c r="W295" s="2"/>
      <c r="X295" s="2"/>
      <c r="Y295" s="2"/>
      <c r="Z295" s="2"/>
      <c r="AA295" s="2"/>
      <c r="AB295" s="2"/>
    </row>
    <row r="296">
      <c r="A296" s="8"/>
      <c r="B296" s="9"/>
      <c r="C296" s="9"/>
      <c r="D296" s="8"/>
      <c r="E296" s="8"/>
      <c r="F296" s="11"/>
      <c r="G296" s="2"/>
      <c r="H296" s="2"/>
      <c r="I296" s="2"/>
      <c r="J296" s="2"/>
      <c r="K296" s="2"/>
      <c r="L296" s="2"/>
      <c r="M296" s="2"/>
      <c r="N296" s="2"/>
      <c r="O296" s="2"/>
      <c r="P296" s="2"/>
      <c r="Q296" s="2"/>
      <c r="R296" s="2"/>
      <c r="S296" s="2"/>
      <c r="T296" s="2"/>
      <c r="U296" s="2"/>
      <c r="V296" s="2"/>
      <c r="W296" s="2"/>
      <c r="X296" s="2"/>
      <c r="Y296" s="2"/>
      <c r="Z296" s="2"/>
      <c r="AA296" s="2"/>
      <c r="AB296" s="2"/>
    </row>
    <row r="297">
      <c r="A297" s="8"/>
      <c r="B297" s="9"/>
      <c r="C297" s="9"/>
      <c r="D297" s="8"/>
      <c r="E297" s="8"/>
      <c r="F297" s="11"/>
      <c r="G297" s="2"/>
      <c r="H297" s="2"/>
      <c r="I297" s="2"/>
      <c r="J297" s="2"/>
      <c r="K297" s="2"/>
      <c r="L297" s="2"/>
      <c r="M297" s="2"/>
      <c r="N297" s="2"/>
      <c r="O297" s="2"/>
      <c r="P297" s="2"/>
      <c r="Q297" s="2"/>
      <c r="R297" s="2"/>
      <c r="S297" s="2"/>
      <c r="T297" s="2"/>
      <c r="U297" s="2"/>
      <c r="V297" s="2"/>
      <c r="W297" s="2"/>
      <c r="X297" s="2"/>
      <c r="Y297" s="2"/>
      <c r="Z297" s="2"/>
      <c r="AA297" s="2"/>
      <c r="AB297" s="2"/>
    </row>
    <row r="298">
      <c r="A298" s="8"/>
      <c r="B298" s="9"/>
      <c r="C298" s="9"/>
      <c r="D298" s="8"/>
      <c r="E298" s="8"/>
      <c r="F298" s="11"/>
      <c r="G298" s="2"/>
      <c r="H298" s="2"/>
      <c r="I298" s="2"/>
      <c r="J298" s="2"/>
      <c r="K298" s="2"/>
      <c r="L298" s="2"/>
      <c r="M298" s="2"/>
      <c r="N298" s="2"/>
      <c r="O298" s="2"/>
      <c r="P298" s="2"/>
      <c r="Q298" s="2"/>
      <c r="R298" s="2"/>
      <c r="S298" s="2"/>
      <c r="T298" s="2"/>
      <c r="U298" s="2"/>
      <c r="V298" s="2"/>
      <c r="W298" s="2"/>
      <c r="X298" s="2"/>
      <c r="Y298" s="2"/>
      <c r="Z298" s="2"/>
      <c r="AA298" s="2"/>
      <c r="AB298" s="2"/>
    </row>
    <row r="299">
      <c r="A299" s="8"/>
      <c r="B299" s="9"/>
      <c r="C299" s="9"/>
      <c r="D299" s="8"/>
      <c r="E299" s="8"/>
      <c r="F299" s="11"/>
      <c r="G299" s="2"/>
      <c r="H299" s="2"/>
      <c r="I299" s="2"/>
      <c r="J299" s="2"/>
      <c r="K299" s="2"/>
      <c r="L299" s="2"/>
      <c r="M299" s="2"/>
      <c r="N299" s="2"/>
      <c r="O299" s="2"/>
      <c r="P299" s="2"/>
      <c r="Q299" s="2"/>
      <c r="R299" s="2"/>
      <c r="S299" s="2"/>
      <c r="T299" s="2"/>
      <c r="U299" s="2"/>
      <c r="V299" s="2"/>
      <c r="W299" s="2"/>
      <c r="X299" s="2"/>
      <c r="Y299" s="2"/>
      <c r="Z299" s="2"/>
      <c r="AA299" s="2"/>
      <c r="AB299" s="2"/>
    </row>
    <row r="300">
      <c r="A300" s="8"/>
      <c r="B300" s="9"/>
      <c r="C300" s="9"/>
      <c r="D300" s="8"/>
      <c r="E300" s="8"/>
      <c r="F300" s="11"/>
      <c r="G300" s="2"/>
      <c r="H300" s="2"/>
      <c r="I300" s="2"/>
      <c r="J300" s="2"/>
      <c r="K300" s="2"/>
      <c r="L300" s="2"/>
      <c r="M300" s="2"/>
      <c r="N300" s="2"/>
      <c r="O300" s="2"/>
      <c r="P300" s="2"/>
      <c r="Q300" s="2"/>
      <c r="R300" s="2"/>
      <c r="S300" s="2"/>
      <c r="T300" s="2"/>
      <c r="U300" s="2"/>
      <c r="V300" s="2"/>
      <c r="W300" s="2"/>
      <c r="X300" s="2"/>
      <c r="Y300" s="2"/>
      <c r="Z300" s="2"/>
      <c r="AA300" s="2"/>
      <c r="AB300" s="2"/>
    </row>
    <row r="301">
      <c r="A301" s="8"/>
      <c r="B301" s="9"/>
      <c r="C301" s="9"/>
      <c r="D301" s="8"/>
      <c r="E301" s="8"/>
      <c r="F301" s="11"/>
      <c r="G301" s="2"/>
      <c r="H301" s="2"/>
      <c r="I301" s="2"/>
      <c r="J301" s="2"/>
      <c r="K301" s="2"/>
      <c r="L301" s="2"/>
      <c r="M301" s="2"/>
      <c r="N301" s="2"/>
      <c r="O301" s="2"/>
      <c r="P301" s="2"/>
      <c r="Q301" s="2"/>
      <c r="R301" s="2"/>
      <c r="S301" s="2"/>
      <c r="T301" s="2"/>
      <c r="U301" s="2"/>
      <c r="V301" s="2"/>
      <c r="W301" s="2"/>
      <c r="X301" s="2"/>
      <c r="Y301" s="2"/>
      <c r="Z301" s="2"/>
      <c r="AA301" s="2"/>
      <c r="AB301" s="2"/>
    </row>
    <row r="302">
      <c r="A302" s="8"/>
      <c r="B302" s="9"/>
      <c r="C302" s="9"/>
      <c r="D302" s="8"/>
      <c r="E302" s="8"/>
      <c r="F302" s="11"/>
      <c r="G302" s="2"/>
      <c r="H302" s="2"/>
      <c r="I302" s="2"/>
      <c r="J302" s="2"/>
      <c r="K302" s="2"/>
      <c r="L302" s="2"/>
      <c r="M302" s="2"/>
      <c r="N302" s="2"/>
      <c r="O302" s="2"/>
      <c r="P302" s="2"/>
      <c r="Q302" s="2"/>
      <c r="R302" s="2"/>
      <c r="S302" s="2"/>
      <c r="T302" s="2"/>
      <c r="U302" s="2"/>
      <c r="V302" s="2"/>
      <c r="W302" s="2"/>
      <c r="X302" s="2"/>
      <c r="Y302" s="2"/>
      <c r="Z302" s="2"/>
      <c r="AA302" s="2"/>
      <c r="AB302" s="2"/>
    </row>
    <row r="303">
      <c r="A303" s="8"/>
      <c r="B303" s="9"/>
      <c r="C303" s="9"/>
      <c r="D303" s="8"/>
      <c r="E303" s="8"/>
      <c r="F303" s="11"/>
      <c r="G303" s="2"/>
      <c r="H303" s="2"/>
      <c r="I303" s="2"/>
      <c r="J303" s="2"/>
      <c r="K303" s="2"/>
      <c r="L303" s="2"/>
      <c r="M303" s="2"/>
      <c r="N303" s="2"/>
      <c r="O303" s="2"/>
      <c r="P303" s="2"/>
      <c r="Q303" s="2"/>
      <c r="R303" s="2"/>
      <c r="S303" s="2"/>
      <c r="T303" s="2"/>
      <c r="U303" s="2"/>
      <c r="V303" s="2"/>
      <c r="W303" s="2"/>
      <c r="X303" s="2"/>
      <c r="Y303" s="2"/>
      <c r="Z303" s="2"/>
      <c r="AA303" s="2"/>
      <c r="AB303" s="2"/>
    </row>
    <row r="304">
      <c r="A304" s="8"/>
      <c r="B304" s="9"/>
      <c r="C304" s="9"/>
      <c r="D304" s="8"/>
      <c r="E304" s="8"/>
      <c r="F304" s="11"/>
      <c r="G304" s="2"/>
      <c r="H304" s="2"/>
      <c r="I304" s="2"/>
      <c r="J304" s="2"/>
      <c r="K304" s="2"/>
      <c r="L304" s="2"/>
      <c r="M304" s="2"/>
      <c r="N304" s="2"/>
      <c r="O304" s="2"/>
      <c r="P304" s="2"/>
      <c r="Q304" s="2"/>
      <c r="R304" s="2"/>
      <c r="S304" s="2"/>
      <c r="T304" s="2"/>
      <c r="U304" s="2"/>
      <c r="V304" s="2"/>
      <c r="W304" s="2"/>
      <c r="X304" s="2"/>
      <c r="Y304" s="2"/>
      <c r="Z304" s="2"/>
      <c r="AA304" s="2"/>
      <c r="AB304" s="2"/>
    </row>
    <row r="305">
      <c r="A305" s="8"/>
      <c r="B305" s="9"/>
      <c r="C305" s="9"/>
      <c r="D305" s="8"/>
      <c r="E305" s="8"/>
      <c r="F305" s="11"/>
      <c r="G305" s="2"/>
      <c r="H305" s="2"/>
      <c r="I305" s="2"/>
      <c r="J305" s="2"/>
      <c r="K305" s="2"/>
      <c r="L305" s="2"/>
      <c r="M305" s="2"/>
      <c r="N305" s="2"/>
      <c r="O305" s="2"/>
      <c r="P305" s="2"/>
      <c r="Q305" s="2"/>
      <c r="R305" s="2"/>
      <c r="S305" s="2"/>
      <c r="T305" s="2"/>
      <c r="U305" s="2"/>
      <c r="V305" s="2"/>
      <c r="W305" s="2"/>
      <c r="X305" s="2"/>
      <c r="Y305" s="2"/>
      <c r="Z305" s="2"/>
      <c r="AA305" s="2"/>
      <c r="AB305" s="2"/>
    </row>
    <row r="306">
      <c r="A306" s="8"/>
      <c r="B306" s="9"/>
      <c r="C306" s="9"/>
      <c r="D306" s="8"/>
      <c r="E306" s="8"/>
      <c r="F306" s="11"/>
      <c r="G306" s="2"/>
      <c r="H306" s="2"/>
      <c r="I306" s="2"/>
      <c r="J306" s="2"/>
      <c r="K306" s="2"/>
      <c r="L306" s="2"/>
      <c r="M306" s="2"/>
      <c r="N306" s="2"/>
      <c r="O306" s="2"/>
      <c r="P306" s="2"/>
      <c r="Q306" s="2"/>
      <c r="R306" s="2"/>
      <c r="S306" s="2"/>
      <c r="T306" s="2"/>
      <c r="U306" s="2"/>
      <c r="V306" s="2"/>
      <c r="W306" s="2"/>
      <c r="X306" s="2"/>
      <c r="Y306" s="2"/>
      <c r="Z306" s="2"/>
      <c r="AA306" s="2"/>
      <c r="AB306" s="2"/>
    </row>
    <row r="307">
      <c r="A307" s="8"/>
      <c r="B307" s="9"/>
      <c r="C307" s="9"/>
      <c r="D307" s="8"/>
      <c r="E307" s="8"/>
      <c r="F307" s="11"/>
      <c r="G307" s="2"/>
      <c r="H307" s="2"/>
      <c r="I307" s="2"/>
      <c r="J307" s="2"/>
      <c r="K307" s="2"/>
      <c r="L307" s="2"/>
      <c r="M307" s="2"/>
      <c r="N307" s="2"/>
      <c r="O307" s="2"/>
      <c r="P307" s="2"/>
      <c r="Q307" s="2"/>
      <c r="R307" s="2"/>
      <c r="S307" s="2"/>
      <c r="T307" s="2"/>
      <c r="U307" s="2"/>
      <c r="V307" s="2"/>
      <c r="W307" s="2"/>
      <c r="X307" s="2"/>
      <c r="Y307" s="2"/>
      <c r="Z307" s="2"/>
      <c r="AA307" s="2"/>
      <c r="AB307" s="2"/>
    </row>
    <row r="308">
      <c r="A308" s="8"/>
      <c r="B308" s="9"/>
      <c r="C308" s="9"/>
      <c r="D308" s="8"/>
      <c r="E308" s="8"/>
      <c r="F308" s="11"/>
      <c r="G308" s="2"/>
      <c r="H308" s="2"/>
      <c r="I308" s="2"/>
      <c r="J308" s="2"/>
      <c r="K308" s="2"/>
      <c r="L308" s="2"/>
      <c r="M308" s="2"/>
      <c r="N308" s="2"/>
      <c r="O308" s="2"/>
      <c r="P308" s="2"/>
      <c r="Q308" s="2"/>
      <c r="R308" s="2"/>
      <c r="S308" s="2"/>
      <c r="T308" s="2"/>
      <c r="U308" s="2"/>
      <c r="V308" s="2"/>
      <c r="W308" s="2"/>
      <c r="X308" s="2"/>
      <c r="Y308" s="2"/>
      <c r="Z308" s="2"/>
      <c r="AA308" s="2"/>
      <c r="AB308" s="2"/>
    </row>
    <row r="309">
      <c r="A309" s="8"/>
      <c r="B309" s="9"/>
      <c r="C309" s="9"/>
      <c r="D309" s="8"/>
      <c r="E309" s="8"/>
      <c r="F309" s="11"/>
      <c r="G309" s="2"/>
      <c r="H309" s="2"/>
      <c r="I309" s="2"/>
      <c r="J309" s="2"/>
      <c r="K309" s="2"/>
      <c r="L309" s="2"/>
      <c r="M309" s="2"/>
      <c r="N309" s="2"/>
      <c r="O309" s="2"/>
      <c r="P309" s="2"/>
      <c r="Q309" s="2"/>
      <c r="R309" s="2"/>
      <c r="S309" s="2"/>
      <c r="T309" s="2"/>
      <c r="U309" s="2"/>
      <c r="V309" s="2"/>
      <c r="W309" s="2"/>
      <c r="X309" s="2"/>
      <c r="Y309" s="2"/>
      <c r="Z309" s="2"/>
      <c r="AA309" s="2"/>
      <c r="AB309" s="2"/>
    </row>
    <row r="310">
      <c r="A310" s="8"/>
      <c r="B310" s="9"/>
      <c r="C310" s="9"/>
      <c r="D310" s="8"/>
      <c r="E310" s="8"/>
      <c r="F310" s="11"/>
      <c r="G310" s="2"/>
      <c r="H310" s="2"/>
      <c r="I310" s="2"/>
      <c r="J310" s="2"/>
      <c r="K310" s="2"/>
      <c r="L310" s="2"/>
      <c r="M310" s="2"/>
      <c r="N310" s="2"/>
      <c r="O310" s="2"/>
      <c r="P310" s="2"/>
      <c r="Q310" s="2"/>
      <c r="R310" s="2"/>
      <c r="S310" s="2"/>
      <c r="T310" s="2"/>
      <c r="U310" s="2"/>
      <c r="V310" s="2"/>
      <c r="W310" s="2"/>
      <c r="X310" s="2"/>
      <c r="Y310" s="2"/>
      <c r="Z310" s="2"/>
      <c r="AA310" s="2"/>
      <c r="AB310" s="2"/>
    </row>
    <row r="311">
      <c r="A311" s="8"/>
      <c r="B311" s="9"/>
      <c r="C311" s="9"/>
      <c r="D311" s="8"/>
      <c r="E311" s="8"/>
      <c r="F311" s="11"/>
      <c r="G311" s="2"/>
      <c r="H311" s="2"/>
      <c r="I311" s="2"/>
      <c r="J311" s="2"/>
      <c r="K311" s="2"/>
      <c r="L311" s="2"/>
      <c r="M311" s="2"/>
      <c r="N311" s="2"/>
      <c r="O311" s="2"/>
      <c r="P311" s="2"/>
      <c r="Q311" s="2"/>
      <c r="R311" s="2"/>
      <c r="S311" s="2"/>
      <c r="T311" s="2"/>
      <c r="U311" s="2"/>
      <c r="V311" s="2"/>
      <c r="W311" s="2"/>
      <c r="X311" s="2"/>
      <c r="Y311" s="2"/>
      <c r="Z311" s="2"/>
      <c r="AA311" s="2"/>
      <c r="AB311" s="2"/>
    </row>
    <row r="312">
      <c r="A312" s="8"/>
      <c r="B312" s="9"/>
      <c r="C312" s="9"/>
      <c r="D312" s="8"/>
      <c r="E312" s="8"/>
      <c r="F312" s="11"/>
      <c r="G312" s="2"/>
      <c r="H312" s="2"/>
      <c r="I312" s="2"/>
      <c r="J312" s="2"/>
      <c r="K312" s="2"/>
      <c r="L312" s="2"/>
      <c r="M312" s="2"/>
      <c r="N312" s="2"/>
      <c r="O312" s="2"/>
      <c r="P312" s="2"/>
      <c r="Q312" s="2"/>
      <c r="R312" s="2"/>
      <c r="S312" s="2"/>
      <c r="T312" s="2"/>
      <c r="U312" s="2"/>
      <c r="V312" s="2"/>
      <c r="W312" s="2"/>
      <c r="X312" s="2"/>
      <c r="Y312" s="2"/>
      <c r="Z312" s="2"/>
      <c r="AA312" s="2"/>
      <c r="AB312" s="2"/>
    </row>
    <row r="313">
      <c r="A313" s="8"/>
      <c r="B313" s="9"/>
      <c r="C313" s="9"/>
      <c r="D313" s="8"/>
      <c r="E313" s="8"/>
      <c r="F313" s="11"/>
      <c r="G313" s="2"/>
      <c r="H313" s="2"/>
      <c r="I313" s="2"/>
      <c r="J313" s="2"/>
      <c r="K313" s="2"/>
      <c r="L313" s="2"/>
      <c r="M313" s="2"/>
      <c r="N313" s="2"/>
      <c r="O313" s="2"/>
      <c r="P313" s="2"/>
      <c r="Q313" s="2"/>
      <c r="R313" s="2"/>
      <c r="S313" s="2"/>
      <c r="T313" s="2"/>
      <c r="U313" s="2"/>
      <c r="V313" s="2"/>
      <c r="W313" s="2"/>
      <c r="X313" s="2"/>
      <c r="Y313" s="2"/>
      <c r="Z313" s="2"/>
      <c r="AA313" s="2"/>
      <c r="AB313" s="2"/>
    </row>
    <row r="314">
      <c r="A314" s="8"/>
      <c r="B314" s="9"/>
      <c r="C314" s="9"/>
      <c r="D314" s="8"/>
      <c r="E314" s="8"/>
      <c r="F314" s="11"/>
      <c r="G314" s="2"/>
      <c r="H314" s="2"/>
      <c r="I314" s="2"/>
      <c r="J314" s="2"/>
      <c r="K314" s="2"/>
      <c r="L314" s="2"/>
      <c r="M314" s="2"/>
      <c r="N314" s="2"/>
      <c r="O314" s="2"/>
      <c r="P314" s="2"/>
      <c r="Q314" s="2"/>
      <c r="R314" s="2"/>
      <c r="S314" s="2"/>
      <c r="T314" s="2"/>
      <c r="U314" s="2"/>
      <c r="V314" s="2"/>
      <c r="W314" s="2"/>
      <c r="X314" s="2"/>
      <c r="Y314" s="2"/>
      <c r="Z314" s="2"/>
      <c r="AA314" s="2"/>
      <c r="AB314" s="2"/>
    </row>
    <row r="315">
      <c r="A315" s="8"/>
      <c r="B315" s="9"/>
      <c r="C315" s="9"/>
      <c r="D315" s="8"/>
      <c r="E315" s="8"/>
      <c r="F315" s="11"/>
      <c r="G315" s="2"/>
      <c r="H315" s="2"/>
      <c r="I315" s="2"/>
      <c r="J315" s="2"/>
      <c r="K315" s="2"/>
      <c r="L315" s="2"/>
      <c r="M315" s="2"/>
      <c r="N315" s="2"/>
      <c r="O315" s="2"/>
      <c r="P315" s="2"/>
      <c r="Q315" s="2"/>
      <c r="R315" s="2"/>
      <c r="S315" s="2"/>
      <c r="T315" s="2"/>
      <c r="U315" s="2"/>
      <c r="V315" s="2"/>
      <c r="W315" s="2"/>
      <c r="X315" s="2"/>
      <c r="Y315" s="2"/>
      <c r="Z315" s="2"/>
      <c r="AA315" s="2"/>
      <c r="AB315" s="2"/>
    </row>
    <row r="316">
      <c r="A316" s="8"/>
      <c r="B316" s="9"/>
      <c r="C316" s="9"/>
      <c r="D316" s="8"/>
      <c r="E316" s="8"/>
      <c r="F316" s="11"/>
      <c r="G316" s="2"/>
      <c r="H316" s="2"/>
      <c r="I316" s="2"/>
      <c r="J316" s="2"/>
      <c r="K316" s="2"/>
      <c r="L316" s="2"/>
      <c r="M316" s="2"/>
      <c r="N316" s="2"/>
      <c r="O316" s="2"/>
      <c r="P316" s="2"/>
      <c r="Q316" s="2"/>
      <c r="R316" s="2"/>
      <c r="S316" s="2"/>
      <c r="T316" s="2"/>
      <c r="U316" s="2"/>
      <c r="V316" s="2"/>
      <c r="W316" s="2"/>
      <c r="X316" s="2"/>
      <c r="Y316" s="2"/>
      <c r="Z316" s="2"/>
      <c r="AA316" s="2"/>
      <c r="AB316" s="2"/>
    </row>
    <row r="317">
      <c r="A317" s="8"/>
      <c r="B317" s="9"/>
      <c r="C317" s="9"/>
      <c r="D317" s="8"/>
      <c r="E317" s="8"/>
      <c r="F317" s="11"/>
      <c r="G317" s="2"/>
      <c r="H317" s="2"/>
      <c r="I317" s="2"/>
      <c r="J317" s="2"/>
      <c r="K317" s="2"/>
      <c r="L317" s="2"/>
      <c r="M317" s="2"/>
      <c r="N317" s="2"/>
      <c r="O317" s="2"/>
      <c r="P317" s="2"/>
      <c r="Q317" s="2"/>
      <c r="R317" s="2"/>
      <c r="S317" s="2"/>
      <c r="T317" s="2"/>
      <c r="U317" s="2"/>
      <c r="V317" s="2"/>
      <c r="W317" s="2"/>
      <c r="X317" s="2"/>
      <c r="Y317" s="2"/>
      <c r="Z317" s="2"/>
      <c r="AA317" s="2"/>
      <c r="AB317" s="2"/>
    </row>
    <row r="318">
      <c r="A318" s="8"/>
      <c r="B318" s="9"/>
      <c r="C318" s="9"/>
      <c r="D318" s="8"/>
      <c r="E318" s="8"/>
      <c r="F318" s="11"/>
      <c r="G318" s="2"/>
      <c r="H318" s="2"/>
      <c r="I318" s="2"/>
      <c r="J318" s="2"/>
      <c r="K318" s="2"/>
      <c r="L318" s="2"/>
      <c r="M318" s="2"/>
      <c r="N318" s="2"/>
      <c r="O318" s="2"/>
      <c r="P318" s="2"/>
      <c r="Q318" s="2"/>
      <c r="R318" s="2"/>
      <c r="S318" s="2"/>
      <c r="T318" s="2"/>
      <c r="U318" s="2"/>
      <c r="V318" s="2"/>
      <c r="W318" s="2"/>
      <c r="X318" s="2"/>
      <c r="Y318" s="2"/>
      <c r="Z318" s="2"/>
      <c r="AA318" s="2"/>
      <c r="AB318" s="2"/>
    </row>
    <row r="319">
      <c r="A319" s="8"/>
      <c r="B319" s="9"/>
      <c r="C319" s="9"/>
      <c r="D319" s="8"/>
      <c r="E319" s="8"/>
      <c r="F319" s="11"/>
      <c r="G319" s="2"/>
      <c r="H319" s="2"/>
      <c r="I319" s="2"/>
      <c r="J319" s="2"/>
      <c r="K319" s="2"/>
      <c r="L319" s="2"/>
      <c r="M319" s="2"/>
      <c r="N319" s="2"/>
      <c r="O319" s="2"/>
      <c r="P319" s="2"/>
      <c r="Q319" s="2"/>
      <c r="R319" s="2"/>
      <c r="S319" s="2"/>
      <c r="T319" s="2"/>
      <c r="U319" s="2"/>
      <c r="V319" s="2"/>
      <c r="W319" s="2"/>
      <c r="X319" s="2"/>
      <c r="Y319" s="2"/>
      <c r="Z319" s="2"/>
      <c r="AA319" s="2"/>
      <c r="AB319" s="2"/>
    </row>
    <row r="320">
      <c r="A320" s="8"/>
      <c r="B320" s="9"/>
      <c r="C320" s="9"/>
      <c r="D320" s="8"/>
      <c r="E320" s="8"/>
      <c r="F320" s="11"/>
      <c r="G320" s="2"/>
      <c r="H320" s="2"/>
      <c r="I320" s="2"/>
      <c r="J320" s="2"/>
      <c r="K320" s="2"/>
      <c r="L320" s="2"/>
      <c r="M320" s="2"/>
      <c r="N320" s="2"/>
      <c r="O320" s="2"/>
      <c r="P320" s="2"/>
      <c r="Q320" s="2"/>
      <c r="R320" s="2"/>
      <c r="S320" s="2"/>
      <c r="T320" s="2"/>
      <c r="U320" s="2"/>
      <c r="V320" s="2"/>
      <c r="W320" s="2"/>
      <c r="X320" s="2"/>
      <c r="Y320" s="2"/>
      <c r="Z320" s="2"/>
      <c r="AA320" s="2"/>
      <c r="AB320" s="2"/>
    </row>
    <row r="321">
      <c r="A321" s="8"/>
      <c r="B321" s="9"/>
      <c r="C321" s="9"/>
      <c r="D321" s="8"/>
      <c r="E321" s="8"/>
      <c r="F321" s="11"/>
      <c r="G321" s="2"/>
      <c r="H321" s="2"/>
      <c r="I321" s="2"/>
      <c r="J321" s="2"/>
      <c r="K321" s="2"/>
      <c r="L321" s="2"/>
      <c r="M321" s="2"/>
      <c r="N321" s="2"/>
      <c r="O321" s="2"/>
      <c r="P321" s="2"/>
      <c r="Q321" s="2"/>
      <c r="R321" s="2"/>
      <c r="S321" s="2"/>
      <c r="T321" s="2"/>
      <c r="U321" s="2"/>
      <c r="V321" s="2"/>
      <c r="W321" s="2"/>
      <c r="X321" s="2"/>
      <c r="Y321" s="2"/>
      <c r="Z321" s="2"/>
      <c r="AA321" s="2"/>
      <c r="AB321" s="2"/>
    </row>
    <row r="322">
      <c r="A322" s="8"/>
      <c r="B322" s="9"/>
      <c r="C322" s="9"/>
      <c r="D322" s="8"/>
      <c r="E322" s="8"/>
      <c r="F322" s="11"/>
      <c r="G322" s="2"/>
      <c r="H322" s="2"/>
      <c r="I322" s="2"/>
      <c r="J322" s="2"/>
      <c r="K322" s="2"/>
      <c r="L322" s="2"/>
      <c r="M322" s="2"/>
      <c r="N322" s="2"/>
      <c r="O322" s="2"/>
      <c r="P322" s="2"/>
      <c r="Q322" s="2"/>
      <c r="R322" s="2"/>
      <c r="S322" s="2"/>
      <c r="T322" s="2"/>
      <c r="U322" s="2"/>
      <c r="V322" s="2"/>
      <c r="W322" s="2"/>
      <c r="X322" s="2"/>
      <c r="Y322" s="2"/>
      <c r="Z322" s="2"/>
      <c r="AA322" s="2"/>
      <c r="AB322" s="2"/>
    </row>
    <row r="323">
      <c r="A323" s="8"/>
      <c r="B323" s="9"/>
      <c r="C323" s="9"/>
      <c r="D323" s="8"/>
      <c r="E323" s="8"/>
      <c r="F323" s="11"/>
      <c r="G323" s="2"/>
      <c r="H323" s="2"/>
      <c r="I323" s="2"/>
      <c r="J323" s="2"/>
      <c r="K323" s="2"/>
      <c r="L323" s="2"/>
      <c r="M323" s="2"/>
      <c r="N323" s="2"/>
      <c r="O323" s="2"/>
      <c r="P323" s="2"/>
      <c r="Q323" s="2"/>
      <c r="R323" s="2"/>
      <c r="S323" s="2"/>
      <c r="T323" s="2"/>
      <c r="U323" s="2"/>
      <c r="V323" s="2"/>
      <c r="W323" s="2"/>
      <c r="X323" s="2"/>
      <c r="Y323" s="2"/>
      <c r="Z323" s="2"/>
      <c r="AA323" s="2"/>
      <c r="AB323" s="2"/>
    </row>
    <row r="324">
      <c r="A324" s="8"/>
      <c r="B324" s="9"/>
      <c r="C324" s="9"/>
      <c r="D324" s="8"/>
      <c r="E324" s="8"/>
      <c r="F324" s="11"/>
      <c r="G324" s="2"/>
      <c r="H324" s="2"/>
      <c r="I324" s="2"/>
      <c r="J324" s="2"/>
      <c r="K324" s="2"/>
      <c r="L324" s="2"/>
      <c r="M324" s="2"/>
      <c r="N324" s="2"/>
      <c r="O324" s="2"/>
      <c r="P324" s="2"/>
      <c r="Q324" s="2"/>
      <c r="R324" s="2"/>
      <c r="S324" s="2"/>
      <c r="T324" s="2"/>
      <c r="U324" s="2"/>
      <c r="V324" s="2"/>
      <c r="W324" s="2"/>
      <c r="X324" s="2"/>
      <c r="Y324" s="2"/>
      <c r="Z324" s="2"/>
      <c r="AA324" s="2"/>
      <c r="AB324" s="2"/>
    </row>
    <row r="325">
      <c r="A325" s="8"/>
      <c r="B325" s="9"/>
      <c r="C325" s="9"/>
      <c r="D325" s="8"/>
      <c r="E325" s="8"/>
      <c r="F325" s="11"/>
      <c r="G325" s="2"/>
      <c r="H325" s="2"/>
      <c r="I325" s="2"/>
      <c r="J325" s="2"/>
      <c r="K325" s="2"/>
      <c r="L325" s="2"/>
      <c r="M325" s="2"/>
      <c r="N325" s="2"/>
      <c r="O325" s="2"/>
      <c r="P325" s="2"/>
      <c r="Q325" s="2"/>
      <c r="R325" s="2"/>
      <c r="S325" s="2"/>
      <c r="T325" s="2"/>
      <c r="U325" s="2"/>
      <c r="V325" s="2"/>
      <c r="W325" s="2"/>
      <c r="X325" s="2"/>
      <c r="Y325" s="2"/>
      <c r="Z325" s="2"/>
      <c r="AA325" s="2"/>
      <c r="AB325" s="2"/>
    </row>
    <row r="326">
      <c r="A326" s="8"/>
      <c r="B326" s="9"/>
      <c r="C326" s="9"/>
      <c r="D326" s="8"/>
      <c r="E326" s="8"/>
      <c r="F326" s="11"/>
      <c r="G326" s="2"/>
      <c r="H326" s="2"/>
      <c r="I326" s="2"/>
      <c r="J326" s="2"/>
      <c r="K326" s="2"/>
      <c r="L326" s="2"/>
      <c r="M326" s="2"/>
      <c r="N326" s="2"/>
      <c r="O326" s="2"/>
      <c r="P326" s="2"/>
      <c r="Q326" s="2"/>
      <c r="R326" s="2"/>
      <c r="S326" s="2"/>
      <c r="T326" s="2"/>
      <c r="U326" s="2"/>
      <c r="V326" s="2"/>
      <c r="W326" s="2"/>
      <c r="X326" s="2"/>
      <c r="Y326" s="2"/>
      <c r="Z326" s="2"/>
      <c r="AA326" s="2"/>
      <c r="AB326" s="2"/>
    </row>
    <row r="327">
      <c r="A327" s="8"/>
      <c r="B327" s="9"/>
      <c r="C327" s="9"/>
      <c r="D327" s="8"/>
      <c r="E327" s="8"/>
      <c r="F327" s="11"/>
      <c r="G327" s="2"/>
      <c r="H327" s="2"/>
      <c r="I327" s="2"/>
      <c r="J327" s="2"/>
      <c r="K327" s="2"/>
      <c r="L327" s="2"/>
      <c r="M327" s="2"/>
      <c r="N327" s="2"/>
      <c r="O327" s="2"/>
      <c r="P327" s="2"/>
      <c r="Q327" s="2"/>
      <c r="R327" s="2"/>
      <c r="S327" s="2"/>
      <c r="T327" s="2"/>
      <c r="U327" s="2"/>
      <c r="V327" s="2"/>
      <c r="W327" s="2"/>
      <c r="X327" s="2"/>
      <c r="Y327" s="2"/>
      <c r="Z327" s="2"/>
      <c r="AA327" s="2"/>
      <c r="AB327" s="2"/>
    </row>
    <row r="328">
      <c r="A328" s="8"/>
      <c r="B328" s="9"/>
      <c r="C328" s="9"/>
      <c r="D328" s="8"/>
      <c r="E328" s="8"/>
      <c r="F328" s="11"/>
      <c r="G328" s="2"/>
      <c r="H328" s="2"/>
      <c r="I328" s="2"/>
      <c r="J328" s="2"/>
      <c r="K328" s="2"/>
      <c r="L328" s="2"/>
      <c r="M328" s="2"/>
      <c r="N328" s="2"/>
      <c r="O328" s="2"/>
      <c r="P328" s="2"/>
      <c r="Q328" s="2"/>
      <c r="R328" s="2"/>
      <c r="S328" s="2"/>
      <c r="T328" s="2"/>
      <c r="U328" s="2"/>
      <c r="V328" s="2"/>
      <c r="W328" s="2"/>
      <c r="X328" s="2"/>
      <c r="Y328" s="2"/>
      <c r="Z328" s="2"/>
      <c r="AA328" s="2"/>
      <c r="AB328" s="2"/>
    </row>
    <row r="329">
      <c r="A329" s="8"/>
      <c r="B329" s="9"/>
      <c r="C329" s="9"/>
      <c r="D329" s="8"/>
      <c r="E329" s="8"/>
      <c r="F329" s="11"/>
      <c r="G329" s="2"/>
      <c r="H329" s="2"/>
      <c r="I329" s="2"/>
      <c r="J329" s="2"/>
      <c r="K329" s="2"/>
      <c r="L329" s="2"/>
      <c r="M329" s="2"/>
      <c r="N329" s="2"/>
      <c r="O329" s="2"/>
      <c r="P329" s="2"/>
      <c r="Q329" s="2"/>
      <c r="R329" s="2"/>
      <c r="S329" s="2"/>
      <c r="T329" s="2"/>
      <c r="U329" s="2"/>
      <c r="V329" s="2"/>
      <c r="W329" s="2"/>
      <c r="X329" s="2"/>
      <c r="Y329" s="2"/>
      <c r="Z329" s="2"/>
      <c r="AA329" s="2"/>
      <c r="AB329" s="2"/>
    </row>
    <row r="330">
      <c r="A330" s="8"/>
      <c r="B330" s="9"/>
      <c r="C330" s="9"/>
      <c r="D330" s="8"/>
      <c r="E330" s="8"/>
      <c r="F330" s="11"/>
      <c r="G330" s="2"/>
      <c r="H330" s="2"/>
      <c r="I330" s="2"/>
      <c r="J330" s="2"/>
      <c r="K330" s="2"/>
      <c r="L330" s="2"/>
      <c r="M330" s="2"/>
      <c r="N330" s="2"/>
      <c r="O330" s="2"/>
      <c r="P330" s="2"/>
      <c r="Q330" s="2"/>
      <c r="R330" s="2"/>
      <c r="S330" s="2"/>
      <c r="T330" s="2"/>
      <c r="U330" s="2"/>
      <c r="V330" s="2"/>
      <c r="W330" s="2"/>
      <c r="X330" s="2"/>
      <c r="Y330" s="2"/>
      <c r="Z330" s="2"/>
      <c r="AA330" s="2"/>
      <c r="AB330" s="2"/>
    </row>
    <row r="331">
      <c r="A331" s="8"/>
      <c r="B331" s="9"/>
      <c r="C331" s="9"/>
      <c r="D331" s="8"/>
      <c r="E331" s="8"/>
      <c r="F331" s="11"/>
      <c r="G331" s="2"/>
      <c r="H331" s="2"/>
      <c r="I331" s="2"/>
      <c r="J331" s="2"/>
      <c r="K331" s="2"/>
      <c r="L331" s="2"/>
      <c r="M331" s="2"/>
      <c r="N331" s="2"/>
      <c r="O331" s="2"/>
      <c r="P331" s="2"/>
      <c r="Q331" s="2"/>
      <c r="R331" s="2"/>
      <c r="S331" s="2"/>
      <c r="T331" s="2"/>
      <c r="U331" s="2"/>
      <c r="V331" s="2"/>
      <c r="W331" s="2"/>
      <c r="X331" s="2"/>
      <c r="Y331" s="2"/>
      <c r="Z331" s="2"/>
      <c r="AA331" s="2"/>
      <c r="AB331" s="2"/>
    </row>
    <row r="332">
      <c r="A332" s="8"/>
      <c r="B332" s="9"/>
      <c r="C332" s="9"/>
      <c r="D332" s="8"/>
      <c r="E332" s="8"/>
      <c r="F332" s="11"/>
      <c r="G332" s="2"/>
      <c r="H332" s="2"/>
      <c r="I332" s="2"/>
      <c r="J332" s="2"/>
      <c r="K332" s="2"/>
      <c r="L332" s="2"/>
      <c r="M332" s="2"/>
      <c r="N332" s="2"/>
      <c r="O332" s="2"/>
      <c r="P332" s="2"/>
      <c r="Q332" s="2"/>
      <c r="R332" s="2"/>
      <c r="S332" s="2"/>
      <c r="T332" s="2"/>
      <c r="U332" s="2"/>
      <c r="V332" s="2"/>
      <c r="W332" s="2"/>
      <c r="X332" s="2"/>
      <c r="Y332" s="2"/>
      <c r="Z332" s="2"/>
      <c r="AA332" s="2"/>
      <c r="AB332" s="2"/>
    </row>
    <row r="333">
      <c r="A333" s="8"/>
      <c r="B333" s="9"/>
      <c r="C333" s="9"/>
      <c r="D333" s="8"/>
      <c r="E333" s="8"/>
      <c r="F333" s="11"/>
      <c r="G333" s="2"/>
      <c r="H333" s="2"/>
      <c r="I333" s="2"/>
      <c r="J333" s="2"/>
      <c r="K333" s="2"/>
      <c r="L333" s="2"/>
      <c r="M333" s="2"/>
      <c r="N333" s="2"/>
      <c r="O333" s="2"/>
      <c r="P333" s="2"/>
      <c r="Q333" s="2"/>
      <c r="R333" s="2"/>
      <c r="S333" s="2"/>
      <c r="T333" s="2"/>
      <c r="U333" s="2"/>
      <c r="V333" s="2"/>
      <c r="W333" s="2"/>
      <c r="X333" s="2"/>
      <c r="Y333" s="2"/>
      <c r="Z333" s="2"/>
      <c r="AA333" s="2"/>
      <c r="AB333" s="2"/>
    </row>
    <row r="334">
      <c r="A334" s="8"/>
      <c r="B334" s="9"/>
      <c r="C334" s="9"/>
      <c r="D334" s="8"/>
      <c r="E334" s="8"/>
      <c r="F334" s="11"/>
      <c r="G334" s="2"/>
      <c r="H334" s="2"/>
      <c r="I334" s="2"/>
      <c r="J334" s="2"/>
      <c r="K334" s="2"/>
      <c r="L334" s="2"/>
      <c r="M334" s="2"/>
      <c r="N334" s="2"/>
      <c r="O334" s="2"/>
      <c r="P334" s="2"/>
      <c r="Q334" s="2"/>
      <c r="R334" s="2"/>
      <c r="S334" s="2"/>
      <c r="T334" s="2"/>
      <c r="U334" s="2"/>
      <c r="V334" s="2"/>
      <c r="W334" s="2"/>
      <c r="X334" s="2"/>
      <c r="Y334" s="2"/>
      <c r="Z334" s="2"/>
      <c r="AA334" s="2"/>
      <c r="AB334" s="2"/>
    </row>
    <row r="335">
      <c r="A335" s="8"/>
      <c r="B335" s="9"/>
      <c r="C335" s="9"/>
      <c r="D335" s="8"/>
      <c r="E335" s="8"/>
      <c r="F335" s="11"/>
      <c r="G335" s="2"/>
      <c r="H335" s="2"/>
      <c r="I335" s="2"/>
      <c r="J335" s="2"/>
      <c r="K335" s="2"/>
      <c r="L335" s="2"/>
      <c r="M335" s="2"/>
      <c r="N335" s="2"/>
      <c r="O335" s="2"/>
      <c r="P335" s="2"/>
      <c r="Q335" s="2"/>
      <c r="R335" s="2"/>
      <c r="S335" s="2"/>
      <c r="T335" s="2"/>
      <c r="U335" s="2"/>
      <c r="V335" s="2"/>
      <c r="W335" s="2"/>
      <c r="X335" s="2"/>
      <c r="Y335" s="2"/>
      <c r="Z335" s="2"/>
      <c r="AA335" s="2"/>
      <c r="AB335" s="2"/>
    </row>
    <row r="336">
      <c r="A336" s="8"/>
      <c r="B336" s="9"/>
      <c r="C336" s="9"/>
      <c r="D336" s="8"/>
      <c r="E336" s="8"/>
      <c r="F336" s="11"/>
      <c r="G336" s="2"/>
      <c r="H336" s="2"/>
      <c r="I336" s="2"/>
      <c r="J336" s="2"/>
      <c r="K336" s="2"/>
      <c r="L336" s="2"/>
      <c r="M336" s="2"/>
      <c r="N336" s="2"/>
      <c r="O336" s="2"/>
      <c r="P336" s="2"/>
      <c r="Q336" s="2"/>
      <c r="R336" s="2"/>
      <c r="S336" s="2"/>
      <c r="T336" s="2"/>
      <c r="U336" s="2"/>
      <c r="V336" s="2"/>
      <c r="W336" s="2"/>
      <c r="X336" s="2"/>
      <c r="Y336" s="2"/>
      <c r="Z336" s="2"/>
      <c r="AA336" s="2"/>
      <c r="AB336" s="2"/>
    </row>
    <row r="337">
      <c r="A337" s="8"/>
      <c r="B337" s="9"/>
      <c r="C337" s="9"/>
      <c r="D337" s="8"/>
      <c r="E337" s="8"/>
      <c r="F337" s="11"/>
      <c r="G337" s="2"/>
      <c r="H337" s="2"/>
      <c r="I337" s="2"/>
      <c r="J337" s="2"/>
      <c r="K337" s="2"/>
      <c r="L337" s="2"/>
      <c r="M337" s="2"/>
      <c r="N337" s="2"/>
      <c r="O337" s="2"/>
      <c r="P337" s="2"/>
      <c r="Q337" s="2"/>
      <c r="R337" s="2"/>
      <c r="S337" s="2"/>
      <c r="T337" s="2"/>
      <c r="U337" s="2"/>
      <c r="V337" s="2"/>
      <c r="W337" s="2"/>
      <c r="X337" s="2"/>
      <c r="Y337" s="2"/>
      <c r="Z337" s="2"/>
      <c r="AA337" s="2"/>
      <c r="AB337" s="2"/>
    </row>
    <row r="338">
      <c r="A338" s="8"/>
      <c r="B338" s="9"/>
      <c r="C338" s="9"/>
      <c r="D338" s="8"/>
      <c r="E338" s="8"/>
      <c r="F338" s="11"/>
      <c r="G338" s="2"/>
      <c r="H338" s="2"/>
      <c r="I338" s="2"/>
      <c r="J338" s="2"/>
      <c r="K338" s="2"/>
      <c r="L338" s="2"/>
      <c r="M338" s="2"/>
      <c r="N338" s="2"/>
      <c r="O338" s="2"/>
      <c r="P338" s="2"/>
      <c r="Q338" s="2"/>
      <c r="R338" s="2"/>
      <c r="S338" s="2"/>
      <c r="T338" s="2"/>
      <c r="U338" s="2"/>
      <c r="V338" s="2"/>
      <c r="W338" s="2"/>
      <c r="X338" s="2"/>
      <c r="Y338" s="2"/>
      <c r="Z338" s="2"/>
      <c r="AA338" s="2"/>
      <c r="AB338" s="2"/>
    </row>
    <row r="339">
      <c r="A339" s="8"/>
      <c r="B339" s="9"/>
      <c r="C339" s="9"/>
      <c r="D339" s="8"/>
      <c r="E339" s="8"/>
      <c r="F339" s="11"/>
      <c r="G339" s="2"/>
      <c r="H339" s="2"/>
      <c r="I339" s="2"/>
      <c r="J339" s="2"/>
      <c r="K339" s="2"/>
      <c r="L339" s="2"/>
      <c r="M339" s="2"/>
      <c r="N339" s="2"/>
      <c r="O339" s="2"/>
      <c r="P339" s="2"/>
      <c r="Q339" s="2"/>
      <c r="R339" s="2"/>
      <c r="S339" s="2"/>
      <c r="T339" s="2"/>
      <c r="U339" s="2"/>
      <c r="V339" s="2"/>
      <c r="W339" s="2"/>
      <c r="X339" s="2"/>
      <c r="Y339" s="2"/>
      <c r="Z339" s="2"/>
      <c r="AA339" s="2"/>
      <c r="AB339" s="2"/>
    </row>
    <row r="340">
      <c r="A340" s="8"/>
      <c r="B340" s="9"/>
      <c r="C340" s="9"/>
      <c r="D340" s="8"/>
      <c r="E340" s="8"/>
      <c r="F340" s="11"/>
      <c r="G340" s="2"/>
      <c r="H340" s="2"/>
      <c r="I340" s="2"/>
      <c r="J340" s="2"/>
      <c r="K340" s="2"/>
      <c r="L340" s="2"/>
      <c r="M340" s="2"/>
      <c r="N340" s="2"/>
      <c r="O340" s="2"/>
      <c r="P340" s="2"/>
      <c r="Q340" s="2"/>
      <c r="R340" s="2"/>
      <c r="S340" s="2"/>
      <c r="T340" s="2"/>
      <c r="U340" s="2"/>
      <c r="V340" s="2"/>
      <c r="W340" s="2"/>
      <c r="X340" s="2"/>
      <c r="Y340" s="2"/>
      <c r="Z340" s="2"/>
      <c r="AA340" s="2"/>
      <c r="AB340" s="2"/>
    </row>
    <row r="341">
      <c r="A341" s="8"/>
      <c r="B341" s="9"/>
      <c r="C341" s="9"/>
      <c r="D341" s="8"/>
      <c r="E341" s="8"/>
      <c r="F341" s="11"/>
      <c r="G341" s="2"/>
      <c r="H341" s="2"/>
      <c r="I341" s="2"/>
      <c r="J341" s="2"/>
      <c r="K341" s="2"/>
      <c r="L341" s="2"/>
      <c r="M341" s="2"/>
      <c r="N341" s="2"/>
      <c r="O341" s="2"/>
      <c r="P341" s="2"/>
      <c r="Q341" s="2"/>
      <c r="R341" s="2"/>
      <c r="S341" s="2"/>
      <c r="T341" s="2"/>
      <c r="U341" s="2"/>
      <c r="V341" s="2"/>
      <c r="W341" s="2"/>
      <c r="X341" s="2"/>
      <c r="Y341" s="2"/>
      <c r="Z341" s="2"/>
      <c r="AA341" s="2"/>
      <c r="AB341" s="2"/>
    </row>
    <row r="342">
      <c r="A342" s="8"/>
      <c r="B342" s="9"/>
      <c r="C342" s="9"/>
      <c r="D342" s="8"/>
      <c r="E342" s="8"/>
      <c r="F342" s="11"/>
      <c r="G342" s="2"/>
      <c r="H342" s="2"/>
      <c r="I342" s="2"/>
      <c r="J342" s="2"/>
      <c r="K342" s="2"/>
      <c r="L342" s="2"/>
      <c r="M342" s="2"/>
      <c r="N342" s="2"/>
      <c r="O342" s="2"/>
      <c r="P342" s="2"/>
      <c r="Q342" s="2"/>
      <c r="R342" s="2"/>
      <c r="S342" s="2"/>
      <c r="T342" s="2"/>
      <c r="U342" s="2"/>
      <c r="V342" s="2"/>
      <c r="W342" s="2"/>
      <c r="X342" s="2"/>
      <c r="Y342" s="2"/>
      <c r="Z342" s="2"/>
      <c r="AA342" s="2"/>
      <c r="AB342" s="2"/>
    </row>
    <row r="343">
      <c r="A343" s="8"/>
      <c r="B343" s="9"/>
      <c r="C343" s="9"/>
      <c r="D343" s="8"/>
      <c r="E343" s="8"/>
      <c r="F343" s="11"/>
      <c r="G343" s="2"/>
      <c r="H343" s="2"/>
      <c r="I343" s="2"/>
      <c r="J343" s="2"/>
      <c r="K343" s="2"/>
      <c r="L343" s="2"/>
      <c r="M343" s="2"/>
      <c r="N343" s="2"/>
      <c r="O343" s="2"/>
      <c r="P343" s="2"/>
      <c r="Q343" s="2"/>
      <c r="R343" s="2"/>
      <c r="S343" s="2"/>
      <c r="T343" s="2"/>
      <c r="U343" s="2"/>
      <c r="V343" s="2"/>
      <c r="W343" s="2"/>
      <c r="X343" s="2"/>
      <c r="Y343" s="2"/>
      <c r="Z343" s="2"/>
      <c r="AA343" s="2"/>
      <c r="AB343" s="2"/>
    </row>
    <row r="344">
      <c r="A344" s="8"/>
      <c r="B344" s="9"/>
      <c r="C344" s="9"/>
      <c r="D344" s="8"/>
      <c r="E344" s="8"/>
      <c r="F344" s="11"/>
      <c r="G344" s="2"/>
      <c r="H344" s="2"/>
      <c r="I344" s="2"/>
      <c r="J344" s="2"/>
      <c r="K344" s="2"/>
      <c r="L344" s="2"/>
      <c r="M344" s="2"/>
      <c r="N344" s="2"/>
      <c r="O344" s="2"/>
      <c r="P344" s="2"/>
      <c r="Q344" s="2"/>
      <c r="R344" s="2"/>
      <c r="S344" s="2"/>
      <c r="T344" s="2"/>
      <c r="U344" s="2"/>
      <c r="V344" s="2"/>
      <c r="W344" s="2"/>
      <c r="X344" s="2"/>
      <c r="Y344" s="2"/>
      <c r="Z344" s="2"/>
      <c r="AA344" s="2"/>
      <c r="AB344" s="2"/>
    </row>
    <row r="345">
      <c r="A345" s="8"/>
      <c r="B345" s="9"/>
      <c r="C345" s="9"/>
      <c r="D345" s="8"/>
      <c r="E345" s="8"/>
      <c r="F345" s="11"/>
      <c r="G345" s="2"/>
      <c r="H345" s="2"/>
      <c r="I345" s="2"/>
      <c r="J345" s="2"/>
      <c r="K345" s="2"/>
      <c r="L345" s="2"/>
      <c r="M345" s="2"/>
      <c r="N345" s="2"/>
      <c r="O345" s="2"/>
      <c r="P345" s="2"/>
      <c r="Q345" s="2"/>
      <c r="R345" s="2"/>
      <c r="S345" s="2"/>
      <c r="T345" s="2"/>
      <c r="U345" s="2"/>
      <c r="V345" s="2"/>
      <c r="W345" s="2"/>
      <c r="X345" s="2"/>
      <c r="Y345" s="2"/>
      <c r="Z345" s="2"/>
      <c r="AA345" s="2"/>
      <c r="AB345" s="2"/>
    </row>
    <row r="346">
      <c r="A346" s="8"/>
      <c r="B346" s="9"/>
      <c r="C346" s="9"/>
      <c r="D346" s="8"/>
      <c r="E346" s="8"/>
      <c r="F346" s="11"/>
      <c r="G346" s="2"/>
      <c r="H346" s="2"/>
      <c r="I346" s="2"/>
      <c r="J346" s="2"/>
      <c r="K346" s="2"/>
      <c r="L346" s="2"/>
      <c r="M346" s="2"/>
      <c r="N346" s="2"/>
      <c r="O346" s="2"/>
      <c r="P346" s="2"/>
      <c r="Q346" s="2"/>
      <c r="R346" s="2"/>
      <c r="S346" s="2"/>
      <c r="T346" s="2"/>
      <c r="U346" s="2"/>
      <c r="V346" s="2"/>
      <c r="W346" s="2"/>
      <c r="X346" s="2"/>
      <c r="Y346" s="2"/>
      <c r="Z346" s="2"/>
      <c r="AA346" s="2"/>
      <c r="AB346" s="2"/>
    </row>
    <row r="347">
      <c r="A347" s="8"/>
      <c r="B347" s="9"/>
      <c r="C347" s="9"/>
      <c r="D347" s="8"/>
      <c r="E347" s="8"/>
      <c r="F347" s="11"/>
      <c r="G347" s="2"/>
      <c r="H347" s="2"/>
      <c r="I347" s="2"/>
      <c r="J347" s="2"/>
      <c r="K347" s="2"/>
      <c r="L347" s="2"/>
      <c r="M347" s="2"/>
      <c r="N347" s="2"/>
      <c r="O347" s="2"/>
      <c r="P347" s="2"/>
      <c r="Q347" s="2"/>
      <c r="R347" s="2"/>
      <c r="S347" s="2"/>
      <c r="T347" s="2"/>
      <c r="U347" s="2"/>
      <c r="V347" s="2"/>
      <c r="W347" s="2"/>
      <c r="X347" s="2"/>
      <c r="Y347" s="2"/>
      <c r="Z347" s="2"/>
      <c r="AA347" s="2"/>
      <c r="AB347" s="2"/>
    </row>
    <row r="348">
      <c r="A348" s="8"/>
      <c r="B348" s="9"/>
      <c r="C348" s="9"/>
      <c r="D348" s="8"/>
      <c r="E348" s="8"/>
      <c r="F348" s="11"/>
      <c r="G348" s="2"/>
      <c r="H348" s="2"/>
      <c r="I348" s="2"/>
      <c r="J348" s="2"/>
      <c r="K348" s="2"/>
      <c r="L348" s="2"/>
      <c r="M348" s="2"/>
      <c r="N348" s="2"/>
      <c r="O348" s="2"/>
      <c r="P348" s="2"/>
      <c r="Q348" s="2"/>
      <c r="R348" s="2"/>
      <c r="S348" s="2"/>
      <c r="T348" s="2"/>
      <c r="U348" s="2"/>
      <c r="V348" s="2"/>
      <c r="W348" s="2"/>
      <c r="X348" s="2"/>
      <c r="Y348" s="2"/>
      <c r="Z348" s="2"/>
      <c r="AA348" s="2"/>
      <c r="AB348" s="2"/>
    </row>
    <row r="349">
      <c r="A349" s="8"/>
      <c r="B349" s="9"/>
      <c r="C349" s="9"/>
      <c r="D349" s="8"/>
      <c r="E349" s="8"/>
      <c r="F349" s="11"/>
      <c r="G349" s="2"/>
      <c r="H349" s="2"/>
      <c r="I349" s="2"/>
      <c r="J349" s="2"/>
      <c r="K349" s="2"/>
      <c r="L349" s="2"/>
      <c r="M349" s="2"/>
      <c r="N349" s="2"/>
      <c r="O349" s="2"/>
      <c r="P349" s="2"/>
      <c r="Q349" s="2"/>
      <c r="R349" s="2"/>
      <c r="S349" s="2"/>
      <c r="T349" s="2"/>
      <c r="U349" s="2"/>
      <c r="V349" s="2"/>
      <c r="W349" s="2"/>
      <c r="X349" s="2"/>
      <c r="Y349" s="2"/>
      <c r="Z349" s="2"/>
      <c r="AA349" s="2"/>
      <c r="AB349" s="2"/>
    </row>
    <row r="350">
      <c r="A350" s="8"/>
      <c r="B350" s="9"/>
      <c r="C350" s="9"/>
      <c r="D350" s="8"/>
      <c r="E350" s="8"/>
      <c r="F350" s="11"/>
      <c r="G350" s="2"/>
      <c r="H350" s="2"/>
      <c r="I350" s="2"/>
      <c r="J350" s="2"/>
      <c r="K350" s="2"/>
      <c r="L350" s="2"/>
      <c r="M350" s="2"/>
      <c r="N350" s="2"/>
      <c r="O350" s="2"/>
      <c r="P350" s="2"/>
      <c r="Q350" s="2"/>
      <c r="R350" s="2"/>
      <c r="S350" s="2"/>
      <c r="T350" s="2"/>
      <c r="U350" s="2"/>
      <c r="V350" s="2"/>
      <c r="W350" s="2"/>
      <c r="X350" s="2"/>
      <c r="Y350" s="2"/>
      <c r="Z350" s="2"/>
      <c r="AA350" s="2"/>
      <c r="AB350" s="2"/>
    </row>
    <row r="351">
      <c r="A351" s="8"/>
      <c r="B351" s="9"/>
      <c r="C351" s="9"/>
      <c r="D351" s="8"/>
      <c r="E351" s="8"/>
      <c r="F351" s="11"/>
      <c r="G351" s="2"/>
      <c r="H351" s="2"/>
      <c r="I351" s="2"/>
      <c r="J351" s="2"/>
      <c r="K351" s="2"/>
      <c r="L351" s="2"/>
      <c r="M351" s="2"/>
      <c r="N351" s="2"/>
      <c r="O351" s="2"/>
      <c r="P351" s="2"/>
      <c r="Q351" s="2"/>
      <c r="R351" s="2"/>
      <c r="S351" s="2"/>
      <c r="T351" s="2"/>
      <c r="U351" s="2"/>
      <c r="V351" s="2"/>
      <c r="W351" s="2"/>
      <c r="X351" s="2"/>
      <c r="Y351" s="2"/>
      <c r="Z351" s="2"/>
      <c r="AA351" s="2"/>
      <c r="AB351" s="2"/>
    </row>
    <row r="352">
      <c r="A352" s="8"/>
      <c r="B352" s="9"/>
      <c r="C352" s="9"/>
      <c r="D352" s="8"/>
      <c r="E352" s="8"/>
      <c r="F352" s="11"/>
      <c r="G352" s="2"/>
      <c r="H352" s="2"/>
      <c r="I352" s="2"/>
      <c r="J352" s="2"/>
      <c r="K352" s="2"/>
      <c r="L352" s="2"/>
      <c r="M352" s="2"/>
      <c r="N352" s="2"/>
      <c r="O352" s="2"/>
      <c r="P352" s="2"/>
      <c r="Q352" s="2"/>
      <c r="R352" s="2"/>
      <c r="S352" s="2"/>
      <c r="T352" s="2"/>
      <c r="U352" s="2"/>
      <c r="V352" s="2"/>
      <c r="W352" s="2"/>
      <c r="X352" s="2"/>
      <c r="Y352" s="2"/>
      <c r="Z352" s="2"/>
      <c r="AA352" s="2"/>
      <c r="AB352" s="2"/>
    </row>
    <row r="353">
      <c r="A353" s="8"/>
      <c r="B353" s="9"/>
      <c r="C353" s="9"/>
      <c r="D353" s="8"/>
      <c r="E353" s="8"/>
      <c r="F353" s="11"/>
      <c r="G353" s="2"/>
      <c r="H353" s="2"/>
      <c r="I353" s="2"/>
      <c r="J353" s="2"/>
      <c r="K353" s="2"/>
      <c r="L353" s="2"/>
      <c r="M353" s="2"/>
      <c r="N353" s="2"/>
      <c r="O353" s="2"/>
      <c r="P353" s="2"/>
      <c r="Q353" s="2"/>
      <c r="R353" s="2"/>
      <c r="S353" s="2"/>
      <c r="T353" s="2"/>
      <c r="U353" s="2"/>
      <c r="V353" s="2"/>
      <c r="W353" s="2"/>
      <c r="X353" s="2"/>
      <c r="Y353" s="2"/>
      <c r="Z353" s="2"/>
      <c r="AA353" s="2"/>
      <c r="AB353" s="2"/>
    </row>
    <row r="354">
      <c r="A354" s="8"/>
      <c r="B354" s="9"/>
      <c r="C354" s="9"/>
      <c r="D354" s="8"/>
      <c r="E354" s="8"/>
      <c r="F354" s="11"/>
      <c r="G354" s="2"/>
      <c r="H354" s="2"/>
      <c r="I354" s="2"/>
      <c r="J354" s="2"/>
      <c r="K354" s="2"/>
      <c r="L354" s="2"/>
      <c r="M354" s="2"/>
      <c r="N354" s="2"/>
      <c r="O354" s="2"/>
      <c r="P354" s="2"/>
      <c r="Q354" s="2"/>
      <c r="R354" s="2"/>
      <c r="S354" s="2"/>
      <c r="T354" s="2"/>
      <c r="U354" s="2"/>
      <c r="V354" s="2"/>
      <c r="W354" s="2"/>
      <c r="X354" s="2"/>
      <c r="Y354" s="2"/>
      <c r="Z354" s="2"/>
      <c r="AA354" s="2"/>
      <c r="AB354" s="2"/>
    </row>
    <row r="355">
      <c r="A355" s="8"/>
      <c r="B355" s="9"/>
      <c r="C355" s="9"/>
      <c r="D355" s="8"/>
      <c r="E355" s="8"/>
      <c r="F355" s="11"/>
      <c r="G355" s="2"/>
      <c r="H355" s="2"/>
      <c r="I355" s="2"/>
      <c r="J355" s="2"/>
      <c r="K355" s="2"/>
      <c r="L355" s="2"/>
      <c r="M355" s="2"/>
      <c r="N355" s="2"/>
      <c r="O355" s="2"/>
      <c r="P355" s="2"/>
      <c r="Q355" s="2"/>
      <c r="R355" s="2"/>
      <c r="S355" s="2"/>
      <c r="T355" s="2"/>
      <c r="U355" s="2"/>
      <c r="V355" s="2"/>
      <c r="W355" s="2"/>
      <c r="X355" s="2"/>
      <c r="Y355" s="2"/>
      <c r="Z355" s="2"/>
      <c r="AA355" s="2"/>
      <c r="AB355" s="2"/>
    </row>
    <row r="356">
      <c r="A356" s="8"/>
      <c r="B356" s="9"/>
      <c r="C356" s="9"/>
      <c r="D356" s="8"/>
      <c r="E356" s="8"/>
      <c r="F356" s="11"/>
      <c r="G356" s="2"/>
      <c r="H356" s="2"/>
      <c r="I356" s="2"/>
      <c r="J356" s="2"/>
      <c r="K356" s="2"/>
      <c r="L356" s="2"/>
      <c r="M356" s="2"/>
      <c r="N356" s="2"/>
      <c r="O356" s="2"/>
      <c r="P356" s="2"/>
      <c r="Q356" s="2"/>
      <c r="R356" s="2"/>
      <c r="S356" s="2"/>
      <c r="T356" s="2"/>
      <c r="U356" s="2"/>
      <c r="V356" s="2"/>
      <c r="W356" s="2"/>
      <c r="X356" s="2"/>
      <c r="Y356" s="2"/>
      <c r="Z356" s="2"/>
      <c r="AA356" s="2"/>
      <c r="AB356" s="2"/>
    </row>
    <row r="357">
      <c r="A357" s="8"/>
      <c r="B357" s="9"/>
      <c r="C357" s="9"/>
      <c r="D357" s="8"/>
      <c r="E357" s="8"/>
      <c r="F357" s="11"/>
      <c r="G357" s="2"/>
      <c r="H357" s="2"/>
      <c r="I357" s="2"/>
      <c r="J357" s="2"/>
      <c r="K357" s="2"/>
      <c r="L357" s="2"/>
      <c r="M357" s="2"/>
      <c r="N357" s="2"/>
      <c r="O357" s="2"/>
      <c r="P357" s="2"/>
      <c r="Q357" s="2"/>
      <c r="R357" s="2"/>
      <c r="S357" s="2"/>
      <c r="T357" s="2"/>
      <c r="U357" s="2"/>
      <c r="V357" s="2"/>
      <c r="W357" s="2"/>
      <c r="X357" s="2"/>
      <c r="Y357" s="2"/>
      <c r="Z357" s="2"/>
      <c r="AA357" s="2"/>
      <c r="AB357" s="2"/>
    </row>
    <row r="358">
      <c r="A358" s="8"/>
      <c r="B358" s="9"/>
      <c r="C358" s="9"/>
      <c r="D358" s="8"/>
      <c r="E358" s="8"/>
      <c r="F358" s="11"/>
      <c r="G358" s="2"/>
      <c r="H358" s="2"/>
      <c r="I358" s="2"/>
      <c r="J358" s="2"/>
      <c r="K358" s="2"/>
      <c r="L358" s="2"/>
      <c r="M358" s="2"/>
      <c r="N358" s="2"/>
      <c r="O358" s="2"/>
      <c r="P358" s="2"/>
      <c r="Q358" s="2"/>
      <c r="R358" s="2"/>
      <c r="S358" s="2"/>
      <c r="T358" s="2"/>
      <c r="U358" s="2"/>
      <c r="V358" s="2"/>
      <c r="W358" s="2"/>
      <c r="X358" s="2"/>
      <c r="Y358" s="2"/>
      <c r="Z358" s="2"/>
      <c r="AA358" s="2"/>
      <c r="AB358" s="2"/>
    </row>
    <row r="359">
      <c r="A359" s="8"/>
      <c r="B359" s="9"/>
      <c r="C359" s="9"/>
      <c r="D359" s="8"/>
      <c r="E359" s="8"/>
      <c r="F359" s="11"/>
      <c r="G359" s="2"/>
      <c r="H359" s="2"/>
      <c r="I359" s="2"/>
      <c r="J359" s="2"/>
      <c r="K359" s="2"/>
      <c r="L359" s="2"/>
      <c r="M359" s="2"/>
      <c r="N359" s="2"/>
      <c r="O359" s="2"/>
      <c r="P359" s="2"/>
      <c r="Q359" s="2"/>
      <c r="R359" s="2"/>
      <c r="S359" s="2"/>
      <c r="T359" s="2"/>
      <c r="U359" s="2"/>
      <c r="V359" s="2"/>
      <c r="W359" s="2"/>
      <c r="X359" s="2"/>
      <c r="Y359" s="2"/>
      <c r="Z359" s="2"/>
      <c r="AA359" s="2"/>
      <c r="AB359" s="2"/>
    </row>
    <row r="360">
      <c r="A360" s="8"/>
      <c r="B360" s="9"/>
      <c r="C360" s="9"/>
      <c r="D360" s="8"/>
      <c r="E360" s="8"/>
      <c r="F360" s="11"/>
      <c r="G360" s="2"/>
      <c r="H360" s="2"/>
      <c r="I360" s="2"/>
      <c r="J360" s="2"/>
      <c r="K360" s="2"/>
      <c r="L360" s="2"/>
      <c r="M360" s="2"/>
      <c r="N360" s="2"/>
      <c r="O360" s="2"/>
      <c r="P360" s="2"/>
      <c r="Q360" s="2"/>
      <c r="R360" s="2"/>
      <c r="S360" s="2"/>
      <c r="T360" s="2"/>
      <c r="U360" s="2"/>
      <c r="V360" s="2"/>
      <c r="W360" s="2"/>
      <c r="X360" s="2"/>
      <c r="Y360" s="2"/>
      <c r="Z360" s="2"/>
      <c r="AA360" s="2"/>
      <c r="AB360" s="2"/>
    </row>
    <row r="361">
      <c r="A361" s="8"/>
      <c r="B361" s="9"/>
      <c r="C361" s="9"/>
      <c r="D361" s="8"/>
      <c r="E361" s="8"/>
      <c r="F361" s="11"/>
      <c r="G361" s="2"/>
      <c r="H361" s="2"/>
      <c r="I361" s="2"/>
      <c r="J361" s="2"/>
      <c r="K361" s="2"/>
      <c r="L361" s="2"/>
      <c r="M361" s="2"/>
      <c r="N361" s="2"/>
      <c r="O361" s="2"/>
      <c r="P361" s="2"/>
      <c r="Q361" s="2"/>
      <c r="R361" s="2"/>
      <c r="S361" s="2"/>
      <c r="T361" s="2"/>
      <c r="U361" s="2"/>
      <c r="V361" s="2"/>
      <c r="W361" s="2"/>
      <c r="X361" s="2"/>
      <c r="Y361" s="2"/>
      <c r="Z361" s="2"/>
      <c r="AA361" s="2"/>
      <c r="AB361" s="2"/>
    </row>
    <row r="362">
      <c r="A362" s="8"/>
      <c r="B362" s="9"/>
      <c r="C362" s="9"/>
      <c r="D362" s="8"/>
      <c r="E362" s="8"/>
      <c r="F362" s="11"/>
      <c r="G362" s="2"/>
      <c r="H362" s="2"/>
      <c r="I362" s="2"/>
      <c r="J362" s="2"/>
      <c r="K362" s="2"/>
      <c r="L362" s="2"/>
      <c r="M362" s="2"/>
      <c r="N362" s="2"/>
      <c r="O362" s="2"/>
      <c r="P362" s="2"/>
      <c r="Q362" s="2"/>
      <c r="R362" s="2"/>
      <c r="S362" s="2"/>
      <c r="T362" s="2"/>
      <c r="U362" s="2"/>
      <c r="V362" s="2"/>
      <c r="W362" s="2"/>
      <c r="X362" s="2"/>
      <c r="Y362" s="2"/>
      <c r="Z362" s="2"/>
      <c r="AA362" s="2"/>
      <c r="AB362" s="2"/>
    </row>
    <row r="363">
      <c r="A363" s="8"/>
      <c r="B363" s="9"/>
      <c r="C363" s="9"/>
      <c r="D363" s="8"/>
      <c r="E363" s="8"/>
      <c r="F363" s="11"/>
      <c r="G363" s="2"/>
      <c r="H363" s="2"/>
      <c r="I363" s="2"/>
      <c r="J363" s="2"/>
      <c r="K363" s="2"/>
      <c r="L363" s="2"/>
      <c r="M363" s="2"/>
      <c r="N363" s="2"/>
      <c r="O363" s="2"/>
      <c r="P363" s="2"/>
      <c r="Q363" s="2"/>
      <c r="R363" s="2"/>
      <c r="S363" s="2"/>
      <c r="T363" s="2"/>
      <c r="U363" s="2"/>
      <c r="V363" s="2"/>
      <c r="W363" s="2"/>
      <c r="X363" s="2"/>
      <c r="Y363" s="2"/>
      <c r="Z363" s="2"/>
      <c r="AA363" s="2"/>
      <c r="AB363" s="2"/>
    </row>
    <row r="364">
      <c r="A364" s="8"/>
      <c r="B364" s="9"/>
      <c r="C364" s="9"/>
      <c r="D364" s="8"/>
      <c r="E364" s="8"/>
      <c r="F364" s="11"/>
      <c r="G364" s="2"/>
      <c r="H364" s="2"/>
      <c r="I364" s="2"/>
      <c r="J364" s="2"/>
      <c r="K364" s="2"/>
      <c r="L364" s="2"/>
      <c r="M364" s="2"/>
      <c r="N364" s="2"/>
      <c r="O364" s="2"/>
      <c r="P364" s="2"/>
      <c r="Q364" s="2"/>
      <c r="R364" s="2"/>
      <c r="S364" s="2"/>
      <c r="T364" s="2"/>
      <c r="U364" s="2"/>
      <c r="V364" s="2"/>
      <c r="W364" s="2"/>
      <c r="X364" s="2"/>
      <c r="Y364" s="2"/>
      <c r="Z364" s="2"/>
      <c r="AA364" s="2"/>
      <c r="AB364" s="2"/>
    </row>
    <row r="365">
      <c r="A365" s="8"/>
      <c r="B365" s="9"/>
      <c r="C365" s="9"/>
      <c r="D365" s="8"/>
      <c r="E365" s="8"/>
      <c r="F365" s="11"/>
      <c r="G365" s="2"/>
      <c r="H365" s="2"/>
      <c r="I365" s="2"/>
      <c r="J365" s="2"/>
      <c r="K365" s="2"/>
      <c r="L365" s="2"/>
      <c r="M365" s="2"/>
      <c r="N365" s="2"/>
      <c r="O365" s="2"/>
      <c r="P365" s="2"/>
      <c r="Q365" s="2"/>
      <c r="R365" s="2"/>
      <c r="S365" s="2"/>
      <c r="T365" s="2"/>
      <c r="U365" s="2"/>
      <c r="V365" s="2"/>
      <c r="W365" s="2"/>
      <c r="X365" s="2"/>
      <c r="Y365" s="2"/>
      <c r="Z365" s="2"/>
      <c r="AA365" s="2"/>
      <c r="AB365" s="2"/>
    </row>
    <row r="366">
      <c r="A366" s="8"/>
      <c r="B366" s="9"/>
      <c r="C366" s="9"/>
      <c r="D366" s="8"/>
      <c r="E366" s="8"/>
      <c r="F366" s="11"/>
      <c r="G366" s="2"/>
      <c r="H366" s="2"/>
      <c r="I366" s="2"/>
      <c r="J366" s="2"/>
      <c r="K366" s="2"/>
      <c r="L366" s="2"/>
      <c r="M366" s="2"/>
      <c r="N366" s="2"/>
      <c r="O366" s="2"/>
      <c r="P366" s="2"/>
      <c r="Q366" s="2"/>
      <c r="R366" s="2"/>
      <c r="S366" s="2"/>
      <c r="T366" s="2"/>
      <c r="U366" s="2"/>
      <c r="V366" s="2"/>
      <c r="W366" s="2"/>
      <c r="X366" s="2"/>
      <c r="Y366" s="2"/>
      <c r="Z366" s="2"/>
      <c r="AA366" s="2"/>
      <c r="AB366" s="2"/>
    </row>
    <row r="367">
      <c r="A367" s="8"/>
      <c r="B367" s="9"/>
      <c r="C367" s="9"/>
      <c r="D367" s="8"/>
      <c r="E367" s="8"/>
      <c r="F367" s="11"/>
      <c r="G367" s="2"/>
      <c r="H367" s="2"/>
      <c r="I367" s="2"/>
      <c r="J367" s="2"/>
      <c r="K367" s="2"/>
      <c r="L367" s="2"/>
      <c r="M367" s="2"/>
      <c r="N367" s="2"/>
      <c r="O367" s="2"/>
      <c r="P367" s="2"/>
      <c r="Q367" s="2"/>
      <c r="R367" s="2"/>
      <c r="S367" s="2"/>
      <c r="T367" s="2"/>
      <c r="U367" s="2"/>
      <c r="V367" s="2"/>
      <c r="W367" s="2"/>
      <c r="X367" s="2"/>
      <c r="Y367" s="2"/>
      <c r="Z367" s="2"/>
      <c r="AA367" s="2"/>
      <c r="AB367" s="2"/>
    </row>
    <row r="368">
      <c r="A368" s="8"/>
      <c r="B368" s="9"/>
      <c r="C368" s="9"/>
      <c r="D368" s="8"/>
      <c r="E368" s="8"/>
      <c r="F368" s="11"/>
      <c r="G368" s="2"/>
      <c r="H368" s="2"/>
      <c r="I368" s="2"/>
      <c r="J368" s="2"/>
      <c r="K368" s="2"/>
      <c r="L368" s="2"/>
      <c r="M368" s="2"/>
      <c r="N368" s="2"/>
      <c r="O368" s="2"/>
      <c r="P368" s="2"/>
      <c r="Q368" s="2"/>
      <c r="R368" s="2"/>
      <c r="S368" s="2"/>
      <c r="T368" s="2"/>
      <c r="U368" s="2"/>
      <c r="V368" s="2"/>
      <c r="W368" s="2"/>
      <c r="X368" s="2"/>
      <c r="Y368" s="2"/>
      <c r="Z368" s="2"/>
      <c r="AA368" s="2"/>
      <c r="AB368" s="2"/>
    </row>
    <row r="369">
      <c r="A369" s="8"/>
      <c r="B369" s="9"/>
      <c r="C369" s="9"/>
      <c r="D369" s="8"/>
      <c r="E369" s="8"/>
      <c r="F369" s="11"/>
      <c r="G369" s="2"/>
      <c r="H369" s="2"/>
      <c r="I369" s="2"/>
      <c r="J369" s="2"/>
      <c r="K369" s="2"/>
      <c r="L369" s="2"/>
      <c r="M369" s="2"/>
      <c r="N369" s="2"/>
      <c r="O369" s="2"/>
      <c r="P369" s="2"/>
      <c r="Q369" s="2"/>
      <c r="R369" s="2"/>
      <c r="S369" s="2"/>
      <c r="T369" s="2"/>
      <c r="U369" s="2"/>
      <c r="V369" s="2"/>
      <c r="W369" s="2"/>
      <c r="X369" s="2"/>
      <c r="Y369" s="2"/>
      <c r="Z369" s="2"/>
      <c r="AA369" s="2"/>
      <c r="AB369" s="2"/>
    </row>
    <row r="370">
      <c r="A370" s="8"/>
      <c r="B370" s="9"/>
      <c r="C370" s="9"/>
      <c r="D370" s="8"/>
      <c r="E370" s="8"/>
      <c r="F370" s="11"/>
      <c r="G370" s="2"/>
      <c r="H370" s="2"/>
      <c r="I370" s="2"/>
      <c r="J370" s="2"/>
      <c r="K370" s="2"/>
      <c r="L370" s="2"/>
      <c r="M370" s="2"/>
      <c r="N370" s="2"/>
      <c r="O370" s="2"/>
      <c r="P370" s="2"/>
      <c r="Q370" s="2"/>
      <c r="R370" s="2"/>
      <c r="S370" s="2"/>
      <c r="T370" s="2"/>
      <c r="U370" s="2"/>
      <c r="V370" s="2"/>
      <c r="W370" s="2"/>
      <c r="X370" s="2"/>
      <c r="Y370" s="2"/>
      <c r="Z370" s="2"/>
      <c r="AA370" s="2"/>
      <c r="AB370" s="2"/>
    </row>
    <row r="371">
      <c r="A371" s="8"/>
      <c r="B371" s="9"/>
      <c r="C371" s="9"/>
      <c r="D371" s="8"/>
      <c r="E371" s="8"/>
      <c r="F371" s="11"/>
      <c r="G371" s="2"/>
      <c r="H371" s="2"/>
      <c r="I371" s="2"/>
      <c r="J371" s="2"/>
      <c r="K371" s="2"/>
      <c r="L371" s="2"/>
      <c r="M371" s="2"/>
      <c r="N371" s="2"/>
      <c r="O371" s="2"/>
      <c r="P371" s="2"/>
      <c r="Q371" s="2"/>
      <c r="R371" s="2"/>
      <c r="S371" s="2"/>
      <c r="T371" s="2"/>
      <c r="U371" s="2"/>
      <c r="V371" s="2"/>
      <c r="W371" s="2"/>
      <c r="X371" s="2"/>
      <c r="Y371" s="2"/>
      <c r="Z371" s="2"/>
      <c r="AA371" s="2"/>
      <c r="AB371" s="2"/>
    </row>
    <row r="372">
      <c r="A372" s="8"/>
      <c r="B372" s="9"/>
      <c r="C372" s="9"/>
      <c r="D372" s="8"/>
      <c r="E372" s="8"/>
      <c r="F372" s="11"/>
      <c r="G372" s="2"/>
      <c r="H372" s="2"/>
      <c r="I372" s="2"/>
      <c r="J372" s="2"/>
      <c r="K372" s="2"/>
      <c r="L372" s="2"/>
      <c r="M372" s="2"/>
      <c r="N372" s="2"/>
      <c r="O372" s="2"/>
      <c r="P372" s="2"/>
      <c r="Q372" s="2"/>
      <c r="R372" s="2"/>
      <c r="S372" s="2"/>
      <c r="T372" s="2"/>
      <c r="U372" s="2"/>
      <c r="V372" s="2"/>
      <c r="W372" s="2"/>
      <c r="X372" s="2"/>
      <c r="Y372" s="2"/>
      <c r="Z372" s="2"/>
      <c r="AA372" s="2"/>
      <c r="AB372" s="2"/>
    </row>
    <row r="373">
      <c r="A373" s="8"/>
      <c r="B373" s="9"/>
      <c r="C373" s="9"/>
      <c r="D373" s="8"/>
      <c r="E373" s="8"/>
      <c r="F373" s="11"/>
      <c r="G373" s="2"/>
      <c r="H373" s="2"/>
      <c r="I373" s="2"/>
      <c r="J373" s="2"/>
      <c r="K373" s="2"/>
      <c r="L373" s="2"/>
      <c r="M373" s="2"/>
      <c r="N373" s="2"/>
      <c r="O373" s="2"/>
      <c r="P373" s="2"/>
      <c r="Q373" s="2"/>
      <c r="R373" s="2"/>
      <c r="S373" s="2"/>
      <c r="T373" s="2"/>
      <c r="U373" s="2"/>
      <c r="V373" s="2"/>
      <c r="W373" s="2"/>
      <c r="X373" s="2"/>
      <c r="Y373" s="2"/>
      <c r="Z373" s="2"/>
      <c r="AA373" s="2"/>
      <c r="AB373" s="2"/>
    </row>
    <row r="374">
      <c r="A374" s="8"/>
      <c r="B374" s="9"/>
      <c r="C374" s="9"/>
      <c r="D374" s="8"/>
      <c r="E374" s="8"/>
      <c r="F374" s="11"/>
      <c r="G374" s="2"/>
      <c r="H374" s="2"/>
      <c r="I374" s="2"/>
      <c r="J374" s="2"/>
      <c r="K374" s="2"/>
      <c r="L374" s="2"/>
      <c r="M374" s="2"/>
      <c r="N374" s="2"/>
      <c r="O374" s="2"/>
      <c r="P374" s="2"/>
      <c r="Q374" s="2"/>
      <c r="R374" s="2"/>
      <c r="S374" s="2"/>
      <c r="T374" s="2"/>
      <c r="U374" s="2"/>
      <c r="V374" s="2"/>
      <c r="W374" s="2"/>
      <c r="X374" s="2"/>
      <c r="Y374" s="2"/>
      <c r="Z374" s="2"/>
      <c r="AA374" s="2"/>
      <c r="AB374" s="2"/>
    </row>
    <row r="375">
      <c r="A375" s="8"/>
      <c r="B375" s="9"/>
      <c r="C375" s="9"/>
      <c r="D375" s="8"/>
      <c r="E375" s="8"/>
      <c r="F375" s="11"/>
      <c r="G375" s="2"/>
      <c r="H375" s="2"/>
      <c r="I375" s="2"/>
      <c r="J375" s="2"/>
      <c r="K375" s="2"/>
      <c r="L375" s="2"/>
      <c r="M375" s="2"/>
      <c r="N375" s="2"/>
      <c r="O375" s="2"/>
      <c r="P375" s="2"/>
      <c r="Q375" s="2"/>
      <c r="R375" s="2"/>
      <c r="S375" s="2"/>
      <c r="T375" s="2"/>
      <c r="U375" s="2"/>
      <c r="V375" s="2"/>
      <c r="W375" s="2"/>
      <c r="X375" s="2"/>
      <c r="Y375" s="2"/>
      <c r="Z375" s="2"/>
      <c r="AA375" s="2"/>
      <c r="AB375" s="2"/>
    </row>
    <row r="376">
      <c r="A376" s="8"/>
      <c r="B376" s="9"/>
      <c r="C376" s="9"/>
      <c r="D376" s="8"/>
      <c r="E376" s="8"/>
      <c r="F376" s="11"/>
      <c r="G376" s="2"/>
      <c r="H376" s="2"/>
      <c r="I376" s="2"/>
      <c r="J376" s="2"/>
      <c r="K376" s="2"/>
      <c r="L376" s="2"/>
      <c r="M376" s="2"/>
      <c r="N376" s="2"/>
      <c r="O376" s="2"/>
      <c r="P376" s="2"/>
      <c r="Q376" s="2"/>
      <c r="R376" s="2"/>
      <c r="S376" s="2"/>
      <c r="T376" s="2"/>
      <c r="U376" s="2"/>
      <c r="V376" s="2"/>
      <c r="W376" s="2"/>
      <c r="X376" s="2"/>
      <c r="Y376" s="2"/>
      <c r="Z376" s="2"/>
      <c r="AA376" s="2"/>
      <c r="AB376" s="2"/>
    </row>
    <row r="377">
      <c r="A377" s="8"/>
      <c r="B377" s="9"/>
      <c r="C377" s="9"/>
      <c r="D377" s="8"/>
      <c r="E377" s="8"/>
      <c r="F377" s="11"/>
      <c r="G377" s="2"/>
      <c r="H377" s="2"/>
      <c r="I377" s="2"/>
      <c r="J377" s="2"/>
      <c r="K377" s="2"/>
      <c r="L377" s="2"/>
      <c r="M377" s="2"/>
      <c r="N377" s="2"/>
      <c r="O377" s="2"/>
      <c r="P377" s="2"/>
      <c r="Q377" s="2"/>
      <c r="R377" s="2"/>
      <c r="S377" s="2"/>
      <c r="T377" s="2"/>
      <c r="U377" s="2"/>
      <c r="V377" s="2"/>
      <c r="W377" s="2"/>
      <c r="X377" s="2"/>
      <c r="Y377" s="2"/>
      <c r="Z377" s="2"/>
      <c r="AA377" s="2"/>
      <c r="AB377" s="2"/>
    </row>
    <row r="378">
      <c r="A378" s="8"/>
      <c r="B378" s="9"/>
      <c r="C378" s="9"/>
      <c r="D378" s="8"/>
      <c r="E378" s="8"/>
      <c r="F378" s="11"/>
      <c r="G378" s="2"/>
      <c r="H378" s="2"/>
      <c r="I378" s="2"/>
      <c r="J378" s="2"/>
      <c r="K378" s="2"/>
      <c r="L378" s="2"/>
      <c r="M378" s="2"/>
      <c r="N378" s="2"/>
      <c r="O378" s="2"/>
      <c r="P378" s="2"/>
      <c r="Q378" s="2"/>
      <c r="R378" s="2"/>
      <c r="S378" s="2"/>
      <c r="T378" s="2"/>
      <c r="U378" s="2"/>
      <c r="V378" s="2"/>
      <c r="W378" s="2"/>
      <c r="X378" s="2"/>
      <c r="Y378" s="2"/>
      <c r="Z378" s="2"/>
      <c r="AA378" s="2"/>
      <c r="AB378" s="2"/>
    </row>
    <row r="379">
      <c r="A379" s="8"/>
      <c r="B379" s="9"/>
      <c r="C379" s="9"/>
      <c r="D379" s="8"/>
      <c r="E379" s="8"/>
      <c r="F379" s="11"/>
      <c r="G379" s="2"/>
      <c r="H379" s="2"/>
      <c r="I379" s="2"/>
      <c r="J379" s="2"/>
      <c r="K379" s="2"/>
      <c r="L379" s="2"/>
      <c r="M379" s="2"/>
      <c r="N379" s="2"/>
      <c r="O379" s="2"/>
      <c r="P379" s="2"/>
      <c r="Q379" s="2"/>
      <c r="R379" s="2"/>
      <c r="S379" s="2"/>
      <c r="T379" s="2"/>
      <c r="U379" s="2"/>
      <c r="V379" s="2"/>
      <c r="W379" s="2"/>
      <c r="X379" s="2"/>
      <c r="Y379" s="2"/>
      <c r="Z379" s="2"/>
      <c r="AA379" s="2"/>
      <c r="AB379" s="2"/>
    </row>
    <row r="380">
      <c r="A380" s="8"/>
      <c r="B380" s="9"/>
      <c r="C380" s="9"/>
      <c r="D380" s="8"/>
      <c r="E380" s="8"/>
      <c r="F380" s="11"/>
      <c r="G380" s="2"/>
      <c r="H380" s="2"/>
      <c r="I380" s="2"/>
      <c r="J380" s="2"/>
      <c r="K380" s="2"/>
      <c r="L380" s="2"/>
      <c r="M380" s="2"/>
      <c r="N380" s="2"/>
      <c r="O380" s="2"/>
      <c r="P380" s="2"/>
      <c r="Q380" s="2"/>
      <c r="R380" s="2"/>
      <c r="S380" s="2"/>
      <c r="T380" s="2"/>
      <c r="U380" s="2"/>
      <c r="V380" s="2"/>
      <c r="W380" s="2"/>
      <c r="X380" s="2"/>
      <c r="Y380" s="2"/>
      <c r="Z380" s="2"/>
      <c r="AA380" s="2"/>
      <c r="AB380" s="2"/>
    </row>
    <row r="381">
      <c r="A381" s="8"/>
      <c r="B381" s="9"/>
      <c r="C381" s="9"/>
      <c r="D381" s="8"/>
      <c r="E381" s="8"/>
      <c r="F381" s="11"/>
      <c r="G381" s="2"/>
      <c r="H381" s="2"/>
      <c r="I381" s="2"/>
      <c r="J381" s="2"/>
      <c r="K381" s="2"/>
      <c r="L381" s="2"/>
      <c r="M381" s="2"/>
      <c r="N381" s="2"/>
      <c r="O381" s="2"/>
      <c r="P381" s="2"/>
      <c r="Q381" s="2"/>
      <c r="R381" s="2"/>
      <c r="S381" s="2"/>
      <c r="T381" s="2"/>
      <c r="U381" s="2"/>
      <c r="V381" s="2"/>
      <c r="W381" s="2"/>
      <c r="X381" s="2"/>
      <c r="Y381" s="2"/>
      <c r="Z381" s="2"/>
      <c r="AA381" s="2"/>
      <c r="AB381" s="2"/>
    </row>
    <row r="382">
      <c r="A382" s="8"/>
      <c r="B382" s="9"/>
      <c r="C382" s="9"/>
      <c r="D382" s="8"/>
      <c r="E382" s="8"/>
      <c r="F382" s="11"/>
      <c r="G382" s="2"/>
      <c r="H382" s="2"/>
      <c r="I382" s="2"/>
      <c r="J382" s="2"/>
      <c r="K382" s="2"/>
      <c r="L382" s="2"/>
      <c r="M382" s="2"/>
      <c r="N382" s="2"/>
      <c r="O382" s="2"/>
      <c r="P382" s="2"/>
      <c r="Q382" s="2"/>
      <c r="R382" s="2"/>
      <c r="S382" s="2"/>
      <c r="T382" s="2"/>
      <c r="U382" s="2"/>
      <c r="V382" s="2"/>
      <c r="W382" s="2"/>
      <c r="X382" s="2"/>
      <c r="Y382" s="2"/>
      <c r="Z382" s="2"/>
      <c r="AA382" s="2"/>
      <c r="AB382" s="2"/>
    </row>
    <row r="383">
      <c r="A383" s="8"/>
      <c r="B383" s="9"/>
      <c r="C383" s="9"/>
      <c r="D383" s="8"/>
      <c r="E383" s="8"/>
      <c r="F383" s="11"/>
      <c r="G383" s="2"/>
      <c r="H383" s="2"/>
      <c r="I383" s="2"/>
      <c r="J383" s="2"/>
      <c r="K383" s="2"/>
      <c r="L383" s="2"/>
      <c r="M383" s="2"/>
      <c r="N383" s="2"/>
      <c r="O383" s="2"/>
      <c r="P383" s="2"/>
      <c r="Q383" s="2"/>
      <c r="R383" s="2"/>
      <c r="S383" s="2"/>
      <c r="T383" s="2"/>
      <c r="U383" s="2"/>
      <c r="V383" s="2"/>
      <c r="W383" s="2"/>
      <c r="X383" s="2"/>
      <c r="Y383" s="2"/>
      <c r="Z383" s="2"/>
      <c r="AA383" s="2"/>
      <c r="AB383" s="2"/>
    </row>
    <row r="384">
      <c r="A384" s="8"/>
      <c r="B384" s="9"/>
      <c r="C384" s="9"/>
      <c r="D384" s="8"/>
      <c r="E384" s="8"/>
      <c r="F384" s="11"/>
      <c r="G384" s="2"/>
      <c r="H384" s="2"/>
      <c r="I384" s="2"/>
      <c r="J384" s="2"/>
      <c r="K384" s="2"/>
      <c r="L384" s="2"/>
      <c r="M384" s="2"/>
      <c r="N384" s="2"/>
      <c r="O384" s="2"/>
      <c r="P384" s="2"/>
      <c r="Q384" s="2"/>
      <c r="R384" s="2"/>
      <c r="S384" s="2"/>
      <c r="T384" s="2"/>
      <c r="U384" s="2"/>
      <c r="V384" s="2"/>
      <c r="W384" s="2"/>
      <c r="X384" s="2"/>
      <c r="Y384" s="2"/>
      <c r="Z384" s="2"/>
      <c r="AA384" s="2"/>
      <c r="AB384" s="2"/>
    </row>
    <row r="385">
      <c r="A385" s="8"/>
      <c r="B385" s="9"/>
      <c r="C385" s="9"/>
      <c r="D385" s="8"/>
      <c r="E385" s="8"/>
      <c r="F385" s="11"/>
      <c r="G385" s="2"/>
      <c r="H385" s="2"/>
      <c r="I385" s="2"/>
      <c r="J385" s="2"/>
      <c r="K385" s="2"/>
      <c r="L385" s="2"/>
      <c r="M385" s="2"/>
      <c r="N385" s="2"/>
      <c r="O385" s="2"/>
      <c r="P385" s="2"/>
      <c r="Q385" s="2"/>
      <c r="R385" s="2"/>
      <c r="S385" s="2"/>
      <c r="T385" s="2"/>
      <c r="U385" s="2"/>
      <c r="V385" s="2"/>
      <c r="W385" s="2"/>
      <c r="X385" s="2"/>
      <c r="Y385" s="2"/>
      <c r="Z385" s="2"/>
      <c r="AA385" s="2"/>
      <c r="AB385" s="2"/>
    </row>
    <row r="386">
      <c r="A386" s="8"/>
      <c r="B386" s="9"/>
      <c r="C386" s="9"/>
      <c r="D386" s="8"/>
      <c r="E386" s="8"/>
      <c r="F386" s="11"/>
      <c r="G386" s="2"/>
      <c r="H386" s="2"/>
      <c r="I386" s="2"/>
      <c r="J386" s="2"/>
      <c r="K386" s="2"/>
      <c r="L386" s="2"/>
      <c r="M386" s="2"/>
      <c r="N386" s="2"/>
      <c r="O386" s="2"/>
      <c r="P386" s="2"/>
      <c r="Q386" s="2"/>
      <c r="R386" s="2"/>
      <c r="S386" s="2"/>
      <c r="T386" s="2"/>
      <c r="U386" s="2"/>
      <c r="V386" s="2"/>
      <c r="W386" s="2"/>
      <c r="X386" s="2"/>
      <c r="Y386" s="2"/>
      <c r="Z386" s="2"/>
      <c r="AA386" s="2"/>
      <c r="AB386" s="2"/>
    </row>
    <row r="387">
      <c r="A387" s="8"/>
      <c r="B387" s="9"/>
      <c r="C387" s="9"/>
      <c r="D387" s="8"/>
      <c r="E387" s="8"/>
      <c r="F387" s="11"/>
      <c r="G387" s="2"/>
      <c r="H387" s="2"/>
      <c r="I387" s="2"/>
      <c r="J387" s="2"/>
      <c r="K387" s="2"/>
      <c r="L387" s="2"/>
      <c r="M387" s="2"/>
      <c r="N387" s="2"/>
      <c r="O387" s="2"/>
      <c r="P387" s="2"/>
      <c r="Q387" s="2"/>
      <c r="R387" s="2"/>
      <c r="S387" s="2"/>
      <c r="T387" s="2"/>
      <c r="U387" s="2"/>
      <c r="V387" s="2"/>
      <c r="W387" s="2"/>
      <c r="X387" s="2"/>
      <c r="Y387" s="2"/>
      <c r="Z387" s="2"/>
      <c r="AA387" s="2"/>
      <c r="AB387" s="2"/>
    </row>
    <row r="388">
      <c r="A388" s="8"/>
      <c r="B388" s="9"/>
      <c r="C388" s="9"/>
      <c r="D388" s="8"/>
      <c r="E388" s="8"/>
      <c r="F388" s="11"/>
      <c r="G388" s="2"/>
      <c r="H388" s="2"/>
      <c r="I388" s="2"/>
      <c r="J388" s="2"/>
      <c r="K388" s="2"/>
      <c r="L388" s="2"/>
      <c r="M388" s="2"/>
      <c r="N388" s="2"/>
      <c r="O388" s="2"/>
      <c r="P388" s="2"/>
      <c r="Q388" s="2"/>
      <c r="R388" s="2"/>
      <c r="S388" s="2"/>
      <c r="T388" s="2"/>
      <c r="U388" s="2"/>
      <c r="V388" s="2"/>
      <c r="W388" s="2"/>
      <c r="X388" s="2"/>
      <c r="Y388" s="2"/>
      <c r="Z388" s="2"/>
      <c r="AA388" s="2"/>
      <c r="AB388" s="2"/>
    </row>
    <row r="389">
      <c r="A389" s="8"/>
      <c r="B389" s="9"/>
      <c r="C389" s="9"/>
      <c r="D389" s="8"/>
      <c r="E389" s="8"/>
      <c r="F389" s="11"/>
      <c r="G389" s="2"/>
      <c r="H389" s="2"/>
      <c r="I389" s="2"/>
      <c r="J389" s="2"/>
      <c r="K389" s="2"/>
      <c r="L389" s="2"/>
      <c r="M389" s="2"/>
      <c r="N389" s="2"/>
      <c r="O389" s="2"/>
      <c r="P389" s="2"/>
      <c r="Q389" s="2"/>
      <c r="R389" s="2"/>
      <c r="S389" s="2"/>
      <c r="T389" s="2"/>
      <c r="U389" s="2"/>
      <c r="V389" s="2"/>
      <c r="W389" s="2"/>
      <c r="X389" s="2"/>
      <c r="Y389" s="2"/>
      <c r="Z389" s="2"/>
      <c r="AA389" s="2"/>
      <c r="AB389" s="2"/>
    </row>
    <row r="390">
      <c r="A390" s="8"/>
      <c r="B390" s="9"/>
      <c r="C390" s="9"/>
      <c r="D390" s="8"/>
      <c r="E390" s="8"/>
      <c r="F390" s="11"/>
      <c r="G390" s="2"/>
      <c r="H390" s="2"/>
      <c r="I390" s="2"/>
      <c r="J390" s="2"/>
      <c r="K390" s="2"/>
      <c r="L390" s="2"/>
      <c r="M390" s="2"/>
      <c r="N390" s="2"/>
      <c r="O390" s="2"/>
      <c r="P390" s="2"/>
      <c r="Q390" s="2"/>
      <c r="R390" s="2"/>
      <c r="S390" s="2"/>
      <c r="T390" s="2"/>
      <c r="U390" s="2"/>
      <c r="V390" s="2"/>
      <c r="W390" s="2"/>
      <c r="X390" s="2"/>
      <c r="Y390" s="2"/>
      <c r="Z390" s="2"/>
      <c r="AA390" s="2"/>
      <c r="AB390" s="2"/>
    </row>
    <row r="391">
      <c r="A391" s="8"/>
      <c r="B391" s="9"/>
      <c r="C391" s="9"/>
      <c r="D391" s="8"/>
      <c r="E391" s="8"/>
      <c r="F391" s="11"/>
      <c r="G391" s="2"/>
      <c r="H391" s="2"/>
      <c r="I391" s="2"/>
      <c r="J391" s="2"/>
      <c r="K391" s="2"/>
      <c r="L391" s="2"/>
      <c r="M391" s="2"/>
      <c r="N391" s="2"/>
      <c r="O391" s="2"/>
      <c r="P391" s="2"/>
      <c r="Q391" s="2"/>
      <c r="R391" s="2"/>
      <c r="S391" s="2"/>
      <c r="T391" s="2"/>
      <c r="U391" s="2"/>
      <c r="V391" s="2"/>
      <c r="W391" s="2"/>
      <c r="X391" s="2"/>
      <c r="Y391" s="2"/>
      <c r="Z391" s="2"/>
      <c r="AA391" s="2"/>
      <c r="AB391" s="2"/>
    </row>
    <row r="392">
      <c r="A392" s="8"/>
      <c r="B392" s="9"/>
      <c r="C392" s="9"/>
      <c r="D392" s="8"/>
      <c r="E392" s="8"/>
      <c r="F392" s="11"/>
      <c r="G392" s="2"/>
      <c r="H392" s="2"/>
      <c r="I392" s="2"/>
      <c r="J392" s="2"/>
      <c r="K392" s="2"/>
      <c r="L392" s="2"/>
      <c r="M392" s="2"/>
      <c r="N392" s="2"/>
      <c r="O392" s="2"/>
      <c r="P392" s="2"/>
      <c r="Q392" s="2"/>
      <c r="R392" s="2"/>
      <c r="S392" s="2"/>
      <c r="T392" s="2"/>
      <c r="U392" s="2"/>
      <c r="V392" s="2"/>
      <c r="W392" s="2"/>
      <c r="X392" s="2"/>
      <c r="Y392" s="2"/>
      <c r="Z392" s="2"/>
      <c r="AA392" s="2"/>
      <c r="AB392" s="2"/>
    </row>
    <row r="393">
      <c r="A393" s="8"/>
      <c r="B393" s="9"/>
      <c r="C393" s="9"/>
      <c r="D393" s="8"/>
      <c r="E393" s="8"/>
      <c r="F393" s="11"/>
      <c r="G393" s="2"/>
      <c r="H393" s="2"/>
      <c r="I393" s="2"/>
      <c r="J393" s="2"/>
      <c r="K393" s="2"/>
      <c r="L393" s="2"/>
      <c r="M393" s="2"/>
      <c r="N393" s="2"/>
      <c r="O393" s="2"/>
      <c r="P393" s="2"/>
      <c r="Q393" s="2"/>
      <c r="R393" s="2"/>
      <c r="S393" s="2"/>
      <c r="T393" s="2"/>
      <c r="U393" s="2"/>
      <c r="V393" s="2"/>
      <c r="W393" s="2"/>
      <c r="X393" s="2"/>
      <c r="Y393" s="2"/>
      <c r="Z393" s="2"/>
      <c r="AA393" s="2"/>
      <c r="AB393" s="2"/>
    </row>
    <row r="394">
      <c r="A394" s="8"/>
      <c r="B394" s="9"/>
      <c r="C394" s="9"/>
      <c r="D394" s="8"/>
      <c r="E394" s="8"/>
      <c r="F394" s="11"/>
      <c r="G394" s="2"/>
      <c r="H394" s="2"/>
      <c r="I394" s="2"/>
      <c r="J394" s="2"/>
      <c r="K394" s="2"/>
      <c r="L394" s="2"/>
      <c r="M394" s="2"/>
      <c r="N394" s="2"/>
      <c r="O394" s="2"/>
      <c r="P394" s="2"/>
      <c r="Q394" s="2"/>
      <c r="R394" s="2"/>
      <c r="S394" s="2"/>
      <c r="T394" s="2"/>
      <c r="U394" s="2"/>
      <c r="V394" s="2"/>
      <c r="W394" s="2"/>
      <c r="X394" s="2"/>
      <c r="Y394" s="2"/>
      <c r="Z394" s="2"/>
      <c r="AA394" s="2"/>
      <c r="AB394" s="2"/>
    </row>
    <row r="395">
      <c r="A395" s="8"/>
      <c r="B395" s="9"/>
      <c r="C395" s="9"/>
      <c r="D395" s="8"/>
      <c r="E395" s="8"/>
      <c r="F395" s="11"/>
      <c r="G395" s="2"/>
      <c r="H395" s="2"/>
      <c r="I395" s="2"/>
      <c r="J395" s="2"/>
      <c r="K395" s="2"/>
      <c r="L395" s="2"/>
      <c r="M395" s="2"/>
      <c r="N395" s="2"/>
      <c r="O395" s="2"/>
      <c r="P395" s="2"/>
      <c r="Q395" s="2"/>
      <c r="R395" s="2"/>
      <c r="S395" s="2"/>
      <c r="T395" s="2"/>
      <c r="U395" s="2"/>
      <c r="V395" s="2"/>
      <c r="W395" s="2"/>
      <c r="X395" s="2"/>
      <c r="Y395" s="2"/>
      <c r="Z395" s="2"/>
      <c r="AA395" s="2"/>
      <c r="AB395" s="2"/>
    </row>
    <row r="396">
      <c r="A396" s="8"/>
      <c r="B396" s="9"/>
      <c r="C396" s="9"/>
      <c r="D396" s="8"/>
      <c r="E396" s="8"/>
      <c r="F396" s="11"/>
      <c r="G396" s="2"/>
      <c r="H396" s="2"/>
      <c r="I396" s="2"/>
      <c r="J396" s="2"/>
      <c r="K396" s="2"/>
      <c r="L396" s="2"/>
      <c r="M396" s="2"/>
      <c r="N396" s="2"/>
      <c r="O396" s="2"/>
      <c r="P396" s="2"/>
      <c r="Q396" s="2"/>
      <c r="R396" s="2"/>
      <c r="S396" s="2"/>
      <c r="T396" s="2"/>
      <c r="U396" s="2"/>
      <c r="V396" s="2"/>
      <c r="W396" s="2"/>
      <c r="X396" s="2"/>
      <c r="Y396" s="2"/>
      <c r="Z396" s="2"/>
      <c r="AA396" s="2"/>
      <c r="AB396" s="2"/>
    </row>
    <row r="397">
      <c r="A397" s="8"/>
      <c r="B397" s="9"/>
      <c r="C397" s="9"/>
      <c r="D397" s="8"/>
      <c r="E397" s="8"/>
      <c r="F397" s="11"/>
      <c r="G397" s="2"/>
      <c r="H397" s="2"/>
      <c r="I397" s="2"/>
      <c r="J397" s="2"/>
      <c r="K397" s="2"/>
      <c r="L397" s="2"/>
      <c r="M397" s="2"/>
      <c r="N397" s="2"/>
      <c r="O397" s="2"/>
      <c r="P397" s="2"/>
      <c r="Q397" s="2"/>
      <c r="R397" s="2"/>
      <c r="S397" s="2"/>
      <c r="T397" s="2"/>
      <c r="U397" s="2"/>
      <c r="V397" s="2"/>
      <c r="W397" s="2"/>
      <c r="X397" s="2"/>
      <c r="Y397" s="2"/>
      <c r="Z397" s="2"/>
      <c r="AA397" s="2"/>
      <c r="AB397" s="2"/>
    </row>
    <row r="398">
      <c r="A398" s="8"/>
      <c r="B398" s="9"/>
      <c r="C398" s="9"/>
      <c r="D398" s="8"/>
      <c r="E398" s="8"/>
      <c r="F398" s="11"/>
      <c r="G398" s="2"/>
      <c r="H398" s="2"/>
      <c r="I398" s="2"/>
      <c r="J398" s="2"/>
      <c r="K398" s="2"/>
      <c r="L398" s="2"/>
      <c r="M398" s="2"/>
      <c r="N398" s="2"/>
      <c r="O398" s="2"/>
      <c r="P398" s="2"/>
      <c r="Q398" s="2"/>
      <c r="R398" s="2"/>
      <c r="S398" s="2"/>
      <c r="T398" s="2"/>
      <c r="U398" s="2"/>
      <c r="V398" s="2"/>
      <c r="W398" s="2"/>
      <c r="X398" s="2"/>
      <c r="Y398" s="2"/>
      <c r="Z398" s="2"/>
      <c r="AA398" s="2"/>
      <c r="AB398" s="2"/>
    </row>
    <row r="399">
      <c r="A399" s="8"/>
      <c r="B399" s="9"/>
      <c r="C399" s="9"/>
      <c r="D399" s="8"/>
      <c r="E399" s="8"/>
      <c r="F399" s="11"/>
      <c r="G399" s="2"/>
      <c r="H399" s="2"/>
      <c r="I399" s="2"/>
      <c r="J399" s="2"/>
      <c r="K399" s="2"/>
      <c r="L399" s="2"/>
      <c r="M399" s="2"/>
      <c r="N399" s="2"/>
      <c r="O399" s="2"/>
      <c r="P399" s="2"/>
      <c r="Q399" s="2"/>
      <c r="R399" s="2"/>
      <c r="S399" s="2"/>
      <c r="T399" s="2"/>
      <c r="U399" s="2"/>
      <c r="V399" s="2"/>
      <c r="W399" s="2"/>
      <c r="X399" s="2"/>
      <c r="Y399" s="2"/>
      <c r="Z399" s="2"/>
      <c r="AA399" s="2"/>
      <c r="AB399" s="2"/>
    </row>
    <row r="400">
      <c r="A400" s="8"/>
      <c r="B400" s="9"/>
      <c r="C400" s="9"/>
      <c r="D400" s="8"/>
      <c r="E400" s="8"/>
      <c r="F400" s="11"/>
      <c r="G400" s="2"/>
      <c r="H400" s="2"/>
      <c r="I400" s="2"/>
      <c r="J400" s="2"/>
      <c r="K400" s="2"/>
      <c r="L400" s="2"/>
      <c r="M400" s="2"/>
      <c r="N400" s="2"/>
      <c r="O400" s="2"/>
      <c r="P400" s="2"/>
      <c r="Q400" s="2"/>
      <c r="R400" s="2"/>
      <c r="S400" s="2"/>
      <c r="T400" s="2"/>
      <c r="U400" s="2"/>
      <c r="V400" s="2"/>
      <c r="W400" s="2"/>
      <c r="X400" s="2"/>
      <c r="Y400" s="2"/>
      <c r="Z400" s="2"/>
      <c r="AA400" s="2"/>
      <c r="AB400" s="2"/>
    </row>
    <row r="401">
      <c r="A401" s="8"/>
      <c r="B401" s="9"/>
      <c r="C401" s="9"/>
      <c r="D401" s="8"/>
      <c r="E401" s="8"/>
      <c r="F401" s="11"/>
      <c r="G401" s="2"/>
      <c r="H401" s="2"/>
      <c r="I401" s="2"/>
      <c r="J401" s="2"/>
      <c r="K401" s="2"/>
      <c r="L401" s="2"/>
      <c r="M401" s="2"/>
      <c r="N401" s="2"/>
      <c r="O401" s="2"/>
      <c r="P401" s="2"/>
      <c r="Q401" s="2"/>
      <c r="R401" s="2"/>
      <c r="S401" s="2"/>
      <c r="T401" s="2"/>
      <c r="U401" s="2"/>
      <c r="V401" s="2"/>
      <c r="W401" s="2"/>
      <c r="X401" s="2"/>
      <c r="Y401" s="2"/>
      <c r="Z401" s="2"/>
      <c r="AA401" s="2"/>
      <c r="AB401" s="2"/>
    </row>
    <row r="402">
      <c r="A402" s="8"/>
      <c r="B402" s="9"/>
      <c r="C402" s="9"/>
      <c r="D402" s="8"/>
      <c r="E402" s="8"/>
      <c r="F402" s="11"/>
      <c r="G402" s="2"/>
      <c r="H402" s="2"/>
      <c r="I402" s="2"/>
      <c r="J402" s="2"/>
      <c r="K402" s="2"/>
      <c r="L402" s="2"/>
      <c r="M402" s="2"/>
      <c r="N402" s="2"/>
      <c r="O402" s="2"/>
      <c r="P402" s="2"/>
      <c r="Q402" s="2"/>
      <c r="R402" s="2"/>
      <c r="S402" s="2"/>
      <c r="T402" s="2"/>
      <c r="U402" s="2"/>
      <c r="V402" s="2"/>
      <c r="W402" s="2"/>
      <c r="X402" s="2"/>
      <c r="Y402" s="2"/>
      <c r="Z402" s="2"/>
      <c r="AA402" s="2"/>
      <c r="AB402" s="2"/>
    </row>
    <row r="403">
      <c r="A403" s="8"/>
      <c r="B403" s="9"/>
      <c r="C403" s="9"/>
      <c r="D403" s="8"/>
      <c r="E403" s="8"/>
      <c r="F403" s="11"/>
      <c r="G403" s="2"/>
      <c r="H403" s="2"/>
      <c r="I403" s="2"/>
      <c r="J403" s="2"/>
      <c r="K403" s="2"/>
      <c r="L403" s="2"/>
      <c r="M403" s="2"/>
      <c r="N403" s="2"/>
      <c r="O403" s="2"/>
      <c r="P403" s="2"/>
      <c r="Q403" s="2"/>
      <c r="R403" s="2"/>
      <c r="S403" s="2"/>
      <c r="T403" s="2"/>
      <c r="U403" s="2"/>
      <c r="V403" s="2"/>
      <c r="W403" s="2"/>
      <c r="X403" s="2"/>
      <c r="Y403" s="2"/>
      <c r="Z403" s="2"/>
      <c r="AA403" s="2"/>
      <c r="AB403" s="2"/>
    </row>
    <row r="404">
      <c r="A404" s="8"/>
      <c r="B404" s="9"/>
      <c r="C404" s="9"/>
      <c r="D404" s="8"/>
      <c r="E404" s="8"/>
      <c r="F404" s="11"/>
      <c r="G404" s="2"/>
      <c r="H404" s="2"/>
      <c r="I404" s="2"/>
      <c r="J404" s="2"/>
      <c r="K404" s="2"/>
      <c r="L404" s="2"/>
      <c r="M404" s="2"/>
      <c r="N404" s="2"/>
      <c r="O404" s="2"/>
      <c r="P404" s="2"/>
      <c r="Q404" s="2"/>
      <c r="R404" s="2"/>
      <c r="S404" s="2"/>
      <c r="T404" s="2"/>
      <c r="U404" s="2"/>
      <c r="V404" s="2"/>
      <c r="W404" s="2"/>
      <c r="X404" s="2"/>
      <c r="Y404" s="2"/>
      <c r="Z404" s="2"/>
      <c r="AA404" s="2"/>
      <c r="AB404" s="2"/>
    </row>
    <row r="405">
      <c r="A405" s="8"/>
      <c r="B405" s="9"/>
      <c r="C405" s="9"/>
      <c r="D405" s="8"/>
      <c r="E405" s="8"/>
      <c r="F405" s="11"/>
      <c r="G405" s="2"/>
      <c r="H405" s="2"/>
      <c r="I405" s="2"/>
      <c r="J405" s="2"/>
      <c r="K405" s="2"/>
      <c r="L405" s="2"/>
      <c r="M405" s="2"/>
      <c r="N405" s="2"/>
      <c r="O405" s="2"/>
      <c r="P405" s="2"/>
      <c r="Q405" s="2"/>
      <c r="R405" s="2"/>
      <c r="S405" s="2"/>
      <c r="T405" s="2"/>
      <c r="U405" s="2"/>
      <c r="V405" s="2"/>
      <c r="W405" s="2"/>
      <c r="X405" s="2"/>
      <c r="Y405" s="2"/>
      <c r="Z405" s="2"/>
      <c r="AA405" s="2"/>
      <c r="AB405" s="2"/>
    </row>
    <row r="406">
      <c r="A406" s="8"/>
      <c r="B406" s="9"/>
      <c r="C406" s="9"/>
      <c r="D406" s="8"/>
      <c r="E406" s="8"/>
      <c r="F406" s="11"/>
      <c r="G406" s="2"/>
      <c r="H406" s="2"/>
      <c r="I406" s="2"/>
      <c r="J406" s="2"/>
      <c r="K406" s="2"/>
      <c r="L406" s="2"/>
      <c r="M406" s="2"/>
      <c r="N406" s="2"/>
      <c r="O406" s="2"/>
      <c r="P406" s="2"/>
      <c r="Q406" s="2"/>
      <c r="R406" s="2"/>
      <c r="S406" s="2"/>
      <c r="T406" s="2"/>
      <c r="U406" s="2"/>
      <c r="V406" s="2"/>
      <c r="W406" s="2"/>
      <c r="X406" s="2"/>
      <c r="Y406" s="2"/>
      <c r="Z406" s="2"/>
      <c r="AA406" s="2"/>
      <c r="AB406" s="2"/>
    </row>
    <row r="407">
      <c r="A407" s="8"/>
      <c r="B407" s="9"/>
      <c r="C407" s="9"/>
      <c r="D407" s="8"/>
      <c r="E407" s="8"/>
      <c r="F407" s="11"/>
      <c r="G407" s="2"/>
      <c r="H407" s="2"/>
      <c r="I407" s="2"/>
      <c r="J407" s="2"/>
      <c r="K407" s="2"/>
      <c r="L407" s="2"/>
      <c r="M407" s="2"/>
      <c r="N407" s="2"/>
      <c r="O407" s="2"/>
      <c r="P407" s="2"/>
      <c r="Q407" s="2"/>
      <c r="R407" s="2"/>
      <c r="S407" s="2"/>
      <c r="T407" s="2"/>
      <c r="U407" s="2"/>
      <c r="V407" s="2"/>
      <c r="W407" s="2"/>
      <c r="X407" s="2"/>
      <c r="Y407" s="2"/>
      <c r="Z407" s="2"/>
      <c r="AA407" s="2"/>
      <c r="AB407" s="2"/>
    </row>
    <row r="408">
      <c r="A408" s="8"/>
      <c r="B408" s="9"/>
      <c r="C408" s="9"/>
      <c r="D408" s="8"/>
      <c r="E408" s="8"/>
      <c r="F408" s="11"/>
      <c r="G408" s="2"/>
      <c r="H408" s="2"/>
      <c r="I408" s="2"/>
      <c r="J408" s="2"/>
      <c r="K408" s="2"/>
      <c r="L408" s="2"/>
      <c r="M408" s="2"/>
      <c r="N408" s="2"/>
      <c r="O408" s="2"/>
      <c r="P408" s="2"/>
      <c r="Q408" s="2"/>
      <c r="R408" s="2"/>
      <c r="S408" s="2"/>
      <c r="T408" s="2"/>
      <c r="U408" s="2"/>
      <c r="V408" s="2"/>
      <c r="W408" s="2"/>
      <c r="X408" s="2"/>
      <c r="Y408" s="2"/>
      <c r="Z408" s="2"/>
      <c r="AA408" s="2"/>
      <c r="AB408" s="2"/>
    </row>
    <row r="409">
      <c r="A409" s="8"/>
      <c r="B409" s="9"/>
      <c r="C409" s="9"/>
      <c r="D409" s="8"/>
      <c r="E409" s="8"/>
      <c r="F409" s="11"/>
      <c r="G409" s="2"/>
      <c r="H409" s="2"/>
      <c r="I409" s="2"/>
      <c r="J409" s="2"/>
      <c r="K409" s="2"/>
      <c r="L409" s="2"/>
      <c r="M409" s="2"/>
      <c r="N409" s="2"/>
      <c r="O409" s="2"/>
      <c r="P409" s="2"/>
      <c r="Q409" s="2"/>
      <c r="R409" s="2"/>
      <c r="S409" s="2"/>
      <c r="T409" s="2"/>
      <c r="U409" s="2"/>
      <c r="V409" s="2"/>
      <c r="W409" s="2"/>
      <c r="X409" s="2"/>
      <c r="Y409" s="2"/>
      <c r="Z409" s="2"/>
      <c r="AA409" s="2"/>
      <c r="AB409" s="2"/>
    </row>
    <row r="410">
      <c r="A410" s="8"/>
      <c r="B410" s="9"/>
      <c r="C410" s="9"/>
      <c r="D410" s="8"/>
      <c r="E410" s="8"/>
      <c r="F410" s="11"/>
      <c r="G410" s="2"/>
      <c r="H410" s="2"/>
      <c r="I410" s="2"/>
      <c r="J410" s="2"/>
      <c r="K410" s="2"/>
      <c r="L410" s="2"/>
      <c r="M410" s="2"/>
      <c r="N410" s="2"/>
      <c r="O410" s="2"/>
      <c r="P410" s="2"/>
      <c r="Q410" s="2"/>
      <c r="R410" s="2"/>
      <c r="S410" s="2"/>
      <c r="T410" s="2"/>
      <c r="U410" s="2"/>
      <c r="V410" s="2"/>
      <c r="W410" s="2"/>
      <c r="X410" s="2"/>
      <c r="Y410" s="2"/>
      <c r="Z410" s="2"/>
      <c r="AA410" s="2"/>
      <c r="AB410" s="2"/>
    </row>
    <row r="411">
      <c r="A411" s="8"/>
      <c r="B411" s="9"/>
      <c r="C411" s="9"/>
      <c r="D411" s="8"/>
      <c r="E411" s="8"/>
      <c r="F411" s="11"/>
      <c r="G411" s="2"/>
      <c r="H411" s="2"/>
      <c r="I411" s="2"/>
      <c r="J411" s="2"/>
      <c r="K411" s="2"/>
      <c r="L411" s="2"/>
      <c r="M411" s="2"/>
      <c r="N411" s="2"/>
      <c r="O411" s="2"/>
      <c r="P411" s="2"/>
      <c r="Q411" s="2"/>
      <c r="R411" s="2"/>
      <c r="S411" s="2"/>
      <c r="T411" s="2"/>
      <c r="U411" s="2"/>
      <c r="V411" s="2"/>
      <c r="W411" s="2"/>
      <c r="X411" s="2"/>
      <c r="Y411" s="2"/>
      <c r="Z411" s="2"/>
      <c r="AA411" s="2"/>
      <c r="AB411" s="2"/>
    </row>
    <row r="412">
      <c r="A412" s="8"/>
      <c r="B412" s="9"/>
      <c r="C412" s="9"/>
      <c r="D412" s="8"/>
      <c r="E412" s="8"/>
      <c r="F412" s="11"/>
      <c r="G412" s="2"/>
      <c r="H412" s="2"/>
      <c r="I412" s="2"/>
      <c r="J412" s="2"/>
      <c r="K412" s="2"/>
      <c r="L412" s="2"/>
      <c r="M412" s="2"/>
      <c r="N412" s="2"/>
      <c r="O412" s="2"/>
      <c r="P412" s="2"/>
      <c r="Q412" s="2"/>
      <c r="R412" s="2"/>
      <c r="S412" s="2"/>
      <c r="T412" s="2"/>
      <c r="U412" s="2"/>
      <c r="V412" s="2"/>
      <c r="W412" s="2"/>
      <c r="X412" s="2"/>
      <c r="Y412" s="2"/>
      <c r="Z412" s="2"/>
      <c r="AA412" s="2"/>
      <c r="AB412" s="2"/>
    </row>
    <row r="413">
      <c r="A413" s="8"/>
      <c r="B413" s="9"/>
      <c r="C413" s="9"/>
      <c r="D413" s="8"/>
      <c r="E413" s="8"/>
      <c r="F413" s="11"/>
      <c r="G413" s="2"/>
      <c r="H413" s="2"/>
      <c r="I413" s="2"/>
      <c r="J413" s="2"/>
      <c r="K413" s="2"/>
      <c r="L413" s="2"/>
      <c r="M413" s="2"/>
      <c r="N413" s="2"/>
      <c r="O413" s="2"/>
      <c r="P413" s="2"/>
      <c r="Q413" s="2"/>
      <c r="R413" s="2"/>
      <c r="S413" s="2"/>
      <c r="T413" s="2"/>
      <c r="U413" s="2"/>
      <c r="V413" s="2"/>
      <c r="W413" s="2"/>
      <c r="X413" s="2"/>
      <c r="Y413" s="2"/>
      <c r="Z413" s="2"/>
      <c r="AA413" s="2"/>
      <c r="AB413" s="2"/>
    </row>
    <row r="414">
      <c r="A414" s="8"/>
      <c r="B414" s="9"/>
      <c r="C414" s="9"/>
      <c r="D414" s="8"/>
      <c r="E414" s="8"/>
      <c r="F414" s="11"/>
      <c r="G414" s="2"/>
      <c r="H414" s="2"/>
      <c r="I414" s="2"/>
      <c r="J414" s="2"/>
      <c r="K414" s="2"/>
      <c r="L414" s="2"/>
      <c r="M414" s="2"/>
      <c r="N414" s="2"/>
      <c r="O414" s="2"/>
      <c r="P414" s="2"/>
      <c r="Q414" s="2"/>
      <c r="R414" s="2"/>
      <c r="S414" s="2"/>
      <c r="T414" s="2"/>
      <c r="U414" s="2"/>
      <c r="V414" s="2"/>
      <c r="W414" s="2"/>
      <c r="X414" s="2"/>
      <c r="Y414" s="2"/>
      <c r="Z414" s="2"/>
      <c r="AA414" s="2"/>
      <c r="AB414" s="2"/>
    </row>
    <row r="415">
      <c r="A415" s="8"/>
      <c r="B415" s="9"/>
      <c r="C415" s="9"/>
      <c r="D415" s="8"/>
      <c r="E415" s="8"/>
      <c r="F415" s="11"/>
      <c r="G415" s="2"/>
      <c r="H415" s="2"/>
      <c r="I415" s="2"/>
      <c r="J415" s="2"/>
      <c r="K415" s="2"/>
      <c r="L415" s="2"/>
      <c r="M415" s="2"/>
      <c r="N415" s="2"/>
      <c r="O415" s="2"/>
      <c r="P415" s="2"/>
      <c r="Q415" s="2"/>
      <c r="R415" s="2"/>
      <c r="S415" s="2"/>
      <c r="T415" s="2"/>
      <c r="U415" s="2"/>
      <c r="V415" s="2"/>
      <c r="W415" s="2"/>
      <c r="X415" s="2"/>
      <c r="Y415" s="2"/>
      <c r="Z415" s="2"/>
      <c r="AA415" s="2"/>
      <c r="AB415" s="2"/>
    </row>
    <row r="416">
      <c r="A416" s="8"/>
      <c r="B416" s="9"/>
      <c r="C416" s="9"/>
      <c r="D416" s="8"/>
      <c r="E416" s="8"/>
      <c r="F416" s="11"/>
      <c r="G416" s="2"/>
      <c r="H416" s="2"/>
      <c r="I416" s="2"/>
      <c r="J416" s="2"/>
      <c r="K416" s="2"/>
      <c r="L416" s="2"/>
      <c r="M416" s="2"/>
      <c r="N416" s="2"/>
      <c r="O416" s="2"/>
      <c r="P416" s="2"/>
      <c r="Q416" s="2"/>
      <c r="R416" s="2"/>
      <c r="S416" s="2"/>
      <c r="T416" s="2"/>
      <c r="U416" s="2"/>
      <c r="V416" s="2"/>
      <c r="W416" s="2"/>
      <c r="X416" s="2"/>
      <c r="Y416" s="2"/>
      <c r="Z416" s="2"/>
      <c r="AA416" s="2"/>
      <c r="AB416" s="2"/>
    </row>
    <row r="417">
      <c r="A417" s="8"/>
      <c r="B417" s="9"/>
      <c r="C417" s="9"/>
      <c r="D417" s="8"/>
      <c r="E417" s="8"/>
      <c r="F417" s="11"/>
      <c r="G417" s="2"/>
      <c r="H417" s="2"/>
      <c r="I417" s="2"/>
      <c r="J417" s="2"/>
      <c r="K417" s="2"/>
      <c r="L417" s="2"/>
      <c r="M417" s="2"/>
      <c r="N417" s="2"/>
      <c r="O417" s="2"/>
      <c r="P417" s="2"/>
      <c r="Q417" s="2"/>
      <c r="R417" s="2"/>
      <c r="S417" s="2"/>
      <c r="T417" s="2"/>
      <c r="U417" s="2"/>
      <c r="V417" s="2"/>
      <c r="W417" s="2"/>
      <c r="X417" s="2"/>
      <c r="Y417" s="2"/>
      <c r="Z417" s="2"/>
      <c r="AA417" s="2"/>
      <c r="AB417" s="2"/>
    </row>
    <row r="418">
      <c r="A418" s="8"/>
      <c r="B418" s="9"/>
      <c r="C418" s="9"/>
      <c r="D418" s="8"/>
      <c r="E418" s="8"/>
      <c r="F418" s="11"/>
      <c r="G418" s="2"/>
      <c r="H418" s="2"/>
      <c r="I418" s="2"/>
      <c r="J418" s="2"/>
      <c r="K418" s="2"/>
      <c r="L418" s="2"/>
      <c r="M418" s="2"/>
      <c r="N418" s="2"/>
      <c r="O418" s="2"/>
      <c r="P418" s="2"/>
      <c r="Q418" s="2"/>
      <c r="R418" s="2"/>
      <c r="S418" s="2"/>
      <c r="T418" s="2"/>
      <c r="U418" s="2"/>
      <c r="V418" s="2"/>
      <c r="W418" s="2"/>
      <c r="X418" s="2"/>
      <c r="Y418" s="2"/>
      <c r="Z418" s="2"/>
      <c r="AA418" s="2"/>
      <c r="AB418" s="2"/>
    </row>
    <row r="419">
      <c r="A419" s="8"/>
      <c r="B419" s="9"/>
      <c r="C419" s="9"/>
      <c r="D419" s="8"/>
      <c r="E419" s="8"/>
      <c r="F419" s="11"/>
      <c r="G419" s="2"/>
      <c r="H419" s="2"/>
      <c r="I419" s="2"/>
      <c r="J419" s="2"/>
      <c r="K419" s="2"/>
      <c r="L419" s="2"/>
      <c r="M419" s="2"/>
      <c r="N419" s="2"/>
      <c r="O419" s="2"/>
      <c r="P419" s="2"/>
      <c r="Q419" s="2"/>
      <c r="R419" s="2"/>
      <c r="S419" s="2"/>
      <c r="T419" s="2"/>
      <c r="U419" s="2"/>
      <c r="V419" s="2"/>
      <c r="W419" s="2"/>
      <c r="X419" s="2"/>
      <c r="Y419" s="2"/>
      <c r="Z419" s="2"/>
      <c r="AA419" s="2"/>
      <c r="AB419" s="2"/>
    </row>
    <row r="420">
      <c r="A420" s="8"/>
      <c r="B420" s="9"/>
      <c r="C420" s="9"/>
      <c r="D420" s="8"/>
      <c r="E420" s="8"/>
      <c r="F420" s="11"/>
      <c r="G420" s="2"/>
      <c r="H420" s="2"/>
      <c r="I420" s="2"/>
      <c r="J420" s="2"/>
      <c r="K420" s="2"/>
      <c r="L420" s="2"/>
      <c r="M420" s="2"/>
      <c r="N420" s="2"/>
      <c r="O420" s="2"/>
      <c r="P420" s="2"/>
      <c r="Q420" s="2"/>
      <c r="R420" s="2"/>
      <c r="S420" s="2"/>
      <c r="T420" s="2"/>
      <c r="U420" s="2"/>
      <c r="V420" s="2"/>
      <c r="W420" s="2"/>
      <c r="X420" s="2"/>
      <c r="Y420" s="2"/>
      <c r="Z420" s="2"/>
      <c r="AA420" s="2"/>
      <c r="AB420" s="2"/>
    </row>
    <row r="421">
      <c r="A421" s="8"/>
      <c r="B421" s="9"/>
      <c r="C421" s="9"/>
      <c r="D421" s="8"/>
      <c r="E421" s="8"/>
      <c r="F421" s="11"/>
      <c r="G421" s="2"/>
      <c r="H421" s="2"/>
      <c r="I421" s="2"/>
      <c r="J421" s="2"/>
      <c r="K421" s="2"/>
      <c r="L421" s="2"/>
      <c r="M421" s="2"/>
      <c r="N421" s="2"/>
      <c r="O421" s="2"/>
      <c r="P421" s="2"/>
      <c r="Q421" s="2"/>
      <c r="R421" s="2"/>
      <c r="S421" s="2"/>
      <c r="T421" s="2"/>
      <c r="U421" s="2"/>
      <c r="V421" s="2"/>
      <c r="W421" s="2"/>
      <c r="X421" s="2"/>
      <c r="Y421" s="2"/>
      <c r="Z421" s="2"/>
      <c r="AA421" s="2"/>
      <c r="AB421" s="2"/>
    </row>
    <row r="422">
      <c r="A422" s="8"/>
      <c r="B422" s="9"/>
      <c r="C422" s="9"/>
      <c r="D422" s="8"/>
      <c r="E422" s="8"/>
      <c r="F422" s="11"/>
      <c r="G422" s="2"/>
      <c r="H422" s="2"/>
      <c r="I422" s="2"/>
      <c r="J422" s="2"/>
      <c r="K422" s="2"/>
      <c r="L422" s="2"/>
      <c r="M422" s="2"/>
      <c r="N422" s="2"/>
      <c r="O422" s="2"/>
      <c r="P422" s="2"/>
      <c r="Q422" s="2"/>
      <c r="R422" s="2"/>
      <c r="S422" s="2"/>
      <c r="T422" s="2"/>
      <c r="U422" s="2"/>
      <c r="V422" s="2"/>
      <c r="W422" s="2"/>
      <c r="X422" s="2"/>
      <c r="Y422" s="2"/>
      <c r="Z422" s="2"/>
      <c r="AA422" s="2"/>
      <c r="AB422" s="2"/>
    </row>
    <row r="423">
      <c r="A423" s="8"/>
      <c r="B423" s="9"/>
      <c r="C423" s="9"/>
      <c r="D423" s="8"/>
      <c r="E423" s="8"/>
      <c r="F423" s="11"/>
      <c r="G423" s="2"/>
      <c r="H423" s="2"/>
      <c r="I423" s="2"/>
      <c r="J423" s="2"/>
      <c r="K423" s="2"/>
      <c r="L423" s="2"/>
      <c r="M423" s="2"/>
      <c r="N423" s="2"/>
      <c r="O423" s="2"/>
      <c r="P423" s="2"/>
      <c r="Q423" s="2"/>
      <c r="R423" s="2"/>
      <c r="S423" s="2"/>
      <c r="T423" s="2"/>
      <c r="U423" s="2"/>
      <c r="V423" s="2"/>
      <c r="W423" s="2"/>
      <c r="X423" s="2"/>
      <c r="Y423" s="2"/>
      <c r="Z423" s="2"/>
      <c r="AA423" s="2"/>
      <c r="AB423" s="2"/>
    </row>
    <row r="424">
      <c r="A424" s="8"/>
      <c r="B424" s="9"/>
      <c r="C424" s="9"/>
      <c r="D424" s="8"/>
      <c r="E424" s="8"/>
      <c r="F424" s="11"/>
      <c r="G424" s="2"/>
      <c r="H424" s="2"/>
      <c r="I424" s="2"/>
      <c r="J424" s="2"/>
      <c r="K424" s="2"/>
      <c r="L424" s="2"/>
      <c r="M424" s="2"/>
      <c r="N424" s="2"/>
      <c r="O424" s="2"/>
      <c r="P424" s="2"/>
      <c r="Q424" s="2"/>
      <c r="R424" s="2"/>
      <c r="S424" s="2"/>
      <c r="T424" s="2"/>
      <c r="U424" s="2"/>
      <c r="V424" s="2"/>
      <c r="W424" s="2"/>
      <c r="X424" s="2"/>
      <c r="Y424" s="2"/>
      <c r="Z424" s="2"/>
      <c r="AA424" s="2"/>
      <c r="AB424" s="2"/>
    </row>
    <row r="425">
      <c r="A425" s="8"/>
      <c r="B425" s="9"/>
      <c r="C425" s="9"/>
      <c r="D425" s="8"/>
      <c r="E425" s="8"/>
      <c r="F425" s="11"/>
      <c r="G425" s="2"/>
      <c r="H425" s="2"/>
      <c r="I425" s="2"/>
      <c r="J425" s="2"/>
      <c r="K425" s="2"/>
      <c r="L425" s="2"/>
      <c r="M425" s="2"/>
      <c r="N425" s="2"/>
      <c r="O425" s="2"/>
      <c r="P425" s="2"/>
      <c r="Q425" s="2"/>
      <c r="R425" s="2"/>
      <c r="S425" s="2"/>
      <c r="T425" s="2"/>
      <c r="U425" s="2"/>
      <c r="V425" s="2"/>
      <c r="W425" s="2"/>
      <c r="X425" s="2"/>
      <c r="Y425" s="2"/>
      <c r="Z425" s="2"/>
      <c r="AA425" s="2"/>
      <c r="AB425" s="2"/>
    </row>
    <row r="426">
      <c r="A426" s="8"/>
      <c r="B426" s="9"/>
      <c r="C426" s="9"/>
      <c r="D426" s="8"/>
      <c r="E426" s="8"/>
      <c r="F426" s="11"/>
      <c r="G426" s="2"/>
      <c r="H426" s="2"/>
      <c r="I426" s="2"/>
      <c r="J426" s="2"/>
      <c r="K426" s="2"/>
      <c r="L426" s="2"/>
      <c r="M426" s="2"/>
      <c r="N426" s="2"/>
      <c r="O426" s="2"/>
      <c r="P426" s="2"/>
      <c r="Q426" s="2"/>
      <c r="R426" s="2"/>
      <c r="S426" s="2"/>
      <c r="T426" s="2"/>
      <c r="U426" s="2"/>
      <c r="V426" s="2"/>
      <c r="W426" s="2"/>
      <c r="X426" s="2"/>
      <c r="Y426" s="2"/>
      <c r="Z426" s="2"/>
      <c r="AA426" s="2"/>
      <c r="AB426" s="2"/>
    </row>
    <row r="427">
      <c r="A427" s="8"/>
      <c r="B427" s="9"/>
      <c r="C427" s="9"/>
      <c r="D427" s="8"/>
      <c r="E427" s="8"/>
      <c r="F427" s="11"/>
      <c r="G427" s="2"/>
      <c r="H427" s="2"/>
      <c r="I427" s="2"/>
      <c r="J427" s="2"/>
      <c r="K427" s="2"/>
      <c r="L427" s="2"/>
      <c r="M427" s="2"/>
      <c r="N427" s="2"/>
      <c r="O427" s="2"/>
      <c r="P427" s="2"/>
      <c r="Q427" s="2"/>
      <c r="R427" s="2"/>
      <c r="S427" s="2"/>
      <c r="T427" s="2"/>
      <c r="U427" s="2"/>
      <c r="V427" s="2"/>
      <c r="W427" s="2"/>
      <c r="X427" s="2"/>
      <c r="Y427" s="2"/>
      <c r="Z427" s="2"/>
      <c r="AA427" s="2"/>
      <c r="AB427" s="2"/>
    </row>
    <row r="428">
      <c r="A428" s="8"/>
      <c r="B428" s="9"/>
      <c r="C428" s="9"/>
      <c r="D428" s="8"/>
      <c r="E428" s="8"/>
      <c r="F428" s="11"/>
      <c r="G428" s="2"/>
      <c r="H428" s="2"/>
      <c r="I428" s="2"/>
      <c r="J428" s="2"/>
      <c r="K428" s="2"/>
      <c r="L428" s="2"/>
      <c r="M428" s="2"/>
      <c r="N428" s="2"/>
      <c r="O428" s="2"/>
      <c r="P428" s="2"/>
      <c r="Q428" s="2"/>
      <c r="R428" s="2"/>
      <c r="S428" s="2"/>
      <c r="T428" s="2"/>
      <c r="U428" s="2"/>
      <c r="V428" s="2"/>
      <c r="W428" s="2"/>
      <c r="X428" s="2"/>
      <c r="Y428" s="2"/>
      <c r="Z428" s="2"/>
      <c r="AA428" s="2"/>
      <c r="AB428" s="2"/>
    </row>
    <row r="429">
      <c r="A429" s="8"/>
      <c r="B429" s="9"/>
      <c r="C429" s="9"/>
      <c r="D429" s="8"/>
      <c r="E429" s="8"/>
      <c r="F429" s="11"/>
      <c r="G429" s="2"/>
      <c r="H429" s="2"/>
      <c r="I429" s="2"/>
      <c r="J429" s="2"/>
      <c r="K429" s="2"/>
      <c r="L429" s="2"/>
      <c r="M429" s="2"/>
      <c r="N429" s="2"/>
      <c r="O429" s="2"/>
      <c r="P429" s="2"/>
      <c r="Q429" s="2"/>
      <c r="R429" s="2"/>
      <c r="S429" s="2"/>
      <c r="T429" s="2"/>
      <c r="U429" s="2"/>
      <c r="V429" s="2"/>
      <c r="W429" s="2"/>
      <c r="X429" s="2"/>
      <c r="Y429" s="2"/>
      <c r="Z429" s="2"/>
      <c r="AA429" s="2"/>
      <c r="AB429" s="2"/>
    </row>
    <row r="430">
      <c r="A430" s="8"/>
      <c r="B430" s="9"/>
      <c r="C430" s="9"/>
      <c r="D430" s="8"/>
      <c r="E430" s="8"/>
      <c r="F430" s="11"/>
      <c r="G430" s="2"/>
      <c r="H430" s="2"/>
      <c r="I430" s="2"/>
      <c r="J430" s="2"/>
      <c r="K430" s="2"/>
      <c r="L430" s="2"/>
      <c r="M430" s="2"/>
      <c r="N430" s="2"/>
      <c r="O430" s="2"/>
      <c r="P430" s="2"/>
      <c r="Q430" s="2"/>
      <c r="R430" s="2"/>
      <c r="S430" s="2"/>
      <c r="T430" s="2"/>
      <c r="U430" s="2"/>
      <c r="V430" s="2"/>
      <c r="W430" s="2"/>
      <c r="X430" s="2"/>
      <c r="Y430" s="2"/>
      <c r="Z430" s="2"/>
      <c r="AA430" s="2"/>
      <c r="AB430" s="2"/>
    </row>
    <row r="431">
      <c r="A431" s="8"/>
      <c r="B431" s="9"/>
      <c r="C431" s="9"/>
      <c r="D431" s="8"/>
      <c r="E431" s="8"/>
      <c r="F431" s="11"/>
      <c r="G431" s="2"/>
      <c r="H431" s="2"/>
      <c r="I431" s="2"/>
      <c r="J431" s="2"/>
      <c r="K431" s="2"/>
      <c r="L431" s="2"/>
      <c r="M431" s="2"/>
      <c r="N431" s="2"/>
      <c r="O431" s="2"/>
      <c r="P431" s="2"/>
      <c r="Q431" s="2"/>
      <c r="R431" s="2"/>
      <c r="S431" s="2"/>
      <c r="T431" s="2"/>
      <c r="U431" s="2"/>
      <c r="V431" s="2"/>
      <c r="W431" s="2"/>
      <c r="X431" s="2"/>
      <c r="Y431" s="2"/>
      <c r="Z431" s="2"/>
      <c r="AA431" s="2"/>
      <c r="AB431" s="2"/>
    </row>
    <row r="432">
      <c r="A432" s="8"/>
      <c r="B432" s="9"/>
      <c r="C432" s="9"/>
      <c r="D432" s="8"/>
      <c r="E432" s="8"/>
      <c r="F432" s="11"/>
      <c r="G432" s="2"/>
      <c r="H432" s="2"/>
      <c r="I432" s="2"/>
      <c r="J432" s="2"/>
      <c r="K432" s="2"/>
      <c r="L432" s="2"/>
      <c r="M432" s="2"/>
      <c r="N432" s="2"/>
      <c r="O432" s="2"/>
      <c r="P432" s="2"/>
      <c r="Q432" s="2"/>
      <c r="R432" s="2"/>
      <c r="S432" s="2"/>
      <c r="T432" s="2"/>
      <c r="U432" s="2"/>
      <c r="V432" s="2"/>
      <c r="W432" s="2"/>
      <c r="X432" s="2"/>
      <c r="Y432" s="2"/>
      <c r="Z432" s="2"/>
      <c r="AA432" s="2"/>
      <c r="AB432" s="2"/>
    </row>
    <row r="433">
      <c r="A433" s="8"/>
      <c r="B433" s="9"/>
      <c r="C433" s="9"/>
      <c r="D433" s="8"/>
      <c r="E433" s="8"/>
      <c r="F433" s="11"/>
      <c r="G433" s="2"/>
      <c r="H433" s="2"/>
      <c r="I433" s="2"/>
      <c r="J433" s="2"/>
      <c r="K433" s="2"/>
      <c r="L433" s="2"/>
      <c r="M433" s="2"/>
      <c r="N433" s="2"/>
      <c r="O433" s="2"/>
      <c r="P433" s="2"/>
      <c r="Q433" s="2"/>
      <c r="R433" s="2"/>
      <c r="S433" s="2"/>
      <c r="T433" s="2"/>
      <c r="U433" s="2"/>
      <c r="V433" s="2"/>
      <c r="W433" s="2"/>
      <c r="X433" s="2"/>
      <c r="Y433" s="2"/>
      <c r="Z433" s="2"/>
      <c r="AA433" s="2"/>
      <c r="AB433" s="2"/>
    </row>
    <row r="434">
      <c r="A434" s="8"/>
      <c r="B434" s="9"/>
      <c r="C434" s="9"/>
      <c r="D434" s="8"/>
      <c r="E434" s="8"/>
      <c r="F434" s="11"/>
      <c r="G434" s="2"/>
      <c r="H434" s="2"/>
      <c r="I434" s="2"/>
      <c r="J434" s="2"/>
      <c r="K434" s="2"/>
      <c r="L434" s="2"/>
      <c r="M434" s="2"/>
      <c r="N434" s="2"/>
      <c r="O434" s="2"/>
      <c r="P434" s="2"/>
      <c r="Q434" s="2"/>
      <c r="R434" s="2"/>
      <c r="S434" s="2"/>
      <c r="T434" s="2"/>
      <c r="U434" s="2"/>
      <c r="V434" s="2"/>
      <c r="W434" s="2"/>
      <c r="X434" s="2"/>
      <c r="Y434" s="2"/>
      <c r="Z434" s="2"/>
      <c r="AA434" s="2"/>
      <c r="AB434" s="2"/>
    </row>
    <row r="435">
      <c r="A435" s="8"/>
      <c r="B435" s="9"/>
      <c r="C435" s="9"/>
      <c r="D435" s="8"/>
      <c r="E435" s="8"/>
      <c r="F435" s="11"/>
      <c r="G435" s="2"/>
      <c r="H435" s="2"/>
      <c r="I435" s="2"/>
      <c r="J435" s="2"/>
      <c r="K435" s="2"/>
      <c r="L435" s="2"/>
      <c r="M435" s="2"/>
      <c r="N435" s="2"/>
      <c r="O435" s="2"/>
      <c r="P435" s="2"/>
      <c r="Q435" s="2"/>
      <c r="R435" s="2"/>
      <c r="S435" s="2"/>
      <c r="T435" s="2"/>
      <c r="U435" s="2"/>
      <c r="V435" s="2"/>
      <c r="W435" s="2"/>
      <c r="X435" s="2"/>
      <c r="Y435" s="2"/>
      <c r="Z435" s="2"/>
      <c r="AA435" s="2"/>
      <c r="AB435" s="2"/>
    </row>
    <row r="436">
      <c r="A436" s="8"/>
      <c r="B436" s="9"/>
      <c r="C436" s="9"/>
      <c r="D436" s="8"/>
      <c r="E436" s="8"/>
      <c r="F436" s="11"/>
      <c r="G436" s="2"/>
      <c r="H436" s="2"/>
      <c r="I436" s="2"/>
      <c r="J436" s="2"/>
      <c r="K436" s="2"/>
      <c r="L436" s="2"/>
      <c r="M436" s="2"/>
      <c r="N436" s="2"/>
      <c r="O436" s="2"/>
      <c r="P436" s="2"/>
      <c r="Q436" s="2"/>
      <c r="R436" s="2"/>
      <c r="S436" s="2"/>
      <c r="T436" s="2"/>
      <c r="U436" s="2"/>
      <c r="V436" s="2"/>
      <c r="W436" s="2"/>
      <c r="X436" s="2"/>
      <c r="Y436" s="2"/>
      <c r="Z436" s="2"/>
      <c r="AA436" s="2"/>
      <c r="AB436" s="2"/>
    </row>
    <row r="437">
      <c r="A437" s="8"/>
      <c r="B437" s="9"/>
      <c r="C437" s="9"/>
      <c r="D437" s="8"/>
      <c r="E437" s="8"/>
      <c r="F437" s="11"/>
      <c r="G437" s="2"/>
      <c r="H437" s="2"/>
      <c r="I437" s="2"/>
      <c r="J437" s="2"/>
      <c r="K437" s="2"/>
      <c r="L437" s="2"/>
      <c r="M437" s="2"/>
      <c r="N437" s="2"/>
      <c r="O437" s="2"/>
      <c r="P437" s="2"/>
      <c r="Q437" s="2"/>
      <c r="R437" s="2"/>
      <c r="S437" s="2"/>
      <c r="T437" s="2"/>
      <c r="U437" s="2"/>
      <c r="V437" s="2"/>
      <c r="W437" s="2"/>
      <c r="X437" s="2"/>
      <c r="Y437" s="2"/>
      <c r="Z437" s="2"/>
      <c r="AA437" s="2"/>
      <c r="AB437" s="2"/>
    </row>
    <row r="438">
      <c r="A438" s="8"/>
      <c r="B438" s="9"/>
      <c r="C438" s="9"/>
      <c r="D438" s="8"/>
      <c r="E438" s="8"/>
      <c r="F438" s="11"/>
      <c r="G438" s="2"/>
      <c r="H438" s="2"/>
      <c r="I438" s="2"/>
      <c r="J438" s="2"/>
      <c r="K438" s="2"/>
      <c r="L438" s="2"/>
      <c r="M438" s="2"/>
      <c r="N438" s="2"/>
      <c r="O438" s="2"/>
      <c r="P438" s="2"/>
      <c r="Q438" s="2"/>
      <c r="R438" s="2"/>
      <c r="S438" s="2"/>
      <c r="T438" s="2"/>
      <c r="U438" s="2"/>
      <c r="V438" s="2"/>
      <c r="W438" s="2"/>
      <c r="X438" s="2"/>
      <c r="Y438" s="2"/>
      <c r="Z438" s="2"/>
      <c r="AA438" s="2"/>
      <c r="AB438" s="2"/>
    </row>
    <row r="439">
      <c r="A439" s="8"/>
      <c r="B439" s="9"/>
      <c r="C439" s="9"/>
      <c r="D439" s="8"/>
      <c r="E439" s="8"/>
      <c r="F439" s="11"/>
      <c r="G439" s="2"/>
      <c r="H439" s="2"/>
      <c r="I439" s="2"/>
      <c r="J439" s="2"/>
      <c r="K439" s="2"/>
      <c r="L439" s="2"/>
      <c r="M439" s="2"/>
      <c r="N439" s="2"/>
      <c r="O439" s="2"/>
      <c r="P439" s="2"/>
      <c r="Q439" s="2"/>
      <c r="R439" s="2"/>
      <c r="S439" s="2"/>
      <c r="T439" s="2"/>
      <c r="U439" s="2"/>
      <c r="V439" s="2"/>
      <c r="W439" s="2"/>
      <c r="X439" s="2"/>
      <c r="Y439" s="2"/>
      <c r="Z439" s="2"/>
      <c r="AA439" s="2"/>
      <c r="AB439" s="2"/>
    </row>
    <row r="440">
      <c r="A440" s="8"/>
      <c r="B440" s="9"/>
      <c r="C440" s="9"/>
      <c r="D440" s="8"/>
      <c r="E440" s="8"/>
      <c r="F440" s="11"/>
      <c r="G440" s="2"/>
      <c r="H440" s="2"/>
      <c r="I440" s="2"/>
      <c r="J440" s="2"/>
      <c r="K440" s="2"/>
      <c r="L440" s="2"/>
      <c r="M440" s="2"/>
      <c r="N440" s="2"/>
      <c r="O440" s="2"/>
      <c r="P440" s="2"/>
      <c r="Q440" s="2"/>
      <c r="R440" s="2"/>
      <c r="S440" s="2"/>
      <c r="T440" s="2"/>
      <c r="U440" s="2"/>
      <c r="V440" s="2"/>
      <c r="W440" s="2"/>
      <c r="X440" s="2"/>
      <c r="Y440" s="2"/>
      <c r="Z440" s="2"/>
      <c r="AA440" s="2"/>
      <c r="AB440" s="2"/>
    </row>
    <row r="441">
      <c r="A441" s="8"/>
      <c r="B441" s="9"/>
      <c r="C441" s="9"/>
      <c r="D441" s="8"/>
      <c r="E441" s="8"/>
      <c r="F441" s="11"/>
      <c r="G441" s="2"/>
      <c r="H441" s="2"/>
      <c r="I441" s="2"/>
      <c r="J441" s="2"/>
      <c r="K441" s="2"/>
      <c r="L441" s="2"/>
      <c r="M441" s="2"/>
      <c r="N441" s="2"/>
      <c r="O441" s="2"/>
      <c r="P441" s="2"/>
      <c r="Q441" s="2"/>
      <c r="R441" s="2"/>
      <c r="S441" s="2"/>
      <c r="T441" s="2"/>
      <c r="U441" s="2"/>
      <c r="V441" s="2"/>
      <c r="W441" s="2"/>
      <c r="X441" s="2"/>
      <c r="Y441" s="2"/>
      <c r="Z441" s="2"/>
      <c r="AA441" s="2"/>
      <c r="AB441" s="2"/>
    </row>
    <row r="442">
      <c r="A442" s="8"/>
      <c r="B442" s="9"/>
      <c r="C442" s="9"/>
      <c r="D442" s="8"/>
      <c r="E442" s="8"/>
      <c r="F442" s="11"/>
      <c r="G442" s="2"/>
      <c r="H442" s="2"/>
      <c r="I442" s="2"/>
      <c r="J442" s="2"/>
      <c r="K442" s="2"/>
      <c r="L442" s="2"/>
      <c r="M442" s="2"/>
      <c r="N442" s="2"/>
      <c r="O442" s="2"/>
      <c r="P442" s="2"/>
      <c r="Q442" s="2"/>
      <c r="R442" s="2"/>
      <c r="S442" s="2"/>
      <c r="T442" s="2"/>
      <c r="U442" s="2"/>
      <c r="V442" s="2"/>
      <c r="W442" s="2"/>
      <c r="X442" s="2"/>
      <c r="Y442" s="2"/>
      <c r="Z442" s="2"/>
      <c r="AA442" s="2"/>
      <c r="AB442" s="2"/>
    </row>
    <row r="443">
      <c r="A443" s="8"/>
      <c r="B443" s="9"/>
      <c r="C443" s="9"/>
      <c r="D443" s="8"/>
      <c r="E443" s="8"/>
      <c r="F443" s="11"/>
      <c r="G443" s="2"/>
      <c r="H443" s="2"/>
      <c r="I443" s="2"/>
      <c r="J443" s="2"/>
      <c r="K443" s="2"/>
      <c r="L443" s="2"/>
      <c r="M443" s="2"/>
      <c r="N443" s="2"/>
      <c r="O443" s="2"/>
      <c r="P443" s="2"/>
      <c r="Q443" s="2"/>
      <c r="R443" s="2"/>
      <c r="S443" s="2"/>
      <c r="T443" s="2"/>
      <c r="U443" s="2"/>
      <c r="V443" s="2"/>
      <c r="W443" s="2"/>
      <c r="X443" s="2"/>
      <c r="Y443" s="2"/>
      <c r="Z443" s="2"/>
      <c r="AA443" s="2"/>
      <c r="AB443" s="2"/>
    </row>
    <row r="444">
      <c r="A444" s="8"/>
      <c r="B444" s="9"/>
      <c r="C444" s="9"/>
      <c r="D444" s="8"/>
      <c r="E444" s="8"/>
      <c r="F444" s="11"/>
      <c r="G444" s="2"/>
      <c r="H444" s="2"/>
      <c r="I444" s="2"/>
      <c r="J444" s="2"/>
      <c r="K444" s="2"/>
      <c r="L444" s="2"/>
      <c r="M444" s="2"/>
      <c r="N444" s="2"/>
      <c r="O444" s="2"/>
      <c r="P444" s="2"/>
      <c r="Q444" s="2"/>
      <c r="R444" s="2"/>
      <c r="S444" s="2"/>
      <c r="T444" s="2"/>
      <c r="U444" s="2"/>
      <c r="V444" s="2"/>
      <c r="W444" s="2"/>
      <c r="X444" s="2"/>
      <c r="Y444" s="2"/>
      <c r="Z444" s="2"/>
      <c r="AA444" s="2"/>
      <c r="AB444" s="2"/>
    </row>
    <row r="445">
      <c r="A445" s="8"/>
      <c r="B445" s="9"/>
      <c r="C445" s="9"/>
      <c r="D445" s="8"/>
      <c r="E445" s="8"/>
      <c r="F445" s="11"/>
      <c r="G445" s="2"/>
      <c r="H445" s="2"/>
      <c r="I445" s="2"/>
      <c r="J445" s="2"/>
      <c r="K445" s="2"/>
      <c r="L445" s="2"/>
      <c r="M445" s="2"/>
      <c r="N445" s="2"/>
      <c r="O445" s="2"/>
      <c r="P445" s="2"/>
      <c r="Q445" s="2"/>
      <c r="R445" s="2"/>
      <c r="S445" s="2"/>
      <c r="T445" s="2"/>
      <c r="U445" s="2"/>
      <c r="V445" s="2"/>
      <c r="W445" s="2"/>
      <c r="X445" s="2"/>
      <c r="Y445" s="2"/>
      <c r="Z445" s="2"/>
      <c r="AA445" s="2"/>
      <c r="AB445" s="2"/>
    </row>
    <row r="446">
      <c r="A446" s="8"/>
      <c r="B446" s="9"/>
      <c r="C446" s="9"/>
      <c r="D446" s="8"/>
      <c r="E446" s="8"/>
      <c r="F446" s="11"/>
      <c r="G446" s="2"/>
      <c r="H446" s="2"/>
      <c r="I446" s="2"/>
      <c r="J446" s="2"/>
      <c r="K446" s="2"/>
      <c r="L446" s="2"/>
      <c r="M446" s="2"/>
      <c r="N446" s="2"/>
      <c r="O446" s="2"/>
      <c r="P446" s="2"/>
      <c r="Q446" s="2"/>
      <c r="R446" s="2"/>
      <c r="S446" s="2"/>
      <c r="T446" s="2"/>
      <c r="U446" s="2"/>
      <c r="V446" s="2"/>
      <c r="W446" s="2"/>
      <c r="X446" s="2"/>
      <c r="Y446" s="2"/>
      <c r="Z446" s="2"/>
      <c r="AA446" s="2"/>
      <c r="AB446" s="2"/>
    </row>
    <row r="447">
      <c r="A447" s="8"/>
      <c r="B447" s="9"/>
      <c r="C447" s="9"/>
      <c r="D447" s="8"/>
      <c r="E447" s="8"/>
      <c r="F447" s="11"/>
      <c r="G447" s="2"/>
      <c r="H447" s="2"/>
      <c r="I447" s="2"/>
      <c r="J447" s="2"/>
      <c r="K447" s="2"/>
      <c r="L447" s="2"/>
      <c r="M447" s="2"/>
      <c r="N447" s="2"/>
      <c r="O447" s="2"/>
      <c r="P447" s="2"/>
      <c r="Q447" s="2"/>
      <c r="R447" s="2"/>
      <c r="S447" s="2"/>
      <c r="T447" s="2"/>
      <c r="U447" s="2"/>
      <c r="V447" s="2"/>
      <c r="W447" s="2"/>
      <c r="X447" s="2"/>
      <c r="Y447" s="2"/>
      <c r="Z447" s="2"/>
      <c r="AA447" s="2"/>
      <c r="AB447" s="2"/>
    </row>
    <row r="448">
      <c r="A448" s="8"/>
      <c r="B448" s="9"/>
      <c r="C448" s="9"/>
      <c r="D448" s="8"/>
      <c r="E448" s="8"/>
      <c r="F448" s="11"/>
      <c r="G448" s="2"/>
      <c r="H448" s="2"/>
      <c r="I448" s="2"/>
      <c r="J448" s="2"/>
      <c r="K448" s="2"/>
      <c r="L448" s="2"/>
      <c r="M448" s="2"/>
      <c r="N448" s="2"/>
      <c r="O448" s="2"/>
      <c r="P448" s="2"/>
      <c r="Q448" s="2"/>
      <c r="R448" s="2"/>
      <c r="S448" s="2"/>
      <c r="T448" s="2"/>
      <c r="U448" s="2"/>
      <c r="V448" s="2"/>
      <c r="W448" s="2"/>
      <c r="X448" s="2"/>
      <c r="Y448" s="2"/>
      <c r="Z448" s="2"/>
      <c r="AA448" s="2"/>
      <c r="AB448" s="2"/>
    </row>
    <row r="449">
      <c r="A449" s="8"/>
      <c r="B449" s="9"/>
      <c r="C449" s="9"/>
      <c r="D449" s="8"/>
      <c r="E449" s="8"/>
      <c r="F449" s="11"/>
      <c r="G449" s="2"/>
      <c r="H449" s="2"/>
      <c r="I449" s="2"/>
      <c r="J449" s="2"/>
      <c r="K449" s="2"/>
      <c r="L449" s="2"/>
      <c r="M449" s="2"/>
      <c r="N449" s="2"/>
      <c r="O449" s="2"/>
      <c r="P449" s="2"/>
      <c r="Q449" s="2"/>
      <c r="R449" s="2"/>
      <c r="S449" s="2"/>
      <c r="T449" s="2"/>
      <c r="U449" s="2"/>
      <c r="V449" s="2"/>
      <c r="W449" s="2"/>
      <c r="X449" s="2"/>
      <c r="Y449" s="2"/>
      <c r="Z449" s="2"/>
      <c r="AA449" s="2"/>
      <c r="AB449" s="2"/>
    </row>
    <row r="450">
      <c r="A450" s="8"/>
      <c r="B450" s="9"/>
      <c r="C450" s="9"/>
      <c r="D450" s="8"/>
      <c r="E450" s="8"/>
      <c r="F450" s="11"/>
      <c r="G450" s="2"/>
      <c r="H450" s="2"/>
      <c r="I450" s="2"/>
      <c r="J450" s="2"/>
      <c r="K450" s="2"/>
      <c r="L450" s="2"/>
      <c r="M450" s="2"/>
      <c r="N450" s="2"/>
      <c r="O450" s="2"/>
      <c r="P450" s="2"/>
      <c r="Q450" s="2"/>
      <c r="R450" s="2"/>
      <c r="S450" s="2"/>
      <c r="T450" s="2"/>
      <c r="U450" s="2"/>
      <c r="V450" s="2"/>
      <c r="W450" s="2"/>
      <c r="X450" s="2"/>
      <c r="Y450" s="2"/>
      <c r="Z450" s="2"/>
      <c r="AA450" s="2"/>
      <c r="AB450" s="2"/>
    </row>
    <row r="451">
      <c r="A451" s="8"/>
      <c r="B451" s="9"/>
      <c r="C451" s="9"/>
      <c r="D451" s="8"/>
      <c r="E451" s="8"/>
      <c r="F451" s="11"/>
      <c r="G451" s="2"/>
      <c r="H451" s="2"/>
      <c r="I451" s="2"/>
      <c r="J451" s="2"/>
      <c r="K451" s="2"/>
      <c r="L451" s="2"/>
      <c r="M451" s="2"/>
      <c r="N451" s="2"/>
      <c r="O451" s="2"/>
      <c r="P451" s="2"/>
      <c r="Q451" s="2"/>
      <c r="R451" s="2"/>
      <c r="S451" s="2"/>
      <c r="T451" s="2"/>
      <c r="U451" s="2"/>
      <c r="V451" s="2"/>
      <c r="W451" s="2"/>
      <c r="X451" s="2"/>
      <c r="Y451" s="2"/>
      <c r="Z451" s="2"/>
      <c r="AA451" s="2"/>
      <c r="AB451" s="2"/>
    </row>
    <row r="452">
      <c r="A452" s="8"/>
      <c r="B452" s="9"/>
      <c r="C452" s="9"/>
      <c r="D452" s="8"/>
      <c r="E452" s="8"/>
      <c r="F452" s="11"/>
      <c r="G452" s="2"/>
      <c r="H452" s="2"/>
      <c r="I452" s="2"/>
      <c r="J452" s="2"/>
      <c r="K452" s="2"/>
      <c r="L452" s="2"/>
      <c r="M452" s="2"/>
      <c r="N452" s="2"/>
      <c r="O452" s="2"/>
      <c r="P452" s="2"/>
      <c r="Q452" s="2"/>
      <c r="R452" s="2"/>
      <c r="S452" s="2"/>
      <c r="T452" s="2"/>
      <c r="U452" s="2"/>
      <c r="V452" s="2"/>
      <c r="W452" s="2"/>
      <c r="X452" s="2"/>
      <c r="Y452" s="2"/>
      <c r="Z452" s="2"/>
      <c r="AA452" s="2"/>
      <c r="AB452" s="2"/>
    </row>
    <row r="453">
      <c r="A453" s="8"/>
      <c r="B453" s="9"/>
      <c r="C453" s="9"/>
      <c r="D453" s="8"/>
      <c r="E453" s="8"/>
      <c r="F453" s="11"/>
      <c r="G453" s="2"/>
      <c r="H453" s="2"/>
      <c r="I453" s="2"/>
      <c r="J453" s="2"/>
      <c r="K453" s="2"/>
      <c r="L453" s="2"/>
      <c r="M453" s="2"/>
      <c r="N453" s="2"/>
      <c r="O453" s="2"/>
      <c r="P453" s="2"/>
      <c r="Q453" s="2"/>
      <c r="R453" s="2"/>
      <c r="S453" s="2"/>
      <c r="T453" s="2"/>
      <c r="U453" s="2"/>
      <c r="V453" s="2"/>
      <c r="W453" s="2"/>
      <c r="X453" s="2"/>
      <c r="Y453" s="2"/>
      <c r="Z453" s="2"/>
      <c r="AA453" s="2"/>
      <c r="AB453" s="2"/>
    </row>
    <row r="454">
      <c r="A454" s="8"/>
      <c r="B454" s="9"/>
      <c r="C454" s="9"/>
      <c r="D454" s="8"/>
      <c r="E454" s="8"/>
      <c r="F454" s="11"/>
      <c r="G454" s="2"/>
      <c r="H454" s="2"/>
      <c r="I454" s="2"/>
      <c r="J454" s="2"/>
      <c r="K454" s="2"/>
      <c r="L454" s="2"/>
      <c r="M454" s="2"/>
      <c r="N454" s="2"/>
      <c r="O454" s="2"/>
      <c r="P454" s="2"/>
      <c r="Q454" s="2"/>
      <c r="R454" s="2"/>
      <c r="S454" s="2"/>
      <c r="T454" s="2"/>
      <c r="U454" s="2"/>
      <c r="V454" s="2"/>
      <c r="W454" s="2"/>
      <c r="X454" s="2"/>
      <c r="Y454" s="2"/>
      <c r="Z454" s="2"/>
      <c r="AA454" s="2"/>
      <c r="AB454" s="2"/>
    </row>
    <row r="455">
      <c r="A455" s="8"/>
      <c r="B455" s="9"/>
      <c r="C455" s="9"/>
      <c r="D455" s="8"/>
      <c r="E455" s="8"/>
      <c r="F455" s="11"/>
      <c r="G455" s="2"/>
      <c r="H455" s="2"/>
      <c r="I455" s="2"/>
      <c r="J455" s="2"/>
      <c r="K455" s="2"/>
      <c r="L455" s="2"/>
      <c r="M455" s="2"/>
      <c r="N455" s="2"/>
      <c r="O455" s="2"/>
      <c r="P455" s="2"/>
      <c r="Q455" s="2"/>
      <c r="R455" s="2"/>
      <c r="S455" s="2"/>
      <c r="T455" s="2"/>
      <c r="U455" s="2"/>
      <c r="V455" s="2"/>
      <c r="W455" s="2"/>
      <c r="X455" s="2"/>
      <c r="Y455" s="2"/>
      <c r="Z455" s="2"/>
      <c r="AA455" s="2"/>
      <c r="AB455" s="2"/>
    </row>
    <row r="456">
      <c r="A456" s="8"/>
      <c r="B456" s="9"/>
      <c r="C456" s="9"/>
      <c r="D456" s="8"/>
      <c r="E456" s="8"/>
      <c r="F456" s="11"/>
      <c r="G456" s="2"/>
      <c r="H456" s="2"/>
      <c r="I456" s="2"/>
      <c r="J456" s="2"/>
      <c r="K456" s="2"/>
      <c r="L456" s="2"/>
      <c r="M456" s="2"/>
      <c r="N456" s="2"/>
      <c r="O456" s="2"/>
      <c r="P456" s="2"/>
      <c r="Q456" s="2"/>
      <c r="R456" s="2"/>
      <c r="S456" s="2"/>
      <c r="T456" s="2"/>
      <c r="U456" s="2"/>
      <c r="V456" s="2"/>
      <c r="W456" s="2"/>
      <c r="X456" s="2"/>
      <c r="Y456" s="2"/>
      <c r="Z456" s="2"/>
      <c r="AA456" s="2"/>
      <c r="AB456" s="2"/>
    </row>
    <row r="457">
      <c r="A457" s="8"/>
      <c r="B457" s="9"/>
      <c r="C457" s="9"/>
      <c r="D457" s="8"/>
      <c r="E457" s="8"/>
      <c r="F457" s="11"/>
      <c r="G457" s="2"/>
      <c r="H457" s="2"/>
      <c r="I457" s="2"/>
      <c r="J457" s="2"/>
      <c r="K457" s="2"/>
      <c r="L457" s="2"/>
      <c r="M457" s="2"/>
      <c r="N457" s="2"/>
      <c r="O457" s="2"/>
      <c r="P457" s="2"/>
      <c r="Q457" s="2"/>
      <c r="R457" s="2"/>
      <c r="S457" s="2"/>
      <c r="T457" s="2"/>
      <c r="U457" s="2"/>
      <c r="V457" s="2"/>
      <c r="W457" s="2"/>
      <c r="X457" s="2"/>
      <c r="Y457" s="2"/>
      <c r="Z457" s="2"/>
      <c r="AA457" s="2"/>
      <c r="AB457" s="2"/>
    </row>
    <row r="458">
      <c r="A458" s="8"/>
      <c r="B458" s="9"/>
      <c r="C458" s="9"/>
      <c r="D458" s="8"/>
      <c r="E458" s="8"/>
      <c r="F458" s="11"/>
      <c r="G458" s="2"/>
      <c r="H458" s="2"/>
      <c r="I458" s="2"/>
      <c r="J458" s="2"/>
      <c r="K458" s="2"/>
      <c r="L458" s="2"/>
      <c r="M458" s="2"/>
      <c r="N458" s="2"/>
      <c r="O458" s="2"/>
      <c r="P458" s="2"/>
      <c r="Q458" s="2"/>
      <c r="R458" s="2"/>
      <c r="S458" s="2"/>
      <c r="T458" s="2"/>
      <c r="U458" s="2"/>
      <c r="V458" s="2"/>
      <c r="W458" s="2"/>
      <c r="X458" s="2"/>
      <c r="Y458" s="2"/>
      <c r="Z458" s="2"/>
      <c r="AA458" s="2"/>
      <c r="AB458" s="2"/>
    </row>
    <row r="459">
      <c r="A459" s="8"/>
      <c r="B459" s="9"/>
      <c r="C459" s="9"/>
      <c r="D459" s="8"/>
      <c r="E459" s="8"/>
      <c r="F459" s="11"/>
      <c r="G459" s="2"/>
      <c r="H459" s="2"/>
      <c r="I459" s="2"/>
      <c r="J459" s="2"/>
      <c r="K459" s="2"/>
      <c r="L459" s="2"/>
      <c r="M459" s="2"/>
      <c r="N459" s="2"/>
      <c r="O459" s="2"/>
      <c r="P459" s="2"/>
      <c r="Q459" s="2"/>
      <c r="R459" s="2"/>
      <c r="S459" s="2"/>
      <c r="T459" s="2"/>
      <c r="U459" s="2"/>
      <c r="V459" s="2"/>
      <c r="W459" s="2"/>
      <c r="X459" s="2"/>
      <c r="Y459" s="2"/>
      <c r="Z459" s="2"/>
      <c r="AA459" s="2"/>
      <c r="AB459" s="2"/>
    </row>
    <row r="460">
      <c r="A460" s="8"/>
      <c r="B460" s="9"/>
      <c r="C460" s="9"/>
      <c r="D460" s="8"/>
      <c r="E460" s="8"/>
      <c r="F460" s="11"/>
      <c r="G460" s="2"/>
      <c r="H460" s="2"/>
      <c r="I460" s="2"/>
      <c r="J460" s="2"/>
      <c r="K460" s="2"/>
      <c r="L460" s="2"/>
      <c r="M460" s="2"/>
      <c r="N460" s="2"/>
      <c r="O460" s="2"/>
      <c r="P460" s="2"/>
      <c r="Q460" s="2"/>
      <c r="R460" s="2"/>
      <c r="S460" s="2"/>
      <c r="T460" s="2"/>
      <c r="U460" s="2"/>
      <c r="V460" s="2"/>
      <c r="W460" s="2"/>
      <c r="X460" s="2"/>
      <c r="Y460" s="2"/>
      <c r="Z460" s="2"/>
      <c r="AA460" s="2"/>
      <c r="AB460" s="2"/>
    </row>
    <row r="461">
      <c r="A461" s="8"/>
      <c r="B461" s="9"/>
      <c r="C461" s="9"/>
      <c r="D461" s="8"/>
      <c r="E461" s="8"/>
      <c r="F461" s="11"/>
      <c r="G461" s="2"/>
      <c r="H461" s="2"/>
      <c r="I461" s="2"/>
      <c r="J461" s="2"/>
      <c r="K461" s="2"/>
      <c r="L461" s="2"/>
      <c r="M461" s="2"/>
      <c r="N461" s="2"/>
      <c r="O461" s="2"/>
      <c r="P461" s="2"/>
      <c r="Q461" s="2"/>
      <c r="R461" s="2"/>
      <c r="S461" s="2"/>
      <c r="T461" s="2"/>
      <c r="U461" s="2"/>
      <c r="V461" s="2"/>
      <c r="W461" s="2"/>
      <c r="X461" s="2"/>
      <c r="Y461" s="2"/>
      <c r="Z461" s="2"/>
      <c r="AA461" s="2"/>
      <c r="AB461" s="2"/>
    </row>
    <row r="462">
      <c r="A462" s="8"/>
      <c r="B462" s="9"/>
      <c r="C462" s="9"/>
      <c r="D462" s="8"/>
      <c r="E462" s="8"/>
      <c r="F462" s="11"/>
      <c r="G462" s="2"/>
      <c r="H462" s="2"/>
      <c r="I462" s="2"/>
      <c r="J462" s="2"/>
      <c r="K462" s="2"/>
      <c r="L462" s="2"/>
      <c r="M462" s="2"/>
      <c r="N462" s="2"/>
      <c r="O462" s="2"/>
      <c r="P462" s="2"/>
      <c r="Q462" s="2"/>
      <c r="R462" s="2"/>
      <c r="S462" s="2"/>
      <c r="T462" s="2"/>
      <c r="U462" s="2"/>
      <c r="V462" s="2"/>
      <c r="W462" s="2"/>
      <c r="X462" s="2"/>
      <c r="Y462" s="2"/>
      <c r="Z462" s="2"/>
      <c r="AA462" s="2"/>
      <c r="AB462" s="2"/>
    </row>
    <row r="463">
      <c r="A463" s="8"/>
      <c r="B463" s="9"/>
      <c r="C463" s="9"/>
      <c r="D463" s="8"/>
      <c r="E463" s="8"/>
      <c r="F463" s="11"/>
      <c r="G463" s="2"/>
      <c r="H463" s="2"/>
      <c r="I463" s="2"/>
      <c r="J463" s="2"/>
      <c r="K463" s="2"/>
      <c r="L463" s="2"/>
      <c r="M463" s="2"/>
      <c r="N463" s="2"/>
      <c r="O463" s="2"/>
      <c r="P463" s="2"/>
      <c r="Q463" s="2"/>
      <c r="R463" s="2"/>
      <c r="S463" s="2"/>
      <c r="T463" s="2"/>
      <c r="U463" s="2"/>
      <c r="V463" s="2"/>
      <c r="W463" s="2"/>
      <c r="X463" s="2"/>
      <c r="Y463" s="2"/>
      <c r="Z463" s="2"/>
      <c r="AA463" s="2"/>
      <c r="AB463" s="2"/>
    </row>
    <row r="464">
      <c r="A464" s="8"/>
      <c r="B464" s="9"/>
      <c r="C464" s="9"/>
      <c r="D464" s="8"/>
      <c r="E464" s="8"/>
      <c r="F464" s="11"/>
      <c r="G464" s="2"/>
      <c r="H464" s="2"/>
      <c r="I464" s="2"/>
      <c r="J464" s="2"/>
      <c r="K464" s="2"/>
      <c r="L464" s="2"/>
      <c r="M464" s="2"/>
      <c r="N464" s="2"/>
      <c r="O464" s="2"/>
      <c r="P464" s="2"/>
      <c r="Q464" s="2"/>
      <c r="R464" s="2"/>
      <c r="S464" s="2"/>
      <c r="T464" s="2"/>
      <c r="U464" s="2"/>
      <c r="V464" s="2"/>
      <c r="W464" s="2"/>
      <c r="X464" s="2"/>
      <c r="Y464" s="2"/>
      <c r="Z464" s="2"/>
      <c r="AA464" s="2"/>
      <c r="AB464" s="2"/>
    </row>
    <row r="465">
      <c r="A465" s="8"/>
      <c r="B465" s="9"/>
      <c r="C465" s="9"/>
      <c r="D465" s="8"/>
      <c r="E465" s="8"/>
      <c r="F465" s="11"/>
      <c r="G465" s="2"/>
      <c r="H465" s="2"/>
      <c r="I465" s="2"/>
      <c r="J465" s="2"/>
      <c r="K465" s="2"/>
      <c r="L465" s="2"/>
      <c r="M465" s="2"/>
      <c r="N465" s="2"/>
      <c r="O465" s="2"/>
      <c r="P465" s="2"/>
      <c r="Q465" s="2"/>
      <c r="R465" s="2"/>
      <c r="S465" s="2"/>
      <c r="T465" s="2"/>
      <c r="U465" s="2"/>
      <c r="V465" s="2"/>
      <c r="W465" s="2"/>
      <c r="X465" s="2"/>
      <c r="Y465" s="2"/>
      <c r="Z465" s="2"/>
      <c r="AA465" s="2"/>
      <c r="AB465" s="2"/>
    </row>
    <row r="466">
      <c r="A466" s="8"/>
      <c r="B466" s="9"/>
      <c r="C466" s="9"/>
      <c r="D466" s="8"/>
      <c r="E466" s="8"/>
      <c r="F466" s="11"/>
      <c r="G466" s="2"/>
      <c r="H466" s="2"/>
      <c r="I466" s="2"/>
      <c r="J466" s="2"/>
      <c r="K466" s="2"/>
      <c r="L466" s="2"/>
      <c r="M466" s="2"/>
      <c r="N466" s="2"/>
      <c r="O466" s="2"/>
      <c r="P466" s="2"/>
      <c r="Q466" s="2"/>
      <c r="R466" s="2"/>
      <c r="S466" s="2"/>
      <c r="T466" s="2"/>
      <c r="U466" s="2"/>
      <c r="V466" s="2"/>
      <c r="W466" s="2"/>
      <c r="X466" s="2"/>
      <c r="Y466" s="2"/>
      <c r="Z466" s="2"/>
      <c r="AA466" s="2"/>
      <c r="AB466" s="2"/>
    </row>
    <row r="467">
      <c r="A467" s="8"/>
      <c r="B467" s="9"/>
      <c r="C467" s="9"/>
      <c r="D467" s="8"/>
      <c r="E467" s="8"/>
      <c r="F467" s="11"/>
      <c r="G467" s="2"/>
      <c r="H467" s="2"/>
      <c r="I467" s="2"/>
      <c r="J467" s="2"/>
      <c r="K467" s="2"/>
      <c r="L467" s="2"/>
      <c r="M467" s="2"/>
      <c r="N467" s="2"/>
      <c r="O467" s="2"/>
      <c r="P467" s="2"/>
      <c r="Q467" s="2"/>
      <c r="R467" s="2"/>
      <c r="S467" s="2"/>
      <c r="T467" s="2"/>
      <c r="U467" s="2"/>
      <c r="V467" s="2"/>
      <c r="W467" s="2"/>
      <c r="X467" s="2"/>
      <c r="Y467" s="2"/>
      <c r="Z467" s="2"/>
      <c r="AA467" s="2"/>
      <c r="AB467" s="2"/>
    </row>
    <row r="468">
      <c r="A468" s="8"/>
      <c r="B468" s="9"/>
      <c r="C468" s="9"/>
      <c r="D468" s="8"/>
      <c r="E468" s="8"/>
      <c r="F468" s="11"/>
      <c r="G468" s="2"/>
      <c r="H468" s="2"/>
      <c r="I468" s="2"/>
      <c r="J468" s="2"/>
      <c r="K468" s="2"/>
      <c r="L468" s="2"/>
      <c r="M468" s="2"/>
      <c r="N468" s="2"/>
      <c r="O468" s="2"/>
      <c r="P468" s="2"/>
      <c r="Q468" s="2"/>
      <c r="R468" s="2"/>
      <c r="S468" s="2"/>
      <c r="T468" s="2"/>
      <c r="U468" s="2"/>
      <c r="V468" s="2"/>
      <c r="W468" s="2"/>
      <c r="X468" s="2"/>
      <c r="Y468" s="2"/>
      <c r="Z468" s="2"/>
      <c r="AA468" s="2"/>
      <c r="AB468" s="2"/>
    </row>
    <row r="469">
      <c r="A469" s="8"/>
      <c r="B469" s="9"/>
      <c r="C469" s="9"/>
      <c r="D469" s="8"/>
      <c r="E469" s="8"/>
      <c r="F469" s="11"/>
      <c r="G469" s="2"/>
      <c r="H469" s="2"/>
      <c r="I469" s="2"/>
      <c r="J469" s="2"/>
      <c r="K469" s="2"/>
      <c r="L469" s="2"/>
      <c r="M469" s="2"/>
      <c r="N469" s="2"/>
      <c r="O469" s="2"/>
      <c r="P469" s="2"/>
      <c r="Q469" s="2"/>
      <c r="R469" s="2"/>
      <c r="S469" s="2"/>
      <c r="T469" s="2"/>
      <c r="U469" s="2"/>
      <c r="V469" s="2"/>
      <c r="W469" s="2"/>
      <c r="X469" s="2"/>
      <c r="Y469" s="2"/>
      <c r="Z469" s="2"/>
      <c r="AA469" s="2"/>
      <c r="AB469" s="2"/>
    </row>
    <row r="470">
      <c r="A470" s="8"/>
      <c r="B470" s="9"/>
      <c r="C470" s="9"/>
      <c r="D470" s="8"/>
      <c r="E470" s="8"/>
      <c r="F470" s="11"/>
      <c r="G470" s="2"/>
      <c r="H470" s="2"/>
      <c r="I470" s="2"/>
      <c r="J470" s="2"/>
      <c r="K470" s="2"/>
      <c r="L470" s="2"/>
      <c r="M470" s="2"/>
      <c r="N470" s="2"/>
      <c r="O470" s="2"/>
      <c r="P470" s="2"/>
      <c r="Q470" s="2"/>
      <c r="R470" s="2"/>
      <c r="S470" s="2"/>
      <c r="T470" s="2"/>
      <c r="U470" s="2"/>
      <c r="V470" s="2"/>
      <c r="W470" s="2"/>
      <c r="X470" s="2"/>
      <c r="Y470" s="2"/>
      <c r="Z470" s="2"/>
      <c r="AA470" s="2"/>
      <c r="AB470" s="2"/>
    </row>
    <row r="471">
      <c r="A471" s="8"/>
      <c r="B471" s="9"/>
      <c r="C471" s="9"/>
      <c r="D471" s="8"/>
      <c r="E471" s="8"/>
      <c r="F471" s="11"/>
      <c r="G471" s="2"/>
      <c r="H471" s="2"/>
      <c r="I471" s="2"/>
      <c r="J471" s="2"/>
      <c r="K471" s="2"/>
      <c r="L471" s="2"/>
      <c r="M471" s="2"/>
      <c r="N471" s="2"/>
      <c r="O471" s="2"/>
      <c r="P471" s="2"/>
      <c r="Q471" s="2"/>
      <c r="R471" s="2"/>
      <c r="S471" s="2"/>
      <c r="T471" s="2"/>
      <c r="U471" s="2"/>
      <c r="V471" s="2"/>
      <c r="W471" s="2"/>
      <c r="X471" s="2"/>
      <c r="Y471" s="2"/>
      <c r="Z471" s="2"/>
      <c r="AA471" s="2"/>
      <c r="AB471" s="2"/>
    </row>
    <row r="472">
      <c r="A472" s="8"/>
      <c r="B472" s="9"/>
      <c r="C472" s="9"/>
      <c r="D472" s="8"/>
      <c r="E472" s="8"/>
      <c r="F472" s="11"/>
      <c r="G472" s="2"/>
      <c r="H472" s="2"/>
      <c r="I472" s="2"/>
      <c r="J472" s="2"/>
      <c r="K472" s="2"/>
      <c r="L472" s="2"/>
      <c r="M472" s="2"/>
      <c r="N472" s="2"/>
      <c r="O472" s="2"/>
      <c r="P472" s="2"/>
      <c r="Q472" s="2"/>
      <c r="R472" s="2"/>
      <c r="S472" s="2"/>
      <c r="T472" s="2"/>
      <c r="U472" s="2"/>
      <c r="V472" s="2"/>
      <c r="W472" s="2"/>
      <c r="X472" s="2"/>
      <c r="Y472" s="2"/>
      <c r="Z472" s="2"/>
      <c r="AA472" s="2"/>
      <c r="AB472" s="2"/>
    </row>
    <row r="473">
      <c r="A473" s="8"/>
      <c r="B473" s="9"/>
      <c r="C473" s="9"/>
      <c r="D473" s="8"/>
      <c r="E473" s="8"/>
      <c r="F473" s="11"/>
      <c r="G473" s="2"/>
      <c r="H473" s="2"/>
      <c r="I473" s="2"/>
      <c r="J473" s="2"/>
      <c r="K473" s="2"/>
      <c r="L473" s="2"/>
      <c r="M473" s="2"/>
      <c r="N473" s="2"/>
      <c r="O473" s="2"/>
      <c r="P473" s="2"/>
      <c r="Q473" s="2"/>
      <c r="R473" s="2"/>
      <c r="S473" s="2"/>
      <c r="T473" s="2"/>
      <c r="U473" s="2"/>
      <c r="V473" s="2"/>
      <c r="W473" s="2"/>
      <c r="X473" s="2"/>
      <c r="Y473" s="2"/>
      <c r="Z473" s="2"/>
      <c r="AA473" s="2"/>
      <c r="AB473" s="2"/>
    </row>
    <row r="474">
      <c r="A474" s="8"/>
      <c r="B474" s="9"/>
      <c r="C474" s="9"/>
      <c r="D474" s="8"/>
      <c r="E474" s="8"/>
      <c r="F474" s="11"/>
      <c r="G474" s="2"/>
      <c r="H474" s="2"/>
      <c r="I474" s="2"/>
      <c r="J474" s="2"/>
      <c r="K474" s="2"/>
      <c r="L474" s="2"/>
      <c r="M474" s="2"/>
      <c r="N474" s="2"/>
      <c r="O474" s="2"/>
      <c r="P474" s="2"/>
      <c r="Q474" s="2"/>
      <c r="R474" s="2"/>
      <c r="S474" s="2"/>
      <c r="T474" s="2"/>
      <c r="U474" s="2"/>
      <c r="V474" s="2"/>
      <c r="W474" s="2"/>
      <c r="X474" s="2"/>
      <c r="Y474" s="2"/>
      <c r="Z474" s="2"/>
      <c r="AA474" s="2"/>
      <c r="AB474" s="2"/>
    </row>
    <row r="475">
      <c r="A475" s="8"/>
      <c r="B475" s="9"/>
      <c r="C475" s="9"/>
      <c r="D475" s="8"/>
      <c r="E475" s="8"/>
      <c r="F475" s="11"/>
      <c r="G475" s="2"/>
      <c r="H475" s="2"/>
      <c r="I475" s="2"/>
      <c r="J475" s="2"/>
      <c r="K475" s="2"/>
      <c r="L475" s="2"/>
      <c r="M475" s="2"/>
      <c r="N475" s="2"/>
      <c r="O475" s="2"/>
      <c r="P475" s="2"/>
      <c r="Q475" s="2"/>
      <c r="R475" s="2"/>
      <c r="S475" s="2"/>
      <c r="T475" s="2"/>
      <c r="U475" s="2"/>
      <c r="V475" s="2"/>
      <c r="W475" s="2"/>
      <c r="X475" s="2"/>
      <c r="Y475" s="2"/>
      <c r="Z475" s="2"/>
      <c r="AA475" s="2"/>
      <c r="AB475" s="2"/>
    </row>
    <row r="476">
      <c r="A476" s="8"/>
      <c r="B476" s="9"/>
      <c r="C476" s="9"/>
      <c r="D476" s="8"/>
      <c r="E476" s="8"/>
      <c r="F476" s="11"/>
      <c r="G476" s="2"/>
      <c r="H476" s="2"/>
      <c r="I476" s="2"/>
      <c r="J476" s="2"/>
      <c r="K476" s="2"/>
      <c r="L476" s="2"/>
      <c r="M476" s="2"/>
      <c r="N476" s="2"/>
      <c r="O476" s="2"/>
      <c r="P476" s="2"/>
      <c r="Q476" s="2"/>
      <c r="R476" s="2"/>
      <c r="S476" s="2"/>
      <c r="T476" s="2"/>
      <c r="U476" s="2"/>
      <c r="V476" s="2"/>
      <c r="W476" s="2"/>
      <c r="X476" s="2"/>
      <c r="Y476" s="2"/>
      <c r="Z476" s="2"/>
      <c r="AA476" s="2"/>
      <c r="AB476" s="2"/>
    </row>
    <row r="477">
      <c r="A477" s="8"/>
      <c r="B477" s="9"/>
      <c r="C477" s="9"/>
      <c r="D477" s="8"/>
      <c r="E477" s="8"/>
      <c r="F477" s="11"/>
      <c r="G477" s="2"/>
      <c r="H477" s="2"/>
      <c r="I477" s="2"/>
      <c r="J477" s="2"/>
      <c r="K477" s="2"/>
      <c r="L477" s="2"/>
      <c r="M477" s="2"/>
      <c r="N477" s="2"/>
      <c r="O477" s="2"/>
      <c r="P477" s="2"/>
      <c r="Q477" s="2"/>
      <c r="R477" s="2"/>
      <c r="S477" s="2"/>
      <c r="T477" s="2"/>
      <c r="U477" s="2"/>
      <c r="V477" s="2"/>
      <c r="W477" s="2"/>
      <c r="X477" s="2"/>
      <c r="Y477" s="2"/>
      <c r="Z477" s="2"/>
      <c r="AA477" s="2"/>
      <c r="AB477" s="2"/>
    </row>
    <row r="478">
      <c r="A478" s="8"/>
      <c r="B478" s="9"/>
      <c r="C478" s="9"/>
      <c r="D478" s="8"/>
      <c r="E478" s="8"/>
      <c r="F478" s="11"/>
      <c r="G478" s="2"/>
      <c r="H478" s="2"/>
      <c r="I478" s="2"/>
      <c r="J478" s="2"/>
      <c r="K478" s="2"/>
      <c r="L478" s="2"/>
      <c r="M478" s="2"/>
      <c r="N478" s="2"/>
      <c r="O478" s="2"/>
      <c r="P478" s="2"/>
      <c r="Q478" s="2"/>
      <c r="R478" s="2"/>
      <c r="S478" s="2"/>
      <c r="T478" s="2"/>
      <c r="U478" s="2"/>
      <c r="V478" s="2"/>
      <c r="W478" s="2"/>
      <c r="X478" s="2"/>
      <c r="Y478" s="2"/>
      <c r="Z478" s="2"/>
      <c r="AA478" s="2"/>
      <c r="AB478" s="2"/>
    </row>
    <row r="479">
      <c r="A479" s="8"/>
      <c r="B479" s="9"/>
      <c r="C479" s="9"/>
      <c r="D479" s="8"/>
      <c r="E479" s="8"/>
      <c r="F479" s="11"/>
      <c r="G479" s="2"/>
      <c r="H479" s="2"/>
      <c r="I479" s="2"/>
      <c r="J479" s="2"/>
      <c r="K479" s="2"/>
      <c r="L479" s="2"/>
      <c r="M479" s="2"/>
      <c r="N479" s="2"/>
      <c r="O479" s="2"/>
      <c r="P479" s="2"/>
      <c r="Q479" s="2"/>
      <c r="R479" s="2"/>
      <c r="S479" s="2"/>
      <c r="T479" s="2"/>
      <c r="U479" s="2"/>
      <c r="V479" s="2"/>
      <c r="W479" s="2"/>
      <c r="X479" s="2"/>
      <c r="Y479" s="2"/>
      <c r="Z479" s="2"/>
      <c r="AA479" s="2"/>
      <c r="AB479" s="2"/>
    </row>
    <row r="480">
      <c r="A480" s="8"/>
      <c r="B480" s="9"/>
      <c r="C480" s="9"/>
      <c r="D480" s="8"/>
      <c r="E480" s="8"/>
      <c r="F480" s="11"/>
      <c r="G480" s="2"/>
      <c r="H480" s="2"/>
      <c r="I480" s="2"/>
      <c r="J480" s="2"/>
      <c r="K480" s="2"/>
      <c r="L480" s="2"/>
      <c r="M480" s="2"/>
      <c r="N480" s="2"/>
      <c r="O480" s="2"/>
      <c r="P480" s="2"/>
      <c r="Q480" s="2"/>
      <c r="R480" s="2"/>
      <c r="S480" s="2"/>
      <c r="T480" s="2"/>
      <c r="U480" s="2"/>
      <c r="V480" s="2"/>
      <c r="W480" s="2"/>
      <c r="X480" s="2"/>
      <c r="Y480" s="2"/>
      <c r="Z480" s="2"/>
      <c r="AA480" s="2"/>
      <c r="AB480" s="2"/>
    </row>
    <row r="481">
      <c r="A481" s="8"/>
      <c r="B481" s="9"/>
      <c r="C481" s="9"/>
      <c r="D481" s="8"/>
      <c r="E481" s="8"/>
      <c r="F481" s="11"/>
      <c r="G481" s="2"/>
      <c r="H481" s="2"/>
      <c r="I481" s="2"/>
      <c r="J481" s="2"/>
      <c r="K481" s="2"/>
      <c r="L481" s="2"/>
      <c r="M481" s="2"/>
      <c r="N481" s="2"/>
      <c r="O481" s="2"/>
      <c r="P481" s="2"/>
      <c r="Q481" s="2"/>
      <c r="R481" s="2"/>
      <c r="S481" s="2"/>
      <c r="T481" s="2"/>
      <c r="U481" s="2"/>
      <c r="V481" s="2"/>
      <c r="W481" s="2"/>
      <c r="X481" s="2"/>
      <c r="Y481" s="2"/>
      <c r="Z481" s="2"/>
      <c r="AA481" s="2"/>
      <c r="AB481" s="2"/>
    </row>
    <row r="482">
      <c r="A482" s="8"/>
      <c r="B482" s="9"/>
      <c r="C482" s="9"/>
      <c r="D482" s="8"/>
      <c r="E482" s="8"/>
      <c r="F482" s="11"/>
      <c r="G482" s="2"/>
      <c r="H482" s="2"/>
      <c r="I482" s="2"/>
      <c r="J482" s="2"/>
      <c r="K482" s="2"/>
      <c r="L482" s="2"/>
      <c r="M482" s="2"/>
      <c r="N482" s="2"/>
      <c r="O482" s="2"/>
      <c r="P482" s="2"/>
      <c r="Q482" s="2"/>
      <c r="R482" s="2"/>
      <c r="S482" s="2"/>
      <c r="T482" s="2"/>
      <c r="U482" s="2"/>
      <c r="V482" s="2"/>
      <c r="W482" s="2"/>
      <c r="X482" s="2"/>
      <c r="Y482" s="2"/>
      <c r="Z482" s="2"/>
      <c r="AA482" s="2"/>
      <c r="AB482" s="2"/>
    </row>
    <row r="483">
      <c r="A483" s="8"/>
      <c r="B483" s="9"/>
      <c r="C483" s="9"/>
      <c r="D483" s="8"/>
      <c r="E483" s="8"/>
      <c r="F483" s="11"/>
      <c r="G483" s="2"/>
      <c r="H483" s="2"/>
      <c r="I483" s="2"/>
      <c r="J483" s="2"/>
      <c r="K483" s="2"/>
      <c r="L483" s="2"/>
      <c r="M483" s="2"/>
      <c r="N483" s="2"/>
      <c r="O483" s="2"/>
      <c r="P483" s="2"/>
      <c r="Q483" s="2"/>
      <c r="R483" s="2"/>
      <c r="S483" s="2"/>
      <c r="T483" s="2"/>
      <c r="U483" s="2"/>
      <c r="V483" s="2"/>
      <c r="W483" s="2"/>
      <c r="X483" s="2"/>
      <c r="Y483" s="2"/>
      <c r="Z483" s="2"/>
      <c r="AA483" s="2"/>
      <c r="AB483" s="2"/>
    </row>
    <row r="484">
      <c r="A484" s="8"/>
      <c r="B484" s="9"/>
      <c r="C484" s="9"/>
      <c r="D484" s="8"/>
      <c r="E484" s="8"/>
      <c r="F484" s="11"/>
      <c r="G484" s="2"/>
      <c r="H484" s="2"/>
      <c r="I484" s="2"/>
      <c r="J484" s="2"/>
      <c r="K484" s="2"/>
      <c r="L484" s="2"/>
      <c r="M484" s="2"/>
      <c r="N484" s="2"/>
      <c r="O484" s="2"/>
      <c r="P484" s="2"/>
      <c r="Q484" s="2"/>
      <c r="R484" s="2"/>
      <c r="S484" s="2"/>
      <c r="T484" s="2"/>
      <c r="U484" s="2"/>
      <c r="V484" s="2"/>
      <c r="W484" s="2"/>
      <c r="X484" s="2"/>
      <c r="Y484" s="2"/>
      <c r="Z484" s="2"/>
      <c r="AA484" s="2"/>
      <c r="AB484" s="2"/>
    </row>
    <row r="485">
      <c r="A485" s="8"/>
      <c r="B485" s="9"/>
      <c r="C485" s="9"/>
      <c r="D485" s="8"/>
      <c r="E485" s="8"/>
      <c r="F485" s="11"/>
      <c r="G485" s="2"/>
      <c r="H485" s="2"/>
      <c r="I485" s="2"/>
      <c r="J485" s="2"/>
      <c r="K485" s="2"/>
      <c r="L485" s="2"/>
      <c r="M485" s="2"/>
      <c r="N485" s="2"/>
      <c r="O485" s="2"/>
      <c r="P485" s="2"/>
      <c r="Q485" s="2"/>
      <c r="R485" s="2"/>
      <c r="S485" s="2"/>
      <c r="T485" s="2"/>
      <c r="U485" s="2"/>
      <c r="V485" s="2"/>
      <c r="W485" s="2"/>
      <c r="X485" s="2"/>
      <c r="Y485" s="2"/>
      <c r="Z485" s="2"/>
      <c r="AA485" s="2"/>
      <c r="AB485" s="2"/>
    </row>
    <row r="486">
      <c r="A486" s="8"/>
      <c r="B486" s="9"/>
      <c r="C486" s="9"/>
      <c r="D486" s="8"/>
      <c r="E486" s="8"/>
      <c r="F486" s="11"/>
      <c r="G486" s="2"/>
      <c r="H486" s="2"/>
      <c r="I486" s="2"/>
      <c r="J486" s="2"/>
      <c r="K486" s="2"/>
      <c r="L486" s="2"/>
      <c r="M486" s="2"/>
      <c r="N486" s="2"/>
      <c r="O486" s="2"/>
      <c r="P486" s="2"/>
      <c r="Q486" s="2"/>
      <c r="R486" s="2"/>
      <c r="S486" s="2"/>
      <c r="T486" s="2"/>
      <c r="U486" s="2"/>
      <c r="V486" s="2"/>
      <c r="W486" s="2"/>
      <c r="X486" s="2"/>
      <c r="Y486" s="2"/>
      <c r="Z486" s="2"/>
      <c r="AA486" s="2"/>
      <c r="AB486" s="2"/>
    </row>
    <row r="487">
      <c r="A487" s="8"/>
      <c r="B487" s="9"/>
      <c r="C487" s="9"/>
      <c r="D487" s="8"/>
      <c r="E487" s="8"/>
      <c r="F487" s="11"/>
      <c r="G487" s="2"/>
      <c r="H487" s="2"/>
      <c r="I487" s="2"/>
      <c r="J487" s="2"/>
      <c r="K487" s="2"/>
      <c r="L487" s="2"/>
      <c r="M487" s="2"/>
      <c r="N487" s="2"/>
      <c r="O487" s="2"/>
      <c r="P487" s="2"/>
      <c r="Q487" s="2"/>
      <c r="R487" s="2"/>
      <c r="S487" s="2"/>
      <c r="T487" s="2"/>
      <c r="U487" s="2"/>
      <c r="V487" s="2"/>
      <c r="W487" s="2"/>
      <c r="X487" s="2"/>
      <c r="Y487" s="2"/>
      <c r="Z487" s="2"/>
      <c r="AA487" s="2"/>
      <c r="AB487" s="2"/>
    </row>
    <row r="488">
      <c r="A488" s="8"/>
      <c r="B488" s="9"/>
      <c r="C488" s="9"/>
      <c r="D488" s="8"/>
      <c r="E488" s="8"/>
      <c r="F488" s="11"/>
      <c r="G488" s="2"/>
      <c r="H488" s="2"/>
      <c r="I488" s="2"/>
      <c r="J488" s="2"/>
      <c r="K488" s="2"/>
      <c r="L488" s="2"/>
      <c r="M488" s="2"/>
      <c r="N488" s="2"/>
      <c r="O488" s="2"/>
      <c r="P488" s="2"/>
      <c r="Q488" s="2"/>
      <c r="R488" s="2"/>
      <c r="S488" s="2"/>
      <c r="T488" s="2"/>
      <c r="U488" s="2"/>
      <c r="V488" s="2"/>
      <c r="W488" s="2"/>
      <c r="X488" s="2"/>
      <c r="Y488" s="2"/>
      <c r="Z488" s="2"/>
      <c r="AA488" s="2"/>
      <c r="AB488" s="2"/>
    </row>
    <row r="489">
      <c r="A489" s="8"/>
      <c r="B489" s="9"/>
      <c r="C489" s="9"/>
      <c r="D489" s="8"/>
      <c r="E489" s="8"/>
      <c r="F489" s="11"/>
      <c r="G489" s="2"/>
      <c r="H489" s="2"/>
      <c r="I489" s="2"/>
      <c r="J489" s="2"/>
      <c r="K489" s="2"/>
      <c r="L489" s="2"/>
      <c r="M489" s="2"/>
      <c r="N489" s="2"/>
      <c r="O489" s="2"/>
      <c r="P489" s="2"/>
      <c r="Q489" s="2"/>
      <c r="R489" s="2"/>
      <c r="S489" s="2"/>
      <c r="T489" s="2"/>
      <c r="U489" s="2"/>
      <c r="V489" s="2"/>
      <c r="W489" s="2"/>
      <c r="X489" s="2"/>
      <c r="Y489" s="2"/>
      <c r="Z489" s="2"/>
      <c r="AA489" s="2"/>
      <c r="AB489" s="2"/>
    </row>
    <row r="490">
      <c r="A490" s="8"/>
      <c r="B490" s="9"/>
      <c r="C490" s="9"/>
      <c r="D490" s="8"/>
      <c r="E490" s="8"/>
      <c r="F490" s="11"/>
      <c r="G490" s="2"/>
      <c r="H490" s="2"/>
      <c r="I490" s="2"/>
      <c r="J490" s="2"/>
      <c r="K490" s="2"/>
      <c r="L490" s="2"/>
      <c r="M490" s="2"/>
      <c r="N490" s="2"/>
      <c r="O490" s="2"/>
      <c r="P490" s="2"/>
      <c r="Q490" s="2"/>
      <c r="R490" s="2"/>
      <c r="S490" s="2"/>
      <c r="T490" s="2"/>
      <c r="U490" s="2"/>
      <c r="V490" s="2"/>
      <c r="W490" s="2"/>
      <c r="X490" s="2"/>
      <c r="Y490" s="2"/>
      <c r="Z490" s="2"/>
      <c r="AA490" s="2"/>
      <c r="AB490" s="2"/>
    </row>
    <row r="491">
      <c r="A491" s="8"/>
      <c r="B491" s="9"/>
      <c r="C491" s="9"/>
      <c r="D491" s="8"/>
      <c r="E491" s="8"/>
      <c r="F491" s="11"/>
      <c r="G491" s="2"/>
      <c r="H491" s="2"/>
      <c r="I491" s="2"/>
      <c r="J491" s="2"/>
      <c r="K491" s="2"/>
      <c r="L491" s="2"/>
      <c r="M491" s="2"/>
      <c r="N491" s="2"/>
      <c r="O491" s="2"/>
      <c r="P491" s="2"/>
      <c r="Q491" s="2"/>
      <c r="R491" s="2"/>
      <c r="S491" s="2"/>
      <c r="T491" s="2"/>
      <c r="U491" s="2"/>
      <c r="V491" s="2"/>
      <c r="W491" s="2"/>
      <c r="X491" s="2"/>
      <c r="Y491" s="2"/>
      <c r="Z491" s="2"/>
      <c r="AA491" s="2"/>
      <c r="AB491" s="2"/>
    </row>
    <row r="492">
      <c r="A492" s="8"/>
      <c r="B492" s="9"/>
      <c r="C492" s="9"/>
      <c r="D492" s="8"/>
      <c r="E492" s="8"/>
      <c r="F492" s="11"/>
      <c r="G492" s="2"/>
      <c r="H492" s="2"/>
      <c r="I492" s="2"/>
      <c r="J492" s="2"/>
      <c r="K492" s="2"/>
      <c r="L492" s="2"/>
      <c r="M492" s="2"/>
      <c r="N492" s="2"/>
      <c r="O492" s="2"/>
      <c r="P492" s="2"/>
      <c r="Q492" s="2"/>
      <c r="R492" s="2"/>
      <c r="S492" s="2"/>
      <c r="T492" s="2"/>
      <c r="U492" s="2"/>
      <c r="V492" s="2"/>
      <c r="W492" s="2"/>
      <c r="X492" s="2"/>
      <c r="Y492" s="2"/>
      <c r="Z492" s="2"/>
      <c r="AA492" s="2"/>
      <c r="AB492" s="2"/>
    </row>
    <row r="493">
      <c r="A493" s="8"/>
      <c r="B493" s="9"/>
      <c r="C493" s="9"/>
      <c r="D493" s="8"/>
      <c r="E493" s="8"/>
      <c r="F493" s="11"/>
      <c r="G493" s="2"/>
      <c r="H493" s="2"/>
      <c r="I493" s="2"/>
      <c r="J493" s="2"/>
      <c r="K493" s="2"/>
      <c r="L493" s="2"/>
      <c r="M493" s="2"/>
      <c r="N493" s="2"/>
      <c r="O493" s="2"/>
      <c r="P493" s="2"/>
      <c r="Q493" s="2"/>
      <c r="R493" s="2"/>
      <c r="S493" s="2"/>
      <c r="T493" s="2"/>
      <c r="U493" s="2"/>
      <c r="V493" s="2"/>
      <c r="W493" s="2"/>
      <c r="X493" s="2"/>
      <c r="Y493" s="2"/>
      <c r="Z493" s="2"/>
      <c r="AA493" s="2"/>
      <c r="AB493" s="2"/>
    </row>
    <row r="494">
      <c r="A494" s="8"/>
      <c r="B494" s="9"/>
      <c r="C494" s="9"/>
      <c r="D494" s="8"/>
      <c r="E494" s="8"/>
      <c r="F494" s="11"/>
      <c r="G494" s="2"/>
      <c r="H494" s="2"/>
      <c r="I494" s="2"/>
      <c r="J494" s="2"/>
      <c r="K494" s="2"/>
      <c r="L494" s="2"/>
      <c r="M494" s="2"/>
      <c r="N494" s="2"/>
      <c r="O494" s="2"/>
      <c r="P494" s="2"/>
      <c r="Q494" s="2"/>
      <c r="R494" s="2"/>
      <c r="S494" s="2"/>
      <c r="T494" s="2"/>
      <c r="U494" s="2"/>
      <c r="V494" s="2"/>
      <c r="W494" s="2"/>
      <c r="X494" s="2"/>
      <c r="Y494" s="2"/>
      <c r="Z494" s="2"/>
      <c r="AA494" s="2"/>
      <c r="AB494" s="2"/>
    </row>
    <row r="495">
      <c r="A495" s="8"/>
      <c r="B495" s="9"/>
      <c r="C495" s="9"/>
      <c r="D495" s="8"/>
      <c r="E495" s="8"/>
      <c r="F495" s="11"/>
      <c r="G495" s="2"/>
      <c r="H495" s="2"/>
      <c r="I495" s="2"/>
      <c r="J495" s="2"/>
      <c r="K495" s="2"/>
      <c r="L495" s="2"/>
      <c r="M495" s="2"/>
      <c r="N495" s="2"/>
      <c r="O495" s="2"/>
      <c r="P495" s="2"/>
      <c r="Q495" s="2"/>
      <c r="R495" s="2"/>
      <c r="S495" s="2"/>
      <c r="T495" s="2"/>
      <c r="U495" s="2"/>
      <c r="V495" s="2"/>
      <c r="W495" s="2"/>
      <c r="X495" s="2"/>
      <c r="Y495" s="2"/>
      <c r="Z495" s="2"/>
      <c r="AA495" s="2"/>
      <c r="AB495" s="2"/>
    </row>
    <row r="496">
      <c r="A496" s="8"/>
      <c r="B496" s="9"/>
      <c r="C496" s="9"/>
      <c r="D496" s="8"/>
      <c r="E496" s="8"/>
      <c r="F496" s="11"/>
      <c r="G496" s="2"/>
      <c r="H496" s="2"/>
      <c r="I496" s="2"/>
      <c r="J496" s="2"/>
      <c r="K496" s="2"/>
      <c r="L496" s="2"/>
      <c r="M496" s="2"/>
      <c r="N496" s="2"/>
      <c r="O496" s="2"/>
      <c r="P496" s="2"/>
      <c r="Q496" s="2"/>
      <c r="R496" s="2"/>
      <c r="S496" s="2"/>
      <c r="T496" s="2"/>
      <c r="U496" s="2"/>
      <c r="V496" s="2"/>
      <c r="W496" s="2"/>
      <c r="X496" s="2"/>
      <c r="Y496" s="2"/>
      <c r="Z496" s="2"/>
      <c r="AA496" s="2"/>
      <c r="AB496" s="2"/>
    </row>
    <row r="497">
      <c r="A497" s="8"/>
      <c r="B497" s="9"/>
      <c r="C497" s="9"/>
      <c r="D497" s="8"/>
      <c r="E497" s="8"/>
      <c r="F497" s="11"/>
      <c r="G497" s="2"/>
      <c r="H497" s="2"/>
      <c r="I497" s="2"/>
      <c r="J497" s="2"/>
      <c r="K497" s="2"/>
      <c r="L497" s="2"/>
      <c r="M497" s="2"/>
      <c r="N497" s="2"/>
      <c r="O497" s="2"/>
      <c r="P497" s="2"/>
      <c r="Q497" s="2"/>
      <c r="R497" s="2"/>
      <c r="S497" s="2"/>
      <c r="T497" s="2"/>
      <c r="U497" s="2"/>
      <c r="V497" s="2"/>
      <c r="W497" s="2"/>
      <c r="X497" s="2"/>
      <c r="Y497" s="2"/>
      <c r="Z497" s="2"/>
      <c r="AA497" s="2"/>
      <c r="AB497" s="2"/>
    </row>
    <row r="498">
      <c r="A498" s="8"/>
      <c r="B498" s="9"/>
      <c r="C498" s="9"/>
      <c r="D498" s="8"/>
      <c r="E498" s="8"/>
      <c r="F498" s="11"/>
      <c r="G498" s="2"/>
      <c r="H498" s="2"/>
      <c r="I498" s="2"/>
      <c r="J498" s="2"/>
      <c r="K498" s="2"/>
      <c r="L498" s="2"/>
      <c r="M498" s="2"/>
      <c r="N498" s="2"/>
      <c r="O498" s="2"/>
      <c r="P498" s="2"/>
      <c r="Q498" s="2"/>
      <c r="R498" s="2"/>
      <c r="S498" s="2"/>
      <c r="T498" s="2"/>
      <c r="U498" s="2"/>
      <c r="V498" s="2"/>
      <c r="W498" s="2"/>
      <c r="X498" s="2"/>
      <c r="Y498" s="2"/>
      <c r="Z498" s="2"/>
      <c r="AA498" s="2"/>
      <c r="AB498" s="2"/>
    </row>
    <row r="499">
      <c r="A499" s="8"/>
      <c r="B499" s="9"/>
      <c r="C499" s="9"/>
      <c r="D499" s="8"/>
      <c r="E499" s="8"/>
      <c r="F499" s="11"/>
      <c r="G499" s="2"/>
      <c r="H499" s="2"/>
      <c r="I499" s="2"/>
      <c r="J499" s="2"/>
      <c r="K499" s="2"/>
      <c r="L499" s="2"/>
      <c r="M499" s="2"/>
      <c r="N499" s="2"/>
      <c r="O499" s="2"/>
      <c r="P499" s="2"/>
      <c r="Q499" s="2"/>
      <c r="R499" s="2"/>
      <c r="S499" s="2"/>
      <c r="T499" s="2"/>
      <c r="U499" s="2"/>
      <c r="V499" s="2"/>
      <c r="W499" s="2"/>
      <c r="X499" s="2"/>
      <c r="Y499" s="2"/>
      <c r="Z499" s="2"/>
      <c r="AA499" s="2"/>
      <c r="AB499" s="2"/>
    </row>
    <row r="500">
      <c r="A500" s="8"/>
      <c r="B500" s="9"/>
      <c r="C500" s="9"/>
      <c r="D500" s="8"/>
      <c r="E500" s="8"/>
      <c r="F500" s="11"/>
      <c r="G500" s="2"/>
      <c r="H500" s="2"/>
      <c r="I500" s="2"/>
      <c r="J500" s="2"/>
      <c r="K500" s="2"/>
      <c r="L500" s="2"/>
      <c r="M500" s="2"/>
      <c r="N500" s="2"/>
      <c r="O500" s="2"/>
      <c r="P500" s="2"/>
      <c r="Q500" s="2"/>
      <c r="R500" s="2"/>
      <c r="S500" s="2"/>
      <c r="T500" s="2"/>
      <c r="U500" s="2"/>
      <c r="V500" s="2"/>
      <c r="W500" s="2"/>
      <c r="X500" s="2"/>
      <c r="Y500" s="2"/>
      <c r="Z500" s="2"/>
      <c r="AA500" s="2"/>
      <c r="AB500" s="2"/>
    </row>
    <row r="501">
      <c r="A501" s="8"/>
      <c r="B501" s="9"/>
      <c r="C501" s="9"/>
      <c r="D501" s="8"/>
      <c r="E501" s="8"/>
      <c r="F501" s="11"/>
      <c r="G501" s="2"/>
      <c r="H501" s="2"/>
      <c r="I501" s="2"/>
      <c r="J501" s="2"/>
      <c r="K501" s="2"/>
      <c r="L501" s="2"/>
      <c r="M501" s="2"/>
      <c r="N501" s="2"/>
      <c r="O501" s="2"/>
      <c r="P501" s="2"/>
      <c r="Q501" s="2"/>
      <c r="R501" s="2"/>
      <c r="S501" s="2"/>
      <c r="T501" s="2"/>
      <c r="U501" s="2"/>
      <c r="V501" s="2"/>
      <c r="W501" s="2"/>
      <c r="X501" s="2"/>
      <c r="Y501" s="2"/>
      <c r="Z501" s="2"/>
      <c r="AA501" s="2"/>
      <c r="AB501" s="2"/>
    </row>
    <row r="502">
      <c r="A502" s="8"/>
      <c r="B502" s="9"/>
      <c r="C502" s="9"/>
      <c r="D502" s="8"/>
      <c r="E502" s="8"/>
      <c r="F502" s="11"/>
      <c r="G502" s="2"/>
      <c r="H502" s="2"/>
      <c r="I502" s="2"/>
      <c r="J502" s="2"/>
      <c r="K502" s="2"/>
      <c r="L502" s="2"/>
      <c r="M502" s="2"/>
      <c r="N502" s="2"/>
      <c r="O502" s="2"/>
      <c r="P502" s="2"/>
      <c r="Q502" s="2"/>
      <c r="R502" s="2"/>
      <c r="S502" s="2"/>
      <c r="T502" s="2"/>
      <c r="U502" s="2"/>
      <c r="V502" s="2"/>
      <c r="W502" s="2"/>
      <c r="X502" s="2"/>
      <c r="Y502" s="2"/>
      <c r="Z502" s="2"/>
      <c r="AA502" s="2"/>
      <c r="AB502" s="2"/>
    </row>
    <row r="503">
      <c r="A503" s="8"/>
      <c r="B503" s="9"/>
      <c r="C503" s="9"/>
      <c r="D503" s="8"/>
      <c r="E503" s="8"/>
      <c r="F503" s="11"/>
      <c r="G503" s="2"/>
      <c r="H503" s="2"/>
      <c r="I503" s="2"/>
      <c r="J503" s="2"/>
      <c r="K503" s="2"/>
      <c r="L503" s="2"/>
      <c r="M503" s="2"/>
      <c r="N503" s="2"/>
      <c r="O503" s="2"/>
      <c r="P503" s="2"/>
      <c r="Q503" s="2"/>
      <c r="R503" s="2"/>
      <c r="S503" s="2"/>
      <c r="T503" s="2"/>
      <c r="U503" s="2"/>
      <c r="V503" s="2"/>
      <c r="W503" s="2"/>
      <c r="X503" s="2"/>
      <c r="Y503" s="2"/>
      <c r="Z503" s="2"/>
      <c r="AA503" s="2"/>
      <c r="AB503" s="2"/>
    </row>
    <row r="504">
      <c r="A504" s="8"/>
      <c r="B504" s="9"/>
      <c r="C504" s="9"/>
      <c r="D504" s="8"/>
      <c r="E504" s="8"/>
      <c r="F504" s="11"/>
      <c r="G504" s="2"/>
      <c r="H504" s="2"/>
      <c r="I504" s="2"/>
      <c r="J504" s="2"/>
      <c r="K504" s="2"/>
      <c r="L504" s="2"/>
      <c r="M504" s="2"/>
      <c r="N504" s="2"/>
      <c r="O504" s="2"/>
      <c r="P504" s="2"/>
      <c r="Q504" s="2"/>
      <c r="R504" s="2"/>
      <c r="S504" s="2"/>
      <c r="T504" s="2"/>
      <c r="U504" s="2"/>
      <c r="V504" s="2"/>
      <c r="W504" s="2"/>
      <c r="X504" s="2"/>
      <c r="Y504" s="2"/>
      <c r="Z504" s="2"/>
      <c r="AA504" s="2"/>
      <c r="AB504" s="2"/>
    </row>
    <row r="505">
      <c r="A505" s="8"/>
      <c r="B505" s="9"/>
      <c r="C505" s="9"/>
      <c r="D505" s="8"/>
      <c r="E505" s="8"/>
      <c r="F505" s="11"/>
      <c r="G505" s="2"/>
      <c r="H505" s="2"/>
      <c r="I505" s="2"/>
      <c r="J505" s="2"/>
      <c r="K505" s="2"/>
      <c r="L505" s="2"/>
      <c r="M505" s="2"/>
      <c r="N505" s="2"/>
      <c r="O505" s="2"/>
      <c r="P505" s="2"/>
      <c r="Q505" s="2"/>
      <c r="R505" s="2"/>
      <c r="S505" s="2"/>
      <c r="T505" s="2"/>
      <c r="U505" s="2"/>
      <c r="V505" s="2"/>
      <c r="W505" s="2"/>
      <c r="X505" s="2"/>
      <c r="Y505" s="2"/>
      <c r="Z505" s="2"/>
      <c r="AA505" s="2"/>
      <c r="AB505" s="2"/>
    </row>
    <row r="506">
      <c r="A506" s="8"/>
      <c r="B506" s="9"/>
      <c r="C506" s="9"/>
      <c r="D506" s="8"/>
      <c r="E506" s="8"/>
      <c r="F506" s="11"/>
      <c r="G506" s="2"/>
      <c r="H506" s="2"/>
      <c r="I506" s="2"/>
      <c r="J506" s="2"/>
      <c r="K506" s="2"/>
      <c r="L506" s="2"/>
      <c r="M506" s="2"/>
      <c r="N506" s="2"/>
      <c r="O506" s="2"/>
      <c r="P506" s="2"/>
      <c r="Q506" s="2"/>
      <c r="R506" s="2"/>
      <c r="S506" s="2"/>
      <c r="T506" s="2"/>
      <c r="U506" s="2"/>
      <c r="V506" s="2"/>
      <c r="W506" s="2"/>
      <c r="X506" s="2"/>
      <c r="Y506" s="2"/>
      <c r="Z506" s="2"/>
      <c r="AA506" s="2"/>
      <c r="AB506" s="2"/>
    </row>
    <row r="507">
      <c r="A507" s="8"/>
      <c r="B507" s="9"/>
      <c r="C507" s="9"/>
      <c r="D507" s="8"/>
      <c r="E507" s="8"/>
      <c r="F507" s="11"/>
      <c r="G507" s="2"/>
      <c r="H507" s="2"/>
      <c r="I507" s="2"/>
      <c r="J507" s="2"/>
      <c r="K507" s="2"/>
      <c r="L507" s="2"/>
      <c r="M507" s="2"/>
      <c r="N507" s="2"/>
      <c r="O507" s="2"/>
      <c r="P507" s="2"/>
      <c r="Q507" s="2"/>
      <c r="R507" s="2"/>
      <c r="S507" s="2"/>
      <c r="T507" s="2"/>
      <c r="U507" s="2"/>
      <c r="V507" s="2"/>
      <c r="W507" s="2"/>
      <c r="X507" s="2"/>
      <c r="Y507" s="2"/>
      <c r="Z507" s="2"/>
      <c r="AA507" s="2"/>
      <c r="AB507" s="2"/>
    </row>
    <row r="508">
      <c r="A508" s="8"/>
      <c r="B508" s="9"/>
      <c r="C508" s="9"/>
      <c r="D508" s="8"/>
      <c r="E508" s="8"/>
      <c r="F508" s="11"/>
      <c r="G508" s="2"/>
      <c r="H508" s="2"/>
      <c r="I508" s="2"/>
      <c r="J508" s="2"/>
      <c r="K508" s="2"/>
      <c r="L508" s="2"/>
      <c r="M508" s="2"/>
      <c r="N508" s="2"/>
      <c r="O508" s="2"/>
      <c r="P508" s="2"/>
      <c r="Q508" s="2"/>
      <c r="R508" s="2"/>
      <c r="S508" s="2"/>
      <c r="T508" s="2"/>
      <c r="U508" s="2"/>
      <c r="V508" s="2"/>
      <c r="W508" s="2"/>
      <c r="X508" s="2"/>
      <c r="Y508" s="2"/>
      <c r="Z508" s="2"/>
      <c r="AA508" s="2"/>
      <c r="AB508" s="2"/>
    </row>
    <row r="509">
      <c r="A509" s="8"/>
      <c r="B509" s="9"/>
      <c r="C509" s="9"/>
      <c r="D509" s="8"/>
      <c r="E509" s="8"/>
      <c r="F509" s="11"/>
      <c r="G509" s="2"/>
      <c r="H509" s="2"/>
      <c r="I509" s="2"/>
      <c r="J509" s="2"/>
      <c r="K509" s="2"/>
      <c r="L509" s="2"/>
      <c r="M509" s="2"/>
      <c r="N509" s="2"/>
      <c r="O509" s="2"/>
      <c r="P509" s="2"/>
      <c r="Q509" s="2"/>
      <c r="R509" s="2"/>
      <c r="S509" s="2"/>
      <c r="T509" s="2"/>
      <c r="U509" s="2"/>
      <c r="V509" s="2"/>
      <c r="W509" s="2"/>
      <c r="X509" s="2"/>
      <c r="Y509" s="2"/>
      <c r="Z509" s="2"/>
      <c r="AA509" s="2"/>
      <c r="AB509" s="2"/>
    </row>
    <row r="510">
      <c r="A510" s="8"/>
      <c r="B510" s="9"/>
      <c r="C510" s="9"/>
      <c r="D510" s="8"/>
      <c r="E510" s="8"/>
      <c r="F510" s="11"/>
      <c r="G510" s="2"/>
      <c r="H510" s="2"/>
      <c r="I510" s="2"/>
      <c r="J510" s="2"/>
      <c r="K510" s="2"/>
      <c r="L510" s="2"/>
      <c r="M510" s="2"/>
      <c r="N510" s="2"/>
      <c r="O510" s="2"/>
      <c r="P510" s="2"/>
      <c r="Q510" s="2"/>
      <c r="R510" s="2"/>
      <c r="S510" s="2"/>
      <c r="T510" s="2"/>
      <c r="U510" s="2"/>
      <c r="V510" s="2"/>
      <c r="W510" s="2"/>
      <c r="X510" s="2"/>
      <c r="Y510" s="2"/>
      <c r="Z510" s="2"/>
      <c r="AA510" s="2"/>
      <c r="AB510" s="2"/>
    </row>
    <row r="511">
      <c r="A511" s="8"/>
      <c r="B511" s="9"/>
      <c r="C511" s="9"/>
      <c r="D511" s="8"/>
      <c r="E511" s="8"/>
      <c r="F511" s="11"/>
      <c r="G511" s="2"/>
      <c r="H511" s="2"/>
      <c r="I511" s="2"/>
      <c r="J511" s="2"/>
      <c r="K511" s="2"/>
      <c r="L511" s="2"/>
      <c r="M511" s="2"/>
      <c r="N511" s="2"/>
      <c r="O511" s="2"/>
      <c r="P511" s="2"/>
      <c r="Q511" s="2"/>
      <c r="R511" s="2"/>
      <c r="S511" s="2"/>
      <c r="T511" s="2"/>
      <c r="U511" s="2"/>
      <c r="V511" s="2"/>
      <c r="W511" s="2"/>
      <c r="X511" s="2"/>
      <c r="Y511" s="2"/>
      <c r="Z511" s="2"/>
      <c r="AA511" s="2"/>
      <c r="AB511" s="2"/>
    </row>
    <row r="512">
      <c r="A512" s="8"/>
      <c r="B512" s="9"/>
      <c r="C512" s="9"/>
      <c r="D512" s="8"/>
      <c r="E512" s="8"/>
      <c r="F512" s="11"/>
      <c r="G512" s="2"/>
      <c r="H512" s="2"/>
      <c r="I512" s="2"/>
      <c r="J512" s="2"/>
      <c r="K512" s="2"/>
      <c r="L512" s="2"/>
      <c r="M512" s="2"/>
      <c r="N512" s="2"/>
      <c r="O512" s="2"/>
      <c r="P512" s="2"/>
      <c r="Q512" s="2"/>
      <c r="R512" s="2"/>
      <c r="S512" s="2"/>
      <c r="T512" s="2"/>
      <c r="U512" s="2"/>
      <c r="V512" s="2"/>
      <c r="W512" s="2"/>
      <c r="X512" s="2"/>
      <c r="Y512" s="2"/>
      <c r="Z512" s="2"/>
      <c r="AA512" s="2"/>
      <c r="AB512" s="2"/>
    </row>
    <row r="513">
      <c r="A513" s="8"/>
      <c r="B513" s="9"/>
      <c r="C513" s="9"/>
      <c r="D513" s="8"/>
      <c r="E513" s="8"/>
      <c r="F513" s="11"/>
      <c r="G513" s="2"/>
      <c r="H513" s="2"/>
      <c r="I513" s="2"/>
      <c r="J513" s="2"/>
      <c r="K513" s="2"/>
      <c r="L513" s="2"/>
      <c r="M513" s="2"/>
      <c r="N513" s="2"/>
      <c r="O513" s="2"/>
      <c r="P513" s="2"/>
      <c r="Q513" s="2"/>
      <c r="R513" s="2"/>
      <c r="S513" s="2"/>
      <c r="T513" s="2"/>
      <c r="U513" s="2"/>
      <c r="V513" s="2"/>
      <c r="W513" s="2"/>
      <c r="X513" s="2"/>
      <c r="Y513" s="2"/>
      <c r="Z513" s="2"/>
      <c r="AA513" s="2"/>
      <c r="AB513" s="2"/>
    </row>
    <row r="514">
      <c r="A514" s="8"/>
      <c r="B514" s="9"/>
      <c r="C514" s="9"/>
      <c r="D514" s="8"/>
      <c r="E514" s="8"/>
      <c r="F514" s="11"/>
      <c r="G514" s="2"/>
      <c r="H514" s="2"/>
      <c r="I514" s="2"/>
      <c r="J514" s="2"/>
      <c r="K514" s="2"/>
      <c r="L514" s="2"/>
      <c r="M514" s="2"/>
      <c r="N514" s="2"/>
      <c r="O514" s="2"/>
      <c r="P514" s="2"/>
      <c r="Q514" s="2"/>
      <c r="R514" s="2"/>
      <c r="S514" s="2"/>
      <c r="T514" s="2"/>
      <c r="U514" s="2"/>
      <c r="V514" s="2"/>
      <c r="W514" s="2"/>
      <c r="X514" s="2"/>
      <c r="Y514" s="2"/>
      <c r="Z514" s="2"/>
      <c r="AA514" s="2"/>
      <c r="AB514" s="2"/>
    </row>
    <row r="515">
      <c r="A515" s="8"/>
      <c r="B515" s="9"/>
      <c r="C515" s="9"/>
      <c r="D515" s="8"/>
      <c r="E515" s="8"/>
      <c r="F515" s="11"/>
      <c r="G515" s="2"/>
      <c r="H515" s="2"/>
      <c r="I515" s="2"/>
      <c r="J515" s="2"/>
      <c r="K515" s="2"/>
      <c r="L515" s="2"/>
      <c r="M515" s="2"/>
      <c r="N515" s="2"/>
      <c r="O515" s="2"/>
      <c r="P515" s="2"/>
      <c r="Q515" s="2"/>
      <c r="R515" s="2"/>
      <c r="S515" s="2"/>
      <c r="T515" s="2"/>
      <c r="U515" s="2"/>
      <c r="V515" s="2"/>
      <c r="W515" s="2"/>
      <c r="X515" s="2"/>
      <c r="Y515" s="2"/>
      <c r="Z515" s="2"/>
      <c r="AA515" s="2"/>
      <c r="AB515" s="2"/>
    </row>
    <row r="516">
      <c r="A516" s="8"/>
      <c r="B516" s="9"/>
      <c r="C516" s="9"/>
      <c r="D516" s="8"/>
      <c r="E516" s="8"/>
      <c r="F516" s="11"/>
      <c r="G516" s="2"/>
      <c r="H516" s="2"/>
      <c r="I516" s="2"/>
      <c r="J516" s="2"/>
      <c r="K516" s="2"/>
      <c r="L516" s="2"/>
      <c r="M516" s="2"/>
      <c r="N516" s="2"/>
      <c r="O516" s="2"/>
      <c r="P516" s="2"/>
      <c r="Q516" s="2"/>
      <c r="R516" s="2"/>
      <c r="S516" s="2"/>
      <c r="T516" s="2"/>
      <c r="U516" s="2"/>
      <c r="V516" s="2"/>
      <c r="W516" s="2"/>
      <c r="X516" s="2"/>
      <c r="Y516" s="2"/>
      <c r="Z516" s="2"/>
      <c r="AA516" s="2"/>
      <c r="AB516" s="2"/>
    </row>
    <row r="517">
      <c r="A517" s="8"/>
      <c r="B517" s="9"/>
      <c r="C517" s="9"/>
      <c r="D517" s="8"/>
      <c r="E517" s="8"/>
      <c r="F517" s="11"/>
      <c r="G517" s="2"/>
      <c r="H517" s="2"/>
      <c r="I517" s="2"/>
      <c r="J517" s="2"/>
      <c r="K517" s="2"/>
      <c r="L517" s="2"/>
      <c r="M517" s="2"/>
      <c r="N517" s="2"/>
      <c r="O517" s="2"/>
      <c r="P517" s="2"/>
      <c r="Q517" s="2"/>
      <c r="R517" s="2"/>
      <c r="S517" s="2"/>
      <c r="T517" s="2"/>
      <c r="U517" s="2"/>
      <c r="V517" s="2"/>
      <c r="W517" s="2"/>
      <c r="X517" s="2"/>
      <c r="Y517" s="2"/>
      <c r="Z517" s="2"/>
      <c r="AA517" s="2"/>
      <c r="AB517" s="2"/>
    </row>
    <row r="518">
      <c r="A518" s="8"/>
      <c r="B518" s="9"/>
      <c r="C518" s="9"/>
      <c r="D518" s="8"/>
      <c r="E518" s="8"/>
      <c r="F518" s="11"/>
      <c r="G518" s="2"/>
      <c r="H518" s="2"/>
      <c r="I518" s="2"/>
      <c r="J518" s="2"/>
      <c r="K518" s="2"/>
      <c r="L518" s="2"/>
      <c r="M518" s="2"/>
      <c r="N518" s="2"/>
      <c r="O518" s="2"/>
      <c r="P518" s="2"/>
      <c r="Q518" s="2"/>
      <c r="R518" s="2"/>
      <c r="S518" s="2"/>
      <c r="T518" s="2"/>
      <c r="U518" s="2"/>
      <c r="V518" s="2"/>
      <c r="W518" s="2"/>
      <c r="X518" s="2"/>
      <c r="Y518" s="2"/>
      <c r="Z518" s="2"/>
      <c r="AA518" s="2"/>
      <c r="AB518" s="2"/>
    </row>
    <row r="519">
      <c r="A519" s="8"/>
      <c r="B519" s="9"/>
      <c r="C519" s="9"/>
      <c r="D519" s="8"/>
      <c r="E519" s="8"/>
      <c r="F519" s="11"/>
      <c r="G519" s="2"/>
      <c r="H519" s="2"/>
      <c r="I519" s="2"/>
      <c r="J519" s="2"/>
      <c r="K519" s="2"/>
      <c r="L519" s="2"/>
      <c r="M519" s="2"/>
      <c r="N519" s="2"/>
      <c r="O519" s="2"/>
      <c r="P519" s="2"/>
      <c r="Q519" s="2"/>
      <c r="R519" s="2"/>
      <c r="S519" s="2"/>
      <c r="T519" s="2"/>
      <c r="U519" s="2"/>
      <c r="V519" s="2"/>
      <c r="W519" s="2"/>
      <c r="X519" s="2"/>
      <c r="Y519" s="2"/>
      <c r="Z519" s="2"/>
      <c r="AA519" s="2"/>
      <c r="AB519" s="2"/>
    </row>
    <row r="520">
      <c r="A520" s="8"/>
      <c r="B520" s="9"/>
      <c r="C520" s="9"/>
      <c r="D520" s="8"/>
      <c r="E520" s="8"/>
      <c r="F520" s="11"/>
      <c r="G520" s="2"/>
      <c r="H520" s="2"/>
      <c r="I520" s="2"/>
      <c r="J520" s="2"/>
      <c r="K520" s="2"/>
      <c r="L520" s="2"/>
      <c r="M520" s="2"/>
      <c r="N520" s="2"/>
      <c r="O520" s="2"/>
      <c r="P520" s="2"/>
      <c r="Q520" s="2"/>
      <c r="R520" s="2"/>
      <c r="S520" s="2"/>
      <c r="T520" s="2"/>
      <c r="U520" s="2"/>
      <c r="V520" s="2"/>
      <c r="W520" s="2"/>
      <c r="X520" s="2"/>
      <c r="Y520" s="2"/>
      <c r="Z520" s="2"/>
      <c r="AA520" s="2"/>
      <c r="AB520" s="2"/>
    </row>
    <row r="521">
      <c r="A521" s="8"/>
      <c r="B521" s="9"/>
      <c r="C521" s="9"/>
      <c r="D521" s="8"/>
      <c r="E521" s="8"/>
      <c r="F521" s="11"/>
      <c r="G521" s="2"/>
      <c r="H521" s="2"/>
      <c r="I521" s="2"/>
      <c r="J521" s="2"/>
      <c r="K521" s="2"/>
      <c r="L521" s="2"/>
      <c r="M521" s="2"/>
      <c r="N521" s="2"/>
      <c r="O521" s="2"/>
      <c r="P521" s="2"/>
      <c r="Q521" s="2"/>
      <c r="R521" s="2"/>
      <c r="S521" s="2"/>
      <c r="T521" s="2"/>
      <c r="U521" s="2"/>
      <c r="V521" s="2"/>
      <c r="W521" s="2"/>
      <c r="X521" s="2"/>
      <c r="Y521" s="2"/>
      <c r="Z521" s="2"/>
      <c r="AA521" s="2"/>
      <c r="AB521" s="2"/>
    </row>
    <row r="522">
      <c r="A522" s="8"/>
      <c r="B522" s="9"/>
      <c r="C522" s="9"/>
      <c r="D522" s="8"/>
      <c r="E522" s="8"/>
      <c r="F522" s="11"/>
      <c r="G522" s="2"/>
      <c r="H522" s="2"/>
      <c r="I522" s="2"/>
      <c r="J522" s="2"/>
      <c r="K522" s="2"/>
      <c r="L522" s="2"/>
      <c r="M522" s="2"/>
      <c r="N522" s="2"/>
      <c r="O522" s="2"/>
      <c r="P522" s="2"/>
      <c r="Q522" s="2"/>
      <c r="R522" s="2"/>
      <c r="S522" s="2"/>
      <c r="T522" s="2"/>
      <c r="U522" s="2"/>
      <c r="V522" s="2"/>
      <c r="W522" s="2"/>
      <c r="X522" s="2"/>
      <c r="Y522" s="2"/>
      <c r="Z522" s="2"/>
      <c r="AA522" s="2"/>
      <c r="AB522" s="2"/>
    </row>
    <row r="523">
      <c r="A523" s="8"/>
      <c r="B523" s="9"/>
      <c r="C523" s="9"/>
      <c r="D523" s="8"/>
      <c r="E523" s="8"/>
      <c r="F523" s="11"/>
      <c r="G523" s="2"/>
      <c r="H523" s="2"/>
      <c r="I523" s="2"/>
      <c r="J523" s="2"/>
      <c r="K523" s="2"/>
      <c r="L523" s="2"/>
      <c r="M523" s="2"/>
      <c r="N523" s="2"/>
      <c r="O523" s="2"/>
      <c r="P523" s="2"/>
      <c r="Q523" s="2"/>
      <c r="R523" s="2"/>
      <c r="S523" s="2"/>
      <c r="T523" s="2"/>
      <c r="U523" s="2"/>
      <c r="V523" s="2"/>
      <c r="W523" s="2"/>
      <c r="X523" s="2"/>
      <c r="Y523" s="2"/>
      <c r="Z523" s="2"/>
      <c r="AA523" s="2"/>
      <c r="AB523" s="2"/>
    </row>
    <row r="524">
      <c r="A524" s="8"/>
      <c r="B524" s="9"/>
      <c r="C524" s="9"/>
      <c r="D524" s="8"/>
      <c r="E524" s="8"/>
      <c r="F524" s="11"/>
      <c r="G524" s="2"/>
      <c r="H524" s="2"/>
      <c r="I524" s="2"/>
      <c r="J524" s="2"/>
      <c r="K524" s="2"/>
      <c r="L524" s="2"/>
      <c r="M524" s="2"/>
      <c r="N524" s="2"/>
      <c r="O524" s="2"/>
      <c r="P524" s="2"/>
      <c r="Q524" s="2"/>
      <c r="R524" s="2"/>
      <c r="S524" s="2"/>
      <c r="T524" s="2"/>
      <c r="U524" s="2"/>
      <c r="V524" s="2"/>
      <c r="W524" s="2"/>
      <c r="X524" s="2"/>
      <c r="Y524" s="2"/>
      <c r="Z524" s="2"/>
      <c r="AA524" s="2"/>
      <c r="AB524" s="2"/>
    </row>
    <row r="525">
      <c r="A525" s="8"/>
      <c r="B525" s="9"/>
      <c r="C525" s="9"/>
      <c r="D525" s="8"/>
      <c r="E525" s="8"/>
      <c r="F525" s="11"/>
      <c r="G525" s="2"/>
      <c r="H525" s="2"/>
      <c r="I525" s="2"/>
      <c r="J525" s="2"/>
      <c r="K525" s="2"/>
      <c r="L525" s="2"/>
      <c r="M525" s="2"/>
      <c r="N525" s="2"/>
      <c r="O525" s="2"/>
      <c r="P525" s="2"/>
      <c r="Q525" s="2"/>
      <c r="R525" s="2"/>
      <c r="S525" s="2"/>
      <c r="T525" s="2"/>
      <c r="U525" s="2"/>
      <c r="V525" s="2"/>
      <c r="W525" s="2"/>
      <c r="X525" s="2"/>
      <c r="Y525" s="2"/>
      <c r="Z525" s="2"/>
      <c r="AA525" s="2"/>
      <c r="AB525" s="2"/>
    </row>
    <row r="526">
      <c r="A526" s="8"/>
      <c r="B526" s="9"/>
      <c r="C526" s="9"/>
      <c r="D526" s="8"/>
      <c r="E526" s="8"/>
      <c r="F526" s="11"/>
      <c r="G526" s="2"/>
      <c r="H526" s="2"/>
      <c r="I526" s="2"/>
      <c r="J526" s="2"/>
      <c r="K526" s="2"/>
      <c r="L526" s="2"/>
      <c r="M526" s="2"/>
      <c r="N526" s="2"/>
      <c r="O526" s="2"/>
      <c r="P526" s="2"/>
      <c r="Q526" s="2"/>
      <c r="R526" s="2"/>
      <c r="S526" s="2"/>
      <c r="T526" s="2"/>
      <c r="U526" s="2"/>
      <c r="V526" s="2"/>
      <c r="W526" s="2"/>
      <c r="X526" s="2"/>
      <c r="Y526" s="2"/>
      <c r="Z526" s="2"/>
      <c r="AA526" s="2"/>
      <c r="AB526" s="2"/>
    </row>
    <row r="527">
      <c r="A527" s="8"/>
      <c r="B527" s="9"/>
      <c r="C527" s="9"/>
      <c r="D527" s="8"/>
      <c r="E527" s="8"/>
      <c r="F527" s="11"/>
      <c r="G527" s="2"/>
      <c r="H527" s="2"/>
      <c r="I527" s="2"/>
      <c r="J527" s="2"/>
      <c r="K527" s="2"/>
      <c r="L527" s="2"/>
      <c r="M527" s="2"/>
      <c r="N527" s="2"/>
      <c r="O527" s="2"/>
      <c r="P527" s="2"/>
      <c r="Q527" s="2"/>
      <c r="R527" s="2"/>
      <c r="S527" s="2"/>
      <c r="T527" s="2"/>
      <c r="U527" s="2"/>
      <c r="V527" s="2"/>
      <c r="W527" s="2"/>
      <c r="X527" s="2"/>
      <c r="Y527" s="2"/>
      <c r="Z527" s="2"/>
      <c r="AA527" s="2"/>
      <c r="AB527" s="2"/>
    </row>
    <row r="528">
      <c r="A528" s="8"/>
      <c r="B528" s="9"/>
      <c r="C528" s="9"/>
      <c r="D528" s="8"/>
      <c r="E528" s="8"/>
      <c r="F528" s="11"/>
      <c r="G528" s="2"/>
      <c r="H528" s="2"/>
      <c r="I528" s="2"/>
      <c r="J528" s="2"/>
      <c r="K528" s="2"/>
      <c r="L528" s="2"/>
      <c r="M528" s="2"/>
      <c r="N528" s="2"/>
      <c r="O528" s="2"/>
      <c r="P528" s="2"/>
      <c r="Q528" s="2"/>
      <c r="R528" s="2"/>
      <c r="S528" s="2"/>
      <c r="T528" s="2"/>
      <c r="U528" s="2"/>
      <c r="V528" s="2"/>
      <c r="W528" s="2"/>
      <c r="X528" s="2"/>
      <c r="Y528" s="2"/>
      <c r="Z528" s="2"/>
      <c r="AA528" s="2"/>
      <c r="AB528" s="2"/>
    </row>
    <row r="529">
      <c r="A529" s="8"/>
      <c r="B529" s="9"/>
      <c r="C529" s="9"/>
      <c r="D529" s="8"/>
      <c r="E529" s="8"/>
      <c r="F529" s="11"/>
      <c r="G529" s="2"/>
      <c r="H529" s="2"/>
      <c r="I529" s="2"/>
      <c r="J529" s="2"/>
      <c r="K529" s="2"/>
      <c r="L529" s="2"/>
      <c r="M529" s="2"/>
      <c r="N529" s="2"/>
      <c r="O529" s="2"/>
      <c r="P529" s="2"/>
      <c r="Q529" s="2"/>
      <c r="R529" s="2"/>
      <c r="S529" s="2"/>
      <c r="T529" s="2"/>
      <c r="U529" s="2"/>
      <c r="V529" s="2"/>
      <c r="W529" s="2"/>
      <c r="X529" s="2"/>
      <c r="Y529" s="2"/>
      <c r="Z529" s="2"/>
      <c r="AA529" s="2"/>
      <c r="AB529" s="2"/>
    </row>
    <row r="530">
      <c r="A530" s="8"/>
      <c r="B530" s="9"/>
      <c r="C530" s="9"/>
      <c r="D530" s="8"/>
      <c r="E530" s="8"/>
      <c r="F530" s="11"/>
      <c r="G530" s="2"/>
      <c r="H530" s="2"/>
      <c r="I530" s="2"/>
      <c r="J530" s="2"/>
      <c r="K530" s="2"/>
      <c r="L530" s="2"/>
      <c r="M530" s="2"/>
      <c r="N530" s="2"/>
      <c r="O530" s="2"/>
      <c r="P530" s="2"/>
      <c r="Q530" s="2"/>
      <c r="R530" s="2"/>
      <c r="S530" s="2"/>
      <c r="T530" s="2"/>
      <c r="U530" s="2"/>
      <c r="V530" s="2"/>
      <c r="W530" s="2"/>
      <c r="X530" s="2"/>
      <c r="Y530" s="2"/>
      <c r="Z530" s="2"/>
      <c r="AA530" s="2"/>
      <c r="AB530" s="2"/>
    </row>
    <row r="531">
      <c r="A531" s="8"/>
      <c r="B531" s="9"/>
      <c r="C531" s="9"/>
      <c r="D531" s="8"/>
      <c r="E531" s="8"/>
      <c r="F531" s="11"/>
      <c r="G531" s="2"/>
      <c r="H531" s="2"/>
      <c r="I531" s="2"/>
      <c r="J531" s="2"/>
      <c r="K531" s="2"/>
      <c r="L531" s="2"/>
      <c r="M531" s="2"/>
      <c r="N531" s="2"/>
      <c r="O531" s="2"/>
      <c r="P531" s="2"/>
      <c r="Q531" s="2"/>
      <c r="R531" s="2"/>
      <c r="S531" s="2"/>
      <c r="T531" s="2"/>
      <c r="U531" s="2"/>
      <c r="V531" s="2"/>
      <c r="W531" s="2"/>
      <c r="X531" s="2"/>
      <c r="Y531" s="2"/>
      <c r="Z531" s="2"/>
      <c r="AA531" s="2"/>
      <c r="AB531" s="2"/>
    </row>
    <row r="532">
      <c r="A532" s="8"/>
      <c r="B532" s="9"/>
      <c r="C532" s="9"/>
      <c r="D532" s="8"/>
      <c r="E532" s="8"/>
      <c r="F532" s="11"/>
      <c r="G532" s="2"/>
      <c r="H532" s="2"/>
      <c r="I532" s="2"/>
      <c r="J532" s="2"/>
      <c r="K532" s="2"/>
      <c r="L532" s="2"/>
      <c r="M532" s="2"/>
      <c r="N532" s="2"/>
      <c r="O532" s="2"/>
      <c r="P532" s="2"/>
      <c r="Q532" s="2"/>
      <c r="R532" s="2"/>
      <c r="S532" s="2"/>
      <c r="T532" s="2"/>
      <c r="U532" s="2"/>
      <c r="V532" s="2"/>
      <c r="W532" s="2"/>
      <c r="X532" s="2"/>
      <c r="Y532" s="2"/>
      <c r="Z532" s="2"/>
      <c r="AA532" s="2"/>
      <c r="AB532" s="2"/>
    </row>
    <row r="533">
      <c r="A533" s="8"/>
      <c r="B533" s="9"/>
      <c r="C533" s="9"/>
      <c r="D533" s="8"/>
      <c r="E533" s="8"/>
      <c r="F533" s="11"/>
      <c r="G533" s="2"/>
      <c r="H533" s="2"/>
      <c r="I533" s="2"/>
      <c r="J533" s="2"/>
      <c r="K533" s="2"/>
      <c r="L533" s="2"/>
      <c r="M533" s="2"/>
      <c r="N533" s="2"/>
      <c r="O533" s="2"/>
      <c r="P533" s="2"/>
      <c r="Q533" s="2"/>
      <c r="R533" s="2"/>
      <c r="S533" s="2"/>
      <c r="T533" s="2"/>
      <c r="U533" s="2"/>
      <c r="V533" s="2"/>
      <c r="W533" s="2"/>
      <c r="X533" s="2"/>
      <c r="Y533" s="2"/>
      <c r="Z533" s="2"/>
      <c r="AA533" s="2"/>
      <c r="AB533" s="2"/>
    </row>
    <row r="534">
      <c r="A534" s="8"/>
      <c r="B534" s="9"/>
      <c r="C534" s="9"/>
      <c r="D534" s="8"/>
      <c r="E534" s="8"/>
      <c r="F534" s="11"/>
      <c r="G534" s="2"/>
      <c r="H534" s="2"/>
      <c r="I534" s="2"/>
      <c r="J534" s="2"/>
      <c r="K534" s="2"/>
      <c r="L534" s="2"/>
      <c r="M534" s="2"/>
      <c r="N534" s="2"/>
      <c r="O534" s="2"/>
      <c r="P534" s="2"/>
      <c r="Q534" s="2"/>
      <c r="R534" s="2"/>
      <c r="S534" s="2"/>
      <c r="T534" s="2"/>
      <c r="U534" s="2"/>
      <c r="V534" s="2"/>
      <c r="W534" s="2"/>
      <c r="X534" s="2"/>
      <c r="Y534" s="2"/>
      <c r="Z534" s="2"/>
      <c r="AA534" s="2"/>
      <c r="AB534" s="2"/>
    </row>
    <row r="535">
      <c r="A535" s="8"/>
      <c r="B535" s="9"/>
      <c r="C535" s="9"/>
      <c r="D535" s="8"/>
      <c r="E535" s="8"/>
      <c r="F535" s="11"/>
      <c r="G535" s="2"/>
      <c r="H535" s="2"/>
      <c r="I535" s="2"/>
      <c r="J535" s="2"/>
      <c r="K535" s="2"/>
      <c r="L535" s="2"/>
      <c r="M535" s="2"/>
      <c r="N535" s="2"/>
      <c r="O535" s="2"/>
      <c r="P535" s="2"/>
      <c r="Q535" s="2"/>
      <c r="R535" s="2"/>
      <c r="S535" s="2"/>
      <c r="T535" s="2"/>
      <c r="U535" s="2"/>
      <c r="V535" s="2"/>
      <c r="W535" s="2"/>
      <c r="X535" s="2"/>
      <c r="Y535" s="2"/>
      <c r="Z535" s="2"/>
      <c r="AA535" s="2"/>
      <c r="AB535" s="2"/>
    </row>
    <row r="536">
      <c r="A536" s="8"/>
      <c r="B536" s="9"/>
      <c r="C536" s="9"/>
      <c r="D536" s="8"/>
      <c r="E536" s="8"/>
      <c r="F536" s="11"/>
      <c r="G536" s="2"/>
      <c r="H536" s="2"/>
      <c r="I536" s="2"/>
      <c r="J536" s="2"/>
      <c r="K536" s="2"/>
      <c r="L536" s="2"/>
      <c r="M536" s="2"/>
      <c r="N536" s="2"/>
      <c r="O536" s="2"/>
      <c r="P536" s="2"/>
      <c r="Q536" s="2"/>
      <c r="R536" s="2"/>
      <c r="S536" s="2"/>
      <c r="T536" s="2"/>
      <c r="U536" s="2"/>
      <c r="V536" s="2"/>
      <c r="W536" s="2"/>
      <c r="X536" s="2"/>
      <c r="Y536" s="2"/>
      <c r="Z536" s="2"/>
      <c r="AA536" s="2"/>
      <c r="AB536" s="2"/>
    </row>
    <row r="537">
      <c r="A537" s="8"/>
      <c r="B537" s="9"/>
      <c r="C537" s="9"/>
      <c r="D537" s="8"/>
      <c r="E537" s="8"/>
      <c r="F537" s="11"/>
      <c r="G537" s="2"/>
      <c r="H537" s="2"/>
      <c r="I537" s="2"/>
      <c r="J537" s="2"/>
      <c r="K537" s="2"/>
      <c r="L537" s="2"/>
      <c r="M537" s="2"/>
      <c r="N537" s="2"/>
      <c r="O537" s="2"/>
      <c r="P537" s="2"/>
      <c r="Q537" s="2"/>
      <c r="R537" s="2"/>
      <c r="S537" s="2"/>
      <c r="T537" s="2"/>
      <c r="U537" s="2"/>
      <c r="V537" s="2"/>
      <c r="W537" s="2"/>
      <c r="X537" s="2"/>
      <c r="Y537" s="2"/>
      <c r="Z537" s="2"/>
      <c r="AA537" s="2"/>
      <c r="AB537" s="2"/>
    </row>
    <row r="538">
      <c r="A538" s="8"/>
      <c r="B538" s="9"/>
      <c r="C538" s="9"/>
      <c r="D538" s="8"/>
      <c r="E538" s="8"/>
      <c r="F538" s="11"/>
      <c r="G538" s="2"/>
      <c r="H538" s="2"/>
      <c r="I538" s="2"/>
      <c r="J538" s="2"/>
      <c r="K538" s="2"/>
      <c r="L538" s="2"/>
      <c r="M538" s="2"/>
      <c r="N538" s="2"/>
      <c r="O538" s="2"/>
      <c r="P538" s="2"/>
      <c r="Q538" s="2"/>
      <c r="R538" s="2"/>
      <c r="S538" s="2"/>
      <c r="T538" s="2"/>
      <c r="U538" s="2"/>
      <c r="V538" s="2"/>
      <c r="W538" s="2"/>
      <c r="X538" s="2"/>
      <c r="Y538" s="2"/>
      <c r="Z538" s="2"/>
      <c r="AA538" s="2"/>
      <c r="AB538" s="2"/>
    </row>
    <row r="539">
      <c r="A539" s="8"/>
      <c r="B539" s="9"/>
      <c r="C539" s="9"/>
      <c r="D539" s="8"/>
      <c r="E539" s="8"/>
      <c r="F539" s="11"/>
      <c r="G539" s="2"/>
      <c r="H539" s="2"/>
      <c r="I539" s="2"/>
      <c r="J539" s="2"/>
      <c r="K539" s="2"/>
      <c r="L539" s="2"/>
      <c r="M539" s="2"/>
      <c r="N539" s="2"/>
      <c r="O539" s="2"/>
      <c r="P539" s="2"/>
      <c r="Q539" s="2"/>
      <c r="R539" s="2"/>
      <c r="S539" s="2"/>
      <c r="T539" s="2"/>
      <c r="U539" s="2"/>
      <c r="V539" s="2"/>
      <c r="W539" s="2"/>
      <c r="X539" s="2"/>
      <c r="Y539" s="2"/>
      <c r="Z539" s="2"/>
      <c r="AA539" s="2"/>
      <c r="AB539" s="2"/>
    </row>
    <row r="540">
      <c r="A540" s="8"/>
      <c r="B540" s="9"/>
      <c r="C540" s="9"/>
      <c r="D540" s="8"/>
      <c r="E540" s="8"/>
      <c r="F540" s="11"/>
      <c r="G540" s="2"/>
      <c r="H540" s="2"/>
      <c r="I540" s="2"/>
      <c r="J540" s="2"/>
      <c r="K540" s="2"/>
      <c r="L540" s="2"/>
      <c r="M540" s="2"/>
      <c r="N540" s="2"/>
      <c r="O540" s="2"/>
      <c r="P540" s="2"/>
      <c r="Q540" s="2"/>
      <c r="R540" s="2"/>
      <c r="S540" s="2"/>
      <c r="T540" s="2"/>
      <c r="U540" s="2"/>
      <c r="V540" s="2"/>
      <c r="W540" s="2"/>
      <c r="X540" s="2"/>
      <c r="Y540" s="2"/>
      <c r="Z540" s="2"/>
      <c r="AA540" s="2"/>
      <c r="AB540" s="2"/>
    </row>
    <row r="541">
      <c r="A541" s="8"/>
      <c r="B541" s="9"/>
      <c r="C541" s="9"/>
      <c r="D541" s="8"/>
      <c r="E541" s="8"/>
      <c r="F541" s="11"/>
      <c r="G541" s="2"/>
      <c r="H541" s="2"/>
      <c r="I541" s="2"/>
      <c r="J541" s="2"/>
      <c r="K541" s="2"/>
      <c r="L541" s="2"/>
      <c r="M541" s="2"/>
      <c r="N541" s="2"/>
      <c r="O541" s="2"/>
      <c r="P541" s="2"/>
      <c r="Q541" s="2"/>
      <c r="R541" s="2"/>
      <c r="S541" s="2"/>
      <c r="T541" s="2"/>
      <c r="U541" s="2"/>
      <c r="V541" s="2"/>
      <c r="W541" s="2"/>
      <c r="X541" s="2"/>
      <c r="Y541" s="2"/>
      <c r="Z541" s="2"/>
      <c r="AA541" s="2"/>
      <c r="AB541" s="2"/>
    </row>
    <row r="542">
      <c r="A542" s="8"/>
      <c r="B542" s="9"/>
      <c r="C542" s="9"/>
      <c r="D542" s="8"/>
      <c r="E542" s="8"/>
      <c r="F542" s="11"/>
      <c r="G542" s="2"/>
      <c r="H542" s="2"/>
      <c r="I542" s="2"/>
      <c r="J542" s="2"/>
      <c r="K542" s="2"/>
      <c r="L542" s="2"/>
      <c r="M542" s="2"/>
      <c r="N542" s="2"/>
      <c r="O542" s="2"/>
      <c r="P542" s="2"/>
      <c r="Q542" s="2"/>
      <c r="R542" s="2"/>
      <c r="S542" s="2"/>
      <c r="T542" s="2"/>
      <c r="U542" s="2"/>
      <c r="V542" s="2"/>
      <c r="W542" s="2"/>
      <c r="X542" s="2"/>
      <c r="Y542" s="2"/>
      <c r="Z542" s="2"/>
      <c r="AA542" s="2"/>
      <c r="AB542" s="2"/>
    </row>
    <row r="543">
      <c r="A543" s="8"/>
      <c r="B543" s="9"/>
      <c r="C543" s="9"/>
      <c r="D543" s="8"/>
      <c r="E543" s="8"/>
      <c r="F543" s="11"/>
      <c r="G543" s="2"/>
      <c r="H543" s="2"/>
      <c r="I543" s="2"/>
      <c r="J543" s="2"/>
      <c r="K543" s="2"/>
      <c r="L543" s="2"/>
      <c r="M543" s="2"/>
      <c r="N543" s="2"/>
      <c r="O543" s="2"/>
      <c r="P543" s="2"/>
      <c r="Q543" s="2"/>
      <c r="R543" s="2"/>
      <c r="S543" s="2"/>
      <c r="T543" s="2"/>
      <c r="U543" s="2"/>
      <c r="V543" s="2"/>
      <c r="W543" s="2"/>
      <c r="X543" s="2"/>
      <c r="Y543" s="2"/>
      <c r="Z543" s="2"/>
      <c r="AA543" s="2"/>
      <c r="AB543" s="2"/>
    </row>
    <row r="544">
      <c r="A544" s="12"/>
      <c r="B544" s="13" t="s">
        <v>6</v>
      </c>
      <c r="C544" s="14"/>
      <c r="D544" s="15"/>
      <c r="E544" s="15"/>
      <c r="F544" s="11"/>
      <c r="G544" s="2"/>
      <c r="H544" s="2"/>
      <c r="I544" s="2"/>
      <c r="J544" s="2"/>
      <c r="K544" s="2"/>
      <c r="L544" s="2"/>
      <c r="M544" s="2"/>
      <c r="N544" s="2"/>
      <c r="O544" s="2"/>
      <c r="P544" s="2"/>
      <c r="Q544" s="2"/>
      <c r="R544" s="2"/>
      <c r="S544" s="2"/>
      <c r="T544" s="2"/>
      <c r="U544" s="2"/>
      <c r="V544" s="2"/>
      <c r="W544" s="2"/>
      <c r="X544" s="2"/>
      <c r="Y544" s="2"/>
      <c r="Z544" s="2"/>
      <c r="AA544" s="2"/>
      <c r="AB544" s="2"/>
    </row>
    <row r="545">
      <c r="A545" s="16"/>
      <c r="B545" s="17" t="s">
        <v>7</v>
      </c>
      <c r="C545" s="18"/>
      <c r="D545" s="19"/>
      <c r="E545" s="19"/>
      <c r="F545" s="11"/>
      <c r="G545" s="2"/>
      <c r="H545" s="2"/>
      <c r="I545" s="2"/>
      <c r="J545" s="2"/>
      <c r="K545" s="2"/>
      <c r="L545" s="2"/>
      <c r="M545" s="2"/>
      <c r="N545" s="2"/>
      <c r="O545" s="2"/>
      <c r="P545" s="2"/>
      <c r="Q545" s="2"/>
      <c r="R545" s="2"/>
      <c r="S545" s="2"/>
      <c r="T545" s="2"/>
      <c r="U545" s="2"/>
      <c r="V545" s="2"/>
      <c r="W545" s="2"/>
      <c r="X545" s="2"/>
      <c r="Y545" s="2"/>
      <c r="Z545" s="2"/>
      <c r="AA545" s="2"/>
      <c r="AB545" s="2"/>
    </row>
    <row r="546">
      <c r="A546" s="20"/>
      <c r="B546" s="13" t="s">
        <v>7</v>
      </c>
      <c r="C546" s="14"/>
      <c r="D546" s="15"/>
      <c r="E546" s="15"/>
      <c r="F546" s="11"/>
      <c r="G546" s="2"/>
      <c r="H546" s="2"/>
      <c r="I546" s="2"/>
      <c r="J546" s="2"/>
      <c r="K546" s="2"/>
      <c r="L546" s="2"/>
      <c r="M546" s="2"/>
      <c r="N546" s="2"/>
      <c r="O546" s="2"/>
      <c r="P546" s="2"/>
      <c r="Q546" s="2"/>
      <c r="R546" s="2"/>
      <c r="S546" s="2"/>
      <c r="T546" s="2"/>
      <c r="U546" s="2"/>
      <c r="V546" s="2"/>
      <c r="W546" s="2"/>
      <c r="X546" s="2"/>
      <c r="Y546" s="2"/>
      <c r="Z546" s="2"/>
      <c r="AA546" s="2"/>
      <c r="AB546" s="2"/>
    </row>
    <row r="547">
      <c r="A547" s="8"/>
      <c r="B547" s="9"/>
      <c r="C547" s="9"/>
      <c r="D547" s="8"/>
      <c r="E547" s="8"/>
      <c r="F547" s="11"/>
      <c r="G547" s="2"/>
      <c r="H547" s="2"/>
      <c r="I547" s="2"/>
      <c r="J547" s="2"/>
      <c r="K547" s="2"/>
      <c r="L547" s="2"/>
      <c r="M547" s="2"/>
      <c r="N547" s="2"/>
      <c r="O547" s="2"/>
      <c r="P547" s="2"/>
      <c r="Q547" s="2"/>
      <c r="R547" s="2"/>
      <c r="S547" s="2"/>
      <c r="T547" s="2"/>
      <c r="U547" s="2"/>
      <c r="V547" s="2"/>
      <c r="W547" s="2"/>
      <c r="X547" s="2"/>
      <c r="Y547" s="2"/>
      <c r="Z547" s="2"/>
      <c r="AA547" s="2"/>
      <c r="AB547" s="2"/>
    </row>
    <row r="548">
      <c r="A548" s="8"/>
      <c r="B548" s="9"/>
      <c r="C548" s="9"/>
      <c r="D548" s="8"/>
      <c r="E548" s="8"/>
      <c r="F548" s="11"/>
      <c r="G548" s="2"/>
      <c r="H548" s="2"/>
      <c r="I548" s="2"/>
      <c r="J548" s="2"/>
      <c r="K548" s="2"/>
      <c r="L548" s="2"/>
      <c r="M548" s="2"/>
      <c r="N548" s="2"/>
      <c r="O548" s="2"/>
      <c r="P548" s="2"/>
      <c r="Q548" s="2"/>
      <c r="R548" s="2"/>
      <c r="S548" s="2"/>
      <c r="T548" s="2"/>
      <c r="U548" s="2"/>
      <c r="V548" s="2"/>
      <c r="W548" s="2"/>
      <c r="X548" s="2"/>
      <c r="Y548" s="2"/>
      <c r="Z548" s="2"/>
      <c r="AA548" s="2"/>
      <c r="AB548" s="2"/>
    </row>
    <row r="549">
      <c r="A549" s="8"/>
      <c r="B549" s="9"/>
      <c r="C549" s="9"/>
      <c r="D549" s="8"/>
      <c r="E549" s="8"/>
      <c r="F549" s="11"/>
      <c r="G549" s="2"/>
      <c r="H549" s="2"/>
      <c r="I549" s="2"/>
      <c r="J549" s="2"/>
      <c r="K549" s="2"/>
      <c r="L549" s="2"/>
      <c r="M549" s="2"/>
      <c r="N549" s="2"/>
      <c r="O549" s="2"/>
      <c r="P549" s="2"/>
      <c r="Q549" s="2"/>
      <c r="R549" s="2"/>
      <c r="S549" s="2"/>
      <c r="T549" s="2"/>
      <c r="U549" s="2"/>
      <c r="V549" s="2"/>
      <c r="W549" s="2"/>
      <c r="X549" s="2"/>
      <c r="Y549" s="2"/>
      <c r="Z549" s="2"/>
      <c r="AA549" s="2"/>
      <c r="AB549" s="2"/>
    </row>
    <row r="550">
      <c r="A550" s="8"/>
      <c r="B550" s="9"/>
      <c r="C550" s="9"/>
      <c r="D550" s="8"/>
      <c r="E550" s="8"/>
      <c r="F550" s="11"/>
      <c r="G550" s="2"/>
      <c r="H550" s="2"/>
      <c r="I550" s="2"/>
      <c r="J550" s="2"/>
      <c r="K550" s="2"/>
      <c r="L550" s="2"/>
      <c r="M550" s="2"/>
      <c r="N550" s="2"/>
      <c r="O550" s="2"/>
      <c r="P550" s="2"/>
      <c r="Q550" s="2"/>
      <c r="R550" s="2"/>
      <c r="S550" s="2"/>
      <c r="T550" s="2"/>
      <c r="U550" s="2"/>
      <c r="V550" s="2"/>
      <c r="W550" s="2"/>
      <c r="X550" s="2"/>
      <c r="Y550" s="2"/>
      <c r="Z550" s="2"/>
      <c r="AA550" s="2"/>
      <c r="AB550" s="2"/>
    </row>
    <row r="551">
      <c r="A551" s="8"/>
      <c r="B551" s="9"/>
      <c r="C551" s="9"/>
      <c r="D551" s="8"/>
      <c r="E551" s="8"/>
      <c r="F551" s="11"/>
      <c r="G551" s="2"/>
      <c r="H551" s="2"/>
      <c r="I551" s="2"/>
      <c r="J551" s="2"/>
      <c r="K551" s="2"/>
      <c r="L551" s="2"/>
      <c r="M551" s="2"/>
      <c r="N551" s="2"/>
      <c r="O551" s="2"/>
      <c r="P551" s="2"/>
      <c r="Q551" s="2"/>
      <c r="R551" s="2"/>
      <c r="S551" s="2"/>
      <c r="T551" s="2"/>
      <c r="U551" s="2"/>
      <c r="V551" s="2"/>
      <c r="W551" s="2"/>
      <c r="X551" s="2"/>
      <c r="Y551" s="2"/>
      <c r="Z551" s="2"/>
      <c r="AA551" s="2"/>
      <c r="AB551" s="2"/>
    </row>
    <row r="552">
      <c r="A552" s="8"/>
      <c r="B552" s="9"/>
      <c r="C552" s="9"/>
      <c r="D552" s="8"/>
      <c r="E552" s="8"/>
      <c r="F552" s="11"/>
      <c r="G552" s="2"/>
      <c r="H552" s="2"/>
      <c r="I552" s="2"/>
      <c r="J552" s="2"/>
      <c r="K552" s="2"/>
      <c r="L552" s="2"/>
      <c r="M552" s="2"/>
      <c r="N552" s="2"/>
      <c r="O552" s="2"/>
      <c r="P552" s="2"/>
      <c r="Q552" s="2"/>
      <c r="R552" s="2"/>
      <c r="S552" s="2"/>
      <c r="T552" s="2"/>
      <c r="U552" s="2"/>
      <c r="V552" s="2"/>
      <c r="W552" s="2"/>
      <c r="X552" s="2"/>
      <c r="Y552" s="2"/>
      <c r="Z552" s="2"/>
      <c r="AA552" s="2"/>
      <c r="AB552" s="2"/>
    </row>
    <row r="553">
      <c r="A553" s="8"/>
      <c r="B553" s="9"/>
      <c r="C553" s="9"/>
      <c r="D553" s="8"/>
      <c r="E553" s="8"/>
      <c r="F553" s="11"/>
      <c r="G553" s="2"/>
      <c r="H553" s="2"/>
      <c r="I553" s="2"/>
      <c r="J553" s="2"/>
      <c r="K553" s="2"/>
      <c r="L553" s="2"/>
      <c r="M553" s="2"/>
      <c r="N553" s="2"/>
      <c r="O553" s="2"/>
      <c r="P553" s="2"/>
      <c r="Q553" s="2"/>
      <c r="R553" s="2"/>
      <c r="S553" s="2"/>
      <c r="T553" s="2"/>
      <c r="U553" s="2"/>
      <c r="V553" s="2"/>
      <c r="W553" s="2"/>
      <c r="X553" s="2"/>
      <c r="Y553" s="2"/>
      <c r="Z553" s="2"/>
      <c r="AA553" s="2"/>
      <c r="AB553" s="2"/>
    </row>
    <row r="554">
      <c r="A554" s="8"/>
      <c r="B554" s="9"/>
      <c r="C554" s="9"/>
      <c r="D554" s="8"/>
      <c r="E554" s="8"/>
      <c r="F554" s="11"/>
      <c r="G554" s="2"/>
      <c r="H554" s="2"/>
      <c r="I554" s="2"/>
      <c r="J554" s="2"/>
      <c r="K554" s="2"/>
      <c r="L554" s="2"/>
      <c r="M554" s="2"/>
      <c r="N554" s="2"/>
      <c r="O554" s="2"/>
      <c r="P554" s="2"/>
      <c r="Q554" s="2"/>
      <c r="R554" s="2"/>
      <c r="S554" s="2"/>
      <c r="T554" s="2"/>
      <c r="U554" s="2"/>
      <c r="V554" s="2"/>
      <c r="W554" s="2"/>
      <c r="X554" s="2"/>
      <c r="Y554" s="2"/>
      <c r="Z554" s="2"/>
      <c r="AA554" s="2"/>
      <c r="AB554" s="2"/>
    </row>
    <row r="555">
      <c r="A555" s="8"/>
      <c r="B555" s="9"/>
      <c r="C555" s="9"/>
      <c r="D555" s="8"/>
      <c r="E555" s="8"/>
      <c r="F555" s="11"/>
      <c r="G555" s="2"/>
      <c r="H555" s="2"/>
      <c r="I555" s="2"/>
      <c r="J555" s="2"/>
      <c r="K555" s="2"/>
      <c r="L555" s="2"/>
      <c r="M555" s="2"/>
      <c r="N555" s="2"/>
      <c r="O555" s="2"/>
      <c r="P555" s="2"/>
      <c r="Q555" s="2"/>
      <c r="R555" s="2"/>
      <c r="S555" s="2"/>
      <c r="T555" s="2"/>
      <c r="U555" s="2"/>
      <c r="V555" s="2"/>
      <c r="W555" s="2"/>
      <c r="X555" s="2"/>
      <c r="Y555" s="2"/>
      <c r="Z555" s="2"/>
      <c r="AA555" s="2"/>
      <c r="AB555" s="2"/>
    </row>
    <row r="556">
      <c r="A556" s="8"/>
      <c r="B556" s="9"/>
      <c r="C556" s="9"/>
      <c r="D556" s="8"/>
      <c r="E556" s="8"/>
      <c r="F556" s="11"/>
      <c r="G556" s="2"/>
      <c r="H556" s="2"/>
      <c r="I556" s="2"/>
      <c r="J556" s="2"/>
      <c r="K556" s="2"/>
      <c r="L556" s="2"/>
      <c r="M556" s="2"/>
      <c r="N556" s="2"/>
      <c r="O556" s="2"/>
      <c r="P556" s="2"/>
      <c r="Q556" s="2"/>
      <c r="R556" s="2"/>
      <c r="S556" s="2"/>
      <c r="T556" s="2"/>
      <c r="U556" s="2"/>
      <c r="V556" s="2"/>
      <c r="W556" s="2"/>
      <c r="X556" s="2"/>
      <c r="Y556" s="2"/>
      <c r="Z556" s="2"/>
      <c r="AA556" s="2"/>
      <c r="AB556" s="2"/>
    </row>
    <row r="557">
      <c r="A557" s="8"/>
      <c r="B557" s="9"/>
      <c r="C557" s="9"/>
      <c r="D557" s="8"/>
      <c r="E557" s="8"/>
      <c r="F557" s="11"/>
      <c r="G557" s="2"/>
      <c r="H557" s="2"/>
      <c r="I557" s="2"/>
      <c r="J557" s="2"/>
      <c r="K557" s="2"/>
      <c r="L557" s="2"/>
      <c r="M557" s="2"/>
      <c r="N557" s="2"/>
      <c r="O557" s="2"/>
      <c r="P557" s="2"/>
      <c r="Q557" s="2"/>
      <c r="R557" s="2"/>
      <c r="S557" s="2"/>
      <c r="T557" s="2"/>
      <c r="U557" s="2"/>
      <c r="V557" s="2"/>
      <c r="W557" s="2"/>
      <c r="X557" s="2"/>
      <c r="Y557" s="2"/>
      <c r="Z557" s="2"/>
      <c r="AA557" s="2"/>
      <c r="AB557" s="2"/>
    </row>
    <row r="558">
      <c r="A558" s="8"/>
      <c r="B558" s="9"/>
      <c r="C558" s="9"/>
      <c r="D558" s="8"/>
      <c r="E558" s="8"/>
      <c r="F558" s="11"/>
      <c r="G558" s="2"/>
      <c r="H558" s="2"/>
      <c r="I558" s="2"/>
      <c r="J558" s="2"/>
      <c r="K558" s="2"/>
      <c r="L558" s="2"/>
      <c r="M558" s="2"/>
      <c r="N558" s="2"/>
      <c r="O558" s="2"/>
      <c r="P558" s="2"/>
      <c r="Q558" s="2"/>
      <c r="R558" s="2"/>
      <c r="S558" s="2"/>
      <c r="T558" s="2"/>
      <c r="U558" s="2"/>
      <c r="V558" s="2"/>
      <c r="W558" s="2"/>
      <c r="X558" s="2"/>
      <c r="Y558" s="2"/>
      <c r="Z558" s="2"/>
      <c r="AA558" s="2"/>
      <c r="AB558" s="2"/>
    </row>
    <row r="559">
      <c r="A559" s="8"/>
      <c r="B559" s="9"/>
      <c r="C559" s="9"/>
      <c r="D559" s="8"/>
      <c r="E559" s="8"/>
      <c r="F559" s="11"/>
      <c r="G559" s="2"/>
      <c r="H559" s="2"/>
      <c r="I559" s="2"/>
      <c r="J559" s="2"/>
      <c r="K559" s="2"/>
      <c r="L559" s="2"/>
      <c r="M559" s="2"/>
      <c r="N559" s="2"/>
      <c r="O559" s="2"/>
      <c r="P559" s="2"/>
      <c r="Q559" s="2"/>
      <c r="R559" s="2"/>
      <c r="S559" s="2"/>
      <c r="T559" s="2"/>
      <c r="U559" s="2"/>
      <c r="V559" s="2"/>
      <c r="W559" s="2"/>
      <c r="X559" s="2"/>
      <c r="Y559" s="2"/>
      <c r="Z559" s="2"/>
      <c r="AA559" s="2"/>
      <c r="AB559" s="2"/>
    </row>
    <row r="560">
      <c r="A560" s="8"/>
      <c r="B560" s="9"/>
      <c r="C560" s="9"/>
      <c r="D560" s="8"/>
      <c r="E560" s="8"/>
      <c r="F560" s="11"/>
      <c r="G560" s="2"/>
      <c r="H560" s="2"/>
      <c r="I560" s="2"/>
      <c r="J560" s="2"/>
      <c r="K560" s="2"/>
      <c r="L560" s="2"/>
      <c r="M560" s="2"/>
      <c r="N560" s="2"/>
      <c r="O560" s="2"/>
      <c r="P560" s="2"/>
      <c r="Q560" s="2"/>
      <c r="R560" s="2"/>
      <c r="S560" s="2"/>
      <c r="T560" s="2"/>
      <c r="U560" s="2"/>
      <c r="V560" s="2"/>
      <c r="W560" s="2"/>
      <c r="X560" s="2"/>
      <c r="Y560" s="2"/>
      <c r="Z560" s="2"/>
      <c r="AA560" s="2"/>
      <c r="AB560" s="2"/>
    </row>
    <row r="561">
      <c r="A561" s="8"/>
      <c r="B561" s="9"/>
      <c r="C561" s="9"/>
      <c r="D561" s="8"/>
      <c r="E561" s="8"/>
      <c r="F561" s="11"/>
      <c r="G561" s="2"/>
      <c r="H561" s="2"/>
      <c r="I561" s="2"/>
      <c r="J561" s="2"/>
      <c r="K561" s="2"/>
      <c r="L561" s="2"/>
      <c r="M561" s="2"/>
      <c r="N561" s="2"/>
      <c r="O561" s="2"/>
      <c r="P561" s="2"/>
      <c r="Q561" s="2"/>
      <c r="R561" s="2"/>
      <c r="S561" s="2"/>
      <c r="T561" s="2"/>
      <c r="U561" s="2"/>
      <c r="V561" s="2"/>
      <c r="W561" s="2"/>
      <c r="X561" s="2"/>
      <c r="Y561" s="2"/>
      <c r="Z561" s="2"/>
      <c r="AA561" s="2"/>
      <c r="AB561" s="2"/>
    </row>
    <row r="562">
      <c r="A562" s="8"/>
      <c r="B562" s="9"/>
      <c r="C562" s="9"/>
      <c r="D562" s="8"/>
      <c r="E562" s="8"/>
      <c r="F562" s="11"/>
      <c r="G562" s="2"/>
      <c r="H562" s="2"/>
      <c r="I562" s="2"/>
      <c r="J562" s="2"/>
      <c r="K562" s="2"/>
      <c r="L562" s="2"/>
      <c r="M562" s="2"/>
      <c r="N562" s="2"/>
      <c r="O562" s="2"/>
      <c r="P562" s="2"/>
      <c r="Q562" s="2"/>
      <c r="R562" s="2"/>
      <c r="S562" s="2"/>
      <c r="T562" s="2"/>
      <c r="U562" s="2"/>
      <c r="V562" s="2"/>
      <c r="W562" s="2"/>
      <c r="X562" s="2"/>
      <c r="Y562" s="2"/>
      <c r="Z562" s="2"/>
      <c r="AA562" s="2"/>
      <c r="AB562" s="2"/>
    </row>
    <row r="563">
      <c r="A563" s="8"/>
      <c r="B563" s="9"/>
      <c r="C563" s="9"/>
      <c r="D563" s="8"/>
      <c r="E563" s="8"/>
      <c r="F563" s="11"/>
      <c r="G563" s="2"/>
      <c r="H563" s="2"/>
      <c r="I563" s="2"/>
      <c r="J563" s="2"/>
      <c r="K563" s="2"/>
      <c r="L563" s="2"/>
      <c r="M563" s="2"/>
      <c r="N563" s="2"/>
      <c r="O563" s="2"/>
      <c r="P563" s="2"/>
      <c r="Q563" s="2"/>
      <c r="R563" s="2"/>
      <c r="S563" s="2"/>
      <c r="T563" s="2"/>
      <c r="U563" s="2"/>
      <c r="V563" s="2"/>
      <c r="W563" s="2"/>
      <c r="X563" s="2"/>
      <c r="Y563" s="2"/>
      <c r="Z563" s="2"/>
      <c r="AA563" s="2"/>
      <c r="AB563" s="2"/>
    </row>
    <row r="564">
      <c r="A564" s="8"/>
      <c r="B564" s="9"/>
      <c r="C564" s="9"/>
      <c r="D564" s="8"/>
      <c r="E564" s="8"/>
      <c r="F564" s="11"/>
      <c r="G564" s="2"/>
      <c r="H564" s="2"/>
      <c r="I564" s="2"/>
      <c r="J564" s="2"/>
      <c r="K564" s="2"/>
      <c r="L564" s="2"/>
      <c r="M564" s="2"/>
      <c r="N564" s="2"/>
      <c r="O564" s="2"/>
      <c r="P564" s="2"/>
      <c r="Q564" s="2"/>
      <c r="R564" s="2"/>
      <c r="S564" s="2"/>
      <c r="T564" s="2"/>
      <c r="U564" s="2"/>
      <c r="V564" s="2"/>
      <c r="W564" s="2"/>
      <c r="X564" s="2"/>
      <c r="Y564" s="2"/>
      <c r="Z564" s="2"/>
      <c r="AA564" s="2"/>
      <c r="AB564" s="2"/>
    </row>
    <row r="565">
      <c r="A565" s="8"/>
      <c r="B565" s="9"/>
      <c r="C565" s="9"/>
      <c r="D565" s="8"/>
      <c r="E565" s="8"/>
      <c r="F565" s="11"/>
      <c r="G565" s="2"/>
      <c r="H565" s="2"/>
      <c r="I565" s="2"/>
      <c r="J565" s="2"/>
      <c r="K565" s="2"/>
      <c r="L565" s="2"/>
      <c r="M565" s="2"/>
      <c r="N565" s="2"/>
      <c r="O565" s="2"/>
      <c r="P565" s="2"/>
      <c r="Q565" s="2"/>
      <c r="R565" s="2"/>
      <c r="S565" s="2"/>
      <c r="T565" s="2"/>
      <c r="U565" s="2"/>
      <c r="V565" s="2"/>
      <c r="W565" s="2"/>
      <c r="X565" s="2"/>
      <c r="Y565" s="2"/>
      <c r="Z565" s="2"/>
      <c r="AA565" s="2"/>
      <c r="AB565" s="2"/>
    </row>
    <row r="566">
      <c r="A566" s="8"/>
      <c r="B566" s="9"/>
      <c r="C566" s="9"/>
      <c r="D566" s="8"/>
      <c r="E566" s="8"/>
      <c r="F566" s="11"/>
      <c r="G566" s="2"/>
      <c r="H566" s="2"/>
      <c r="I566" s="2"/>
      <c r="J566" s="2"/>
      <c r="K566" s="2"/>
      <c r="L566" s="2"/>
      <c r="M566" s="2"/>
      <c r="N566" s="2"/>
      <c r="O566" s="2"/>
      <c r="P566" s="2"/>
      <c r="Q566" s="2"/>
      <c r="R566" s="2"/>
      <c r="S566" s="2"/>
      <c r="T566" s="2"/>
      <c r="U566" s="2"/>
      <c r="V566" s="2"/>
      <c r="W566" s="2"/>
      <c r="X566" s="2"/>
      <c r="Y566" s="2"/>
      <c r="Z566" s="2"/>
      <c r="AA566" s="2"/>
      <c r="AB566" s="2"/>
    </row>
    <row r="567">
      <c r="A567" s="8"/>
      <c r="B567" s="9"/>
      <c r="C567" s="9"/>
      <c r="D567" s="8"/>
      <c r="E567" s="8"/>
      <c r="F567" s="11"/>
      <c r="G567" s="2"/>
      <c r="H567" s="2"/>
      <c r="I567" s="2"/>
      <c r="J567" s="2"/>
      <c r="K567" s="2"/>
      <c r="L567" s="2"/>
      <c r="M567" s="2"/>
      <c r="N567" s="2"/>
      <c r="O567" s="2"/>
      <c r="P567" s="2"/>
      <c r="Q567" s="2"/>
      <c r="R567" s="2"/>
      <c r="S567" s="2"/>
      <c r="T567" s="2"/>
      <c r="U567" s="2"/>
      <c r="V567" s="2"/>
      <c r="W567" s="2"/>
      <c r="X567" s="2"/>
      <c r="Y567" s="2"/>
      <c r="Z567" s="2"/>
      <c r="AA567" s="2"/>
      <c r="AB567" s="2"/>
    </row>
    <row r="568">
      <c r="A568" s="8"/>
      <c r="B568" s="9"/>
      <c r="C568" s="9"/>
      <c r="D568" s="8"/>
      <c r="E568" s="8"/>
      <c r="F568" s="11"/>
      <c r="G568" s="2"/>
      <c r="H568" s="2"/>
      <c r="I568" s="2"/>
      <c r="J568" s="2"/>
      <c r="K568" s="2"/>
      <c r="L568" s="2"/>
      <c r="M568" s="2"/>
      <c r="N568" s="2"/>
      <c r="O568" s="2"/>
      <c r="P568" s="2"/>
      <c r="Q568" s="2"/>
      <c r="R568" s="2"/>
      <c r="S568" s="2"/>
      <c r="T568" s="2"/>
      <c r="U568" s="2"/>
      <c r="V568" s="2"/>
      <c r="W568" s="2"/>
      <c r="X568" s="2"/>
      <c r="Y568" s="2"/>
      <c r="Z568" s="2"/>
      <c r="AA568" s="2"/>
      <c r="AB568" s="2"/>
    </row>
    <row r="569">
      <c r="A569" s="8"/>
      <c r="B569" s="9"/>
      <c r="C569" s="9"/>
      <c r="D569" s="8"/>
      <c r="E569" s="8"/>
      <c r="F569" s="11"/>
      <c r="G569" s="2"/>
      <c r="H569" s="2"/>
      <c r="I569" s="2"/>
      <c r="J569" s="2"/>
      <c r="K569" s="2"/>
      <c r="L569" s="2"/>
      <c r="M569" s="2"/>
      <c r="N569" s="2"/>
      <c r="O569" s="2"/>
      <c r="P569" s="2"/>
      <c r="Q569" s="2"/>
      <c r="R569" s="2"/>
      <c r="S569" s="2"/>
      <c r="T569" s="2"/>
      <c r="U569" s="2"/>
      <c r="V569" s="2"/>
      <c r="W569" s="2"/>
      <c r="X569" s="2"/>
      <c r="Y569" s="2"/>
      <c r="Z569" s="2"/>
      <c r="AA569" s="2"/>
      <c r="AB569" s="2"/>
    </row>
    <row r="570">
      <c r="A570" s="8"/>
      <c r="B570" s="9"/>
      <c r="C570" s="9"/>
      <c r="D570" s="8"/>
      <c r="E570" s="8"/>
      <c r="F570" s="11"/>
      <c r="G570" s="2"/>
      <c r="H570" s="2"/>
      <c r="I570" s="2"/>
      <c r="J570" s="2"/>
      <c r="K570" s="2"/>
      <c r="L570" s="2"/>
      <c r="M570" s="2"/>
      <c r="N570" s="2"/>
      <c r="O570" s="2"/>
      <c r="P570" s="2"/>
      <c r="Q570" s="2"/>
      <c r="R570" s="2"/>
      <c r="S570" s="2"/>
      <c r="T570" s="2"/>
      <c r="U570" s="2"/>
      <c r="V570" s="2"/>
      <c r="W570" s="2"/>
      <c r="X570" s="2"/>
      <c r="Y570" s="2"/>
      <c r="Z570" s="2"/>
      <c r="AA570" s="2"/>
      <c r="AB570" s="2"/>
    </row>
    <row r="571">
      <c r="A571" s="8"/>
      <c r="B571" s="9"/>
      <c r="C571" s="9"/>
      <c r="D571" s="8"/>
      <c r="E571" s="8"/>
      <c r="F571" s="11"/>
      <c r="G571" s="2"/>
      <c r="H571" s="2"/>
      <c r="I571" s="2"/>
      <c r="J571" s="2"/>
      <c r="K571" s="2"/>
      <c r="L571" s="2"/>
      <c r="M571" s="2"/>
      <c r="N571" s="2"/>
      <c r="O571" s="2"/>
      <c r="P571" s="2"/>
      <c r="Q571" s="2"/>
      <c r="R571" s="2"/>
      <c r="S571" s="2"/>
      <c r="T571" s="2"/>
      <c r="U571" s="2"/>
      <c r="V571" s="2"/>
      <c r="W571" s="2"/>
      <c r="X571" s="2"/>
      <c r="Y571" s="2"/>
      <c r="Z571" s="2"/>
      <c r="AA571" s="2"/>
      <c r="AB571" s="2"/>
    </row>
    <row r="572">
      <c r="A572" s="8"/>
      <c r="B572" s="9"/>
      <c r="C572" s="9"/>
      <c r="D572" s="8"/>
      <c r="E572" s="8"/>
      <c r="F572" s="11"/>
      <c r="G572" s="2"/>
      <c r="H572" s="2"/>
      <c r="I572" s="2"/>
      <c r="J572" s="2"/>
      <c r="K572" s="2"/>
      <c r="L572" s="2"/>
      <c r="M572" s="2"/>
      <c r="N572" s="2"/>
      <c r="O572" s="2"/>
      <c r="P572" s="2"/>
      <c r="Q572" s="2"/>
      <c r="R572" s="2"/>
      <c r="S572" s="2"/>
      <c r="T572" s="2"/>
      <c r="U572" s="2"/>
      <c r="V572" s="2"/>
      <c r="W572" s="2"/>
      <c r="X572" s="2"/>
      <c r="Y572" s="2"/>
      <c r="Z572" s="2"/>
      <c r="AA572" s="2"/>
      <c r="AB572" s="2"/>
    </row>
    <row r="573">
      <c r="A573" s="8"/>
      <c r="B573" s="9"/>
      <c r="C573" s="9"/>
      <c r="D573" s="8"/>
      <c r="E573" s="8"/>
      <c r="F573" s="11"/>
      <c r="G573" s="2"/>
      <c r="H573" s="2"/>
      <c r="I573" s="2"/>
      <c r="J573" s="2"/>
      <c r="K573" s="2"/>
      <c r="L573" s="2"/>
      <c r="M573" s="2"/>
      <c r="N573" s="2"/>
      <c r="O573" s="2"/>
      <c r="P573" s="2"/>
      <c r="Q573" s="2"/>
      <c r="R573" s="2"/>
      <c r="S573" s="2"/>
      <c r="T573" s="2"/>
      <c r="U573" s="2"/>
      <c r="V573" s="2"/>
      <c r="W573" s="2"/>
      <c r="X573" s="2"/>
      <c r="Y573" s="2"/>
      <c r="Z573" s="2"/>
      <c r="AA573" s="2"/>
      <c r="AB573" s="2"/>
    </row>
    <row r="574">
      <c r="A574" s="8"/>
      <c r="B574" s="9"/>
      <c r="C574" s="9"/>
      <c r="D574" s="8"/>
      <c r="E574" s="8"/>
      <c r="F574" s="11"/>
      <c r="G574" s="2"/>
      <c r="H574" s="2"/>
      <c r="I574" s="2"/>
      <c r="J574" s="2"/>
      <c r="K574" s="2"/>
      <c r="L574" s="2"/>
      <c r="M574" s="2"/>
      <c r="N574" s="2"/>
      <c r="O574" s="2"/>
      <c r="P574" s="2"/>
      <c r="Q574" s="2"/>
      <c r="R574" s="2"/>
      <c r="S574" s="2"/>
      <c r="T574" s="2"/>
      <c r="U574" s="2"/>
      <c r="V574" s="2"/>
      <c r="W574" s="2"/>
      <c r="X574" s="2"/>
      <c r="Y574" s="2"/>
      <c r="Z574" s="2"/>
      <c r="AA574" s="2"/>
      <c r="AB574" s="2"/>
    </row>
    <row r="575">
      <c r="A575" s="8"/>
      <c r="B575" s="9"/>
      <c r="C575" s="9"/>
      <c r="D575" s="8"/>
      <c r="E575" s="8"/>
      <c r="F575" s="11"/>
      <c r="G575" s="2"/>
      <c r="H575" s="2"/>
      <c r="I575" s="2"/>
      <c r="J575" s="2"/>
      <c r="K575" s="2"/>
      <c r="L575" s="2"/>
      <c r="M575" s="2"/>
      <c r="N575" s="2"/>
      <c r="O575" s="2"/>
      <c r="P575" s="2"/>
      <c r="Q575" s="2"/>
      <c r="R575" s="2"/>
      <c r="S575" s="2"/>
      <c r="T575" s="2"/>
      <c r="U575" s="2"/>
      <c r="V575" s="2"/>
      <c r="W575" s="2"/>
      <c r="X575" s="2"/>
      <c r="Y575" s="2"/>
      <c r="Z575" s="2"/>
      <c r="AA575" s="2"/>
      <c r="AB575" s="2"/>
    </row>
    <row r="576">
      <c r="A576" s="8"/>
      <c r="B576" s="9"/>
      <c r="C576" s="9"/>
      <c r="D576" s="8"/>
      <c r="E576" s="8"/>
      <c r="F576" s="11"/>
      <c r="G576" s="2"/>
      <c r="H576" s="2"/>
      <c r="I576" s="2"/>
      <c r="J576" s="2"/>
      <c r="K576" s="2"/>
      <c r="L576" s="2"/>
      <c r="M576" s="2"/>
      <c r="N576" s="2"/>
      <c r="O576" s="2"/>
      <c r="P576" s="2"/>
      <c r="Q576" s="2"/>
      <c r="R576" s="2"/>
      <c r="S576" s="2"/>
      <c r="T576" s="2"/>
      <c r="U576" s="2"/>
      <c r="V576" s="2"/>
      <c r="W576" s="2"/>
      <c r="X576" s="2"/>
      <c r="Y576" s="2"/>
      <c r="Z576" s="2"/>
      <c r="AA576" s="2"/>
      <c r="AB576" s="2"/>
    </row>
    <row r="577">
      <c r="A577" s="8"/>
      <c r="B577" s="9"/>
      <c r="C577" s="9"/>
      <c r="D577" s="8"/>
      <c r="E577" s="8"/>
      <c r="F577" s="11"/>
      <c r="G577" s="2"/>
      <c r="H577" s="2"/>
      <c r="I577" s="2"/>
      <c r="J577" s="2"/>
      <c r="K577" s="2"/>
      <c r="L577" s="2"/>
      <c r="M577" s="2"/>
      <c r="N577" s="2"/>
      <c r="O577" s="2"/>
      <c r="P577" s="2"/>
      <c r="Q577" s="2"/>
      <c r="R577" s="2"/>
      <c r="S577" s="2"/>
      <c r="T577" s="2"/>
      <c r="U577" s="2"/>
      <c r="V577" s="2"/>
      <c r="W577" s="2"/>
      <c r="X577" s="2"/>
      <c r="Y577" s="2"/>
      <c r="Z577" s="2"/>
      <c r="AA577" s="2"/>
      <c r="AB577" s="2"/>
    </row>
    <row r="578">
      <c r="A578" s="8"/>
      <c r="B578" s="9"/>
      <c r="C578" s="9"/>
      <c r="D578" s="8"/>
      <c r="E578" s="8"/>
      <c r="F578" s="11"/>
      <c r="G578" s="2"/>
      <c r="H578" s="2"/>
      <c r="I578" s="2"/>
      <c r="J578" s="2"/>
      <c r="K578" s="2"/>
      <c r="L578" s="2"/>
      <c r="M578" s="2"/>
      <c r="N578" s="2"/>
      <c r="O578" s="2"/>
      <c r="P578" s="2"/>
      <c r="Q578" s="2"/>
      <c r="R578" s="2"/>
      <c r="S578" s="2"/>
      <c r="T578" s="2"/>
      <c r="U578" s="2"/>
      <c r="V578" s="2"/>
      <c r="W578" s="2"/>
      <c r="X578" s="2"/>
      <c r="Y578" s="2"/>
      <c r="Z578" s="2"/>
      <c r="AA578" s="2"/>
      <c r="AB578" s="2"/>
    </row>
    <row r="579">
      <c r="A579" s="8"/>
      <c r="B579" s="9"/>
      <c r="C579" s="9"/>
      <c r="D579" s="8"/>
      <c r="E579" s="8"/>
      <c r="F579" s="11"/>
      <c r="G579" s="2"/>
      <c r="H579" s="2"/>
      <c r="I579" s="2"/>
      <c r="J579" s="2"/>
      <c r="K579" s="2"/>
      <c r="L579" s="2"/>
      <c r="M579" s="2"/>
      <c r="N579" s="2"/>
      <c r="O579" s="2"/>
      <c r="P579" s="2"/>
      <c r="Q579" s="2"/>
      <c r="R579" s="2"/>
      <c r="S579" s="2"/>
      <c r="T579" s="2"/>
      <c r="U579" s="2"/>
      <c r="V579" s="2"/>
      <c r="W579" s="2"/>
      <c r="X579" s="2"/>
      <c r="Y579" s="2"/>
      <c r="Z579" s="2"/>
      <c r="AA579" s="2"/>
      <c r="AB579" s="2"/>
    </row>
    <row r="580">
      <c r="A580" s="8"/>
      <c r="B580" s="9"/>
      <c r="C580" s="9"/>
      <c r="D580" s="8"/>
      <c r="E580" s="8"/>
      <c r="F580" s="11"/>
      <c r="G580" s="2"/>
      <c r="H580" s="2"/>
      <c r="I580" s="2"/>
      <c r="J580" s="2"/>
      <c r="K580" s="2"/>
      <c r="L580" s="2"/>
      <c r="M580" s="2"/>
      <c r="N580" s="2"/>
      <c r="O580" s="2"/>
      <c r="P580" s="2"/>
      <c r="Q580" s="2"/>
      <c r="R580" s="2"/>
      <c r="S580" s="2"/>
      <c r="T580" s="2"/>
      <c r="U580" s="2"/>
      <c r="V580" s="2"/>
      <c r="W580" s="2"/>
      <c r="X580" s="2"/>
      <c r="Y580" s="2"/>
      <c r="Z580" s="2"/>
      <c r="AA580" s="2"/>
      <c r="AB580" s="2"/>
    </row>
    <row r="581">
      <c r="A581" s="8"/>
      <c r="B581" s="9"/>
      <c r="C581" s="9"/>
      <c r="D581" s="8"/>
      <c r="E581" s="8"/>
      <c r="F581" s="11"/>
      <c r="G581" s="2"/>
      <c r="H581" s="2"/>
      <c r="I581" s="2"/>
      <c r="J581" s="2"/>
      <c r="K581" s="2"/>
      <c r="L581" s="2"/>
      <c r="M581" s="2"/>
      <c r="N581" s="2"/>
      <c r="O581" s="2"/>
      <c r="P581" s="2"/>
      <c r="Q581" s="2"/>
      <c r="R581" s="2"/>
      <c r="S581" s="2"/>
      <c r="T581" s="2"/>
      <c r="U581" s="2"/>
      <c r="V581" s="2"/>
      <c r="W581" s="2"/>
      <c r="X581" s="2"/>
      <c r="Y581" s="2"/>
      <c r="Z581" s="2"/>
      <c r="AA581" s="2"/>
      <c r="AB581" s="2"/>
    </row>
    <row r="582">
      <c r="A582" s="8"/>
      <c r="B582" s="9"/>
      <c r="C582" s="9"/>
      <c r="D582" s="8"/>
      <c r="E582" s="8"/>
      <c r="F582" s="11"/>
      <c r="G582" s="2"/>
      <c r="H582" s="2"/>
      <c r="I582" s="2"/>
      <c r="J582" s="2"/>
      <c r="K582" s="2"/>
      <c r="L582" s="2"/>
      <c r="M582" s="2"/>
      <c r="N582" s="2"/>
      <c r="O582" s="2"/>
      <c r="P582" s="2"/>
      <c r="Q582" s="2"/>
      <c r="R582" s="2"/>
      <c r="S582" s="2"/>
      <c r="T582" s="2"/>
      <c r="U582" s="2"/>
      <c r="V582" s="2"/>
      <c r="W582" s="2"/>
      <c r="X582" s="2"/>
      <c r="Y582" s="2"/>
      <c r="Z582" s="2"/>
      <c r="AA582" s="2"/>
      <c r="AB582" s="2"/>
    </row>
    <row r="583">
      <c r="A583" s="8"/>
      <c r="B583" s="9"/>
      <c r="C583" s="9"/>
      <c r="D583" s="8"/>
      <c r="E583" s="8"/>
      <c r="F583" s="11"/>
      <c r="G583" s="2"/>
      <c r="H583" s="2"/>
      <c r="I583" s="2"/>
      <c r="J583" s="2"/>
      <c r="K583" s="2"/>
      <c r="L583" s="2"/>
      <c r="M583" s="2"/>
      <c r="N583" s="2"/>
      <c r="O583" s="2"/>
      <c r="P583" s="2"/>
      <c r="Q583" s="2"/>
      <c r="R583" s="2"/>
      <c r="S583" s="2"/>
      <c r="T583" s="2"/>
      <c r="U583" s="2"/>
      <c r="V583" s="2"/>
      <c r="W583" s="2"/>
      <c r="X583" s="2"/>
      <c r="Y583" s="2"/>
      <c r="Z583" s="2"/>
      <c r="AA583" s="2"/>
      <c r="AB583" s="2"/>
    </row>
    <row r="584">
      <c r="A584" s="8"/>
      <c r="B584" s="9"/>
      <c r="C584" s="9"/>
      <c r="D584" s="8"/>
      <c r="E584" s="8"/>
      <c r="F584" s="11"/>
      <c r="G584" s="2"/>
      <c r="H584" s="2"/>
      <c r="I584" s="2"/>
      <c r="J584" s="2"/>
      <c r="K584" s="2"/>
      <c r="L584" s="2"/>
      <c r="M584" s="2"/>
      <c r="N584" s="2"/>
      <c r="O584" s="2"/>
      <c r="P584" s="2"/>
      <c r="Q584" s="2"/>
      <c r="R584" s="2"/>
      <c r="S584" s="2"/>
      <c r="T584" s="2"/>
      <c r="U584" s="2"/>
      <c r="V584" s="2"/>
      <c r="W584" s="2"/>
      <c r="X584" s="2"/>
      <c r="Y584" s="2"/>
      <c r="Z584" s="2"/>
      <c r="AA584" s="2"/>
      <c r="AB584" s="2"/>
    </row>
    <row r="585">
      <c r="A585" s="8"/>
      <c r="B585" s="9"/>
      <c r="C585" s="9"/>
      <c r="D585" s="8"/>
      <c r="E585" s="8"/>
      <c r="F585" s="11"/>
      <c r="G585" s="2"/>
      <c r="H585" s="2"/>
      <c r="I585" s="2"/>
      <c r="J585" s="2"/>
      <c r="K585" s="2"/>
      <c r="L585" s="2"/>
      <c r="M585" s="2"/>
      <c r="N585" s="2"/>
      <c r="O585" s="2"/>
      <c r="P585" s="2"/>
      <c r="Q585" s="2"/>
      <c r="R585" s="2"/>
      <c r="S585" s="2"/>
      <c r="T585" s="2"/>
      <c r="U585" s="2"/>
      <c r="V585" s="2"/>
      <c r="W585" s="2"/>
      <c r="X585" s="2"/>
      <c r="Y585" s="2"/>
      <c r="Z585" s="2"/>
      <c r="AA585" s="2"/>
      <c r="AB585" s="2"/>
    </row>
    <row r="586">
      <c r="A586" s="8"/>
      <c r="B586" s="9"/>
      <c r="C586" s="9"/>
      <c r="D586" s="8"/>
      <c r="E586" s="8"/>
      <c r="F586" s="11"/>
      <c r="G586" s="2"/>
      <c r="H586" s="2"/>
      <c r="I586" s="2"/>
      <c r="J586" s="2"/>
      <c r="K586" s="2"/>
      <c r="L586" s="2"/>
      <c r="M586" s="2"/>
      <c r="N586" s="2"/>
      <c r="O586" s="2"/>
      <c r="P586" s="2"/>
      <c r="Q586" s="2"/>
      <c r="R586" s="2"/>
      <c r="S586" s="2"/>
      <c r="T586" s="2"/>
      <c r="U586" s="2"/>
      <c r="V586" s="2"/>
      <c r="W586" s="2"/>
      <c r="X586" s="2"/>
      <c r="Y586" s="2"/>
      <c r="Z586" s="2"/>
      <c r="AA586" s="2"/>
      <c r="AB586" s="2"/>
    </row>
    <row r="587">
      <c r="A587" s="8"/>
      <c r="B587" s="9"/>
      <c r="C587" s="9"/>
      <c r="D587" s="8"/>
      <c r="E587" s="8"/>
      <c r="F587" s="11"/>
      <c r="G587" s="2"/>
      <c r="H587" s="2"/>
      <c r="I587" s="2"/>
      <c r="J587" s="2"/>
      <c r="K587" s="2"/>
      <c r="L587" s="2"/>
      <c r="M587" s="2"/>
      <c r="N587" s="2"/>
      <c r="O587" s="2"/>
      <c r="P587" s="2"/>
      <c r="Q587" s="2"/>
      <c r="R587" s="2"/>
      <c r="S587" s="2"/>
      <c r="T587" s="2"/>
      <c r="U587" s="2"/>
      <c r="V587" s="2"/>
      <c r="W587" s="2"/>
      <c r="X587" s="2"/>
      <c r="Y587" s="2"/>
      <c r="Z587" s="2"/>
      <c r="AA587" s="2"/>
      <c r="AB587" s="2"/>
    </row>
    <row r="588">
      <c r="A588" s="8"/>
      <c r="B588" s="8"/>
      <c r="C588" s="8"/>
      <c r="D588" s="8"/>
      <c r="E588" s="8"/>
      <c r="F588" s="11"/>
      <c r="G588" s="2"/>
      <c r="H588" s="2"/>
      <c r="I588" s="2"/>
      <c r="J588" s="2"/>
      <c r="K588" s="2"/>
      <c r="L588" s="2"/>
      <c r="M588" s="2"/>
      <c r="N588" s="2"/>
      <c r="O588" s="2"/>
      <c r="P588" s="2"/>
      <c r="Q588" s="2"/>
      <c r="R588" s="2"/>
      <c r="S588" s="2"/>
      <c r="T588" s="2"/>
      <c r="U588" s="2"/>
      <c r="V588" s="2"/>
      <c r="W588" s="2"/>
      <c r="X588" s="2"/>
      <c r="Y588" s="2"/>
      <c r="Z588" s="2"/>
      <c r="AA588" s="2"/>
      <c r="AB588" s="2"/>
    </row>
    <row r="589">
      <c r="A589" s="8"/>
      <c r="B589" s="8"/>
      <c r="C589" s="8"/>
      <c r="D589" s="8"/>
      <c r="E589" s="8"/>
      <c r="F589" s="11"/>
      <c r="G589" s="2"/>
      <c r="H589" s="2"/>
      <c r="I589" s="2"/>
      <c r="J589" s="2"/>
      <c r="K589" s="2"/>
      <c r="L589" s="2"/>
      <c r="M589" s="2"/>
      <c r="N589" s="2"/>
      <c r="O589" s="2"/>
      <c r="P589" s="2"/>
      <c r="Q589" s="2"/>
      <c r="R589" s="2"/>
      <c r="S589" s="2"/>
      <c r="T589" s="2"/>
      <c r="U589" s="2"/>
      <c r="V589" s="2"/>
      <c r="W589" s="2"/>
      <c r="X589" s="2"/>
      <c r="Y589" s="2"/>
      <c r="Z589" s="2"/>
      <c r="AA589" s="2"/>
      <c r="AB589" s="2"/>
    </row>
    <row r="590">
      <c r="A590" s="8"/>
      <c r="B590" s="8"/>
      <c r="C590" s="8"/>
      <c r="D590" s="8"/>
      <c r="E590" s="8"/>
      <c r="F590" s="11"/>
      <c r="G590" s="2"/>
      <c r="H590" s="2"/>
      <c r="I590" s="2"/>
      <c r="J590" s="2"/>
      <c r="K590" s="2"/>
      <c r="L590" s="2"/>
      <c r="M590" s="2"/>
      <c r="N590" s="2"/>
      <c r="O590" s="2"/>
      <c r="P590" s="2"/>
      <c r="Q590" s="2"/>
      <c r="R590" s="2"/>
      <c r="S590" s="2"/>
      <c r="T590" s="2"/>
      <c r="U590" s="2"/>
      <c r="V590" s="2"/>
      <c r="W590" s="2"/>
      <c r="X590" s="2"/>
      <c r="Y590" s="2"/>
      <c r="Z590" s="2"/>
      <c r="AA590" s="2"/>
      <c r="AB590" s="2"/>
    </row>
    <row r="591">
      <c r="A591" s="8"/>
      <c r="B591" s="8"/>
      <c r="C591" s="8"/>
      <c r="D591" s="8"/>
      <c r="E591" s="8"/>
      <c r="F591" s="11"/>
      <c r="G591" s="2"/>
      <c r="H591" s="2"/>
      <c r="I591" s="2"/>
      <c r="J591" s="2"/>
      <c r="K591" s="2"/>
      <c r="L591" s="2"/>
      <c r="M591" s="2"/>
      <c r="N591" s="2"/>
      <c r="O591" s="2"/>
      <c r="P591" s="2"/>
      <c r="Q591" s="2"/>
      <c r="R591" s="2"/>
      <c r="S591" s="2"/>
      <c r="T591" s="2"/>
      <c r="U591" s="2"/>
      <c r="V591" s="2"/>
      <c r="W591" s="2"/>
      <c r="X591" s="2"/>
      <c r="Y591" s="2"/>
      <c r="Z591" s="2"/>
      <c r="AA591" s="2"/>
      <c r="AB591" s="2"/>
    </row>
    <row r="592">
      <c r="A592" s="8"/>
      <c r="B592" s="8"/>
      <c r="C592" s="8"/>
      <c r="D592" s="8"/>
      <c r="E592" s="8"/>
      <c r="F592" s="11"/>
      <c r="G592" s="2"/>
      <c r="H592" s="2"/>
      <c r="I592" s="2"/>
      <c r="J592" s="2"/>
      <c r="K592" s="2"/>
      <c r="L592" s="2"/>
      <c r="M592" s="2"/>
      <c r="N592" s="2"/>
      <c r="O592" s="2"/>
      <c r="P592" s="2"/>
      <c r="Q592" s="2"/>
      <c r="R592" s="2"/>
      <c r="S592" s="2"/>
      <c r="T592" s="2"/>
      <c r="U592" s="2"/>
      <c r="V592" s="2"/>
      <c r="W592" s="2"/>
      <c r="X592" s="2"/>
      <c r="Y592" s="2"/>
      <c r="Z592" s="2"/>
      <c r="AA592" s="2"/>
      <c r="AB592" s="2"/>
    </row>
    <row r="593">
      <c r="A593" s="8"/>
      <c r="B593" s="8"/>
      <c r="C593" s="8"/>
      <c r="D593" s="8"/>
      <c r="E593" s="8"/>
      <c r="F593" s="11"/>
      <c r="G593" s="2"/>
      <c r="H593" s="2"/>
      <c r="I593" s="2"/>
      <c r="J593" s="2"/>
      <c r="K593" s="2"/>
      <c r="L593" s="2"/>
      <c r="M593" s="2"/>
      <c r="N593" s="2"/>
      <c r="O593" s="2"/>
      <c r="P593" s="2"/>
      <c r="Q593" s="2"/>
      <c r="R593" s="2"/>
      <c r="S593" s="2"/>
      <c r="T593" s="2"/>
      <c r="U593" s="2"/>
      <c r="V593" s="2"/>
      <c r="W593" s="2"/>
      <c r="X593" s="2"/>
      <c r="Y593" s="2"/>
      <c r="Z593" s="2"/>
      <c r="AA593" s="2"/>
      <c r="AB593" s="2"/>
    </row>
    <row r="594">
      <c r="A594" s="8"/>
      <c r="B594" s="8"/>
      <c r="C594" s="8"/>
      <c r="D594" s="8"/>
      <c r="E594" s="8"/>
      <c r="F594" s="11"/>
      <c r="G594" s="2"/>
      <c r="H594" s="2"/>
      <c r="I594" s="2"/>
      <c r="J594" s="2"/>
      <c r="K594" s="2"/>
      <c r="L594" s="2"/>
      <c r="M594" s="2"/>
      <c r="N594" s="2"/>
      <c r="O594" s="2"/>
      <c r="P594" s="2"/>
      <c r="Q594" s="2"/>
      <c r="R594" s="2"/>
      <c r="S594" s="2"/>
      <c r="T594" s="2"/>
      <c r="U594" s="2"/>
      <c r="V594" s="2"/>
      <c r="W594" s="2"/>
      <c r="X594" s="2"/>
      <c r="Y594" s="2"/>
      <c r="Z594" s="2"/>
      <c r="AA594" s="2"/>
      <c r="AB594" s="2"/>
    </row>
    <row r="595">
      <c r="A595" s="8"/>
      <c r="B595" s="8"/>
      <c r="C595" s="8"/>
      <c r="D595" s="8"/>
      <c r="E595" s="8"/>
      <c r="F595" s="11"/>
      <c r="G595" s="2"/>
      <c r="H595" s="2"/>
      <c r="I595" s="2"/>
      <c r="J595" s="2"/>
      <c r="K595" s="2"/>
      <c r="L595" s="2"/>
      <c r="M595" s="2"/>
      <c r="N595" s="2"/>
      <c r="O595" s="2"/>
      <c r="P595" s="2"/>
      <c r="Q595" s="2"/>
      <c r="R595" s="2"/>
      <c r="S595" s="2"/>
      <c r="T595" s="2"/>
      <c r="U595" s="2"/>
      <c r="V595" s="2"/>
      <c r="W595" s="2"/>
      <c r="X595" s="2"/>
      <c r="Y595" s="2"/>
      <c r="Z595" s="2"/>
      <c r="AA595" s="2"/>
      <c r="AB595" s="2"/>
    </row>
    <row r="596">
      <c r="A596" s="8"/>
      <c r="B596" s="8"/>
      <c r="C596" s="8"/>
      <c r="D596" s="8"/>
      <c r="E596" s="8"/>
      <c r="F596" s="11"/>
      <c r="G596" s="2"/>
      <c r="H596" s="2"/>
      <c r="I596" s="2"/>
      <c r="J596" s="2"/>
      <c r="K596" s="2"/>
      <c r="L596" s="2"/>
      <c r="M596" s="2"/>
      <c r="N596" s="2"/>
      <c r="O596" s="2"/>
      <c r="P596" s="2"/>
      <c r="Q596" s="2"/>
      <c r="R596" s="2"/>
      <c r="S596" s="2"/>
      <c r="T596" s="2"/>
      <c r="U596" s="2"/>
      <c r="V596" s="2"/>
      <c r="W596" s="2"/>
      <c r="X596" s="2"/>
      <c r="Y596" s="2"/>
      <c r="Z596" s="2"/>
      <c r="AA596" s="2"/>
      <c r="AB596" s="2"/>
    </row>
    <row r="597">
      <c r="A597" s="8"/>
      <c r="B597" s="8"/>
      <c r="C597" s="8"/>
      <c r="D597" s="8"/>
      <c r="E597" s="8"/>
      <c r="F597" s="11"/>
      <c r="G597" s="2"/>
      <c r="H597" s="2"/>
      <c r="I597" s="2"/>
      <c r="J597" s="2"/>
      <c r="K597" s="2"/>
      <c r="L597" s="2"/>
      <c r="M597" s="2"/>
      <c r="N597" s="2"/>
      <c r="O597" s="2"/>
      <c r="P597" s="2"/>
      <c r="Q597" s="2"/>
      <c r="R597" s="2"/>
      <c r="S597" s="2"/>
      <c r="T597" s="2"/>
      <c r="U597" s="2"/>
      <c r="V597" s="2"/>
      <c r="W597" s="2"/>
      <c r="X597" s="2"/>
      <c r="Y597" s="2"/>
      <c r="Z597" s="2"/>
      <c r="AA597" s="2"/>
      <c r="AB597" s="2"/>
    </row>
    <row r="598">
      <c r="A598" s="8"/>
      <c r="B598" s="8"/>
      <c r="C598" s="8"/>
      <c r="D598" s="8"/>
      <c r="E598" s="8"/>
      <c r="F598" s="11"/>
      <c r="G598" s="2"/>
      <c r="H598" s="2"/>
      <c r="I598" s="2"/>
      <c r="J598" s="2"/>
      <c r="K598" s="2"/>
      <c r="L598" s="2"/>
      <c r="M598" s="2"/>
      <c r="N598" s="2"/>
      <c r="O598" s="2"/>
      <c r="P598" s="2"/>
      <c r="Q598" s="2"/>
      <c r="R598" s="2"/>
      <c r="S598" s="2"/>
      <c r="T598" s="2"/>
      <c r="U598" s="2"/>
      <c r="V598" s="2"/>
      <c r="W598" s="2"/>
      <c r="X598" s="2"/>
      <c r="Y598" s="2"/>
      <c r="Z598" s="2"/>
      <c r="AA598" s="2"/>
      <c r="AB598" s="2"/>
    </row>
    <row r="599">
      <c r="A599" s="8"/>
      <c r="B599" s="8"/>
      <c r="C599" s="8"/>
      <c r="D599" s="8"/>
      <c r="E599" s="8"/>
      <c r="F599" s="11"/>
      <c r="G599" s="2"/>
      <c r="H599" s="2"/>
      <c r="I599" s="2"/>
      <c r="J599" s="2"/>
      <c r="K599" s="2"/>
      <c r="L599" s="2"/>
      <c r="M599" s="2"/>
      <c r="N599" s="2"/>
      <c r="O599" s="2"/>
      <c r="P599" s="2"/>
      <c r="Q599" s="2"/>
      <c r="R599" s="2"/>
      <c r="S599" s="2"/>
      <c r="T599" s="2"/>
      <c r="U599" s="2"/>
      <c r="V599" s="2"/>
      <c r="W599" s="2"/>
      <c r="X599" s="2"/>
      <c r="Y599" s="2"/>
      <c r="Z599" s="2"/>
      <c r="AA599" s="2"/>
      <c r="AB599" s="2"/>
    </row>
    <row r="600">
      <c r="A600" s="8"/>
      <c r="B600" s="8"/>
      <c r="C600" s="8"/>
      <c r="D600" s="8"/>
      <c r="E600" s="8"/>
      <c r="F600" s="11"/>
      <c r="G600" s="2"/>
      <c r="H600" s="2"/>
      <c r="I600" s="2"/>
      <c r="J600" s="2"/>
      <c r="K600" s="2"/>
      <c r="L600" s="2"/>
      <c r="M600" s="2"/>
      <c r="N600" s="2"/>
      <c r="O600" s="2"/>
      <c r="P600" s="2"/>
      <c r="Q600" s="2"/>
      <c r="R600" s="2"/>
      <c r="S600" s="2"/>
      <c r="T600" s="2"/>
      <c r="U600" s="2"/>
      <c r="V600" s="2"/>
      <c r="W600" s="2"/>
      <c r="X600" s="2"/>
      <c r="Y600" s="2"/>
      <c r="Z600" s="2"/>
      <c r="AA600" s="2"/>
      <c r="AB600" s="2"/>
    </row>
    <row r="601">
      <c r="A601" s="8"/>
      <c r="B601" s="8"/>
      <c r="C601" s="8"/>
      <c r="D601" s="8"/>
      <c r="E601" s="8"/>
      <c r="F601" s="11"/>
      <c r="G601" s="2"/>
      <c r="H601" s="2"/>
      <c r="I601" s="2"/>
      <c r="J601" s="2"/>
      <c r="K601" s="2"/>
      <c r="L601" s="2"/>
      <c r="M601" s="2"/>
      <c r="N601" s="2"/>
      <c r="O601" s="2"/>
      <c r="P601" s="2"/>
      <c r="Q601" s="2"/>
      <c r="R601" s="2"/>
      <c r="S601" s="2"/>
      <c r="T601" s="2"/>
      <c r="U601" s="2"/>
      <c r="V601" s="2"/>
      <c r="W601" s="2"/>
      <c r="X601" s="2"/>
      <c r="Y601" s="2"/>
      <c r="Z601" s="2"/>
      <c r="AA601" s="2"/>
      <c r="AB601" s="2"/>
    </row>
    <row r="602">
      <c r="A602" s="8"/>
      <c r="B602" s="8"/>
      <c r="C602" s="8"/>
      <c r="D602" s="8"/>
      <c r="E602" s="8"/>
      <c r="F602" s="11"/>
      <c r="G602" s="2"/>
      <c r="H602" s="2"/>
      <c r="I602" s="2"/>
      <c r="J602" s="2"/>
      <c r="K602" s="2"/>
      <c r="L602" s="2"/>
      <c r="M602" s="2"/>
      <c r="N602" s="2"/>
      <c r="O602" s="2"/>
      <c r="P602" s="2"/>
      <c r="Q602" s="2"/>
      <c r="R602" s="2"/>
      <c r="S602" s="2"/>
      <c r="T602" s="2"/>
      <c r="U602" s="2"/>
      <c r="V602" s="2"/>
      <c r="W602" s="2"/>
      <c r="X602" s="2"/>
      <c r="Y602" s="2"/>
      <c r="Z602" s="2"/>
      <c r="AA602" s="2"/>
      <c r="AB602" s="2"/>
    </row>
    <row r="603">
      <c r="A603" s="8"/>
      <c r="B603" s="8"/>
      <c r="C603" s="8"/>
      <c r="D603" s="8"/>
      <c r="E603" s="8"/>
      <c r="F603" s="11"/>
      <c r="G603" s="2"/>
      <c r="H603" s="2"/>
      <c r="I603" s="2"/>
      <c r="J603" s="2"/>
      <c r="K603" s="2"/>
      <c r="L603" s="2"/>
      <c r="M603" s="2"/>
      <c r="N603" s="2"/>
      <c r="O603" s="2"/>
      <c r="P603" s="2"/>
      <c r="Q603" s="2"/>
      <c r="R603" s="2"/>
      <c r="S603" s="2"/>
      <c r="T603" s="2"/>
      <c r="U603" s="2"/>
      <c r="V603" s="2"/>
      <c r="W603" s="2"/>
      <c r="X603" s="2"/>
      <c r="Y603" s="2"/>
      <c r="Z603" s="2"/>
      <c r="AA603" s="2"/>
      <c r="AB603" s="2"/>
    </row>
    <row r="604">
      <c r="A604" s="8"/>
      <c r="B604" s="8"/>
      <c r="C604" s="8"/>
      <c r="D604" s="8"/>
      <c r="E604" s="8"/>
      <c r="F604" s="11"/>
      <c r="G604" s="2"/>
      <c r="H604" s="2"/>
      <c r="I604" s="2"/>
      <c r="J604" s="2"/>
      <c r="K604" s="2"/>
      <c r="L604" s="2"/>
      <c r="M604" s="2"/>
      <c r="N604" s="2"/>
      <c r="O604" s="2"/>
      <c r="P604" s="2"/>
      <c r="Q604" s="2"/>
      <c r="R604" s="2"/>
      <c r="S604" s="2"/>
      <c r="T604" s="2"/>
      <c r="U604" s="2"/>
      <c r="V604" s="2"/>
      <c r="W604" s="2"/>
      <c r="X604" s="2"/>
      <c r="Y604" s="2"/>
      <c r="Z604" s="2"/>
      <c r="AA604" s="2"/>
      <c r="AB604" s="2"/>
    </row>
    <row r="605">
      <c r="A605" s="8"/>
      <c r="B605" s="8"/>
      <c r="C605" s="8"/>
      <c r="D605" s="8"/>
      <c r="E605" s="8"/>
      <c r="F605" s="11"/>
      <c r="G605" s="2"/>
      <c r="H605" s="2"/>
      <c r="I605" s="2"/>
      <c r="J605" s="2"/>
      <c r="K605" s="2"/>
      <c r="L605" s="2"/>
      <c r="M605" s="2"/>
      <c r="N605" s="2"/>
      <c r="O605" s="2"/>
      <c r="P605" s="2"/>
      <c r="Q605" s="2"/>
      <c r="R605" s="2"/>
      <c r="S605" s="2"/>
      <c r="T605" s="2"/>
      <c r="U605" s="2"/>
      <c r="V605" s="2"/>
      <c r="W605" s="2"/>
      <c r="X605" s="2"/>
      <c r="Y605" s="2"/>
      <c r="Z605" s="2"/>
      <c r="AA605" s="2"/>
      <c r="AB605" s="2"/>
    </row>
    <row r="606">
      <c r="A606" s="8"/>
      <c r="B606" s="8"/>
      <c r="C606" s="8"/>
      <c r="D606" s="8"/>
      <c r="E606" s="8"/>
      <c r="F606" s="11"/>
      <c r="G606" s="2"/>
      <c r="H606" s="2"/>
      <c r="I606" s="2"/>
      <c r="J606" s="2"/>
      <c r="K606" s="2"/>
      <c r="L606" s="2"/>
      <c r="M606" s="2"/>
      <c r="N606" s="2"/>
      <c r="O606" s="2"/>
      <c r="P606" s="2"/>
      <c r="Q606" s="2"/>
      <c r="R606" s="2"/>
      <c r="S606" s="2"/>
      <c r="T606" s="2"/>
      <c r="U606" s="2"/>
      <c r="V606" s="2"/>
      <c r="W606" s="2"/>
      <c r="X606" s="2"/>
      <c r="Y606" s="2"/>
      <c r="Z606" s="2"/>
      <c r="AA606" s="2"/>
      <c r="AB606" s="2"/>
    </row>
    <row r="607">
      <c r="A607" s="8"/>
      <c r="B607" s="8"/>
      <c r="C607" s="8"/>
      <c r="D607" s="8"/>
      <c r="E607" s="8"/>
      <c r="F607" s="11"/>
      <c r="G607" s="2"/>
      <c r="H607" s="2"/>
      <c r="I607" s="2"/>
      <c r="J607" s="2"/>
      <c r="K607" s="2"/>
      <c r="L607" s="2"/>
      <c r="M607" s="2"/>
      <c r="N607" s="2"/>
      <c r="O607" s="2"/>
      <c r="P607" s="2"/>
      <c r="Q607" s="2"/>
      <c r="R607" s="2"/>
      <c r="S607" s="2"/>
      <c r="T607" s="2"/>
      <c r="U607" s="2"/>
      <c r="V607" s="2"/>
      <c r="W607" s="2"/>
      <c r="X607" s="2"/>
      <c r="Y607" s="2"/>
      <c r="Z607" s="2"/>
      <c r="AA607" s="2"/>
      <c r="AB607" s="2"/>
    </row>
    <row r="608">
      <c r="A608" s="8"/>
      <c r="B608" s="8"/>
      <c r="C608" s="8"/>
      <c r="D608" s="8"/>
      <c r="E608" s="8"/>
      <c r="F608" s="11"/>
      <c r="G608" s="2"/>
      <c r="H608" s="2"/>
      <c r="I608" s="2"/>
      <c r="J608" s="2"/>
      <c r="K608" s="2"/>
      <c r="L608" s="2"/>
      <c r="M608" s="2"/>
      <c r="N608" s="2"/>
      <c r="O608" s="2"/>
      <c r="P608" s="2"/>
      <c r="Q608" s="2"/>
      <c r="R608" s="2"/>
      <c r="S608" s="2"/>
      <c r="T608" s="2"/>
      <c r="U608" s="2"/>
      <c r="V608" s="2"/>
      <c r="W608" s="2"/>
      <c r="X608" s="2"/>
      <c r="Y608" s="2"/>
      <c r="Z608" s="2"/>
      <c r="AA608" s="2"/>
      <c r="AB608" s="2"/>
    </row>
    <row r="609">
      <c r="A609" s="8"/>
      <c r="B609" s="8"/>
      <c r="C609" s="8"/>
      <c r="D609" s="8"/>
      <c r="E609" s="8"/>
      <c r="F609" s="11"/>
      <c r="G609" s="2"/>
      <c r="H609" s="2"/>
      <c r="I609" s="2"/>
      <c r="J609" s="2"/>
      <c r="K609" s="2"/>
      <c r="L609" s="2"/>
      <c r="M609" s="2"/>
      <c r="N609" s="2"/>
      <c r="O609" s="2"/>
      <c r="P609" s="2"/>
      <c r="Q609" s="2"/>
      <c r="R609" s="2"/>
      <c r="S609" s="2"/>
      <c r="T609" s="2"/>
      <c r="U609" s="2"/>
      <c r="V609" s="2"/>
      <c r="W609" s="2"/>
      <c r="X609" s="2"/>
      <c r="Y609" s="2"/>
      <c r="Z609" s="2"/>
      <c r="AA609" s="2"/>
      <c r="AB609" s="2"/>
    </row>
    <row r="610">
      <c r="A610" s="8"/>
      <c r="B610" s="8"/>
      <c r="C610" s="8"/>
      <c r="D610" s="8"/>
      <c r="E610" s="8"/>
      <c r="F610" s="11"/>
      <c r="G610" s="2"/>
      <c r="H610" s="2"/>
      <c r="I610" s="2"/>
      <c r="J610" s="2"/>
      <c r="K610" s="2"/>
      <c r="L610" s="2"/>
      <c r="M610" s="2"/>
      <c r="N610" s="2"/>
      <c r="O610" s="2"/>
      <c r="P610" s="2"/>
      <c r="Q610" s="2"/>
      <c r="R610" s="2"/>
      <c r="S610" s="2"/>
      <c r="T610" s="2"/>
      <c r="U610" s="2"/>
      <c r="V610" s="2"/>
      <c r="W610" s="2"/>
      <c r="X610" s="2"/>
      <c r="Y610" s="2"/>
      <c r="Z610" s="2"/>
      <c r="AA610" s="2"/>
      <c r="AB610" s="2"/>
    </row>
    <row r="611">
      <c r="A611" s="8"/>
      <c r="B611" s="8"/>
      <c r="C611" s="8"/>
      <c r="D611" s="8"/>
      <c r="E611" s="8"/>
      <c r="F611" s="11"/>
      <c r="G611" s="2"/>
      <c r="H611" s="2"/>
      <c r="I611" s="2"/>
      <c r="J611" s="2"/>
      <c r="K611" s="2"/>
      <c r="L611" s="2"/>
      <c r="M611" s="2"/>
      <c r="N611" s="2"/>
      <c r="O611" s="2"/>
      <c r="P611" s="2"/>
      <c r="Q611" s="2"/>
      <c r="R611" s="2"/>
      <c r="S611" s="2"/>
      <c r="T611" s="2"/>
      <c r="U611" s="2"/>
      <c r="V611" s="2"/>
      <c r="W611" s="2"/>
      <c r="X611" s="2"/>
      <c r="Y611" s="2"/>
      <c r="Z611" s="2"/>
      <c r="AA611" s="2"/>
      <c r="AB611" s="2"/>
    </row>
    <row r="612">
      <c r="A612" s="8"/>
      <c r="B612" s="8"/>
      <c r="C612" s="8"/>
      <c r="D612" s="8"/>
      <c r="E612" s="8"/>
      <c r="F612" s="11"/>
      <c r="G612" s="2"/>
      <c r="H612" s="2"/>
      <c r="I612" s="2"/>
      <c r="J612" s="2"/>
      <c r="K612" s="2"/>
      <c r="L612" s="2"/>
      <c r="M612" s="2"/>
      <c r="N612" s="2"/>
      <c r="O612" s="2"/>
      <c r="P612" s="2"/>
      <c r="Q612" s="2"/>
      <c r="R612" s="2"/>
      <c r="S612" s="2"/>
      <c r="T612" s="2"/>
      <c r="U612" s="2"/>
      <c r="V612" s="2"/>
      <c r="W612" s="2"/>
      <c r="X612" s="2"/>
      <c r="Y612" s="2"/>
      <c r="Z612" s="2"/>
      <c r="AA612" s="2"/>
      <c r="AB612" s="2"/>
    </row>
    <row r="613">
      <c r="A613" s="8"/>
      <c r="B613" s="8"/>
      <c r="C613" s="8"/>
      <c r="D613" s="8"/>
      <c r="E613" s="8"/>
      <c r="F613" s="11"/>
      <c r="G613" s="2"/>
      <c r="H613" s="2"/>
      <c r="I613" s="2"/>
      <c r="J613" s="2"/>
      <c r="K613" s="2"/>
      <c r="L613" s="2"/>
      <c r="M613" s="2"/>
      <c r="N613" s="2"/>
      <c r="O613" s="2"/>
      <c r="P613" s="2"/>
      <c r="Q613" s="2"/>
      <c r="R613" s="2"/>
      <c r="S613" s="2"/>
      <c r="T613" s="2"/>
      <c r="U613" s="2"/>
      <c r="V613" s="2"/>
      <c r="W613" s="2"/>
      <c r="X613" s="2"/>
      <c r="Y613" s="2"/>
      <c r="Z613" s="2"/>
      <c r="AA613" s="2"/>
      <c r="AB613" s="2"/>
    </row>
    <row r="614">
      <c r="A614" s="8"/>
      <c r="B614" s="8"/>
      <c r="C614" s="8"/>
      <c r="D614" s="8"/>
      <c r="E614" s="8"/>
      <c r="F614" s="11"/>
      <c r="G614" s="2"/>
      <c r="H614" s="2"/>
      <c r="I614" s="2"/>
      <c r="J614" s="2"/>
      <c r="K614" s="2"/>
      <c r="L614" s="2"/>
      <c r="M614" s="2"/>
      <c r="N614" s="2"/>
      <c r="O614" s="2"/>
      <c r="P614" s="2"/>
      <c r="Q614" s="2"/>
      <c r="R614" s="2"/>
      <c r="S614" s="2"/>
      <c r="T614" s="2"/>
      <c r="U614" s="2"/>
      <c r="V614" s="2"/>
      <c r="W614" s="2"/>
      <c r="X614" s="2"/>
      <c r="Y614" s="2"/>
      <c r="Z614" s="2"/>
      <c r="AA614" s="2"/>
      <c r="AB614" s="2"/>
    </row>
    <row r="615">
      <c r="A615" s="8"/>
      <c r="B615" s="8"/>
      <c r="C615" s="8"/>
      <c r="D615" s="8"/>
      <c r="E615" s="8"/>
      <c r="F615" s="11"/>
      <c r="G615" s="2"/>
      <c r="H615" s="2"/>
      <c r="I615" s="2"/>
      <c r="J615" s="2"/>
      <c r="K615" s="2"/>
      <c r="L615" s="2"/>
      <c r="M615" s="2"/>
      <c r="N615" s="2"/>
      <c r="O615" s="2"/>
      <c r="P615" s="2"/>
      <c r="Q615" s="2"/>
      <c r="R615" s="2"/>
      <c r="S615" s="2"/>
      <c r="T615" s="2"/>
      <c r="U615" s="2"/>
      <c r="V615" s="2"/>
      <c r="W615" s="2"/>
      <c r="X615" s="2"/>
      <c r="Y615" s="2"/>
      <c r="Z615" s="2"/>
      <c r="AA615" s="2"/>
      <c r="AB615" s="2"/>
    </row>
    <row r="616">
      <c r="A616" s="8"/>
      <c r="B616" s="8"/>
      <c r="C616" s="8"/>
      <c r="D616" s="8"/>
      <c r="E616" s="8"/>
      <c r="F616" s="11"/>
      <c r="G616" s="2"/>
      <c r="H616" s="2"/>
      <c r="I616" s="2"/>
      <c r="J616" s="2"/>
      <c r="K616" s="2"/>
      <c r="L616" s="2"/>
      <c r="M616" s="2"/>
      <c r="N616" s="2"/>
      <c r="O616" s="2"/>
      <c r="P616" s="2"/>
      <c r="Q616" s="2"/>
      <c r="R616" s="2"/>
      <c r="S616" s="2"/>
      <c r="T616" s="2"/>
      <c r="U616" s="2"/>
      <c r="V616" s="2"/>
      <c r="W616" s="2"/>
      <c r="X616" s="2"/>
      <c r="Y616" s="2"/>
      <c r="Z616" s="2"/>
      <c r="AA616" s="2"/>
      <c r="AB616" s="2"/>
    </row>
    <row r="617">
      <c r="A617" s="8"/>
      <c r="B617" s="8"/>
      <c r="C617" s="8"/>
      <c r="D617" s="8"/>
      <c r="E617" s="8"/>
      <c r="F617" s="11"/>
      <c r="G617" s="2"/>
      <c r="H617" s="2"/>
      <c r="I617" s="2"/>
      <c r="J617" s="2"/>
      <c r="K617" s="2"/>
      <c r="L617" s="2"/>
      <c r="M617" s="2"/>
      <c r="N617" s="2"/>
      <c r="O617" s="2"/>
      <c r="P617" s="2"/>
      <c r="Q617" s="2"/>
      <c r="R617" s="2"/>
      <c r="S617" s="2"/>
      <c r="T617" s="2"/>
      <c r="U617" s="2"/>
      <c r="V617" s="2"/>
      <c r="W617" s="2"/>
      <c r="X617" s="2"/>
      <c r="Y617" s="2"/>
      <c r="Z617" s="2"/>
      <c r="AA617" s="2"/>
      <c r="AB617" s="2"/>
    </row>
    <row r="618">
      <c r="A618" s="8"/>
      <c r="B618" s="8"/>
      <c r="C618" s="8"/>
      <c r="D618" s="8"/>
      <c r="E618" s="8"/>
      <c r="F618" s="11"/>
      <c r="G618" s="2"/>
      <c r="H618" s="2"/>
      <c r="I618" s="2"/>
      <c r="J618" s="2"/>
      <c r="K618" s="2"/>
      <c r="L618" s="2"/>
      <c r="M618" s="2"/>
      <c r="N618" s="2"/>
      <c r="O618" s="2"/>
      <c r="P618" s="2"/>
      <c r="Q618" s="2"/>
      <c r="R618" s="2"/>
      <c r="S618" s="2"/>
      <c r="T618" s="2"/>
      <c r="U618" s="2"/>
      <c r="V618" s="2"/>
      <c r="W618" s="2"/>
      <c r="X618" s="2"/>
      <c r="Y618" s="2"/>
      <c r="Z618" s="2"/>
      <c r="AA618" s="2"/>
      <c r="AB618" s="2"/>
    </row>
    <row r="619">
      <c r="A619" s="8"/>
      <c r="B619" s="8"/>
      <c r="C619" s="8"/>
      <c r="D619" s="8"/>
      <c r="E619" s="8"/>
      <c r="F619" s="11"/>
      <c r="G619" s="2"/>
      <c r="H619" s="2"/>
      <c r="I619" s="2"/>
      <c r="J619" s="2"/>
      <c r="K619" s="2"/>
      <c r="L619" s="2"/>
      <c r="M619" s="2"/>
      <c r="N619" s="2"/>
      <c r="O619" s="2"/>
      <c r="P619" s="2"/>
      <c r="Q619" s="2"/>
      <c r="R619" s="2"/>
      <c r="S619" s="2"/>
      <c r="T619" s="2"/>
      <c r="U619" s="2"/>
      <c r="V619" s="2"/>
      <c r="W619" s="2"/>
      <c r="X619" s="2"/>
      <c r="Y619" s="2"/>
      <c r="Z619" s="2"/>
      <c r="AA619" s="2"/>
      <c r="AB619" s="2"/>
    </row>
    <row r="620">
      <c r="A620" s="8"/>
      <c r="B620" s="8"/>
      <c r="C620" s="8"/>
      <c r="D620" s="8"/>
      <c r="E620" s="8"/>
      <c r="F620" s="11"/>
      <c r="G620" s="2"/>
      <c r="H620" s="2"/>
      <c r="I620" s="2"/>
      <c r="J620" s="2"/>
      <c r="K620" s="2"/>
      <c r="L620" s="2"/>
      <c r="M620" s="2"/>
      <c r="N620" s="2"/>
      <c r="O620" s="2"/>
      <c r="P620" s="2"/>
      <c r="Q620" s="2"/>
      <c r="R620" s="2"/>
      <c r="S620" s="2"/>
      <c r="T620" s="2"/>
      <c r="U620" s="2"/>
      <c r="V620" s="2"/>
      <c r="W620" s="2"/>
      <c r="X620" s="2"/>
      <c r="Y620" s="2"/>
      <c r="Z620" s="2"/>
      <c r="AA620" s="2"/>
      <c r="AB620" s="2"/>
    </row>
    <row r="621">
      <c r="A621" s="8"/>
      <c r="B621" s="8"/>
      <c r="C621" s="8"/>
      <c r="D621" s="8"/>
      <c r="E621" s="8"/>
      <c r="F621" s="11"/>
      <c r="G621" s="2"/>
      <c r="H621" s="2"/>
      <c r="I621" s="2"/>
      <c r="J621" s="2"/>
      <c r="K621" s="2"/>
      <c r="L621" s="2"/>
      <c r="M621" s="2"/>
      <c r="N621" s="2"/>
      <c r="O621" s="2"/>
      <c r="P621" s="2"/>
      <c r="Q621" s="2"/>
      <c r="R621" s="2"/>
      <c r="S621" s="2"/>
      <c r="T621" s="2"/>
      <c r="U621" s="2"/>
      <c r="V621" s="2"/>
      <c r="W621" s="2"/>
      <c r="X621" s="2"/>
      <c r="Y621" s="2"/>
      <c r="Z621" s="2"/>
      <c r="AA621" s="2"/>
      <c r="AB621" s="2"/>
    </row>
    <row r="622">
      <c r="A622" s="8"/>
      <c r="B622" s="8"/>
      <c r="C622" s="8"/>
      <c r="D622" s="8"/>
      <c r="E622" s="8"/>
      <c r="F622" s="11"/>
      <c r="G622" s="2"/>
      <c r="H622" s="2"/>
      <c r="I622" s="2"/>
      <c r="J622" s="2"/>
      <c r="K622" s="2"/>
      <c r="L622" s="2"/>
      <c r="M622" s="2"/>
      <c r="N622" s="2"/>
      <c r="O622" s="2"/>
      <c r="P622" s="2"/>
      <c r="Q622" s="2"/>
      <c r="R622" s="2"/>
      <c r="S622" s="2"/>
      <c r="T622" s="2"/>
      <c r="U622" s="2"/>
      <c r="V622" s="2"/>
      <c r="W622" s="2"/>
      <c r="X622" s="2"/>
      <c r="Y622" s="2"/>
      <c r="Z622" s="2"/>
      <c r="AA622" s="2"/>
      <c r="AB622" s="2"/>
    </row>
    <row r="623">
      <c r="A623" s="8"/>
      <c r="B623" s="8"/>
      <c r="C623" s="8"/>
      <c r="D623" s="8"/>
      <c r="E623" s="8"/>
      <c r="F623" s="11"/>
      <c r="G623" s="2"/>
      <c r="H623" s="2"/>
      <c r="I623" s="2"/>
      <c r="J623" s="2"/>
      <c r="K623" s="2"/>
      <c r="L623" s="2"/>
      <c r="M623" s="2"/>
      <c r="N623" s="2"/>
      <c r="O623" s="2"/>
      <c r="P623" s="2"/>
      <c r="Q623" s="2"/>
      <c r="R623" s="2"/>
      <c r="S623" s="2"/>
      <c r="T623" s="2"/>
      <c r="U623" s="2"/>
      <c r="V623" s="2"/>
      <c r="W623" s="2"/>
      <c r="X623" s="2"/>
      <c r="Y623" s="2"/>
      <c r="Z623" s="2"/>
      <c r="AA623" s="2"/>
      <c r="AB623" s="2"/>
    </row>
    <row r="624">
      <c r="A624" s="8"/>
      <c r="B624" s="8"/>
      <c r="C624" s="8"/>
      <c r="D624" s="8"/>
      <c r="E624" s="8"/>
      <c r="F624" s="11"/>
      <c r="G624" s="2"/>
      <c r="H624" s="2"/>
      <c r="I624" s="2"/>
      <c r="J624" s="2"/>
      <c r="K624" s="2"/>
      <c r="L624" s="2"/>
      <c r="M624" s="2"/>
      <c r="N624" s="2"/>
      <c r="O624" s="2"/>
      <c r="P624" s="2"/>
      <c r="Q624" s="2"/>
      <c r="R624" s="2"/>
      <c r="S624" s="2"/>
      <c r="T624" s="2"/>
      <c r="U624" s="2"/>
      <c r="V624" s="2"/>
      <c r="W624" s="2"/>
      <c r="X624" s="2"/>
      <c r="Y624" s="2"/>
      <c r="Z624" s="2"/>
      <c r="AA624" s="2"/>
      <c r="AB624" s="2"/>
    </row>
    <row r="625">
      <c r="A625" s="8"/>
      <c r="B625" s="8"/>
      <c r="C625" s="8"/>
      <c r="D625" s="8"/>
      <c r="E625" s="8"/>
      <c r="F625" s="11"/>
      <c r="G625" s="2"/>
      <c r="H625" s="2"/>
      <c r="I625" s="2"/>
      <c r="J625" s="2"/>
      <c r="K625" s="2"/>
      <c r="L625" s="2"/>
      <c r="M625" s="2"/>
      <c r="N625" s="2"/>
      <c r="O625" s="2"/>
      <c r="P625" s="2"/>
      <c r="Q625" s="2"/>
      <c r="R625" s="2"/>
      <c r="S625" s="2"/>
      <c r="T625" s="2"/>
      <c r="U625" s="2"/>
      <c r="V625" s="2"/>
      <c r="W625" s="2"/>
      <c r="X625" s="2"/>
      <c r="Y625" s="2"/>
      <c r="Z625" s="2"/>
      <c r="AA625" s="2"/>
      <c r="AB625" s="2"/>
    </row>
    <row r="626">
      <c r="A626" s="8"/>
      <c r="B626" s="8"/>
      <c r="C626" s="8"/>
      <c r="D626" s="8"/>
      <c r="E626" s="8"/>
      <c r="F626" s="11"/>
      <c r="G626" s="2"/>
      <c r="H626" s="2"/>
      <c r="I626" s="2"/>
      <c r="J626" s="2"/>
      <c r="K626" s="2"/>
      <c r="L626" s="2"/>
      <c r="M626" s="2"/>
      <c r="N626" s="2"/>
      <c r="O626" s="2"/>
      <c r="P626" s="2"/>
      <c r="Q626" s="2"/>
      <c r="R626" s="2"/>
      <c r="S626" s="2"/>
      <c r="T626" s="2"/>
      <c r="U626" s="2"/>
      <c r="V626" s="2"/>
      <c r="W626" s="2"/>
      <c r="X626" s="2"/>
      <c r="Y626" s="2"/>
      <c r="Z626" s="2"/>
      <c r="AA626" s="2"/>
      <c r="AB626" s="2"/>
    </row>
    <row r="627">
      <c r="A627" s="8"/>
      <c r="B627" s="8"/>
      <c r="C627" s="8"/>
      <c r="D627" s="8"/>
      <c r="E627" s="8"/>
      <c r="F627" s="11"/>
      <c r="G627" s="2"/>
      <c r="H627" s="2"/>
      <c r="I627" s="2"/>
      <c r="J627" s="2"/>
      <c r="K627" s="2"/>
      <c r="L627" s="2"/>
      <c r="M627" s="2"/>
      <c r="N627" s="2"/>
      <c r="O627" s="2"/>
      <c r="P627" s="2"/>
      <c r="Q627" s="2"/>
      <c r="R627" s="2"/>
      <c r="S627" s="2"/>
      <c r="T627" s="2"/>
      <c r="U627" s="2"/>
      <c r="V627" s="2"/>
      <c r="W627" s="2"/>
      <c r="X627" s="2"/>
      <c r="Y627" s="2"/>
      <c r="Z627" s="2"/>
      <c r="AA627" s="2"/>
      <c r="AB627" s="2"/>
    </row>
    <row r="628">
      <c r="A628" s="8"/>
      <c r="B628" s="8"/>
      <c r="C628" s="8"/>
      <c r="D628" s="8"/>
      <c r="E628" s="8"/>
      <c r="F628" s="11"/>
      <c r="G628" s="2"/>
      <c r="H628" s="2"/>
      <c r="I628" s="2"/>
      <c r="J628" s="2"/>
      <c r="K628" s="2"/>
      <c r="L628" s="2"/>
      <c r="M628" s="2"/>
      <c r="N628" s="2"/>
      <c r="O628" s="2"/>
      <c r="P628" s="2"/>
      <c r="Q628" s="2"/>
      <c r="R628" s="2"/>
      <c r="S628" s="2"/>
      <c r="T628" s="2"/>
      <c r="U628" s="2"/>
      <c r="V628" s="2"/>
      <c r="W628" s="2"/>
      <c r="X628" s="2"/>
      <c r="Y628" s="2"/>
      <c r="Z628" s="2"/>
      <c r="AA628" s="2"/>
      <c r="AB628" s="2"/>
    </row>
    <row r="629">
      <c r="A629" s="8"/>
      <c r="B629" s="8"/>
      <c r="C629" s="8"/>
      <c r="D629" s="8"/>
      <c r="E629" s="8"/>
      <c r="F629" s="11"/>
      <c r="G629" s="2"/>
      <c r="H629" s="2"/>
      <c r="I629" s="2"/>
      <c r="J629" s="2"/>
      <c r="K629" s="2"/>
      <c r="L629" s="2"/>
      <c r="M629" s="2"/>
      <c r="N629" s="2"/>
      <c r="O629" s="2"/>
      <c r="P629" s="2"/>
      <c r="Q629" s="2"/>
      <c r="R629" s="2"/>
      <c r="S629" s="2"/>
      <c r="T629" s="2"/>
      <c r="U629" s="2"/>
      <c r="V629" s="2"/>
      <c r="W629" s="2"/>
      <c r="X629" s="2"/>
      <c r="Y629" s="2"/>
      <c r="Z629" s="2"/>
      <c r="AA629" s="2"/>
      <c r="AB629" s="2"/>
    </row>
    <row r="630">
      <c r="A630" s="8"/>
      <c r="B630" s="8"/>
      <c r="C630" s="8"/>
      <c r="D630" s="8"/>
      <c r="E630" s="8"/>
      <c r="F630" s="11"/>
      <c r="G630" s="2"/>
      <c r="H630" s="2"/>
      <c r="I630" s="2"/>
      <c r="J630" s="2"/>
      <c r="K630" s="2"/>
      <c r="L630" s="2"/>
      <c r="M630" s="2"/>
      <c r="N630" s="2"/>
      <c r="O630" s="2"/>
      <c r="P630" s="2"/>
      <c r="Q630" s="2"/>
      <c r="R630" s="2"/>
      <c r="S630" s="2"/>
      <c r="T630" s="2"/>
      <c r="U630" s="2"/>
      <c r="V630" s="2"/>
      <c r="W630" s="2"/>
      <c r="X630" s="2"/>
      <c r="Y630" s="2"/>
      <c r="Z630" s="2"/>
      <c r="AA630" s="2"/>
      <c r="AB630" s="2"/>
    </row>
    <row r="631">
      <c r="A631" s="8"/>
      <c r="B631" s="8"/>
      <c r="C631" s="8"/>
      <c r="D631" s="8"/>
      <c r="E631" s="8"/>
      <c r="F631" s="11"/>
      <c r="G631" s="2"/>
      <c r="H631" s="2"/>
      <c r="I631" s="2"/>
      <c r="J631" s="2"/>
      <c r="K631" s="2"/>
      <c r="L631" s="2"/>
      <c r="M631" s="2"/>
      <c r="N631" s="2"/>
      <c r="O631" s="2"/>
      <c r="P631" s="2"/>
      <c r="Q631" s="2"/>
      <c r="R631" s="2"/>
      <c r="S631" s="2"/>
      <c r="T631" s="2"/>
      <c r="U631" s="2"/>
      <c r="V631" s="2"/>
      <c r="W631" s="2"/>
      <c r="X631" s="2"/>
      <c r="Y631" s="2"/>
      <c r="Z631" s="2"/>
      <c r="AA631" s="2"/>
      <c r="AB631" s="2"/>
    </row>
    <row r="632">
      <c r="A632" s="8"/>
      <c r="B632" s="8"/>
      <c r="C632" s="8"/>
      <c r="D632" s="8"/>
      <c r="E632" s="8"/>
      <c r="F632" s="11"/>
      <c r="G632" s="2"/>
      <c r="H632" s="2"/>
      <c r="I632" s="2"/>
      <c r="J632" s="2"/>
      <c r="K632" s="2"/>
      <c r="L632" s="2"/>
      <c r="M632" s="2"/>
      <c r="N632" s="2"/>
      <c r="O632" s="2"/>
      <c r="P632" s="2"/>
      <c r="Q632" s="2"/>
      <c r="R632" s="2"/>
      <c r="S632" s="2"/>
      <c r="T632" s="2"/>
      <c r="U632" s="2"/>
      <c r="V632" s="2"/>
      <c r="W632" s="2"/>
      <c r="X632" s="2"/>
      <c r="Y632" s="2"/>
      <c r="Z632" s="2"/>
      <c r="AA632" s="2"/>
      <c r="AB632" s="2"/>
    </row>
    <row r="633">
      <c r="A633" s="8"/>
      <c r="B633" s="8"/>
      <c r="C633" s="8"/>
      <c r="D633" s="8"/>
      <c r="E633" s="8"/>
      <c r="F633" s="11"/>
      <c r="G633" s="2"/>
      <c r="H633" s="2"/>
      <c r="I633" s="2"/>
      <c r="J633" s="2"/>
      <c r="K633" s="2"/>
      <c r="L633" s="2"/>
      <c r="M633" s="2"/>
      <c r="N633" s="2"/>
      <c r="O633" s="2"/>
      <c r="P633" s="2"/>
      <c r="Q633" s="2"/>
      <c r="R633" s="2"/>
      <c r="S633" s="2"/>
      <c r="T633" s="2"/>
      <c r="U633" s="2"/>
      <c r="V633" s="2"/>
      <c r="W633" s="2"/>
      <c r="X633" s="2"/>
      <c r="Y633" s="2"/>
      <c r="Z633" s="2"/>
      <c r="AA633" s="2"/>
      <c r="AB633" s="2"/>
    </row>
    <row r="634">
      <c r="A634" s="8"/>
      <c r="B634" s="8"/>
      <c r="C634" s="8"/>
      <c r="D634" s="8"/>
      <c r="E634" s="8"/>
      <c r="F634" s="11"/>
      <c r="G634" s="2"/>
      <c r="H634" s="2"/>
      <c r="I634" s="2"/>
      <c r="J634" s="2"/>
      <c r="K634" s="2"/>
      <c r="L634" s="2"/>
      <c r="M634" s="2"/>
      <c r="N634" s="2"/>
      <c r="O634" s="2"/>
      <c r="P634" s="2"/>
      <c r="Q634" s="2"/>
      <c r="R634" s="2"/>
      <c r="S634" s="2"/>
      <c r="T634" s="2"/>
      <c r="U634" s="2"/>
      <c r="V634" s="2"/>
      <c r="W634" s="2"/>
      <c r="X634" s="2"/>
      <c r="Y634" s="2"/>
      <c r="Z634" s="2"/>
      <c r="AA634" s="2"/>
      <c r="AB634" s="2"/>
    </row>
    <row r="635">
      <c r="A635" s="8"/>
      <c r="B635" s="8"/>
      <c r="C635" s="8"/>
      <c r="D635" s="8"/>
      <c r="E635" s="8"/>
      <c r="F635" s="11"/>
      <c r="G635" s="2"/>
      <c r="H635" s="2"/>
      <c r="I635" s="2"/>
      <c r="J635" s="2"/>
      <c r="K635" s="2"/>
      <c r="L635" s="2"/>
      <c r="M635" s="2"/>
      <c r="N635" s="2"/>
      <c r="O635" s="2"/>
      <c r="P635" s="2"/>
      <c r="Q635" s="2"/>
      <c r="R635" s="2"/>
      <c r="S635" s="2"/>
      <c r="T635" s="2"/>
      <c r="U635" s="2"/>
      <c r="V635" s="2"/>
      <c r="W635" s="2"/>
      <c r="X635" s="2"/>
      <c r="Y635" s="2"/>
      <c r="Z635" s="2"/>
      <c r="AA635" s="2"/>
      <c r="AB635" s="2"/>
    </row>
    <row r="636">
      <c r="A636" s="8"/>
      <c r="B636" s="8"/>
      <c r="C636" s="8"/>
      <c r="D636" s="8"/>
      <c r="E636" s="8"/>
      <c r="F636" s="11"/>
      <c r="G636" s="2"/>
      <c r="H636" s="2"/>
      <c r="I636" s="2"/>
      <c r="J636" s="2"/>
      <c r="K636" s="2"/>
      <c r="L636" s="2"/>
      <c r="M636" s="2"/>
      <c r="N636" s="2"/>
      <c r="O636" s="2"/>
      <c r="P636" s="2"/>
      <c r="Q636" s="2"/>
      <c r="R636" s="2"/>
      <c r="S636" s="2"/>
      <c r="T636" s="2"/>
      <c r="U636" s="2"/>
      <c r="V636" s="2"/>
      <c r="W636" s="2"/>
      <c r="X636" s="2"/>
      <c r="Y636" s="2"/>
      <c r="Z636" s="2"/>
      <c r="AA636" s="2"/>
      <c r="AB636" s="2"/>
    </row>
    <row r="637">
      <c r="A637" s="8"/>
      <c r="B637" s="8"/>
      <c r="C637" s="8"/>
      <c r="D637" s="8"/>
      <c r="E637" s="8"/>
      <c r="F637" s="11"/>
      <c r="G637" s="2"/>
      <c r="H637" s="2"/>
      <c r="I637" s="2"/>
      <c r="J637" s="2"/>
      <c r="K637" s="2"/>
      <c r="L637" s="2"/>
      <c r="M637" s="2"/>
      <c r="N637" s="2"/>
      <c r="O637" s="2"/>
      <c r="P637" s="2"/>
      <c r="Q637" s="2"/>
      <c r="R637" s="2"/>
      <c r="S637" s="2"/>
      <c r="T637" s="2"/>
      <c r="U637" s="2"/>
      <c r="V637" s="2"/>
      <c r="W637" s="2"/>
      <c r="X637" s="2"/>
      <c r="Y637" s="2"/>
      <c r="Z637" s="2"/>
      <c r="AA637" s="2"/>
      <c r="AB637" s="2"/>
    </row>
    <row r="638">
      <c r="A638" s="8"/>
      <c r="B638" s="8"/>
      <c r="C638" s="8"/>
      <c r="D638" s="8"/>
      <c r="E638" s="8"/>
      <c r="F638" s="11"/>
      <c r="G638" s="2"/>
      <c r="H638" s="2"/>
      <c r="I638" s="2"/>
      <c r="J638" s="2"/>
      <c r="K638" s="2"/>
      <c r="L638" s="2"/>
      <c r="M638" s="2"/>
      <c r="N638" s="2"/>
      <c r="O638" s="2"/>
      <c r="P638" s="2"/>
      <c r="Q638" s="2"/>
      <c r="R638" s="2"/>
      <c r="S638" s="2"/>
      <c r="T638" s="2"/>
      <c r="U638" s="2"/>
      <c r="V638" s="2"/>
      <c r="W638" s="2"/>
      <c r="X638" s="2"/>
      <c r="Y638" s="2"/>
      <c r="Z638" s="2"/>
      <c r="AA638" s="2"/>
      <c r="AB638" s="2"/>
    </row>
    <row r="639">
      <c r="A639" s="8"/>
      <c r="B639" s="8"/>
      <c r="C639" s="8"/>
      <c r="D639" s="8"/>
      <c r="E639" s="8"/>
      <c r="F639" s="11"/>
      <c r="G639" s="2"/>
      <c r="H639" s="2"/>
      <c r="I639" s="2"/>
      <c r="J639" s="2"/>
      <c r="K639" s="2"/>
      <c r="L639" s="2"/>
      <c r="M639" s="2"/>
      <c r="N639" s="2"/>
      <c r="O639" s="2"/>
      <c r="P639" s="2"/>
      <c r="Q639" s="2"/>
      <c r="R639" s="2"/>
      <c r="S639" s="2"/>
      <c r="T639" s="2"/>
      <c r="U639" s="2"/>
      <c r="V639" s="2"/>
      <c r="W639" s="2"/>
      <c r="X639" s="2"/>
      <c r="Y639" s="2"/>
      <c r="Z639" s="2"/>
      <c r="AA639" s="2"/>
      <c r="AB639" s="2"/>
    </row>
    <row r="640">
      <c r="A640" s="8"/>
      <c r="B640" s="8"/>
      <c r="C640" s="8"/>
      <c r="D640" s="8"/>
      <c r="E640" s="8"/>
      <c r="F640" s="11"/>
      <c r="G640" s="2"/>
      <c r="H640" s="2"/>
      <c r="I640" s="2"/>
      <c r="J640" s="2"/>
      <c r="K640" s="2"/>
      <c r="L640" s="2"/>
      <c r="M640" s="2"/>
      <c r="N640" s="2"/>
      <c r="O640" s="2"/>
      <c r="P640" s="2"/>
      <c r="Q640" s="2"/>
      <c r="R640" s="2"/>
      <c r="S640" s="2"/>
      <c r="T640" s="2"/>
      <c r="U640" s="2"/>
      <c r="V640" s="2"/>
      <c r="W640" s="2"/>
      <c r="X640" s="2"/>
      <c r="Y640" s="2"/>
      <c r="Z640" s="2"/>
      <c r="AA640" s="2"/>
      <c r="AB640" s="2"/>
    </row>
    <row r="641">
      <c r="A641" s="8"/>
      <c r="B641" s="8"/>
      <c r="C641" s="8"/>
      <c r="D641" s="8"/>
      <c r="E641" s="8"/>
      <c r="F641" s="11"/>
      <c r="G641" s="2"/>
      <c r="H641" s="2"/>
      <c r="I641" s="2"/>
      <c r="J641" s="2"/>
      <c r="K641" s="2"/>
      <c r="L641" s="2"/>
      <c r="M641" s="2"/>
      <c r="N641" s="2"/>
      <c r="O641" s="2"/>
      <c r="P641" s="2"/>
      <c r="Q641" s="2"/>
      <c r="R641" s="2"/>
      <c r="S641" s="2"/>
      <c r="T641" s="2"/>
      <c r="U641" s="2"/>
      <c r="V641" s="2"/>
      <c r="W641" s="2"/>
      <c r="X641" s="2"/>
      <c r="Y641" s="2"/>
      <c r="Z641" s="2"/>
      <c r="AA641" s="2"/>
      <c r="AB641" s="2"/>
    </row>
    <row r="642">
      <c r="A642" s="8"/>
      <c r="B642" s="8"/>
      <c r="C642" s="8"/>
      <c r="D642" s="8"/>
      <c r="E642" s="8"/>
      <c r="F642" s="11"/>
      <c r="G642" s="2"/>
      <c r="H642" s="2"/>
      <c r="I642" s="2"/>
      <c r="J642" s="2"/>
      <c r="K642" s="2"/>
      <c r="L642" s="2"/>
      <c r="M642" s="2"/>
      <c r="N642" s="2"/>
      <c r="O642" s="2"/>
      <c r="P642" s="2"/>
      <c r="Q642" s="2"/>
      <c r="R642" s="2"/>
      <c r="S642" s="2"/>
      <c r="T642" s="2"/>
      <c r="U642" s="2"/>
      <c r="V642" s="2"/>
      <c r="W642" s="2"/>
      <c r="X642" s="2"/>
      <c r="Y642" s="2"/>
      <c r="Z642" s="2"/>
      <c r="AA642" s="2"/>
      <c r="AB642" s="2"/>
    </row>
    <row r="643">
      <c r="A643" s="8"/>
      <c r="B643" s="8"/>
      <c r="C643" s="8"/>
      <c r="D643" s="8"/>
      <c r="E643" s="8"/>
      <c r="F643" s="11"/>
      <c r="G643" s="2"/>
      <c r="H643" s="2"/>
      <c r="I643" s="2"/>
      <c r="J643" s="2"/>
      <c r="K643" s="2"/>
      <c r="L643" s="2"/>
      <c r="M643" s="2"/>
      <c r="N643" s="2"/>
      <c r="O643" s="2"/>
      <c r="P643" s="2"/>
      <c r="Q643" s="2"/>
      <c r="R643" s="2"/>
      <c r="S643" s="2"/>
      <c r="T643" s="2"/>
      <c r="U643" s="2"/>
      <c r="V643" s="2"/>
      <c r="W643" s="2"/>
      <c r="X643" s="2"/>
      <c r="Y643" s="2"/>
      <c r="Z643" s="2"/>
      <c r="AA643" s="2"/>
      <c r="AB643" s="2"/>
    </row>
    <row r="644">
      <c r="A644" s="8"/>
      <c r="B644" s="8"/>
      <c r="C644" s="8"/>
      <c r="D644" s="8"/>
      <c r="E644" s="8"/>
      <c r="F644" s="11"/>
      <c r="G644" s="2"/>
      <c r="H644" s="2"/>
      <c r="I644" s="2"/>
      <c r="J644" s="2"/>
      <c r="K644" s="2"/>
      <c r="L644" s="2"/>
      <c r="M644" s="2"/>
      <c r="N644" s="2"/>
      <c r="O644" s="2"/>
      <c r="P644" s="2"/>
      <c r="Q644" s="2"/>
      <c r="R644" s="2"/>
      <c r="S644" s="2"/>
      <c r="T644" s="2"/>
      <c r="U644" s="2"/>
      <c r="V644" s="2"/>
      <c r="W644" s="2"/>
      <c r="X644" s="2"/>
      <c r="Y644" s="2"/>
      <c r="Z644" s="2"/>
      <c r="AA644" s="2"/>
      <c r="AB644" s="2"/>
    </row>
    <row r="645">
      <c r="A645" s="8"/>
      <c r="B645" s="8"/>
      <c r="C645" s="8"/>
      <c r="D645" s="8"/>
      <c r="E645" s="8"/>
      <c r="F645" s="11"/>
      <c r="G645" s="2"/>
      <c r="H645" s="2"/>
      <c r="I645" s="2"/>
      <c r="J645" s="2"/>
      <c r="K645" s="2"/>
      <c r="L645" s="2"/>
      <c r="M645" s="2"/>
      <c r="N645" s="2"/>
      <c r="O645" s="2"/>
      <c r="P645" s="2"/>
      <c r="Q645" s="2"/>
      <c r="R645" s="2"/>
      <c r="S645" s="2"/>
      <c r="T645" s="2"/>
      <c r="U645" s="2"/>
      <c r="V645" s="2"/>
      <c r="W645" s="2"/>
      <c r="X645" s="2"/>
      <c r="Y645" s="2"/>
      <c r="Z645" s="2"/>
      <c r="AA645" s="2"/>
      <c r="AB645" s="2"/>
    </row>
    <row r="646">
      <c r="A646" s="8"/>
      <c r="B646" s="8"/>
      <c r="C646" s="8"/>
      <c r="D646" s="8"/>
      <c r="E646" s="8"/>
      <c r="F646" s="11"/>
      <c r="G646" s="2"/>
      <c r="H646" s="2"/>
      <c r="I646" s="2"/>
      <c r="J646" s="2"/>
      <c r="K646" s="2"/>
      <c r="L646" s="2"/>
      <c r="M646" s="2"/>
      <c r="N646" s="2"/>
      <c r="O646" s="2"/>
      <c r="P646" s="2"/>
      <c r="Q646" s="2"/>
      <c r="R646" s="2"/>
      <c r="S646" s="2"/>
      <c r="T646" s="2"/>
      <c r="U646" s="2"/>
      <c r="V646" s="2"/>
      <c r="W646" s="2"/>
      <c r="X646" s="2"/>
      <c r="Y646" s="2"/>
      <c r="Z646" s="2"/>
      <c r="AA646" s="2"/>
      <c r="AB646" s="2"/>
    </row>
    <row r="647">
      <c r="A647" s="8"/>
      <c r="B647" s="8"/>
      <c r="C647" s="8"/>
      <c r="D647" s="8"/>
      <c r="E647" s="8"/>
      <c r="F647" s="11"/>
      <c r="G647" s="2"/>
      <c r="H647" s="2"/>
      <c r="I647" s="2"/>
      <c r="J647" s="2"/>
      <c r="K647" s="2"/>
      <c r="L647" s="2"/>
      <c r="M647" s="2"/>
      <c r="N647" s="2"/>
      <c r="O647" s="2"/>
      <c r="P647" s="2"/>
      <c r="Q647" s="2"/>
      <c r="R647" s="2"/>
      <c r="S647" s="2"/>
      <c r="T647" s="2"/>
      <c r="U647" s="2"/>
      <c r="V647" s="2"/>
      <c r="W647" s="2"/>
      <c r="X647" s="2"/>
      <c r="Y647" s="2"/>
      <c r="Z647" s="2"/>
      <c r="AA647" s="2"/>
      <c r="AB647" s="2"/>
    </row>
    <row r="648">
      <c r="A648" s="8"/>
      <c r="B648" s="8"/>
      <c r="C648" s="8"/>
      <c r="D648" s="8"/>
      <c r="E648" s="8"/>
      <c r="F648" s="11"/>
      <c r="G648" s="2"/>
      <c r="H648" s="2"/>
      <c r="I648" s="2"/>
      <c r="J648" s="2"/>
      <c r="K648" s="2"/>
      <c r="L648" s="2"/>
      <c r="M648" s="2"/>
      <c r="N648" s="2"/>
      <c r="O648" s="2"/>
      <c r="P648" s="2"/>
      <c r="Q648" s="2"/>
      <c r="R648" s="2"/>
      <c r="S648" s="2"/>
      <c r="T648" s="2"/>
      <c r="U648" s="2"/>
      <c r="V648" s="2"/>
      <c r="W648" s="2"/>
      <c r="X648" s="2"/>
      <c r="Y648" s="2"/>
      <c r="Z648" s="2"/>
      <c r="AA648" s="2"/>
      <c r="AB648" s="2"/>
    </row>
    <row r="649">
      <c r="A649" s="8"/>
      <c r="B649" s="8"/>
      <c r="C649" s="8"/>
      <c r="D649" s="8"/>
      <c r="E649" s="8"/>
      <c r="F649" s="11"/>
      <c r="G649" s="2"/>
      <c r="H649" s="2"/>
      <c r="I649" s="2"/>
      <c r="J649" s="2"/>
      <c r="K649" s="2"/>
      <c r="L649" s="2"/>
      <c r="M649" s="2"/>
      <c r="N649" s="2"/>
      <c r="O649" s="2"/>
      <c r="P649" s="2"/>
      <c r="Q649" s="2"/>
      <c r="R649" s="2"/>
      <c r="S649" s="2"/>
      <c r="T649" s="2"/>
      <c r="U649" s="2"/>
      <c r="V649" s="2"/>
      <c r="W649" s="2"/>
      <c r="X649" s="2"/>
      <c r="Y649" s="2"/>
      <c r="Z649" s="2"/>
      <c r="AA649" s="2"/>
      <c r="AB649" s="2"/>
    </row>
    <row r="650">
      <c r="A650" s="8"/>
      <c r="B650" s="8"/>
      <c r="C650" s="8"/>
      <c r="D650" s="8"/>
      <c r="E650" s="8"/>
      <c r="F650" s="11"/>
      <c r="G650" s="2"/>
      <c r="H650" s="2"/>
      <c r="I650" s="2"/>
      <c r="J650" s="2"/>
      <c r="K650" s="2"/>
      <c r="L650" s="2"/>
      <c r="M650" s="2"/>
      <c r="N650" s="2"/>
      <c r="O650" s="2"/>
      <c r="P650" s="2"/>
      <c r="Q650" s="2"/>
      <c r="R650" s="2"/>
      <c r="S650" s="2"/>
      <c r="T650" s="2"/>
      <c r="U650" s="2"/>
      <c r="V650" s="2"/>
      <c r="W650" s="2"/>
      <c r="X650" s="2"/>
      <c r="Y650" s="2"/>
      <c r="Z650" s="2"/>
      <c r="AA650" s="2"/>
      <c r="AB650" s="2"/>
    </row>
    <row r="651">
      <c r="A651" s="8"/>
      <c r="B651" s="8"/>
      <c r="C651" s="8"/>
      <c r="D651" s="8"/>
      <c r="E651" s="8"/>
      <c r="F651" s="11"/>
      <c r="G651" s="2"/>
      <c r="H651" s="2"/>
      <c r="I651" s="2"/>
      <c r="J651" s="2"/>
      <c r="K651" s="2"/>
      <c r="L651" s="2"/>
      <c r="M651" s="2"/>
      <c r="N651" s="2"/>
      <c r="O651" s="2"/>
      <c r="P651" s="2"/>
      <c r="Q651" s="2"/>
      <c r="R651" s="2"/>
      <c r="S651" s="2"/>
      <c r="T651" s="2"/>
      <c r="U651" s="2"/>
      <c r="V651" s="2"/>
      <c r="W651" s="2"/>
      <c r="X651" s="2"/>
      <c r="Y651" s="2"/>
      <c r="Z651" s="2"/>
      <c r="AA651" s="2"/>
      <c r="AB651" s="2"/>
    </row>
    <row r="652">
      <c r="A652" s="8"/>
      <c r="B652" s="8"/>
      <c r="C652" s="8"/>
      <c r="D652" s="8"/>
      <c r="E652" s="8"/>
      <c r="F652" s="11"/>
      <c r="G652" s="2"/>
      <c r="H652" s="2"/>
      <c r="I652" s="2"/>
      <c r="J652" s="2"/>
      <c r="K652" s="2"/>
      <c r="L652" s="2"/>
      <c r="M652" s="2"/>
      <c r="N652" s="2"/>
      <c r="O652" s="2"/>
      <c r="P652" s="2"/>
      <c r="Q652" s="2"/>
      <c r="R652" s="2"/>
      <c r="S652" s="2"/>
      <c r="T652" s="2"/>
      <c r="U652" s="2"/>
      <c r="V652" s="2"/>
      <c r="W652" s="2"/>
      <c r="X652" s="2"/>
      <c r="Y652" s="2"/>
      <c r="Z652" s="2"/>
      <c r="AA652" s="2"/>
      <c r="AB652" s="2"/>
    </row>
    <row r="653">
      <c r="A653" s="8"/>
      <c r="B653" s="8"/>
      <c r="C653" s="8"/>
      <c r="D653" s="8"/>
      <c r="E653" s="8"/>
      <c r="F653" s="11"/>
      <c r="G653" s="2"/>
      <c r="H653" s="2"/>
      <c r="I653" s="2"/>
      <c r="J653" s="2"/>
      <c r="K653" s="2"/>
      <c r="L653" s="2"/>
      <c r="M653" s="2"/>
      <c r="N653" s="2"/>
      <c r="O653" s="2"/>
      <c r="P653" s="2"/>
      <c r="Q653" s="2"/>
      <c r="R653" s="2"/>
      <c r="S653" s="2"/>
      <c r="T653" s="2"/>
      <c r="U653" s="2"/>
      <c r="V653" s="2"/>
      <c r="W653" s="2"/>
      <c r="X653" s="2"/>
      <c r="Y653" s="2"/>
      <c r="Z653" s="2"/>
      <c r="AA653" s="2"/>
      <c r="AB653" s="2"/>
    </row>
    <row r="654">
      <c r="A654" s="8"/>
      <c r="B654" s="8"/>
      <c r="C654" s="8"/>
      <c r="D654" s="8"/>
      <c r="E654" s="8"/>
      <c r="F654" s="11"/>
      <c r="G654" s="2"/>
      <c r="H654" s="2"/>
      <c r="I654" s="2"/>
      <c r="J654" s="2"/>
      <c r="K654" s="2"/>
      <c r="L654" s="2"/>
      <c r="M654" s="2"/>
      <c r="N654" s="2"/>
      <c r="O654" s="2"/>
      <c r="P654" s="2"/>
      <c r="Q654" s="2"/>
      <c r="R654" s="2"/>
      <c r="S654" s="2"/>
      <c r="T654" s="2"/>
      <c r="U654" s="2"/>
      <c r="V654" s="2"/>
      <c r="W654" s="2"/>
      <c r="X654" s="2"/>
      <c r="Y654" s="2"/>
      <c r="Z654" s="2"/>
      <c r="AA654" s="2"/>
      <c r="AB654" s="2"/>
    </row>
    <row r="655">
      <c r="A655" s="8"/>
      <c r="B655" s="8"/>
      <c r="C655" s="8"/>
      <c r="D655" s="8"/>
      <c r="E655" s="8"/>
      <c r="F655" s="11"/>
      <c r="G655" s="2"/>
      <c r="H655" s="2"/>
      <c r="I655" s="2"/>
      <c r="J655" s="2"/>
      <c r="K655" s="2"/>
      <c r="L655" s="2"/>
      <c r="M655" s="2"/>
      <c r="N655" s="2"/>
      <c r="O655" s="2"/>
      <c r="P655" s="2"/>
      <c r="Q655" s="2"/>
      <c r="R655" s="2"/>
      <c r="S655" s="2"/>
      <c r="T655" s="2"/>
      <c r="U655" s="2"/>
      <c r="V655" s="2"/>
      <c r="W655" s="2"/>
      <c r="X655" s="2"/>
      <c r="Y655" s="2"/>
      <c r="Z655" s="2"/>
      <c r="AA655" s="2"/>
      <c r="AB655" s="2"/>
    </row>
    <row r="656">
      <c r="A656" s="8"/>
      <c r="B656" s="8"/>
      <c r="C656" s="8"/>
      <c r="D656" s="8"/>
      <c r="E656" s="8"/>
      <c r="F656" s="11"/>
      <c r="G656" s="2"/>
      <c r="H656" s="2"/>
      <c r="I656" s="2"/>
      <c r="J656" s="2"/>
      <c r="K656" s="2"/>
      <c r="L656" s="2"/>
      <c r="M656" s="2"/>
      <c r="N656" s="2"/>
      <c r="O656" s="2"/>
      <c r="P656" s="2"/>
      <c r="Q656" s="2"/>
      <c r="R656" s="2"/>
      <c r="S656" s="2"/>
      <c r="T656" s="2"/>
      <c r="U656" s="2"/>
      <c r="V656" s="2"/>
      <c r="W656" s="2"/>
      <c r="X656" s="2"/>
      <c r="Y656" s="2"/>
      <c r="Z656" s="2"/>
      <c r="AA656" s="2"/>
      <c r="AB656" s="2"/>
    </row>
    <row r="657">
      <c r="A657" s="8"/>
      <c r="B657" s="8"/>
      <c r="C657" s="8"/>
      <c r="D657" s="8"/>
      <c r="E657" s="8"/>
      <c r="F657" s="11"/>
      <c r="G657" s="2"/>
      <c r="H657" s="2"/>
      <c r="I657" s="2"/>
      <c r="J657" s="2"/>
      <c r="K657" s="2"/>
      <c r="L657" s="2"/>
      <c r="M657" s="2"/>
      <c r="N657" s="2"/>
      <c r="O657" s="2"/>
      <c r="P657" s="2"/>
      <c r="Q657" s="2"/>
      <c r="R657" s="2"/>
      <c r="S657" s="2"/>
      <c r="T657" s="2"/>
      <c r="U657" s="2"/>
      <c r="V657" s="2"/>
      <c r="W657" s="2"/>
      <c r="X657" s="2"/>
      <c r="Y657" s="2"/>
      <c r="Z657" s="2"/>
      <c r="AA657" s="2"/>
      <c r="AB657" s="2"/>
    </row>
    <row r="658">
      <c r="A658" s="8"/>
      <c r="B658" s="8"/>
      <c r="C658" s="8"/>
      <c r="D658" s="8"/>
      <c r="E658" s="8"/>
      <c r="F658" s="11"/>
      <c r="G658" s="2"/>
      <c r="H658" s="2"/>
      <c r="I658" s="2"/>
      <c r="J658" s="2"/>
      <c r="K658" s="2"/>
      <c r="L658" s="2"/>
      <c r="M658" s="2"/>
      <c r="N658" s="2"/>
      <c r="O658" s="2"/>
      <c r="P658" s="2"/>
      <c r="Q658" s="2"/>
      <c r="R658" s="2"/>
      <c r="S658" s="2"/>
      <c r="T658" s="2"/>
      <c r="U658" s="2"/>
      <c r="V658" s="2"/>
      <c r="W658" s="2"/>
      <c r="X658" s="2"/>
      <c r="Y658" s="2"/>
      <c r="Z658" s="2"/>
      <c r="AA658" s="2"/>
      <c r="AB658" s="2"/>
    </row>
    <row r="659">
      <c r="A659" s="8"/>
      <c r="B659" s="8"/>
      <c r="C659" s="8"/>
      <c r="D659" s="8"/>
      <c r="E659" s="8"/>
      <c r="F659" s="11"/>
      <c r="G659" s="2"/>
      <c r="H659" s="2"/>
      <c r="I659" s="2"/>
      <c r="J659" s="2"/>
      <c r="K659" s="2"/>
      <c r="L659" s="2"/>
      <c r="M659" s="2"/>
      <c r="N659" s="2"/>
      <c r="O659" s="2"/>
      <c r="P659" s="2"/>
      <c r="Q659" s="2"/>
      <c r="R659" s="2"/>
      <c r="S659" s="2"/>
      <c r="T659" s="2"/>
      <c r="U659" s="2"/>
      <c r="V659" s="2"/>
      <c r="W659" s="2"/>
      <c r="X659" s="2"/>
      <c r="Y659" s="2"/>
      <c r="Z659" s="2"/>
      <c r="AA659" s="2"/>
      <c r="AB659" s="2"/>
    </row>
    <row r="660">
      <c r="A660" s="8"/>
      <c r="B660" s="8"/>
      <c r="C660" s="8"/>
      <c r="D660" s="8"/>
      <c r="E660" s="8"/>
      <c r="F660" s="11"/>
      <c r="G660" s="2"/>
      <c r="H660" s="2"/>
      <c r="I660" s="2"/>
      <c r="J660" s="2"/>
      <c r="K660" s="2"/>
      <c r="L660" s="2"/>
      <c r="M660" s="2"/>
      <c r="N660" s="2"/>
      <c r="O660" s="2"/>
      <c r="P660" s="2"/>
      <c r="Q660" s="2"/>
      <c r="R660" s="2"/>
      <c r="S660" s="2"/>
      <c r="T660" s="2"/>
      <c r="U660" s="2"/>
      <c r="V660" s="2"/>
      <c r="W660" s="2"/>
      <c r="X660" s="2"/>
      <c r="Y660" s="2"/>
      <c r="Z660" s="2"/>
      <c r="AA660" s="2"/>
      <c r="AB660" s="2"/>
    </row>
    <row r="661">
      <c r="A661" s="8"/>
      <c r="B661" s="8"/>
      <c r="C661" s="8"/>
      <c r="D661" s="8"/>
      <c r="E661" s="8"/>
      <c r="F661" s="11"/>
      <c r="G661" s="2"/>
      <c r="H661" s="2"/>
      <c r="I661" s="2"/>
      <c r="J661" s="2"/>
      <c r="K661" s="2"/>
      <c r="L661" s="2"/>
      <c r="M661" s="2"/>
      <c r="N661" s="2"/>
      <c r="O661" s="2"/>
      <c r="P661" s="2"/>
      <c r="Q661" s="2"/>
      <c r="R661" s="2"/>
      <c r="S661" s="2"/>
      <c r="T661" s="2"/>
      <c r="U661" s="2"/>
      <c r="V661" s="2"/>
      <c r="W661" s="2"/>
      <c r="X661" s="2"/>
      <c r="Y661" s="2"/>
      <c r="Z661" s="2"/>
      <c r="AA661" s="2"/>
      <c r="AB661" s="2"/>
    </row>
    <row r="662">
      <c r="A662" s="8"/>
      <c r="B662" s="8"/>
      <c r="C662" s="8"/>
      <c r="D662" s="8"/>
      <c r="E662" s="8"/>
      <c r="F662" s="11"/>
      <c r="G662" s="2"/>
      <c r="H662" s="2"/>
      <c r="I662" s="2"/>
      <c r="J662" s="2"/>
      <c r="K662" s="2"/>
      <c r="L662" s="2"/>
      <c r="M662" s="2"/>
      <c r="N662" s="2"/>
      <c r="O662" s="2"/>
      <c r="P662" s="2"/>
      <c r="Q662" s="2"/>
      <c r="R662" s="2"/>
      <c r="S662" s="2"/>
      <c r="T662" s="2"/>
      <c r="U662" s="2"/>
      <c r="V662" s="2"/>
      <c r="W662" s="2"/>
      <c r="X662" s="2"/>
      <c r="Y662" s="2"/>
      <c r="Z662" s="2"/>
      <c r="AA662" s="2"/>
      <c r="AB662" s="2"/>
    </row>
    <row r="663">
      <c r="A663" s="8"/>
      <c r="B663" s="8"/>
      <c r="C663" s="8"/>
      <c r="D663" s="8"/>
      <c r="E663" s="8"/>
      <c r="F663" s="11"/>
      <c r="G663" s="2"/>
      <c r="H663" s="2"/>
      <c r="I663" s="2"/>
      <c r="J663" s="2"/>
      <c r="K663" s="2"/>
      <c r="L663" s="2"/>
      <c r="M663" s="2"/>
      <c r="N663" s="2"/>
      <c r="O663" s="2"/>
      <c r="P663" s="2"/>
      <c r="Q663" s="2"/>
      <c r="R663" s="2"/>
      <c r="S663" s="2"/>
      <c r="T663" s="2"/>
      <c r="U663" s="2"/>
      <c r="V663" s="2"/>
      <c r="W663" s="2"/>
      <c r="X663" s="2"/>
      <c r="Y663" s="2"/>
      <c r="Z663" s="2"/>
      <c r="AA663" s="2"/>
      <c r="AB663" s="2"/>
    </row>
    <row r="664">
      <c r="A664" s="8"/>
      <c r="B664" s="8"/>
      <c r="C664" s="8"/>
      <c r="D664" s="8"/>
      <c r="E664" s="8"/>
      <c r="F664" s="11"/>
      <c r="G664" s="2"/>
      <c r="H664" s="2"/>
      <c r="I664" s="2"/>
      <c r="J664" s="2"/>
      <c r="K664" s="2"/>
      <c r="L664" s="2"/>
      <c r="M664" s="2"/>
      <c r="N664" s="2"/>
      <c r="O664" s="2"/>
      <c r="P664" s="2"/>
      <c r="Q664" s="2"/>
      <c r="R664" s="2"/>
      <c r="S664" s="2"/>
      <c r="T664" s="2"/>
      <c r="U664" s="2"/>
      <c r="V664" s="2"/>
      <c r="W664" s="2"/>
      <c r="X664" s="2"/>
      <c r="Y664" s="2"/>
      <c r="Z664" s="2"/>
      <c r="AA664" s="2"/>
      <c r="AB664" s="2"/>
    </row>
    <row r="665">
      <c r="A665" s="8"/>
      <c r="B665" s="8"/>
      <c r="C665" s="8"/>
      <c r="D665" s="8"/>
      <c r="E665" s="8"/>
      <c r="F665" s="11"/>
      <c r="G665" s="2"/>
      <c r="H665" s="2"/>
      <c r="I665" s="2"/>
      <c r="J665" s="2"/>
      <c r="K665" s="2"/>
      <c r="L665" s="2"/>
      <c r="M665" s="2"/>
      <c r="N665" s="2"/>
      <c r="O665" s="2"/>
      <c r="P665" s="2"/>
      <c r="Q665" s="2"/>
      <c r="R665" s="2"/>
      <c r="S665" s="2"/>
      <c r="T665" s="2"/>
      <c r="U665" s="2"/>
      <c r="V665" s="2"/>
      <c r="W665" s="2"/>
      <c r="X665" s="2"/>
      <c r="Y665" s="2"/>
      <c r="Z665" s="2"/>
      <c r="AA665" s="2"/>
      <c r="AB665" s="2"/>
    </row>
    <row r="666">
      <c r="A666" s="8"/>
      <c r="B666" s="8"/>
      <c r="C666" s="8"/>
      <c r="D666" s="8"/>
      <c r="E666" s="8"/>
      <c r="F666" s="11"/>
      <c r="G666" s="2"/>
      <c r="H666" s="2"/>
      <c r="I666" s="2"/>
      <c r="J666" s="2"/>
      <c r="K666" s="2"/>
      <c r="L666" s="2"/>
      <c r="M666" s="2"/>
      <c r="N666" s="2"/>
      <c r="O666" s="2"/>
      <c r="P666" s="2"/>
      <c r="Q666" s="2"/>
      <c r="R666" s="2"/>
      <c r="S666" s="2"/>
      <c r="T666" s="2"/>
      <c r="U666" s="2"/>
      <c r="V666" s="2"/>
      <c r="W666" s="2"/>
      <c r="X666" s="2"/>
      <c r="Y666" s="2"/>
      <c r="Z666" s="2"/>
      <c r="AA666" s="2"/>
      <c r="AB666" s="2"/>
    </row>
    <row r="667">
      <c r="A667" s="8"/>
      <c r="B667" s="8"/>
      <c r="C667" s="8"/>
      <c r="D667" s="8"/>
      <c r="E667" s="8"/>
      <c r="F667" s="11"/>
      <c r="G667" s="2"/>
      <c r="H667" s="2"/>
      <c r="I667" s="2"/>
      <c r="J667" s="2"/>
      <c r="K667" s="2"/>
      <c r="L667" s="2"/>
      <c r="M667" s="2"/>
      <c r="N667" s="2"/>
      <c r="O667" s="2"/>
      <c r="P667" s="2"/>
      <c r="Q667" s="2"/>
      <c r="R667" s="2"/>
      <c r="S667" s="2"/>
      <c r="T667" s="2"/>
      <c r="U667" s="2"/>
      <c r="V667" s="2"/>
      <c r="W667" s="2"/>
      <c r="X667" s="2"/>
      <c r="Y667" s="2"/>
      <c r="Z667" s="2"/>
      <c r="AA667" s="2"/>
      <c r="AB667" s="2"/>
    </row>
    <row r="668">
      <c r="A668" s="8"/>
      <c r="B668" s="8"/>
      <c r="C668" s="8"/>
      <c r="D668" s="8"/>
      <c r="E668" s="8"/>
      <c r="F668" s="11"/>
      <c r="G668" s="2"/>
      <c r="H668" s="2"/>
      <c r="I668" s="2"/>
      <c r="J668" s="2"/>
      <c r="K668" s="2"/>
      <c r="L668" s="2"/>
      <c r="M668" s="2"/>
      <c r="N668" s="2"/>
      <c r="O668" s="2"/>
      <c r="P668" s="2"/>
      <c r="Q668" s="2"/>
      <c r="R668" s="2"/>
      <c r="S668" s="2"/>
      <c r="T668" s="2"/>
      <c r="U668" s="2"/>
      <c r="V668" s="2"/>
      <c r="W668" s="2"/>
      <c r="X668" s="2"/>
      <c r="Y668" s="2"/>
      <c r="Z668" s="2"/>
      <c r="AA668" s="2"/>
      <c r="AB668" s="2"/>
    </row>
    <row r="669">
      <c r="A669" s="8"/>
      <c r="B669" s="8"/>
      <c r="C669" s="8"/>
      <c r="D669" s="8"/>
      <c r="E669" s="8"/>
      <c r="F669" s="11"/>
      <c r="G669" s="2"/>
      <c r="H669" s="2"/>
      <c r="I669" s="2"/>
      <c r="J669" s="2"/>
      <c r="K669" s="2"/>
      <c r="L669" s="2"/>
      <c r="M669" s="2"/>
      <c r="N669" s="2"/>
      <c r="O669" s="2"/>
      <c r="P669" s="2"/>
      <c r="Q669" s="2"/>
      <c r="R669" s="2"/>
      <c r="S669" s="2"/>
      <c r="T669" s="2"/>
      <c r="U669" s="2"/>
      <c r="V669" s="2"/>
      <c r="W669" s="2"/>
      <c r="X669" s="2"/>
      <c r="Y669" s="2"/>
      <c r="Z669" s="2"/>
      <c r="AA669" s="2"/>
      <c r="AB669" s="2"/>
    </row>
    <row r="670">
      <c r="A670" s="8"/>
      <c r="B670" s="8"/>
      <c r="C670" s="8"/>
      <c r="D670" s="8"/>
      <c r="E670" s="8"/>
      <c r="F670" s="11"/>
      <c r="G670" s="2"/>
      <c r="H670" s="2"/>
      <c r="I670" s="2"/>
      <c r="J670" s="2"/>
      <c r="K670" s="2"/>
      <c r="L670" s="2"/>
      <c r="M670" s="2"/>
      <c r="N670" s="2"/>
      <c r="O670" s="2"/>
      <c r="P670" s="2"/>
      <c r="Q670" s="2"/>
      <c r="R670" s="2"/>
      <c r="S670" s="2"/>
      <c r="T670" s="2"/>
      <c r="U670" s="2"/>
      <c r="V670" s="2"/>
      <c r="W670" s="2"/>
      <c r="X670" s="2"/>
      <c r="Y670" s="2"/>
      <c r="Z670" s="2"/>
      <c r="AA670" s="2"/>
      <c r="AB670" s="2"/>
    </row>
    <row r="671">
      <c r="A671" s="8"/>
      <c r="B671" s="8"/>
      <c r="C671" s="8"/>
      <c r="D671" s="8"/>
      <c r="E671" s="8"/>
      <c r="F671" s="11"/>
      <c r="G671" s="2"/>
      <c r="H671" s="2"/>
      <c r="I671" s="2"/>
      <c r="J671" s="2"/>
      <c r="K671" s="2"/>
      <c r="L671" s="2"/>
      <c r="M671" s="2"/>
      <c r="N671" s="2"/>
      <c r="O671" s="2"/>
      <c r="P671" s="2"/>
      <c r="Q671" s="2"/>
      <c r="R671" s="2"/>
      <c r="S671" s="2"/>
      <c r="T671" s="2"/>
      <c r="U671" s="2"/>
      <c r="V671" s="2"/>
      <c r="W671" s="2"/>
      <c r="X671" s="2"/>
      <c r="Y671" s="2"/>
      <c r="Z671" s="2"/>
      <c r="AA671" s="2"/>
      <c r="AB671" s="2"/>
    </row>
    <row r="672">
      <c r="A672" s="8"/>
      <c r="B672" s="8"/>
      <c r="C672" s="8"/>
      <c r="D672" s="8"/>
      <c r="E672" s="8"/>
      <c r="F672" s="11"/>
      <c r="G672" s="2"/>
      <c r="H672" s="2"/>
      <c r="I672" s="2"/>
      <c r="J672" s="2"/>
      <c r="K672" s="2"/>
      <c r="L672" s="2"/>
      <c r="M672" s="2"/>
      <c r="N672" s="2"/>
      <c r="O672" s="2"/>
      <c r="P672" s="2"/>
      <c r="Q672" s="2"/>
      <c r="R672" s="2"/>
      <c r="S672" s="2"/>
      <c r="T672" s="2"/>
      <c r="U672" s="2"/>
      <c r="V672" s="2"/>
      <c r="W672" s="2"/>
      <c r="X672" s="2"/>
      <c r="Y672" s="2"/>
      <c r="Z672" s="2"/>
      <c r="AA672" s="2"/>
      <c r="AB672" s="2"/>
    </row>
    <row r="673">
      <c r="A673" s="8"/>
      <c r="B673" s="8"/>
      <c r="C673" s="8"/>
      <c r="D673" s="8"/>
      <c r="E673" s="8"/>
      <c r="F673" s="11"/>
      <c r="G673" s="2"/>
      <c r="H673" s="2"/>
      <c r="I673" s="2"/>
      <c r="J673" s="2"/>
      <c r="K673" s="2"/>
      <c r="L673" s="2"/>
      <c r="M673" s="2"/>
      <c r="N673" s="2"/>
      <c r="O673" s="2"/>
      <c r="P673" s="2"/>
      <c r="Q673" s="2"/>
      <c r="R673" s="2"/>
      <c r="S673" s="2"/>
      <c r="T673" s="2"/>
      <c r="U673" s="2"/>
      <c r="V673" s="2"/>
      <c r="W673" s="2"/>
      <c r="X673" s="2"/>
      <c r="Y673" s="2"/>
      <c r="Z673" s="2"/>
      <c r="AA673" s="2"/>
      <c r="AB673" s="2"/>
    </row>
    <row r="674">
      <c r="A674" s="8"/>
      <c r="B674" s="8"/>
      <c r="C674" s="8"/>
      <c r="D674" s="8"/>
      <c r="E674" s="8"/>
      <c r="F674" s="11"/>
      <c r="G674" s="2"/>
      <c r="H674" s="2"/>
      <c r="I674" s="2"/>
      <c r="J674" s="2"/>
      <c r="K674" s="2"/>
      <c r="L674" s="2"/>
      <c r="M674" s="2"/>
      <c r="N674" s="2"/>
      <c r="O674" s="2"/>
      <c r="P674" s="2"/>
      <c r="Q674" s="2"/>
      <c r="R674" s="2"/>
      <c r="S674" s="2"/>
      <c r="T674" s="2"/>
      <c r="U674" s="2"/>
      <c r="V674" s="2"/>
      <c r="W674" s="2"/>
      <c r="X674" s="2"/>
      <c r="Y674" s="2"/>
      <c r="Z674" s="2"/>
      <c r="AA674" s="2"/>
      <c r="AB674" s="2"/>
    </row>
    <row r="675">
      <c r="A675" s="8"/>
      <c r="B675" s="8"/>
      <c r="C675" s="8"/>
      <c r="D675" s="8"/>
      <c r="E675" s="8"/>
      <c r="F675" s="11"/>
      <c r="G675" s="2"/>
      <c r="H675" s="2"/>
      <c r="I675" s="2"/>
      <c r="J675" s="2"/>
      <c r="K675" s="2"/>
      <c r="L675" s="2"/>
      <c r="M675" s="2"/>
      <c r="N675" s="2"/>
      <c r="O675" s="2"/>
      <c r="P675" s="2"/>
      <c r="Q675" s="2"/>
      <c r="R675" s="2"/>
      <c r="S675" s="2"/>
      <c r="T675" s="2"/>
      <c r="U675" s="2"/>
      <c r="V675" s="2"/>
      <c r="W675" s="2"/>
      <c r="X675" s="2"/>
      <c r="Y675" s="2"/>
      <c r="Z675" s="2"/>
      <c r="AA675" s="2"/>
      <c r="AB675" s="2"/>
    </row>
    <row r="676">
      <c r="A676" s="8"/>
      <c r="B676" s="8"/>
      <c r="C676" s="8"/>
      <c r="D676" s="8"/>
      <c r="E676" s="8"/>
      <c r="F676" s="11"/>
      <c r="G676" s="2"/>
      <c r="H676" s="2"/>
      <c r="I676" s="2"/>
      <c r="J676" s="2"/>
      <c r="K676" s="2"/>
      <c r="L676" s="2"/>
      <c r="M676" s="2"/>
      <c r="N676" s="2"/>
      <c r="O676" s="2"/>
      <c r="P676" s="2"/>
      <c r="Q676" s="2"/>
      <c r="R676" s="2"/>
      <c r="S676" s="2"/>
      <c r="T676" s="2"/>
      <c r="U676" s="2"/>
      <c r="V676" s="2"/>
      <c r="W676" s="2"/>
      <c r="X676" s="2"/>
      <c r="Y676" s="2"/>
      <c r="Z676" s="2"/>
      <c r="AA676" s="2"/>
      <c r="AB676" s="2"/>
    </row>
    <row r="677">
      <c r="A677" s="8"/>
      <c r="B677" s="8"/>
      <c r="C677" s="8"/>
      <c r="D677" s="8"/>
      <c r="E677" s="8"/>
      <c r="F677" s="11"/>
      <c r="G677" s="2"/>
      <c r="H677" s="2"/>
      <c r="I677" s="2"/>
      <c r="J677" s="2"/>
      <c r="K677" s="2"/>
      <c r="L677" s="2"/>
      <c r="M677" s="2"/>
      <c r="N677" s="2"/>
      <c r="O677" s="2"/>
      <c r="P677" s="2"/>
      <c r="Q677" s="2"/>
      <c r="R677" s="2"/>
      <c r="S677" s="2"/>
      <c r="T677" s="2"/>
      <c r="U677" s="2"/>
      <c r="V677" s="2"/>
      <c r="W677" s="2"/>
      <c r="X677" s="2"/>
      <c r="Y677" s="2"/>
      <c r="Z677" s="2"/>
      <c r="AA677" s="2"/>
      <c r="AB677" s="2"/>
    </row>
    <row r="678">
      <c r="A678" s="8"/>
      <c r="B678" s="8"/>
      <c r="C678" s="8"/>
      <c r="D678" s="8"/>
      <c r="E678" s="8"/>
      <c r="F678" s="11"/>
      <c r="G678" s="2"/>
      <c r="H678" s="2"/>
      <c r="I678" s="2"/>
      <c r="J678" s="2"/>
      <c r="K678" s="2"/>
      <c r="L678" s="2"/>
      <c r="M678" s="2"/>
      <c r="N678" s="2"/>
      <c r="O678" s="2"/>
      <c r="P678" s="2"/>
      <c r="Q678" s="2"/>
      <c r="R678" s="2"/>
      <c r="S678" s="2"/>
      <c r="T678" s="2"/>
      <c r="U678" s="2"/>
      <c r="V678" s="2"/>
      <c r="W678" s="2"/>
      <c r="X678" s="2"/>
      <c r="Y678" s="2"/>
      <c r="Z678" s="2"/>
      <c r="AA678" s="2"/>
      <c r="AB678" s="2"/>
    </row>
    <row r="679">
      <c r="A679" s="8"/>
      <c r="B679" s="8"/>
      <c r="C679" s="8"/>
      <c r="D679" s="8"/>
      <c r="E679" s="8"/>
      <c r="F679" s="11"/>
      <c r="G679" s="2"/>
      <c r="H679" s="2"/>
      <c r="I679" s="2"/>
      <c r="J679" s="2"/>
      <c r="K679" s="2"/>
      <c r="L679" s="2"/>
      <c r="M679" s="2"/>
      <c r="N679" s="2"/>
      <c r="O679" s="2"/>
      <c r="P679" s="2"/>
      <c r="Q679" s="2"/>
      <c r="R679" s="2"/>
      <c r="S679" s="2"/>
      <c r="T679" s="2"/>
      <c r="U679" s="2"/>
      <c r="V679" s="2"/>
      <c r="W679" s="2"/>
      <c r="X679" s="2"/>
      <c r="Y679" s="2"/>
      <c r="Z679" s="2"/>
      <c r="AA679" s="2"/>
      <c r="AB679" s="2"/>
    </row>
    <row r="680">
      <c r="A680" s="8"/>
      <c r="B680" s="8"/>
      <c r="C680" s="8"/>
      <c r="D680" s="8"/>
      <c r="E680" s="8"/>
      <c r="F680" s="11"/>
      <c r="G680" s="2"/>
      <c r="H680" s="2"/>
      <c r="I680" s="2"/>
      <c r="J680" s="2"/>
      <c r="K680" s="2"/>
      <c r="L680" s="2"/>
      <c r="M680" s="2"/>
      <c r="N680" s="2"/>
      <c r="O680" s="2"/>
      <c r="P680" s="2"/>
      <c r="Q680" s="2"/>
      <c r="R680" s="2"/>
      <c r="S680" s="2"/>
      <c r="T680" s="2"/>
      <c r="U680" s="2"/>
      <c r="V680" s="2"/>
      <c r="W680" s="2"/>
      <c r="X680" s="2"/>
      <c r="Y680" s="2"/>
      <c r="Z680" s="2"/>
      <c r="AA680" s="2"/>
      <c r="AB680" s="2"/>
    </row>
    <row r="681">
      <c r="A681" s="8"/>
      <c r="B681" s="8"/>
      <c r="C681" s="8"/>
      <c r="D681" s="8"/>
      <c r="E681" s="8"/>
      <c r="F681" s="11"/>
      <c r="G681" s="2"/>
      <c r="H681" s="2"/>
      <c r="I681" s="2"/>
      <c r="J681" s="2"/>
      <c r="K681" s="2"/>
      <c r="L681" s="2"/>
      <c r="M681" s="2"/>
      <c r="N681" s="2"/>
      <c r="O681" s="2"/>
      <c r="P681" s="2"/>
      <c r="Q681" s="2"/>
      <c r="R681" s="2"/>
      <c r="S681" s="2"/>
      <c r="T681" s="2"/>
      <c r="U681" s="2"/>
      <c r="V681" s="2"/>
      <c r="W681" s="2"/>
      <c r="X681" s="2"/>
      <c r="Y681" s="2"/>
      <c r="Z681" s="2"/>
      <c r="AA681" s="2"/>
      <c r="AB681" s="2"/>
    </row>
    <row r="682">
      <c r="A682" s="8"/>
      <c r="B682" s="8"/>
      <c r="C682" s="8"/>
      <c r="D682" s="8"/>
      <c r="E682" s="8"/>
      <c r="F682" s="11"/>
      <c r="G682" s="2"/>
      <c r="H682" s="2"/>
      <c r="I682" s="2"/>
      <c r="J682" s="2"/>
      <c r="K682" s="2"/>
      <c r="L682" s="2"/>
      <c r="M682" s="2"/>
      <c r="N682" s="2"/>
      <c r="O682" s="2"/>
      <c r="P682" s="2"/>
      <c r="Q682" s="2"/>
      <c r="R682" s="2"/>
      <c r="S682" s="2"/>
      <c r="T682" s="2"/>
      <c r="U682" s="2"/>
      <c r="V682" s="2"/>
      <c r="W682" s="2"/>
      <c r="X682" s="2"/>
      <c r="Y682" s="2"/>
      <c r="Z682" s="2"/>
      <c r="AA682" s="2"/>
      <c r="AB682" s="2"/>
    </row>
    <row r="683">
      <c r="A683" s="8"/>
      <c r="B683" s="8"/>
      <c r="C683" s="8"/>
      <c r="D683" s="8"/>
      <c r="E683" s="8"/>
      <c r="F683" s="11"/>
      <c r="G683" s="2"/>
      <c r="H683" s="2"/>
      <c r="I683" s="2"/>
      <c r="J683" s="2"/>
      <c r="K683" s="2"/>
      <c r="L683" s="2"/>
      <c r="M683" s="2"/>
      <c r="N683" s="2"/>
      <c r="O683" s="2"/>
      <c r="P683" s="2"/>
      <c r="Q683" s="2"/>
      <c r="R683" s="2"/>
      <c r="S683" s="2"/>
      <c r="T683" s="2"/>
      <c r="U683" s="2"/>
      <c r="V683" s="2"/>
      <c r="W683" s="2"/>
      <c r="X683" s="2"/>
      <c r="Y683" s="2"/>
      <c r="Z683" s="2"/>
      <c r="AA683" s="2"/>
      <c r="AB683" s="2"/>
    </row>
    <row r="684">
      <c r="A684" s="8"/>
      <c r="B684" s="8"/>
      <c r="C684" s="8"/>
      <c r="D684" s="8"/>
      <c r="E684" s="8"/>
      <c r="F684" s="11"/>
      <c r="G684" s="2"/>
      <c r="H684" s="2"/>
      <c r="I684" s="2"/>
      <c r="J684" s="2"/>
      <c r="K684" s="2"/>
      <c r="L684" s="2"/>
      <c r="M684" s="2"/>
      <c r="N684" s="2"/>
      <c r="O684" s="2"/>
      <c r="P684" s="2"/>
      <c r="Q684" s="2"/>
      <c r="R684" s="2"/>
      <c r="S684" s="2"/>
      <c r="T684" s="2"/>
      <c r="U684" s="2"/>
      <c r="V684" s="2"/>
      <c r="W684" s="2"/>
      <c r="X684" s="2"/>
      <c r="Y684" s="2"/>
      <c r="Z684" s="2"/>
      <c r="AA684" s="2"/>
      <c r="AB684" s="2"/>
    </row>
    <row r="685">
      <c r="A685" s="8"/>
      <c r="B685" s="8"/>
      <c r="C685" s="8"/>
      <c r="D685" s="8"/>
      <c r="E685" s="8"/>
      <c r="F685" s="11"/>
      <c r="G685" s="2"/>
      <c r="H685" s="2"/>
      <c r="I685" s="2"/>
      <c r="J685" s="2"/>
      <c r="K685" s="2"/>
      <c r="L685" s="2"/>
      <c r="M685" s="2"/>
      <c r="N685" s="2"/>
      <c r="O685" s="2"/>
      <c r="P685" s="2"/>
      <c r="Q685" s="2"/>
      <c r="R685" s="2"/>
      <c r="S685" s="2"/>
      <c r="T685" s="2"/>
      <c r="U685" s="2"/>
      <c r="V685" s="2"/>
      <c r="W685" s="2"/>
      <c r="X685" s="2"/>
      <c r="Y685" s="2"/>
      <c r="Z685" s="2"/>
      <c r="AA685" s="2"/>
      <c r="AB685" s="2"/>
    </row>
    <row r="686">
      <c r="A686" s="8"/>
      <c r="B686" s="8"/>
      <c r="C686" s="8"/>
      <c r="D686" s="8"/>
      <c r="E686" s="8"/>
      <c r="F686" s="11"/>
      <c r="G686" s="2"/>
      <c r="H686" s="2"/>
      <c r="I686" s="2"/>
      <c r="J686" s="2"/>
      <c r="K686" s="2"/>
      <c r="L686" s="2"/>
      <c r="M686" s="2"/>
      <c r="N686" s="2"/>
      <c r="O686" s="2"/>
      <c r="P686" s="2"/>
      <c r="Q686" s="2"/>
      <c r="R686" s="2"/>
      <c r="S686" s="2"/>
      <c r="T686" s="2"/>
      <c r="U686" s="2"/>
      <c r="V686" s="2"/>
      <c r="W686" s="2"/>
      <c r="X686" s="2"/>
      <c r="Y686" s="2"/>
      <c r="Z686" s="2"/>
      <c r="AA686" s="2"/>
      <c r="AB686" s="2"/>
    </row>
    <row r="687">
      <c r="A687" s="8"/>
      <c r="B687" s="8"/>
      <c r="C687" s="8"/>
      <c r="D687" s="8"/>
      <c r="E687" s="8"/>
      <c r="F687" s="11"/>
      <c r="G687" s="2"/>
      <c r="H687" s="2"/>
      <c r="I687" s="2"/>
      <c r="J687" s="2"/>
      <c r="K687" s="2"/>
      <c r="L687" s="2"/>
      <c r="M687" s="2"/>
      <c r="N687" s="2"/>
      <c r="O687" s="2"/>
      <c r="P687" s="2"/>
      <c r="Q687" s="2"/>
      <c r="R687" s="2"/>
      <c r="S687" s="2"/>
      <c r="T687" s="2"/>
      <c r="U687" s="2"/>
      <c r="V687" s="2"/>
      <c r="W687" s="2"/>
      <c r="X687" s="2"/>
      <c r="Y687" s="2"/>
      <c r="Z687" s="2"/>
      <c r="AA687" s="2"/>
      <c r="AB687" s="2"/>
    </row>
    <row r="688">
      <c r="A688" s="8"/>
      <c r="B688" s="8"/>
      <c r="C688" s="8"/>
      <c r="D688" s="8"/>
      <c r="E688" s="8"/>
      <c r="F688" s="11"/>
      <c r="G688" s="2"/>
      <c r="H688" s="2"/>
      <c r="I688" s="2"/>
      <c r="J688" s="2"/>
      <c r="K688" s="2"/>
      <c r="L688" s="2"/>
      <c r="M688" s="2"/>
      <c r="N688" s="2"/>
      <c r="O688" s="2"/>
      <c r="P688" s="2"/>
      <c r="Q688" s="2"/>
      <c r="R688" s="2"/>
      <c r="S688" s="2"/>
      <c r="T688" s="2"/>
      <c r="U688" s="2"/>
      <c r="V688" s="2"/>
      <c r="W688" s="2"/>
      <c r="X688" s="2"/>
      <c r="Y688" s="2"/>
      <c r="Z688" s="2"/>
      <c r="AA688" s="2"/>
      <c r="AB688" s="2"/>
    </row>
    <row r="689">
      <c r="A689" s="8"/>
      <c r="B689" s="8"/>
      <c r="C689" s="8"/>
      <c r="D689" s="8"/>
      <c r="E689" s="8"/>
      <c r="F689" s="11"/>
      <c r="G689" s="2"/>
      <c r="H689" s="2"/>
      <c r="I689" s="2"/>
      <c r="J689" s="2"/>
      <c r="K689" s="2"/>
      <c r="L689" s="2"/>
      <c r="M689" s="2"/>
      <c r="N689" s="2"/>
      <c r="O689" s="2"/>
      <c r="P689" s="2"/>
      <c r="Q689" s="2"/>
      <c r="R689" s="2"/>
      <c r="S689" s="2"/>
      <c r="T689" s="2"/>
      <c r="U689" s="2"/>
      <c r="V689" s="2"/>
      <c r="W689" s="2"/>
      <c r="X689" s="2"/>
      <c r="Y689" s="2"/>
      <c r="Z689" s="2"/>
      <c r="AA689" s="2"/>
      <c r="AB689" s="2"/>
    </row>
    <row r="690">
      <c r="A690" s="8"/>
      <c r="B690" s="8"/>
      <c r="C690" s="8"/>
      <c r="D690" s="8"/>
      <c r="E690" s="8"/>
      <c r="F690" s="11"/>
      <c r="G690" s="2"/>
      <c r="H690" s="2"/>
      <c r="I690" s="2"/>
      <c r="J690" s="2"/>
      <c r="K690" s="2"/>
      <c r="L690" s="2"/>
      <c r="M690" s="2"/>
      <c r="N690" s="2"/>
      <c r="O690" s="2"/>
      <c r="P690" s="2"/>
      <c r="Q690" s="2"/>
      <c r="R690" s="2"/>
      <c r="S690" s="2"/>
      <c r="T690" s="2"/>
      <c r="U690" s="2"/>
      <c r="V690" s="2"/>
      <c r="W690" s="2"/>
      <c r="X690" s="2"/>
      <c r="Y690" s="2"/>
      <c r="Z690" s="2"/>
      <c r="AA690" s="2"/>
      <c r="AB690" s="2"/>
    </row>
    <row r="691">
      <c r="A691" s="8"/>
      <c r="B691" s="8"/>
      <c r="C691" s="8"/>
      <c r="D691" s="8"/>
      <c r="E691" s="8"/>
      <c r="F691" s="11"/>
      <c r="G691" s="2"/>
      <c r="H691" s="2"/>
      <c r="I691" s="2"/>
      <c r="J691" s="2"/>
      <c r="K691" s="2"/>
      <c r="L691" s="2"/>
      <c r="M691" s="2"/>
      <c r="N691" s="2"/>
      <c r="O691" s="2"/>
      <c r="P691" s="2"/>
      <c r="Q691" s="2"/>
      <c r="R691" s="2"/>
      <c r="S691" s="2"/>
      <c r="T691" s="2"/>
      <c r="U691" s="2"/>
      <c r="V691" s="2"/>
      <c r="W691" s="2"/>
      <c r="X691" s="2"/>
      <c r="Y691" s="2"/>
      <c r="Z691" s="2"/>
      <c r="AA691" s="2"/>
      <c r="AB691" s="2"/>
    </row>
    <row r="692">
      <c r="A692" s="8"/>
      <c r="B692" s="8"/>
      <c r="C692" s="8"/>
      <c r="D692" s="8"/>
      <c r="E692" s="8"/>
      <c r="F692" s="11"/>
      <c r="G692" s="2"/>
      <c r="H692" s="2"/>
      <c r="I692" s="2"/>
      <c r="J692" s="2"/>
      <c r="K692" s="2"/>
      <c r="L692" s="2"/>
      <c r="M692" s="2"/>
      <c r="N692" s="2"/>
      <c r="O692" s="2"/>
      <c r="P692" s="2"/>
      <c r="Q692" s="2"/>
      <c r="R692" s="2"/>
      <c r="S692" s="2"/>
      <c r="T692" s="2"/>
      <c r="U692" s="2"/>
      <c r="V692" s="2"/>
      <c r="W692" s="2"/>
      <c r="X692" s="2"/>
      <c r="Y692" s="2"/>
      <c r="Z692" s="2"/>
      <c r="AA692" s="2"/>
      <c r="AB692" s="2"/>
    </row>
    <row r="693">
      <c r="A693" s="8"/>
      <c r="B693" s="8"/>
      <c r="C693" s="8"/>
      <c r="D693" s="8"/>
      <c r="E693" s="8"/>
      <c r="F693" s="11"/>
      <c r="G693" s="2"/>
      <c r="H693" s="2"/>
      <c r="I693" s="2"/>
      <c r="J693" s="2"/>
      <c r="K693" s="2"/>
      <c r="L693" s="2"/>
      <c r="M693" s="2"/>
      <c r="N693" s="2"/>
      <c r="O693" s="2"/>
      <c r="P693" s="2"/>
      <c r="Q693" s="2"/>
      <c r="R693" s="2"/>
      <c r="S693" s="2"/>
      <c r="T693" s="2"/>
      <c r="U693" s="2"/>
      <c r="V693" s="2"/>
      <c r="W693" s="2"/>
      <c r="X693" s="2"/>
      <c r="Y693" s="2"/>
      <c r="Z693" s="2"/>
      <c r="AA693" s="2"/>
      <c r="AB693" s="2"/>
    </row>
    <row r="694">
      <c r="A694" s="8"/>
      <c r="B694" s="8"/>
      <c r="C694" s="8"/>
      <c r="D694" s="8"/>
      <c r="E694" s="8"/>
      <c r="F694" s="11"/>
      <c r="G694" s="2"/>
      <c r="H694" s="2"/>
      <c r="I694" s="2"/>
      <c r="J694" s="2"/>
      <c r="K694" s="2"/>
      <c r="L694" s="2"/>
      <c r="M694" s="2"/>
      <c r="N694" s="2"/>
      <c r="O694" s="2"/>
      <c r="P694" s="2"/>
      <c r="Q694" s="2"/>
      <c r="R694" s="2"/>
      <c r="S694" s="2"/>
      <c r="T694" s="2"/>
      <c r="U694" s="2"/>
      <c r="V694" s="2"/>
      <c r="W694" s="2"/>
      <c r="X694" s="2"/>
      <c r="Y694" s="2"/>
      <c r="Z694" s="2"/>
      <c r="AA694" s="2"/>
      <c r="AB694" s="2"/>
    </row>
    <row r="695">
      <c r="A695" s="8"/>
      <c r="B695" s="8"/>
      <c r="C695" s="8"/>
      <c r="D695" s="8"/>
      <c r="E695" s="8"/>
      <c r="F695" s="11"/>
      <c r="G695" s="2"/>
      <c r="H695" s="2"/>
      <c r="I695" s="2"/>
      <c r="J695" s="2"/>
      <c r="K695" s="2"/>
      <c r="L695" s="2"/>
      <c r="M695" s="2"/>
      <c r="N695" s="2"/>
      <c r="O695" s="2"/>
      <c r="P695" s="2"/>
      <c r="Q695" s="2"/>
      <c r="R695" s="2"/>
      <c r="S695" s="2"/>
      <c r="T695" s="2"/>
      <c r="U695" s="2"/>
      <c r="V695" s="2"/>
      <c r="W695" s="2"/>
      <c r="X695" s="2"/>
      <c r="Y695" s="2"/>
      <c r="Z695" s="2"/>
      <c r="AA695" s="2"/>
      <c r="AB695" s="2"/>
    </row>
    <row r="696">
      <c r="A696" s="8"/>
      <c r="B696" s="8"/>
      <c r="C696" s="8"/>
      <c r="D696" s="8"/>
      <c r="E696" s="8"/>
      <c r="F696" s="11"/>
      <c r="G696" s="2"/>
      <c r="H696" s="2"/>
      <c r="I696" s="2"/>
      <c r="J696" s="2"/>
      <c r="K696" s="2"/>
      <c r="L696" s="2"/>
      <c r="M696" s="2"/>
      <c r="N696" s="2"/>
      <c r="O696" s="2"/>
      <c r="P696" s="2"/>
      <c r="Q696" s="2"/>
      <c r="R696" s="2"/>
      <c r="S696" s="2"/>
      <c r="T696" s="2"/>
      <c r="U696" s="2"/>
      <c r="V696" s="2"/>
      <c r="W696" s="2"/>
      <c r="X696" s="2"/>
      <c r="Y696" s="2"/>
      <c r="Z696" s="2"/>
      <c r="AA696" s="2"/>
      <c r="AB696" s="2"/>
    </row>
    <row r="697">
      <c r="A697" s="8"/>
      <c r="B697" s="8"/>
      <c r="C697" s="8"/>
      <c r="D697" s="8"/>
      <c r="E697" s="8"/>
      <c r="F697" s="11"/>
      <c r="G697" s="2"/>
      <c r="H697" s="2"/>
      <c r="I697" s="2"/>
      <c r="J697" s="2"/>
      <c r="K697" s="2"/>
      <c r="L697" s="2"/>
      <c r="M697" s="2"/>
      <c r="N697" s="2"/>
      <c r="O697" s="2"/>
      <c r="P697" s="2"/>
      <c r="Q697" s="2"/>
      <c r="R697" s="2"/>
      <c r="S697" s="2"/>
      <c r="T697" s="2"/>
      <c r="U697" s="2"/>
      <c r="V697" s="2"/>
      <c r="W697" s="2"/>
      <c r="X697" s="2"/>
      <c r="Y697" s="2"/>
      <c r="Z697" s="2"/>
      <c r="AA697" s="2"/>
      <c r="AB697" s="2"/>
    </row>
    <row r="698">
      <c r="A698" s="8"/>
      <c r="B698" s="8"/>
      <c r="C698" s="8"/>
      <c r="D698" s="8"/>
      <c r="E698" s="8"/>
      <c r="F698" s="11"/>
      <c r="G698" s="2"/>
      <c r="H698" s="2"/>
      <c r="I698" s="2"/>
      <c r="J698" s="2"/>
      <c r="K698" s="2"/>
      <c r="L698" s="2"/>
      <c r="M698" s="2"/>
      <c r="N698" s="2"/>
      <c r="O698" s="2"/>
      <c r="P698" s="2"/>
      <c r="Q698" s="2"/>
      <c r="R698" s="2"/>
      <c r="S698" s="2"/>
      <c r="T698" s="2"/>
      <c r="U698" s="2"/>
      <c r="V698" s="2"/>
      <c r="W698" s="2"/>
      <c r="X698" s="2"/>
      <c r="Y698" s="2"/>
      <c r="Z698" s="2"/>
      <c r="AA698" s="2"/>
      <c r="AB698" s="2"/>
    </row>
    <row r="699">
      <c r="A699" s="8"/>
      <c r="B699" s="8"/>
      <c r="C699" s="8"/>
      <c r="D699" s="8"/>
      <c r="E699" s="8"/>
      <c r="F699" s="11"/>
      <c r="G699" s="2"/>
      <c r="H699" s="2"/>
      <c r="I699" s="2"/>
      <c r="J699" s="2"/>
      <c r="K699" s="2"/>
      <c r="L699" s="2"/>
      <c r="M699" s="2"/>
      <c r="N699" s="2"/>
      <c r="O699" s="2"/>
      <c r="P699" s="2"/>
      <c r="Q699" s="2"/>
      <c r="R699" s="2"/>
      <c r="S699" s="2"/>
      <c r="T699" s="2"/>
      <c r="U699" s="2"/>
      <c r="V699" s="2"/>
      <c r="W699" s="2"/>
      <c r="X699" s="2"/>
      <c r="Y699" s="2"/>
      <c r="Z699" s="2"/>
      <c r="AA699" s="2"/>
      <c r="AB699" s="2"/>
    </row>
    <row r="700">
      <c r="A700" s="8"/>
      <c r="B700" s="8"/>
      <c r="C700" s="8"/>
      <c r="D700" s="8"/>
      <c r="E700" s="8"/>
      <c r="F700" s="11"/>
      <c r="G700" s="2"/>
      <c r="H700" s="2"/>
      <c r="I700" s="2"/>
      <c r="J700" s="2"/>
      <c r="K700" s="2"/>
      <c r="L700" s="2"/>
      <c r="M700" s="2"/>
      <c r="N700" s="2"/>
      <c r="O700" s="2"/>
      <c r="P700" s="2"/>
      <c r="Q700" s="2"/>
      <c r="R700" s="2"/>
      <c r="S700" s="2"/>
      <c r="T700" s="2"/>
      <c r="U700" s="2"/>
      <c r="V700" s="2"/>
      <c r="W700" s="2"/>
      <c r="X700" s="2"/>
      <c r="Y700" s="2"/>
      <c r="Z700" s="2"/>
      <c r="AA700" s="2"/>
      <c r="AB700" s="2"/>
    </row>
    <row r="701">
      <c r="A701" s="8"/>
      <c r="B701" s="8"/>
      <c r="C701" s="8"/>
      <c r="D701" s="8"/>
      <c r="E701" s="8"/>
      <c r="F701" s="11"/>
      <c r="G701" s="2"/>
      <c r="H701" s="2"/>
      <c r="I701" s="2"/>
      <c r="J701" s="2"/>
      <c r="K701" s="2"/>
      <c r="L701" s="2"/>
      <c r="M701" s="2"/>
      <c r="N701" s="2"/>
      <c r="O701" s="2"/>
      <c r="P701" s="2"/>
      <c r="Q701" s="2"/>
      <c r="R701" s="2"/>
      <c r="S701" s="2"/>
      <c r="T701" s="2"/>
      <c r="U701" s="2"/>
      <c r="V701" s="2"/>
      <c r="W701" s="2"/>
      <c r="X701" s="2"/>
      <c r="Y701" s="2"/>
      <c r="Z701" s="2"/>
      <c r="AA701" s="2"/>
      <c r="AB701" s="2"/>
    </row>
    <row r="702">
      <c r="A702" s="8"/>
      <c r="B702" s="8"/>
      <c r="C702" s="8"/>
      <c r="D702" s="8"/>
      <c r="E702" s="8"/>
      <c r="F702" s="11"/>
      <c r="G702" s="2"/>
      <c r="H702" s="2"/>
      <c r="I702" s="2"/>
      <c r="J702" s="2"/>
      <c r="K702" s="2"/>
      <c r="L702" s="2"/>
      <c r="M702" s="2"/>
      <c r="N702" s="2"/>
      <c r="O702" s="2"/>
      <c r="P702" s="2"/>
      <c r="Q702" s="2"/>
      <c r="R702" s="2"/>
      <c r="S702" s="2"/>
      <c r="T702" s="2"/>
      <c r="U702" s="2"/>
      <c r="V702" s="2"/>
      <c r="W702" s="2"/>
      <c r="X702" s="2"/>
      <c r="Y702" s="2"/>
      <c r="Z702" s="2"/>
      <c r="AA702" s="2"/>
      <c r="AB702" s="2"/>
    </row>
    <row r="703">
      <c r="A703" s="8"/>
      <c r="B703" s="8"/>
      <c r="C703" s="8"/>
      <c r="D703" s="8"/>
      <c r="E703" s="8"/>
      <c r="F703" s="11"/>
      <c r="G703" s="2"/>
      <c r="H703" s="2"/>
      <c r="I703" s="2"/>
      <c r="J703" s="2"/>
      <c r="K703" s="2"/>
      <c r="L703" s="2"/>
      <c r="M703" s="2"/>
      <c r="N703" s="2"/>
      <c r="O703" s="2"/>
      <c r="P703" s="2"/>
      <c r="Q703" s="2"/>
      <c r="R703" s="2"/>
      <c r="S703" s="2"/>
      <c r="T703" s="2"/>
      <c r="U703" s="2"/>
      <c r="V703" s="2"/>
      <c r="W703" s="2"/>
      <c r="X703" s="2"/>
      <c r="Y703" s="2"/>
      <c r="Z703" s="2"/>
      <c r="AA703" s="2"/>
      <c r="AB703" s="2"/>
    </row>
    <row r="704">
      <c r="A704" s="8"/>
      <c r="B704" s="8"/>
      <c r="C704" s="8"/>
      <c r="D704" s="8"/>
      <c r="E704" s="8"/>
      <c r="F704" s="11"/>
      <c r="G704" s="2"/>
      <c r="H704" s="2"/>
      <c r="I704" s="2"/>
      <c r="J704" s="2"/>
      <c r="K704" s="2"/>
      <c r="L704" s="2"/>
      <c r="M704" s="2"/>
      <c r="N704" s="2"/>
      <c r="O704" s="2"/>
      <c r="P704" s="2"/>
      <c r="Q704" s="2"/>
      <c r="R704" s="2"/>
      <c r="S704" s="2"/>
      <c r="T704" s="2"/>
      <c r="U704" s="2"/>
      <c r="V704" s="2"/>
      <c r="W704" s="2"/>
      <c r="X704" s="2"/>
      <c r="Y704" s="2"/>
      <c r="Z704" s="2"/>
      <c r="AA704" s="2"/>
      <c r="AB704" s="2"/>
    </row>
    <row r="705">
      <c r="A705" s="8"/>
      <c r="B705" s="8"/>
      <c r="C705" s="8"/>
      <c r="D705" s="8"/>
      <c r="E705" s="8"/>
      <c r="F705" s="11"/>
      <c r="G705" s="2"/>
      <c r="H705" s="2"/>
      <c r="I705" s="2"/>
      <c r="J705" s="2"/>
      <c r="K705" s="2"/>
      <c r="L705" s="2"/>
      <c r="M705" s="2"/>
      <c r="N705" s="2"/>
      <c r="O705" s="2"/>
      <c r="P705" s="2"/>
      <c r="Q705" s="2"/>
      <c r="R705" s="2"/>
      <c r="S705" s="2"/>
      <c r="T705" s="2"/>
      <c r="U705" s="2"/>
      <c r="V705" s="2"/>
      <c r="W705" s="2"/>
      <c r="X705" s="2"/>
      <c r="Y705" s="2"/>
      <c r="Z705" s="2"/>
      <c r="AA705" s="2"/>
      <c r="AB705" s="2"/>
    </row>
    <row r="706">
      <c r="A706" s="8"/>
      <c r="B706" s="8"/>
      <c r="C706" s="8"/>
      <c r="D706" s="8"/>
      <c r="E706" s="8"/>
      <c r="F706" s="11"/>
      <c r="G706" s="2"/>
      <c r="H706" s="2"/>
      <c r="I706" s="2"/>
      <c r="J706" s="2"/>
      <c r="K706" s="2"/>
      <c r="L706" s="2"/>
      <c r="M706" s="2"/>
      <c r="N706" s="2"/>
      <c r="O706" s="2"/>
      <c r="P706" s="2"/>
      <c r="Q706" s="2"/>
      <c r="R706" s="2"/>
      <c r="S706" s="2"/>
      <c r="T706" s="2"/>
      <c r="U706" s="2"/>
      <c r="V706" s="2"/>
      <c r="W706" s="2"/>
      <c r="X706" s="2"/>
      <c r="Y706" s="2"/>
      <c r="Z706" s="2"/>
      <c r="AA706" s="2"/>
      <c r="AB706" s="2"/>
    </row>
    <row r="707">
      <c r="A707" s="8"/>
      <c r="B707" s="8"/>
      <c r="C707" s="8"/>
      <c r="D707" s="8"/>
      <c r="E707" s="8"/>
      <c r="F707" s="11"/>
      <c r="G707" s="2"/>
      <c r="H707" s="2"/>
      <c r="I707" s="2"/>
      <c r="J707" s="2"/>
      <c r="K707" s="2"/>
      <c r="L707" s="2"/>
      <c r="M707" s="2"/>
      <c r="N707" s="2"/>
      <c r="O707" s="2"/>
      <c r="P707" s="2"/>
      <c r="Q707" s="2"/>
      <c r="R707" s="2"/>
      <c r="S707" s="2"/>
      <c r="T707" s="2"/>
      <c r="U707" s="2"/>
      <c r="V707" s="2"/>
      <c r="W707" s="2"/>
      <c r="X707" s="2"/>
      <c r="Y707" s="2"/>
      <c r="Z707" s="2"/>
      <c r="AA707" s="2"/>
      <c r="AB707" s="2"/>
    </row>
    <row r="708">
      <c r="A708" s="8"/>
      <c r="B708" s="8"/>
      <c r="C708" s="8"/>
      <c r="D708" s="8"/>
      <c r="E708" s="8"/>
      <c r="F708" s="11"/>
      <c r="G708" s="2"/>
      <c r="H708" s="2"/>
      <c r="I708" s="2"/>
      <c r="J708" s="2"/>
      <c r="K708" s="2"/>
      <c r="L708" s="2"/>
      <c r="M708" s="2"/>
      <c r="N708" s="2"/>
      <c r="O708" s="2"/>
      <c r="P708" s="2"/>
      <c r="Q708" s="2"/>
      <c r="R708" s="2"/>
      <c r="S708" s="2"/>
      <c r="T708" s="2"/>
      <c r="U708" s="2"/>
      <c r="V708" s="2"/>
      <c r="W708" s="2"/>
      <c r="X708" s="2"/>
      <c r="Y708" s="2"/>
      <c r="Z708" s="2"/>
      <c r="AA708" s="2"/>
      <c r="AB708" s="2"/>
    </row>
    <row r="709">
      <c r="A709" s="8"/>
      <c r="B709" s="8"/>
      <c r="C709" s="8"/>
      <c r="D709" s="8"/>
      <c r="E709" s="8"/>
      <c r="F709" s="11"/>
      <c r="G709" s="2"/>
      <c r="H709" s="2"/>
      <c r="I709" s="2"/>
      <c r="J709" s="2"/>
      <c r="K709" s="2"/>
      <c r="L709" s="2"/>
      <c r="M709" s="2"/>
      <c r="N709" s="2"/>
      <c r="O709" s="2"/>
      <c r="P709" s="2"/>
      <c r="Q709" s="2"/>
      <c r="R709" s="2"/>
      <c r="S709" s="2"/>
      <c r="T709" s="2"/>
      <c r="U709" s="2"/>
      <c r="V709" s="2"/>
      <c r="W709" s="2"/>
      <c r="X709" s="2"/>
      <c r="Y709" s="2"/>
      <c r="Z709" s="2"/>
      <c r="AA709" s="2"/>
      <c r="AB709" s="2"/>
    </row>
    <row r="710">
      <c r="A710" s="8"/>
      <c r="B710" s="8"/>
      <c r="C710" s="8"/>
      <c r="D710" s="8"/>
      <c r="E710" s="8"/>
      <c r="F710" s="11"/>
      <c r="G710" s="2"/>
      <c r="H710" s="2"/>
      <c r="I710" s="2"/>
      <c r="J710" s="2"/>
      <c r="K710" s="2"/>
      <c r="L710" s="2"/>
      <c r="M710" s="2"/>
      <c r="N710" s="2"/>
      <c r="O710" s="2"/>
      <c r="P710" s="2"/>
      <c r="Q710" s="2"/>
      <c r="R710" s="2"/>
      <c r="S710" s="2"/>
      <c r="T710" s="2"/>
      <c r="U710" s="2"/>
      <c r="V710" s="2"/>
      <c r="W710" s="2"/>
      <c r="X710" s="2"/>
      <c r="Y710" s="2"/>
      <c r="Z710" s="2"/>
      <c r="AA710" s="2"/>
      <c r="AB710" s="2"/>
    </row>
    <row r="711">
      <c r="A711" s="8"/>
      <c r="B711" s="8"/>
      <c r="C711" s="8"/>
      <c r="D711" s="8"/>
      <c r="E711" s="8"/>
      <c r="F711" s="11"/>
      <c r="G711" s="2"/>
      <c r="H711" s="2"/>
      <c r="I711" s="2"/>
      <c r="J711" s="2"/>
      <c r="K711" s="2"/>
      <c r="L711" s="2"/>
      <c r="M711" s="2"/>
      <c r="N711" s="2"/>
      <c r="O711" s="2"/>
      <c r="P711" s="2"/>
      <c r="Q711" s="2"/>
      <c r="R711" s="2"/>
      <c r="S711" s="2"/>
      <c r="T711" s="2"/>
      <c r="U711" s="2"/>
      <c r="V711" s="2"/>
      <c r="W711" s="2"/>
      <c r="X711" s="2"/>
      <c r="Y711" s="2"/>
      <c r="Z711" s="2"/>
      <c r="AA711" s="2"/>
      <c r="AB711" s="2"/>
    </row>
    <row r="712">
      <c r="A712" s="8"/>
      <c r="B712" s="8"/>
      <c r="C712" s="8"/>
      <c r="D712" s="8"/>
      <c r="E712" s="8"/>
      <c r="F712" s="11"/>
      <c r="G712" s="2"/>
      <c r="H712" s="2"/>
      <c r="I712" s="2"/>
      <c r="J712" s="2"/>
      <c r="K712" s="2"/>
      <c r="L712" s="2"/>
      <c r="M712" s="2"/>
      <c r="N712" s="2"/>
      <c r="O712" s="2"/>
      <c r="P712" s="2"/>
      <c r="Q712" s="2"/>
      <c r="R712" s="2"/>
      <c r="S712" s="2"/>
      <c r="T712" s="2"/>
      <c r="U712" s="2"/>
      <c r="V712" s="2"/>
      <c r="W712" s="2"/>
      <c r="X712" s="2"/>
      <c r="Y712" s="2"/>
      <c r="Z712" s="2"/>
      <c r="AA712" s="2"/>
      <c r="AB712" s="2"/>
    </row>
    <row r="713">
      <c r="A713" s="8"/>
      <c r="B713" s="8"/>
      <c r="C713" s="8"/>
      <c r="D713" s="8"/>
      <c r="E713" s="8"/>
      <c r="F713" s="11"/>
      <c r="G713" s="2"/>
      <c r="H713" s="2"/>
      <c r="I713" s="2"/>
      <c r="J713" s="2"/>
      <c r="K713" s="2"/>
      <c r="L713" s="2"/>
      <c r="M713" s="2"/>
      <c r="N713" s="2"/>
      <c r="O713" s="2"/>
      <c r="P713" s="2"/>
      <c r="Q713" s="2"/>
      <c r="R713" s="2"/>
      <c r="S713" s="2"/>
      <c r="T713" s="2"/>
      <c r="U713" s="2"/>
      <c r="V713" s="2"/>
      <c r="W713" s="2"/>
      <c r="X713" s="2"/>
      <c r="Y713" s="2"/>
      <c r="Z713" s="2"/>
      <c r="AA713" s="2"/>
      <c r="AB713" s="2"/>
    </row>
    <row r="714">
      <c r="A714" s="8"/>
      <c r="B714" s="8"/>
      <c r="C714" s="8"/>
      <c r="D714" s="8"/>
      <c r="E714" s="8"/>
      <c r="F714" s="11"/>
      <c r="G714" s="2"/>
      <c r="H714" s="2"/>
      <c r="I714" s="2"/>
      <c r="J714" s="2"/>
      <c r="K714" s="2"/>
      <c r="L714" s="2"/>
      <c r="M714" s="2"/>
      <c r="N714" s="2"/>
      <c r="O714" s="2"/>
      <c r="P714" s="2"/>
      <c r="Q714" s="2"/>
      <c r="R714" s="2"/>
      <c r="S714" s="2"/>
      <c r="T714" s="2"/>
      <c r="U714" s="2"/>
      <c r="V714" s="2"/>
      <c r="W714" s="2"/>
      <c r="X714" s="2"/>
      <c r="Y714" s="2"/>
      <c r="Z714" s="2"/>
      <c r="AA714" s="2"/>
      <c r="AB714" s="2"/>
    </row>
    <row r="715">
      <c r="A715" s="8"/>
      <c r="B715" s="8"/>
      <c r="C715" s="8"/>
      <c r="D715" s="8"/>
      <c r="E715" s="8"/>
      <c r="F715" s="11"/>
      <c r="G715" s="2"/>
      <c r="H715" s="2"/>
      <c r="I715" s="2"/>
      <c r="J715" s="2"/>
      <c r="K715" s="2"/>
      <c r="L715" s="2"/>
      <c r="M715" s="2"/>
      <c r="N715" s="2"/>
      <c r="O715" s="2"/>
      <c r="P715" s="2"/>
      <c r="Q715" s="2"/>
      <c r="R715" s="2"/>
      <c r="S715" s="2"/>
      <c r="T715" s="2"/>
      <c r="U715" s="2"/>
      <c r="V715" s="2"/>
      <c r="W715" s="2"/>
      <c r="X715" s="2"/>
      <c r="Y715" s="2"/>
      <c r="Z715" s="2"/>
      <c r="AA715" s="2"/>
      <c r="AB715" s="2"/>
    </row>
    <row r="716">
      <c r="A716" s="8"/>
      <c r="B716" s="8"/>
      <c r="C716" s="8"/>
      <c r="D716" s="8"/>
      <c r="E716" s="8"/>
      <c r="F716" s="11"/>
      <c r="G716" s="2"/>
      <c r="H716" s="2"/>
      <c r="I716" s="2"/>
      <c r="J716" s="2"/>
      <c r="K716" s="2"/>
      <c r="L716" s="2"/>
      <c r="M716" s="2"/>
      <c r="N716" s="2"/>
      <c r="O716" s="2"/>
      <c r="P716" s="2"/>
      <c r="Q716" s="2"/>
      <c r="R716" s="2"/>
      <c r="S716" s="2"/>
      <c r="T716" s="2"/>
      <c r="U716" s="2"/>
      <c r="V716" s="2"/>
      <c r="W716" s="2"/>
      <c r="X716" s="2"/>
      <c r="Y716" s="2"/>
      <c r="Z716" s="2"/>
      <c r="AA716" s="2"/>
      <c r="AB716" s="2"/>
    </row>
    <row r="717">
      <c r="A717" s="8"/>
      <c r="B717" s="8"/>
      <c r="C717" s="8"/>
      <c r="D717" s="8"/>
      <c r="E717" s="8"/>
      <c r="F717" s="11"/>
      <c r="G717" s="2"/>
      <c r="H717" s="2"/>
      <c r="I717" s="2"/>
      <c r="J717" s="2"/>
      <c r="K717" s="2"/>
      <c r="L717" s="2"/>
      <c r="M717" s="2"/>
      <c r="N717" s="2"/>
      <c r="O717" s="2"/>
      <c r="P717" s="2"/>
      <c r="Q717" s="2"/>
      <c r="R717" s="2"/>
      <c r="S717" s="2"/>
      <c r="T717" s="2"/>
      <c r="U717" s="2"/>
      <c r="V717" s="2"/>
      <c r="W717" s="2"/>
      <c r="X717" s="2"/>
      <c r="Y717" s="2"/>
      <c r="Z717" s="2"/>
      <c r="AA717" s="2"/>
      <c r="AB717" s="2"/>
    </row>
    <row r="718">
      <c r="A718" s="8"/>
      <c r="B718" s="8"/>
      <c r="C718" s="8"/>
      <c r="D718" s="8"/>
      <c r="E718" s="8"/>
      <c r="F718" s="11"/>
      <c r="G718" s="2"/>
      <c r="H718" s="2"/>
      <c r="I718" s="2"/>
      <c r="J718" s="2"/>
      <c r="K718" s="2"/>
      <c r="L718" s="2"/>
      <c r="M718" s="2"/>
      <c r="N718" s="2"/>
      <c r="O718" s="2"/>
      <c r="P718" s="2"/>
      <c r="Q718" s="2"/>
      <c r="R718" s="2"/>
      <c r="S718" s="2"/>
      <c r="T718" s="2"/>
      <c r="U718" s="2"/>
      <c r="V718" s="2"/>
      <c r="W718" s="2"/>
      <c r="X718" s="2"/>
      <c r="Y718" s="2"/>
      <c r="Z718" s="2"/>
      <c r="AA718" s="2"/>
      <c r="AB718" s="2"/>
    </row>
    <row r="719">
      <c r="A719" s="8"/>
      <c r="B719" s="8"/>
      <c r="C719" s="8"/>
      <c r="D719" s="8"/>
      <c r="E719" s="8"/>
      <c r="F719" s="11"/>
      <c r="G719" s="2"/>
      <c r="H719" s="2"/>
      <c r="I719" s="2"/>
      <c r="J719" s="2"/>
      <c r="K719" s="2"/>
      <c r="L719" s="2"/>
      <c r="M719" s="2"/>
      <c r="N719" s="2"/>
      <c r="O719" s="2"/>
      <c r="P719" s="2"/>
      <c r="Q719" s="2"/>
      <c r="R719" s="2"/>
      <c r="S719" s="2"/>
      <c r="T719" s="2"/>
      <c r="U719" s="2"/>
      <c r="V719" s="2"/>
      <c r="W719" s="2"/>
      <c r="X719" s="2"/>
      <c r="Y719" s="2"/>
      <c r="Z719" s="2"/>
      <c r="AA719" s="2"/>
      <c r="AB719" s="2"/>
    </row>
    <row r="720">
      <c r="A720" s="8"/>
      <c r="B720" s="8"/>
      <c r="C720" s="8"/>
      <c r="D720" s="8"/>
      <c r="E720" s="8"/>
      <c r="F720" s="11"/>
      <c r="G720" s="2"/>
      <c r="H720" s="2"/>
      <c r="I720" s="2"/>
      <c r="J720" s="2"/>
      <c r="K720" s="2"/>
      <c r="L720" s="2"/>
      <c r="M720" s="2"/>
      <c r="N720" s="2"/>
      <c r="O720" s="2"/>
      <c r="P720" s="2"/>
      <c r="Q720" s="2"/>
      <c r="R720" s="2"/>
      <c r="S720" s="2"/>
      <c r="T720" s="2"/>
      <c r="U720" s="2"/>
      <c r="V720" s="2"/>
      <c r="W720" s="2"/>
      <c r="X720" s="2"/>
      <c r="Y720" s="2"/>
      <c r="Z720" s="2"/>
      <c r="AA720" s="2"/>
      <c r="AB720" s="2"/>
    </row>
    <row r="721">
      <c r="A721" s="8"/>
      <c r="B721" s="8"/>
      <c r="C721" s="8"/>
      <c r="D721" s="8"/>
      <c r="E721" s="8"/>
      <c r="F721" s="11"/>
      <c r="G721" s="2"/>
      <c r="H721" s="2"/>
      <c r="I721" s="2"/>
      <c r="J721" s="2"/>
      <c r="K721" s="2"/>
      <c r="L721" s="2"/>
      <c r="M721" s="2"/>
      <c r="N721" s="2"/>
      <c r="O721" s="2"/>
      <c r="P721" s="2"/>
      <c r="Q721" s="2"/>
      <c r="R721" s="2"/>
      <c r="S721" s="2"/>
      <c r="T721" s="2"/>
      <c r="U721" s="2"/>
      <c r="V721" s="2"/>
      <c r="W721" s="2"/>
      <c r="X721" s="2"/>
      <c r="Y721" s="2"/>
      <c r="Z721" s="2"/>
      <c r="AA721" s="2"/>
      <c r="AB721" s="2"/>
    </row>
    <row r="722">
      <c r="A722" s="8"/>
      <c r="B722" s="8"/>
      <c r="C722" s="8"/>
      <c r="D722" s="8"/>
      <c r="E722" s="8"/>
      <c r="F722" s="11"/>
      <c r="G722" s="2"/>
      <c r="H722" s="2"/>
      <c r="I722" s="2"/>
      <c r="J722" s="2"/>
      <c r="K722" s="2"/>
      <c r="L722" s="2"/>
      <c r="M722" s="2"/>
      <c r="N722" s="2"/>
      <c r="O722" s="2"/>
      <c r="P722" s="2"/>
      <c r="Q722" s="2"/>
      <c r="R722" s="2"/>
      <c r="S722" s="2"/>
      <c r="T722" s="2"/>
      <c r="U722" s="2"/>
      <c r="V722" s="2"/>
      <c r="W722" s="2"/>
      <c r="X722" s="2"/>
      <c r="Y722" s="2"/>
      <c r="Z722" s="2"/>
      <c r="AA722" s="2"/>
      <c r="AB722" s="2"/>
    </row>
    <row r="723">
      <c r="A723" s="8"/>
      <c r="B723" s="8"/>
      <c r="C723" s="8"/>
      <c r="D723" s="8"/>
      <c r="E723" s="8"/>
      <c r="F723" s="11"/>
      <c r="G723" s="2"/>
      <c r="H723" s="2"/>
      <c r="I723" s="2"/>
      <c r="J723" s="2"/>
      <c r="K723" s="2"/>
      <c r="L723" s="2"/>
      <c r="M723" s="2"/>
      <c r="N723" s="2"/>
      <c r="O723" s="2"/>
      <c r="P723" s="2"/>
      <c r="Q723" s="2"/>
      <c r="R723" s="2"/>
      <c r="S723" s="2"/>
      <c r="T723" s="2"/>
      <c r="U723" s="2"/>
      <c r="V723" s="2"/>
      <c r="W723" s="2"/>
      <c r="X723" s="2"/>
      <c r="Y723" s="2"/>
      <c r="Z723" s="2"/>
      <c r="AA723" s="2"/>
      <c r="AB723" s="2"/>
    </row>
    <row r="724">
      <c r="A724" s="8"/>
      <c r="B724" s="8"/>
      <c r="C724" s="8"/>
      <c r="D724" s="8"/>
      <c r="E724" s="8"/>
      <c r="F724" s="11"/>
      <c r="G724" s="2"/>
      <c r="H724" s="2"/>
      <c r="I724" s="2"/>
      <c r="J724" s="2"/>
      <c r="K724" s="2"/>
      <c r="L724" s="2"/>
      <c r="M724" s="2"/>
      <c r="N724" s="2"/>
      <c r="O724" s="2"/>
      <c r="P724" s="2"/>
      <c r="Q724" s="2"/>
      <c r="R724" s="2"/>
      <c r="S724" s="2"/>
      <c r="T724" s="2"/>
      <c r="U724" s="2"/>
      <c r="V724" s="2"/>
      <c r="W724" s="2"/>
      <c r="X724" s="2"/>
      <c r="Y724" s="2"/>
      <c r="Z724" s="2"/>
      <c r="AA724" s="2"/>
      <c r="AB724" s="2"/>
    </row>
    <row r="725">
      <c r="A725" s="8"/>
      <c r="B725" s="8"/>
      <c r="C725" s="8"/>
      <c r="D725" s="8"/>
      <c r="E725" s="8"/>
      <c r="F725" s="11"/>
      <c r="G725" s="2"/>
      <c r="H725" s="2"/>
      <c r="I725" s="2"/>
      <c r="J725" s="2"/>
      <c r="K725" s="2"/>
      <c r="L725" s="2"/>
      <c r="M725" s="2"/>
      <c r="N725" s="2"/>
      <c r="O725" s="2"/>
      <c r="P725" s="2"/>
      <c r="Q725" s="2"/>
      <c r="R725" s="2"/>
      <c r="S725" s="2"/>
      <c r="T725" s="2"/>
      <c r="U725" s="2"/>
      <c r="V725" s="2"/>
      <c r="W725" s="2"/>
      <c r="X725" s="2"/>
      <c r="Y725" s="2"/>
      <c r="Z725" s="2"/>
      <c r="AA725" s="2"/>
      <c r="AB725" s="2"/>
    </row>
    <row r="726">
      <c r="A726" s="8"/>
      <c r="B726" s="8"/>
      <c r="C726" s="8"/>
      <c r="D726" s="8"/>
      <c r="E726" s="8"/>
      <c r="F726" s="11"/>
      <c r="G726" s="2"/>
      <c r="H726" s="2"/>
      <c r="I726" s="2"/>
      <c r="J726" s="2"/>
      <c r="K726" s="2"/>
      <c r="L726" s="2"/>
      <c r="M726" s="2"/>
      <c r="N726" s="2"/>
      <c r="O726" s="2"/>
      <c r="P726" s="2"/>
      <c r="Q726" s="2"/>
      <c r="R726" s="2"/>
      <c r="S726" s="2"/>
      <c r="T726" s="2"/>
      <c r="U726" s="2"/>
      <c r="V726" s="2"/>
      <c r="W726" s="2"/>
      <c r="X726" s="2"/>
      <c r="Y726" s="2"/>
      <c r="Z726" s="2"/>
      <c r="AA726" s="2"/>
      <c r="AB726" s="2"/>
    </row>
    <row r="727">
      <c r="A727" s="8"/>
      <c r="B727" s="8"/>
      <c r="C727" s="8"/>
      <c r="D727" s="8"/>
      <c r="E727" s="8"/>
      <c r="F727" s="11"/>
      <c r="G727" s="2"/>
      <c r="H727" s="2"/>
      <c r="I727" s="2"/>
      <c r="J727" s="2"/>
      <c r="K727" s="2"/>
      <c r="L727" s="2"/>
      <c r="M727" s="2"/>
      <c r="N727" s="2"/>
      <c r="O727" s="2"/>
      <c r="P727" s="2"/>
      <c r="Q727" s="2"/>
      <c r="R727" s="2"/>
      <c r="S727" s="2"/>
      <c r="T727" s="2"/>
      <c r="U727" s="2"/>
      <c r="V727" s="2"/>
      <c r="W727" s="2"/>
      <c r="X727" s="2"/>
      <c r="Y727" s="2"/>
      <c r="Z727" s="2"/>
      <c r="AA727" s="2"/>
      <c r="AB727" s="2"/>
    </row>
    <row r="728">
      <c r="A728" s="8"/>
      <c r="B728" s="8"/>
      <c r="C728" s="8"/>
      <c r="D728" s="8"/>
      <c r="E728" s="8"/>
      <c r="F728" s="11"/>
      <c r="G728" s="2"/>
      <c r="H728" s="2"/>
      <c r="I728" s="2"/>
      <c r="J728" s="2"/>
      <c r="K728" s="2"/>
      <c r="L728" s="2"/>
      <c r="M728" s="2"/>
      <c r="N728" s="2"/>
      <c r="O728" s="2"/>
      <c r="P728" s="2"/>
      <c r="Q728" s="2"/>
      <c r="R728" s="2"/>
      <c r="S728" s="2"/>
      <c r="T728" s="2"/>
      <c r="U728" s="2"/>
      <c r="V728" s="2"/>
      <c r="W728" s="2"/>
      <c r="X728" s="2"/>
      <c r="Y728" s="2"/>
      <c r="Z728" s="2"/>
      <c r="AA728" s="2"/>
      <c r="AB728" s="2"/>
    </row>
    <row r="729">
      <c r="A729" s="8"/>
      <c r="B729" s="8"/>
      <c r="C729" s="8"/>
      <c r="D729" s="8"/>
      <c r="E729" s="8"/>
      <c r="F729" s="11"/>
      <c r="G729" s="2"/>
      <c r="H729" s="2"/>
      <c r="I729" s="2"/>
      <c r="J729" s="2"/>
      <c r="K729" s="2"/>
      <c r="L729" s="2"/>
      <c r="M729" s="2"/>
      <c r="N729" s="2"/>
      <c r="O729" s="2"/>
      <c r="P729" s="2"/>
      <c r="Q729" s="2"/>
      <c r="R729" s="2"/>
      <c r="S729" s="2"/>
      <c r="T729" s="2"/>
      <c r="U729" s="2"/>
      <c r="V729" s="2"/>
      <c r="W729" s="2"/>
      <c r="X729" s="2"/>
      <c r="Y729" s="2"/>
      <c r="Z729" s="2"/>
      <c r="AA729" s="2"/>
      <c r="AB729" s="2"/>
    </row>
    <row r="730">
      <c r="A730" s="8"/>
      <c r="B730" s="8"/>
      <c r="C730" s="8"/>
      <c r="D730" s="8"/>
      <c r="E730" s="8"/>
      <c r="F730" s="11"/>
      <c r="G730" s="2"/>
      <c r="H730" s="2"/>
      <c r="I730" s="2"/>
      <c r="J730" s="2"/>
      <c r="K730" s="2"/>
      <c r="L730" s="2"/>
      <c r="M730" s="2"/>
      <c r="N730" s="2"/>
      <c r="O730" s="2"/>
      <c r="P730" s="2"/>
      <c r="Q730" s="2"/>
      <c r="R730" s="2"/>
      <c r="S730" s="2"/>
      <c r="T730" s="2"/>
      <c r="U730" s="2"/>
      <c r="V730" s="2"/>
      <c r="W730" s="2"/>
      <c r="X730" s="2"/>
      <c r="Y730" s="2"/>
      <c r="Z730" s="2"/>
      <c r="AA730" s="2"/>
      <c r="AB730" s="2"/>
    </row>
    <row r="731">
      <c r="A731" s="8"/>
      <c r="B731" s="8"/>
      <c r="C731" s="8"/>
      <c r="D731" s="8"/>
      <c r="E731" s="8"/>
      <c r="F731" s="11"/>
      <c r="G731" s="2"/>
      <c r="H731" s="2"/>
      <c r="I731" s="2"/>
      <c r="J731" s="2"/>
      <c r="K731" s="2"/>
      <c r="L731" s="2"/>
      <c r="M731" s="2"/>
      <c r="N731" s="2"/>
      <c r="O731" s="2"/>
      <c r="P731" s="2"/>
      <c r="Q731" s="2"/>
      <c r="R731" s="2"/>
      <c r="S731" s="2"/>
      <c r="T731" s="2"/>
      <c r="U731" s="2"/>
      <c r="V731" s="2"/>
      <c r="W731" s="2"/>
      <c r="X731" s="2"/>
      <c r="Y731" s="2"/>
      <c r="Z731" s="2"/>
      <c r="AA731" s="2"/>
      <c r="AB731" s="2"/>
    </row>
    <row r="732">
      <c r="A732" s="8"/>
      <c r="B732" s="8"/>
      <c r="C732" s="8"/>
      <c r="D732" s="8"/>
      <c r="E732" s="8"/>
      <c r="F732" s="11"/>
      <c r="G732" s="2"/>
      <c r="H732" s="2"/>
      <c r="I732" s="2"/>
      <c r="J732" s="2"/>
      <c r="K732" s="2"/>
      <c r="L732" s="2"/>
      <c r="M732" s="2"/>
      <c r="N732" s="2"/>
      <c r="O732" s="2"/>
      <c r="P732" s="2"/>
      <c r="Q732" s="2"/>
      <c r="R732" s="2"/>
      <c r="S732" s="2"/>
      <c r="T732" s="2"/>
      <c r="U732" s="2"/>
      <c r="V732" s="2"/>
      <c r="W732" s="2"/>
      <c r="X732" s="2"/>
      <c r="Y732" s="2"/>
      <c r="Z732" s="2"/>
      <c r="AA732" s="2"/>
      <c r="AB732" s="2"/>
    </row>
    <row r="733">
      <c r="A733" s="8"/>
      <c r="B733" s="8"/>
      <c r="C733" s="8"/>
      <c r="D733" s="8"/>
      <c r="E733" s="8"/>
      <c r="F733" s="11"/>
      <c r="G733" s="2"/>
      <c r="H733" s="2"/>
      <c r="I733" s="2"/>
      <c r="J733" s="2"/>
      <c r="K733" s="2"/>
      <c r="L733" s="2"/>
      <c r="M733" s="2"/>
      <c r="N733" s="2"/>
      <c r="O733" s="2"/>
      <c r="P733" s="2"/>
      <c r="Q733" s="2"/>
      <c r="R733" s="2"/>
      <c r="S733" s="2"/>
      <c r="T733" s="2"/>
      <c r="U733" s="2"/>
      <c r="V733" s="2"/>
      <c r="W733" s="2"/>
      <c r="X733" s="2"/>
      <c r="Y733" s="2"/>
      <c r="Z733" s="2"/>
      <c r="AA733" s="2"/>
      <c r="AB733" s="2"/>
    </row>
    <row r="734">
      <c r="A734" s="8"/>
      <c r="B734" s="8"/>
      <c r="C734" s="8"/>
      <c r="D734" s="8"/>
      <c r="E734" s="8"/>
      <c r="F734" s="11"/>
      <c r="G734" s="2"/>
      <c r="H734" s="2"/>
      <c r="I734" s="2"/>
      <c r="J734" s="2"/>
      <c r="K734" s="2"/>
      <c r="L734" s="2"/>
      <c r="M734" s="2"/>
      <c r="N734" s="2"/>
      <c r="O734" s="2"/>
      <c r="P734" s="2"/>
      <c r="Q734" s="2"/>
      <c r="R734" s="2"/>
      <c r="S734" s="2"/>
      <c r="T734" s="2"/>
      <c r="U734" s="2"/>
      <c r="V734" s="2"/>
      <c r="W734" s="2"/>
      <c r="X734" s="2"/>
      <c r="Y734" s="2"/>
      <c r="Z734" s="2"/>
      <c r="AA734" s="2"/>
      <c r="AB734" s="2"/>
    </row>
    <row r="735">
      <c r="A735" s="8"/>
      <c r="B735" s="8"/>
      <c r="C735" s="8"/>
      <c r="D735" s="8"/>
      <c r="E735" s="8"/>
      <c r="F735" s="11"/>
      <c r="G735" s="2"/>
      <c r="H735" s="2"/>
      <c r="I735" s="2"/>
      <c r="J735" s="2"/>
      <c r="K735" s="2"/>
      <c r="L735" s="2"/>
      <c r="M735" s="2"/>
      <c r="N735" s="2"/>
      <c r="O735" s="2"/>
      <c r="P735" s="2"/>
      <c r="Q735" s="2"/>
      <c r="R735" s="2"/>
      <c r="S735" s="2"/>
      <c r="T735" s="2"/>
      <c r="U735" s="2"/>
      <c r="V735" s="2"/>
      <c r="W735" s="2"/>
      <c r="X735" s="2"/>
      <c r="Y735" s="2"/>
      <c r="Z735" s="2"/>
      <c r="AA735" s="2"/>
      <c r="AB735" s="2"/>
    </row>
    <row r="736">
      <c r="A736" s="8"/>
      <c r="B736" s="8"/>
      <c r="C736" s="8"/>
      <c r="D736" s="8"/>
      <c r="E736" s="8"/>
      <c r="F736" s="11"/>
      <c r="G736" s="2"/>
      <c r="H736" s="2"/>
      <c r="I736" s="2"/>
      <c r="J736" s="2"/>
      <c r="K736" s="2"/>
      <c r="L736" s="2"/>
      <c r="M736" s="2"/>
      <c r="N736" s="2"/>
      <c r="O736" s="2"/>
      <c r="P736" s="2"/>
      <c r="Q736" s="2"/>
      <c r="R736" s="2"/>
      <c r="S736" s="2"/>
      <c r="T736" s="2"/>
      <c r="U736" s="2"/>
      <c r="V736" s="2"/>
      <c r="W736" s="2"/>
      <c r="X736" s="2"/>
      <c r="Y736" s="2"/>
      <c r="Z736" s="2"/>
      <c r="AA736" s="2"/>
      <c r="AB736" s="2"/>
    </row>
    <row r="737">
      <c r="A737" s="8"/>
      <c r="B737" s="8"/>
      <c r="C737" s="8"/>
      <c r="D737" s="8"/>
      <c r="E737" s="8"/>
      <c r="F737" s="11"/>
      <c r="G737" s="2"/>
      <c r="H737" s="2"/>
      <c r="I737" s="2"/>
      <c r="J737" s="2"/>
      <c r="K737" s="2"/>
      <c r="L737" s="2"/>
      <c r="M737" s="2"/>
      <c r="N737" s="2"/>
      <c r="O737" s="2"/>
      <c r="P737" s="2"/>
      <c r="Q737" s="2"/>
      <c r="R737" s="2"/>
      <c r="S737" s="2"/>
      <c r="T737" s="2"/>
      <c r="U737" s="2"/>
      <c r="V737" s="2"/>
      <c r="W737" s="2"/>
      <c r="X737" s="2"/>
      <c r="Y737" s="2"/>
      <c r="Z737" s="2"/>
      <c r="AA737" s="2"/>
      <c r="AB737" s="2"/>
    </row>
    <row r="738">
      <c r="A738" s="8"/>
      <c r="B738" s="8"/>
      <c r="C738" s="8"/>
      <c r="D738" s="8"/>
      <c r="E738" s="8"/>
      <c r="F738" s="11"/>
      <c r="G738" s="2"/>
      <c r="H738" s="2"/>
      <c r="I738" s="2"/>
      <c r="J738" s="2"/>
      <c r="K738" s="2"/>
      <c r="L738" s="2"/>
      <c r="M738" s="2"/>
      <c r="N738" s="2"/>
      <c r="O738" s="2"/>
      <c r="P738" s="2"/>
      <c r="Q738" s="2"/>
      <c r="R738" s="2"/>
      <c r="S738" s="2"/>
      <c r="T738" s="2"/>
      <c r="U738" s="2"/>
      <c r="V738" s="2"/>
      <c r="W738" s="2"/>
      <c r="X738" s="2"/>
      <c r="Y738" s="2"/>
      <c r="Z738" s="2"/>
      <c r="AA738" s="2"/>
      <c r="AB738" s="2"/>
    </row>
    <row r="739">
      <c r="A739" s="8"/>
      <c r="B739" s="8"/>
      <c r="C739" s="8"/>
      <c r="D739" s="8"/>
      <c r="E739" s="8"/>
      <c r="F739" s="11"/>
      <c r="G739" s="2"/>
      <c r="H739" s="2"/>
      <c r="I739" s="2"/>
      <c r="J739" s="2"/>
      <c r="K739" s="2"/>
      <c r="L739" s="2"/>
      <c r="M739" s="2"/>
      <c r="N739" s="2"/>
      <c r="O739" s="2"/>
      <c r="P739" s="2"/>
      <c r="Q739" s="2"/>
      <c r="R739" s="2"/>
      <c r="S739" s="2"/>
      <c r="T739" s="2"/>
      <c r="U739" s="2"/>
      <c r="V739" s="2"/>
      <c r="W739" s="2"/>
      <c r="X739" s="2"/>
      <c r="Y739" s="2"/>
      <c r="Z739" s="2"/>
      <c r="AA739" s="2"/>
      <c r="AB739" s="2"/>
    </row>
    <row r="740">
      <c r="A740" s="8"/>
      <c r="B740" s="8"/>
      <c r="C740" s="8"/>
      <c r="D740" s="8"/>
      <c r="E740" s="8"/>
      <c r="F740" s="11"/>
      <c r="G740" s="2"/>
      <c r="H740" s="2"/>
      <c r="I740" s="2"/>
      <c r="J740" s="2"/>
      <c r="K740" s="2"/>
      <c r="L740" s="2"/>
      <c r="M740" s="2"/>
      <c r="N740" s="2"/>
      <c r="O740" s="2"/>
      <c r="P740" s="2"/>
      <c r="Q740" s="2"/>
      <c r="R740" s="2"/>
      <c r="S740" s="2"/>
      <c r="T740" s="2"/>
      <c r="U740" s="2"/>
      <c r="V740" s="2"/>
      <c r="W740" s="2"/>
      <c r="X740" s="2"/>
      <c r="Y740" s="2"/>
      <c r="Z740" s="2"/>
      <c r="AA740" s="2"/>
      <c r="AB740" s="2"/>
    </row>
    <row r="741">
      <c r="A741" s="8"/>
      <c r="B741" s="8"/>
      <c r="C741" s="8"/>
      <c r="D741" s="8"/>
      <c r="E741" s="8"/>
      <c r="F741" s="11"/>
      <c r="G741" s="2"/>
      <c r="H741" s="2"/>
      <c r="I741" s="2"/>
      <c r="J741" s="2"/>
      <c r="K741" s="2"/>
      <c r="L741" s="2"/>
      <c r="M741" s="2"/>
      <c r="N741" s="2"/>
      <c r="O741" s="2"/>
      <c r="P741" s="2"/>
      <c r="Q741" s="2"/>
      <c r="R741" s="2"/>
      <c r="S741" s="2"/>
      <c r="T741" s="2"/>
      <c r="U741" s="2"/>
      <c r="V741" s="2"/>
      <c r="W741" s="2"/>
      <c r="X741" s="2"/>
      <c r="Y741" s="2"/>
      <c r="Z741" s="2"/>
      <c r="AA741" s="2"/>
      <c r="AB741" s="2"/>
    </row>
    <row r="742">
      <c r="A742" s="8"/>
      <c r="B742" s="8"/>
      <c r="C742" s="8"/>
      <c r="D742" s="8"/>
      <c r="E742" s="8"/>
      <c r="F742" s="11"/>
      <c r="G742" s="2"/>
      <c r="H742" s="2"/>
      <c r="I742" s="2"/>
      <c r="J742" s="2"/>
      <c r="K742" s="2"/>
      <c r="L742" s="2"/>
      <c r="M742" s="2"/>
      <c r="N742" s="2"/>
      <c r="O742" s="2"/>
      <c r="P742" s="2"/>
      <c r="Q742" s="2"/>
      <c r="R742" s="2"/>
      <c r="S742" s="2"/>
      <c r="T742" s="2"/>
      <c r="U742" s="2"/>
      <c r="V742" s="2"/>
      <c r="W742" s="2"/>
      <c r="X742" s="2"/>
      <c r="Y742" s="2"/>
      <c r="Z742" s="2"/>
      <c r="AA742" s="2"/>
      <c r="AB742" s="2"/>
    </row>
    <row r="743">
      <c r="A743" s="8"/>
      <c r="B743" s="8"/>
      <c r="C743" s="8"/>
      <c r="D743" s="8"/>
      <c r="E743" s="8"/>
      <c r="F743" s="11"/>
      <c r="G743" s="2"/>
      <c r="H743" s="2"/>
      <c r="I743" s="2"/>
      <c r="J743" s="2"/>
      <c r="K743" s="2"/>
      <c r="L743" s="2"/>
      <c r="M743" s="2"/>
      <c r="N743" s="2"/>
      <c r="O743" s="2"/>
      <c r="P743" s="2"/>
      <c r="Q743" s="2"/>
      <c r="R743" s="2"/>
      <c r="S743" s="2"/>
      <c r="T743" s="2"/>
      <c r="U743" s="2"/>
      <c r="V743" s="2"/>
      <c r="W743" s="2"/>
      <c r="X743" s="2"/>
      <c r="Y743" s="2"/>
      <c r="Z743" s="2"/>
      <c r="AA743" s="2"/>
      <c r="AB743" s="2"/>
    </row>
    <row r="744">
      <c r="A744" s="8"/>
      <c r="B744" s="8"/>
      <c r="C744" s="8"/>
      <c r="D744" s="8"/>
      <c r="E744" s="8"/>
      <c r="F744" s="11"/>
      <c r="G744" s="2"/>
      <c r="H744" s="2"/>
      <c r="I744" s="2"/>
      <c r="J744" s="2"/>
      <c r="K744" s="2"/>
      <c r="L744" s="2"/>
      <c r="M744" s="2"/>
      <c r="N744" s="2"/>
      <c r="O744" s="2"/>
      <c r="P744" s="2"/>
      <c r="Q744" s="2"/>
      <c r="R744" s="2"/>
      <c r="S744" s="2"/>
      <c r="T744" s="2"/>
      <c r="U744" s="2"/>
      <c r="V744" s="2"/>
      <c r="W744" s="2"/>
      <c r="X744" s="2"/>
      <c r="Y744" s="2"/>
      <c r="Z744" s="2"/>
      <c r="AA744" s="2"/>
      <c r="AB744" s="2"/>
    </row>
    <row r="745">
      <c r="A745" s="8"/>
      <c r="B745" s="8"/>
      <c r="C745" s="8"/>
      <c r="D745" s="8"/>
      <c r="E745" s="8"/>
      <c r="F745" s="11"/>
      <c r="G745" s="2"/>
      <c r="H745" s="2"/>
      <c r="I745" s="2"/>
      <c r="J745" s="2"/>
      <c r="K745" s="2"/>
      <c r="L745" s="2"/>
      <c r="M745" s="2"/>
      <c r="N745" s="2"/>
      <c r="O745" s="2"/>
      <c r="P745" s="2"/>
      <c r="Q745" s="2"/>
      <c r="R745" s="2"/>
      <c r="S745" s="2"/>
      <c r="T745" s="2"/>
      <c r="U745" s="2"/>
      <c r="V745" s="2"/>
      <c r="W745" s="2"/>
      <c r="X745" s="2"/>
      <c r="Y745" s="2"/>
      <c r="Z745" s="2"/>
      <c r="AA745" s="2"/>
      <c r="AB745" s="2"/>
    </row>
    <row r="746">
      <c r="A746" s="8"/>
      <c r="B746" s="8"/>
      <c r="C746" s="8"/>
      <c r="D746" s="8"/>
      <c r="E746" s="8"/>
      <c r="F746" s="11"/>
      <c r="G746" s="2"/>
      <c r="H746" s="2"/>
      <c r="I746" s="2"/>
      <c r="J746" s="2"/>
      <c r="K746" s="2"/>
      <c r="L746" s="2"/>
      <c r="M746" s="2"/>
      <c r="N746" s="2"/>
      <c r="O746" s="2"/>
      <c r="P746" s="2"/>
      <c r="Q746" s="2"/>
      <c r="R746" s="2"/>
      <c r="S746" s="2"/>
      <c r="T746" s="2"/>
      <c r="U746" s="2"/>
      <c r="V746" s="2"/>
      <c r="W746" s="2"/>
      <c r="X746" s="2"/>
      <c r="Y746" s="2"/>
      <c r="Z746" s="2"/>
      <c r="AA746" s="2"/>
      <c r="AB746" s="2"/>
    </row>
    <row r="747">
      <c r="A747" s="8"/>
      <c r="B747" s="8"/>
      <c r="C747" s="8"/>
      <c r="D747" s="8"/>
      <c r="E747" s="8"/>
      <c r="F747" s="11"/>
      <c r="G747" s="2"/>
      <c r="H747" s="2"/>
      <c r="I747" s="2"/>
      <c r="J747" s="2"/>
      <c r="K747" s="2"/>
      <c r="L747" s="2"/>
      <c r="M747" s="2"/>
      <c r="N747" s="2"/>
      <c r="O747" s="2"/>
      <c r="P747" s="2"/>
      <c r="Q747" s="2"/>
      <c r="R747" s="2"/>
      <c r="S747" s="2"/>
      <c r="T747" s="2"/>
      <c r="U747" s="2"/>
      <c r="V747" s="2"/>
      <c r="W747" s="2"/>
      <c r="X747" s="2"/>
      <c r="Y747" s="2"/>
      <c r="Z747" s="2"/>
      <c r="AA747" s="2"/>
      <c r="AB747" s="2"/>
    </row>
    <row r="748">
      <c r="A748" s="8"/>
      <c r="B748" s="8"/>
      <c r="C748" s="8"/>
      <c r="D748" s="8"/>
      <c r="E748" s="8"/>
      <c r="F748" s="11"/>
      <c r="G748" s="2"/>
      <c r="H748" s="2"/>
      <c r="I748" s="2"/>
      <c r="J748" s="2"/>
      <c r="K748" s="2"/>
      <c r="L748" s="2"/>
      <c r="M748" s="2"/>
      <c r="N748" s="2"/>
      <c r="O748" s="2"/>
      <c r="P748" s="2"/>
      <c r="Q748" s="2"/>
      <c r="R748" s="2"/>
      <c r="S748" s="2"/>
      <c r="T748" s="2"/>
      <c r="U748" s="2"/>
      <c r="V748" s="2"/>
      <c r="W748" s="2"/>
      <c r="X748" s="2"/>
      <c r="Y748" s="2"/>
      <c r="Z748" s="2"/>
      <c r="AA748" s="2"/>
      <c r="AB748" s="2"/>
    </row>
    <row r="749">
      <c r="A749" s="8"/>
      <c r="B749" s="8"/>
      <c r="C749" s="8"/>
      <c r="D749" s="8"/>
      <c r="E749" s="8"/>
      <c r="F749" s="11"/>
      <c r="G749" s="2"/>
      <c r="H749" s="2"/>
      <c r="I749" s="2"/>
      <c r="J749" s="2"/>
      <c r="K749" s="2"/>
      <c r="L749" s="2"/>
      <c r="M749" s="2"/>
      <c r="N749" s="2"/>
      <c r="O749" s="2"/>
      <c r="P749" s="2"/>
      <c r="Q749" s="2"/>
      <c r="R749" s="2"/>
      <c r="S749" s="2"/>
      <c r="T749" s="2"/>
      <c r="U749" s="2"/>
      <c r="V749" s="2"/>
      <c r="W749" s="2"/>
      <c r="X749" s="2"/>
      <c r="Y749" s="2"/>
      <c r="Z749" s="2"/>
      <c r="AA749" s="2"/>
      <c r="AB749" s="2"/>
    </row>
    <row r="750">
      <c r="A750" s="8"/>
      <c r="B750" s="8"/>
      <c r="C750" s="8"/>
      <c r="D750" s="8"/>
      <c r="E750" s="8"/>
      <c r="F750" s="11"/>
      <c r="G750" s="2"/>
      <c r="H750" s="2"/>
      <c r="I750" s="2"/>
      <c r="J750" s="2"/>
      <c r="K750" s="2"/>
      <c r="L750" s="2"/>
      <c r="M750" s="2"/>
      <c r="N750" s="2"/>
      <c r="O750" s="2"/>
      <c r="P750" s="2"/>
      <c r="Q750" s="2"/>
      <c r="R750" s="2"/>
      <c r="S750" s="2"/>
      <c r="T750" s="2"/>
      <c r="U750" s="2"/>
      <c r="V750" s="2"/>
      <c r="W750" s="2"/>
      <c r="X750" s="2"/>
      <c r="Y750" s="2"/>
      <c r="Z750" s="2"/>
      <c r="AA750" s="2"/>
      <c r="AB750" s="2"/>
    </row>
    <row r="751">
      <c r="A751" s="8"/>
      <c r="B751" s="8"/>
      <c r="C751" s="8"/>
      <c r="D751" s="8"/>
      <c r="E751" s="8"/>
      <c r="F751" s="11"/>
      <c r="G751" s="2"/>
      <c r="H751" s="2"/>
      <c r="I751" s="2"/>
      <c r="J751" s="2"/>
      <c r="K751" s="2"/>
      <c r="L751" s="2"/>
      <c r="M751" s="2"/>
      <c r="N751" s="2"/>
      <c r="O751" s="2"/>
      <c r="P751" s="2"/>
      <c r="Q751" s="2"/>
      <c r="R751" s="2"/>
      <c r="S751" s="2"/>
      <c r="T751" s="2"/>
      <c r="U751" s="2"/>
      <c r="V751" s="2"/>
      <c r="W751" s="2"/>
      <c r="X751" s="2"/>
      <c r="Y751" s="2"/>
      <c r="Z751" s="2"/>
      <c r="AA751" s="2"/>
      <c r="AB751" s="2"/>
    </row>
    <row r="752">
      <c r="A752" s="8"/>
      <c r="B752" s="8"/>
      <c r="C752" s="8"/>
      <c r="D752" s="8"/>
      <c r="E752" s="8"/>
      <c r="F752" s="11"/>
      <c r="G752" s="2"/>
      <c r="H752" s="2"/>
      <c r="I752" s="2"/>
      <c r="J752" s="2"/>
      <c r="K752" s="2"/>
      <c r="L752" s="2"/>
      <c r="M752" s="2"/>
      <c r="N752" s="2"/>
      <c r="O752" s="2"/>
      <c r="P752" s="2"/>
      <c r="Q752" s="2"/>
      <c r="R752" s="2"/>
      <c r="S752" s="2"/>
      <c r="T752" s="2"/>
      <c r="U752" s="2"/>
      <c r="V752" s="2"/>
      <c r="W752" s="2"/>
      <c r="X752" s="2"/>
      <c r="Y752" s="2"/>
      <c r="Z752" s="2"/>
      <c r="AA752" s="2"/>
      <c r="AB752" s="2"/>
    </row>
    <row r="753">
      <c r="A753" s="8"/>
      <c r="B753" s="8"/>
      <c r="C753" s="8"/>
      <c r="D753" s="8"/>
      <c r="E753" s="8"/>
      <c r="F753" s="11"/>
      <c r="G753" s="2"/>
      <c r="H753" s="2"/>
      <c r="I753" s="2"/>
      <c r="J753" s="2"/>
      <c r="K753" s="2"/>
      <c r="L753" s="2"/>
      <c r="M753" s="2"/>
      <c r="N753" s="2"/>
      <c r="O753" s="2"/>
      <c r="P753" s="2"/>
      <c r="Q753" s="2"/>
      <c r="R753" s="2"/>
      <c r="S753" s="2"/>
      <c r="T753" s="2"/>
      <c r="U753" s="2"/>
      <c r="V753" s="2"/>
      <c r="W753" s="2"/>
      <c r="X753" s="2"/>
      <c r="Y753" s="2"/>
      <c r="Z753" s="2"/>
      <c r="AA753" s="2"/>
      <c r="AB753" s="2"/>
    </row>
    <row r="754">
      <c r="A754" s="8"/>
      <c r="B754" s="8"/>
      <c r="C754" s="8"/>
      <c r="D754" s="8"/>
      <c r="E754" s="8"/>
      <c r="F754" s="11"/>
      <c r="G754" s="2"/>
      <c r="H754" s="2"/>
      <c r="I754" s="2"/>
      <c r="J754" s="2"/>
      <c r="K754" s="2"/>
      <c r="L754" s="2"/>
      <c r="M754" s="2"/>
      <c r="N754" s="2"/>
      <c r="O754" s="2"/>
      <c r="P754" s="2"/>
      <c r="Q754" s="2"/>
      <c r="R754" s="2"/>
      <c r="S754" s="2"/>
      <c r="T754" s="2"/>
      <c r="U754" s="2"/>
      <c r="V754" s="2"/>
      <c r="W754" s="2"/>
      <c r="X754" s="2"/>
      <c r="Y754" s="2"/>
      <c r="Z754" s="2"/>
      <c r="AA754" s="2"/>
      <c r="AB754" s="2"/>
    </row>
    <row r="755">
      <c r="A755" s="8"/>
      <c r="B755" s="8"/>
      <c r="C755" s="8"/>
      <c r="D755" s="8"/>
      <c r="E755" s="8"/>
      <c r="F755" s="11"/>
      <c r="G755" s="2"/>
      <c r="H755" s="2"/>
      <c r="I755" s="2"/>
      <c r="J755" s="2"/>
      <c r="K755" s="2"/>
      <c r="L755" s="2"/>
      <c r="M755" s="2"/>
      <c r="N755" s="2"/>
      <c r="O755" s="2"/>
      <c r="P755" s="2"/>
      <c r="Q755" s="2"/>
      <c r="R755" s="2"/>
      <c r="S755" s="2"/>
      <c r="T755" s="2"/>
      <c r="U755" s="2"/>
      <c r="V755" s="2"/>
      <c r="W755" s="2"/>
      <c r="X755" s="2"/>
      <c r="Y755" s="2"/>
      <c r="Z755" s="2"/>
      <c r="AA755" s="2"/>
      <c r="AB755" s="2"/>
    </row>
    <row r="756">
      <c r="A756" s="8"/>
      <c r="B756" s="8"/>
      <c r="C756" s="8"/>
      <c r="D756" s="8"/>
      <c r="E756" s="8"/>
      <c r="F756" s="11"/>
      <c r="G756" s="2"/>
      <c r="H756" s="2"/>
      <c r="I756" s="2"/>
      <c r="J756" s="2"/>
      <c r="K756" s="2"/>
      <c r="L756" s="2"/>
      <c r="M756" s="2"/>
      <c r="N756" s="2"/>
      <c r="O756" s="2"/>
      <c r="P756" s="2"/>
      <c r="Q756" s="2"/>
      <c r="R756" s="2"/>
      <c r="S756" s="2"/>
      <c r="T756" s="2"/>
      <c r="U756" s="2"/>
      <c r="V756" s="2"/>
      <c r="W756" s="2"/>
      <c r="X756" s="2"/>
      <c r="Y756" s="2"/>
      <c r="Z756" s="2"/>
      <c r="AA756" s="2"/>
      <c r="AB756" s="2"/>
    </row>
    <row r="757">
      <c r="A757" s="8"/>
      <c r="B757" s="8"/>
      <c r="C757" s="8"/>
      <c r="D757" s="8"/>
      <c r="E757" s="8"/>
      <c r="F757" s="11"/>
      <c r="G757" s="2"/>
      <c r="H757" s="2"/>
      <c r="I757" s="2"/>
      <c r="J757" s="2"/>
      <c r="K757" s="2"/>
      <c r="L757" s="2"/>
      <c r="M757" s="2"/>
      <c r="N757" s="2"/>
      <c r="O757" s="2"/>
      <c r="P757" s="2"/>
      <c r="Q757" s="2"/>
      <c r="R757" s="2"/>
      <c r="S757" s="2"/>
      <c r="T757" s="2"/>
      <c r="U757" s="2"/>
      <c r="V757" s="2"/>
      <c r="W757" s="2"/>
      <c r="X757" s="2"/>
      <c r="Y757" s="2"/>
      <c r="Z757" s="2"/>
      <c r="AA757" s="2"/>
      <c r="AB757" s="2"/>
    </row>
    <row r="758">
      <c r="A758" s="8"/>
      <c r="B758" s="8"/>
      <c r="C758" s="8"/>
      <c r="D758" s="8"/>
      <c r="E758" s="8"/>
      <c r="F758" s="11"/>
      <c r="G758" s="2"/>
      <c r="H758" s="2"/>
      <c r="I758" s="2"/>
      <c r="J758" s="2"/>
      <c r="K758" s="2"/>
      <c r="L758" s="2"/>
      <c r="M758" s="2"/>
      <c r="N758" s="2"/>
      <c r="O758" s="2"/>
      <c r="P758" s="2"/>
      <c r="Q758" s="2"/>
      <c r="R758" s="2"/>
      <c r="S758" s="2"/>
      <c r="T758" s="2"/>
      <c r="U758" s="2"/>
      <c r="V758" s="2"/>
      <c r="W758" s="2"/>
      <c r="X758" s="2"/>
      <c r="Y758" s="2"/>
      <c r="Z758" s="2"/>
      <c r="AA758" s="2"/>
      <c r="AB758" s="2"/>
    </row>
    <row r="759">
      <c r="A759" s="8"/>
      <c r="B759" s="8"/>
      <c r="C759" s="8"/>
      <c r="D759" s="8"/>
      <c r="E759" s="8"/>
      <c r="F759" s="11"/>
      <c r="G759" s="2"/>
      <c r="H759" s="2"/>
      <c r="I759" s="2"/>
      <c r="J759" s="2"/>
      <c r="K759" s="2"/>
      <c r="L759" s="2"/>
      <c r="M759" s="2"/>
      <c r="N759" s="2"/>
      <c r="O759" s="2"/>
      <c r="P759" s="2"/>
      <c r="Q759" s="2"/>
      <c r="R759" s="2"/>
      <c r="S759" s="2"/>
      <c r="T759" s="2"/>
      <c r="U759" s="2"/>
      <c r="V759" s="2"/>
      <c r="W759" s="2"/>
      <c r="X759" s="2"/>
      <c r="Y759" s="2"/>
      <c r="Z759" s="2"/>
      <c r="AA759" s="2"/>
      <c r="AB759" s="2"/>
    </row>
    <row r="760">
      <c r="A760" s="8"/>
      <c r="B760" s="8"/>
      <c r="C760" s="8"/>
      <c r="D760" s="8"/>
      <c r="E760" s="8"/>
      <c r="F760" s="11"/>
      <c r="G760" s="2"/>
      <c r="H760" s="2"/>
      <c r="I760" s="2"/>
      <c r="J760" s="2"/>
      <c r="K760" s="2"/>
      <c r="L760" s="2"/>
      <c r="M760" s="2"/>
      <c r="N760" s="2"/>
      <c r="O760" s="2"/>
      <c r="P760" s="2"/>
      <c r="Q760" s="2"/>
      <c r="R760" s="2"/>
      <c r="S760" s="2"/>
      <c r="T760" s="2"/>
      <c r="U760" s="2"/>
      <c r="V760" s="2"/>
      <c r="W760" s="2"/>
      <c r="X760" s="2"/>
      <c r="Y760" s="2"/>
      <c r="Z760" s="2"/>
      <c r="AA760" s="2"/>
      <c r="AB760" s="2"/>
    </row>
    <row r="761">
      <c r="A761" s="8"/>
      <c r="B761" s="8"/>
      <c r="C761" s="8"/>
      <c r="D761" s="8"/>
      <c r="E761" s="8"/>
      <c r="F761" s="11"/>
      <c r="G761" s="2"/>
      <c r="H761" s="2"/>
      <c r="I761" s="2"/>
      <c r="J761" s="2"/>
      <c r="K761" s="2"/>
      <c r="L761" s="2"/>
      <c r="M761" s="2"/>
      <c r="N761" s="2"/>
      <c r="O761" s="2"/>
      <c r="P761" s="2"/>
      <c r="Q761" s="2"/>
      <c r="R761" s="2"/>
      <c r="S761" s="2"/>
      <c r="T761" s="2"/>
      <c r="U761" s="2"/>
      <c r="V761" s="2"/>
      <c r="W761" s="2"/>
      <c r="X761" s="2"/>
      <c r="Y761" s="2"/>
      <c r="Z761" s="2"/>
      <c r="AA761" s="2"/>
      <c r="AB761" s="2"/>
    </row>
    <row r="762">
      <c r="A762" s="8"/>
      <c r="B762" s="8"/>
      <c r="C762" s="8"/>
      <c r="D762" s="8"/>
      <c r="E762" s="8"/>
      <c r="F762" s="11"/>
      <c r="G762" s="2"/>
      <c r="H762" s="2"/>
      <c r="I762" s="2"/>
      <c r="J762" s="2"/>
      <c r="K762" s="2"/>
      <c r="L762" s="2"/>
      <c r="M762" s="2"/>
      <c r="N762" s="2"/>
      <c r="O762" s="2"/>
      <c r="P762" s="2"/>
      <c r="Q762" s="2"/>
      <c r="R762" s="2"/>
      <c r="S762" s="2"/>
      <c r="T762" s="2"/>
      <c r="U762" s="2"/>
      <c r="V762" s="2"/>
      <c r="W762" s="2"/>
      <c r="X762" s="2"/>
      <c r="Y762" s="2"/>
      <c r="Z762" s="2"/>
      <c r="AA762" s="2"/>
      <c r="AB762" s="2"/>
    </row>
    <row r="763">
      <c r="A763" s="8"/>
      <c r="B763" s="8"/>
      <c r="C763" s="8"/>
      <c r="D763" s="8"/>
      <c r="E763" s="8"/>
      <c r="F763" s="11"/>
      <c r="G763" s="2"/>
      <c r="H763" s="2"/>
      <c r="I763" s="2"/>
      <c r="J763" s="2"/>
      <c r="K763" s="2"/>
      <c r="L763" s="2"/>
      <c r="M763" s="2"/>
      <c r="N763" s="2"/>
      <c r="O763" s="2"/>
      <c r="P763" s="2"/>
      <c r="Q763" s="2"/>
      <c r="R763" s="2"/>
      <c r="S763" s="2"/>
      <c r="T763" s="2"/>
      <c r="U763" s="2"/>
      <c r="V763" s="2"/>
      <c r="W763" s="2"/>
      <c r="X763" s="2"/>
      <c r="Y763" s="2"/>
      <c r="Z763" s="2"/>
      <c r="AA763" s="2"/>
      <c r="AB763" s="2"/>
    </row>
    <row r="764">
      <c r="A764" s="8"/>
      <c r="B764" s="8"/>
      <c r="C764" s="8"/>
      <c r="D764" s="8"/>
      <c r="E764" s="8"/>
      <c r="F764" s="11"/>
      <c r="G764" s="2"/>
      <c r="H764" s="2"/>
      <c r="I764" s="2"/>
      <c r="J764" s="2"/>
      <c r="K764" s="2"/>
      <c r="L764" s="2"/>
      <c r="M764" s="2"/>
      <c r="N764" s="2"/>
      <c r="O764" s="2"/>
      <c r="P764" s="2"/>
      <c r="Q764" s="2"/>
      <c r="R764" s="2"/>
      <c r="S764" s="2"/>
      <c r="T764" s="2"/>
      <c r="U764" s="2"/>
      <c r="V764" s="2"/>
      <c r="W764" s="2"/>
      <c r="X764" s="2"/>
      <c r="Y764" s="2"/>
      <c r="Z764" s="2"/>
      <c r="AA764" s="2"/>
      <c r="AB764" s="2"/>
    </row>
    <row r="765">
      <c r="A765" s="8"/>
      <c r="B765" s="8"/>
      <c r="C765" s="8"/>
      <c r="D765" s="8"/>
      <c r="E765" s="8"/>
      <c r="F765" s="11"/>
      <c r="G765" s="2"/>
      <c r="H765" s="2"/>
      <c r="I765" s="2"/>
      <c r="J765" s="2"/>
      <c r="K765" s="2"/>
      <c r="L765" s="2"/>
      <c r="M765" s="2"/>
      <c r="N765" s="2"/>
      <c r="O765" s="2"/>
      <c r="P765" s="2"/>
      <c r="Q765" s="2"/>
      <c r="R765" s="2"/>
      <c r="S765" s="2"/>
      <c r="T765" s="2"/>
      <c r="U765" s="2"/>
      <c r="V765" s="2"/>
      <c r="W765" s="2"/>
      <c r="X765" s="2"/>
      <c r="Y765" s="2"/>
      <c r="Z765" s="2"/>
      <c r="AA765" s="2"/>
      <c r="AB765" s="2"/>
    </row>
    <row r="766">
      <c r="A766" s="8"/>
      <c r="B766" s="8"/>
      <c r="C766" s="8"/>
      <c r="D766" s="8"/>
      <c r="E766" s="8"/>
      <c r="F766" s="11"/>
      <c r="G766" s="2"/>
      <c r="H766" s="2"/>
      <c r="I766" s="2"/>
      <c r="J766" s="2"/>
      <c r="K766" s="2"/>
      <c r="L766" s="2"/>
      <c r="M766" s="2"/>
      <c r="N766" s="2"/>
      <c r="O766" s="2"/>
      <c r="P766" s="2"/>
      <c r="Q766" s="2"/>
      <c r="R766" s="2"/>
      <c r="S766" s="2"/>
      <c r="T766" s="2"/>
      <c r="U766" s="2"/>
      <c r="V766" s="2"/>
      <c r="W766" s="2"/>
      <c r="X766" s="2"/>
      <c r="Y766" s="2"/>
      <c r="Z766" s="2"/>
      <c r="AA766" s="2"/>
      <c r="AB766" s="2"/>
    </row>
    <row r="767">
      <c r="A767" s="8"/>
      <c r="B767" s="8"/>
      <c r="C767" s="8"/>
      <c r="D767" s="8"/>
      <c r="E767" s="8"/>
      <c r="F767" s="11"/>
      <c r="G767" s="2"/>
      <c r="H767" s="2"/>
      <c r="I767" s="2"/>
      <c r="J767" s="2"/>
      <c r="K767" s="2"/>
      <c r="L767" s="2"/>
      <c r="M767" s="2"/>
      <c r="N767" s="2"/>
      <c r="O767" s="2"/>
      <c r="P767" s="2"/>
      <c r="Q767" s="2"/>
      <c r="R767" s="2"/>
      <c r="S767" s="2"/>
      <c r="T767" s="2"/>
      <c r="U767" s="2"/>
      <c r="V767" s="2"/>
      <c r="W767" s="2"/>
      <c r="X767" s="2"/>
      <c r="Y767" s="2"/>
      <c r="Z767" s="2"/>
      <c r="AA767" s="2"/>
      <c r="AB767" s="2"/>
    </row>
    <row r="768">
      <c r="A768" s="8"/>
      <c r="B768" s="8"/>
      <c r="C768" s="8"/>
      <c r="D768" s="8"/>
      <c r="E768" s="8"/>
      <c r="F768" s="11"/>
      <c r="G768" s="2"/>
      <c r="H768" s="2"/>
      <c r="I768" s="2"/>
      <c r="J768" s="2"/>
      <c r="K768" s="2"/>
      <c r="L768" s="2"/>
      <c r="M768" s="2"/>
      <c r="N768" s="2"/>
      <c r="O768" s="2"/>
      <c r="P768" s="2"/>
      <c r="Q768" s="2"/>
      <c r="R768" s="2"/>
      <c r="S768" s="2"/>
      <c r="T768" s="2"/>
      <c r="U768" s="2"/>
      <c r="V768" s="2"/>
      <c r="W768" s="2"/>
      <c r="X768" s="2"/>
      <c r="Y768" s="2"/>
      <c r="Z768" s="2"/>
      <c r="AA768" s="2"/>
      <c r="AB768" s="2"/>
    </row>
    <row r="769">
      <c r="A769" s="8"/>
      <c r="B769" s="8"/>
      <c r="C769" s="8"/>
      <c r="D769" s="8"/>
      <c r="E769" s="8"/>
      <c r="F769" s="11"/>
      <c r="G769" s="2"/>
      <c r="H769" s="2"/>
      <c r="I769" s="2"/>
      <c r="J769" s="2"/>
      <c r="K769" s="2"/>
      <c r="L769" s="2"/>
      <c r="M769" s="2"/>
      <c r="N769" s="2"/>
      <c r="O769" s="2"/>
      <c r="P769" s="2"/>
      <c r="Q769" s="2"/>
      <c r="R769" s="2"/>
      <c r="S769" s="2"/>
      <c r="T769" s="2"/>
      <c r="U769" s="2"/>
      <c r="V769" s="2"/>
      <c r="W769" s="2"/>
      <c r="X769" s="2"/>
      <c r="Y769" s="2"/>
      <c r="Z769" s="2"/>
      <c r="AA769" s="2"/>
      <c r="AB769" s="2"/>
    </row>
    <row r="770">
      <c r="A770" s="8"/>
      <c r="B770" s="8"/>
      <c r="C770" s="8"/>
      <c r="D770" s="8"/>
      <c r="E770" s="8"/>
      <c r="F770" s="11"/>
      <c r="G770" s="2"/>
      <c r="H770" s="2"/>
      <c r="I770" s="2"/>
      <c r="J770" s="2"/>
      <c r="K770" s="2"/>
      <c r="L770" s="2"/>
      <c r="M770" s="2"/>
      <c r="N770" s="2"/>
      <c r="O770" s="2"/>
      <c r="P770" s="2"/>
      <c r="Q770" s="2"/>
      <c r="R770" s="2"/>
      <c r="S770" s="2"/>
      <c r="T770" s="2"/>
      <c r="U770" s="2"/>
      <c r="V770" s="2"/>
      <c r="W770" s="2"/>
      <c r="X770" s="2"/>
      <c r="Y770" s="2"/>
      <c r="Z770" s="2"/>
      <c r="AA770" s="2"/>
      <c r="AB770" s="2"/>
    </row>
    <row r="771">
      <c r="A771" s="8"/>
      <c r="B771" s="8"/>
      <c r="C771" s="8"/>
      <c r="D771" s="8"/>
      <c r="E771" s="8"/>
      <c r="F771" s="11"/>
      <c r="G771" s="2"/>
      <c r="H771" s="2"/>
      <c r="I771" s="2"/>
      <c r="J771" s="2"/>
      <c r="K771" s="2"/>
      <c r="L771" s="2"/>
      <c r="M771" s="2"/>
      <c r="N771" s="2"/>
      <c r="O771" s="2"/>
      <c r="P771" s="2"/>
      <c r="Q771" s="2"/>
      <c r="R771" s="2"/>
      <c r="S771" s="2"/>
      <c r="T771" s="2"/>
      <c r="U771" s="2"/>
      <c r="V771" s="2"/>
      <c r="W771" s="2"/>
      <c r="X771" s="2"/>
      <c r="Y771" s="2"/>
      <c r="Z771" s="2"/>
      <c r="AA771" s="2"/>
      <c r="AB771" s="2"/>
    </row>
    <row r="772">
      <c r="A772" s="8"/>
      <c r="B772" s="8"/>
      <c r="C772" s="8"/>
      <c r="D772" s="8"/>
      <c r="E772" s="8"/>
      <c r="F772" s="11"/>
      <c r="G772" s="2"/>
      <c r="H772" s="2"/>
      <c r="I772" s="2"/>
      <c r="J772" s="2"/>
      <c r="K772" s="2"/>
      <c r="L772" s="2"/>
      <c r="M772" s="2"/>
      <c r="N772" s="2"/>
      <c r="O772" s="2"/>
      <c r="P772" s="2"/>
      <c r="Q772" s="2"/>
      <c r="R772" s="2"/>
      <c r="S772" s="2"/>
      <c r="T772" s="2"/>
      <c r="U772" s="2"/>
      <c r="V772" s="2"/>
      <c r="W772" s="2"/>
      <c r="X772" s="2"/>
      <c r="Y772" s="2"/>
      <c r="Z772" s="2"/>
      <c r="AA772" s="2"/>
      <c r="AB772" s="2"/>
    </row>
    <row r="773">
      <c r="A773" s="8"/>
      <c r="B773" s="8"/>
      <c r="C773" s="8"/>
      <c r="D773" s="8"/>
      <c r="E773" s="8"/>
      <c r="F773" s="11"/>
      <c r="G773" s="2"/>
      <c r="H773" s="2"/>
      <c r="I773" s="2"/>
      <c r="J773" s="2"/>
      <c r="K773" s="2"/>
      <c r="L773" s="2"/>
      <c r="M773" s="2"/>
      <c r="N773" s="2"/>
      <c r="O773" s="2"/>
      <c r="P773" s="2"/>
      <c r="Q773" s="2"/>
      <c r="R773" s="2"/>
      <c r="S773" s="2"/>
      <c r="T773" s="2"/>
      <c r="U773" s="2"/>
      <c r="V773" s="2"/>
      <c r="W773" s="2"/>
      <c r="X773" s="2"/>
      <c r="Y773" s="2"/>
      <c r="Z773" s="2"/>
      <c r="AA773" s="2"/>
      <c r="AB773" s="2"/>
    </row>
    <row r="774">
      <c r="A774" s="8"/>
      <c r="B774" s="8"/>
      <c r="C774" s="8"/>
      <c r="D774" s="8"/>
      <c r="E774" s="8"/>
      <c r="F774" s="11"/>
      <c r="G774" s="2"/>
      <c r="H774" s="2"/>
      <c r="I774" s="2"/>
      <c r="J774" s="2"/>
      <c r="K774" s="2"/>
      <c r="L774" s="2"/>
      <c r="M774" s="2"/>
      <c r="N774" s="2"/>
      <c r="O774" s="2"/>
      <c r="P774" s="2"/>
      <c r="Q774" s="2"/>
      <c r="R774" s="2"/>
      <c r="S774" s="2"/>
      <c r="T774" s="2"/>
      <c r="U774" s="2"/>
      <c r="V774" s="2"/>
      <c r="W774" s="2"/>
      <c r="X774" s="2"/>
      <c r="Y774" s="2"/>
      <c r="Z774" s="2"/>
      <c r="AA774" s="2"/>
      <c r="AB774" s="2"/>
    </row>
    <row r="775">
      <c r="A775" s="8"/>
      <c r="B775" s="8"/>
      <c r="C775" s="8"/>
      <c r="D775" s="8"/>
      <c r="E775" s="8"/>
      <c r="F775" s="11"/>
      <c r="G775" s="2"/>
      <c r="H775" s="2"/>
      <c r="I775" s="2"/>
      <c r="J775" s="2"/>
      <c r="K775" s="2"/>
      <c r="L775" s="2"/>
      <c r="M775" s="2"/>
      <c r="N775" s="2"/>
      <c r="O775" s="2"/>
      <c r="P775" s="2"/>
      <c r="Q775" s="2"/>
      <c r="R775" s="2"/>
      <c r="S775" s="2"/>
      <c r="T775" s="2"/>
      <c r="U775" s="2"/>
      <c r="V775" s="2"/>
      <c r="W775" s="2"/>
      <c r="X775" s="2"/>
      <c r="Y775" s="2"/>
      <c r="Z775" s="2"/>
      <c r="AA775" s="2"/>
      <c r="AB775" s="2"/>
    </row>
    <row r="776">
      <c r="A776" s="8"/>
      <c r="B776" s="8"/>
      <c r="C776" s="8"/>
      <c r="D776" s="8"/>
      <c r="E776" s="8"/>
      <c r="F776" s="11"/>
      <c r="G776" s="2"/>
      <c r="H776" s="2"/>
      <c r="I776" s="2"/>
      <c r="J776" s="2"/>
      <c r="K776" s="2"/>
      <c r="L776" s="2"/>
      <c r="M776" s="2"/>
      <c r="N776" s="2"/>
      <c r="O776" s="2"/>
      <c r="P776" s="2"/>
      <c r="Q776" s="2"/>
      <c r="R776" s="2"/>
      <c r="S776" s="2"/>
      <c r="T776" s="2"/>
      <c r="U776" s="2"/>
      <c r="V776" s="2"/>
      <c r="W776" s="2"/>
      <c r="X776" s="2"/>
      <c r="Y776" s="2"/>
      <c r="Z776" s="2"/>
      <c r="AA776" s="2"/>
      <c r="AB776" s="2"/>
    </row>
    <row r="777">
      <c r="A777" s="8"/>
      <c r="B777" s="8"/>
      <c r="C777" s="8"/>
      <c r="D777" s="8"/>
      <c r="E777" s="8"/>
      <c r="F777" s="11"/>
      <c r="G777" s="2"/>
      <c r="H777" s="2"/>
      <c r="I777" s="2"/>
      <c r="J777" s="2"/>
      <c r="K777" s="2"/>
      <c r="L777" s="2"/>
      <c r="M777" s="2"/>
      <c r="N777" s="2"/>
      <c r="O777" s="2"/>
      <c r="P777" s="2"/>
      <c r="Q777" s="2"/>
      <c r="R777" s="2"/>
      <c r="S777" s="2"/>
      <c r="T777" s="2"/>
      <c r="U777" s="2"/>
      <c r="V777" s="2"/>
      <c r="W777" s="2"/>
      <c r="X777" s="2"/>
      <c r="Y777" s="2"/>
      <c r="Z777" s="2"/>
      <c r="AA777" s="2"/>
      <c r="AB777" s="2"/>
    </row>
    <row r="778">
      <c r="A778" s="8"/>
      <c r="B778" s="8"/>
      <c r="C778" s="8"/>
      <c r="D778" s="8"/>
      <c r="E778" s="8"/>
      <c r="F778" s="11"/>
      <c r="G778" s="2"/>
      <c r="H778" s="2"/>
      <c r="I778" s="2"/>
      <c r="J778" s="2"/>
      <c r="K778" s="2"/>
      <c r="L778" s="2"/>
      <c r="M778" s="2"/>
      <c r="N778" s="2"/>
      <c r="O778" s="2"/>
      <c r="P778" s="2"/>
      <c r="Q778" s="2"/>
      <c r="R778" s="2"/>
      <c r="S778" s="2"/>
      <c r="T778" s="2"/>
      <c r="U778" s="2"/>
      <c r="V778" s="2"/>
      <c r="W778" s="2"/>
      <c r="X778" s="2"/>
      <c r="Y778" s="2"/>
      <c r="Z778" s="2"/>
      <c r="AA778" s="2"/>
      <c r="AB778" s="2"/>
    </row>
    <row r="779">
      <c r="A779" s="8"/>
      <c r="B779" s="8"/>
      <c r="C779" s="8"/>
      <c r="D779" s="8"/>
      <c r="E779" s="8"/>
      <c r="F779" s="11"/>
      <c r="G779" s="2"/>
      <c r="H779" s="2"/>
      <c r="I779" s="2"/>
      <c r="J779" s="2"/>
      <c r="K779" s="2"/>
      <c r="L779" s="2"/>
      <c r="M779" s="2"/>
      <c r="N779" s="2"/>
      <c r="O779" s="2"/>
      <c r="P779" s="2"/>
      <c r="Q779" s="2"/>
      <c r="R779" s="2"/>
      <c r="S779" s="2"/>
      <c r="T779" s="2"/>
      <c r="U779" s="2"/>
      <c r="V779" s="2"/>
      <c r="W779" s="2"/>
      <c r="X779" s="2"/>
      <c r="Y779" s="2"/>
      <c r="Z779" s="2"/>
      <c r="AA779" s="2"/>
      <c r="AB779" s="2"/>
    </row>
    <row r="780">
      <c r="A780" s="8"/>
      <c r="B780" s="8"/>
      <c r="C780" s="8"/>
      <c r="D780" s="8"/>
      <c r="E780" s="8"/>
      <c r="F780" s="11"/>
      <c r="G780" s="2"/>
      <c r="H780" s="2"/>
      <c r="I780" s="2"/>
      <c r="J780" s="2"/>
      <c r="K780" s="2"/>
      <c r="L780" s="2"/>
      <c r="M780" s="2"/>
      <c r="N780" s="2"/>
      <c r="O780" s="2"/>
      <c r="P780" s="2"/>
      <c r="Q780" s="2"/>
      <c r="R780" s="2"/>
      <c r="S780" s="2"/>
      <c r="T780" s="2"/>
      <c r="U780" s="2"/>
      <c r="V780" s="2"/>
      <c r="W780" s="2"/>
      <c r="X780" s="2"/>
      <c r="Y780" s="2"/>
      <c r="Z780" s="2"/>
      <c r="AA780" s="2"/>
      <c r="AB780" s="2"/>
    </row>
    <row r="781">
      <c r="A781" s="8"/>
      <c r="B781" s="8"/>
      <c r="C781" s="8"/>
      <c r="D781" s="8"/>
      <c r="E781" s="8"/>
      <c r="F781" s="11"/>
      <c r="G781" s="2"/>
      <c r="H781" s="2"/>
      <c r="I781" s="2"/>
      <c r="J781" s="2"/>
      <c r="K781" s="2"/>
      <c r="L781" s="2"/>
      <c r="M781" s="2"/>
      <c r="N781" s="2"/>
      <c r="O781" s="2"/>
      <c r="P781" s="2"/>
      <c r="Q781" s="2"/>
      <c r="R781" s="2"/>
      <c r="S781" s="2"/>
      <c r="T781" s="2"/>
      <c r="U781" s="2"/>
      <c r="V781" s="2"/>
      <c r="W781" s="2"/>
      <c r="X781" s="2"/>
      <c r="Y781" s="2"/>
      <c r="Z781" s="2"/>
      <c r="AA781" s="2"/>
      <c r="AB781" s="2"/>
    </row>
    <row r="782">
      <c r="A782" s="8"/>
      <c r="B782" s="8"/>
      <c r="C782" s="8"/>
      <c r="D782" s="8"/>
      <c r="E782" s="8"/>
      <c r="F782" s="11"/>
      <c r="G782" s="2"/>
      <c r="H782" s="2"/>
      <c r="I782" s="2"/>
      <c r="J782" s="2"/>
      <c r="K782" s="2"/>
      <c r="L782" s="2"/>
      <c r="M782" s="2"/>
      <c r="N782" s="2"/>
      <c r="O782" s="2"/>
      <c r="P782" s="2"/>
      <c r="Q782" s="2"/>
      <c r="R782" s="2"/>
      <c r="S782" s="2"/>
      <c r="T782" s="2"/>
      <c r="U782" s="2"/>
      <c r="V782" s="2"/>
      <c r="W782" s="2"/>
      <c r="X782" s="2"/>
      <c r="Y782" s="2"/>
      <c r="Z782" s="2"/>
      <c r="AA782" s="2"/>
      <c r="AB782" s="2"/>
    </row>
    <row r="783">
      <c r="A783" s="8"/>
      <c r="B783" s="8"/>
      <c r="C783" s="8"/>
      <c r="D783" s="8"/>
      <c r="E783" s="8"/>
      <c r="F783" s="11"/>
      <c r="G783" s="2"/>
      <c r="H783" s="2"/>
      <c r="I783" s="2"/>
      <c r="J783" s="2"/>
      <c r="K783" s="2"/>
      <c r="L783" s="2"/>
      <c r="M783" s="2"/>
      <c r="N783" s="2"/>
      <c r="O783" s="2"/>
      <c r="P783" s="2"/>
      <c r="Q783" s="2"/>
      <c r="R783" s="2"/>
      <c r="S783" s="2"/>
      <c r="T783" s="2"/>
      <c r="U783" s="2"/>
      <c r="V783" s="2"/>
      <c r="W783" s="2"/>
      <c r="X783" s="2"/>
      <c r="Y783" s="2"/>
      <c r="Z783" s="2"/>
      <c r="AA783" s="2"/>
      <c r="AB783" s="2"/>
    </row>
    <row r="784">
      <c r="A784" s="8"/>
      <c r="B784" s="8"/>
      <c r="C784" s="8"/>
      <c r="D784" s="8"/>
      <c r="E784" s="8"/>
      <c r="F784" s="11"/>
      <c r="G784" s="2"/>
      <c r="H784" s="2"/>
      <c r="I784" s="2"/>
      <c r="J784" s="2"/>
      <c r="K784" s="2"/>
      <c r="L784" s="2"/>
      <c r="M784" s="2"/>
      <c r="N784" s="2"/>
      <c r="O784" s="2"/>
      <c r="P784" s="2"/>
      <c r="Q784" s="2"/>
      <c r="R784" s="2"/>
      <c r="S784" s="2"/>
      <c r="T784" s="2"/>
      <c r="U784" s="2"/>
      <c r="V784" s="2"/>
      <c r="W784" s="2"/>
      <c r="X784" s="2"/>
      <c r="Y784" s="2"/>
      <c r="Z784" s="2"/>
      <c r="AA784" s="2"/>
      <c r="AB784" s="2"/>
    </row>
    <row r="785">
      <c r="A785" s="8"/>
      <c r="B785" s="8"/>
      <c r="C785" s="8"/>
      <c r="D785" s="8"/>
      <c r="E785" s="8"/>
      <c r="F785" s="11"/>
      <c r="G785" s="2"/>
      <c r="H785" s="2"/>
      <c r="I785" s="2"/>
      <c r="J785" s="2"/>
      <c r="K785" s="2"/>
      <c r="L785" s="2"/>
      <c r="M785" s="2"/>
      <c r="N785" s="2"/>
      <c r="O785" s="2"/>
      <c r="P785" s="2"/>
      <c r="Q785" s="2"/>
      <c r="R785" s="2"/>
      <c r="S785" s="2"/>
      <c r="T785" s="2"/>
      <c r="U785" s="2"/>
      <c r="V785" s="2"/>
      <c r="W785" s="2"/>
      <c r="X785" s="2"/>
      <c r="Y785" s="2"/>
      <c r="Z785" s="2"/>
      <c r="AA785" s="2"/>
      <c r="AB785" s="2"/>
    </row>
    <row r="786">
      <c r="A786" s="8"/>
      <c r="B786" s="8"/>
      <c r="C786" s="8"/>
      <c r="D786" s="8"/>
      <c r="E786" s="8"/>
      <c r="F786" s="11"/>
      <c r="G786" s="2"/>
      <c r="H786" s="2"/>
      <c r="I786" s="2"/>
      <c r="J786" s="2"/>
      <c r="K786" s="2"/>
      <c r="L786" s="2"/>
      <c r="M786" s="2"/>
      <c r="N786" s="2"/>
      <c r="O786" s="2"/>
      <c r="P786" s="2"/>
      <c r="Q786" s="2"/>
      <c r="R786" s="2"/>
      <c r="S786" s="2"/>
      <c r="T786" s="2"/>
      <c r="U786" s="2"/>
      <c r="V786" s="2"/>
      <c r="W786" s="2"/>
      <c r="X786" s="2"/>
      <c r="Y786" s="2"/>
      <c r="Z786" s="2"/>
      <c r="AA786" s="2"/>
      <c r="AB786" s="2"/>
    </row>
    <row r="787">
      <c r="A787" s="8"/>
      <c r="B787" s="8"/>
      <c r="C787" s="8"/>
      <c r="D787" s="8"/>
      <c r="E787" s="8"/>
      <c r="F787" s="11"/>
      <c r="G787" s="2"/>
      <c r="H787" s="2"/>
      <c r="I787" s="2"/>
      <c r="J787" s="2"/>
      <c r="K787" s="2"/>
      <c r="L787" s="2"/>
      <c r="M787" s="2"/>
      <c r="N787" s="2"/>
      <c r="O787" s="2"/>
      <c r="P787" s="2"/>
      <c r="Q787" s="2"/>
      <c r="R787" s="2"/>
      <c r="S787" s="2"/>
      <c r="T787" s="2"/>
      <c r="U787" s="2"/>
      <c r="V787" s="2"/>
      <c r="W787" s="2"/>
      <c r="X787" s="2"/>
      <c r="Y787" s="2"/>
      <c r="Z787" s="2"/>
      <c r="AA787" s="2"/>
      <c r="AB787" s="2"/>
    </row>
    <row r="788">
      <c r="A788" s="8"/>
      <c r="B788" s="8"/>
      <c r="C788" s="8"/>
      <c r="D788" s="8"/>
      <c r="E788" s="8"/>
      <c r="F788" s="11"/>
      <c r="G788" s="2"/>
      <c r="H788" s="2"/>
      <c r="I788" s="2"/>
      <c r="J788" s="2"/>
      <c r="K788" s="2"/>
      <c r="L788" s="2"/>
      <c r="M788" s="2"/>
      <c r="N788" s="2"/>
      <c r="O788" s="2"/>
      <c r="P788" s="2"/>
      <c r="Q788" s="2"/>
      <c r="R788" s="2"/>
      <c r="S788" s="2"/>
      <c r="T788" s="2"/>
      <c r="U788" s="2"/>
      <c r="V788" s="2"/>
      <c r="W788" s="2"/>
      <c r="X788" s="2"/>
      <c r="Y788" s="2"/>
      <c r="Z788" s="2"/>
      <c r="AA788" s="2"/>
      <c r="AB788" s="2"/>
    </row>
    <row r="789">
      <c r="A789" s="8"/>
      <c r="B789" s="8"/>
      <c r="C789" s="8"/>
      <c r="D789" s="8"/>
      <c r="E789" s="8"/>
      <c r="F789" s="11"/>
      <c r="G789" s="2"/>
      <c r="H789" s="2"/>
      <c r="I789" s="2"/>
      <c r="J789" s="2"/>
      <c r="K789" s="2"/>
      <c r="L789" s="2"/>
      <c r="M789" s="2"/>
      <c r="N789" s="2"/>
      <c r="O789" s="2"/>
      <c r="P789" s="2"/>
      <c r="Q789" s="2"/>
      <c r="R789" s="2"/>
      <c r="S789" s="2"/>
      <c r="T789" s="2"/>
      <c r="U789" s="2"/>
      <c r="V789" s="2"/>
      <c r="W789" s="2"/>
      <c r="X789" s="2"/>
      <c r="Y789" s="2"/>
      <c r="Z789" s="2"/>
      <c r="AA789" s="2"/>
      <c r="AB789" s="2"/>
    </row>
    <row r="790">
      <c r="A790" s="8"/>
      <c r="B790" s="8"/>
      <c r="C790" s="8"/>
      <c r="D790" s="8"/>
      <c r="E790" s="8"/>
      <c r="F790" s="11"/>
      <c r="G790" s="2"/>
      <c r="H790" s="2"/>
      <c r="I790" s="2"/>
      <c r="J790" s="2"/>
      <c r="K790" s="2"/>
      <c r="L790" s="2"/>
      <c r="M790" s="2"/>
      <c r="N790" s="2"/>
      <c r="O790" s="2"/>
      <c r="P790" s="2"/>
      <c r="Q790" s="2"/>
      <c r="R790" s="2"/>
      <c r="S790" s="2"/>
      <c r="T790" s="2"/>
      <c r="U790" s="2"/>
      <c r="V790" s="2"/>
      <c r="W790" s="2"/>
      <c r="X790" s="2"/>
      <c r="Y790" s="2"/>
      <c r="Z790" s="2"/>
      <c r="AA790" s="2"/>
      <c r="AB790" s="2"/>
    </row>
    <row r="791">
      <c r="A791" s="8"/>
      <c r="B791" s="8"/>
      <c r="C791" s="8"/>
      <c r="D791" s="8"/>
      <c r="E791" s="8"/>
      <c r="F791" s="11"/>
      <c r="G791" s="2"/>
      <c r="H791" s="2"/>
      <c r="I791" s="2"/>
      <c r="J791" s="2"/>
      <c r="K791" s="2"/>
      <c r="L791" s="2"/>
      <c r="M791" s="2"/>
      <c r="N791" s="2"/>
      <c r="O791" s="2"/>
      <c r="P791" s="2"/>
      <c r="Q791" s="2"/>
      <c r="R791" s="2"/>
      <c r="S791" s="2"/>
      <c r="T791" s="2"/>
      <c r="U791" s="2"/>
      <c r="V791" s="2"/>
      <c r="W791" s="2"/>
      <c r="X791" s="2"/>
      <c r="Y791" s="2"/>
      <c r="Z791" s="2"/>
      <c r="AA791" s="2"/>
      <c r="AB791" s="2"/>
    </row>
    <row r="792">
      <c r="A792" s="8"/>
      <c r="B792" s="8"/>
      <c r="C792" s="8"/>
      <c r="D792" s="8"/>
      <c r="E792" s="8"/>
      <c r="F792" s="11"/>
      <c r="G792" s="2"/>
      <c r="H792" s="2"/>
      <c r="I792" s="2"/>
      <c r="J792" s="2"/>
      <c r="K792" s="2"/>
      <c r="L792" s="2"/>
      <c r="M792" s="2"/>
      <c r="N792" s="2"/>
      <c r="O792" s="2"/>
      <c r="P792" s="2"/>
      <c r="Q792" s="2"/>
      <c r="R792" s="2"/>
      <c r="S792" s="2"/>
      <c r="T792" s="2"/>
      <c r="U792" s="2"/>
      <c r="V792" s="2"/>
      <c r="W792" s="2"/>
      <c r="X792" s="2"/>
      <c r="Y792" s="2"/>
      <c r="Z792" s="2"/>
      <c r="AA792" s="2"/>
      <c r="AB792" s="2"/>
    </row>
    <row r="793">
      <c r="A793" s="8"/>
      <c r="B793" s="8"/>
      <c r="C793" s="8"/>
      <c r="D793" s="8"/>
      <c r="E793" s="8"/>
      <c r="F793" s="11"/>
      <c r="G793" s="2"/>
      <c r="H793" s="2"/>
      <c r="I793" s="2"/>
      <c r="J793" s="2"/>
      <c r="K793" s="2"/>
      <c r="L793" s="2"/>
      <c r="M793" s="2"/>
      <c r="N793" s="2"/>
      <c r="O793" s="2"/>
      <c r="P793" s="2"/>
      <c r="Q793" s="2"/>
      <c r="R793" s="2"/>
      <c r="S793" s="2"/>
      <c r="T793" s="2"/>
      <c r="U793" s="2"/>
      <c r="V793" s="2"/>
      <c r="W793" s="2"/>
      <c r="X793" s="2"/>
      <c r="Y793" s="2"/>
      <c r="Z793" s="2"/>
      <c r="AA793" s="2"/>
      <c r="AB793" s="2"/>
    </row>
    <row r="794">
      <c r="A794" s="8"/>
      <c r="B794" s="8"/>
      <c r="C794" s="8"/>
      <c r="D794" s="8"/>
      <c r="E794" s="8"/>
      <c r="F794" s="11"/>
      <c r="G794" s="2"/>
      <c r="H794" s="2"/>
      <c r="I794" s="2"/>
      <c r="J794" s="2"/>
      <c r="K794" s="2"/>
      <c r="L794" s="2"/>
      <c r="M794" s="2"/>
      <c r="N794" s="2"/>
      <c r="O794" s="2"/>
      <c r="P794" s="2"/>
      <c r="Q794" s="2"/>
      <c r="R794" s="2"/>
      <c r="S794" s="2"/>
      <c r="T794" s="2"/>
      <c r="U794" s="2"/>
      <c r="V794" s="2"/>
      <c r="W794" s="2"/>
      <c r="X794" s="2"/>
      <c r="Y794" s="2"/>
      <c r="Z794" s="2"/>
      <c r="AA794" s="2"/>
      <c r="AB794" s="2"/>
    </row>
    <row r="795">
      <c r="A795" s="8"/>
      <c r="B795" s="8"/>
      <c r="C795" s="8"/>
      <c r="D795" s="8"/>
      <c r="E795" s="8"/>
      <c r="F795" s="11"/>
      <c r="G795" s="2"/>
      <c r="H795" s="2"/>
      <c r="I795" s="2"/>
      <c r="J795" s="2"/>
      <c r="K795" s="2"/>
      <c r="L795" s="2"/>
      <c r="M795" s="2"/>
      <c r="N795" s="2"/>
      <c r="O795" s="2"/>
      <c r="P795" s="2"/>
      <c r="Q795" s="2"/>
      <c r="R795" s="2"/>
      <c r="S795" s="2"/>
      <c r="T795" s="2"/>
      <c r="U795" s="2"/>
      <c r="V795" s="2"/>
      <c r="W795" s="2"/>
      <c r="X795" s="2"/>
      <c r="Y795" s="2"/>
      <c r="Z795" s="2"/>
      <c r="AA795" s="2"/>
      <c r="AB795" s="2"/>
    </row>
    <row r="796">
      <c r="A796" s="8"/>
      <c r="B796" s="8"/>
      <c r="C796" s="8"/>
      <c r="D796" s="8"/>
      <c r="E796" s="8"/>
      <c r="F796" s="11"/>
      <c r="G796" s="2"/>
      <c r="H796" s="2"/>
      <c r="I796" s="2"/>
      <c r="J796" s="2"/>
      <c r="K796" s="2"/>
      <c r="L796" s="2"/>
      <c r="M796" s="2"/>
      <c r="N796" s="2"/>
      <c r="O796" s="2"/>
      <c r="P796" s="2"/>
      <c r="Q796" s="2"/>
      <c r="R796" s="2"/>
      <c r="S796" s="2"/>
      <c r="T796" s="2"/>
      <c r="U796" s="2"/>
      <c r="V796" s="2"/>
      <c r="W796" s="2"/>
      <c r="X796" s="2"/>
      <c r="Y796" s="2"/>
      <c r="Z796" s="2"/>
      <c r="AA796" s="2"/>
      <c r="AB796" s="2"/>
    </row>
    <row r="797">
      <c r="A797" s="8"/>
      <c r="B797" s="8"/>
      <c r="C797" s="8"/>
      <c r="D797" s="8"/>
      <c r="E797" s="8"/>
      <c r="F797" s="11"/>
      <c r="G797" s="2"/>
      <c r="H797" s="2"/>
      <c r="I797" s="2"/>
      <c r="J797" s="2"/>
      <c r="K797" s="2"/>
      <c r="L797" s="2"/>
      <c r="M797" s="2"/>
      <c r="N797" s="2"/>
      <c r="O797" s="2"/>
      <c r="P797" s="2"/>
      <c r="Q797" s="2"/>
      <c r="R797" s="2"/>
      <c r="S797" s="2"/>
      <c r="T797" s="2"/>
      <c r="U797" s="2"/>
      <c r="V797" s="2"/>
      <c r="W797" s="2"/>
      <c r="X797" s="2"/>
      <c r="Y797" s="2"/>
      <c r="Z797" s="2"/>
      <c r="AA797" s="2"/>
      <c r="AB797" s="2"/>
    </row>
    <row r="798">
      <c r="A798" s="8"/>
      <c r="B798" s="8"/>
      <c r="C798" s="8"/>
      <c r="D798" s="8"/>
      <c r="E798" s="8"/>
      <c r="F798" s="11"/>
      <c r="G798" s="2"/>
      <c r="H798" s="2"/>
      <c r="I798" s="2"/>
      <c r="J798" s="2"/>
      <c r="K798" s="2"/>
      <c r="L798" s="2"/>
      <c r="M798" s="2"/>
      <c r="N798" s="2"/>
      <c r="O798" s="2"/>
      <c r="P798" s="2"/>
      <c r="Q798" s="2"/>
      <c r="R798" s="2"/>
      <c r="S798" s="2"/>
      <c r="T798" s="2"/>
      <c r="U798" s="2"/>
      <c r="V798" s="2"/>
      <c r="W798" s="2"/>
      <c r="X798" s="2"/>
      <c r="Y798" s="2"/>
      <c r="Z798" s="2"/>
      <c r="AA798" s="2"/>
      <c r="AB798" s="2"/>
    </row>
    <row r="799">
      <c r="A799" s="8"/>
      <c r="B799" s="8"/>
      <c r="C799" s="8"/>
      <c r="D799" s="8"/>
      <c r="E799" s="8"/>
      <c r="F799" s="11"/>
      <c r="G799" s="2"/>
      <c r="H799" s="2"/>
      <c r="I799" s="2"/>
      <c r="J799" s="2"/>
      <c r="K799" s="2"/>
      <c r="L799" s="2"/>
      <c r="M799" s="2"/>
      <c r="N799" s="2"/>
      <c r="O799" s="2"/>
      <c r="P799" s="2"/>
      <c r="Q799" s="2"/>
      <c r="R799" s="2"/>
      <c r="S799" s="2"/>
      <c r="T799" s="2"/>
      <c r="U799" s="2"/>
      <c r="V799" s="2"/>
      <c r="W799" s="2"/>
      <c r="X799" s="2"/>
      <c r="Y799" s="2"/>
      <c r="Z799" s="2"/>
      <c r="AA799" s="2"/>
      <c r="AB799" s="2"/>
    </row>
    <row r="800">
      <c r="A800" s="8"/>
      <c r="B800" s="8"/>
      <c r="C800" s="8"/>
      <c r="D800" s="8"/>
      <c r="E800" s="8"/>
      <c r="F800" s="11"/>
      <c r="G800" s="2"/>
      <c r="H800" s="2"/>
      <c r="I800" s="2"/>
      <c r="J800" s="2"/>
      <c r="K800" s="2"/>
      <c r="L800" s="2"/>
      <c r="M800" s="2"/>
      <c r="N800" s="2"/>
      <c r="O800" s="2"/>
      <c r="P800" s="2"/>
      <c r="Q800" s="2"/>
      <c r="R800" s="2"/>
      <c r="S800" s="2"/>
      <c r="T800" s="2"/>
      <c r="U800" s="2"/>
      <c r="V800" s="2"/>
      <c r="W800" s="2"/>
      <c r="X800" s="2"/>
      <c r="Y800" s="2"/>
      <c r="Z800" s="2"/>
      <c r="AA800" s="2"/>
      <c r="AB800" s="2"/>
    </row>
    <row r="801">
      <c r="A801" s="8"/>
      <c r="B801" s="8"/>
      <c r="C801" s="8"/>
      <c r="D801" s="8"/>
      <c r="E801" s="8"/>
      <c r="F801" s="11"/>
      <c r="G801" s="2"/>
      <c r="H801" s="2"/>
      <c r="I801" s="2"/>
      <c r="J801" s="2"/>
      <c r="K801" s="2"/>
      <c r="L801" s="2"/>
      <c r="M801" s="2"/>
      <c r="N801" s="2"/>
      <c r="O801" s="2"/>
      <c r="P801" s="2"/>
      <c r="Q801" s="2"/>
      <c r="R801" s="2"/>
      <c r="S801" s="2"/>
      <c r="T801" s="2"/>
      <c r="U801" s="2"/>
      <c r="V801" s="2"/>
      <c r="W801" s="2"/>
      <c r="X801" s="2"/>
      <c r="Y801" s="2"/>
      <c r="Z801" s="2"/>
      <c r="AA801" s="2"/>
      <c r="AB801" s="2"/>
    </row>
    <row r="802">
      <c r="A802" s="8"/>
      <c r="B802" s="8"/>
      <c r="C802" s="8"/>
      <c r="D802" s="8"/>
      <c r="E802" s="8"/>
      <c r="F802" s="11"/>
      <c r="G802" s="2"/>
      <c r="H802" s="2"/>
      <c r="I802" s="2"/>
      <c r="J802" s="2"/>
      <c r="K802" s="2"/>
      <c r="L802" s="2"/>
      <c r="M802" s="2"/>
      <c r="N802" s="2"/>
      <c r="O802" s="2"/>
      <c r="P802" s="2"/>
      <c r="Q802" s="2"/>
      <c r="R802" s="2"/>
      <c r="S802" s="2"/>
      <c r="T802" s="2"/>
      <c r="U802" s="2"/>
      <c r="V802" s="2"/>
      <c r="W802" s="2"/>
      <c r="X802" s="2"/>
      <c r="Y802" s="2"/>
      <c r="Z802" s="2"/>
      <c r="AA802" s="2"/>
      <c r="AB802" s="2"/>
    </row>
    <row r="803">
      <c r="A803" s="8"/>
      <c r="B803" s="8"/>
      <c r="C803" s="8"/>
      <c r="D803" s="8"/>
      <c r="E803" s="8"/>
      <c r="F803" s="11"/>
      <c r="G803" s="2"/>
      <c r="H803" s="2"/>
      <c r="I803" s="2"/>
      <c r="J803" s="2"/>
      <c r="K803" s="2"/>
      <c r="L803" s="2"/>
      <c r="M803" s="2"/>
      <c r="N803" s="2"/>
      <c r="O803" s="2"/>
      <c r="P803" s="2"/>
      <c r="Q803" s="2"/>
      <c r="R803" s="2"/>
      <c r="S803" s="2"/>
      <c r="T803" s="2"/>
      <c r="U803" s="2"/>
      <c r="V803" s="2"/>
      <c r="W803" s="2"/>
      <c r="X803" s="2"/>
      <c r="Y803" s="2"/>
      <c r="Z803" s="2"/>
      <c r="AA803" s="2"/>
      <c r="AB803" s="2"/>
    </row>
    <row r="804">
      <c r="A804" s="8"/>
      <c r="B804" s="8"/>
      <c r="C804" s="8"/>
      <c r="D804" s="8"/>
      <c r="E804" s="8"/>
      <c r="F804" s="11"/>
      <c r="G804" s="2"/>
      <c r="H804" s="2"/>
      <c r="I804" s="2"/>
      <c r="J804" s="2"/>
      <c r="K804" s="2"/>
      <c r="L804" s="2"/>
      <c r="M804" s="2"/>
      <c r="N804" s="2"/>
      <c r="O804" s="2"/>
      <c r="P804" s="2"/>
      <c r="Q804" s="2"/>
      <c r="R804" s="2"/>
      <c r="S804" s="2"/>
      <c r="T804" s="2"/>
      <c r="U804" s="2"/>
      <c r="V804" s="2"/>
      <c r="W804" s="2"/>
      <c r="X804" s="2"/>
      <c r="Y804" s="2"/>
      <c r="Z804" s="2"/>
      <c r="AA804" s="2"/>
      <c r="AB804" s="2"/>
    </row>
    <row r="805">
      <c r="A805" s="8"/>
      <c r="B805" s="8"/>
      <c r="C805" s="8"/>
      <c r="D805" s="8"/>
      <c r="E805" s="8"/>
      <c r="F805" s="11"/>
      <c r="G805" s="2"/>
      <c r="H805" s="2"/>
      <c r="I805" s="2"/>
      <c r="J805" s="2"/>
      <c r="K805" s="2"/>
      <c r="L805" s="2"/>
      <c r="M805" s="2"/>
      <c r="N805" s="2"/>
      <c r="O805" s="2"/>
      <c r="P805" s="2"/>
      <c r="Q805" s="2"/>
      <c r="R805" s="2"/>
      <c r="S805" s="2"/>
      <c r="T805" s="2"/>
      <c r="U805" s="2"/>
      <c r="V805" s="2"/>
      <c r="W805" s="2"/>
      <c r="X805" s="2"/>
      <c r="Y805" s="2"/>
      <c r="Z805" s="2"/>
      <c r="AA805" s="2"/>
      <c r="AB805" s="2"/>
    </row>
    <row r="806">
      <c r="A806" s="8"/>
      <c r="B806" s="8"/>
      <c r="C806" s="8"/>
      <c r="D806" s="8"/>
      <c r="E806" s="8"/>
      <c r="F806" s="11"/>
      <c r="G806" s="2"/>
      <c r="H806" s="2"/>
      <c r="I806" s="2"/>
      <c r="J806" s="2"/>
      <c r="K806" s="2"/>
      <c r="L806" s="2"/>
      <c r="M806" s="2"/>
      <c r="N806" s="2"/>
      <c r="O806" s="2"/>
      <c r="P806" s="2"/>
      <c r="Q806" s="2"/>
      <c r="R806" s="2"/>
      <c r="S806" s="2"/>
      <c r="T806" s="2"/>
      <c r="U806" s="2"/>
      <c r="V806" s="2"/>
      <c r="W806" s="2"/>
      <c r="X806" s="2"/>
      <c r="Y806" s="2"/>
      <c r="Z806" s="2"/>
      <c r="AA806" s="2"/>
      <c r="AB806" s="2"/>
    </row>
    <row r="807">
      <c r="A807" s="8"/>
      <c r="B807" s="8"/>
      <c r="C807" s="8"/>
      <c r="D807" s="8"/>
      <c r="E807" s="8"/>
      <c r="F807" s="11"/>
      <c r="G807" s="2"/>
      <c r="H807" s="2"/>
      <c r="I807" s="2"/>
      <c r="J807" s="2"/>
      <c r="K807" s="2"/>
      <c r="L807" s="2"/>
      <c r="M807" s="2"/>
      <c r="N807" s="2"/>
      <c r="O807" s="2"/>
      <c r="P807" s="2"/>
      <c r="Q807" s="2"/>
      <c r="R807" s="2"/>
      <c r="S807" s="2"/>
      <c r="T807" s="2"/>
      <c r="U807" s="2"/>
      <c r="V807" s="2"/>
      <c r="W807" s="2"/>
      <c r="X807" s="2"/>
      <c r="Y807" s="2"/>
      <c r="Z807" s="2"/>
      <c r="AA807" s="2"/>
      <c r="AB807" s="2"/>
    </row>
    <row r="808">
      <c r="A808" s="8"/>
      <c r="B808" s="8"/>
      <c r="C808" s="8"/>
      <c r="D808" s="8"/>
      <c r="E808" s="8"/>
      <c r="F808" s="11"/>
      <c r="G808" s="2"/>
      <c r="H808" s="2"/>
      <c r="I808" s="2"/>
      <c r="J808" s="2"/>
      <c r="K808" s="2"/>
      <c r="L808" s="2"/>
      <c r="M808" s="2"/>
      <c r="N808" s="2"/>
      <c r="O808" s="2"/>
      <c r="P808" s="2"/>
      <c r="Q808" s="2"/>
      <c r="R808" s="2"/>
      <c r="S808" s="2"/>
      <c r="T808" s="2"/>
      <c r="U808" s="2"/>
      <c r="V808" s="2"/>
      <c r="W808" s="2"/>
      <c r="X808" s="2"/>
      <c r="Y808" s="2"/>
      <c r="Z808" s="2"/>
      <c r="AA808" s="2"/>
      <c r="AB808" s="2"/>
    </row>
    <row r="809">
      <c r="A809" s="8"/>
      <c r="B809" s="8"/>
      <c r="C809" s="8"/>
      <c r="D809" s="8"/>
      <c r="E809" s="8"/>
      <c r="F809" s="11"/>
      <c r="G809" s="2"/>
      <c r="H809" s="2"/>
      <c r="I809" s="2"/>
      <c r="J809" s="2"/>
      <c r="K809" s="2"/>
      <c r="L809" s="2"/>
      <c r="M809" s="2"/>
      <c r="N809" s="2"/>
      <c r="O809" s="2"/>
      <c r="P809" s="2"/>
      <c r="Q809" s="2"/>
      <c r="R809" s="2"/>
      <c r="S809" s="2"/>
      <c r="T809" s="2"/>
      <c r="U809" s="2"/>
      <c r="V809" s="2"/>
      <c r="W809" s="2"/>
      <c r="X809" s="2"/>
      <c r="Y809" s="2"/>
      <c r="Z809" s="2"/>
      <c r="AA809" s="2"/>
      <c r="AB809" s="2"/>
    </row>
    <row r="810">
      <c r="A810" s="8"/>
      <c r="B810" s="8"/>
      <c r="C810" s="8"/>
      <c r="D810" s="8"/>
      <c r="E810" s="8"/>
      <c r="F810" s="11"/>
      <c r="G810" s="2"/>
      <c r="H810" s="2"/>
      <c r="I810" s="2"/>
      <c r="J810" s="2"/>
      <c r="K810" s="2"/>
      <c r="L810" s="2"/>
      <c r="M810" s="2"/>
      <c r="N810" s="2"/>
      <c r="O810" s="2"/>
      <c r="P810" s="2"/>
      <c r="Q810" s="2"/>
      <c r="R810" s="2"/>
      <c r="S810" s="2"/>
      <c r="T810" s="2"/>
      <c r="U810" s="2"/>
      <c r="V810" s="2"/>
      <c r="W810" s="2"/>
      <c r="X810" s="2"/>
      <c r="Y810" s="2"/>
      <c r="Z810" s="2"/>
      <c r="AA810" s="2"/>
      <c r="AB810" s="2"/>
    </row>
    <row r="811">
      <c r="A811" s="8"/>
      <c r="B811" s="8"/>
      <c r="C811" s="8"/>
      <c r="D811" s="8"/>
      <c r="E811" s="8"/>
      <c r="F811" s="11"/>
      <c r="G811" s="2"/>
      <c r="H811" s="2"/>
      <c r="I811" s="2"/>
      <c r="J811" s="2"/>
      <c r="K811" s="2"/>
      <c r="L811" s="2"/>
      <c r="M811" s="2"/>
      <c r="N811" s="2"/>
      <c r="O811" s="2"/>
      <c r="P811" s="2"/>
      <c r="Q811" s="2"/>
      <c r="R811" s="2"/>
      <c r="S811" s="2"/>
      <c r="T811" s="2"/>
      <c r="U811" s="2"/>
      <c r="V811" s="2"/>
      <c r="W811" s="2"/>
      <c r="X811" s="2"/>
      <c r="Y811" s="2"/>
      <c r="Z811" s="2"/>
      <c r="AA811" s="2"/>
      <c r="AB811" s="2"/>
    </row>
    <row r="812">
      <c r="A812" s="8"/>
      <c r="B812" s="8"/>
      <c r="C812" s="8"/>
      <c r="D812" s="8"/>
      <c r="E812" s="8"/>
      <c r="F812" s="11"/>
      <c r="G812" s="2"/>
      <c r="H812" s="2"/>
      <c r="I812" s="2"/>
      <c r="J812" s="2"/>
      <c r="K812" s="2"/>
      <c r="L812" s="2"/>
      <c r="M812" s="2"/>
      <c r="N812" s="2"/>
      <c r="O812" s="2"/>
      <c r="P812" s="2"/>
      <c r="Q812" s="2"/>
      <c r="R812" s="2"/>
      <c r="S812" s="2"/>
      <c r="T812" s="2"/>
      <c r="U812" s="2"/>
      <c r="V812" s="2"/>
      <c r="W812" s="2"/>
      <c r="X812" s="2"/>
      <c r="Y812" s="2"/>
      <c r="Z812" s="2"/>
      <c r="AA812" s="2"/>
      <c r="AB812" s="2"/>
    </row>
    <row r="813">
      <c r="A813" s="8"/>
      <c r="B813" s="8"/>
      <c r="C813" s="8"/>
      <c r="D813" s="8"/>
      <c r="E813" s="8"/>
      <c r="F813" s="11"/>
      <c r="G813" s="2"/>
      <c r="H813" s="2"/>
      <c r="I813" s="2"/>
      <c r="J813" s="2"/>
      <c r="K813" s="2"/>
      <c r="L813" s="2"/>
      <c r="M813" s="2"/>
      <c r="N813" s="2"/>
      <c r="O813" s="2"/>
      <c r="P813" s="2"/>
      <c r="Q813" s="2"/>
      <c r="R813" s="2"/>
      <c r="S813" s="2"/>
      <c r="T813" s="2"/>
      <c r="U813" s="2"/>
      <c r="V813" s="2"/>
      <c r="W813" s="2"/>
      <c r="X813" s="2"/>
      <c r="Y813" s="2"/>
      <c r="Z813" s="2"/>
      <c r="AA813" s="2"/>
      <c r="AB813" s="2"/>
    </row>
    <row r="814">
      <c r="A814" s="8"/>
      <c r="B814" s="8"/>
      <c r="C814" s="8"/>
      <c r="D814" s="8"/>
      <c r="E814" s="8"/>
      <c r="F814" s="11"/>
      <c r="G814" s="2"/>
      <c r="H814" s="2"/>
      <c r="I814" s="2"/>
      <c r="J814" s="2"/>
      <c r="K814" s="2"/>
      <c r="L814" s="2"/>
      <c r="M814" s="2"/>
      <c r="N814" s="2"/>
      <c r="O814" s="2"/>
      <c r="P814" s="2"/>
      <c r="Q814" s="2"/>
      <c r="R814" s="2"/>
      <c r="S814" s="2"/>
      <c r="T814" s="2"/>
      <c r="U814" s="2"/>
      <c r="V814" s="2"/>
      <c r="W814" s="2"/>
      <c r="X814" s="2"/>
      <c r="Y814" s="2"/>
      <c r="Z814" s="2"/>
      <c r="AA814" s="2"/>
      <c r="AB814" s="2"/>
    </row>
    <row r="815">
      <c r="A815" s="8"/>
      <c r="B815" s="8"/>
      <c r="C815" s="8"/>
      <c r="D815" s="8"/>
      <c r="E815" s="8"/>
      <c r="F815" s="11"/>
      <c r="G815" s="2"/>
      <c r="H815" s="2"/>
      <c r="I815" s="2"/>
      <c r="J815" s="2"/>
      <c r="K815" s="2"/>
      <c r="L815" s="2"/>
      <c r="M815" s="2"/>
      <c r="N815" s="2"/>
      <c r="O815" s="2"/>
      <c r="P815" s="2"/>
      <c r="Q815" s="2"/>
      <c r="R815" s="2"/>
      <c r="S815" s="2"/>
      <c r="T815" s="2"/>
      <c r="U815" s="2"/>
      <c r="V815" s="2"/>
      <c r="W815" s="2"/>
      <c r="X815" s="2"/>
      <c r="Y815" s="2"/>
      <c r="Z815" s="2"/>
      <c r="AA815" s="2"/>
      <c r="AB815" s="2"/>
    </row>
    <row r="816">
      <c r="A816" s="8"/>
      <c r="B816" s="8"/>
      <c r="C816" s="8"/>
      <c r="D816" s="8"/>
      <c r="E816" s="8"/>
      <c r="F816" s="11"/>
      <c r="G816" s="2"/>
      <c r="H816" s="2"/>
      <c r="I816" s="2"/>
      <c r="J816" s="2"/>
      <c r="K816" s="2"/>
      <c r="L816" s="2"/>
      <c r="M816" s="2"/>
      <c r="N816" s="2"/>
      <c r="O816" s="2"/>
      <c r="P816" s="2"/>
      <c r="Q816" s="2"/>
      <c r="R816" s="2"/>
      <c r="S816" s="2"/>
      <c r="T816" s="2"/>
      <c r="U816" s="2"/>
      <c r="V816" s="2"/>
      <c r="W816" s="2"/>
      <c r="X816" s="2"/>
      <c r="Y816" s="2"/>
      <c r="Z816" s="2"/>
      <c r="AA816" s="2"/>
      <c r="AB816" s="2"/>
    </row>
    <row r="817">
      <c r="A817" s="8"/>
      <c r="B817" s="8"/>
      <c r="C817" s="8"/>
      <c r="D817" s="8"/>
      <c r="E817" s="8"/>
      <c r="F817" s="11"/>
      <c r="G817" s="2"/>
      <c r="H817" s="2"/>
      <c r="I817" s="2"/>
      <c r="J817" s="2"/>
      <c r="K817" s="2"/>
      <c r="L817" s="2"/>
      <c r="M817" s="2"/>
      <c r="N817" s="2"/>
      <c r="O817" s="2"/>
      <c r="P817" s="2"/>
      <c r="Q817" s="2"/>
      <c r="R817" s="2"/>
      <c r="S817" s="2"/>
      <c r="T817" s="2"/>
      <c r="U817" s="2"/>
      <c r="V817" s="2"/>
      <c r="W817" s="2"/>
      <c r="X817" s="2"/>
      <c r="Y817" s="2"/>
      <c r="Z817" s="2"/>
      <c r="AA817" s="2"/>
      <c r="AB817" s="2"/>
    </row>
    <row r="818">
      <c r="A818" s="8"/>
      <c r="B818" s="8"/>
      <c r="C818" s="8"/>
      <c r="D818" s="8"/>
      <c r="E818" s="8"/>
      <c r="F818" s="11"/>
      <c r="G818" s="2"/>
      <c r="H818" s="2"/>
      <c r="I818" s="2"/>
      <c r="J818" s="2"/>
      <c r="K818" s="2"/>
      <c r="L818" s="2"/>
      <c r="M818" s="2"/>
      <c r="N818" s="2"/>
      <c r="O818" s="2"/>
      <c r="P818" s="2"/>
      <c r="Q818" s="2"/>
      <c r="R818" s="2"/>
      <c r="S818" s="2"/>
      <c r="T818" s="2"/>
      <c r="U818" s="2"/>
      <c r="V818" s="2"/>
      <c r="W818" s="2"/>
      <c r="X818" s="2"/>
      <c r="Y818" s="2"/>
      <c r="Z818" s="2"/>
      <c r="AA818" s="2"/>
      <c r="AB818" s="2"/>
    </row>
    <row r="819">
      <c r="A819" s="8"/>
      <c r="B819" s="8"/>
      <c r="C819" s="8"/>
      <c r="D819" s="8"/>
      <c r="E819" s="8"/>
      <c r="F819" s="11"/>
      <c r="G819" s="2"/>
      <c r="H819" s="2"/>
      <c r="I819" s="2"/>
      <c r="J819" s="2"/>
      <c r="K819" s="2"/>
      <c r="L819" s="2"/>
      <c r="M819" s="2"/>
      <c r="N819" s="2"/>
      <c r="O819" s="2"/>
      <c r="P819" s="2"/>
      <c r="Q819" s="2"/>
      <c r="R819" s="2"/>
      <c r="S819" s="2"/>
      <c r="T819" s="2"/>
      <c r="U819" s="2"/>
      <c r="V819" s="2"/>
      <c r="W819" s="2"/>
      <c r="X819" s="2"/>
      <c r="Y819" s="2"/>
      <c r="Z819" s="2"/>
      <c r="AA819" s="2"/>
      <c r="AB819" s="2"/>
    </row>
    <row r="820">
      <c r="A820" s="8"/>
      <c r="B820" s="8"/>
      <c r="C820" s="8"/>
      <c r="D820" s="8"/>
      <c r="E820" s="8"/>
      <c r="F820" s="11"/>
      <c r="G820" s="2"/>
      <c r="H820" s="2"/>
      <c r="I820" s="2"/>
      <c r="J820" s="2"/>
      <c r="K820" s="2"/>
      <c r="L820" s="2"/>
      <c r="M820" s="2"/>
      <c r="N820" s="2"/>
      <c r="O820" s="2"/>
      <c r="P820" s="2"/>
      <c r="Q820" s="2"/>
      <c r="R820" s="2"/>
      <c r="S820" s="2"/>
      <c r="T820" s="2"/>
      <c r="U820" s="2"/>
      <c r="V820" s="2"/>
      <c r="W820" s="2"/>
      <c r="X820" s="2"/>
      <c r="Y820" s="2"/>
      <c r="Z820" s="2"/>
      <c r="AA820" s="2"/>
      <c r="AB820" s="2"/>
    </row>
    <row r="821">
      <c r="A821" s="8"/>
      <c r="B821" s="8"/>
      <c r="C821" s="8"/>
      <c r="D821" s="8"/>
      <c r="E821" s="8"/>
      <c r="F821" s="11"/>
      <c r="G821" s="2"/>
      <c r="H821" s="2"/>
      <c r="I821" s="2"/>
      <c r="J821" s="2"/>
      <c r="K821" s="2"/>
      <c r="L821" s="2"/>
      <c r="M821" s="2"/>
      <c r="N821" s="2"/>
      <c r="O821" s="2"/>
      <c r="P821" s="2"/>
      <c r="Q821" s="2"/>
      <c r="R821" s="2"/>
      <c r="S821" s="2"/>
      <c r="T821" s="2"/>
      <c r="U821" s="2"/>
      <c r="V821" s="2"/>
      <c r="W821" s="2"/>
      <c r="X821" s="2"/>
      <c r="Y821" s="2"/>
      <c r="Z821" s="2"/>
      <c r="AA821" s="2"/>
      <c r="AB821" s="2"/>
    </row>
    <row r="822">
      <c r="A822" s="8"/>
      <c r="B822" s="8"/>
      <c r="C822" s="8"/>
      <c r="D822" s="8"/>
      <c r="E822" s="8"/>
      <c r="F822" s="11"/>
      <c r="G822" s="2"/>
      <c r="H822" s="2"/>
      <c r="I822" s="2"/>
      <c r="J822" s="2"/>
      <c r="K822" s="2"/>
      <c r="L822" s="2"/>
      <c r="M822" s="2"/>
      <c r="N822" s="2"/>
      <c r="O822" s="2"/>
      <c r="P822" s="2"/>
      <c r="Q822" s="2"/>
      <c r="R822" s="2"/>
      <c r="S822" s="2"/>
      <c r="T822" s="2"/>
      <c r="U822" s="2"/>
      <c r="V822" s="2"/>
      <c r="W822" s="2"/>
      <c r="X822" s="2"/>
      <c r="Y822" s="2"/>
      <c r="Z822" s="2"/>
      <c r="AA822" s="2"/>
      <c r="AB822" s="2"/>
    </row>
    <row r="823">
      <c r="A823" s="8"/>
      <c r="B823" s="8"/>
      <c r="C823" s="8"/>
      <c r="D823" s="8"/>
      <c r="E823" s="8"/>
      <c r="F823" s="11"/>
      <c r="G823" s="2"/>
      <c r="H823" s="2"/>
      <c r="I823" s="2"/>
      <c r="J823" s="2"/>
      <c r="K823" s="2"/>
      <c r="L823" s="2"/>
      <c r="M823" s="2"/>
      <c r="N823" s="2"/>
      <c r="O823" s="2"/>
      <c r="P823" s="2"/>
      <c r="Q823" s="2"/>
      <c r="R823" s="2"/>
      <c r="S823" s="2"/>
      <c r="T823" s="2"/>
      <c r="U823" s="2"/>
      <c r="V823" s="2"/>
      <c r="W823" s="2"/>
      <c r="X823" s="2"/>
      <c r="Y823" s="2"/>
      <c r="Z823" s="2"/>
      <c r="AA823" s="2"/>
      <c r="AB823" s="2"/>
    </row>
    <row r="824">
      <c r="A824" s="8"/>
      <c r="B824" s="8"/>
      <c r="C824" s="8"/>
      <c r="D824" s="8"/>
      <c r="E824" s="8"/>
      <c r="F824" s="11"/>
      <c r="G824" s="2"/>
      <c r="H824" s="2"/>
      <c r="I824" s="2"/>
      <c r="J824" s="2"/>
      <c r="K824" s="2"/>
      <c r="L824" s="2"/>
      <c r="M824" s="2"/>
      <c r="N824" s="2"/>
      <c r="O824" s="2"/>
      <c r="P824" s="2"/>
      <c r="Q824" s="2"/>
      <c r="R824" s="2"/>
      <c r="S824" s="2"/>
      <c r="T824" s="2"/>
      <c r="U824" s="2"/>
      <c r="V824" s="2"/>
      <c r="W824" s="2"/>
      <c r="X824" s="2"/>
      <c r="Y824" s="2"/>
      <c r="Z824" s="2"/>
      <c r="AA824" s="2"/>
      <c r="AB824" s="2"/>
    </row>
    <row r="825">
      <c r="A825" s="8"/>
      <c r="B825" s="8"/>
      <c r="C825" s="8"/>
      <c r="D825" s="8"/>
      <c r="E825" s="8"/>
      <c r="F825" s="11"/>
      <c r="G825" s="2"/>
      <c r="H825" s="2"/>
      <c r="I825" s="2"/>
      <c r="J825" s="2"/>
      <c r="K825" s="2"/>
      <c r="L825" s="2"/>
      <c r="M825" s="2"/>
      <c r="N825" s="2"/>
      <c r="O825" s="2"/>
      <c r="P825" s="2"/>
      <c r="Q825" s="2"/>
      <c r="R825" s="2"/>
      <c r="S825" s="2"/>
      <c r="T825" s="2"/>
      <c r="U825" s="2"/>
      <c r="V825" s="2"/>
      <c r="W825" s="2"/>
      <c r="X825" s="2"/>
      <c r="Y825" s="2"/>
      <c r="Z825" s="2"/>
      <c r="AA825" s="2"/>
      <c r="AB825" s="2"/>
    </row>
    <row r="826">
      <c r="A826" s="8"/>
      <c r="B826" s="8"/>
      <c r="C826" s="8"/>
      <c r="D826" s="8"/>
      <c r="E826" s="8"/>
      <c r="F826" s="11"/>
      <c r="G826" s="2"/>
      <c r="H826" s="2"/>
      <c r="I826" s="2"/>
      <c r="J826" s="2"/>
      <c r="K826" s="2"/>
      <c r="L826" s="2"/>
      <c r="M826" s="2"/>
      <c r="N826" s="2"/>
      <c r="O826" s="2"/>
      <c r="P826" s="2"/>
      <c r="Q826" s="2"/>
      <c r="R826" s="2"/>
      <c r="S826" s="2"/>
      <c r="T826" s="2"/>
      <c r="U826" s="2"/>
      <c r="V826" s="2"/>
      <c r="W826" s="2"/>
      <c r="X826" s="2"/>
      <c r="Y826" s="2"/>
      <c r="Z826" s="2"/>
      <c r="AA826" s="2"/>
      <c r="AB826" s="2"/>
    </row>
    <row r="827">
      <c r="A827" s="8"/>
      <c r="B827" s="8"/>
      <c r="C827" s="8"/>
      <c r="D827" s="8"/>
      <c r="E827" s="8"/>
      <c r="F827" s="11"/>
      <c r="G827" s="2"/>
      <c r="H827" s="2"/>
      <c r="I827" s="2"/>
      <c r="J827" s="2"/>
      <c r="K827" s="2"/>
      <c r="L827" s="2"/>
      <c r="M827" s="2"/>
      <c r="N827" s="2"/>
      <c r="O827" s="2"/>
      <c r="P827" s="2"/>
      <c r="Q827" s="2"/>
      <c r="R827" s="2"/>
      <c r="S827" s="2"/>
      <c r="T827" s="2"/>
      <c r="U827" s="2"/>
      <c r="V827" s="2"/>
      <c r="W827" s="2"/>
      <c r="X827" s="2"/>
      <c r="Y827" s="2"/>
      <c r="Z827" s="2"/>
      <c r="AA827" s="2"/>
      <c r="AB827" s="2"/>
    </row>
    <row r="828">
      <c r="A828" s="8"/>
      <c r="B828" s="8"/>
      <c r="C828" s="8"/>
      <c r="D828" s="8"/>
      <c r="E828" s="8"/>
      <c r="F828" s="11"/>
      <c r="G828" s="2"/>
      <c r="H828" s="2"/>
      <c r="I828" s="2"/>
      <c r="J828" s="2"/>
      <c r="K828" s="2"/>
      <c r="L828" s="2"/>
      <c r="M828" s="2"/>
      <c r="N828" s="2"/>
      <c r="O828" s="2"/>
      <c r="P828" s="2"/>
      <c r="Q828" s="2"/>
      <c r="R828" s="2"/>
      <c r="S828" s="2"/>
      <c r="T828" s="2"/>
      <c r="U828" s="2"/>
      <c r="V828" s="2"/>
      <c r="W828" s="2"/>
      <c r="X828" s="2"/>
      <c r="Y828" s="2"/>
      <c r="Z828" s="2"/>
      <c r="AA828" s="2"/>
      <c r="AB828" s="2"/>
    </row>
    <row r="829">
      <c r="A829" s="8"/>
      <c r="B829" s="8"/>
      <c r="C829" s="8"/>
      <c r="D829" s="8"/>
      <c r="E829" s="8"/>
      <c r="F829" s="11"/>
      <c r="G829" s="2"/>
      <c r="H829" s="2"/>
      <c r="I829" s="2"/>
      <c r="J829" s="2"/>
      <c r="K829" s="2"/>
      <c r="L829" s="2"/>
      <c r="M829" s="2"/>
      <c r="N829" s="2"/>
      <c r="O829" s="2"/>
      <c r="P829" s="2"/>
      <c r="Q829" s="2"/>
      <c r="R829" s="2"/>
      <c r="S829" s="2"/>
      <c r="T829" s="2"/>
      <c r="U829" s="2"/>
      <c r="V829" s="2"/>
      <c r="W829" s="2"/>
      <c r="X829" s="2"/>
      <c r="Y829" s="2"/>
      <c r="Z829" s="2"/>
      <c r="AA829" s="2"/>
      <c r="AB829" s="2"/>
    </row>
    <row r="830">
      <c r="A830" s="8"/>
      <c r="B830" s="8"/>
      <c r="C830" s="8"/>
      <c r="D830" s="8"/>
      <c r="E830" s="8"/>
      <c r="F830" s="11"/>
      <c r="G830" s="2"/>
      <c r="H830" s="2"/>
      <c r="I830" s="2"/>
      <c r="J830" s="2"/>
      <c r="K830" s="2"/>
      <c r="L830" s="2"/>
      <c r="M830" s="2"/>
      <c r="N830" s="2"/>
      <c r="O830" s="2"/>
      <c r="P830" s="2"/>
      <c r="Q830" s="2"/>
      <c r="R830" s="2"/>
      <c r="S830" s="2"/>
      <c r="T830" s="2"/>
      <c r="U830" s="2"/>
      <c r="V830" s="2"/>
      <c r="W830" s="2"/>
      <c r="X830" s="2"/>
      <c r="Y830" s="2"/>
      <c r="Z830" s="2"/>
      <c r="AA830" s="2"/>
      <c r="AB830" s="2"/>
    </row>
    <row r="831">
      <c r="A831" s="8"/>
      <c r="B831" s="8"/>
      <c r="C831" s="8"/>
      <c r="D831" s="8"/>
      <c r="E831" s="8"/>
      <c r="F831" s="11"/>
      <c r="G831" s="2"/>
      <c r="H831" s="2"/>
      <c r="I831" s="2"/>
      <c r="J831" s="2"/>
      <c r="K831" s="2"/>
      <c r="L831" s="2"/>
      <c r="M831" s="2"/>
      <c r="N831" s="2"/>
      <c r="O831" s="2"/>
      <c r="P831" s="2"/>
      <c r="Q831" s="2"/>
      <c r="R831" s="2"/>
      <c r="S831" s="2"/>
      <c r="T831" s="2"/>
      <c r="U831" s="2"/>
      <c r="V831" s="2"/>
      <c r="W831" s="2"/>
      <c r="X831" s="2"/>
      <c r="Y831" s="2"/>
      <c r="Z831" s="2"/>
      <c r="AA831" s="2"/>
      <c r="AB831" s="2"/>
    </row>
    <row r="832">
      <c r="A832" s="8"/>
      <c r="B832" s="8"/>
      <c r="C832" s="8"/>
      <c r="D832" s="8"/>
      <c r="E832" s="8"/>
      <c r="F832" s="11"/>
      <c r="G832" s="2"/>
      <c r="H832" s="2"/>
      <c r="I832" s="2"/>
      <c r="J832" s="2"/>
      <c r="K832" s="2"/>
      <c r="L832" s="2"/>
      <c r="M832" s="2"/>
      <c r="N832" s="2"/>
      <c r="O832" s="2"/>
      <c r="P832" s="2"/>
      <c r="Q832" s="2"/>
      <c r="R832" s="2"/>
      <c r="S832" s="2"/>
      <c r="T832" s="2"/>
      <c r="U832" s="2"/>
      <c r="V832" s="2"/>
      <c r="W832" s="2"/>
      <c r="X832" s="2"/>
      <c r="Y832" s="2"/>
      <c r="Z832" s="2"/>
      <c r="AA832" s="2"/>
      <c r="AB832" s="2"/>
    </row>
    <row r="833">
      <c r="A833" s="8"/>
      <c r="B833" s="8"/>
      <c r="C833" s="8"/>
      <c r="D833" s="8"/>
      <c r="E833" s="8"/>
      <c r="F833" s="11"/>
      <c r="G833" s="2"/>
      <c r="H833" s="2"/>
      <c r="I833" s="2"/>
      <c r="J833" s="2"/>
      <c r="K833" s="2"/>
      <c r="L833" s="2"/>
      <c r="M833" s="2"/>
      <c r="N833" s="2"/>
      <c r="O833" s="2"/>
      <c r="P833" s="2"/>
      <c r="Q833" s="2"/>
      <c r="R833" s="2"/>
      <c r="S833" s="2"/>
      <c r="T833" s="2"/>
      <c r="U833" s="2"/>
      <c r="V833" s="2"/>
      <c r="W833" s="2"/>
      <c r="X833" s="2"/>
      <c r="Y833" s="2"/>
      <c r="Z833" s="2"/>
      <c r="AA833" s="2"/>
      <c r="AB833" s="2"/>
    </row>
    <row r="834">
      <c r="A834" s="8"/>
      <c r="B834" s="8"/>
      <c r="C834" s="8"/>
      <c r="D834" s="8"/>
      <c r="E834" s="8"/>
      <c r="F834" s="11"/>
      <c r="G834" s="2"/>
      <c r="H834" s="2"/>
      <c r="I834" s="2"/>
      <c r="J834" s="2"/>
      <c r="K834" s="2"/>
      <c r="L834" s="2"/>
      <c r="M834" s="2"/>
      <c r="N834" s="2"/>
      <c r="O834" s="2"/>
      <c r="P834" s="2"/>
      <c r="Q834" s="2"/>
      <c r="R834" s="2"/>
      <c r="S834" s="2"/>
      <c r="T834" s="2"/>
      <c r="U834" s="2"/>
      <c r="V834" s="2"/>
      <c r="W834" s="2"/>
      <c r="X834" s="2"/>
      <c r="Y834" s="2"/>
      <c r="Z834" s="2"/>
      <c r="AA834" s="2"/>
      <c r="AB834" s="2"/>
    </row>
    <row r="835">
      <c r="A835" s="8"/>
      <c r="B835" s="8"/>
      <c r="C835" s="8"/>
      <c r="D835" s="8"/>
      <c r="E835" s="8"/>
      <c r="F835" s="11"/>
      <c r="G835" s="2"/>
      <c r="H835" s="2"/>
      <c r="I835" s="2"/>
      <c r="J835" s="2"/>
      <c r="K835" s="2"/>
      <c r="L835" s="2"/>
      <c r="M835" s="2"/>
      <c r="N835" s="2"/>
      <c r="O835" s="2"/>
      <c r="P835" s="2"/>
      <c r="Q835" s="2"/>
      <c r="R835" s="2"/>
      <c r="S835" s="2"/>
      <c r="T835" s="2"/>
      <c r="U835" s="2"/>
      <c r="V835" s="2"/>
      <c r="W835" s="2"/>
      <c r="X835" s="2"/>
      <c r="Y835" s="2"/>
      <c r="Z835" s="2"/>
      <c r="AA835" s="2"/>
      <c r="AB835" s="2"/>
    </row>
    <row r="836">
      <c r="A836" s="8"/>
      <c r="B836" s="8"/>
      <c r="C836" s="8"/>
      <c r="D836" s="8"/>
      <c r="E836" s="8"/>
      <c r="F836" s="11"/>
      <c r="G836" s="2"/>
      <c r="H836" s="2"/>
      <c r="I836" s="2"/>
      <c r="J836" s="2"/>
      <c r="K836" s="2"/>
      <c r="L836" s="2"/>
      <c r="M836" s="2"/>
      <c r="N836" s="2"/>
      <c r="O836" s="2"/>
      <c r="P836" s="2"/>
      <c r="Q836" s="2"/>
      <c r="R836" s="2"/>
      <c r="S836" s="2"/>
      <c r="T836" s="2"/>
      <c r="U836" s="2"/>
      <c r="V836" s="2"/>
      <c r="W836" s="2"/>
      <c r="X836" s="2"/>
      <c r="Y836" s="2"/>
      <c r="Z836" s="2"/>
      <c r="AA836" s="2"/>
      <c r="AB836" s="2"/>
    </row>
    <row r="837">
      <c r="A837" s="8"/>
      <c r="B837" s="8"/>
      <c r="C837" s="8"/>
      <c r="D837" s="8"/>
      <c r="E837" s="8"/>
      <c r="F837" s="11"/>
      <c r="G837" s="2"/>
      <c r="H837" s="2"/>
      <c r="I837" s="2"/>
      <c r="J837" s="2"/>
      <c r="K837" s="2"/>
      <c r="L837" s="2"/>
      <c r="M837" s="2"/>
      <c r="N837" s="2"/>
      <c r="O837" s="2"/>
      <c r="P837" s="2"/>
      <c r="Q837" s="2"/>
      <c r="R837" s="2"/>
      <c r="S837" s="2"/>
      <c r="T837" s="2"/>
      <c r="U837" s="2"/>
      <c r="V837" s="2"/>
      <c r="W837" s="2"/>
      <c r="X837" s="2"/>
      <c r="Y837" s="2"/>
      <c r="Z837" s="2"/>
      <c r="AA837" s="2"/>
      <c r="AB837" s="2"/>
    </row>
    <row r="838">
      <c r="A838" s="8"/>
      <c r="B838" s="8"/>
      <c r="C838" s="8"/>
      <c r="D838" s="8"/>
      <c r="E838" s="8"/>
      <c r="F838" s="11"/>
      <c r="G838" s="2"/>
      <c r="H838" s="2"/>
      <c r="I838" s="2"/>
      <c r="J838" s="2"/>
      <c r="K838" s="2"/>
      <c r="L838" s="2"/>
      <c r="M838" s="2"/>
      <c r="N838" s="2"/>
      <c r="O838" s="2"/>
      <c r="P838" s="2"/>
      <c r="Q838" s="2"/>
      <c r="R838" s="2"/>
      <c r="S838" s="2"/>
      <c r="T838" s="2"/>
      <c r="U838" s="2"/>
      <c r="V838" s="2"/>
      <c r="W838" s="2"/>
      <c r="X838" s="2"/>
      <c r="Y838" s="2"/>
      <c r="Z838" s="2"/>
      <c r="AA838" s="2"/>
      <c r="AB838" s="2"/>
    </row>
    <row r="839">
      <c r="A839" s="8"/>
      <c r="B839" s="8"/>
      <c r="C839" s="8"/>
      <c r="D839" s="8"/>
      <c r="E839" s="8"/>
      <c r="F839" s="11"/>
      <c r="G839" s="2"/>
      <c r="H839" s="2"/>
      <c r="I839" s="2"/>
      <c r="J839" s="2"/>
      <c r="K839" s="2"/>
      <c r="L839" s="2"/>
      <c r="M839" s="2"/>
      <c r="N839" s="2"/>
      <c r="O839" s="2"/>
      <c r="P839" s="2"/>
      <c r="Q839" s="2"/>
      <c r="R839" s="2"/>
      <c r="S839" s="2"/>
      <c r="T839" s="2"/>
      <c r="U839" s="2"/>
      <c r="V839" s="2"/>
      <c r="W839" s="2"/>
      <c r="X839" s="2"/>
      <c r="Y839" s="2"/>
      <c r="Z839" s="2"/>
      <c r="AA839" s="2"/>
      <c r="AB839" s="2"/>
    </row>
    <row r="840">
      <c r="A840" s="8"/>
      <c r="B840" s="8"/>
      <c r="C840" s="8"/>
      <c r="D840" s="8"/>
      <c r="E840" s="8"/>
      <c r="F840" s="11"/>
      <c r="G840" s="2"/>
      <c r="H840" s="2"/>
      <c r="I840" s="2"/>
      <c r="J840" s="2"/>
      <c r="K840" s="2"/>
      <c r="L840" s="2"/>
      <c r="M840" s="2"/>
      <c r="N840" s="2"/>
      <c r="O840" s="2"/>
      <c r="P840" s="2"/>
      <c r="Q840" s="2"/>
      <c r="R840" s="2"/>
      <c r="S840" s="2"/>
      <c r="T840" s="2"/>
      <c r="U840" s="2"/>
      <c r="V840" s="2"/>
      <c r="W840" s="2"/>
      <c r="X840" s="2"/>
      <c r="Y840" s="2"/>
      <c r="Z840" s="2"/>
      <c r="AA840" s="2"/>
      <c r="AB840" s="2"/>
    </row>
    <row r="841">
      <c r="A841" s="8"/>
      <c r="B841" s="8"/>
      <c r="C841" s="8"/>
      <c r="D841" s="8"/>
      <c r="E841" s="8"/>
      <c r="F841" s="11"/>
      <c r="G841" s="2"/>
      <c r="H841" s="2"/>
      <c r="I841" s="2"/>
      <c r="J841" s="2"/>
      <c r="K841" s="2"/>
      <c r="L841" s="2"/>
      <c r="M841" s="2"/>
      <c r="N841" s="2"/>
      <c r="O841" s="2"/>
      <c r="P841" s="2"/>
      <c r="Q841" s="2"/>
      <c r="R841" s="2"/>
      <c r="S841" s="2"/>
      <c r="T841" s="2"/>
      <c r="U841" s="2"/>
      <c r="V841" s="2"/>
      <c r="W841" s="2"/>
      <c r="X841" s="2"/>
      <c r="Y841" s="2"/>
      <c r="Z841" s="2"/>
      <c r="AA841" s="2"/>
      <c r="AB841" s="2"/>
    </row>
    <row r="842">
      <c r="A842" s="8"/>
      <c r="B842" s="8"/>
      <c r="C842" s="8"/>
      <c r="D842" s="8"/>
      <c r="E842" s="8"/>
      <c r="F842" s="11"/>
      <c r="G842" s="2"/>
      <c r="H842" s="2"/>
      <c r="I842" s="2"/>
      <c r="J842" s="2"/>
      <c r="K842" s="2"/>
      <c r="L842" s="2"/>
      <c r="M842" s="2"/>
      <c r="N842" s="2"/>
      <c r="O842" s="2"/>
      <c r="P842" s="2"/>
      <c r="Q842" s="2"/>
      <c r="R842" s="2"/>
      <c r="S842" s="2"/>
      <c r="T842" s="2"/>
      <c r="U842" s="2"/>
      <c r="V842" s="2"/>
      <c r="W842" s="2"/>
      <c r="X842" s="2"/>
      <c r="Y842" s="2"/>
      <c r="Z842" s="2"/>
      <c r="AA842" s="2"/>
      <c r="AB842" s="2"/>
    </row>
    <row r="843">
      <c r="A843" s="8"/>
      <c r="B843" s="8"/>
      <c r="C843" s="8"/>
      <c r="D843" s="8"/>
      <c r="E843" s="8"/>
      <c r="F843" s="11"/>
      <c r="G843" s="2"/>
      <c r="H843" s="2"/>
      <c r="I843" s="2"/>
      <c r="J843" s="2"/>
      <c r="K843" s="2"/>
      <c r="L843" s="2"/>
      <c r="M843" s="2"/>
      <c r="N843" s="2"/>
      <c r="O843" s="2"/>
      <c r="P843" s="2"/>
      <c r="Q843" s="2"/>
      <c r="R843" s="2"/>
      <c r="S843" s="2"/>
      <c r="T843" s="2"/>
      <c r="U843" s="2"/>
      <c r="V843" s="2"/>
      <c r="W843" s="2"/>
      <c r="X843" s="2"/>
      <c r="Y843" s="2"/>
      <c r="Z843" s="2"/>
      <c r="AA843" s="2"/>
      <c r="AB843" s="2"/>
    </row>
    <row r="844">
      <c r="A844" s="8"/>
      <c r="B844" s="8"/>
      <c r="C844" s="8"/>
      <c r="D844" s="8"/>
      <c r="E844" s="8"/>
      <c r="F844" s="11"/>
      <c r="G844" s="2"/>
      <c r="H844" s="2"/>
      <c r="I844" s="2"/>
      <c r="J844" s="2"/>
      <c r="K844" s="2"/>
      <c r="L844" s="2"/>
      <c r="M844" s="2"/>
      <c r="N844" s="2"/>
      <c r="O844" s="2"/>
      <c r="P844" s="2"/>
      <c r="Q844" s="2"/>
      <c r="R844" s="2"/>
      <c r="S844" s="2"/>
      <c r="T844" s="2"/>
      <c r="U844" s="2"/>
      <c r="V844" s="2"/>
      <c r="W844" s="2"/>
      <c r="X844" s="2"/>
      <c r="Y844" s="2"/>
      <c r="Z844" s="2"/>
      <c r="AA844" s="2"/>
      <c r="AB844" s="2"/>
    </row>
    <row r="845">
      <c r="A845" s="8"/>
      <c r="B845" s="8"/>
      <c r="C845" s="8"/>
      <c r="D845" s="8"/>
      <c r="E845" s="8"/>
      <c r="F845" s="11"/>
      <c r="G845" s="2"/>
      <c r="H845" s="2"/>
      <c r="I845" s="2"/>
      <c r="J845" s="2"/>
      <c r="K845" s="2"/>
      <c r="L845" s="2"/>
      <c r="M845" s="2"/>
      <c r="N845" s="2"/>
      <c r="O845" s="2"/>
      <c r="P845" s="2"/>
      <c r="Q845" s="2"/>
      <c r="R845" s="2"/>
      <c r="S845" s="2"/>
      <c r="T845" s="2"/>
      <c r="U845" s="2"/>
      <c r="V845" s="2"/>
      <c r="W845" s="2"/>
      <c r="X845" s="2"/>
      <c r="Y845" s="2"/>
      <c r="Z845" s="2"/>
      <c r="AA845" s="2"/>
      <c r="AB845" s="2"/>
    </row>
    <row r="846">
      <c r="A846" s="8"/>
      <c r="B846" s="8"/>
      <c r="C846" s="8"/>
      <c r="D846" s="8"/>
      <c r="E846" s="8"/>
      <c r="F846" s="11"/>
      <c r="G846" s="2"/>
      <c r="H846" s="2"/>
      <c r="I846" s="2"/>
      <c r="J846" s="2"/>
      <c r="K846" s="2"/>
      <c r="L846" s="2"/>
      <c r="M846" s="2"/>
      <c r="N846" s="2"/>
      <c r="O846" s="2"/>
      <c r="P846" s="2"/>
      <c r="Q846" s="2"/>
      <c r="R846" s="2"/>
      <c r="S846" s="2"/>
      <c r="T846" s="2"/>
      <c r="U846" s="2"/>
      <c r="V846" s="2"/>
      <c r="W846" s="2"/>
      <c r="X846" s="2"/>
      <c r="Y846" s="2"/>
      <c r="Z846" s="2"/>
      <c r="AA846" s="2"/>
      <c r="AB846" s="2"/>
    </row>
    <row r="847">
      <c r="A847" s="8"/>
      <c r="B847" s="8"/>
      <c r="C847" s="8"/>
      <c r="D847" s="8"/>
      <c r="E847" s="8"/>
      <c r="F847" s="11"/>
      <c r="G847" s="2"/>
      <c r="H847" s="2"/>
      <c r="I847" s="2"/>
      <c r="J847" s="2"/>
      <c r="K847" s="2"/>
      <c r="L847" s="2"/>
      <c r="M847" s="2"/>
      <c r="N847" s="2"/>
      <c r="O847" s="2"/>
      <c r="P847" s="2"/>
      <c r="Q847" s="2"/>
      <c r="R847" s="2"/>
      <c r="S847" s="2"/>
      <c r="T847" s="2"/>
      <c r="U847" s="2"/>
      <c r="V847" s="2"/>
      <c r="W847" s="2"/>
      <c r="X847" s="2"/>
      <c r="Y847" s="2"/>
      <c r="Z847" s="2"/>
      <c r="AA847" s="2"/>
      <c r="AB847" s="2"/>
    </row>
    <row r="848">
      <c r="A848" s="8"/>
      <c r="B848" s="8"/>
      <c r="C848" s="8"/>
      <c r="D848" s="8"/>
      <c r="E848" s="8"/>
      <c r="F848" s="11"/>
      <c r="G848" s="2"/>
      <c r="H848" s="2"/>
      <c r="I848" s="2"/>
      <c r="J848" s="2"/>
      <c r="K848" s="2"/>
      <c r="L848" s="2"/>
      <c r="M848" s="2"/>
      <c r="N848" s="2"/>
      <c r="O848" s="2"/>
      <c r="P848" s="2"/>
      <c r="Q848" s="2"/>
      <c r="R848" s="2"/>
      <c r="S848" s="2"/>
      <c r="T848" s="2"/>
      <c r="U848" s="2"/>
      <c r="V848" s="2"/>
      <c r="W848" s="2"/>
      <c r="X848" s="2"/>
      <c r="Y848" s="2"/>
      <c r="Z848" s="2"/>
      <c r="AA848" s="2"/>
      <c r="AB848" s="2"/>
    </row>
    <row r="849">
      <c r="A849" s="8"/>
      <c r="B849" s="8"/>
      <c r="C849" s="8"/>
      <c r="D849" s="8"/>
      <c r="E849" s="8"/>
      <c r="F849" s="11"/>
      <c r="G849" s="2"/>
      <c r="H849" s="2"/>
      <c r="I849" s="2"/>
      <c r="J849" s="2"/>
      <c r="K849" s="2"/>
      <c r="L849" s="2"/>
      <c r="M849" s="2"/>
      <c r="N849" s="2"/>
      <c r="O849" s="2"/>
      <c r="P849" s="2"/>
      <c r="Q849" s="2"/>
      <c r="R849" s="2"/>
      <c r="S849" s="2"/>
      <c r="T849" s="2"/>
      <c r="U849" s="2"/>
      <c r="V849" s="2"/>
      <c r="W849" s="2"/>
      <c r="X849" s="2"/>
      <c r="Y849" s="2"/>
      <c r="Z849" s="2"/>
      <c r="AA849" s="2"/>
      <c r="AB849" s="2"/>
    </row>
    <row r="850">
      <c r="A850" s="8"/>
      <c r="B850" s="8"/>
      <c r="C850" s="8"/>
      <c r="D850" s="8"/>
      <c r="E850" s="8"/>
      <c r="F850" s="11"/>
      <c r="G850" s="2"/>
      <c r="H850" s="2"/>
      <c r="I850" s="2"/>
      <c r="J850" s="2"/>
      <c r="K850" s="2"/>
      <c r="L850" s="2"/>
      <c r="M850" s="2"/>
      <c r="N850" s="2"/>
      <c r="O850" s="2"/>
      <c r="P850" s="2"/>
      <c r="Q850" s="2"/>
      <c r="R850" s="2"/>
      <c r="S850" s="2"/>
      <c r="T850" s="2"/>
      <c r="U850" s="2"/>
      <c r="V850" s="2"/>
      <c r="W850" s="2"/>
      <c r="X850" s="2"/>
      <c r="Y850" s="2"/>
      <c r="Z850" s="2"/>
      <c r="AA850" s="2"/>
      <c r="AB850" s="2"/>
    </row>
    <row r="851">
      <c r="A851" s="8"/>
      <c r="B851" s="8"/>
      <c r="C851" s="8"/>
      <c r="D851" s="8"/>
      <c r="E851" s="8"/>
      <c r="F851" s="11"/>
      <c r="G851" s="2"/>
      <c r="H851" s="2"/>
      <c r="I851" s="2"/>
      <c r="J851" s="2"/>
      <c r="K851" s="2"/>
      <c r="L851" s="2"/>
      <c r="M851" s="2"/>
      <c r="N851" s="2"/>
      <c r="O851" s="2"/>
      <c r="P851" s="2"/>
      <c r="Q851" s="2"/>
      <c r="R851" s="2"/>
      <c r="S851" s="2"/>
      <c r="T851" s="2"/>
      <c r="U851" s="2"/>
      <c r="V851" s="2"/>
      <c r="W851" s="2"/>
      <c r="X851" s="2"/>
      <c r="Y851" s="2"/>
      <c r="Z851" s="2"/>
      <c r="AA851" s="2"/>
      <c r="AB851" s="2"/>
    </row>
    <row r="852">
      <c r="A852" s="8"/>
      <c r="B852" s="8"/>
      <c r="C852" s="8"/>
      <c r="D852" s="8"/>
      <c r="E852" s="8"/>
      <c r="F852" s="11"/>
      <c r="G852" s="2"/>
      <c r="H852" s="2"/>
      <c r="I852" s="2"/>
      <c r="J852" s="2"/>
      <c r="K852" s="2"/>
      <c r="L852" s="2"/>
      <c r="M852" s="2"/>
      <c r="N852" s="2"/>
      <c r="O852" s="2"/>
      <c r="P852" s="2"/>
      <c r="Q852" s="2"/>
      <c r="R852" s="2"/>
      <c r="S852" s="2"/>
      <c r="T852" s="2"/>
      <c r="U852" s="2"/>
      <c r="V852" s="2"/>
      <c r="W852" s="2"/>
      <c r="X852" s="2"/>
      <c r="Y852" s="2"/>
      <c r="Z852" s="2"/>
      <c r="AA852" s="2"/>
      <c r="AB852" s="2"/>
    </row>
    <row r="853">
      <c r="A853" s="8"/>
      <c r="B853" s="8"/>
      <c r="C853" s="8"/>
      <c r="D853" s="8"/>
      <c r="E853" s="8"/>
      <c r="F853" s="11"/>
      <c r="G853" s="2"/>
      <c r="H853" s="2"/>
      <c r="I853" s="2"/>
      <c r="J853" s="2"/>
      <c r="K853" s="2"/>
      <c r="L853" s="2"/>
      <c r="M853" s="2"/>
      <c r="N853" s="2"/>
      <c r="O853" s="2"/>
      <c r="P853" s="2"/>
      <c r="Q853" s="2"/>
      <c r="R853" s="2"/>
      <c r="S853" s="2"/>
      <c r="T853" s="2"/>
      <c r="U853" s="2"/>
      <c r="V853" s="2"/>
      <c r="W853" s="2"/>
      <c r="X853" s="2"/>
      <c r="Y853" s="2"/>
      <c r="Z853" s="2"/>
      <c r="AA853" s="2"/>
      <c r="AB853" s="2"/>
    </row>
    <row r="854">
      <c r="A854" s="8"/>
      <c r="B854" s="8"/>
      <c r="C854" s="8"/>
      <c r="D854" s="8"/>
      <c r="E854" s="8"/>
      <c r="F854" s="11"/>
      <c r="G854" s="2"/>
      <c r="H854" s="2"/>
      <c r="I854" s="2"/>
      <c r="J854" s="2"/>
      <c r="K854" s="2"/>
      <c r="L854" s="2"/>
      <c r="M854" s="2"/>
      <c r="N854" s="2"/>
      <c r="O854" s="2"/>
      <c r="P854" s="2"/>
      <c r="Q854" s="2"/>
      <c r="R854" s="2"/>
      <c r="S854" s="2"/>
      <c r="T854" s="2"/>
      <c r="U854" s="2"/>
      <c r="V854" s="2"/>
      <c r="W854" s="2"/>
      <c r="X854" s="2"/>
      <c r="Y854" s="2"/>
      <c r="Z854" s="2"/>
      <c r="AA854" s="2"/>
      <c r="AB854" s="2"/>
    </row>
    <row r="855">
      <c r="A855" s="8"/>
      <c r="B855" s="8"/>
      <c r="C855" s="8"/>
      <c r="D855" s="8"/>
      <c r="E855" s="8"/>
      <c r="F855" s="11"/>
      <c r="G855" s="2"/>
      <c r="H855" s="2"/>
      <c r="I855" s="2"/>
      <c r="J855" s="2"/>
      <c r="K855" s="2"/>
      <c r="L855" s="2"/>
      <c r="M855" s="2"/>
      <c r="N855" s="2"/>
      <c r="O855" s="2"/>
      <c r="P855" s="2"/>
      <c r="Q855" s="2"/>
      <c r="R855" s="2"/>
      <c r="S855" s="2"/>
      <c r="T855" s="2"/>
      <c r="U855" s="2"/>
      <c r="V855" s="2"/>
      <c r="W855" s="2"/>
      <c r="X855" s="2"/>
      <c r="Y855" s="2"/>
      <c r="Z855" s="2"/>
      <c r="AA855" s="2"/>
      <c r="AB855" s="2"/>
    </row>
    <row r="856">
      <c r="A856" s="8"/>
      <c r="B856" s="8"/>
      <c r="C856" s="8"/>
      <c r="D856" s="8"/>
      <c r="E856" s="8"/>
      <c r="F856" s="11"/>
      <c r="G856" s="2"/>
      <c r="H856" s="2"/>
      <c r="I856" s="2"/>
      <c r="J856" s="2"/>
      <c r="K856" s="2"/>
      <c r="L856" s="2"/>
      <c r="M856" s="2"/>
      <c r="N856" s="2"/>
      <c r="O856" s="2"/>
      <c r="P856" s="2"/>
      <c r="Q856" s="2"/>
      <c r="R856" s="2"/>
      <c r="S856" s="2"/>
      <c r="T856" s="2"/>
      <c r="U856" s="2"/>
      <c r="V856" s="2"/>
      <c r="W856" s="2"/>
      <c r="X856" s="2"/>
      <c r="Y856" s="2"/>
      <c r="Z856" s="2"/>
      <c r="AA856" s="2"/>
      <c r="AB856" s="2"/>
    </row>
    <row r="857">
      <c r="A857" s="8"/>
      <c r="B857" s="8"/>
      <c r="C857" s="8"/>
      <c r="D857" s="8"/>
      <c r="E857" s="8"/>
      <c r="F857" s="11"/>
      <c r="G857" s="2"/>
      <c r="H857" s="2"/>
      <c r="I857" s="2"/>
      <c r="J857" s="2"/>
      <c r="K857" s="2"/>
      <c r="L857" s="2"/>
      <c r="M857" s="2"/>
      <c r="N857" s="2"/>
      <c r="O857" s="2"/>
      <c r="P857" s="2"/>
      <c r="Q857" s="2"/>
      <c r="R857" s="2"/>
      <c r="S857" s="2"/>
      <c r="T857" s="2"/>
      <c r="U857" s="2"/>
      <c r="V857" s="2"/>
      <c r="W857" s="2"/>
      <c r="X857" s="2"/>
      <c r="Y857" s="2"/>
      <c r="Z857" s="2"/>
      <c r="AA857" s="2"/>
      <c r="AB857" s="2"/>
    </row>
    <row r="858">
      <c r="A858" s="8"/>
      <c r="B858" s="8"/>
      <c r="C858" s="8"/>
      <c r="D858" s="8"/>
      <c r="E858" s="8"/>
      <c r="F858" s="11"/>
      <c r="G858" s="2"/>
      <c r="H858" s="2"/>
      <c r="I858" s="2"/>
      <c r="J858" s="2"/>
      <c r="K858" s="2"/>
      <c r="L858" s="2"/>
      <c r="M858" s="2"/>
      <c r="N858" s="2"/>
      <c r="O858" s="2"/>
      <c r="P858" s="2"/>
      <c r="Q858" s="2"/>
      <c r="R858" s="2"/>
      <c r="S858" s="2"/>
      <c r="T858" s="2"/>
      <c r="U858" s="2"/>
      <c r="V858" s="2"/>
      <c r="W858" s="2"/>
      <c r="X858" s="2"/>
      <c r="Y858" s="2"/>
      <c r="Z858" s="2"/>
      <c r="AA858" s="2"/>
      <c r="AB858" s="2"/>
    </row>
    <row r="859">
      <c r="A859" s="8"/>
      <c r="B859" s="8"/>
      <c r="C859" s="8"/>
      <c r="D859" s="8"/>
      <c r="E859" s="8"/>
      <c r="F859" s="11"/>
      <c r="G859" s="2"/>
      <c r="H859" s="2"/>
      <c r="I859" s="2"/>
      <c r="J859" s="2"/>
      <c r="K859" s="2"/>
      <c r="L859" s="2"/>
      <c r="M859" s="2"/>
      <c r="N859" s="2"/>
      <c r="O859" s="2"/>
      <c r="P859" s="2"/>
      <c r="Q859" s="2"/>
      <c r="R859" s="2"/>
      <c r="S859" s="2"/>
      <c r="T859" s="2"/>
      <c r="U859" s="2"/>
      <c r="V859" s="2"/>
      <c r="W859" s="2"/>
      <c r="X859" s="2"/>
      <c r="Y859" s="2"/>
      <c r="Z859" s="2"/>
      <c r="AA859" s="2"/>
      <c r="AB859" s="2"/>
    </row>
    <row r="860">
      <c r="A860" s="8"/>
      <c r="B860" s="8"/>
      <c r="C860" s="8"/>
      <c r="D860" s="8"/>
      <c r="E860" s="8"/>
      <c r="F860" s="11"/>
      <c r="G860" s="2"/>
      <c r="H860" s="2"/>
      <c r="I860" s="2"/>
      <c r="J860" s="2"/>
      <c r="K860" s="2"/>
      <c r="L860" s="2"/>
      <c r="M860" s="2"/>
      <c r="N860" s="2"/>
      <c r="O860" s="2"/>
      <c r="P860" s="2"/>
      <c r="Q860" s="2"/>
      <c r="R860" s="2"/>
      <c r="S860" s="2"/>
      <c r="T860" s="2"/>
      <c r="U860" s="2"/>
      <c r="V860" s="2"/>
      <c r="W860" s="2"/>
      <c r="X860" s="2"/>
      <c r="Y860" s="2"/>
      <c r="Z860" s="2"/>
      <c r="AA860" s="2"/>
      <c r="AB860" s="2"/>
    </row>
    <row r="861">
      <c r="A861" s="8"/>
      <c r="B861" s="8"/>
      <c r="C861" s="8"/>
      <c r="D861" s="8"/>
      <c r="E861" s="8"/>
      <c r="F861" s="11"/>
      <c r="G861" s="2"/>
      <c r="H861" s="2"/>
      <c r="I861" s="2"/>
      <c r="J861" s="2"/>
      <c r="K861" s="2"/>
      <c r="L861" s="2"/>
      <c r="M861" s="2"/>
      <c r="N861" s="2"/>
      <c r="O861" s="2"/>
      <c r="P861" s="2"/>
      <c r="Q861" s="2"/>
      <c r="R861" s="2"/>
      <c r="S861" s="2"/>
      <c r="T861" s="2"/>
      <c r="U861" s="2"/>
      <c r="V861" s="2"/>
      <c r="W861" s="2"/>
      <c r="X861" s="2"/>
      <c r="Y861" s="2"/>
      <c r="Z861" s="2"/>
      <c r="AA861" s="2"/>
      <c r="AB861" s="2"/>
    </row>
    <row r="862">
      <c r="A862" s="8"/>
      <c r="B862" s="8"/>
      <c r="C862" s="8"/>
      <c r="D862" s="8"/>
      <c r="E862" s="8"/>
      <c r="F862" s="11"/>
      <c r="G862" s="2"/>
      <c r="H862" s="2"/>
      <c r="I862" s="2"/>
      <c r="J862" s="2"/>
      <c r="K862" s="2"/>
      <c r="L862" s="2"/>
      <c r="M862" s="2"/>
      <c r="N862" s="2"/>
      <c r="O862" s="2"/>
      <c r="P862" s="2"/>
      <c r="Q862" s="2"/>
      <c r="R862" s="2"/>
      <c r="S862" s="2"/>
      <c r="T862" s="2"/>
      <c r="U862" s="2"/>
      <c r="V862" s="2"/>
      <c r="W862" s="2"/>
      <c r="X862" s="2"/>
      <c r="Y862" s="2"/>
      <c r="Z862" s="2"/>
      <c r="AA862" s="2"/>
      <c r="AB862" s="2"/>
    </row>
    <row r="863">
      <c r="A863" s="8"/>
      <c r="B863" s="8"/>
      <c r="C863" s="8"/>
      <c r="D863" s="8"/>
      <c r="E863" s="8"/>
      <c r="F863" s="11"/>
      <c r="G863" s="2"/>
      <c r="H863" s="2"/>
      <c r="I863" s="2"/>
      <c r="J863" s="2"/>
      <c r="K863" s="2"/>
      <c r="L863" s="2"/>
      <c r="M863" s="2"/>
      <c r="N863" s="2"/>
      <c r="O863" s="2"/>
      <c r="P863" s="2"/>
      <c r="Q863" s="2"/>
      <c r="R863" s="2"/>
      <c r="S863" s="2"/>
      <c r="T863" s="2"/>
      <c r="U863" s="2"/>
      <c r="V863" s="2"/>
      <c r="W863" s="2"/>
      <c r="X863" s="2"/>
      <c r="Y863" s="2"/>
      <c r="Z863" s="2"/>
      <c r="AA863" s="2"/>
      <c r="AB863" s="2"/>
    </row>
    <row r="864">
      <c r="A864" s="8"/>
      <c r="B864" s="8"/>
      <c r="C864" s="8"/>
      <c r="D864" s="8"/>
      <c r="E864" s="8"/>
      <c r="F864" s="11"/>
      <c r="G864" s="2"/>
      <c r="H864" s="2"/>
      <c r="I864" s="2"/>
      <c r="J864" s="2"/>
      <c r="K864" s="2"/>
      <c r="L864" s="2"/>
      <c r="M864" s="2"/>
      <c r="N864" s="2"/>
      <c r="O864" s="2"/>
      <c r="P864" s="2"/>
      <c r="Q864" s="2"/>
      <c r="R864" s="2"/>
      <c r="S864" s="2"/>
      <c r="T864" s="2"/>
      <c r="U864" s="2"/>
      <c r="V864" s="2"/>
      <c r="W864" s="2"/>
      <c r="X864" s="2"/>
      <c r="Y864" s="2"/>
      <c r="Z864" s="2"/>
      <c r="AA864" s="2"/>
      <c r="AB864" s="2"/>
    </row>
    <row r="865">
      <c r="A865" s="8"/>
      <c r="B865" s="8"/>
      <c r="C865" s="8"/>
      <c r="D865" s="8"/>
      <c r="E865" s="8"/>
      <c r="F865" s="11"/>
      <c r="G865" s="2"/>
      <c r="H865" s="2"/>
      <c r="I865" s="2"/>
      <c r="J865" s="2"/>
      <c r="K865" s="2"/>
      <c r="L865" s="2"/>
      <c r="M865" s="2"/>
      <c r="N865" s="2"/>
      <c r="O865" s="2"/>
      <c r="P865" s="2"/>
      <c r="Q865" s="2"/>
      <c r="R865" s="2"/>
      <c r="S865" s="2"/>
      <c r="T865" s="2"/>
      <c r="U865" s="2"/>
      <c r="V865" s="2"/>
      <c r="W865" s="2"/>
      <c r="X865" s="2"/>
      <c r="Y865" s="2"/>
      <c r="Z865" s="2"/>
      <c r="AA865" s="2"/>
      <c r="AB865" s="2"/>
    </row>
    <row r="866">
      <c r="A866" s="8"/>
      <c r="B866" s="8"/>
      <c r="C866" s="8"/>
      <c r="D866" s="8"/>
      <c r="E866" s="8"/>
      <c r="F866" s="11"/>
      <c r="G866" s="2"/>
      <c r="H866" s="2"/>
      <c r="I866" s="2"/>
      <c r="J866" s="2"/>
      <c r="K866" s="2"/>
      <c r="L866" s="2"/>
      <c r="M866" s="2"/>
      <c r="N866" s="2"/>
      <c r="O866" s="2"/>
      <c r="P866" s="2"/>
      <c r="Q866" s="2"/>
      <c r="R866" s="2"/>
      <c r="S866" s="2"/>
      <c r="T866" s="2"/>
      <c r="U866" s="2"/>
      <c r="V866" s="2"/>
      <c r="W866" s="2"/>
      <c r="X866" s="2"/>
      <c r="Y866" s="2"/>
      <c r="Z866" s="2"/>
      <c r="AA866" s="2"/>
      <c r="AB866" s="2"/>
    </row>
    <row r="867">
      <c r="A867" s="8"/>
      <c r="B867" s="8"/>
      <c r="C867" s="8"/>
      <c r="D867" s="8"/>
      <c r="E867" s="8"/>
      <c r="F867" s="11"/>
      <c r="G867" s="2"/>
      <c r="H867" s="2"/>
      <c r="I867" s="2"/>
      <c r="J867" s="2"/>
      <c r="K867" s="2"/>
      <c r="L867" s="2"/>
      <c r="M867" s="2"/>
      <c r="N867" s="2"/>
      <c r="O867" s="2"/>
      <c r="P867" s="2"/>
      <c r="Q867" s="2"/>
      <c r="R867" s="2"/>
      <c r="S867" s="2"/>
      <c r="T867" s="2"/>
      <c r="U867" s="2"/>
      <c r="V867" s="2"/>
      <c r="W867" s="2"/>
      <c r="X867" s="2"/>
      <c r="Y867" s="2"/>
      <c r="Z867" s="2"/>
      <c r="AA867" s="2"/>
      <c r="AB867" s="2"/>
    </row>
    <row r="868">
      <c r="A868" s="8"/>
      <c r="B868" s="8"/>
      <c r="C868" s="8"/>
      <c r="D868" s="8"/>
      <c r="E868" s="8"/>
      <c r="F868" s="11"/>
      <c r="G868" s="2"/>
      <c r="H868" s="2"/>
      <c r="I868" s="2"/>
      <c r="J868" s="2"/>
      <c r="K868" s="2"/>
      <c r="L868" s="2"/>
      <c r="M868" s="2"/>
      <c r="N868" s="2"/>
      <c r="O868" s="2"/>
      <c r="P868" s="2"/>
      <c r="Q868" s="2"/>
      <c r="R868" s="2"/>
      <c r="S868" s="2"/>
      <c r="T868" s="2"/>
      <c r="U868" s="2"/>
      <c r="V868" s="2"/>
      <c r="W868" s="2"/>
      <c r="X868" s="2"/>
      <c r="Y868" s="2"/>
      <c r="Z868" s="2"/>
      <c r="AA868" s="2"/>
      <c r="AB868" s="2"/>
    </row>
    <row r="869">
      <c r="A869" s="8"/>
      <c r="B869" s="8"/>
      <c r="C869" s="8"/>
      <c r="D869" s="8"/>
      <c r="E869" s="8"/>
      <c r="F869" s="11"/>
      <c r="G869" s="2"/>
      <c r="H869" s="2"/>
      <c r="I869" s="2"/>
      <c r="J869" s="2"/>
      <c r="K869" s="2"/>
      <c r="L869" s="2"/>
      <c r="M869" s="2"/>
      <c r="N869" s="2"/>
      <c r="O869" s="2"/>
      <c r="P869" s="2"/>
      <c r="Q869" s="2"/>
      <c r="R869" s="2"/>
      <c r="S869" s="2"/>
      <c r="T869" s="2"/>
      <c r="U869" s="2"/>
      <c r="V869" s="2"/>
      <c r="W869" s="2"/>
      <c r="X869" s="2"/>
      <c r="Y869" s="2"/>
      <c r="Z869" s="2"/>
      <c r="AA869" s="2"/>
      <c r="AB869" s="2"/>
    </row>
    <row r="870">
      <c r="A870" s="8"/>
      <c r="B870" s="8"/>
      <c r="C870" s="8"/>
      <c r="D870" s="8"/>
      <c r="E870" s="8"/>
      <c r="F870" s="11"/>
      <c r="G870" s="2"/>
      <c r="H870" s="2"/>
      <c r="I870" s="2"/>
      <c r="J870" s="2"/>
      <c r="K870" s="2"/>
      <c r="L870" s="2"/>
      <c r="M870" s="2"/>
      <c r="N870" s="2"/>
      <c r="O870" s="2"/>
      <c r="P870" s="2"/>
      <c r="Q870" s="2"/>
      <c r="R870" s="2"/>
      <c r="S870" s="2"/>
      <c r="T870" s="2"/>
      <c r="U870" s="2"/>
      <c r="V870" s="2"/>
      <c r="W870" s="2"/>
      <c r="X870" s="2"/>
      <c r="Y870" s="2"/>
      <c r="Z870" s="2"/>
      <c r="AA870" s="2"/>
      <c r="AB870" s="2"/>
    </row>
    <row r="871">
      <c r="A871" s="8"/>
      <c r="B871" s="8"/>
      <c r="C871" s="8"/>
      <c r="D871" s="8"/>
      <c r="E871" s="8"/>
      <c r="F871" s="11"/>
      <c r="G871" s="2"/>
      <c r="H871" s="2"/>
      <c r="I871" s="2"/>
      <c r="J871" s="2"/>
      <c r="K871" s="2"/>
      <c r="L871" s="2"/>
      <c r="M871" s="2"/>
      <c r="N871" s="2"/>
      <c r="O871" s="2"/>
      <c r="P871" s="2"/>
      <c r="Q871" s="2"/>
      <c r="R871" s="2"/>
      <c r="S871" s="2"/>
      <c r="T871" s="2"/>
      <c r="U871" s="2"/>
      <c r="V871" s="2"/>
      <c r="W871" s="2"/>
      <c r="X871" s="2"/>
      <c r="Y871" s="2"/>
      <c r="Z871" s="2"/>
      <c r="AA871" s="2"/>
      <c r="AB871" s="2"/>
    </row>
    <row r="872">
      <c r="A872" s="8"/>
      <c r="B872" s="8"/>
      <c r="C872" s="8"/>
      <c r="D872" s="8"/>
      <c r="E872" s="8"/>
      <c r="F872" s="11"/>
      <c r="G872" s="2"/>
      <c r="H872" s="2"/>
      <c r="I872" s="2"/>
      <c r="J872" s="2"/>
      <c r="K872" s="2"/>
      <c r="L872" s="2"/>
      <c r="M872" s="2"/>
      <c r="N872" s="2"/>
      <c r="O872" s="2"/>
      <c r="P872" s="2"/>
      <c r="Q872" s="2"/>
      <c r="R872" s="2"/>
      <c r="S872" s="2"/>
      <c r="T872" s="2"/>
      <c r="U872" s="2"/>
      <c r="V872" s="2"/>
      <c r="W872" s="2"/>
      <c r="X872" s="2"/>
      <c r="Y872" s="2"/>
      <c r="Z872" s="2"/>
      <c r="AA872" s="2"/>
      <c r="AB872" s="2"/>
    </row>
    <row r="873">
      <c r="A873" s="8"/>
      <c r="B873" s="8"/>
      <c r="C873" s="8"/>
      <c r="D873" s="8"/>
      <c r="E873" s="8"/>
      <c r="F873" s="11"/>
      <c r="G873" s="2"/>
      <c r="H873" s="2"/>
      <c r="I873" s="2"/>
      <c r="J873" s="2"/>
      <c r="K873" s="2"/>
      <c r="L873" s="2"/>
      <c r="M873" s="2"/>
      <c r="N873" s="2"/>
      <c r="O873" s="2"/>
      <c r="P873" s="2"/>
      <c r="Q873" s="2"/>
      <c r="R873" s="2"/>
      <c r="S873" s="2"/>
      <c r="T873" s="2"/>
      <c r="U873" s="2"/>
      <c r="V873" s="2"/>
      <c r="W873" s="2"/>
      <c r="X873" s="2"/>
      <c r="Y873" s="2"/>
      <c r="Z873" s="2"/>
      <c r="AA873" s="2"/>
      <c r="AB873" s="2"/>
    </row>
    <row r="874">
      <c r="A874" s="8"/>
      <c r="B874" s="8"/>
      <c r="C874" s="8"/>
      <c r="D874" s="8"/>
      <c r="E874" s="8"/>
      <c r="F874" s="11"/>
      <c r="G874" s="2"/>
      <c r="H874" s="2"/>
      <c r="I874" s="2"/>
      <c r="J874" s="2"/>
      <c r="K874" s="2"/>
      <c r="L874" s="2"/>
      <c r="M874" s="2"/>
      <c r="N874" s="2"/>
      <c r="O874" s="2"/>
      <c r="P874" s="2"/>
      <c r="Q874" s="2"/>
      <c r="R874" s="2"/>
      <c r="S874" s="2"/>
      <c r="T874" s="2"/>
      <c r="U874" s="2"/>
      <c r="V874" s="2"/>
      <c r="W874" s="2"/>
      <c r="X874" s="2"/>
      <c r="Y874" s="2"/>
      <c r="Z874" s="2"/>
      <c r="AA874" s="2"/>
      <c r="AB874" s="2"/>
    </row>
    <row r="875">
      <c r="A875" s="8"/>
      <c r="B875" s="8"/>
      <c r="C875" s="8"/>
      <c r="D875" s="8"/>
      <c r="E875" s="8"/>
      <c r="F875" s="11"/>
      <c r="G875" s="2"/>
      <c r="H875" s="2"/>
      <c r="I875" s="2"/>
      <c r="J875" s="2"/>
      <c r="K875" s="2"/>
      <c r="L875" s="2"/>
      <c r="M875" s="2"/>
      <c r="N875" s="2"/>
      <c r="O875" s="2"/>
      <c r="P875" s="2"/>
      <c r="Q875" s="2"/>
      <c r="R875" s="2"/>
      <c r="S875" s="2"/>
      <c r="T875" s="2"/>
      <c r="U875" s="2"/>
      <c r="V875" s="2"/>
      <c r="W875" s="2"/>
      <c r="X875" s="2"/>
      <c r="Y875" s="2"/>
      <c r="Z875" s="2"/>
      <c r="AA875" s="2"/>
      <c r="AB875" s="2"/>
    </row>
    <row r="876">
      <c r="A876" s="8"/>
      <c r="B876" s="8"/>
      <c r="C876" s="8"/>
      <c r="D876" s="8"/>
      <c r="E876" s="8"/>
      <c r="F876" s="11"/>
      <c r="G876" s="2"/>
      <c r="H876" s="2"/>
      <c r="I876" s="2"/>
      <c r="J876" s="2"/>
      <c r="K876" s="2"/>
      <c r="L876" s="2"/>
      <c r="M876" s="2"/>
      <c r="N876" s="2"/>
      <c r="O876" s="2"/>
      <c r="P876" s="2"/>
      <c r="Q876" s="2"/>
      <c r="R876" s="2"/>
      <c r="S876" s="2"/>
      <c r="T876" s="2"/>
      <c r="U876" s="2"/>
      <c r="V876" s="2"/>
      <c r="W876" s="2"/>
      <c r="X876" s="2"/>
      <c r="Y876" s="2"/>
      <c r="Z876" s="2"/>
      <c r="AA876" s="2"/>
      <c r="AB876" s="2"/>
    </row>
    <row r="877">
      <c r="A877" s="8"/>
      <c r="B877" s="8"/>
      <c r="C877" s="8"/>
      <c r="D877" s="8"/>
      <c r="E877" s="8"/>
      <c r="F877" s="11"/>
      <c r="G877" s="2"/>
      <c r="H877" s="2"/>
      <c r="I877" s="2"/>
      <c r="J877" s="2"/>
      <c r="K877" s="2"/>
      <c r="L877" s="2"/>
      <c r="M877" s="2"/>
      <c r="N877" s="2"/>
      <c r="O877" s="2"/>
      <c r="P877" s="2"/>
      <c r="Q877" s="2"/>
      <c r="R877" s="2"/>
      <c r="S877" s="2"/>
      <c r="T877" s="2"/>
      <c r="U877" s="2"/>
      <c r="V877" s="2"/>
      <c r="W877" s="2"/>
      <c r="X877" s="2"/>
      <c r="Y877" s="2"/>
      <c r="Z877" s="2"/>
      <c r="AA877" s="2"/>
      <c r="AB877" s="2"/>
    </row>
    <row r="878">
      <c r="A878" s="8"/>
      <c r="B878" s="8"/>
      <c r="C878" s="8"/>
      <c r="D878" s="8"/>
      <c r="E878" s="8"/>
      <c r="F878" s="11"/>
      <c r="G878" s="2"/>
      <c r="H878" s="2"/>
      <c r="I878" s="2"/>
      <c r="J878" s="2"/>
      <c r="K878" s="2"/>
      <c r="L878" s="2"/>
      <c r="M878" s="2"/>
      <c r="N878" s="2"/>
      <c r="O878" s="2"/>
      <c r="P878" s="2"/>
      <c r="Q878" s="2"/>
      <c r="R878" s="2"/>
      <c r="S878" s="2"/>
      <c r="T878" s="2"/>
      <c r="U878" s="2"/>
      <c r="V878" s="2"/>
      <c r="W878" s="2"/>
      <c r="X878" s="2"/>
      <c r="Y878" s="2"/>
      <c r="Z878" s="2"/>
      <c r="AA878" s="2"/>
      <c r="AB878" s="2"/>
    </row>
    <row r="879">
      <c r="A879" s="8"/>
      <c r="B879" s="8"/>
      <c r="C879" s="8"/>
      <c r="D879" s="8"/>
      <c r="E879" s="8"/>
      <c r="F879" s="11"/>
      <c r="G879" s="2"/>
      <c r="H879" s="2"/>
      <c r="I879" s="2"/>
      <c r="J879" s="2"/>
      <c r="K879" s="2"/>
      <c r="L879" s="2"/>
      <c r="M879" s="2"/>
      <c r="N879" s="2"/>
      <c r="O879" s="2"/>
      <c r="P879" s="2"/>
      <c r="Q879" s="2"/>
      <c r="R879" s="2"/>
      <c r="S879" s="2"/>
      <c r="T879" s="2"/>
      <c r="U879" s="2"/>
      <c r="V879" s="2"/>
      <c r="W879" s="2"/>
      <c r="X879" s="2"/>
      <c r="Y879" s="2"/>
      <c r="Z879" s="2"/>
      <c r="AA879" s="2"/>
      <c r="AB879" s="2"/>
    </row>
    <row r="880">
      <c r="A880" s="8"/>
      <c r="B880" s="8"/>
      <c r="C880" s="8"/>
      <c r="D880" s="8"/>
      <c r="E880" s="8"/>
      <c r="F880" s="11"/>
      <c r="G880" s="2"/>
      <c r="H880" s="2"/>
      <c r="I880" s="2"/>
      <c r="J880" s="2"/>
      <c r="K880" s="2"/>
      <c r="L880" s="2"/>
      <c r="M880" s="2"/>
      <c r="N880" s="2"/>
      <c r="O880" s="2"/>
      <c r="P880" s="2"/>
      <c r="Q880" s="2"/>
      <c r="R880" s="2"/>
      <c r="S880" s="2"/>
      <c r="T880" s="2"/>
      <c r="U880" s="2"/>
      <c r="V880" s="2"/>
      <c r="W880" s="2"/>
      <c r="X880" s="2"/>
      <c r="Y880" s="2"/>
      <c r="Z880" s="2"/>
      <c r="AA880" s="2"/>
      <c r="AB880" s="2"/>
    </row>
    <row r="881">
      <c r="A881" s="8"/>
      <c r="B881" s="8"/>
      <c r="C881" s="8"/>
      <c r="D881" s="8"/>
      <c r="E881" s="8"/>
      <c r="F881" s="11"/>
      <c r="G881" s="2"/>
      <c r="H881" s="2"/>
      <c r="I881" s="2"/>
      <c r="J881" s="2"/>
      <c r="K881" s="2"/>
      <c r="L881" s="2"/>
      <c r="M881" s="2"/>
      <c r="N881" s="2"/>
      <c r="O881" s="2"/>
      <c r="P881" s="2"/>
      <c r="Q881" s="2"/>
      <c r="R881" s="2"/>
      <c r="S881" s="2"/>
      <c r="T881" s="2"/>
      <c r="U881" s="2"/>
      <c r="V881" s="2"/>
      <c r="W881" s="2"/>
      <c r="X881" s="2"/>
      <c r="Y881" s="2"/>
      <c r="Z881" s="2"/>
      <c r="AA881" s="2"/>
      <c r="AB881" s="2"/>
    </row>
    <row r="882">
      <c r="A882" s="8"/>
      <c r="B882" s="8"/>
      <c r="C882" s="8"/>
      <c r="D882" s="8"/>
      <c r="E882" s="8"/>
      <c r="F882" s="11"/>
      <c r="G882" s="2"/>
      <c r="H882" s="2"/>
      <c r="I882" s="2"/>
      <c r="J882" s="2"/>
      <c r="K882" s="2"/>
      <c r="L882" s="2"/>
      <c r="M882" s="2"/>
      <c r="N882" s="2"/>
      <c r="O882" s="2"/>
      <c r="P882" s="2"/>
      <c r="Q882" s="2"/>
      <c r="R882" s="2"/>
      <c r="S882" s="2"/>
      <c r="T882" s="2"/>
      <c r="U882" s="2"/>
      <c r="V882" s="2"/>
      <c r="W882" s="2"/>
      <c r="X882" s="2"/>
      <c r="Y882" s="2"/>
      <c r="Z882" s="2"/>
      <c r="AA882" s="2"/>
      <c r="AB882" s="2"/>
    </row>
    <row r="883">
      <c r="A883" s="8"/>
      <c r="B883" s="8"/>
      <c r="C883" s="8"/>
      <c r="D883" s="8"/>
      <c r="E883" s="8"/>
      <c r="F883" s="11"/>
      <c r="G883" s="2"/>
      <c r="H883" s="2"/>
      <c r="I883" s="2"/>
      <c r="J883" s="2"/>
      <c r="K883" s="2"/>
      <c r="L883" s="2"/>
      <c r="M883" s="2"/>
      <c r="N883" s="2"/>
      <c r="O883" s="2"/>
      <c r="P883" s="2"/>
      <c r="Q883" s="2"/>
      <c r="R883" s="2"/>
      <c r="S883" s="2"/>
      <c r="T883" s="2"/>
      <c r="U883" s="2"/>
      <c r="V883" s="2"/>
      <c r="W883" s="2"/>
      <c r="X883" s="2"/>
      <c r="Y883" s="2"/>
      <c r="Z883" s="2"/>
      <c r="AA883" s="2"/>
      <c r="AB883" s="2"/>
    </row>
    <row r="884">
      <c r="A884" s="8"/>
      <c r="B884" s="8"/>
      <c r="C884" s="8"/>
      <c r="D884" s="8"/>
      <c r="E884" s="8"/>
      <c r="F884" s="11"/>
      <c r="G884" s="2"/>
      <c r="H884" s="2"/>
      <c r="I884" s="2"/>
      <c r="J884" s="2"/>
      <c r="K884" s="2"/>
      <c r="L884" s="2"/>
      <c r="M884" s="2"/>
      <c r="N884" s="2"/>
      <c r="O884" s="2"/>
      <c r="P884" s="2"/>
      <c r="Q884" s="2"/>
      <c r="R884" s="2"/>
      <c r="S884" s="2"/>
      <c r="T884" s="2"/>
      <c r="U884" s="2"/>
      <c r="V884" s="2"/>
      <c r="W884" s="2"/>
      <c r="X884" s="2"/>
      <c r="Y884" s="2"/>
      <c r="Z884" s="2"/>
      <c r="AA884" s="2"/>
      <c r="AB884" s="2"/>
    </row>
    <row r="885">
      <c r="A885" s="8"/>
      <c r="B885" s="8"/>
      <c r="C885" s="8"/>
      <c r="D885" s="8"/>
      <c r="E885" s="8"/>
      <c r="F885" s="11"/>
      <c r="G885" s="2"/>
      <c r="H885" s="2"/>
      <c r="I885" s="2"/>
      <c r="J885" s="2"/>
      <c r="K885" s="2"/>
      <c r="L885" s="2"/>
      <c r="M885" s="2"/>
      <c r="N885" s="2"/>
      <c r="O885" s="2"/>
      <c r="P885" s="2"/>
      <c r="Q885" s="2"/>
      <c r="R885" s="2"/>
      <c r="S885" s="2"/>
      <c r="T885" s="2"/>
      <c r="U885" s="2"/>
      <c r="V885" s="2"/>
      <c r="W885" s="2"/>
      <c r="X885" s="2"/>
      <c r="Y885" s="2"/>
      <c r="Z885" s="2"/>
      <c r="AA885" s="2"/>
      <c r="AB885" s="2"/>
    </row>
    <row r="886">
      <c r="A886" s="8"/>
      <c r="B886" s="8"/>
      <c r="C886" s="8"/>
      <c r="D886" s="8"/>
      <c r="E886" s="8"/>
      <c r="F886" s="11"/>
      <c r="G886" s="2"/>
      <c r="H886" s="2"/>
      <c r="I886" s="2"/>
      <c r="J886" s="2"/>
      <c r="K886" s="2"/>
      <c r="L886" s="2"/>
      <c r="M886" s="2"/>
      <c r="N886" s="2"/>
      <c r="O886" s="2"/>
      <c r="P886" s="2"/>
      <c r="Q886" s="2"/>
      <c r="R886" s="2"/>
      <c r="S886" s="2"/>
      <c r="T886" s="2"/>
      <c r="U886" s="2"/>
      <c r="V886" s="2"/>
      <c r="W886" s="2"/>
      <c r="X886" s="2"/>
      <c r="Y886" s="2"/>
      <c r="Z886" s="2"/>
      <c r="AA886" s="2"/>
      <c r="AB886" s="2"/>
    </row>
    <row r="887">
      <c r="A887" s="8"/>
      <c r="B887" s="8"/>
      <c r="C887" s="8"/>
      <c r="D887" s="8"/>
      <c r="E887" s="8"/>
      <c r="F887" s="11"/>
      <c r="G887" s="2"/>
      <c r="H887" s="2"/>
      <c r="I887" s="2"/>
      <c r="J887" s="2"/>
      <c r="K887" s="2"/>
      <c r="L887" s="2"/>
      <c r="M887" s="2"/>
      <c r="N887" s="2"/>
      <c r="O887" s="2"/>
      <c r="P887" s="2"/>
      <c r="Q887" s="2"/>
      <c r="R887" s="2"/>
      <c r="S887" s="2"/>
      <c r="T887" s="2"/>
      <c r="U887" s="2"/>
      <c r="V887" s="2"/>
      <c r="W887" s="2"/>
      <c r="X887" s="2"/>
      <c r="Y887" s="2"/>
      <c r="Z887" s="2"/>
      <c r="AA887" s="2"/>
      <c r="AB887" s="2"/>
    </row>
    <row r="888">
      <c r="A888" s="8"/>
      <c r="B888" s="8"/>
      <c r="C888" s="8"/>
      <c r="D888" s="8"/>
      <c r="E888" s="8"/>
      <c r="F888" s="11"/>
      <c r="G888" s="2"/>
      <c r="H888" s="2"/>
      <c r="I888" s="2"/>
      <c r="J888" s="2"/>
      <c r="K888" s="2"/>
      <c r="L888" s="2"/>
      <c r="M888" s="2"/>
      <c r="N888" s="2"/>
      <c r="O888" s="2"/>
      <c r="P888" s="2"/>
      <c r="Q888" s="2"/>
      <c r="R888" s="2"/>
      <c r="S888" s="2"/>
      <c r="T888" s="2"/>
      <c r="U888" s="2"/>
      <c r="V888" s="2"/>
      <c r="W888" s="2"/>
      <c r="X888" s="2"/>
      <c r="Y888" s="2"/>
      <c r="Z888" s="2"/>
      <c r="AA888" s="2"/>
      <c r="AB888" s="2"/>
    </row>
    <row r="889">
      <c r="A889" s="8"/>
      <c r="B889" s="8"/>
      <c r="C889" s="8"/>
      <c r="D889" s="8"/>
      <c r="E889" s="8"/>
      <c r="F889" s="11"/>
      <c r="G889" s="2"/>
      <c r="H889" s="2"/>
      <c r="I889" s="2"/>
      <c r="J889" s="2"/>
      <c r="K889" s="2"/>
      <c r="L889" s="2"/>
      <c r="M889" s="2"/>
      <c r="N889" s="2"/>
      <c r="O889" s="2"/>
      <c r="P889" s="2"/>
      <c r="Q889" s="2"/>
      <c r="R889" s="2"/>
      <c r="S889" s="2"/>
      <c r="T889" s="2"/>
      <c r="U889" s="2"/>
      <c r="V889" s="2"/>
      <c r="W889" s="2"/>
      <c r="X889" s="2"/>
      <c r="Y889" s="2"/>
      <c r="Z889" s="2"/>
      <c r="AA889" s="2"/>
      <c r="AB889" s="2"/>
    </row>
    <row r="890">
      <c r="A890" s="8"/>
      <c r="B890" s="8"/>
      <c r="C890" s="8"/>
      <c r="D890" s="8"/>
      <c r="E890" s="8"/>
      <c r="F890" s="11"/>
      <c r="G890" s="2"/>
      <c r="H890" s="2"/>
      <c r="I890" s="2"/>
      <c r="J890" s="2"/>
      <c r="K890" s="2"/>
      <c r="L890" s="2"/>
      <c r="M890" s="2"/>
      <c r="N890" s="2"/>
      <c r="O890" s="2"/>
      <c r="P890" s="2"/>
      <c r="Q890" s="2"/>
      <c r="R890" s="2"/>
      <c r="S890" s="2"/>
      <c r="T890" s="2"/>
      <c r="U890" s="2"/>
      <c r="V890" s="2"/>
      <c r="W890" s="2"/>
      <c r="X890" s="2"/>
      <c r="Y890" s="2"/>
      <c r="Z890" s="2"/>
      <c r="AA890" s="2"/>
      <c r="AB890" s="2"/>
    </row>
    <row r="891">
      <c r="A891" s="8"/>
      <c r="B891" s="8"/>
      <c r="C891" s="8"/>
      <c r="D891" s="8"/>
      <c r="E891" s="8"/>
      <c r="F891" s="11"/>
      <c r="G891" s="2"/>
      <c r="H891" s="2"/>
      <c r="I891" s="2"/>
      <c r="J891" s="2"/>
      <c r="K891" s="2"/>
      <c r="L891" s="2"/>
      <c r="M891" s="2"/>
      <c r="N891" s="2"/>
      <c r="O891" s="2"/>
      <c r="P891" s="2"/>
      <c r="Q891" s="2"/>
      <c r="R891" s="2"/>
      <c r="S891" s="2"/>
      <c r="T891" s="2"/>
      <c r="U891" s="2"/>
      <c r="V891" s="2"/>
      <c r="W891" s="2"/>
      <c r="X891" s="2"/>
      <c r="Y891" s="2"/>
      <c r="Z891" s="2"/>
      <c r="AA891" s="2"/>
      <c r="AB891" s="2"/>
    </row>
    <row r="892">
      <c r="A892" s="8"/>
      <c r="B892" s="8"/>
      <c r="C892" s="8"/>
      <c r="D892" s="8"/>
      <c r="E892" s="8"/>
      <c r="F892" s="11"/>
      <c r="G892" s="2"/>
      <c r="H892" s="2"/>
      <c r="I892" s="2"/>
      <c r="J892" s="2"/>
      <c r="K892" s="2"/>
      <c r="L892" s="2"/>
      <c r="M892" s="2"/>
      <c r="N892" s="2"/>
      <c r="O892" s="2"/>
      <c r="P892" s="2"/>
      <c r="Q892" s="2"/>
      <c r="R892" s="2"/>
      <c r="S892" s="2"/>
      <c r="T892" s="2"/>
      <c r="U892" s="2"/>
      <c r="V892" s="2"/>
      <c r="W892" s="2"/>
      <c r="X892" s="2"/>
      <c r="Y892" s="2"/>
      <c r="Z892" s="2"/>
      <c r="AA892" s="2"/>
      <c r="AB892" s="2"/>
    </row>
    <row r="893">
      <c r="A893" s="8"/>
      <c r="B893" s="8"/>
      <c r="C893" s="8"/>
      <c r="D893" s="8"/>
      <c r="E893" s="8"/>
      <c r="F893" s="11"/>
      <c r="G893" s="2"/>
      <c r="H893" s="2"/>
      <c r="I893" s="2"/>
      <c r="J893" s="2"/>
      <c r="K893" s="2"/>
      <c r="L893" s="2"/>
      <c r="M893" s="2"/>
      <c r="N893" s="2"/>
      <c r="O893" s="2"/>
      <c r="P893" s="2"/>
      <c r="Q893" s="2"/>
      <c r="R893" s="2"/>
      <c r="S893" s="2"/>
      <c r="T893" s="2"/>
      <c r="U893" s="2"/>
      <c r="V893" s="2"/>
      <c r="W893" s="2"/>
      <c r="X893" s="2"/>
      <c r="Y893" s="2"/>
      <c r="Z893" s="2"/>
      <c r="AA893" s="2"/>
      <c r="AB893" s="2"/>
    </row>
    <row r="894">
      <c r="A894" s="8"/>
      <c r="B894" s="8"/>
      <c r="C894" s="8"/>
      <c r="D894" s="8"/>
      <c r="E894" s="8"/>
      <c r="F894" s="11"/>
      <c r="G894" s="2"/>
      <c r="H894" s="2"/>
      <c r="I894" s="2"/>
      <c r="J894" s="2"/>
      <c r="K894" s="2"/>
      <c r="L894" s="2"/>
      <c r="M894" s="2"/>
      <c r="N894" s="2"/>
      <c r="O894" s="2"/>
      <c r="P894" s="2"/>
      <c r="Q894" s="2"/>
      <c r="R894" s="2"/>
      <c r="S894" s="2"/>
      <c r="T894" s="2"/>
      <c r="U894" s="2"/>
      <c r="V894" s="2"/>
      <c r="W894" s="2"/>
      <c r="X894" s="2"/>
      <c r="Y894" s="2"/>
      <c r="Z894" s="2"/>
      <c r="AA894" s="2"/>
      <c r="AB894" s="2"/>
    </row>
    <row r="895">
      <c r="A895" s="8"/>
      <c r="B895" s="8"/>
      <c r="C895" s="8"/>
      <c r="D895" s="8"/>
      <c r="E895" s="8"/>
      <c r="F895" s="11"/>
      <c r="G895" s="2"/>
      <c r="H895" s="2"/>
      <c r="I895" s="2"/>
      <c r="J895" s="2"/>
      <c r="K895" s="2"/>
      <c r="L895" s="2"/>
      <c r="M895" s="2"/>
      <c r="N895" s="2"/>
      <c r="O895" s="2"/>
      <c r="P895" s="2"/>
      <c r="Q895" s="2"/>
      <c r="R895" s="2"/>
      <c r="S895" s="2"/>
      <c r="T895" s="2"/>
      <c r="U895" s="2"/>
      <c r="V895" s="2"/>
      <c r="W895" s="2"/>
      <c r="X895" s="2"/>
      <c r="Y895" s="2"/>
      <c r="Z895" s="2"/>
      <c r="AA895" s="2"/>
      <c r="AB895" s="2"/>
    </row>
    <row r="896">
      <c r="A896" s="8"/>
      <c r="B896" s="8"/>
      <c r="C896" s="8"/>
      <c r="D896" s="8"/>
      <c r="E896" s="8"/>
      <c r="F896" s="11"/>
      <c r="G896" s="2"/>
      <c r="H896" s="2"/>
      <c r="I896" s="2"/>
      <c r="J896" s="2"/>
      <c r="K896" s="2"/>
      <c r="L896" s="2"/>
      <c r="M896" s="2"/>
      <c r="N896" s="2"/>
      <c r="O896" s="2"/>
      <c r="P896" s="2"/>
      <c r="Q896" s="2"/>
      <c r="R896" s="2"/>
      <c r="S896" s="2"/>
      <c r="T896" s="2"/>
      <c r="U896" s="2"/>
      <c r="V896" s="2"/>
      <c r="W896" s="2"/>
      <c r="X896" s="2"/>
      <c r="Y896" s="2"/>
      <c r="Z896" s="2"/>
      <c r="AA896" s="2"/>
      <c r="AB896" s="2"/>
    </row>
    <row r="897">
      <c r="A897" s="8"/>
      <c r="B897" s="8"/>
      <c r="C897" s="8"/>
      <c r="D897" s="8"/>
      <c r="E897" s="8"/>
      <c r="F897" s="11"/>
      <c r="G897" s="2"/>
      <c r="H897" s="2"/>
      <c r="I897" s="2"/>
      <c r="J897" s="2"/>
      <c r="K897" s="2"/>
      <c r="L897" s="2"/>
      <c r="M897" s="2"/>
      <c r="N897" s="2"/>
      <c r="O897" s="2"/>
      <c r="P897" s="2"/>
      <c r="Q897" s="2"/>
      <c r="R897" s="2"/>
      <c r="S897" s="2"/>
      <c r="T897" s="2"/>
      <c r="U897" s="2"/>
      <c r="V897" s="2"/>
      <c r="W897" s="2"/>
      <c r="X897" s="2"/>
      <c r="Y897" s="2"/>
      <c r="Z897" s="2"/>
      <c r="AA897" s="2"/>
      <c r="AB897" s="2"/>
    </row>
    <row r="898">
      <c r="A898" s="8"/>
      <c r="B898" s="8"/>
      <c r="C898" s="8"/>
      <c r="D898" s="8"/>
      <c r="E898" s="8"/>
      <c r="F898" s="11"/>
      <c r="G898" s="2"/>
      <c r="H898" s="2"/>
      <c r="I898" s="2"/>
      <c r="J898" s="2"/>
      <c r="K898" s="2"/>
      <c r="L898" s="2"/>
      <c r="M898" s="2"/>
      <c r="N898" s="2"/>
      <c r="O898" s="2"/>
      <c r="P898" s="2"/>
      <c r="Q898" s="2"/>
      <c r="R898" s="2"/>
      <c r="S898" s="2"/>
      <c r="T898" s="2"/>
      <c r="U898" s="2"/>
      <c r="V898" s="2"/>
      <c r="W898" s="2"/>
      <c r="X898" s="2"/>
      <c r="Y898" s="2"/>
      <c r="Z898" s="2"/>
      <c r="AA898" s="2"/>
      <c r="AB898" s="2"/>
    </row>
    <row r="899">
      <c r="A899" s="8"/>
      <c r="B899" s="8"/>
      <c r="C899" s="8"/>
      <c r="D899" s="8"/>
      <c r="E899" s="8"/>
      <c r="F899" s="11"/>
      <c r="G899" s="2"/>
      <c r="H899" s="2"/>
      <c r="I899" s="2"/>
      <c r="J899" s="2"/>
      <c r="K899" s="2"/>
      <c r="L899" s="2"/>
      <c r="M899" s="2"/>
      <c r="N899" s="2"/>
      <c r="O899" s="2"/>
      <c r="P899" s="2"/>
      <c r="Q899" s="2"/>
      <c r="R899" s="2"/>
      <c r="S899" s="2"/>
      <c r="T899" s="2"/>
      <c r="U899" s="2"/>
      <c r="V899" s="2"/>
      <c r="W899" s="2"/>
      <c r="X899" s="2"/>
      <c r="Y899" s="2"/>
      <c r="Z899" s="2"/>
      <c r="AA899" s="2"/>
      <c r="AB899" s="2"/>
    </row>
    <row r="900">
      <c r="A900" s="8"/>
      <c r="B900" s="8"/>
      <c r="C900" s="8"/>
      <c r="D900" s="8"/>
      <c r="E900" s="8"/>
      <c r="F900" s="11"/>
      <c r="G900" s="2"/>
      <c r="H900" s="2"/>
      <c r="I900" s="2"/>
      <c r="J900" s="2"/>
      <c r="K900" s="2"/>
      <c r="L900" s="2"/>
      <c r="M900" s="2"/>
      <c r="N900" s="2"/>
      <c r="O900" s="2"/>
      <c r="P900" s="2"/>
      <c r="Q900" s="2"/>
      <c r="R900" s="2"/>
      <c r="S900" s="2"/>
      <c r="T900" s="2"/>
      <c r="U900" s="2"/>
      <c r="V900" s="2"/>
      <c r="W900" s="2"/>
      <c r="X900" s="2"/>
      <c r="Y900" s="2"/>
      <c r="Z900" s="2"/>
      <c r="AA900" s="2"/>
      <c r="AB900" s="2"/>
    </row>
    <row r="901">
      <c r="A901" s="8"/>
      <c r="B901" s="8"/>
      <c r="C901" s="8"/>
      <c r="D901" s="8"/>
      <c r="E901" s="8"/>
      <c r="F901" s="11"/>
      <c r="G901" s="2"/>
      <c r="H901" s="2"/>
      <c r="I901" s="2"/>
      <c r="J901" s="2"/>
      <c r="K901" s="2"/>
      <c r="L901" s="2"/>
      <c r="M901" s="2"/>
      <c r="N901" s="2"/>
      <c r="O901" s="2"/>
      <c r="P901" s="2"/>
      <c r="Q901" s="2"/>
      <c r="R901" s="2"/>
      <c r="S901" s="2"/>
      <c r="T901" s="2"/>
      <c r="U901" s="2"/>
      <c r="V901" s="2"/>
      <c r="W901" s="2"/>
      <c r="X901" s="2"/>
      <c r="Y901" s="2"/>
      <c r="Z901" s="2"/>
      <c r="AA901" s="2"/>
      <c r="AB901" s="2"/>
    </row>
    <row r="902">
      <c r="A902" s="8"/>
      <c r="B902" s="8"/>
      <c r="C902" s="8"/>
      <c r="D902" s="8"/>
      <c r="E902" s="8"/>
      <c r="F902" s="11"/>
      <c r="G902" s="2"/>
      <c r="H902" s="2"/>
      <c r="I902" s="2"/>
      <c r="J902" s="2"/>
      <c r="K902" s="2"/>
      <c r="L902" s="2"/>
      <c r="M902" s="2"/>
      <c r="N902" s="2"/>
      <c r="O902" s="2"/>
      <c r="P902" s="2"/>
      <c r="Q902" s="2"/>
      <c r="R902" s="2"/>
      <c r="S902" s="2"/>
      <c r="T902" s="2"/>
      <c r="U902" s="2"/>
      <c r="V902" s="2"/>
      <c r="W902" s="2"/>
      <c r="X902" s="2"/>
      <c r="Y902" s="2"/>
      <c r="Z902" s="2"/>
      <c r="AA902" s="2"/>
      <c r="AB902" s="2"/>
    </row>
    <row r="903">
      <c r="A903" s="8"/>
      <c r="B903" s="8"/>
      <c r="C903" s="8"/>
      <c r="D903" s="8"/>
      <c r="E903" s="8"/>
      <c r="F903" s="11"/>
      <c r="G903" s="2"/>
      <c r="H903" s="2"/>
      <c r="I903" s="2"/>
      <c r="J903" s="2"/>
      <c r="K903" s="2"/>
      <c r="L903" s="2"/>
      <c r="M903" s="2"/>
      <c r="N903" s="2"/>
      <c r="O903" s="2"/>
      <c r="P903" s="2"/>
      <c r="Q903" s="2"/>
      <c r="R903" s="2"/>
      <c r="S903" s="2"/>
      <c r="T903" s="2"/>
      <c r="U903" s="2"/>
      <c r="V903" s="2"/>
      <c r="W903" s="2"/>
      <c r="X903" s="2"/>
      <c r="Y903" s="2"/>
      <c r="Z903" s="2"/>
      <c r="AA903" s="2"/>
      <c r="AB903" s="2"/>
    </row>
    <row r="904">
      <c r="A904" s="8"/>
      <c r="B904" s="8"/>
      <c r="C904" s="8"/>
      <c r="D904" s="8"/>
      <c r="E904" s="8"/>
      <c r="F904" s="11"/>
      <c r="G904" s="2"/>
      <c r="H904" s="2"/>
      <c r="I904" s="2"/>
      <c r="J904" s="2"/>
      <c r="K904" s="2"/>
      <c r="L904" s="2"/>
      <c r="M904" s="2"/>
      <c r="N904" s="2"/>
      <c r="O904" s="2"/>
      <c r="P904" s="2"/>
      <c r="Q904" s="2"/>
      <c r="R904" s="2"/>
      <c r="S904" s="2"/>
      <c r="T904" s="2"/>
      <c r="U904" s="2"/>
      <c r="V904" s="2"/>
      <c r="W904" s="2"/>
      <c r="X904" s="2"/>
      <c r="Y904" s="2"/>
      <c r="Z904" s="2"/>
      <c r="AA904" s="2"/>
      <c r="AB904" s="2"/>
    </row>
    <row r="905">
      <c r="A905" s="8"/>
      <c r="B905" s="8"/>
      <c r="C905" s="8"/>
      <c r="D905" s="8"/>
      <c r="E905" s="8"/>
      <c r="F905" s="11"/>
      <c r="G905" s="2"/>
      <c r="H905" s="2"/>
      <c r="I905" s="2"/>
      <c r="J905" s="2"/>
      <c r="K905" s="2"/>
      <c r="L905" s="2"/>
      <c r="M905" s="2"/>
      <c r="N905" s="2"/>
      <c r="O905" s="2"/>
      <c r="P905" s="2"/>
      <c r="Q905" s="2"/>
      <c r="R905" s="2"/>
      <c r="S905" s="2"/>
      <c r="T905" s="2"/>
      <c r="U905" s="2"/>
      <c r="V905" s="2"/>
      <c r="W905" s="2"/>
      <c r="X905" s="2"/>
      <c r="Y905" s="2"/>
      <c r="Z905" s="2"/>
      <c r="AA905" s="2"/>
      <c r="AB905" s="2"/>
    </row>
    <row r="906">
      <c r="A906" s="8"/>
      <c r="B906" s="8"/>
      <c r="C906" s="8"/>
      <c r="D906" s="8"/>
      <c r="E906" s="8"/>
      <c r="F906" s="11"/>
      <c r="G906" s="2"/>
      <c r="H906" s="2"/>
      <c r="I906" s="2"/>
      <c r="J906" s="2"/>
      <c r="K906" s="2"/>
      <c r="L906" s="2"/>
      <c r="M906" s="2"/>
      <c r="N906" s="2"/>
      <c r="O906" s="2"/>
      <c r="P906" s="2"/>
      <c r="Q906" s="2"/>
      <c r="R906" s="2"/>
      <c r="S906" s="2"/>
      <c r="T906" s="2"/>
      <c r="U906" s="2"/>
      <c r="V906" s="2"/>
      <c r="W906" s="2"/>
      <c r="X906" s="2"/>
      <c r="Y906" s="2"/>
      <c r="Z906" s="2"/>
      <c r="AA906" s="2"/>
      <c r="AB906" s="2"/>
    </row>
    <row r="907">
      <c r="A907" s="8"/>
      <c r="B907" s="8"/>
      <c r="C907" s="8"/>
      <c r="D907" s="8"/>
      <c r="E907" s="8"/>
      <c r="F907" s="11"/>
      <c r="G907" s="2"/>
      <c r="H907" s="2"/>
      <c r="I907" s="2"/>
      <c r="J907" s="2"/>
      <c r="K907" s="2"/>
      <c r="L907" s="2"/>
      <c r="M907" s="2"/>
      <c r="N907" s="2"/>
      <c r="O907" s="2"/>
      <c r="P907" s="2"/>
      <c r="Q907" s="2"/>
      <c r="R907" s="2"/>
      <c r="S907" s="2"/>
      <c r="T907" s="2"/>
      <c r="U907" s="2"/>
      <c r="V907" s="2"/>
      <c r="W907" s="2"/>
      <c r="X907" s="2"/>
      <c r="Y907" s="2"/>
      <c r="Z907" s="2"/>
      <c r="AA907" s="2"/>
      <c r="AB907" s="2"/>
    </row>
    <row r="908">
      <c r="A908" s="8"/>
      <c r="B908" s="8"/>
      <c r="C908" s="8"/>
      <c r="D908" s="8"/>
      <c r="E908" s="8"/>
      <c r="F908" s="11"/>
      <c r="G908" s="2"/>
      <c r="H908" s="2"/>
      <c r="I908" s="2"/>
      <c r="J908" s="2"/>
      <c r="K908" s="2"/>
      <c r="L908" s="2"/>
      <c r="M908" s="2"/>
      <c r="N908" s="2"/>
      <c r="O908" s="2"/>
      <c r="P908" s="2"/>
      <c r="Q908" s="2"/>
      <c r="R908" s="2"/>
      <c r="S908" s="2"/>
      <c r="T908" s="2"/>
      <c r="U908" s="2"/>
      <c r="V908" s="2"/>
      <c r="W908" s="2"/>
      <c r="X908" s="2"/>
      <c r="Y908" s="2"/>
      <c r="Z908" s="2"/>
      <c r="AA908" s="2"/>
      <c r="AB908" s="2"/>
    </row>
    <row r="909">
      <c r="A909" s="8"/>
      <c r="B909" s="8"/>
      <c r="C909" s="8"/>
      <c r="D909" s="8"/>
      <c r="E909" s="8"/>
      <c r="F909" s="11"/>
      <c r="G909" s="2"/>
      <c r="H909" s="2"/>
      <c r="I909" s="2"/>
      <c r="J909" s="2"/>
      <c r="K909" s="2"/>
      <c r="L909" s="2"/>
      <c r="M909" s="2"/>
      <c r="N909" s="2"/>
      <c r="O909" s="2"/>
      <c r="P909" s="2"/>
      <c r="Q909" s="2"/>
      <c r="R909" s="2"/>
      <c r="S909" s="2"/>
      <c r="T909" s="2"/>
      <c r="U909" s="2"/>
      <c r="V909" s="2"/>
      <c r="W909" s="2"/>
      <c r="X909" s="2"/>
      <c r="Y909" s="2"/>
      <c r="Z909" s="2"/>
      <c r="AA909" s="2"/>
      <c r="AB909" s="2"/>
    </row>
    <row r="910">
      <c r="A910" s="8"/>
      <c r="B910" s="8"/>
      <c r="C910" s="8"/>
      <c r="D910" s="8"/>
      <c r="E910" s="8"/>
      <c r="F910" s="11"/>
      <c r="G910" s="2"/>
      <c r="H910" s="2"/>
      <c r="I910" s="2"/>
      <c r="J910" s="2"/>
      <c r="K910" s="2"/>
      <c r="L910" s="2"/>
      <c r="M910" s="2"/>
      <c r="N910" s="2"/>
      <c r="O910" s="2"/>
      <c r="P910" s="2"/>
      <c r="Q910" s="2"/>
      <c r="R910" s="2"/>
      <c r="S910" s="2"/>
      <c r="T910" s="2"/>
      <c r="U910" s="2"/>
      <c r="V910" s="2"/>
      <c r="W910" s="2"/>
      <c r="X910" s="2"/>
      <c r="Y910" s="2"/>
      <c r="Z910" s="2"/>
      <c r="AA910" s="2"/>
      <c r="AB910" s="2"/>
    </row>
    <row r="911">
      <c r="A911" s="8"/>
      <c r="B911" s="8"/>
      <c r="C911" s="8"/>
      <c r="D911" s="8"/>
      <c r="E911" s="8"/>
      <c r="F911" s="11"/>
      <c r="G911" s="2"/>
      <c r="H911" s="2"/>
      <c r="I911" s="2"/>
      <c r="J911" s="2"/>
      <c r="K911" s="2"/>
      <c r="L911" s="2"/>
      <c r="M911" s="2"/>
      <c r="N911" s="2"/>
      <c r="O911" s="2"/>
      <c r="P911" s="2"/>
      <c r="Q911" s="2"/>
      <c r="R911" s="2"/>
      <c r="S911" s="2"/>
      <c r="T911" s="2"/>
      <c r="U911" s="2"/>
      <c r="V911" s="2"/>
      <c r="W911" s="2"/>
      <c r="X911" s="2"/>
      <c r="Y911" s="2"/>
      <c r="Z911" s="2"/>
      <c r="AA911" s="2"/>
      <c r="AB911" s="2"/>
    </row>
    <row r="912">
      <c r="A912" s="8"/>
      <c r="B912" s="8"/>
      <c r="C912" s="8"/>
      <c r="D912" s="8"/>
      <c r="E912" s="8"/>
      <c r="F912" s="11"/>
      <c r="G912" s="2"/>
      <c r="H912" s="2"/>
      <c r="I912" s="2"/>
      <c r="J912" s="2"/>
      <c r="K912" s="2"/>
      <c r="L912" s="2"/>
      <c r="M912" s="2"/>
      <c r="N912" s="2"/>
      <c r="O912" s="2"/>
      <c r="P912" s="2"/>
      <c r="Q912" s="2"/>
      <c r="R912" s="2"/>
      <c r="S912" s="2"/>
      <c r="T912" s="2"/>
      <c r="U912" s="2"/>
      <c r="V912" s="2"/>
      <c r="W912" s="2"/>
      <c r="X912" s="2"/>
      <c r="Y912" s="2"/>
      <c r="Z912" s="2"/>
      <c r="AA912" s="2"/>
      <c r="AB912" s="2"/>
    </row>
    <row r="913">
      <c r="A913" s="8"/>
      <c r="B913" s="8"/>
      <c r="C913" s="8"/>
      <c r="D913" s="8"/>
      <c r="E913" s="8"/>
      <c r="F913" s="11"/>
      <c r="G913" s="2"/>
      <c r="H913" s="2"/>
      <c r="I913" s="2"/>
      <c r="J913" s="2"/>
      <c r="K913" s="2"/>
      <c r="L913" s="2"/>
      <c r="M913" s="2"/>
      <c r="N913" s="2"/>
      <c r="O913" s="2"/>
      <c r="P913" s="2"/>
      <c r="Q913" s="2"/>
      <c r="R913" s="2"/>
      <c r="S913" s="2"/>
      <c r="T913" s="2"/>
      <c r="U913" s="2"/>
      <c r="V913" s="2"/>
      <c r="W913" s="2"/>
      <c r="X913" s="2"/>
      <c r="Y913" s="2"/>
      <c r="Z913" s="2"/>
      <c r="AA913" s="2"/>
      <c r="AB913" s="2"/>
    </row>
    <row r="914">
      <c r="A914" s="8"/>
      <c r="B914" s="8"/>
      <c r="C914" s="8"/>
      <c r="D914" s="8"/>
      <c r="E914" s="8"/>
      <c r="F914" s="11"/>
      <c r="G914" s="2"/>
      <c r="H914" s="2"/>
      <c r="I914" s="2"/>
      <c r="J914" s="2"/>
      <c r="K914" s="2"/>
      <c r="L914" s="2"/>
      <c r="M914" s="2"/>
      <c r="N914" s="2"/>
      <c r="O914" s="2"/>
      <c r="P914" s="2"/>
      <c r="Q914" s="2"/>
      <c r="R914" s="2"/>
      <c r="S914" s="2"/>
      <c r="T914" s="2"/>
      <c r="U914" s="2"/>
      <c r="V914" s="2"/>
      <c r="W914" s="2"/>
      <c r="X914" s="2"/>
      <c r="Y914" s="2"/>
      <c r="Z914" s="2"/>
      <c r="AA914" s="2"/>
      <c r="AB914" s="2"/>
    </row>
    <row r="915">
      <c r="A915" s="8"/>
      <c r="B915" s="8"/>
      <c r="C915" s="8"/>
      <c r="D915" s="8"/>
      <c r="E915" s="8"/>
      <c r="F915" s="11"/>
      <c r="G915" s="2"/>
      <c r="H915" s="2"/>
      <c r="I915" s="2"/>
      <c r="J915" s="2"/>
      <c r="K915" s="2"/>
      <c r="L915" s="2"/>
      <c r="M915" s="2"/>
      <c r="N915" s="2"/>
      <c r="O915" s="2"/>
      <c r="P915" s="2"/>
      <c r="Q915" s="2"/>
      <c r="R915" s="2"/>
      <c r="S915" s="2"/>
      <c r="T915" s="2"/>
      <c r="U915" s="2"/>
      <c r="V915" s="2"/>
      <c r="W915" s="2"/>
      <c r="X915" s="2"/>
      <c r="Y915" s="2"/>
      <c r="Z915" s="2"/>
      <c r="AA915" s="2"/>
      <c r="AB915" s="2"/>
    </row>
    <row r="916">
      <c r="A916" s="8"/>
      <c r="B916" s="8"/>
      <c r="C916" s="8"/>
      <c r="D916" s="8"/>
      <c r="E916" s="8"/>
      <c r="F916" s="11"/>
      <c r="G916" s="2"/>
      <c r="H916" s="2"/>
      <c r="I916" s="2"/>
      <c r="J916" s="2"/>
      <c r="K916" s="2"/>
      <c r="L916" s="2"/>
      <c r="M916" s="2"/>
      <c r="N916" s="2"/>
      <c r="O916" s="2"/>
      <c r="P916" s="2"/>
      <c r="Q916" s="2"/>
      <c r="R916" s="2"/>
      <c r="S916" s="2"/>
      <c r="T916" s="2"/>
      <c r="U916" s="2"/>
      <c r="V916" s="2"/>
      <c r="W916" s="2"/>
      <c r="X916" s="2"/>
      <c r="Y916" s="2"/>
      <c r="Z916" s="2"/>
      <c r="AA916" s="2"/>
      <c r="AB916" s="2"/>
    </row>
    <row r="917">
      <c r="A917" s="8"/>
      <c r="B917" s="8"/>
      <c r="C917" s="8"/>
      <c r="D917" s="8"/>
      <c r="E917" s="8"/>
      <c r="F917" s="11"/>
      <c r="G917" s="2"/>
      <c r="H917" s="2"/>
      <c r="I917" s="2"/>
      <c r="J917" s="2"/>
      <c r="K917" s="2"/>
      <c r="L917" s="2"/>
      <c r="M917" s="2"/>
      <c r="N917" s="2"/>
      <c r="O917" s="2"/>
      <c r="P917" s="2"/>
      <c r="Q917" s="2"/>
      <c r="R917" s="2"/>
      <c r="S917" s="2"/>
      <c r="T917" s="2"/>
      <c r="U917" s="2"/>
      <c r="V917" s="2"/>
      <c r="W917" s="2"/>
      <c r="X917" s="2"/>
      <c r="Y917" s="2"/>
      <c r="Z917" s="2"/>
      <c r="AA917" s="2"/>
      <c r="AB917" s="2"/>
    </row>
    <row r="918">
      <c r="A918" s="8"/>
      <c r="B918" s="8"/>
      <c r="C918" s="8"/>
      <c r="D918" s="8"/>
      <c r="E918" s="8"/>
      <c r="F918" s="11"/>
      <c r="G918" s="2"/>
      <c r="H918" s="2"/>
      <c r="I918" s="2"/>
      <c r="J918" s="2"/>
      <c r="K918" s="2"/>
      <c r="L918" s="2"/>
      <c r="M918" s="2"/>
      <c r="N918" s="2"/>
      <c r="O918" s="2"/>
      <c r="P918" s="2"/>
      <c r="Q918" s="2"/>
      <c r="R918" s="2"/>
      <c r="S918" s="2"/>
      <c r="T918" s="2"/>
      <c r="U918" s="2"/>
      <c r="V918" s="2"/>
      <c r="W918" s="2"/>
      <c r="X918" s="2"/>
      <c r="Y918" s="2"/>
      <c r="Z918" s="2"/>
      <c r="AA918" s="2"/>
      <c r="AB918" s="2"/>
    </row>
    <row r="919">
      <c r="A919" s="8"/>
      <c r="B919" s="8"/>
      <c r="C919" s="8"/>
      <c r="D919" s="8"/>
      <c r="E919" s="8"/>
      <c r="F919" s="11"/>
      <c r="G919" s="2"/>
      <c r="H919" s="2"/>
      <c r="I919" s="2"/>
      <c r="J919" s="2"/>
      <c r="K919" s="2"/>
      <c r="L919" s="2"/>
      <c r="M919" s="2"/>
      <c r="N919" s="2"/>
      <c r="O919" s="2"/>
      <c r="P919" s="2"/>
      <c r="Q919" s="2"/>
      <c r="R919" s="2"/>
      <c r="S919" s="2"/>
      <c r="T919" s="2"/>
      <c r="U919" s="2"/>
      <c r="V919" s="2"/>
      <c r="W919" s="2"/>
      <c r="X919" s="2"/>
      <c r="Y919" s="2"/>
      <c r="Z919" s="2"/>
      <c r="AA919" s="2"/>
      <c r="AB919" s="2"/>
    </row>
    <row r="920">
      <c r="A920" s="8"/>
      <c r="B920" s="8"/>
      <c r="C920" s="8"/>
      <c r="D920" s="8"/>
      <c r="E920" s="8"/>
      <c r="F920" s="11"/>
      <c r="G920" s="2"/>
      <c r="H920" s="2"/>
      <c r="I920" s="2"/>
      <c r="J920" s="2"/>
      <c r="K920" s="2"/>
      <c r="L920" s="2"/>
      <c r="M920" s="2"/>
      <c r="N920" s="2"/>
      <c r="O920" s="2"/>
      <c r="P920" s="2"/>
      <c r="Q920" s="2"/>
      <c r="R920" s="2"/>
      <c r="S920" s="2"/>
      <c r="T920" s="2"/>
      <c r="U920" s="2"/>
      <c r="V920" s="2"/>
      <c r="W920" s="2"/>
      <c r="X920" s="2"/>
      <c r="Y920" s="2"/>
      <c r="Z920" s="2"/>
      <c r="AA920" s="2"/>
      <c r="AB920" s="2"/>
    </row>
    <row r="921">
      <c r="A921" s="8"/>
      <c r="B921" s="8"/>
      <c r="C921" s="8"/>
      <c r="D921" s="8"/>
      <c r="E921" s="8"/>
      <c r="F921" s="11"/>
      <c r="G921" s="2"/>
      <c r="H921" s="2"/>
      <c r="I921" s="2"/>
      <c r="J921" s="2"/>
      <c r="K921" s="2"/>
      <c r="L921" s="2"/>
      <c r="M921" s="2"/>
      <c r="N921" s="2"/>
      <c r="O921" s="2"/>
      <c r="P921" s="2"/>
      <c r="Q921" s="2"/>
      <c r="R921" s="2"/>
      <c r="S921" s="2"/>
      <c r="T921" s="2"/>
      <c r="U921" s="2"/>
      <c r="V921" s="2"/>
      <c r="W921" s="2"/>
      <c r="X921" s="2"/>
      <c r="Y921" s="2"/>
      <c r="Z921" s="2"/>
      <c r="AA921" s="2"/>
      <c r="AB921" s="2"/>
    </row>
    <row r="922">
      <c r="A922" s="8"/>
      <c r="B922" s="8"/>
      <c r="C922" s="8"/>
      <c r="D922" s="8"/>
      <c r="E922" s="8"/>
      <c r="F922" s="11"/>
      <c r="G922" s="2"/>
      <c r="H922" s="2"/>
      <c r="I922" s="2"/>
      <c r="J922" s="2"/>
      <c r="K922" s="2"/>
      <c r="L922" s="2"/>
      <c r="M922" s="2"/>
      <c r="N922" s="2"/>
      <c r="O922" s="2"/>
      <c r="P922" s="2"/>
      <c r="Q922" s="2"/>
      <c r="R922" s="2"/>
      <c r="S922" s="2"/>
      <c r="T922" s="2"/>
      <c r="U922" s="2"/>
      <c r="V922" s="2"/>
      <c r="W922" s="2"/>
      <c r="X922" s="2"/>
      <c r="Y922" s="2"/>
      <c r="Z922" s="2"/>
      <c r="AA922" s="2"/>
      <c r="AB922" s="2"/>
    </row>
    <row r="923">
      <c r="A923" s="8"/>
      <c r="B923" s="8"/>
      <c r="C923" s="8"/>
      <c r="D923" s="8"/>
      <c r="E923" s="8"/>
      <c r="F923" s="11"/>
      <c r="G923" s="2"/>
      <c r="H923" s="2"/>
      <c r="I923" s="2"/>
      <c r="J923" s="2"/>
      <c r="K923" s="2"/>
      <c r="L923" s="2"/>
      <c r="M923" s="2"/>
      <c r="N923" s="2"/>
      <c r="O923" s="2"/>
      <c r="P923" s="2"/>
      <c r="Q923" s="2"/>
      <c r="R923" s="2"/>
      <c r="S923" s="2"/>
      <c r="T923" s="2"/>
      <c r="U923" s="2"/>
      <c r="V923" s="2"/>
      <c r="W923" s="2"/>
      <c r="X923" s="2"/>
      <c r="Y923" s="2"/>
      <c r="Z923" s="2"/>
      <c r="AA923" s="2"/>
      <c r="AB923" s="2"/>
    </row>
    <row r="924">
      <c r="A924" s="8"/>
      <c r="B924" s="8"/>
      <c r="C924" s="8"/>
      <c r="D924" s="8"/>
      <c r="E924" s="8"/>
      <c r="F924" s="11"/>
      <c r="G924" s="2"/>
      <c r="H924" s="2"/>
      <c r="I924" s="2"/>
      <c r="J924" s="2"/>
      <c r="K924" s="2"/>
      <c r="L924" s="2"/>
      <c r="M924" s="2"/>
      <c r="N924" s="2"/>
      <c r="O924" s="2"/>
      <c r="P924" s="2"/>
      <c r="Q924" s="2"/>
      <c r="R924" s="2"/>
      <c r="S924" s="2"/>
      <c r="T924" s="2"/>
      <c r="U924" s="2"/>
      <c r="V924" s="2"/>
      <c r="W924" s="2"/>
      <c r="X924" s="2"/>
      <c r="Y924" s="2"/>
      <c r="Z924" s="2"/>
      <c r="AA924" s="2"/>
      <c r="AB924" s="2"/>
    </row>
    <row r="925">
      <c r="A925" s="8"/>
      <c r="B925" s="8"/>
      <c r="C925" s="8"/>
      <c r="D925" s="8"/>
      <c r="E925" s="8"/>
      <c r="F925" s="11"/>
      <c r="G925" s="2"/>
      <c r="H925" s="2"/>
      <c r="I925" s="2"/>
      <c r="J925" s="2"/>
      <c r="K925" s="2"/>
      <c r="L925" s="2"/>
      <c r="M925" s="2"/>
      <c r="N925" s="2"/>
      <c r="O925" s="2"/>
      <c r="P925" s="2"/>
      <c r="Q925" s="2"/>
      <c r="R925" s="2"/>
      <c r="S925" s="2"/>
      <c r="T925" s="2"/>
      <c r="U925" s="2"/>
      <c r="V925" s="2"/>
      <c r="W925" s="2"/>
      <c r="X925" s="2"/>
      <c r="Y925" s="2"/>
      <c r="Z925" s="2"/>
      <c r="AA925" s="2"/>
      <c r="AB925" s="2"/>
    </row>
    <row r="926">
      <c r="A926" s="8"/>
      <c r="B926" s="8"/>
      <c r="C926" s="8"/>
      <c r="D926" s="8"/>
      <c r="E926" s="8"/>
      <c r="F926" s="11"/>
      <c r="G926" s="2"/>
      <c r="H926" s="2"/>
      <c r="I926" s="2"/>
      <c r="J926" s="2"/>
      <c r="K926" s="2"/>
      <c r="L926" s="2"/>
      <c r="M926" s="2"/>
      <c r="N926" s="2"/>
      <c r="O926" s="2"/>
      <c r="P926" s="2"/>
      <c r="Q926" s="2"/>
      <c r="R926" s="2"/>
      <c r="S926" s="2"/>
      <c r="T926" s="2"/>
      <c r="U926" s="2"/>
      <c r="V926" s="2"/>
      <c r="W926" s="2"/>
      <c r="X926" s="2"/>
      <c r="Y926" s="2"/>
      <c r="Z926" s="2"/>
      <c r="AA926" s="2"/>
      <c r="AB926" s="2"/>
    </row>
    <row r="927">
      <c r="A927" s="8"/>
      <c r="B927" s="8"/>
      <c r="C927" s="8"/>
      <c r="D927" s="8"/>
      <c r="E927" s="8"/>
      <c r="F927" s="11"/>
      <c r="G927" s="2"/>
      <c r="H927" s="2"/>
      <c r="I927" s="2"/>
      <c r="J927" s="2"/>
      <c r="K927" s="2"/>
      <c r="L927" s="2"/>
      <c r="M927" s="2"/>
      <c r="N927" s="2"/>
      <c r="O927" s="2"/>
      <c r="P927" s="2"/>
      <c r="Q927" s="2"/>
      <c r="R927" s="2"/>
      <c r="S927" s="2"/>
      <c r="T927" s="2"/>
      <c r="U927" s="2"/>
      <c r="V927" s="2"/>
      <c r="W927" s="2"/>
      <c r="X927" s="2"/>
      <c r="Y927" s="2"/>
      <c r="Z927" s="2"/>
      <c r="AA927" s="2"/>
      <c r="AB927" s="2"/>
    </row>
    <row r="928">
      <c r="A928" s="8"/>
      <c r="B928" s="8"/>
      <c r="C928" s="8"/>
      <c r="D928" s="8"/>
      <c r="E928" s="8"/>
      <c r="F928" s="11"/>
      <c r="G928" s="2"/>
      <c r="H928" s="2"/>
      <c r="I928" s="2"/>
      <c r="J928" s="2"/>
      <c r="K928" s="2"/>
      <c r="L928" s="2"/>
      <c r="M928" s="2"/>
      <c r="N928" s="2"/>
      <c r="O928" s="2"/>
      <c r="P928" s="2"/>
      <c r="Q928" s="2"/>
      <c r="R928" s="2"/>
      <c r="S928" s="2"/>
      <c r="T928" s="2"/>
      <c r="U928" s="2"/>
      <c r="V928" s="2"/>
      <c r="W928" s="2"/>
      <c r="X928" s="2"/>
      <c r="Y928" s="2"/>
      <c r="Z928" s="2"/>
      <c r="AA928" s="2"/>
      <c r="AB928" s="2"/>
    </row>
    <row r="929">
      <c r="A929" s="8"/>
      <c r="B929" s="8"/>
      <c r="C929" s="8"/>
      <c r="D929" s="8"/>
      <c r="E929" s="8"/>
      <c r="F929" s="11"/>
      <c r="G929" s="2"/>
      <c r="H929" s="2"/>
      <c r="I929" s="2"/>
      <c r="J929" s="2"/>
      <c r="K929" s="2"/>
      <c r="L929" s="2"/>
      <c r="M929" s="2"/>
      <c r="N929" s="2"/>
      <c r="O929" s="2"/>
      <c r="P929" s="2"/>
      <c r="Q929" s="2"/>
      <c r="R929" s="2"/>
      <c r="S929" s="2"/>
      <c r="T929" s="2"/>
      <c r="U929" s="2"/>
      <c r="V929" s="2"/>
      <c r="W929" s="2"/>
      <c r="X929" s="2"/>
      <c r="Y929" s="2"/>
      <c r="Z929" s="2"/>
      <c r="AA929" s="2"/>
      <c r="AB929" s="2"/>
    </row>
    <row r="930">
      <c r="A930" s="8"/>
      <c r="B930" s="8"/>
      <c r="C930" s="8"/>
      <c r="D930" s="8"/>
      <c r="E930" s="8"/>
      <c r="F930" s="11"/>
      <c r="G930" s="2"/>
      <c r="H930" s="2"/>
      <c r="I930" s="2"/>
      <c r="J930" s="2"/>
      <c r="K930" s="2"/>
      <c r="L930" s="2"/>
      <c r="M930" s="2"/>
      <c r="N930" s="2"/>
      <c r="O930" s="2"/>
      <c r="P930" s="2"/>
      <c r="Q930" s="2"/>
      <c r="R930" s="2"/>
      <c r="S930" s="2"/>
      <c r="T930" s="2"/>
      <c r="U930" s="2"/>
      <c r="V930" s="2"/>
      <c r="W930" s="2"/>
      <c r="X930" s="2"/>
      <c r="Y930" s="2"/>
      <c r="Z930" s="2"/>
      <c r="AA930" s="2"/>
      <c r="AB930" s="2"/>
    </row>
    <row r="931">
      <c r="A931" s="8"/>
      <c r="B931" s="8"/>
      <c r="C931" s="8"/>
      <c r="D931" s="8"/>
      <c r="E931" s="8"/>
      <c r="F931" s="11"/>
      <c r="G931" s="2"/>
      <c r="H931" s="2"/>
      <c r="I931" s="2"/>
      <c r="J931" s="2"/>
      <c r="K931" s="2"/>
      <c r="L931" s="2"/>
      <c r="M931" s="2"/>
      <c r="N931" s="2"/>
      <c r="O931" s="2"/>
      <c r="P931" s="2"/>
      <c r="Q931" s="2"/>
      <c r="R931" s="2"/>
      <c r="S931" s="2"/>
      <c r="T931" s="2"/>
      <c r="U931" s="2"/>
      <c r="V931" s="2"/>
      <c r="W931" s="2"/>
      <c r="X931" s="2"/>
      <c r="Y931" s="2"/>
      <c r="Z931" s="2"/>
      <c r="AA931" s="2"/>
      <c r="AB931" s="2"/>
    </row>
    <row r="932">
      <c r="A932" s="8"/>
      <c r="B932" s="8"/>
      <c r="C932" s="8"/>
      <c r="D932" s="8"/>
      <c r="E932" s="8"/>
      <c r="F932" s="11"/>
      <c r="G932" s="2"/>
      <c r="H932" s="2"/>
      <c r="I932" s="2"/>
      <c r="J932" s="2"/>
      <c r="K932" s="2"/>
      <c r="L932" s="2"/>
      <c r="M932" s="2"/>
      <c r="N932" s="2"/>
      <c r="O932" s="2"/>
      <c r="P932" s="2"/>
      <c r="Q932" s="2"/>
      <c r="R932" s="2"/>
      <c r="S932" s="2"/>
      <c r="T932" s="2"/>
      <c r="U932" s="2"/>
      <c r="V932" s="2"/>
      <c r="W932" s="2"/>
      <c r="X932" s="2"/>
      <c r="Y932" s="2"/>
      <c r="Z932" s="2"/>
      <c r="AA932" s="2"/>
      <c r="AB932" s="2"/>
    </row>
    <row r="933">
      <c r="A933" s="8"/>
      <c r="B933" s="8"/>
      <c r="C933" s="8"/>
      <c r="D933" s="8"/>
      <c r="E933" s="8"/>
      <c r="F933" s="11"/>
      <c r="G933" s="2"/>
      <c r="H933" s="2"/>
      <c r="I933" s="2"/>
      <c r="J933" s="2"/>
      <c r="K933" s="2"/>
      <c r="L933" s="2"/>
      <c r="M933" s="2"/>
      <c r="N933" s="2"/>
      <c r="O933" s="2"/>
      <c r="P933" s="2"/>
      <c r="Q933" s="2"/>
      <c r="R933" s="2"/>
      <c r="S933" s="2"/>
      <c r="T933" s="2"/>
      <c r="U933" s="2"/>
      <c r="V933" s="2"/>
      <c r="W933" s="2"/>
      <c r="X933" s="2"/>
      <c r="Y933" s="2"/>
      <c r="Z933" s="2"/>
      <c r="AA933" s="2"/>
      <c r="AB933" s="2"/>
    </row>
    <row r="934">
      <c r="A934" s="8"/>
      <c r="B934" s="8"/>
      <c r="C934" s="8"/>
      <c r="D934" s="8"/>
      <c r="E934" s="8"/>
      <c r="F934" s="11"/>
      <c r="G934" s="2"/>
      <c r="H934" s="2"/>
      <c r="I934" s="2"/>
      <c r="J934" s="2"/>
      <c r="K934" s="2"/>
      <c r="L934" s="2"/>
      <c r="M934" s="2"/>
      <c r="N934" s="2"/>
      <c r="O934" s="2"/>
      <c r="P934" s="2"/>
      <c r="Q934" s="2"/>
      <c r="R934" s="2"/>
      <c r="S934" s="2"/>
      <c r="T934" s="2"/>
      <c r="U934" s="2"/>
      <c r="V934" s="2"/>
      <c r="W934" s="2"/>
      <c r="X934" s="2"/>
      <c r="Y934" s="2"/>
      <c r="Z934" s="2"/>
      <c r="AA934" s="2"/>
      <c r="AB934" s="2"/>
    </row>
    <row r="935">
      <c r="A935" s="8"/>
      <c r="B935" s="8"/>
      <c r="C935" s="8"/>
      <c r="D935" s="8"/>
      <c r="E935" s="8"/>
      <c r="F935" s="11"/>
      <c r="G935" s="2"/>
      <c r="H935" s="2"/>
      <c r="I935" s="2"/>
      <c r="J935" s="2"/>
      <c r="K935" s="2"/>
      <c r="L935" s="2"/>
      <c r="M935" s="2"/>
      <c r="N935" s="2"/>
      <c r="O935" s="2"/>
      <c r="P935" s="2"/>
      <c r="Q935" s="2"/>
      <c r="R935" s="2"/>
      <c r="S935" s="2"/>
      <c r="T935" s="2"/>
      <c r="U935" s="2"/>
      <c r="V935" s="2"/>
      <c r="W935" s="2"/>
      <c r="X935" s="2"/>
      <c r="Y935" s="2"/>
      <c r="Z935" s="2"/>
      <c r="AA935" s="2"/>
      <c r="AB935" s="2"/>
    </row>
    <row r="936">
      <c r="A936" s="8"/>
      <c r="B936" s="8"/>
      <c r="C936" s="8"/>
      <c r="D936" s="8"/>
      <c r="E936" s="8"/>
      <c r="F936" s="11"/>
      <c r="G936" s="2"/>
      <c r="H936" s="2"/>
      <c r="I936" s="2"/>
      <c r="J936" s="2"/>
      <c r="K936" s="2"/>
      <c r="L936" s="2"/>
      <c r="M936" s="2"/>
      <c r="N936" s="2"/>
      <c r="O936" s="2"/>
      <c r="P936" s="2"/>
      <c r="Q936" s="2"/>
      <c r="R936" s="2"/>
      <c r="S936" s="2"/>
      <c r="T936" s="2"/>
      <c r="U936" s="2"/>
      <c r="V936" s="2"/>
      <c r="W936" s="2"/>
      <c r="X936" s="2"/>
      <c r="Y936" s="2"/>
      <c r="Z936" s="2"/>
      <c r="AA936" s="2"/>
      <c r="AB936" s="2"/>
    </row>
    <row r="937">
      <c r="A937" s="8"/>
      <c r="B937" s="8"/>
      <c r="C937" s="8"/>
      <c r="D937" s="8"/>
      <c r="E937" s="8"/>
      <c r="F937" s="11"/>
      <c r="G937" s="2"/>
      <c r="H937" s="2"/>
      <c r="I937" s="2"/>
      <c r="J937" s="2"/>
      <c r="K937" s="2"/>
      <c r="L937" s="2"/>
      <c r="M937" s="2"/>
      <c r="N937" s="2"/>
      <c r="O937" s="2"/>
      <c r="P937" s="2"/>
      <c r="Q937" s="2"/>
      <c r="R937" s="2"/>
      <c r="S937" s="2"/>
      <c r="T937" s="2"/>
      <c r="U937" s="2"/>
      <c r="V937" s="2"/>
      <c r="W937" s="2"/>
      <c r="X937" s="2"/>
      <c r="Y937" s="2"/>
      <c r="Z937" s="2"/>
      <c r="AA937" s="2"/>
      <c r="AB937" s="2"/>
    </row>
    <row r="938">
      <c r="A938" s="8"/>
      <c r="B938" s="8"/>
      <c r="C938" s="8"/>
      <c r="D938" s="8"/>
      <c r="E938" s="8"/>
      <c r="F938" s="11"/>
      <c r="G938" s="2"/>
      <c r="H938" s="2"/>
      <c r="I938" s="2"/>
      <c r="J938" s="2"/>
      <c r="K938" s="2"/>
      <c r="L938" s="2"/>
      <c r="M938" s="2"/>
      <c r="N938" s="2"/>
      <c r="O938" s="2"/>
      <c r="P938" s="2"/>
      <c r="Q938" s="2"/>
      <c r="R938" s="2"/>
      <c r="S938" s="2"/>
      <c r="T938" s="2"/>
      <c r="U938" s="2"/>
      <c r="V938" s="2"/>
      <c r="W938" s="2"/>
      <c r="X938" s="2"/>
      <c r="Y938" s="2"/>
      <c r="Z938" s="2"/>
      <c r="AA938" s="2"/>
      <c r="AB938" s="2"/>
    </row>
    <row r="939">
      <c r="A939" s="8"/>
      <c r="B939" s="8"/>
      <c r="C939" s="8"/>
      <c r="D939" s="8"/>
      <c r="E939" s="8"/>
      <c r="F939" s="11"/>
      <c r="G939" s="2"/>
      <c r="H939" s="2"/>
      <c r="I939" s="2"/>
      <c r="J939" s="2"/>
      <c r="K939" s="2"/>
      <c r="L939" s="2"/>
      <c r="M939" s="2"/>
      <c r="N939" s="2"/>
      <c r="O939" s="2"/>
      <c r="P939" s="2"/>
      <c r="Q939" s="2"/>
      <c r="R939" s="2"/>
      <c r="S939" s="2"/>
      <c r="T939" s="2"/>
      <c r="U939" s="2"/>
      <c r="V939" s="2"/>
      <c r="W939" s="2"/>
      <c r="X939" s="2"/>
      <c r="Y939" s="2"/>
      <c r="Z939" s="2"/>
      <c r="AA939" s="2"/>
      <c r="AB939" s="2"/>
    </row>
    <row r="940">
      <c r="A940" s="8"/>
      <c r="B940" s="8"/>
      <c r="C940" s="8"/>
      <c r="D940" s="8"/>
      <c r="E940" s="8"/>
      <c r="F940" s="11"/>
      <c r="G940" s="2"/>
      <c r="H940" s="2"/>
      <c r="I940" s="2"/>
      <c r="J940" s="2"/>
      <c r="K940" s="2"/>
      <c r="L940" s="2"/>
      <c r="M940" s="2"/>
      <c r="N940" s="2"/>
      <c r="O940" s="2"/>
      <c r="P940" s="2"/>
      <c r="Q940" s="2"/>
      <c r="R940" s="2"/>
      <c r="S940" s="2"/>
      <c r="T940" s="2"/>
      <c r="U940" s="2"/>
      <c r="V940" s="2"/>
      <c r="W940" s="2"/>
      <c r="X940" s="2"/>
      <c r="Y940" s="2"/>
      <c r="Z940" s="2"/>
      <c r="AA940" s="2"/>
      <c r="AB940" s="2"/>
    </row>
    <row r="941">
      <c r="A941" s="8"/>
      <c r="B941" s="8"/>
      <c r="C941" s="8"/>
      <c r="D941" s="8"/>
      <c r="E941" s="8"/>
      <c r="F941" s="11"/>
      <c r="G941" s="2"/>
      <c r="H941" s="2"/>
      <c r="I941" s="2"/>
      <c r="J941" s="2"/>
      <c r="K941" s="2"/>
      <c r="L941" s="2"/>
      <c r="M941" s="2"/>
      <c r="N941" s="2"/>
      <c r="O941" s="2"/>
      <c r="P941" s="2"/>
      <c r="Q941" s="2"/>
      <c r="R941" s="2"/>
      <c r="S941" s="2"/>
      <c r="T941" s="2"/>
      <c r="U941" s="2"/>
      <c r="V941" s="2"/>
      <c r="W941" s="2"/>
      <c r="X941" s="2"/>
      <c r="Y941" s="2"/>
      <c r="Z941" s="2"/>
      <c r="AA941" s="2"/>
      <c r="AB941" s="2"/>
    </row>
    <row r="942">
      <c r="A942" s="8"/>
      <c r="B942" s="8"/>
      <c r="C942" s="8"/>
      <c r="D942" s="8"/>
      <c r="E942" s="8"/>
      <c r="F942" s="11"/>
      <c r="G942" s="2"/>
      <c r="H942" s="2"/>
      <c r="I942" s="2"/>
      <c r="J942" s="2"/>
      <c r="K942" s="2"/>
      <c r="L942" s="2"/>
      <c r="M942" s="2"/>
      <c r="N942" s="2"/>
      <c r="O942" s="2"/>
      <c r="P942" s="2"/>
      <c r="Q942" s="2"/>
      <c r="R942" s="2"/>
      <c r="S942" s="2"/>
      <c r="T942" s="2"/>
      <c r="U942" s="2"/>
      <c r="V942" s="2"/>
      <c r="W942" s="2"/>
      <c r="X942" s="2"/>
      <c r="Y942" s="2"/>
      <c r="Z942" s="2"/>
      <c r="AA942" s="2"/>
      <c r="AB942" s="2"/>
    </row>
    <row r="943">
      <c r="A943" s="8"/>
      <c r="B943" s="8"/>
      <c r="C943" s="8"/>
      <c r="D943" s="8"/>
      <c r="E943" s="8"/>
      <c r="F943" s="11"/>
      <c r="G943" s="2"/>
      <c r="H943" s="2"/>
      <c r="I943" s="2"/>
      <c r="J943" s="2"/>
      <c r="K943" s="2"/>
      <c r="L943" s="2"/>
      <c r="M943" s="2"/>
      <c r="N943" s="2"/>
      <c r="O943" s="2"/>
      <c r="P943" s="2"/>
      <c r="Q943" s="2"/>
      <c r="R943" s="2"/>
      <c r="S943" s="2"/>
      <c r="T943" s="2"/>
      <c r="U943" s="2"/>
      <c r="V943" s="2"/>
      <c r="W943" s="2"/>
      <c r="X943" s="2"/>
      <c r="Y943" s="2"/>
      <c r="Z943" s="2"/>
      <c r="AA943" s="2"/>
      <c r="AB943" s="2"/>
    </row>
    <row r="944">
      <c r="A944" s="8"/>
      <c r="B944" s="8"/>
      <c r="C944" s="8"/>
      <c r="D944" s="8"/>
      <c r="E944" s="8"/>
      <c r="F944" s="11"/>
      <c r="G944" s="2"/>
      <c r="H944" s="2"/>
      <c r="I944" s="2"/>
      <c r="J944" s="2"/>
      <c r="K944" s="2"/>
      <c r="L944" s="2"/>
      <c r="M944" s="2"/>
      <c r="N944" s="2"/>
      <c r="O944" s="2"/>
      <c r="P944" s="2"/>
      <c r="Q944" s="2"/>
      <c r="R944" s="2"/>
      <c r="S944" s="2"/>
      <c r="T944" s="2"/>
      <c r="U944" s="2"/>
      <c r="V944" s="2"/>
      <c r="W944" s="2"/>
      <c r="X944" s="2"/>
      <c r="Y944" s="2"/>
      <c r="Z944" s="2"/>
      <c r="AA944" s="2"/>
      <c r="AB944" s="2"/>
    </row>
    <row r="945">
      <c r="A945" s="8"/>
      <c r="B945" s="8"/>
      <c r="C945" s="8"/>
      <c r="D945" s="8"/>
      <c r="E945" s="8"/>
      <c r="F945" s="11"/>
      <c r="G945" s="2"/>
      <c r="H945" s="2"/>
      <c r="I945" s="2"/>
      <c r="J945" s="2"/>
      <c r="K945" s="2"/>
      <c r="L945" s="2"/>
      <c r="M945" s="2"/>
      <c r="N945" s="2"/>
      <c r="O945" s="2"/>
      <c r="P945" s="2"/>
      <c r="Q945" s="2"/>
      <c r="R945" s="2"/>
      <c r="S945" s="2"/>
      <c r="T945" s="2"/>
      <c r="U945" s="2"/>
      <c r="V945" s="2"/>
      <c r="W945" s="2"/>
      <c r="X945" s="2"/>
      <c r="Y945" s="2"/>
      <c r="Z945" s="2"/>
      <c r="AA945" s="2"/>
      <c r="AB945" s="2"/>
    </row>
    <row r="946">
      <c r="A946" s="8"/>
      <c r="B946" s="8"/>
      <c r="C946" s="8"/>
      <c r="D946" s="8"/>
      <c r="E946" s="8"/>
      <c r="F946" s="11"/>
      <c r="G946" s="2"/>
      <c r="H946" s="2"/>
      <c r="I946" s="2"/>
      <c r="J946" s="2"/>
      <c r="K946" s="2"/>
      <c r="L946" s="2"/>
      <c r="M946" s="2"/>
      <c r="N946" s="2"/>
      <c r="O946" s="2"/>
      <c r="P946" s="2"/>
      <c r="Q946" s="2"/>
      <c r="R946" s="2"/>
      <c r="S946" s="2"/>
      <c r="T946" s="2"/>
      <c r="U946" s="2"/>
      <c r="V946" s="2"/>
      <c r="W946" s="2"/>
      <c r="X946" s="2"/>
      <c r="Y946" s="2"/>
      <c r="Z946" s="2"/>
      <c r="AA946" s="2"/>
      <c r="AB946" s="2"/>
    </row>
    <row r="947">
      <c r="A947" s="8"/>
      <c r="B947" s="8"/>
      <c r="C947" s="8"/>
      <c r="D947" s="8"/>
      <c r="E947" s="8"/>
      <c r="F947" s="11"/>
      <c r="G947" s="2"/>
      <c r="H947" s="2"/>
      <c r="I947" s="2"/>
      <c r="J947" s="2"/>
      <c r="K947" s="2"/>
      <c r="L947" s="2"/>
      <c r="M947" s="2"/>
      <c r="N947" s="2"/>
      <c r="O947" s="2"/>
      <c r="P947" s="2"/>
      <c r="Q947" s="2"/>
      <c r="R947" s="2"/>
      <c r="S947" s="2"/>
      <c r="T947" s="2"/>
      <c r="U947" s="2"/>
      <c r="V947" s="2"/>
      <c r="W947" s="2"/>
      <c r="X947" s="2"/>
      <c r="Y947" s="2"/>
      <c r="Z947" s="2"/>
      <c r="AA947" s="2"/>
      <c r="AB947" s="2"/>
    </row>
    <row r="948">
      <c r="A948" s="8"/>
      <c r="B948" s="8"/>
      <c r="C948" s="8"/>
      <c r="D948" s="8"/>
      <c r="E948" s="8"/>
      <c r="F948" s="11"/>
      <c r="G948" s="2"/>
      <c r="H948" s="2"/>
      <c r="I948" s="2"/>
      <c r="J948" s="2"/>
      <c r="K948" s="2"/>
      <c r="L948" s="2"/>
      <c r="M948" s="2"/>
      <c r="N948" s="2"/>
      <c r="O948" s="2"/>
      <c r="P948" s="2"/>
      <c r="Q948" s="2"/>
      <c r="R948" s="2"/>
      <c r="S948" s="2"/>
      <c r="T948" s="2"/>
      <c r="U948" s="2"/>
      <c r="V948" s="2"/>
      <c r="W948" s="2"/>
      <c r="X948" s="2"/>
      <c r="Y948" s="2"/>
      <c r="Z948" s="2"/>
      <c r="AA948" s="2"/>
      <c r="AB948" s="2"/>
    </row>
    <row r="949">
      <c r="A949" s="8"/>
      <c r="B949" s="8"/>
      <c r="C949" s="8"/>
      <c r="D949" s="8"/>
      <c r="E949" s="8"/>
      <c r="F949" s="11"/>
      <c r="G949" s="2"/>
      <c r="H949" s="2"/>
      <c r="I949" s="2"/>
      <c r="J949" s="2"/>
      <c r="K949" s="2"/>
      <c r="L949" s="2"/>
      <c r="M949" s="2"/>
      <c r="N949" s="2"/>
      <c r="O949" s="2"/>
      <c r="P949" s="2"/>
      <c r="Q949" s="2"/>
      <c r="R949" s="2"/>
      <c r="S949" s="2"/>
      <c r="T949" s="2"/>
      <c r="U949" s="2"/>
      <c r="V949" s="2"/>
      <c r="W949" s="2"/>
      <c r="X949" s="2"/>
      <c r="Y949" s="2"/>
      <c r="Z949" s="2"/>
      <c r="AA949" s="2"/>
      <c r="AB949" s="2"/>
    </row>
    <row r="950">
      <c r="A950" s="8"/>
      <c r="B950" s="8"/>
      <c r="C950" s="8"/>
      <c r="D950" s="8"/>
      <c r="E950" s="8"/>
      <c r="F950" s="11"/>
      <c r="G950" s="2"/>
      <c r="H950" s="2"/>
      <c r="I950" s="2"/>
      <c r="J950" s="2"/>
      <c r="K950" s="2"/>
      <c r="L950" s="2"/>
      <c r="M950" s="2"/>
      <c r="N950" s="2"/>
      <c r="O950" s="2"/>
      <c r="P950" s="2"/>
      <c r="Q950" s="2"/>
      <c r="R950" s="2"/>
      <c r="S950" s="2"/>
      <c r="T950" s="2"/>
      <c r="U950" s="2"/>
      <c r="V950" s="2"/>
      <c r="W950" s="2"/>
      <c r="X950" s="2"/>
      <c r="Y950" s="2"/>
      <c r="Z950" s="2"/>
      <c r="AA950" s="2"/>
      <c r="AB950" s="2"/>
    </row>
    <row r="951">
      <c r="A951" s="8"/>
      <c r="B951" s="8"/>
      <c r="C951" s="8"/>
      <c r="D951" s="8"/>
      <c r="E951" s="8"/>
      <c r="F951" s="11"/>
      <c r="G951" s="2"/>
      <c r="H951" s="2"/>
      <c r="I951" s="2"/>
      <c r="J951" s="2"/>
      <c r="K951" s="2"/>
      <c r="L951" s="2"/>
      <c r="M951" s="2"/>
      <c r="N951" s="2"/>
      <c r="O951" s="2"/>
      <c r="P951" s="2"/>
      <c r="Q951" s="2"/>
      <c r="R951" s="2"/>
      <c r="S951" s="2"/>
      <c r="T951" s="2"/>
      <c r="U951" s="2"/>
      <c r="V951" s="2"/>
      <c r="W951" s="2"/>
      <c r="X951" s="2"/>
      <c r="Y951" s="2"/>
      <c r="Z951" s="2"/>
      <c r="AA951" s="2"/>
      <c r="AB951" s="2"/>
    </row>
    <row r="952">
      <c r="A952" s="8"/>
      <c r="B952" s="8"/>
      <c r="C952" s="8"/>
      <c r="D952" s="8"/>
      <c r="E952" s="8"/>
      <c r="F952" s="11"/>
      <c r="G952" s="2"/>
      <c r="H952" s="2"/>
      <c r="I952" s="2"/>
      <c r="J952" s="2"/>
      <c r="K952" s="2"/>
      <c r="L952" s="2"/>
      <c r="M952" s="2"/>
      <c r="N952" s="2"/>
      <c r="O952" s="2"/>
      <c r="P952" s="2"/>
      <c r="Q952" s="2"/>
      <c r="R952" s="2"/>
      <c r="S952" s="2"/>
      <c r="T952" s="2"/>
      <c r="U952" s="2"/>
      <c r="V952" s="2"/>
      <c r="W952" s="2"/>
      <c r="X952" s="2"/>
      <c r="Y952" s="2"/>
      <c r="Z952" s="2"/>
      <c r="AA952" s="2"/>
      <c r="AB952" s="2"/>
    </row>
    <row r="953">
      <c r="A953" s="8"/>
      <c r="B953" s="8"/>
      <c r="C953" s="8"/>
      <c r="D953" s="8"/>
      <c r="E953" s="8"/>
      <c r="F953" s="11"/>
      <c r="G953" s="2"/>
      <c r="H953" s="2"/>
      <c r="I953" s="2"/>
      <c r="J953" s="2"/>
      <c r="K953" s="2"/>
      <c r="L953" s="2"/>
      <c r="M953" s="2"/>
      <c r="N953" s="2"/>
      <c r="O953" s="2"/>
      <c r="P953" s="2"/>
      <c r="Q953" s="2"/>
      <c r="R953" s="2"/>
      <c r="S953" s="2"/>
      <c r="T953" s="2"/>
      <c r="U953" s="2"/>
      <c r="V953" s="2"/>
      <c r="W953" s="2"/>
      <c r="X953" s="2"/>
      <c r="Y953" s="2"/>
      <c r="Z953" s="2"/>
      <c r="AA953" s="2"/>
      <c r="AB953" s="2"/>
    </row>
    <row r="954">
      <c r="A954" s="8"/>
      <c r="B954" s="8"/>
      <c r="C954" s="8"/>
      <c r="D954" s="8"/>
      <c r="E954" s="8"/>
      <c r="F954" s="11"/>
      <c r="G954" s="2"/>
      <c r="H954" s="2"/>
      <c r="I954" s="2"/>
      <c r="J954" s="2"/>
      <c r="K954" s="2"/>
      <c r="L954" s="2"/>
      <c r="M954" s="2"/>
      <c r="N954" s="2"/>
      <c r="O954" s="2"/>
      <c r="P954" s="2"/>
      <c r="Q954" s="2"/>
      <c r="R954" s="2"/>
      <c r="S954" s="2"/>
      <c r="T954" s="2"/>
      <c r="U954" s="2"/>
      <c r="V954" s="2"/>
      <c r="W954" s="2"/>
      <c r="X954" s="2"/>
      <c r="Y954" s="2"/>
      <c r="Z954" s="2"/>
      <c r="AA954" s="2"/>
      <c r="AB954" s="2"/>
    </row>
    <row r="955">
      <c r="A955" s="8"/>
      <c r="B955" s="8"/>
      <c r="C955" s="8"/>
      <c r="D955" s="8"/>
      <c r="E955" s="8"/>
      <c r="F955" s="11"/>
      <c r="G955" s="2"/>
      <c r="H955" s="2"/>
      <c r="I955" s="2"/>
      <c r="J955" s="2"/>
      <c r="K955" s="2"/>
      <c r="L955" s="2"/>
      <c r="M955" s="2"/>
      <c r="N955" s="2"/>
      <c r="O955" s="2"/>
      <c r="P955" s="2"/>
      <c r="Q955" s="2"/>
      <c r="R955" s="2"/>
      <c r="S955" s="2"/>
      <c r="T955" s="2"/>
      <c r="U955" s="2"/>
      <c r="V955" s="2"/>
      <c r="W955" s="2"/>
      <c r="X955" s="2"/>
      <c r="Y955" s="2"/>
      <c r="Z955" s="2"/>
      <c r="AA955" s="2"/>
      <c r="AB955" s="2"/>
    </row>
    <row r="956">
      <c r="A956" s="8"/>
      <c r="B956" s="8"/>
      <c r="C956" s="8"/>
      <c r="D956" s="8"/>
      <c r="E956" s="8"/>
      <c r="F956" s="11"/>
      <c r="G956" s="2"/>
      <c r="H956" s="2"/>
      <c r="I956" s="2"/>
      <c r="J956" s="2"/>
      <c r="K956" s="2"/>
      <c r="L956" s="2"/>
      <c r="M956" s="2"/>
      <c r="N956" s="2"/>
      <c r="O956" s="2"/>
      <c r="P956" s="2"/>
      <c r="Q956" s="2"/>
      <c r="R956" s="2"/>
      <c r="S956" s="2"/>
      <c r="T956" s="2"/>
      <c r="U956" s="2"/>
      <c r="V956" s="2"/>
      <c r="W956" s="2"/>
      <c r="X956" s="2"/>
      <c r="Y956" s="2"/>
      <c r="Z956" s="2"/>
      <c r="AA956" s="2"/>
      <c r="AB956" s="2"/>
    </row>
    <row r="957">
      <c r="A957" s="8"/>
      <c r="B957" s="8"/>
      <c r="C957" s="8"/>
      <c r="D957" s="8"/>
      <c r="E957" s="8"/>
      <c r="F957" s="11"/>
      <c r="G957" s="2"/>
      <c r="H957" s="2"/>
      <c r="I957" s="2"/>
      <c r="J957" s="2"/>
      <c r="K957" s="2"/>
      <c r="L957" s="2"/>
      <c r="M957" s="2"/>
      <c r="N957" s="2"/>
      <c r="O957" s="2"/>
      <c r="P957" s="2"/>
      <c r="Q957" s="2"/>
      <c r="R957" s="2"/>
      <c r="S957" s="2"/>
      <c r="T957" s="2"/>
      <c r="U957" s="2"/>
      <c r="V957" s="2"/>
      <c r="W957" s="2"/>
      <c r="X957" s="2"/>
      <c r="Y957" s="2"/>
      <c r="Z957" s="2"/>
      <c r="AA957" s="2"/>
      <c r="AB957" s="2"/>
    </row>
    <row r="958">
      <c r="A958" s="8"/>
      <c r="B958" s="8"/>
      <c r="C958" s="8"/>
      <c r="D958" s="8"/>
      <c r="E958" s="8"/>
      <c r="F958" s="11"/>
      <c r="G958" s="2"/>
      <c r="H958" s="2"/>
      <c r="I958" s="2"/>
      <c r="J958" s="2"/>
      <c r="K958" s="2"/>
      <c r="L958" s="2"/>
      <c r="M958" s="2"/>
      <c r="N958" s="2"/>
      <c r="O958" s="2"/>
      <c r="P958" s="2"/>
      <c r="Q958" s="2"/>
      <c r="R958" s="2"/>
      <c r="S958" s="2"/>
      <c r="T958" s="2"/>
      <c r="U958" s="2"/>
      <c r="V958" s="2"/>
      <c r="W958" s="2"/>
      <c r="X958" s="2"/>
      <c r="Y958" s="2"/>
      <c r="Z958" s="2"/>
      <c r="AA958" s="2"/>
      <c r="AB958" s="2"/>
    </row>
    <row r="959">
      <c r="A959" s="8"/>
      <c r="B959" s="8"/>
      <c r="C959" s="8"/>
      <c r="D959" s="8"/>
      <c r="E959" s="8"/>
      <c r="F959" s="11"/>
      <c r="G959" s="2"/>
      <c r="H959" s="2"/>
      <c r="I959" s="2"/>
      <c r="J959" s="2"/>
      <c r="K959" s="2"/>
      <c r="L959" s="2"/>
      <c r="M959" s="2"/>
      <c r="N959" s="2"/>
      <c r="O959" s="2"/>
      <c r="P959" s="2"/>
      <c r="Q959" s="2"/>
      <c r="R959" s="2"/>
      <c r="S959" s="2"/>
      <c r="T959" s="2"/>
      <c r="U959" s="2"/>
      <c r="V959" s="2"/>
      <c r="W959" s="2"/>
      <c r="X959" s="2"/>
      <c r="Y959" s="2"/>
      <c r="Z959" s="2"/>
      <c r="AA959" s="2"/>
      <c r="AB959" s="2"/>
    </row>
    <row r="960">
      <c r="A960" s="8"/>
      <c r="B960" s="8"/>
      <c r="C960" s="8"/>
      <c r="D960" s="8"/>
      <c r="E960" s="8"/>
      <c r="F960" s="11"/>
      <c r="G960" s="2"/>
      <c r="H960" s="2"/>
      <c r="I960" s="2"/>
      <c r="J960" s="2"/>
      <c r="K960" s="2"/>
      <c r="L960" s="2"/>
      <c r="M960" s="2"/>
      <c r="N960" s="2"/>
      <c r="O960" s="2"/>
      <c r="P960" s="2"/>
      <c r="Q960" s="2"/>
      <c r="R960" s="2"/>
      <c r="S960" s="2"/>
      <c r="T960" s="2"/>
      <c r="U960" s="2"/>
      <c r="V960" s="2"/>
      <c r="W960" s="2"/>
      <c r="X960" s="2"/>
      <c r="Y960" s="2"/>
      <c r="Z960" s="2"/>
      <c r="AA960" s="2"/>
      <c r="AB960" s="2"/>
    </row>
    <row r="961">
      <c r="A961" s="8"/>
      <c r="B961" s="8"/>
      <c r="C961" s="8"/>
      <c r="D961" s="8"/>
      <c r="E961" s="8"/>
      <c r="F961" s="11"/>
      <c r="G961" s="2"/>
      <c r="H961" s="2"/>
      <c r="I961" s="2"/>
      <c r="J961" s="2"/>
      <c r="K961" s="2"/>
      <c r="L961" s="2"/>
      <c r="M961" s="2"/>
      <c r="N961" s="2"/>
      <c r="O961" s="2"/>
      <c r="P961" s="2"/>
      <c r="Q961" s="2"/>
      <c r="R961" s="2"/>
      <c r="S961" s="2"/>
      <c r="T961" s="2"/>
      <c r="U961" s="2"/>
      <c r="V961" s="2"/>
      <c r="W961" s="2"/>
      <c r="X961" s="2"/>
      <c r="Y961" s="2"/>
      <c r="Z961" s="2"/>
      <c r="AA961" s="2"/>
      <c r="AB961" s="2"/>
    </row>
    <row r="962">
      <c r="A962" s="8"/>
      <c r="B962" s="8"/>
      <c r="C962" s="8"/>
      <c r="D962" s="8"/>
      <c r="E962" s="8"/>
      <c r="F962" s="11"/>
      <c r="G962" s="2"/>
      <c r="H962" s="2"/>
      <c r="I962" s="2"/>
      <c r="J962" s="2"/>
      <c r="K962" s="2"/>
      <c r="L962" s="2"/>
      <c r="M962" s="2"/>
      <c r="N962" s="2"/>
      <c r="O962" s="2"/>
      <c r="P962" s="2"/>
      <c r="Q962" s="2"/>
      <c r="R962" s="2"/>
      <c r="S962" s="2"/>
      <c r="T962" s="2"/>
      <c r="U962" s="2"/>
      <c r="V962" s="2"/>
      <c r="W962" s="2"/>
      <c r="X962" s="2"/>
      <c r="Y962" s="2"/>
      <c r="Z962" s="2"/>
      <c r="AA962" s="2"/>
      <c r="AB962" s="2"/>
    </row>
    <row r="963">
      <c r="A963" s="8"/>
      <c r="B963" s="8"/>
      <c r="C963" s="8"/>
      <c r="D963" s="8"/>
      <c r="E963" s="8"/>
      <c r="F963" s="11"/>
      <c r="G963" s="2"/>
      <c r="H963" s="2"/>
      <c r="I963" s="2"/>
      <c r="J963" s="2"/>
      <c r="K963" s="2"/>
      <c r="L963" s="2"/>
      <c r="M963" s="2"/>
      <c r="N963" s="2"/>
      <c r="O963" s="2"/>
      <c r="P963" s="2"/>
      <c r="Q963" s="2"/>
      <c r="R963" s="2"/>
      <c r="S963" s="2"/>
      <c r="T963" s="2"/>
      <c r="U963" s="2"/>
      <c r="V963" s="2"/>
      <c r="W963" s="2"/>
      <c r="X963" s="2"/>
      <c r="Y963" s="2"/>
      <c r="Z963" s="2"/>
      <c r="AA963" s="2"/>
      <c r="AB963" s="2"/>
    </row>
    <row r="964">
      <c r="A964" s="8"/>
      <c r="B964" s="8"/>
      <c r="C964" s="8"/>
      <c r="D964" s="8"/>
      <c r="E964" s="8"/>
      <c r="F964" s="11"/>
      <c r="G964" s="2"/>
      <c r="H964" s="2"/>
      <c r="I964" s="2"/>
      <c r="J964" s="2"/>
      <c r="K964" s="2"/>
      <c r="L964" s="2"/>
      <c r="M964" s="2"/>
      <c r="N964" s="2"/>
      <c r="O964" s="2"/>
      <c r="P964" s="2"/>
      <c r="Q964" s="2"/>
      <c r="R964" s="2"/>
      <c r="S964" s="2"/>
      <c r="T964" s="2"/>
      <c r="U964" s="2"/>
      <c r="V964" s="2"/>
      <c r="W964" s="2"/>
      <c r="X964" s="2"/>
      <c r="Y964" s="2"/>
      <c r="Z964" s="2"/>
      <c r="AA964" s="2"/>
      <c r="AB964" s="2"/>
    </row>
    <row r="965">
      <c r="A965" s="8"/>
      <c r="B965" s="8"/>
      <c r="C965" s="8"/>
      <c r="D965" s="8"/>
      <c r="E965" s="8"/>
      <c r="F965" s="11"/>
      <c r="G965" s="2"/>
      <c r="H965" s="2"/>
      <c r="I965" s="2"/>
      <c r="J965" s="2"/>
      <c r="K965" s="2"/>
      <c r="L965" s="2"/>
      <c r="M965" s="2"/>
      <c r="N965" s="2"/>
      <c r="O965" s="2"/>
      <c r="P965" s="2"/>
      <c r="Q965" s="2"/>
      <c r="R965" s="2"/>
      <c r="S965" s="2"/>
      <c r="T965" s="2"/>
      <c r="U965" s="2"/>
      <c r="V965" s="2"/>
      <c r="W965" s="2"/>
      <c r="X965" s="2"/>
      <c r="Y965" s="2"/>
      <c r="Z965" s="2"/>
      <c r="AA965" s="2"/>
      <c r="AB965" s="2"/>
    </row>
    <row r="966">
      <c r="A966" s="8"/>
      <c r="B966" s="8"/>
      <c r="C966" s="8"/>
      <c r="D966" s="8"/>
      <c r="E966" s="8"/>
      <c r="F966" s="11"/>
      <c r="G966" s="2"/>
      <c r="H966" s="2"/>
      <c r="I966" s="2"/>
      <c r="J966" s="2"/>
      <c r="K966" s="2"/>
      <c r="L966" s="2"/>
      <c r="M966" s="2"/>
      <c r="N966" s="2"/>
      <c r="O966" s="2"/>
      <c r="P966" s="2"/>
      <c r="Q966" s="2"/>
      <c r="R966" s="2"/>
      <c r="S966" s="2"/>
      <c r="T966" s="2"/>
      <c r="U966" s="2"/>
      <c r="V966" s="2"/>
      <c r="W966" s="2"/>
      <c r="X966" s="2"/>
      <c r="Y966" s="2"/>
      <c r="Z966" s="2"/>
      <c r="AA966" s="2"/>
      <c r="AB966" s="2"/>
    </row>
    <row r="967">
      <c r="A967" s="8"/>
      <c r="B967" s="8"/>
      <c r="C967" s="8"/>
      <c r="D967" s="8"/>
      <c r="E967" s="8"/>
      <c r="F967" s="11"/>
      <c r="G967" s="2"/>
      <c r="H967" s="2"/>
      <c r="I967" s="2"/>
      <c r="J967" s="2"/>
      <c r="K967" s="2"/>
      <c r="L967" s="2"/>
      <c r="M967" s="2"/>
      <c r="N967" s="2"/>
      <c r="O967" s="2"/>
      <c r="P967" s="2"/>
      <c r="Q967" s="2"/>
      <c r="R967" s="2"/>
      <c r="S967" s="2"/>
      <c r="T967" s="2"/>
      <c r="U967" s="2"/>
      <c r="V967" s="2"/>
      <c r="W967" s="2"/>
      <c r="X967" s="2"/>
      <c r="Y967" s="2"/>
      <c r="Z967" s="2"/>
      <c r="AA967" s="2"/>
      <c r="AB967" s="2"/>
    </row>
    <row r="968">
      <c r="A968" s="8"/>
      <c r="B968" s="8"/>
      <c r="C968" s="8"/>
      <c r="D968" s="8"/>
      <c r="E968" s="8"/>
      <c r="F968" s="11"/>
      <c r="G968" s="2"/>
      <c r="H968" s="2"/>
      <c r="I968" s="2"/>
      <c r="J968" s="2"/>
      <c r="K968" s="2"/>
      <c r="L968" s="2"/>
      <c r="M968" s="2"/>
      <c r="N968" s="2"/>
      <c r="O968" s="2"/>
      <c r="P968" s="2"/>
      <c r="Q968" s="2"/>
      <c r="R968" s="2"/>
      <c r="S968" s="2"/>
      <c r="T968" s="2"/>
      <c r="U968" s="2"/>
      <c r="V968" s="2"/>
      <c r="W968" s="2"/>
      <c r="X968" s="2"/>
      <c r="Y968" s="2"/>
      <c r="Z968" s="2"/>
      <c r="AA968" s="2"/>
      <c r="AB968" s="2"/>
    </row>
    <row r="969">
      <c r="A969" s="8"/>
      <c r="B969" s="8"/>
      <c r="C969" s="8"/>
      <c r="D969" s="8"/>
      <c r="E969" s="8"/>
      <c r="F969" s="11"/>
      <c r="G969" s="2"/>
      <c r="H969" s="2"/>
      <c r="I969" s="2"/>
      <c r="J969" s="2"/>
      <c r="K969" s="2"/>
      <c r="L969" s="2"/>
      <c r="M969" s="2"/>
      <c r="N969" s="2"/>
      <c r="O969" s="2"/>
      <c r="P969" s="2"/>
      <c r="Q969" s="2"/>
      <c r="R969" s="2"/>
      <c r="S969" s="2"/>
      <c r="T969" s="2"/>
      <c r="U969" s="2"/>
      <c r="V969" s="2"/>
      <c r="W969" s="2"/>
      <c r="X969" s="2"/>
      <c r="Y969" s="2"/>
      <c r="Z969" s="2"/>
      <c r="AA969" s="2"/>
      <c r="AB969" s="2"/>
    </row>
    <row r="970">
      <c r="A970" s="8"/>
      <c r="B970" s="8"/>
      <c r="C970" s="8"/>
      <c r="D970" s="8"/>
      <c r="E970" s="8"/>
      <c r="F970" s="11"/>
      <c r="G970" s="2"/>
      <c r="H970" s="2"/>
      <c r="I970" s="2"/>
      <c r="J970" s="2"/>
      <c r="K970" s="2"/>
      <c r="L970" s="2"/>
      <c r="M970" s="2"/>
      <c r="N970" s="2"/>
      <c r="O970" s="2"/>
      <c r="P970" s="2"/>
      <c r="Q970" s="2"/>
      <c r="R970" s="2"/>
      <c r="S970" s="2"/>
      <c r="T970" s="2"/>
      <c r="U970" s="2"/>
      <c r="V970" s="2"/>
      <c r="W970" s="2"/>
      <c r="X970" s="2"/>
      <c r="Y970" s="2"/>
      <c r="Z970" s="2"/>
      <c r="AA970" s="2"/>
      <c r="AB970" s="2"/>
    </row>
    <row r="971">
      <c r="A971" s="8"/>
      <c r="B971" s="8"/>
      <c r="C971" s="8"/>
      <c r="D971" s="8"/>
      <c r="E971" s="8"/>
      <c r="F971" s="11"/>
      <c r="G971" s="2"/>
      <c r="H971" s="2"/>
      <c r="I971" s="2"/>
      <c r="J971" s="2"/>
      <c r="K971" s="2"/>
      <c r="L971" s="2"/>
      <c r="M971" s="2"/>
      <c r="N971" s="2"/>
      <c r="O971" s="2"/>
      <c r="P971" s="2"/>
      <c r="Q971" s="2"/>
      <c r="R971" s="2"/>
      <c r="S971" s="2"/>
      <c r="T971" s="2"/>
      <c r="U971" s="2"/>
      <c r="V971" s="2"/>
      <c r="W971" s="2"/>
      <c r="X971" s="2"/>
      <c r="Y971" s="2"/>
      <c r="Z971" s="2"/>
      <c r="AA971" s="2"/>
      <c r="AB971" s="2"/>
    </row>
    <row r="972">
      <c r="A972" s="8"/>
      <c r="B972" s="8"/>
      <c r="C972" s="8"/>
      <c r="D972" s="8"/>
      <c r="E972" s="8"/>
      <c r="F972" s="11"/>
      <c r="G972" s="2"/>
      <c r="H972" s="2"/>
      <c r="I972" s="2"/>
      <c r="J972" s="2"/>
      <c r="K972" s="2"/>
      <c r="L972" s="2"/>
      <c r="M972" s="2"/>
      <c r="N972" s="2"/>
      <c r="O972" s="2"/>
      <c r="P972" s="2"/>
      <c r="Q972" s="2"/>
      <c r="R972" s="2"/>
      <c r="S972" s="2"/>
      <c r="T972" s="2"/>
      <c r="U972" s="2"/>
      <c r="V972" s="2"/>
      <c r="W972" s="2"/>
      <c r="X972" s="2"/>
      <c r="Y972" s="2"/>
      <c r="Z972" s="2"/>
      <c r="AA972" s="2"/>
      <c r="AB972" s="2"/>
    </row>
    <row r="973">
      <c r="A973" s="8"/>
      <c r="B973" s="8"/>
      <c r="C973" s="8"/>
      <c r="D973" s="8"/>
      <c r="E973" s="8"/>
      <c r="F973" s="11"/>
      <c r="G973" s="2"/>
      <c r="H973" s="2"/>
      <c r="I973" s="2"/>
      <c r="J973" s="2"/>
      <c r="K973" s="2"/>
      <c r="L973" s="2"/>
      <c r="M973" s="2"/>
      <c r="N973" s="2"/>
      <c r="O973" s="2"/>
      <c r="P973" s="2"/>
      <c r="Q973" s="2"/>
      <c r="R973" s="2"/>
      <c r="S973" s="2"/>
      <c r="T973" s="2"/>
      <c r="U973" s="2"/>
      <c r="V973" s="2"/>
      <c r="W973" s="2"/>
      <c r="X973" s="2"/>
      <c r="Y973" s="2"/>
      <c r="Z973" s="2"/>
      <c r="AA973" s="2"/>
      <c r="AB973" s="2"/>
    </row>
    <row r="974">
      <c r="A974" s="8"/>
      <c r="B974" s="8"/>
      <c r="C974" s="8"/>
      <c r="D974" s="8"/>
      <c r="E974" s="8"/>
      <c r="F974" s="11"/>
      <c r="G974" s="2"/>
      <c r="H974" s="2"/>
      <c r="I974" s="2"/>
      <c r="J974" s="2"/>
      <c r="K974" s="2"/>
      <c r="L974" s="2"/>
      <c r="M974" s="2"/>
      <c r="N974" s="2"/>
      <c r="O974" s="2"/>
      <c r="P974" s="2"/>
      <c r="Q974" s="2"/>
      <c r="R974" s="2"/>
      <c r="S974" s="2"/>
      <c r="T974" s="2"/>
      <c r="U974" s="2"/>
      <c r="V974" s="2"/>
      <c r="W974" s="2"/>
      <c r="X974" s="2"/>
      <c r="Y974" s="2"/>
      <c r="Z974" s="2"/>
      <c r="AA974" s="2"/>
      <c r="AB974" s="2"/>
    </row>
    <row r="975">
      <c r="A975" s="8"/>
      <c r="B975" s="8"/>
      <c r="C975" s="8"/>
      <c r="D975" s="8"/>
      <c r="E975" s="8"/>
      <c r="F975" s="11"/>
      <c r="G975" s="2"/>
      <c r="H975" s="2"/>
      <c r="I975" s="2"/>
      <c r="J975" s="2"/>
      <c r="K975" s="2"/>
      <c r="L975" s="2"/>
      <c r="M975" s="2"/>
      <c r="N975" s="2"/>
      <c r="O975" s="2"/>
      <c r="P975" s="2"/>
      <c r="Q975" s="2"/>
      <c r="R975" s="2"/>
      <c r="S975" s="2"/>
      <c r="T975" s="2"/>
      <c r="U975" s="2"/>
      <c r="V975" s="2"/>
      <c r="W975" s="2"/>
      <c r="X975" s="2"/>
      <c r="Y975" s="2"/>
      <c r="Z975" s="2"/>
      <c r="AA975" s="2"/>
      <c r="AB975" s="2"/>
    </row>
    <row r="976">
      <c r="A976" s="8"/>
      <c r="B976" s="8"/>
      <c r="C976" s="8"/>
      <c r="D976" s="8"/>
      <c r="E976" s="8"/>
      <c r="F976" s="11"/>
      <c r="G976" s="2"/>
      <c r="H976" s="2"/>
      <c r="I976" s="2"/>
      <c r="J976" s="2"/>
      <c r="K976" s="2"/>
      <c r="L976" s="2"/>
      <c r="M976" s="2"/>
      <c r="N976" s="2"/>
      <c r="O976" s="2"/>
      <c r="P976" s="2"/>
      <c r="Q976" s="2"/>
      <c r="R976" s="2"/>
      <c r="S976" s="2"/>
      <c r="T976" s="2"/>
      <c r="U976" s="2"/>
      <c r="V976" s="2"/>
      <c r="W976" s="2"/>
      <c r="X976" s="2"/>
      <c r="Y976" s="2"/>
      <c r="Z976" s="2"/>
      <c r="AA976" s="2"/>
      <c r="AB976" s="2"/>
    </row>
    <row r="977">
      <c r="A977" s="8"/>
      <c r="B977" s="8"/>
      <c r="C977" s="8"/>
      <c r="D977" s="8"/>
      <c r="E977" s="8"/>
      <c r="F977" s="11"/>
      <c r="G977" s="2"/>
      <c r="H977" s="2"/>
      <c r="I977" s="2"/>
      <c r="J977" s="2"/>
      <c r="K977" s="2"/>
      <c r="L977" s="2"/>
      <c r="M977" s="2"/>
      <c r="N977" s="2"/>
      <c r="O977" s="2"/>
      <c r="P977" s="2"/>
      <c r="Q977" s="2"/>
      <c r="R977" s="2"/>
      <c r="S977" s="2"/>
      <c r="T977" s="2"/>
      <c r="U977" s="2"/>
      <c r="V977" s="2"/>
      <c r="W977" s="2"/>
      <c r="X977" s="2"/>
      <c r="Y977" s="2"/>
      <c r="Z977" s="2"/>
      <c r="AA977" s="2"/>
      <c r="AB977" s="2"/>
    </row>
    <row r="978">
      <c r="A978" s="8"/>
      <c r="B978" s="8"/>
      <c r="C978" s="8"/>
      <c r="D978" s="8"/>
      <c r="E978" s="8"/>
      <c r="F978" s="11"/>
      <c r="G978" s="2"/>
      <c r="H978" s="2"/>
      <c r="I978" s="2"/>
      <c r="J978" s="2"/>
      <c r="K978" s="2"/>
      <c r="L978" s="2"/>
      <c r="M978" s="2"/>
      <c r="N978" s="2"/>
      <c r="O978" s="2"/>
      <c r="P978" s="2"/>
      <c r="Q978" s="2"/>
      <c r="R978" s="2"/>
      <c r="S978" s="2"/>
      <c r="T978" s="2"/>
      <c r="U978" s="2"/>
      <c r="V978" s="2"/>
      <c r="W978" s="2"/>
      <c r="X978" s="2"/>
      <c r="Y978" s="2"/>
      <c r="Z978" s="2"/>
      <c r="AA978" s="2"/>
      <c r="AB978" s="2"/>
    </row>
    <row r="979">
      <c r="A979" s="8"/>
      <c r="B979" s="8"/>
      <c r="C979" s="8"/>
      <c r="D979" s="8"/>
      <c r="E979" s="8"/>
      <c r="F979" s="11"/>
      <c r="G979" s="2"/>
      <c r="H979" s="2"/>
      <c r="I979" s="2"/>
      <c r="J979" s="2"/>
      <c r="K979" s="2"/>
      <c r="L979" s="2"/>
      <c r="M979" s="2"/>
      <c r="N979" s="2"/>
      <c r="O979" s="2"/>
      <c r="P979" s="2"/>
      <c r="Q979" s="2"/>
      <c r="R979" s="2"/>
      <c r="S979" s="2"/>
      <c r="T979" s="2"/>
      <c r="U979" s="2"/>
      <c r="V979" s="2"/>
      <c r="W979" s="2"/>
      <c r="X979" s="2"/>
      <c r="Y979" s="2"/>
      <c r="Z979" s="2"/>
      <c r="AA979" s="2"/>
      <c r="AB979" s="2"/>
    </row>
    <row r="980">
      <c r="A980" s="8"/>
      <c r="B980" s="8"/>
      <c r="C980" s="8"/>
      <c r="D980" s="8"/>
      <c r="E980" s="8"/>
      <c r="F980" s="11"/>
      <c r="G980" s="2"/>
      <c r="H980" s="2"/>
      <c r="I980" s="2"/>
      <c r="J980" s="2"/>
      <c r="K980" s="2"/>
      <c r="L980" s="2"/>
      <c r="M980" s="2"/>
      <c r="N980" s="2"/>
      <c r="O980" s="2"/>
      <c r="P980" s="2"/>
      <c r="Q980" s="2"/>
      <c r="R980" s="2"/>
      <c r="S980" s="2"/>
      <c r="T980" s="2"/>
      <c r="U980" s="2"/>
      <c r="V980" s="2"/>
      <c r="W980" s="2"/>
      <c r="X980" s="2"/>
      <c r="Y980" s="2"/>
      <c r="Z980" s="2"/>
      <c r="AA980" s="2"/>
      <c r="AB980" s="2"/>
    </row>
    <row r="981">
      <c r="A981" s="8"/>
      <c r="B981" s="8"/>
      <c r="C981" s="8"/>
      <c r="D981" s="8"/>
      <c r="E981" s="8"/>
      <c r="F981" s="11"/>
      <c r="G981" s="2"/>
      <c r="H981" s="2"/>
      <c r="I981" s="2"/>
      <c r="J981" s="2"/>
      <c r="K981" s="2"/>
      <c r="L981" s="2"/>
      <c r="M981" s="2"/>
      <c r="N981" s="2"/>
      <c r="O981" s="2"/>
      <c r="P981" s="2"/>
      <c r="Q981" s="2"/>
      <c r="R981" s="2"/>
      <c r="S981" s="2"/>
      <c r="T981" s="2"/>
      <c r="U981" s="2"/>
      <c r="V981" s="2"/>
      <c r="W981" s="2"/>
      <c r="X981" s="2"/>
      <c r="Y981" s="2"/>
      <c r="Z981" s="2"/>
      <c r="AA981" s="2"/>
      <c r="AB981" s="2"/>
    </row>
    <row r="982">
      <c r="A982" s="8"/>
      <c r="B982" s="8"/>
      <c r="C982" s="8"/>
      <c r="D982" s="8"/>
      <c r="E982" s="8"/>
      <c r="F982" s="11"/>
      <c r="G982" s="2"/>
      <c r="H982" s="2"/>
      <c r="I982" s="2"/>
      <c r="J982" s="2"/>
      <c r="K982" s="2"/>
      <c r="L982" s="2"/>
      <c r="M982" s="2"/>
      <c r="N982" s="2"/>
      <c r="O982" s="2"/>
      <c r="P982" s="2"/>
      <c r="Q982" s="2"/>
      <c r="R982" s="2"/>
      <c r="S982" s="2"/>
      <c r="T982" s="2"/>
      <c r="U982" s="2"/>
      <c r="V982" s="2"/>
      <c r="W982" s="2"/>
      <c r="X982" s="2"/>
      <c r="Y982" s="2"/>
      <c r="Z982" s="2"/>
      <c r="AA982" s="2"/>
      <c r="AB982" s="2"/>
    </row>
    <row r="983">
      <c r="A983" s="8"/>
      <c r="B983" s="8"/>
      <c r="C983" s="8"/>
      <c r="D983" s="8"/>
      <c r="E983" s="8"/>
      <c r="F983" s="11"/>
      <c r="G983" s="2"/>
      <c r="H983" s="2"/>
      <c r="I983" s="2"/>
      <c r="J983" s="2"/>
      <c r="K983" s="2"/>
      <c r="L983" s="2"/>
      <c r="M983" s="2"/>
      <c r="N983" s="2"/>
      <c r="O983" s="2"/>
      <c r="P983" s="2"/>
      <c r="Q983" s="2"/>
      <c r="R983" s="2"/>
      <c r="S983" s="2"/>
      <c r="T983" s="2"/>
      <c r="U983" s="2"/>
      <c r="V983" s="2"/>
      <c r="W983" s="2"/>
      <c r="X983" s="2"/>
      <c r="Y983" s="2"/>
      <c r="Z983" s="2"/>
      <c r="AA983" s="2"/>
      <c r="AB983" s="2"/>
    </row>
    <row r="984">
      <c r="A984" s="8"/>
      <c r="B984" s="8"/>
      <c r="C984" s="8"/>
      <c r="D984" s="8"/>
      <c r="E984" s="8"/>
      <c r="F984" s="11"/>
      <c r="G984" s="2"/>
      <c r="H984" s="2"/>
      <c r="I984" s="2"/>
      <c r="J984" s="2"/>
      <c r="K984" s="2"/>
      <c r="L984" s="2"/>
      <c r="M984" s="2"/>
      <c r="N984" s="2"/>
      <c r="O984" s="2"/>
      <c r="P984" s="2"/>
      <c r="Q984" s="2"/>
      <c r="R984" s="2"/>
      <c r="S984" s="2"/>
      <c r="T984" s="2"/>
      <c r="U984" s="2"/>
      <c r="V984" s="2"/>
      <c r="W984" s="2"/>
      <c r="X984" s="2"/>
      <c r="Y984" s="2"/>
      <c r="Z984" s="2"/>
      <c r="AA984" s="2"/>
      <c r="AB984" s="2"/>
    </row>
    <row r="985">
      <c r="A985" s="8"/>
      <c r="B985" s="8"/>
      <c r="C985" s="8"/>
      <c r="D985" s="8"/>
      <c r="E985" s="8"/>
      <c r="F985" s="11"/>
      <c r="G985" s="2"/>
      <c r="H985" s="2"/>
      <c r="I985" s="2"/>
      <c r="J985" s="2"/>
      <c r="K985" s="2"/>
      <c r="L985" s="2"/>
      <c r="M985" s="2"/>
      <c r="N985" s="2"/>
      <c r="O985" s="2"/>
      <c r="P985" s="2"/>
      <c r="Q985" s="2"/>
      <c r="R985" s="2"/>
      <c r="S985" s="2"/>
      <c r="T985" s="2"/>
      <c r="U985" s="2"/>
      <c r="V985" s="2"/>
      <c r="W985" s="2"/>
      <c r="X985" s="2"/>
      <c r="Y985" s="2"/>
      <c r="Z985" s="2"/>
      <c r="AA985" s="2"/>
      <c r="AB985" s="2"/>
    </row>
    <row r="986">
      <c r="A986" s="8"/>
      <c r="B986" s="8"/>
      <c r="C986" s="8"/>
      <c r="D986" s="8"/>
      <c r="E986" s="8"/>
      <c r="F986" s="11"/>
      <c r="G986" s="2"/>
      <c r="H986" s="2"/>
      <c r="I986" s="2"/>
      <c r="J986" s="2"/>
      <c r="K986" s="2"/>
      <c r="L986" s="2"/>
      <c r="M986" s="2"/>
      <c r="N986" s="2"/>
      <c r="O986" s="2"/>
      <c r="P986" s="2"/>
      <c r="Q986" s="2"/>
      <c r="R986" s="2"/>
      <c r="S986" s="2"/>
      <c r="T986" s="2"/>
      <c r="U986" s="2"/>
      <c r="V986" s="2"/>
      <c r="W986" s="2"/>
      <c r="X986" s="2"/>
      <c r="Y986" s="2"/>
      <c r="Z986" s="2"/>
      <c r="AA986" s="2"/>
      <c r="AB986" s="2"/>
    </row>
    <row r="987">
      <c r="A987" s="8"/>
      <c r="B987" s="8"/>
      <c r="C987" s="8"/>
      <c r="D987" s="8"/>
      <c r="E987" s="8"/>
      <c r="F987" s="11"/>
      <c r="G987" s="2"/>
      <c r="H987" s="2"/>
      <c r="I987" s="2"/>
      <c r="J987" s="2"/>
      <c r="K987" s="2"/>
      <c r="L987" s="2"/>
      <c r="M987" s="2"/>
      <c r="N987" s="2"/>
      <c r="O987" s="2"/>
      <c r="P987" s="2"/>
      <c r="Q987" s="2"/>
      <c r="R987" s="2"/>
      <c r="S987" s="2"/>
      <c r="T987" s="2"/>
      <c r="U987" s="2"/>
      <c r="V987" s="2"/>
      <c r="W987" s="2"/>
      <c r="X987" s="2"/>
      <c r="Y987" s="2"/>
      <c r="Z987" s="2"/>
      <c r="AA987" s="2"/>
      <c r="AB987" s="2"/>
    </row>
    <row r="988">
      <c r="A988" s="8"/>
      <c r="B988" s="8"/>
      <c r="C988" s="8"/>
      <c r="D988" s="8"/>
      <c r="E988" s="8"/>
      <c r="F988" s="11"/>
      <c r="G988" s="2"/>
      <c r="H988" s="2"/>
      <c r="I988" s="2"/>
      <c r="J988" s="2"/>
      <c r="K988" s="2"/>
      <c r="L988" s="2"/>
      <c r="M988" s="2"/>
      <c r="N988" s="2"/>
      <c r="O988" s="2"/>
      <c r="P988" s="2"/>
      <c r="Q988" s="2"/>
      <c r="R988" s="2"/>
      <c r="S988" s="2"/>
      <c r="T988" s="2"/>
      <c r="U988" s="2"/>
      <c r="V988" s="2"/>
      <c r="W988" s="2"/>
      <c r="X988" s="2"/>
      <c r="Y988" s="2"/>
      <c r="Z988" s="2"/>
      <c r="AA988" s="2"/>
      <c r="AB988" s="2"/>
    </row>
    <row r="989">
      <c r="A989" s="8"/>
      <c r="B989" s="8"/>
      <c r="C989" s="8"/>
      <c r="D989" s="8"/>
      <c r="E989" s="8"/>
      <c r="F989" s="11"/>
      <c r="G989" s="2"/>
      <c r="H989" s="2"/>
      <c r="I989" s="2"/>
      <c r="J989" s="2"/>
      <c r="K989" s="2"/>
      <c r="L989" s="2"/>
      <c r="M989" s="2"/>
      <c r="N989" s="2"/>
      <c r="O989" s="2"/>
      <c r="P989" s="2"/>
      <c r="Q989" s="2"/>
      <c r="R989" s="2"/>
      <c r="S989" s="2"/>
      <c r="T989" s="2"/>
      <c r="U989" s="2"/>
      <c r="V989" s="2"/>
      <c r="W989" s="2"/>
      <c r="X989" s="2"/>
      <c r="Y989" s="2"/>
      <c r="Z989" s="2"/>
      <c r="AA989" s="2"/>
      <c r="AB989" s="2"/>
    </row>
    <row r="990">
      <c r="A990" s="8"/>
      <c r="B990" s="8"/>
      <c r="C990" s="8"/>
      <c r="D990" s="8"/>
      <c r="E990" s="8"/>
      <c r="F990" s="11"/>
      <c r="G990" s="2"/>
      <c r="H990" s="2"/>
      <c r="I990" s="2"/>
      <c r="J990" s="2"/>
      <c r="K990" s="2"/>
      <c r="L990" s="2"/>
      <c r="M990" s="2"/>
      <c r="N990" s="2"/>
      <c r="O990" s="2"/>
      <c r="P990" s="2"/>
      <c r="Q990" s="2"/>
      <c r="R990" s="2"/>
      <c r="S990" s="2"/>
      <c r="T990" s="2"/>
      <c r="U990" s="2"/>
      <c r="V990" s="2"/>
      <c r="W990" s="2"/>
      <c r="X990" s="2"/>
      <c r="Y990" s="2"/>
      <c r="Z990" s="2"/>
      <c r="AA990" s="2"/>
      <c r="AB990" s="2"/>
    </row>
    <row r="991">
      <c r="A991" s="8"/>
      <c r="B991" s="8"/>
      <c r="C991" s="8"/>
      <c r="D991" s="8"/>
      <c r="E991" s="8"/>
      <c r="F991" s="11"/>
      <c r="G991" s="2"/>
      <c r="H991" s="2"/>
      <c r="I991" s="2"/>
      <c r="J991" s="2"/>
      <c r="K991" s="2"/>
      <c r="L991" s="2"/>
      <c r="M991" s="2"/>
      <c r="N991" s="2"/>
      <c r="O991" s="2"/>
      <c r="P991" s="2"/>
      <c r="Q991" s="2"/>
      <c r="R991" s="2"/>
      <c r="S991" s="2"/>
      <c r="T991" s="2"/>
      <c r="U991" s="2"/>
      <c r="V991" s="2"/>
      <c r="W991" s="2"/>
      <c r="X991" s="2"/>
      <c r="Y991" s="2"/>
      <c r="Z991" s="2"/>
      <c r="AA991" s="2"/>
      <c r="AB991"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11.33"/>
    <col customWidth="1" min="2" max="2" width="34.22"/>
    <col customWidth="1" min="3" max="3" width="9.89"/>
    <col customWidth="1" min="5" max="5" width="28.56"/>
    <col customWidth="1" min="6" max="6" width="15.67"/>
    <col customWidth="1" min="7" max="7" width="12.44"/>
    <col customWidth="1" min="8" max="8" width="12.11"/>
    <col customWidth="1" min="9" max="9" width="16.11"/>
    <col customWidth="1" min="10" max="10" width="23.56"/>
    <col customWidth="1" min="11" max="11" width="14.44"/>
    <col customWidth="1" min="12" max="24" width="28.11"/>
  </cols>
  <sheetData>
    <row r="1" ht="57.75" customHeight="1">
      <c r="A1" s="1" t="s">
        <v>5</v>
      </c>
      <c r="B1" s="1" t="s">
        <v>8</v>
      </c>
      <c r="C1" s="1" t="s">
        <v>9</v>
      </c>
      <c r="D1" s="1" t="s">
        <v>10</v>
      </c>
      <c r="E1" s="1" t="s">
        <v>11</v>
      </c>
      <c r="F1" s="1" t="s">
        <v>12</v>
      </c>
      <c r="G1" s="1" t="s">
        <v>13</v>
      </c>
      <c r="H1" s="1" t="s">
        <v>14</v>
      </c>
      <c r="I1" s="1" t="s">
        <v>15</v>
      </c>
      <c r="J1" s="1" t="s">
        <v>16</v>
      </c>
      <c r="K1" s="1" t="s">
        <v>17</v>
      </c>
      <c r="L1" s="21"/>
      <c r="M1" s="21"/>
      <c r="N1" s="21"/>
      <c r="O1" s="21"/>
      <c r="P1" s="21"/>
      <c r="Q1" s="21"/>
      <c r="R1" s="21"/>
      <c r="S1" s="21"/>
      <c r="T1" s="21"/>
      <c r="U1" s="21"/>
      <c r="V1" s="21"/>
      <c r="W1" s="21"/>
      <c r="X1" s="21"/>
    </row>
    <row r="2" ht="39.0" customHeight="1">
      <c r="A2" s="22"/>
      <c r="B2" s="23"/>
      <c r="C2" s="23"/>
      <c r="D2" s="24" t="s">
        <v>18</v>
      </c>
      <c r="E2" s="25"/>
      <c r="F2" s="23"/>
      <c r="G2" s="26"/>
      <c r="H2" s="27"/>
      <c r="I2" s="28"/>
      <c r="J2" s="28"/>
      <c r="K2" s="23" t="str">
        <f>IF(COUNTIF('5.Deliverable List'!$B:$B,D2)&gt;0,"Yes","No")</f>
        <v>No</v>
      </c>
      <c r="L2" s="21"/>
      <c r="M2" s="21"/>
      <c r="N2" s="21"/>
      <c r="O2" s="21"/>
      <c r="P2" s="21"/>
      <c r="Q2" s="21"/>
      <c r="R2" s="21"/>
      <c r="S2" s="21"/>
      <c r="T2" s="21"/>
      <c r="U2" s="21"/>
      <c r="V2" s="21"/>
      <c r="W2" s="21"/>
      <c r="X2" s="21"/>
    </row>
    <row r="3" ht="22.5" customHeight="1">
      <c r="A3" s="22"/>
      <c r="B3" s="23"/>
      <c r="C3" s="23"/>
      <c r="D3" s="23"/>
      <c r="E3" s="29"/>
      <c r="F3" s="23"/>
      <c r="G3" s="30"/>
      <c r="H3" s="30"/>
      <c r="I3" s="28"/>
      <c r="J3" s="28"/>
      <c r="K3" s="23" t="str">
        <f>IF(COUNTIF('5.Deliverable List'!$B:$B,D3)&gt;0,"Yes","No")</f>
        <v>No</v>
      </c>
      <c r="L3" s="21"/>
      <c r="M3" s="21"/>
      <c r="N3" s="21"/>
      <c r="O3" s="21"/>
      <c r="P3" s="21"/>
      <c r="Q3" s="21"/>
      <c r="R3" s="21"/>
      <c r="S3" s="21"/>
      <c r="T3" s="21"/>
      <c r="U3" s="21"/>
      <c r="V3" s="21"/>
      <c r="W3" s="21"/>
      <c r="X3" s="21"/>
    </row>
    <row r="4" ht="22.5" customHeight="1">
      <c r="A4" s="22"/>
      <c r="B4" s="23"/>
      <c r="C4" s="23"/>
      <c r="D4" s="23"/>
      <c r="E4" s="31"/>
      <c r="F4" s="23"/>
      <c r="G4" s="30"/>
      <c r="H4" s="30"/>
      <c r="I4" s="28"/>
      <c r="J4" s="28"/>
      <c r="K4" s="23" t="str">
        <f>IF(COUNTIF('5.Deliverable List'!$B:$B,D4)&gt;0,"Yes","No")</f>
        <v>No</v>
      </c>
      <c r="L4" s="21"/>
      <c r="M4" s="21"/>
      <c r="N4" s="21"/>
      <c r="O4" s="21"/>
      <c r="P4" s="21"/>
      <c r="Q4" s="21"/>
      <c r="R4" s="21"/>
      <c r="S4" s="21"/>
      <c r="T4" s="21"/>
      <c r="U4" s="21"/>
      <c r="V4" s="21"/>
      <c r="W4" s="21"/>
      <c r="X4" s="21"/>
    </row>
    <row r="5" ht="32.25" customHeight="1">
      <c r="A5" s="22"/>
      <c r="B5" s="23"/>
      <c r="C5" s="23"/>
      <c r="D5" s="23"/>
      <c r="E5" s="25"/>
      <c r="F5" s="23"/>
      <c r="G5" s="30"/>
      <c r="H5" s="30"/>
      <c r="I5" s="28"/>
      <c r="J5" s="28"/>
      <c r="K5" s="23" t="str">
        <f>IF(COUNTIF('5.Deliverable List'!$B:$B,D5)&gt;0,"Yes","No")</f>
        <v>No</v>
      </c>
      <c r="L5" s="21"/>
      <c r="M5" s="21"/>
      <c r="N5" s="21"/>
      <c r="O5" s="21"/>
      <c r="P5" s="21"/>
      <c r="Q5" s="21"/>
      <c r="R5" s="21"/>
      <c r="S5" s="21"/>
      <c r="T5" s="21"/>
      <c r="U5" s="21"/>
      <c r="V5" s="21"/>
      <c r="W5" s="21"/>
      <c r="X5" s="21"/>
    </row>
    <row r="6" ht="40.5" customHeight="1">
      <c r="A6" s="22"/>
      <c r="B6" s="23"/>
      <c r="C6" s="23"/>
      <c r="D6" s="23"/>
      <c r="E6" s="25"/>
      <c r="F6" s="23"/>
      <c r="G6" s="30"/>
      <c r="H6" s="30"/>
      <c r="I6" s="28"/>
      <c r="J6" s="28"/>
      <c r="K6" s="23" t="str">
        <f>IF(COUNTIF('5.Deliverable List'!$B:$B,D6)&gt;0,"Yes","No")</f>
        <v>No</v>
      </c>
      <c r="L6" s="21"/>
      <c r="M6" s="21"/>
      <c r="N6" s="21"/>
      <c r="O6" s="21"/>
      <c r="P6" s="21"/>
      <c r="Q6" s="21"/>
      <c r="R6" s="21"/>
      <c r="S6" s="21"/>
      <c r="T6" s="21"/>
      <c r="U6" s="21"/>
      <c r="V6" s="21"/>
      <c r="W6" s="21"/>
      <c r="X6" s="21"/>
    </row>
    <row r="7" ht="22.5" customHeight="1">
      <c r="A7" s="22"/>
      <c r="B7" s="23"/>
      <c r="C7" s="23"/>
      <c r="D7" s="23"/>
      <c r="E7" s="25"/>
      <c r="F7" s="23"/>
      <c r="G7" s="30"/>
      <c r="H7" s="30"/>
      <c r="I7" s="28"/>
      <c r="J7" s="28"/>
      <c r="K7" s="23" t="str">
        <f>IF(COUNTIF('5.Deliverable List'!$B:$B,D7)&gt;0,"Yes","No")</f>
        <v>No</v>
      </c>
      <c r="L7" s="21"/>
      <c r="M7" s="21"/>
      <c r="N7" s="21"/>
      <c r="O7" s="21"/>
      <c r="P7" s="21"/>
      <c r="Q7" s="21"/>
      <c r="R7" s="21"/>
      <c r="S7" s="21"/>
      <c r="T7" s="21"/>
      <c r="U7" s="21"/>
      <c r="V7" s="21"/>
      <c r="W7" s="21"/>
      <c r="X7" s="21"/>
    </row>
    <row r="8" ht="22.5" customHeight="1">
      <c r="A8" s="22"/>
      <c r="B8" s="23"/>
      <c r="C8" s="23"/>
      <c r="D8" s="23"/>
      <c r="E8" s="25"/>
      <c r="F8" s="23"/>
      <c r="G8" s="30"/>
      <c r="H8" s="30"/>
      <c r="I8" s="28"/>
      <c r="J8" s="28"/>
      <c r="K8" s="23" t="str">
        <f>IF(COUNTIF('5.Deliverable List'!$B:$B,D8)&gt;0,"Yes","No")</f>
        <v>No</v>
      </c>
      <c r="L8" s="21"/>
      <c r="M8" s="21"/>
      <c r="N8" s="21"/>
      <c r="O8" s="21"/>
      <c r="P8" s="21"/>
      <c r="Q8" s="21"/>
      <c r="R8" s="21"/>
      <c r="S8" s="21"/>
      <c r="T8" s="21"/>
      <c r="U8" s="21"/>
      <c r="V8" s="21"/>
      <c r="W8" s="21"/>
      <c r="X8" s="21"/>
    </row>
    <row r="9" ht="22.5" customHeight="1">
      <c r="A9" s="23"/>
      <c r="B9" s="23"/>
      <c r="C9" s="23"/>
      <c r="D9" s="23"/>
      <c r="E9" s="25"/>
      <c r="F9" s="23"/>
      <c r="G9" s="23"/>
      <c r="H9" s="23"/>
      <c r="I9" s="28"/>
      <c r="J9" s="28"/>
      <c r="K9" s="23" t="str">
        <f>IF(COUNTIF('5.Deliverable List'!$B:$B,D9)&gt;0,"Yes","No")</f>
        <v>No</v>
      </c>
      <c r="L9" s="21"/>
      <c r="M9" s="21"/>
      <c r="N9" s="21"/>
      <c r="O9" s="21"/>
      <c r="P9" s="21"/>
      <c r="Q9" s="21"/>
      <c r="R9" s="21"/>
      <c r="S9" s="21"/>
      <c r="T9" s="21"/>
      <c r="U9" s="21"/>
      <c r="V9" s="21"/>
      <c r="W9" s="21"/>
      <c r="X9" s="21"/>
    </row>
    <row r="10" ht="22.5" customHeight="1">
      <c r="A10" s="23"/>
      <c r="B10" s="23"/>
      <c r="C10" s="23"/>
      <c r="D10" s="23"/>
      <c r="E10" s="31"/>
      <c r="F10" s="23"/>
      <c r="G10" s="23"/>
      <c r="H10" s="23"/>
      <c r="I10" s="28"/>
      <c r="J10" s="28"/>
      <c r="K10" s="23" t="str">
        <f>IF(COUNTIF('5.Deliverable List'!$B:$B,D10)&gt;0,"Yes","No")</f>
        <v>No</v>
      </c>
      <c r="L10" s="21"/>
      <c r="M10" s="21"/>
      <c r="N10" s="21"/>
      <c r="O10" s="21"/>
      <c r="P10" s="21"/>
      <c r="Q10" s="21"/>
      <c r="R10" s="21"/>
      <c r="S10" s="21"/>
      <c r="T10" s="21"/>
      <c r="U10" s="21"/>
      <c r="V10" s="21"/>
      <c r="W10" s="21"/>
      <c r="X10" s="21"/>
    </row>
    <row r="11" ht="22.5" customHeight="1">
      <c r="A11" s="23"/>
      <c r="B11" s="23"/>
      <c r="C11" s="23"/>
      <c r="D11" s="23"/>
      <c r="E11" s="25"/>
      <c r="F11" s="23"/>
      <c r="G11" s="23"/>
      <c r="H11" s="23"/>
      <c r="I11" s="28"/>
      <c r="J11" s="28"/>
      <c r="K11" s="23" t="str">
        <f>IF(COUNTIF('5.Deliverable List'!$B:$B,D11)&gt;0,"Yes","No")</f>
        <v>No</v>
      </c>
      <c r="L11" s="21"/>
      <c r="M11" s="21"/>
      <c r="N11" s="21"/>
      <c r="O11" s="21"/>
      <c r="P11" s="21"/>
      <c r="Q11" s="21"/>
      <c r="R11" s="21"/>
      <c r="S11" s="21"/>
      <c r="T11" s="21"/>
      <c r="U11" s="21"/>
      <c r="V11" s="21"/>
      <c r="W11" s="21"/>
      <c r="X11" s="21"/>
    </row>
    <row r="12" ht="22.5" customHeight="1">
      <c r="A12" s="23"/>
      <c r="B12" s="23"/>
      <c r="C12" s="23"/>
      <c r="D12" s="23"/>
      <c r="E12" s="31"/>
      <c r="F12" s="23"/>
      <c r="G12" s="23"/>
      <c r="H12" s="23"/>
      <c r="I12" s="28"/>
      <c r="J12" s="28"/>
      <c r="K12" s="23" t="str">
        <f>IF(COUNTIF('5.Deliverable List'!$B:$B,D12)&gt;0,"Yes","No")</f>
        <v>No</v>
      </c>
      <c r="L12" s="21"/>
      <c r="M12" s="21"/>
      <c r="N12" s="21"/>
      <c r="O12" s="21"/>
      <c r="P12" s="21"/>
      <c r="Q12" s="21"/>
      <c r="R12" s="21"/>
      <c r="S12" s="21"/>
      <c r="T12" s="21"/>
      <c r="U12" s="21"/>
      <c r="V12" s="21"/>
      <c r="W12" s="21"/>
      <c r="X12" s="21"/>
    </row>
    <row r="13" ht="22.5" customHeight="1">
      <c r="A13" s="23"/>
      <c r="B13" s="23"/>
      <c r="C13" s="23"/>
      <c r="D13" s="23"/>
      <c r="E13" s="25"/>
      <c r="F13" s="23"/>
      <c r="G13" s="23"/>
      <c r="H13" s="23"/>
      <c r="I13" s="28"/>
      <c r="J13" s="28"/>
      <c r="K13" s="23" t="str">
        <f>IF(COUNTIF('5.Deliverable List'!$B:$B,D13)&gt;0,"Yes","No")</f>
        <v>No</v>
      </c>
      <c r="L13" s="21"/>
      <c r="M13" s="21"/>
      <c r="N13" s="21"/>
      <c r="O13" s="21"/>
      <c r="P13" s="21"/>
      <c r="Q13" s="21"/>
      <c r="R13" s="21"/>
      <c r="S13" s="21"/>
      <c r="T13" s="21"/>
      <c r="U13" s="21"/>
      <c r="V13" s="21"/>
      <c r="W13" s="21"/>
      <c r="X13" s="21"/>
    </row>
    <row r="14" ht="22.5" customHeight="1">
      <c r="A14" s="23"/>
      <c r="B14" s="23"/>
      <c r="C14" s="23"/>
      <c r="D14" s="23"/>
      <c r="E14" s="25"/>
      <c r="F14" s="23"/>
      <c r="G14" s="23"/>
      <c r="H14" s="23"/>
      <c r="I14" s="28"/>
      <c r="J14" s="28"/>
      <c r="K14" s="23" t="str">
        <f>IF(COUNTIF('5.Deliverable List'!$B:$B,D14)&gt;0,"Yes","No")</f>
        <v>No</v>
      </c>
      <c r="L14" s="21"/>
      <c r="M14" s="21"/>
      <c r="N14" s="21"/>
      <c r="O14" s="21"/>
      <c r="P14" s="21"/>
      <c r="Q14" s="21"/>
      <c r="R14" s="21"/>
      <c r="S14" s="21"/>
      <c r="T14" s="21"/>
      <c r="U14" s="21"/>
      <c r="V14" s="21"/>
      <c r="W14" s="21"/>
      <c r="X14" s="21"/>
    </row>
    <row r="15" ht="22.5" customHeight="1">
      <c r="A15" s="23"/>
      <c r="B15" s="23"/>
      <c r="C15" s="23"/>
      <c r="D15" s="23"/>
      <c r="E15" s="23"/>
      <c r="F15" s="23"/>
      <c r="G15" s="23"/>
      <c r="H15" s="23"/>
      <c r="I15" s="28"/>
      <c r="J15" s="28"/>
      <c r="K15" s="23" t="str">
        <f>IF(COUNTIF('5.Deliverable List'!$B:$B,D15)&gt;0,"Yes","No")</f>
        <v>No</v>
      </c>
      <c r="L15" s="21"/>
      <c r="M15" s="21"/>
      <c r="N15" s="21"/>
      <c r="O15" s="21"/>
      <c r="P15" s="21"/>
      <c r="Q15" s="21"/>
      <c r="R15" s="21"/>
      <c r="S15" s="21"/>
      <c r="T15" s="21"/>
      <c r="U15" s="21"/>
      <c r="V15" s="21"/>
      <c r="W15" s="21"/>
      <c r="X15" s="21"/>
    </row>
    <row r="16" ht="22.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row>
    <row r="17" ht="22.5" customHeight="1">
      <c r="A17" s="21"/>
      <c r="B17" s="21"/>
      <c r="C17" s="21"/>
      <c r="D17" s="21"/>
      <c r="E17" s="21"/>
      <c r="F17" s="21"/>
      <c r="G17" s="21"/>
      <c r="H17" s="21"/>
      <c r="I17" s="21"/>
      <c r="J17" s="21"/>
      <c r="K17" s="21"/>
      <c r="L17" s="21"/>
      <c r="M17" s="21"/>
      <c r="N17" s="21"/>
      <c r="O17" s="21"/>
      <c r="P17" s="21"/>
      <c r="Q17" s="21"/>
      <c r="R17" s="21"/>
      <c r="S17" s="21"/>
      <c r="T17" s="21"/>
      <c r="U17" s="21"/>
      <c r="V17" s="21"/>
      <c r="W17" s="21"/>
      <c r="X17" s="21"/>
    </row>
    <row r="18" ht="22.5" customHeight="1">
      <c r="A18" s="21"/>
      <c r="B18" s="21"/>
      <c r="C18" s="21"/>
      <c r="D18" s="21"/>
      <c r="E18" s="21"/>
      <c r="F18" s="21"/>
      <c r="G18" s="21"/>
      <c r="H18" s="21"/>
      <c r="I18" s="21"/>
      <c r="J18" s="21"/>
      <c r="K18" s="21"/>
      <c r="L18" s="21"/>
      <c r="M18" s="21"/>
      <c r="N18" s="21"/>
      <c r="O18" s="21"/>
      <c r="P18" s="21"/>
      <c r="Q18" s="21"/>
      <c r="R18" s="21"/>
      <c r="S18" s="21"/>
      <c r="T18" s="21"/>
      <c r="U18" s="21"/>
      <c r="V18" s="21"/>
      <c r="W18" s="21"/>
      <c r="X18" s="21"/>
    </row>
    <row r="19" ht="22.5" customHeight="1">
      <c r="A19" s="21"/>
      <c r="B19" s="21"/>
      <c r="C19" s="21"/>
      <c r="D19" s="21"/>
      <c r="E19" s="21"/>
      <c r="F19" s="21"/>
      <c r="G19" s="21"/>
      <c r="H19" s="21"/>
      <c r="I19" s="21"/>
      <c r="J19" s="21"/>
      <c r="K19" s="21"/>
      <c r="L19" s="21"/>
      <c r="M19" s="21"/>
      <c r="N19" s="21"/>
      <c r="O19" s="21"/>
      <c r="P19" s="21"/>
      <c r="Q19" s="21"/>
      <c r="R19" s="21"/>
      <c r="S19" s="21"/>
      <c r="T19" s="21"/>
      <c r="U19" s="21"/>
      <c r="V19" s="21"/>
      <c r="W19" s="21"/>
      <c r="X19" s="21"/>
    </row>
    <row r="20" ht="22.5" customHeight="1">
      <c r="A20" s="21"/>
      <c r="B20" s="21"/>
      <c r="C20" s="21"/>
      <c r="D20" s="21"/>
      <c r="E20" s="21"/>
      <c r="F20" s="21"/>
      <c r="G20" s="21"/>
      <c r="H20" s="21"/>
      <c r="I20" s="21"/>
      <c r="J20" s="21"/>
      <c r="K20" s="21"/>
      <c r="L20" s="21"/>
      <c r="M20" s="21"/>
      <c r="N20" s="21"/>
      <c r="O20" s="21"/>
      <c r="P20" s="21"/>
      <c r="Q20" s="21"/>
      <c r="R20" s="21"/>
      <c r="S20" s="21"/>
      <c r="T20" s="21"/>
      <c r="U20" s="21"/>
      <c r="V20" s="21"/>
      <c r="W20" s="21"/>
      <c r="X20" s="21"/>
    </row>
    <row r="21" ht="22.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row>
    <row r="22" ht="22.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row>
    <row r="23" ht="22.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row>
    <row r="24" ht="22.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row>
    <row r="25" ht="22.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row>
    <row r="26" ht="22.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row>
    <row r="27" ht="22.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row>
    <row r="28" ht="22.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row>
    <row r="29" ht="22.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row>
    <row r="30" ht="22.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row>
    <row r="31" ht="22.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row>
    <row r="32" ht="22.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row>
    <row r="33" ht="22.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row>
    <row r="34" ht="22.5" customHeight="1">
      <c r="A34" s="21"/>
      <c r="B34" s="32"/>
      <c r="C34" s="21"/>
      <c r="D34" s="21"/>
      <c r="E34" s="21"/>
      <c r="F34" s="21"/>
      <c r="G34" s="21"/>
      <c r="H34" s="21"/>
      <c r="I34" s="21"/>
      <c r="J34" s="21"/>
      <c r="K34" s="21"/>
      <c r="L34" s="21"/>
      <c r="M34" s="21"/>
      <c r="N34" s="21"/>
      <c r="O34" s="21"/>
      <c r="P34" s="21"/>
      <c r="Q34" s="21"/>
      <c r="R34" s="21"/>
      <c r="S34" s="21"/>
      <c r="T34" s="21"/>
      <c r="U34" s="21"/>
      <c r="V34" s="21"/>
      <c r="W34" s="21"/>
      <c r="X34" s="21"/>
    </row>
    <row r="35" ht="22.5" customHeight="1">
      <c r="A35" s="21"/>
      <c r="B35" s="32"/>
      <c r="C35" s="21"/>
      <c r="D35" s="21"/>
      <c r="E35" s="21"/>
      <c r="F35" s="21"/>
      <c r="G35" s="21"/>
      <c r="H35" s="21"/>
      <c r="I35" s="21"/>
      <c r="J35" s="21"/>
      <c r="K35" s="21"/>
      <c r="L35" s="21"/>
      <c r="M35" s="21"/>
      <c r="N35" s="21"/>
      <c r="O35" s="21"/>
      <c r="P35" s="21"/>
      <c r="Q35" s="21"/>
      <c r="R35" s="21"/>
      <c r="S35" s="21"/>
      <c r="T35" s="21"/>
      <c r="U35" s="21"/>
      <c r="V35" s="21"/>
      <c r="W35" s="21"/>
      <c r="X35" s="21"/>
    </row>
    <row r="36" ht="22.5" customHeight="1">
      <c r="A36" s="21"/>
      <c r="B36" s="32"/>
      <c r="C36" s="21"/>
      <c r="D36" s="21"/>
      <c r="E36" s="21"/>
      <c r="F36" s="21"/>
      <c r="G36" s="21"/>
      <c r="H36" s="21"/>
      <c r="I36" s="21"/>
      <c r="J36" s="21"/>
      <c r="K36" s="21"/>
      <c r="L36" s="21"/>
      <c r="M36" s="21"/>
      <c r="N36" s="21"/>
      <c r="O36" s="21"/>
      <c r="P36" s="21"/>
      <c r="Q36" s="21"/>
      <c r="R36" s="21"/>
      <c r="S36" s="21"/>
      <c r="T36" s="21"/>
      <c r="U36" s="21"/>
      <c r="V36" s="21"/>
      <c r="W36" s="21"/>
      <c r="X36" s="21"/>
    </row>
    <row r="37" ht="22.5" customHeight="1">
      <c r="A37" s="21"/>
      <c r="B37" s="32"/>
      <c r="C37" s="21"/>
      <c r="D37" s="21"/>
      <c r="E37" s="21"/>
      <c r="F37" s="21"/>
      <c r="G37" s="21"/>
      <c r="H37" s="21"/>
      <c r="I37" s="21"/>
      <c r="J37" s="21"/>
      <c r="K37" s="21"/>
      <c r="L37" s="21"/>
      <c r="M37" s="21"/>
      <c r="N37" s="21"/>
      <c r="O37" s="21"/>
      <c r="P37" s="21"/>
      <c r="Q37" s="21"/>
      <c r="R37" s="21"/>
      <c r="S37" s="21"/>
      <c r="T37" s="21"/>
      <c r="U37" s="21"/>
      <c r="V37" s="21"/>
      <c r="W37" s="21"/>
      <c r="X37" s="21"/>
    </row>
    <row r="38" ht="22.5" customHeight="1">
      <c r="A38" s="21"/>
      <c r="B38" s="32"/>
      <c r="C38" s="21"/>
      <c r="D38" s="21"/>
      <c r="E38" s="21"/>
      <c r="F38" s="21"/>
      <c r="G38" s="21"/>
      <c r="H38" s="21"/>
      <c r="I38" s="21"/>
      <c r="J38" s="21"/>
      <c r="K38" s="21"/>
      <c r="L38" s="21"/>
      <c r="M38" s="21"/>
      <c r="N38" s="21"/>
      <c r="O38" s="21"/>
      <c r="P38" s="21"/>
      <c r="Q38" s="21"/>
      <c r="R38" s="21"/>
      <c r="S38" s="21"/>
      <c r="T38" s="21"/>
      <c r="U38" s="21"/>
      <c r="V38" s="21"/>
      <c r="W38" s="21"/>
      <c r="X38" s="21"/>
    </row>
    <row r="39" ht="22.5" customHeight="1">
      <c r="A39" s="21"/>
      <c r="B39" s="32"/>
      <c r="C39" s="21"/>
      <c r="D39" s="21"/>
      <c r="E39" s="21"/>
      <c r="F39" s="21"/>
      <c r="G39" s="21"/>
      <c r="H39" s="21"/>
      <c r="I39" s="21"/>
      <c r="J39" s="21"/>
      <c r="K39" s="21"/>
      <c r="L39" s="21"/>
      <c r="M39" s="21"/>
      <c r="N39" s="21"/>
      <c r="O39" s="21"/>
      <c r="P39" s="21"/>
      <c r="Q39" s="21"/>
      <c r="R39" s="21"/>
      <c r="S39" s="21"/>
      <c r="T39" s="21"/>
      <c r="U39" s="21"/>
      <c r="V39" s="21"/>
      <c r="W39" s="21"/>
      <c r="X39" s="21"/>
    </row>
    <row r="40" ht="2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row>
    <row r="41" ht="22.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row>
    <row r="42" ht="2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row>
    <row r="43" ht="22.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row>
    <row r="44" ht="22.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row>
    <row r="45" ht="22.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row>
    <row r="46" ht="22.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row>
    <row r="47" ht="22.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row>
    <row r="48" ht="22.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row>
    <row r="49" ht="2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row>
    <row r="50" ht="22.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row>
    <row r="51" ht="2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row>
    <row r="52" ht="2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row>
    <row r="53" ht="22.5" customHeight="1">
      <c r="A53" s="32"/>
      <c r="B53" s="32"/>
      <c r="C53" s="32"/>
      <c r="D53" s="32"/>
      <c r="E53" s="21"/>
      <c r="F53" s="32"/>
      <c r="G53" s="32"/>
      <c r="H53" s="32"/>
      <c r="I53" s="32"/>
      <c r="J53" s="32"/>
      <c r="K53" s="32"/>
      <c r="L53" s="32"/>
      <c r="M53" s="32"/>
      <c r="N53" s="32"/>
      <c r="O53" s="32"/>
      <c r="P53" s="32"/>
      <c r="Q53" s="32"/>
      <c r="R53" s="32"/>
      <c r="S53" s="32"/>
      <c r="T53" s="32"/>
      <c r="U53" s="32"/>
      <c r="V53" s="32"/>
      <c r="W53" s="32"/>
      <c r="X53" s="32"/>
    </row>
    <row r="54" ht="22.5" customHeight="1">
      <c r="A54" s="32"/>
      <c r="B54" s="32"/>
      <c r="C54" s="32"/>
      <c r="D54" s="32"/>
      <c r="E54" s="21"/>
      <c r="F54" s="32"/>
      <c r="G54" s="32"/>
      <c r="H54" s="32"/>
      <c r="I54" s="32"/>
      <c r="J54" s="32"/>
      <c r="K54" s="32"/>
      <c r="L54" s="32"/>
      <c r="M54" s="32"/>
      <c r="N54" s="32"/>
      <c r="O54" s="32"/>
      <c r="P54" s="32"/>
      <c r="Q54" s="32"/>
      <c r="R54" s="32"/>
      <c r="S54" s="32"/>
      <c r="T54" s="32"/>
      <c r="U54" s="32"/>
      <c r="V54" s="32"/>
      <c r="W54" s="32"/>
      <c r="X54" s="32"/>
    </row>
    <row r="55" ht="22.5" customHeight="1">
      <c r="A55" s="32"/>
      <c r="B55" s="32"/>
      <c r="C55" s="32"/>
      <c r="D55" s="32"/>
      <c r="E55" s="21"/>
      <c r="F55" s="32"/>
      <c r="G55" s="32"/>
      <c r="H55" s="32"/>
      <c r="I55" s="32"/>
      <c r="J55" s="32"/>
      <c r="K55" s="32"/>
      <c r="L55" s="32"/>
      <c r="M55" s="32"/>
      <c r="N55" s="32"/>
      <c r="O55" s="32"/>
      <c r="P55" s="32"/>
      <c r="Q55" s="32"/>
      <c r="R55" s="32"/>
      <c r="S55" s="32"/>
      <c r="T55" s="32"/>
      <c r="U55" s="32"/>
      <c r="V55" s="32"/>
      <c r="W55" s="32"/>
      <c r="X55" s="32"/>
    </row>
    <row r="56" ht="22.5" customHeight="1">
      <c r="A56" s="32"/>
      <c r="B56" s="32"/>
      <c r="C56" s="32"/>
      <c r="D56" s="32"/>
      <c r="E56" s="21"/>
      <c r="F56" s="32"/>
      <c r="G56" s="32"/>
      <c r="H56" s="32"/>
      <c r="I56" s="32"/>
      <c r="J56" s="32"/>
      <c r="K56" s="32"/>
      <c r="L56" s="32"/>
      <c r="M56" s="32"/>
      <c r="N56" s="32"/>
      <c r="O56" s="32"/>
      <c r="P56" s="32"/>
      <c r="Q56" s="32"/>
      <c r="R56" s="32"/>
      <c r="S56" s="32"/>
      <c r="T56" s="32"/>
      <c r="U56" s="32"/>
      <c r="V56" s="32"/>
      <c r="W56" s="32"/>
      <c r="X56" s="32"/>
    </row>
    <row r="57" ht="22.5" customHeight="1">
      <c r="A57" s="32"/>
      <c r="B57" s="32"/>
      <c r="C57" s="32"/>
      <c r="D57" s="32"/>
      <c r="E57" s="21"/>
      <c r="F57" s="32"/>
      <c r="G57" s="32"/>
      <c r="H57" s="32"/>
      <c r="I57" s="32"/>
      <c r="J57" s="32"/>
      <c r="K57" s="32"/>
      <c r="L57" s="32"/>
      <c r="M57" s="32"/>
      <c r="N57" s="32"/>
      <c r="O57" s="32"/>
      <c r="P57" s="32"/>
      <c r="Q57" s="32"/>
      <c r="R57" s="32"/>
      <c r="S57" s="32"/>
      <c r="T57" s="32"/>
      <c r="U57" s="32"/>
      <c r="V57" s="32"/>
      <c r="W57" s="32"/>
      <c r="X57" s="32"/>
    </row>
    <row r="58" ht="22.5" customHeight="1">
      <c r="A58" s="32"/>
      <c r="B58" s="32"/>
      <c r="C58" s="32"/>
      <c r="D58" s="32"/>
      <c r="E58" s="21"/>
      <c r="F58" s="32"/>
      <c r="G58" s="32"/>
      <c r="H58" s="32"/>
      <c r="I58" s="32"/>
      <c r="J58" s="32"/>
      <c r="K58" s="32"/>
      <c r="L58" s="32"/>
      <c r="M58" s="32"/>
      <c r="N58" s="32"/>
      <c r="O58" s="32"/>
      <c r="P58" s="32"/>
      <c r="Q58" s="32"/>
      <c r="R58" s="32"/>
      <c r="S58" s="32"/>
      <c r="T58" s="32"/>
      <c r="U58" s="32"/>
      <c r="V58" s="32"/>
      <c r="W58" s="32"/>
      <c r="X58" s="32"/>
    </row>
    <row r="59" ht="22.5" customHeight="1">
      <c r="A59" s="32"/>
      <c r="B59" s="32"/>
      <c r="C59" s="32"/>
      <c r="D59" s="32"/>
      <c r="E59" s="21"/>
      <c r="F59" s="32"/>
      <c r="G59" s="32"/>
      <c r="H59" s="32"/>
      <c r="I59" s="32"/>
      <c r="J59" s="32"/>
      <c r="K59" s="32"/>
      <c r="L59" s="32"/>
      <c r="M59" s="32"/>
      <c r="N59" s="32"/>
      <c r="O59" s="32"/>
      <c r="P59" s="32"/>
      <c r="Q59" s="32"/>
      <c r="R59" s="32"/>
      <c r="S59" s="32"/>
      <c r="T59" s="32"/>
      <c r="U59" s="32"/>
      <c r="V59" s="32"/>
      <c r="W59" s="32"/>
      <c r="X59" s="32"/>
    </row>
    <row r="60" ht="22.5" customHeight="1">
      <c r="A60" s="32"/>
      <c r="B60" s="32"/>
      <c r="C60" s="32"/>
      <c r="D60" s="32"/>
      <c r="E60" s="21"/>
      <c r="F60" s="32"/>
      <c r="G60" s="32"/>
      <c r="H60" s="32"/>
      <c r="I60" s="32"/>
      <c r="J60" s="32"/>
      <c r="K60" s="32"/>
      <c r="L60" s="32"/>
      <c r="M60" s="32"/>
      <c r="N60" s="32"/>
      <c r="O60" s="32"/>
      <c r="P60" s="32"/>
      <c r="Q60" s="32"/>
      <c r="R60" s="32"/>
      <c r="S60" s="32"/>
      <c r="T60" s="32"/>
      <c r="U60" s="32"/>
      <c r="V60" s="32"/>
      <c r="W60" s="32"/>
      <c r="X60" s="32"/>
    </row>
    <row r="61" ht="22.5" customHeight="1">
      <c r="A61" s="32"/>
      <c r="B61" s="32"/>
      <c r="C61" s="32"/>
      <c r="D61" s="32"/>
      <c r="E61" s="21"/>
      <c r="F61" s="32"/>
      <c r="G61" s="32"/>
      <c r="H61" s="32"/>
      <c r="I61" s="32"/>
      <c r="J61" s="32"/>
      <c r="K61" s="32"/>
      <c r="L61" s="32"/>
      <c r="M61" s="32"/>
      <c r="N61" s="32"/>
      <c r="O61" s="32"/>
      <c r="P61" s="32"/>
      <c r="Q61" s="32"/>
      <c r="R61" s="32"/>
      <c r="S61" s="32"/>
      <c r="T61" s="32"/>
      <c r="U61" s="32"/>
      <c r="V61" s="32"/>
      <c r="W61" s="32"/>
      <c r="X61" s="32"/>
    </row>
    <row r="62" ht="22.5" customHeight="1">
      <c r="A62" s="32"/>
      <c r="B62" s="32"/>
      <c r="C62" s="32"/>
      <c r="D62" s="32"/>
      <c r="E62" s="21"/>
      <c r="F62" s="32"/>
      <c r="G62" s="32"/>
      <c r="H62" s="32"/>
      <c r="I62" s="32"/>
      <c r="J62" s="32"/>
      <c r="K62" s="32"/>
      <c r="L62" s="32"/>
      <c r="M62" s="32"/>
      <c r="N62" s="32"/>
      <c r="O62" s="32"/>
      <c r="P62" s="32"/>
      <c r="Q62" s="32"/>
      <c r="R62" s="32"/>
      <c r="S62" s="32"/>
      <c r="T62" s="32"/>
      <c r="U62" s="32"/>
      <c r="V62" s="32"/>
      <c r="W62" s="32"/>
      <c r="X62" s="32"/>
    </row>
    <row r="63" ht="22.5" customHeight="1">
      <c r="A63" s="32"/>
      <c r="B63" s="32"/>
      <c r="C63" s="32"/>
      <c r="D63" s="32"/>
      <c r="E63" s="21"/>
      <c r="F63" s="32"/>
      <c r="G63" s="32"/>
      <c r="H63" s="32"/>
      <c r="I63" s="32"/>
      <c r="J63" s="32"/>
      <c r="K63" s="32"/>
      <c r="L63" s="32"/>
      <c r="M63" s="32"/>
      <c r="N63" s="32"/>
      <c r="O63" s="32"/>
      <c r="P63" s="32"/>
      <c r="Q63" s="32"/>
      <c r="R63" s="32"/>
      <c r="S63" s="32"/>
      <c r="T63" s="32"/>
      <c r="U63" s="32"/>
      <c r="V63" s="32"/>
      <c r="W63" s="32"/>
      <c r="X63" s="32"/>
    </row>
    <row r="64" ht="22.5" customHeight="1">
      <c r="A64" s="32"/>
      <c r="B64" s="32"/>
      <c r="C64" s="32"/>
      <c r="D64" s="32"/>
      <c r="E64" s="21"/>
      <c r="F64" s="32"/>
      <c r="G64" s="32"/>
      <c r="H64" s="32"/>
      <c r="I64" s="32"/>
      <c r="J64" s="32"/>
      <c r="K64" s="32"/>
      <c r="L64" s="32"/>
      <c r="M64" s="32"/>
      <c r="N64" s="32"/>
      <c r="O64" s="32"/>
      <c r="P64" s="32"/>
      <c r="Q64" s="32"/>
      <c r="R64" s="32"/>
      <c r="S64" s="32"/>
      <c r="T64" s="32"/>
      <c r="U64" s="32"/>
      <c r="V64" s="32"/>
      <c r="W64" s="32"/>
      <c r="X64" s="32"/>
    </row>
    <row r="65" ht="22.5" customHeight="1">
      <c r="A65" s="32"/>
      <c r="B65" s="32"/>
      <c r="C65" s="32"/>
      <c r="D65" s="32"/>
      <c r="E65" s="21"/>
      <c r="F65" s="32"/>
      <c r="G65" s="32"/>
      <c r="H65" s="32"/>
      <c r="I65" s="32"/>
      <c r="J65" s="32"/>
      <c r="K65" s="32"/>
      <c r="L65" s="32"/>
      <c r="M65" s="32"/>
      <c r="N65" s="32"/>
      <c r="O65" s="32"/>
      <c r="P65" s="32"/>
      <c r="Q65" s="32"/>
      <c r="R65" s="32"/>
      <c r="S65" s="32"/>
      <c r="T65" s="32"/>
      <c r="U65" s="32"/>
      <c r="V65" s="32"/>
      <c r="W65" s="32"/>
      <c r="X65" s="32"/>
    </row>
    <row r="66" ht="22.5" customHeight="1">
      <c r="A66" s="32"/>
      <c r="B66" s="32"/>
      <c r="C66" s="32"/>
      <c r="D66" s="32"/>
      <c r="E66" s="21"/>
      <c r="F66" s="32"/>
      <c r="G66" s="32"/>
      <c r="H66" s="32"/>
      <c r="I66" s="32"/>
      <c r="J66" s="32"/>
      <c r="K66" s="32"/>
      <c r="L66" s="32"/>
      <c r="M66" s="32"/>
      <c r="N66" s="32"/>
      <c r="O66" s="32"/>
      <c r="P66" s="32"/>
      <c r="Q66" s="32"/>
      <c r="R66" s="32"/>
      <c r="S66" s="32"/>
      <c r="T66" s="32"/>
      <c r="U66" s="32"/>
      <c r="V66" s="32"/>
      <c r="W66" s="32"/>
      <c r="X66" s="32"/>
    </row>
    <row r="67" ht="22.5" customHeight="1">
      <c r="A67" s="32"/>
      <c r="B67" s="32"/>
      <c r="C67" s="32"/>
      <c r="D67" s="32"/>
      <c r="E67" s="21"/>
      <c r="F67" s="32"/>
      <c r="G67" s="32"/>
      <c r="H67" s="32"/>
      <c r="I67" s="32"/>
      <c r="J67" s="32"/>
      <c r="K67" s="32"/>
      <c r="L67" s="32"/>
      <c r="M67" s="32"/>
      <c r="N67" s="32"/>
      <c r="O67" s="32"/>
      <c r="P67" s="32"/>
      <c r="Q67" s="32"/>
      <c r="R67" s="32"/>
      <c r="S67" s="32"/>
      <c r="T67" s="32"/>
      <c r="U67" s="32"/>
      <c r="V67" s="32"/>
      <c r="W67" s="32"/>
      <c r="X67" s="32"/>
    </row>
    <row r="68" ht="22.5" customHeight="1">
      <c r="A68" s="32"/>
      <c r="B68" s="32"/>
      <c r="C68" s="32"/>
      <c r="D68" s="32"/>
      <c r="E68" s="21"/>
      <c r="F68" s="32"/>
      <c r="G68" s="32"/>
      <c r="H68" s="32"/>
      <c r="I68" s="32"/>
      <c r="J68" s="32"/>
      <c r="K68" s="32"/>
      <c r="L68" s="32"/>
      <c r="M68" s="32"/>
      <c r="N68" s="32"/>
      <c r="O68" s="32"/>
      <c r="P68" s="32"/>
      <c r="Q68" s="32"/>
      <c r="R68" s="32"/>
      <c r="S68" s="32"/>
      <c r="T68" s="32"/>
      <c r="U68" s="32"/>
      <c r="V68" s="32"/>
      <c r="W68" s="32"/>
      <c r="X68" s="32"/>
    </row>
    <row r="69" ht="22.5" customHeight="1">
      <c r="A69" s="32"/>
      <c r="B69" s="32"/>
      <c r="C69" s="32"/>
      <c r="D69" s="32"/>
      <c r="E69" s="21"/>
      <c r="F69" s="32"/>
      <c r="G69" s="32"/>
      <c r="H69" s="32"/>
      <c r="I69" s="32"/>
      <c r="J69" s="32"/>
      <c r="K69" s="32"/>
      <c r="L69" s="32"/>
      <c r="M69" s="32"/>
      <c r="N69" s="32"/>
      <c r="O69" s="32"/>
      <c r="P69" s="32"/>
      <c r="Q69" s="32"/>
      <c r="R69" s="32"/>
      <c r="S69" s="32"/>
      <c r="T69" s="32"/>
      <c r="U69" s="32"/>
      <c r="V69" s="32"/>
      <c r="W69" s="32"/>
      <c r="X69" s="32"/>
    </row>
    <row r="70" ht="22.5" customHeight="1">
      <c r="A70" s="32"/>
      <c r="B70" s="32"/>
      <c r="C70" s="32"/>
      <c r="D70" s="32"/>
      <c r="E70" s="21"/>
      <c r="F70" s="32"/>
      <c r="G70" s="32"/>
      <c r="H70" s="32"/>
      <c r="I70" s="32"/>
      <c r="J70" s="32"/>
      <c r="K70" s="32"/>
      <c r="L70" s="32"/>
      <c r="M70" s="32"/>
      <c r="N70" s="32"/>
      <c r="O70" s="32"/>
      <c r="P70" s="32"/>
      <c r="Q70" s="32"/>
      <c r="R70" s="32"/>
      <c r="S70" s="32"/>
      <c r="T70" s="32"/>
      <c r="U70" s="32"/>
      <c r="V70" s="32"/>
      <c r="W70" s="32"/>
      <c r="X70" s="32"/>
    </row>
    <row r="71" ht="22.5" customHeight="1">
      <c r="A71" s="32"/>
      <c r="B71" s="32"/>
      <c r="C71" s="32"/>
      <c r="D71" s="32"/>
      <c r="E71" s="21"/>
      <c r="F71" s="32"/>
      <c r="G71" s="32"/>
      <c r="H71" s="32"/>
      <c r="I71" s="32"/>
      <c r="J71" s="32"/>
      <c r="K71" s="32"/>
      <c r="L71" s="32"/>
      <c r="M71" s="32"/>
      <c r="N71" s="32"/>
      <c r="O71" s="32"/>
      <c r="P71" s="32"/>
      <c r="Q71" s="32"/>
      <c r="R71" s="32"/>
      <c r="S71" s="32"/>
      <c r="T71" s="32"/>
      <c r="U71" s="32"/>
      <c r="V71" s="32"/>
      <c r="W71" s="32"/>
      <c r="X71" s="32"/>
    </row>
    <row r="72" ht="22.5" customHeight="1">
      <c r="A72" s="21"/>
      <c r="B72" s="32"/>
      <c r="C72" s="21"/>
      <c r="D72" s="21"/>
      <c r="E72" s="21"/>
      <c r="F72" s="21"/>
      <c r="G72" s="21"/>
      <c r="H72" s="21"/>
      <c r="I72" s="21"/>
      <c r="J72" s="21"/>
      <c r="K72" s="21"/>
      <c r="L72" s="21"/>
      <c r="M72" s="21"/>
      <c r="N72" s="21"/>
      <c r="O72" s="21"/>
      <c r="P72" s="21"/>
      <c r="Q72" s="21"/>
      <c r="R72" s="21"/>
      <c r="S72" s="21"/>
      <c r="T72" s="21"/>
      <c r="U72" s="21"/>
      <c r="V72" s="21"/>
      <c r="W72" s="21"/>
      <c r="X72" s="21"/>
    </row>
    <row r="73" ht="22.5" customHeight="1">
      <c r="A73" s="21"/>
      <c r="B73" s="32"/>
      <c r="C73" s="21"/>
      <c r="D73" s="21"/>
      <c r="E73" s="21"/>
      <c r="F73" s="21"/>
      <c r="G73" s="21"/>
      <c r="H73" s="21"/>
      <c r="I73" s="21"/>
      <c r="J73" s="21"/>
      <c r="K73" s="21"/>
      <c r="L73" s="21"/>
      <c r="M73" s="21"/>
      <c r="N73" s="21"/>
      <c r="O73" s="21"/>
      <c r="P73" s="21"/>
      <c r="Q73" s="21"/>
      <c r="R73" s="21"/>
      <c r="S73" s="21"/>
      <c r="T73" s="21"/>
      <c r="U73" s="21"/>
      <c r="V73" s="21"/>
      <c r="W73" s="21"/>
      <c r="X73" s="21"/>
    </row>
    <row r="74" ht="22.5" customHeight="1">
      <c r="A74" s="21"/>
      <c r="B74" s="32"/>
      <c r="C74" s="21"/>
      <c r="D74" s="21"/>
      <c r="E74" s="21"/>
      <c r="F74" s="21"/>
      <c r="G74" s="21"/>
      <c r="H74" s="21"/>
      <c r="I74" s="21"/>
      <c r="J74" s="21"/>
      <c r="K74" s="21"/>
      <c r="L74" s="21"/>
      <c r="M74" s="21"/>
      <c r="N74" s="21"/>
      <c r="O74" s="21"/>
      <c r="P74" s="21"/>
      <c r="Q74" s="21"/>
      <c r="R74" s="21"/>
      <c r="S74" s="21"/>
      <c r="T74" s="21"/>
      <c r="U74" s="21"/>
      <c r="V74" s="21"/>
      <c r="W74" s="21"/>
      <c r="X74" s="21"/>
    </row>
    <row r="75" ht="22.5" customHeight="1">
      <c r="A75" s="21"/>
      <c r="B75" s="32"/>
      <c r="C75" s="21"/>
      <c r="D75" s="21"/>
      <c r="E75" s="21"/>
      <c r="F75" s="21"/>
      <c r="G75" s="21"/>
      <c r="H75" s="21"/>
      <c r="I75" s="21"/>
      <c r="J75" s="21"/>
      <c r="K75" s="21"/>
      <c r="L75" s="21"/>
      <c r="M75" s="21"/>
      <c r="N75" s="21"/>
      <c r="O75" s="21"/>
      <c r="P75" s="21"/>
      <c r="Q75" s="21"/>
      <c r="R75" s="21"/>
      <c r="S75" s="21"/>
      <c r="T75" s="21"/>
      <c r="U75" s="21"/>
      <c r="V75" s="21"/>
      <c r="W75" s="21"/>
      <c r="X75" s="21"/>
    </row>
    <row r="76" ht="22.5" customHeight="1">
      <c r="A76" s="21"/>
      <c r="B76" s="32"/>
      <c r="C76" s="21"/>
      <c r="D76" s="21"/>
      <c r="E76" s="21"/>
      <c r="F76" s="21"/>
      <c r="G76" s="21"/>
      <c r="H76" s="21"/>
      <c r="I76" s="21"/>
      <c r="J76" s="21"/>
      <c r="K76" s="21"/>
      <c r="L76" s="21"/>
      <c r="M76" s="21"/>
      <c r="N76" s="21"/>
      <c r="O76" s="21"/>
      <c r="P76" s="21"/>
      <c r="Q76" s="21"/>
      <c r="R76" s="21"/>
      <c r="S76" s="21"/>
      <c r="T76" s="21"/>
      <c r="U76" s="21"/>
      <c r="V76" s="21"/>
      <c r="W76" s="21"/>
      <c r="X76" s="21"/>
    </row>
    <row r="77" ht="22.5" customHeight="1">
      <c r="A77" s="21"/>
      <c r="B77" s="32"/>
      <c r="C77" s="21"/>
      <c r="D77" s="21"/>
      <c r="E77" s="21"/>
      <c r="F77" s="21"/>
      <c r="G77" s="21"/>
      <c r="H77" s="21"/>
      <c r="I77" s="21"/>
      <c r="J77" s="21"/>
      <c r="K77" s="21"/>
      <c r="L77" s="21"/>
      <c r="M77" s="21"/>
      <c r="N77" s="21"/>
      <c r="O77" s="21"/>
      <c r="P77" s="21"/>
      <c r="Q77" s="21"/>
      <c r="R77" s="21"/>
      <c r="S77" s="21"/>
      <c r="T77" s="21"/>
      <c r="U77" s="21"/>
      <c r="V77" s="21"/>
      <c r="W77" s="21"/>
      <c r="X77" s="21"/>
    </row>
    <row r="78" ht="2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row>
    <row r="79" ht="2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row>
    <row r="80" ht="2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row>
    <row r="81" ht="2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row>
    <row r="82" ht="2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row>
    <row r="83" ht="2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row>
    <row r="84" ht="2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row>
    <row r="85" ht="2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row>
    <row r="86" ht="2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row>
    <row r="87" ht="2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row>
    <row r="88" ht="2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row>
    <row r="89" ht="2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row>
    <row r="90" ht="2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row>
    <row r="91" ht="2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row>
    <row r="92" ht="2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row>
    <row r="93" ht="2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row>
    <row r="94" ht="2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row>
    <row r="95" ht="2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row>
    <row r="96" ht="2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row>
    <row r="97" ht="2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row>
    <row r="98" ht="2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row>
    <row r="99" ht="2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row>
    <row r="100" ht="2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row>
    <row r="101" ht="2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row>
    <row r="102" ht="2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row>
    <row r="103" ht="2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row>
    <row r="104" ht="2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row>
    <row r="105" ht="2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row>
    <row r="106" ht="2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row>
    <row r="107" ht="2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row>
    <row r="108" ht="2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row>
    <row r="109" ht="22.5" customHeight="1">
      <c r="A109" s="21"/>
      <c r="B109" s="32"/>
      <c r="C109" s="21"/>
      <c r="D109" s="21"/>
      <c r="E109" s="21"/>
      <c r="F109" s="21"/>
      <c r="G109" s="21"/>
      <c r="H109" s="21"/>
      <c r="I109" s="21"/>
      <c r="J109" s="21"/>
      <c r="K109" s="21"/>
      <c r="L109" s="21"/>
      <c r="M109" s="21"/>
      <c r="N109" s="21"/>
      <c r="O109" s="21"/>
      <c r="P109" s="21"/>
      <c r="Q109" s="21"/>
      <c r="R109" s="21"/>
      <c r="S109" s="21"/>
      <c r="T109" s="21"/>
      <c r="U109" s="21"/>
      <c r="V109" s="21"/>
      <c r="W109" s="21"/>
      <c r="X109" s="21"/>
    </row>
    <row r="110" ht="22.5" customHeight="1">
      <c r="A110" s="32"/>
      <c r="B110" s="32"/>
      <c r="C110" s="32"/>
      <c r="D110" s="32"/>
      <c r="E110" s="21"/>
      <c r="F110" s="32"/>
      <c r="G110" s="32"/>
      <c r="H110" s="32"/>
      <c r="I110" s="32"/>
      <c r="J110" s="32"/>
      <c r="K110" s="32"/>
      <c r="L110" s="32"/>
      <c r="M110" s="32"/>
      <c r="N110" s="32"/>
      <c r="O110" s="32"/>
      <c r="P110" s="32"/>
      <c r="Q110" s="32"/>
      <c r="R110" s="32"/>
      <c r="S110" s="32"/>
      <c r="T110" s="32"/>
      <c r="U110" s="32"/>
      <c r="V110" s="32"/>
      <c r="W110" s="32"/>
      <c r="X110" s="32"/>
    </row>
    <row r="111" ht="22.5" customHeight="1">
      <c r="A111" s="32"/>
      <c r="B111" s="32"/>
      <c r="C111" s="32"/>
      <c r="D111" s="32"/>
      <c r="E111" s="21"/>
      <c r="F111" s="32"/>
      <c r="G111" s="32"/>
      <c r="H111" s="32"/>
      <c r="I111" s="32"/>
      <c r="J111" s="32"/>
      <c r="K111" s="32"/>
      <c r="L111" s="32"/>
      <c r="M111" s="32"/>
      <c r="N111" s="32"/>
      <c r="O111" s="32"/>
      <c r="P111" s="32"/>
      <c r="Q111" s="32"/>
      <c r="R111" s="32"/>
      <c r="S111" s="32"/>
      <c r="T111" s="32"/>
      <c r="U111" s="32"/>
      <c r="V111" s="32"/>
      <c r="W111" s="32"/>
      <c r="X111" s="32"/>
    </row>
    <row r="112" ht="22.5" customHeight="1">
      <c r="A112" s="32"/>
      <c r="B112" s="32"/>
      <c r="C112" s="32"/>
      <c r="D112" s="32"/>
      <c r="E112" s="21"/>
      <c r="F112" s="32"/>
      <c r="G112" s="32"/>
      <c r="H112" s="32"/>
      <c r="I112" s="32"/>
      <c r="J112" s="32"/>
      <c r="K112" s="32"/>
      <c r="L112" s="32"/>
      <c r="M112" s="32"/>
      <c r="N112" s="32"/>
      <c r="O112" s="32"/>
      <c r="P112" s="32"/>
      <c r="Q112" s="32"/>
      <c r="R112" s="32"/>
      <c r="S112" s="32"/>
      <c r="T112" s="32"/>
      <c r="U112" s="32"/>
      <c r="V112" s="32"/>
      <c r="W112" s="32"/>
      <c r="X112" s="32"/>
    </row>
    <row r="113" ht="22.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row>
    <row r="114" ht="22.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row>
    <row r="115" ht="22.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row>
    <row r="116" ht="22.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row>
    <row r="117" ht="22.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row>
    <row r="118" ht="22.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row>
    <row r="119" ht="22.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row>
    <row r="120" ht="2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row>
    <row r="121" ht="2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row>
    <row r="122" ht="22.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row>
    <row r="123" ht="22.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row>
    <row r="124" ht="2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row>
    <row r="125" ht="2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row>
    <row r="126" ht="2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row>
    <row r="127" ht="2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row>
    <row r="128" ht="2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row>
    <row r="129" ht="2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row>
    <row r="130" ht="2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row>
    <row r="131" ht="2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row>
    <row r="132" ht="2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row>
    <row r="133" ht="2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row>
    <row r="134" ht="2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row>
    <row r="135" ht="2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row>
    <row r="136" ht="2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row>
    <row r="137" ht="2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row>
    <row r="138" ht="2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row>
    <row r="139" ht="2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row>
    <row r="140" ht="2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row>
    <row r="141" ht="2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row>
    <row r="142" ht="2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row>
    <row r="143" ht="2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row>
    <row r="144" ht="2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row>
    <row r="145" ht="2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row>
    <row r="146" ht="22.5" customHeight="1">
      <c r="A146" s="32"/>
      <c r="B146" s="21"/>
      <c r="C146" s="32"/>
      <c r="D146" s="32"/>
      <c r="E146" s="32"/>
      <c r="F146" s="32"/>
      <c r="G146" s="32"/>
      <c r="H146" s="32"/>
      <c r="I146" s="32"/>
      <c r="J146" s="32"/>
      <c r="K146" s="32"/>
      <c r="L146" s="32"/>
      <c r="M146" s="32"/>
      <c r="N146" s="32"/>
      <c r="O146" s="32"/>
      <c r="P146" s="32"/>
      <c r="Q146" s="32"/>
      <c r="R146" s="32"/>
      <c r="S146" s="32"/>
      <c r="T146" s="32"/>
      <c r="U146" s="32"/>
      <c r="V146" s="32"/>
      <c r="W146" s="32"/>
      <c r="X146" s="32"/>
    </row>
    <row r="147" ht="2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row>
    <row r="148" ht="22.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row>
    <row r="149" ht="22.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row>
    <row r="150" ht="22.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row>
    <row r="151" ht="22.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row>
    <row r="152" ht="22.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row>
    <row r="153" ht="22.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row>
    <row r="154" ht="22.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row>
    <row r="155" ht="22.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row>
    <row r="156" ht="22.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row>
    <row r="157" ht="22.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row>
    <row r="158" ht="22.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row>
    <row r="159" ht="22.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row>
    <row r="160" ht="22.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row>
    <row r="161" ht="22.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row>
    <row r="162" ht="22.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row>
    <row r="163" ht="22.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row>
    <row r="164" ht="22.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row>
    <row r="165" ht="22.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row>
    <row r="166" ht="22.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row>
    <row r="167" ht="22.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row>
    <row r="168" ht="22.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row>
    <row r="169" ht="22.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row>
    <row r="170" ht="22.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row>
    <row r="171" ht="22.5" customHeight="1">
      <c r="A171" s="32"/>
      <c r="B171" s="21"/>
      <c r="C171" s="32"/>
      <c r="D171" s="32"/>
      <c r="E171" s="32"/>
      <c r="F171" s="32"/>
      <c r="G171" s="32"/>
      <c r="H171" s="32"/>
      <c r="I171" s="32"/>
      <c r="J171" s="32"/>
      <c r="K171" s="32"/>
      <c r="L171" s="32"/>
      <c r="M171" s="32"/>
      <c r="N171" s="32"/>
      <c r="O171" s="32"/>
      <c r="P171" s="32"/>
      <c r="Q171" s="32"/>
      <c r="R171" s="32"/>
      <c r="S171" s="32"/>
      <c r="T171" s="32"/>
      <c r="U171" s="32"/>
      <c r="V171" s="32"/>
      <c r="W171" s="32"/>
      <c r="X171" s="32"/>
    </row>
    <row r="172" ht="2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row>
    <row r="173" ht="22.5" customHeight="1">
      <c r="A173" s="21"/>
      <c r="B173" s="32"/>
      <c r="C173" s="21"/>
      <c r="D173" s="21"/>
      <c r="E173" s="32"/>
      <c r="F173" s="21"/>
      <c r="G173" s="21"/>
      <c r="H173" s="21"/>
      <c r="I173" s="21"/>
      <c r="J173" s="21"/>
      <c r="K173" s="21"/>
      <c r="L173" s="21"/>
      <c r="M173" s="21"/>
      <c r="N173" s="21"/>
      <c r="O173" s="21"/>
      <c r="P173" s="21"/>
      <c r="Q173" s="21"/>
      <c r="R173" s="21"/>
      <c r="S173" s="21"/>
      <c r="T173" s="21"/>
      <c r="U173" s="21"/>
      <c r="V173" s="21"/>
      <c r="W173" s="21"/>
      <c r="X173" s="21"/>
    </row>
    <row r="174" ht="22.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row>
    <row r="175" ht="22.5" customHeight="1">
      <c r="A175" s="32"/>
      <c r="B175" s="21"/>
      <c r="C175" s="32"/>
      <c r="D175" s="32"/>
      <c r="E175" s="32"/>
      <c r="F175" s="32"/>
      <c r="G175" s="32"/>
      <c r="H175" s="32"/>
      <c r="I175" s="32"/>
      <c r="J175" s="32"/>
      <c r="K175" s="32"/>
      <c r="L175" s="32"/>
      <c r="M175" s="32"/>
      <c r="N175" s="32"/>
      <c r="O175" s="32"/>
      <c r="P175" s="32"/>
      <c r="Q175" s="32"/>
      <c r="R175" s="32"/>
      <c r="S175" s="32"/>
      <c r="T175" s="32"/>
      <c r="U175" s="32"/>
      <c r="V175" s="32"/>
      <c r="W175" s="32"/>
      <c r="X175" s="32"/>
    </row>
    <row r="176" ht="2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row>
    <row r="177" ht="22.5" customHeight="1">
      <c r="A177" s="21"/>
      <c r="B177" s="21"/>
      <c r="C177" s="21"/>
      <c r="D177" s="21"/>
      <c r="E177" s="32"/>
      <c r="F177" s="21"/>
      <c r="G177" s="21"/>
      <c r="H177" s="21"/>
      <c r="I177" s="21"/>
      <c r="J177" s="21"/>
      <c r="K177" s="21"/>
      <c r="L177" s="21"/>
      <c r="M177" s="21"/>
      <c r="N177" s="21"/>
      <c r="O177" s="21"/>
      <c r="P177" s="21"/>
      <c r="Q177" s="21"/>
      <c r="R177" s="21"/>
      <c r="S177" s="21"/>
      <c r="T177" s="21"/>
      <c r="U177" s="21"/>
      <c r="V177" s="21"/>
      <c r="W177" s="21"/>
      <c r="X177" s="21"/>
    </row>
    <row r="178" ht="22.5" customHeight="1">
      <c r="A178" s="32"/>
      <c r="B178" s="21"/>
      <c r="C178" s="32"/>
      <c r="D178" s="32"/>
      <c r="E178" s="32"/>
      <c r="F178" s="32"/>
      <c r="G178" s="32"/>
      <c r="H178" s="32"/>
      <c r="I178" s="32"/>
      <c r="J178" s="32"/>
      <c r="K178" s="32"/>
      <c r="L178" s="32"/>
      <c r="M178" s="32"/>
      <c r="N178" s="32"/>
      <c r="O178" s="32"/>
      <c r="P178" s="32"/>
      <c r="Q178" s="32"/>
      <c r="R178" s="32"/>
      <c r="S178" s="32"/>
      <c r="T178" s="32"/>
      <c r="U178" s="32"/>
      <c r="V178" s="32"/>
      <c r="W178" s="32"/>
      <c r="X178" s="32"/>
    </row>
    <row r="179" ht="22.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row>
    <row r="180" ht="22.5" customHeight="1">
      <c r="A180" s="32"/>
      <c r="B180" s="21"/>
      <c r="C180" s="32"/>
      <c r="D180" s="32"/>
      <c r="E180" s="32"/>
      <c r="F180" s="32"/>
      <c r="G180" s="32"/>
      <c r="H180" s="32"/>
      <c r="I180" s="32"/>
      <c r="J180" s="32"/>
      <c r="K180" s="32"/>
      <c r="L180" s="32"/>
      <c r="M180" s="32"/>
      <c r="N180" s="32"/>
      <c r="O180" s="32"/>
      <c r="P180" s="32"/>
      <c r="Q180" s="32"/>
      <c r="R180" s="32"/>
      <c r="S180" s="32"/>
      <c r="T180" s="32"/>
      <c r="U180" s="32"/>
      <c r="V180" s="32"/>
      <c r="W180" s="32"/>
      <c r="X180" s="32"/>
    </row>
    <row r="181" ht="2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row>
    <row r="182" ht="22.5" customHeight="1">
      <c r="A182" s="21"/>
      <c r="B182" s="21"/>
      <c r="C182" s="21"/>
      <c r="D182" s="21"/>
      <c r="E182" s="32"/>
      <c r="F182" s="21"/>
      <c r="G182" s="21"/>
      <c r="H182" s="21"/>
      <c r="I182" s="21"/>
      <c r="J182" s="21"/>
      <c r="K182" s="21"/>
      <c r="L182" s="21"/>
      <c r="M182" s="21"/>
      <c r="N182" s="21"/>
      <c r="O182" s="21"/>
      <c r="P182" s="21"/>
      <c r="Q182" s="21"/>
      <c r="R182" s="21"/>
      <c r="S182" s="21"/>
      <c r="T182" s="21"/>
      <c r="U182" s="21"/>
      <c r="V182" s="21"/>
      <c r="W182" s="21"/>
      <c r="X182" s="21"/>
    </row>
    <row r="183" ht="22.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row>
    <row r="184" ht="22.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row>
    <row r="185" ht="22.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row>
    <row r="186" ht="22.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row>
    <row r="187" ht="22.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row>
    <row r="188" ht="22.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row>
    <row r="189" ht="22.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row>
    <row r="190" ht="22.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row>
    <row r="191" ht="22.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row>
    <row r="192" ht="22.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row>
    <row r="193" ht="22.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row>
    <row r="194" ht="22.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row>
    <row r="195" ht="22.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row>
    <row r="196" ht="22.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row>
    <row r="197" ht="22.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row>
    <row r="198" ht="22.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row>
    <row r="199" ht="22.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row>
    <row r="200" ht="22.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row>
    <row r="201" ht="22.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row>
    <row r="202" ht="22.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row>
    <row r="203" ht="22.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row>
    <row r="204" ht="22.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row>
    <row r="205" ht="22.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row>
    <row r="206" ht="22.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row>
    <row r="207" ht="22.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row>
    <row r="208" ht="22.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row>
    <row r="209" ht="22.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row>
    <row r="210" ht="22.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row>
    <row r="211" ht="22.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row>
    <row r="212" ht="22.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row>
    <row r="213" ht="22.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row>
    <row r="214" ht="22.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row>
    <row r="215" ht="22.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row>
    <row r="216" ht="22.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row>
    <row r="217" ht="22.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row>
    <row r="218" ht="22.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row>
    <row r="219" ht="22.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row>
    <row r="220" ht="22.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row>
    <row r="221" ht="22.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row>
    <row r="222" ht="22.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row>
    <row r="223" ht="22.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row>
    <row r="224" ht="22.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row>
    <row r="225" ht="22.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row>
    <row r="226" ht="22.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row>
    <row r="227" ht="22.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row>
    <row r="228" ht="22.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row>
    <row r="229" ht="22.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row>
    <row r="230" ht="22.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row>
    <row r="231" ht="22.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row>
    <row r="232" ht="22.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row>
    <row r="233" ht="22.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row>
    <row r="234" ht="22.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row>
    <row r="235" ht="22.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row>
    <row r="236" ht="22.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row>
    <row r="237" ht="22.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row>
    <row r="238" ht="22.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row>
    <row r="239" ht="22.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row>
    <row r="240" ht="22.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row>
    <row r="241" ht="22.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row>
    <row r="242" ht="22.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row>
    <row r="243" ht="22.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row>
    <row r="244" ht="22.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row>
    <row r="245" ht="22.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row>
    <row r="246" ht="22.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row>
    <row r="247" ht="22.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row>
    <row r="248" ht="22.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row>
    <row r="249" ht="22.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row>
    <row r="250" ht="22.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row>
    <row r="251" ht="22.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row>
    <row r="252" ht="22.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row>
    <row r="253" ht="22.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row>
    <row r="254" ht="22.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row>
    <row r="255" ht="22.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row>
    <row r="256" ht="22.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row>
    <row r="257" ht="22.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row>
    <row r="258" ht="22.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row>
    <row r="259" ht="22.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row>
    <row r="260" ht="22.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row>
    <row r="261" ht="22.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row>
    <row r="262" ht="22.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row>
    <row r="263" ht="22.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row>
    <row r="264" ht="22.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row>
    <row r="265" ht="22.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row>
    <row r="266" ht="22.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row>
    <row r="267" ht="22.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row>
    <row r="268" ht="22.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row>
    <row r="269" ht="22.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row>
    <row r="270" ht="22.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row>
    <row r="271" ht="22.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row>
    <row r="272" ht="22.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row>
    <row r="273" ht="22.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row>
    <row r="274" ht="22.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row>
    <row r="275" ht="22.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row>
    <row r="276" ht="22.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row>
    <row r="277" ht="22.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row>
    <row r="278" ht="22.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row>
    <row r="279" ht="22.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row>
    <row r="280" ht="22.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row>
    <row r="281" ht="22.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row>
    <row r="282" ht="22.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row>
    <row r="283" ht="22.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row>
    <row r="284" ht="22.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row>
    <row r="285" ht="22.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row>
    <row r="286" ht="22.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row>
    <row r="287" ht="22.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row>
    <row r="288" ht="22.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row>
    <row r="289" ht="22.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row>
    <row r="290" ht="22.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row>
    <row r="291" ht="22.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row>
    <row r="292" ht="22.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row>
    <row r="293" ht="22.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row>
    <row r="294" ht="22.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row>
    <row r="295" ht="22.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row>
    <row r="296" ht="22.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row>
    <row r="297" ht="22.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row>
    <row r="298" ht="22.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row>
    <row r="299" ht="22.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row>
    <row r="300" ht="22.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row>
    <row r="301" ht="22.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row>
    <row r="302" ht="22.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row>
    <row r="303" ht="22.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row>
    <row r="304" ht="22.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row>
    <row r="305" ht="22.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row>
    <row r="306" ht="22.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row>
    <row r="307" ht="22.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row>
    <row r="308" ht="22.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row>
    <row r="309" ht="22.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row>
    <row r="310" ht="22.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row>
    <row r="311" ht="22.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row>
    <row r="312" ht="22.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row>
    <row r="313" ht="22.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row>
    <row r="314" ht="22.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row>
    <row r="315" ht="22.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row>
    <row r="316" ht="22.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row>
    <row r="317" ht="22.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row>
    <row r="318" ht="22.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row>
    <row r="319" ht="22.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row>
    <row r="320" ht="22.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row>
    <row r="321" ht="22.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row>
    <row r="322" ht="22.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row>
    <row r="323" ht="22.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row>
    <row r="324" ht="22.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row>
    <row r="325" ht="22.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row>
    <row r="326" ht="22.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row>
    <row r="327" ht="22.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row>
    <row r="328" ht="22.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row>
    <row r="329" ht="22.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row>
    <row r="330" ht="22.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row>
    <row r="331" ht="22.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row>
    <row r="332" ht="22.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row>
    <row r="333" ht="22.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row>
    <row r="334" ht="22.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row>
    <row r="335" ht="22.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row>
    <row r="336" ht="22.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row>
    <row r="337" ht="22.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row>
    <row r="338" ht="22.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row>
    <row r="339" ht="22.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row>
    <row r="340" ht="22.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row>
    <row r="341" ht="22.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row>
    <row r="342" ht="22.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row>
    <row r="343" ht="22.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row>
    <row r="344" ht="22.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row>
    <row r="345" ht="22.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row>
    <row r="346" ht="22.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row>
    <row r="347" ht="22.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row>
    <row r="348" ht="22.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row>
    <row r="349" ht="22.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row>
    <row r="350" ht="22.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row>
    <row r="351" ht="22.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row>
    <row r="352" ht="22.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row>
    <row r="353" ht="22.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row>
    <row r="354" ht="22.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row>
    <row r="355" ht="22.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row>
    <row r="356" ht="22.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row>
    <row r="357" ht="22.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row>
    <row r="358" ht="22.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row>
    <row r="359" ht="22.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row>
    <row r="360" ht="22.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row>
    <row r="361" ht="22.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row>
    <row r="362" ht="22.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row>
    <row r="363" ht="22.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row>
    <row r="364" ht="22.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row>
    <row r="365" ht="22.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row>
    <row r="366" ht="22.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row>
    <row r="367" ht="22.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row>
    <row r="368" ht="22.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row>
    <row r="369" ht="22.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row>
    <row r="370" ht="22.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row>
    <row r="371" ht="22.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row>
    <row r="372" ht="22.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row>
    <row r="373" ht="22.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row>
    <row r="374" ht="22.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row>
    <row r="375" ht="22.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row>
    <row r="376" ht="22.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row>
    <row r="377" ht="22.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row>
    <row r="378" ht="22.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row>
    <row r="379" ht="22.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row>
    <row r="380" ht="22.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row>
    <row r="381" ht="22.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row>
    <row r="382" ht="22.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row>
    <row r="383" ht="22.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row>
    <row r="384" ht="22.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row>
    <row r="385" ht="22.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row>
    <row r="386" ht="22.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row>
    <row r="387" ht="22.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row>
    <row r="388" ht="22.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row>
    <row r="389" ht="22.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row>
    <row r="390" ht="22.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row>
    <row r="391" ht="22.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row>
    <row r="392" ht="22.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row>
    <row r="393" ht="22.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row>
    <row r="394" ht="22.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row>
    <row r="395" ht="22.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row>
    <row r="396" ht="22.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row>
    <row r="397" ht="22.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row>
    <row r="398" ht="22.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row>
    <row r="399" ht="22.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row>
    <row r="400" ht="22.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row>
    <row r="401" ht="22.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row>
    <row r="402" ht="22.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row>
    <row r="403" ht="22.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row>
    <row r="404" ht="22.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row>
    <row r="405" ht="22.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row>
    <row r="406" ht="22.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row>
    <row r="407" ht="22.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row>
    <row r="408" ht="22.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row>
    <row r="409" ht="22.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row>
    <row r="410" ht="22.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row>
    <row r="411" ht="22.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row>
    <row r="412" ht="22.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row>
    <row r="413" ht="22.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row>
    <row r="414" ht="22.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row>
    <row r="415" ht="22.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row>
    <row r="416" ht="22.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row>
    <row r="417" ht="22.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row>
    <row r="418" ht="22.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row>
    <row r="419" ht="22.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row>
    <row r="420" ht="22.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row>
    <row r="421" ht="22.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row>
    <row r="422" ht="22.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row>
    <row r="423" ht="22.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row>
    <row r="424" ht="22.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row>
    <row r="425" ht="22.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row>
    <row r="426" ht="22.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row>
    <row r="427" ht="22.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row>
    <row r="428" ht="22.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row>
    <row r="429" ht="22.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row>
    <row r="430" ht="22.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row>
    <row r="431" ht="22.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row>
    <row r="432" ht="22.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row>
    <row r="433" ht="22.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row>
    <row r="434" ht="22.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row>
    <row r="435" ht="22.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row>
    <row r="436" ht="22.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row>
    <row r="437" ht="22.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row>
    <row r="438" ht="22.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row>
    <row r="439" ht="22.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row>
    <row r="440" ht="22.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row>
    <row r="441" ht="22.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row>
    <row r="442" ht="22.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row>
    <row r="443" ht="22.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row>
    <row r="444" ht="22.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row>
    <row r="445" ht="22.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row>
    <row r="446" ht="22.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row>
    <row r="447" ht="22.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row>
    <row r="448" ht="22.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row>
    <row r="449" ht="22.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row>
    <row r="450" ht="22.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row>
    <row r="451" ht="22.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row>
    <row r="452" ht="22.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row>
    <row r="453" ht="22.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row>
    <row r="454" ht="22.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row>
    <row r="455" ht="22.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row>
    <row r="456" ht="22.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row>
    <row r="457" ht="22.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row>
    <row r="458" ht="22.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row>
    <row r="459" ht="22.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row>
    <row r="460" ht="22.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row>
    <row r="461" ht="22.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row>
    <row r="462" ht="22.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row>
    <row r="463" ht="22.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row>
    <row r="464" ht="22.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row>
    <row r="465" ht="22.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row>
    <row r="466" ht="22.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row>
    <row r="467" ht="22.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row>
    <row r="468" ht="22.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row>
    <row r="469" ht="22.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row>
    <row r="470" ht="22.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row>
    <row r="471" ht="22.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row>
    <row r="472" ht="22.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row>
    <row r="473" ht="22.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row>
    <row r="474" ht="22.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row>
    <row r="475" ht="22.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row>
    <row r="476" ht="22.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row>
    <row r="477" ht="22.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row>
    <row r="478" ht="22.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row>
    <row r="479" ht="22.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row>
    <row r="480" ht="22.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row>
    <row r="481" ht="22.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row>
    <row r="482" ht="22.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row>
    <row r="483" ht="22.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row>
    <row r="484" ht="22.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row>
    <row r="485" ht="22.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row>
    <row r="486" ht="22.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row>
    <row r="487" ht="22.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row>
    <row r="488" ht="22.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row>
    <row r="489" ht="22.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row>
    <row r="490" ht="22.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row>
    <row r="491" ht="22.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row>
    <row r="492" ht="22.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row>
    <row r="493" ht="22.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row>
    <row r="494" ht="22.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row>
    <row r="495" ht="22.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row>
    <row r="496" ht="22.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row>
    <row r="497" ht="22.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row>
    <row r="498" ht="22.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row>
    <row r="499" ht="22.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row>
    <row r="500" ht="22.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row>
    <row r="501" ht="22.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row>
    <row r="502" ht="22.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row>
    <row r="503" ht="22.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row>
    <row r="504" ht="22.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row>
    <row r="505" ht="22.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row>
    <row r="506" ht="22.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row>
    <row r="507" ht="22.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row>
    <row r="508" ht="22.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row>
    <row r="509" ht="22.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row>
    <row r="510" ht="22.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row>
    <row r="511" ht="22.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row>
    <row r="512" ht="22.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row>
    <row r="513" ht="22.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row>
    <row r="514" ht="22.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row>
    <row r="515" ht="22.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row>
    <row r="516" ht="22.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row>
    <row r="517" ht="22.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row>
    <row r="518" ht="22.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row>
    <row r="519" ht="22.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row>
    <row r="520" ht="22.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row>
    <row r="521" ht="22.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row>
    <row r="522" ht="22.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row>
    <row r="523" ht="22.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row>
    <row r="524" ht="22.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row>
    <row r="525" ht="22.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row>
    <row r="526" ht="22.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row>
    <row r="527" ht="22.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row>
    <row r="528" ht="22.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row>
    <row r="529" ht="22.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row>
    <row r="530" ht="22.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row>
    <row r="531" ht="22.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row>
    <row r="532" ht="22.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row>
    <row r="533" ht="22.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row>
    <row r="534" ht="22.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row>
    <row r="535" ht="22.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row>
    <row r="536" ht="22.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row>
    <row r="537" ht="22.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row>
    <row r="538" ht="22.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row>
    <row r="539" ht="22.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row>
    <row r="540" ht="22.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row>
    <row r="541" ht="22.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row>
    <row r="542" ht="22.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row>
    <row r="543" ht="22.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row>
    <row r="544" ht="22.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row>
    <row r="545" ht="22.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row>
    <row r="546" ht="22.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row>
    <row r="547" ht="22.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row>
    <row r="548" ht="22.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row>
    <row r="549" ht="22.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row>
    <row r="550" ht="22.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row>
    <row r="551" ht="22.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row>
    <row r="552" ht="22.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row>
    <row r="553" ht="22.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row>
    <row r="554" ht="22.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row>
    <row r="555" ht="22.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row>
    <row r="556" ht="22.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row>
    <row r="557" ht="22.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row>
    <row r="558" ht="22.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row>
    <row r="559" ht="22.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row>
    <row r="560" ht="22.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row>
    <row r="561" ht="22.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row>
    <row r="562" ht="22.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row>
    <row r="563" ht="22.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row>
    <row r="564" ht="22.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row>
    <row r="565" ht="22.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row>
    <row r="566" ht="22.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row>
    <row r="567" ht="22.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row>
    <row r="568" ht="22.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row>
    <row r="569" ht="22.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row>
    <row r="570" ht="22.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row>
    <row r="571" ht="22.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row>
    <row r="572" ht="22.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row>
    <row r="573" ht="22.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row>
    <row r="574" ht="22.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row>
    <row r="575" ht="22.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row>
    <row r="576" ht="22.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row>
    <row r="577" ht="22.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row>
    <row r="578" ht="22.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row>
    <row r="579" ht="22.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row>
    <row r="580" ht="22.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row>
    <row r="581" ht="22.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row>
    <row r="582" ht="22.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row>
    <row r="583" ht="22.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row>
    <row r="584" ht="22.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row>
    <row r="585" ht="22.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row>
    <row r="586" ht="22.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row>
    <row r="587" ht="22.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row>
    <row r="588" ht="22.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row>
    <row r="589" ht="22.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row>
    <row r="590" ht="22.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row>
    <row r="591" ht="22.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row>
    <row r="592" ht="22.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row>
    <row r="593" ht="22.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row>
    <row r="594" ht="22.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row>
    <row r="595" ht="22.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row>
    <row r="596" ht="22.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row>
    <row r="597" ht="22.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row>
    <row r="598" ht="22.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row>
    <row r="599" ht="22.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row>
    <row r="600" ht="22.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row>
    <row r="601" ht="22.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row>
    <row r="602" ht="22.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row>
    <row r="603" ht="22.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row>
    <row r="604" ht="22.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row>
    <row r="605" ht="22.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row>
    <row r="606" ht="22.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row>
    <row r="607" ht="22.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row>
    <row r="608" ht="22.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row>
    <row r="609" ht="22.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row>
    <row r="610" ht="22.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row>
    <row r="611" ht="22.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row>
    <row r="612" ht="22.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row>
    <row r="613" ht="22.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row>
    <row r="614" ht="22.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row>
    <row r="615" ht="22.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row>
    <row r="616" ht="22.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row>
    <row r="617" ht="22.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row>
    <row r="618" ht="22.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row>
    <row r="619" ht="22.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row>
    <row r="620" ht="22.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row>
    <row r="621" ht="22.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row>
    <row r="622" ht="22.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row>
    <row r="623" ht="22.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row>
    <row r="624" ht="22.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row>
    <row r="625" ht="22.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row>
    <row r="626" ht="22.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row>
    <row r="627" ht="22.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row>
    <row r="628" ht="22.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row>
    <row r="629" ht="22.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row>
    <row r="630" ht="22.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row>
    <row r="631" ht="22.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row>
    <row r="632" ht="22.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row>
    <row r="633" ht="22.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row>
    <row r="634" ht="22.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row>
    <row r="635" ht="22.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row>
    <row r="636" ht="22.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row>
    <row r="637" ht="22.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row>
    <row r="638" ht="22.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row>
    <row r="639" ht="22.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row>
    <row r="640" ht="22.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row>
    <row r="641" ht="22.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row>
    <row r="642" ht="22.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row>
    <row r="643" ht="22.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row>
    <row r="644" ht="22.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row>
    <row r="645" ht="22.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row>
    <row r="646" ht="22.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row>
    <row r="647" ht="22.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row>
    <row r="648" ht="22.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row>
    <row r="649" ht="22.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row>
    <row r="650" ht="22.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row>
    <row r="651" ht="22.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row>
    <row r="652" ht="22.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row>
    <row r="653" ht="22.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row>
    <row r="654" ht="22.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row>
    <row r="655" ht="22.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row>
    <row r="656" ht="22.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row>
    <row r="657" ht="22.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row>
    <row r="658" ht="22.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row>
    <row r="659" ht="22.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row>
    <row r="660" ht="22.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row>
    <row r="661" ht="22.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row>
    <row r="662" ht="22.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row>
    <row r="663" ht="22.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row>
    <row r="664" ht="22.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row>
    <row r="665" ht="22.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row>
    <row r="666" ht="22.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row>
    <row r="667" ht="22.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row>
    <row r="668" ht="22.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row>
    <row r="669" ht="22.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row>
    <row r="670" ht="22.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row>
    <row r="671" ht="22.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row>
    <row r="672" ht="22.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row>
    <row r="673" ht="22.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row>
    <row r="674" ht="22.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row>
    <row r="675" ht="22.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row>
    <row r="676" ht="22.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row>
    <row r="677" ht="22.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row>
    <row r="678" ht="22.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row>
    <row r="679" ht="22.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row>
    <row r="680" ht="22.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row>
    <row r="681" ht="22.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row>
    <row r="682" ht="22.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row>
    <row r="683" ht="22.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row>
    <row r="684" ht="22.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row>
    <row r="685" ht="22.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row>
    <row r="686" ht="22.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row>
    <row r="687" ht="22.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row>
    <row r="688" ht="22.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row>
    <row r="689" ht="22.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row>
    <row r="690" ht="22.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row>
    <row r="691" ht="22.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row>
    <row r="692" ht="22.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row>
    <row r="693" ht="22.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row>
    <row r="694" ht="22.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row>
    <row r="695" ht="22.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row>
    <row r="696" ht="22.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row>
    <row r="697" ht="22.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row>
    <row r="698" ht="22.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row>
    <row r="699" ht="22.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row>
    <row r="700" ht="22.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row>
    <row r="701" ht="22.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row>
    <row r="702" ht="22.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row>
    <row r="703" ht="22.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row>
    <row r="704" ht="22.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row>
    <row r="705" ht="22.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row>
    <row r="706" ht="22.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row>
    <row r="707" ht="22.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row>
    <row r="708" ht="22.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row>
    <row r="709" ht="22.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row>
    <row r="710" ht="22.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row>
    <row r="711" ht="22.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row>
    <row r="712" ht="22.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row>
    <row r="713" ht="22.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row>
    <row r="714" ht="22.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row>
    <row r="715" ht="22.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row>
    <row r="716" ht="22.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row>
    <row r="717" ht="22.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row>
    <row r="718" ht="22.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row>
    <row r="719" ht="22.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row>
    <row r="720" ht="22.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row>
    <row r="721" ht="22.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row>
    <row r="722" ht="22.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row>
    <row r="723" ht="22.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row>
    <row r="724" ht="22.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row>
    <row r="725" ht="22.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row>
    <row r="726" ht="22.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row>
    <row r="727" ht="22.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row>
    <row r="728" ht="22.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row>
    <row r="729" ht="22.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row>
    <row r="730" ht="22.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row>
    <row r="731" ht="22.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row>
    <row r="732" ht="22.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row>
    <row r="733" ht="22.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row>
    <row r="734" ht="22.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row>
    <row r="735" ht="22.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row>
    <row r="736" ht="22.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row>
    <row r="737" ht="22.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row>
    <row r="738" ht="22.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row>
    <row r="739" ht="22.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row>
    <row r="740" ht="22.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row>
    <row r="741" ht="22.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row>
    <row r="742" ht="22.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row>
    <row r="743" ht="22.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row>
    <row r="744" ht="22.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row>
    <row r="745" ht="22.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row>
    <row r="746" ht="22.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row>
    <row r="747" ht="22.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row>
    <row r="748" ht="22.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row>
    <row r="749" ht="22.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row>
    <row r="750" ht="22.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row>
    <row r="751" ht="22.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row>
    <row r="752" ht="22.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row>
    <row r="753" ht="22.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row>
    <row r="754" ht="22.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row>
    <row r="755" ht="22.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row>
    <row r="756" ht="22.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row>
    <row r="757" ht="22.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row>
    <row r="758" ht="22.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row>
    <row r="759" ht="22.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row>
    <row r="760" ht="22.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row>
    <row r="761" ht="22.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row>
    <row r="762" ht="22.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row>
    <row r="763" ht="22.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row>
    <row r="764" ht="22.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row>
    <row r="765" ht="22.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row>
    <row r="766" ht="22.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row>
    <row r="767" ht="22.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row>
    <row r="768" ht="22.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row>
    <row r="769" ht="22.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row>
    <row r="770" ht="22.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row>
    <row r="771" ht="22.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row>
    <row r="772" ht="22.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row>
    <row r="773" ht="22.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row>
    <row r="774" ht="22.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row>
    <row r="775" ht="22.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row>
    <row r="776" ht="22.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row>
    <row r="777" ht="22.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row>
    <row r="778" ht="22.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row>
    <row r="779" ht="22.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row>
    <row r="780" ht="22.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row>
    <row r="781" ht="22.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row>
    <row r="782" ht="22.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row>
    <row r="783" ht="22.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row>
    <row r="784" ht="22.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row>
    <row r="785" ht="22.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row>
    <row r="786" ht="22.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row>
    <row r="787" ht="22.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row>
    <row r="788" ht="22.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row>
    <row r="789" ht="22.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row>
    <row r="790" ht="22.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row>
    <row r="791" ht="22.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row>
    <row r="792" ht="22.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row>
    <row r="793" ht="22.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row>
    <row r="794" ht="22.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row>
    <row r="795" ht="22.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row>
    <row r="796" ht="22.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row>
    <row r="797" ht="22.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row>
    <row r="798" ht="22.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row>
    <row r="799" ht="22.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row>
    <row r="800" ht="22.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row>
    <row r="801" ht="22.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row>
    <row r="802" ht="22.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row>
    <row r="803" ht="22.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row>
    <row r="804" ht="22.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row>
    <row r="805" ht="22.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row>
    <row r="806" ht="22.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row>
    <row r="807" ht="22.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row>
    <row r="808" ht="22.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row>
    <row r="809" ht="22.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row>
    <row r="810" ht="22.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row>
    <row r="811" ht="22.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row>
    <row r="812" ht="22.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row>
    <row r="813" ht="22.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row>
    <row r="814" ht="22.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row>
    <row r="815" ht="22.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row>
    <row r="816" ht="22.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row>
    <row r="817" ht="22.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row>
    <row r="818" ht="22.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row>
    <row r="819" ht="22.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row>
    <row r="820" ht="22.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row>
    <row r="821" ht="22.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row>
    <row r="822" ht="22.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row>
    <row r="823" ht="22.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row>
    <row r="824" ht="22.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row>
    <row r="825" ht="22.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row>
    <row r="826" ht="22.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row>
    <row r="827" ht="22.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row>
    <row r="828" ht="22.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row>
    <row r="829" ht="22.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row>
    <row r="830" ht="22.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row>
    <row r="831" ht="22.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row>
    <row r="832" ht="22.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row>
    <row r="833" ht="22.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row>
    <row r="834" ht="22.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row>
    <row r="835" ht="22.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row>
    <row r="836" ht="22.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row>
    <row r="837" ht="22.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row>
    <row r="838" ht="22.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row>
    <row r="839" ht="22.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row>
    <row r="840" ht="22.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row>
    <row r="841" ht="22.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row>
    <row r="842" ht="22.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row>
    <row r="843" ht="22.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row>
    <row r="844" ht="22.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row>
    <row r="845" ht="22.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row>
    <row r="846" ht="22.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row>
    <row r="847" ht="22.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row>
    <row r="848" ht="22.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row>
    <row r="849" ht="22.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row>
    <row r="850" ht="22.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row>
    <row r="851" ht="22.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row>
    <row r="852" ht="22.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row>
    <row r="853" ht="22.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row>
    <row r="854" ht="22.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row>
    <row r="855" ht="22.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row>
    <row r="856" ht="22.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row>
    <row r="857" ht="22.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row>
    <row r="858" ht="22.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row>
    <row r="859" ht="22.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row>
    <row r="860" ht="22.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row>
    <row r="861" ht="22.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row>
    <row r="862" ht="22.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row>
    <row r="863" ht="22.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row>
    <row r="864" ht="22.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row>
    <row r="865" ht="22.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row>
    <row r="866" ht="22.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row>
    <row r="867" ht="22.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row>
    <row r="868" ht="22.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row>
    <row r="869" ht="22.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row>
    <row r="870" ht="22.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row>
    <row r="871" ht="22.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row>
    <row r="872" ht="22.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row>
    <row r="873" ht="22.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row>
    <row r="874" ht="22.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row>
    <row r="875" ht="22.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row>
    <row r="876" ht="22.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row>
    <row r="877" ht="22.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row>
    <row r="878" ht="22.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row>
    <row r="879" ht="22.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row>
    <row r="880" ht="22.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row>
    <row r="881" ht="22.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row>
    <row r="882" ht="22.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row>
    <row r="883" ht="22.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row>
    <row r="884" ht="22.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row>
    <row r="885" ht="22.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row>
    <row r="886" ht="22.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row>
    <row r="887" ht="22.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row>
    <row r="888" ht="22.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row>
    <row r="889" ht="22.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row>
    <row r="890" ht="22.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row>
    <row r="891" ht="22.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row>
    <row r="892" ht="22.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row>
    <row r="893" ht="22.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row>
    <row r="894" ht="22.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row>
    <row r="895" ht="22.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row>
    <row r="896" ht="22.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row>
    <row r="897" ht="22.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row>
    <row r="898" ht="22.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row>
    <row r="899" ht="22.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row>
    <row r="900" ht="22.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row>
    <row r="901" ht="22.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row>
    <row r="902" ht="22.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row>
    <row r="903" ht="22.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row>
    <row r="904" ht="22.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row>
    <row r="905" ht="22.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row>
    <row r="906" ht="22.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row>
    <row r="907" ht="22.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row>
    <row r="908" ht="22.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row>
    <row r="909" ht="22.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row>
    <row r="910" ht="22.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row>
    <row r="911" ht="22.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row>
    <row r="912" ht="22.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row>
    <row r="913" ht="22.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row>
    <row r="914" ht="22.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row>
    <row r="915" ht="22.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row>
    <row r="916" ht="22.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row>
    <row r="917" ht="22.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row>
    <row r="918" ht="22.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row>
    <row r="919" ht="22.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row>
    <row r="920" ht="22.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row>
    <row r="921" ht="22.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row>
    <row r="922" ht="22.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row>
    <row r="923" ht="22.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row>
    <row r="924" ht="22.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row>
    <row r="925" ht="22.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row>
    <row r="926" ht="22.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row>
    <row r="927" ht="22.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row>
    <row r="928" ht="22.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row>
    <row r="929" ht="22.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row>
    <row r="930" ht="22.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row>
    <row r="931" ht="22.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row>
    <row r="932" ht="22.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row>
    <row r="933" ht="22.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row>
    <row r="934" ht="22.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row>
    <row r="935" ht="22.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row>
    <row r="936" ht="22.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row>
    <row r="937" ht="22.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row>
    <row r="938" ht="22.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row>
    <row r="939" ht="22.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row>
    <row r="940" ht="22.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row>
    <row r="941" ht="22.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row>
    <row r="942" ht="22.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row>
    <row r="943" ht="22.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row>
    <row r="944" ht="22.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row>
    <row r="945" ht="22.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row>
    <row r="946" ht="22.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row>
    <row r="947" ht="22.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row>
    <row r="948" ht="22.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row>
    <row r="949" ht="22.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row>
    <row r="950" ht="22.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row>
    <row r="951" ht="22.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row>
    <row r="952" ht="22.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row>
    <row r="953" ht="22.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row>
    <row r="954" ht="22.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row>
    <row r="955" ht="22.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row>
    <row r="956" ht="22.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row>
    <row r="957" ht="22.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row>
    <row r="958" ht="22.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row>
    <row r="959" ht="22.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row>
    <row r="960" ht="22.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row>
    <row r="961" ht="22.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row>
    <row r="962" ht="22.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row>
    <row r="963" ht="22.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row>
    <row r="964" ht="22.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row>
    <row r="965" ht="22.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row>
    <row r="966" ht="22.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row>
    <row r="967" ht="22.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row>
    <row r="968" ht="22.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row>
    <row r="969" ht="22.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row>
    <row r="970" ht="22.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row>
    <row r="971" ht="22.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row>
    <row r="972" ht="22.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row>
    <row r="973" ht="22.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row>
    <row r="974" ht="22.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row>
    <row r="975" ht="22.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row>
    <row r="976" ht="22.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row>
    <row r="977" ht="22.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row>
    <row r="978" ht="22.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row>
    <row r="979" ht="22.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row>
    <row r="980" ht="22.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row>
    <row r="981" ht="22.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row>
    <row r="982" ht="22.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row>
    <row r="983" ht="22.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row>
    <row r="984" ht="22.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row>
    <row r="985" ht="22.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row>
    <row r="986" ht="22.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row>
    <row r="987" ht="22.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row>
    <row r="988" ht="22.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row>
    <row r="989" ht="22.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row>
    <row r="990" ht="22.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row>
    <row r="991" ht="22.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row>
    <row r="992" ht="22.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row>
    <row r="993" ht="22.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row>
    <row r="994" ht="22.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row>
    <row r="995" ht="22.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row>
    <row r="996" ht="22.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row>
    <row r="997" ht="22.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row>
    <row r="998" ht="22.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row>
    <row r="999" ht="22.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row>
    <row r="1000" ht="22.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row>
    <row r="1001" ht="22.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row>
    <row r="1002" ht="22.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row>
    <row r="1003" ht="22.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row>
    <row r="1004" ht="22.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row>
  </sheetData>
  <dataValidations>
    <dataValidation type="list" allowBlank="1" showErrorMessage="1" sqref="I2:I15">
      <formula1>"On-going,Late,Warning,Closed"</formula1>
    </dataValidation>
    <dataValidation type="custom" allowBlank="1" showDropDown="1" showInputMessage="1" prompt="Nhập giá trị ngày tháng năm" sqref="G2:H2">
      <formula1>OR(NOT(ISERROR(DATEVALUE(G2))), AND(ISNUMBER(G2), LEFT(CELL("format", G2))="D"))</formula1>
    </dataValidation>
    <dataValidation type="list" allowBlank="1" showErrorMessage="1" sqref="J2:J15">
      <formula1>Config!$B$3:$B$18</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3" t="s">
        <v>19</v>
      </c>
      <c r="B1" s="33" t="s">
        <v>20</v>
      </c>
      <c r="C1" s="34"/>
      <c r="D1" s="35"/>
      <c r="E1" s="35"/>
      <c r="F1" s="35"/>
      <c r="G1" s="35"/>
      <c r="H1" s="35"/>
      <c r="I1" s="35"/>
      <c r="J1" s="35"/>
      <c r="K1" s="35"/>
      <c r="L1" s="35"/>
      <c r="M1" s="35"/>
      <c r="N1" s="35"/>
      <c r="O1" s="35"/>
      <c r="P1" s="35"/>
      <c r="Q1" s="35"/>
      <c r="R1" s="35"/>
      <c r="S1" s="35"/>
      <c r="T1" s="35"/>
      <c r="U1" s="35"/>
      <c r="V1" s="35"/>
    </row>
    <row r="2">
      <c r="A2" s="36" t="s">
        <v>21</v>
      </c>
      <c r="B2" s="37"/>
      <c r="C2" s="38"/>
      <c r="D2" s="35"/>
      <c r="E2" s="35"/>
      <c r="F2" s="35"/>
      <c r="G2" s="35"/>
      <c r="H2" s="35"/>
      <c r="I2" s="35"/>
      <c r="J2" s="35"/>
      <c r="K2" s="35"/>
      <c r="L2" s="35"/>
      <c r="M2" s="35"/>
      <c r="N2" s="35"/>
      <c r="O2" s="35"/>
      <c r="P2" s="35"/>
      <c r="Q2" s="35"/>
      <c r="R2" s="35"/>
      <c r="S2" s="35"/>
      <c r="T2" s="35"/>
      <c r="U2" s="35"/>
      <c r="V2" s="35"/>
    </row>
    <row r="3">
      <c r="A3" s="38"/>
      <c r="B3" s="39" t="s">
        <v>22</v>
      </c>
      <c r="C3" s="38"/>
      <c r="D3" s="35"/>
      <c r="E3" s="35"/>
      <c r="F3" s="35"/>
      <c r="G3" s="35"/>
      <c r="H3" s="35"/>
      <c r="I3" s="35"/>
      <c r="J3" s="35"/>
      <c r="K3" s="35"/>
      <c r="L3" s="35"/>
      <c r="M3" s="35"/>
      <c r="N3" s="35"/>
      <c r="O3" s="35"/>
      <c r="P3" s="35"/>
      <c r="Q3" s="35"/>
      <c r="R3" s="35"/>
      <c r="S3" s="35"/>
      <c r="T3" s="35"/>
      <c r="U3" s="35"/>
      <c r="V3" s="35"/>
    </row>
    <row r="4">
      <c r="A4" s="38"/>
      <c r="B4" s="40" t="s">
        <v>23</v>
      </c>
      <c r="C4" s="38"/>
      <c r="D4" s="35"/>
      <c r="E4" s="35"/>
      <c r="F4" s="35"/>
      <c r="G4" s="35"/>
      <c r="H4" s="35"/>
      <c r="I4" s="35"/>
      <c r="J4" s="35"/>
      <c r="K4" s="35"/>
      <c r="L4" s="35"/>
      <c r="M4" s="35"/>
      <c r="N4" s="35"/>
      <c r="O4" s="35"/>
      <c r="P4" s="35"/>
      <c r="Q4" s="35"/>
      <c r="R4" s="35"/>
      <c r="S4" s="35"/>
      <c r="T4" s="35"/>
      <c r="U4" s="35"/>
      <c r="V4" s="35"/>
    </row>
    <row r="5">
      <c r="A5" s="38"/>
      <c r="B5" s="40" t="s">
        <v>24</v>
      </c>
      <c r="C5" s="36" t="s">
        <v>25</v>
      </c>
      <c r="D5" s="35"/>
      <c r="E5" s="35"/>
      <c r="F5" s="35"/>
      <c r="G5" s="35"/>
      <c r="H5" s="35"/>
      <c r="I5" s="35"/>
      <c r="J5" s="35"/>
      <c r="K5" s="35"/>
      <c r="L5" s="35"/>
      <c r="M5" s="35"/>
      <c r="N5" s="35"/>
      <c r="O5" s="35"/>
      <c r="P5" s="35"/>
      <c r="Q5" s="35"/>
      <c r="R5" s="35"/>
      <c r="S5" s="35"/>
      <c r="T5" s="35"/>
      <c r="U5" s="35"/>
      <c r="V5" s="35"/>
    </row>
    <row r="6">
      <c r="A6" s="38"/>
      <c r="B6" s="40" t="s">
        <v>26</v>
      </c>
      <c r="C6" s="38"/>
      <c r="D6" s="35"/>
      <c r="E6" s="35"/>
      <c r="F6" s="35"/>
      <c r="G6" s="35"/>
      <c r="H6" s="35"/>
      <c r="I6" s="35"/>
      <c r="J6" s="35"/>
      <c r="K6" s="35"/>
      <c r="L6" s="35"/>
      <c r="M6" s="35"/>
      <c r="N6" s="35"/>
      <c r="O6" s="35"/>
      <c r="P6" s="35"/>
      <c r="Q6" s="35"/>
      <c r="R6" s="35"/>
      <c r="S6" s="35"/>
      <c r="T6" s="35"/>
      <c r="U6" s="35"/>
      <c r="V6" s="35"/>
    </row>
    <row r="7">
      <c r="A7" s="38"/>
      <c r="B7" s="40" t="s">
        <v>27</v>
      </c>
      <c r="C7" s="38"/>
      <c r="D7" s="35"/>
      <c r="E7" s="35"/>
      <c r="F7" s="35"/>
      <c r="G7" s="35"/>
      <c r="H7" s="35"/>
      <c r="I7" s="35"/>
      <c r="J7" s="35"/>
      <c r="K7" s="35"/>
      <c r="L7" s="35"/>
      <c r="M7" s="35"/>
      <c r="N7" s="35"/>
      <c r="O7" s="35"/>
      <c r="P7" s="35"/>
      <c r="Q7" s="35"/>
      <c r="R7" s="35"/>
      <c r="S7" s="35"/>
      <c r="T7" s="35"/>
      <c r="U7" s="35"/>
      <c r="V7" s="35"/>
    </row>
    <row r="8">
      <c r="A8" s="38"/>
      <c r="B8" s="40" t="s">
        <v>28</v>
      </c>
      <c r="C8" s="38"/>
      <c r="D8" s="35"/>
      <c r="E8" s="35"/>
      <c r="F8" s="35"/>
      <c r="G8" s="35"/>
      <c r="H8" s="35"/>
      <c r="I8" s="35"/>
      <c r="J8" s="35"/>
      <c r="K8" s="35"/>
      <c r="L8" s="35"/>
      <c r="M8" s="35"/>
      <c r="N8" s="35"/>
      <c r="O8" s="35"/>
      <c r="P8" s="35"/>
      <c r="Q8" s="35"/>
      <c r="R8" s="35"/>
      <c r="S8" s="35"/>
      <c r="T8" s="35"/>
      <c r="U8" s="35"/>
      <c r="V8" s="35"/>
    </row>
    <row r="9">
      <c r="A9" s="36" t="s">
        <v>29</v>
      </c>
      <c r="B9" s="41"/>
      <c r="C9" s="38"/>
      <c r="D9" s="35"/>
      <c r="E9" s="35"/>
      <c r="F9" s="35"/>
      <c r="G9" s="35"/>
      <c r="H9" s="35"/>
      <c r="I9" s="35"/>
      <c r="J9" s="35"/>
      <c r="K9" s="35"/>
      <c r="L9" s="35"/>
      <c r="M9" s="35"/>
      <c r="N9" s="35"/>
      <c r="O9" s="35"/>
      <c r="P9" s="35"/>
      <c r="Q9" s="35"/>
      <c r="R9" s="35"/>
      <c r="S9" s="35"/>
      <c r="T9" s="35"/>
      <c r="U9" s="35"/>
      <c r="V9" s="35"/>
    </row>
    <row r="10">
      <c r="A10" s="38"/>
      <c r="B10" s="40" t="s">
        <v>30</v>
      </c>
      <c r="C10" s="38"/>
      <c r="D10" s="35"/>
      <c r="E10" s="35"/>
      <c r="F10" s="35"/>
      <c r="G10" s="35"/>
      <c r="H10" s="35"/>
      <c r="I10" s="35"/>
      <c r="J10" s="35"/>
      <c r="K10" s="35"/>
      <c r="L10" s="35"/>
      <c r="M10" s="35"/>
      <c r="N10" s="35"/>
      <c r="O10" s="35"/>
      <c r="P10" s="35"/>
      <c r="Q10" s="35"/>
      <c r="R10" s="35"/>
      <c r="S10" s="35"/>
      <c r="T10" s="35"/>
      <c r="U10" s="35"/>
      <c r="V10" s="35"/>
    </row>
    <row r="11">
      <c r="A11" s="38"/>
      <c r="B11" s="40" t="s">
        <v>31</v>
      </c>
      <c r="C11" s="38"/>
      <c r="D11" s="35"/>
      <c r="E11" s="35"/>
      <c r="F11" s="35"/>
      <c r="G11" s="35"/>
      <c r="H11" s="35"/>
      <c r="I11" s="35"/>
      <c r="J11" s="35"/>
      <c r="K11" s="35"/>
      <c r="L11" s="35"/>
      <c r="M11" s="35"/>
      <c r="N11" s="35"/>
      <c r="O11" s="35"/>
      <c r="P11" s="35"/>
      <c r="Q11" s="35"/>
      <c r="R11" s="35"/>
      <c r="S11" s="35"/>
      <c r="T11" s="35"/>
      <c r="U11" s="35"/>
      <c r="V11" s="35"/>
    </row>
    <row r="12">
      <c r="A12" s="38"/>
      <c r="B12" s="42" t="s">
        <v>23</v>
      </c>
      <c r="C12" s="38"/>
      <c r="D12" s="35"/>
      <c r="E12" s="35"/>
      <c r="F12" s="35"/>
      <c r="G12" s="35"/>
      <c r="H12" s="35"/>
      <c r="I12" s="35"/>
      <c r="J12" s="35"/>
      <c r="K12" s="35"/>
      <c r="L12" s="35"/>
      <c r="M12" s="35"/>
      <c r="N12" s="35"/>
      <c r="O12" s="35"/>
      <c r="P12" s="35"/>
      <c r="Q12" s="35"/>
      <c r="R12" s="35"/>
      <c r="S12" s="35"/>
      <c r="T12" s="35"/>
      <c r="U12" s="35"/>
      <c r="V12" s="35"/>
    </row>
    <row r="13">
      <c r="A13" s="38"/>
      <c r="B13" s="40" t="s">
        <v>32</v>
      </c>
      <c r="C13" s="38"/>
      <c r="D13" s="35"/>
      <c r="E13" s="35"/>
      <c r="F13" s="35"/>
      <c r="G13" s="35"/>
      <c r="H13" s="35"/>
      <c r="I13" s="35"/>
      <c r="J13" s="35"/>
      <c r="K13" s="35"/>
      <c r="L13" s="35"/>
      <c r="M13" s="35"/>
      <c r="N13" s="35"/>
      <c r="O13" s="35"/>
      <c r="P13" s="35"/>
      <c r="Q13" s="35"/>
      <c r="R13" s="35"/>
      <c r="S13" s="35"/>
      <c r="T13" s="35"/>
      <c r="U13" s="35"/>
      <c r="V13" s="35"/>
    </row>
    <row r="14">
      <c r="A14" s="38"/>
      <c r="B14" s="42" t="s">
        <v>33</v>
      </c>
      <c r="C14" s="38"/>
      <c r="D14" s="35"/>
      <c r="E14" s="35"/>
      <c r="F14" s="35"/>
      <c r="G14" s="35"/>
      <c r="H14" s="35"/>
      <c r="I14" s="35"/>
      <c r="J14" s="35"/>
      <c r="K14" s="35"/>
      <c r="L14" s="35"/>
      <c r="M14" s="35"/>
      <c r="N14" s="35"/>
      <c r="O14" s="35"/>
      <c r="P14" s="35"/>
      <c r="Q14" s="35"/>
      <c r="R14" s="35"/>
      <c r="S14" s="35"/>
      <c r="T14" s="35"/>
      <c r="U14" s="35"/>
      <c r="V14" s="35"/>
    </row>
    <row r="15">
      <c r="A15" s="38"/>
      <c r="B15" s="40" t="s">
        <v>34</v>
      </c>
      <c r="C15" s="38"/>
      <c r="D15" s="35"/>
      <c r="E15" s="35"/>
      <c r="F15" s="35"/>
      <c r="G15" s="35"/>
      <c r="H15" s="35"/>
      <c r="I15" s="35"/>
      <c r="J15" s="35"/>
      <c r="K15" s="35"/>
      <c r="L15" s="35"/>
      <c r="M15" s="35"/>
      <c r="N15" s="35"/>
      <c r="O15" s="35"/>
      <c r="P15" s="35"/>
      <c r="Q15" s="35"/>
      <c r="R15" s="35"/>
      <c r="S15" s="35"/>
      <c r="T15" s="35"/>
      <c r="U15" s="35"/>
      <c r="V15" s="35"/>
    </row>
    <row r="16">
      <c r="A16" s="38"/>
      <c r="B16" s="40" t="s">
        <v>35</v>
      </c>
      <c r="C16" s="38"/>
      <c r="D16" s="35"/>
      <c r="E16" s="35"/>
      <c r="F16" s="35"/>
      <c r="G16" s="35"/>
      <c r="H16" s="35"/>
      <c r="I16" s="35"/>
      <c r="J16" s="35"/>
      <c r="K16" s="35"/>
      <c r="L16" s="35"/>
      <c r="M16" s="35"/>
      <c r="N16" s="35"/>
      <c r="O16" s="35"/>
      <c r="P16" s="35"/>
      <c r="Q16" s="35"/>
      <c r="R16" s="35"/>
      <c r="S16" s="35"/>
      <c r="T16" s="35"/>
      <c r="U16" s="35"/>
      <c r="V16" s="35"/>
    </row>
    <row r="17">
      <c r="A17" s="38"/>
      <c r="B17" s="40" t="s">
        <v>36</v>
      </c>
      <c r="C17" s="38"/>
      <c r="D17" s="35"/>
      <c r="E17" s="35"/>
      <c r="F17" s="35"/>
      <c r="G17" s="35"/>
      <c r="H17" s="35"/>
      <c r="I17" s="35"/>
      <c r="J17" s="35"/>
      <c r="K17" s="35"/>
      <c r="L17" s="35"/>
      <c r="M17" s="35"/>
      <c r="N17" s="35"/>
      <c r="O17" s="35"/>
      <c r="P17" s="35"/>
      <c r="Q17" s="35"/>
      <c r="R17" s="35"/>
      <c r="S17" s="35"/>
      <c r="T17" s="35"/>
      <c r="U17" s="35"/>
      <c r="V17" s="35"/>
    </row>
    <row r="18">
      <c r="A18" s="38"/>
      <c r="B18" s="36" t="s">
        <v>37</v>
      </c>
      <c r="C18" s="38"/>
      <c r="D18" s="35"/>
      <c r="E18" s="35"/>
      <c r="F18" s="35"/>
      <c r="G18" s="35"/>
      <c r="H18" s="35"/>
      <c r="I18" s="35"/>
      <c r="J18" s="35"/>
      <c r="K18" s="35"/>
      <c r="L18" s="35"/>
      <c r="M18" s="35"/>
      <c r="N18" s="35"/>
      <c r="O18" s="35"/>
      <c r="P18" s="35"/>
      <c r="Q18" s="35"/>
      <c r="R18" s="35"/>
      <c r="S18" s="35"/>
      <c r="T18" s="35"/>
      <c r="U18" s="35"/>
      <c r="V18" s="35"/>
    </row>
    <row r="19">
      <c r="A19" s="35"/>
      <c r="B19" s="35"/>
      <c r="C19" s="35"/>
      <c r="D19" s="35"/>
      <c r="E19" s="35"/>
      <c r="F19" s="35"/>
      <c r="G19" s="35"/>
      <c r="H19" s="35"/>
      <c r="I19" s="35"/>
      <c r="J19" s="35"/>
      <c r="K19" s="35"/>
      <c r="L19" s="35"/>
      <c r="M19" s="35"/>
      <c r="N19" s="35"/>
      <c r="O19" s="35"/>
      <c r="P19" s="35"/>
      <c r="Q19" s="35"/>
      <c r="R19" s="35"/>
      <c r="S19" s="35"/>
      <c r="T19" s="35"/>
      <c r="U19" s="35"/>
      <c r="V19" s="35"/>
    </row>
    <row r="20">
      <c r="A20" s="35"/>
      <c r="B20" s="35"/>
      <c r="C20" s="35"/>
      <c r="D20" s="35"/>
      <c r="E20" s="35"/>
      <c r="F20" s="35"/>
      <c r="G20" s="35"/>
      <c r="H20" s="35"/>
      <c r="I20" s="35"/>
      <c r="J20" s="35"/>
      <c r="K20" s="35"/>
      <c r="L20" s="35"/>
      <c r="M20" s="35"/>
      <c r="N20" s="35"/>
      <c r="O20" s="35"/>
      <c r="P20" s="35"/>
      <c r="Q20" s="35"/>
      <c r="R20" s="35"/>
      <c r="S20" s="35"/>
      <c r="T20" s="35"/>
      <c r="U20" s="35"/>
      <c r="V20" s="35"/>
    </row>
    <row r="21">
      <c r="A21" s="35"/>
      <c r="B21" s="35"/>
      <c r="C21" s="35"/>
      <c r="D21" s="35"/>
      <c r="E21" s="35"/>
      <c r="F21" s="35"/>
      <c r="G21" s="35"/>
      <c r="H21" s="35"/>
      <c r="I21" s="35"/>
      <c r="J21" s="35"/>
      <c r="K21" s="35"/>
      <c r="L21" s="35"/>
      <c r="M21" s="35"/>
      <c r="N21" s="35"/>
      <c r="O21" s="35"/>
      <c r="P21" s="35"/>
      <c r="Q21" s="35"/>
      <c r="R21" s="35"/>
      <c r="S21" s="35"/>
      <c r="T21" s="35"/>
      <c r="U21" s="35"/>
      <c r="V21" s="35"/>
    </row>
    <row r="22">
      <c r="A22" s="35"/>
      <c r="B22" s="35"/>
      <c r="C22" s="35"/>
      <c r="D22" s="35"/>
      <c r="E22" s="35"/>
      <c r="F22" s="35"/>
      <c r="G22" s="35"/>
      <c r="H22" s="35"/>
      <c r="I22" s="35"/>
      <c r="J22" s="35"/>
      <c r="K22" s="35"/>
      <c r="L22" s="35"/>
      <c r="M22" s="35"/>
      <c r="N22" s="35"/>
      <c r="O22" s="35"/>
      <c r="P22" s="35"/>
      <c r="Q22" s="35"/>
      <c r="R22" s="35"/>
      <c r="S22" s="35"/>
      <c r="T22" s="35"/>
      <c r="U22" s="35"/>
      <c r="V22" s="35"/>
    </row>
    <row r="23">
      <c r="A23" s="35"/>
      <c r="B23" s="35"/>
      <c r="C23" s="35"/>
      <c r="D23" s="35"/>
      <c r="E23" s="35"/>
      <c r="F23" s="35"/>
      <c r="G23" s="35"/>
      <c r="H23" s="35"/>
      <c r="I23" s="35"/>
      <c r="J23" s="35"/>
      <c r="K23" s="35"/>
      <c r="L23" s="35"/>
      <c r="M23" s="35"/>
      <c r="N23" s="35"/>
      <c r="O23" s="35"/>
      <c r="P23" s="35"/>
      <c r="Q23" s="35"/>
      <c r="R23" s="35"/>
      <c r="S23" s="35"/>
      <c r="T23" s="35"/>
      <c r="U23" s="35"/>
      <c r="V23" s="35"/>
    </row>
    <row r="24">
      <c r="A24" s="35"/>
      <c r="B24" s="35"/>
      <c r="C24" s="35"/>
      <c r="D24" s="35"/>
      <c r="E24" s="35"/>
      <c r="F24" s="35"/>
      <c r="G24" s="35"/>
      <c r="H24" s="35"/>
      <c r="I24" s="35"/>
      <c r="J24" s="35"/>
      <c r="K24" s="35"/>
      <c r="L24" s="35"/>
      <c r="M24" s="35"/>
      <c r="N24" s="35"/>
      <c r="O24" s="35"/>
      <c r="P24" s="35"/>
      <c r="Q24" s="35"/>
      <c r="R24" s="35"/>
      <c r="S24" s="35"/>
      <c r="T24" s="35"/>
      <c r="U24" s="35"/>
      <c r="V24" s="35"/>
    </row>
    <row r="25">
      <c r="A25" s="35"/>
      <c r="B25" s="35"/>
      <c r="C25" s="35"/>
      <c r="D25" s="35"/>
      <c r="E25" s="35"/>
      <c r="F25" s="35"/>
      <c r="G25" s="35"/>
      <c r="H25" s="35"/>
      <c r="I25" s="35"/>
      <c r="J25" s="35"/>
      <c r="K25" s="35"/>
      <c r="L25" s="35"/>
      <c r="M25" s="35"/>
      <c r="N25" s="35"/>
      <c r="O25" s="35"/>
      <c r="P25" s="35"/>
      <c r="Q25" s="35"/>
      <c r="R25" s="35"/>
      <c r="S25" s="35"/>
      <c r="T25" s="35"/>
      <c r="U25" s="35"/>
      <c r="V25" s="35"/>
    </row>
    <row r="26">
      <c r="A26" s="35"/>
      <c r="B26" s="35"/>
      <c r="C26" s="35"/>
      <c r="D26" s="35"/>
      <c r="E26" s="35"/>
      <c r="F26" s="35"/>
      <c r="G26" s="35"/>
      <c r="H26" s="35"/>
      <c r="I26" s="35"/>
      <c r="J26" s="35"/>
      <c r="K26" s="35"/>
      <c r="L26" s="35"/>
      <c r="M26" s="35"/>
      <c r="N26" s="35"/>
      <c r="O26" s="35"/>
      <c r="P26" s="35"/>
      <c r="Q26" s="35"/>
      <c r="R26" s="35"/>
      <c r="S26" s="35"/>
      <c r="T26" s="35"/>
      <c r="U26" s="35"/>
      <c r="V26" s="35"/>
    </row>
    <row r="27">
      <c r="A27" s="35"/>
      <c r="B27" s="35"/>
      <c r="C27" s="35"/>
      <c r="D27" s="35"/>
      <c r="E27" s="35"/>
      <c r="F27" s="35"/>
      <c r="G27" s="35"/>
      <c r="H27" s="35"/>
      <c r="I27" s="35"/>
      <c r="J27" s="35"/>
      <c r="K27" s="35"/>
      <c r="L27" s="35"/>
      <c r="M27" s="35"/>
      <c r="N27" s="35"/>
      <c r="O27" s="35"/>
      <c r="P27" s="35"/>
      <c r="Q27" s="35"/>
      <c r="R27" s="35"/>
      <c r="S27" s="35"/>
      <c r="T27" s="35"/>
      <c r="U27" s="35"/>
      <c r="V27" s="35"/>
    </row>
    <row r="28">
      <c r="A28" s="35"/>
      <c r="B28" s="35"/>
      <c r="C28" s="35"/>
      <c r="D28" s="35"/>
      <c r="E28" s="35"/>
      <c r="F28" s="35"/>
      <c r="G28" s="35"/>
      <c r="H28" s="35"/>
      <c r="I28" s="35"/>
      <c r="J28" s="35"/>
      <c r="K28" s="35"/>
      <c r="L28" s="35"/>
      <c r="M28" s="35"/>
      <c r="N28" s="35"/>
      <c r="O28" s="35"/>
      <c r="P28" s="35"/>
      <c r="Q28" s="35"/>
      <c r="R28" s="35"/>
      <c r="S28" s="35"/>
      <c r="T28" s="35"/>
      <c r="U28" s="35"/>
      <c r="V28" s="35"/>
    </row>
    <row r="29">
      <c r="A29" s="35"/>
      <c r="B29" s="35"/>
      <c r="C29" s="35"/>
      <c r="D29" s="35"/>
      <c r="E29" s="35"/>
      <c r="F29" s="35"/>
      <c r="G29" s="35"/>
      <c r="H29" s="35"/>
      <c r="I29" s="35"/>
      <c r="J29" s="35"/>
      <c r="K29" s="35"/>
      <c r="L29" s="35"/>
      <c r="M29" s="35"/>
      <c r="N29" s="35"/>
      <c r="O29" s="35"/>
      <c r="P29" s="35"/>
      <c r="Q29" s="35"/>
      <c r="R29" s="35"/>
      <c r="S29" s="35"/>
      <c r="T29" s="35"/>
      <c r="U29" s="35"/>
      <c r="V29" s="35"/>
    </row>
    <row r="30">
      <c r="A30" s="35"/>
      <c r="B30" s="35"/>
      <c r="C30" s="35"/>
      <c r="D30" s="35"/>
      <c r="E30" s="35"/>
      <c r="F30" s="35"/>
      <c r="G30" s="35"/>
      <c r="H30" s="35"/>
      <c r="I30" s="35"/>
      <c r="J30" s="35"/>
      <c r="K30" s="35"/>
      <c r="L30" s="35"/>
      <c r="M30" s="35"/>
      <c r="N30" s="35"/>
      <c r="O30" s="35"/>
      <c r="P30" s="35"/>
      <c r="Q30" s="35"/>
      <c r="R30" s="35"/>
      <c r="S30" s="35"/>
      <c r="T30" s="35"/>
      <c r="U30" s="35"/>
      <c r="V30" s="35"/>
    </row>
    <row r="31">
      <c r="A31" s="35"/>
      <c r="B31" s="35"/>
      <c r="C31" s="35"/>
      <c r="D31" s="35"/>
      <c r="E31" s="35"/>
      <c r="F31" s="35"/>
      <c r="G31" s="35"/>
      <c r="H31" s="35"/>
      <c r="I31" s="35"/>
      <c r="J31" s="35"/>
      <c r="K31" s="35"/>
      <c r="L31" s="35"/>
      <c r="M31" s="35"/>
      <c r="N31" s="35"/>
      <c r="O31" s="35"/>
      <c r="P31" s="35"/>
      <c r="Q31" s="35"/>
      <c r="R31" s="35"/>
      <c r="S31" s="35"/>
      <c r="T31" s="35"/>
      <c r="U31" s="35"/>
      <c r="V31" s="35"/>
    </row>
    <row r="32">
      <c r="A32" s="35"/>
      <c r="B32" s="35"/>
      <c r="C32" s="35"/>
      <c r="D32" s="35"/>
      <c r="E32" s="35"/>
      <c r="F32" s="35"/>
      <c r="G32" s="35"/>
      <c r="H32" s="35"/>
      <c r="I32" s="35"/>
      <c r="J32" s="35"/>
      <c r="K32" s="35"/>
      <c r="L32" s="35"/>
      <c r="M32" s="35"/>
      <c r="N32" s="35"/>
      <c r="O32" s="35"/>
      <c r="P32" s="35"/>
      <c r="Q32" s="35"/>
      <c r="R32" s="35"/>
      <c r="S32" s="35"/>
      <c r="T32" s="35"/>
      <c r="U32" s="35"/>
      <c r="V32" s="35"/>
    </row>
    <row r="33">
      <c r="A33" s="35"/>
      <c r="B33" s="35"/>
      <c r="C33" s="35"/>
      <c r="D33" s="35"/>
      <c r="E33" s="35"/>
      <c r="F33" s="35"/>
      <c r="G33" s="35"/>
      <c r="H33" s="35"/>
      <c r="I33" s="35"/>
      <c r="J33" s="35"/>
      <c r="K33" s="35"/>
      <c r="L33" s="35"/>
      <c r="M33" s="35"/>
      <c r="N33" s="35"/>
      <c r="O33" s="35"/>
      <c r="P33" s="35"/>
      <c r="Q33" s="35"/>
      <c r="R33" s="35"/>
      <c r="S33" s="35"/>
      <c r="T33" s="35"/>
      <c r="U33" s="35"/>
      <c r="V33" s="35"/>
    </row>
    <row r="34">
      <c r="A34" s="35"/>
      <c r="B34" s="35"/>
      <c r="C34" s="35"/>
      <c r="D34" s="35"/>
      <c r="E34" s="35"/>
      <c r="F34" s="35"/>
      <c r="G34" s="35"/>
      <c r="H34" s="35"/>
      <c r="I34" s="35"/>
      <c r="J34" s="35"/>
      <c r="K34" s="35"/>
      <c r="L34" s="35"/>
      <c r="M34" s="35"/>
      <c r="N34" s="35"/>
      <c r="O34" s="35"/>
      <c r="P34" s="35"/>
      <c r="Q34" s="35"/>
      <c r="R34" s="35"/>
      <c r="S34" s="35"/>
      <c r="T34" s="35"/>
      <c r="U34" s="35"/>
      <c r="V34" s="35"/>
    </row>
    <row r="35">
      <c r="A35" s="35"/>
      <c r="B35" s="35"/>
      <c r="C35" s="35"/>
      <c r="D35" s="35"/>
      <c r="E35" s="35"/>
      <c r="F35" s="35"/>
      <c r="G35" s="35"/>
      <c r="H35" s="35"/>
      <c r="I35" s="35"/>
      <c r="J35" s="35"/>
      <c r="K35" s="35"/>
      <c r="L35" s="35"/>
      <c r="M35" s="35"/>
      <c r="N35" s="35"/>
      <c r="O35" s="35"/>
      <c r="P35" s="35"/>
      <c r="Q35" s="35"/>
      <c r="R35" s="35"/>
      <c r="S35" s="35"/>
      <c r="T35" s="35"/>
      <c r="U35" s="35"/>
      <c r="V35" s="35"/>
    </row>
    <row r="36">
      <c r="A36" s="35"/>
      <c r="B36" s="35"/>
      <c r="C36" s="35"/>
      <c r="D36" s="35"/>
      <c r="E36" s="35"/>
      <c r="F36" s="35"/>
      <c r="G36" s="35"/>
      <c r="H36" s="35"/>
      <c r="I36" s="35"/>
      <c r="J36" s="35"/>
      <c r="K36" s="35"/>
      <c r="L36" s="35"/>
      <c r="M36" s="35"/>
      <c r="N36" s="35"/>
      <c r="O36" s="35"/>
      <c r="P36" s="35"/>
      <c r="Q36" s="35"/>
      <c r="R36" s="35"/>
      <c r="S36" s="35"/>
      <c r="T36" s="35"/>
      <c r="U36" s="35"/>
      <c r="V36" s="35"/>
    </row>
    <row r="37">
      <c r="A37" s="43"/>
      <c r="B37" s="35"/>
      <c r="C37" s="35"/>
      <c r="D37" s="35"/>
      <c r="E37" s="35"/>
      <c r="F37" s="35"/>
      <c r="G37" s="35"/>
      <c r="H37" s="35"/>
      <c r="I37" s="35"/>
      <c r="J37" s="35"/>
      <c r="K37" s="35"/>
      <c r="L37" s="35"/>
      <c r="M37" s="35"/>
      <c r="N37" s="35"/>
      <c r="O37" s="35"/>
      <c r="P37" s="35"/>
      <c r="Q37" s="35"/>
      <c r="R37" s="35"/>
      <c r="S37" s="35"/>
      <c r="T37" s="35"/>
      <c r="U37" s="35"/>
      <c r="V37" s="35"/>
    </row>
    <row r="38">
      <c r="A38" s="43"/>
      <c r="B38" s="35"/>
      <c r="C38" s="35"/>
      <c r="D38" s="35"/>
      <c r="E38" s="35"/>
      <c r="F38" s="35"/>
      <c r="G38" s="35"/>
      <c r="H38" s="35"/>
      <c r="I38" s="35"/>
      <c r="J38" s="35"/>
      <c r="K38" s="35"/>
      <c r="L38" s="35"/>
      <c r="M38" s="35"/>
      <c r="N38" s="35"/>
      <c r="O38" s="35"/>
      <c r="P38" s="35"/>
      <c r="Q38" s="35"/>
      <c r="R38" s="35"/>
      <c r="S38" s="35"/>
      <c r="T38" s="35"/>
      <c r="U38" s="35"/>
      <c r="V38" s="35"/>
    </row>
    <row r="39">
      <c r="A39" s="43"/>
      <c r="B39" s="35"/>
      <c r="C39" s="35"/>
      <c r="D39" s="35"/>
      <c r="E39" s="35"/>
      <c r="F39" s="35"/>
      <c r="G39" s="35"/>
      <c r="H39" s="35"/>
      <c r="I39" s="35"/>
      <c r="J39" s="35"/>
      <c r="K39" s="35"/>
      <c r="L39" s="35"/>
      <c r="M39" s="35"/>
      <c r="N39" s="35"/>
      <c r="O39" s="35"/>
      <c r="P39" s="35"/>
      <c r="Q39" s="35"/>
      <c r="R39" s="35"/>
      <c r="S39" s="35"/>
      <c r="T39" s="35"/>
      <c r="U39" s="35"/>
      <c r="V39" s="35"/>
    </row>
    <row r="40">
      <c r="A40" s="43"/>
      <c r="B40" s="35"/>
      <c r="C40" s="35"/>
      <c r="D40" s="35"/>
      <c r="E40" s="35"/>
      <c r="F40" s="35"/>
      <c r="G40" s="35"/>
      <c r="H40" s="35"/>
      <c r="I40" s="35"/>
      <c r="J40" s="35"/>
      <c r="K40" s="35"/>
      <c r="L40" s="35"/>
      <c r="M40" s="35"/>
      <c r="N40" s="35"/>
      <c r="O40" s="35"/>
      <c r="P40" s="35"/>
      <c r="Q40" s="35"/>
      <c r="R40" s="35"/>
      <c r="S40" s="35"/>
      <c r="T40" s="35"/>
      <c r="U40" s="35"/>
      <c r="V40" s="35"/>
    </row>
    <row r="41">
      <c r="A41" s="43"/>
      <c r="B41" s="35"/>
      <c r="C41" s="35"/>
      <c r="D41" s="35"/>
      <c r="E41" s="35"/>
      <c r="F41" s="35"/>
      <c r="G41" s="35"/>
      <c r="H41" s="35"/>
      <c r="I41" s="35"/>
      <c r="J41" s="35"/>
      <c r="K41" s="35"/>
      <c r="L41" s="35"/>
      <c r="M41" s="35"/>
      <c r="N41" s="35"/>
      <c r="O41" s="35"/>
      <c r="P41" s="35"/>
      <c r="Q41" s="35"/>
      <c r="R41" s="35"/>
      <c r="S41" s="35"/>
      <c r="T41" s="35"/>
      <c r="U41" s="35"/>
      <c r="V41" s="35"/>
    </row>
    <row r="42">
      <c r="A42" s="43"/>
      <c r="B42" s="35"/>
      <c r="C42" s="35"/>
      <c r="D42" s="35"/>
      <c r="E42" s="35"/>
      <c r="F42" s="35"/>
      <c r="G42" s="35"/>
      <c r="H42" s="35"/>
      <c r="I42" s="35"/>
      <c r="J42" s="35"/>
      <c r="K42" s="35"/>
      <c r="L42" s="35"/>
      <c r="M42" s="35"/>
      <c r="N42" s="35"/>
      <c r="O42" s="35"/>
      <c r="P42" s="35"/>
      <c r="Q42" s="35"/>
      <c r="R42" s="35"/>
      <c r="S42" s="35"/>
      <c r="T42" s="35"/>
      <c r="U42" s="35"/>
      <c r="V42" s="35"/>
    </row>
    <row r="43">
      <c r="A43" s="35"/>
      <c r="B43" s="35"/>
      <c r="C43" s="35"/>
      <c r="D43" s="35"/>
      <c r="E43" s="35"/>
      <c r="F43" s="35"/>
      <c r="G43" s="35"/>
      <c r="H43" s="35"/>
      <c r="I43" s="35"/>
      <c r="J43" s="35"/>
      <c r="K43" s="35"/>
      <c r="L43" s="35"/>
      <c r="M43" s="35"/>
      <c r="N43" s="35"/>
      <c r="O43" s="35"/>
      <c r="P43" s="35"/>
      <c r="Q43" s="35"/>
      <c r="R43" s="35"/>
      <c r="S43" s="35"/>
      <c r="T43" s="35"/>
      <c r="U43" s="35"/>
      <c r="V43" s="35"/>
    </row>
    <row r="44">
      <c r="A44" s="35"/>
      <c r="B44" s="35"/>
      <c r="C44" s="35"/>
      <c r="D44" s="35"/>
      <c r="E44" s="35"/>
      <c r="F44" s="35"/>
      <c r="G44" s="35"/>
      <c r="H44" s="35"/>
      <c r="I44" s="35"/>
      <c r="J44" s="35"/>
      <c r="K44" s="35"/>
      <c r="L44" s="35"/>
      <c r="M44" s="35"/>
      <c r="N44" s="35"/>
      <c r="O44" s="35"/>
      <c r="P44" s="35"/>
      <c r="Q44" s="35"/>
      <c r="R44" s="35"/>
      <c r="S44" s="35"/>
      <c r="T44" s="35"/>
      <c r="U44" s="35"/>
      <c r="V44" s="35"/>
    </row>
    <row r="45">
      <c r="A45" s="35"/>
      <c r="B45" s="35"/>
      <c r="C45" s="35"/>
      <c r="D45" s="35"/>
      <c r="E45" s="35"/>
      <c r="F45" s="35"/>
      <c r="G45" s="35"/>
      <c r="H45" s="35"/>
      <c r="I45" s="35"/>
      <c r="J45" s="35"/>
      <c r="K45" s="35"/>
      <c r="L45" s="35"/>
      <c r="M45" s="35"/>
      <c r="N45" s="35"/>
      <c r="O45" s="35"/>
      <c r="P45" s="35"/>
      <c r="Q45" s="35"/>
      <c r="R45" s="35"/>
      <c r="S45" s="35"/>
      <c r="T45" s="35"/>
      <c r="U45" s="35"/>
      <c r="V45" s="35"/>
    </row>
    <row r="46">
      <c r="A46" s="35"/>
      <c r="B46" s="35"/>
      <c r="C46" s="35"/>
      <c r="D46" s="35"/>
      <c r="E46" s="35"/>
      <c r="F46" s="35"/>
      <c r="G46" s="35"/>
      <c r="H46" s="35"/>
      <c r="I46" s="35"/>
      <c r="J46" s="35"/>
      <c r="K46" s="35"/>
      <c r="L46" s="35"/>
      <c r="M46" s="35"/>
      <c r="N46" s="35"/>
      <c r="O46" s="35"/>
      <c r="P46" s="35"/>
      <c r="Q46" s="35"/>
      <c r="R46" s="35"/>
      <c r="S46" s="35"/>
      <c r="T46" s="35"/>
      <c r="U46" s="35"/>
      <c r="V46" s="35"/>
    </row>
    <row r="47">
      <c r="A47" s="35"/>
      <c r="B47" s="35"/>
      <c r="C47" s="35"/>
      <c r="D47" s="35"/>
      <c r="E47" s="35"/>
      <c r="F47" s="35"/>
      <c r="G47" s="35"/>
      <c r="H47" s="35"/>
      <c r="I47" s="35"/>
      <c r="J47" s="35"/>
      <c r="K47" s="35"/>
      <c r="L47" s="35"/>
      <c r="M47" s="35"/>
      <c r="N47" s="35"/>
      <c r="O47" s="35"/>
      <c r="P47" s="35"/>
      <c r="Q47" s="35"/>
      <c r="R47" s="35"/>
      <c r="S47" s="35"/>
      <c r="T47" s="35"/>
      <c r="U47" s="35"/>
      <c r="V47" s="35"/>
    </row>
    <row r="48">
      <c r="A48" s="35"/>
      <c r="B48" s="35"/>
      <c r="C48" s="35"/>
      <c r="D48" s="35"/>
      <c r="E48" s="35"/>
      <c r="F48" s="35"/>
      <c r="G48" s="35"/>
      <c r="H48" s="35"/>
      <c r="I48" s="35"/>
      <c r="J48" s="35"/>
      <c r="K48" s="35"/>
      <c r="L48" s="35"/>
      <c r="M48" s="35"/>
      <c r="N48" s="35"/>
      <c r="O48" s="35"/>
      <c r="P48" s="35"/>
      <c r="Q48" s="35"/>
      <c r="R48" s="35"/>
      <c r="S48" s="35"/>
      <c r="T48" s="35"/>
      <c r="U48" s="35"/>
      <c r="V48" s="35"/>
    </row>
    <row r="49">
      <c r="A49" s="35"/>
      <c r="B49" s="35"/>
      <c r="C49" s="35"/>
      <c r="D49" s="35"/>
      <c r="E49" s="35"/>
      <c r="F49" s="35"/>
      <c r="G49" s="35"/>
      <c r="H49" s="35"/>
      <c r="I49" s="35"/>
      <c r="J49" s="35"/>
      <c r="K49" s="35"/>
      <c r="L49" s="35"/>
      <c r="M49" s="35"/>
      <c r="N49" s="35"/>
      <c r="O49" s="35"/>
      <c r="P49" s="35"/>
      <c r="Q49" s="35"/>
      <c r="R49" s="35"/>
      <c r="S49" s="35"/>
      <c r="T49" s="35"/>
      <c r="U49" s="35"/>
      <c r="V49" s="35"/>
    </row>
    <row r="50">
      <c r="A50" s="35"/>
      <c r="B50" s="35"/>
      <c r="C50" s="35"/>
      <c r="D50" s="35"/>
      <c r="E50" s="35"/>
      <c r="F50" s="35"/>
      <c r="G50" s="35"/>
      <c r="H50" s="35"/>
      <c r="I50" s="35"/>
      <c r="J50" s="35"/>
      <c r="K50" s="35"/>
      <c r="L50" s="35"/>
      <c r="M50" s="35"/>
      <c r="N50" s="35"/>
      <c r="O50" s="35"/>
      <c r="P50" s="35"/>
      <c r="Q50" s="35"/>
      <c r="R50" s="35"/>
      <c r="S50" s="35"/>
      <c r="T50" s="35"/>
      <c r="U50" s="35"/>
      <c r="V50" s="35"/>
    </row>
    <row r="51">
      <c r="A51" s="35"/>
      <c r="B51" s="35"/>
      <c r="C51" s="35"/>
      <c r="D51" s="35"/>
      <c r="E51" s="35"/>
      <c r="F51" s="35"/>
      <c r="G51" s="35"/>
      <c r="H51" s="35"/>
      <c r="I51" s="35"/>
      <c r="J51" s="35"/>
      <c r="K51" s="35"/>
      <c r="L51" s="35"/>
      <c r="M51" s="35"/>
      <c r="N51" s="35"/>
      <c r="O51" s="35"/>
      <c r="P51" s="35"/>
      <c r="Q51" s="35"/>
      <c r="R51" s="35"/>
      <c r="S51" s="35"/>
      <c r="T51" s="35"/>
      <c r="U51" s="35"/>
      <c r="V51" s="35"/>
    </row>
    <row r="52">
      <c r="A52" s="35"/>
      <c r="B52" s="35"/>
      <c r="C52" s="35"/>
      <c r="D52" s="35"/>
      <c r="E52" s="35"/>
      <c r="F52" s="35"/>
      <c r="G52" s="35"/>
      <c r="H52" s="35"/>
      <c r="I52" s="35"/>
      <c r="J52" s="35"/>
      <c r="K52" s="35"/>
      <c r="L52" s="35"/>
      <c r="M52" s="35"/>
      <c r="N52" s="35"/>
      <c r="O52" s="35"/>
      <c r="P52" s="35"/>
      <c r="Q52" s="35"/>
      <c r="R52" s="35"/>
      <c r="S52" s="35"/>
      <c r="T52" s="35"/>
      <c r="U52" s="35"/>
      <c r="V52" s="35"/>
    </row>
    <row r="53">
      <c r="A53" s="35"/>
      <c r="B53" s="35"/>
      <c r="C53" s="35"/>
      <c r="D53" s="35"/>
      <c r="E53" s="35"/>
      <c r="F53" s="35"/>
      <c r="G53" s="35"/>
      <c r="H53" s="35"/>
      <c r="I53" s="35"/>
      <c r="J53" s="35"/>
      <c r="K53" s="35"/>
      <c r="L53" s="35"/>
      <c r="M53" s="35"/>
      <c r="N53" s="35"/>
      <c r="O53" s="35"/>
      <c r="P53" s="35"/>
      <c r="Q53" s="35"/>
      <c r="R53" s="35"/>
      <c r="S53" s="35"/>
      <c r="T53" s="35"/>
      <c r="U53" s="35"/>
      <c r="V53" s="35"/>
    </row>
    <row r="54">
      <c r="A54" s="35"/>
      <c r="B54" s="35"/>
      <c r="C54" s="35"/>
      <c r="D54" s="35"/>
      <c r="E54" s="35"/>
      <c r="F54" s="35"/>
      <c r="G54" s="35"/>
      <c r="H54" s="35"/>
      <c r="I54" s="35"/>
      <c r="J54" s="35"/>
      <c r="K54" s="35"/>
      <c r="L54" s="35"/>
      <c r="M54" s="35"/>
      <c r="N54" s="35"/>
      <c r="O54" s="35"/>
      <c r="P54" s="35"/>
      <c r="Q54" s="35"/>
      <c r="R54" s="35"/>
      <c r="S54" s="35"/>
      <c r="T54" s="35"/>
      <c r="U54" s="35"/>
      <c r="V54" s="35"/>
    </row>
    <row r="55">
      <c r="A55" s="35"/>
      <c r="B55" s="35"/>
      <c r="C55" s="35"/>
      <c r="D55" s="35"/>
      <c r="E55" s="35"/>
      <c r="F55" s="35"/>
      <c r="G55" s="35"/>
      <c r="H55" s="35"/>
      <c r="I55" s="35"/>
      <c r="J55" s="35"/>
      <c r="K55" s="35"/>
      <c r="L55" s="35"/>
      <c r="M55" s="35"/>
      <c r="N55" s="35"/>
      <c r="O55" s="35"/>
      <c r="P55" s="35"/>
      <c r="Q55" s="35"/>
      <c r="R55" s="35"/>
      <c r="S55" s="35"/>
      <c r="T55" s="35"/>
      <c r="U55" s="35"/>
      <c r="V55" s="35"/>
    </row>
    <row r="56">
      <c r="A56" s="43"/>
      <c r="B56" s="35"/>
      <c r="C56" s="43"/>
      <c r="D56" s="43"/>
      <c r="E56" s="43"/>
      <c r="F56" s="43"/>
      <c r="G56" s="43"/>
      <c r="H56" s="43"/>
      <c r="I56" s="43"/>
      <c r="J56" s="43"/>
      <c r="K56" s="43"/>
      <c r="L56" s="43"/>
      <c r="M56" s="43"/>
      <c r="N56" s="43"/>
      <c r="O56" s="43"/>
      <c r="P56" s="43"/>
      <c r="Q56" s="43"/>
      <c r="R56" s="43"/>
      <c r="S56" s="43"/>
      <c r="T56" s="43"/>
      <c r="U56" s="43"/>
      <c r="V56" s="43"/>
    </row>
    <row r="57">
      <c r="A57" s="43"/>
      <c r="B57" s="35"/>
      <c r="C57" s="43"/>
      <c r="D57" s="43"/>
      <c r="E57" s="43"/>
      <c r="F57" s="43"/>
      <c r="G57" s="43"/>
      <c r="H57" s="43"/>
      <c r="I57" s="43"/>
      <c r="J57" s="43"/>
      <c r="K57" s="43"/>
      <c r="L57" s="43"/>
      <c r="M57" s="43"/>
      <c r="N57" s="43"/>
      <c r="O57" s="43"/>
      <c r="P57" s="43"/>
      <c r="Q57" s="43"/>
      <c r="R57" s="43"/>
      <c r="S57" s="43"/>
      <c r="T57" s="43"/>
      <c r="U57" s="43"/>
      <c r="V57" s="43"/>
    </row>
    <row r="58">
      <c r="A58" s="43"/>
      <c r="B58" s="35"/>
      <c r="C58" s="43"/>
      <c r="D58" s="43"/>
      <c r="E58" s="43"/>
      <c r="F58" s="43"/>
      <c r="G58" s="43"/>
      <c r="H58" s="43"/>
      <c r="I58" s="43"/>
      <c r="J58" s="43"/>
      <c r="K58" s="43"/>
      <c r="L58" s="43"/>
      <c r="M58" s="43"/>
      <c r="N58" s="43"/>
      <c r="O58" s="43"/>
      <c r="P58" s="43"/>
      <c r="Q58" s="43"/>
      <c r="R58" s="43"/>
      <c r="S58" s="43"/>
      <c r="T58" s="43"/>
      <c r="U58" s="43"/>
      <c r="V58" s="43"/>
    </row>
    <row r="59">
      <c r="A59" s="43"/>
      <c r="B59" s="35"/>
      <c r="C59" s="43"/>
      <c r="D59" s="43"/>
      <c r="E59" s="43"/>
      <c r="F59" s="43"/>
      <c r="G59" s="43"/>
      <c r="H59" s="43"/>
      <c r="I59" s="43"/>
      <c r="J59" s="43"/>
      <c r="K59" s="43"/>
      <c r="L59" s="43"/>
      <c r="M59" s="43"/>
      <c r="N59" s="43"/>
      <c r="O59" s="43"/>
      <c r="P59" s="43"/>
      <c r="Q59" s="43"/>
      <c r="R59" s="43"/>
      <c r="S59" s="43"/>
      <c r="T59" s="43"/>
      <c r="U59" s="43"/>
      <c r="V59" s="43"/>
    </row>
    <row r="60">
      <c r="A60" s="43"/>
      <c r="B60" s="35"/>
      <c r="C60" s="43"/>
      <c r="D60" s="43"/>
      <c r="E60" s="43"/>
      <c r="F60" s="43"/>
      <c r="G60" s="43"/>
      <c r="H60" s="43"/>
      <c r="I60" s="43"/>
      <c r="J60" s="43"/>
      <c r="K60" s="43"/>
      <c r="L60" s="43"/>
      <c r="M60" s="43"/>
      <c r="N60" s="43"/>
      <c r="O60" s="43"/>
      <c r="P60" s="43"/>
      <c r="Q60" s="43"/>
      <c r="R60" s="43"/>
      <c r="S60" s="43"/>
      <c r="T60" s="43"/>
      <c r="U60" s="43"/>
      <c r="V60" s="43"/>
    </row>
    <row r="61">
      <c r="A61" s="43"/>
      <c r="B61" s="35"/>
      <c r="C61" s="43"/>
      <c r="D61" s="43"/>
      <c r="E61" s="43"/>
      <c r="F61" s="43"/>
      <c r="G61" s="43"/>
      <c r="H61" s="43"/>
      <c r="I61" s="43"/>
      <c r="J61" s="43"/>
      <c r="K61" s="43"/>
      <c r="L61" s="43"/>
      <c r="M61" s="43"/>
      <c r="N61" s="43"/>
      <c r="O61" s="43"/>
      <c r="P61" s="43"/>
      <c r="Q61" s="43"/>
      <c r="R61" s="43"/>
      <c r="S61" s="43"/>
      <c r="T61" s="43"/>
      <c r="U61" s="43"/>
      <c r="V61" s="43"/>
    </row>
    <row r="62">
      <c r="A62" s="43"/>
      <c r="B62" s="35"/>
      <c r="C62" s="43"/>
      <c r="D62" s="43"/>
      <c r="E62" s="43"/>
      <c r="F62" s="43"/>
      <c r="G62" s="43"/>
      <c r="H62" s="43"/>
      <c r="I62" s="43"/>
      <c r="J62" s="43"/>
      <c r="K62" s="43"/>
      <c r="L62" s="43"/>
      <c r="M62" s="43"/>
      <c r="N62" s="43"/>
      <c r="O62" s="43"/>
      <c r="P62" s="43"/>
      <c r="Q62" s="43"/>
      <c r="R62" s="43"/>
      <c r="S62" s="43"/>
      <c r="T62" s="43"/>
      <c r="U62" s="43"/>
      <c r="V62" s="43"/>
    </row>
    <row r="63">
      <c r="A63" s="43"/>
      <c r="B63" s="35"/>
      <c r="C63" s="43"/>
      <c r="D63" s="43"/>
      <c r="E63" s="43"/>
      <c r="F63" s="43"/>
      <c r="G63" s="43"/>
      <c r="H63" s="43"/>
      <c r="I63" s="43"/>
      <c r="J63" s="43"/>
      <c r="K63" s="43"/>
      <c r="L63" s="43"/>
      <c r="M63" s="43"/>
      <c r="N63" s="43"/>
      <c r="O63" s="43"/>
      <c r="P63" s="43"/>
      <c r="Q63" s="43"/>
      <c r="R63" s="43"/>
      <c r="S63" s="43"/>
      <c r="T63" s="43"/>
      <c r="U63" s="43"/>
      <c r="V63" s="43"/>
    </row>
    <row r="64">
      <c r="A64" s="43"/>
      <c r="B64" s="35"/>
      <c r="C64" s="43"/>
      <c r="D64" s="43"/>
      <c r="E64" s="43"/>
      <c r="F64" s="43"/>
      <c r="G64" s="43"/>
      <c r="H64" s="43"/>
      <c r="I64" s="43"/>
      <c r="J64" s="43"/>
      <c r="K64" s="43"/>
      <c r="L64" s="43"/>
      <c r="M64" s="43"/>
      <c r="N64" s="43"/>
      <c r="O64" s="43"/>
      <c r="P64" s="43"/>
      <c r="Q64" s="43"/>
      <c r="R64" s="43"/>
      <c r="S64" s="43"/>
      <c r="T64" s="43"/>
      <c r="U64" s="43"/>
      <c r="V64" s="43"/>
    </row>
    <row r="65">
      <c r="A65" s="43"/>
      <c r="B65" s="35"/>
      <c r="C65" s="43"/>
      <c r="D65" s="43"/>
      <c r="E65" s="43"/>
      <c r="F65" s="43"/>
      <c r="G65" s="43"/>
      <c r="H65" s="43"/>
      <c r="I65" s="43"/>
      <c r="J65" s="43"/>
      <c r="K65" s="43"/>
      <c r="L65" s="43"/>
      <c r="M65" s="43"/>
      <c r="N65" s="43"/>
      <c r="O65" s="43"/>
      <c r="P65" s="43"/>
      <c r="Q65" s="43"/>
      <c r="R65" s="43"/>
      <c r="S65" s="43"/>
      <c r="T65" s="43"/>
      <c r="U65" s="43"/>
      <c r="V65" s="43"/>
    </row>
    <row r="66">
      <c r="A66" s="43"/>
      <c r="B66" s="35"/>
      <c r="C66" s="43"/>
      <c r="D66" s="43"/>
      <c r="E66" s="43"/>
      <c r="F66" s="43"/>
      <c r="G66" s="43"/>
      <c r="H66" s="43"/>
      <c r="I66" s="43"/>
      <c r="J66" s="43"/>
      <c r="K66" s="43"/>
      <c r="L66" s="43"/>
      <c r="M66" s="43"/>
      <c r="N66" s="43"/>
      <c r="O66" s="43"/>
      <c r="P66" s="43"/>
      <c r="Q66" s="43"/>
      <c r="R66" s="43"/>
      <c r="S66" s="43"/>
      <c r="T66" s="43"/>
      <c r="U66" s="43"/>
      <c r="V66" s="43"/>
    </row>
    <row r="67">
      <c r="A67" s="43"/>
      <c r="B67" s="35"/>
      <c r="C67" s="43"/>
      <c r="D67" s="43"/>
      <c r="E67" s="43"/>
      <c r="F67" s="43"/>
      <c r="G67" s="43"/>
      <c r="H67" s="43"/>
      <c r="I67" s="43"/>
      <c r="J67" s="43"/>
      <c r="K67" s="43"/>
      <c r="L67" s="43"/>
      <c r="M67" s="43"/>
      <c r="N67" s="43"/>
      <c r="O67" s="43"/>
      <c r="P67" s="43"/>
      <c r="Q67" s="43"/>
      <c r="R67" s="43"/>
      <c r="S67" s="43"/>
      <c r="T67" s="43"/>
      <c r="U67" s="43"/>
      <c r="V67" s="43"/>
    </row>
    <row r="68">
      <c r="A68" s="43"/>
      <c r="B68" s="35"/>
      <c r="C68" s="43"/>
      <c r="D68" s="43"/>
      <c r="E68" s="43"/>
      <c r="F68" s="43"/>
      <c r="G68" s="43"/>
      <c r="H68" s="43"/>
      <c r="I68" s="43"/>
      <c r="J68" s="43"/>
      <c r="K68" s="43"/>
      <c r="L68" s="43"/>
      <c r="M68" s="43"/>
      <c r="N68" s="43"/>
      <c r="O68" s="43"/>
      <c r="P68" s="43"/>
      <c r="Q68" s="43"/>
      <c r="R68" s="43"/>
      <c r="S68" s="43"/>
      <c r="T68" s="43"/>
      <c r="U68" s="43"/>
      <c r="V68" s="43"/>
    </row>
    <row r="69">
      <c r="A69" s="43"/>
      <c r="B69" s="35"/>
      <c r="C69" s="43"/>
      <c r="D69" s="43"/>
      <c r="E69" s="43"/>
      <c r="F69" s="43"/>
      <c r="G69" s="43"/>
      <c r="H69" s="43"/>
      <c r="I69" s="43"/>
      <c r="J69" s="43"/>
      <c r="K69" s="43"/>
      <c r="L69" s="43"/>
      <c r="M69" s="43"/>
      <c r="N69" s="43"/>
      <c r="O69" s="43"/>
      <c r="P69" s="43"/>
      <c r="Q69" s="43"/>
      <c r="R69" s="43"/>
      <c r="S69" s="43"/>
      <c r="T69" s="43"/>
      <c r="U69" s="43"/>
      <c r="V69" s="43"/>
    </row>
    <row r="70">
      <c r="A70" s="43"/>
      <c r="B70" s="35"/>
      <c r="C70" s="43"/>
      <c r="D70" s="43"/>
      <c r="E70" s="43"/>
      <c r="F70" s="43"/>
      <c r="G70" s="43"/>
      <c r="H70" s="43"/>
      <c r="I70" s="43"/>
      <c r="J70" s="43"/>
      <c r="K70" s="43"/>
      <c r="L70" s="43"/>
      <c r="M70" s="43"/>
      <c r="N70" s="43"/>
      <c r="O70" s="43"/>
      <c r="P70" s="43"/>
      <c r="Q70" s="43"/>
      <c r="R70" s="43"/>
      <c r="S70" s="43"/>
      <c r="T70" s="43"/>
      <c r="U70" s="43"/>
      <c r="V70" s="43"/>
    </row>
    <row r="71">
      <c r="A71" s="43"/>
      <c r="B71" s="35"/>
      <c r="C71" s="43"/>
      <c r="D71" s="43"/>
      <c r="E71" s="43"/>
      <c r="F71" s="43"/>
      <c r="G71" s="43"/>
      <c r="H71" s="43"/>
      <c r="I71" s="43"/>
      <c r="J71" s="43"/>
      <c r="K71" s="43"/>
      <c r="L71" s="43"/>
      <c r="M71" s="43"/>
      <c r="N71" s="43"/>
      <c r="O71" s="43"/>
      <c r="P71" s="43"/>
      <c r="Q71" s="43"/>
      <c r="R71" s="43"/>
      <c r="S71" s="43"/>
      <c r="T71" s="43"/>
      <c r="U71" s="43"/>
      <c r="V71" s="43"/>
    </row>
    <row r="72">
      <c r="A72" s="43"/>
      <c r="B72" s="35"/>
      <c r="C72" s="43"/>
      <c r="D72" s="43"/>
      <c r="E72" s="43"/>
      <c r="F72" s="43"/>
      <c r="G72" s="43"/>
      <c r="H72" s="43"/>
      <c r="I72" s="43"/>
      <c r="J72" s="43"/>
      <c r="K72" s="43"/>
      <c r="L72" s="43"/>
      <c r="M72" s="43"/>
      <c r="N72" s="43"/>
      <c r="O72" s="43"/>
      <c r="P72" s="43"/>
      <c r="Q72" s="43"/>
      <c r="R72" s="43"/>
      <c r="S72" s="43"/>
      <c r="T72" s="43"/>
      <c r="U72" s="43"/>
      <c r="V72" s="43"/>
    </row>
    <row r="73">
      <c r="A73" s="43"/>
      <c r="B73" s="35"/>
      <c r="C73" s="43"/>
      <c r="D73" s="43"/>
      <c r="E73" s="43"/>
      <c r="F73" s="43"/>
      <c r="G73" s="43"/>
      <c r="H73" s="43"/>
      <c r="I73" s="43"/>
      <c r="J73" s="43"/>
      <c r="K73" s="43"/>
      <c r="L73" s="43"/>
      <c r="M73" s="43"/>
      <c r="N73" s="43"/>
      <c r="O73" s="43"/>
      <c r="P73" s="43"/>
      <c r="Q73" s="43"/>
      <c r="R73" s="43"/>
      <c r="S73" s="43"/>
      <c r="T73" s="43"/>
      <c r="U73" s="43"/>
      <c r="V73" s="43"/>
    </row>
    <row r="74">
      <c r="A74" s="43"/>
      <c r="B74" s="35"/>
      <c r="C74" s="43"/>
      <c r="D74" s="43"/>
      <c r="E74" s="43"/>
      <c r="F74" s="43"/>
      <c r="G74" s="43"/>
      <c r="H74" s="43"/>
      <c r="I74" s="43"/>
      <c r="J74" s="43"/>
      <c r="K74" s="43"/>
      <c r="L74" s="43"/>
      <c r="M74" s="43"/>
      <c r="N74" s="43"/>
      <c r="O74" s="43"/>
      <c r="P74" s="43"/>
      <c r="Q74" s="43"/>
      <c r="R74" s="43"/>
      <c r="S74" s="43"/>
      <c r="T74" s="43"/>
      <c r="U74" s="43"/>
      <c r="V74" s="43"/>
    </row>
    <row r="75">
      <c r="A75" s="43"/>
      <c r="B75" s="35"/>
      <c r="C75" s="35"/>
      <c r="D75" s="35"/>
      <c r="E75" s="35"/>
      <c r="F75" s="35"/>
      <c r="G75" s="35"/>
      <c r="H75" s="35"/>
      <c r="I75" s="35"/>
      <c r="J75" s="35"/>
      <c r="K75" s="35"/>
      <c r="L75" s="35"/>
      <c r="M75" s="35"/>
      <c r="N75" s="35"/>
      <c r="O75" s="35"/>
      <c r="P75" s="35"/>
      <c r="Q75" s="35"/>
      <c r="R75" s="35"/>
      <c r="S75" s="35"/>
      <c r="T75" s="35"/>
      <c r="U75" s="35"/>
      <c r="V75" s="35"/>
    </row>
    <row r="76">
      <c r="A76" s="43"/>
      <c r="B76" s="35"/>
      <c r="C76" s="35"/>
      <c r="D76" s="35"/>
      <c r="E76" s="35"/>
      <c r="F76" s="35"/>
      <c r="G76" s="35"/>
      <c r="H76" s="35"/>
      <c r="I76" s="35"/>
      <c r="J76" s="35"/>
      <c r="K76" s="35"/>
      <c r="L76" s="35"/>
      <c r="M76" s="35"/>
      <c r="N76" s="35"/>
      <c r="O76" s="35"/>
      <c r="P76" s="35"/>
      <c r="Q76" s="35"/>
      <c r="R76" s="35"/>
      <c r="S76" s="35"/>
      <c r="T76" s="35"/>
      <c r="U76" s="35"/>
      <c r="V76" s="35"/>
    </row>
    <row r="77">
      <c r="A77" s="43"/>
      <c r="B77" s="35"/>
      <c r="C77" s="35"/>
      <c r="D77" s="35"/>
      <c r="E77" s="35"/>
      <c r="F77" s="35"/>
      <c r="G77" s="35"/>
      <c r="H77" s="35"/>
      <c r="I77" s="35"/>
      <c r="J77" s="35"/>
      <c r="K77" s="35"/>
      <c r="L77" s="35"/>
      <c r="M77" s="35"/>
      <c r="N77" s="35"/>
      <c r="O77" s="35"/>
      <c r="P77" s="35"/>
      <c r="Q77" s="35"/>
      <c r="R77" s="35"/>
      <c r="S77" s="35"/>
      <c r="T77" s="35"/>
      <c r="U77" s="35"/>
      <c r="V77" s="35"/>
    </row>
    <row r="78">
      <c r="A78" s="43"/>
      <c r="B78" s="35"/>
      <c r="C78" s="35"/>
      <c r="D78" s="35"/>
      <c r="E78" s="35"/>
      <c r="F78" s="35"/>
      <c r="G78" s="35"/>
      <c r="H78" s="35"/>
      <c r="I78" s="35"/>
      <c r="J78" s="35"/>
      <c r="K78" s="35"/>
      <c r="L78" s="35"/>
      <c r="M78" s="35"/>
      <c r="N78" s="35"/>
      <c r="O78" s="35"/>
      <c r="P78" s="35"/>
      <c r="Q78" s="35"/>
      <c r="R78" s="35"/>
      <c r="S78" s="35"/>
      <c r="T78" s="35"/>
      <c r="U78" s="35"/>
      <c r="V78" s="35"/>
    </row>
    <row r="79">
      <c r="A79" s="43"/>
      <c r="B79" s="35"/>
      <c r="C79" s="35"/>
      <c r="D79" s="35"/>
      <c r="E79" s="35"/>
      <c r="F79" s="35"/>
      <c r="G79" s="35"/>
      <c r="H79" s="35"/>
      <c r="I79" s="35"/>
      <c r="J79" s="35"/>
      <c r="K79" s="35"/>
      <c r="L79" s="35"/>
      <c r="M79" s="35"/>
      <c r="N79" s="35"/>
      <c r="O79" s="35"/>
      <c r="P79" s="35"/>
      <c r="Q79" s="35"/>
      <c r="R79" s="35"/>
      <c r="S79" s="35"/>
      <c r="T79" s="35"/>
      <c r="U79" s="35"/>
      <c r="V79" s="35"/>
    </row>
    <row r="80">
      <c r="A80" s="43"/>
      <c r="B80" s="35"/>
      <c r="C80" s="35"/>
      <c r="D80" s="35"/>
      <c r="E80" s="35"/>
      <c r="F80" s="35"/>
      <c r="G80" s="35"/>
      <c r="H80" s="35"/>
      <c r="I80" s="35"/>
      <c r="J80" s="35"/>
      <c r="K80" s="35"/>
      <c r="L80" s="35"/>
      <c r="M80" s="35"/>
      <c r="N80" s="35"/>
      <c r="O80" s="35"/>
      <c r="P80" s="35"/>
      <c r="Q80" s="35"/>
      <c r="R80" s="35"/>
      <c r="S80" s="35"/>
      <c r="T80" s="35"/>
      <c r="U80" s="35"/>
      <c r="V80" s="35"/>
    </row>
    <row r="81">
      <c r="A81" s="35"/>
      <c r="B81" s="35"/>
      <c r="C81" s="35"/>
      <c r="D81" s="35"/>
      <c r="E81" s="35"/>
      <c r="F81" s="35"/>
      <c r="G81" s="35"/>
      <c r="H81" s="35"/>
      <c r="I81" s="35"/>
      <c r="J81" s="35"/>
      <c r="K81" s="35"/>
      <c r="L81" s="35"/>
      <c r="M81" s="35"/>
      <c r="N81" s="35"/>
      <c r="O81" s="35"/>
      <c r="P81" s="35"/>
      <c r="Q81" s="35"/>
      <c r="R81" s="35"/>
      <c r="S81" s="35"/>
      <c r="T81" s="35"/>
      <c r="U81" s="35"/>
      <c r="V81" s="35"/>
    </row>
    <row r="82">
      <c r="A82" s="35"/>
      <c r="B82" s="35"/>
      <c r="C82" s="35"/>
      <c r="D82" s="35"/>
      <c r="E82" s="35"/>
      <c r="F82" s="35"/>
      <c r="G82" s="35"/>
      <c r="H82" s="35"/>
      <c r="I82" s="35"/>
      <c r="J82" s="35"/>
      <c r="K82" s="35"/>
      <c r="L82" s="35"/>
      <c r="M82" s="35"/>
      <c r="N82" s="35"/>
      <c r="O82" s="35"/>
      <c r="P82" s="35"/>
      <c r="Q82" s="35"/>
      <c r="R82" s="35"/>
      <c r="S82" s="35"/>
      <c r="T82" s="35"/>
      <c r="U82" s="35"/>
      <c r="V82" s="35"/>
    </row>
    <row r="83">
      <c r="A83" s="35"/>
      <c r="B83" s="35"/>
      <c r="C83" s="35"/>
      <c r="D83" s="35"/>
      <c r="E83" s="35"/>
      <c r="F83" s="35"/>
      <c r="G83" s="35"/>
      <c r="H83" s="35"/>
      <c r="I83" s="35"/>
      <c r="J83" s="35"/>
      <c r="K83" s="35"/>
      <c r="L83" s="35"/>
      <c r="M83" s="35"/>
      <c r="N83" s="35"/>
      <c r="O83" s="35"/>
      <c r="P83" s="35"/>
      <c r="Q83" s="35"/>
      <c r="R83" s="35"/>
      <c r="S83" s="35"/>
      <c r="T83" s="35"/>
      <c r="U83" s="35"/>
      <c r="V83" s="35"/>
    </row>
    <row r="84">
      <c r="A84" s="35"/>
      <c r="B84" s="35"/>
      <c r="C84" s="35"/>
      <c r="D84" s="35"/>
      <c r="E84" s="35"/>
      <c r="F84" s="35"/>
      <c r="G84" s="35"/>
      <c r="H84" s="35"/>
      <c r="I84" s="35"/>
      <c r="J84" s="35"/>
      <c r="K84" s="35"/>
      <c r="L84" s="35"/>
      <c r="M84" s="35"/>
      <c r="N84" s="35"/>
      <c r="O84" s="35"/>
      <c r="P84" s="35"/>
      <c r="Q84" s="35"/>
      <c r="R84" s="35"/>
      <c r="S84" s="35"/>
      <c r="T84" s="35"/>
      <c r="U84" s="35"/>
      <c r="V84" s="35"/>
    </row>
    <row r="85">
      <c r="A85" s="35"/>
      <c r="B85" s="35"/>
      <c r="C85" s="35"/>
      <c r="D85" s="35"/>
      <c r="E85" s="35"/>
      <c r="F85" s="35"/>
      <c r="G85" s="35"/>
      <c r="H85" s="35"/>
      <c r="I85" s="35"/>
      <c r="J85" s="35"/>
      <c r="K85" s="35"/>
      <c r="L85" s="35"/>
      <c r="M85" s="35"/>
      <c r="N85" s="35"/>
      <c r="O85" s="35"/>
      <c r="P85" s="35"/>
      <c r="Q85" s="35"/>
      <c r="R85" s="35"/>
      <c r="S85" s="35"/>
      <c r="T85" s="35"/>
      <c r="U85" s="35"/>
      <c r="V85" s="35"/>
    </row>
    <row r="86">
      <c r="A86" s="35"/>
      <c r="B86" s="35"/>
      <c r="C86" s="35"/>
      <c r="D86" s="35"/>
      <c r="E86" s="35"/>
      <c r="F86" s="35"/>
      <c r="G86" s="35"/>
      <c r="H86" s="35"/>
      <c r="I86" s="35"/>
      <c r="J86" s="35"/>
      <c r="K86" s="35"/>
      <c r="L86" s="35"/>
      <c r="M86" s="35"/>
      <c r="N86" s="35"/>
      <c r="O86" s="35"/>
      <c r="P86" s="35"/>
      <c r="Q86" s="35"/>
      <c r="R86" s="35"/>
      <c r="S86" s="35"/>
      <c r="T86" s="35"/>
      <c r="U86" s="35"/>
      <c r="V86" s="35"/>
    </row>
    <row r="87">
      <c r="A87" s="35"/>
      <c r="B87" s="35"/>
      <c r="C87" s="35"/>
      <c r="D87" s="35"/>
      <c r="E87" s="35"/>
      <c r="F87" s="35"/>
      <c r="G87" s="35"/>
      <c r="H87" s="35"/>
      <c r="I87" s="35"/>
      <c r="J87" s="35"/>
      <c r="K87" s="35"/>
      <c r="L87" s="35"/>
      <c r="M87" s="35"/>
      <c r="N87" s="35"/>
      <c r="O87" s="35"/>
      <c r="P87" s="35"/>
      <c r="Q87" s="35"/>
      <c r="R87" s="35"/>
      <c r="S87" s="35"/>
      <c r="T87" s="35"/>
      <c r="U87" s="35"/>
      <c r="V87" s="35"/>
    </row>
    <row r="88">
      <c r="A88" s="35"/>
      <c r="B88" s="35"/>
      <c r="C88" s="35"/>
      <c r="D88" s="35"/>
      <c r="E88" s="35"/>
      <c r="F88" s="35"/>
      <c r="G88" s="35"/>
      <c r="H88" s="35"/>
      <c r="I88" s="35"/>
      <c r="J88" s="35"/>
      <c r="K88" s="35"/>
      <c r="L88" s="35"/>
      <c r="M88" s="35"/>
      <c r="N88" s="35"/>
      <c r="O88" s="35"/>
      <c r="P88" s="35"/>
      <c r="Q88" s="35"/>
      <c r="R88" s="35"/>
      <c r="S88" s="35"/>
      <c r="T88" s="35"/>
      <c r="U88" s="35"/>
      <c r="V88" s="35"/>
    </row>
    <row r="89">
      <c r="A89" s="35"/>
      <c r="B89" s="35"/>
      <c r="C89" s="35"/>
      <c r="D89" s="35"/>
      <c r="E89" s="35"/>
      <c r="F89" s="35"/>
      <c r="G89" s="35"/>
      <c r="H89" s="35"/>
      <c r="I89" s="35"/>
      <c r="J89" s="35"/>
      <c r="K89" s="35"/>
      <c r="L89" s="35"/>
      <c r="M89" s="35"/>
      <c r="N89" s="35"/>
      <c r="O89" s="35"/>
      <c r="P89" s="35"/>
      <c r="Q89" s="35"/>
      <c r="R89" s="35"/>
      <c r="S89" s="35"/>
      <c r="T89" s="35"/>
      <c r="U89" s="35"/>
      <c r="V89" s="35"/>
    </row>
    <row r="90">
      <c r="A90" s="35"/>
      <c r="B90" s="35"/>
      <c r="C90" s="35"/>
      <c r="D90" s="35"/>
      <c r="E90" s="35"/>
      <c r="F90" s="35"/>
      <c r="G90" s="35"/>
      <c r="H90" s="35"/>
      <c r="I90" s="35"/>
      <c r="J90" s="35"/>
      <c r="K90" s="35"/>
      <c r="L90" s="35"/>
      <c r="M90" s="35"/>
      <c r="N90" s="35"/>
      <c r="O90" s="35"/>
      <c r="P90" s="35"/>
      <c r="Q90" s="35"/>
      <c r="R90" s="35"/>
      <c r="S90" s="35"/>
      <c r="T90" s="35"/>
      <c r="U90" s="35"/>
      <c r="V90" s="35"/>
    </row>
    <row r="91">
      <c r="A91" s="35"/>
      <c r="B91" s="35"/>
      <c r="C91" s="35"/>
      <c r="D91" s="35"/>
      <c r="E91" s="35"/>
      <c r="F91" s="35"/>
      <c r="G91" s="35"/>
      <c r="H91" s="35"/>
      <c r="I91" s="35"/>
      <c r="J91" s="35"/>
      <c r="K91" s="35"/>
      <c r="L91" s="35"/>
      <c r="M91" s="35"/>
      <c r="N91" s="35"/>
      <c r="O91" s="35"/>
      <c r="P91" s="35"/>
      <c r="Q91" s="35"/>
      <c r="R91" s="35"/>
      <c r="S91" s="35"/>
      <c r="T91" s="35"/>
      <c r="U91" s="35"/>
      <c r="V91" s="35"/>
    </row>
    <row r="92">
      <c r="A92" s="35"/>
      <c r="B92" s="35"/>
      <c r="C92" s="35"/>
      <c r="D92" s="35"/>
      <c r="E92" s="35"/>
      <c r="F92" s="35"/>
      <c r="G92" s="35"/>
      <c r="H92" s="35"/>
      <c r="I92" s="35"/>
      <c r="J92" s="35"/>
      <c r="K92" s="35"/>
      <c r="L92" s="35"/>
      <c r="M92" s="35"/>
      <c r="N92" s="35"/>
      <c r="O92" s="35"/>
      <c r="P92" s="35"/>
      <c r="Q92" s="35"/>
      <c r="R92" s="35"/>
      <c r="S92" s="35"/>
      <c r="T92" s="35"/>
      <c r="U92" s="35"/>
      <c r="V92" s="35"/>
    </row>
    <row r="93">
      <c r="A93" s="35"/>
      <c r="B93" s="35"/>
      <c r="C93" s="35"/>
      <c r="D93" s="35"/>
      <c r="E93" s="35"/>
      <c r="F93" s="35"/>
      <c r="G93" s="35"/>
      <c r="H93" s="35"/>
      <c r="I93" s="35"/>
      <c r="J93" s="35"/>
      <c r="K93" s="35"/>
      <c r="L93" s="35"/>
      <c r="M93" s="35"/>
      <c r="N93" s="35"/>
      <c r="O93" s="35"/>
      <c r="P93" s="35"/>
      <c r="Q93" s="35"/>
      <c r="R93" s="35"/>
      <c r="S93" s="35"/>
      <c r="T93" s="35"/>
      <c r="U93" s="35"/>
      <c r="V93" s="35"/>
    </row>
    <row r="94">
      <c r="A94" s="35"/>
      <c r="B94" s="35"/>
      <c r="C94" s="35"/>
      <c r="D94" s="35"/>
      <c r="E94" s="35"/>
      <c r="F94" s="35"/>
      <c r="G94" s="35"/>
      <c r="H94" s="35"/>
      <c r="I94" s="35"/>
      <c r="J94" s="35"/>
      <c r="K94" s="35"/>
      <c r="L94" s="35"/>
      <c r="M94" s="35"/>
      <c r="N94" s="35"/>
      <c r="O94" s="35"/>
      <c r="P94" s="35"/>
      <c r="Q94" s="35"/>
      <c r="R94" s="35"/>
      <c r="S94" s="35"/>
      <c r="T94" s="35"/>
      <c r="U94" s="35"/>
      <c r="V94" s="35"/>
    </row>
    <row r="95">
      <c r="A95" s="35"/>
      <c r="B95" s="35"/>
      <c r="C95" s="35"/>
      <c r="D95" s="35"/>
      <c r="E95" s="35"/>
      <c r="F95" s="35"/>
      <c r="G95" s="35"/>
      <c r="H95" s="35"/>
      <c r="I95" s="35"/>
      <c r="J95" s="35"/>
      <c r="K95" s="35"/>
      <c r="L95" s="35"/>
      <c r="M95" s="35"/>
      <c r="N95" s="35"/>
      <c r="O95" s="35"/>
      <c r="P95" s="35"/>
      <c r="Q95" s="35"/>
      <c r="R95" s="35"/>
      <c r="S95" s="35"/>
      <c r="T95" s="35"/>
      <c r="U95" s="35"/>
      <c r="V95" s="35"/>
    </row>
    <row r="96">
      <c r="A96" s="35"/>
      <c r="B96" s="35"/>
      <c r="C96" s="35"/>
      <c r="D96" s="35"/>
      <c r="E96" s="35"/>
      <c r="F96" s="35"/>
      <c r="G96" s="35"/>
      <c r="H96" s="35"/>
      <c r="I96" s="35"/>
      <c r="J96" s="35"/>
      <c r="K96" s="35"/>
      <c r="L96" s="35"/>
      <c r="M96" s="35"/>
      <c r="N96" s="35"/>
      <c r="O96" s="35"/>
      <c r="P96" s="35"/>
      <c r="Q96" s="35"/>
      <c r="R96" s="35"/>
      <c r="S96" s="35"/>
      <c r="T96" s="35"/>
      <c r="U96" s="35"/>
      <c r="V96" s="35"/>
    </row>
    <row r="97">
      <c r="A97" s="35"/>
      <c r="B97" s="35"/>
      <c r="C97" s="35"/>
      <c r="D97" s="35"/>
      <c r="E97" s="35"/>
      <c r="F97" s="35"/>
      <c r="G97" s="35"/>
      <c r="H97" s="35"/>
      <c r="I97" s="35"/>
      <c r="J97" s="35"/>
      <c r="K97" s="35"/>
      <c r="L97" s="35"/>
      <c r="M97" s="35"/>
      <c r="N97" s="35"/>
      <c r="O97" s="35"/>
      <c r="P97" s="35"/>
      <c r="Q97" s="35"/>
      <c r="R97" s="35"/>
      <c r="S97" s="35"/>
      <c r="T97" s="35"/>
      <c r="U97" s="35"/>
      <c r="V97" s="35"/>
    </row>
    <row r="98">
      <c r="A98" s="35"/>
      <c r="B98" s="35"/>
      <c r="C98" s="35"/>
      <c r="D98" s="35"/>
      <c r="E98" s="35"/>
      <c r="F98" s="35"/>
      <c r="G98" s="35"/>
      <c r="H98" s="35"/>
      <c r="I98" s="35"/>
      <c r="J98" s="35"/>
      <c r="K98" s="35"/>
      <c r="L98" s="35"/>
      <c r="M98" s="35"/>
      <c r="N98" s="35"/>
      <c r="O98" s="35"/>
      <c r="P98" s="35"/>
      <c r="Q98" s="35"/>
      <c r="R98" s="35"/>
      <c r="S98" s="35"/>
      <c r="T98" s="35"/>
      <c r="U98" s="35"/>
      <c r="V98" s="35"/>
    </row>
    <row r="99">
      <c r="A99" s="35"/>
      <c r="B99" s="35"/>
      <c r="C99" s="35"/>
      <c r="D99" s="35"/>
      <c r="E99" s="35"/>
      <c r="F99" s="35"/>
      <c r="G99" s="35"/>
      <c r="H99" s="35"/>
      <c r="I99" s="35"/>
      <c r="J99" s="35"/>
      <c r="K99" s="35"/>
      <c r="L99" s="35"/>
      <c r="M99" s="35"/>
      <c r="N99" s="35"/>
      <c r="O99" s="35"/>
      <c r="P99" s="35"/>
      <c r="Q99" s="35"/>
      <c r="R99" s="35"/>
      <c r="S99" s="35"/>
      <c r="T99" s="35"/>
      <c r="U99" s="35"/>
      <c r="V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row>
    <row r="112">
      <c r="A112" s="43"/>
      <c r="B112" s="35"/>
      <c r="C112" s="35"/>
      <c r="D112" s="35"/>
      <c r="E112" s="35"/>
      <c r="F112" s="35"/>
      <c r="G112" s="35"/>
      <c r="H112" s="35"/>
      <c r="I112" s="35"/>
      <c r="J112" s="35"/>
      <c r="K112" s="35"/>
      <c r="L112" s="35"/>
      <c r="M112" s="35"/>
      <c r="N112" s="35"/>
      <c r="O112" s="35"/>
      <c r="P112" s="35"/>
      <c r="Q112" s="35"/>
      <c r="R112" s="35"/>
      <c r="S112" s="35"/>
      <c r="T112" s="35"/>
      <c r="U112" s="35"/>
      <c r="V112" s="35"/>
    </row>
    <row r="113">
      <c r="A113" s="43"/>
      <c r="B113" s="35"/>
      <c r="C113" s="43"/>
      <c r="D113" s="43"/>
      <c r="E113" s="43"/>
      <c r="F113" s="43"/>
      <c r="G113" s="43"/>
      <c r="H113" s="43"/>
      <c r="I113" s="43"/>
      <c r="J113" s="43"/>
      <c r="K113" s="43"/>
      <c r="L113" s="43"/>
      <c r="M113" s="43"/>
      <c r="N113" s="43"/>
      <c r="O113" s="43"/>
      <c r="P113" s="43"/>
      <c r="Q113" s="43"/>
      <c r="R113" s="43"/>
      <c r="S113" s="43"/>
      <c r="T113" s="43"/>
      <c r="U113" s="43"/>
      <c r="V113" s="43"/>
    </row>
    <row r="114">
      <c r="A114" s="43"/>
      <c r="B114" s="35"/>
      <c r="C114" s="43"/>
      <c r="D114" s="43"/>
      <c r="E114" s="43"/>
      <c r="F114" s="43"/>
      <c r="G114" s="43"/>
      <c r="H114" s="43"/>
      <c r="I114" s="43"/>
      <c r="J114" s="43"/>
      <c r="K114" s="43"/>
      <c r="L114" s="43"/>
      <c r="M114" s="43"/>
      <c r="N114" s="43"/>
      <c r="O114" s="43"/>
      <c r="P114" s="43"/>
      <c r="Q114" s="43"/>
      <c r="R114" s="43"/>
      <c r="S114" s="43"/>
      <c r="T114" s="43"/>
      <c r="U114" s="43"/>
      <c r="V114" s="43"/>
    </row>
    <row r="115">
      <c r="A115" s="43"/>
      <c r="B115" s="35"/>
      <c r="C115" s="43"/>
      <c r="D115" s="43"/>
      <c r="E115" s="43"/>
      <c r="F115" s="43"/>
      <c r="G115" s="43"/>
      <c r="H115" s="43"/>
      <c r="I115" s="43"/>
      <c r="J115" s="43"/>
      <c r="K115" s="43"/>
      <c r="L115" s="43"/>
      <c r="M115" s="43"/>
      <c r="N115" s="43"/>
      <c r="O115" s="43"/>
      <c r="P115" s="43"/>
      <c r="Q115" s="43"/>
      <c r="R115" s="43"/>
      <c r="S115" s="43"/>
      <c r="T115" s="43"/>
      <c r="U115" s="43"/>
      <c r="V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row>
    <row r="123">
      <c r="A123" s="35"/>
      <c r="B123" s="35"/>
      <c r="C123" s="35"/>
      <c r="D123" s="35"/>
      <c r="E123" s="35"/>
      <c r="F123" s="35"/>
      <c r="G123" s="35"/>
      <c r="H123" s="35"/>
      <c r="I123" s="35"/>
      <c r="J123" s="35"/>
      <c r="K123" s="35"/>
      <c r="L123" s="35"/>
      <c r="M123" s="35"/>
      <c r="N123" s="35"/>
      <c r="O123" s="35"/>
      <c r="P123" s="35"/>
      <c r="Q123" s="35"/>
      <c r="R123" s="35"/>
      <c r="S123" s="35"/>
      <c r="T123" s="35"/>
      <c r="U123" s="35"/>
      <c r="V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row>
    <row r="125">
      <c r="A125" s="43"/>
      <c r="B125" s="43"/>
      <c r="C125" s="43"/>
      <c r="D125" s="43"/>
      <c r="E125" s="43"/>
      <c r="F125" s="43"/>
      <c r="G125" s="43"/>
      <c r="H125" s="43"/>
      <c r="I125" s="43"/>
      <c r="J125" s="43"/>
      <c r="K125" s="43"/>
      <c r="L125" s="43"/>
      <c r="M125" s="43"/>
      <c r="N125" s="43"/>
      <c r="O125" s="43"/>
      <c r="P125" s="43"/>
      <c r="Q125" s="43"/>
      <c r="R125" s="43"/>
      <c r="S125" s="43"/>
      <c r="T125" s="43"/>
      <c r="U125" s="43"/>
      <c r="V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row>
    <row r="127">
      <c r="A127" s="35"/>
      <c r="B127" s="35"/>
      <c r="C127" s="35"/>
      <c r="D127" s="35"/>
      <c r="E127" s="35"/>
      <c r="F127" s="35"/>
      <c r="G127" s="35"/>
      <c r="H127" s="35"/>
      <c r="I127" s="35"/>
      <c r="J127" s="35"/>
      <c r="K127" s="35"/>
      <c r="L127" s="35"/>
      <c r="M127" s="35"/>
      <c r="N127" s="35"/>
      <c r="O127" s="35"/>
      <c r="P127" s="35"/>
      <c r="Q127" s="35"/>
      <c r="R127" s="35"/>
      <c r="S127" s="35"/>
      <c r="T127" s="35"/>
      <c r="U127" s="35"/>
      <c r="V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row>
    <row r="149">
      <c r="A149" s="35"/>
      <c r="B149" s="43"/>
      <c r="C149" s="43"/>
      <c r="D149" s="43"/>
      <c r="E149" s="43"/>
      <c r="F149" s="43"/>
      <c r="G149" s="43"/>
      <c r="H149" s="43"/>
      <c r="I149" s="43"/>
      <c r="J149" s="43"/>
      <c r="K149" s="43"/>
      <c r="L149" s="43"/>
      <c r="M149" s="43"/>
      <c r="N149" s="43"/>
      <c r="O149" s="43"/>
      <c r="P149" s="43"/>
      <c r="Q149" s="43"/>
      <c r="R149" s="43"/>
      <c r="S149" s="43"/>
      <c r="T149" s="43"/>
      <c r="U149" s="43"/>
      <c r="V149" s="43"/>
    </row>
    <row r="150">
      <c r="A150" s="35"/>
      <c r="B150" s="35"/>
      <c r="C150" s="35"/>
      <c r="D150" s="35"/>
      <c r="E150" s="35"/>
      <c r="F150" s="35"/>
      <c r="G150" s="35"/>
      <c r="H150" s="35"/>
      <c r="I150" s="35"/>
      <c r="J150" s="35"/>
      <c r="K150" s="35"/>
      <c r="L150" s="35"/>
      <c r="M150" s="35"/>
      <c r="N150" s="35"/>
      <c r="O150" s="35"/>
      <c r="P150" s="35"/>
      <c r="Q150" s="35"/>
      <c r="R150" s="35"/>
      <c r="S150" s="35"/>
      <c r="T150" s="35"/>
      <c r="U150" s="35"/>
      <c r="V150" s="35"/>
    </row>
    <row r="151">
      <c r="A151" s="43"/>
      <c r="B151" s="43"/>
      <c r="C151" s="43"/>
      <c r="D151" s="43"/>
      <c r="E151" s="43"/>
      <c r="F151" s="43"/>
      <c r="G151" s="43"/>
      <c r="H151" s="43"/>
      <c r="I151" s="43"/>
      <c r="J151" s="43"/>
      <c r="K151" s="43"/>
      <c r="L151" s="43"/>
      <c r="M151" s="43"/>
      <c r="N151" s="43"/>
      <c r="O151" s="43"/>
      <c r="P151" s="43"/>
      <c r="Q151" s="43"/>
      <c r="R151" s="43"/>
      <c r="S151" s="43"/>
      <c r="T151" s="43"/>
      <c r="U151" s="43"/>
      <c r="V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row>
    <row r="174">
      <c r="A174" s="35"/>
      <c r="B174" s="43"/>
      <c r="C174" s="43"/>
      <c r="D174" s="43"/>
      <c r="E174" s="43"/>
      <c r="F174" s="43"/>
      <c r="G174" s="43"/>
      <c r="H174" s="43"/>
      <c r="I174" s="43"/>
      <c r="J174" s="43"/>
      <c r="K174" s="43"/>
      <c r="L174" s="43"/>
      <c r="M174" s="43"/>
      <c r="N174" s="43"/>
      <c r="O174" s="43"/>
      <c r="P174" s="43"/>
      <c r="Q174" s="43"/>
      <c r="R174" s="43"/>
      <c r="S174" s="43"/>
      <c r="T174" s="43"/>
      <c r="U174" s="43"/>
      <c r="V174" s="43"/>
    </row>
    <row r="175">
      <c r="A175" s="35"/>
      <c r="B175" s="35"/>
      <c r="C175" s="35"/>
      <c r="D175" s="35"/>
      <c r="E175" s="35"/>
      <c r="F175" s="35"/>
      <c r="G175" s="35"/>
      <c r="H175" s="35"/>
      <c r="I175" s="35"/>
      <c r="J175" s="35"/>
      <c r="K175" s="35"/>
      <c r="L175" s="35"/>
      <c r="M175" s="35"/>
      <c r="N175" s="35"/>
      <c r="O175" s="35"/>
      <c r="P175" s="35"/>
      <c r="Q175" s="35"/>
      <c r="R175" s="35"/>
      <c r="S175" s="35"/>
      <c r="T175" s="35"/>
      <c r="U175" s="35"/>
      <c r="V175" s="35"/>
    </row>
    <row r="176">
      <c r="A176" s="43"/>
      <c r="B176" s="43"/>
      <c r="C176" s="35"/>
      <c r="D176" s="35"/>
      <c r="E176" s="35"/>
      <c r="F176" s="35"/>
      <c r="G176" s="35"/>
      <c r="H176" s="35"/>
      <c r="I176" s="35"/>
      <c r="J176" s="35"/>
      <c r="K176" s="35"/>
      <c r="L176" s="35"/>
      <c r="M176" s="35"/>
      <c r="N176" s="35"/>
      <c r="O176" s="35"/>
      <c r="P176" s="35"/>
      <c r="Q176" s="35"/>
      <c r="R176" s="35"/>
      <c r="S176" s="35"/>
      <c r="T176" s="35"/>
      <c r="U176" s="35"/>
      <c r="V176" s="35"/>
    </row>
    <row r="177">
      <c r="A177" s="43"/>
      <c r="B177" s="43"/>
      <c r="C177" s="43"/>
      <c r="D177" s="43"/>
      <c r="E177" s="43"/>
      <c r="F177" s="43"/>
      <c r="G177" s="43"/>
      <c r="H177" s="43"/>
      <c r="I177" s="43"/>
      <c r="J177" s="43"/>
      <c r="K177" s="43"/>
      <c r="L177" s="43"/>
      <c r="M177" s="43"/>
      <c r="N177" s="43"/>
      <c r="O177" s="43"/>
      <c r="P177" s="43"/>
      <c r="Q177" s="43"/>
      <c r="R177" s="43"/>
      <c r="S177" s="43"/>
      <c r="T177" s="43"/>
      <c r="U177" s="43"/>
      <c r="V177" s="43"/>
    </row>
    <row r="178">
      <c r="A178" s="35"/>
      <c r="B178" s="43"/>
      <c r="C178" s="43"/>
      <c r="D178" s="43"/>
      <c r="E178" s="43"/>
      <c r="F178" s="43"/>
      <c r="G178" s="43"/>
      <c r="H178" s="43"/>
      <c r="I178" s="43"/>
      <c r="J178" s="43"/>
      <c r="K178" s="43"/>
      <c r="L178" s="43"/>
      <c r="M178" s="43"/>
      <c r="N178" s="43"/>
      <c r="O178" s="43"/>
      <c r="P178" s="43"/>
      <c r="Q178" s="43"/>
      <c r="R178" s="43"/>
      <c r="S178" s="43"/>
      <c r="T178" s="43"/>
      <c r="U178" s="43"/>
      <c r="V178" s="43"/>
    </row>
    <row r="179">
      <c r="A179" s="35"/>
      <c r="B179" s="35"/>
      <c r="C179" s="35"/>
      <c r="D179" s="35"/>
      <c r="E179" s="35"/>
      <c r="F179" s="35"/>
      <c r="G179" s="35"/>
      <c r="H179" s="35"/>
      <c r="I179" s="35"/>
      <c r="J179" s="35"/>
      <c r="K179" s="35"/>
      <c r="L179" s="35"/>
      <c r="M179" s="35"/>
      <c r="N179" s="35"/>
      <c r="O179" s="35"/>
      <c r="P179" s="35"/>
      <c r="Q179" s="35"/>
      <c r="R179" s="35"/>
      <c r="S179" s="35"/>
      <c r="T179" s="35"/>
      <c r="U179" s="35"/>
      <c r="V179" s="35"/>
    </row>
    <row r="180">
      <c r="A180" s="35"/>
      <c r="B180" s="43"/>
      <c r="C180" s="35"/>
      <c r="D180" s="35"/>
      <c r="E180" s="35"/>
      <c r="F180" s="35"/>
      <c r="G180" s="35"/>
      <c r="H180" s="35"/>
      <c r="I180" s="35"/>
      <c r="J180" s="35"/>
      <c r="K180" s="35"/>
      <c r="L180" s="35"/>
      <c r="M180" s="35"/>
      <c r="N180" s="35"/>
      <c r="O180" s="35"/>
      <c r="P180" s="35"/>
      <c r="Q180" s="35"/>
      <c r="R180" s="35"/>
      <c r="S180" s="35"/>
      <c r="T180" s="35"/>
      <c r="U180" s="35"/>
      <c r="V180" s="35"/>
    </row>
    <row r="181">
      <c r="A181" s="35"/>
      <c r="B181" s="43"/>
      <c r="C181" s="43"/>
      <c r="D181" s="43"/>
      <c r="E181" s="43"/>
      <c r="F181" s="43"/>
      <c r="G181" s="43"/>
      <c r="H181" s="43"/>
      <c r="I181" s="43"/>
      <c r="J181" s="43"/>
      <c r="K181" s="43"/>
      <c r="L181" s="43"/>
      <c r="M181" s="43"/>
      <c r="N181" s="43"/>
      <c r="O181" s="43"/>
      <c r="P181" s="43"/>
      <c r="Q181" s="43"/>
      <c r="R181" s="43"/>
      <c r="S181" s="43"/>
      <c r="T181" s="43"/>
      <c r="U181" s="43"/>
      <c r="V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row>
    <row r="183">
      <c r="A183" s="35"/>
      <c r="B183" s="43"/>
      <c r="C183" s="43"/>
      <c r="D183" s="43"/>
      <c r="E183" s="43"/>
      <c r="F183" s="43"/>
      <c r="G183" s="43"/>
      <c r="H183" s="43"/>
      <c r="I183" s="43"/>
      <c r="J183" s="43"/>
      <c r="K183" s="43"/>
      <c r="L183" s="43"/>
      <c r="M183" s="43"/>
      <c r="N183" s="43"/>
      <c r="O183" s="43"/>
      <c r="P183" s="43"/>
      <c r="Q183" s="43"/>
      <c r="R183" s="43"/>
      <c r="S183" s="43"/>
      <c r="T183" s="43"/>
      <c r="U183" s="43"/>
      <c r="V183" s="43"/>
    </row>
    <row r="184">
      <c r="A184" s="35"/>
      <c r="B184" s="35"/>
      <c r="C184" s="35"/>
      <c r="D184" s="35"/>
      <c r="E184" s="35"/>
      <c r="F184" s="35"/>
      <c r="G184" s="35"/>
      <c r="H184" s="35"/>
      <c r="I184" s="35"/>
      <c r="J184" s="35"/>
      <c r="K184" s="35"/>
      <c r="L184" s="35"/>
      <c r="M184" s="35"/>
      <c r="N184" s="35"/>
      <c r="O184" s="35"/>
      <c r="P184" s="35"/>
      <c r="Q184" s="35"/>
      <c r="R184" s="35"/>
      <c r="S184" s="35"/>
      <c r="T184" s="35"/>
      <c r="U184" s="35"/>
      <c r="V184" s="35"/>
    </row>
    <row r="185">
      <c r="A185" s="35"/>
      <c r="B185" s="43"/>
      <c r="C185" s="35"/>
      <c r="D185" s="35"/>
      <c r="E185" s="35"/>
      <c r="F185" s="35"/>
      <c r="G185" s="35"/>
      <c r="H185" s="35"/>
      <c r="I185" s="35"/>
      <c r="J185" s="35"/>
      <c r="K185" s="35"/>
      <c r="L185" s="35"/>
      <c r="M185" s="35"/>
      <c r="N185" s="35"/>
      <c r="O185" s="35"/>
      <c r="P185" s="35"/>
      <c r="Q185" s="35"/>
      <c r="R185" s="35"/>
      <c r="S185" s="35"/>
      <c r="T185" s="35"/>
      <c r="U185" s="35"/>
      <c r="V185" s="35"/>
    </row>
    <row r="186">
      <c r="A186" s="43"/>
      <c r="B186" s="43"/>
      <c r="C186" s="43"/>
      <c r="D186" s="43"/>
      <c r="E186" s="43"/>
      <c r="F186" s="43"/>
      <c r="G186" s="43"/>
      <c r="H186" s="43"/>
      <c r="I186" s="43"/>
      <c r="J186" s="43"/>
      <c r="K186" s="43"/>
      <c r="L186" s="43"/>
      <c r="M186" s="43"/>
      <c r="N186" s="43"/>
      <c r="O186" s="43"/>
      <c r="P186" s="43"/>
      <c r="Q186" s="43"/>
      <c r="R186" s="43"/>
      <c r="S186" s="43"/>
      <c r="T186" s="43"/>
      <c r="U186" s="43"/>
      <c r="V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row>
    <row r="1001">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row>
    <row r="1002">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row>
    <row r="1003">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row>
    <row r="1004">
      <c r="A1004" s="43"/>
      <c r="B1004" s="43"/>
      <c r="C1004" s="43"/>
      <c r="D1004" s="43"/>
      <c r="E1004" s="43"/>
      <c r="F1004" s="43"/>
      <c r="G1004" s="43"/>
      <c r="H1004" s="43"/>
      <c r="I1004" s="43"/>
      <c r="J1004" s="43"/>
      <c r="K1004" s="43"/>
      <c r="L1004" s="43"/>
      <c r="M1004" s="43"/>
      <c r="N1004" s="43"/>
      <c r="O1004" s="43"/>
      <c r="P1004" s="43"/>
      <c r="Q1004" s="43"/>
      <c r="R1004" s="43"/>
      <c r="S1004" s="43"/>
      <c r="T1004" s="43"/>
      <c r="U1004" s="43"/>
      <c r="V1004" s="43"/>
    </row>
    <row r="1005">
      <c r="A1005" s="43"/>
      <c r="B1005" s="43"/>
      <c r="C1005" s="43"/>
      <c r="D1005" s="43"/>
      <c r="E1005" s="43"/>
      <c r="F1005" s="43"/>
      <c r="G1005" s="43"/>
      <c r="H1005" s="43"/>
      <c r="I1005" s="43"/>
      <c r="J1005" s="43"/>
      <c r="K1005" s="43"/>
      <c r="L1005" s="43"/>
      <c r="M1005" s="43"/>
      <c r="N1005" s="43"/>
      <c r="O1005" s="43"/>
      <c r="P1005" s="43"/>
      <c r="Q1005" s="43"/>
      <c r="R1005" s="43"/>
      <c r="S1005" s="43"/>
      <c r="T1005" s="43"/>
      <c r="U1005" s="43"/>
      <c r="V1005" s="43"/>
    </row>
    <row r="1006">
      <c r="A1006" s="43"/>
      <c r="B1006" s="43"/>
      <c r="C1006" s="43"/>
      <c r="D1006" s="43"/>
      <c r="E1006" s="43"/>
      <c r="F1006" s="43"/>
      <c r="G1006" s="43"/>
      <c r="H1006" s="43"/>
      <c r="I1006" s="43"/>
      <c r="J1006" s="43"/>
      <c r="K1006" s="43"/>
      <c r="L1006" s="43"/>
      <c r="M1006" s="43"/>
      <c r="N1006" s="43"/>
      <c r="O1006" s="43"/>
      <c r="P1006" s="43"/>
      <c r="Q1006" s="43"/>
      <c r="R1006" s="43"/>
      <c r="S1006" s="43"/>
      <c r="T1006" s="43"/>
      <c r="U1006" s="43"/>
      <c r="V1006" s="43"/>
    </row>
    <row r="1007">
      <c r="A1007" s="43"/>
      <c r="B1007" s="43"/>
      <c r="C1007" s="43"/>
      <c r="D1007" s="43"/>
      <c r="E1007" s="43"/>
      <c r="F1007" s="43"/>
      <c r="G1007" s="43"/>
      <c r="H1007" s="43"/>
      <c r="I1007" s="43"/>
      <c r="J1007" s="43"/>
      <c r="K1007" s="43"/>
      <c r="L1007" s="43"/>
      <c r="M1007" s="43"/>
      <c r="N1007" s="43"/>
      <c r="O1007" s="43"/>
      <c r="P1007" s="43"/>
      <c r="Q1007" s="43"/>
      <c r="R1007" s="43"/>
      <c r="S1007" s="43"/>
      <c r="T1007" s="43"/>
      <c r="U1007" s="43"/>
      <c r="V1007" s="4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6.67"/>
    <col customWidth="1" min="2" max="2" width="21.67"/>
    <col customWidth="1" min="3" max="3" width="19.22"/>
    <col customWidth="1" min="4" max="7" width="19.67"/>
    <col customWidth="1" min="8" max="8" width="19.56"/>
    <col customWidth="1" min="9" max="9" width="18.78"/>
    <col customWidth="1" min="10" max="12" width="17.33"/>
  </cols>
  <sheetData>
    <row r="1" ht="28.5" customHeight="1">
      <c r="A1" s="44" t="s">
        <v>38</v>
      </c>
      <c r="B1" s="45" t="s">
        <v>39</v>
      </c>
      <c r="C1" s="45" t="s">
        <v>40</v>
      </c>
      <c r="D1" s="45" t="s">
        <v>41</v>
      </c>
      <c r="E1" s="45" t="s">
        <v>42</v>
      </c>
      <c r="F1" s="45" t="s">
        <v>43</v>
      </c>
      <c r="G1" s="45" t="s">
        <v>44</v>
      </c>
      <c r="H1" s="1" t="s">
        <v>45</v>
      </c>
      <c r="I1" s="1" t="s">
        <v>46</v>
      </c>
      <c r="J1" s="45" t="s">
        <v>47</v>
      </c>
      <c r="K1" s="45" t="s">
        <v>48</v>
      </c>
      <c r="L1" s="45" t="s">
        <v>49</v>
      </c>
      <c r="M1" s="2"/>
      <c r="N1" s="2"/>
      <c r="O1" s="2"/>
      <c r="P1" s="2"/>
      <c r="Q1" s="2"/>
      <c r="R1" s="2"/>
    </row>
    <row r="2">
      <c r="A2" s="46">
        <f t="shared" ref="A2:A90" si="1">IF(ISBLANK(B2), "", ROW()-1)</f>
        <v>1</v>
      </c>
      <c r="B2" s="47" t="s">
        <v>50</v>
      </c>
      <c r="C2" s="48"/>
      <c r="D2" s="48"/>
      <c r="E2" s="48"/>
      <c r="F2" s="48"/>
      <c r="G2" s="48"/>
      <c r="H2" s="49"/>
      <c r="I2" s="49"/>
      <c r="J2" s="49"/>
      <c r="K2" s="49"/>
      <c r="L2" s="49"/>
      <c r="M2" s="2"/>
      <c r="N2" s="2"/>
      <c r="O2" s="2"/>
      <c r="P2" s="2"/>
      <c r="Q2" s="2"/>
      <c r="R2" s="2"/>
    </row>
    <row r="3">
      <c r="A3" s="46" t="str">
        <f t="shared" si="1"/>
        <v/>
      </c>
      <c r="B3" s="50"/>
      <c r="C3" s="48"/>
      <c r="D3" s="48"/>
      <c r="E3" s="48"/>
      <c r="F3" s="48"/>
      <c r="G3" s="48"/>
      <c r="H3" s="49"/>
      <c r="I3" s="49"/>
      <c r="J3" s="49"/>
      <c r="K3" s="49"/>
      <c r="L3" s="49"/>
      <c r="M3" s="2"/>
      <c r="N3" s="2"/>
      <c r="O3" s="2"/>
      <c r="P3" s="2"/>
      <c r="Q3" s="2"/>
      <c r="R3" s="2"/>
    </row>
    <row r="4">
      <c r="A4" s="46" t="str">
        <f t="shared" si="1"/>
        <v/>
      </c>
      <c r="B4" s="51"/>
      <c r="C4" s="49"/>
      <c r="D4" s="48"/>
      <c r="E4" s="48"/>
      <c r="F4" s="49"/>
      <c r="G4" s="48"/>
      <c r="H4" s="49"/>
      <c r="I4" s="49"/>
      <c r="J4" s="49"/>
      <c r="K4" s="49"/>
      <c r="L4" s="49"/>
      <c r="M4" s="2"/>
      <c r="N4" s="2"/>
      <c r="O4" s="2"/>
      <c r="P4" s="2"/>
      <c r="Q4" s="2"/>
      <c r="R4" s="2"/>
    </row>
    <row r="5">
      <c r="A5" s="46" t="str">
        <f t="shared" si="1"/>
        <v/>
      </c>
      <c r="B5" s="52"/>
      <c r="C5" s="48"/>
      <c r="D5" s="48"/>
      <c r="E5" s="48"/>
      <c r="F5" s="48"/>
      <c r="G5" s="48"/>
      <c r="H5" s="49"/>
      <c r="I5" s="49"/>
      <c r="J5" s="49"/>
      <c r="K5" s="49"/>
      <c r="L5" s="49"/>
      <c r="M5" s="2"/>
      <c r="N5" s="2"/>
      <c r="O5" s="2"/>
      <c r="P5" s="2"/>
      <c r="Q5" s="2"/>
      <c r="R5" s="2"/>
    </row>
    <row r="6">
      <c r="A6" s="46" t="str">
        <f t="shared" si="1"/>
        <v/>
      </c>
      <c r="B6" s="51"/>
      <c r="C6" s="48"/>
      <c r="D6" s="48"/>
      <c r="E6" s="48"/>
      <c r="F6" s="48"/>
      <c r="G6" s="48"/>
      <c r="H6" s="49"/>
      <c r="I6" s="49"/>
      <c r="J6" s="49"/>
      <c r="K6" s="49"/>
      <c r="L6" s="49"/>
      <c r="M6" s="2"/>
      <c r="N6" s="2"/>
      <c r="O6" s="2"/>
      <c r="P6" s="2"/>
      <c r="Q6" s="2"/>
      <c r="R6" s="2"/>
    </row>
    <row r="7">
      <c r="A7" s="46" t="str">
        <f t="shared" si="1"/>
        <v/>
      </c>
      <c r="B7" s="52"/>
      <c r="C7" s="48"/>
      <c r="D7" s="48"/>
      <c r="E7" s="48"/>
      <c r="F7" s="48"/>
      <c r="G7" s="48"/>
      <c r="H7" s="49"/>
      <c r="I7" s="49"/>
      <c r="J7" s="49"/>
      <c r="K7" s="49"/>
      <c r="L7" s="49"/>
      <c r="M7" s="2"/>
      <c r="N7" s="2"/>
      <c r="O7" s="2"/>
      <c r="P7" s="2"/>
      <c r="Q7" s="2"/>
      <c r="R7" s="2"/>
    </row>
    <row r="8">
      <c r="A8" s="46" t="str">
        <f t="shared" si="1"/>
        <v/>
      </c>
      <c r="B8" s="51"/>
      <c r="C8" s="48"/>
      <c r="D8" s="48"/>
      <c r="E8" s="48"/>
      <c r="F8" s="48"/>
      <c r="G8" s="48"/>
      <c r="H8" s="49"/>
      <c r="I8" s="49"/>
      <c r="J8" s="49"/>
      <c r="K8" s="49"/>
      <c r="L8" s="49"/>
      <c r="M8" s="2"/>
      <c r="N8" s="2"/>
      <c r="O8" s="2"/>
      <c r="P8" s="2"/>
      <c r="Q8" s="2"/>
      <c r="R8" s="2"/>
    </row>
    <row r="9">
      <c r="A9" s="46" t="str">
        <f t="shared" si="1"/>
        <v/>
      </c>
      <c r="B9" s="52"/>
      <c r="C9" s="48"/>
      <c r="D9" s="48"/>
      <c r="E9" s="48"/>
      <c r="F9" s="48"/>
      <c r="G9" s="48"/>
      <c r="H9" s="49"/>
      <c r="I9" s="49"/>
      <c r="J9" s="49"/>
      <c r="K9" s="49"/>
      <c r="L9" s="49"/>
      <c r="M9" s="2"/>
      <c r="N9" s="2"/>
      <c r="O9" s="2"/>
      <c r="P9" s="2"/>
      <c r="Q9" s="2"/>
      <c r="R9" s="2"/>
    </row>
    <row r="10">
      <c r="A10" s="46" t="str">
        <f t="shared" si="1"/>
        <v/>
      </c>
      <c r="B10" s="51"/>
      <c r="C10" s="48"/>
      <c r="D10" s="48"/>
      <c r="E10" s="48"/>
      <c r="F10" s="48"/>
      <c r="G10" s="48"/>
      <c r="H10" s="49"/>
      <c r="I10" s="49"/>
      <c r="J10" s="49"/>
      <c r="K10" s="49"/>
      <c r="L10" s="49"/>
      <c r="M10" s="2"/>
      <c r="N10" s="2"/>
      <c r="O10" s="2"/>
      <c r="P10" s="2"/>
      <c r="Q10" s="2"/>
      <c r="R10" s="2"/>
    </row>
    <row r="11">
      <c r="A11" s="46" t="str">
        <f t="shared" si="1"/>
        <v/>
      </c>
      <c r="B11" s="52"/>
      <c r="C11" s="48"/>
      <c r="D11" s="48"/>
      <c r="E11" s="48"/>
      <c r="F11" s="48"/>
      <c r="G11" s="48"/>
      <c r="H11" s="49"/>
      <c r="I11" s="49"/>
      <c r="J11" s="49"/>
      <c r="K11" s="49"/>
      <c r="L11" s="49"/>
      <c r="M11" s="2"/>
      <c r="N11" s="2"/>
      <c r="O11" s="2"/>
      <c r="P11" s="2"/>
      <c r="Q11" s="2"/>
      <c r="R11" s="2"/>
    </row>
    <row r="12">
      <c r="A12" s="46" t="str">
        <f t="shared" si="1"/>
        <v/>
      </c>
      <c r="B12" s="51"/>
      <c r="C12" s="48"/>
      <c r="D12" s="48"/>
      <c r="E12" s="48"/>
      <c r="F12" s="48"/>
      <c r="G12" s="48"/>
      <c r="H12" s="49"/>
      <c r="I12" s="49"/>
      <c r="J12" s="49"/>
      <c r="K12" s="49"/>
      <c r="L12" s="49"/>
      <c r="M12" s="2"/>
      <c r="N12" s="2"/>
      <c r="O12" s="2"/>
      <c r="P12" s="2"/>
      <c r="Q12" s="2"/>
      <c r="R12" s="2"/>
    </row>
    <row r="13">
      <c r="A13" s="46" t="str">
        <f t="shared" si="1"/>
        <v/>
      </c>
      <c r="B13" s="52"/>
      <c r="C13" s="48"/>
      <c r="D13" s="48"/>
      <c r="E13" s="48"/>
      <c r="F13" s="48"/>
      <c r="G13" s="48"/>
      <c r="H13" s="49"/>
      <c r="I13" s="49"/>
      <c r="J13" s="49"/>
      <c r="K13" s="49"/>
      <c r="L13" s="49"/>
      <c r="M13" s="2"/>
      <c r="N13" s="2"/>
      <c r="O13" s="2"/>
      <c r="P13" s="2"/>
      <c r="Q13" s="2"/>
      <c r="R13" s="2"/>
    </row>
    <row r="14">
      <c r="A14" s="46" t="str">
        <f t="shared" si="1"/>
        <v/>
      </c>
      <c r="B14" s="51"/>
      <c r="C14" s="48"/>
      <c r="D14" s="48"/>
      <c r="E14" s="48"/>
      <c r="F14" s="48"/>
      <c r="G14" s="48"/>
      <c r="H14" s="49"/>
      <c r="I14" s="49"/>
      <c r="J14" s="49"/>
      <c r="K14" s="49"/>
      <c r="L14" s="49"/>
      <c r="M14" s="2"/>
      <c r="N14" s="2"/>
      <c r="O14" s="2"/>
      <c r="P14" s="2"/>
      <c r="Q14" s="2"/>
      <c r="R14" s="2"/>
    </row>
    <row r="15">
      <c r="A15" s="46" t="str">
        <f t="shared" si="1"/>
        <v/>
      </c>
      <c r="B15" s="52"/>
      <c r="C15" s="48"/>
      <c r="D15" s="48"/>
      <c r="E15" s="48"/>
      <c r="F15" s="48"/>
      <c r="G15" s="48"/>
      <c r="H15" s="49"/>
      <c r="I15" s="49"/>
      <c r="J15" s="49"/>
      <c r="K15" s="49"/>
      <c r="L15" s="49"/>
      <c r="M15" s="2"/>
      <c r="N15" s="2"/>
      <c r="O15" s="2"/>
      <c r="P15" s="2"/>
      <c r="Q15" s="2"/>
      <c r="R15" s="2"/>
    </row>
    <row r="16">
      <c r="A16" s="46" t="str">
        <f t="shared" si="1"/>
        <v/>
      </c>
      <c r="B16" s="51"/>
      <c r="C16" s="48"/>
      <c r="D16" s="48"/>
      <c r="E16" s="48"/>
      <c r="F16" s="48"/>
      <c r="G16" s="48"/>
      <c r="H16" s="49"/>
      <c r="I16" s="49"/>
      <c r="J16" s="49"/>
      <c r="K16" s="49"/>
      <c r="L16" s="49"/>
      <c r="M16" s="2"/>
      <c r="N16" s="2"/>
      <c r="O16" s="2"/>
      <c r="P16" s="2"/>
      <c r="Q16" s="2"/>
      <c r="R16" s="2"/>
    </row>
    <row r="17">
      <c r="A17" s="46" t="str">
        <f t="shared" si="1"/>
        <v/>
      </c>
      <c r="B17" s="52"/>
      <c r="C17" s="48"/>
      <c r="D17" s="48"/>
      <c r="E17" s="48"/>
      <c r="F17" s="48"/>
      <c r="G17" s="48"/>
      <c r="H17" s="49"/>
      <c r="I17" s="49"/>
      <c r="J17" s="49"/>
      <c r="K17" s="49"/>
      <c r="L17" s="49"/>
      <c r="M17" s="2"/>
      <c r="N17" s="2"/>
      <c r="O17" s="2"/>
      <c r="P17" s="2"/>
      <c r="Q17" s="2"/>
      <c r="R17" s="2"/>
    </row>
    <row r="18">
      <c r="A18" s="46" t="str">
        <f t="shared" si="1"/>
        <v/>
      </c>
      <c r="B18" s="51"/>
      <c r="C18" s="48"/>
      <c r="D18" s="48"/>
      <c r="E18" s="48"/>
      <c r="F18" s="48"/>
      <c r="G18" s="48"/>
      <c r="H18" s="49"/>
      <c r="I18" s="49"/>
      <c r="J18" s="49"/>
      <c r="K18" s="49"/>
      <c r="L18" s="49"/>
      <c r="M18" s="2"/>
      <c r="N18" s="2"/>
      <c r="O18" s="2"/>
      <c r="P18" s="2"/>
      <c r="Q18" s="2"/>
      <c r="R18" s="2"/>
    </row>
    <row r="19">
      <c r="A19" s="46" t="str">
        <f t="shared" si="1"/>
        <v/>
      </c>
      <c r="B19" s="52"/>
      <c r="C19" s="48"/>
      <c r="D19" s="48"/>
      <c r="E19" s="48"/>
      <c r="F19" s="48"/>
      <c r="G19" s="48"/>
      <c r="H19" s="49"/>
      <c r="I19" s="49"/>
      <c r="J19" s="49"/>
      <c r="K19" s="49"/>
      <c r="L19" s="49"/>
      <c r="M19" s="2"/>
      <c r="N19" s="2"/>
      <c r="O19" s="2"/>
      <c r="P19" s="2"/>
      <c r="Q19" s="2"/>
      <c r="R19" s="2"/>
    </row>
    <row r="20">
      <c r="A20" s="46" t="str">
        <f t="shared" si="1"/>
        <v/>
      </c>
      <c r="B20" s="51"/>
      <c r="C20" s="48"/>
      <c r="D20" s="48"/>
      <c r="E20" s="48"/>
      <c r="F20" s="48"/>
      <c r="G20" s="48"/>
      <c r="H20" s="49"/>
      <c r="I20" s="49"/>
      <c r="J20" s="49"/>
      <c r="K20" s="49"/>
      <c r="L20" s="49"/>
      <c r="M20" s="2"/>
      <c r="N20" s="2"/>
      <c r="O20" s="2"/>
      <c r="P20" s="2"/>
      <c r="Q20" s="2"/>
      <c r="R20" s="2"/>
    </row>
    <row r="21">
      <c r="A21" s="46" t="str">
        <f t="shared" si="1"/>
        <v/>
      </c>
      <c r="B21" s="52"/>
      <c r="C21" s="48"/>
      <c r="D21" s="48"/>
      <c r="E21" s="48"/>
      <c r="F21" s="48"/>
      <c r="G21" s="48"/>
      <c r="H21" s="49"/>
      <c r="I21" s="49"/>
      <c r="J21" s="49"/>
      <c r="K21" s="49"/>
      <c r="L21" s="49"/>
      <c r="M21" s="2"/>
      <c r="N21" s="2"/>
      <c r="O21" s="2"/>
      <c r="P21" s="2"/>
      <c r="Q21" s="2"/>
      <c r="R21" s="2"/>
    </row>
    <row r="22">
      <c r="A22" s="46" t="str">
        <f t="shared" si="1"/>
        <v/>
      </c>
      <c r="B22" s="51"/>
      <c r="C22" s="49"/>
      <c r="D22" s="48"/>
      <c r="E22" s="48"/>
      <c r="F22" s="49"/>
      <c r="G22" s="48"/>
      <c r="H22" s="49"/>
      <c r="I22" s="49"/>
      <c r="J22" s="49"/>
      <c r="K22" s="49"/>
      <c r="L22" s="49"/>
      <c r="M22" s="2"/>
      <c r="N22" s="2"/>
      <c r="O22" s="2"/>
      <c r="P22" s="2"/>
      <c r="Q22" s="2"/>
      <c r="R22" s="2"/>
    </row>
    <row r="23">
      <c r="A23" s="46" t="str">
        <f t="shared" si="1"/>
        <v/>
      </c>
      <c r="B23" s="52"/>
      <c r="C23" s="49"/>
      <c r="D23" s="48"/>
      <c r="E23" s="48"/>
      <c r="F23" s="49"/>
      <c r="G23" s="48"/>
      <c r="H23" s="49"/>
      <c r="I23" s="49"/>
      <c r="J23" s="49"/>
      <c r="K23" s="49"/>
      <c r="L23" s="49"/>
      <c r="M23" s="2"/>
      <c r="N23" s="2"/>
      <c r="O23" s="2"/>
      <c r="P23" s="2"/>
      <c r="Q23" s="2"/>
      <c r="R23" s="2"/>
    </row>
    <row r="24">
      <c r="A24" s="46" t="str">
        <f t="shared" si="1"/>
        <v/>
      </c>
      <c r="B24" s="51"/>
      <c r="C24" s="48"/>
      <c r="D24" s="48"/>
      <c r="E24" s="48"/>
      <c r="F24" s="48"/>
      <c r="G24" s="48"/>
      <c r="H24" s="49"/>
      <c r="I24" s="49"/>
      <c r="J24" s="49"/>
      <c r="K24" s="49"/>
      <c r="L24" s="49"/>
      <c r="M24" s="2"/>
      <c r="N24" s="2"/>
      <c r="O24" s="2"/>
      <c r="P24" s="2"/>
      <c r="Q24" s="2"/>
      <c r="R24" s="2"/>
    </row>
    <row r="25">
      <c r="A25" s="46" t="str">
        <f t="shared" si="1"/>
        <v/>
      </c>
      <c r="B25" s="52"/>
      <c r="C25" s="48"/>
      <c r="D25" s="48"/>
      <c r="E25" s="48"/>
      <c r="F25" s="48"/>
      <c r="G25" s="48"/>
      <c r="H25" s="49"/>
      <c r="I25" s="49"/>
      <c r="J25" s="49"/>
      <c r="K25" s="49"/>
      <c r="L25" s="49"/>
      <c r="M25" s="2"/>
      <c r="N25" s="2"/>
      <c r="O25" s="2"/>
      <c r="P25" s="2"/>
      <c r="Q25" s="2"/>
      <c r="R25" s="2"/>
    </row>
    <row r="26">
      <c r="A26" s="46" t="str">
        <f t="shared" si="1"/>
        <v/>
      </c>
      <c r="B26" s="51"/>
      <c r="C26" s="49"/>
      <c r="D26" s="48"/>
      <c r="E26" s="48"/>
      <c r="F26" s="49"/>
      <c r="G26" s="48"/>
      <c r="H26" s="49"/>
      <c r="I26" s="49"/>
      <c r="J26" s="49"/>
      <c r="K26" s="49"/>
      <c r="L26" s="49"/>
      <c r="M26" s="2"/>
      <c r="N26" s="2"/>
      <c r="O26" s="2"/>
      <c r="P26" s="2"/>
      <c r="Q26" s="2"/>
      <c r="R26" s="2"/>
    </row>
    <row r="27">
      <c r="A27" s="46" t="str">
        <f t="shared" si="1"/>
        <v/>
      </c>
      <c r="B27" s="52"/>
      <c r="C27" s="53"/>
      <c r="D27" s="48"/>
      <c r="E27" s="48"/>
      <c r="F27" s="48"/>
      <c r="G27" s="48"/>
      <c r="H27" s="49"/>
      <c r="I27" s="49"/>
      <c r="J27" s="49"/>
      <c r="K27" s="49"/>
      <c r="L27" s="49"/>
      <c r="M27" s="2"/>
      <c r="N27" s="2"/>
      <c r="O27" s="2"/>
      <c r="P27" s="2"/>
      <c r="Q27" s="2"/>
      <c r="R27" s="2"/>
    </row>
    <row r="28">
      <c r="A28" s="46" t="str">
        <f t="shared" si="1"/>
        <v/>
      </c>
      <c r="B28" s="51"/>
      <c r="C28" s="54"/>
      <c r="D28" s="48"/>
      <c r="E28" s="48"/>
      <c r="F28" s="54"/>
      <c r="G28" s="48"/>
      <c r="H28" s="49"/>
      <c r="I28" s="49"/>
      <c r="J28" s="49"/>
      <c r="K28" s="49"/>
      <c r="L28" s="55"/>
      <c r="M28" s="56"/>
      <c r="N28" s="56"/>
      <c r="O28" s="56"/>
      <c r="P28" s="56"/>
      <c r="Q28" s="56"/>
      <c r="R28" s="56"/>
    </row>
    <row r="29">
      <c r="A29" s="46" t="str">
        <f t="shared" si="1"/>
        <v/>
      </c>
      <c r="B29" s="52"/>
      <c r="C29" s="48"/>
      <c r="D29" s="48"/>
      <c r="E29" s="48"/>
      <c r="F29" s="48"/>
      <c r="G29" s="48"/>
      <c r="H29" s="49"/>
      <c r="I29" s="49"/>
      <c r="J29" s="49"/>
      <c r="K29" s="49"/>
      <c r="L29" s="49"/>
      <c r="M29" s="2"/>
      <c r="N29" s="2"/>
      <c r="O29" s="2"/>
      <c r="P29" s="2"/>
      <c r="Q29" s="2"/>
      <c r="R29" s="2"/>
    </row>
    <row r="30">
      <c r="A30" s="46" t="str">
        <f t="shared" si="1"/>
        <v/>
      </c>
      <c r="B30" s="51"/>
      <c r="C30" s="48"/>
      <c r="D30" s="48"/>
      <c r="E30" s="48"/>
      <c r="F30" s="48"/>
      <c r="G30" s="48"/>
      <c r="H30" s="49"/>
      <c r="I30" s="49"/>
      <c r="J30" s="49"/>
      <c r="K30" s="49"/>
      <c r="L30" s="49"/>
      <c r="M30" s="2"/>
      <c r="N30" s="2"/>
      <c r="O30" s="2"/>
      <c r="P30" s="2"/>
      <c r="Q30" s="2"/>
      <c r="R30" s="2"/>
    </row>
    <row r="31">
      <c r="A31" s="46" t="str">
        <f t="shared" si="1"/>
        <v/>
      </c>
      <c r="B31" s="52"/>
      <c r="C31" s="48"/>
      <c r="D31" s="48"/>
      <c r="E31" s="48"/>
      <c r="F31" s="48"/>
      <c r="G31" s="48"/>
      <c r="H31" s="49"/>
      <c r="I31" s="49"/>
      <c r="J31" s="49"/>
      <c r="K31" s="49"/>
      <c r="L31" s="49"/>
      <c r="M31" s="2"/>
      <c r="N31" s="2"/>
      <c r="O31" s="2"/>
      <c r="P31" s="2"/>
      <c r="Q31" s="2"/>
      <c r="R31" s="2"/>
    </row>
    <row r="32">
      <c r="A32" s="46" t="str">
        <f t="shared" si="1"/>
        <v/>
      </c>
      <c r="B32" s="51"/>
      <c r="C32" s="53"/>
      <c r="D32" s="48"/>
      <c r="E32" s="48"/>
      <c r="F32" s="48"/>
      <c r="G32" s="48"/>
      <c r="H32" s="49"/>
      <c r="I32" s="49"/>
      <c r="J32" s="49"/>
      <c r="K32" s="49"/>
      <c r="L32" s="49"/>
      <c r="M32" s="2"/>
      <c r="N32" s="2"/>
      <c r="O32" s="2"/>
      <c r="P32" s="2"/>
      <c r="Q32" s="2"/>
      <c r="R32" s="2"/>
    </row>
    <row r="33">
      <c r="A33" s="46" t="str">
        <f t="shared" si="1"/>
        <v/>
      </c>
      <c r="B33" s="52"/>
      <c r="C33" s="48"/>
      <c r="D33" s="48"/>
      <c r="E33" s="48"/>
      <c r="F33" s="48"/>
      <c r="G33" s="48"/>
      <c r="H33" s="49"/>
      <c r="I33" s="49"/>
      <c r="J33" s="49"/>
      <c r="K33" s="49"/>
      <c r="L33" s="49"/>
      <c r="M33" s="2"/>
      <c r="N33" s="2"/>
      <c r="O33" s="2"/>
      <c r="P33" s="2"/>
      <c r="Q33" s="2"/>
      <c r="R33" s="2"/>
    </row>
    <row r="34">
      <c r="A34" s="46" t="str">
        <f t="shared" si="1"/>
        <v/>
      </c>
      <c r="B34" s="51"/>
      <c r="C34" s="48"/>
      <c r="D34" s="48"/>
      <c r="E34" s="48"/>
      <c r="F34" s="48"/>
      <c r="G34" s="48"/>
      <c r="H34" s="49"/>
      <c r="I34" s="49"/>
      <c r="J34" s="49"/>
      <c r="K34" s="49"/>
      <c r="L34" s="49"/>
      <c r="M34" s="2"/>
      <c r="N34" s="2"/>
      <c r="O34" s="2"/>
      <c r="P34" s="2"/>
      <c r="Q34" s="2"/>
      <c r="R34" s="2"/>
    </row>
    <row r="35">
      <c r="A35" s="46" t="str">
        <f t="shared" si="1"/>
        <v/>
      </c>
      <c r="B35" s="52"/>
      <c r="C35" s="49"/>
      <c r="D35" s="48"/>
      <c r="E35" s="48"/>
      <c r="F35" s="49"/>
      <c r="G35" s="48"/>
      <c r="H35" s="49"/>
      <c r="I35" s="49"/>
      <c r="J35" s="49"/>
      <c r="K35" s="49"/>
      <c r="L35" s="49"/>
      <c r="M35" s="2"/>
      <c r="N35" s="2"/>
      <c r="O35" s="2"/>
      <c r="P35" s="2"/>
      <c r="Q35" s="2"/>
      <c r="R35" s="2"/>
    </row>
    <row r="36">
      <c r="A36" s="46" t="str">
        <f t="shared" si="1"/>
        <v/>
      </c>
      <c r="B36" s="51"/>
      <c r="C36" s="48"/>
      <c r="D36" s="48"/>
      <c r="E36" s="48"/>
      <c r="F36" s="48"/>
      <c r="G36" s="48"/>
      <c r="H36" s="49"/>
      <c r="I36" s="49"/>
      <c r="J36" s="49"/>
      <c r="K36" s="49"/>
      <c r="L36" s="49"/>
      <c r="M36" s="2"/>
      <c r="N36" s="2"/>
      <c r="O36" s="2"/>
      <c r="P36" s="2"/>
      <c r="Q36" s="2"/>
      <c r="R36" s="2"/>
    </row>
    <row r="37">
      <c r="A37" s="46" t="str">
        <f t="shared" si="1"/>
        <v/>
      </c>
      <c r="B37" s="52"/>
      <c r="C37" s="53"/>
      <c r="D37" s="48"/>
      <c r="E37" s="48"/>
      <c r="F37" s="48"/>
      <c r="G37" s="48"/>
      <c r="H37" s="49"/>
      <c r="I37" s="49"/>
      <c r="J37" s="49"/>
      <c r="K37" s="49"/>
      <c r="L37" s="49"/>
      <c r="M37" s="2"/>
      <c r="N37" s="2"/>
      <c r="O37" s="2"/>
      <c r="P37" s="2"/>
      <c r="Q37" s="2"/>
      <c r="R37" s="2"/>
    </row>
    <row r="38">
      <c r="A38" s="46" t="str">
        <f t="shared" si="1"/>
        <v/>
      </c>
      <c r="B38" s="51"/>
      <c r="C38" s="48"/>
      <c r="D38" s="48"/>
      <c r="E38" s="48"/>
      <c r="F38" s="48"/>
      <c r="G38" s="48"/>
      <c r="H38" s="49"/>
      <c r="I38" s="49"/>
      <c r="J38" s="49"/>
      <c r="K38" s="49"/>
      <c r="L38" s="49"/>
      <c r="M38" s="2"/>
      <c r="N38" s="2"/>
      <c r="O38" s="2"/>
      <c r="P38" s="2"/>
      <c r="Q38" s="2"/>
      <c r="R38" s="2"/>
    </row>
    <row r="39">
      <c r="A39" s="46" t="str">
        <f t="shared" si="1"/>
        <v/>
      </c>
      <c r="B39" s="52"/>
      <c r="C39" s="48"/>
      <c r="D39" s="48"/>
      <c r="E39" s="48"/>
      <c r="F39" s="48"/>
      <c r="G39" s="48"/>
      <c r="H39" s="49"/>
      <c r="I39" s="49"/>
      <c r="J39" s="49"/>
      <c r="K39" s="49"/>
      <c r="L39" s="49"/>
      <c r="M39" s="2"/>
      <c r="N39" s="2"/>
      <c r="O39" s="2"/>
      <c r="P39" s="2"/>
      <c r="Q39" s="2"/>
      <c r="R39" s="2"/>
    </row>
    <row r="40">
      <c r="A40" s="46" t="str">
        <f t="shared" si="1"/>
        <v/>
      </c>
      <c r="B40" s="51"/>
      <c r="C40" s="48"/>
      <c r="D40" s="48"/>
      <c r="E40" s="48"/>
      <c r="F40" s="48"/>
      <c r="G40" s="48"/>
      <c r="H40" s="49"/>
      <c r="I40" s="49"/>
      <c r="J40" s="49"/>
      <c r="K40" s="49"/>
      <c r="L40" s="49"/>
      <c r="M40" s="2"/>
      <c r="N40" s="2"/>
      <c r="O40" s="2"/>
      <c r="P40" s="2"/>
      <c r="Q40" s="2"/>
      <c r="R40" s="2"/>
    </row>
    <row r="41">
      <c r="A41" s="46" t="str">
        <f t="shared" si="1"/>
        <v/>
      </c>
      <c r="B41" s="52"/>
      <c r="C41" s="48"/>
      <c r="D41" s="48"/>
      <c r="E41" s="48"/>
      <c r="F41" s="48"/>
      <c r="G41" s="48"/>
      <c r="H41" s="49"/>
      <c r="I41" s="49"/>
      <c r="J41" s="49"/>
      <c r="K41" s="49"/>
      <c r="L41" s="49"/>
      <c r="M41" s="2"/>
      <c r="N41" s="2"/>
      <c r="O41" s="2"/>
      <c r="P41" s="2"/>
      <c r="Q41" s="2"/>
      <c r="R41" s="2"/>
    </row>
    <row r="42">
      <c r="A42" s="46" t="str">
        <f t="shared" si="1"/>
        <v/>
      </c>
      <c r="B42" s="51"/>
      <c r="C42" s="48"/>
      <c r="D42" s="48"/>
      <c r="E42" s="48"/>
      <c r="F42" s="48"/>
      <c r="G42" s="48"/>
      <c r="H42" s="49"/>
      <c r="I42" s="49"/>
      <c r="J42" s="49"/>
      <c r="K42" s="49"/>
      <c r="L42" s="49"/>
      <c r="M42" s="2"/>
      <c r="N42" s="2"/>
      <c r="O42" s="2"/>
      <c r="P42" s="2"/>
      <c r="Q42" s="2"/>
      <c r="R42" s="2"/>
    </row>
    <row r="43">
      <c r="A43" s="46" t="str">
        <f t="shared" si="1"/>
        <v/>
      </c>
      <c r="B43" s="52"/>
      <c r="C43" s="48"/>
      <c r="D43" s="48"/>
      <c r="E43" s="48"/>
      <c r="F43" s="48"/>
      <c r="G43" s="48"/>
      <c r="H43" s="49"/>
      <c r="I43" s="49"/>
      <c r="J43" s="49"/>
      <c r="K43" s="49"/>
      <c r="L43" s="49"/>
      <c r="M43" s="2"/>
      <c r="N43" s="2"/>
      <c r="O43" s="2"/>
      <c r="P43" s="2"/>
      <c r="Q43" s="2"/>
      <c r="R43" s="2"/>
    </row>
    <row r="44">
      <c r="A44" s="46" t="str">
        <f t="shared" si="1"/>
        <v/>
      </c>
      <c r="B44" s="51"/>
      <c r="C44" s="48"/>
      <c r="D44" s="48"/>
      <c r="E44" s="48"/>
      <c r="F44" s="48"/>
      <c r="G44" s="48"/>
      <c r="H44" s="49"/>
      <c r="I44" s="49"/>
      <c r="J44" s="49"/>
      <c r="K44" s="49"/>
      <c r="L44" s="49"/>
      <c r="M44" s="2"/>
      <c r="N44" s="2"/>
      <c r="O44" s="2"/>
      <c r="P44" s="2"/>
      <c r="Q44" s="2"/>
      <c r="R44" s="2"/>
    </row>
    <row r="45">
      <c r="A45" s="46" t="str">
        <f t="shared" si="1"/>
        <v/>
      </c>
      <c r="B45" s="52"/>
      <c r="C45" s="48"/>
      <c r="D45" s="48"/>
      <c r="E45" s="48"/>
      <c r="F45" s="48"/>
      <c r="G45" s="48"/>
      <c r="H45" s="49"/>
      <c r="I45" s="49"/>
      <c r="J45" s="49"/>
      <c r="K45" s="49"/>
      <c r="L45" s="49"/>
      <c r="M45" s="2"/>
      <c r="N45" s="2"/>
      <c r="O45" s="2"/>
      <c r="P45" s="2"/>
      <c r="Q45" s="2"/>
      <c r="R45" s="2"/>
    </row>
    <row r="46">
      <c r="A46" s="46" t="str">
        <f t="shared" si="1"/>
        <v/>
      </c>
      <c r="B46" s="51"/>
      <c r="C46" s="48"/>
      <c r="D46" s="48"/>
      <c r="E46" s="48"/>
      <c r="F46" s="48"/>
      <c r="G46" s="48"/>
      <c r="H46" s="49"/>
      <c r="I46" s="49"/>
      <c r="J46" s="49"/>
      <c r="K46" s="49"/>
      <c r="L46" s="49"/>
      <c r="M46" s="2"/>
      <c r="N46" s="2"/>
      <c r="O46" s="2"/>
      <c r="P46" s="2"/>
      <c r="Q46" s="2"/>
      <c r="R46" s="2"/>
    </row>
    <row r="47">
      <c r="A47" s="46" t="str">
        <f t="shared" si="1"/>
        <v/>
      </c>
      <c r="B47" s="52"/>
      <c r="C47" s="48"/>
      <c r="D47" s="48"/>
      <c r="E47" s="48"/>
      <c r="F47" s="48"/>
      <c r="G47" s="48"/>
      <c r="H47" s="49"/>
      <c r="I47" s="49"/>
      <c r="J47" s="49"/>
      <c r="K47" s="49"/>
      <c r="L47" s="49"/>
      <c r="M47" s="2"/>
      <c r="N47" s="2"/>
      <c r="O47" s="2"/>
      <c r="P47" s="2"/>
      <c r="Q47" s="2"/>
      <c r="R47" s="2"/>
    </row>
    <row r="48">
      <c r="A48" s="46" t="str">
        <f t="shared" si="1"/>
        <v/>
      </c>
      <c r="B48" s="51"/>
      <c r="C48" s="53"/>
      <c r="D48" s="48"/>
      <c r="E48" s="48"/>
      <c r="F48" s="48"/>
      <c r="G48" s="48"/>
      <c r="H48" s="49"/>
      <c r="I48" s="49"/>
      <c r="J48" s="49"/>
      <c r="K48" s="49"/>
      <c r="L48" s="49"/>
      <c r="M48" s="2"/>
      <c r="N48" s="2"/>
      <c r="O48" s="2"/>
      <c r="P48" s="2"/>
      <c r="Q48" s="2"/>
      <c r="R48" s="2"/>
    </row>
    <row r="49">
      <c r="A49" s="46" t="str">
        <f t="shared" si="1"/>
        <v/>
      </c>
      <c r="B49" s="52"/>
      <c r="C49" s="48"/>
      <c r="D49" s="48"/>
      <c r="E49" s="48"/>
      <c r="F49" s="48"/>
      <c r="G49" s="48"/>
      <c r="H49" s="49"/>
      <c r="I49" s="49"/>
      <c r="J49" s="49"/>
      <c r="K49" s="49"/>
      <c r="L49" s="49"/>
      <c r="M49" s="2"/>
      <c r="N49" s="2"/>
      <c r="O49" s="2"/>
      <c r="P49" s="2"/>
      <c r="Q49" s="2"/>
      <c r="R49" s="2"/>
    </row>
    <row r="50">
      <c r="A50" s="46" t="str">
        <f t="shared" si="1"/>
        <v/>
      </c>
      <c r="B50" s="51"/>
      <c r="C50" s="48"/>
      <c r="D50" s="48"/>
      <c r="E50" s="48"/>
      <c r="F50" s="48"/>
      <c r="G50" s="48"/>
      <c r="H50" s="49"/>
      <c r="I50" s="49"/>
      <c r="J50" s="49"/>
      <c r="K50" s="49"/>
      <c r="L50" s="49"/>
      <c r="M50" s="2"/>
      <c r="N50" s="2"/>
      <c r="O50" s="2"/>
      <c r="P50" s="2"/>
      <c r="Q50" s="2"/>
      <c r="R50" s="2"/>
    </row>
    <row r="51">
      <c r="A51" s="46" t="str">
        <f t="shared" si="1"/>
        <v/>
      </c>
      <c r="B51" s="52"/>
      <c r="C51" s="48"/>
      <c r="D51" s="48"/>
      <c r="E51" s="48"/>
      <c r="F51" s="48"/>
      <c r="G51" s="48"/>
      <c r="H51" s="49"/>
      <c r="I51" s="49"/>
      <c r="J51" s="49"/>
      <c r="K51" s="49"/>
      <c r="L51" s="49"/>
      <c r="M51" s="2"/>
      <c r="N51" s="2"/>
      <c r="O51" s="2"/>
      <c r="P51" s="2"/>
      <c r="Q51" s="2"/>
      <c r="R51" s="2"/>
    </row>
    <row r="52">
      <c r="A52" s="46" t="str">
        <f t="shared" si="1"/>
        <v/>
      </c>
      <c r="B52" s="51"/>
      <c r="C52" s="49"/>
      <c r="D52" s="48"/>
      <c r="E52" s="48"/>
      <c r="F52" s="49"/>
      <c r="G52" s="48"/>
      <c r="H52" s="49"/>
      <c r="I52" s="49"/>
      <c r="J52" s="49"/>
      <c r="K52" s="49"/>
      <c r="L52" s="49"/>
      <c r="M52" s="2"/>
      <c r="N52" s="2"/>
      <c r="O52" s="2"/>
      <c r="P52" s="2"/>
      <c r="Q52" s="2"/>
      <c r="R52" s="2"/>
    </row>
    <row r="53">
      <c r="A53" s="46" t="str">
        <f t="shared" si="1"/>
        <v/>
      </c>
      <c r="B53" s="52"/>
      <c r="C53" s="53"/>
      <c r="D53" s="48"/>
      <c r="E53" s="48"/>
      <c r="F53" s="48"/>
      <c r="G53" s="48"/>
      <c r="H53" s="49"/>
      <c r="I53" s="49"/>
      <c r="J53" s="49"/>
      <c r="K53" s="49"/>
      <c r="L53" s="49"/>
      <c r="M53" s="2"/>
      <c r="N53" s="2"/>
      <c r="O53" s="2"/>
      <c r="P53" s="2"/>
      <c r="Q53" s="2"/>
      <c r="R53" s="2"/>
    </row>
    <row r="54">
      <c r="A54" s="46" t="str">
        <f t="shared" si="1"/>
        <v/>
      </c>
      <c r="B54" s="51"/>
      <c r="C54" s="49"/>
      <c r="D54" s="48"/>
      <c r="E54" s="48"/>
      <c r="F54" s="49"/>
      <c r="G54" s="48"/>
      <c r="H54" s="49"/>
      <c r="I54" s="49"/>
      <c r="J54" s="49"/>
      <c r="K54" s="49"/>
      <c r="L54" s="49"/>
      <c r="M54" s="2"/>
      <c r="N54" s="2"/>
      <c r="O54" s="2"/>
      <c r="P54" s="2"/>
      <c r="Q54" s="2"/>
      <c r="R54" s="2"/>
    </row>
    <row r="55">
      <c r="A55" s="46" t="str">
        <f t="shared" si="1"/>
        <v/>
      </c>
      <c r="B55" s="52"/>
      <c r="C55" s="48"/>
      <c r="D55" s="48"/>
      <c r="E55" s="48"/>
      <c r="F55" s="48"/>
      <c r="G55" s="48"/>
      <c r="H55" s="49"/>
      <c r="I55" s="49"/>
      <c r="J55" s="49"/>
      <c r="K55" s="49"/>
      <c r="L55" s="49"/>
      <c r="M55" s="2"/>
      <c r="N55" s="2"/>
      <c r="O55" s="2"/>
      <c r="P55" s="2"/>
      <c r="Q55" s="2"/>
      <c r="R55" s="2"/>
    </row>
    <row r="56">
      <c r="A56" s="46" t="str">
        <f t="shared" si="1"/>
        <v/>
      </c>
      <c r="B56" s="51"/>
      <c r="C56" s="48"/>
      <c r="D56" s="48"/>
      <c r="E56" s="48"/>
      <c r="F56" s="48"/>
      <c r="G56" s="48"/>
      <c r="H56" s="49"/>
      <c r="I56" s="49"/>
      <c r="J56" s="49"/>
      <c r="K56" s="49"/>
      <c r="L56" s="49"/>
      <c r="M56" s="2"/>
      <c r="N56" s="2"/>
      <c r="O56" s="2"/>
      <c r="P56" s="2"/>
      <c r="Q56" s="2"/>
      <c r="R56" s="2"/>
    </row>
    <row r="57">
      <c r="A57" s="46" t="str">
        <f t="shared" si="1"/>
        <v/>
      </c>
      <c r="B57" s="52"/>
      <c r="C57" s="48"/>
      <c r="D57" s="48"/>
      <c r="E57" s="48"/>
      <c r="F57" s="48"/>
      <c r="G57" s="48"/>
      <c r="H57" s="49"/>
      <c r="I57" s="49"/>
      <c r="J57" s="49"/>
      <c r="K57" s="49"/>
      <c r="L57" s="49"/>
      <c r="M57" s="2"/>
      <c r="N57" s="2"/>
      <c r="O57" s="2"/>
      <c r="P57" s="2"/>
      <c r="Q57" s="2"/>
      <c r="R57" s="2"/>
    </row>
    <row r="58">
      <c r="A58" s="46" t="str">
        <f t="shared" si="1"/>
        <v/>
      </c>
      <c r="B58" s="51"/>
      <c r="C58" s="48"/>
      <c r="D58" s="48"/>
      <c r="E58" s="48"/>
      <c r="F58" s="48"/>
      <c r="G58" s="48"/>
      <c r="H58" s="49"/>
      <c r="I58" s="49"/>
      <c r="J58" s="49"/>
      <c r="K58" s="49"/>
      <c r="L58" s="49"/>
      <c r="M58" s="2"/>
      <c r="N58" s="2"/>
      <c r="O58" s="2"/>
      <c r="P58" s="2"/>
      <c r="Q58" s="2"/>
      <c r="R58" s="2"/>
    </row>
    <row r="59">
      <c r="A59" s="46" t="str">
        <f t="shared" si="1"/>
        <v/>
      </c>
      <c r="B59" s="52"/>
      <c r="C59" s="53"/>
      <c r="D59" s="48"/>
      <c r="E59" s="48"/>
      <c r="F59" s="48"/>
      <c r="G59" s="48"/>
      <c r="H59" s="49"/>
      <c r="I59" s="49"/>
      <c r="J59" s="49"/>
      <c r="K59" s="49"/>
      <c r="L59" s="49"/>
      <c r="M59" s="2"/>
      <c r="N59" s="2"/>
      <c r="O59" s="2"/>
      <c r="P59" s="2"/>
      <c r="Q59" s="2"/>
      <c r="R59" s="2"/>
    </row>
    <row r="60">
      <c r="A60" s="46" t="str">
        <f t="shared" si="1"/>
        <v/>
      </c>
      <c r="B60" s="51"/>
      <c r="C60" s="48"/>
      <c r="D60" s="48"/>
      <c r="E60" s="48"/>
      <c r="F60" s="48"/>
      <c r="G60" s="48"/>
      <c r="H60" s="49"/>
      <c r="I60" s="49"/>
      <c r="J60" s="49"/>
      <c r="K60" s="49"/>
      <c r="L60" s="49"/>
      <c r="M60" s="2"/>
      <c r="N60" s="2"/>
      <c r="O60" s="2"/>
      <c r="P60" s="2"/>
      <c r="Q60" s="2"/>
      <c r="R60" s="2"/>
    </row>
    <row r="61">
      <c r="A61" s="46" t="str">
        <f t="shared" si="1"/>
        <v/>
      </c>
      <c r="B61" s="52"/>
      <c r="C61" s="49"/>
      <c r="D61" s="48"/>
      <c r="E61" s="48"/>
      <c r="F61" s="49"/>
      <c r="G61" s="48"/>
      <c r="H61" s="49"/>
      <c r="I61" s="49"/>
      <c r="J61" s="49"/>
      <c r="K61" s="49"/>
      <c r="L61" s="49"/>
      <c r="M61" s="2"/>
      <c r="N61" s="2"/>
      <c r="O61" s="2"/>
      <c r="P61" s="2"/>
      <c r="Q61" s="2"/>
      <c r="R61" s="2"/>
    </row>
    <row r="62">
      <c r="A62" s="46" t="str">
        <f t="shared" si="1"/>
        <v/>
      </c>
      <c r="B62" s="51"/>
      <c r="C62" s="53"/>
      <c r="D62" s="48"/>
      <c r="E62" s="48"/>
      <c r="F62" s="48"/>
      <c r="G62" s="48"/>
      <c r="H62" s="49"/>
      <c r="I62" s="49"/>
      <c r="J62" s="49"/>
      <c r="K62" s="49"/>
      <c r="L62" s="49"/>
      <c r="M62" s="2"/>
      <c r="N62" s="2"/>
      <c r="O62" s="2"/>
      <c r="P62" s="2"/>
      <c r="Q62" s="2"/>
      <c r="R62" s="2"/>
    </row>
    <row r="63">
      <c r="A63" s="46" t="str">
        <f t="shared" si="1"/>
        <v/>
      </c>
      <c r="B63" s="52"/>
      <c r="C63" s="57"/>
      <c r="D63" s="48"/>
      <c r="E63" s="48"/>
      <c r="F63" s="49"/>
      <c r="G63" s="48"/>
      <c r="H63" s="49"/>
      <c r="I63" s="49"/>
      <c r="J63" s="49"/>
      <c r="K63" s="49"/>
      <c r="L63" s="49"/>
      <c r="M63" s="2"/>
      <c r="N63" s="2"/>
      <c r="O63" s="2"/>
      <c r="P63" s="2"/>
      <c r="Q63" s="2"/>
      <c r="R63" s="2"/>
    </row>
    <row r="64">
      <c r="A64" s="46" t="str">
        <f t="shared" si="1"/>
        <v/>
      </c>
      <c r="B64" s="51"/>
      <c r="C64" s="49"/>
      <c r="D64" s="48"/>
      <c r="E64" s="48"/>
      <c r="F64" s="49"/>
      <c r="G64" s="48"/>
      <c r="H64" s="49"/>
      <c r="I64" s="49"/>
      <c r="J64" s="49"/>
      <c r="K64" s="49"/>
      <c r="L64" s="49"/>
      <c r="M64" s="2"/>
      <c r="N64" s="2"/>
      <c r="O64" s="2"/>
      <c r="P64" s="2"/>
      <c r="Q64" s="2"/>
      <c r="R64" s="2"/>
    </row>
    <row r="65">
      <c r="A65" s="46" t="str">
        <f t="shared" si="1"/>
        <v/>
      </c>
      <c r="B65" s="52"/>
      <c r="C65" s="48"/>
      <c r="D65" s="48"/>
      <c r="E65" s="48"/>
      <c r="F65" s="48"/>
      <c r="G65" s="48"/>
      <c r="H65" s="49"/>
      <c r="I65" s="49"/>
      <c r="J65" s="49"/>
      <c r="K65" s="49"/>
      <c r="L65" s="49"/>
      <c r="M65" s="2"/>
      <c r="N65" s="2"/>
      <c r="O65" s="2"/>
      <c r="P65" s="2"/>
      <c r="Q65" s="2"/>
      <c r="R65" s="2"/>
    </row>
    <row r="66">
      <c r="A66" s="46" t="str">
        <f t="shared" si="1"/>
        <v/>
      </c>
      <c r="B66" s="51"/>
      <c r="C66" s="48"/>
      <c r="D66" s="48"/>
      <c r="E66" s="48"/>
      <c r="F66" s="48"/>
      <c r="G66" s="48"/>
      <c r="H66" s="49"/>
      <c r="I66" s="49"/>
      <c r="J66" s="49"/>
      <c r="K66" s="49"/>
      <c r="L66" s="49"/>
      <c r="M66" s="2"/>
      <c r="N66" s="2"/>
      <c r="O66" s="2"/>
      <c r="P66" s="2"/>
      <c r="Q66" s="2"/>
      <c r="R66" s="2"/>
    </row>
    <row r="67">
      <c r="A67" s="46" t="str">
        <f t="shared" si="1"/>
        <v/>
      </c>
      <c r="B67" s="52"/>
      <c r="C67" s="48"/>
      <c r="D67" s="48"/>
      <c r="E67" s="48"/>
      <c r="F67" s="48"/>
      <c r="G67" s="48"/>
      <c r="H67" s="49"/>
      <c r="I67" s="49"/>
      <c r="J67" s="49"/>
      <c r="K67" s="49"/>
      <c r="L67" s="49"/>
      <c r="M67" s="2"/>
      <c r="N67" s="2"/>
      <c r="O67" s="2"/>
      <c r="P67" s="2"/>
      <c r="Q67" s="2"/>
      <c r="R67" s="2"/>
    </row>
    <row r="68">
      <c r="A68" s="46" t="str">
        <f t="shared" si="1"/>
        <v/>
      </c>
      <c r="B68" s="51"/>
      <c r="C68" s="48"/>
      <c r="D68" s="48"/>
      <c r="E68" s="48"/>
      <c r="F68" s="48"/>
      <c r="G68" s="48"/>
      <c r="H68" s="49"/>
      <c r="I68" s="49"/>
      <c r="J68" s="49"/>
      <c r="K68" s="49"/>
      <c r="L68" s="49"/>
      <c r="M68" s="2"/>
      <c r="N68" s="2"/>
      <c r="O68" s="2"/>
      <c r="P68" s="2"/>
      <c r="Q68" s="2"/>
      <c r="R68" s="2"/>
    </row>
    <row r="69">
      <c r="A69" s="46" t="str">
        <f t="shared" si="1"/>
        <v/>
      </c>
      <c r="B69" s="52"/>
      <c r="C69" s="49"/>
      <c r="D69" s="48"/>
      <c r="E69" s="48"/>
      <c r="F69" s="49"/>
      <c r="G69" s="48"/>
      <c r="H69" s="49"/>
      <c r="I69" s="49"/>
      <c r="J69" s="49"/>
      <c r="K69" s="49"/>
      <c r="L69" s="49"/>
      <c r="M69" s="2"/>
      <c r="N69" s="2"/>
      <c r="O69" s="2"/>
      <c r="P69" s="2"/>
      <c r="Q69" s="2"/>
      <c r="R69" s="2"/>
    </row>
    <row r="70">
      <c r="A70" s="46" t="str">
        <f t="shared" si="1"/>
        <v/>
      </c>
      <c r="B70" s="51"/>
      <c r="C70" s="48"/>
      <c r="D70" s="48"/>
      <c r="E70" s="48"/>
      <c r="F70" s="48"/>
      <c r="G70" s="48"/>
      <c r="H70" s="49"/>
      <c r="I70" s="49"/>
      <c r="J70" s="49"/>
      <c r="K70" s="49"/>
      <c r="L70" s="49"/>
      <c r="M70" s="2"/>
      <c r="N70" s="2"/>
      <c r="O70" s="2"/>
      <c r="P70" s="2"/>
      <c r="Q70" s="2"/>
      <c r="R70" s="2"/>
    </row>
    <row r="71">
      <c r="A71" s="46" t="str">
        <f t="shared" si="1"/>
        <v/>
      </c>
      <c r="B71" s="58"/>
      <c r="C71" s="57"/>
      <c r="D71" s="48"/>
      <c r="E71" s="48"/>
      <c r="F71" s="49"/>
      <c r="G71" s="48"/>
      <c r="H71" s="49"/>
      <c r="I71" s="49"/>
      <c r="J71" s="49"/>
      <c r="K71" s="49"/>
      <c r="L71" s="49"/>
      <c r="M71" s="2"/>
      <c r="N71" s="2"/>
      <c r="O71" s="2"/>
      <c r="P71" s="2"/>
      <c r="Q71" s="2"/>
      <c r="R71" s="2"/>
    </row>
    <row r="72">
      <c r="A72" s="46" t="str">
        <f t="shared" si="1"/>
        <v/>
      </c>
      <c r="B72" s="59"/>
      <c r="C72" s="49"/>
      <c r="D72" s="48"/>
      <c r="E72" s="48"/>
      <c r="F72" s="49"/>
      <c r="G72" s="48"/>
      <c r="H72" s="49"/>
      <c r="I72" s="49"/>
      <c r="J72" s="49"/>
      <c r="K72" s="49"/>
      <c r="L72" s="49"/>
      <c r="M72" s="2"/>
      <c r="N72" s="2"/>
      <c r="O72" s="2"/>
      <c r="P72" s="2"/>
      <c r="Q72" s="2"/>
      <c r="R72" s="2"/>
    </row>
    <row r="73">
      <c r="A73" s="46" t="str">
        <f t="shared" si="1"/>
        <v/>
      </c>
      <c r="B73" s="58"/>
      <c r="C73" s="49"/>
      <c r="D73" s="48"/>
      <c r="E73" s="48"/>
      <c r="F73" s="49"/>
      <c r="G73" s="48"/>
      <c r="H73" s="49"/>
      <c r="I73" s="49"/>
      <c r="J73" s="49"/>
      <c r="K73" s="49"/>
      <c r="L73" s="49"/>
      <c r="M73" s="2"/>
      <c r="N73" s="2"/>
      <c r="O73" s="2"/>
      <c r="P73" s="2"/>
      <c r="Q73" s="2"/>
      <c r="R73" s="2"/>
    </row>
    <row r="74">
      <c r="A74" s="46" t="str">
        <f t="shared" si="1"/>
        <v/>
      </c>
      <c r="B74" s="59"/>
      <c r="C74" s="49"/>
      <c r="D74" s="48"/>
      <c r="E74" s="48"/>
      <c r="F74" s="49"/>
      <c r="G74" s="48"/>
      <c r="H74" s="49"/>
      <c r="I74" s="49"/>
      <c r="J74" s="49"/>
      <c r="K74" s="49"/>
      <c r="L74" s="49"/>
      <c r="M74" s="2"/>
      <c r="N74" s="2"/>
      <c r="O74" s="2"/>
      <c r="P74" s="2"/>
      <c r="Q74" s="2"/>
      <c r="R74" s="2"/>
    </row>
    <row r="75">
      <c r="A75" s="46" t="str">
        <f t="shared" si="1"/>
        <v/>
      </c>
      <c r="B75" s="58"/>
      <c r="C75" s="48"/>
      <c r="D75" s="48"/>
      <c r="E75" s="48"/>
      <c r="F75" s="49"/>
      <c r="G75" s="48"/>
      <c r="H75" s="49"/>
      <c r="I75" s="49"/>
      <c r="J75" s="49"/>
      <c r="K75" s="49"/>
      <c r="L75" s="49"/>
      <c r="M75" s="2"/>
      <c r="N75" s="2"/>
      <c r="O75" s="2"/>
      <c r="P75" s="2"/>
      <c r="Q75" s="2"/>
      <c r="R75" s="2"/>
    </row>
    <row r="76">
      <c r="A76" s="46" t="str">
        <f t="shared" si="1"/>
        <v/>
      </c>
      <c r="B76" s="59"/>
      <c r="C76" s="48"/>
      <c r="D76" s="48"/>
      <c r="E76" s="48"/>
      <c r="F76" s="49"/>
      <c r="G76" s="48"/>
      <c r="H76" s="49"/>
      <c r="I76" s="49"/>
      <c r="J76" s="49"/>
      <c r="K76" s="49"/>
      <c r="L76" s="49"/>
      <c r="M76" s="2"/>
      <c r="N76" s="2"/>
      <c r="O76" s="2"/>
      <c r="P76" s="2"/>
      <c r="Q76" s="2"/>
      <c r="R76" s="2"/>
    </row>
    <row r="77">
      <c r="A77" s="46" t="str">
        <f t="shared" si="1"/>
        <v/>
      </c>
      <c r="B77" s="52"/>
      <c r="C77" s="48"/>
      <c r="D77" s="48"/>
      <c r="E77" s="48"/>
      <c r="F77" s="48"/>
      <c r="G77" s="48"/>
      <c r="H77" s="49"/>
      <c r="I77" s="49"/>
      <c r="J77" s="49"/>
      <c r="K77" s="49"/>
      <c r="L77" s="49"/>
      <c r="M77" s="2"/>
      <c r="N77" s="2"/>
      <c r="O77" s="2"/>
      <c r="P77" s="2"/>
      <c r="Q77" s="2"/>
      <c r="R77" s="2"/>
    </row>
    <row r="78">
      <c r="A78" s="46" t="str">
        <f t="shared" si="1"/>
        <v/>
      </c>
      <c r="B78" s="51"/>
      <c r="C78" s="48"/>
      <c r="D78" s="48"/>
      <c r="E78" s="48"/>
      <c r="F78" s="49"/>
      <c r="G78" s="48"/>
      <c r="H78" s="49"/>
      <c r="I78" s="49"/>
      <c r="J78" s="49"/>
      <c r="K78" s="49"/>
      <c r="L78" s="49"/>
      <c r="M78" s="2"/>
      <c r="N78" s="2"/>
      <c r="O78" s="2"/>
      <c r="P78" s="2"/>
      <c r="Q78" s="2"/>
      <c r="R78" s="2"/>
    </row>
    <row r="79">
      <c r="A79" s="46" t="str">
        <f t="shared" si="1"/>
        <v/>
      </c>
      <c r="B79" s="52"/>
      <c r="C79" s="48"/>
      <c r="D79" s="48"/>
      <c r="E79" s="48"/>
      <c r="F79" s="49"/>
      <c r="G79" s="48"/>
      <c r="H79" s="49"/>
      <c r="I79" s="49"/>
      <c r="J79" s="49"/>
      <c r="K79" s="49"/>
      <c r="L79" s="49"/>
      <c r="M79" s="2"/>
      <c r="N79" s="2"/>
      <c r="O79" s="2"/>
      <c r="P79" s="2"/>
      <c r="Q79" s="2"/>
      <c r="R79" s="2"/>
    </row>
    <row r="80">
      <c r="A80" s="46" t="str">
        <f t="shared" si="1"/>
        <v/>
      </c>
      <c r="B80" s="51"/>
      <c r="C80" s="48"/>
      <c r="D80" s="48"/>
      <c r="E80" s="48"/>
      <c r="F80" s="48"/>
      <c r="G80" s="48"/>
      <c r="H80" s="49"/>
      <c r="I80" s="49"/>
      <c r="J80" s="49"/>
      <c r="K80" s="49"/>
      <c r="L80" s="49"/>
      <c r="M80" s="2"/>
      <c r="N80" s="2"/>
      <c r="O80" s="2"/>
      <c r="P80" s="2"/>
      <c r="Q80" s="2"/>
      <c r="R80" s="2"/>
    </row>
    <row r="81">
      <c r="A81" s="46" t="str">
        <f t="shared" si="1"/>
        <v/>
      </c>
      <c r="B81" s="52"/>
      <c r="C81" s="48"/>
      <c r="D81" s="48"/>
      <c r="E81" s="48"/>
      <c r="F81" s="48"/>
      <c r="G81" s="48"/>
      <c r="H81" s="49"/>
      <c r="I81" s="49"/>
      <c r="J81" s="49"/>
      <c r="K81" s="49"/>
      <c r="L81" s="49"/>
      <c r="M81" s="2"/>
      <c r="N81" s="2"/>
      <c r="O81" s="2"/>
      <c r="P81" s="2"/>
      <c r="Q81" s="2"/>
      <c r="R81" s="2"/>
    </row>
    <row r="82">
      <c r="A82" s="46" t="str">
        <f t="shared" si="1"/>
        <v/>
      </c>
      <c r="B82" s="51"/>
      <c r="C82" s="48"/>
      <c r="D82" s="48"/>
      <c r="E82" s="48"/>
      <c r="F82" s="49"/>
      <c r="G82" s="48"/>
      <c r="H82" s="49"/>
      <c r="I82" s="49"/>
      <c r="J82" s="49"/>
      <c r="K82" s="49"/>
      <c r="L82" s="49"/>
      <c r="M82" s="2"/>
      <c r="N82" s="2"/>
      <c r="O82" s="2"/>
      <c r="P82" s="2"/>
      <c r="Q82" s="2"/>
      <c r="R82" s="2"/>
    </row>
    <row r="83">
      <c r="A83" s="46" t="str">
        <f t="shared" si="1"/>
        <v/>
      </c>
      <c r="B83" s="52"/>
      <c r="C83" s="48"/>
      <c r="D83" s="48"/>
      <c r="E83" s="48"/>
      <c r="F83" s="49"/>
      <c r="G83" s="48"/>
      <c r="H83" s="49"/>
      <c r="I83" s="49"/>
      <c r="J83" s="49"/>
      <c r="K83" s="49"/>
      <c r="L83" s="49"/>
      <c r="M83" s="2"/>
      <c r="N83" s="2"/>
      <c r="O83" s="2"/>
      <c r="P83" s="2"/>
      <c r="Q83" s="2"/>
      <c r="R83" s="2"/>
    </row>
    <row r="84">
      <c r="A84" s="46" t="str">
        <f t="shared" si="1"/>
        <v/>
      </c>
      <c r="B84" s="51"/>
      <c r="C84" s="48"/>
      <c r="D84" s="48"/>
      <c r="E84" s="48"/>
      <c r="F84" s="49"/>
      <c r="G84" s="48"/>
      <c r="H84" s="49"/>
      <c r="I84" s="49"/>
      <c r="J84" s="49"/>
      <c r="K84" s="49"/>
      <c r="L84" s="49"/>
      <c r="M84" s="2"/>
      <c r="N84" s="2"/>
      <c r="O84" s="2"/>
      <c r="P84" s="2"/>
      <c r="Q84" s="2"/>
      <c r="R84" s="2"/>
    </row>
    <row r="85">
      <c r="A85" s="46" t="str">
        <f t="shared" si="1"/>
        <v/>
      </c>
      <c r="B85" s="52"/>
      <c r="C85" s="48"/>
      <c r="D85" s="48"/>
      <c r="E85" s="48"/>
      <c r="F85" s="49"/>
      <c r="G85" s="48"/>
      <c r="H85" s="49"/>
      <c r="I85" s="49"/>
      <c r="J85" s="49"/>
      <c r="K85" s="49"/>
      <c r="L85" s="49"/>
      <c r="M85" s="2"/>
      <c r="N85" s="2"/>
      <c r="O85" s="2"/>
      <c r="P85" s="2"/>
      <c r="Q85" s="2"/>
      <c r="R85" s="2"/>
    </row>
    <row r="86">
      <c r="A86" s="46" t="str">
        <f t="shared" si="1"/>
        <v/>
      </c>
      <c r="B86" s="51"/>
      <c r="C86" s="48"/>
      <c r="D86" s="48"/>
      <c r="E86" s="48"/>
      <c r="F86" s="49"/>
      <c r="G86" s="48"/>
      <c r="H86" s="49"/>
      <c r="I86" s="49"/>
      <c r="J86" s="49"/>
      <c r="K86" s="49"/>
      <c r="L86" s="49"/>
      <c r="M86" s="2"/>
      <c r="N86" s="2"/>
      <c r="O86" s="2"/>
      <c r="P86" s="2"/>
      <c r="Q86" s="2"/>
      <c r="R86" s="2"/>
    </row>
    <row r="87">
      <c r="A87" s="46" t="str">
        <f t="shared" si="1"/>
        <v/>
      </c>
      <c r="B87" s="52"/>
      <c r="C87" s="48"/>
      <c r="D87" s="48"/>
      <c r="E87" s="48"/>
      <c r="F87" s="49"/>
      <c r="G87" s="48"/>
      <c r="H87" s="49"/>
      <c r="I87" s="49"/>
      <c r="J87" s="49"/>
      <c r="K87" s="49"/>
      <c r="L87" s="49"/>
      <c r="M87" s="2"/>
      <c r="N87" s="2"/>
      <c r="O87" s="2"/>
      <c r="P87" s="2"/>
      <c r="Q87" s="2"/>
      <c r="R87" s="2"/>
    </row>
    <row r="88">
      <c r="A88" s="46" t="str">
        <f t="shared" si="1"/>
        <v/>
      </c>
      <c r="B88" s="51"/>
      <c r="C88" s="48"/>
      <c r="D88" s="48"/>
      <c r="E88" s="48"/>
      <c r="F88" s="49"/>
      <c r="G88" s="48"/>
      <c r="H88" s="49"/>
      <c r="I88" s="49"/>
      <c r="J88" s="49"/>
      <c r="K88" s="49"/>
      <c r="L88" s="49"/>
      <c r="M88" s="2"/>
      <c r="N88" s="2"/>
      <c r="O88" s="2"/>
      <c r="P88" s="2"/>
      <c r="Q88" s="2"/>
      <c r="R88" s="2"/>
    </row>
    <row r="89">
      <c r="A89" s="46" t="str">
        <f t="shared" si="1"/>
        <v/>
      </c>
      <c r="B89" s="48"/>
      <c r="C89" s="48"/>
      <c r="D89" s="48"/>
      <c r="E89" s="48"/>
      <c r="F89" s="49"/>
      <c r="G89" s="48"/>
      <c r="H89" s="49"/>
      <c r="I89" s="49"/>
      <c r="J89" s="49"/>
      <c r="K89" s="49"/>
      <c r="L89" s="49"/>
      <c r="M89" s="2"/>
      <c r="N89" s="2"/>
      <c r="O89" s="2"/>
      <c r="P89" s="2"/>
      <c r="Q89" s="2"/>
      <c r="R89" s="2"/>
    </row>
    <row r="90">
      <c r="A90" s="46" t="str">
        <f t="shared" si="1"/>
        <v/>
      </c>
      <c r="B90" s="48"/>
      <c r="C90" s="48"/>
      <c r="D90" s="48"/>
      <c r="E90" s="48"/>
      <c r="F90" s="49"/>
      <c r="G90" s="48"/>
      <c r="H90" s="49"/>
      <c r="I90" s="49"/>
      <c r="J90" s="49"/>
      <c r="K90" s="49"/>
      <c r="L90" s="49"/>
      <c r="M90" s="2"/>
      <c r="N90" s="2"/>
      <c r="O90" s="2"/>
      <c r="P90" s="2"/>
      <c r="Q90" s="2"/>
      <c r="R90" s="2"/>
    </row>
    <row r="91">
      <c r="A91" s="2"/>
      <c r="B91" s="2"/>
      <c r="C91" s="2"/>
      <c r="D91" s="2"/>
      <c r="E91" s="2"/>
      <c r="F91" s="2"/>
      <c r="G91" s="2"/>
      <c r="H91" s="2"/>
      <c r="I91" s="2"/>
      <c r="J91" s="2"/>
      <c r="K91" s="2"/>
      <c r="L91" s="2"/>
      <c r="M91" s="2"/>
      <c r="N91" s="2"/>
      <c r="O91" s="2"/>
      <c r="P91" s="2"/>
      <c r="Q91" s="2"/>
      <c r="R91" s="2"/>
    </row>
    <row r="92">
      <c r="A92" s="2"/>
      <c r="B92" s="2"/>
      <c r="C92" s="2"/>
      <c r="D92" s="2"/>
      <c r="E92" s="2"/>
      <c r="F92" s="2"/>
      <c r="G92" s="2"/>
      <c r="H92" s="2"/>
      <c r="I92" s="2"/>
      <c r="J92" s="2"/>
      <c r="K92" s="2"/>
      <c r="L92" s="2"/>
      <c r="M92" s="2"/>
      <c r="N92" s="2"/>
      <c r="O92" s="2"/>
      <c r="P92" s="2"/>
      <c r="Q92" s="2"/>
      <c r="R92" s="2"/>
    </row>
    <row r="93">
      <c r="A93" s="2"/>
      <c r="B93" s="2"/>
      <c r="C93" s="2"/>
      <c r="D93" s="2"/>
      <c r="E93" s="2"/>
      <c r="F93" s="2"/>
      <c r="G93" s="2"/>
      <c r="H93" s="2"/>
      <c r="I93" s="2"/>
      <c r="J93" s="2"/>
      <c r="K93" s="2"/>
      <c r="L93" s="2"/>
      <c r="M93" s="2"/>
      <c r="N93" s="2"/>
      <c r="O93" s="2"/>
      <c r="P93" s="2"/>
      <c r="Q93" s="2"/>
      <c r="R93" s="2"/>
    </row>
    <row r="94">
      <c r="A94" s="2"/>
      <c r="B94" s="2"/>
      <c r="C94" s="2"/>
      <c r="D94" s="2"/>
      <c r="E94" s="2"/>
      <c r="F94" s="2"/>
      <c r="G94" s="2"/>
      <c r="H94" s="2"/>
      <c r="I94" s="2"/>
      <c r="J94" s="2"/>
      <c r="K94" s="2"/>
      <c r="L94" s="2"/>
      <c r="M94" s="2"/>
      <c r="N94" s="2"/>
      <c r="O94" s="2"/>
      <c r="P94" s="2"/>
      <c r="Q94" s="2"/>
      <c r="R94" s="2"/>
    </row>
    <row r="95">
      <c r="A95" s="2"/>
      <c r="B95" s="2"/>
      <c r="C95" s="2"/>
      <c r="D95" s="2"/>
      <c r="E95" s="2"/>
      <c r="F95" s="2"/>
      <c r="G95" s="2"/>
      <c r="H95" s="2"/>
      <c r="I95" s="2"/>
      <c r="J95" s="2"/>
      <c r="K95" s="2"/>
      <c r="L95" s="2"/>
      <c r="M95" s="2"/>
      <c r="N95" s="2"/>
      <c r="O95" s="2"/>
      <c r="P95" s="2"/>
      <c r="Q95" s="2"/>
      <c r="R95" s="2"/>
    </row>
    <row r="96">
      <c r="A96" s="2"/>
      <c r="B96" s="2"/>
      <c r="C96" s="2"/>
      <c r="D96" s="2"/>
      <c r="E96" s="2"/>
      <c r="F96" s="2"/>
      <c r="G96" s="2"/>
      <c r="H96" s="2"/>
      <c r="I96" s="2"/>
      <c r="J96" s="2"/>
      <c r="K96" s="2"/>
      <c r="L96" s="2"/>
      <c r="M96" s="2"/>
      <c r="N96" s="2"/>
      <c r="O96" s="2"/>
      <c r="P96" s="2"/>
      <c r="Q96" s="2"/>
      <c r="R96" s="2"/>
    </row>
    <row r="97">
      <c r="A97" s="2"/>
      <c r="B97" s="2"/>
      <c r="C97" s="2"/>
      <c r="D97" s="2"/>
      <c r="E97" s="2"/>
      <c r="F97" s="2"/>
      <c r="G97" s="2"/>
      <c r="H97" s="2"/>
      <c r="I97" s="2"/>
      <c r="J97" s="2"/>
      <c r="K97" s="2"/>
      <c r="L97" s="2"/>
      <c r="M97" s="2"/>
      <c r="N97" s="2"/>
      <c r="O97" s="2"/>
      <c r="P97" s="2"/>
      <c r="Q97" s="2"/>
      <c r="R97" s="2"/>
    </row>
    <row r="98">
      <c r="A98" s="2"/>
      <c r="B98" s="2"/>
      <c r="C98" s="2"/>
      <c r="D98" s="2"/>
      <c r="E98" s="2"/>
      <c r="F98" s="2"/>
      <c r="G98" s="2"/>
      <c r="H98" s="2"/>
      <c r="I98" s="2"/>
      <c r="J98" s="2"/>
      <c r="K98" s="2"/>
      <c r="L98" s="2"/>
      <c r="M98" s="2"/>
      <c r="N98" s="2"/>
      <c r="O98" s="2"/>
      <c r="P98" s="2"/>
      <c r="Q98" s="2"/>
      <c r="R98" s="2"/>
    </row>
    <row r="99">
      <c r="A99" s="2"/>
      <c r="B99" s="2"/>
      <c r="C99" s="2"/>
      <c r="D99" s="2"/>
      <c r="E99" s="2"/>
      <c r="F99" s="2"/>
      <c r="G99" s="2"/>
      <c r="H99" s="2"/>
      <c r="I99" s="2"/>
      <c r="J99" s="2"/>
      <c r="K99" s="2"/>
      <c r="L99" s="2"/>
      <c r="M99" s="2"/>
      <c r="N99" s="2"/>
      <c r="O99" s="2"/>
      <c r="P99" s="2"/>
      <c r="Q99" s="2"/>
      <c r="R99" s="2"/>
    </row>
    <row r="100">
      <c r="A100" s="2"/>
      <c r="B100" s="2"/>
      <c r="C100" s="2"/>
      <c r="D100" s="2"/>
      <c r="E100" s="2"/>
      <c r="F100" s="2"/>
      <c r="G100" s="2"/>
      <c r="H100" s="2"/>
      <c r="I100" s="2"/>
      <c r="J100" s="2"/>
      <c r="K100" s="2"/>
      <c r="L100" s="2"/>
      <c r="M100" s="2"/>
      <c r="N100" s="2"/>
      <c r="O100" s="2"/>
      <c r="P100" s="2"/>
      <c r="Q100" s="2"/>
      <c r="R100" s="2"/>
    </row>
    <row r="101">
      <c r="A101" s="2"/>
      <c r="B101" s="2"/>
      <c r="C101" s="2"/>
      <c r="D101" s="2"/>
      <c r="E101" s="2"/>
      <c r="F101" s="2"/>
      <c r="G101" s="2"/>
      <c r="H101" s="2"/>
      <c r="I101" s="2"/>
      <c r="J101" s="2"/>
      <c r="K101" s="2"/>
      <c r="L101" s="2"/>
      <c r="M101" s="2"/>
      <c r="N101" s="2"/>
      <c r="O101" s="2"/>
      <c r="P101" s="2"/>
      <c r="Q101" s="2"/>
      <c r="R101" s="2"/>
    </row>
    <row r="102">
      <c r="A102" s="2"/>
      <c r="B102" s="2"/>
      <c r="C102" s="2"/>
      <c r="D102" s="2"/>
      <c r="E102" s="2"/>
      <c r="F102" s="2"/>
      <c r="G102" s="2"/>
      <c r="H102" s="2"/>
      <c r="I102" s="2"/>
      <c r="J102" s="2"/>
      <c r="K102" s="2"/>
      <c r="L102" s="2"/>
      <c r="M102" s="2"/>
      <c r="N102" s="2"/>
      <c r="O102" s="2"/>
      <c r="P102" s="2"/>
      <c r="Q102" s="2"/>
      <c r="R102" s="2"/>
    </row>
    <row r="103">
      <c r="A103" s="2"/>
      <c r="B103" s="2"/>
      <c r="C103" s="2"/>
      <c r="D103" s="2"/>
      <c r="E103" s="2"/>
      <c r="F103" s="2"/>
      <c r="G103" s="2"/>
      <c r="H103" s="2"/>
      <c r="I103" s="2"/>
      <c r="J103" s="2"/>
      <c r="K103" s="2"/>
      <c r="L103" s="2"/>
      <c r="M103" s="2"/>
      <c r="N103" s="2"/>
      <c r="O103" s="2"/>
      <c r="P103" s="2"/>
      <c r="Q103" s="2"/>
      <c r="R103" s="2"/>
    </row>
    <row r="104">
      <c r="A104" s="2"/>
      <c r="B104" s="2"/>
      <c r="C104" s="2"/>
      <c r="D104" s="2"/>
      <c r="E104" s="2"/>
      <c r="F104" s="2"/>
      <c r="G104" s="2"/>
      <c r="H104" s="2"/>
      <c r="I104" s="2"/>
      <c r="J104" s="2"/>
      <c r="K104" s="2"/>
      <c r="L104" s="2"/>
      <c r="M104" s="2"/>
      <c r="N104" s="2"/>
      <c r="O104" s="2"/>
      <c r="P104" s="2"/>
      <c r="Q104" s="2"/>
      <c r="R104" s="2"/>
    </row>
    <row r="105">
      <c r="A105" s="2"/>
      <c r="B105" s="2"/>
      <c r="C105" s="2"/>
      <c r="D105" s="2"/>
      <c r="E105" s="2"/>
      <c r="F105" s="2"/>
      <c r="G105" s="2"/>
      <c r="H105" s="2"/>
      <c r="I105" s="2"/>
      <c r="J105" s="2"/>
      <c r="K105" s="2"/>
      <c r="L105" s="2"/>
      <c r="M105" s="2"/>
      <c r="N105" s="2"/>
      <c r="O105" s="2"/>
      <c r="P105" s="2"/>
      <c r="Q105" s="2"/>
      <c r="R105" s="2"/>
    </row>
    <row r="106">
      <c r="A106" s="2"/>
      <c r="B106" s="2"/>
      <c r="C106" s="2"/>
      <c r="D106" s="2"/>
      <c r="E106" s="2"/>
      <c r="F106" s="2"/>
      <c r="G106" s="2"/>
      <c r="H106" s="2"/>
      <c r="I106" s="2"/>
      <c r="J106" s="2"/>
      <c r="K106" s="2"/>
      <c r="L106" s="2"/>
      <c r="M106" s="2"/>
      <c r="N106" s="2"/>
      <c r="O106" s="2"/>
      <c r="P106" s="2"/>
      <c r="Q106" s="2"/>
      <c r="R106" s="2"/>
    </row>
    <row r="107">
      <c r="A107" s="2"/>
      <c r="B107" s="2"/>
      <c r="C107" s="2"/>
      <c r="D107" s="2"/>
      <c r="E107" s="2"/>
      <c r="F107" s="2"/>
      <c r="G107" s="2"/>
      <c r="H107" s="2"/>
      <c r="I107" s="2"/>
      <c r="J107" s="2"/>
      <c r="K107" s="2"/>
      <c r="L107" s="2"/>
      <c r="M107" s="2"/>
      <c r="N107" s="2"/>
      <c r="O107" s="2"/>
      <c r="P107" s="2"/>
      <c r="Q107" s="2"/>
      <c r="R107" s="2"/>
    </row>
    <row r="108">
      <c r="A108" s="2"/>
      <c r="B108" s="2"/>
      <c r="C108" s="2"/>
      <c r="D108" s="2"/>
      <c r="E108" s="2"/>
      <c r="F108" s="2"/>
      <c r="G108" s="2"/>
      <c r="H108" s="2"/>
      <c r="I108" s="2"/>
      <c r="J108" s="2"/>
      <c r="K108" s="2"/>
      <c r="L108" s="2"/>
      <c r="M108" s="2"/>
      <c r="N108" s="2"/>
      <c r="O108" s="2"/>
      <c r="P108" s="2"/>
      <c r="Q108" s="2"/>
      <c r="R108" s="2"/>
    </row>
    <row r="109">
      <c r="A109" s="2"/>
      <c r="B109" s="2"/>
      <c r="C109" s="2"/>
      <c r="D109" s="2"/>
      <c r="E109" s="2"/>
      <c r="F109" s="2"/>
      <c r="G109" s="2"/>
      <c r="H109" s="2"/>
      <c r="I109" s="2"/>
      <c r="J109" s="2"/>
      <c r="K109" s="2"/>
      <c r="L109" s="2"/>
      <c r="M109" s="2"/>
      <c r="N109" s="2"/>
      <c r="O109" s="2"/>
      <c r="P109" s="2"/>
      <c r="Q109" s="2"/>
      <c r="R109" s="2"/>
    </row>
    <row r="110">
      <c r="A110" s="2"/>
      <c r="B110" s="2"/>
      <c r="C110" s="2"/>
      <c r="D110" s="2"/>
      <c r="E110" s="2"/>
      <c r="F110" s="2"/>
      <c r="G110" s="2"/>
      <c r="H110" s="2"/>
      <c r="I110" s="2"/>
      <c r="J110" s="2"/>
      <c r="K110" s="2"/>
      <c r="L110" s="2"/>
      <c r="M110" s="2"/>
      <c r="N110" s="2"/>
      <c r="O110" s="2"/>
      <c r="P110" s="2"/>
      <c r="Q110" s="2"/>
      <c r="R110" s="2"/>
    </row>
    <row r="111">
      <c r="A111" s="2"/>
      <c r="B111" s="2"/>
      <c r="C111" s="2"/>
      <c r="D111" s="2"/>
      <c r="E111" s="2"/>
      <c r="F111" s="2"/>
      <c r="G111" s="2"/>
      <c r="H111" s="2"/>
      <c r="I111" s="2"/>
      <c r="J111" s="2"/>
      <c r="K111" s="2"/>
      <c r="L111" s="2"/>
      <c r="M111" s="2"/>
      <c r="N111" s="2"/>
      <c r="O111" s="2"/>
      <c r="P111" s="2"/>
      <c r="Q111" s="2"/>
      <c r="R111" s="2"/>
    </row>
    <row r="112">
      <c r="A112" s="2"/>
      <c r="B112" s="2"/>
      <c r="C112" s="2"/>
      <c r="D112" s="2"/>
      <c r="E112" s="2"/>
      <c r="F112" s="2"/>
      <c r="G112" s="2"/>
      <c r="H112" s="2"/>
      <c r="I112" s="2"/>
      <c r="J112" s="2"/>
      <c r="K112" s="2"/>
      <c r="L112" s="2"/>
      <c r="M112" s="2"/>
      <c r="N112" s="2"/>
      <c r="O112" s="2"/>
      <c r="P112" s="2"/>
      <c r="Q112" s="2"/>
      <c r="R112" s="2"/>
    </row>
    <row r="113">
      <c r="A113" s="2"/>
      <c r="B113" s="2"/>
      <c r="C113" s="2"/>
      <c r="D113" s="2"/>
      <c r="E113" s="2"/>
      <c r="F113" s="2"/>
      <c r="G113" s="2"/>
      <c r="H113" s="2"/>
      <c r="I113" s="2"/>
      <c r="J113" s="2"/>
      <c r="K113" s="2"/>
      <c r="L113" s="2"/>
      <c r="M113" s="2"/>
      <c r="N113" s="2"/>
      <c r="O113" s="2"/>
      <c r="P113" s="2"/>
      <c r="Q113" s="2"/>
      <c r="R113" s="2"/>
    </row>
    <row r="114">
      <c r="A114" s="2"/>
      <c r="B114" s="2"/>
      <c r="C114" s="2"/>
      <c r="D114" s="2"/>
      <c r="E114" s="2"/>
      <c r="F114" s="2"/>
      <c r="G114" s="2"/>
      <c r="H114" s="2"/>
      <c r="I114" s="2"/>
      <c r="J114" s="2"/>
      <c r="K114" s="2"/>
      <c r="L114" s="2"/>
      <c r="M114" s="2"/>
      <c r="N114" s="2"/>
      <c r="O114" s="2"/>
      <c r="P114" s="2"/>
      <c r="Q114" s="2"/>
      <c r="R114" s="2"/>
    </row>
    <row r="115">
      <c r="A115" s="2"/>
      <c r="B115" s="2"/>
      <c r="C115" s="2"/>
      <c r="D115" s="2"/>
      <c r="E115" s="2"/>
      <c r="F115" s="2"/>
      <c r="G115" s="2"/>
      <c r="H115" s="2"/>
      <c r="I115" s="2"/>
      <c r="J115" s="2"/>
      <c r="K115" s="2"/>
      <c r="L115" s="2"/>
      <c r="M115" s="2"/>
      <c r="N115" s="2"/>
      <c r="O115" s="2"/>
      <c r="P115" s="2"/>
      <c r="Q115" s="2"/>
      <c r="R115" s="2"/>
    </row>
    <row r="116">
      <c r="A116" s="2"/>
      <c r="B116" s="2"/>
      <c r="C116" s="2"/>
      <c r="D116" s="2"/>
      <c r="E116" s="2"/>
      <c r="F116" s="2"/>
      <c r="G116" s="2"/>
      <c r="H116" s="2"/>
      <c r="I116" s="2"/>
      <c r="J116" s="2"/>
      <c r="K116" s="2"/>
      <c r="L116" s="2"/>
      <c r="M116" s="2"/>
      <c r="N116" s="2"/>
      <c r="O116" s="2"/>
      <c r="P116" s="2"/>
      <c r="Q116" s="2"/>
      <c r="R116" s="2"/>
    </row>
    <row r="117">
      <c r="A117" s="2"/>
      <c r="B117" s="2"/>
      <c r="C117" s="2"/>
      <c r="D117" s="2"/>
      <c r="E117" s="2"/>
      <c r="F117" s="2"/>
      <c r="G117" s="2"/>
      <c r="H117" s="2"/>
      <c r="I117" s="2"/>
      <c r="J117" s="2"/>
      <c r="K117" s="2"/>
      <c r="L117" s="2"/>
      <c r="M117" s="2"/>
      <c r="N117" s="2"/>
      <c r="O117" s="2"/>
      <c r="P117" s="2"/>
      <c r="Q117" s="2"/>
      <c r="R117" s="2"/>
    </row>
    <row r="118">
      <c r="A118" s="2"/>
      <c r="B118" s="2"/>
      <c r="C118" s="2"/>
      <c r="D118" s="2"/>
      <c r="E118" s="2"/>
      <c r="F118" s="2"/>
      <c r="G118" s="2"/>
      <c r="H118" s="2"/>
      <c r="I118" s="2"/>
      <c r="J118" s="2"/>
      <c r="K118" s="2"/>
      <c r="L118" s="2"/>
      <c r="M118" s="2"/>
      <c r="N118" s="2"/>
      <c r="O118" s="2"/>
      <c r="P118" s="2"/>
      <c r="Q118" s="2"/>
      <c r="R118" s="2"/>
    </row>
    <row r="119">
      <c r="A119" s="2"/>
      <c r="B119" s="2"/>
      <c r="C119" s="2"/>
      <c r="D119" s="2"/>
      <c r="E119" s="2"/>
      <c r="F119" s="2"/>
      <c r="G119" s="2"/>
      <c r="H119" s="2"/>
      <c r="I119" s="2"/>
      <c r="J119" s="2"/>
      <c r="K119" s="2"/>
      <c r="L119" s="2"/>
      <c r="M119" s="2"/>
      <c r="N119" s="2"/>
      <c r="O119" s="2"/>
      <c r="P119" s="2"/>
      <c r="Q119" s="2"/>
      <c r="R119" s="2"/>
    </row>
    <row r="120">
      <c r="A120" s="2"/>
      <c r="B120" s="2"/>
      <c r="C120" s="2"/>
      <c r="D120" s="2"/>
      <c r="E120" s="2"/>
      <c r="F120" s="2"/>
      <c r="G120" s="2"/>
      <c r="H120" s="2"/>
      <c r="I120" s="2"/>
      <c r="J120" s="2"/>
      <c r="K120" s="2"/>
      <c r="L120" s="2"/>
      <c r="M120" s="2"/>
      <c r="N120" s="2"/>
      <c r="O120" s="2"/>
      <c r="P120" s="2"/>
      <c r="Q120" s="2"/>
      <c r="R120" s="2"/>
    </row>
    <row r="121">
      <c r="A121" s="2"/>
      <c r="B121" s="2"/>
      <c r="C121" s="2"/>
      <c r="D121" s="2"/>
      <c r="E121" s="2"/>
      <c r="F121" s="2"/>
      <c r="G121" s="2"/>
      <c r="H121" s="2"/>
      <c r="I121" s="2"/>
      <c r="J121" s="2"/>
      <c r="K121" s="2"/>
      <c r="L121" s="2"/>
      <c r="M121" s="2"/>
      <c r="N121" s="2"/>
      <c r="O121" s="2"/>
      <c r="P121" s="2"/>
      <c r="Q121" s="2"/>
      <c r="R121" s="2"/>
    </row>
    <row r="122">
      <c r="A122" s="2"/>
      <c r="B122" s="2"/>
      <c r="C122" s="2"/>
      <c r="D122" s="2"/>
      <c r="E122" s="2"/>
      <c r="F122" s="2"/>
      <c r="G122" s="2"/>
      <c r="H122" s="2"/>
      <c r="I122" s="2"/>
      <c r="J122" s="2"/>
      <c r="K122" s="2"/>
      <c r="L122" s="2"/>
      <c r="M122" s="2"/>
      <c r="N122" s="2"/>
      <c r="O122" s="2"/>
      <c r="P122" s="2"/>
      <c r="Q122" s="2"/>
      <c r="R122" s="2"/>
    </row>
    <row r="123">
      <c r="A123" s="2"/>
      <c r="B123" s="2"/>
      <c r="C123" s="2"/>
      <c r="D123" s="2"/>
      <c r="E123" s="2"/>
      <c r="F123" s="2"/>
      <c r="G123" s="2"/>
      <c r="H123" s="2"/>
      <c r="I123" s="2"/>
      <c r="J123" s="2"/>
      <c r="K123" s="2"/>
      <c r="L123" s="2"/>
      <c r="M123" s="2"/>
      <c r="N123" s="2"/>
      <c r="O123" s="2"/>
      <c r="P123" s="2"/>
      <c r="Q123" s="2"/>
      <c r="R123" s="2"/>
    </row>
    <row r="124">
      <c r="A124" s="2"/>
      <c r="B124" s="2"/>
      <c r="C124" s="2"/>
      <c r="D124" s="2"/>
      <c r="E124" s="2"/>
      <c r="F124" s="2"/>
      <c r="G124" s="2"/>
      <c r="H124" s="2"/>
      <c r="I124" s="2"/>
      <c r="J124" s="2"/>
      <c r="K124" s="2"/>
      <c r="L124" s="2"/>
      <c r="M124" s="2"/>
      <c r="N124" s="2"/>
      <c r="O124" s="2"/>
      <c r="P124" s="2"/>
      <c r="Q124" s="2"/>
      <c r="R124" s="2"/>
    </row>
    <row r="125">
      <c r="A125" s="2"/>
      <c r="B125" s="2"/>
      <c r="C125" s="2"/>
      <c r="D125" s="2"/>
      <c r="E125" s="2"/>
      <c r="F125" s="2"/>
      <c r="G125" s="2"/>
      <c r="H125" s="2"/>
      <c r="I125" s="2"/>
      <c r="J125" s="2"/>
      <c r="K125" s="2"/>
      <c r="L125" s="2"/>
      <c r="M125" s="2"/>
      <c r="N125" s="2"/>
      <c r="O125" s="2"/>
      <c r="P125" s="2"/>
      <c r="Q125" s="2"/>
      <c r="R125" s="2"/>
    </row>
    <row r="126">
      <c r="A126" s="2"/>
      <c r="B126" s="2"/>
      <c r="C126" s="2"/>
      <c r="D126" s="2"/>
      <c r="E126" s="2"/>
      <c r="F126" s="2"/>
      <c r="G126" s="2"/>
      <c r="H126" s="2"/>
      <c r="I126" s="2"/>
      <c r="J126" s="2"/>
      <c r="K126" s="2"/>
      <c r="L126" s="2"/>
      <c r="M126" s="2"/>
      <c r="N126" s="2"/>
      <c r="O126" s="2"/>
      <c r="P126" s="2"/>
      <c r="Q126" s="2"/>
      <c r="R126" s="2"/>
    </row>
    <row r="127">
      <c r="A127" s="2"/>
      <c r="B127" s="2"/>
      <c r="C127" s="2"/>
      <c r="D127" s="2"/>
      <c r="E127" s="2"/>
      <c r="F127" s="2"/>
      <c r="G127" s="2"/>
      <c r="H127" s="2"/>
      <c r="I127" s="2"/>
      <c r="J127" s="2"/>
      <c r="K127" s="2"/>
      <c r="L127" s="2"/>
      <c r="M127" s="2"/>
      <c r="N127" s="2"/>
      <c r="O127" s="2"/>
      <c r="P127" s="2"/>
      <c r="Q127" s="2"/>
      <c r="R127" s="2"/>
    </row>
    <row r="128">
      <c r="A128" s="2"/>
      <c r="B128" s="2"/>
      <c r="C128" s="2"/>
      <c r="D128" s="2"/>
      <c r="E128" s="2"/>
      <c r="F128" s="2"/>
      <c r="G128" s="2"/>
      <c r="H128" s="2"/>
      <c r="I128" s="2"/>
      <c r="J128" s="2"/>
      <c r="K128" s="2"/>
      <c r="L128" s="2"/>
      <c r="M128" s="2"/>
      <c r="N128" s="2"/>
      <c r="O128" s="2"/>
      <c r="P128" s="2"/>
      <c r="Q128" s="2"/>
      <c r="R128" s="2"/>
    </row>
    <row r="129">
      <c r="A129" s="2"/>
      <c r="B129" s="2"/>
      <c r="C129" s="2"/>
      <c r="D129" s="2"/>
      <c r="E129" s="2"/>
      <c r="F129" s="2"/>
      <c r="G129" s="2"/>
      <c r="H129" s="2"/>
      <c r="I129" s="2"/>
      <c r="J129" s="2"/>
      <c r="K129" s="2"/>
      <c r="L129" s="2"/>
      <c r="M129" s="2"/>
      <c r="N129" s="2"/>
      <c r="O129" s="2"/>
      <c r="P129" s="2"/>
      <c r="Q129" s="2"/>
      <c r="R129" s="2"/>
    </row>
    <row r="130">
      <c r="A130" s="2"/>
      <c r="B130" s="2"/>
      <c r="C130" s="2"/>
      <c r="D130" s="2"/>
      <c r="E130" s="2"/>
      <c r="F130" s="2"/>
      <c r="G130" s="2"/>
      <c r="H130" s="2"/>
      <c r="I130" s="2"/>
      <c r="J130" s="2"/>
      <c r="K130" s="2"/>
      <c r="L130" s="2"/>
      <c r="M130" s="2"/>
      <c r="N130" s="2"/>
      <c r="O130" s="2"/>
      <c r="P130" s="2"/>
      <c r="Q130" s="2"/>
      <c r="R130" s="2"/>
    </row>
    <row r="131">
      <c r="A131" s="2"/>
      <c r="B131" s="2"/>
      <c r="C131" s="2"/>
      <c r="D131" s="2"/>
      <c r="E131" s="2"/>
      <c r="F131" s="2"/>
      <c r="G131" s="2"/>
      <c r="H131" s="2"/>
      <c r="I131" s="2"/>
      <c r="J131" s="2"/>
      <c r="K131" s="2"/>
      <c r="L131" s="2"/>
      <c r="M131" s="2"/>
      <c r="N131" s="2"/>
      <c r="O131" s="2"/>
      <c r="P131" s="2"/>
      <c r="Q131" s="2"/>
      <c r="R131" s="2"/>
    </row>
    <row r="132">
      <c r="A132" s="2"/>
      <c r="B132" s="2"/>
      <c r="C132" s="2"/>
      <c r="D132" s="2"/>
      <c r="E132" s="2"/>
      <c r="F132" s="2"/>
      <c r="G132" s="2"/>
      <c r="H132" s="2"/>
      <c r="I132" s="2"/>
      <c r="J132" s="2"/>
      <c r="K132" s="2"/>
      <c r="L132" s="2"/>
      <c r="M132" s="2"/>
      <c r="N132" s="2"/>
      <c r="O132" s="2"/>
      <c r="P132" s="2"/>
      <c r="Q132" s="2"/>
      <c r="R132" s="2"/>
    </row>
    <row r="133">
      <c r="A133" s="2"/>
      <c r="B133" s="2"/>
      <c r="C133" s="2"/>
      <c r="D133" s="2"/>
      <c r="E133" s="2"/>
      <c r="F133" s="2"/>
      <c r="G133" s="2"/>
      <c r="H133" s="2"/>
      <c r="I133" s="2"/>
      <c r="J133" s="2"/>
      <c r="K133" s="2"/>
      <c r="L133" s="2"/>
      <c r="M133" s="2"/>
      <c r="N133" s="2"/>
      <c r="O133" s="2"/>
      <c r="P133" s="2"/>
      <c r="Q133" s="2"/>
      <c r="R133" s="2"/>
    </row>
    <row r="134">
      <c r="A134" s="2"/>
      <c r="B134" s="2"/>
      <c r="C134" s="2"/>
      <c r="D134" s="2"/>
      <c r="E134" s="2"/>
      <c r="F134" s="2"/>
      <c r="G134" s="2"/>
      <c r="H134" s="2"/>
      <c r="I134" s="2"/>
      <c r="J134" s="2"/>
      <c r="K134" s="2"/>
      <c r="L134" s="2"/>
      <c r="M134" s="2"/>
      <c r="N134" s="2"/>
      <c r="O134" s="2"/>
      <c r="P134" s="2"/>
      <c r="Q134" s="2"/>
      <c r="R134" s="2"/>
    </row>
    <row r="135">
      <c r="A135" s="2"/>
      <c r="B135" s="2"/>
      <c r="C135" s="2"/>
      <c r="D135" s="2"/>
      <c r="E135" s="2"/>
      <c r="F135" s="2"/>
      <c r="G135" s="2"/>
      <c r="H135" s="2"/>
      <c r="I135" s="2"/>
      <c r="J135" s="2"/>
      <c r="K135" s="2"/>
      <c r="L135" s="2"/>
      <c r="M135" s="2"/>
      <c r="N135" s="2"/>
      <c r="O135" s="2"/>
      <c r="P135" s="2"/>
      <c r="Q135" s="2"/>
      <c r="R135" s="2"/>
    </row>
    <row r="136">
      <c r="A136" s="2"/>
      <c r="B136" s="2"/>
      <c r="C136" s="2"/>
      <c r="D136" s="2"/>
      <c r="E136" s="2"/>
      <c r="F136" s="2"/>
      <c r="G136" s="2"/>
      <c r="H136" s="2"/>
      <c r="I136" s="2"/>
      <c r="J136" s="2"/>
      <c r="K136" s="2"/>
      <c r="L136" s="2"/>
      <c r="M136" s="2"/>
      <c r="N136" s="2"/>
      <c r="O136" s="2"/>
      <c r="P136" s="2"/>
      <c r="Q136" s="2"/>
      <c r="R136" s="2"/>
    </row>
    <row r="137">
      <c r="A137" s="2"/>
      <c r="B137" s="2"/>
      <c r="C137" s="2"/>
      <c r="D137" s="2"/>
      <c r="E137" s="2"/>
      <c r="F137" s="2"/>
      <c r="G137" s="2"/>
      <c r="H137" s="2"/>
      <c r="I137" s="2"/>
      <c r="J137" s="2"/>
      <c r="K137" s="2"/>
      <c r="L137" s="2"/>
      <c r="M137" s="2"/>
      <c r="N137" s="2"/>
      <c r="O137" s="2"/>
      <c r="P137" s="2"/>
      <c r="Q137" s="2"/>
      <c r="R137" s="2"/>
    </row>
    <row r="138">
      <c r="A138" s="2"/>
      <c r="B138" s="2"/>
      <c r="C138" s="2"/>
      <c r="D138" s="2"/>
      <c r="E138" s="2"/>
      <c r="F138" s="2"/>
      <c r="G138" s="2"/>
      <c r="H138" s="2"/>
      <c r="I138" s="2"/>
      <c r="J138" s="2"/>
      <c r="K138" s="2"/>
      <c r="L138" s="2"/>
      <c r="M138" s="2"/>
      <c r="N138" s="2"/>
      <c r="O138" s="2"/>
      <c r="P138" s="2"/>
      <c r="Q138" s="2"/>
      <c r="R138" s="2"/>
    </row>
    <row r="139">
      <c r="A139" s="2"/>
      <c r="B139" s="2"/>
      <c r="C139" s="2"/>
      <c r="D139" s="2"/>
      <c r="E139" s="2"/>
      <c r="F139" s="2"/>
      <c r="G139" s="2"/>
      <c r="H139" s="2"/>
      <c r="I139" s="2"/>
      <c r="J139" s="2"/>
      <c r="K139" s="2"/>
      <c r="L139" s="2"/>
      <c r="M139" s="2"/>
      <c r="N139" s="2"/>
      <c r="O139" s="2"/>
      <c r="P139" s="2"/>
      <c r="Q139" s="2"/>
      <c r="R139" s="2"/>
    </row>
    <row r="140">
      <c r="A140" s="2"/>
      <c r="B140" s="2"/>
      <c r="C140" s="2"/>
      <c r="D140" s="2"/>
      <c r="E140" s="2"/>
      <c r="F140" s="2"/>
      <c r="G140" s="2"/>
      <c r="H140" s="2"/>
      <c r="I140" s="2"/>
      <c r="J140" s="2"/>
      <c r="K140" s="2"/>
      <c r="L140" s="2"/>
      <c r="M140" s="2"/>
      <c r="N140" s="2"/>
      <c r="O140" s="2"/>
      <c r="P140" s="2"/>
      <c r="Q140" s="2"/>
      <c r="R140" s="2"/>
    </row>
    <row r="141">
      <c r="A141" s="2"/>
      <c r="B141" s="2"/>
      <c r="C141" s="2"/>
      <c r="D141" s="2"/>
      <c r="E141" s="2"/>
      <c r="F141" s="2"/>
      <c r="G141" s="2"/>
      <c r="H141" s="2"/>
      <c r="I141" s="2"/>
      <c r="J141" s="2"/>
      <c r="K141" s="2"/>
      <c r="L141" s="2"/>
      <c r="M141" s="2"/>
      <c r="N141" s="2"/>
      <c r="O141" s="2"/>
      <c r="P141" s="2"/>
      <c r="Q141" s="2"/>
      <c r="R141" s="2"/>
    </row>
    <row r="142">
      <c r="A142" s="2"/>
      <c r="B142" s="2"/>
      <c r="C142" s="2"/>
      <c r="D142" s="2"/>
      <c r="E142" s="2"/>
      <c r="F142" s="2"/>
      <c r="G142" s="2"/>
      <c r="H142" s="2"/>
      <c r="I142" s="2"/>
      <c r="J142" s="2"/>
      <c r="K142" s="2"/>
      <c r="L142" s="2"/>
      <c r="M142" s="2"/>
      <c r="N142" s="2"/>
      <c r="O142" s="2"/>
      <c r="P142" s="2"/>
      <c r="Q142" s="2"/>
      <c r="R142" s="2"/>
    </row>
    <row r="143">
      <c r="A143" s="2"/>
      <c r="B143" s="2"/>
      <c r="C143" s="2"/>
      <c r="D143" s="2"/>
      <c r="E143" s="2"/>
      <c r="F143" s="2"/>
      <c r="G143" s="2"/>
      <c r="H143" s="2"/>
      <c r="I143" s="2"/>
      <c r="J143" s="2"/>
      <c r="K143" s="2"/>
      <c r="L143" s="2"/>
      <c r="M143" s="2"/>
      <c r="N143" s="2"/>
      <c r="O143" s="2"/>
      <c r="P143" s="2"/>
      <c r="Q143" s="2"/>
      <c r="R143" s="2"/>
    </row>
    <row r="144">
      <c r="A144" s="2"/>
      <c r="B144" s="2"/>
      <c r="C144" s="2"/>
      <c r="D144" s="2"/>
      <c r="E144" s="2"/>
      <c r="F144" s="2"/>
      <c r="G144" s="2"/>
      <c r="H144" s="2"/>
      <c r="I144" s="2"/>
      <c r="J144" s="2"/>
      <c r="K144" s="2"/>
      <c r="L144" s="2"/>
      <c r="M144" s="2"/>
      <c r="N144" s="2"/>
      <c r="O144" s="2"/>
      <c r="P144" s="2"/>
      <c r="Q144" s="2"/>
      <c r="R144" s="2"/>
    </row>
    <row r="145">
      <c r="A145" s="2"/>
      <c r="B145" s="2"/>
      <c r="C145" s="2"/>
      <c r="D145" s="2"/>
      <c r="E145" s="2"/>
      <c r="F145" s="2"/>
      <c r="G145" s="2"/>
      <c r="H145" s="2"/>
      <c r="I145" s="2"/>
      <c r="J145" s="2"/>
      <c r="K145" s="2"/>
      <c r="L145" s="2"/>
      <c r="M145" s="2"/>
      <c r="N145" s="2"/>
      <c r="O145" s="2"/>
      <c r="P145" s="2"/>
      <c r="Q145" s="2"/>
      <c r="R145" s="2"/>
    </row>
    <row r="146">
      <c r="A146" s="2"/>
      <c r="B146" s="2"/>
      <c r="C146" s="2"/>
      <c r="D146" s="2"/>
      <c r="E146" s="2"/>
      <c r="F146" s="2"/>
      <c r="G146" s="2"/>
      <c r="H146" s="2"/>
      <c r="I146" s="2"/>
      <c r="J146" s="2"/>
      <c r="K146" s="2"/>
      <c r="L146" s="2"/>
      <c r="M146" s="2"/>
      <c r="N146" s="2"/>
      <c r="O146" s="2"/>
      <c r="P146" s="2"/>
      <c r="Q146" s="2"/>
      <c r="R146" s="2"/>
    </row>
    <row r="147">
      <c r="A147" s="2"/>
      <c r="B147" s="2"/>
      <c r="C147" s="2"/>
      <c r="D147" s="2"/>
      <c r="E147" s="2"/>
      <c r="F147" s="2"/>
      <c r="G147" s="2"/>
      <c r="H147" s="2"/>
      <c r="I147" s="2"/>
      <c r="J147" s="2"/>
      <c r="K147" s="2"/>
      <c r="L147" s="2"/>
      <c r="M147" s="2"/>
      <c r="N147" s="2"/>
      <c r="O147" s="2"/>
      <c r="P147" s="2"/>
      <c r="Q147" s="2"/>
      <c r="R147" s="2"/>
    </row>
    <row r="148">
      <c r="A148" s="2"/>
      <c r="B148" s="2"/>
      <c r="C148" s="2"/>
      <c r="D148" s="2"/>
      <c r="E148" s="2"/>
      <c r="F148" s="2"/>
      <c r="G148" s="2"/>
      <c r="H148" s="2"/>
      <c r="I148" s="2"/>
      <c r="J148" s="2"/>
      <c r="K148" s="2"/>
      <c r="L148" s="2"/>
      <c r="M148" s="2"/>
      <c r="N148" s="2"/>
      <c r="O148" s="2"/>
      <c r="P148" s="2"/>
      <c r="Q148" s="2"/>
      <c r="R148" s="2"/>
    </row>
    <row r="149">
      <c r="A149" s="2"/>
      <c r="B149" s="2"/>
      <c r="C149" s="2"/>
      <c r="D149" s="2"/>
      <c r="E149" s="2"/>
      <c r="F149" s="2"/>
      <c r="G149" s="2"/>
      <c r="H149" s="2"/>
      <c r="I149" s="2"/>
      <c r="J149" s="2"/>
      <c r="K149" s="2"/>
      <c r="L149" s="2"/>
      <c r="M149" s="2"/>
      <c r="N149" s="2"/>
      <c r="O149" s="2"/>
      <c r="P149" s="2"/>
      <c r="Q149" s="2"/>
      <c r="R149" s="2"/>
    </row>
    <row r="150">
      <c r="A150" s="2"/>
      <c r="B150" s="2"/>
      <c r="C150" s="2"/>
      <c r="D150" s="2"/>
      <c r="E150" s="2"/>
      <c r="F150" s="2"/>
      <c r="G150" s="2"/>
      <c r="H150" s="2"/>
      <c r="I150" s="2"/>
      <c r="J150" s="2"/>
      <c r="K150" s="2"/>
      <c r="L150" s="2"/>
      <c r="M150" s="2"/>
      <c r="N150" s="2"/>
      <c r="O150" s="2"/>
      <c r="P150" s="2"/>
      <c r="Q150" s="2"/>
      <c r="R150" s="2"/>
    </row>
    <row r="151">
      <c r="A151" s="2"/>
      <c r="B151" s="2"/>
      <c r="C151" s="2"/>
      <c r="D151" s="2"/>
      <c r="E151" s="2"/>
      <c r="F151" s="2"/>
      <c r="G151" s="2"/>
      <c r="H151" s="2"/>
      <c r="I151" s="2"/>
      <c r="J151" s="2"/>
      <c r="K151" s="2"/>
      <c r="L151" s="2"/>
      <c r="M151" s="2"/>
      <c r="N151" s="2"/>
      <c r="O151" s="2"/>
      <c r="P151" s="2"/>
      <c r="Q151" s="2"/>
      <c r="R151" s="2"/>
    </row>
    <row r="152">
      <c r="A152" s="2"/>
      <c r="B152" s="2"/>
      <c r="C152" s="2"/>
      <c r="D152" s="2"/>
      <c r="E152" s="2"/>
      <c r="F152" s="2"/>
      <c r="G152" s="2"/>
      <c r="H152" s="2"/>
      <c r="I152" s="2"/>
      <c r="J152" s="2"/>
      <c r="K152" s="2"/>
      <c r="L152" s="2"/>
      <c r="M152" s="2"/>
      <c r="N152" s="2"/>
      <c r="O152" s="2"/>
      <c r="P152" s="2"/>
      <c r="Q152" s="2"/>
      <c r="R152" s="2"/>
    </row>
    <row r="153">
      <c r="A153" s="2"/>
      <c r="B153" s="2"/>
      <c r="C153" s="2"/>
      <c r="D153" s="2"/>
      <c r="E153" s="2"/>
      <c r="F153" s="2"/>
      <c r="G153" s="2"/>
      <c r="H153" s="2"/>
      <c r="I153" s="2"/>
      <c r="J153" s="2"/>
      <c r="K153" s="2"/>
      <c r="L153" s="2"/>
      <c r="M153" s="2"/>
      <c r="N153" s="2"/>
      <c r="O153" s="2"/>
      <c r="P153" s="2"/>
      <c r="Q153" s="2"/>
      <c r="R153" s="2"/>
    </row>
    <row r="154">
      <c r="A154" s="2"/>
      <c r="B154" s="2"/>
      <c r="C154" s="2"/>
      <c r="D154" s="2"/>
      <c r="E154" s="2"/>
      <c r="F154" s="2"/>
      <c r="G154" s="2"/>
      <c r="H154" s="2"/>
      <c r="I154" s="2"/>
      <c r="J154" s="2"/>
      <c r="K154" s="2"/>
      <c r="L154" s="2"/>
      <c r="M154" s="2"/>
      <c r="N154" s="2"/>
      <c r="O154" s="2"/>
      <c r="P154" s="2"/>
      <c r="Q154" s="2"/>
      <c r="R154" s="2"/>
    </row>
    <row r="155">
      <c r="A155" s="2"/>
      <c r="B155" s="2"/>
      <c r="C155" s="2"/>
      <c r="D155" s="2"/>
      <c r="E155" s="2"/>
      <c r="F155" s="2"/>
      <c r="G155" s="2"/>
      <c r="H155" s="2"/>
      <c r="I155" s="2"/>
      <c r="J155" s="2"/>
      <c r="K155" s="2"/>
      <c r="L155" s="2"/>
      <c r="M155" s="2"/>
      <c r="N155" s="2"/>
      <c r="O155" s="2"/>
      <c r="P155" s="2"/>
      <c r="Q155" s="2"/>
      <c r="R155" s="2"/>
    </row>
    <row r="156">
      <c r="A156" s="2"/>
      <c r="B156" s="2"/>
      <c r="C156" s="2"/>
      <c r="D156" s="2"/>
      <c r="E156" s="2"/>
      <c r="F156" s="2"/>
      <c r="G156" s="2"/>
      <c r="H156" s="2"/>
      <c r="I156" s="2"/>
      <c r="J156" s="2"/>
      <c r="K156" s="2"/>
      <c r="L156" s="2"/>
      <c r="M156" s="2"/>
      <c r="N156" s="2"/>
      <c r="O156" s="2"/>
      <c r="P156" s="2"/>
      <c r="Q156" s="2"/>
      <c r="R156" s="2"/>
    </row>
    <row r="157">
      <c r="A157" s="2"/>
      <c r="B157" s="2"/>
      <c r="C157" s="2"/>
      <c r="D157" s="2"/>
      <c r="E157" s="2"/>
      <c r="F157" s="2"/>
      <c r="G157" s="2"/>
      <c r="H157" s="2"/>
      <c r="I157" s="2"/>
      <c r="J157" s="2"/>
      <c r="K157" s="2"/>
      <c r="L157" s="2"/>
      <c r="M157" s="2"/>
      <c r="N157" s="2"/>
      <c r="O157" s="2"/>
      <c r="P157" s="2"/>
      <c r="Q157" s="2"/>
      <c r="R157" s="2"/>
    </row>
    <row r="158">
      <c r="A158" s="2"/>
      <c r="B158" s="2"/>
      <c r="C158" s="2"/>
      <c r="D158" s="2"/>
      <c r="E158" s="2"/>
      <c r="F158" s="2"/>
      <c r="G158" s="2"/>
      <c r="H158" s="2"/>
      <c r="I158" s="2"/>
      <c r="J158" s="2"/>
      <c r="K158" s="2"/>
      <c r="L158" s="2"/>
      <c r="M158" s="2"/>
      <c r="N158" s="2"/>
      <c r="O158" s="2"/>
      <c r="P158" s="2"/>
      <c r="Q158" s="2"/>
      <c r="R158" s="2"/>
    </row>
    <row r="159">
      <c r="A159" s="2"/>
      <c r="B159" s="2"/>
      <c r="C159" s="2"/>
      <c r="D159" s="2"/>
      <c r="E159" s="2"/>
      <c r="F159" s="2"/>
      <c r="G159" s="2"/>
      <c r="H159" s="2"/>
      <c r="I159" s="2"/>
      <c r="J159" s="2"/>
      <c r="K159" s="2"/>
      <c r="L159" s="2"/>
      <c r="M159" s="2"/>
      <c r="N159" s="2"/>
      <c r="O159" s="2"/>
      <c r="P159" s="2"/>
      <c r="Q159" s="2"/>
      <c r="R159" s="2"/>
    </row>
    <row r="160">
      <c r="A160" s="2"/>
      <c r="B160" s="2"/>
      <c r="C160" s="2"/>
      <c r="D160" s="2"/>
      <c r="E160" s="2"/>
      <c r="F160" s="2"/>
      <c r="G160" s="2"/>
      <c r="H160" s="2"/>
      <c r="I160" s="2"/>
      <c r="J160" s="2"/>
      <c r="K160" s="2"/>
      <c r="L160" s="2"/>
      <c r="M160" s="2"/>
      <c r="N160" s="2"/>
      <c r="O160" s="2"/>
      <c r="P160" s="2"/>
      <c r="Q160" s="2"/>
      <c r="R160" s="2"/>
    </row>
    <row r="161">
      <c r="A161" s="2"/>
      <c r="B161" s="2"/>
      <c r="C161" s="2"/>
      <c r="D161" s="2"/>
      <c r="E161" s="2"/>
      <c r="F161" s="2"/>
      <c r="G161" s="2"/>
      <c r="H161" s="2"/>
      <c r="I161" s="2"/>
      <c r="J161" s="2"/>
      <c r="K161" s="2"/>
      <c r="L161" s="2"/>
      <c r="M161" s="2"/>
      <c r="N161" s="2"/>
      <c r="O161" s="2"/>
      <c r="P161" s="2"/>
      <c r="Q161" s="2"/>
      <c r="R161" s="2"/>
    </row>
    <row r="162">
      <c r="A162" s="2"/>
      <c r="B162" s="2"/>
      <c r="C162" s="2"/>
      <c r="D162" s="2"/>
      <c r="E162" s="2"/>
      <c r="F162" s="2"/>
      <c r="G162" s="2"/>
      <c r="H162" s="2"/>
      <c r="I162" s="2"/>
      <c r="J162" s="2"/>
      <c r="K162" s="2"/>
      <c r="L162" s="2"/>
      <c r="M162" s="2"/>
      <c r="N162" s="2"/>
      <c r="O162" s="2"/>
      <c r="P162" s="2"/>
      <c r="Q162" s="2"/>
      <c r="R162" s="2"/>
    </row>
    <row r="163">
      <c r="A163" s="2"/>
      <c r="B163" s="2"/>
      <c r="C163" s="2"/>
      <c r="D163" s="2"/>
      <c r="E163" s="2"/>
      <c r="F163" s="2"/>
      <c r="G163" s="2"/>
      <c r="H163" s="2"/>
      <c r="I163" s="2"/>
      <c r="J163" s="2"/>
      <c r="K163" s="2"/>
      <c r="L163" s="2"/>
      <c r="M163" s="2"/>
      <c r="N163" s="2"/>
      <c r="O163" s="2"/>
      <c r="P163" s="2"/>
      <c r="Q163" s="2"/>
      <c r="R163" s="2"/>
    </row>
    <row r="164">
      <c r="A164" s="2"/>
      <c r="B164" s="2"/>
      <c r="C164" s="2"/>
      <c r="D164" s="2"/>
      <c r="E164" s="2"/>
      <c r="F164" s="2"/>
      <c r="G164" s="2"/>
      <c r="H164" s="2"/>
      <c r="I164" s="2"/>
      <c r="J164" s="2"/>
      <c r="K164" s="2"/>
      <c r="L164" s="2"/>
      <c r="M164" s="2"/>
      <c r="N164" s="2"/>
      <c r="O164" s="2"/>
      <c r="P164" s="2"/>
      <c r="Q164" s="2"/>
      <c r="R164" s="2"/>
    </row>
    <row r="165">
      <c r="A165" s="2"/>
      <c r="B165" s="2"/>
      <c r="C165" s="2"/>
      <c r="D165" s="2"/>
      <c r="E165" s="2"/>
      <c r="F165" s="2"/>
      <c r="G165" s="2"/>
      <c r="H165" s="2"/>
      <c r="I165" s="2"/>
      <c r="J165" s="2"/>
      <c r="K165" s="2"/>
      <c r="L165" s="2"/>
      <c r="M165" s="2"/>
      <c r="N165" s="2"/>
      <c r="O165" s="2"/>
      <c r="P165" s="2"/>
      <c r="Q165" s="2"/>
      <c r="R165" s="2"/>
    </row>
    <row r="166">
      <c r="A166" s="2"/>
      <c r="B166" s="2"/>
      <c r="C166" s="2"/>
      <c r="D166" s="2"/>
      <c r="E166" s="2"/>
      <c r="F166" s="2"/>
      <c r="G166" s="2"/>
      <c r="H166" s="2"/>
      <c r="I166" s="2"/>
      <c r="J166" s="2"/>
      <c r="K166" s="2"/>
      <c r="L166" s="2"/>
      <c r="M166" s="2"/>
      <c r="N166" s="2"/>
      <c r="O166" s="2"/>
      <c r="P166" s="2"/>
      <c r="Q166" s="2"/>
      <c r="R166" s="2"/>
    </row>
    <row r="167">
      <c r="A167" s="2"/>
      <c r="B167" s="2"/>
      <c r="C167" s="2"/>
      <c r="D167" s="2"/>
      <c r="E167" s="2"/>
      <c r="F167" s="2"/>
      <c r="G167" s="2"/>
      <c r="H167" s="2"/>
      <c r="I167" s="2"/>
      <c r="J167" s="2"/>
      <c r="K167" s="2"/>
      <c r="L167" s="2"/>
      <c r="M167" s="2"/>
      <c r="N167" s="2"/>
      <c r="O167" s="2"/>
      <c r="P167" s="2"/>
      <c r="Q167" s="2"/>
      <c r="R167" s="2"/>
    </row>
    <row r="168">
      <c r="A168" s="2"/>
      <c r="B168" s="2"/>
      <c r="C168" s="2"/>
      <c r="D168" s="2"/>
      <c r="E168" s="2"/>
      <c r="F168" s="2"/>
      <c r="G168" s="2"/>
      <c r="H168" s="2"/>
      <c r="I168" s="2"/>
      <c r="J168" s="2"/>
      <c r="K168" s="2"/>
      <c r="L168" s="2"/>
      <c r="M168" s="2"/>
      <c r="N168" s="2"/>
      <c r="O168" s="2"/>
      <c r="P168" s="2"/>
      <c r="Q168" s="2"/>
      <c r="R168" s="2"/>
    </row>
    <row r="169">
      <c r="A169" s="2"/>
      <c r="B169" s="2"/>
      <c r="C169" s="2"/>
      <c r="D169" s="2"/>
      <c r="E169" s="2"/>
      <c r="F169" s="2"/>
      <c r="G169" s="2"/>
      <c r="H169" s="2"/>
      <c r="I169" s="2"/>
      <c r="J169" s="2"/>
      <c r="K169" s="2"/>
      <c r="L169" s="2"/>
      <c r="M169" s="2"/>
      <c r="N169" s="2"/>
      <c r="O169" s="2"/>
      <c r="P169" s="2"/>
      <c r="Q169" s="2"/>
      <c r="R169" s="2"/>
    </row>
    <row r="170">
      <c r="A170" s="2"/>
      <c r="B170" s="2"/>
      <c r="C170" s="2"/>
      <c r="D170" s="2"/>
      <c r="E170" s="2"/>
      <c r="F170" s="2"/>
      <c r="G170" s="2"/>
      <c r="H170" s="2"/>
      <c r="I170" s="2"/>
      <c r="J170" s="2"/>
      <c r="K170" s="2"/>
      <c r="L170" s="2"/>
      <c r="M170" s="2"/>
      <c r="N170" s="2"/>
      <c r="O170" s="2"/>
      <c r="P170" s="2"/>
      <c r="Q170" s="2"/>
      <c r="R170" s="2"/>
    </row>
    <row r="171">
      <c r="A171" s="2"/>
      <c r="B171" s="2"/>
      <c r="C171" s="2"/>
      <c r="D171" s="2"/>
      <c r="E171" s="2"/>
      <c r="F171" s="2"/>
      <c r="G171" s="2"/>
      <c r="H171" s="2"/>
      <c r="I171" s="2"/>
      <c r="J171" s="2"/>
      <c r="K171" s="2"/>
      <c r="L171" s="2"/>
      <c r="M171" s="2"/>
      <c r="N171" s="2"/>
      <c r="O171" s="2"/>
      <c r="P171" s="2"/>
      <c r="Q171" s="2"/>
      <c r="R171" s="2"/>
    </row>
    <row r="172">
      <c r="A172" s="2"/>
      <c r="B172" s="2"/>
      <c r="C172" s="2"/>
      <c r="D172" s="2"/>
      <c r="E172" s="2"/>
      <c r="F172" s="2"/>
      <c r="G172" s="2"/>
      <c r="H172" s="2"/>
      <c r="I172" s="2"/>
      <c r="J172" s="2"/>
      <c r="K172" s="2"/>
      <c r="L172" s="2"/>
      <c r="M172" s="2"/>
      <c r="N172" s="2"/>
      <c r="O172" s="2"/>
      <c r="P172" s="2"/>
      <c r="Q172" s="2"/>
      <c r="R172" s="2"/>
    </row>
    <row r="173">
      <c r="A173" s="2"/>
      <c r="B173" s="2"/>
      <c r="C173" s="2"/>
      <c r="D173" s="2"/>
      <c r="E173" s="2"/>
      <c r="F173" s="2"/>
      <c r="G173" s="2"/>
      <c r="H173" s="2"/>
      <c r="I173" s="2"/>
      <c r="J173" s="2"/>
      <c r="K173" s="2"/>
      <c r="L173" s="2"/>
      <c r="M173" s="2"/>
      <c r="N173" s="2"/>
      <c r="O173" s="2"/>
      <c r="P173" s="2"/>
      <c r="Q173" s="2"/>
      <c r="R173" s="2"/>
    </row>
    <row r="174">
      <c r="A174" s="2"/>
      <c r="B174" s="2"/>
      <c r="C174" s="2"/>
      <c r="D174" s="2"/>
      <c r="E174" s="2"/>
      <c r="F174" s="2"/>
      <c r="G174" s="2"/>
      <c r="H174" s="2"/>
      <c r="I174" s="2"/>
      <c r="J174" s="2"/>
      <c r="K174" s="2"/>
      <c r="L174" s="2"/>
      <c r="M174" s="2"/>
      <c r="N174" s="2"/>
      <c r="O174" s="2"/>
      <c r="P174" s="2"/>
      <c r="Q174" s="2"/>
      <c r="R174" s="2"/>
    </row>
    <row r="175">
      <c r="A175" s="2"/>
      <c r="B175" s="2"/>
      <c r="C175" s="2"/>
      <c r="D175" s="2"/>
      <c r="E175" s="2"/>
      <c r="F175" s="2"/>
      <c r="G175" s="2"/>
      <c r="H175" s="2"/>
      <c r="I175" s="2"/>
      <c r="J175" s="2"/>
      <c r="K175" s="2"/>
      <c r="L175" s="2"/>
      <c r="M175" s="2"/>
      <c r="N175" s="2"/>
      <c r="O175" s="2"/>
      <c r="P175" s="2"/>
      <c r="Q175" s="2"/>
      <c r="R175" s="2"/>
    </row>
    <row r="176">
      <c r="A176" s="2"/>
      <c r="B176" s="2"/>
      <c r="C176" s="2"/>
      <c r="D176" s="2"/>
      <c r="E176" s="2"/>
      <c r="F176" s="2"/>
      <c r="G176" s="2"/>
      <c r="H176" s="2"/>
      <c r="I176" s="2"/>
      <c r="J176" s="2"/>
      <c r="K176" s="2"/>
      <c r="L176" s="2"/>
      <c r="M176" s="2"/>
      <c r="N176" s="2"/>
      <c r="O176" s="2"/>
      <c r="P176" s="2"/>
      <c r="Q176" s="2"/>
      <c r="R176" s="2"/>
    </row>
    <row r="177">
      <c r="A177" s="2"/>
      <c r="B177" s="2"/>
      <c r="C177" s="2"/>
      <c r="D177" s="2"/>
      <c r="E177" s="2"/>
      <c r="F177" s="2"/>
      <c r="G177" s="2"/>
      <c r="H177" s="2"/>
      <c r="I177" s="2"/>
      <c r="J177" s="2"/>
      <c r="K177" s="2"/>
      <c r="L177" s="2"/>
      <c r="M177" s="2"/>
      <c r="N177" s="2"/>
      <c r="O177" s="2"/>
      <c r="P177" s="2"/>
      <c r="Q177" s="2"/>
      <c r="R177" s="2"/>
    </row>
    <row r="178">
      <c r="A178" s="2"/>
      <c r="B178" s="2"/>
      <c r="C178" s="2"/>
      <c r="D178" s="2"/>
      <c r="E178" s="2"/>
      <c r="F178" s="2"/>
      <c r="G178" s="2"/>
      <c r="H178" s="2"/>
      <c r="I178" s="2"/>
      <c r="J178" s="2"/>
      <c r="K178" s="2"/>
      <c r="L178" s="2"/>
      <c r="M178" s="2"/>
      <c r="N178" s="2"/>
      <c r="O178" s="2"/>
      <c r="P178" s="2"/>
      <c r="Q178" s="2"/>
      <c r="R178" s="2"/>
    </row>
    <row r="179">
      <c r="A179" s="2"/>
      <c r="B179" s="2"/>
      <c r="C179" s="2"/>
      <c r="D179" s="2"/>
      <c r="E179" s="2"/>
      <c r="F179" s="2"/>
      <c r="G179" s="2"/>
      <c r="H179" s="2"/>
      <c r="I179" s="2"/>
      <c r="J179" s="2"/>
      <c r="K179" s="2"/>
      <c r="L179" s="2"/>
      <c r="M179" s="2"/>
      <c r="N179" s="2"/>
      <c r="O179" s="2"/>
      <c r="P179" s="2"/>
      <c r="Q179" s="2"/>
      <c r="R179" s="2"/>
    </row>
    <row r="180">
      <c r="A180" s="2"/>
      <c r="B180" s="2"/>
      <c r="C180" s="2"/>
      <c r="D180" s="2"/>
      <c r="E180" s="2"/>
      <c r="F180" s="2"/>
      <c r="G180" s="2"/>
      <c r="H180" s="2"/>
      <c r="I180" s="2"/>
      <c r="J180" s="2"/>
      <c r="K180" s="2"/>
      <c r="L180" s="2"/>
      <c r="M180" s="2"/>
      <c r="N180" s="2"/>
      <c r="O180" s="2"/>
      <c r="P180" s="2"/>
      <c r="Q180" s="2"/>
      <c r="R180" s="2"/>
    </row>
    <row r="181">
      <c r="A181" s="2"/>
      <c r="B181" s="2"/>
      <c r="C181" s="2"/>
      <c r="D181" s="2"/>
      <c r="E181" s="2"/>
      <c r="F181" s="2"/>
      <c r="G181" s="2"/>
      <c r="H181" s="2"/>
      <c r="I181" s="2"/>
      <c r="J181" s="2"/>
      <c r="K181" s="2"/>
      <c r="L181" s="2"/>
      <c r="M181" s="2"/>
      <c r="N181" s="2"/>
      <c r="O181" s="2"/>
      <c r="P181" s="2"/>
      <c r="Q181" s="2"/>
      <c r="R181" s="2"/>
    </row>
    <row r="182">
      <c r="A182" s="2"/>
      <c r="B182" s="2"/>
      <c r="C182" s="2"/>
      <c r="D182" s="2"/>
      <c r="E182" s="2"/>
      <c r="F182" s="2"/>
      <c r="G182" s="2"/>
      <c r="H182" s="2"/>
      <c r="I182" s="2"/>
      <c r="J182" s="2"/>
      <c r="K182" s="2"/>
      <c r="L182" s="2"/>
      <c r="M182" s="2"/>
      <c r="N182" s="2"/>
      <c r="O182" s="2"/>
      <c r="P182" s="2"/>
      <c r="Q182" s="2"/>
      <c r="R182" s="2"/>
    </row>
    <row r="183">
      <c r="A183" s="2"/>
      <c r="B183" s="2"/>
      <c r="C183" s="2"/>
      <c r="D183" s="2"/>
      <c r="E183" s="2"/>
      <c r="F183" s="2"/>
      <c r="G183" s="2"/>
      <c r="H183" s="2"/>
      <c r="I183" s="2"/>
      <c r="J183" s="2"/>
      <c r="K183" s="2"/>
      <c r="L183" s="2"/>
      <c r="M183" s="2"/>
      <c r="N183" s="2"/>
      <c r="O183" s="2"/>
      <c r="P183" s="2"/>
      <c r="Q183" s="2"/>
      <c r="R183" s="2"/>
    </row>
    <row r="184">
      <c r="A184" s="2"/>
      <c r="B184" s="2"/>
      <c r="C184" s="2"/>
      <c r="D184" s="2"/>
      <c r="E184" s="2"/>
      <c r="F184" s="2"/>
      <c r="G184" s="2"/>
      <c r="H184" s="2"/>
      <c r="I184" s="2"/>
      <c r="J184" s="2"/>
      <c r="K184" s="2"/>
      <c r="L184" s="2"/>
      <c r="M184" s="2"/>
      <c r="N184" s="2"/>
      <c r="O184" s="2"/>
      <c r="P184" s="2"/>
      <c r="Q184" s="2"/>
      <c r="R184" s="2"/>
    </row>
    <row r="185">
      <c r="A185" s="2"/>
      <c r="B185" s="2"/>
      <c r="C185" s="2"/>
      <c r="D185" s="2"/>
      <c r="E185" s="2"/>
      <c r="F185" s="2"/>
      <c r="G185" s="2"/>
      <c r="H185" s="2"/>
      <c r="I185" s="2"/>
      <c r="J185" s="2"/>
      <c r="K185" s="2"/>
      <c r="L185" s="2"/>
      <c r="M185" s="2"/>
      <c r="N185" s="2"/>
      <c r="O185" s="2"/>
      <c r="P185" s="2"/>
      <c r="Q185" s="2"/>
      <c r="R185" s="2"/>
    </row>
    <row r="186">
      <c r="A186" s="2"/>
      <c r="B186" s="2"/>
      <c r="C186" s="2"/>
      <c r="D186" s="2"/>
      <c r="E186" s="2"/>
      <c r="F186" s="2"/>
      <c r="G186" s="2"/>
      <c r="H186" s="2"/>
      <c r="I186" s="2"/>
      <c r="J186" s="2"/>
      <c r="K186" s="2"/>
      <c r="L186" s="2"/>
      <c r="M186" s="2"/>
      <c r="N186" s="2"/>
      <c r="O186" s="2"/>
      <c r="P186" s="2"/>
      <c r="Q186" s="2"/>
      <c r="R186" s="2"/>
    </row>
    <row r="187">
      <c r="A187" s="2"/>
      <c r="B187" s="2"/>
      <c r="C187" s="2"/>
      <c r="D187" s="2"/>
      <c r="E187" s="2"/>
      <c r="F187" s="2"/>
      <c r="G187" s="2"/>
      <c r="H187" s="2"/>
      <c r="I187" s="2"/>
      <c r="J187" s="2"/>
      <c r="K187" s="2"/>
      <c r="L187" s="2"/>
      <c r="M187" s="2"/>
      <c r="N187" s="2"/>
      <c r="O187" s="2"/>
      <c r="P187" s="2"/>
      <c r="Q187" s="2"/>
      <c r="R187" s="2"/>
    </row>
    <row r="188">
      <c r="A188" s="2"/>
      <c r="B188" s="2"/>
      <c r="C188" s="2"/>
      <c r="D188" s="2"/>
      <c r="E188" s="2"/>
      <c r="F188" s="2"/>
      <c r="G188" s="2"/>
      <c r="H188" s="2"/>
      <c r="I188" s="2"/>
      <c r="J188" s="2"/>
      <c r="K188" s="2"/>
      <c r="L188" s="2"/>
      <c r="M188" s="2"/>
      <c r="N188" s="2"/>
      <c r="O188" s="2"/>
      <c r="P188" s="2"/>
      <c r="Q188" s="2"/>
      <c r="R188" s="2"/>
    </row>
    <row r="189">
      <c r="A189" s="2"/>
      <c r="B189" s="2"/>
      <c r="C189" s="2"/>
      <c r="D189" s="2"/>
      <c r="E189" s="2"/>
      <c r="F189" s="2"/>
      <c r="G189" s="2"/>
      <c r="H189" s="2"/>
      <c r="I189" s="2"/>
      <c r="J189" s="2"/>
      <c r="K189" s="2"/>
      <c r="L189" s="2"/>
      <c r="M189" s="2"/>
      <c r="N189" s="2"/>
      <c r="O189" s="2"/>
      <c r="P189" s="2"/>
      <c r="Q189" s="2"/>
      <c r="R189" s="2"/>
    </row>
    <row r="190">
      <c r="A190" s="2"/>
      <c r="B190" s="2"/>
      <c r="C190" s="2"/>
      <c r="D190" s="2"/>
      <c r="E190" s="2"/>
      <c r="F190" s="2"/>
      <c r="G190" s="2"/>
      <c r="H190" s="2"/>
      <c r="I190" s="2"/>
      <c r="J190" s="2"/>
      <c r="K190" s="2"/>
      <c r="L190" s="2"/>
      <c r="M190" s="2"/>
      <c r="N190" s="2"/>
      <c r="O190" s="2"/>
      <c r="P190" s="2"/>
      <c r="Q190" s="2"/>
      <c r="R190" s="2"/>
    </row>
    <row r="191">
      <c r="A191" s="2"/>
      <c r="B191" s="2"/>
      <c r="C191" s="2"/>
      <c r="D191" s="2"/>
      <c r="E191" s="2"/>
      <c r="F191" s="2"/>
      <c r="G191" s="2"/>
      <c r="H191" s="2"/>
      <c r="I191" s="2"/>
      <c r="J191" s="2"/>
      <c r="K191" s="2"/>
      <c r="L191" s="2"/>
      <c r="M191" s="2"/>
      <c r="N191" s="2"/>
      <c r="O191" s="2"/>
      <c r="P191" s="2"/>
      <c r="Q191" s="2"/>
      <c r="R191" s="2"/>
    </row>
    <row r="192">
      <c r="A192" s="2"/>
      <c r="B192" s="2"/>
      <c r="C192" s="2"/>
      <c r="D192" s="2"/>
      <c r="E192" s="2"/>
      <c r="F192" s="2"/>
      <c r="G192" s="2"/>
      <c r="H192" s="2"/>
      <c r="I192" s="2"/>
      <c r="J192" s="2"/>
      <c r="K192" s="2"/>
      <c r="L192" s="2"/>
      <c r="M192" s="2"/>
      <c r="N192" s="2"/>
      <c r="O192" s="2"/>
      <c r="P192" s="2"/>
      <c r="Q192" s="2"/>
      <c r="R192" s="2"/>
    </row>
    <row r="193">
      <c r="A193" s="2"/>
      <c r="B193" s="2"/>
      <c r="C193" s="2"/>
      <c r="D193" s="2"/>
      <c r="E193" s="2"/>
      <c r="F193" s="2"/>
      <c r="G193" s="2"/>
      <c r="H193" s="2"/>
      <c r="I193" s="2"/>
      <c r="J193" s="2"/>
      <c r="K193" s="2"/>
      <c r="L193" s="2"/>
      <c r="M193" s="2"/>
      <c r="N193" s="2"/>
      <c r="O193" s="2"/>
      <c r="P193" s="2"/>
      <c r="Q193" s="2"/>
      <c r="R193" s="2"/>
    </row>
    <row r="194">
      <c r="A194" s="2"/>
      <c r="B194" s="2"/>
      <c r="C194" s="2"/>
      <c r="D194" s="2"/>
      <c r="E194" s="2"/>
      <c r="F194" s="2"/>
      <c r="G194" s="2"/>
      <c r="H194" s="2"/>
      <c r="I194" s="2"/>
      <c r="J194" s="2"/>
      <c r="K194" s="2"/>
      <c r="L194" s="2"/>
      <c r="M194" s="2"/>
      <c r="N194" s="2"/>
      <c r="O194" s="2"/>
      <c r="P194" s="2"/>
      <c r="Q194" s="2"/>
      <c r="R194" s="2"/>
    </row>
    <row r="195">
      <c r="A195" s="2"/>
      <c r="B195" s="2"/>
      <c r="C195" s="2"/>
      <c r="D195" s="2"/>
      <c r="E195" s="2"/>
      <c r="F195" s="2"/>
      <c r="G195" s="2"/>
      <c r="H195" s="2"/>
      <c r="I195" s="2"/>
      <c r="J195" s="2"/>
      <c r="K195" s="2"/>
      <c r="L195" s="2"/>
      <c r="M195" s="2"/>
      <c r="N195" s="2"/>
      <c r="O195" s="2"/>
      <c r="P195" s="2"/>
      <c r="Q195" s="2"/>
      <c r="R195" s="2"/>
    </row>
    <row r="196">
      <c r="A196" s="2"/>
      <c r="B196" s="2"/>
      <c r="C196" s="2"/>
      <c r="D196" s="2"/>
      <c r="E196" s="2"/>
      <c r="F196" s="2"/>
      <c r="G196" s="2"/>
      <c r="H196" s="2"/>
      <c r="I196" s="2"/>
      <c r="J196" s="2"/>
      <c r="K196" s="2"/>
      <c r="L196" s="2"/>
      <c r="M196" s="2"/>
      <c r="N196" s="2"/>
      <c r="O196" s="2"/>
      <c r="P196" s="2"/>
      <c r="Q196" s="2"/>
      <c r="R196" s="2"/>
    </row>
    <row r="197">
      <c r="A197" s="2"/>
      <c r="B197" s="2"/>
      <c r="C197" s="2"/>
      <c r="D197" s="2"/>
      <c r="E197" s="2"/>
      <c r="F197" s="2"/>
      <c r="G197" s="2"/>
      <c r="H197" s="2"/>
      <c r="I197" s="2"/>
      <c r="J197" s="2"/>
      <c r="K197" s="2"/>
      <c r="L197" s="2"/>
      <c r="M197" s="2"/>
      <c r="N197" s="2"/>
      <c r="O197" s="2"/>
      <c r="P197" s="2"/>
      <c r="Q197" s="2"/>
      <c r="R197" s="2"/>
    </row>
    <row r="198">
      <c r="A198" s="2"/>
      <c r="B198" s="2"/>
      <c r="C198" s="2"/>
      <c r="D198" s="2"/>
      <c r="E198" s="2"/>
      <c r="F198" s="2"/>
      <c r="G198" s="2"/>
      <c r="H198" s="2"/>
      <c r="I198" s="2"/>
      <c r="J198" s="2"/>
      <c r="K198" s="2"/>
      <c r="L198" s="2"/>
      <c r="M198" s="2"/>
      <c r="N198" s="2"/>
      <c r="O198" s="2"/>
      <c r="P198" s="2"/>
      <c r="Q198" s="2"/>
      <c r="R198" s="2"/>
    </row>
    <row r="199">
      <c r="A199" s="2"/>
      <c r="B199" s="2"/>
      <c r="C199" s="2"/>
      <c r="D199" s="2"/>
      <c r="E199" s="2"/>
      <c r="F199" s="2"/>
      <c r="G199" s="2"/>
      <c r="H199" s="2"/>
      <c r="I199" s="2"/>
      <c r="J199" s="2"/>
      <c r="K199" s="2"/>
      <c r="L199" s="2"/>
      <c r="M199" s="2"/>
      <c r="N199" s="2"/>
      <c r="O199" s="2"/>
      <c r="P199" s="2"/>
      <c r="Q199" s="2"/>
      <c r="R199" s="2"/>
    </row>
    <row r="200">
      <c r="A200" s="2"/>
      <c r="B200" s="2"/>
      <c r="C200" s="2"/>
      <c r="D200" s="2"/>
      <c r="E200" s="2"/>
      <c r="F200" s="2"/>
      <c r="G200" s="2"/>
      <c r="H200" s="2"/>
      <c r="I200" s="2"/>
      <c r="J200" s="2"/>
      <c r="K200" s="2"/>
      <c r="L200" s="2"/>
      <c r="M200" s="2"/>
      <c r="N200" s="2"/>
      <c r="O200" s="2"/>
      <c r="P200" s="2"/>
      <c r="Q200" s="2"/>
      <c r="R200" s="2"/>
    </row>
    <row r="201">
      <c r="A201" s="2"/>
      <c r="B201" s="2"/>
      <c r="C201" s="2"/>
      <c r="D201" s="2"/>
      <c r="E201" s="2"/>
      <c r="F201" s="2"/>
      <c r="G201" s="2"/>
      <c r="H201" s="2"/>
      <c r="I201" s="2"/>
      <c r="J201" s="2"/>
      <c r="K201" s="2"/>
      <c r="L201" s="2"/>
      <c r="M201" s="2"/>
      <c r="N201" s="2"/>
      <c r="O201" s="2"/>
      <c r="P201" s="2"/>
      <c r="Q201" s="2"/>
      <c r="R201" s="2"/>
    </row>
    <row r="202">
      <c r="A202" s="2"/>
      <c r="B202" s="2"/>
      <c r="C202" s="2"/>
      <c r="D202" s="2"/>
      <c r="E202" s="2"/>
      <c r="F202" s="2"/>
      <c r="G202" s="2"/>
      <c r="H202" s="2"/>
      <c r="I202" s="2"/>
      <c r="J202" s="2"/>
      <c r="K202" s="2"/>
      <c r="L202" s="2"/>
      <c r="M202" s="2"/>
      <c r="N202" s="2"/>
      <c r="O202" s="2"/>
      <c r="P202" s="2"/>
      <c r="Q202" s="2"/>
      <c r="R202" s="2"/>
    </row>
    <row r="203">
      <c r="A203" s="2"/>
      <c r="B203" s="2"/>
      <c r="C203" s="2"/>
      <c r="D203" s="2"/>
      <c r="E203" s="2"/>
      <c r="F203" s="2"/>
      <c r="G203" s="2"/>
      <c r="H203" s="2"/>
      <c r="I203" s="2"/>
      <c r="J203" s="2"/>
      <c r="K203" s="2"/>
      <c r="L203" s="2"/>
      <c r="M203" s="2"/>
      <c r="N203" s="2"/>
      <c r="O203" s="2"/>
      <c r="P203" s="2"/>
      <c r="Q203" s="2"/>
      <c r="R203" s="2"/>
    </row>
    <row r="204">
      <c r="A204" s="2"/>
      <c r="B204" s="2"/>
      <c r="C204" s="2"/>
      <c r="D204" s="2"/>
      <c r="E204" s="2"/>
      <c r="F204" s="2"/>
      <c r="G204" s="2"/>
      <c r="H204" s="2"/>
      <c r="I204" s="2"/>
      <c r="J204" s="2"/>
      <c r="K204" s="2"/>
      <c r="L204" s="2"/>
      <c r="M204" s="2"/>
      <c r="N204" s="2"/>
      <c r="O204" s="2"/>
      <c r="P204" s="2"/>
      <c r="Q204" s="2"/>
      <c r="R204" s="2"/>
    </row>
    <row r="205">
      <c r="A205" s="2"/>
      <c r="B205" s="2"/>
      <c r="C205" s="2"/>
      <c r="D205" s="2"/>
      <c r="E205" s="2"/>
      <c r="F205" s="2"/>
      <c r="G205" s="2"/>
      <c r="H205" s="2"/>
      <c r="I205" s="2"/>
      <c r="J205" s="2"/>
      <c r="K205" s="2"/>
      <c r="L205" s="2"/>
      <c r="M205" s="2"/>
      <c r="N205" s="2"/>
      <c r="O205" s="2"/>
      <c r="P205" s="2"/>
      <c r="Q205" s="2"/>
      <c r="R205" s="2"/>
    </row>
    <row r="206">
      <c r="A206" s="2"/>
      <c r="B206" s="2"/>
      <c r="C206" s="2"/>
      <c r="D206" s="2"/>
      <c r="E206" s="2"/>
      <c r="F206" s="2"/>
      <c r="G206" s="2"/>
      <c r="H206" s="2"/>
      <c r="I206" s="2"/>
      <c r="J206" s="2"/>
      <c r="K206" s="2"/>
      <c r="L206" s="2"/>
      <c r="M206" s="2"/>
      <c r="N206" s="2"/>
      <c r="O206" s="2"/>
      <c r="P206" s="2"/>
      <c r="Q206" s="2"/>
      <c r="R206" s="2"/>
    </row>
    <row r="207">
      <c r="A207" s="2"/>
      <c r="B207" s="2"/>
      <c r="C207" s="2"/>
      <c r="D207" s="2"/>
      <c r="E207" s="2"/>
      <c r="F207" s="2"/>
      <c r="G207" s="2"/>
      <c r="H207" s="2"/>
      <c r="I207" s="2"/>
      <c r="J207" s="2"/>
      <c r="K207" s="2"/>
      <c r="L207" s="2"/>
      <c r="M207" s="2"/>
      <c r="N207" s="2"/>
      <c r="O207" s="2"/>
      <c r="P207" s="2"/>
      <c r="Q207" s="2"/>
      <c r="R207" s="2"/>
    </row>
    <row r="208">
      <c r="A208" s="2"/>
      <c r="B208" s="2"/>
      <c r="C208" s="2"/>
      <c r="D208" s="2"/>
      <c r="E208" s="2"/>
      <c r="F208" s="2"/>
      <c r="G208" s="2"/>
      <c r="H208" s="2"/>
      <c r="I208" s="2"/>
      <c r="J208" s="2"/>
      <c r="K208" s="2"/>
      <c r="L208" s="2"/>
      <c r="M208" s="2"/>
      <c r="N208" s="2"/>
      <c r="O208" s="2"/>
      <c r="P208" s="2"/>
      <c r="Q208" s="2"/>
      <c r="R208" s="2"/>
    </row>
    <row r="209">
      <c r="A209" s="2"/>
      <c r="B209" s="2"/>
      <c r="C209" s="2"/>
      <c r="D209" s="2"/>
      <c r="E209" s="2"/>
      <c r="F209" s="2"/>
      <c r="G209" s="2"/>
      <c r="H209" s="2"/>
      <c r="I209" s="2"/>
      <c r="J209" s="2"/>
      <c r="K209" s="2"/>
      <c r="L209" s="2"/>
      <c r="M209" s="2"/>
      <c r="N209" s="2"/>
      <c r="O209" s="2"/>
      <c r="P209" s="2"/>
      <c r="Q209" s="2"/>
      <c r="R209" s="2"/>
    </row>
    <row r="210">
      <c r="A210" s="2"/>
      <c r="B210" s="2"/>
      <c r="C210" s="2"/>
      <c r="D210" s="2"/>
      <c r="E210" s="2"/>
      <c r="F210" s="2"/>
      <c r="G210" s="2"/>
      <c r="H210" s="2"/>
      <c r="I210" s="2"/>
      <c r="J210" s="2"/>
      <c r="K210" s="2"/>
      <c r="L210" s="2"/>
      <c r="M210" s="2"/>
      <c r="N210" s="2"/>
      <c r="O210" s="2"/>
      <c r="P210" s="2"/>
      <c r="Q210" s="2"/>
      <c r="R210" s="2"/>
    </row>
    <row r="211">
      <c r="A211" s="2"/>
      <c r="B211" s="2"/>
      <c r="C211" s="2"/>
      <c r="D211" s="2"/>
      <c r="E211" s="2"/>
      <c r="F211" s="2"/>
      <c r="G211" s="2"/>
      <c r="H211" s="2"/>
      <c r="I211" s="2"/>
      <c r="J211" s="2"/>
      <c r="K211" s="2"/>
      <c r="L211" s="2"/>
      <c r="M211" s="2"/>
      <c r="N211" s="2"/>
      <c r="O211" s="2"/>
      <c r="P211" s="2"/>
      <c r="Q211" s="2"/>
      <c r="R211" s="2"/>
    </row>
    <row r="212">
      <c r="A212" s="2"/>
      <c r="B212" s="2"/>
      <c r="C212" s="2"/>
      <c r="D212" s="2"/>
      <c r="E212" s="2"/>
      <c r="F212" s="2"/>
      <c r="G212" s="2"/>
      <c r="H212" s="2"/>
      <c r="I212" s="2"/>
      <c r="J212" s="2"/>
      <c r="K212" s="2"/>
      <c r="L212" s="2"/>
      <c r="M212" s="2"/>
      <c r="N212" s="2"/>
      <c r="O212" s="2"/>
      <c r="P212" s="2"/>
      <c r="Q212" s="2"/>
      <c r="R212" s="2"/>
    </row>
    <row r="213">
      <c r="A213" s="2"/>
      <c r="B213" s="2"/>
      <c r="C213" s="2"/>
      <c r="D213" s="2"/>
      <c r="E213" s="2"/>
      <c r="F213" s="2"/>
      <c r="G213" s="2"/>
      <c r="H213" s="2"/>
      <c r="I213" s="2"/>
      <c r="J213" s="2"/>
      <c r="K213" s="2"/>
      <c r="L213" s="2"/>
      <c r="M213" s="2"/>
      <c r="N213" s="2"/>
      <c r="O213" s="2"/>
      <c r="P213" s="2"/>
      <c r="Q213" s="2"/>
      <c r="R213" s="2"/>
    </row>
    <row r="214">
      <c r="A214" s="2"/>
      <c r="B214" s="2"/>
      <c r="C214" s="2"/>
      <c r="D214" s="2"/>
      <c r="E214" s="2"/>
      <c r="F214" s="2"/>
      <c r="G214" s="2"/>
      <c r="H214" s="2"/>
      <c r="I214" s="2"/>
      <c r="J214" s="2"/>
      <c r="K214" s="2"/>
      <c r="L214" s="2"/>
      <c r="M214" s="2"/>
      <c r="N214" s="2"/>
      <c r="O214" s="2"/>
      <c r="P214" s="2"/>
      <c r="Q214" s="2"/>
      <c r="R214" s="2"/>
    </row>
    <row r="215">
      <c r="A215" s="2"/>
      <c r="B215" s="2"/>
      <c r="C215" s="2"/>
      <c r="D215" s="2"/>
      <c r="E215" s="2"/>
      <c r="F215" s="2"/>
      <c r="G215" s="2"/>
      <c r="H215" s="2"/>
      <c r="I215" s="2"/>
      <c r="J215" s="2"/>
      <c r="K215" s="2"/>
      <c r="L215" s="2"/>
      <c r="M215" s="2"/>
      <c r="N215" s="2"/>
      <c r="O215" s="2"/>
      <c r="P215" s="2"/>
      <c r="Q215" s="2"/>
      <c r="R215" s="2"/>
    </row>
    <row r="216">
      <c r="A216" s="2"/>
      <c r="B216" s="2"/>
      <c r="C216" s="2"/>
      <c r="D216" s="2"/>
      <c r="E216" s="2"/>
      <c r="F216" s="2"/>
      <c r="G216" s="2"/>
      <c r="H216" s="2"/>
      <c r="I216" s="2"/>
      <c r="J216" s="2"/>
      <c r="K216" s="2"/>
      <c r="L216" s="2"/>
      <c r="M216" s="2"/>
      <c r="N216" s="2"/>
      <c r="O216" s="2"/>
      <c r="P216" s="2"/>
      <c r="Q216" s="2"/>
      <c r="R216" s="2"/>
    </row>
    <row r="217">
      <c r="A217" s="2"/>
      <c r="B217" s="2"/>
      <c r="C217" s="2"/>
      <c r="D217" s="2"/>
      <c r="E217" s="2"/>
      <c r="F217" s="2"/>
      <c r="G217" s="2"/>
      <c r="H217" s="2"/>
      <c r="I217" s="2"/>
      <c r="J217" s="2"/>
      <c r="K217" s="2"/>
      <c r="L217" s="2"/>
      <c r="M217" s="2"/>
      <c r="N217" s="2"/>
      <c r="O217" s="2"/>
      <c r="P217" s="2"/>
      <c r="Q217" s="2"/>
      <c r="R217" s="2"/>
    </row>
    <row r="218">
      <c r="A218" s="2"/>
      <c r="B218" s="2"/>
      <c r="C218" s="2"/>
      <c r="D218" s="2"/>
      <c r="E218" s="2"/>
      <c r="F218" s="2"/>
      <c r="G218" s="2"/>
      <c r="H218" s="2"/>
      <c r="I218" s="2"/>
      <c r="J218" s="2"/>
      <c r="K218" s="2"/>
      <c r="L218" s="2"/>
      <c r="M218" s="2"/>
      <c r="N218" s="2"/>
      <c r="O218" s="2"/>
      <c r="P218" s="2"/>
      <c r="Q218" s="2"/>
      <c r="R218" s="2"/>
    </row>
    <row r="219">
      <c r="A219" s="2"/>
      <c r="B219" s="2"/>
      <c r="C219" s="2"/>
      <c r="D219" s="2"/>
      <c r="E219" s="2"/>
      <c r="F219" s="2"/>
      <c r="G219" s="2"/>
      <c r="H219" s="2"/>
      <c r="I219" s="2"/>
      <c r="J219" s="2"/>
      <c r="K219" s="2"/>
      <c r="L219" s="2"/>
      <c r="M219" s="2"/>
      <c r="N219" s="2"/>
      <c r="O219" s="2"/>
      <c r="P219" s="2"/>
      <c r="Q219" s="2"/>
      <c r="R219" s="2"/>
    </row>
    <row r="220">
      <c r="A220" s="2"/>
      <c r="B220" s="2"/>
      <c r="C220" s="2"/>
      <c r="D220" s="2"/>
      <c r="E220" s="2"/>
      <c r="F220" s="2"/>
      <c r="G220" s="2"/>
      <c r="H220" s="2"/>
      <c r="I220" s="2"/>
      <c r="J220" s="2"/>
      <c r="K220" s="2"/>
      <c r="L220" s="2"/>
      <c r="M220" s="2"/>
      <c r="N220" s="2"/>
      <c r="O220" s="2"/>
      <c r="P220" s="2"/>
      <c r="Q220" s="2"/>
      <c r="R220" s="2"/>
    </row>
    <row r="221">
      <c r="A221" s="2"/>
      <c r="B221" s="2"/>
      <c r="C221" s="2"/>
      <c r="D221" s="2"/>
      <c r="E221" s="2"/>
      <c r="F221" s="2"/>
      <c r="G221" s="2"/>
      <c r="H221" s="2"/>
      <c r="I221" s="2"/>
      <c r="J221" s="2"/>
      <c r="K221" s="2"/>
      <c r="L221" s="2"/>
      <c r="M221" s="2"/>
      <c r="N221" s="2"/>
      <c r="O221" s="2"/>
      <c r="P221" s="2"/>
      <c r="Q221" s="2"/>
      <c r="R221" s="2"/>
    </row>
    <row r="222">
      <c r="A222" s="2"/>
      <c r="B222" s="2"/>
      <c r="C222" s="2"/>
      <c r="D222" s="2"/>
      <c r="E222" s="2"/>
      <c r="F222" s="2"/>
      <c r="G222" s="2"/>
      <c r="H222" s="2"/>
      <c r="I222" s="2"/>
      <c r="J222" s="2"/>
      <c r="K222" s="2"/>
      <c r="L222" s="2"/>
      <c r="M222" s="2"/>
      <c r="N222" s="2"/>
      <c r="O222" s="2"/>
      <c r="P222" s="2"/>
      <c r="Q222" s="2"/>
      <c r="R222" s="2"/>
    </row>
    <row r="223">
      <c r="A223" s="2"/>
      <c r="B223" s="2"/>
      <c r="C223" s="2"/>
      <c r="D223" s="2"/>
      <c r="E223" s="2"/>
      <c r="F223" s="2"/>
      <c r="G223" s="2"/>
      <c r="H223" s="2"/>
      <c r="I223" s="2"/>
      <c r="J223" s="2"/>
      <c r="K223" s="2"/>
      <c r="L223" s="2"/>
      <c r="M223" s="2"/>
      <c r="N223" s="2"/>
      <c r="O223" s="2"/>
      <c r="P223" s="2"/>
      <c r="Q223" s="2"/>
      <c r="R223" s="2"/>
    </row>
    <row r="224">
      <c r="A224" s="2"/>
      <c r="B224" s="2"/>
      <c r="C224" s="2"/>
      <c r="D224" s="2"/>
      <c r="E224" s="2"/>
      <c r="F224" s="2"/>
      <c r="G224" s="2"/>
      <c r="H224" s="2"/>
      <c r="I224" s="2"/>
      <c r="J224" s="2"/>
      <c r="K224" s="2"/>
      <c r="L224" s="2"/>
      <c r="M224" s="2"/>
      <c r="N224" s="2"/>
      <c r="O224" s="2"/>
      <c r="P224" s="2"/>
      <c r="Q224" s="2"/>
      <c r="R224" s="2"/>
    </row>
    <row r="225">
      <c r="A225" s="2"/>
      <c r="B225" s="2"/>
      <c r="C225" s="2"/>
      <c r="D225" s="2"/>
      <c r="E225" s="2"/>
      <c r="F225" s="2"/>
      <c r="G225" s="2"/>
      <c r="H225" s="2"/>
      <c r="I225" s="2"/>
      <c r="J225" s="2"/>
      <c r="K225" s="2"/>
      <c r="L225" s="2"/>
      <c r="M225" s="2"/>
      <c r="N225" s="2"/>
      <c r="O225" s="2"/>
      <c r="P225" s="2"/>
      <c r="Q225" s="2"/>
      <c r="R225" s="2"/>
    </row>
    <row r="226">
      <c r="A226" s="2"/>
      <c r="B226" s="2"/>
      <c r="C226" s="2"/>
      <c r="D226" s="2"/>
      <c r="E226" s="2"/>
      <c r="F226" s="2"/>
      <c r="G226" s="2"/>
      <c r="H226" s="2"/>
      <c r="I226" s="2"/>
      <c r="J226" s="2"/>
      <c r="K226" s="2"/>
      <c r="L226" s="2"/>
      <c r="M226" s="2"/>
      <c r="N226" s="2"/>
      <c r="O226" s="2"/>
      <c r="P226" s="2"/>
      <c r="Q226" s="2"/>
      <c r="R226" s="2"/>
    </row>
    <row r="227">
      <c r="A227" s="2"/>
      <c r="B227" s="2"/>
      <c r="C227" s="2"/>
      <c r="D227" s="2"/>
      <c r="E227" s="2"/>
      <c r="F227" s="2"/>
      <c r="G227" s="2"/>
      <c r="H227" s="2"/>
      <c r="I227" s="2"/>
      <c r="J227" s="2"/>
      <c r="K227" s="2"/>
      <c r="L227" s="2"/>
      <c r="M227" s="2"/>
      <c r="N227" s="2"/>
      <c r="O227" s="2"/>
      <c r="P227" s="2"/>
      <c r="Q227" s="2"/>
      <c r="R227" s="2"/>
    </row>
    <row r="228">
      <c r="A228" s="2"/>
      <c r="B228" s="2"/>
      <c r="C228" s="2"/>
      <c r="D228" s="2"/>
      <c r="E228" s="2"/>
      <c r="F228" s="2"/>
      <c r="G228" s="2"/>
      <c r="H228" s="2"/>
      <c r="I228" s="2"/>
      <c r="J228" s="2"/>
      <c r="K228" s="2"/>
      <c r="L228" s="2"/>
      <c r="M228" s="2"/>
      <c r="N228" s="2"/>
      <c r="O228" s="2"/>
      <c r="P228" s="2"/>
      <c r="Q228" s="2"/>
      <c r="R228" s="2"/>
    </row>
    <row r="229">
      <c r="A229" s="2"/>
      <c r="B229" s="2"/>
      <c r="C229" s="2"/>
      <c r="D229" s="2"/>
      <c r="E229" s="2"/>
      <c r="F229" s="2"/>
      <c r="G229" s="2"/>
      <c r="H229" s="2"/>
      <c r="I229" s="2"/>
      <c r="J229" s="2"/>
      <c r="K229" s="2"/>
      <c r="L229" s="2"/>
      <c r="M229" s="2"/>
      <c r="N229" s="2"/>
      <c r="O229" s="2"/>
      <c r="P229" s="2"/>
      <c r="Q229" s="2"/>
      <c r="R229" s="2"/>
    </row>
    <row r="230">
      <c r="A230" s="2"/>
      <c r="B230" s="2"/>
      <c r="C230" s="2"/>
      <c r="D230" s="2"/>
      <c r="E230" s="2"/>
      <c r="F230" s="2"/>
      <c r="G230" s="2"/>
      <c r="H230" s="2"/>
      <c r="I230" s="2"/>
      <c r="J230" s="2"/>
      <c r="K230" s="2"/>
      <c r="L230" s="2"/>
      <c r="M230" s="2"/>
      <c r="N230" s="2"/>
      <c r="O230" s="2"/>
      <c r="P230" s="2"/>
      <c r="Q230" s="2"/>
      <c r="R230" s="2"/>
    </row>
    <row r="231">
      <c r="A231" s="2"/>
      <c r="B231" s="2"/>
      <c r="C231" s="2"/>
      <c r="D231" s="2"/>
      <c r="E231" s="2"/>
      <c r="F231" s="2"/>
      <c r="G231" s="2"/>
      <c r="H231" s="2"/>
      <c r="I231" s="2"/>
      <c r="J231" s="2"/>
      <c r="K231" s="2"/>
      <c r="L231" s="2"/>
      <c r="M231" s="2"/>
      <c r="N231" s="2"/>
      <c r="O231" s="2"/>
      <c r="P231" s="2"/>
      <c r="Q231" s="2"/>
      <c r="R231" s="2"/>
    </row>
    <row r="232">
      <c r="A232" s="2"/>
      <c r="B232" s="2"/>
      <c r="C232" s="2"/>
      <c r="D232" s="2"/>
      <c r="E232" s="2"/>
      <c r="F232" s="2"/>
      <c r="G232" s="2"/>
      <c r="H232" s="2"/>
      <c r="I232" s="2"/>
      <c r="J232" s="2"/>
      <c r="K232" s="2"/>
      <c r="L232" s="2"/>
      <c r="M232" s="2"/>
      <c r="N232" s="2"/>
      <c r="O232" s="2"/>
      <c r="P232" s="2"/>
      <c r="Q232" s="2"/>
      <c r="R232" s="2"/>
    </row>
    <row r="233">
      <c r="A233" s="2"/>
      <c r="B233" s="2"/>
      <c r="C233" s="2"/>
      <c r="D233" s="2"/>
      <c r="E233" s="2"/>
      <c r="F233" s="2"/>
      <c r="G233" s="2"/>
      <c r="H233" s="2"/>
      <c r="I233" s="2"/>
      <c r="J233" s="2"/>
      <c r="K233" s="2"/>
      <c r="L233" s="2"/>
      <c r="M233" s="2"/>
      <c r="N233" s="2"/>
      <c r="O233" s="2"/>
      <c r="P233" s="2"/>
      <c r="Q233" s="2"/>
      <c r="R233" s="2"/>
    </row>
    <row r="234">
      <c r="A234" s="2"/>
      <c r="B234" s="2"/>
      <c r="C234" s="2"/>
      <c r="D234" s="2"/>
      <c r="E234" s="2"/>
      <c r="F234" s="2"/>
      <c r="G234" s="2"/>
      <c r="H234" s="2"/>
      <c r="I234" s="2"/>
      <c r="J234" s="2"/>
      <c r="K234" s="2"/>
      <c r="L234" s="2"/>
      <c r="M234" s="2"/>
      <c r="N234" s="2"/>
      <c r="O234" s="2"/>
      <c r="P234" s="2"/>
      <c r="Q234" s="2"/>
      <c r="R234" s="2"/>
    </row>
    <row r="235">
      <c r="A235" s="2"/>
      <c r="B235" s="2"/>
      <c r="C235" s="2"/>
      <c r="D235" s="2"/>
      <c r="E235" s="2"/>
      <c r="F235" s="2"/>
      <c r="G235" s="2"/>
      <c r="H235" s="2"/>
      <c r="I235" s="2"/>
      <c r="J235" s="2"/>
      <c r="K235" s="2"/>
      <c r="L235" s="2"/>
      <c r="M235" s="2"/>
      <c r="N235" s="2"/>
      <c r="O235" s="2"/>
      <c r="P235" s="2"/>
      <c r="Q235" s="2"/>
      <c r="R235" s="2"/>
    </row>
    <row r="236">
      <c r="A236" s="2"/>
      <c r="B236" s="2"/>
      <c r="C236" s="2"/>
      <c r="D236" s="2"/>
      <c r="E236" s="2"/>
      <c r="F236" s="2"/>
      <c r="G236" s="2"/>
      <c r="H236" s="2"/>
      <c r="I236" s="2"/>
      <c r="J236" s="2"/>
      <c r="K236" s="2"/>
      <c r="L236" s="2"/>
      <c r="M236" s="2"/>
      <c r="N236" s="2"/>
      <c r="O236" s="2"/>
      <c r="P236" s="2"/>
      <c r="Q236" s="2"/>
      <c r="R236" s="2"/>
    </row>
    <row r="237">
      <c r="A237" s="2"/>
      <c r="B237" s="2"/>
      <c r="C237" s="2"/>
      <c r="D237" s="2"/>
      <c r="E237" s="2"/>
      <c r="F237" s="2"/>
      <c r="G237" s="2"/>
      <c r="H237" s="2"/>
      <c r="I237" s="2"/>
      <c r="J237" s="2"/>
      <c r="K237" s="2"/>
      <c r="L237" s="2"/>
      <c r="M237" s="2"/>
      <c r="N237" s="2"/>
      <c r="O237" s="2"/>
      <c r="P237" s="2"/>
      <c r="Q237" s="2"/>
      <c r="R237" s="2"/>
    </row>
    <row r="238">
      <c r="A238" s="2"/>
      <c r="B238" s="2"/>
      <c r="C238" s="2"/>
      <c r="D238" s="2"/>
      <c r="E238" s="2"/>
      <c r="F238" s="2"/>
      <c r="G238" s="2"/>
      <c r="H238" s="2"/>
      <c r="I238" s="2"/>
      <c r="J238" s="2"/>
      <c r="K238" s="2"/>
      <c r="L238" s="2"/>
      <c r="M238" s="2"/>
      <c r="N238" s="2"/>
      <c r="O238" s="2"/>
      <c r="P238" s="2"/>
      <c r="Q238" s="2"/>
      <c r="R238" s="2"/>
    </row>
    <row r="239">
      <c r="A239" s="2"/>
      <c r="B239" s="2"/>
      <c r="C239" s="2"/>
      <c r="D239" s="2"/>
      <c r="E239" s="2"/>
      <c r="F239" s="2"/>
      <c r="G239" s="2"/>
      <c r="H239" s="2"/>
      <c r="I239" s="2"/>
      <c r="J239" s="2"/>
      <c r="K239" s="2"/>
      <c r="L239" s="2"/>
      <c r="M239" s="2"/>
      <c r="N239" s="2"/>
      <c r="O239" s="2"/>
      <c r="P239" s="2"/>
      <c r="Q239" s="2"/>
      <c r="R239" s="2"/>
    </row>
    <row r="240">
      <c r="A240" s="2"/>
      <c r="B240" s="2"/>
      <c r="C240" s="2"/>
      <c r="D240" s="2"/>
      <c r="E240" s="2"/>
      <c r="F240" s="2"/>
      <c r="G240" s="2"/>
      <c r="H240" s="2"/>
      <c r="I240" s="2"/>
      <c r="J240" s="2"/>
      <c r="K240" s="2"/>
      <c r="L240" s="2"/>
      <c r="M240" s="2"/>
      <c r="N240" s="2"/>
      <c r="O240" s="2"/>
      <c r="P240" s="2"/>
      <c r="Q240" s="2"/>
      <c r="R240" s="2"/>
    </row>
    <row r="241">
      <c r="A241" s="2"/>
      <c r="B241" s="2"/>
      <c r="C241" s="2"/>
      <c r="D241" s="2"/>
      <c r="E241" s="2"/>
      <c r="F241" s="2"/>
      <c r="G241" s="2"/>
      <c r="H241" s="2"/>
      <c r="I241" s="2"/>
      <c r="J241" s="2"/>
      <c r="K241" s="2"/>
      <c r="L241" s="2"/>
      <c r="M241" s="2"/>
      <c r="N241" s="2"/>
      <c r="O241" s="2"/>
      <c r="P241" s="2"/>
      <c r="Q241" s="2"/>
      <c r="R241" s="2"/>
    </row>
    <row r="242">
      <c r="A242" s="2"/>
      <c r="B242" s="2"/>
      <c r="C242" s="2"/>
      <c r="D242" s="2"/>
      <c r="E242" s="2"/>
      <c r="F242" s="2"/>
      <c r="G242" s="2"/>
      <c r="H242" s="2"/>
      <c r="I242" s="2"/>
      <c r="J242" s="2"/>
      <c r="K242" s="2"/>
      <c r="L242" s="2"/>
      <c r="M242" s="2"/>
      <c r="N242" s="2"/>
      <c r="O242" s="2"/>
      <c r="P242" s="2"/>
      <c r="Q242" s="2"/>
      <c r="R242" s="2"/>
    </row>
    <row r="243">
      <c r="A243" s="2"/>
      <c r="B243" s="2"/>
      <c r="C243" s="2"/>
      <c r="D243" s="2"/>
      <c r="E243" s="2"/>
      <c r="F243" s="2"/>
      <c r="G243" s="2"/>
      <c r="H243" s="2"/>
      <c r="I243" s="2"/>
      <c r="J243" s="2"/>
      <c r="K243" s="2"/>
      <c r="L243" s="2"/>
      <c r="M243" s="2"/>
      <c r="N243" s="2"/>
      <c r="O243" s="2"/>
      <c r="P243" s="2"/>
      <c r="Q243" s="2"/>
      <c r="R243" s="2"/>
    </row>
    <row r="244">
      <c r="A244" s="2"/>
      <c r="B244" s="2"/>
      <c r="C244" s="2"/>
      <c r="D244" s="2"/>
      <c r="E244" s="2"/>
      <c r="F244" s="2"/>
      <c r="G244" s="2"/>
      <c r="H244" s="2"/>
      <c r="I244" s="2"/>
      <c r="J244" s="2"/>
      <c r="K244" s="2"/>
      <c r="L244" s="2"/>
      <c r="M244" s="2"/>
      <c r="N244" s="2"/>
      <c r="O244" s="2"/>
      <c r="P244" s="2"/>
      <c r="Q244" s="2"/>
      <c r="R244" s="2"/>
    </row>
    <row r="245">
      <c r="A245" s="2"/>
      <c r="B245" s="2"/>
      <c r="C245" s="2"/>
      <c r="D245" s="2"/>
      <c r="E245" s="2"/>
      <c r="F245" s="2"/>
      <c r="G245" s="2"/>
      <c r="H245" s="2"/>
      <c r="I245" s="2"/>
      <c r="J245" s="2"/>
      <c r="K245" s="2"/>
      <c r="L245" s="2"/>
      <c r="M245" s="2"/>
      <c r="N245" s="2"/>
      <c r="O245" s="2"/>
      <c r="P245" s="2"/>
      <c r="Q245" s="2"/>
      <c r="R245" s="2"/>
    </row>
    <row r="246">
      <c r="A246" s="2"/>
      <c r="B246" s="2"/>
      <c r="C246" s="2"/>
      <c r="D246" s="2"/>
      <c r="E246" s="2"/>
      <c r="F246" s="2"/>
      <c r="G246" s="2"/>
      <c r="H246" s="2"/>
      <c r="I246" s="2"/>
      <c r="J246" s="2"/>
      <c r="K246" s="2"/>
      <c r="L246" s="2"/>
      <c r="M246" s="2"/>
      <c r="N246" s="2"/>
      <c r="O246" s="2"/>
      <c r="P246" s="2"/>
      <c r="Q246" s="2"/>
      <c r="R246" s="2"/>
    </row>
    <row r="247">
      <c r="A247" s="2"/>
      <c r="B247" s="2"/>
      <c r="C247" s="2"/>
      <c r="D247" s="2"/>
      <c r="E247" s="2"/>
      <c r="F247" s="2"/>
      <c r="G247" s="2"/>
      <c r="H247" s="2"/>
      <c r="I247" s="2"/>
      <c r="J247" s="2"/>
      <c r="K247" s="2"/>
      <c r="L247" s="2"/>
      <c r="M247" s="2"/>
      <c r="N247" s="2"/>
      <c r="O247" s="2"/>
      <c r="P247" s="2"/>
      <c r="Q247" s="2"/>
      <c r="R247" s="2"/>
    </row>
    <row r="248">
      <c r="A248" s="2"/>
      <c r="B248" s="2"/>
      <c r="C248" s="2"/>
      <c r="D248" s="2"/>
      <c r="E248" s="2"/>
      <c r="F248" s="2"/>
      <c r="G248" s="2"/>
      <c r="H248" s="2"/>
      <c r="I248" s="2"/>
      <c r="J248" s="2"/>
      <c r="K248" s="2"/>
      <c r="L248" s="2"/>
      <c r="M248" s="2"/>
      <c r="N248" s="2"/>
      <c r="O248" s="2"/>
      <c r="P248" s="2"/>
      <c r="Q248" s="2"/>
      <c r="R248" s="2"/>
    </row>
    <row r="249">
      <c r="A249" s="2"/>
      <c r="B249" s="2"/>
      <c r="C249" s="2"/>
      <c r="D249" s="2"/>
      <c r="E249" s="2"/>
      <c r="F249" s="2"/>
      <c r="G249" s="2"/>
      <c r="H249" s="2"/>
      <c r="I249" s="2"/>
      <c r="J249" s="2"/>
      <c r="K249" s="2"/>
      <c r="L249" s="2"/>
      <c r="M249" s="2"/>
      <c r="N249" s="2"/>
      <c r="O249" s="2"/>
      <c r="P249" s="2"/>
      <c r="Q249" s="2"/>
      <c r="R249" s="2"/>
    </row>
    <row r="250">
      <c r="A250" s="2"/>
      <c r="B250" s="2"/>
      <c r="C250" s="2"/>
      <c r="D250" s="2"/>
      <c r="E250" s="2"/>
      <c r="F250" s="2"/>
      <c r="G250" s="2"/>
      <c r="H250" s="2"/>
      <c r="I250" s="2"/>
      <c r="J250" s="2"/>
      <c r="K250" s="2"/>
      <c r="L250" s="2"/>
      <c r="M250" s="2"/>
      <c r="N250" s="2"/>
      <c r="O250" s="2"/>
      <c r="P250" s="2"/>
      <c r="Q250" s="2"/>
      <c r="R250" s="2"/>
    </row>
    <row r="251">
      <c r="A251" s="2"/>
      <c r="B251" s="2"/>
      <c r="C251" s="2"/>
      <c r="D251" s="2"/>
      <c r="E251" s="2"/>
      <c r="F251" s="2"/>
      <c r="G251" s="2"/>
      <c r="H251" s="2"/>
      <c r="I251" s="2"/>
      <c r="J251" s="2"/>
      <c r="K251" s="2"/>
      <c r="L251" s="2"/>
      <c r="M251" s="2"/>
      <c r="N251" s="2"/>
      <c r="O251" s="2"/>
      <c r="P251" s="2"/>
      <c r="Q251" s="2"/>
      <c r="R251" s="2"/>
    </row>
    <row r="252">
      <c r="A252" s="2"/>
      <c r="B252" s="2"/>
      <c r="C252" s="2"/>
      <c r="D252" s="2"/>
      <c r="E252" s="2"/>
      <c r="F252" s="2"/>
      <c r="G252" s="2"/>
      <c r="H252" s="2"/>
      <c r="I252" s="2"/>
      <c r="J252" s="2"/>
      <c r="K252" s="2"/>
      <c r="L252" s="2"/>
      <c r="M252" s="2"/>
      <c r="N252" s="2"/>
      <c r="O252" s="2"/>
      <c r="P252" s="2"/>
      <c r="Q252" s="2"/>
      <c r="R252" s="2"/>
    </row>
    <row r="253">
      <c r="A253" s="2"/>
      <c r="B253" s="2"/>
      <c r="C253" s="2"/>
      <c r="D253" s="2"/>
      <c r="E253" s="2"/>
      <c r="F253" s="2"/>
      <c r="G253" s="2"/>
      <c r="H253" s="2"/>
      <c r="I253" s="2"/>
      <c r="J253" s="2"/>
      <c r="K253" s="2"/>
      <c r="L253" s="2"/>
      <c r="M253" s="2"/>
      <c r="N253" s="2"/>
      <c r="O253" s="2"/>
      <c r="P253" s="2"/>
      <c r="Q253" s="2"/>
      <c r="R253" s="2"/>
    </row>
    <row r="254">
      <c r="A254" s="2"/>
      <c r="B254" s="2"/>
      <c r="C254" s="2"/>
      <c r="D254" s="2"/>
      <c r="E254" s="2"/>
      <c r="F254" s="2"/>
      <c r="G254" s="2"/>
      <c r="H254" s="2"/>
      <c r="I254" s="2"/>
      <c r="J254" s="2"/>
      <c r="K254" s="2"/>
      <c r="L254" s="2"/>
      <c r="M254" s="2"/>
      <c r="N254" s="2"/>
      <c r="O254" s="2"/>
      <c r="P254" s="2"/>
      <c r="Q254" s="2"/>
      <c r="R254" s="2"/>
    </row>
    <row r="255">
      <c r="A255" s="2"/>
      <c r="B255" s="2"/>
      <c r="C255" s="2"/>
      <c r="D255" s="2"/>
      <c r="E255" s="2"/>
      <c r="F255" s="2"/>
      <c r="G255" s="2"/>
      <c r="H255" s="2"/>
      <c r="I255" s="2"/>
      <c r="J255" s="2"/>
      <c r="K255" s="2"/>
      <c r="L255" s="2"/>
      <c r="M255" s="2"/>
      <c r="N255" s="2"/>
      <c r="O255" s="2"/>
      <c r="P255" s="2"/>
      <c r="Q255" s="2"/>
      <c r="R255" s="2"/>
    </row>
    <row r="256">
      <c r="A256" s="2"/>
      <c r="B256" s="2"/>
      <c r="C256" s="2"/>
      <c r="D256" s="2"/>
      <c r="E256" s="2"/>
      <c r="F256" s="2"/>
      <c r="G256" s="2"/>
      <c r="H256" s="2"/>
      <c r="I256" s="2"/>
      <c r="J256" s="2"/>
      <c r="K256" s="2"/>
      <c r="L256" s="2"/>
      <c r="M256" s="2"/>
      <c r="N256" s="2"/>
      <c r="O256" s="2"/>
      <c r="P256" s="2"/>
      <c r="Q256" s="2"/>
      <c r="R256" s="2"/>
    </row>
    <row r="257">
      <c r="A257" s="2"/>
      <c r="B257" s="2"/>
      <c r="C257" s="2"/>
      <c r="D257" s="2"/>
      <c r="E257" s="2"/>
      <c r="F257" s="2"/>
      <c r="G257" s="2"/>
      <c r="H257" s="2"/>
      <c r="I257" s="2"/>
      <c r="J257" s="2"/>
      <c r="K257" s="2"/>
      <c r="L257" s="2"/>
      <c r="M257" s="2"/>
      <c r="N257" s="2"/>
      <c r="O257" s="2"/>
      <c r="P257" s="2"/>
      <c r="Q257" s="2"/>
      <c r="R257" s="2"/>
    </row>
    <row r="258">
      <c r="A258" s="2"/>
      <c r="B258" s="2"/>
      <c r="C258" s="2"/>
      <c r="D258" s="2"/>
      <c r="E258" s="2"/>
      <c r="F258" s="2"/>
      <c r="G258" s="2"/>
      <c r="H258" s="2"/>
      <c r="I258" s="2"/>
      <c r="J258" s="2"/>
      <c r="K258" s="2"/>
      <c r="L258" s="2"/>
      <c r="M258" s="2"/>
      <c r="N258" s="2"/>
      <c r="O258" s="2"/>
      <c r="P258" s="2"/>
      <c r="Q258" s="2"/>
      <c r="R258" s="2"/>
    </row>
    <row r="259">
      <c r="A259" s="2"/>
      <c r="B259" s="2"/>
      <c r="C259" s="2"/>
      <c r="D259" s="2"/>
      <c r="E259" s="2"/>
      <c r="F259" s="2"/>
      <c r="G259" s="2"/>
      <c r="H259" s="2"/>
      <c r="I259" s="2"/>
      <c r="J259" s="2"/>
      <c r="K259" s="2"/>
      <c r="L259" s="2"/>
      <c r="M259" s="2"/>
      <c r="N259" s="2"/>
      <c r="O259" s="2"/>
      <c r="P259" s="2"/>
      <c r="Q259" s="2"/>
      <c r="R259" s="2"/>
    </row>
    <row r="260">
      <c r="A260" s="2"/>
      <c r="B260" s="2"/>
      <c r="C260" s="2"/>
      <c r="D260" s="2"/>
      <c r="E260" s="2"/>
      <c r="F260" s="2"/>
      <c r="G260" s="2"/>
      <c r="H260" s="2"/>
      <c r="I260" s="2"/>
      <c r="J260" s="2"/>
      <c r="K260" s="2"/>
      <c r="L260" s="2"/>
      <c r="M260" s="2"/>
      <c r="N260" s="2"/>
      <c r="O260" s="2"/>
      <c r="P260" s="2"/>
      <c r="Q260" s="2"/>
      <c r="R260" s="2"/>
    </row>
    <row r="261">
      <c r="A261" s="2"/>
      <c r="B261" s="2"/>
      <c r="C261" s="2"/>
      <c r="D261" s="2"/>
      <c r="E261" s="2"/>
      <c r="F261" s="2"/>
      <c r="G261" s="2"/>
      <c r="H261" s="2"/>
      <c r="I261" s="2"/>
      <c r="J261" s="2"/>
      <c r="K261" s="2"/>
      <c r="L261" s="2"/>
      <c r="M261" s="2"/>
      <c r="N261" s="2"/>
      <c r="O261" s="2"/>
      <c r="P261" s="2"/>
      <c r="Q261" s="2"/>
      <c r="R261" s="2"/>
    </row>
    <row r="262">
      <c r="A262" s="2"/>
      <c r="B262" s="2"/>
      <c r="C262" s="2"/>
      <c r="D262" s="2"/>
      <c r="E262" s="2"/>
      <c r="F262" s="2"/>
      <c r="G262" s="2"/>
      <c r="H262" s="2"/>
      <c r="I262" s="2"/>
      <c r="J262" s="2"/>
      <c r="K262" s="2"/>
      <c r="L262" s="2"/>
      <c r="M262" s="2"/>
      <c r="N262" s="2"/>
      <c r="O262" s="2"/>
      <c r="P262" s="2"/>
      <c r="Q262" s="2"/>
      <c r="R262" s="2"/>
    </row>
    <row r="263">
      <c r="A263" s="2"/>
      <c r="B263" s="2"/>
      <c r="C263" s="2"/>
      <c r="D263" s="2"/>
      <c r="E263" s="2"/>
      <c r="F263" s="2"/>
      <c r="G263" s="2"/>
      <c r="H263" s="2"/>
      <c r="I263" s="2"/>
      <c r="J263" s="2"/>
      <c r="K263" s="2"/>
      <c r="L263" s="2"/>
      <c r="M263" s="2"/>
      <c r="N263" s="2"/>
      <c r="O263" s="2"/>
      <c r="P263" s="2"/>
      <c r="Q263" s="2"/>
      <c r="R263" s="2"/>
    </row>
    <row r="264">
      <c r="A264" s="2"/>
      <c r="B264" s="2"/>
      <c r="C264" s="2"/>
      <c r="D264" s="2"/>
      <c r="E264" s="2"/>
      <c r="F264" s="2"/>
      <c r="G264" s="2"/>
      <c r="H264" s="2"/>
      <c r="I264" s="2"/>
      <c r="J264" s="2"/>
      <c r="K264" s="2"/>
      <c r="L264" s="2"/>
      <c r="M264" s="2"/>
      <c r="N264" s="2"/>
      <c r="O264" s="2"/>
      <c r="P264" s="2"/>
      <c r="Q264" s="2"/>
      <c r="R264" s="2"/>
    </row>
    <row r="265">
      <c r="A265" s="2"/>
      <c r="B265" s="2"/>
      <c r="C265" s="2"/>
      <c r="D265" s="2"/>
      <c r="E265" s="2"/>
      <c r="F265" s="2"/>
      <c r="G265" s="2"/>
      <c r="H265" s="2"/>
      <c r="I265" s="2"/>
      <c r="J265" s="2"/>
      <c r="K265" s="2"/>
      <c r="L265" s="2"/>
      <c r="M265" s="2"/>
      <c r="N265" s="2"/>
      <c r="O265" s="2"/>
      <c r="P265" s="2"/>
      <c r="Q265" s="2"/>
      <c r="R265" s="2"/>
    </row>
    <row r="266">
      <c r="A266" s="2"/>
      <c r="B266" s="2"/>
      <c r="C266" s="2"/>
      <c r="D266" s="2"/>
      <c r="E266" s="2"/>
      <c r="F266" s="2"/>
      <c r="G266" s="2"/>
      <c r="H266" s="2"/>
      <c r="I266" s="2"/>
      <c r="J266" s="2"/>
      <c r="K266" s="2"/>
      <c r="L266" s="2"/>
      <c r="M266" s="2"/>
      <c r="N266" s="2"/>
      <c r="O266" s="2"/>
      <c r="P266" s="2"/>
      <c r="Q266" s="2"/>
      <c r="R266" s="2"/>
    </row>
    <row r="267">
      <c r="A267" s="2"/>
      <c r="B267" s="2"/>
      <c r="C267" s="2"/>
      <c r="D267" s="2"/>
      <c r="E267" s="2"/>
      <c r="F267" s="2"/>
      <c r="G267" s="2"/>
      <c r="H267" s="2"/>
      <c r="I267" s="2"/>
      <c r="J267" s="2"/>
      <c r="K267" s="2"/>
      <c r="L267" s="2"/>
      <c r="M267" s="2"/>
      <c r="N267" s="2"/>
      <c r="O267" s="2"/>
      <c r="P267" s="2"/>
      <c r="Q267" s="2"/>
      <c r="R267" s="2"/>
    </row>
    <row r="268">
      <c r="A268" s="2"/>
      <c r="B268" s="2"/>
      <c r="C268" s="2"/>
      <c r="D268" s="2"/>
      <c r="E268" s="2"/>
      <c r="F268" s="2"/>
      <c r="G268" s="2"/>
      <c r="H268" s="2"/>
      <c r="I268" s="2"/>
      <c r="J268" s="2"/>
      <c r="K268" s="2"/>
      <c r="L268" s="2"/>
      <c r="M268" s="2"/>
      <c r="N268" s="2"/>
      <c r="O268" s="2"/>
      <c r="P268" s="2"/>
      <c r="Q268" s="2"/>
      <c r="R268" s="2"/>
    </row>
    <row r="269">
      <c r="A269" s="2"/>
      <c r="B269" s="2"/>
      <c r="C269" s="2"/>
      <c r="D269" s="2"/>
      <c r="E269" s="2"/>
      <c r="F269" s="2"/>
      <c r="G269" s="2"/>
      <c r="H269" s="2"/>
      <c r="I269" s="2"/>
      <c r="J269" s="2"/>
      <c r="K269" s="2"/>
      <c r="L269" s="2"/>
      <c r="M269" s="2"/>
      <c r="N269" s="2"/>
      <c r="O269" s="2"/>
      <c r="P269" s="2"/>
      <c r="Q269" s="2"/>
      <c r="R269" s="2"/>
    </row>
    <row r="270">
      <c r="A270" s="2"/>
      <c r="B270" s="2"/>
      <c r="C270" s="2"/>
      <c r="D270" s="2"/>
      <c r="E270" s="2"/>
      <c r="F270" s="2"/>
      <c r="G270" s="2"/>
      <c r="H270" s="2"/>
      <c r="I270" s="2"/>
      <c r="J270" s="2"/>
      <c r="K270" s="2"/>
      <c r="L270" s="2"/>
      <c r="M270" s="2"/>
      <c r="N270" s="2"/>
      <c r="O270" s="2"/>
      <c r="P270" s="2"/>
      <c r="Q270" s="2"/>
      <c r="R270" s="2"/>
    </row>
    <row r="271">
      <c r="A271" s="2"/>
      <c r="B271" s="2"/>
      <c r="C271" s="2"/>
      <c r="D271" s="2"/>
      <c r="E271" s="2"/>
      <c r="F271" s="2"/>
      <c r="G271" s="2"/>
      <c r="H271" s="2"/>
      <c r="I271" s="2"/>
      <c r="J271" s="2"/>
      <c r="K271" s="2"/>
      <c r="L271" s="2"/>
      <c r="M271" s="2"/>
      <c r="N271" s="2"/>
      <c r="O271" s="2"/>
      <c r="P271" s="2"/>
      <c r="Q271" s="2"/>
      <c r="R271" s="2"/>
    </row>
    <row r="272">
      <c r="A272" s="2"/>
      <c r="B272" s="2"/>
      <c r="C272" s="2"/>
      <c r="D272" s="2"/>
      <c r="E272" s="2"/>
      <c r="F272" s="2"/>
      <c r="G272" s="2"/>
      <c r="H272" s="2"/>
      <c r="I272" s="2"/>
      <c r="J272" s="2"/>
      <c r="K272" s="2"/>
      <c r="L272" s="2"/>
      <c r="M272" s="2"/>
      <c r="N272" s="2"/>
      <c r="O272" s="2"/>
      <c r="P272" s="2"/>
      <c r="Q272" s="2"/>
      <c r="R272" s="2"/>
    </row>
    <row r="273">
      <c r="A273" s="2"/>
      <c r="B273" s="2"/>
      <c r="C273" s="2"/>
      <c r="D273" s="2"/>
      <c r="E273" s="2"/>
      <c r="F273" s="2"/>
      <c r="G273" s="2"/>
      <c r="H273" s="2"/>
      <c r="I273" s="2"/>
      <c r="J273" s="2"/>
      <c r="K273" s="2"/>
      <c r="L273" s="2"/>
      <c r="M273" s="2"/>
      <c r="N273" s="2"/>
      <c r="O273" s="2"/>
      <c r="P273" s="2"/>
      <c r="Q273" s="2"/>
      <c r="R273" s="2"/>
    </row>
    <row r="274">
      <c r="A274" s="2"/>
      <c r="B274" s="2"/>
      <c r="C274" s="2"/>
      <c r="D274" s="2"/>
      <c r="E274" s="2"/>
      <c r="F274" s="2"/>
      <c r="G274" s="2"/>
      <c r="H274" s="2"/>
      <c r="I274" s="2"/>
      <c r="J274" s="2"/>
      <c r="K274" s="2"/>
      <c r="L274" s="2"/>
      <c r="M274" s="2"/>
      <c r="N274" s="2"/>
      <c r="O274" s="2"/>
      <c r="P274" s="2"/>
      <c r="Q274" s="2"/>
      <c r="R274" s="2"/>
    </row>
    <row r="275">
      <c r="A275" s="2"/>
      <c r="B275" s="2"/>
      <c r="C275" s="2"/>
      <c r="D275" s="2"/>
      <c r="E275" s="2"/>
      <c r="F275" s="2"/>
      <c r="G275" s="2"/>
      <c r="H275" s="2"/>
      <c r="I275" s="2"/>
      <c r="J275" s="2"/>
      <c r="K275" s="2"/>
      <c r="L275" s="2"/>
      <c r="M275" s="2"/>
      <c r="N275" s="2"/>
      <c r="O275" s="2"/>
      <c r="P275" s="2"/>
      <c r="Q275" s="2"/>
      <c r="R275" s="2"/>
    </row>
    <row r="276">
      <c r="A276" s="2"/>
      <c r="B276" s="2"/>
      <c r="C276" s="2"/>
      <c r="D276" s="2"/>
      <c r="E276" s="2"/>
      <c r="F276" s="2"/>
      <c r="G276" s="2"/>
      <c r="H276" s="2"/>
      <c r="I276" s="2"/>
      <c r="J276" s="2"/>
      <c r="K276" s="2"/>
      <c r="L276" s="2"/>
      <c r="M276" s="2"/>
      <c r="N276" s="2"/>
      <c r="O276" s="2"/>
      <c r="P276" s="2"/>
      <c r="Q276" s="2"/>
      <c r="R276" s="2"/>
    </row>
    <row r="277">
      <c r="A277" s="2"/>
      <c r="B277" s="2"/>
      <c r="C277" s="2"/>
      <c r="D277" s="2"/>
      <c r="E277" s="2"/>
      <c r="F277" s="2"/>
      <c r="G277" s="2"/>
      <c r="H277" s="2"/>
      <c r="I277" s="2"/>
      <c r="J277" s="2"/>
      <c r="K277" s="2"/>
      <c r="L277" s="2"/>
      <c r="M277" s="2"/>
      <c r="N277" s="2"/>
      <c r="O277" s="2"/>
      <c r="P277" s="2"/>
      <c r="Q277" s="2"/>
      <c r="R277" s="2"/>
    </row>
    <row r="278">
      <c r="A278" s="2"/>
      <c r="B278" s="2"/>
      <c r="C278" s="2"/>
      <c r="D278" s="2"/>
      <c r="E278" s="2"/>
      <c r="F278" s="2"/>
      <c r="G278" s="2"/>
      <c r="H278" s="2"/>
      <c r="I278" s="2"/>
      <c r="J278" s="2"/>
      <c r="K278" s="2"/>
      <c r="L278" s="2"/>
      <c r="M278" s="2"/>
      <c r="N278" s="2"/>
      <c r="O278" s="2"/>
      <c r="P278" s="2"/>
      <c r="Q278" s="2"/>
      <c r="R278" s="2"/>
    </row>
    <row r="279">
      <c r="A279" s="2"/>
      <c r="B279" s="2"/>
      <c r="C279" s="2"/>
      <c r="D279" s="2"/>
      <c r="E279" s="2"/>
      <c r="F279" s="2"/>
      <c r="G279" s="2"/>
      <c r="H279" s="2"/>
      <c r="I279" s="2"/>
      <c r="J279" s="2"/>
      <c r="K279" s="2"/>
      <c r="L279" s="2"/>
      <c r="M279" s="2"/>
      <c r="N279" s="2"/>
      <c r="O279" s="2"/>
      <c r="P279" s="2"/>
      <c r="Q279" s="2"/>
      <c r="R279" s="2"/>
    </row>
    <row r="280">
      <c r="A280" s="2"/>
      <c r="B280" s="2"/>
      <c r="C280" s="2"/>
      <c r="D280" s="2"/>
      <c r="E280" s="2"/>
      <c r="F280" s="2"/>
      <c r="G280" s="2"/>
      <c r="H280" s="2"/>
      <c r="I280" s="2"/>
      <c r="J280" s="2"/>
      <c r="K280" s="2"/>
      <c r="L280" s="2"/>
      <c r="M280" s="2"/>
      <c r="N280" s="2"/>
      <c r="O280" s="2"/>
      <c r="P280" s="2"/>
      <c r="Q280" s="2"/>
      <c r="R280" s="2"/>
    </row>
    <row r="281">
      <c r="A281" s="2"/>
      <c r="B281" s="2"/>
      <c r="C281" s="2"/>
      <c r="D281" s="2"/>
      <c r="E281" s="2"/>
      <c r="F281" s="2"/>
      <c r="G281" s="2"/>
      <c r="H281" s="2"/>
      <c r="I281" s="2"/>
      <c r="J281" s="2"/>
      <c r="K281" s="2"/>
      <c r="L281" s="2"/>
      <c r="M281" s="2"/>
      <c r="N281" s="2"/>
      <c r="O281" s="2"/>
      <c r="P281" s="2"/>
      <c r="Q281" s="2"/>
      <c r="R281" s="2"/>
    </row>
    <row r="282">
      <c r="A282" s="2"/>
      <c r="B282" s="2"/>
      <c r="C282" s="2"/>
      <c r="D282" s="2"/>
      <c r="E282" s="2"/>
      <c r="F282" s="2"/>
      <c r="G282" s="2"/>
      <c r="H282" s="2"/>
      <c r="I282" s="2"/>
      <c r="J282" s="2"/>
      <c r="K282" s="2"/>
      <c r="L282" s="2"/>
      <c r="M282" s="2"/>
      <c r="N282" s="2"/>
      <c r="O282" s="2"/>
      <c r="P282" s="2"/>
      <c r="Q282" s="2"/>
      <c r="R282" s="2"/>
    </row>
    <row r="283">
      <c r="A283" s="2"/>
      <c r="B283" s="2"/>
      <c r="C283" s="2"/>
      <c r="D283" s="2"/>
      <c r="E283" s="2"/>
      <c r="F283" s="2"/>
      <c r="G283" s="2"/>
      <c r="H283" s="2"/>
      <c r="I283" s="2"/>
      <c r="J283" s="2"/>
      <c r="K283" s="2"/>
      <c r="L283" s="2"/>
      <c r="M283" s="2"/>
      <c r="N283" s="2"/>
      <c r="O283" s="2"/>
      <c r="P283" s="2"/>
      <c r="Q283" s="2"/>
      <c r="R283" s="2"/>
    </row>
    <row r="284">
      <c r="A284" s="2"/>
      <c r="B284" s="2"/>
      <c r="C284" s="2"/>
      <c r="D284" s="2"/>
      <c r="E284" s="2"/>
      <c r="F284" s="2"/>
      <c r="G284" s="2"/>
      <c r="H284" s="2"/>
      <c r="I284" s="2"/>
      <c r="J284" s="2"/>
      <c r="K284" s="2"/>
      <c r="L284" s="2"/>
      <c r="M284" s="2"/>
      <c r="N284" s="2"/>
      <c r="O284" s="2"/>
      <c r="P284" s="2"/>
      <c r="Q284" s="2"/>
      <c r="R284" s="2"/>
    </row>
    <row r="285">
      <c r="A285" s="2"/>
      <c r="B285" s="2"/>
      <c r="C285" s="2"/>
      <c r="D285" s="2"/>
      <c r="E285" s="2"/>
      <c r="F285" s="2"/>
      <c r="G285" s="2"/>
      <c r="H285" s="2"/>
      <c r="I285" s="2"/>
      <c r="J285" s="2"/>
      <c r="K285" s="2"/>
      <c r="L285" s="2"/>
      <c r="M285" s="2"/>
      <c r="N285" s="2"/>
      <c r="O285" s="2"/>
      <c r="P285" s="2"/>
      <c r="Q285" s="2"/>
      <c r="R285" s="2"/>
    </row>
    <row r="286">
      <c r="A286" s="2"/>
      <c r="B286" s="2"/>
      <c r="C286" s="2"/>
      <c r="D286" s="2"/>
      <c r="E286" s="2"/>
      <c r="F286" s="2"/>
      <c r="G286" s="2"/>
      <c r="H286" s="2"/>
      <c r="I286" s="2"/>
      <c r="J286" s="2"/>
      <c r="K286" s="2"/>
      <c r="L286" s="2"/>
      <c r="M286" s="2"/>
      <c r="N286" s="2"/>
      <c r="O286" s="2"/>
      <c r="P286" s="2"/>
      <c r="Q286" s="2"/>
      <c r="R286" s="2"/>
    </row>
    <row r="287">
      <c r="A287" s="2"/>
      <c r="B287" s="2"/>
      <c r="C287" s="2"/>
      <c r="D287" s="2"/>
      <c r="E287" s="2"/>
      <c r="F287" s="2"/>
      <c r="G287" s="2"/>
      <c r="H287" s="2"/>
      <c r="I287" s="2"/>
      <c r="J287" s="2"/>
      <c r="K287" s="2"/>
      <c r="L287" s="2"/>
      <c r="M287" s="2"/>
      <c r="N287" s="2"/>
      <c r="O287" s="2"/>
      <c r="P287" s="2"/>
      <c r="Q287" s="2"/>
      <c r="R287" s="2"/>
    </row>
    <row r="288">
      <c r="A288" s="2"/>
      <c r="B288" s="2"/>
      <c r="C288" s="2"/>
      <c r="D288" s="2"/>
      <c r="E288" s="2"/>
      <c r="F288" s="2"/>
      <c r="G288" s="2"/>
      <c r="H288" s="2"/>
      <c r="I288" s="2"/>
      <c r="J288" s="2"/>
      <c r="K288" s="2"/>
      <c r="L288" s="2"/>
      <c r="M288" s="2"/>
      <c r="N288" s="2"/>
      <c r="O288" s="2"/>
      <c r="P288" s="2"/>
      <c r="Q288" s="2"/>
      <c r="R288" s="2"/>
    </row>
    <row r="289">
      <c r="A289" s="2"/>
      <c r="B289" s="2"/>
      <c r="C289" s="2"/>
      <c r="D289" s="2"/>
      <c r="E289" s="2"/>
      <c r="F289" s="2"/>
      <c r="G289" s="2"/>
      <c r="H289" s="2"/>
      <c r="I289" s="2"/>
      <c r="J289" s="2"/>
      <c r="K289" s="2"/>
      <c r="L289" s="2"/>
      <c r="M289" s="2"/>
      <c r="N289" s="2"/>
      <c r="O289" s="2"/>
      <c r="P289" s="2"/>
      <c r="Q289" s="2"/>
      <c r="R289" s="2"/>
    </row>
    <row r="290">
      <c r="A290" s="2"/>
      <c r="B290" s="2"/>
      <c r="C290" s="2"/>
      <c r="D290" s="2"/>
      <c r="E290" s="2"/>
      <c r="F290" s="2"/>
      <c r="G290" s="2"/>
      <c r="H290" s="2"/>
      <c r="I290" s="2"/>
      <c r="J290" s="2"/>
      <c r="K290" s="2"/>
      <c r="L290" s="2"/>
      <c r="M290" s="2"/>
      <c r="N290" s="2"/>
      <c r="O290" s="2"/>
      <c r="P290" s="2"/>
      <c r="Q290" s="2"/>
      <c r="R290" s="2"/>
    </row>
    <row r="291">
      <c r="A291" s="2"/>
      <c r="B291" s="2"/>
      <c r="C291" s="2"/>
      <c r="D291" s="2"/>
      <c r="E291" s="2"/>
      <c r="F291" s="2"/>
      <c r="G291" s="2"/>
      <c r="H291" s="2"/>
      <c r="I291" s="2"/>
      <c r="J291" s="2"/>
      <c r="K291" s="2"/>
      <c r="L291" s="2"/>
      <c r="M291" s="2"/>
      <c r="N291" s="2"/>
      <c r="O291" s="2"/>
      <c r="P291" s="2"/>
      <c r="Q291" s="2"/>
      <c r="R291" s="2"/>
    </row>
    <row r="292">
      <c r="A292" s="2"/>
      <c r="B292" s="2"/>
      <c r="C292" s="2"/>
      <c r="D292" s="2"/>
      <c r="E292" s="2"/>
      <c r="F292" s="2"/>
      <c r="G292" s="2"/>
      <c r="H292" s="2"/>
      <c r="I292" s="2"/>
      <c r="J292" s="2"/>
      <c r="K292" s="2"/>
      <c r="L292" s="2"/>
      <c r="M292" s="2"/>
      <c r="N292" s="2"/>
      <c r="O292" s="2"/>
      <c r="P292" s="2"/>
      <c r="Q292" s="2"/>
      <c r="R292" s="2"/>
    </row>
    <row r="293">
      <c r="A293" s="2"/>
      <c r="B293" s="2"/>
      <c r="C293" s="2"/>
      <c r="D293" s="2"/>
      <c r="E293" s="2"/>
      <c r="F293" s="2"/>
      <c r="G293" s="2"/>
      <c r="H293" s="2"/>
      <c r="I293" s="2"/>
      <c r="J293" s="2"/>
      <c r="K293" s="2"/>
      <c r="L293" s="2"/>
      <c r="M293" s="2"/>
      <c r="N293" s="2"/>
      <c r="O293" s="2"/>
      <c r="P293" s="2"/>
      <c r="Q293" s="2"/>
      <c r="R293" s="2"/>
    </row>
    <row r="294">
      <c r="A294" s="2"/>
      <c r="B294" s="2"/>
      <c r="C294" s="2"/>
      <c r="D294" s="2"/>
      <c r="E294" s="2"/>
      <c r="F294" s="2"/>
      <c r="G294" s="2"/>
      <c r="H294" s="2"/>
      <c r="I294" s="2"/>
      <c r="J294" s="2"/>
      <c r="K294" s="2"/>
      <c r="L294" s="2"/>
      <c r="M294" s="2"/>
      <c r="N294" s="2"/>
      <c r="O294" s="2"/>
      <c r="P294" s="2"/>
      <c r="Q294" s="2"/>
      <c r="R294" s="2"/>
    </row>
    <row r="295">
      <c r="A295" s="2"/>
      <c r="B295" s="2"/>
      <c r="C295" s="2"/>
      <c r="D295" s="2"/>
      <c r="E295" s="2"/>
      <c r="F295" s="2"/>
      <c r="G295" s="2"/>
      <c r="H295" s="2"/>
      <c r="I295" s="2"/>
      <c r="J295" s="2"/>
      <c r="K295" s="2"/>
      <c r="L295" s="2"/>
      <c r="M295" s="2"/>
      <c r="N295" s="2"/>
      <c r="O295" s="2"/>
      <c r="P295" s="2"/>
      <c r="Q295" s="2"/>
      <c r="R295" s="2"/>
    </row>
    <row r="296">
      <c r="A296" s="2"/>
      <c r="B296" s="2"/>
      <c r="C296" s="2"/>
      <c r="D296" s="2"/>
      <c r="E296" s="2"/>
      <c r="F296" s="2"/>
      <c r="G296" s="2"/>
      <c r="H296" s="2"/>
      <c r="I296" s="2"/>
      <c r="J296" s="2"/>
      <c r="K296" s="2"/>
      <c r="L296" s="2"/>
      <c r="M296" s="2"/>
      <c r="N296" s="2"/>
      <c r="O296" s="2"/>
      <c r="P296" s="2"/>
      <c r="Q296" s="2"/>
      <c r="R296" s="2"/>
    </row>
    <row r="297">
      <c r="A297" s="2"/>
      <c r="B297" s="2"/>
      <c r="C297" s="2"/>
      <c r="D297" s="2"/>
      <c r="E297" s="2"/>
      <c r="F297" s="2"/>
      <c r="G297" s="2"/>
      <c r="H297" s="2"/>
      <c r="I297" s="2"/>
      <c r="J297" s="2"/>
      <c r="K297" s="2"/>
      <c r="L297" s="2"/>
      <c r="M297" s="2"/>
      <c r="N297" s="2"/>
      <c r="O297" s="2"/>
      <c r="P297" s="2"/>
      <c r="Q297" s="2"/>
      <c r="R297" s="2"/>
    </row>
    <row r="298">
      <c r="A298" s="2"/>
      <c r="B298" s="2"/>
      <c r="C298" s="2"/>
      <c r="D298" s="2"/>
      <c r="E298" s="2"/>
      <c r="F298" s="2"/>
      <c r="G298" s="2"/>
      <c r="H298" s="2"/>
      <c r="I298" s="2"/>
      <c r="J298" s="2"/>
      <c r="K298" s="2"/>
      <c r="L298" s="2"/>
      <c r="M298" s="2"/>
      <c r="N298" s="2"/>
      <c r="O298" s="2"/>
      <c r="P298" s="2"/>
      <c r="Q298" s="2"/>
      <c r="R298" s="2"/>
    </row>
    <row r="299">
      <c r="A299" s="2"/>
      <c r="B299" s="2"/>
      <c r="C299" s="2"/>
      <c r="D299" s="2"/>
      <c r="E299" s="2"/>
      <c r="F299" s="2"/>
      <c r="G299" s="2"/>
      <c r="H299" s="2"/>
      <c r="I299" s="2"/>
      <c r="J299" s="2"/>
      <c r="K299" s="2"/>
      <c r="L299" s="2"/>
      <c r="M299" s="2"/>
      <c r="N299" s="2"/>
      <c r="O299" s="2"/>
      <c r="P299" s="2"/>
      <c r="Q299" s="2"/>
      <c r="R299" s="2"/>
    </row>
    <row r="300">
      <c r="A300" s="2"/>
      <c r="B300" s="2"/>
      <c r="C300" s="2"/>
      <c r="D300" s="2"/>
      <c r="E300" s="2"/>
      <c r="F300" s="2"/>
      <c r="G300" s="2"/>
      <c r="H300" s="2"/>
      <c r="I300" s="2"/>
      <c r="J300" s="2"/>
      <c r="K300" s="2"/>
      <c r="L300" s="2"/>
      <c r="M300" s="2"/>
      <c r="N300" s="2"/>
      <c r="O300" s="2"/>
      <c r="P300" s="2"/>
      <c r="Q300" s="2"/>
      <c r="R300" s="2"/>
    </row>
    <row r="301">
      <c r="A301" s="2"/>
      <c r="B301" s="2"/>
      <c r="C301" s="2"/>
      <c r="D301" s="2"/>
      <c r="E301" s="2"/>
      <c r="F301" s="2"/>
      <c r="G301" s="2"/>
      <c r="H301" s="2"/>
      <c r="I301" s="2"/>
      <c r="J301" s="2"/>
      <c r="K301" s="2"/>
      <c r="L301" s="2"/>
      <c r="M301" s="2"/>
      <c r="N301" s="2"/>
      <c r="O301" s="2"/>
      <c r="P301" s="2"/>
      <c r="Q301" s="2"/>
      <c r="R301" s="2"/>
    </row>
    <row r="302">
      <c r="A302" s="2"/>
      <c r="B302" s="2"/>
      <c r="C302" s="2"/>
      <c r="D302" s="2"/>
      <c r="E302" s="2"/>
      <c r="F302" s="2"/>
      <c r="G302" s="2"/>
      <c r="H302" s="2"/>
      <c r="I302" s="2"/>
      <c r="J302" s="2"/>
      <c r="K302" s="2"/>
      <c r="L302" s="2"/>
      <c r="M302" s="2"/>
      <c r="N302" s="2"/>
      <c r="O302" s="2"/>
      <c r="P302" s="2"/>
      <c r="Q302" s="2"/>
      <c r="R302" s="2"/>
    </row>
    <row r="303">
      <c r="A303" s="2"/>
      <c r="B303" s="2"/>
      <c r="C303" s="2"/>
      <c r="D303" s="2"/>
      <c r="E303" s="2"/>
      <c r="F303" s="2"/>
      <c r="G303" s="2"/>
      <c r="H303" s="2"/>
      <c r="I303" s="2"/>
      <c r="J303" s="2"/>
      <c r="K303" s="2"/>
      <c r="L303" s="2"/>
      <c r="M303" s="2"/>
      <c r="N303" s="2"/>
      <c r="O303" s="2"/>
      <c r="P303" s="2"/>
      <c r="Q303" s="2"/>
      <c r="R303" s="2"/>
    </row>
    <row r="304">
      <c r="A304" s="2"/>
      <c r="B304" s="2"/>
      <c r="C304" s="2"/>
      <c r="D304" s="2"/>
      <c r="E304" s="2"/>
      <c r="F304" s="2"/>
      <c r="G304" s="2"/>
      <c r="H304" s="2"/>
      <c r="I304" s="2"/>
      <c r="J304" s="2"/>
      <c r="K304" s="2"/>
      <c r="L304" s="2"/>
      <c r="M304" s="2"/>
      <c r="N304" s="2"/>
      <c r="O304" s="2"/>
      <c r="P304" s="2"/>
      <c r="Q304" s="2"/>
      <c r="R304" s="2"/>
    </row>
    <row r="305">
      <c r="A305" s="2"/>
      <c r="B305" s="2"/>
      <c r="C305" s="2"/>
      <c r="D305" s="2"/>
      <c r="E305" s="2"/>
      <c r="F305" s="2"/>
      <c r="G305" s="2"/>
      <c r="H305" s="2"/>
      <c r="I305" s="2"/>
      <c r="J305" s="2"/>
      <c r="K305" s="2"/>
      <c r="L305" s="2"/>
      <c r="M305" s="2"/>
      <c r="N305" s="2"/>
      <c r="O305" s="2"/>
      <c r="P305" s="2"/>
      <c r="Q305" s="2"/>
      <c r="R305" s="2"/>
    </row>
    <row r="306">
      <c r="A306" s="2"/>
      <c r="B306" s="2"/>
      <c r="C306" s="2"/>
      <c r="D306" s="2"/>
      <c r="E306" s="2"/>
      <c r="F306" s="2"/>
      <c r="G306" s="2"/>
      <c r="H306" s="2"/>
      <c r="I306" s="2"/>
      <c r="J306" s="2"/>
      <c r="K306" s="2"/>
      <c r="L306" s="2"/>
      <c r="M306" s="2"/>
      <c r="N306" s="2"/>
      <c r="O306" s="2"/>
      <c r="P306" s="2"/>
      <c r="Q306" s="2"/>
      <c r="R306" s="2"/>
    </row>
    <row r="307">
      <c r="A307" s="2"/>
      <c r="B307" s="2"/>
      <c r="C307" s="2"/>
      <c r="D307" s="2"/>
      <c r="E307" s="2"/>
      <c r="F307" s="2"/>
      <c r="G307" s="2"/>
      <c r="H307" s="2"/>
      <c r="I307" s="2"/>
      <c r="J307" s="2"/>
      <c r="K307" s="2"/>
      <c r="L307" s="2"/>
      <c r="M307" s="2"/>
      <c r="N307" s="2"/>
      <c r="O307" s="2"/>
      <c r="P307" s="2"/>
      <c r="Q307" s="2"/>
      <c r="R307" s="2"/>
    </row>
    <row r="308">
      <c r="A308" s="2"/>
      <c r="B308" s="2"/>
      <c r="C308" s="2"/>
      <c r="D308" s="2"/>
      <c r="E308" s="2"/>
      <c r="F308" s="2"/>
      <c r="G308" s="2"/>
      <c r="H308" s="2"/>
      <c r="I308" s="2"/>
      <c r="J308" s="2"/>
      <c r="K308" s="2"/>
      <c r="L308" s="2"/>
      <c r="M308" s="2"/>
      <c r="N308" s="2"/>
      <c r="O308" s="2"/>
      <c r="P308" s="2"/>
      <c r="Q308" s="2"/>
      <c r="R308" s="2"/>
    </row>
    <row r="309">
      <c r="A309" s="2"/>
      <c r="B309" s="2"/>
      <c r="C309" s="2"/>
      <c r="D309" s="2"/>
      <c r="E309" s="2"/>
      <c r="F309" s="2"/>
      <c r="G309" s="2"/>
      <c r="H309" s="2"/>
      <c r="I309" s="2"/>
      <c r="J309" s="2"/>
      <c r="K309" s="2"/>
      <c r="L309" s="2"/>
      <c r="M309" s="2"/>
      <c r="N309" s="2"/>
      <c r="O309" s="2"/>
      <c r="P309" s="2"/>
      <c r="Q309" s="2"/>
      <c r="R309" s="2"/>
    </row>
    <row r="310">
      <c r="A310" s="2"/>
      <c r="B310" s="2"/>
      <c r="C310" s="2"/>
      <c r="D310" s="2"/>
      <c r="E310" s="2"/>
      <c r="F310" s="2"/>
      <c r="G310" s="2"/>
      <c r="H310" s="2"/>
      <c r="I310" s="2"/>
      <c r="J310" s="2"/>
      <c r="K310" s="2"/>
      <c r="L310" s="2"/>
      <c r="M310" s="2"/>
      <c r="N310" s="2"/>
      <c r="O310" s="2"/>
      <c r="P310" s="2"/>
      <c r="Q310" s="2"/>
      <c r="R310" s="2"/>
    </row>
    <row r="311">
      <c r="A311" s="2"/>
      <c r="B311" s="2"/>
      <c r="C311" s="2"/>
      <c r="D311" s="2"/>
      <c r="E311" s="2"/>
      <c r="F311" s="2"/>
      <c r="G311" s="2"/>
      <c r="H311" s="2"/>
      <c r="I311" s="2"/>
      <c r="J311" s="2"/>
      <c r="K311" s="2"/>
      <c r="L311" s="2"/>
      <c r="M311" s="2"/>
      <c r="N311" s="2"/>
      <c r="O311" s="2"/>
      <c r="P311" s="2"/>
      <c r="Q311" s="2"/>
      <c r="R311" s="2"/>
    </row>
    <row r="312">
      <c r="A312" s="2"/>
      <c r="B312" s="2"/>
      <c r="C312" s="2"/>
      <c r="D312" s="2"/>
      <c r="E312" s="2"/>
      <c r="F312" s="2"/>
      <c r="G312" s="2"/>
      <c r="H312" s="2"/>
      <c r="I312" s="2"/>
      <c r="J312" s="2"/>
      <c r="K312" s="2"/>
      <c r="L312" s="2"/>
      <c r="M312" s="2"/>
      <c r="N312" s="2"/>
      <c r="O312" s="2"/>
      <c r="P312" s="2"/>
      <c r="Q312" s="2"/>
      <c r="R312" s="2"/>
    </row>
    <row r="313">
      <c r="A313" s="2"/>
      <c r="B313" s="2"/>
      <c r="C313" s="2"/>
      <c r="D313" s="2"/>
      <c r="E313" s="2"/>
      <c r="F313" s="2"/>
      <c r="G313" s="2"/>
      <c r="H313" s="2"/>
      <c r="I313" s="2"/>
      <c r="J313" s="2"/>
      <c r="K313" s="2"/>
      <c r="L313" s="2"/>
      <c r="M313" s="2"/>
      <c r="N313" s="2"/>
      <c r="O313" s="2"/>
      <c r="P313" s="2"/>
      <c r="Q313" s="2"/>
      <c r="R313" s="2"/>
    </row>
    <row r="314">
      <c r="A314" s="2"/>
      <c r="B314" s="2"/>
      <c r="C314" s="2"/>
      <c r="D314" s="2"/>
      <c r="E314" s="2"/>
      <c r="F314" s="2"/>
      <c r="G314" s="2"/>
      <c r="H314" s="2"/>
      <c r="I314" s="2"/>
      <c r="J314" s="2"/>
      <c r="K314" s="2"/>
      <c r="L314" s="2"/>
      <c r="M314" s="2"/>
      <c r="N314" s="2"/>
      <c r="O314" s="2"/>
      <c r="P314" s="2"/>
      <c r="Q314" s="2"/>
      <c r="R314" s="2"/>
    </row>
    <row r="315">
      <c r="A315" s="2"/>
      <c r="B315" s="2"/>
      <c r="C315" s="2"/>
      <c r="D315" s="2"/>
      <c r="E315" s="2"/>
      <c r="F315" s="2"/>
      <c r="G315" s="2"/>
      <c r="H315" s="2"/>
      <c r="I315" s="2"/>
      <c r="J315" s="2"/>
      <c r="K315" s="2"/>
      <c r="L315" s="2"/>
      <c r="M315" s="2"/>
      <c r="N315" s="2"/>
      <c r="O315" s="2"/>
      <c r="P315" s="2"/>
      <c r="Q315" s="2"/>
      <c r="R315" s="2"/>
    </row>
    <row r="316">
      <c r="A316" s="2"/>
      <c r="B316" s="2"/>
      <c r="C316" s="2"/>
      <c r="D316" s="2"/>
      <c r="E316" s="2"/>
      <c r="F316" s="2"/>
      <c r="G316" s="2"/>
      <c r="H316" s="2"/>
      <c r="I316" s="2"/>
      <c r="J316" s="2"/>
      <c r="K316" s="2"/>
      <c r="L316" s="2"/>
      <c r="M316" s="2"/>
      <c r="N316" s="2"/>
      <c r="O316" s="2"/>
      <c r="P316" s="2"/>
      <c r="Q316" s="2"/>
      <c r="R316" s="2"/>
    </row>
    <row r="317">
      <c r="A317" s="2"/>
      <c r="B317" s="2"/>
      <c r="C317" s="2"/>
      <c r="D317" s="2"/>
      <c r="E317" s="2"/>
      <c r="F317" s="2"/>
      <c r="G317" s="2"/>
      <c r="H317" s="2"/>
      <c r="I317" s="2"/>
      <c r="J317" s="2"/>
      <c r="K317" s="2"/>
      <c r="L317" s="2"/>
      <c r="M317" s="2"/>
      <c r="N317" s="2"/>
      <c r="O317" s="2"/>
      <c r="P317" s="2"/>
      <c r="Q317" s="2"/>
      <c r="R317" s="2"/>
    </row>
    <row r="318">
      <c r="A318" s="2"/>
      <c r="B318" s="2"/>
      <c r="C318" s="2"/>
      <c r="D318" s="2"/>
      <c r="E318" s="2"/>
      <c r="F318" s="2"/>
      <c r="G318" s="2"/>
      <c r="H318" s="2"/>
      <c r="I318" s="2"/>
      <c r="J318" s="2"/>
      <c r="K318" s="2"/>
      <c r="L318" s="2"/>
      <c r="M318" s="2"/>
      <c r="N318" s="2"/>
      <c r="O318" s="2"/>
      <c r="P318" s="2"/>
      <c r="Q318" s="2"/>
      <c r="R318" s="2"/>
    </row>
    <row r="319">
      <c r="A319" s="2"/>
      <c r="B319" s="2"/>
      <c r="C319" s="2"/>
      <c r="D319" s="2"/>
      <c r="E319" s="2"/>
      <c r="F319" s="2"/>
      <c r="G319" s="2"/>
      <c r="H319" s="2"/>
      <c r="I319" s="2"/>
      <c r="J319" s="2"/>
      <c r="K319" s="2"/>
      <c r="L319" s="2"/>
      <c r="M319" s="2"/>
      <c r="N319" s="2"/>
      <c r="O319" s="2"/>
      <c r="P319" s="2"/>
      <c r="Q319" s="2"/>
      <c r="R319" s="2"/>
    </row>
    <row r="320">
      <c r="A320" s="2"/>
      <c r="B320" s="2"/>
      <c r="C320" s="2"/>
      <c r="D320" s="2"/>
      <c r="E320" s="2"/>
      <c r="F320" s="2"/>
      <c r="G320" s="2"/>
      <c r="H320" s="2"/>
      <c r="I320" s="2"/>
      <c r="J320" s="2"/>
      <c r="K320" s="2"/>
      <c r="L320" s="2"/>
      <c r="M320" s="2"/>
      <c r="N320" s="2"/>
      <c r="O320" s="2"/>
      <c r="P320" s="2"/>
      <c r="Q320" s="2"/>
      <c r="R320" s="2"/>
    </row>
    <row r="321">
      <c r="A321" s="2"/>
      <c r="B321" s="2"/>
      <c r="C321" s="2"/>
      <c r="D321" s="2"/>
      <c r="E321" s="2"/>
      <c r="F321" s="2"/>
      <c r="G321" s="2"/>
      <c r="H321" s="2"/>
      <c r="I321" s="2"/>
      <c r="J321" s="2"/>
      <c r="K321" s="2"/>
      <c r="L321" s="2"/>
      <c r="M321" s="2"/>
      <c r="N321" s="2"/>
      <c r="O321" s="2"/>
      <c r="P321" s="2"/>
      <c r="Q321" s="2"/>
      <c r="R321" s="2"/>
    </row>
    <row r="322">
      <c r="A322" s="2"/>
      <c r="B322" s="2"/>
      <c r="C322" s="2"/>
      <c r="D322" s="2"/>
      <c r="E322" s="2"/>
      <c r="F322" s="2"/>
      <c r="G322" s="2"/>
      <c r="H322" s="2"/>
      <c r="I322" s="2"/>
      <c r="J322" s="2"/>
      <c r="K322" s="2"/>
      <c r="L322" s="2"/>
      <c r="M322" s="2"/>
      <c r="N322" s="2"/>
      <c r="O322" s="2"/>
      <c r="P322" s="2"/>
      <c r="Q322" s="2"/>
      <c r="R322" s="2"/>
    </row>
    <row r="323">
      <c r="A323" s="2"/>
      <c r="B323" s="2"/>
      <c r="C323" s="2"/>
      <c r="D323" s="2"/>
      <c r="E323" s="2"/>
      <c r="F323" s="2"/>
      <c r="G323" s="2"/>
      <c r="H323" s="2"/>
      <c r="I323" s="2"/>
      <c r="J323" s="2"/>
      <c r="K323" s="2"/>
      <c r="L323" s="2"/>
      <c r="M323" s="2"/>
      <c r="N323" s="2"/>
      <c r="O323" s="2"/>
      <c r="P323" s="2"/>
      <c r="Q323" s="2"/>
      <c r="R323" s="2"/>
    </row>
    <row r="324">
      <c r="A324" s="2"/>
      <c r="B324" s="2"/>
      <c r="C324" s="2"/>
      <c r="D324" s="2"/>
      <c r="E324" s="2"/>
      <c r="F324" s="2"/>
      <c r="G324" s="2"/>
      <c r="H324" s="2"/>
      <c r="I324" s="2"/>
      <c r="J324" s="2"/>
      <c r="K324" s="2"/>
      <c r="L324" s="2"/>
      <c r="M324" s="2"/>
      <c r="N324" s="2"/>
      <c r="O324" s="2"/>
      <c r="P324" s="2"/>
      <c r="Q324" s="2"/>
      <c r="R324" s="2"/>
    </row>
    <row r="325">
      <c r="A325" s="2"/>
      <c r="B325" s="2"/>
      <c r="C325" s="2"/>
      <c r="D325" s="2"/>
      <c r="E325" s="2"/>
      <c r="F325" s="2"/>
      <c r="G325" s="2"/>
      <c r="H325" s="2"/>
      <c r="I325" s="2"/>
      <c r="J325" s="2"/>
      <c r="K325" s="2"/>
      <c r="L325" s="2"/>
      <c r="M325" s="2"/>
      <c r="N325" s="2"/>
      <c r="O325" s="2"/>
      <c r="P325" s="2"/>
      <c r="Q325" s="2"/>
      <c r="R325" s="2"/>
    </row>
    <row r="326">
      <c r="A326" s="2"/>
      <c r="B326" s="2"/>
      <c r="C326" s="2"/>
      <c r="D326" s="2"/>
      <c r="E326" s="2"/>
      <c r="F326" s="2"/>
      <c r="G326" s="2"/>
      <c r="H326" s="2"/>
      <c r="I326" s="2"/>
      <c r="J326" s="2"/>
      <c r="K326" s="2"/>
      <c r="L326" s="2"/>
      <c r="M326" s="2"/>
      <c r="N326" s="2"/>
      <c r="O326" s="2"/>
      <c r="P326" s="2"/>
      <c r="Q326" s="2"/>
      <c r="R326" s="2"/>
    </row>
    <row r="327">
      <c r="A327" s="2"/>
      <c r="B327" s="2"/>
      <c r="C327" s="2"/>
      <c r="D327" s="2"/>
      <c r="E327" s="2"/>
      <c r="F327" s="2"/>
      <c r="G327" s="2"/>
      <c r="H327" s="2"/>
      <c r="I327" s="2"/>
      <c r="J327" s="2"/>
      <c r="K327" s="2"/>
      <c r="L327" s="2"/>
      <c r="M327" s="2"/>
      <c r="N327" s="2"/>
      <c r="O327" s="2"/>
      <c r="P327" s="2"/>
      <c r="Q327" s="2"/>
      <c r="R327" s="2"/>
    </row>
    <row r="328">
      <c r="A328" s="2"/>
      <c r="B328" s="2"/>
      <c r="C328" s="2"/>
      <c r="D328" s="2"/>
      <c r="E328" s="2"/>
      <c r="F328" s="2"/>
      <c r="G328" s="2"/>
      <c r="H328" s="2"/>
      <c r="I328" s="2"/>
      <c r="J328" s="2"/>
      <c r="K328" s="2"/>
      <c r="L328" s="2"/>
      <c r="M328" s="2"/>
      <c r="N328" s="2"/>
      <c r="O328" s="2"/>
      <c r="P328" s="2"/>
      <c r="Q328" s="2"/>
      <c r="R328" s="2"/>
    </row>
    <row r="329">
      <c r="A329" s="2"/>
      <c r="B329" s="2"/>
      <c r="C329" s="2"/>
      <c r="D329" s="2"/>
      <c r="E329" s="2"/>
      <c r="F329" s="2"/>
      <c r="G329" s="2"/>
      <c r="H329" s="2"/>
      <c r="I329" s="2"/>
      <c r="J329" s="2"/>
      <c r="K329" s="2"/>
      <c r="L329" s="2"/>
      <c r="M329" s="2"/>
      <c r="N329" s="2"/>
      <c r="O329" s="2"/>
      <c r="P329" s="2"/>
      <c r="Q329" s="2"/>
      <c r="R329" s="2"/>
    </row>
    <row r="330">
      <c r="A330" s="2"/>
      <c r="B330" s="2"/>
      <c r="C330" s="2"/>
      <c r="D330" s="2"/>
      <c r="E330" s="2"/>
      <c r="F330" s="2"/>
      <c r="G330" s="2"/>
      <c r="H330" s="2"/>
      <c r="I330" s="2"/>
      <c r="J330" s="2"/>
      <c r="K330" s="2"/>
      <c r="L330" s="2"/>
      <c r="M330" s="2"/>
      <c r="N330" s="2"/>
      <c r="O330" s="2"/>
      <c r="P330" s="2"/>
      <c r="Q330" s="2"/>
      <c r="R330" s="2"/>
    </row>
    <row r="331">
      <c r="A331" s="2"/>
      <c r="B331" s="2"/>
      <c r="C331" s="2"/>
      <c r="D331" s="2"/>
      <c r="E331" s="2"/>
      <c r="F331" s="2"/>
      <c r="G331" s="2"/>
      <c r="H331" s="2"/>
      <c r="I331" s="2"/>
      <c r="J331" s="2"/>
      <c r="K331" s="2"/>
      <c r="L331" s="2"/>
      <c r="M331" s="2"/>
      <c r="N331" s="2"/>
      <c r="O331" s="2"/>
      <c r="P331" s="2"/>
      <c r="Q331" s="2"/>
      <c r="R331" s="2"/>
    </row>
    <row r="332">
      <c r="A332" s="2"/>
      <c r="B332" s="2"/>
      <c r="C332" s="2"/>
      <c r="D332" s="2"/>
      <c r="E332" s="2"/>
      <c r="F332" s="2"/>
      <c r="G332" s="2"/>
      <c r="H332" s="2"/>
      <c r="I332" s="2"/>
      <c r="J332" s="2"/>
      <c r="K332" s="2"/>
      <c r="L332" s="2"/>
      <c r="M332" s="2"/>
      <c r="N332" s="2"/>
      <c r="O332" s="2"/>
      <c r="P332" s="2"/>
      <c r="Q332" s="2"/>
      <c r="R332" s="2"/>
    </row>
    <row r="333">
      <c r="A333" s="2"/>
      <c r="B333" s="2"/>
      <c r="C333" s="2"/>
      <c r="D333" s="2"/>
      <c r="E333" s="2"/>
      <c r="F333" s="2"/>
      <c r="G333" s="2"/>
      <c r="H333" s="2"/>
      <c r="I333" s="2"/>
      <c r="J333" s="2"/>
      <c r="K333" s="2"/>
      <c r="L333" s="2"/>
      <c r="M333" s="2"/>
      <c r="N333" s="2"/>
      <c r="O333" s="2"/>
      <c r="P333" s="2"/>
      <c r="Q333" s="2"/>
      <c r="R333" s="2"/>
    </row>
    <row r="334">
      <c r="A334" s="2"/>
      <c r="B334" s="2"/>
      <c r="C334" s="2"/>
      <c r="D334" s="2"/>
      <c r="E334" s="2"/>
      <c r="F334" s="2"/>
      <c r="G334" s="2"/>
      <c r="H334" s="2"/>
      <c r="I334" s="2"/>
      <c r="J334" s="2"/>
      <c r="K334" s="2"/>
      <c r="L334" s="2"/>
      <c r="M334" s="2"/>
      <c r="N334" s="2"/>
      <c r="O334" s="2"/>
      <c r="P334" s="2"/>
      <c r="Q334" s="2"/>
      <c r="R334" s="2"/>
    </row>
    <row r="335">
      <c r="A335" s="2"/>
      <c r="B335" s="2"/>
      <c r="C335" s="2"/>
      <c r="D335" s="2"/>
      <c r="E335" s="2"/>
      <c r="F335" s="2"/>
      <c r="G335" s="2"/>
      <c r="H335" s="2"/>
      <c r="I335" s="2"/>
      <c r="J335" s="2"/>
      <c r="K335" s="2"/>
      <c r="L335" s="2"/>
      <c r="M335" s="2"/>
      <c r="N335" s="2"/>
      <c r="O335" s="2"/>
      <c r="P335" s="2"/>
      <c r="Q335" s="2"/>
      <c r="R335" s="2"/>
    </row>
    <row r="336">
      <c r="A336" s="2"/>
      <c r="B336" s="2"/>
      <c r="C336" s="2"/>
      <c r="D336" s="2"/>
      <c r="E336" s="2"/>
      <c r="F336" s="2"/>
      <c r="G336" s="2"/>
      <c r="H336" s="2"/>
      <c r="I336" s="2"/>
      <c r="J336" s="2"/>
      <c r="K336" s="2"/>
      <c r="L336" s="2"/>
      <c r="M336" s="2"/>
      <c r="N336" s="2"/>
      <c r="O336" s="2"/>
      <c r="P336" s="2"/>
      <c r="Q336" s="2"/>
      <c r="R336" s="2"/>
    </row>
    <row r="337">
      <c r="A337" s="2"/>
      <c r="B337" s="2"/>
      <c r="C337" s="2"/>
      <c r="D337" s="2"/>
      <c r="E337" s="2"/>
      <c r="F337" s="2"/>
      <c r="G337" s="2"/>
      <c r="H337" s="2"/>
      <c r="I337" s="2"/>
      <c r="J337" s="2"/>
      <c r="K337" s="2"/>
      <c r="L337" s="2"/>
      <c r="M337" s="2"/>
      <c r="N337" s="2"/>
      <c r="O337" s="2"/>
      <c r="P337" s="2"/>
      <c r="Q337" s="2"/>
      <c r="R337" s="2"/>
    </row>
    <row r="338">
      <c r="A338" s="2"/>
      <c r="B338" s="2"/>
      <c r="C338" s="2"/>
      <c r="D338" s="2"/>
      <c r="E338" s="2"/>
      <c r="F338" s="2"/>
      <c r="G338" s="2"/>
      <c r="H338" s="2"/>
      <c r="I338" s="2"/>
      <c r="J338" s="2"/>
      <c r="K338" s="2"/>
      <c r="L338" s="2"/>
      <c r="M338" s="2"/>
      <c r="N338" s="2"/>
      <c r="O338" s="2"/>
      <c r="P338" s="2"/>
      <c r="Q338" s="2"/>
      <c r="R338" s="2"/>
    </row>
    <row r="339">
      <c r="A339" s="2"/>
      <c r="B339" s="2"/>
      <c r="C339" s="2"/>
      <c r="D339" s="2"/>
      <c r="E339" s="2"/>
      <c r="F339" s="2"/>
      <c r="G339" s="2"/>
      <c r="H339" s="2"/>
      <c r="I339" s="2"/>
      <c r="J339" s="2"/>
      <c r="K339" s="2"/>
      <c r="L339" s="2"/>
      <c r="M339" s="2"/>
      <c r="N339" s="2"/>
      <c r="O339" s="2"/>
      <c r="P339" s="2"/>
      <c r="Q339" s="2"/>
      <c r="R339" s="2"/>
    </row>
    <row r="340">
      <c r="A340" s="2"/>
      <c r="B340" s="2"/>
      <c r="C340" s="2"/>
      <c r="D340" s="2"/>
      <c r="E340" s="2"/>
      <c r="F340" s="2"/>
      <c r="G340" s="2"/>
      <c r="H340" s="2"/>
      <c r="I340" s="2"/>
      <c r="J340" s="2"/>
      <c r="K340" s="2"/>
      <c r="L340" s="2"/>
      <c r="M340" s="2"/>
      <c r="N340" s="2"/>
      <c r="O340" s="2"/>
      <c r="P340" s="2"/>
      <c r="Q340" s="2"/>
      <c r="R340" s="2"/>
    </row>
    <row r="341">
      <c r="A341" s="2"/>
      <c r="B341" s="2"/>
      <c r="C341" s="2"/>
      <c r="D341" s="2"/>
      <c r="E341" s="2"/>
      <c r="F341" s="2"/>
      <c r="G341" s="2"/>
      <c r="H341" s="2"/>
      <c r="I341" s="2"/>
      <c r="J341" s="2"/>
      <c r="K341" s="2"/>
      <c r="L341" s="2"/>
      <c r="M341" s="2"/>
      <c r="N341" s="2"/>
      <c r="O341" s="2"/>
      <c r="P341" s="2"/>
      <c r="Q341" s="2"/>
      <c r="R341" s="2"/>
    </row>
    <row r="342">
      <c r="A342" s="2"/>
      <c r="B342" s="2"/>
      <c r="C342" s="2"/>
      <c r="D342" s="2"/>
      <c r="E342" s="2"/>
      <c r="F342" s="2"/>
      <c r="G342" s="2"/>
      <c r="H342" s="2"/>
      <c r="I342" s="2"/>
      <c r="J342" s="2"/>
      <c r="K342" s="2"/>
      <c r="L342" s="2"/>
      <c r="M342" s="2"/>
      <c r="N342" s="2"/>
      <c r="O342" s="2"/>
      <c r="P342" s="2"/>
      <c r="Q342" s="2"/>
      <c r="R342" s="2"/>
    </row>
    <row r="343">
      <c r="A343" s="2"/>
      <c r="B343" s="2"/>
      <c r="C343" s="2"/>
      <c r="D343" s="2"/>
      <c r="E343" s="2"/>
      <c r="F343" s="2"/>
      <c r="G343" s="2"/>
      <c r="H343" s="2"/>
      <c r="I343" s="2"/>
      <c r="J343" s="2"/>
      <c r="K343" s="2"/>
      <c r="L343" s="2"/>
      <c r="M343" s="2"/>
      <c r="N343" s="2"/>
      <c r="O343" s="2"/>
      <c r="P343" s="2"/>
      <c r="Q343" s="2"/>
      <c r="R343" s="2"/>
    </row>
    <row r="344">
      <c r="A344" s="2"/>
      <c r="B344" s="2"/>
      <c r="C344" s="2"/>
      <c r="D344" s="2"/>
      <c r="E344" s="2"/>
      <c r="F344" s="2"/>
      <c r="G344" s="2"/>
      <c r="H344" s="2"/>
      <c r="I344" s="2"/>
      <c r="J344" s="2"/>
      <c r="K344" s="2"/>
      <c r="L344" s="2"/>
      <c r="M344" s="2"/>
      <c r="N344" s="2"/>
      <c r="O344" s="2"/>
      <c r="P344" s="2"/>
      <c r="Q344" s="2"/>
      <c r="R344" s="2"/>
    </row>
    <row r="345">
      <c r="A345" s="2"/>
      <c r="B345" s="2"/>
      <c r="C345" s="2"/>
      <c r="D345" s="2"/>
      <c r="E345" s="2"/>
      <c r="F345" s="2"/>
      <c r="G345" s="2"/>
      <c r="H345" s="2"/>
      <c r="I345" s="2"/>
      <c r="J345" s="2"/>
      <c r="K345" s="2"/>
      <c r="L345" s="2"/>
      <c r="M345" s="2"/>
      <c r="N345" s="2"/>
      <c r="O345" s="2"/>
      <c r="P345" s="2"/>
      <c r="Q345" s="2"/>
      <c r="R345" s="2"/>
    </row>
    <row r="346">
      <c r="A346" s="2"/>
      <c r="B346" s="2"/>
      <c r="C346" s="2"/>
      <c r="D346" s="2"/>
      <c r="E346" s="2"/>
      <c r="F346" s="2"/>
      <c r="G346" s="2"/>
      <c r="H346" s="2"/>
      <c r="I346" s="2"/>
      <c r="J346" s="2"/>
      <c r="K346" s="2"/>
      <c r="L346" s="2"/>
      <c r="M346" s="2"/>
      <c r="N346" s="2"/>
      <c r="O346" s="2"/>
      <c r="P346" s="2"/>
      <c r="Q346" s="2"/>
      <c r="R346" s="2"/>
    </row>
    <row r="347">
      <c r="A347" s="2"/>
      <c r="B347" s="2"/>
      <c r="C347" s="2"/>
      <c r="D347" s="2"/>
      <c r="E347" s="2"/>
      <c r="F347" s="2"/>
      <c r="G347" s="2"/>
      <c r="H347" s="2"/>
      <c r="I347" s="2"/>
      <c r="J347" s="2"/>
      <c r="K347" s="2"/>
      <c r="L347" s="2"/>
      <c r="M347" s="2"/>
      <c r="N347" s="2"/>
      <c r="O347" s="2"/>
      <c r="P347" s="2"/>
      <c r="Q347" s="2"/>
      <c r="R347" s="2"/>
    </row>
    <row r="348">
      <c r="A348" s="2"/>
      <c r="B348" s="2"/>
      <c r="C348" s="2"/>
      <c r="D348" s="2"/>
      <c r="E348" s="2"/>
      <c r="F348" s="2"/>
      <c r="G348" s="2"/>
      <c r="H348" s="2"/>
      <c r="I348" s="2"/>
      <c r="J348" s="2"/>
      <c r="K348" s="2"/>
      <c r="L348" s="2"/>
      <c r="M348" s="2"/>
      <c r="N348" s="2"/>
      <c r="O348" s="2"/>
      <c r="P348" s="2"/>
      <c r="Q348" s="2"/>
      <c r="R348" s="2"/>
    </row>
    <row r="349">
      <c r="A349" s="2"/>
      <c r="B349" s="2"/>
      <c r="C349" s="2"/>
      <c r="D349" s="2"/>
      <c r="E349" s="2"/>
      <c r="F349" s="2"/>
      <c r="G349" s="2"/>
      <c r="H349" s="2"/>
      <c r="I349" s="2"/>
      <c r="J349" s="2"/>
      <c r="K349" s="2"/>
      <c r="L349" s="2"/>
      <c r="M349" s="2"/>
      <c r="N349" s="2"/>
      <c r="O349" s="2"/>
      <c r="P349" s="2"/>
      <c r="Q349" s="2"/>
      <c r="R349" s="2"/>
    </row>
    <row r="350">
      <c r="A350" s="2"/>
      <c r="B350" s="2"/>
      <c r="C350" s="2"/>
      <c r="D350" s="2"/>
      <c r="E350" s="2"/>
      <c r="F350" s="2"/>
      <c r="G350" s="2"/>
      <c r="H350" s="2"/>
      <c r="I350" s="2"/>
      <c r="J350" s="2"/>
      <c r="K350" s="2"/>
      <c r="L350" s="2"/>
      <c r="M350" s="2"/>
      <c r="N350" s="2"/>
      <c r="O350" s="2"/>
      <c r="P350" s="2"/>
      <c r="Q350" s="2"/>
      <c r="R350" s="2"/>
    </row>
    <row r="351">
      <c r="A351" s="2"/>
      <c r="B351" s="2"/>
      <c r="C351" s="2"/>
      <c r="D351" s="2"/>
      <c r="E351" s="2"/>
      <c r="F351" s="2"/>
      <c r="G351" s="2"/>
      <c r="H351" s="2"/>
      <c r="I351" s="2"/>
      <c r="J351" s="2"/>
      <c r="K351" s="2"/>
      <c r="L351" s="2"/>
      <c r="M351" s="2"/>
      <c r="N351" s="2"/>
      <c r="O351" s="2"/>
      <c r="P351" s="2"/>
      <c r="Q351" s="2"/>
      <c r="R351" s="2"/>
    </row>
    <row r="352">
      <c r="A352" s="2"/>
      <c r="B352" s="2"/>
      <c r="C352" s="2"/>
      <c r="D352" s="2"/>
      <c r="E352" s="2"/>
      <c r="F352" s="2"/>
      <c r="G352" s="2"/>
      <c r="H352" s="2"/>
      <c r="I352" s="2"/>
      <c r="J352" s="2"/>
      <c r="K352" s="2"/>
      <c r="L352" s="2"/>
      <c r="M352" s="2"/>
      <c r="N352" s="2"/>
      <c r="O352" s="2"/>
      <c r="P352" s="2"/>
      <c r="Q352" s="2"/>
      <c r="R352" s="2"/>
    </row>
    <row r="353">
      <c r="A353" s="2"/>
      <c r="B353" s="2"/>
      <c r="C353" s="2"/>
      <c r="D353" s="2"/>
      <c r="E353" s="2"/>
      <c r="F353" s="2"/>
      <c r="G353" s="2"/>
      <c r="H353" s="2"/>
      <c r="I353" s="2"/>
      <c r="J353" s="2"/>
      <c r="K353" s="2"/>
      <c r="L353" s="2"/>
      <c r="M353" s="2"/>
      <c r="N353" s="2"/>
      <c r="O353" s="2"/>
      <c r="P353" s="2"/>
      <c r="Q353" s="2"/>
      <c r="R353" s="2"/>
    </row>
    <row r="354">
      <c r="A354" s="2"/>
      <c r="B354" s="2"/>
      <c r="C354" s="2"/>
      <c r="D354" s="2"/>
      <c r="E354" s="2"/>
      <c r="F354" s="2"/>
      <c r="G354" s="2"/>
      <c r="H354" s="2"/>
      <c r="I354" s="2"/>
      <c r="J354" s="2"/>
      <c r="K354" s="2"/>
      <c r="L354" s="2"/>
      <c r="M354" s="2"/>
      <c r="N354" s="2"/>
      <c r="O354" s="2"/>
      <c r="P354" s="2"/>
      <c r="Q354" s="2"/>
      <c r="R354" s="2"/>
    </row>
    <row r="355">
      <c r="A355" s="2"/>
      <c r="B355" s="2"/>
      <c r="C355" s="2"/>
      <c r="D355" s="2"/>
      <c r="E355" s="2"/>
      <c r="F355" s="2"/>
      <c r="G355" s="2"/>
      <c r="H355" s="2"/>
      <c r="I355" s="2"/>
      <c r="J355" s="2"/>
      <c r="K355" s="2"/>
      <c r="L355" s="2"/>
      <c r="M355" s="2"/>
      <c r="N355" s="2"/>
      <c r="O355" s="2"/>
      <c r="P355" s="2"/>
      <c r="Q355" s="2"/>
      <c r="R355" s="2"/>
    </row>
    <row r="356">
      <c r="A356" s="2"/>
      <c r="B356" s="2"/>
      <c r="C356" s="2"/>
      <c r="D356" s="2"/>
      <c r="E356" s="2"/>
      <c r="F356" s="2"/>
      <c r="G356" s="2"/>
      <c r="H356" s="2"/>
      <c r="I356" s="2"/>
      <c r="J356" s="2"/>
      <c r="K356" s="2"/>
      <c r="L356" s="2"/>
      <c r="M356" s="2"/>
      <c r="N356" s="2"/>
      <c r="O356" s="2"/>
      <c r="P356" s="2"/>
      <c r="Q356" s="2"/>
      <c r="R356" s="2"/>
    </row>
    <row r="357">
      <c r="A357" s="2"/>
      <c r="B357" s="2"/>
      <c r="C357" s="2"/>
      <c r="D357" s="2"/>
      <c r="E357" s="2"/>
      <c r="F357" s="2"/>
      <c r="G357" s="2"/>
      <c r="H357" s="2"/>
      <c r="I357" s="2"/>
      <c r="J357" s="2"/>
      <c r="K357" s="2"/>
      <c r="L357" s="2"/>
      <c r="M357" s="2"/>
      <c r="N357" s="2"/>
      <c r="O357" s="2"/>
      <c r="P357" s="2"/>
      <c r="Q357" s="2"/>
      <c r="R357" s="2"/>
    </row>
    <row r="358">
      <c r="A358" s="2"/>
      <c r="B358" s="2"/>
      <c r="C358" s="2"/>
      <c r="D358" s="2"/>
      <c r="E358" s="2"/>
      <c r="F358" s="2"/>
      <c r="G358" s="2"/>
      <c r="H358" s="2"/>
      <c r="I358" s="2"/>
      <c r="J358" s="2"/>
      <c r="K358" s="2"/>
      <c r="L358" s="2"/>
      <c r="M358" s="2"/>
      <c r="N358" s="2"/>
      <c r="O358" s="2"/>
      <c r="P358" s="2"/>
      <c r="Q358" s="2"/>
      <c r="R358" s="2"/>
    </row>
    <row r="359">
      <c r="A359" s="2"/>
      <c r="B359" s="2"/>
      <c r="C359" s="2"/>
      <c r="D359" s="2"/>
      <c r="E359" s="2"/>
      <c r="F359" s="2"/>
      <c r="G359" s="2"/>
      <c r="H359" s="2"/>
      <c r="I359" s="2"/>
      <c r="J359" s="2"/>
      <c r="K359" s="2"/>
      <c r="L359" s="2"/>
      <c r="M359" s="2"/>
      <c r="N359" s="2"/>
      <c r="O359" s="2"/>
      <c r="P359" s="2"/>
      <c r="Q359" s="2"/>
      <c r="R359" s="2"/>
    </row>
    <row r="360">
      <c r="A360" s="2"/>
      <c r="B360" s="2"/>
      <c r="C360" s="2"/>
      <c r="D360" s="2"/>
      <c r="E360" s="2"/>
      <c r="F360" s="2"/>
      <c r="G360" s="2"/>
      <c r="H360" s="2"/>
      <c r="I360" s="2"/>
      <c r="J360" s="2"/>
      <c r="K360" s="2"/>
      <c r="L360" s="2"/>
      <c r="M360" s="2"/>
      <c r="N360" s="2"/>
      <c r="O360" s="2"/>
      <c r="P360" s="2"/>
      <c r="Q360" s="2"/>
      <c r="R360" s="2"/>
    </row>
    <row r="361">
      <c r="A361" s="2"/>
      <c r="B361" s="2"/>
      <c r="C361" s="2"/>
      <c r="D361" s="2"/>
      <c r="E361" s="2"/>
      <c r="F361" s="2"/>
      <c r="G361" s="2"/>
      <c r="H361" s="2"/>
      <c r="I361" s="2"/>
      <c r="J361" s="2"/>
      <c r="K361" s="2"/>
      <c r="L361" s="2"/>
      <c r="M361" s="2"/>
      <c r="N361" s="2"/>
      <c r="O361" s="2"/>
      <c r="P361" s="2"/>
      <c r="Q361" s="2"/>
      <c r="R361" s="2"/>
    </row>
    <row r="362">
      <c r="A362" s="2"/>
      <c r="B362" s="2"/>
      <c r="C362" s="2"/>
      <c r="D362" s="2"/>
      <c r="E362" s="2"/>
      <c r="F362" s="2"/>
      <c r="G362" s="2"/>
      <c r="H362" s="2"/>
      <c r="I362" s="2"/>
      <c r="J362" s="2"/>
      <c r="K362" s="2"/>
      <c r="L362" s="2"/>
      <c r="M362" s="2"/>
      <c r="N362" s="2"/>
      <c r="O362" s="2"/>
      <c r="P362" s="2"/>
      <c r="Q362" s="2"/>
      <c r="R362" s="2"/>
    </row>
    <row r="363">
      <c r="A363" s="2"/>
      <c r="B363" s="2"/>
      <c r="C363" s="2"/>
      <c r="D363" s="2"/>
      <c r="E363" s="2"/>
      <c r="F363" s="2"/>
      <c r="G363" s="2"/>
      <c r="H363" s="2"/>
      <c r="I363" s="2"/>
      <c r="J363" s="2"/>
      <c r="K363" s="2"/>
      <c r="L363" s="2"/>
      <c r="M363" s="2"/>
      <c r="N363" s="2"/>
      <c r="O363" s="2"/>
      <c r="P363" s="2"/>
      <c r="Q363" s="2"/>
      <c r="R363" s="2"/>
    </row>
    <row r="364">
      <c r="A364" s="2"/>
      <c r="B364" s="2"/>
      <c r="C364" s="2"/>
      <c r="D364" s="2"/>
      <c r="E364" s="2"/>
      <c r="F364" s="2"/>
      <c r="G364" s="2"/>
      <c r="H364" s="2"/>
      <c r="I364" s="2"/>
      <c r="J364" s="2"/>
      <c r="K364" s="2"/>
      <c r="L364" s="2"/>
      <c r="M364" s="2"/>
      <c r="N364" s="2"/>
      <c r="O364" s="2"/>
      <c r="P364" s="2"/>
      <c r="Q364" s="2"/>
      <c r="R364" s="2"/>
    </row>
    <row r="365">
      <c r="A365" s="2"/>
      <c r="B365" s="2"/>
      <c r="C365" s="2"/>
      <c r="D365" s="2"/>
      <c r="E365" s="2"/>
      <c r="F365" s="2"/>
      <c r="G365" s="2"/>
      <c r="H365" s="2"/>
      <c r="I365" s="2"/>
      <c r="J365" s="2"/>
      <c r="K365" s="2"/>
      <c r="L365" s="2"/>
      <c r="M365" s="2"/>
      <c r="N365" s="2"/>
      <c r="O365" s="2"/>
      <c r="P365" s="2"/>
      <c r="Q365" s="2"/>
      <c r="R365" s="2"/>
    </row>
    <row r="366">
      <c r="A366" s="2"/>
      <c r="B366" s="2"/>
      <c r="C366" s="2"/>
      <c r="D366" s="2"/>
      <c r="E366" s="2"/>
      <c r="F366" s="2"/>
      <c r="G366" s="2"/>
      <c r="H366" s="2"/>
      <c r="I366" s="2"/>
      <c r="J366" s="2"/>
      <c r="K366" s="2"/>
      <c r="L366" s="2"/>
      <c r="M366" s="2"/>
      <c r="N366" s="2"/>
      <c r="O366" s="2"/>
      <c r="P366" s="2"/>
      <c r="Q366" s="2"/>
      <c r="R366" s="2"/>
    </row>
    <row r="367">
      <c r="A367" s="2"/>
      <c r="B367" s="2"/>
      <c r="C367" s="2"/>
      <c r="D367" s="2"/>
      <c r="E367" s="2"/>
      <c r="F367" s="2"/>
      <c r="G367" s="2"/>
      <c r="H367" s="2"/>
      <c r="I367" s="2"/>
      <c r="J367" s="2"/>
      <c r="K367" s="2"/>
      <c r="L367" s="2"/>
      <c r="M367" s="2"/>
      <c r="N367" s="2"/>
      <c r="O367" s="2"/>
      <c r="P367" s="2"/>
      <c r="Q367" s="2"/>
      <c r="R367" s="2"/>
    </row>
    <row r="368">
      <c r="A368" s="2"/>
      <c r="B368" s="2"/>
      <c r="C368" s="2"/>
      <c r="D368" s="2"/>
      <c r="E368" s="2"/>
      <c r="F368" s="2"/>
      <c r="G368" s="2"/>
      <c r="H368" s="2"/>
      <c r="I368" s="2"/>
      <c r="J368" s="2"/>
      <c r="K368" s="2"/>
      <c r="L368" s="2"/>
      <c r="M368" s="2"/>
      <c r="N368" s="2"/>
      <c r="O368" s="2"/>
      <c r="P368" s="2"/>
      <c r="Q368" s="2"/>
      <c r="R368" s="2"/>
    </row>
    <row r="369">
      <c r="A369" s="2"/>
      <c r="B369" s="2"/>
      <c r="C369" s="2"/>
      <c r="D369" s="2"/>
      <c r="E369" s="2"/>
      <c r="F369" s="2"/>
      <c r="G369" s="2"/>
      <c r="H369" s="2"/>
      <c r="I369" s="2"/>
      <c r="J369" s="2"/>
      <c r="K369" s="2"/>
      <c r="L369" s="2"/>
      <c r="M369" s="2"/>
      <c r="N369" s="2"/>
      <c r="O369" s="2"/>
      <c r="P369" s="2"/>
      <c r="Q369" s="2"/>
      <c r="R369" s="2"/>
    </row>
    <row r="370">
      <c r="A370" s="2"/>
      <c r="B370" s="2"/>
      <c r="C370" s="2"/>
      <c r="D370" s="2"/>
      <c r="E370" s="2"/>
      <c r="F370" s="2"/>
      <c r="G370" s="2"/>
      <c r="H370" s="2"/>
      <c r="I370" s="2"/>
      <c r="J370" s="2"/>
      <c r="K370" s="2"/>
      <c r="L370" s="2"/>
      <c r="M370" s="2"/>
      <c r="N370" s="2"/>
      <c r="O370" s="2"/>
      <c r="P370" s="2"/>
      <c r="Q370" s="2"/>
      <c r="R370" s="2"/>
    </row>
    <row r="371">
      <c r="A371" s="2"/>
      <c r="B371" s="2"/>
      <c r="C371" s="2"/>
      <c r="D371" s="2"/>
      <c r="E371" s="2"/>
      <c r="F371" s="2"/>
      <c r="G371" s="2"/>
      <c r="H371" s="2"/>
      <c r="I371" s="2"/>
      <c r="J371" s="2"/>
      <c r="K371" s="2"/>
      <c r="L371" s="2"/>
      <c r="M371" s="2"/>
      <c r="N371" s="2"/>
      <c r="O371" s="2"/>
      <c r="P371" s="2"/>
      <c r="Q371" s="2"/>
      <c r="R371" s="2"/>
    </row>
    <row r="372">
      <c r="A372" s="2"/>
      <c r="B372" s="2"/>
      <c r="C372" s="2"/>
      <c r="D372" s="2"/>
      <c r="E372" s="2"/>
      <c r="F372" s="2"/>
      <c r="G372" s="2"/>
      <c r="H372" s="2"/>
      <c r="I372" s="2"/>
      <c r="J372" s="2"/>
      <c r="K372" s="2"/>
      <c r="L372" s="2"/>
      <c r="M372" s="2"/>
      <c r="N372" s="2"/>
      <c r="O372" s="2"/>
      <c r="P372" s="2"/>
      <c r="Q372" s="2"/>
      <c r="R372" s="2"/>
    </row>
    <row r="373">
      <c r="A373" s="2"/>
      <c r="B373" s="2"/>
      <c r="C373" s="2"/>
      <c r="D373" s="2"/>
      <c r="E373" s="2"/>
      <c r="F373" s="2"/>
      <c r="G373" s="2"/>
      <c r="H373" s="2"/>
      <c r="I373" s="2"/>
      <c r="J373" s="2"/>
      <c r="K373" s="2"/>
      <c r="L373" s="2"/>
      <c r="M373" s="2"/>
      <c r="N373" s="2"/>
      <c r="O373" s="2"/>
      <c r="P373" s="2"/>
      <c r="Q373" s="2"/>
      <c r="R373" s="2"/>
    </row>
    <row r="374">
      <c r="A374" s="2"/>
      <c r="B374" s="2"/>
      <c r="C374" s="2"/>
      <c r="D374" s="2"/>
      <c r="E374" s="2"/>
      <c r="F374" s="2"/>
      <c r="G374" s="2"/>
      <c r="H374" s="2"/>
      <c r="I374" s="2"/>
      <c r="J374" s="2"/>
      <c r="K374" s="2"/>
      <c r="L374" s="2"/>
      <c r="M374" s="2"/>
      <c r="N374" s="2"/>
      <c r="O374" s="2"/>
      <c r="P374" s="2"/>
      <c r="Q374" s="2"/>
      <c r="R374" s="2"/>
    </row>
    <row r="375">
      <c r="A375" s="2"/>
      <c r="B375" s="2"/>
      <c r="C375" s="2"/>
      <c r="D375" s="2"/>
      <c r="E375" s="2"/>
      <c r="F375" s="2"/>
      <c r="G375" s="2"/>
      <c r="H375" s="2"/>
      <c r="I375" s="2"/>
      <c r="J375" s="2"/>
      <c r="K375" s="2"/>
      <c r="L375" s="2"/>
      <c r="M375" s="2"/>
      <c r="N375" s="2"/>
      <c r="O375" s="2"/>
      <c r="P375" s="2"/>
      <c r="Q375" s="2"/>
      <c r="R375" s="2"/>
    </row>
    <row r="376">
      <c r="A376" s="2"/>
      <c r="B376" s="2"/>
      <c r="C376" s="2"/>
      <c r="D376" s="2"/>
      <c r="E376" s="2"/>
      <c r="F376" s="2"/>
      <c r="G376" s="2"/>
      <c r="H376" s="2"/>
      <c r="I376" s="2"/>
      <c r="J376" s="2"/>
      <c r="K376" s="2"/>
      <c r="L376" s="2"/>
      <c r="M376" s="2"/>
      <c r="N376" s="2"/>
      <c r="O376" s="2"/>
      <c r="P376" s="2"/>
      <c r="Q376" s="2"/>
      <c r="R376" s="2"/>
    </row>
    <row r="377">
      <c r="A377" s="2"/>
      <c r="B377" s="2"/>
      <c r="C377" s="2"/>
      <c r="D377" s="2"/>
      <c r="E377" s="2"/>
      <c r="F377" s="2"/>
      <c r="G377" s="2"/>
      <c r="H377" s="2"/>
      <c r="I377" s="2"/>
      <c r="J377" s="2"/>
      <c r="K377" s="2"/>
      <c r="L377" s="2"/>
      <c r="M377" s="2"/>
      <c r="N377" s="2"/>
      <c r="O377" s="2"/>
      <c r="P377" s="2"/>
      <c r="Q377" s="2"/>
      <c r="R377" s="2"/>
    </row>
    <row r="378">
      <c r="A378" s="2"/>
      <c r="B378" s="2"/>
      <c r="C378" s="2"/>
      <c r="D378" s="2"/>
      <c r="E378" s="2"/>
      <c r="F378" s="2"/>
      <c r="G378" s="2"/>
      <c r="H378" s="2"/>
      <c r="I378" s="2"/>
      <c r="J378" s="2"/>
      <c r="K378" s="2"/>
      <c r="L378" s="2"/>
      <c r="M378" s="2"/>
      <c r="N378" s="2"/>
      <c r="O378" s="2"/>
      <c r="P378" s="2"/>
      <c r="Q378" s="2"/>
      <c r="R378" s="2"/>
    </row>
    <row r="379">
      <c r="A379" s="2"/>
      <c r="B379" s="2"/>
      <c r="C379" s="2"/>
      <c r="D379" s="2"/>
      <c r="E379" s="2"/>
      <c r="F379" s="2"/>
      <c r="G379" s="2"/>
      <c r="H379" s="2"/>
      <c r="I379" s="2"/>
      <c r="J379" s="2"/>
      <c r="K379" s="2"/>
      <c r="L379" s="2"/>
      <c r="M379" s="2"/>
      <c r="N379" s="2"/>
      <c r="O379" s="2"/>
      <c r="P379" s="2"/>
      <c r="Q379" s="2"/>
      <c r="R379" s="2"/>
    </row>
    <row r="380">
      <c r="A380" s="2"/>
      <c r="B380" s="2"/>
      <c r="C380" s="2"/>
      <c r="D380" s="2"/>
      <c r="E380" s="2"/>
      <c r="F380" s="2"/>
      <c r="G380" s="2"/>
      <c r="H380" s="2"/>
      <c r="I380" s="2"/>
      <c r="J380" s="2"/>
      <c r="K380" s="2"/>
      <c r="L380" s="2"/>
      <c r="M380" s="2"/>
      <c r="N380" s="2"/>
      <c r="O380" s="2"/>
      <c r="P380" s="2"/>
      <c r="Q380" s="2"/>
      <c r="R380" s="2"/>
    </row>
    <row r="381">
      <c r="A381" s="2"/>
      <c r="B381" s="2"/>
      <c r="C381" s="2"/>
      <c r="D381" s="2"/>
      <c r="E381" s="2"/>
      <c r="F381" s="2"/>
      <c r="G381" s="2"/>
      <c r="H381" s="2"/>
      <c r="I381" s="2"/>
      <c r="J381" s="2"/>
      <c r="K381" s="2"/>
      <c r="L381" s="2"/>
      <c r="M381" s="2"/>
      <c r="N381" s="2"/>
      <c r="O381" s="2"/>
      <c r="P381" s="2"/>
      <c r="Q381" s="2"/>
      <c r="R381" s="2"/>
    </row>
    <row r="382">
      <c r="A382" s="2"/>
      <c r="B382" s="2"/>
      <c r="C382" s="2"/>
      <c r="D382" s="2"/>
      <c r="E382" s="2"/>
      <c r="F382" s="2"/>
      <c r="G382" s="2"/>
      <c r="H382" s="2"/>
      <c r="I382" s="2"/>
      <c r="J382" s="2"/>
      <c r="K382" s="2"/>
      <c r="L382" s="2"/>
      <c r="M382" s="2"/>
      <c r="N382" s="2"/>
      <c r="O382" s="2"/>
      <c r="P382" s="2"/>
      <c r="Q382" s="2"/>
      <c r="R382" s="2"/>
    </row>
    <row r="383">
      <c r="A383" s="2"/>
      <c r="B383" s="2"/>
      <c r="C383" s="2"/>
      <c r="D383" s="2"/>
      <c r="E383" s="2"/>
      <c r="F383" s="2"/>
      <c r="G383" s="2"/>
      <c r="H383" s="2"/>
      <c r="I383" s="2"/>
      <c r="J383" s="2"/>
      <c r="K383" s="2"/>
      <c r="L383" s="2"/>
      <c r="M383" s="2"/>
      <c r="N383" s="2"/>
      <c r="O383" s="2"/>
      <c r="P383" s="2"/>
      <c r="Q383" s="2"/>
      <c r="R383" s="2"/>
    </row>
    <row r="384">
      <c r="A384" s="2"/>
      <c r="B384" s="2"/>
      <c r="C384" s="2"/>
      <c r="D384" s="2"/>
      <c r="E384" s="2"/>
      <c r="F384" s="2"/>
      <c r="G384" s="2"/>
      <c r="H384" s="2"/>
      <c r="I384" s="2"/>
      <c r="J384" s="2"/>
      <c r="K384" s="2"/>
      <c r="L384" s="2"/>
      <c r="M384" s="2"/>
      <c r="N384" s="2"/>
      <c r="O384" s="2"/>
      <c r="P384" s="2"/>
      <c r="Q384" s="2"/>
      <c r="R384" s="2"/>
    </row>
    <row r="385">
      <c r="A385" s="2"/>
      <c r="B385" s="2"/>
      <c r="C385" s="2"/>
      <c r="D385" s="2"/>
      <c r="E385" s="2"/>
      <c r="F385" s="2"/>
      <c r="G385" s="2"/>
      <c r="H385" s="2"/>
      <c r="I385" s="2"/>
      <c r="J385" s="2"/>
      <c r="K385" s="2"/>
      <c r="L385" s="2"/>
      <c r="M385" s="2"/>
      <c r="N385" s="2"/>
      <c r="O385" s="2"/>
      <c r="P385" s="2"/>
      <c r="Q385" s="2"/>
      <c r="R385" s="2"/>
    </row>
    <row r="386">
      <c r="A386" s="2"/>
      <c r="B386" s="2"/>
      <c r="C386" s="2"/>
      <c r="D386" s="2"/>
      <c r="E386" s="2"/>
      <c r="F386" s="2"/>
      <c r="G386" s="2"/>
      <c r="H386" s="2"/>
      <c r="I386" s="2"/>
      <c r="J386" s="2"/>
      <c r="K386" s="2"/>
      <c r="L386" s="2"/>
      <c r="M386" s="2"/>
      <c r="N386" s="2"/>
      <c r="O386" s="2"/>
      <c r="P386" s="2"/>
      <c r="Q386" s="2"/>
      <c r="R386" s="2"/>
    </row>
    <row r="387">
      <c r="A387" s="2"/>
      <c r="B387" s="2"/>
      <c r="C387" s="2"/>
      <c r="D387" s="2"/>
      <c r="E387" s="2"/>
      <c r="F387" s="2"/>
      <c r="G387" s="2"/>
      <c r="H387" s="2"/>
      <c r="I387" s="2"/>
      <c r="J387" s="2"/>
      <c r="K387" s="2"/>
      <c r="L387" s="2"/>
      <c r="M387" s="2"/>
      <c r="N387" s="2"/>
      <c r="O387" s="2"/>
      <c r="P387" s="2"/>
      <c r="Q387" s="2"/>
      <c r="R387" s="2"/>
    </row>
    <row r="388">
      <c r="A388" s="2"/>
      <c r="B388" s="2"/>
      <c r="C388" s="2"/>
      <c r="D388" s="2"/>
      <c r="E388" s="2"/>
      <c r="F388" s="2"/>
      <c r="G388" s="2"/>
      <c r="H388" s="2"/>
      <c r="I388" s="2"/>
      <c r="J388" s="2"/>
      <c r="K388" s="2"/>
      <c r="L388" s="2"/>
      <c r="M388" s="2"/>
      <c r="N388" s="2"/>
      <c r="O388" s="2"/>
      <c r="P388" s="2"/>
      <c r="Q388" s="2"/>
      <c r="R388" s="2"/>
    </row>
    <row r="389">
      <c r="A389" s="2"/>
      <c r="B389" s="2"/>
      <c r="C389" s="2"/>
      <c r="D389" s="2"/>
      <c r="E389" s="2"/>
      <c r="F389" s="2"/>
      <c r="G389" s="2"/>
      <c r="H389" s="2"/>
      <c r="I389" s="2"/>
      <c r="J389" s="2"/>
      <c r="K389" s="2"/>
      <c r="L389" s="2"/>
      <c r="M389" s="2"/>
      <c r="N389" s="2"/>
      <c r="O389" s="2"/>
      <c r="P389" s="2"/>
      <c r="Q389" s="2"/>
      <c r="R389" s="2"/>
    </row>
    <row r="390">
      <c r="A390" s="2"/>
      <c r="B390" s="2"/>
      <c r="C390" s="2"/>
      <c r="D390" s="2"/>
      <c r="E390" s="2"/>
      <c r="F390" s="2"/>
      <c r="G390" s="2"/>
      <c r="H390" s="2"/>
      <c r="I390" s="2"/>
      <c r="J390" s="2"/>
      <c r="K390" s="2"/>
      <c r="L390" s="2"/>
      <c r="M390" s="2"/>
      <c r="N390" s="2"/>
      <c r="O390" s="2"/>
      <c r="P390" s="2"/>
      <c r="Q390" s="2"/>
      <c r="R390" s="2"/>
    </row>
    <row r="391">
      <c r="A391" s="2"/>
      <c r="B391" s="2"/>
      <c r="C391" s="2"/>
      <c r="D391" s="2"/>
      <c r="E391" s="2"/>
      <c r="F391" s="2"/>
      <c r="G391" s="2"/>
      <c r="H391" s="2"/>
      <c r="I391" s="2"/>
      <c r="J391" s="2"/>
      <c r="K391" s="2"/>
      <c r="L391" s="2"/>
      <c r="M391" s="2"/>
      <c r="N391" s="2"/>
      <c r="O391" s="2"/>
      <c r="P391" s="2"/>
      <c r="Q391" s="2"/>
      <c r="R391" s="2"/>
    </row>
    <row r="392">
      <c r="A392" s="2"/>
      <c r="B392" s="2"/>
      <c r="C392" s="2"/>
      <c r="D392" s="2"/>
      <c r="E392" s="2"/>
      <c r="F392" s="2"/>
      <c r="G392" s="2"/>
      <c r="H392" s="2"/>
      <c r="I392" s="2"/>
      <c r="J392" s="2"/>
      <c r="K392" s="2"/>
      <c r="L392" s="2"/>
      <c r="M392" s="2"/>
      <c r="N392" s="2"/>
      <c r="O392" s="2"/>
      <c r="P392" s="2"/>
      <c r="Q392" s="2"/>
      <c r="R392" s="2"/>
    </row>
    <row r="393">
      <c r="A393" s="2"/>
      <c r="B393" s="2"/>
      <c r="C393" s="2"/>
      <c r="D393" s="2"/>
      <c r="E393" s="2"/>
      <c r="F393" s="2"/>
      <c r="G393" s="2"/>
      <c r="H393" s="2"/>
      <c r="I393" s="2"/>
      <c r="J393" s="2"/>
      <c r="K393" s="2"/>
      <c r="L393" s="2"/>
      <c r="M393" s="2"/>
      <c r="N393" s="2"/>
      <c r="O393" s="2"/>
      <c r="P393" s="2"/>
      <c r="Q393" s="2"/>
      <c r="R393" s="2"/>
    </row>
    <row r="394">
      <c r="A394" s="2"/>
      <c r="B394" s="2"/>
      <c r="C394" s="2"/>
      <c r="D394" s="2"/>
      <c r="E394" s="2"/>
      <c r="F394" s="2"/>
      <c r="G394" s="2"/>
      <c r="H394" s="2"/>
      <c r="I394" s="2"/>
      <c r="J394" s="2"/>
      <c r="K394" s="2"/>
      <c r="L394" s="2"/>
      <c r="M394" s="2"/>
      <c r="N394" s="2"/>
      <c r="O394" s="2"/>
      <c r="P394" s="2"/>
      <c r="Q394" s="2"/>
      <c r="R394" s="2"/>
    </row>
    <row r="395">
      <c r="A395" s="2"/>
      <c r="B395" s="2"/>
      <c r="C395" s="2"/>
      <c r="D395" s="2"/>
      <c r="E395" s="2"/>
      <c r="F395" s="2"/>
      <c r="G395" s="2"/>
      <c r="H395" s="2"/>
      <c r="I395" s="2"/>
      <c r="J395" s="2"/>
      <c r="K395" s="2"/>
      <c r="L395" s="2"/>
      <c r="M395" s="2"/>
      <c r="N395" s="2"/>
      <c r="O395" s="2"/>
      <c r="P395" s="2"/>
      <c r="Q395" s="2"/>
      <c r="R395" s="2"/>
    </row>
    <row r="396">
      <c r="A396" s="2"/>
      <c r="B396" s="2"/>
      <c r="C396" s="2"/>
      <c r="D396" s="2"/>
      <c r="E396" s="2"/>
      <c r="F396" s="2"/>
      <c r="G396" s="2"/>
      <c r="H396" s="2"/>
      <c r="I396" s="2"/>
      <c r="J396" s="2"/>
      <c r="K396" s="2"/>
      <c r="L396" s="2"/>
      <c r="M396" s="2"/>
      <c r="N396" s="2"/>
      <c r="O396" s="2"/>
      <c r="P396" s="2"/>
      <c r="Q396" s="2"/>
      <c r="R396" s="2"/>
    </row>
    <row r="397">
      <c r="A397" s="2"/>
      <c r="B397" s="2"/>
      <c r="C397" s="2"/>
      <c r="D397" s="2"/>
      <c r="E397" s="2"/>
      <c r="F397" s="2"/>
      <c r="G397" s="2"/>
      <c r="H397" s="2"/>
      <c r="I397" s="2"/>
      <c r="J397" s="2"/>
      <c r="K397" s="2"/>
      <c r="L397" s="2"/>
      <c r="M397" s="2"/>
      <c r="N397" s="2"/>
      <c r="O397" s="2"/>
      <c r="P397" s="2"/>
      <c r="Q397" s="2"/>
      <c r="R397" s="2"/>
    </row>
    <row r="398">
      <c r="A398" s="2"/>
      <c r="B398" s="2"/>
      <c r="C398" s="2"/>
      <c r="D398" s="2"/>
      <c r="E398" s="2"/>
      <c r="F398" s="2"/>
      <c r="G398" s="2"/>
      <c r="H398" s="2"/>
      <c r="I398" s="2"/>
      <c r="J398" s="2"/>
      <c r="K398" s="2"/>
      <c r="L398" s="2"/>
      <c r="M398" s="2"/>
      <c r="N398" s="2"/>
      <c r="O398" s="2"/>
      <c r="P398" s="2"/>
      <c r="Q398" s="2"/>
      <c r="R398" s="2"/>
    </row>
    <row r="399">
      <c r="A399" s="2"/>
      <c r="B399" s="2"/>
      <c r="C399" s="2"/>
      <c r="D399" s="2"/>
      <c r="E399" s="2"/>
      <c r="F399" s="2"/>
      <c r="G399" s="2"/>
      <c r="H399" s="2"/>
      <c r="I399" s="2"/>
      <c r="J399" s="2"/>
      <c r="K399" s="2"/>
      <c r="L399" s="2"/>
      <c r="M399" s="2"/>
      <c r="N399" s="2"/>
      <c r="O399" s="2"/>
      <c r="P399" s="2"/>
      <c r="Q399" s="2"/>
      <c r="R399" s="2"/>
    </row>
    <row r="400">
      <c r="A400" s="2"/>
      <c r="B400" s="2"/>
      <c r="C400" s="2"/>
      <c r="D400" s="2"/>
      <c r="E400" s="2"/>
      <c r="F400" s="2"/>
      <c r="G400" s="2"/>
      <c r="H400" s="2"/>
      <c r="I400" s="2"/>
      <c r="J400" s="2"/>
      <c r="K400" s="2"/>
      <c r="L400" s="2"/>
      <c r="M400" s="2"/>
      <c r="N400" s="2"/>
      <c r="O400" s="2"/>
      <c r="P400" s="2"/>
      <c r="Q400" s="2"/>
      <c r="R400" s="2"/>
    </row>
    <row r="401">
      <c r="A401" s="2"/>
      <c r="B401" s="2"/>
      <c r="C401" s="2"/>
      <c r="D401" s="2"/>
      <c r="E401" s="2"/>
      <c r="F401" s="2"/>
      <c r="G401" s="2"/>
      <c r="H401" s="2"/>
      <c r="I401" s="2"/>
      <c r="J401" s="2"/>
      <c r="K401" s="2"/>
      <c r="L401" s="2"/>
      <c r="M401" s="2"/>
      <c r="N401" s="2"/>
      <c r="O401" s="2"/>
      <c r="P401" s="2"/>
      <c r="Q401" s="2"/>
      <c r="R401" s="2"/>
    </row>
    <row r="402">
      <c r="A402" s="2"/>
      <c r="B402" s="2"/>
      <c r="C402" s="2"/>
      <c r="D402" s="2"/>
      <c r="E402" s="2"/>
      <c r="F402" s="2"/>
      <c r="G402" s="2"/>
      <c r="H402" s="2"/>
      <c r="I402" s="2"/>
      <c r="J402" s="2"/>
      <c r="K402" s="2"/>
      <c r="L402" s="2"/>
      <c r="M402" s="2"/>
      <c r="N402" s="2"/>
      <c r="O402" s="2"/>
      <c r="P402" s="2"/>
      <c r="Q402" s="2"/>
      <c r="R402" s="2"/>
    </row>
    <row r="403">
      <c r="A403" s="2"/>
      <c r="B403" s="2"/>
      <c r="C403" s="2"/>
      <c r="D403" s="2"/>
      <c r="E403" s="2"/>
      <c r="F403" s="2"/>
      <c r="G403" s="2"/>
      <c r="H403" s="2"/>
      <c r="I403" s="2"/>
      <c r="J403" s="2"/>
      <c r="K403" s="2"/>
      <c r="L403" s="2"/>
      <c r="M403" s="2"/>
      <c r="N403" s="2"/>
      <c r="O403" s="2"/>
      <c r="P403" s="2"/>
      <c r="Q403" s="2"/>
      <c r="R403" s="2"/>
    </row>
    <row r="404">
      <c r="A404" s="2"/>
      <c r="B404" s="2"/>
      <c r="C404" s="2"/>
      <c r="D404" s="2"/>
      <c r="E404" s="2"/>
      <c r="F404" s="2"/>
      <c r="G404" s="2"/>
      <c r="H404" s="2"/>
      <c r="I404" s="2"/>
      <c r="J404" s="2"/>
      <c r="K404" s="2"/>
      <c r="L404" s="2"/>
      <c r="M404" s="2"/>
      <c r="N404" s="2"/>
      <c r="O404" s="2"/>
      <c r="P404" s="2"/>
      <c r="Q404" s="2"/>
      <c r="R404" s="2"/>
    </row>
    <row r="405">
      <c r="A405" s="2"/>
      <c r="B405" s="2"/>
      <c r="C405" s="2"/>
      <c r="D405" s="2"/>
      <c r="E405" s="2"/>
      <c r="F405" s="2"/>
      <c r="G405" s="2"/>
      <c r="H405" s="2"/>
      <c r="I405" s="2"/>
      <c r="J405" s="2"/>
      <c r="K405" s="2"/>
      <c r="L405" s="2"/>
      <c r="M405" s="2"/>
      <c r="N405" s="2"/>
      <c r="O405" s="2"/>
      <c r="P405" s="2"/>
      <c r="Q405" s="2"/>
      <c r="R405" s="2"/>
    </row>
    <row r="406">
      <c r="A406" s="2"/>
      <c r="B406" s="2"/>
      <c r="C406" s="2"/>
      <c r="D406" s="2"/>
      <c r="E406" s="2"/>
      <c r="F406" s="2"/>
      <c r="G406" s="2"/>
      <c r="H406" s="2"/>
      <c r="I406" s="2"/>
      <c r="J406" s="2"/>
      <c r="K406" s="2"/>
      <c r="L406" s="2"/>
      <c r="M406" s="2"/>
      <c r="N406" s="2"/>
      <c r="O406" s="2"/>
      <c r="P406" s="2"/>
      <c r="Q406" s="2"/>
      <c r="R406" s="2"/>
    </row>
    <row r="407">
      <c r="A407" s="2"/>
      <c r="B407" s="2"/>
      <c r="C407" s="2"/>
      <c r="D407" s="2"/>
      <c r="E407" s="2"/>
      <c r="F407" s="2"/>
      <c r="G407" s="2"/>
      <c r="H407" s="2"/>
      <c r="I407" s="2"/>
      <c r="J407" s="2"/>
      <c r="K407" s="2"/>
      <c r="L407" s="2"/>
      <c r="M407" s="2"/>
      <c r="N407" s="2"/>
      <c r="O407" s="2"/>
      <c r="P407" s="2"/>
      <c r="Q407" s="2"/>
      <c r="R407" s="2"/>
    </row>
    <row r="408">
      <c r="A408" s="2"/>
      <c r="B408" s="2"/>
      <c r="C408" s="2"/>
      <c r="D408" s="2"/>
      <c r="E408" s="2"/>
      <c r="F408" s="2"/>
      <c r="G408" s="2"/>
      <c r="H408" s="2"/>
      <c r="I408" s="2"/>
      <c r="J408" s="2"/>
      <c r="K408" s="2"/>
      <c r="L408" s="2"/>
      <c r="M408" s="2"/>
      <c r="N408" s="2"/>
      <c r="O408" s="2"/>
      <c r="P408" s="2"/>
      <c r="Q408" s="2"/>
      <c r="R408" s="2"/>
    </row>
    <row r="409">
      <c r="A409" s="2"/>
      <c r="B409" s="2"/>
      <c r="C409" s="2"/>
      <c r="D409" s="2"/>
      <c r="E409" s="2"/>
      <c r="F409" s="2"/>
      <c r="G409" s="2"/>
      <c r="H409" s="2"/>
      <c r="I409" s="2"/>
      <c r="J409" s="2"/>
      <c r="K409" s="2"/>
      <c r="L409" s="2"/>
      <c r="M409" s="2"/>
      <c r="N409" s="2"/>
      <c r="O409" s="2"/>
      <c r="P409" s="2"/>
      <c r="Q409" s="2"/>
      <c r="R409" s="2"/>
    </row>
    <row r="410">
      <c r="A410" s="2"/>
      <c r="B410" s="2"/>
      <c r="C410" s="2"/>
      <c r="D410" s="2"/>
      <c r="E410" s="2"/>
      <c r="F410" s="2"/>
      <c r="G410" s="2"/>
      <c r="H410" s="2"/>
      <c r="I410" s="2"/>
      <c r="J410" s="2"/>
      <c r="K410" s="2"/>
      <c r="L410" s="2"/>
      <c r="M410" s="2"/>
      <c r="N410" s="2"/>
      <c r="O410" s="2"/>
      <c r="P410" s="2"/>
      <c r="Q410" s="2"/>
      <c r="R410" s="2"/>
    </row>
    <row r="411">
      <c r="A411" s="2"/>
      <c r="B411" s="2"/>
      <c r="C411" s="2"/>
      <c r="D411" s="2"/>
      <c r="E411" s="2"/>
      <c r="F411" s="2"/>
      <c r="G411" s="2"/>
      <c r="H411" s="2"/>
      <c r="I411" s="2"/>
      <c r="J411" s="2"/>
      <c r="K411" s="2"/>
      <c r="L411" s="2"/>
      <c r="M411" s="2"/>
      <c r="N411" s="2"/>
      <c r="O411" s="2"/>
      <c r="P411" s="2"/>
      <c r="Q411" s="2"/>
      <c r="R411" s="2"/>
    </row>
    <row r="412">
      <c r="A412" s="2"/>
      <c r="B412" s="2"/>
      <c r="C412" s="2"/>
      <c r="D412" s="2"/>
      <c r="E412" s="2"/>
      <c r="F412" s="2"/>
      <c r="G412" s="2"/>
      <c r="H412" s="2"/>
      <c r="I412" s="2"/>
      <c r="J412" s="2"/>
      <c r="K412" s="2"/>
      <c r="L412" s="2"/>
      <c r="M412" s="2"/>
      <c r="N412" s="2"/>
      <c r="O412" s="2"/>
      <c r="P412" s="2"/>
      <c r="Q412" s="2"/>
      <c r="R412" s="2"/>
    </row>
    <row r="413">
      <c r="A413" s="2"/>
      <c r="B413" s="2"/>
      <c r="C413" s="2"/>
      <c r="D413" s="2"/>
      <c r="E413" s="2"/>
      <c r="F413" s="2"/>
      <c r="G413" s="2"/>
      <c r="H413" s="2"/>
      <c r="I413" s="2"/>
      <c r="J413" s="2"/>
      <c r="K413" s="2"/>
      <c r="L413" s="2"/>
      <c r="M413" s="2"/>
      <c r="N413" s="2"/>
      <c r="O413" s="2"/>
      <c r="P413" s="2"/>
      <c r="Q413" s="2"/>
      <c r="R413" s="2"/>
    </row>
    <row r="414">
      <c r="A414" s="2"/>
      <c r="B414" s="2"/>
      <c r="C414" s="2"/>
      <c r="D414" s="2"/>
      <c r="E414" s="2"/>
      <c r="F414" s="2"/>
      <c r="G414" s="2"/>
      <c r="H414" s="2"/>
      <c r="I414" s="2"/>
      <c r="J414" s="2"/>
      <c r="K414" s="2"/>
      <c r="L414" s="2"/>
      <c r="M414" s="2"/>
      <c r="N414" s="2"/>
      <c r="O414" s="2"/>
      <c r="P414" s="2"/>
      <c r="Q414" s="2"/>
      <c r="R414" s="2"/>
    </row>
    <row r="415">
      <c r="A415" s="2"/>
      <c r="B415" s="2"/>
      <c r="C415" s="2"/>
      <c r="D415" s="2"/>
      <c r="E415" s="2"/>
      <c r="F415" s="2"/>
      <c r="G415" s="2"/>
      <c r="H415" s="2"/>
      <c r="I415" s="2"/>
      <c r="J415" s="2"/>
      <c r="K415" s="2"/>
      <c r="L415" s="2"/>
      <c r="M415" s="2"/>
      <c r="N415" s="2"/>
      <c r="O415" s="2"/>
      <c r="P415" s="2"/>
      <c r="Q415" s="2"/>
      <c r="R415" s="2"/>
    </row>
    <row r="416">
      <c r="A416" s="2"/>
      <c r="B416" s="2"/>
      <c r="C416" s="2"/>
      <c r="D416" s="2"/>
      <c r="E416" s="2"/>
      <c r="F416" s="2"/>
      <c r="G416" s="2"/>
      <c r="H416" s="2"/>
      <c r="I416" s="2"/>
      <c r="J416" s="2"/>
      <c r="K416" s="2"/>
      <c r="L416" s="2"/>
      <c r="M416" s="2"/>
      <c r="N416" s="2"/>
      <c r="O416" s="2"/>
      <c r="P416" s="2"/>
      <c r="Q416" s="2"/>
      <c r="R416" s="2"/>
    </row>
    <row r="417">
      <c r="A417" s="2"/>
      <c r="B417" s="2"/>
      <c r="C417" s="2"/>
      <c r="D417" s="2"/>
      <c r="E417" s="2"/>
      <c r="F417" s="2"/>
      <c r="G417" s="2"/>
      <c r="H417" s="2"/>
      <c r="I417" s="2"/>
      <c r="J417" s="2"/>
      <c r="K417" s="2"/>
      <c r="L417" s="2"/>
      <c r="M417" s="2"/>
      <c r="N417" s="2"/>
      <c r="O417" s="2"/>
      <c r="P417" s="2"/>
      <c r="Q417" s="2"/>
      <c r="R417" s="2"/>
    </row>
    <row r="418">
      <c r="A418" s="2"/>
      <c r="B418" s="2"/>
      <c r="C418" s="2"/>
      <c r="D418" s="2"/>
      <c r="E418" s="2"/>
      <c r="F418" s="2"/>
      <c r="G418" s="2"/>
      <c r="H418" s="2"/>
      <c r="I418" s="2"/>
      <c r="J418" s="2"/>
      <c r="K418" s="2"/>
      <c r="L418" s="2"/>
      <c r="M418" s="2"/>
      <c r="N418" s="2"/>
      <c r="O418" s="2"/>
      <c r="P418" s="2"/>
      <c r="Q418" s="2"/>
      <c r="R418" s="2"/>
    </row>
    <row r="419">
      <c r="A419" s="2"/>
      <c r="B419" s="2"/>
      <c r="C419" s="2"/>
      <c r="D419" s="2"/>
      <c r="E419" s="2"/>
      <c r="F419" s="2"/>
      <c r="G419" s="2"/>
      <c r="H419" s="2"/>
      <c r="I419" s="2"/>
      <c r="J419" s="2"/>
      <c r="K419" s="2"/>
      <c r="L419" s="2"/>
      <c r="M419" s="2"/>
      <c r="N419" s="2"/>
      <c r="O419" s="2"/>
      <c r="P419" s="2"/>
      <c r="Q419" s="2"/>
      <c r="R419" s="2"/>
    </row>
    <row r="420">
      <c r="A420" s="2"/>
      <c r="B420" s="2"/>
      <c r="C420" s="2"/>
      <c r="D420" s="2"/>
      <c r="E420" s="2"/>
      <c r="F420" s="2"/>
      <c r="G420" s="2"/>
      <c r="H420" s="2"/>
      <c r="I420" s="2"/>
      <c r="J420" s="2"/>
      <c r="K420" s="2"/>
      <c r="L420" s="2"/>
      <c r="M420" s="2"/>
      <c r="N420" s="2"/>
      <c r="O420" s="2"/>
      <c r="P420" s="2"/>
      <c r="Q420" s="2"/>
      <c r="R420" s="2"/>
    </row>
    <row r="421">
      <c r="A421" s="2"/>
      <c r="B421" s="2"/>
      <c r="C421" s="2"/>
      <c r="D421" s="2"/>
      <c r="E421" s="2"/>
      <c r="F421" s="2"/>
      <c r="G421" s="2"/>
      <c r="H421" s="2"/>
      <c r="I421" s="2"/>
      <c r="J421" s="2"/>
      <c r="K421" s="2"/>
      <c r="L421" s="2"/>
      <c r="M421" s="2"/>
      <c r="N421" s="2"/>
      <c r="O421" s="2"/>
      <c r="P421" s="2"/>
      <c r="Q421" s="2"/>
      <c r="R421" s="2"/>
    </row>
    <row r="422">
      <c r="A422" s="2"/>
      <c r="B422" s="2"/>
      <c r="C422" s="2"/>
      <c r="D422" s="2"/>
      <c r="E422" s="2"/>
      <c r="F422" s="2"/>
      <c r="G422" s="2"/>
      <c r="H422" s="2"/>
      <c r="I422" s="2"/>
      <c r="J422" s="2"/>
      <c r="K422" s="2"/>
      <c r="L422" s="2"/>
      <c r="M422" s="2"/>
      <c r="N422" s="2"/>
      <c r="O422" s="2"/>
      <c r="P422" s="2"/>
      <c r="Q422" s="2"/>
      <c r="R422" s="2"/>
    </row>
    <row r="423">
      <c r="A423" s="2"/>
      <c r="B423" s="2"/>
      <c r="C423" s="2"/>
      <c r="D423" s="2"/>
      <c r="E423" s="2"/>
      <c r="F423" s="2"/>
      <c r="G423" s="2"/>
      <c r="H423" s="2"/>
      <c r="I423" s="2"/>
      <c r="J423" s="2"/>
      <c r="K423" s="2"/>
      <c r="L423" s="2"/>
      <c r="M423" s="2"/>
      <c r="N423" s="2"/>
      <c r="O423" s="2"/>
      <c r="P423" s="2"/>
      <c r="Q423" s="2"/>
      <c r="R423" s="2"/>
    </row>
    <row r="424">
      <c r="A424" s="2"/>
      <c r="B424" s="2"/>
      <c r="C424" s="2"/>
      <c r="D424" s="2"/>
      <c r="E424" s="2"/>
      <c r="F424" s="2"/>
      <c r="G424" s="2"/>
      <c r="H424" s="2"/>
      <c r="I424" s="2"/>
      <c r="J424" s="2"/>
      <c r="K424" s="2"/>
      <c r="L424" s="2"/>
      <c r="M424" s="2"/>
      <c r="N424" s="2"/>
      <c r="O424" s="2"/>
      <c r="P424" s="2"/>
      <c r="Q424" s="2"/>
      <c r="R424" s="2"/>
    </row>
    <row r="425">
      <c r="A425" s="2"/>
      <c r="B425" s="2"/>
      <c r="C425" s="2"/>
      <c r="D425" s="2"/>
      <c r="E425" s="2"/>
      <c r="F425" s="2"/>
      <c r="G425" s="2"/>
      <c r="H425" s="2"/>
      <c r="I425" s="2"/>
      <c r="J425" s="2"/>
      <c r="K425" s="2"/>
      <c r="L425" s="2"/>
      <c r="M425" s="2"/>
      <c r="N425" s="2"/>
      <c r="O425" s="2"/>
      <c r="P425" s="2"/>
      <c r="Q425" s="2"/>
      <c r="R425" s="2"/>
    </row>
    <row r="426">
      <c r="A426" s="2"/>
      <c r="B426" s="2"/>
      <c r="C426" s="2"/>
      <c r="D426" s="2"/>
      <c r="E426" s="2"/>
      <c r="F426" s="2"/>
      <c r="G426" s="2"/>
      <c r="H426" s="2"/>
      <c r="I426" s="2"/>
      <c r="J426" s="2"/>
      <c r="K426" s="2"/>
      <c r="L426" s="2"/>
      <c r="M426" s="2"/>
      <c r="N426" s="2"/>
      <c r="O426" s="2"/>
      <c r="P426" s="2"/>
      <c r="Q426" s="2"/>
      <c r="R426" s="2"/>
    </row>
    <row r="427">
      <c r="A427" s="2"/>
      <c r="B427" s="2"/>
      <c r="C427" s="2"/>
      <c r="D427" s="2"/>
      <c r="E427" s="2"/>
      <c r="F427" s="2"/>
      <c r="G427" s="2"/>
      <c r="H427" s="2"/>
      <c r="I427" s="2"/>
      <c r="J427" s="2"/>
      <c r="K427" s="2"/>
      <c r="L427" s="2"/>
      <c r="M427" s="2"/>
      <c r="N427" s="2"/>
      <c r="O427" s="2"/>
      <c r="P427" s="2"/>
      <c r="Q427" s="2"/>
      <c r="R427" s="2"/>
    </row>
    <row r="428">
      <c r="A428" s="2"/>
      <c r="B428" s="2"/>
      <c r="C428" s="2"/>
      <c r="D428" s="2"/>
      <c r="E428" s="2"/>
      <c r="F428" s="2"/>
      <c r="G428" s="2"/>
      <c r="H428" s="2"/>
      <c r="I428" s="2"/>
      <c r="J428" s="2"/>
      <c r="K428" s="2"/>
      <c r="L428" s="2"/>
      <c r="M428" s="2"/>
      <c r="N428" s="2"/>
      <c r="O428" s="2"/>
      <c r="P428" s="2"/>
      <c r="Q428" s="2"/>
      <c r="R428" s="2"/>
    </row>
    <row r="429">
      <c r="A429" s="2"/>
      <c r="B429" s="2"/>
      <c r="C429" s="2"/>
      <c r="D429" s="2"/>
      <c r="E429" s="2"/>
      <c r="F429" s="2"/>
      <c r="G429" s="2"/>
      <c r="H429" s="2"/>
      <c r="I429" s="2"/>
      <c r="J429" s="2"/>
      <c r="K429" s="2"/>
      <c r="L429" s="2"/>
      <c r="M429" s="2"/>
      <c r="N429" s="2"/>
      <c r="O429" s="2"/>
      <c r="P429" s="2"/>
      <c r="Q429" s="2"/>
      <c r="R429" s="2"/>
    </row>
    <row r="430">
      <c r="A430" s="2"/>
      <c r="B430" s="2"/>
      <c r="C430" s="2"/>
      <c r="D430" s="2"/>
      <c r="E430" s="2"/>
      <c r="F430" s="2"/>
      <c r="G430" s="2"/>
      <c r="H430" s="2"/>
      <c r="I430" s="2"/>
      <c r="J430" s="2"/>
      <c r="K430" s="2"/>
      <c r="L430" s="2"/>
      <c r="M430" s="2"/>
      <c r="N430" s="2"/>
      <c r="O430" s="2"/>
      <c r="P430" s="2"/>
      <c r="Q430" s="2"/>
      <c r="R430" s="2"/>
    </row>
    <row r="431">
      <c r="A431" s="2"/>
      <c r="B431" s="2"/>
      <c r="C431" s="2"/>
      <c r="D431" s="2"/>
      <c r="E431" s="2"/>
      <c r="F431" s="2"/>
      <c r="G431" s="2"/>
      <c r="H431" s="2"/>
      <c r="I431" s="2"/>
      <c r="J431" s="2"/>
      <c r="K431" s="2"/>
      <c r="L431" s="2"/>
      <c r="M431" s="2"/>
      <c r="N431" s="2"/>
      <c r="O431" s="2"/>
      <c r="P431" s="2"/>
      <c r="Q431" s="2"/>
      <c r="R431" s="2"/>
    </row>
    <row r="432">
      <c r="A432" s="2"/>
      <c r="B432" s="2"/>
      <c r="C432" s="2"/>
      <c r="D432" s="2"/>
      <c r="E432" s="2"/>
      <c r="F432" s="2"/>
      <c r="G432" s="2"/>
      <c r="H432" s="2"/>
      <c r="I432" s="2"/>
      <c r="J432" s="2"/>
      <c r="K432" s="2"/>
      <c r="L432" s="2"/>
      <c r="M432" s="2"/>
      <c r="N432" s="2"/>
      <c r="O432" s="2"/>
      <c r="P432" s="2"/>
      <c r="Q432" s="2"/>
      <c r="R432" s="2"/>
    </row>
    <row r="433">
      <c r="A433" s="2"/>
      <c r="B433" s="2"/>
      <c r="C433" s="2"/>
      <c r="D433" s="2"/>
      <c r="E433" s="2"/>
      <c r="F433" s="2"/>
      <c r="G433" s="2"/>
      <c r="H433" s="2"/>
      <c r="I433" s="2"/>
      <c r="J433" s="2"/>
      <c r="K433" s="2"/>
      <c r="L433" s="2"/>
      <c r="M433" s="2"/>
      <c r="N433" s="2"/>
      <c r="O433" s="2"/>
      <c r="P433" s="2"/>
      <c r="Q433" s="2"/>
      <c r="R433" s="2"/>
    </row>
    <row r="434">
      <c r="A434" s="2"/>
      <c r="B434" s="2"/>
      <c r="C434" s="2"/>
      <c r="D434" s="2"/>
      <c r="E434" s="2"/>
      <c r="F434" s="2"/>
      <c r="G434" s="2"/>
      <c r="H434" s="2"/>
      <c r="I434" s="2"/>
      <c r="J434" s="2"/>
      <c r="K434" s="2"/>
      <c r="L434" s="2"/>
      <c r="M434" s="2"/>
      <c r="N434" s="2"/>
      <c r="O434" s="2"/>
      <c r="P434" s="2"/>
      <c r="Q434" s="2"/>
      <c r="R434" s="2"/>
    </row>
    <row r="435">
      <c r="A435" s="2"/>
      <c r="B435" s="2"/>
      <c r="C435" s="2"/>
      <c r="D435" s="2"/>
      <c r="E435" s="2"/>
      <c r="F435" s="2"/>
      <c r="G435" s="2"/>
      <c r="H435" s="2"/>
      <c r="I435" s="2"/>
      <c r="J435" s="2"/>
      <c r="K435" s="2"/>
      <c r="L435" s="2"/>
      <c r="M435" s="2"/>
      <c r="N435" s="2"/>
      <c r="O435" s="2"/>
      <c r="P435" s="2"/>
      <c r="Q435" s="2"/>
      <c r="R435" s="2"/>
    </row>
    <row r="436">
      <c r="A436" s="2"/>
      <c r="B436" s="2"/>
      <c r="C436" s="2"/>
      <c r="D436" s="2"/>
      <c r="E436" s="2"/>
      <c r="F436" s="2"/>
      <c r="G436" s="2"/>
      <c r="H436" s="2"/>
      <c r="I436" s="2"/>
      <c r="J436" s="2"/>
      <c r="K436" s="2"/>
      <c r="L436" s="2"/>
      <c r="M436" s="2"/>
      <c r="N436" s="2"/>
      <c r="O436" s="2"/>
      <c r="P436" s="2"/>
      <c r="Q436" s="2"/>
      <c r="R436" s="2"/>
    </row>
    <row r="437">
      <c r="A437" s="2"/>
      <c r="B437" s="2"/>
      <c r="C437" s="2"/>
      <c r="D437" s="2"/>
      <c r="E437" s="2"/>
      <c r="F437" s="2"/>
      <c r="G437" s="2"/>
      <c r="H437" s="2"/>
      <c r="I437" s="2"/>
      <c r="J437" s="2"/>
      <c r="K437" s="2"/>
      <c r="L437" s="2"/>
      <c r="M437" s="2"/>
      <c r="N437" s="2"/>
      <c r="O437" s="2"/>
      <c r="P437" s="2"/>
      <c r="Q437" s="2"/>
      <c r="R437" s="2"/>
    </row>
    <row r="438">
      <c r="A438" s="2"/>
      <c r="B438" s="2"/>
      <c r="C438" s="2"/>
      <c r="D438" s="2"/>
      <c r="E438" s="2"/>
      <c r="F438" s="2"/>
      <c r="G438" s="2"/>
      <c r="H438" s="2"/>
      <c r="I438" s="2"/>
      <c r="J438" s="2"/>
      <c r="K438" s="2"/>
      <c r="L438" s="2"/>
      <c r="M438" s="2"/>
      <c r="N438" s="2"/>
      <c r="O438" s="2"/>
      <c r="P438" s="2"/>
      <c r="Q438" s="2"/>
      <c r="R438" s="2"/>
    </row>
    <row r="439">
      <c r="A439" s="2"/>
      <c r="B439" s="2"/>
      <c r="C439" s="2"/>
      <c r="D439" s="2"/>
      <c r="E439" s="2"/>
      <c r="F439" s="2"/>
      <c r="G439" s="2"/>
      <c r="H439" s="2"/>
      <c r="I439" s="2"/>
      <c r="J439" s="2"/>
      <c r="K439" s="2"/>
      <c r="L439" s="2"/>
      <c r="M439" s="2"/>
      <c r="N439" s="2"/>
      <c r="O439" s="2"/>
      <c r="P439" s="2"/>
      <c r="Q439" s="2"/>
      <c r="R439" s="2"/>
    </row>
    <row r="440">
      <c r="A440" s="2"/>
      <c r="B440" s="2"/>
      <c r="C440" s="2"/>
      <c r="D440" s="2"/>
      <c r="E440" s="2"/>
      <c r="F440" s="2"/>
      <c r="G440" s="2"/>
      <c r="H440" s="2"/>
      <c r="I440" s="2"/>
      <c r="J440" s="2"/>
      <c r="K440" s="2"/>
      <c r="L440" s="2"/>
      <c r="M440" s="2"/>
      <c r="N440" s="2"/>
      <c r="O440" s="2"/>
      <c r="P440" s="2"/>
      <c r="Q440" s="2"/>
      <c r="R440" s="2"/>
    </row>
    <row r="441">
      <c r="A441" s="2"/>
      <c r="B441" s="2"/>
      <c r="C441" s="2"/>
      <c r="D441" s="2"/>
      <c r="E441" s="2"/>
      <c r="F441" s="2"/>
      <c r="G441" s="2"/>
      <c r="H441" s="2"/>
      <c r="I441" s="2"/>
      <c r="J441" s="2"/>
      <c r="K441" s="2"/>
      <c r="L441" s="2"/>
      <c r="M441" s="2"/>
      <c r="N441" s="2"/>
      <c r="O441" s="2"/>
      <c r="P441" s="2"/>
      <c r="Q441" s="2"/>
      <c r="R441" s="2"/>
    </row>
    <row r="442">
      <c r="A442" s="2"/>
      <c r="B442" s="2"/>
      <c r="C442" s="2"/>
      <c r="D442" s="2"/>
      <c r="E442" s="2"/>
      <c r="F442" s="2"/>
      <c r="G442" s="2"/>
      <c r="H442" s="2"/>
      <c r="I442" s="2"/>
      <c r="J442" s="2"/>
      <c r="K442" s="2"/>
      <c r="L442" s="2"/>
      <c r="M442" s="2"/>
      <c r="N442" s="2"/>
      <c r="O442" s="2"/>
      <c r="P442" s="2"/>
      <c r="Q442" s="2"/>
      <c r="R442" s="2"/>
    </row>
    <row r="443">
      <c r="A443" s="2"/>
      <c r="B443" s="2"/>
      <c r="C443" s="2"/>
      <c r="D443" s="2"/>
      <c r="E443" s="2"/>
      <c r="F443" s="2"/>
      <c r="G443" s="2"/>
      <c r="H443" s="2"/>
      <c r="I443" s="2"/>
      <c r="J443" s="2"/>
      <c r="K443" s="2"/>
      <c r="L443" s="2"/>
      <c r="M443" s="2"/>
      <c r="N443" s="2"/>
      <c r="O443" s="2"/>
      <c r="P443" s="2"/>
      <c r="Q443" s="2"/>
      <c r="R443" s="2"/>
    </row>
    <row r="444">
      <c r="A444" s="2"/>
      <c r="B444" s="2"/>
      <c r="C444" s="2"/>
      <c r="D444" s="2"/>
      <c r="E444" s="2"/>
      <c r="F444" s="2"/>
      <c r="G444" s="2"/>
      <c r="H444" s="2"/>
      <c r="I444" s="2"/>
      <c r="J444" s="2"/>
      <c r="K444" s="2"/>
      <c r="L444" s="2"/>
      <c r="M444" s="2"/>
      <c r="N444" s="2"/>
      <c r="O444" s="2"/>
      <c r="P444" s="2"/>
      <c r="Q444" s="2"/>
      <c r="R444" s="2"/>
    </row>
    <row r="445">
      <c r="A445" s="2"/>
      <c r="B445" s="2"/>
      <c r="C445" s="2"/>
      <c r="D445" s="2"/>
      <c r="E445" s="2"/>
      <c r="F445" s="2"/>
      <c r="G445" s="2"/>
      <c r="H445" s="2"/>
      <c r="I445" s="2"/>
      <c r="J445" s="2"/>
      <c r="K445" s="2"/>
      <c r="L445" s="2"/>
      <c r="M445" s="2"/>
      <c r="N445" s="2"/>
      <c r="O445" s="2"/>
      <c r="P445" s="2"/>
      <c r="Q445" s="2"/>
      <c r="R445" s="2"/>
    </row>
    <row r="446">
      <c r="A446" s="2"/>
      <c r="B446" s="2"/>
      <c r="C446" s="2"/>
      <c r="D446" s="2"/>
      <c r="E446" s="2"/>
      <c r="F446" s="2"/>
      <c r="G446" s="2"/>
      <c r="H446" s="2"/>
      <c r="I446" s="2"/>
      <c r="J446" s="2"/>
      <c r="K446" s="2"/>
      <c r="L446" s="2"/>
      <c r="M446" s="2"/>
      <c r="N446" s="2"/>
      <c r="O446" s="2"/>
      <c r="P446" s="2"/>
      <c r="Q446" s="2"/>
      <c r="R446" s="2"/>
    </row>
    <row r="447">
      <c r="A447" s="2"/>
      <c r="B447" s="2"/>
      <c r="C447" s="2"/>
      <c r="D447" s="2"/>
      <c r="E447" s="2"/>
      <c r="F447" s="2"/>
      <c r="G447" s="2"/>
      <c r="H447" s="2"/>
      <c r="I447" s="2"/>
      <c r="J447" s="2"/>
      <c r="K447" s="2"/>
      <c r="L447" s="2"/>
      <c r="M447" s="2"/>
      <c r="N447" s="2"/>
      <c r="O447" s="2"/>
      <c r="P447" s="2"/>
      <c r="Q447" s="2"/>
      <c r="R447" s="2"/>
    </row>
    <row r="448">
      <c r="A448" s="2"/>
      <c r="B448" s="2"/>
      <c r="C448" s="2"/>
      <c r="D448" s="2"/>
      <c r="E448" s="2"/>
      <c r="F448" s="2"/>
      <c r="G448" s="2"/>
      <c r="H448" s="2"/>
      <c r="I448" s="2"/>
      <c r="J448" s="2"/>
      <c r="K448" s="2"/>
      <c r="L448" s="2"/>
      <c r="M448" s="2"/>
      <c r="N448" s="2"/>
      <c r="O448" s="2"/>
      <c r="P448" s="2"/>
      <c r="Q448" s="2"/>
      <c r="R448" s="2"/>
    </row>
    <row r="449">
      <c r="A449" s="2"/>
      <c r="B449" s="2"/>
      <c r="C449" s="2"/>
      <c r="D449" s="2"/>
      <c r="E449" s="2"/>
      <c r="F449" s="2"/>
      <c r="G449" s="2"/>
      <c r="H449" s="2"/>
      <c r="I449" s="2"/>
      <c r="J449" s="2"/>
      <c r="K449" s="2"/>
      <c r="L449" s="2"/>
      <c r="M449" s="2"/>
      <c r="N449" s="2"/>
      <c r="O449" s="2"/>
      <c r="P449" s="2"/>
      <c r="Q449" s="2"/>
      <c r="R449" s="2"/>
    </row>
    <row r="450">
      <c r="A450" s="2"/>
      <c r="B450" s="2"/>
      <c r="C450" s="2"/>
      <c r="D450" s="2"/>
      <c r="E450" s="2"/>
      <c r="F450" s="2"/>
      <c r="G450" s="2"/>
      <c r="H450" s="2"/>
      <c r="I450" s="2"/>
      <c r="J450" s="2"/>
      <c r="K450" s="2"/>
      <c r="L450" s="2"/>
      <c r="M450" s="2"/>
      <c r="N450" s="2"/>
      <c r="O450" s="2"/>
      <c r="P450" s="2"/>
      <c r="Q450" s="2"/>
      <c r="R450" s="2"/>
    </row>
    <row r="451">
      <c r="A451" s="2"/>
      <c r="B451" s="2"/>
      <c r="C451" s="2"/>
      <c r="D451" s="2"/>
      <c r="E451" s="2"/>
      <c r="F451" s="2"/>
      <c r="G451" s="2"/>
      <c r="H451" s="2"/>
      <c r="I451" s="2"/>
      <c r="J451" s="2"/>
      <c r="K451" s="2"/>
      <c r="L451" s="2"/>
      <c r="M451" s="2"/>
      <c r="N451" s="2"/>
      <c r="O451" s="2"/>
      <c r="P451" s="2"/>
      <c r="Q451" s="2"/>
      <c r="R451" s="2"/>
    </row>
    <row r="452">
      <c r="A452" s="2"/>
      <c r="B452" s="2"/>
      <c r="C452" s="2"/>
      <c r="D452" s="2"/>
      <c r="E452" s="2"/>
      <c r="F452" s="2"/>
      <c r="G452" s="2"/>
      <c r="H452" s="2"/>
      <c r="I452" s="2"/>
      <c r="J452" s="2"/>
      <c r="K452" s="2"/>
      <c r="L452" s="2"/>
      <c r="M452" s="2"/>
      <c r="N452" s="2"/>
      <c r="O452" s="2"/>
      <c r="P452" s="2"/>
      <c r="Q452" s="2"/>
      <c r="R452" s="2"/>
    </row>
    <row r="453">
      <c r="A453" s="2"/>
      <c r="B453" s="2"/>
      <c r="C453" s="2"/>
      <c r="D453" s="2"/>
      <c r="E453" s="2"/>
      <c r="F453" s="2"/>
      <c r="G453" s="2"/>
      <c r="H453" s="2"/>
      <c r="I453" s="2"/>
      <c r="J453" s="2"/>
      <c r="K453" s="2"/>
      <c r="L453" s="2"/>
      <c r="M453" s="2"/>
      <c r="N453" s="2"/>
      <c r="O453" s="2"/>
      <c r="P453" s="2"/>
      <c r="Q453" s="2"/>
      <c r="R453" s="2"/>
    </row>
    <row r="454">
      <c r="A454" s="2"/>
      <c r="B454" s="2"/>
      <c r="C454" s="2"/>
      <c r="D454" s="2"/>
      <c r="E454" s="2"/>
      <c r="F454" s="2"/>
      <c r="G454" s="2"/>
      <c r="H454" s="2"/>
      <c r="I454" s="2"/>
      <c r="J454" s="2"/>
      <c r="K454" s="2"/>
      <c r="L454" s="2"/>
      <c r="M454" s="2"/>
      <c r="N454" s="2"/>
      <c r="O454" s="2"/>
      <c r="P454" s="2"/>
      <c r="Q454" s="2"/>
      <c r="R454" s="2"/>
    </row>
    <row r="455">
      <c r="A455" s="2"/>
      <c r="B455" s="2"/>
      <c r="C455" s="2"/>
      <c r="D455" s="2"/>
      <c r="E455" s="2"/>
      <c r="F455" s="2"/>
      <c r="G455" s="2"/>
      <c r="H455" s="2"/>
      <c r="I455" s="2"/>
      <c r="J455" s="2"/>
      <c r="K455" s="2"/>
      <c r="L455" s="2"/>
      <c r="M455" s="2"/>
      <c r="N455" s="2"/>
      <c r="O455" s="2"/>
      <c r="P455" s="2"/>
      <c r="Q455" s="2"/>
      <c r="R455" s="2"/>
    </row>
    <row r="456">
      <c r="A456" s="2"/>
      <c r="B456" s="2"/>
      <c r="C456" s="2"/>
      <c r="D456" s="2"/>
      <c r="E456" s="2"/>
      <c r="F456" s="2"/>
      <c r="G456" s="2"/>
      <c r="H456" s="2"/>
      <c r="I456" s="2"/>
      <c r="J456" s="2"/>
      <c r="K456" s="2"/>
      <c r="L456" s="2"/>
      <c r="M456" s="2"/>
      <c r="N456" s="2"/>
      <c r="O456" s="2"/>
      <c r="P456" s="2"/>
      <c r="Q456" s="2"/>
      <c r="R456" s="2"/>
    </row>
    <row r="457">
      <c r="A457" s="2"/>
      <c r="B457" s="2"/>
      <c r="C457" s="2"/>
      <c r="D457" s="2"/>
      <c r="E457" s="2"/>
      <c r="F457" s="2"/>
      <c r="G457" s="2"/>
      <c r="H457" s="2"/>
      <c r="I457" s="2"/>
      <c r="J457" s="2"/>
      <c r="K457" s="2"/>
      <c r="L457" s="2"/>
      <c r="M457" s="2"/>
      <c r="N457" s="2"/>
      <c r="O457" s="2"/>
      <c r="P457" s="2"/>
      <c r="Q457" s="2"/>
      <c r="R457" s="2"/>
    </row>
    <row r="458">
      <c r="A458" s="2"/>
      <c r="B458" s="2"/>
      <c r="C458" s="2"/>
      <c r="D458" s="2"/>
      <c r="E458" s="2"/>
      <c r="F458" s="2"/>
      <c r="G458" s="2"/>
      <c r="H458" s="2"/>
      <c r="I458" s="2"/>
      <c r="J458" s="2"/>
      <c r="K458" s="2"/>
      <c r="L458" s="2"/>
      <c r="M458" s="2"/>
      <c r="N458" s="2"/>
      <c r="O458" s="2"/>
      <c r="P458" s="2"/>
      <c r="Q458" s="2"/>
      <c r="R458" s="2"/>
    </row>
    <row r="459">
      <c r="A459" s="2"/>
      <c r="B459" s="2"/>
      <c r="C459" s="2"/>
      <c r="D459" s="2"/>
      <c r="E459" s="2"/>
      <c r="F459" s="2"/>
      <c r="G459" s="2"/>
      <c r="H459" s="2"/>
      <c r="I459" s="2"/>
      <c r="J459" s="2"/>
      <c r="K459" s="2"/>
      <c r="L459" s="2"/>
      <c r="M459" s="2"/>
      <c r="N459" s="2"/>
      <c r="O459" s="2"/>
      <c r="P459" s="2"/>
      <c r="Q459" s="2"/>
      <c r="R459" s="2"/>
    </row>
    <row r="460">
      <c r="A460" s="2"/>
      <c r="B460" s="2"/>
      <c r="C460" s="2"/>
      <c r="D460" s="2"/>
      <c r="E460" s="2"/>
      <c r="F460" s="2"/>
      <c r="G460" s="2"/>
      <c r="H460" s="2"/>
      <c r="I460" s="2"/>
      <c r="J460" s="2"/>
      <c r="K460" s="2"/>
      <c r="L460" s="2"/>
      <c r="M460" s="2"/>
      <c r="N460" s="2"/>
      <c r="O460" s="2"/>
      <c r="P460" s="2"/>
      <c r="Q460" s="2"/>
      <c r="R460" s="2"/>
    </row>
    <row r="461">
      <c r="A461" s="2"/>
      <c r="B461" s="2"/>
      <c r="C461" s="2"/>
      <c r="D461" s="2"/>
      <c r="E461" s="2"/>
      <c r="F461" s="2"/>
      <c r="G461" s="2"/>
      <c r="H461" s="2"/>
      <c r="I461" s="2"/>
      <c r="J461" s="2"/>
      <c r="K461" s="2"/>
      <c r="L461" s="2"/>
      <c r="M461" s="2"/>
      <c r="N461" s="2"/>
      <c r="O461" s="2"/>
      <c r="P461" s="2"/>
      <c r="Q461" s="2"/>
      <c r="R461" s="2"/>
    </row>
    <row r="462">
      <c r="A462" s="2"/>
      <c r="B462" s="2"/>
      <c r="C462" s="2"/>
      <c r="D462" s="2"/>
      <c r="E462" s="2"/>
      <c r="F462" s="2"/>
      <c r="G462" s="2"/>
      <c r="H462" s="2"/>
      <c r="I462" s="2"/>
      <c r="J462" s="2"/>
      <c r="K462" s="2"/>
      <c r="L462" s="2"/>
      <c r="M462" s="2"/>
      <c r="N462" s="2"/>
      <c r="O462" s="2"/>
      <c r="P462" s="2"/>
      <c r="Q462" s="2"/>
      <c r="R462" s="2"/>
    </row>
    <row r="463">
      <c r="A463" s="2"/>
      <c r="B463" s="2"/>
      <c r="C463" s="2"/>
      <c r="D463" s="2"/>
      <c r="E463" s="2"/>
      <c r="F463" s="2"/>
      <c r="G463" s="2"/>
      <c r="H463" s="2"/>
      <c r="I463" s="2"/>
      <c r="J463" s="2"/>
      <c r="K463" s="2"/>
      <c r="L463" s="2"/>
      <c r="M463" s="2"/>
      <c r="N463" s="2"/>
      <c r="O463" s="2"/>
      <c r="P463" s="2"/>
      <c r="Q463" s="2"/>
      <c r="R463" s="2"/>
    </row>
    <row r="464">
      <c r="A464" s="2"/>
      <c r="B464" s="2"/>
      <c r="C464" s="2"/>
      <c r="D464" s="2"/>
      <c r="E464" s="2"/>
      <c r="F464" s="2"/>
      <c r="G464" s="2"/>
      <c r="H464" s="2"/>
      <c r="I464" s="2"/>
      <c r="J464" s="2"/>
      <c r="K464" s="2"/>
      <c r="L464" s="2"/>
      <c r="M464" s="2"/>
      <c r="N464" s="2"/>
      <c r="O464" s="2"/>
      <c r="P464" s="2"/>
      <c r="Q464" s="2"/>
      <c r="R464" s="2"/>
    </row>
    <row r="465">
      <c r="A465" s="2"/>
      <c r="B465" s="2"/>
      <c r="C465" s="2"/>
      <c r="D465" s="2"/>
      <c r="E465" s="2"/>
      <c r="F465" s="2"/>
      <c r="G465" s="2"/>
      <c r="H465" s="2"/>
      <c r="I465" s="2"/>
      <c r="J465" s="2"/>
      <c r="K465" s="2"/>
      <c r="L465" s="2"/>
      <c r="M465" s="2"/>
      <c r="N465" s="2"/>
      <c r="O465" s="2"/>
      <c r="P465" s="2"/>
      <c r="Q465" s="2"/>
      <c r="R465" s="2"/>
    </row>
    <row r="466">
      <c r="A466" s="2"/>
      <c r="B466" s="2"/>
      <c r="C466" s="2"/>
      <c r="D466" s="2"/>
      <c r="E466" s="2"/>
      <c r="F466" s="2"/>
      <c r="G466" s="2"/>
      <c r="H466" s="2"/>
      <c r="I466" s="2"/>
      <c r="J466" s="2"/>
      <c r="K466" s="2"/>
      <c r="L466" s="2"/>
      <c r="M466" s="2"/>
      <c r="N466" s="2"/>
      <c r="O466" s="2"/>
      <c r="P466" s="2"/>
      <c r="Q466" s="2"/>
      <c r="R466" s="2"/>
    </row>
    <row r="467">
      <c r="A467" s="2"/>
      <c r="B467" s="2"/>
      <c r="C467" s="2"/>
      <c r="D467" s="2"/>
      <c r="E467" s="2"/>
      <c r="F467" s="2"/>
      <c r="G467" s="2"/>
      <c r="H467" s="2"/>
      <c r="I467" s="2"/>
      <c r="J467" s="2"/>
      <c r="K467" s="2"/>
      <c r="L467" s="2"/>
      <c r="M467" s="2"/>
      <c r="N467" s="2"/>
      <c r="O467" s="2"/>
      <c r="P467" s="2"/>
      <c r="Q467" s="2"/>
      <c r="R467" s="2"/>
    </row>
    <row r="468">
      <c r="A468" s="2"/>
      <c r="B468" s="2"/>
      <c r="C468" s="2"/>
      <c r="D468" s="2"/>
      <c r="E468" s="2"/>
      <c r="F468" s="2"/>
      <c r="G468" s="2"/>
      <c r="H468" s="2"/>
      <c r="I468" s="2"/>
      <c r="J468" s="2"/>
      <c r="K468" s="2"/>
      <c r="L468" s="2"/>
      <c r="M468" s="2"/>
      <c r="N468" s="2"/>
      <c r="O468" s="2"/>
      <c r="P468" s="2"/>
      <c r="Q468" s="2"/>
      <c r="R468" s="2"/>
    </row>
    <row r="469">
      <c r="A469" s="2"/>
      <c r="B469" s="2"/>
      <c r="C469" s="2"/>
      <c r="D469" s="2"/>
      <c r="E469" s="2"/>
      <c r="F469" s="2"/>
      <c r="G469" s="2"/>
      <c r="H469" s="2"/>
      <c r="I469" s="2"/>
      <c r="J469" s="2"/>
      <c r="K469" s="2"/>
      <c r="L469" s="2"/>
      <c r="M469" s="2"/>
      <c r="N469" s="2"/>
      <c r="O469" s="2"/>
      <c r="P469" s="2"/>
      <c r="Q469" s="2"/>
      <c r="R469" s="2"/>
    </row>
    <row r="470">
      <c r="A470" s="2"/>
      <c r="B470" s="2"/>
      <c r="C470" s="2"/>
      <c r="D470" s="2"/>
      <c r="E470" s="2"/>
      <c r="F470" s="2"/>
      <c r="G470" s="2"/>
      <c r="H470" s="2"/>
      <c r="I470" s="2"/>
      <c r="J470" s="2"/>
      <c r="K470" s="2"/>
      <c r="L470" s="2"/>
      <c r="M470" s="2"/>
      <c r="N470" s="2"/>
      <c r="O470" s="2"/>
      <c r="P470" s="2"/>
      <c r="Q470" s="2"/>
      <c r="R470" s="2"/>
    </row>
    <row r="471">
      <c r="A471" s="2"/>
      <c r="B471" s="2"/>
      <c r="C471" s="2"/>
      <c r="D471" s="2"/>
      <c r="E471" s="2"/>
      <c r="F471" s="2"/>
      <c r="G471" s="2"/>
      <c r="H471" s="2"/>
      <c r="I471" s="2"/>
      <c r="J471" s="2"/>
      <c r="K471" s="2"/>
      <c r="L471" s="2"/>
      <c r="M471" s="2"/>
      <c r="N471" s="2"/>
      <c r="O471" s="2"/>
      <c r="P471" s="2"/>
      <c r="Q471" s="2"/>
      <c r="R471" s="2"/>
    </row>
    <row r="472">
      <c r="A472" s="2"/>
      <c r="B472" s="2"/>
      <c r="C472" s="2"/>
      <c r="D472" s="2"/>
      <c r="E472" s="2"/>
      <c r="F472" s="2"/>
      <c r="G472" s="2"/>
      <c r="H472" s="2"/>
      <c r="I472" s="2"/>
      <c r="J472" s="2"/>
      <c r="K472" s="2"/>
      <c r="L472" s="2"/>
      <c r="M472" s="2"/>
      <c r="N472" s="2"/>
      <c r="O472" s="2"/>
      <c r="P472" s="2"/>
      <c r="Q472" s="2"/>
      <c r="R472" s="2"/>
    </row>
    <row r="473">
      <c r="A473" s="2"/>
      <c r="B473" s="2"/>
      <c r="C473" s="2"/>
      <c r="D473" s="2"/>
      <c r="E473" s="2"/>
      <c r="F473" s="2"/>
      <c r="G473" s="2"/>
      <c r="H473" s="2"/>
      <c r="I473" s="2"/>
      <c r="J473" s="2"/>
      <c r="K473" s="2"/>
      <c r="L473" s="2"/>
      <c r="M473" s="2"/>
      <c r="N473" s="2"/>
      <c r="O473" s="2"/>
      <c r="P473" s="2"/>
      <c r="Q473" s="2"/>
      <c r="R473" s="2"/>
    </row>
    <row r="474">
      <c r="A474" s="2"/>
      <c r="B474" s="2"/>
      <c r="C474" s="2"/>
      <c r="D474" s="2"/>
      <c r="E474" s="2"/>
      <c r="F474" s="2"/>
      <c r="G474" s="2"/>
      <c r="H474" s="2"/>
      <c r="I474" s="2"/>
      <c r="J474" s="2"/>
      <c r="K474" s="2"/>
      <c r="L474" s="2"/>
      <c r="M474" s="2"/>
      <c r="N474" s="2"/>
      <c r="O474" s="2"/>
      <c r="P474" s="2"/>
      <c r="Q474" s="2"/>
      <c r="R474" s="2"/>
    </row>
    <row r="475">
      <c r="A475" s="2"/>
      <c r="B475" s="2"/>
      <c r="C475" s="2"/>
      <c r="D475" s="2"/>
      <c r="E475" s="2"/>
      <c r="F475" s="2"/>
      <c r="G475" s="2"/>
      <c r="H475" s="2"/>
      <c r="I475" s="2"/>
      <c r="J475" s="2"/>
      <c r="K475" s="2"/>
      <c r="L475" s="2"/>
      <c r="M475" s="2"/>
      <c r="N475" s="2"/>
      <c r="O475" s="2"/>
      <c r="P475" s="2"/>
      <c r="Q475" s="2"/>
      <c r="R475" s="2"/>
    </row>
    <row r="476">
      <c r="A476" s="2"/>
      <c r="B476" s="2"/>
      <c r="C476" s="2"/>
      <c r="D476" s="2"/>
      <c r="E476" s="2"/>
      <c r="F476" s="2"/>
      <c r="G476" s="2"/>
      <c r="H476" s="2"/>
      <c r="I476" s="2"/>
      <c r="J476" s="2"/>
      <c r="K476" s="2"/>
      <c r="L476" s="2"/>
      <c r="M476" s="2"/>
      <c r="N476" s="2"/>
      <c r="O476" s="2"/>
      <c r="P476" s="2"/>
      <c r="Q476" s="2"/>
      <c r="R476" s="2"/>
    </row>
    <row r="477">
      <c r="A477" s="2"/>
      <c r="B477" s="2"/>
      <c r="C477" s="2"/>
      <c r="D477" s="2"/>
      <c r="E477" s="2"/>
      <c r="F477" s="2"/>
      <c r="G477" s="2"/>
      <c r="H477" s="2"/>
      <c r="I477" s="2"/>
      <c r="J477" s="2"/>
      <c r="K477" s="2"/>
      <c r="L477" s="2"/>
      <c r="M477" s="2"/>
      <c r="N477" s="2"/>
      <c r="O477" s="2"/>
      <c r="P477" s="2"/>
      <c r="Q477" s="2"/>
      <c r="R477" s="2"/>
    </row>
    <row r="478">
      <c r="A478" s="2"/>
      <c r="B478" s="2"/>
      <c r="C478" s="2"/>
      <c r="D478" s="2"/>
      <c r="E478" s="2"/>
      <c r="F478" s="2"/>
      <c r="G478" s="2"/>
      <c r="H478" s="2"/>
      <c r="I478" s="2"/>
      <c r="J478" s="2"/>
      <c r="K478" s="2"/>
      <c r="L478" s="2"/>
      <c r="M478" s="2"/>
      <c r="N478" s="2"/>
      <c r="O478" s="2"/>
      <c r="P478" s="2"/>
      <c r="Q478" s="2"/>
      <c r="R478" s="2"/>
    </row>
    <row r="479">
      <c r="A479" s="2"/>
      <c r="B479" s="2"/>
      <c r="C479" s="2"/>
      <c r="D479" s="2"/>
      <c r="E479" s="2"/>
      <c r="F479" s="2"/>
      <c r="G479" s="2"/>
      <c r="H479" s="2"/>
      <c r="I479" s="2"/>
      <c r="J479" s="2"/>
      <c r="K479" s="2"/>
      <c r="L479" s="2"/>
      <c r="M479" s="2"/>
      <c r="N479" s="2"/>
      <c r="O479" s="2"/>
      <c r="P479" s="2"/>
      <c r="Q479" s="2"/>
      <c r="R479" s="2"/>
    </row>
    <row r="480">
      <c r="A480" s="2"/>
      <c r="B480" s="2"/>
      <c r="C480" s="2"/>
      <c r="D480" s="2"/>
      <c r="E480" s="2"/>
      <c r="F480" s="2"/>
      <c r="G480" s="2"/>
      <c r="H480" s="2"/>
      <c r="I480" s="2"/>
      <c r="J480" s="2"/>
      <c r="K480" s="2"/>
      <c r="L480" s="2"/>
      <c r="M480" s="2"/>
      <c r="N480" s="2"/>
      <c r="O480" s="2"/>
      <c r="P480" s="2"/>
      <c r="Q480" s="2"/>
      <c r="R480" s="2"/>
    </row>
    <row r="481">
      <c r="A481" s="2"/>
      <c r="B481" s="2"/>
      <c r="C481" s="2"/>
      <c r="D481" s="2"/>
      <c r="E481" s="2"/>
      <c r="F481" s="2"/>
      <c r="G481" s="2"/>
      <c r="H481" s="2"/>
      <c r="I481" s="2"/>
      <c r="J481" s="2"/>
      <c r="K481" s="2"/>
      <c r="L481" s="2"/>
      <c r="M481" s="2"/>
      <c r="N481" s="2"/>
      <c r="O481" s="2"/>
      <c r="P481" s="2"/>
      <c r="Q481" s="2"/>
      <c r="R481" s="2"/>
    </row>
    <row r="482">
      <c r="A482" s="2"/>
      <c r="B482" s="2"/>
      <c r="C482" s="2"/>
      <c r="D482" s="2"/>
      <c r="E482" s="2"/>
      <c r="F482" s="2"/>
      <c r="G482" s="2"/>
      <c r="H482" s="2"/>
      <c r="I482" s="2"/>
      <c r="J482" s="2"/>
      <c r="K482" s="2"/>
      <c r="L482" s="2"/>
      <c r="M482" s="2"/>
      <c r="N482" s="2"/>
      <c r="O482" s="2"/>
      <c r="P482" s="2"/>
      <c r="Q482" s="2"/>
      <c r="R482" s="2"/>
    </row>
    <row r="483">
      <c r="A483" s="2"/>
      <c r="B483" s="2"/>
      <c r="C483" s="2"/>
      <c r="D483" s="2"/>
      <c r="E483" s="2"/>
      <c r="F483" s="2"/>
      <c r="G483" s="2"/>
      <c r="H483" s="2"/>
      <c r="I483" s="2"/>
      <c r="J483" s="2"/>
      <c r="K483" s="2"/>
      <c r="L483" s="2"/>
      <c r="M483" s="2"/>
      <c r="N483" s="2"/>
      <c r="O483" s="2"/>
      <c r="P483" s="2"/>
      <c r="Q483" s="2"/>
      <c r="R483" s="2"/>
    </row>
    <row r="484">
      <c r="A484" s="2"/>
      <c r="B484" s="2"/>
      <c r="C484" s="2"/>
      <c r="D484" s="2"/>
      <c r="E484" s="2"/>
      <c r="F484" s="2"/>
      <c r="G484" s="2"/>
      <c r="H484" s="2"/>
      <c r="I484" s="2"/>
      <c r="J484" s="2"/>
      <c r="K484" s="2"/>
      <c r="L484" s="2"/>
      <c r="M484" s="2"/>
      <c r="N484" s="2"/>
      <c r="O484" s="2"/>
      <c r="P484" s="2"/>
      <c r="Q484" s="2"/>
      <c r="R484" s="2"/>
    </row>
    <row r="485">
      <c r="A485" s="2"/>
      <c r="B485" s="2"/>
      <c r="C485" s="2"/>
      <c r="D485" s="2"/>
      <c r="E485" s="2"/>
      <c r="F485" s="2"/>
      <c r="G485" s="2"/>
      <c r="H485" s="2"/>
      <c r="I485" s="2"/>
      <c r="J485" s="2"/>
      <c r="K485" s="2"/>
      <c r="L485" s="2"/>
      <c r="M485" s="2"/>
      <c r="N485" s="2"/>
      <c r="O485" s="2"/>
      <c r="P485" s="2"/>
      <c r="Q485" s="2"/>
      <c r="R485" s="2"/>
    </row>
    <row r="486">
      <c r="A486" s="2"/>
      <c r="B486" s="2"/>
      <c r="C486" s="2"/>
      <c r="D486" s="2"/>
      <c r="E486" s="2"/>
      <c r="F486" s="2"/>
      <c r="G486" s="2"/>
      <c r="H486" s="2"/>
      <c r="I486" s="2"/>
      <c r="J486" s="2"/>
      <c r="K486" s="2"/>
      <c r="L486" s="2"/>
      <c r="M486" s="2"/>
      <c r="N486" s="2"/>
      <c r="O486" s="2"/>
      <c r="P486" s="2"/>
      <c r="Q486" s="2"/>
      <c r="R486" s="2"/>
    </row>
    <row r="487">
      <c r="A487" s="2"/>
      <c r="B487" s="2"/>
      <c r="C487" s="2"/>
      <c r="D487" s="2"/>
      <c r="E487" s="2"/>
      <c r="F487" s="2"/>
      <c r="G487" s="2"/>
      <c r="H487" s="2"/>
      <c r="I487" s="2"/>
      <c r="J487" s="2"/>
      <c r="K487" s="2"/>
      <c r="L487" s="2"/>
      <c r="M487" s="2"/>
      <c r="N487" s="2"/>
      <c r="O487" s="2"/>
      <c r="P487" s="2"/>
      <c r="Q487" s="2"/>
      <c r="R487" s="2"/>
    </row>
    <row r="488">
      <c r="A488" s="2"/>
      <c r="B488" s="2"/>
      <c r="C488" s="2"/>
      <c r="D488" s="2"/>
      <c r="E488" s="2"/>
      <c r="F488" s="2"/>
      <c r="G488" s="2"/>
      <c r="H488" s="2"/>
      <c r="I488" s="2"/>
      <c r="J488" s="2"/>
      <c r="K488" s="2"/>
      <c r="L488" s="2"/>
      <c r="M488" s="2"/>
      <c r="N488" s="2"/>
      <c r="O488" s="2"/>
      <c r="P488" s="2"/>
      <c r="Q488" s="2"/>
      <c r="R488" s="2"/>
    </row>
    <row r="489">
      <c r="A489" s="2"/>
      <c r="B489" s="2"/>
      <c r="C489" s="2"/>
      <c r="D489" s="2"/>
      <c r="E489" s="2"/>
      <c r="F489" s="2"/>
      <c r="G489" s="2"/>
      <c r="H489" s="2"/>
      <c r="I489" s="2"/>
      <c r="J489" s="2"/>
      <c r="K489" s="2"/>
      <c r="L489" s="2"/>
      <c r="M489" s="2"/>
      <c r="N489" s="2"/>
      <c r="O489" s="2"/>
      <c r="P489" s="2"/>
      <c r="Q489" s="2"/>
      <c r="R489" s="2"/>
    </row>
    <row r="490">
      <c r="A490" s="2"/>
      <c r="B490" s="2"/>
      <c r="C490" s="2"/>
      <c r="D490" s="2"/>
      <c r="E490" s="2"/>
      <c r="F490" s="2"/>
      <c r="G490" s="2"/>
      <c r="H490" s="2"/>
      <c r="I490" s="2"/>
      <c r="J490" s="2"/>
      <c r="K490" s="2"/>
      <c r="L490" s="2"/>
      <c r="M490" s="2"/>
      <c r="N490" s="2"/>
      <c r="O490" s="2"/>
      <c r="P490" s="2"/>
      <c r="Q490" s="2"/>
      <c r="R490" s="2"/>
    </row>
    <row r="491">
      <c r="A491" s="2"/>
      <c r="B491" s="2"/>
      <c r="C491" s="2"/>
      <c r="D491" s="2"/>
      <c r="E491" s="2"/>
      <c r="F491" s="2"/>
      <c r="G491" s="2"/>
      <c r="H491" s="2"/>
      <c r="I491" s="2"/>
      <c r="J491" s="2"/>
      <c r="K491" s="2"/>
      <c r="L491" s="2"/>
      <c r="M491" s="2"/>
      <c r="N491" s="2"/>
      <c r="O491" s="2"/>
      <c r="P491" s="2"/>
      <c r="Q491" s="2"/>
      <c r="R491" s="2"/>
    </row>
    <row r="492">
      <c r="A492" s="2"/>
      <c r="B492" s="2"/>
      <c r="C492" s="2"/>
      <c r="D492" s="2"/>
      <c r="E492" s="2"/>
      <c r="F492" s="2"/>
      <c r="G492" s="2"/>
      <c r="H492" s="2"/>
      <c r="I492" s="2"/>
      <c r="J492" s="2"/>
      <c r="K492" s="2"/>
      <c r="L492" s="2"/>
      <c r="M492" s="2"/>
      <c r="N492" s="2"/>
      <c r="O492" s="2"/>
      <c r="P492" s="2"/>
      <c r="Q492" s="2"/>
      <c r="R492" s="2"/>
    </row>
    <row r="493">
      <c r="A493" s="2"/>
      <c r="B493" s="2"/>
      <c r="C493" s="2"/>
      <c r="D493" s="2"/>
      <c r="E493" s="2"/>
      <c r="F493" s="2"/>
      <c r="G493" s="2"/>
      <c r="H493" s="2"/>
      <c r="I493" s="2"/>
      <c r="J493" s="2"/>
      <c r="K493" s="2"/>
      <c r="L493" s="2"/>
      <c r="M493" s="2"/>
      <c r="N493" s="2"/>
      <c r="O493" s="2"/>
      <c r="P493" s="2"/>
      <c r="Q493" s="2"/>
      <c r="R493" s="2"/>
    </row>
    <row r="494">
      <c r="A494" s="2"/>
      <c r="B494" s="2"/>
      <c r="C494" s="2"/>
      <c r="D494" s="2"/>
      <c r="E494" s="2"/>
      <c r="F494" s="2"/>
      <c r="G494" s="2"/>
      <c r="H494" s="2"/>
      <c r="I494" s="2"/>
      <c r="J494" s="2"/>
      <c r="K494" s="2"/>
      <c r="L494" s="2"/>
      <c r="M494" s="2"/>
      <c r="N494" s="2"/>
      <c r="O494" s="2"/>
      <c r="P494" s="2"/>
      <c r="Q494" s="2"/>
      <c r="R494" s="2"/>
    </row>
    <row r="495">
      <c r="A495" s="2"/>
      <c r="B495" s="2"/>
      <c r="C495" s="2"/>
      <c r="D495" s="2"/>
      <c r="E495" s="2"/>
      <c r="F495" s="2"/>
      <c r="G495" s="2"/>
      <c r="H495" s="2"/>
      <c r="I495" s="2"/>
      <c r="J495" s="2"/>
      <c r="K495" s="2"/>
      <c r="L495" s="2"/>
      <c r="M495" s="2"/>
      <c r="N495" s="2"/>
      <c r="O495" s="2"/>
      <c r="P495" s="2"/>
      <c r="Q495" s="2"/>
      <c r="R495" s="2"/>
    </row>
    <row r="496">
      <c r="A496" s="2"/>
      <c r="B496" s="2"/>
      <c r="C496" s="2"/>
      <c r="D496" s="2"/>
      <c r="E496" s="2"/>
      <c r="F496" s="2"/>
      <c r="G496" s="2"/>
      <c r="H496" s="2"/>
      <c r="I496" s="2"/>
      <c r="J496" s="2"/>
      <c r="K496" s="2"/>
      <c r="L496" s="2"/>
      <c r="M496" s="2"/>
      <c r="N496" s="2"/>
      <c r="O496" s="2"/>
      <c r="P496" s="2"/>
      <c r="Q496" s="2"/>
      <c r="R496" s="2"/>
    </row>
    <row r="497">
      <c r="A497" s="2"/>
      <c r="B497" s="2"/>
      <c r="C497" s="2"/>
      <c r="D497" s="2"/>
      <c r="E497" s="2"/>
      <c r="F497" s="2"/>
      <c r="G497" s="2"/>
      <c r="H497" s="2"/>
      <c r="I497" s="2"/>
      <c r="J497" s="2"/>
      <c r="K497" s="2"/>
      <c r="L497" s="2"/>
      <c r="M497" s="2"/>
      <c r="N497" s="2"/>
      <c r="O497" s="2"/>
      <c r="P497" s="2"/>
      <c r="Q497" s="2"/>
      <c r="R497" s="2"/>
    </row>
    <row r="498">
      <c r="A498" s="2"/>
      <c r="B498" s="2"/>
      <c r="C498" s="2"/>
      <c r="D498" s="2"/>
      <c r="E498" s="2"/>
      <c r="F498" s="2"/>
      <c r="G498" s="2"/>
      <c r="H498" s="2"/>
      <c r="I498" s="2"/>
      <c r="J498" s="2"/>
      <c r="K498" s="2"/>
      <c r="L498" s="2"/>
      <c r="M498" s="2"/>
      <c r="N498" s="2"/>
      <c r="O498" s="2"/>
      <c r="P498" s="2"/>
      <c r="Q498" s="2"/>
      <c r="R498" s="2"/>
    </row>
    <row r="499">
      <c r="A499" s="2"/>
      <c r="B499" s="2"/>
      <c r="C499" s="2"/>
      <c r="D499" s="2"/>
      <c r="E499" s="2"/>
      <c r="F499" s="2"/>
      <c r="G499" s="2"/>
      <c r="H499" s="2"/>
      <c r="I499" s="2"/>
      <c r="J499" s="2"/>
      <c r="K499" s="2"/>
      <c r="L499" s="2"/>
      <c r="M499" s="2"/>
      <c r="N499" s="2"/>
      <c r="O499" s="2"/>
      <c r="P499" s="2"/>
      <c r="Q499" s="2"/>
      <c r="R499" s="2"/>
    </row>
    <row r="500">
      <c r="A500" s="2"/>
      <c r="B500" s="2"/>
      <c r="C500" s="2"/>
      <c r="D500" s="2"/>
      <c r="E500" s="2"/>
      <c r="F500" s="2"/>
      <c r="G500" s="2"/>
      <c r="H500" s="2"/>
      <c r="I500" s="2"/>
      <c r="J500" s="2"/>
      <c r="K500" s="2"/>
      <c r="L500" s="2"/>
      <c r="M500" s="2"/>
      <c r="N500" s="2"/>
      <c r="O500" s="2"/>
      <c r="P500" s="2"/>
      <c r="Q500" s="2"/>
      <c r="R500" s="2"/>
    </row>
    <row r="501">
      <c r="A501" s="2"/>
      <c r="B501" s="2"/>
      <c r="C501" s="2"/>
      <c r="D501" s="2"/>
      <c r="E501" s="2"/>
      <c r="F501" s="2"/>
      <c r="G501" s="2"/>
      <c r="H501" s="2"/>
      <c r="I501" s="2"/>
      <c r="J501" s="2"/>
      <c r="K501" s="2"/>
      <c r="L501" s="2"/>
      <c r="M501" s="2"/>
      <c r="N501" s="2"/>
      <c r="O501" s="2"/>
      <c r="P501" s="2"/>
      <c r="Q501" s="2"/>
      <c r="R501" s="2"/>
    </row>
    <row r="502">
      <c r="A502" s="2"/>
      <c r="B502" s="2"/>
      <c r="C502" s="2"/>
      <c r="D502" s="2"/>
      <c r="E502" s="2"/>
      <c r="F502" s="2"/>
      <c r="G502" s="2"/>
      <c r="H502" s="2"/>
      <c r="I502" s="2"/>
      <c r="J502" s="2"/>
      <c r="K502" s="2"/>
      <c r="L502" s="2"/>
      <c r="M502" s="2"/>
      <c r="N502" s="2"/>
      <c r="O502" s="2"/>
      <c r="P502" s="2"/>
      <c r="Q502" s="2"/>
      <c r="R502" s="2"/>
    </row>
    <row r="503">
      <c r="A503" s="2"/>
      <c r="B503" s="2"/>
      <c r="C503" s="2"/>
      <c r="D503" s="2"/>
      <c r="E503" s="2"/>
      <c r="F503" s="2"/>
      <c r="G503" s="2"/>
      <c r="H503" s="2"/>
      <c r="I503" s="2"/>
      <c r="J503" s="2"/>
      <c r="K503" s="2"/>
      <c r="L503" s="2"/>
      <c r="M503" s="2"/>
      <c r="N503" s="2"/>
      <c r="O503" s="2"/>
      <c r="P503" s="2"/>
      <c r="Q503" s="2"/>
      <c r="R503" s="2"/>
    </row>
    <row r="504">
      <c r="A504" s="2"/>
      <c r="B504" s="2"/>
      <c r="C504" s="2"/>
      <c r="D504" s="2"/>
      <c r="E504" s="2"/>
      <c r="F504" s="2"/>
      <c r="G504" s="2"/>
      <c r="H504" s="2"/>
      <c r="I504" s="2"/>
      <c r="J504" s="2"/>
      <c r="K504" s="2"/>
      <c r="L504" s="2"/>
      <c r="M504" s="2"/>
      <c r="N504" s="2"/>
      <c r="O504" s="2"/>
      <c r="P504" s="2"/>
      <c r="Q504" s="2"/>
      <c r="R504" s="2"/>
    </row>
    <row r="505">
      <c r="A505" s="2"/>
      <c r="B505" s="2"/>
      <c r="C505" s="2"/>
      <c r="D505" s="2"/>
      <c r="E505" s="2"/>
      <c r="F505" s="2"/>
      <c r="G505" s="2"/>
      <c r="H505" s="2"/>
      <c r="I505" s="2"/>
      <c r="J505" s="2"/>
      <c r="K505" s="2"/>
      <c r="L505" s="2"/>
      <c r="M505" s="2"/>
      <c r="N505" s="2"/>
      <c r="O505" s="2"/>
      <c r="P505" s="2"/>
      <c r="Q505" s="2"/>
      <c r="R505" s="2"/>
    </row>
    <row r="506">
      <c r="A506" s="2"/>
      <c r="B506" s="2"/>
      <c r="C506" s="2"/>
      <c r="D506" s="2"/>
      <c r="E506" s="2"/>
      <c r="F506" s="2"/>
      <c r="G506" s="2"/>
      <c r="H506" s="2"/>
      <c r="I506" s="2"/>
      <c r="J506" s="2"/>
      <c r="K506" s="2"/>
      <c r="L506" s="2"/>
      <c r="M506" s="2"/>
      <c r="N506" s="2"/>
      <c r="O506" s="2"/>
      <c r="P506" s="2"/>
      <c r="Q506" s="2"/>
      <c r="R506" s="2"/>
    </row>
    <row r="507">
      <c r="A507" s="2"/>
      <c r="B507" s="2"/>
      <c r="C507" s="2"/>
      <c r="D507" s="2"/>
      <c r="E507" s="2"/>
      <c r="F507" s="2"/>
      <c r="G507" s="2"/>
      <c r="H507" s="2"/>
      <c r="I507" s="2"/>
      <c r="J507" s="2"/>
      <c r="K507" s="2"/>
      <c r="L507" s="2"/>
      <c r="M507" s="2"/>
      <c r="N507" s="2"/>
      <c r="O507" s="2"/>
      <c r="P507" s="2"/>
      <c r="Q507" s="2"/>
      <c r="R507" s="2"/>
    </row>
    <row r="508">
      <c r="A508" s="2"/>
      <c r="B508" s="2"/>
      <c r="C508" s="2"/>
      <c r="D508" s="2"/>
      <c r="E508" s="2"/>
      <c r="F508" s="2"/>
      <c r="G508" s="2"/>
      <c r="H508" s="2"/>
      <c r="I508" s="2"/>
      <c r="J508" s="2"/>
      <c r="K508" s="2"/>
      <c r="L508" s="2"/>
      <c r="M508" s="2"/>
      <c r="N508" s="2"/>
      <c r="O508" s="2"/>
      <c r="P508" s="2"/>
      <c r="Q508" s="2"/>
      <c r="R508" s="2"/>
    </row>
    <row r="509">
      <c r="A509" s="2"/>
      <c r="B509" s="2"/>
      <c r="C509" s="2"/>
      <c r="D509" s="2"/>
      <c r="E509" s="2"/>
      <c r="F509" s="2"/>
      <c r="G509" s="2"/>
      <c r="H509" s="2"/>
      <c r="I509" s="2"/>
      <c r="J509" s="2"/>
      <c r="K509" s="2"/>
      <c r="L509" s="2"/>
      <c r="M509" s="2"/>
      <c r="N509" s="2"/>
      <c r="O509" s="2"/>
      <c r="P509" s="2"/>
      <c r="Q509" s="2"/>
      <c r="R509" s="2"/>
    </row>
    <row r="510">
      <c r="A510" s="2"/>
      <c r="B510" s="2"/>
      <c r="C510" s="2"/>
      <c r="D510" s="2"/>
      <c r="E510" s="2"/>
      <c r="F510" s="2"/>
      <c r="G510" s="2"/>
      <c r="H510" s="2"/>
      <c r="I510" s="2"/>
      <c r="J510" s="2"/>
      <c r="K510" s="2"/>
      <c r="L510" s="2"/>
      <c r="M510" s="2"/>
      <c r="N510" s="2"/>
      <c r="O510" s="2"/>
      <c r="P510" s="2"/>
      <c r="Q510" s="2"/>
      <c r="R510" s="2"/>
    </row>
    <row r="511">
      <c r="A511" s="2"/>
      <c r="B511" s="2"/>
      <c r="C511" s="2"/>
      <c r="D511" s="2"/>
      <c r="E511" s="2"/>
      <c r="F511" s="2"/>
      <c r="G511" s="2"/>
      <c r="H511" s="2"/>
      <c r="I511" s="2"/>
      <c r="J511" s="2"/>
      <c r="K511" s="2"/>
      <c r="L511" s="2"/>
      <c r="M511" s="2"/>
      <c r="N511" s="2"/>
      <c r="O511" s="2"/>
      <c r="P511" s="2"/>
      <c r="Q511" s="2"/>
      <c r="R511" s="2"/>
    </row>
    <row r="512">
      <c r="A512" s="2"/>
      <c r="B512" s="2"/>
      <c r="C512" s="2"/>
      <c r="D512" s="2"/>
      <c r="E512" s="2"/>
      <c r="F512" s="2"/>
      <c r="G512" s="2"/>
      <c r="H512" s="2"/>
      <c r="I512" s="2"/>
      <c r="J512" s="2"/>
      <c r="K512" s="2"/>
      <c r="L512" s="2"/>
      <c r="M512" s="2"/>
      <c r="N512" s="2"/>
      <c r="O512" s="2"/>
      <c r="P512" s="2"/>
      <c r="Q512" s="2"/>
      <c r="R512" s="2"/>
    </row>
    <row r="513">
      <c r="A513" s="2"/>
      <c r="B513" s="2"/>
      <c r="C513" s="2"/>
      <c r="D513" s="2"/>
      <c r="E513" s="2"/>
      <c r="F513" s="2"/>
      <c r="G513" s="2"/>
      <c r="H513" s="2"/>
      <c r="I513" s="2"/>
      <c r="J513" s="2"/>
      <c r="K513" s="2"/>
      <c r="L513" s="2"/>
      <c r="M513" s="2"/>
      <c r="N513" s="2"/>
      <c r="O513" s="2"/>
      <c r="P513" s="2"/>
      <c r="Q513" s="2"/>
      <c r="R513" s="2"/>
    </row>
    <row r="514">
      <c r="A514" s="2"/>
      <c r="B514" s="2"/>
      <c r="C514" s="2"/>
      <c r="D514" s="2"/>
      <c r="E514" s="2"/>
      <c r="F514" s="2"/>
      <c r="G514" s="2"/>
      <c r="H514" s="2"/>
      <c r="I514" s="2"/>
      <c r="J514" s="2"/>
      <c r="K514" s="2"/>
      <c r="L514" s="2"/>
      <c r="M514" s="2"/>
      <c r="N514" s="2"/>
      <c r="O514" s="2"/>
      <c r="P514" s="2"/>
      <c r="Q514" s="2"/>
      <c r="R514" s="2"/>
    </row>
    <row r="515">
      <c r="A515" s="2"/>
      <c r="B515" s="2"/>
      <c r="C515" s="2"/>
      <c r="D515" s="2"/>
      <c r="E515" s="2"/>
      <c r="F515" s="2"/>
      <c r="G515" s="2"/>
      <c r="H515" s="2"/>
      <c r="I515" s="2"/>
      <c r="J515" s="2"/>
      <c r="K515" s="2"/>
      <c r="L515" s="2"/>
      <c r="M515" s="2"/>
      <c r="N515" s="2"/>
      <c r="O515" s="2"/>
      <c r="P515" s="2"/>
      <c r="Q515" s="2"/>
      <c r="R515" s="2"/>
    </row>
    <row r="516">
      <c r="A516" s="2"/>
      <c r="B516" s="2"/>
      <c r="C516" s="2"/>
      <c r="D516" s="2"/>
      <c r="E516" s="2"/>
      <c r="F516" s="2"/>
      <c r="G516" s="2"/>
      <c r="H516" s="2"/>
      <c r="I516" s="2"/>
      <c r="J516" s="2"/>
      <c r="K516" s="2"/>
      <c r="L516" s="2"/>
      <c r="M516" s="2"/>
      <c r="N516" s="2"/>
      <c r="O516" s="2"/>
      <c r="P516" s="2"/>
      <c r="Q516" s="2"/>
      <c r="R516" s="2"/>
    </row>
    <row r="517">
      <c r="A517" s="2"/>
      <c r="B517" s="2"/>
      <c r="C517" s="2"/>
      <c r="D517" s="2"/>
      <c r="E517" s="2"/>
      <c r="F517" s="2"/>
      <c r="G517" s="2"/>
      <c r="H517" s="2"/>
      <c r="I517" s="2"/>
      <c r="J517" s="2"/>
      <c r="K517" s="2"/>
      <c r="L517" s="2"/>
      <c r="M517" s="2"/>
      <c r="N517" s="2"/>
      <c r="O517" s="2"/>
      <c r="P517" s="2"/>
      <c r="Q517" s="2"/>
      <c r="R517" s="2"/>
    </row>
    <row r="518">
      <c r="A518" s="2"/>
      <c r="B518" s="2"/>
      <c r="C518" s="2"/>
      <c r="D518" s="2"/>
      <c r="E518" s="2"/>
      <c r="F518" s="2"/>
      <c r="G518" s="2"/>
      <c r="H518" s="2"/>
      <c r="I518" s="2"/>
      <c r="J518" s="2"/>
      <c r="K518" s="2"/>
      <c r="L518" s="2"/>
      <c r="M518" s="2"/>
      <c r="N518" s="2"/>
      <c r="O518" s="2"/>
      <c r="P518" s="2"/>
      <c r="Q518" s="2"/>
      <c r="R518" s="2"/>
    </row>
    <row r="519">
      <c r="A519" s="2"/>
      <c r="B519" s="2"/>
      <c r="C519" s="2"/>
      <c r="D519" s="2"/>
      <c r="E519" s="2"/>
      <c r="F519" s="2"/>
      <c r="G519" s="2"/>
      <c r="H519" s="2"/>
      <c r="I519" s="2"/>
      <c r="J519" s="2"/>
      <c r="K519" s="2"/>
      <c r="L519" s="2"/>
      <c r="M519" s="2"/>
      <c r="N519" s="2"/>
      <c r="O519" s="2"/>
      <c r="P519" s="2"/>
      <c r="Q519" s="2"/>
      <c r="R519" s="2"/>
    </row>
    <row r="520">
      <c r="A520" s="2"/>
      <c r="B520" s="2"/>
      <c r="C520" s="2"/>
      <c r="D520" s="2"/>
      <c r="E520" s="2"/>
      <c r="F520" s="2"/>
      <c r="G520" s="2"/>
      <c r="H520" s="2"/>
      <c r="I520" s="2"/>
      <c r="J520" s="2"/>
      <c r="K520" s="2"/>
      <c r="L520" s="2"/>
      <c r="M520" s="2"/>
      <c r="N520" s="2"/>
      <c r="O520" s="2"/>
      <c r="P520" s="2"/>
      <c r="Q520" s="2"/>
      <c r="R520" s="2"/>
    </row>
    <row r="521">
      <c r="A521" s="2"/>
      <c r="B521" s="2"/>
      <c r="C521" s="2"/>
      <c r="D521" s="2"/>
      <c r="E521" s="2"/>
      <c r="F521" s="2"/>
      <c r="G521" s="2"/>
      <c r="H521" s="2"/>
      <c r="I521" s="2"/>
      <c r="J521" s="2"/>
      <c r="K521" s="2"/>
      <c r="L521" s="2"/>
      <c r="M521" s="2"/>
      <c r="N521" s="2"/>
      <c r="O521" s="2"/>
      <c r="P521" s="2"/>
      <c r="Q521" s="2"/>
      <c r="R521" s="2"/>
    </row>
    <row r="522">
      <c r="A522" s="2"/>
      <c r="B522" s="2"/>
      <c r="C522" s="2"/>
      <c r="D522" s="2"/>
      <c r="E522" s="2"/>
      <c r="F522" s="2"/>
      <c r="G522" s="2"/>
      <c r="H522" s="2"/>
      <c r="I522" s="2"/>
      <c r="J522" s="2"/>
      <c r="K522" s="2"/>
      <c r="L522" s="2"/>
      <c r="M522" s="2"/>
      <c r="N522" s="2"/>
      <c r="O522" s="2"/>
      <c r="P522" s="2"/>
      <c r="Q522" s="2"/>
      <c r="R522" s="2"/>
    </row>
    <row r="523">
      <c r="A523" s="2"/>
      <c r="B523" s="2"/>
      <c r="C523" s="2"/>
      <c r="D523" s="2"/>
      <c r="E523" s="2"/>
      <c r="F523" s="2"/>
      <c r="G523" s="2"/>
      <c r="H523" s="2"/>
      <c r="I523" s="2"/>
      <c r="J523" s="2"/>
      <c r="K523" s="2"/>
      <c r="L523" s="2"/>
      <c r="M523" s="2"/>
      <c r="N523" s="2"/>
      <c r="O523" s="2"/>
      <c r="P523" s="2"/>
      <c r="Q523" s="2"/>
      <c r="R523" s="2"/>
    </row>
    <row r="524">
      <c r="A524" s="2"/>
      <c r="B524" s="2"/>
      <c r="C524" s="2"/>
      <c r="D524" s="2"/>
      <c r="E524" s="2"/>
      <c r="F524" s="2"/>
      <c r="G524" s="2"/>
      <c r="H524" s="2"/>
      <c r="I524" s="2"/>
      <c r="J524" s="2"/>
      <c r="K524" s="2"/>
      <c r="L524" s="2"/>
      <c r="M524" s="2"/>
      <c r="N524" s="2"/>
      <c r="O524" s="2"/>
      <c r="P524" s="2"/>
      <c r="Q524" s="2"/>
      <c r="R524" s="2"/>
    </row>
    <row r="525">
      <c r="A525" s="2"/>
      <c r="B525" s="2"/>
      <c r="C525" s="2"/>
      <c r="D525" s="2"/>
      <c r="E525" s="2"/>
      <c r="F525" s="2"/>
      <c r="G525" s="2"/>
      <c r="H525" s="2"/>
      <c r="I525" s="2"/>
      <c r="J525" s="2"/>
      <c r="K525" s="2"/>
      <c r="L525" s="2"/>
      <c r="M525" s="2"/>
      <c r="N525" s="2"/>
      <c r="O525" s="2"/>
      <c r="P525" s="2"/>
      <c r="Q525" s="2"/>
      <c r="R525" s="2"/>
    </row>
    <row r="526">
      <c r="A526" s="2"/>
      <c r="B526" s="2"/>
      <c r="C526" s="2"/>
      <c r="D526" s="2"/>
      <c r="E526" s="2"/>
      <c r="F526" s="2"/>
      <c r="G526" s="2"/>
      <c r="H526" s="2"/>
      <c r="I526" s="2"/>
      <c r="J526" s="2"/>
      <c r="K526" s="2"/>
      <c r="L526" s="2"/>
      <c r="M526" s="2"/>
      <c r="N526" s="2"/>
      <c r="O526" s="2"/>
      <c r="P526" s="2"/>
      <c r="Q526" s="2"/>
      <c r="R526" s="2"/>
    </row>
    <row r="527">
      <c r="A527" s="2"/>
      <c r="B527" s="2"/>
      <c r="C527" s="2"/>
      <c r="D527" s="2"/>
      <c r="E527" s="2"/>
      <c r="F527" s="2"/>
      <c r="G527" s="2"/>
      <c r="H527" s="2"/>
      <c r="I527" s="2"/>
      <c r="J527" s="2"/>
      <c r="K527" s="2"/>
      <c r="L527" s="2"/>
      <c r="M527" s="2"/>
      <c r="N527" s="2"/>
      <c r="O527" s="2"/>
      <c r="P527" s="2"/>
      <c r="Q527" s="2"/>
      <c r="R527" s="2"/>
    </row>
    <row r="528">
      <c r="A528" s="2"/>
      <c r="B528" s="2"/>
      <c r="C528" s="2"/>
      <c r="D528" s="2"/>
      <c r="E528" s="2"/>
      <c r="F528" s="2"/>
      <c r="G528" s="2"/>
      <c r="H528" s="2"/>
      <c r="I528" s="2"/>
      <c r="J528" s="2"/>
      <c r="K528" s="2"/>
      <c r="L528" s="2"/>
      <c r="M528" s="2"/>
      <c r="N528" s="2"/>
      <c r="O528" s="2"/>
      <c r="P528" s="2"/>
      <c r="Q528" s="2"/>
      <c r="R528" s="2"/>
    </row>
    <row r="529">
      <c r="A529" s="2"/>
      <c r="B529" s="2"/>
      <c r="C529" s="2"/>
      <c r="D529" s="2"/>
      <c r="E529" s="2"/>
      <c r="F529" s="2"/>
      <c r="G529" s="2"/>
      <c r="H529" s="2"/>
      <c r="I529" s="2"/>
      <c r="J529" s="2"/>
      <c r="K529" s="2"/>
      <c r="L529" s="2"/>
      <c r="M529" s="2"/>
      <c r="N529" s="2"/>
      <c r="O529" s="2"/>
      <c r="P529" s="2"/>
      <c r="Q529" s="2"/>
      <c r="R529" s="2"/>
    </row>
    <row r="530">
      <c r="A530" s="2"/>
      <c r="B530" s="2"/>
      <c r="C530" s="2"/>
      <c r="D530" s="2"/>
      <c r="E530" s="2"/>
      <c r="F530" s="2"/>
      <c r="G530" s="2"/>
      <c r="H530" s="2"/>
      <c r="I530" s="2"/>
      <c r="J530" s="2"/>
      <c r="K530" s="2"/>
      <c r="L530" s="2"/>
      <c r="M530" s="2"/>
      <c r="N530" s="2"/>
      <c r="O530" s="2"/>
      <c r="P530" s="2"/>
      <c r="Q530" s="2"/>
      <c r="R530" s="2"/>
    </row>
    <row r="531">
      <c r="A531" s="2"/>
      <c r="B531" s="2"/>
      <c r="C531" s="2"/>
      <c r="D531" s="2"/>
      <c r="E531" s="2"/>
      <c r="F531" s="2"/>
      <c r="G531" s="2"/>
      <c r="H531" s="2"/>
      <c r="I531" s="2"/>
      <c r="J531" s="2"/>
      <c r="K531" s="2"/>
      <c r="L531" s="2"/>
      <c r="M531" s="2"/>
      <c r="N531" s="2"/>
      <c r="O531" s="2"/>
      <c r="P531" s="2"/>
      <c r="Q531" s="2"/>
      <c r="R531" s="2"/>
    </row>
    <row r="532">
      <c r="A532" s="2"/>
      <c r="B532" s="2"/>
      <c r="C532" s="2"/>
      <c r="D532" s="2"/>
      <c r="E532" s="2"/>
      <c r="F532" s="2"/>
      <c r="G532" s="2"/>
      <c r="H532" s="2"/>
      <c r="I532" s="2"/>
      <c r="J532" s="2"/>
      <c r="K532" s="2"/>
      <c r="L532" s="2"/>
      <c r="M532" s="2"/>
      <c r="N532" s="2"/>
      <c r="O532" s="2"/>
      <c r="P532" s="2"/>
      <c r="Q532" s="2"/>
      <c r="R532" s="2"/>
    </row>
    <row r="533">
      <c r="A533" s="2"/>
      <c r="B533" s="2"/>
      <c r="C533" s="2"/>
      <c r="D533" s="2"/>
      <c r="E533" s="2"/>
      <c r="F533" s="2"/>
      <c r="G533" s="2"/>
      <c r="H533" s="2"/>
      <c r="I533" s="2"/>
      <c r="J533" s="2"/>
      <c r="K533" s="2"/>
      <c r="L533" s="2"/>
      <c r="M533" s="2"/>
      <c r="N533" s="2"/>
      <c r="O533" s="2"/>
      <c r="P533" s="2"/>
      <c r="Q533" s="2"/>
      <c r="R533" s="2"/>
    </row>
    <row r="534">
      <c r="A534" s="2"/>
      <c r="B534" s="2"/>
      <c r="C534" s="2"/>
      <c r="D534" s="2"/>
      <c r="E534" s="2"/>
      <c r="F534" s="2"/>
      <c r="G534" s="2"/>
      <c r="H534" s="2"/>
      <c r="I534" s="2"/>
      <c r="J534" s="2"/>
      <c r="K534" s="2"/>
      <c r="L534" s="2"/>
      <c r="M534" s="2"/>
      <c r="N534" s="2"/>
      <c r="O534" s="2"/>
      <c r="P534" s="2"/>
      <c r="Q534" s="2"/>
      <c r="R534" s="2"/>
    </row>
    <row r="535">
      <c r="A535" s="2"/>
      <c r="B535" s="2"/>
      <c r="C535" s="2"/>
      <c r="D535" s="2"/>
      <c r="E535" s="2"/>
      <c r="F535" s="2"/>
      <c r="G535" s="2"/>
      <c r="H535" s="2"/>
      <c r="I535" s="2"/>
      <c r="J535" s="2"/>
      <c r="K535" s="2"/>
      <c r="L535" s="2"/>
      <c r="M535" s="2"/>
      <c r="N535" s="2"/>
      <c r="O535" s="2"/>
      <c r="P535" s="2"/>
      <c r="Q535" s="2"/>
      <c r="R535" s="2"/>
    </row>
    <row r="536">
      <c r="A536" s="2"/>
      <c r="B536" s="2"/>
      <c r="C536" s="2"/>
      <c r="D536" s="2"/>
      <c r="E536" s="2"/>
      <c r="F536" s="2"/>
      <c r="G536" s="2"/>
      <c r="H536" s="2"/>
      <c r="I536" s="2"/>
      <c r="J536" s="2"/>
      <c r="K536" s="2"/>
      <c r="L536" s="2"/>
      <c r="M536" s="2"/>
      <c r="N536" s="2"/>
      <c r="O536" s="2"/>
      <c r="P536" s="2"/>
      <c r="Q536" s="2"/>
      <c r="R536" s="2"/>
    </row>
    <row r="537">
      <c r="A537" s="2"/>
      <c r="B537" s="2"/>
      <c r="C537" s="2"/>
      <c r="D537" s="2"/>
      <c r="E537" s="2"/>
      <c r="F537" s="2"/>
      <c r="G537" s="2"/>
      <c r="H537" s="2"/>
      <c r="I537" s="2"/>
      <c r="J537" s="2"/>
      <c r="K537" s="2"/>
      <c r="L537" s="2"/>
      <c r="M537" s="2"/>
      <c r="N537" s="2"/>
      <c r="O537" s="2"/>
      <c r="P537" s="2"/>
      <c r="Q537" s="2"/>
      <c r="R537" s="2"/>
    </row>
    <row r="538">
      <c r="A538" s="2"/>
      <c r="B538" s="2"/>
      <c r="C538" s="2"/>
      <c r="D538" s="2"/>
      <c r="E538" s="2"/>
      <c r="F538" s="2"/>
      <c r="G538" s="2"/>
      <c r="H538" s="2"/>
      <c r="I538" s="2"/>
      <c r="J538" s="2"/>
      <c r="K538" s="2"/>
      <c r="L538" s="2"/>
      <c r="M538" s="2"/>
      <c r="N538" s="2"/>
      <c r="O538" s="2"/>
      <c r="P538" s="2"/>
      <c r="Q538" s="2"/>
      <c r="R538" s="2"/>
    </row>
    <row r="539">
      <c r="A539" s="2"/>
      <c r="B539" s="2"/>
      <c r="C539" s="2"/>
      <c r="D539" s="2"/>
      <c r="E539" s="2"/>
      <c r="F539" s="2"/>
      <c r="G539" s="2"/>
      <c r="H539" s="2"/>
      <c r="I539" s="2"/>
      <c r="J539" s="2"/>
      <c r="K539" s="2"/>
      <c r="L539" s="2"/>
      <c r="M539" s="2"/>
      <c r="N539" s="2"/>
      <c r="O539" s="2"/>
      <c r="P539" s="2"/>
      <c r="Q539" s="2"/>
      <c r="R539" s="2"/>
    </row>
    <row r="540">
      <c r="A540" s="2"/>
      <c r="B540" s="2"/>
      <c r="C540" s="2"/>
      <c r="D540" s="2"/>
      <c r="E540" s="2"/>
      <c r="F540" s="2"/>
      <c r="G540" s="2"/>
      <c r="H540" s="2"/>
      <c r="I540" s="2"/>
      <c r="J540" s="2"/>
      <c r="K540" s="2"/>
      <c r="L540" s="2"/>
      <c r="M540" s="2"/>
      <c r="N540" s="2"/>
      <c r="O540" s="2"/>
      <c r="P540" s="2"/>
      <c r="Q540" s="2"/>
      <c r="R540" s="2"/>
    </row>
    <row r="541">
      <c r="A541" s="2"/>
      <c r="B541" s="2"/>
      <c r="C541" s="2"/>
      <c r="D541" s="2"/>
      <c r="E541" s="2"/>
      <c r="F541" s="2"/>
      <c r="G541" s="2"/>
      <c r="H541" s="2"/>
      <c r="I541" s="2"/>
      <c r="J541" s="2"/>
      <c r="K541" s="2"/>
      <c r="L541" s="2"/>
      <c r="M541" s="2"/>
      <c r="N541" s="2"/>
      <c r="O541" s="2"/>
      <c r="P541" s="2"/>
      <c r="Q541" s="2"/>
      <c r="R541" s="2"/>
    </row>
    <row r="542">
      <c r="A542" s="2"/>
      <c r="B542" s="2"/>
      <c r="C542" s="2"/>
      <c r="D542" s="2"/>
      <c r="E542" s="2"/>
      <c r="F542" s="2"/>
      <c r="G542" s="2"/>
      <c r="H542" s="2"/>
      <c r="I542" s="2"/>
      <c r="J542" s="2"/>
      <c r="K542" s="2"/>
      <c r="L542" s="2"/>
      <c r="M542" s="2"/>
      <c r="N542" s="2"/>
      <c r="O542" s="2"/>
      <c r="P542" s="2"/>
      <c r="Q542" s="2"/>
      <c r="R542" s="2"/>
    </row>
    <row r="543">
      <c r="A543" s="2"/>
      <c r="B543" s="2"/>
      <c r="C543" s="2"/>
      <c r="D543" s="2"/>
      <c r="E543" s="2"/>
      <c r="F543" s="2"/>
      <c r="G543" s="2"/>
      <c r="H543" s="2"/>
      <c r="I543" s="2"/>
      <c r="J543" s="2"/>
      <c r="K543" s="2"/>
      <c r="L543" s="2"/>
      <c r="M543" s="2"/>
      <c r="N543" s="2"/>
      <c r="O543" s="2"/>
      <c r="P543" s="2"/>
      <c r="Q543" s="2"/>
      <c r="R543" s="2"/>
    </row>
    <row r="544">
      <c r="A544" s="2"/>
      <c r="B544" s="2"/>
      <c r="C544" s="2"/>
      <c r="D544" s="2"/>
      <c r="E544" s="2"/>
      <c r="F544" s="2"/>
      <c r="G544" s="2"/>
      <c r="H544" s="2"/>
      <c r="I544" s="2"/>
      <c r="J544" s="2"/>
      <c r="K544" s="2"/>
      <c r="L544" s="2"/>
      <c r="M544" s="2"/>
      <c r="N544" s="2"/>
      <c r="O544" s="2"/>
      <c r="P544" s="2"/>
      <c r="Q544" s="2"/>
      <c r="R544" s="2"/>
    </row>
    <row r="545">
      <c r="A545" s="2"/>
      <c r="B545" s="2"/>
      <c r="C545" s="2"/>
      <c r="D545" s="2"/>
      <c r="E545" s="2"/>
      <c r="F545" s="2"/>
      <c r="G545" s="2"/>
      <c r="H545" s="2"/>
      <c r="I545" s="2"/>
      <c r="J545" s="2"/>
      <c r="K545" s="2"/>
      <c r="L545" s="2"/>
      <c r="M545" s="2"/>
      <c r="N545" s="2"/>
      <c r="O545" s="2"/>
      <c r="P545" s="2"/>
      <c r="Q545" s="2"/>
      <c r="R545" s="2"/>
    </row>
    <row r="546">
      <c r="A546" s="2"/>
      <c r="B546" s="2"/>
      <c r="C546" s="2"/>
      <c r="D546" s="2"/>
      <c r="E546" s="2"/>
      <c r="F546" s="2"/>
      <c r="G546" s="2"/>
      <c r="H546" s="2"/>
      <c r="I546" s="2"/>
      <c r="J546" s="2"/>
      <c r="K546" s="2"/>
      <c r="L546" s="2"/>
      <c r="M546" s="2"/>
      <c r="N546" s="2"/>
      <c r="O546" s="2"/>
      <c r="P546" s="2"/>
      <c r="Q546" s="2"/>
      <c r="R546" s="2"/>
    </row>
    <row r="547">
      <c r="A547" s="2"/>
      <c r="B547" s="2"/>
      <c r="C547" s="2"/>
      <c r="D547" s="2"/>
      <c r="E547" s="2"/>
      <c r="F547" s="2"/>
      <c r="G547" s="2"/>
      <c r="H547" s="2"/>
      <c r="I547" s="2"/>
      <c r="J547" s="2"/>
      <c r="K547" s="2"/>
      <c r="L547" s="2"/>
      <c r="M547" s="2"/>
      <c r="N547" s="2"/>
      <c r="O547" s="2"/>
      <c r="P547" s="2"/>
      <c r="Q547" s="2"/>
      <c r="R547" s="2"/>
    </row>
    <row r="548">
      <c r="A548" s="2"/>
      <c r="B548" s="2"/>
      <c r="C548" s="2"/>
      <c r="D548" s="2"/>
      <c r="E548" s="2"/>
      <c r="F548" s="2"/>
      <c r="G548" s="2"/>
      <c r="H548" s="2"/>
      <c r="I548" s="2"/>
      <c r="J548" s="2"/>
      <c r="K548" s="2"/>
      <c r="L548" s="2"/>
      <c r="M548" s="2"/>
      <c r="N548" s="2"/>
      <c r="O548" s="2"/>
      <c r="P548" s="2"/>
      <c r="Q548" s="2"/>
      <c r="R548" s="2"/>
    </row>
    <row r="549">
      <c r="A549" s="2"/>
      <c r="B549" s="2"/>
      <c r="C549" s="2"/>
      <c r="D549" s="2"/>
      <c r="E549" s="2"/>
      <c r="F549" s="2"/>
      <c r="G549" s="2"/>
      <c r="H549" s="2"/>
      <c r="I549" s="2"/>
      <c r="J549" s="2"/>
      <c r="K549" s="2"/>
      <c r="L549" s="2"/>
      <c r="M549" s="2"/>
      <c r="N549" s="2"/>
      <c r="O549" s="2"/>
      <c r="P549" s="2"/>
      <c r="Q549" s="2"/>
      <c r="R549" s="2"/>
    </row>
    <row r="550">
      <c r="A550" s="2"/>
      <c r="B550" s="2"/>
      <c r="C550" s="2"/>
      <c r="D550" s="2"/>
      <c r="E550" s="2"/>
      <c r="F550" s="2"/>
      <c r="G550" s="2"/>
      <c r="H550" s="2"/>
      <c r="I550" s="2"/>
      <c r="J550" s="2"/>
      <c r="K550" s="2"/>
      <c r="L550" s="2"/>
      <c r="M550" s="2"/>
      <c r="N550" s="2"/>
      <c r="O550" s="2"/>
      <c r="P550" s="2"/>
      <c r="Q550" s="2"/>
      <c r="R550" s="2"/>
    </row>
    <row r="551">
      <c r="A551" s="2"/>
      <c r="B551" s="2"/>
      <c r="C551" s="2"/>
      <c r="D551" s="2"/>
      <c r="E551" s="2"/>
      <c r="F551" s="2"/>
      <c r="G551" s="2"/>
      <c r="H551" s="2"/>
      <c r="I551" s="2"/>
      <c r="J551" s="2"/>
      <c r="K551" s="2"/>
      <c r="L551" s="2"/>
      <c r="M551" s="2"/>
      <c r="N551" s="2"/>
      <c r="O551" s="2"/>
      <c r="P551" s="2"/>
      <c r="Q551" s="2"/>
      <c r="R551" s="2"/>
    </row>
    <row r="552">
      <c r="A552" s="2"/>
      <c r="B552" s="2"/>
      <c r="C552" s="2"/>
      <c r="D552" s="2"/>
      <c r="E552" s="2"/>
      <c r="F552" s="2"/>
      <c r="G552" s="2"/>
      <c r="H552" s="2"/>
      <c r="I552" s="2"/>
      <c r="J552" s="2"/>
      <c r="K552" s="2"/>
      <c r="L552" s="2"/>
      <c r="M552" s="2"/>
      <c r="N552" s="2"/>
      <c r="O552" s="2"/>
      <c r="P552" s="2"/>
      <c r="Q552" s="2"/>
      <c r="R552" s="2"/>
    </row>
    <row r="553">
      <c r="A553" s="2"/>
      <c r="B553" s="2"/>
      <c r="C553" s="2"/>
      <c r="D553" s="2"/>
      <c r="E553" s="2"/>
      <c r="F553" s="2"/>
      <c r="G553" s="2"/>
      <c r="H553" s="2"/>
      <c r="I553" s="2"/>
      <c r="J553" s="2"/>
      <c r="K553" s="2"/>
      <c r="L553" s="2"/>
      <c r="M553" s="2"/>
      <c r="N553" s="2"/>
      <c r="O553" s="2"/>
      <c r="P553" s="2"/>
      <c r="Q553" s="2"/>
      <c r="R553" s="2"/>
    </row>
    <row r="554">
      <c r="A554" s="2"/>
      <c r="B554" s="2"/>
      <c r="C554" s="2"/>
      <c r="D554" s="2"/>
      <c r="E554" s="2"/>
      <c r="F554" s="2"/>
      <c r="G554" s="2"/>
      <c r="H554" s="2"/>
      <c r="I554" s="2"/>
      <c r="J554" s="2"/>
      <c r="K554" s="2"/>
      <c r="L554" s="2"/>
      <c r="M554" s="2"/>
      <c r="N554" s="2"/>
      <c r="O554" s="2"/>
      <c r="P554" s="2"/>
      <c r="Q554" s="2"/>
      <c r="R554" s="2"/>
    </row>
    <row r="555">
      <c r="A555" s="2"/>
      <c r="B555" s="2"/>
      <c r="C555" s="2"/>
      <c r="D555" s="2"/>
      <c r="E555" s="2"/>
      <c r="F555" s="2"/>
      <c r="G555" s="2"/>
      <c r="H555" s="2"/>
      <c r="I555" s="2"/>
      <c r="J555" s="2"/>
      <c r="K555" s="2"/>
      <c r="L555" s="2"/>
      <c r="M555" s="2"/>
      <c r="N555" s="2"/>
      <c r="O555" s="2"/>
      <c r="P555" s="2"/>
      <c r="Q555" s="2"/>
      <c r="R555" s="2"/>
    </row>
    <row r="556">
      <c r="A556" s="2"/>
      <c r="B556" s="2"/>
      <c r="C556" s="2"/>
      <c r="D556" s="2"/>
      <c r="E556" s="2"/>
      <c r="F556" s="2"/>
      <c r="G556" s="2"/>
      <c r="H556" s="2"/>
      <c r="I556" s="2"/>
      <c r="J556" s="2"/>
      <c r="K556" s="2"/>
      <c r="L556" s="2"/>
      <c r="M556" s="2"/>
      <c r="N556" s="2"/>
      <c r="O556" s="2"/>
      <c r="P556" s="2"/>
      <c r="Q556" s="2"/>
      <c r="R556" s="2"/>
    </row>
    <row r="557">
      <c r="A557" s="2"/>
      <c r="B557" s="2"/>
      <c r="C557" s="2"/>
      <c r="D557" s="2"/>
      <c r="E557" s="2"/>
      <c r="F557" s="2"/>
      <c r="G557" s="2"/>
      <c r="H557" s="2"/>
      <c r="I557" s="2"/>
      <c r="J557" s="2"/>
      <c r="K557" s="2"/>
      <c r="L557" s="2"/>
      <c r="M557" s="2"/>
      <c r="N557" s="2"/>
      <c r="O557" s="2"/>
      <c r="P557" s="2"/>
      <c r="Q557" s="2"/>
      <c r="R557" s="2"/>
    </row>
    <row r="558">
      <c r="A558" s="2"/>
      <c r="B558" s="2"/>
      <c r="C558" s="2"/>
      <c r="D558" s="2"/>
      <c r="E558" s="2"/>
      <c r="F558" s="2"/>
      <c r="G558" s="2"/>
      <c r="H558" s="2"/>
      <c r="I558" s="2"/>
      <c r="J558" s="2"/>
      <c r="K558" s="2"/>
      <c r="L558" s="2"/>
      <c r="M558" s="2"/>
      <c r="N558" s="2"/>
      <c r="O558" s="2"/>
      <c r="P558" s="2"/>
      <c r="Q558" s="2"/>
      <c r="R558" s="2"/>
    </row>
    <row r="559">
      <c r="A559" s="2"/>
      <c r="B559" s="2"/>
      <c r="C559" s="2"/>
      <c r="D559" s="2"/>
      <c r="E559" s="2"/>
      <c r="F559" s="2"/>
      <c r="G559" s="2"/>
      <c r="H559" s="2"/>
      <c r="I559" s="2"/>
      <c r="J559" s="2"/>
      <c r="K559" s="2"/>
      <c r="L559" s="2"/>
      <c r="M559" s="2"/>
      <c r="N559" s="2"/>
      <c r="O559" s="2"/>
      <c r="P559" s="2"/>
      <c r="Q559" s="2"/>
      <c r="R559" s="2"/>
    </row>
    <row r="560">
      <c r="A560" s="2"/>
      <c r="B560" s="2"/>
      <c r="C560" s="2"/>
      <c r="D560" s="2"/>
      <c r="E560" s="2"/>
      <c r="F560" s="2"/>
      <c r="G560" s="2"/>
      <c r="H560" s="2"/>
      <c r="I560" s="2"/>
      <c r="J560" s="2"/>
      <c r="K560" s="2"/>
      <c r="L560" s="2"/>
      <c r="M560" s="2"/>
      <c r="N560" s="2"/>
      <c r="O560" s="2"/>
      <c r="P560" s="2"/>
      <c r="Q560" s="2"/>
      <c r="R560" s="2"/>
    </row>
    <row r="561">
      <c r="A561" s="2"/>
      <c r="B561" s="2"/>
      <c r="C561" s="2"/>
      <c r="D561" s="2"/>
      <c r="E561" s="2"/>
      <c r="F561" s="2"/>
      <c r="G561" s="2"/>
      <c r="H561" s="2"/>
      <c r="I561" s="2"/>
      <c r="J561" s="2"/>
      <c r="K561" s="2"/>
      <c r="L561" s="2"/>
      <c r="M561" s="2"/>
      <c r="N561" s="2"/>
      <c r="O561" s="2"/>
      <c r="P561" s="2"/>
      <c r="Q561" s="2"/>
      <c r="R561" s="2"/>
    </row>
    <row r="562">
      <c r="A562" s="2"/>
      <c r="B562" s="2"/>
      <c r="C562" s="2"/>
      <c r="D562" s="2"/>
      <c r="E562" s="2"/>
      <c r="F562" s="2"/>
      <c r="G562" s="2"/>
      <c r="H562" s="2"/>
      <c r="I562" s="2"/>
      <c r="J562" s="2"/>
      <c r="K562" s="2"/>
      <c r="L562" s="2"/>
      <c r="M562" s="2"/>
      <c r="N562" s="2"/>
      <c r="O562" s="2"/>
      <c r="P562" s="2"/>
      <c r="Q562" s="2"/>
      <c r="R562" s="2"/>
    </row>
    <row r="563">
      <c r="A563" s="2"/>
      <c r="B563" s="2"/>
      <c r="C563" s="2"/>
      <c r="D563" s="2"/>
      <c r="E563" s="2"/>
      <c r="F563" s="2"/>
      <c r="G563" s="2"/>
      <c r="H563" s="2"/>
      <c r="I563" s="2"/>
      <c r="J563" s="2"/>
      <c r="K563" s="2"/>
      <c r="L563" s="2"/>
      <c r="M563" s="2"/>
      <c r="N563" s="2"/>
      <c r="O563" s="2"/>
      <c r="P563" s="2"/>
      <c r="Q563" s="2"/>
      <c r="R563" s="2"/>
    </row>
    <row r="564">
      <c r="A564" s="2"/>
      <c r="B564" s="2"/>
      <c r="C564" s="2"/>
      <c r="D564" s="2"/>
      <c r="E564" s="2"/>
      <c r="F564" s="2"/>
      <c r="G564" s="2"/>
      <c r="H564" s="2"/>
      <c r="I564" s="2"/>
      <c r="J564" s="2"/>
      <c r="K564" s="2"/>
      <c r="L564" s="2"/>
      <c r="M564" s="2"/>
      <c r="N564" s="2"/>
      <c r="O564" s="2"/>
      <c r="P564" s="2"/>
      <c r="Q564" s="2"/>
      <c r="R564" s="2"/>
    </row>
    <row r="565">
      <c r="A565" s="2"/>
      <c r="B565" s="2"/>
      <c r="C565" s="2"/>
      <c r="D565" s="2"/>
      <c r="E565" s="2"/>
      <c r="F565" s="2"/>
      <c r="G565" s="2"/>
      <c r="H565" s="2"/>
      <c r="I565" s="2"/>
      <c r="J565" s="2"/>
      <c r="K565" s="2"/>
      <c r="L565" s="2"/>
      <c r="M565" s="2"/>
      <c r="N565" s="2"/>
      <c r="O565" s="2"/>
      <c r="P565" s="2"/>
      <c r="Q565" s="2"/>
      <c r="R565" s="2"/>
    </row>
    <row r="566">
      <c r="A566" s="2"/>
      <c r="B566" s="2"/>
      <c r="C566" s="2"/>
      <c r="D566" s="2"/>
      <c r="E566" s="2"/>
      <c r="F566" s="2"/>
      <c r="G566" s="2"/>
      <c r="H566" s="2"/>
      <c r="I566" s="2"/>
      <c r="J566" s="2"/>
      <c r="K566" s="2"/>
      <c r="L566" s="2"/>
      <c r="M566" s="2"/>
      <c r="N566" s="2"/>
      <c r="O566" s="2"/>
      <c r="P566" s="2"/>
      <c r="Q566" s="2"/>
      <c r="R566" s="2"/>
    </row>
    <row r="567">
      <c r="A567" s="2"/>
      <c r="B567" s="2"/>
      <c r="C567" s="2"/>
      <c r="D567" s="2"/>
      <c r="E567" s="2"/>
      <c r="F567" s="2"/>
      <c r="G567" s="2"/>
      <c r="H567" s="2"/>
      <c r="I567" s="2"/>
      <c r="J567" s="2"/>
      <c r="K567" s="2"/>
      <c r="L567" s="2"/>
      <c r="M567" s="2"/>
      <c r="N567" s="2"/>
      <c r="O567" s="2"/>
      <c r="P567" s="2"/>
      <c r="Q567" s="2"/>
      <c r="R567" s="2"/>
    </row>
    <row r="568">
      <c r="A568" s="2"/>
      <c r="B568" s="2"/>
      <c r="C568" s="2"/>
      <c r="D568" s="2"/>
      <c r="E568" s="2"/>
      <c r="F568" s="2"/>
      <c r="G568" s="2"/>
      <c r="H568" s="2"/>
      <c r="I568" s="2"/>
      <c r="J568" s="2"/>
      <c r="K568" s="2"/>
      <c r="L568" s="2"/>
      <c r="M568" s="2"/>
      <c r="N568" s="2"/>
      <c r="O568" s="2"/>
      <c r="P568" s="2"/>
      <c r="Q568" s="2"/>
      <c r="R568" s="2"/>
    </row>
    <row r="569">
      <c r="A569" s="2"/>
      <c r="B569" s="2"/>
      <c r="C569" s="2"/>
      <c r="D569" s="2"/>
      <c r="E569" s="2"/>
      <c r="F569" s="2"/>
      <c r="G569" s="2"/>
      <c r="H569" s="2"/>
      <c r="I569" s="2"/>
      <c r="J569" s="2"/>
      <c r="K569" s="2"/>
      <c r="L569" s="2"/>
      <c r="M569" s="2"/>
      <c r="N569" s="2"/>
      <c r="O569" s="2"/>
      <c r="P569" s="2"/>
      <c r="Q569" s="2"/>
      <c r="R569" s="2"/>
    </row>
    <row r="570">
      <c r="A570" s="2"/>
      <c r="B570" s="2"/>
      <c r="C570" s="2"/>
      <c r="D570" s="2"/>
      <c r="E570" s="2"/>
      <c r="F570" s="2"/>
      <c r="G570" s="2"/>
      <c r="H570" s="2"/>
      <c r="I570" s="2"/>
      <c r="J570" s="2"/>
      <c r="K570" s="2"/>
      <c r="L570" s="2"/>
      <c r="M570" s="2"/>
      <c r="N570" s="2"/>
      <c r="O570" s="2"/>
      <c r="P570" s="2"/>
      <c r="Q570" s="2"/>
      <c r="R570" s="2"/>
    </row>
    <row r="571">
      <c r="A571" s="2"/>
      <c r="B571" s="2"/>
      <c r="C571" s="2"/>
      <c r="D571" s="2"/>
      <c r="E571" s="2"/>
      <c r="F571" s="2"/>
      <c r="G571" s="2"/>
      <c r="H571" s="2"/>
      <c r="I571" s="2"/>
      <c r="J571" s="2"/>
      <c r="K571" s="2"/>
      <c r="L571" s="2"/>
      <c r="M571" s="2"/>
      <c r="N571" s="2"/>
      <c r="O571" s="2"/>
      <c r="P571" s="2"/>
      <c r="Q571" s="2"/>
      <c r="R571" s="2"/>
    </row>
    <row r="572">
      <c r="A572" s="2"/>
      <c r="B572" s="2"/>
      <c r="C572" s="2"/>
      <c r="D572" s="2"/>
      <c r="E572" s="2"/>
      <c r="F572" s="2"/>
      <c r="G572" s="2"/>
      <c r="H572" s="2"/>
      <c r="I572" s="2"/>
      <c r="J572" s="2"/>
      <c r="K572" s="2"/>
      <c r="L572" s="2"/>
      <c r="M572" s="2"/>
      <c r="N572" s="2"/>
      <c r="O572" s="2"/>
      <c r="P572" s="2"/>
      <c r="Q572" s="2"/>
      <c r="R572" s="2"/>
    </row>
    <row r="573">
      <c r="A573" s="2"/>
      <c r="B573" s="2"/>
      <c r="C573" s="2"/>
      <c r="D573" s="2"/>
      <c r="E573" s="2"/>
      <c r="F573" s="2"/>
      <c r="G573" s="2"/>
      <c r="H573" s="2"/>
      <c r="I573" s="2"/>
      <c r="J573" s="2"/>
      <c r="K573" s="2"/>
      <c r="L573" s="2"/>
      <c r="M573" s="2"/>
      <c r="N573" s="2"/>
      <c r="O573" s="2"/>
      <c r="P573" s="2"/>
      <c r="Q573" s="2"/>
      <c r="R573" s="2"/>
    </row>
    <row r="574">
      <c r="A574" s="2"/>
      <c r="B574" s="2"/>
      <c r="C574" s="2"/>
      <c r="D574" s="2"/>
      <c r="E574" s="2"/>
      <c r="F574" s="2"/>
      <c r="G574" s="2"/>
      <c r="H574" s="2"/>
      <c r="I574" s="2"/>
      <c r="J574" s="2"/>
      <c r="K574" s="2"/>
      <c r="L574" s="2"/>
      <c r="M574" s="2"/>
      <c r="N574" s="2"/>
      <c r="O574" s="2"/>
      <c r="P574" s="2"/>
      <c r="Q574" s="2"/>
      <c r="R574" s="2"/>
    </row>
    <row r="575">
      <c r="A575" s="2"/>
      <c r="B575" s="2"/>
      <c r="C575" s="2"/>
      <c r="D575" s="2"/>
      <c r="E575" s="2"/>
      <c r="F575" s="2"/>
      <c r="G575" s="2"/>
      <c r="H575" s="2"/>
      <c r="I575" s="2"/>
      <c r="J575" s="2"/>
      <c r="K575" s="2"/>
      <c r="L575" s="2"/>
      <c r="M575" s="2"/>
      <c r="N575" s="2"/>
      <c r="O575" s="2"/>
      <c r="P575" s="2"/>
      <c r="Q575" s="2"/>
      <c r="R575" s="2"/>
    </row>
    <row r="576">
      <c r="A576" s="2"/>
      <c r="B576" s="2"/>
      <c r="C576" s="2"/>
      <c r="D576" s="2"/>
      <c r="E576" s="2"/>
      <c r="F576" s="2"/>
      <c r="G576" s="2"/>
      <c r="H576" s="2"/>
      <c r="I576" s="2"/>
      <c r="J576" s="2"/>
      <c r="K576" s="2"/>
      <c r="L576" s="2"/>
      <c r="M576" s="2"/>
      <c r="N576" s="2"/>
      <c r="O576" s="2"/>
      <c r="P576" s="2"/>
      <c r="Q576" s="2"/>
      <c r="R576" s="2"/>
    </row>
    <row r="577">
      <c r="A577" s="2"/>
      <c r="B577" s="2"/>
      <c r="C577" s="2"/>
      <c r="D577" s="2"/>
      <c r="E577" s="2"/>
      <c r="F577" s="2"/>
      <c r="G577" s="2"/>
      <c r="H577" s="2"/>
      <c r="I577" s="2"/>
      <c r="J577" s="2"/>
      <c r="K577" s="2"/>
      <c r="L577" s="2"/>
      <c r="M577" s="2"/>
      <c r="N577" s="2"/>
      <c r="O577" s="2"/>
      <c r="P577" s="2"/>
      <c r="Q577" s="2"/>
      <c r="R577" s="2"/>
    </row>
    <row r="578">
      <c r="A578" s="2"/>
      <c r="B578" s="2"/>
      <c r="C578" s="2"/>
      <c r="D578" s="2"/>
      <c r="E578" s="2"/>
      <c r="F578" s="2"/>
      <c r="G578" s="2"/>
      <c r="H578" s="2"/>
      <c r="I578" s="2"/>
      <c r="J578" s="2"/>
      <c r="K578" s="2"/>
      <c r="L578" s="2"/>
      <c r="M578" s="2"/>
      <c r="N578" s="2"/>
      <c r="O578" s="2"/>
      <c r="P578" s="2"/>
      <c r="Q578" s="2"/>
      <c r="R578" s="2"/>
    </row>
    <row r="579">
      <c r="A579" s="2"/>
      <c r="B579" s="2"/>
      <c r="C579" s="2"/>
      <c r="D579" s="2"/>
      <c r="E579" s="2"/>
      <c r="F579" s="2"/>
      <c r="G579" s="2"/>
      <c r="H579" s="2"/>
      <c r="I579" s="2"/>
      <c r="J579" s="2"/>
      <c r="K579" s="2"/>
      <c r="L579" s="2"/>
      <c r="M579" s="2"/>
      <c r="N579" s="2"/>
      <c r="O579" s="2"/>
      <c r="P579" s="2"/>
      <c r="Q579" s="2"/>
      <c r="R579" s="2"/>
    </row>
    <row r="580">
      <c r="A580" s="2"/>
      <c r="B580" s="2"/>
      <c r="C580" s="2"/>
      <c r="D580" s="2"/>
      <c r="E580" s="2"/>
      <c r="F580" s="2"/>
      <c r="G580" s="2"/>
      <c r="H580" s="2"/>
      <c r="I580" s="2"/>
      <c r="J580" s="2"/>
      <c r="K580" s="2"/>
      <c r="L580" s="2"/>
      <c r="M580" s="2"/>
      <c r="N580" s="2"/>
      <c r="O580" s="2"/>
      <c r="P580" s="2"/>
      <c r="Q580" s="2"/>
      <c r="R580" s="2"/>
    </row>
    <row r="581">
      <c r="A581" s="2"/>
      <c r="B581" s="2"/>
      <c r="C581" s="2"/>
      <c r="D581" s="2"/>
      <c r="E581" s="2"/>
      <c r="F581" s="2"/>
      <c r="G581" s="2"/>
      <c r="H581" s="2"/>
      <c r="I581" s="2"/>
      <c r="J581" s="2"/>
      <c r="K581" s="2"/>
      <c r="L581" s="2"/>
      <c r="M581" s="2"/>
      <c r="N581" s="2"/>
      <c r="O581" s="2"/>
      <c r="P581" s="2"/>
      <c r="Q581" s="2"/>
      <c r="R581" s="2"/>
    </row>
    <row r="582">
      <c r="A582" s="2"/>
      <c r="B582" s="2"/>
      <c r="C582" s="2"/>
      <c r="D582" s="2"/>
      <c r="E582" s="2"/>
      <c r="F582" s="2"/>
      <c r="G582" s="2"/>
      <c r="H582" s="2"/>
      <c r="I582" s="2"/>
      <c r="J582" s="2"/>
      <c r="K582" s="2"/>
      <c r="L582" s="2"/>
      <c r="M582" s="2"/>
      <c r="N582" s="2"/>
      <c r="O582" s="2"/>
      <c r="P582" s="2"/>
      <c r="Q582" s="2"/>
      <c r="R582" s="2"/>
    </row>
    <row r="583">
      <c r="A583" s="2"/>
      <c r="B583" s="2"/>
      <c r="C583" s="2"/>
      <c r="D583" s="2"/>
      <c r="E583" s="2"/>
      <c r="F583" s="2"/>
      <c r="G583" s="2"/>
      <c r="H583" s="2"/>
      <c r="I583" s="2"/>
      <c r="J583" s="2"/>
      <c r="K583" s="2"/>
      <c r="L583" s="2"/>
      <c r="M583" s="2"/>
      <c r="N583" s="2"/>
      <c r="O583" s="2"/>
      <c r="P583" s="2"/>
      <c r="Q583" s="2"/>
      <c r="R583" s="2"/>
    </row>
    <row r="584">
      <c r="A584" s="2"/>
      <c r="B584" s="2"/>
      <c r="C584" s="2"/>
      <c r="D584" s="2"/>
      <c r="E584" s="2"/>
      <c r="F584" s="2"/>
      <c r="G584" s="2"/>
      <c r="H584" s="2"/>
      <c r="I584" s="2"/>
      <c r="J584" s="2"/>
      <c r="K584" s="2"/>
      <c r="L584" s="2"/>
      <c r="M584" s="2"/>
      <c r="N584" s="2"/>
      <c r="O584" s="2"/>
      <c r="P584" s="2"/>
      <c r="Q584" s="2"/>
      <c r="R584" s="2"/>
    </row>
    <row r="585">
      <c r="A585" s="2"/>
      <c r="B585" s="2"/>
      <c r="C585" s="2"/>
      <c r="D585" s="2"/>
      <c r="E585" s="2"/>
      <c r="F585" s="2"/>
      <c r="G585" s="2"/>
      <c r="H585" s="2"/>
      <c r="I585" s="2"/>
      <c r="J585" s="2"/>
      <c r="K585" s="2"/>
      <c r="L585" s="2"/>
      <c r="M585" s="2"/>
      <c r="N585" s="2"/>
      <c r="O585" s="2"/>
      <c r="P585" s="2"/>
      <c r="Q585" s="2"/>
      <c r="R585" s="2"/>
    </row>
    <row r="586">
      <c r="A586" s="2"/>
      <c r="B586" s="2"/>
      <c r="C586" s="2"/>
      <c r="D586" s="2"/>
      <c r="E586" s="2"/>
      <c r="F586" s="2"/>
      <c r="G586" s="2"/>
      <c r="H586" s="2"/>
      <c r="I586" s="2"/>
      <c r="J586" s="2"/>
      <c r="K586" s="2"/>
      <c r="L586" s="2"/>
      <c r="M586" s="2"/>
      <c r="N586" s="2"/>
      <c r="O586" s="2"/>
      <c r="P586" s="2"/>
      <c r="Q586" s="2"/>
      <c r="R586" s="2"/>
    </row>
    <row r="587">
      <c r="A587" s="2"/>
      <c r="B587" s="2"/>
      <c r="C587" s="2"/>
      <c r="D587" s="2"/>
      <c r="E587" s="2"/>
      <c r="F587" s="2"/>
      <c r="G587" s="2"/>
      <c r="H587" s="2"/>
      <c r="I587" s="2"/>
      <c r="J587" s="2"/>
      <c r="K587" s="2"/>
      <c r="L587" s="2"/>
      <c r="M587" s="2"/>
      <c r="N587" s="2"/>
      <c r="O587" s="2"/>
      <c r="P587" s="2"/>
      <c r="Q587" s="2"/>
      <c r="R587" s="2"/>
    </row>
    <row r="588">
      <c r="A588" s="2"/>
      <c r="B588" s="2"/>
      <c r="C588" s="2"/>
      <c r="D588" s="2"/>
      <c r="E588" s="2"/>
      <c r="F588" s="2"/>
      <c r="G588" s="2"/>
      <c r="H588" s="2"/>
      <c r="I588" s="2"/>
      <c r="J588" s="2"/>
      <c r="K588" s="2"/>
      <c r="L588" s="2"/>
      <c r="M588" s="2"/>
      <c r="N588" s="2"/>
      <c r="O588" s="2"/>
      <c r="P588" s="2"/>
      <c r="Q588" s="2"/>
      <c r="R588" s="2"/>
    </row>
    <row r="589">
      <c r="A589" s="2"/>
      <c r="B589" s="2"/>
      <c r="C589" s="2"/>
      <c r="D589" s="2"/>
      <c r="E589" s="2"/>
      <c r="F589" s="2"/>
      <c r="G589" s="2"/>
      <c r="H589" s="2"/>
      <c r="I589" s="2"/>
      <c r="J589" s="2"/>
      <c r="K589" s="2"/>
      <c r="L589" s="2"/>
      <c r="M589" s="2"/>
      <c r="N589" s="2"/>
      <c r="O589" s="2"/>
      <c r="P589" s="2"/>
      <c r="Q589" s="2"/>
      <c r="R589" s="2"/>
    </row>
    <row r="590">
      <c r="A590" s="2"/>
      <c r="B590" s="2"/>
      <c r="C590" s="2"/>
      <c r="D590" s="2"/>
      <c r="E590" s="2"/>
      <c r="F590" s="2"/>
      <c r="G590" s="2"/>
      <c r="H590" s="2"/>
      <c r="I590" s="2"/>
      <c r="J590" s="2"/>
      <c r="K590" s="2"/>
      <c r="L590" s="2"/>
      <c r="M590" s="2"/>
      <c r="N590" s="2"/>
      <c r="O590" s="2"/>
      <c r="P590" s="2"/>
      <c r="Q590" s="2"/>
      <c r="R590" s="2"/>
    </row>
    <row r="591">
      <c r="A591" s="2"/>
      <c r="B591" s="2"/>
      <c r="C591" s="2"/>
      <c r="D591" s="2"/>
      <c r="E591" s="2"/>
      <c r="F591" s="2"/>
      <c r="G591" s="2"/>
      <c r="H591" s="2"/>
      <c r="I591" s="2"/>
      <c r="J591" s="2"/>
      <c r="K591" s="2"/>
      <c r="L591" s="2"/>
      <c r="M591" s="2"/>
      <c r="N591" s="2"/>
      <c r="O591" s="2"/>
      <c r="P591" s="2"/>
      <c r="Q591" s="2"/>
      <c r="R591" s="2"/>
    </row>
    <row r="592">
      <c r="A592" s="2"/>
      <c r="B592" s="2"/>
      <c r="C592" s="2"/>
      <c r="D592" s="2"/>
      <c r="E592" s="2"/>
      <c r="F592" s="2"/>
      <c r="G592" s="2"/>
      <c r="H592" s="2"/>
      <c r="I592" s="2"/>
      <c r="J592" s="2"/>
      <c r="K592" s="2"/>
      <c r="L592" s="2"/>
      <c r="M592" s="2"/>
      <c r="N592" s="2"/>
      <c r="O592" s="2"/>
      <c r="P592" s="2"/>
      <c r="Q592" s="2"/>
      <c r="R592" s="2"/>
    </row>
    <row r="593">
      <c r="A593" s="2"/>
      <c r="B593" s="2"/>
      <c r="C593" s="2"/>
      <c r="D593" s="2"/>
      <c r="E593" s="2"/>
      <c r="F593" s="2"/>
      <c r="G593" s="2"/>
      <c r="H593" s="2"/>
      <c r="I593" s="2"/>
      <c r="J593" s="2"/>
      <c r="K593" s="2"/>
      <c r="L593" s="2"/>
      <c r="M593" s="2"/>
      <c r="N593" s="2"/>
      <c r="O593" s="2"/>
      <c r="P593" s="2"/>
      <c r="Q593" s="2"/>
      <c r="R593" s="2"/>
    </row>
    <row r="594">
      <c r="A594" s="2"/>
      <c r="B594" s="2"/>
      <c r="C594" s="2"/>
      <c r="D594" s="2"/>
      <c r="E594" s="2"/>
      <c r="F594" s="2"/>
      <c r="G594" s="2"/>
      <c r="H594" s="2"/>
      <c r="I594" s="2"/>
      <c r="J594" s="2"/>
      <c r="K594" s="2"/>
      <c r="L594" s="2"/>
      <c r="M594" s="2"/>
      <c r="N594" s="2"/>
      <c r="O594" s="2"/>
      <c r="P594" s="2"/>
      <c r="Q594" s="2"/>
      <c r="R594" s="2"/>
    </row>
    <row r="595">
      <c r="A595" s="2"/>
      <c r="B595" s="2"/>
      <c r="C595" s="2"/>
      <c r="D595" s="2"/>
      <c r="E595" s="2"/>
      <c r="F595" s="2"/>
      <c r="G595" s="2"/>
      <c r="H595" s="2"/>
      <c r="I595" s="2"/>
      <c r="J595" s="2"/>
      <c r="K595" s="2"/>
      <c r="L595" s="2"/>
      <c r="M595" s="2"/>
      <c r="N595" s="2"/>
      <c r="O595" s="2"/>
      <c r="P595" s="2"/>
      <c r="Q595" s="2"/>
      <c r="R595" s="2"/>
    </row>
    <row r="596">
      <c r="A596" s="2"/>
      <c r="B596" s="2"/>
      <c r="C596" s="2"/>
      <c r="D596" s="2"/>
      <c r="E596" s="2"/>
      <c r="F596" s="2"/>
      <c r="G596" s="2"/>
      <c r="H596" s="2"/>
      <c r="I596" s="2"/>
      <c r="J596" s="2"/>
      <c r="K596" s="2"/>
      <c r="L596" s="2"/>
      <c r="M596" s="2"/>
      <c r="N596" s="2"/>
      <c r="O596" s="2"/>
      <c r="P596" s="2"/>
      <c r="Q596" s="2"/>
      <c r="R596" s="2"/>
    </row>
    <row r="597">
      <c r="A597" s="2"/>
      <c r="B597" s="2"/>
      <c r="C597" s="2"/>
      <c r="D597" s="2"/>
      <c r="E597" s="2"/>
      <c r="F597" s="2"/>
      <c r="G597" s="2"/>
      <c r="H597" s="2"/>
      <c r="I597" s="2"/>
      <c r="J597" s="2"/>
      <c r="K597" s="2"/>
      <c r="L597" s="2"/>
      <c r="M597" s="2"/>
      <c r="N597" s="2"/>
      <c r="O597" s="2"/>
      <c r="P597" s="2"/>
      <c r="Q597" s="2"/>
      <c r="R597" s="2"/>
    </row>
    <row r="598">
      <c r="A598" s="2"/>
      <c r="B598" s="2"/>
      <c r="C598" s="2"/>
      <c r="D598" s="2"/>
      <c r="E598" s="2"/>
      <c r="F598" s="2"/>
      <c r="G598" s="2"/>
      <c r="H598" s="2"/>
      <c r="I598" s="2"/>
      <c r="J598" s="2"/>
      <c r="K598" s="2"/>
      <c r="L598" s="2"/>
      <c r="M598" s="2"/>
      <c r="N598" s="2"/>
      <c r="O598" s="2"/>
      <c r="P598" s="2"/>
      <c r="Q598" s="2"/>
      <c r="R598" s="2"/>
    </row>
    <row r="599">
      <c r="A599" s="2"/>
      <c r="B599" s="2"/>
      <c r="C599" s="2"/>
      <c r="D599" s="2"/>
      <c r="E599" s="2"/>
      <c r="F599" s="2"/>
      <c r="G599" s="2"/>
      <c r="H599" s="2"/>
      <c r="I599" s="2"/>
      <c r="J599" s="2"/>
      <c r="K599" s="2"/>
      <c r="L599" s="2"/>
      <c r="M599" s="2"/>
      <c r="N599" s="2"/>
      <c r="O599" s="2"/>
      <c r="P599" s="2"/>
      <c r="Q599" s="2"/>
      <c r="R599" s="2"/>
    </row>
    <row r="600">
      <c r="A600" s="2"/>
      <c r="B600" s="2"/>
      <c r="C600" s="2"/>
      <c r="D600" s="2"/>
      <c r="E600" s="2"/>
      <c r="F600" s="2"/>
      <c r="G600" s="2"/>
      <c r="H600" s="2"/>
      <c r="I600" s="2"/>
      <c r="J600" s="2"/>
      <c r="K600" s="2"/>
      <c r="L600" s="2"/>
      <c r="M600" s="2"/>
      <c r="N600" s="2"/>
      <c r="O600" s="2"/>
      <c r="P600" s="2"/>
      <c r="Q600" s="2"/>
      <c r="R600" s="2"/>
    </row>
    <row r="601">
      <c r="A601" s="2"/>
      <c r="B601" s="2"/>
      <c r="C601" s="2"/>
      <c r="D601" s="2"/>
      <c r="E601" s="2"/>
      <c r="F601" s="2"/>
      <c r="G601" s="2"/>
      <c r="H601" s="2"/>
      <c r="I601" s="2"/>
      <c r="J601" s="2"/>
      <c r="K601" s="2"/>
      <c r="L601" s="2"/>
      <c r="M601" s="2"/>
      <c r="N601" s="2"/>
      <c r="O601" s="2"/>
      <c r="P601" s="2"/>
      <c r="Q601" s="2"/>
      <c r="R601" s="2"/>
    </row>
    <row r="602">
      <c r="A602" s="2"/>
      <c r="B602" s="2"/>
      <c r="C602" s="2"/>
      <c r="D602" s="2"/>
      <c r="E602" s="2"/>
      <c r="F602" s="2"/>
      <c r="G602" s="2"/>
      <c r="H602" s="2"/>
      <c r="I602" s="2"/>
      <c r="J602" s="2"/>
      <c r="K602" s="2"/>
      <c r="L602" s="2"/>
      <c r="M602" s="2"/>
      <c r="N602" s="2"/>
      <c r="O602" s="2"/>
      <c r="P602" s="2"/>
      <c r="Q602" s="2"/>
      <c r="R602" s="2"/>
    </row>
    <row r="603">
      <c r="A603" s="2"/>
      <c r="B603" s="2"/>
      <c r="C603" s="2"/>
      <c r="D603" s="2"/>
      <c r="E603" s="2"/>
      <c r="F603" s="2"/>
      <c r="G603" s="2"/>
      <c r="H603" s="2"/>
      <c r="I603" s="2"/>
      <c r="J603" s="2"/>
      <c r="K603" s="2"/>
      <c r="L603" s="2"/>
      <c r="M603" s="2"/>
      <c r="N603" s="2"/>
      <c r="O603" s="2"/>
      <c r="P603" s="2"/>
      <c r="Q603" s="2"/>
      <c r="R603" s="2"/>
    </row>
    <row r="604">
      <c r="A604" s="2"/>
      <c r="B604" s="2"/>
      <c r="C604" s="2"/>
      <c r="D604" s="2"/>
      <c r="E604" s="2"/>
      <c r="F604" s="2"/>
      <c r="G604" s="2"/>
      <c r="H604" s="2"/>
      <c r="I604" s="2"/>
      <c r="J604" s="2"/>
      <c r="K604" s="2"/>
      <c r="L604" s="2"/>
      <c r="M604" s="2"/>
      <c r="N604" s="2"/>
      <c r="O604" s="2"/>
      <c r="P604" s="2"/>
      <c r="Q604" s="2"/>
      <c r="R604" s="2"/>
    </row>
    <row r="605">
      <c r="A605" s="2"/>
      <c r="B605" s="2"/>
      <c r="C605" s="2"/>
      <c r="D605" s="2"/>
      <c r="E605" s="2"/>
      <c r="F605" s="2"/>
      <c r="G605" s="2"/>
      <c r="H605" s="2"/>
      <c r="I605" s="2"/>
      <c r="J605" s="2"/>
      <c r="K605" s="2"/>
      <c r="L605" s="2"/>
      <c r="M605" s="2"/>
      <c r="N605" s="2"/>
      <c r="O605" s="2"/>
      <c r="P605" s="2"/>
      <c r="Q605" s="2"/>
      <c r="R605" s="2"/>
    </row>
    <row r="606">
      <c r="A606" s="2"/>
      <c r="B606" s="2"/>
      <c r="C606" s="2"/>
      <c r="D606" s="2"/>
      <c r="E606" s="2"/>
      <c r="F606" s="2"/>
      <c r="G606" s="2"/>
      <c r="H606" s="2"/>
      <c r="I606" s="2"/>
      <c r="J606" s="2"/>
      <c r="K606" s="2"/>
      <c r="L606" s="2"/>
      <c r="M606" s="2"/>
      <c r="N606" s="2"/>
      <c r="O606" s="2"/>
      <c r="P606" s="2"/>
      <c r="Q606" s="2"/>
      <c r="R606" s="2"/>
    </row>
    <row r="607">
      <c r="A607" s="2"/>
      <c r="B607" s="2"/>
      <c r="C607" s="2"/>
      <c r="D607" s="2"/>
      <c r="E607" s="2"/>
      <c r="F607" s="2"/>
      <c r="G607" s="2"/>
      <c r="H607" s="2"/>
      <c r="I607" s="2"/>
      <c r="J607" s="2"/>
      <c r="K607" s="2"/>
      <c r="L607" s="2"/>
      <c r="M607" s="2"/>
      <c r="N607" s="2"/>
      <c r="O607" s="2"/>
      <c r="P607" s="2"/>
      <c r="Q607" s="2"/>
      <c r="R607" s="2"/>
    </row>
    <row r="608">
      <c r="A608" s="2"/>
      <c r="B608" s="2"/>
      <c r="C608" s="2"/>
      <c r="D608" s="2"/>
      <c r="E608" s="2"/>
      <c r="F608" s="2"/>
      <c r="G608" s="2"/>
      <c r="H608" s="2"/>
      <c r="I608" s="2"/>
      <c r="J608" s="2"/>
      <c r="K608" s="2"/>
      <c r="L608" s="2"/>
      <c r="M608" s="2"/>
      <c r="N608" s="2"/>
      <c r="O608" s="2"/>
      <c r="P608" s="2"/>
      <c r="Q608" s="2"/>
      <c r="R608" s="2"/>
    </row>
    <row r="609">
      <c r="A609" s="2"/>
      <c r="B609" s="2"/>
      <c r="C609" s="2"/>
      <c r="D609" s="2"/>
      <c r="E609" s="2"/>
      <c r="F609" s="2"/>
      <c r="G609" s="2"/>
      <c r="H609" s="2"/>
      <c r="I609" s="2"/>
      <c r="J609" s="2"/>
      <c r="K609" s="2"/>
      <c r="L609" s="2"/>
      <c r="M609" s="2"/>
      <c r="N609" s="2"/>
      <c r="O609" s="2"/>
      <c r="P609" s="2"/>
      <c r="Q609" s="2"/>
      <c r="R609" s="2"/>
    </row>
    <row r="610">
      <c r="A610" s="2"/>
      <c r="B610" s="2"/>
      <c r="C610" s="2"/>
      <c r="D610" s="2"/>
      <c r="E610" s="2"/>
      <c r="F610" s="2"/>
      <c r="G610" s="2"/>
      <c r="H610" s="2"/>
      <c r="I610" s="2"/>
      <c r="J610" s="2"/>
      <c r="K610" s="2"/>
      <c r="L610" s="2"/>
      <c r="M610" s="2"/>
      <c r="N610" s="2"/>
      <c r="O610" s="2"/>
      <c r="P610" s="2"/>
      <c r="Q610" s="2"/>
      <c r="R610" s="2"/>
    </row>
    <row r="611">
      <c r="A611" s="2"/>
      <c r="B611" s="2"/>
      <c r="C611" s="2"/>
      <c r="D611" s="2"/>
      <c r="E611" s="2"/>
      <c r="F611" s="2"/>
      <c r="G611" s="2"/>
      <c r="H611" s="2"/>
      <c r="I611" s="2"/>
      <c r="J611" s="2"/>
      <c r="K611" s="2"/>
      <c r="L611" s="2"/>
      <c r="M611" s="2"/>
      <c r="N611" s="2"/>
      <c r="O611" s="2"/>
      <c r="P611" s="2"/>
      <c r="Q611" s="2"/>
      <c r="R611" s="2"/>
    </row>
    <row r="612">
      <c r="A612" s="2"/>
      <c r="B612" s="2"/>
      <c r="C612" s="2"/>
      <c r="D612" s="2"/>
      <c r="E612" s="2"/>
      <c r="F612" s="2"/>
      <c r="G612" s="2"/>
      <c r="H612" s="2"/>
      <c r="I612" s="2"/>
      <c r="J612" s="2"/>
      <c r="K612" s="2"/>
      <c r="L612" s="2"/>
      <c r="M612" s="2"/>
      <c r="N612" s="2"/>
      <c r="O612" s="2"/>
      <c r="P612" s="2"/>
      <c r="Q612" s="2"/>
      <c r="R612" s="2"/>
    </row>
    <row r="613">
      <c r="A613" s="2"/>
      <c r="B613" s="2"/>
      <c r="C613" s="2"/>
      <c r="D613" s="2"/>
      <c r="E613" s="2"/>
      <c r="F613" s="2"/>
      <c r="G613" s="2"/>
      <c r="H613" s="2"/>
      <c r="I613" s="2"/>
      <c r="J613" s="2"/>
      <c r="K613" s="2"/>
      <c r="L613" s="2"/>
      <c r="M613" s="2"/>
      <c r="N613" s="2"/>
      <c r="O613" s="2"/>
      <c r="P613" s="2"/>
      <c r="Q613" s="2"/>
      <c r="R613" s="2"/>
    </row>
    <row r="614">
      <c r="A614" s="2"/>
      <c r="B614" s="2"/>
      <c r="C614" s="2"/>
      <c r="D614" s="2"/>
      <c r="E614" s="2"/>
      <c r="F614" s="2"/>
      <c r="G614" s="2"/>
      <c r="H614" s="2"/>
      <c r="I614" s="2"/>
      <c r="J614" s="2"/>
      <c r="K614" s="2"/>
      <c r="L614" s="2"/>
      <c r="M614" s="2"/>
      <c r="N614" s="2"/>
      <c r="O614" s="2"/>
      <c r="P614" s="2"/>
      <c r="Q614" s="2"/>
      <c r="R614" s="2"/>
    </row>
    <row r="615">
      <c r="A615" s="2"/>
      <c r="B615" s="2"/>
      <c r="C615" s="2"/>
      <c r="D615" s="2"/>
      <c r="E615" s="2"/>
      <c r="F615" s="2"/>
      <c r="G615" s="2"/>
      <c r="H615" s="2"/>
      <c r="I615" s="2"/>
      <c r="J615" s="2"/>
      <c r="K615" s="2"/>
      <c r="L615" s="2"/>
      <c r="M615" s="2"/>
      <c r="N615" s="2"/>
      <c r="O615" s="2"/>
      <c r="P615" s="2"/>
      <c r="Q615" s="2"/>
      <c r="R615" s="2"/>
    </row>
    <row r="616">
      <c r="A616" s="2"/>
      <c r="B616" s="2"/>
      <c r="C616" s="2"/>
      <c r="D616" s="2"/>
      <c r="E616" s="2"/>
      <c r="F616" s="2"/>
      <c r="G616" s="2"/>
      <c r="H616" s="2"/>
      <c r="I616" s="2"/>
      <c r="J616" s="2"/>
      <c r="K616" s="2"/>
      <c r="L616" s="2"/>
      <c r="M616" s="2"/>
      <c r="N616" s="2"/>
      <c r="O616" s="2"/>
      <c r="P616" s="2"/>
      <c r="Q616" s="2"/>
      <c r="R616" s="2"/>
    </row>
    <row r="617">
      <c r="A617" s="2"/>
      <c r="B617" s="2"/>
      <c r="C617" s="2"/>
      <c r="D617" s="2"/>
      <c r="E617" s="2"/>
      <c r="F617" s="2"/>
      <c r="G617" s="2"/>
      <c r="H617" s="2"/>
      <c r="I617" s="2"/>
      <c r="J617" s="2"/>
      <c r="K617" s="2"/>
      <c r="L617" s="2"/>
      <c r="M617" s="2"/>
      <c r="N617" s="2"/>
      <c r="O617" s="2"/>
      <c r="P617" s="2"/>
      <c r="Q617" s="2"/>
      <c r="R617" s="2"/>
    </row>
    <row r="618">
      <c r="A618" s="2"/>
      <c r="B618" s="2"/>
      <c r="C618" s="2"/>
      <c r="D618" s="2"/>
      <c r="E618" s="2"/>
      <c r="F618" s="2"/>
      <c r="G618" s="2"/>
      <c r="H618" s="2"/>
      <c r="I618" s="2"/>
      <c r="J618" s="2"/>
      <c r="K618" s="2"/>
      <c r="L618" s="2"/>
      <c r="M618" s="2"/>
      <c r="N618" s="2"/>
      <c r="O618" s="2"/>
      <c r="P618" s="2"/>
      <c r="Q618" s="2"/>
      <c r="R618" s="2"/>
    </row>
    <row r="619">
      <c r="A619" s="2"/>
      <c r="B619" s="2"/>
      <c r="C619" s="2"/>
      <c r="D619" s="2"/>
      <c r="E619" s="2"/>
      <c r="F619" s="2"/>
      <c r="G619" s="2"/>
      <c r="H619" s="2"/>
      <c r="I619" s="2"/>
      <c r="J619" s="2"/>
      <c r="K619" s="2"/>
      <c r="L619" s="2"/>
      <c r="M619" s="2"/>
      <c r="N619" s="2"/>
      <c r="O619" s="2"/>
      <c r="P619" s="2"/>
      <c r="Q619" s="2"/>
      <c r="R619" s="2"/>
    </row>
    <row r="620">
      <c r="A620" s="2"/>
      <c r="B620" s="2"/>
      <c r="C620" s="2"/>
      <c r="D620" s="2"/>
      <c r="E620" s="2"/>
      <c r="F620" s="2"/>
      <c r="G620" s="2"/>
      <c r="H620" s="2"/>
      <c r="I620" s="2"/>
      <c r="J620" s="2"/>
      <c r="K620" s="2"/>
      <c r="L620" s="2"/>
      <c r="M620" s="2"/>
      <c r="N620" s="2"/>
      <c r="O620" s="2"/>
      <c r="P620" s="2"/>
      <c r="Q620" s="2"/>
      <c r="R620" s="2"/>
    </row>
    <row r="621">
      <c r="A621" s="2"/>
      <c r="B621" s="2"/>
      <c r="C621" s="2"/>
      <c r="D621" s="2"/>
      <c r="E621" s="2"/>
      <c r="F621" s="2"/>
      <c r="G621" s="2"/>
      <c r="H621" s="2"/>
      <c r="I621" s="2"/>
      <c r="J621" s="2"/>
      <c r="K621" s="2"/>
      <c r="L621" s="2"/>
      <c r="M621" s="2"/>
      <c r="N621" s="2"/>
      <c r="O621" s="2"/>
      <c r="P621" s="2"/>
      <c r="Q621" s="2"/>
      <c r="R621" s="2"/>
    </row>
    <row r="622">
      <c r="A622" s="2"/>
      <c r="B622" s="2"/>
      <c r="C622" s="2"/>
      <c r="D622" s="2"/>
      <c r="E622" s="2"/>
      <c r="F622" s="2"/>
      <c r="G622" s="2"/>
      <c r="H622" s="2"/>
      <c r="I622" s="2"/>
      <c r="J622" s="2"/>
      <c r="K622" s="2"/>
      <c r="L622" s="2"/>
      <c r="M622" s="2"/>
      <c r="N622" s="2"/>
      <c r="O622" s="2"/>
      <c r="P622" s="2"/>
      <c r="Q622" s="2"/>
      <c r="R622" s="2"/>
    </row>
    <row r="623">
      <c r="A623" s="2"/>
      <c r="B623" s="2"/>
      <c r="C623" s="2"/>
      <c r="D623" s="2"/>
      <c r="E623" s="2"/>
      <c r="F623" s="2"/>
      <c r="G623" s="2"/>
      <c r="H623" s="2"/>
      <c r="I623" s="2"/>
      <c r="J623" s="2"/>
      <c r="K623" s="2"/>
      <c r="L623" s="2"/>
      <c r="M623" s="2"/>
      <c r="N623" s="2"/>
      <c r="O623" s="2"/>
      <c r="P623" s="2"/>
      <c r="Q623" s="2"/>
      <c r="R623" s="2"/>
    </row>
    <row r="624">
      <c r="A624" s="2"/>
      <c r="B624" s="2"/>
      <c r="C624" s="2"/>
      <c r="D624" s="2"/>
      <c r="E624" s="2"/>
      <c r="F624" s="2"/>
      <c r="G624" s="2"/>
      <c r="H624" s="2"/>
      <c r="I624" s="2"/>
      <c r="J624" s="2"/>
      <c r="K624" s="2"/>
      <c r="L624" s="2"/>
      <c r="M624" s="2"/>
      <c r="N624" s="2"/>
      <c r="O624" s="2"/>
      <c r="P624" s="2"/>
      <c r="Q624" s="2"/>
      <c r="R624" s="2"/>
    </row>
    <row r="625">
      <c r="A625" s="2"/>
      <c r="B625" s="2"/>
      <c r="C625" s="2"/>
      <c r="D625" s="2"/>
      <c r="E625" s="2"/>
      <c r="F625" s="2"/>
      <c r="G625" s="2"/>
      <c r="H625" s="2"/>
      <c r="I625" s="2"/>
      <c r="J625" s="2"/>
      <c r="K625" s="2"/>
      <c r="L625" s="2"/>
      <c r="M625" s="2"/>
      <c r="N625" s="2"/>
      <c r="O625" s="2"/>
      <c r="P625" s="2"/>
      <c r="Q625" s="2"/>
      <c r="R625" s="2"/>
    </row>
    <row r="626">
      <c r="A626" s="2"/>
      <c r="B626" s="2"/>
      <c r="C626" s="2"/>
      <c r="D626" s="2"/>
      <c r="E626" s="2"/>
      <c r="F626" s="2"/>
      <c r="G626" s="2"/>
      <c r="H626" s="2"/>
      <c r="I626" s="2"/>
      <c r="J626" s="2"/>
      <c r="K626" s="2"/>
      <c r="L626" s="2"/>
      <c r="M626" s="2"/>
      <c r="N626" s="2"/>
      <c r="O626" s="2"/>
      <c r="P626" s="2"/>
      <c r="Q626" s="2"/>
      <c r="R626" s="2"/>
    </row>
    <row r="627">
      <c r="A627" s="2"/>
      <c r="B627" s="2"/>
      <c r="C627" s="2"/>
      <c r="D627" s="2"/>
      <c r="E627" s="2"/>
      <c r="F627" s="2"/>
      <c r="G627" s="2"/>
      <c r="H627" s="2"/>
      <c r="I627" s="2"/>
      <c r="J627" s="2"/>
      <c r="K627" s="2"/>
      <c r="L627" s="2"/>
      <c r="M627" s="2"/>
      <c r="N627" s="2"/>
      <c r="O627" s="2"/>
      <c r="P627" s="2"/>
      <c r="Q627" s="2"/>
      <c r="R627" s="2"/>
    </row>
    <row r="628">
      <c r="A628" s="2"/>
      <c r="B628" s="2"/>
      <c r="C628" s="2"/>
      <c r="D628" s="2"/>
      <c r="E628" s="2"/>
      <c r="F628" s="2"/>
      <c r="G628" s="2"/>
      <c r="H628" s="2"/>
      <c r="I628" s="2"/>
      <c r="J628" s="2"/>
      <c r="K628" s="2"/>
      <c r="L628" s="2"/>
      <c r="M628" s="2"/>
      <c r="N628" s="2"/>
      <c r="O628" s="2"/>
      <c r="P628" s="2"/>
      <c r="Q628" s="2"/>
      <c r="R628" s="2"/>
    </row>
    <row r="629">
      <c r="A629" s="2"/>
      <c r="B629" s="2"/>
      <c r="C629" s="2"/>
      <c r="D629" s="2"/>
      <c r="E629" s="2"/>
      <c r="F629" s="2"/>
      <c r="G629" s="2"/>
      <c r="H629" s="2"/>
      <c r="I629" s="2"/>
      <c r="J629" s="2"/>
      <c r="K629" s="2"/>
      <c r="L629" s="2"/>
      <c r="M629" s="2"/>
      <c r="N629" s="2"/>
      <c r="O629" s="2"/>
      <c r="P629" s="2"/>
      <c r="Q629" s="2"/>
      <c r="R629" s="2"/>
    </row>
    <row r="630">
      <c r="A630" s="2"/>
      <c r="B630" s="2"/>
      <c r="C630" s="2"/>
      <c r="D630" s="2"/>
      <c r="E630" s="2"/>
      <c r="F630" s="2"/>
      <c r="G630" s="2"/>
      <c r="H630" s="2"/>
      <c r="I630" s="2"/>
      <c r="J630" s="2"/>
      <c r="K630" s="2"/>
      <c r="L630" s="2"/>
      <c r="M630" s="2"/>
      <c r="N630" s="2"/>
      <c r="O630" s="2"/>
      <c r="P630" s="2"/>
      <c r="Q630" s="2"/>
      <c r="R630" s="2"/>
    </row>
    <row r="631">
      <c r="A631" s="2"/>
      <c r="B631" s="2"/>
      <c r="C631" s="2"/>
      <c r="D631" s="2"/>
      <c r="E631" s="2"/>
      <c r="F631" s="2"/>
      <c r="G631" s="2"/>
      <c r="H631" s="2"/>
      <c r="I631" s="2"/>
      <c r="J631" s="2"/>
      <c r="K631" s="2"/>
      <c r="L631" s="2"/>
      <c r="M631" s="2"/>
      <c r="N631" s="2"/>
      <c r="O631" s="2"/>
      <c r="P631" s="2"/>
      <c r="Q631" s="2"/>
      <c r="R631" s="2"/>
    </row>
    <row r="632">
      <c r="A632" s="2"/>
      <c r="B632" s="2"/>
      <c r="C632" s="2"/>
      <c r="D632" s="2"/>
      <c r="E632" s="2"/>
      <c r="F632" s="2"/>
      <c r="G632" s="2"/>
      <c r="H632" s="2"/>
      <c r="I632" s="2"/>
      <c r="J632" s="2"/>
      <c r="K632" s="2"/>
      <c r="L632" s="2"/>
      <c r="M632" s="2"/>
      <c r="N632" s="2"/>
      <c r="O632" s="2"/>
      <c r="P632" s="2"/>
      <c r="Q632" s="2"/>
      <c r="R632" s="2"/>
    </row>
    <row r="633">
      <c r="A633" s="2"/>
      <c r="B633" s="2"/>
      <c r="C633" s="2"/>
      <c r="D633" s="2"/>
      <c r="E633" s="2"/>
      <c r="F633" s="2"/>
      <c r="G633" s="2"/>
      <c r="H633" s="2"/>
      <c r="I633" s="2"/>
      <c r="J633" s="2"/>
      <c r="K633" s="2"/>
      <c r="L633" s="2"/>
      <c r="M633" s="2"/>
      <c r="N633" s="2"/>
      <c r="O633" s="2"/>
      <c r="P633" s="2"/>
      <c r="Q633" s="2"/>
      <c r="R633" s="2"/>
    </row>
    <row r="634">
      <c r="A634" s="2"/>
      <c r="B634" s="2"/>
      <c r="C634" s="2"/>
      <c r="D634" s="2"/>
      <c r="E634" s="2"/>
      <c r="F634" s="2"/>
      <c r="G634" s="2"/>
      <c r="H634" s="2"/>
      <c r="I634" s="2"/>
      <c r="J634" s="2"/>
      <c r="K634" s="2"/>
      <c r="L634" s="2"/>
      <c r="M634" s="2"/>
      <c r="N634" s="2"/>
      <c r="O634" s="2"/>
      <c r="P634" s="2"/>
      <c r="Q634" s="2"/>
      <c r="R634" s="2"/>
    </row>
    <row r="635">
      <c r="A635" s="2"/>
      <c r="B635" s="2"/>
      <c r="C635" s="2"/>
      <c r="D635" s="2"/>
      <c r="E635" s="2"/>
      <c r="F635" s="2"/>
      <c r="G635" s="2"/>
      <c r="H635" s="2"/>
      <c r="I635" s="2"/>
      <c r="J635" s="2"/>
      <c r="K635" s="2"/>
      <c r="L635" s="2"/>
      <c r="M635" s="2"/>
      <c r="N635" s="2"/>
      <c r="O635" s="2"/>
      <c r="P635" s="2"/>
      <c r="Q635" s="2"/>
      <c r="R635" s="2"/>
    </row>
    <row r="636">
      <c r="A636" s="2"/>
      <c r="B636" s="2"/>
      <c r="C636" s="2"/>
      <c r="D636" s="2"/>
      <c r="E636" s="2"/>
      <c r="F636" s="2"/>
      <c r="G636" s="2"/>
      <c r="H636" s="2"/>
      <c r="I636" s="2"/>
      <c r="J636" s="2"/>
      <c r="K636" s="2"/>
      <c r="L636" s="2"/>
      <c r="M636" s="2"/>
      <c r="N636" s="2"/>
      <c r="O636" s="2"/>
      <c r="P636" s="2"/>
      <c r="Q636" s="2"/>
      <c r="R636" s="2"/>
    </row>
    <row r="637">
      <c r="A637" s="2"/>
      <c r="B637" s="2"/>
      <c r="C637" s="2"/>
      <c r="D637" s="2"/>
      <c r="E637" s="2"/>
      <c r="F637" s="2"/>
      <c r="G637" s="2"/>
      <c r="H637" s="2"/>
      <c r="I637" s="2"/>
      <c r="J637" s="2"/>
      <c r="K637" s="2"/>
      <c r="L637" s="2"/>
      <c r="M637" s="2"/>
      <c r="N637" s="2"/>
      <c r="O637" s="2"/>
      <c r="P637" s="2"/>
      <c r="Q637" s="2"/>
      <c r="R637" s="2"/>
    </row>
    <row r="638">
      <c r="A638" s="2"/>
      <c r="B638" s="2"/>
      <c r="C638" s="2"/>
      <c r="D638" s="2"/>
      <c r="E638" s="2"/>
      <c r="F638" s="2"/>
      <c r="G638" s="2"/>
      <c r="H638" s="2"/>
      <c r="I638" s="2"/>
      <c r="J638" s="2"/>
      <c r="K638" s="2"/>
      <c r="L638" s="2"/>
      <c r="M638" s="2"/>
      <c r="N638" s="2"/>
      <c r="O638" s="2"/>
      <c r="P638" s="2"/>
      <c r="Q638" s="2"/>
      <c r="R638" s="2"/>
    </row>
    <row r="639">
      <c r="A639" s="2"/>
      <c r="B639" s="2"/>
      <c r="C639" s="2"/>
      <c r="D639" s="2"/>
      <c r="E639" s="2"/>
      <c r="F639" s="2"/>
      <c r="G639" s="2"/>
      <c r="H639" s="2"/>
      <c r="I639" s="2"/>
      <c r="J639" s="2"/>
      <c r="K639" s="2"/>
      <c r="L639" s="2"/>
      <c r="M639" s="2"/>
      <c r="N639" s="2"/>
      <c r="O639" s="2"/>
      <c r="P639" s="2"/>
      <c r="Q639" s="2"/>
      <c r="R639" s="2"/>
    </row>
    <row r="640">
      <c r="A640" s="2"/>
      <c r="B640" s="2"/>
      <c r="C640" s="2"/>
      <c r="D640" s="2"/>
      <c r="E640" s="2"/>
      <c r="F640" s="2"/>
      <c r="G640" s="2"/>
      <c r="H640" s="2"/>
      <c r="I640" s="2"/>
      <c r="J640" s="2"/>
      <c r="K640" s="2"/>
      <c r="L640" s="2"/>
      <c r="M640" s="2"/>
      <c r="N640" s="2"/>
      <c r="O640" s="2"/>
      <c r="P640" s="2"/>
      <c r="Q640" s="2"/>
      <c r="R640" s="2"/>
    </row>
    <row r="641">
      <c r="A641" s="2"/>
      <c r="B641" s="2"/>
      <c r="C641" s="2"/>
      <c r="D641" s="2"/>
      <c r="E641" s="2"/>
      <c r="F641" s="2"/>
      <c r="G641" s="2"/>
      <c r="H641" s="2"/>
      <c r="I641" s="2"/>
      <c r="J641" s="2"/>
      <c r="K641" s="2"/>
      <c r="L641" s="2"/>
      <c r="M641" s="2"/>
      <c r="N641" s="2"/>
      <c r="O641" s="2"/>
      <c r="P641" s="2"/>
      <c r="Q641" s="2"/>
      <c r="R641" s="2"/>
    </row>
    <row r="642">
      <c r="A642" s="2"/>
      <c r="B642" s="2"/>
      <c r="C642" s="2"/>
      <c r="D642" s="2"/>
      <c r="E642" s="2"/>
      <c r="F642" s="2"/>
      <c r="G642" s="2"/>
      <c r="H642" s="2"/>
      <c r="I642" s="2"/>
      <c r="J642" s="2"/>
      <c r="K642" s="2"/>
      <c r="L642" s="2"/>
      <c r="M642" s="2"/>
      <c r="N642" s="2"/>
      <c r="O642" s="2"/>
      <c r="P642" s="2"/>
      <c r="Q642" s="2"/>
      <c r="R642" s="2"/>
    </row>
    <row r="643">
      <c r="A643" s="2"/>
      <c r="B643" s="2"/>
      <c r="C643" s="2"/>
      <c r="D643" s="2"/>
      <c r="E643" s="2"/>
      <c r="F643" s="2"/>
      <c r="G643" s="2"/>
      <c r="H643" s="2"/>
      <c r="I643" s="2"/>
      <c r="J643" s="2"/>
      <c r="K643" s="2"/>
      <c r="L643" s="2"/>
      <c r="M643" s="2"/>
      <c r="N643" s="2"/>
      <c r="O643" s="2"/>
      <c r="P643" s="2"/>
      <c r="Q643" s="2"/>
      <c r="R643" s="2"/>
    </row>
    <row r="644">
      <c r="A644" s="2"/>
      <c r="B644" s="2"/>
      <c r="C644" s="2"/>
      <c r="D644" s="2"/>
      <c r="E644" s="2"/>
      <c r="F644" s="2"/>
      <c r="G644" s="2"/>
      <c r="H644" s="2"/>
      <c r="I644" s="2"/>
      <c r="J644" s="2"/>
      <c r="K644" s="2"/>
      <c r="L644" s="2"/>
      <c r="M644" s="2"/>
      <c r="N644" s="2"/>
      <c r="O644" s="2"/>
      <c r="P644" s="2"/>
      <c r="Q644" s="2"/>
      <c r="R644" s="2"/>
    </row>
    <row r="645">
      <c r="A645" s="2"/>
      <c r="B645" s="2"/>
      <c r="C645" s="2"/>
      <c r="D645" s="2"/>
      <c r="E645" s="2"/>
      <c r="F645" s="2"/>
      <c r="G645" s="2"/>
      <c r="H645" s="2"/>
      <c r="I645" s="2"/>
      <c r="J645" s="2"/>
      <c r="K645" s="2"/>
      <c r="L645" s="2"/>
      <c r="M645" s="2"/>
      <c r="N645" s="2"/>
      <c r="O645" s="2"/>
      <c r="P645" s="2"/>
      <c r="Q645" s="2"/>
      <c r="R645" s="2"/>
    </row>
    <row r="646">
      <c r="A646" s="2"/>
      <c r="B646" s="2"/>
      <c r="C646" s="2"/>
      <c r="D646" s="2"/>
      <c r="E646" s="2"/>
      <c r="F646" s="2"/>
      <c r="G646" s="2"/>
      <c r="H646" s="2"/>
      <c r="I646" s="2"/>
      <c r="J646" s="2"/>
      <c r="K646" s="2"/>
      <c r="L646" s="2"/>
      <c r="M646" s="2"/>
      <c r="N646" s="2"/>
      <c r="O646" s="2"/>
      <c r="P646" s="2"/>
      <c r="Q646" s="2"/>
      <c r="R646" s="2"/>
    </row>
    <row r="647">
      <c r="A647" s="2"/>
      <c r="B647" s="2"/>
      <c r="C647" s="2"/>
      <c r="D647" s="2"/>
      <c r="E647" s="2"/>
      <c r="F647" s="2"/>
      <c r="G647" s="2"/>
      <c r="H647" s="2"/>
      <c r="I647" s="2"/>
      <c r="J647" s="2"/>
      <c r="K647" s="2"/>
      <c r="L647" s="2"/>
      <c r="M647" s="2"/>
      <c r="N647" s="2"/>
      <c r="O647" s="2"/>
      <c r="P647" s="2"/>
      <c r="Q647" s="2"/>
      <c r="R647" s="2"/>
    </row>
    <row r="648">
      <c r="A648" s="2"/>
      <c r="B648" s="2"/>
      <c r="C648" s="2"/>
      <c r="D648" s="2"/>
      <c r="E648" s="2"/>
      <c r="F648" s="2"/>
      <c r="G648" s="2"/>
      <c r="H648" s="2"/>
      <c r="I648" s="2"/>
      <c r="J648" s="2"/>
      <c r="K648" s="2"/>
      <c r="L648" s="2"/>
      <c r="M648" s="2"/>
      <c r="N648" s="2"/>
      <c r="O648" s="2"/>
      <c r="P648" s="2"/>
      <c r="Q648" s="2"/>
      <c r="R648" s="2"/>
    </row>
    <row r="649">
      <c r="A649" s="2"/>
      <c r="B649" s="2"/>
      <c r="C649" s="2"/>
      <c r="D649" s="2"/>
      <c r="E649" s="2"/>
      <c r="F649" s="2"/>
      <c r="G649" s="2"/>
      <c r="H649" s="2"/>
      <c r="I649" s="2"/>
      <c r="J649" s="2"/>
      <c r="K649" s="2"/>
      <c r="L649" s="2"/>
      <c r="M649" s="2"/>
      <c r="N649" s="2"/>
      <c r="O649" s="2"/>
      <c r="P649" s="2"/>
      <c r="Q649" s="2"/>
      <c r="R649" s="2"/>
    </row>
    <row r="650">
      <c r="A650" s="2"/>
      <c r="B650" s="2"/>
      <c r="C650" s="2"/>
      <c r="D650" s="2"/>
      <c r="E650" s="2"/>
      <c r="F650" s="2"/>
      <c r="G650" s="2"/>
      <c r="H650" s="2"/>
      <c r="I650" s="2"/>
      <c r="J650" s="2"/>
      <c r="K650" s="2"/>
      <c r="L650" s="2"/>
      <c r="M650" s="2"/>
      <c r="N650" s="2"/>
      <c r="O650" s="2"/>
      <c r="P650" s="2"/>
      <c r="Q650" s="2"/>
      <c r="R650" s="2"/>
    </row>
    <row r="651">
      <c r="A651" s="2"/>
      <c r="B651" s="2"/>
      <c r="C651" s="2"/>
      <c r="D651" s="2"/>
      <c r="E651" s="2"/>
      <c r="F651" s="2"/>
      <c r="G651" s="2"/>
      <c r="H651" s="2"/>
      <c r="I651" s="2"/>
      <c r="J651" s="2"/>
      <c r="K651" s="2"/>
      <c r="L651" s="2"/>
      <c r="M651" s="2"/>
      <c r="N651" s="2"/>
      <c r="O651" s="2"/>
      <c r="P651" s="2"/>
      <c r="Q651" s="2"/>
      <c r="R651" s="2"/>
    </row>
    <row r="652">
      <c r="A652" s="2"/>
      <c r="B652" s="2"/>
      <c r="C652" s="2"/>
      <c r="D652" s="2"/>
      <c r="E652" s="2"/>
      <c r="F652" s="2"/>
      <c r="G652" s="2"/>
      <c r="H652" s="2"/>
      <c r="I652" s="2"/>
      <c r="J652" s="2"/>
      <c r="K652" s="2"/>
      <c r="L652" s="2"/>
      <c r="M652" s="2"/>
      <c r="N652" s="2"/>
      <c r="O652" s="2"/>
      <c r="P652" s="2"/>
      <c r="Q652" s="2"/>
      <c r="R652" s="2"/>
    </row>
    <row r="653">
      <c r="A653" s="2"/>
      <c r="B653" s="2"/>
      <c r="C653" s="2"/>
      <c r="D653" s="2"/>
      <c r="E653" s="2"/>
      <c r="F653" s="2"/>
      <c r="G653" s="2"/>
      <c r="H653" s="2"/>
      <c r="I653" s="2"/>
      <c r="J653" s="2"/>
      <c r="K653" s="2"/>
      <c r="L653" s="2"/>
      <c r="M653" s="2"/>
      <c r="N653" s="2"/>
      <c r="O653" s="2"/>
      <c r="P653" s="2"/>
      <c r="Q653" s="2"/>
      <c r="R653" s="2"/>
    </row>
    <row r="654">
      <c r="A654" s="2"/>
      <c r="B654" s="2"/>
      <c r="C654" s="2"/>
      <c r="D654" s="2"/>
      <c r="E654" s="2"/>
      <c r="F654" s="2"/>
      <c r="G654" s="2"/>
      <c r="H654" s="2"/>
      <c r="I654" s="2"/>
      <c r="J654" s="2"/>
      <c r="K654" s="2"/>
      <c r="L654" s="2"/>
      <c r="M654" s="2"/>
      <c r="N654" s="2"/>
      <c r="O654" s="2"/>
      <c r="P654" s="2"/>
      <c r="Q654" s="2"/>
      <c r="R654" s="2"/>
    </row>
    <row r="655">
      <c r="A655" s="2"/>
      <c r="B655" s="2"/>
      <c r="C655" s="2"/>
      <c r="D655" s="2"/>
      <c r="E655" s="2"/>
      <c r="F655" s="2"/>
      <c r="G655" s="2"/>
      <c r="H655" s="2"/>
      <c r="I655" s="2"/>
      <c r="J655" s="2"/>
      <c r="K655" s="2"/>
      <c r="L655" s="2"/>
      <c r="M655" s="2"/>
      <c r="N655" s="2"/>
      <c r="O655" s="2"/>
      <c r="P655" s="2"/>
      <c r="Q655" s="2"/>
      <c r="R655" s="2"/>
    </row>
    <row r="656">
      <c r="A656" s="2"/>
      <c r="B656" s="2"/>
      <c r="C656" s="2"/>
      <c r="D656" s="2"/>
      <c r="E656" s="2"/>
      <c r="F656" s="2"/>
      <c r="G656" s="2"/>
      <c r="H656" s="2"/>
      <c r="I656" s="2"/>
      <c r="J656" s="2"/>
      <c r="K656" s="2"/>
      <c r="L656" s="2"/>
      <c r="M656" s="2"/>
      <c r="N656" s="2"/>
      <c r="O656" s="2"/>
      <c r="P656" s="2"/>
      <c r="Q656" s="2"/>
      <c r="R656" s="2"/>
    </row>
    <row r="657">
      <c r="A657" s="2"/>
      <c r="B657" s="2"/>
      <c r="C657" s="2"/>
      <c r="D657" s="2"/>
      <c r="E657" s="2"/>
      <c r="F657" s="2"/>
      <c r="G657" s="2"/>
      <c r="H657" s="2"/>
      <c r="I657" s="2"/>
      <c r="J657" s="2"/>
      <c r="K657" s="2"/>
      <c r="L657" s="2"/>
      <c r="M657" s="2"/>
      <c r="N657" s="2"/>
      <c r="O657" s="2"/>
      <c r="P657" s="2"/>
      <c r="Q657" s="2"/>
      <c r="R657" s="2"/>
    </row>
    <row r="658">
      <c r="A658" s="2"/>
      <c r="B658" s="2"/>
      <c r="C658" s="2"/>
      <c r="D658" s="2"/>
      <c r="E658" s="2"/>
      <c r="F658" s="2"/>
      <c r="G658" s="2"/>
      <c r="H658" s="2"/>
      <c r="I658" s="2"/>
      <c r="J658" s="2"/>
      <c r="K658" s="2"/>
      <c r="L658" s="2"/>
      <c r="M658" s="2"/>
      <c r="N658" s="2"/>
      <c r="O658" s="2"/>
      <c r="P658" s="2"/>
      <c r="Q658" s="2"/>
      <c r="R658" s="2"/>
    </row>
    <row r="659">
      <c r="A659" s="2"/>
      <c r="B659" s="2"/>
      <c r="C659" s="2"/>
      <c r="D659" s="2"/>
      <c r="E659" s="2"/>
      <c r="F659" s="2"/>
      <c r="G659" s="2"/>
      <c r="H659" s="2"/>
      <c r="I659" s="2"/>
      <c r="J659" s="2"/>
      <c r="K659" s="2"/>
      <c r="L659" s="2"/>
      <c r="M659" s="2"/>
      <c r="N659" s="2"/>
      <c r="O659" s="2"/>
      <c r="P659" s="2"/>
      <c r="Q659" s="2"/>
      <c r="R659" s="2"/>
    </row>
    <row r="660">
      <c r="A660" s="2"/>
      <c r="B660" s="2"/>
      <c r="C660" s="2"/>
      <c r="D660" s="2"/>
      <c r="E660" s="2"/>
      <c r="F660" s="2"/>
      <c r="G660" s="2"/>
      <c r="H660" s="2"/>
      <c r="I660" s="2"/>
      <c r="J660" s="2"/>
      <c r="K660" s="2"/>
      <c r="L660" s="2"/>
      <c r="M660" s="2"/>
      <c r="N660" s="2"/>
      <c r="O660" s="2"/>
      <c r="P660" s="2"/>
      <c r="Q660" s="2"/>
      <c r="R660" s="2"/>
    </row>
    <row r="661">
      <c r="A661" s="2"/>
      <c r="B661" s="2"/>
      <c r="C661" s="2"/>
      <c r="D661" s="2"/>
      <c r="E661" s="2"/>
      <c r="F661" s="2"/>
      <c r="G661" s="2"/>
      <c r="H661" s="2"/>
      <c r="I661" s="2"/>
      <c r="J661" s="2"/>
      <c r="K661" s="2"/>
      <c r="L661" s="2"/>
      <c r="M661" s="2"/>
      <c r="N661" s="2"/>
      <c r="O661" s="2"/>
      <c r="P661" s="2"/>
      <c r="Q661" s="2"/>
      <c r="R661" s="2"/>
    </row>
    <row r="662">
      <c r="A662" s="2"/>
      <c r="B662" s="2"/>
      <c r="C662" s="2"/>
      <c r="D662" s="2"/>
      <c r="E662" s="2"/>
      <c r="F662" s="2"/>
      <c r="G662" s="2"/>
      <c r="H662" s="2"/>
      <c r="I662" s="2"/>
      <c r="J662" s="2"/>
      <c r="K662" s="2"/>
      <c r="L662" s="2"/>
      <c r="M662" s="2"/>
      <c r="N662" s="2"/>
      <c r="O662" s="2"/>
      <c r="P662" s="2"/>
      <c r="Q662" s="2"/>
      <c r="R662" s="2"/>
    </row>
    <row r="663">
      <c r="A663" s="2"/>
      <c r="B663" s="2"/>
      <c r="C663" s="2"/>
      <c r="D663" s="2"/>
      <c r="E663" s="2"/>
      <c r="F663" s="2"/>
      <c r="G663" s="2"/>
      <c r="H663" s="2"/>
      <c r="I663" s="2"/>
      <c r="J663" s="2"/>
      <c r="K663" s="2"/>
      <c r="L663" s="2"/>
      <c r="M663" s="2"/>
      <c r="N663" s="2"/>
      <c r="O663" s="2"/>
      <c r="P663" s="2"/>
      <c r="Q663" s="2"/>
      <c r="R663" s="2"/>
    </row>
    <row r="664">
      <c r="A664" s="2"/>
      <c r="B664" s="2"/>
      <c r="C664" s="2"/>
      <c r="D664" s="2"/>
      <c r="E664" s="2"/>
      <c r="F664" s="2"/>
      <c r="G664" s="2"/>
      <c r="H664" s="2"/>
      <c r="I664" s="2"/>
      <c r="J664" s="2"/>
      <c r="K664" s="2"/>
      <c r="L664" s="2"/>
      <c r="M664" s="2"/>
      <c r="N664" s="2"/>
      <c r="O664" s="2"/>
      <c r="P664" s="2"/>
      <c r="Q664" s="2"/>
      <c r="R664" s="2"/>
    </row>
    <row r="665">
      <c r="A665" s="2"/>
      <c r="B665" s="2"/>
      <c r="C665" s="2"/>
      <c r="D665" s="2"/>
      <c r="E665" s="2"/>
      <c r="F665" s="2"/>
      <c r="G665" s="2"/>
      <c r="H665" s="2"/>
      <c r="I665" s="2"/>
      <c r="J665" s="2"/>
      <c r="K665" s="2"/>
      <c r="L665" s="2"/>
      <c r="M665" s="2"/>
      <c r="N665" s="2"/>
      <c r="O665" s="2"/>
      <c r="P665" s="2"/>
      <c r="Q665" s="2"/>
      <c r="R665" s="2"/>
    </row>
    <row r="666">
      <c r="A666" s="2"/>
      <c r="B666" s="2"/>
      <c r="C666" s="2"/>
      <c r="D666" s="2"/>
      <c r="E666" s="2"/>
      <c r="F666" s="2"/>
      <c r="G666" s="2"/>
      <c r="H666" s="2"/>
      <c r="I666" s="2"/>
      <c r="J666" s="2"/>
      <c r="K666" s="2"/>
      <c r="L666" s="2"/>
      <c r="M666" s="2"/>
      <c r="N666" s="2"/>
      <c r="O666" s="2"/>
      <c r="P666" s="2"/>
      <c r="Q666" s="2"/>
      <c r="R666" s="2"/>
    </row>
    <row r="667">
      <c r="A667" s="2"/>
      <c r="B667" s="2"/>
      <c r="C667" s="2"/>
      <c r="D667" s="2"/>
      <c r="E667" s="2"/>
      <c r="F667" s="2"/>
      <c r="G667" s="2"/>
      <c r="H667" s="2"/>
      <c r="I667" s="2"/>
      <c r="J667" s="2"/>
      <c r="K667" s="2"/>
      <c r="L667" s="2"/>
      <c r="M667" s="2"/>
      <c r="N667" s="2"/>
      <c r="O667" s="2"/>
      <c r="P667" s="2"/>
      <c r="Q667" s="2"/>
      <c r="R667" s="2"/>
    </row>
    <row r="668">
      <c r="A668" s="2"/>
      <c r="B668" s="2"/>
      <c r="C668" s="2"/>
      <c r="D668" s="2"/>
      <c r="E668" s="2"/>
      <c r="F668" s="2"/>
      <c r="G668" s="2"/>
      <c r="H668" s="2"/>
      <c r="I668" s="2"/>
      <c r="J668" s="2"/>
      <c r="K668" s="2"/>
      <c r="L668" s="2"/>
      <c r="M668" s="2"/>
      <c r="N668" s="2"/>
      <c r="O668" s="2"/>
      <c r="P668" s="2"/>
      <c r="Q668" s="2"/>
      <c r="R668" s="2"/>
    </row>
    <row r="669">
      <c r="A669" s="2"/>
      <c r="B669" s="2"/>
      <c r="C669" s="2"/>
      <c r="D669" s="2"/>
      <c r="E669" s="2"/>
      <c r="F669" s="2"/>
      <c r="G669" s="2"/>
      <c r="H669" s="2"/>
      <c r="I669" s="2"/>
      <c r="J669" s="2"/>
      <c r="K669" s="2"/>
      <c r="L669" s="2"/>
      <c r="M669" s="2"/>
      <c r="N669" s="2"/>
      <c r="O669" s="2"/>
      <c r="P669" s="2"/>
      <c r="Q669" s="2"/>
      <c r="R669" s="2"/>
    </row>
    <row r="670">
      <c r="A670" s="2"/>
      <c r="B670" s="2"/>
      <c r="C670" s="2"/>
      <c r="D670" s="2"/>
      <c r="E670" s="2"/>
      <c r="F670" s="2"/>
      <c r="G670" s="2"/>
      <c r="H670" s="2"/>
      <c r="I670" s="2"/>
      <c r="J670" s="2"/>
      <c r="K670" s="2"/>
      <c r="L670" s="2"/>
      <c r="M670" s="2"/>
      <c r="N670" s="2"/>
      <c r="O670" s="2"/>
      <c r="P670" s="2"/>
      <c r="Q670" s="2"/>
      <c r="R670" s="2"/>
    </row>
    <row r="671">
      <c r="A671" s="2"/>
      <c r="B671" s="2"/>
      <c r="C671" s="2"/>
      <c r="D671" s="2"/>
      <c r="E671" s="2"/>
      <c r="F671" s="2"/>
      <c r="G671" s="2"/>
      <c r="H671" s="2"/>
      <c r="I671" s="2"/>
      <c r="J671" s="2"/>
      <c r="K671" s="2"/>
      <c r="L671" s="2"/>
      <c r="M671" s="2"/>
      <c r="N671" s="2"/>
      <c r="O671" s="2"/>
      <c r="P671" s="2"/>
      <c r="Q671" s="2"/>
      <c r="R671" s="2"/>
    </row>
    <row r="672">
      <c r="A672" s="2"/>
      <c r="B672" s="2"/>
      <c r="C672" s="2"/>
      <c r="D672" s="2"/>
      <c r="E672" s="2"/>
      <c r="F672" s="2"/>
      <c r="G672" s="2"/>
      <c r="H672" s="2"/>
      <c r="I672" s="2"/>
      <c r="J672" s="2"/>
      <c r="K672" s="2"/>
      <c r="L672" s="2"/>
      <c r="M672" s="2"/>
      <c r="N672" s="2"/>
      <c r="O672" s="2"/>
      <c r="P672" s="2"/>
      <c r="Q672" s="2"/>
      <c r="R672" s="2"/>
    </row>
    <row r="673">
      <c r="A673" s="2"/>
      <c r="B673" s="2"/>
      <c r="C673" s="2"/>
      <c r="D673" s="2"/>
      <c r="E673" s="2"/>
      <c r="F673" s="2"/>
      <c r="G673" s="2"/>
      <c r="H673" s="2"/>
      <c r="I673" s="2"/>
      <c r="J673" s="2"/>
      <c r="K673" s="2"/>
      <c r="L673" s="2"/>
      <c r="M673" s="2"/>
      <c r="N673" s="2"/>
      <c r="O673" s="2"/>
      <c r="P673" s="2"/>
      <c r="Q673" s="2"/>
      <c r="R673" s="2"/>
    </row>
    <row r="674">
      <c r="A674" s="2"/>
      <c r="B674" s="2"/>
      <c r="C674" s="2"/>
      <c r="D674" s="2"/>
      <c r="E674" s="2"/>
      <c r="F674" s="2"/>
      <c r="G674" s="2"/>
      <c r="H674" s="2"/>
      <c r="I674" s="2"/>
      <c r="J674" s="2"/>
      <c r="K674" s="2"/>
      <c r="L674" s="2"/>
      <c r="M674" s="2"/>
      <c r="N674" s="2"/>
      <c r="O674" s="2"/>
      <c r="P674" s="2"/>
      <c r="Q674" s="2"/>
      <c r="R674" s="2"/>
    </row>
    <row r="675">
      <c r="A675" s="2"/>
      <c r="B675" s="2"/>
      <c r="C675" s="2"/>
      <c r="D675" s="2"/>
      <c r="E675" s="2"/>
      <c r="F675" s="2"/>
      <c r="G675" s="2"/>
      <c r="H675" s="2"/>
      <c r="I675" s="2"/>
      <c r="J675" s="2"/>
      <c r="K675" s="2"/>
      <c r="L675" s="2"/>
      <c r="M675" s="2"/>
      <c r="N675" s="2"/>
      <c r="O675" s="2"/>
      <c r="P675" s="2"/>
      <c r="Q675" s="2"/>
      <c r="R675" s="2"/>
    </row>
    <row r="676">
      <c r="A676" s="2"/>
      <c r="B676" s="2"/>
      <c r="C676" s="2"/>
      <c r="D676" s="2"/>
      <c r="E676" s="2"/>
      <c r="F676" s="2"/>
      <c r="G676" s="2"/>
      <c r="H676" s="2"/>
      <c r="I676" s="2"/>
      <c r="J676" s="2"/>
      <c r="K676" s="2"/>
      <c r="L676" s="2"/>
      <c r="M676" s="2"/>
      <c r="N676" s="2"/>
      <c r="O676" s="2"/>
      <c r="P676" s="2"/>
      <c r="Q676" s="2"/>
      <c r="R676" s="2"/>
    </row>
    <row r="677">
      <c r="A677" s="2"/>
      <c r="B677" s="2"/>
      <c r="C677" s="2"/>
      <c r="D677" s="2"/>
      <c r="E677" s="2"/>
      <c r="F677" s="2"/>
      <c r="G677" s="2"/>
      <c r="H677" s="2"/>
      <c r="I677" s="2"/>
      <c r="J677" s="2"/>
      <c r="K677" s="2"/>
      <c r="L677" s="2"/>
      <c r="M677" s="2"/>
      <c r="N677" s="2"/>
      <c r="O677" s="2"/>
      <c r="P677" s="2"/>
      <c r="Q677" s="2"/>
      <c r="R677" s="2"/>
    </row>
    <row r="678">
      <c r="A678" s="2"/>
      <c r="B678" s="2"/>
      <c r="C678" s="2"/>
      <c r="D678" s="2"/>
      <c r="E678" s="2"/>
      <c r="F678" s="2"/>
      <c r="G678" s="2"/>
      <c r="H678" s="2"/>
      <c r="I678" s="2"/>
      <c r="J678" s="2"/>
      <c r="K678" s="2"/>
      <c r="L678" s="2"/>
      <c r="M678" s="2"/>
      <c r="N678" s="2"/>
      <c r="O678" s="2"/>
      <c r="P678" s="2"/>
      <c r="Q678" s="2"/>
      <c r="R678" s="2"/>
    </row>
    <row r="679">
      <c r="A679" s="2"/>
      <c r="B679" s="2"/>
      <c r="C679" s="2"/>
      <c r="D679" s="2"/>
      <c r="E679" s="2"/>
      <c r="F679" s="2"/>
      <c r="G679" s="2"/>
      <c r="H679" s="2"/>
      <c r="I679" s="2"/>
      <c r="J679" s="2"/>
      <c r="K679" s="2"/>
      <c r="L679" s="2"/>
      <c r="M679" s="2"/>
      <c r="N679" s="2"/>
      <c r="O679" s="2"/>
      <c r="P679" s="2"/>
      <c r="Q679" s="2"/>
      <c r="R679" s="2"/>
    </row>
    <row r="680">
      <c r="A680" s="2"/>
      <c r="B680" s="2"/>
      <c r="C680" s="2"/>
      <c r="D680" s="2"/>
      <c r="E680" s="2"/>
      <c r="F680" s="2"/>
      <c r="G680" s="2"/>
      <c r="H680" s="2"/>
      <c r="I680" s="2"/>
      <c r="J680" s="2"/>
      <c r="K680" s="2"/>
      <c r="L680" s="2"/>
      <c r="M680" s="2"/>
      <c r="N680" s="2"/>
      <c r="O680" s="2"/>
      <c r="P680" s="2"/>
      <c r="Q680" s="2"/>
      <c r="R680" s="2"/>
    </row>
    <row r="681">
      <c r="A681" s="2"/>
      <c r="B681" s="2"/>
      <c r="C681" s="2"/>
      <c r="D681" s="2"/>
      <c r="E681" s="2"/>
      <c r="F681" s="2"/>
      <c r="G681" s="2"/>
      <c r="H681" s="2"/>
      <c r="I681" s="2"/>
      <c r="J681" s="2"/>
      <c r="K681" s="2"/>
      <c r="L681" s="2"/>
      <c r="M681" s="2"/>
      <c r="N681" s="2"/>
      <c r="O681" s="2"/>
      <c r="P681" s="2"/>
      <c r="Q681" s="2"/>
      <c r="R681" s="2"/>
    </row>
    <row r="682">
      <c r="A682" s="2"/>
      <c r="B682" s="2"/>
      <c r="C682" s="2"/>
      <c r="D682" s="2"/>
      <c r="E682" s="2"/>
      <c r="F682" s="2"/>
      <c r="G682" s="2"/>
      <c r="H682" s="2"/>
      <c r="I682" s="2"/>
      <c r="J682" s="2"/>
      <c r="K682" s="2"/>
      <c r="L682" s="2"/>
      <c r="M682" s="2"/>
      <c r="N682" s="2"/>
      <c r="O682" s="2"/>
      <c r="P682" s="2"/>
      <c r="Q682" s="2"/>
      <c r="R682" s="2"/>
    </row>
    <row r="683">
      <c r="A683" s="2"/>
      <c r="B683" s="2"/>
      <c r="C683" s="2"/>
      <c r="D683" s="2"/>
      <c r="E683" s="2"/>
      <c r="F683" s="2"/>
      <c r="G683" s="2"/>
      <c r="H683" s="2"/>
      <c r="I683" s="2"/>
      <c r="J683" s="2"/>
      <c r="K683" s="2"/>
      <c r="L683" s="2"/>
      <c r="M683" s="2"/>
      <c r="N683" s="2"/>
      <c r="O683" s="2"/>
      <c r="P683" s="2"/>
      <c r="Q683" s="2"/>
      <c r="R683" s="2"/>
    </row>
    <row r="684">
      <c r="A684" s="2"/>
      <c r="B684" s="2"/>
      <c r="C684" s="2"/>
      <c r="D684" s="2"/>
      <c r="E684" s="2"/>
      <c r="F684" s="2"/>
      <c r="G684" s="2"/>
      <c r="H684" s="2"/>
      <c r="I684" s="2"/>
      <c r="J684" s="2"/>
      <c r="K684" s="2"/>
      <c r="L684" s="2"/>
      <c r="M684" s="2"/>
      <c r="N684" s="2"/>
      <c r="O684" s="2"/>
      <c r="P684" s="2"/>
      <c r="Q684" s="2"/>
      <c r="R684" s="2"/>
    </row>
    <row r="685">
      <c r="A685" s="2"/>
      <c r="B685" s="2"/>
      <c r="C685" s="2"/>
      <c r="D685" s="2"/>
      <c r="E685" s="2"/>
      <c r="F685" s="2"/>
      <c r="G685" s="2"/>
      <c r="H685" s="2"/>
      <c r="I685" s="2"/>
      <c r="J685" s="2"/>
      <c r="K685" s="2"/>
      <c r="L685" s="2"/>
      <c r="M685" s="2"/>
      <c r="N685" s="2"/>
      <c r="O685" s="2"/>
      <c r="P685" s="2"/>
      <c r="Q685" s="2"/>
      <c r="R685" s="2"/>
    </row>
    <row r="686">
      <c r="A686" s="2"/>
      <c r="B686" s="2"/>
      <c r="C686" s="2"/>
      <c r="D686" s="2"/>
      <c r="E686" s="2"/>
      <c r="F686" s="2"/>
      <c r="G686" s="2"/>
      <c r="H686" s="2"/>
      <c r="I686" s="2"/>
      <c r="J686" s="2"/>
      <c r="K686" s="2"/>
      <c r="L686" s="2"/>
      <c r="M686" s="2"/>
      <c r="N686" s="2"/>
      <c r="O686" s="2"/>
      <c r="P686" s="2"/>
      <c r="Q686" s="2"/>
      <c r="R686" s="2"/>
    </row>
    <row r="687">
      <c r="A687" s="2"/>
      <c r="B687" s="2"/>
      <c r="C687" s="2"/>
      <c r="D687" s="2"/>
      <c r="E687" s="2"/>
      <c r="F687" s="2"/>
      <c r="G687" s="2"/>
      <c r="H687" s="2"/>
      <c r="I687" s="2"/>
      <c r="J687" s="2"/>
      <c r="K687" s="2"/>
      <c r="L687" s="2"/>
      <c r="M687" s="2"/>
      <c r="N687" s="2"/>
      <c r="O687" s="2"/>
      <c r="P687" s="2"/>
      <c r="Q687" s="2"/>
      <c r="R687" s="2"/>
    </row>
    <row r="688">
      <c r="A688" s="2"/>
      <c r="B688" s="2"/>
      <c r="C688" s="2"/>
      <c r="D688" s="2"/>
      <c r="E688" s="2"/>
      <c r="F688" s="2"/>
      <c r="G688" s="2"/>
      <c r="H688" s="2"/>
      <c r="I688" s="2"/>
      <c r="J688" s="2"/>
      <c r="K688" s="2"/>
      <c r="L688" s="2"/>
      <c r="M688" s="2"/>
      <c r="N688" s="2"/>
      <c r="O688" s="2"/>
      <c r="P688" s="2"/>
      <c r="Q688" s="2"/>
      <c r="R688" s="2"/>
    </row>
    <row r="689">
      <c r="A689" s="2"/>
      <c r="B689" s="2"/>
      <c r="C689" s="2"/>
      <c r="D689" s="2"/>
      <c r="E689" s="2"/>
      <c r="F689" s="2"/>
      <c r="G689" s="2"/>
      <c r="H689" s="2"/>
      <c r="I689" s="2"/>
      <c r="J689" s="2"/>
      <c r="K689" s="2"/>
      <c r="L689" s="2"/>
      <c r="M689" s="2"/>
      <c r="N689" s="2"/>
      <c r="O689" s="2"/>
      <c r="P689" s="2"/>
      <c r="Q689" s="2"/>
      <c r="R689" s="2"/>
    </row>
    <row r="690">
      <c r="A690" s="2"/>
      <c r="B690" s="2"/>
      <c r="C690" s="2"/>
      <c r="D690" s="2"/>
      <c r="E690" s="2"/>
      <c r="F690" s="2"/>
      <c r="G690" s="2"/>
      <c r="H690" s="2"/>
      <c r="I690" s="2"/>
      <c r="J690" s="2"/>
      <c r="K690" s="2"/>
      <c r="L690" s="2"/>
      <c r="M690" s="2"/>
      <c r="N690" s="2"/>
      <c r="O690" s="2"/>
      <c r="P690" s="2"/>
      <c r="Q690" s="2"/>
      <c r="R690" s="2"/>
    </row>
    <row r="691">
      <c r="A691" s="2"/>
      <c r="B691" s="2"/>
      <c r="C691" s="2"/>
      <c r="D691" s="2"/>
      <c r="E691" s="2"/>
      <c r="F691" s="2"/>
      <c r="G691" s="2"/>
      <c r="H691" s="2"/>
      <c r="I691" s="2"/>
      <c r="J691" s="2"/>
      <c r="K691" s="2"/>
      <c r="L691" s="2"/>
      <c r="M691" s="2"/>
      <c r="N691" s="2"/>
      <c r="O691" s="2"/>
      <c r="P691" s="2"/>
      <c r="Q691" s="2"/>
      <c r="R691" s="2"/>
    </row>
    <row r="692">
      <c r="A692" s="2"/>
      <c r="B692" s="2"/>
      <c r="C692" s="2"/>
      <c r="D692" s="2"/>
      <c r="E692" s="2"/>
      <c r="F692" s="2"/>
      <c r="G692" s="2"/>
      <c r="H692" s="2"/>
      <c r="I692" s="2"/>
      <c r="J692" s="2"/>
      <c r="K692" s="2"/>
      <c r="L692" s="2"/>
      <c r="M692" s="2"/>
      <c r="N692" s="2"/>
      <c r="O692" s="2"/>
      <c r="P692" s="2"/>
      <c r="Q692" s="2"/>
      <c r="R692" s="2"/>
    </row>
    <row r="693">
      <c r="A693" s="2"/>
      <c r="B693" s="2"/>
      <c r="C693" s="2"/>
      <c r="D693" s="2"/>
      <c r="E693" s="2"/>
      <c r="F693" s="2"/>
      <c r="G693" s="2"/>
      <c r="H693" s="2"/>
      <c r="I693" s="2"/>
      <c r="J693" s="2"/>
      <c r="K693" s="2"/>
      <c r="L693" s="2"/>
      <c r="M693" s="2"/>
      <c r="N693" s="2"/>
      <c r="O693" s="2"/>
      <c r="P693" s="2"/>
      <c r="Q693" s="2"/>
      <c r="R693" s="2"/>
    </row>
    <row r="694">
      <c r="A694" s="2"/>
      <c r="B694" s="2"/>
      <c r="C694" s="2"/>
      <c r="D694" s="2"/>
      <c r="E694" s="2"/>
      <c r="F694" s="2"/>
      <c r="G694" s="2"/>
      <c r="H694" s="2"/>
      <c r="I694" s="2"/>
      <c r="J694" s="2"/>
      <c r="K694" s="2"/>
      <c r="L694" s="2"/>
      <c r="M694" s="2"/>
      <c r="N694" s="2"/>
      <c r="O694" s="2"/>
      <c r="P694" s="2"/>
      <c r="Q694" s="2"/>
      <c r="R694" s="2"/>
    </row>
    <row r="695">
      <c r="A695" s="2"/>
      <c r="B695" s="2"/>
      <c r="C695" s="2"/>
      <c r="D695" s="2"/>
      <c r="E695" s="2"/>
      <c r="F695" s="2"/>
      <c r="G695" s="2"/>
      <c r="H695" s="2"/>
      <c r="I695" s="2"/>
      <c r="J695" s="2"/>
      <c r="K695" s="2"/>
      <c r="L695" s="2"/>
      <c r="M695" s="2"/>
      <c r="N695" s="2"/>
      <c r="O695" s="2"/>
      <c r="P695" s="2"/>
      <c r="Q695" s="2"/>
      <c r="R695" s="2"/>
    </row>
    <row r="696">
      <c r="A696" s="2"/>
      <c r="B696" s="2"/>
      <c r="C696" s="2"/>
      <c r="D696" s="2"/>
      <c r="E696" s="2"/>
      <c r="F696" s="2"/>
      <c r="G696" s="2"/>
      <c r="H696" s="2"/>
      <c r="I696" s="2"/>
      <c r="J696" s="2"/>
      <c r="K696" s="2"/>
      <c r="L696" s="2"/>
      <c r="M696" s="2"/>
      <c r="N696" s="2"/>
      <c r="O696" s="2"/>
      <c r="P696" s="2"/>
      <c r="Q696" s="2"/>
      <c r="R696" s="2"/>
    </row>
    <row r="697">
      <c r="A697" s="2"/>
      <c r="B697" s="2"/>
      <c r="C697" s="2"/>
      <c r="D697" s="2"/>
      <c r="E697" s="2"/>
      <c r="F697" s="2"/>
      <c r="G697" s="2"/>
      <c r="H697" s="2"/>
      <c r="I697" s="2"/>
      <c r="J697" s="2"/>
      <c r="K697" s="2"/>
      <c r="L697" s="2"/>
      <c r="M697" s="2"/>
      <c r="N697" s="2"/>
      <c r="O697" s="2"/>
      <c r="P697" s="2"/>
      <c r="Q697" s="2"/>
      <c r="R697" s="2"/>
    </row>
    <row r="698">
      <c r="A698" s="2"/>
      <c r="B698" s="2"/>
      <c r="C698" s="2"/>
      <c r="D698" s="2"/>
      <c r="E698" s="2"/>
      <c r="F698" s="2"/>
      <c r="G698" s="2"/>
      <c r="H698" s="2"/>
      <c r="I698" s="2"/>
      <c r="J698" s="2"/>
      <c r="K698" s="2"/>
      <c r="L698" s="2"/>
      <c r="M698" s="2"/>
      <c r="N698" s="2"/>
      <c r="O698" s="2"/>
      <c r="P698" s="2"/>
      <c r="Q698" s="2"/>
      <c r="R698" s="2"/>
    </row>
    <row r="699">
      <c r="A699" s="2"/>
      <c r="B699" s="2"/>
      <c r="C699" s="2"/>
      <c r="D699" s="2"/>
      <c r="E699" s="2"/>
      <c r="F699" s="2"/>
      <c r="G699" s="2"/>
      <c r="H699" s="2"/>
      <c r="I699" s="2"/>
      <c r="J699" s="2"/>
      <c r="K699" s="2"/>
      <c r="L699" s="2"/>
      <c r="M699" s="2"/>
      <c r="N699" s="2"/>
      <c r="O699" s="2"/>
      <c r="P699" s="2"/>
      <c r="Q699" s="2"/>
      <c r="R699" s="2"/>
    </row>
    <row r="700">
      <c r="A700" s="2"/>
      <c r="B700" s="2"/>
      <c r="C700" s="2"/>
      <c r="D700" s="2"/>
      <c r="E700" s="2"/>
      <c r="F700" s="2"/>
      <c r="G700" s="2"/>
      <c r="H700" s="2"/>
      <c r="I700" s="2"/>
      <c r="J700" s="2"/>
      <c r="K700" s="2"/>
      <c r="L700" s="2"/>
      <c r="M700" s="2"/>
      <c r="N700" s="2"/>
      <c r="O700" s="2"/>
      <c r="P700" s="2"/>
      <c r="Q700" s="2"/>
      <c r="R700" s="2"/>
    </row>
    <row r="701">
      <c r="A701" s="2"/>
      <c r="B701" s="2"/>
      <c r="C701" s="2"/>
      <c r="D701" s="2"/>
      <c r="E701" s="2"/>
      <c r="F701" s="2"/>
      <c r="G701" s="2"/>
      <c r="H701" s="2"/>
      <c r="I701" s="2"/>
      <c r="J701" s="2"/>
      <c r="K701" s="2"/>
      <c r="L701" s="2"/>
      <c r="M701" s="2"/>
      <c r="N701" s="2"/>
      <c r="O701" s="2"/>
      <c r="P701" s="2"/>
      <c r="Q701" s="2"/>
      <c r="R701" s="2"/>
    </row>
    <row r="702">
      <c r="A702" s="2"/>
      <c r="B702" s="2"/>
      <c r="C702" s="2"/>
      <c r="D702" s="2"/>
      <c r="E702" s="2"/>
      <c r="F702" s="2"/>
      <c r="G702" s="2"/>
      <c r="H702" s="2"/>
      <c r="I702" s="2"/>
      <c r="J702" s="2"/>
      <c r="K702" s="2"/>
      <c r="L702" s="2"/>
      <c r="M702" s="2"/>
      <c r="N702" s="2"/>
      <c r="O702" s="2"/>
      <c r="P702" s="2"/>
      <c r="Q702" s="2"/>
      <c r="R702" s="2"/>
    </row>
    <row r="703">
      <c r="A703" s="2"/>
      <c r="B703" s="2"/>
      <c r="C703" s="2"/>
      <c r="D703" s="2"/>
      <c r="E703" s="2"/>
      <c r="F703" s="2"/>
      <c r="G703" s="2"/>
      <c r="H703" s="2"/>
      <c r="I703" s="2"/>
      <c r="J703" s="2"/>
      <c r="K703" s="2"/>
      <c r="L703" s="2"/>
      <c r="M703" s="2"/>
      <c r="N703" s="2"/>
      <c r="O703" s="2"/>
      <c r="P703" s="2"/>
      <c r="Q703" s="2"/>
      <c r="R703" s="2"/>
    </row>
    <row r="704">
      <c r="A704" s="2"/>
      <c r="B704" s="2"/>
      <c r="C704" s="2"/>
      <c r="D704" s="2"/>
      <c r="E704" s="2"/>
      <c r="F704" s="2"/>
      <c r="G704" s="2"/>
      <c r="H704" s="2"/>
      <c r="I704" s="2"/>
      <c r="J704" s="2"/>
      <c r="K704" s="2"/>
      <c r="L704" s="2"/>
      <c r="M704" s="2"/>
      <c r="N704" s="2"/>
      <c r="O704" s="2"/>
      <c r="P704" s="2"/>
      <c r="Q704" s="2"/>
      <c r="R704" s="2"/>
    </row>
    <row r="705">
      <c r="A705" s="2"/>
      <c r="B705" s="2"/>
      <c r="C705" s="2"/>
      <c r="D705" s="2"/>
      <c r="E705" s="2"/>
      <c r="F705" s="2"/>
      <c r="G705" s="2"/>
      <c r="H705" s="2"/>
      <c r="I705" s="2"/>
      <c r="J705" s="2"/>
      <c r="K705" s="2"/>
      <c r="L705" s="2"/>
      <c r="M705" s="2"/>
      <c r="N705" s="2"/>
      <c r="O705" s="2"/>
      <c r="P705" s="2"/>
      <c r="Q705" s="2"/>
      <c r="R705" s="2"/>
    </row>
    <row r="706">
      <c r="A706" s="2"/>
      <c r="B706" s="2"/>
      <c r="C706" s="2"/>
      <c r="D706" s="2"/>
      <c r="E706" s="2"/>
      <c r="F706" s="2"/>
      <c r="G706" s="2"/>
      <c r="H706" s="2"/>
      <c r="I706" s="2"/>
      <c r="J706" s="2"/>
      <c r="K706" s="2"/>
      <c r="L706" s="2"/>
      <c r="M706" s="2"/>
      <c r="N706" s="2"/>
      <c r="O706" s="2"/>
      <c r="P706" s="2"/>
      <c r="Q706" s="2"/>
      <c r="R706" s="2"/>
    </row>
    <row r="707">
      <c r="A707" s="2"/>
      <c r="B707" s="2"/>
      <c r="C707" s="2"/>
      <c r="D707" s="2"/>
      <c r="E707" s="2"/>
      <c r="F707" s="2"/>
      <c r="G707" s="2"/>
      <c r="H707" s="2"/>
      <c r="I707" s="2"/>
      <c r="J707" s="2"/>
      <c r="K707" s="2"/>
      <c r="L707" s="2"/>
      <c r="M707" s="2"/>
      <c r="N707" s="2"/>
      <c r="O707" s="2"/>
      <c r="P707" s="2"/>
      <c r="Q707" s="2"/>
      <c r="R707" s="2"/>
    </row>
    <row r="708">
      <c r="A708" s="2"/>
      <c r="B708" s="2"/>
      <c r="C708" s="2"/>
      <c r="D708" s="2"/>
      <c r="E708" s="2"/>
      <c r="F708" s="2"/>
      <c r="G708" s="2"/>
      <c r="H708" s="2"/>
      <c r="I708" s="2"/>
      <c r="J708" s="2"/>
      <c r="K708" s="2"/>
      <c r="L708" s="2"/>
      <c r="M708" s="2"/>
      <c r="N708" s="2"/>
      <c r="O708" s="2"/>
      <c r="P708" s="2"/>
      <c r="Q708" s="2"/>
      <c r="R708" s="2"/>
    </row>
    <row r="709">
      <c r="A709" s="2"/>
      <c r="B709" s="2"/>
      <c r="C709" s="2"/>
      <c r="D709" s="2"/>
      <c r="E709" s="2"/>
      <c r="F709" s="2"/>
      <c r="G709" s="2"/>
      <c r="H709" s="2"/>
      <c r="I709" s="2"/>
      <c r="J709" s="2"/>
      <c r="K709" s="2"/>
      <c r="L709" s="2"/>
      <c r="M709" s="2"/>
      <c r="N709" s="2"/>
      <c r="O709" s="2"/>
      <c r="P709" s="2"/>
      <c r="Q709" s="2"/>
      <c r="R709" s="2"/>
    </row>
    <row r="710">
      <c r="A710" s="2"/>
      <c r="B710" s="2"/>
      <c r="C710" s="2"/>
      <c r="D710" s="2"/>
      <c r="E710" s="2"/>
      <c r="F710" s="2"/>
      <c r="G710" s="2"/>
      <c r="H710" s="2"/>
      <c r="I710" s="2"/>
      <c r="J710" s="2"/>
      <c r="K710" s="2"/>
      <c r="L710" s="2"/>
      <c r="M710" s="2"/>
      <c r="N710" s="2"/>
      <c r="O710" s="2"/>
      <c r="P710" s="2"/>
      <c r="Q710" s="2"/>
      <c r="R710" s="2"/>
    </row>
    <row r="711">
      <c r="A711" s="2"/>
      <c r="B711" s="2"/>
      <c r="C711" s="2"/>
      <c r="D711" s="2"/>
      <c r="E711" s="2"/>
      <c r="F711" s="2"/>
      <c r="G711" s="2"/>
      <c r="H711" s="2"/>
      <c r="I711" s="2"/>
      <c r="J711" s="2"/>
      <c r="K711" s="2"/>
      <c r="L711" s="2"/>
      <c r="M711" s="2"/>
      <c r="N711" s="2"/>
      <c r="O711" s="2"/>
      <c r="P711" s="2"/>
      <c r="Q711" s="2"/>
      <c r="R711" s="2"/>
    </row>
    <row r="712">
      <c r="A712" s="2"/>
      <c r="B712" s="2"/>
      <c r="C712" s="2"/>
      <c r="D712" s="2"/>
      <c r="E712" s="2"/>
      <c r="F712" s="2"/>
      <c r="G712" s="2"/>
      <c r="H712" s="2"/>
      <c r="I712" s="2"/>
      <c r="J712" s="2"/>
      <c r="K712" s="2"/>
      <c r="L712" s="2"/>
      <c r="M712" s="2"/>
      <c r="N712" s="2"/>
      <c r="O712" s="2"/>
      <c r="P712" s="2"/>
      <c r="Q712" s="2"/>
      <c r="R712" s="2"/>
    </row>
    <row r="713">
      <c r="A713" s="2"/>
      <c r="B713" s="2"/>
      <c r="C713" s="2"/>
      <c r="D713" s="2"/>
      <c r="E713" s="2"/>
      <c r="F713" s="2"/>
      <c r="G713" s="2"/>
      <c r="H713" s="2"/>
      <c r="I713" s="2"/>
      <c r="J713" s="2"/>
      <c r="K713" s="2"/>
      <c r="L713" s="2"/>
      <c r="M713" s="2"/>
      <c r="N713" s="2"/>
      <c r="O713" s="2"/>
      <c r="P713" s="2"/>
      <c r="Q713" s="2"/>
      <c r="R713" s="2"/>
    </row>
    <row r="714">
      <c r="A714" s="2"/>
      <c r="B714" s="2"/>
      <c r="C714" s="2"/>
      <c r="D714" s="2"/>
      <c r="E714" s="2"/>
      <c r="F714" s="2"/>
      <c r="G714" s="2"/>
      <c r="H714" s="2"/>
      <c r="I714" s="2"/>
      <c r="J714" s="2"/>
      <c r="K714" s="2"/>
      <c r="L714" s="2"/>
      <c r="M714" s="2"/>
      <c r="N714" s="2"/>
      <c r="O714" s="2"/>
      <c r="P714" s="2"/>
      <c r="Q714" s="2"/>
      <c r="R714" s="2"/>
    </row>
    <row r="715">
      <c r="A715" s="2"/>
      <c r="B715" s="2"/>
      <c r="C715" s="2"/>
      <c r="D715" s="2"/>
      <c r="E715" s="2"/>
      <c r="F715" s="2"/>
      <c r="G715" s="2"/>
      <c r="H715" s="2"/>
      <c r="I715" s="2"/>
      <c r="J715" s="2"/>
      <c r="K715" s="2"/>
      <c r="L715" s="2"/>
      <c r="M715" s="2"/>
      <c r="N715" s="2"/>
      <c r="O715" s="2"/>
      <c r="P715" s="2"/>
      <c r="Q715" s="2"/>
      <c r="R715" s="2"/>
    </row>
    <row r="716">
      <c r="A716" s="2"/>
      <c r="B716" s="2"/>
      <c r="C716" s="2"/>
      <c r="D716" s="2"/>
      <c r="E716" s="2"/>
      <c r="F716" s="2"/>
      <c r="G716" s="2"/>
      <c r="H716" s="2"/>
      <c r="I716" s="2"/>
      <c r="J716" s="2"/>
      <c r="K716" s="2"/>
      <c r="L716" s="2"/>
      <c r="M716" s="2"/>
      <c r="N716" s="2"/>
      <c r="O716" s="2"/>
      <c r="P716" s="2"/>
      <c r="Q716" s="2"/>
      <c r="R716" s="2"/>
    </row>
    <row r="717">
      <c r="A717" s="2"/>
      <c r="B717" s="2"/>
      <c r="C717" s="2"/>
      <c r="D717" s="2"/>
      <c r="E717" s="2"/>
      <c r="F717" s="2"/>
      <c r="G717" s="2"/>
      <c r="H717" s="2"/>
      <c r="I717" s="2"/>
      <c r="J717" s="2"/>
      <c r="K717" s="2"/>
      <c r="L717" s="2"/>
      <c r="M717" s="2"/>
      <c r="N717" s="2"/>
      <c r="O717" s="2"/>
      <c r="P717" s="2"/>
      <c r="Q717" s="2"/>
      <c r="R717" s="2"/>
    </row>
    <row r="718">
      <c r="A718" s="2"/>
      <c r="B718" s="2"/>
      <c r="C718" s="2"/>
      <c r="D718" s="2"/>
      <c r="E718" s="2"/>
      <c r="F718" s="2"/>
      <c r="G718" s="2"/>
      <c r="H718" s="2"/>
      <c r="I718" s="2"/>
      <c r="J718" s="2"/>
      <c r="K718" s="2"/>
      <c r="L718" s="2"/>
      <c r="M718" s="2"/>
      <c r="N718" s="2"/>
      <c r="O718" s="2"/>
      <c r="P718" s="2"/>
      <c r="Q718" s="2"/>
      <c r="R718" s="2"/>
    </row>
    <row r="719">
      <c r="A719" s="2"/>
      <c r="B719" s="2"/>
      <c r="C719" s="2"/>
      <c r="D719" s="2"/>
      <c r="E719" s="2"/>
      <c r="F719" s="2"/>
      <c r="G719" s="2"/>
      <c r="H719" s="2"/>
      <c r="I719" s="2"/>
      <c r="J719" s="2"/>
      <c r="K719" s="2"/>
      <c r="L719" s="2"/>
      <c r="M719" s="2"/>
      <c r="N719" s="2"/>
      <c r="O719" s="2"/>
      <c r="P719" s="2"/>
      <c r="Q719" s="2"/>
      <c r="R719" s="2"/>
    </row>
    <row r="720">
      <c r="A720" s="2"/>
      <c r="B720" s="2"/>
      <c r="C720" s="2"/>
      <c r="D720" s="2"/>
      <c r="E720" s="2"/>
      <c r="F720" s="2"/>
      <c r="G720" s="2"/>
      <c r="H720" s="2"/>
      <c r="I720" s="2"/>
      <c r="J720" s="2"/>
      <c r="K720" s="2"/>
      <c r="L720" s="2"/>
      <c r="M720" s="2"/>
      <c r="N720" s="2"/>
      <c r="O720" s="2"/>
      <c r="P720" s="2"/>
      <c r="Q720" s="2"/>
      <c r="R720" s="2"/>
    </row>
    <row r="721">
      <c r="A721" s="2"/>
      <c r="B721" s="2"/>
      <c r="C721" s="2"/>
      <c r="D721" s="2"/>
      <c r="E721" s="2"/>
      <c r="F721" s="2"/>
      <c r="G721" s="2"/>
      <c r="H721" s="2"/>
      <c r="I721" s="2"/>
      <c r="J721" s="2"/>
      <c r="K721" s="2"/>
      <c r="L721" s="2"/>
      <c r="M721" s="2"/>
      <c r="N721" s="2"/>
      <c r="O721" s="2"/>
      <c r="P721" s="2"/>
      <c r="Q721" s="2"/>
      <c r="R721" s="2"/>
    </row>
    <row r="722">
      <c r="A722" s="2"/>
      <c r="B722" s="2"/>
      <c r="C722" s="2"/>
      <c r="D722" s="2"/>
      <c r="E722" s="2"/>
      <c r="F722" s="2"/>
      <c r="G722" s="2"/>
      <c r="H722" s="2"/>
      <c r="I722" s="2"/>
      <c r="J722" s="2"/>
      <c r="K722" s="2"/>
      <c r="L722" s="2"/>
      <c r="M722" s="2"/>
      <c r="N722" s="2"/>
      <c r="O722" s="2"/>
      <c r="P722" s="2"/>
      <c r="Q722" s="2"/>
      <c r="R722" s="2"/>
    </row>
    <row r="723">
      <c r="A723" s="2"/>
      <c r="B723" s="2"/>
      <c r="C723" s="2"/>
      <c r="D723" s="2"/>
      <c r="E723" s="2"/>
      <c r="F723" s="2"/>
      <c r="G723" s="2"/>
      <c r="H723" s="2"/>
      <c r="I723" s="2"/>
      <c r="J723" s="2"/>
      <c r="K723" s="2"/>
      <c r="L723" s="2"/>
      <c r="M723" s="2"/>
      <c r="N723" s="2"/>
      <c r="O723" s="2"/>
      <c r="P723" s="2"/>
      <c r="Q723" s="2"/>
      <c r="R723" s="2"/>
    </row>
    <row r="724">
      <c r="A724" s="2"/>
      <c r="B724" s="2"/>
      <c r="C724" s="2"/>
      <c r="D724" s="2"/>
      <c r="E724" s="2"/>
      <c r="F724" s="2"/>
      <c r="G724" s="2"/>
      <c r="H724" s="2"/>
      <c r="I724" s="2"/>
      <c r="J724" s="2"/>
      <c r="K724" s="2"/>
      <c r="L724" s="2"/>
      <c r="M724" s="2"/>
      <c r="N724" s="2"/>
      <c r="O724" s="2"/>
      <c r="P724" s="2"/>
      <c r="Q724" s="2"/>
      <c r="R724" s="2"/>
    </row>
    <row r="725">
      <c r="A725" s="2"/>
      <c r="B725" s="2"/>
      <c r="C725" s="2"/>
      <c r="D725" s="2"/>
      <c r="E725" s="2"/>
      <c r="F725" s="2"/>
      <c r="G725" s="2"/>
      <c r="H725" s="2"/>
      <c r="I725" s="2"/>
      <c r="J725" s="2"/>
      <c r="K725" s="2"/>
      <c r="L725" s="2"/>
      <c r="M725" s="2"/>
      <c r="N725" s="2"/>
      <c r="O725" s="2"/>
      <c r="P725" s="2"/>
      <c r="Q725" s="2"/>
      <c r="R725" s="2"/>
    </row>
    <row r="726">
      <c r="A726" s="2"/>
      <c r="B726" s="2"/>
      <c r="C726" s="2"/>
      <c r="D726" s="2"/>
      <c r="E726" s="2"/>
      <c r="F726" s="2"/>
      <c r="G726" s="2"/>
      <c r="H726" s="2"/>
      <c r="I726" s="2"/>
      <c r="J726" s="2"/>
      <c r="K726" s="2"/>
      <c r="L726" s="2"/>
      <c r="M726" s="2"/>
      <c r="N726" s="2"/>
      <c r="O726" s="2"/>
      <c r="P726" s="2"/>
      <c r="Q726" s="2"/>
      <c r="R726" s="2"/>
    </row>
    <row r="727">
      <c r="A727" s="2"/>
      <c r="B727" s="2"/>
      <c r="C727" s="2"/>
      <c r="D727" s="2"/>
      <c r="E727" s="2"/>
      <c r="F727" s="2"/>
      <c r="G727" s="2"/>
      <c r="H727" s="2"/>
      <c r="I727" s="2"/>
      <c r="J727" s="2"/>
      <c r="K727" s="2"/>
      <c r="L727" s="2"/>
      <c r="M727" s="2"/>
      <c r="N727" s="2"/>
      <c r="O727" s="2"/>
      <c r="P727" s="2"/>
      <c r="Q727" s="2"/>
      <c r="R727" s="2"/>
    </row>
    <row r="728">
      <c r="A728" s="2"/>
      <c r="B728" s="2"/>
      <c r="C728" s="2"/>
      <c r="D728" s="2"/>
      <c r="E728" s="2"/>
      <c r="F728" s="2"/>
      <c r="G728" s="2"/>
      <c r="H728" s="2"/>
      <c r="I728" s="2"/>
      <c r="J728" s="2"/>
      <c r="K728" s="2"/>
      <c r="L728" s="2"/>
      <c r="M728" s="2"/>
      <c r="N728" s="2"/>
      <c r="O728" s="2"/>
      <c r="P728" s="2"/>
      <c r="Q728" s="2"/>
      <c r="R728" s="2"/>
    </row>
    <row r="729">
      <c r="A729" s="2"/>
      <c r="B729" s="2"/>
      <c r="C729" s="2"/>
      <c r="D729" s="2"/>
      <c r="E729" s="2"/>
      <c r="F729" s="2"/>
      <c r="G729" s="2"/>
      <c r="H729" s="2"/>
      <c r="I729" s="2"/>
      <c r="J729" s="2"/>
      <c r="K729" s="2"/>
      <c r="L729" s="2"/>
      <c r="M729" s="2"/>
      <c r="N729" s="2"/>
      <c r="O729" s="2"/>
      <c r="P729" s="2"/>
      <c r="Q729" s="2"/>
      <c r="R729" s="2"/>
    </row>
    <row r="730">
      <c r="A730" s="2"/>
      <c r="B730" s="2"/>
      <c r="C730" s="2"/>
      <c r="D730" s="2"/>
      <c r="E730" s="2"/>
      <c r="F730" s="2"/>
      <c r="G730" s="2"/>
      <c r="H730" s="2"/>
      <c r="I730" s="2"/>
      <c r="J730" s="2"/>
      <c r="K730" s="2"/>
      <c r="L730" s="2"/>
      <c r="M730" s="2"/>
      <c r="N730" s="2"/>
      <c r="O730" s="2"/>
      <c r="P730" s="2"/>
      <c r="Q730" s="2"/>
      <c r="R730" s="2"/>
    </row>
    <row r="731">
      <c r="A731" s="2"/>
      <c r="B731" s="2"/>
      <c r="C731" s="2"/>
      <c r="D731" s="2"/>
      <c r="E731" s="2"/>
      <c r="F731" s="2"/>
      <c r="G731" s="2"/>
      <c r="H731" s="2"/>
      <c r="I731" s="2"/>
      <c r="J731" s="2"/>
      <c r="K731" s="2"/>
      <c r="L731" s="2"/>
      <c r="M731" s="2"/>
      <c r="N731" s="2"/>
      <c r="O731" s="2"/>
      <c r="P731" s="2"/>
      <c r="Q731" s="2"/>
      <c r="R731" s="2"/>
    </row>
    <row r="732">
      <c r="A732" s="2"/>
      <c r="B732" s="2"/>
      <c r="C732" s="2"/>
      <c r="D732" s="2"/>
      <c r="E732" s="2"/>
      <c r="F732" s="2"/>
      <c r="G732" s="2"/>
      <c r="H732" s="2"/>
      <c r="I732" s="2"/>
      <c r="J732" s="2"/>
      <c r="K732" s="2"/>
      <c r="L732" s="2"/>
      <c r="M732" s="2"/>
      <c r="N732" s="2"/>
      <c r="O732" s="2"/>
      <c r="P732" s="2"/>
      <c r="Q732" s="2"/>
      <c r="R732" s="2"/>
    </row>
    <row r="733">
      <c r="A733" s="2"/>
      <c r="B733" s="2"/>
      <c r="C733" s="2"/>
      <c r="D733" s="2"/>
      <c r="E733" s="2"/>
      <c r="F733" s="2"/>
      <c r="G733" s="2"/>
      <c r="H733" s="2"/>
      <c r="I733" s="2"/>
      <c r="J733" s="2"/>
      <c r="K733" s="2"/>
      <c r="L733" s="2"/>
      <c r="M733" s="2"/>
      <c r="N733" s="2"/>
      <c r="O733" s="2"/>
      <c r="P733" s="2"/>
      <c r="Q733" s="2"/>
      <c r="R733" s="2"/>
    </row>
    <row r="734">
      <c r="A734" s="2"/>
      <c r="B734" s="2"/>
      <c r="C734" s="2"/>
      <c r="D734" s="2"/>
      <c r="E734" s="2"/>
      <c r="F734" s="2"/>
      <c r="G734" s="2"/>
      <c r="H734" s="2"/>
      <c r="I734" s="2"/>
      <c r="J734" s="2"/>
      <c r="K734" s="2"/>
      <c r="L734" s="2"/>
      <c r="M734" s="2"/>
      <c r="N734" s="2"/>
      <c r="O734" s="2"/>
      <c r="P734" s="2"/>
      <c r="Q734" s="2"/>
      <c r="R734" s="2"/>
    </row>
    <row r="735">
      <c r="A735" s="2"/>
      <c r="B735" s="2"/>
      <c r="C735" s="2"/>
      <c r="D735" s="2"/>
      <c r="E735" s="2"/>
      <c r="F735" s="2"/>
      <c r="G735" s="2"/>
      <c r="H735" s="2"/>
      <c r="I735" s="2"/>
      <c r="J735" s="2"/>
      <c r="K735" s="2"/>
      <c r="L735" s="2"/>
      <c r="M735" s="2"/>
      <c r="N735" s="2"/>
      <c r="O735" s="2"/>
      <c r="P735" s="2"/>
      <c r="Q735" s="2"/>
      <c r="R735" s="2"/>
    </row>
    <row r="736">
      <c r="A736" s="2"/>
      <c r="B736" s="2"/>
      <c r="C736" s="2"/>
      <c r="D736" s="2"/>
      <c r="E736" s="2"/>
      <c r="F736" s="2"/>
      <c r="G736" s="2"/>
      <c r="H736" s="2"/>
      <c r="I736" s="2"/>
      <c r="J736" s="2"/>
      <c r="K736" s="2"/>
      <c r="L736" s="2"/>
      <c r="M736" s="2"/>
      <c r="N736" s="2"/>
      <c r="O736" s="2"/>
      <c r="P736" s="2"/>
      <c r="Q736" s="2"/>
      <c r="R736" s="2"/>
    </row>
    <row r="737">
      <c r="A737" s="2"/>
      <c r="B737" s="2"/>
      <c r="C737" s="2"/>
      <c r="D737" s="2"/>
      <c r="E737" s="2"/>
      <c r="F737" s="2"/>
      <c r="G737" s="2"/>
      <c r="H737" s="2"/>
      <c r="I737" s="2"/>
      <c r="J737" s="2"/>
      <c r="K737" s="2"/>
      <c r="L737" s="2"/>
      <c r="M737" s="2"/>
      <c r="N737" s="2"/>
      <c r="O737" s="2"/>
      <c r="P737" s="2"/>
      <c r="Q737" s="2"/>
      <c r="R737" s="2"/>
    </row>
    <row r="738">
      <c r="A738" s="2"/>
      <c r="B738" s="2"/>
      <c r="C738" s="2"/>
      <c r="D738" s="2"/>
      <c r="E738" s="2"/>
      <c r="F738" s="2"/>
      <c r="G738" s="2"/>
      <c r="H738" s="2"/>
      <c r="I738" s="2"/>
      <c r="J738" s="2"/>
      <c r="K738" s="2"/>
      <c r="L738" s="2"/>
      <c r="M738" s="2"/>
      <c r="N738" s="2"/>
      <c r="O738" s="2"/>
      <c r="P738" s="2"/>
      <c r="Q738" s="2"/>
      <c r="R738" s="2"/>
    </row>
    <row r="739">
      <c r="A739" s="2"/>
      <c r="B739" s="2"/>
      <c r="C739" s="2"/>
      <c r="D739" s="2"/>
      <c r="E739" s="2"/>
      <c r="F739" s="2"/>
      <c r="G739" s="2"/>
      <c r="H739" s="2"/>
      <c r="I739" s="2"/>
      <c r="J739" s="2"/>
      <c r="K739" s="2"/>
      <c r="L739" s="2"/>
      <c r="M739" s="2"/>
      <c r="N739" s="2"/>
      <c r="O739" s="2"/>
      <c r="P739" s="2"/>
      <c r="Q739" s="2"/>
      <c r="R739" s="2"/>
    </row>
    <row r="740">
      <c r="A740" s="2"/>
      <c r="B740" s="2"/>
      <c r="C740" s="2"/>
      <c r="D740" s="2"/>
      <c r="E740" s="2"/>
      <c r="F740" s="2"/>
      <c r="G740" s="2"/>
      <c r="H740" s="2"/>
      <c r="I740" s="2"/>
      <c r="J740" s="2"/>
      <c r="K740" s="2"/>
      <c r="L740" s="2"/>
      <c r="M740" s="2"/>
      <c r="N740" s="2"/>
      <c r="O740" s="2"/>
      <c r="P740" s="2"/>
      <c r="Q740" s="2"/>
      <c r="R740" s="2"/>
    </row>
    <row r="741">
      <c r="A741" s="2"/>
      <c r="B741" s="2"/>
      <c r="C741" s="2"/>
      <c r="D741" s="2"/>
      <c r="E741" s="2"/>
      <c r="F741" s="2"/>
      <c r="G741" s="2"/>
      <c r="H741" s="2"/>
      <c r="I741" s="2"/>
      <c r="J741" s="2"/>
      <c r="K741" s="2"/>
      <c r="L741" s="2"/>
      <c r="M741" s="2"/>
      <c r="N741" s="2"/>
      <c r="O741" s="2"/>
      <c r="P741" s="2"/>
      <c r="Q741" s="2"/>
      <c r="R741" s="2"/>
    </row>
    <row r="742">
      <c r="A742" s="2"/>
      <c r="B742" s="2"/>
      <c r="C742" s="2"/>
      <c r="D742" s="2"/>
      <c r="E742" s="2"/>
      <c r="F742" s="2"/>
      <c r="G742" s="2"/>
      <c r="H742" s="2"/>
      <c r="I742" s="2"/>
      <c r="J742" s="2"/>
      <c r="K742" s="2"/>
      <c r="L742" s="2"/>
      <c r="M742" s="2"/>
      <c r="N742" s="2"/>
      <c r="O742" s="2"/>
      <c r="P742" s="2"/>
      <c r="Q742" s="2"/>
      <c r="R742" s="2"/>
    </row>
    <row r="743">
      <c r="A743" s="2"/>
      <c r="B743" s="2"/>
      <c r="C743" s="2"/>
      <c r="D743" s="2"/>
      <c r="E743" s="2"/>
      <c r="F743" s="2"/>
      <c r="G743" s="2"/>
      <c r="H743" s="2"/>
      <c r="I743" s="2"/>
      <c r="J743" s="2"/>
      <c r="K743" s="2"/>
      <c r="L743" s="2"/>
      <c r="M743" s="2"/>
      <c r="N743" s="2"/>
      <c r="O743" s="2"/>
      <c r="P743" s="2"/>
      <c r="Q743" s="2"/>
      <c r="R743" s="2"/>
    </row>
    <row r="744">
      <c r="A744" s="2"/>
      <c r="B744" s="2"/>
      <c r="C744" s="2"/>
      <c r="D744" s="2"/>
      <c r="E744" s="2"/>
      <c r="F744" s="2"/>
      <c r="G744" s="2"/>
      <c r="H744" s="2"/>
      <c r="I744" s="2"/>
      <c r="J744" s="2"/>
      <c r="K744" s="2"/>
      <c r="L744" s="2"/>
      <c r="M744" s="2"/>
      <c r="N744" s="2"/>
      <c r="O744" s="2"/>
      <c r="P744" s="2"/>
      <c r="Q744" s="2"/>
      <c r="R744" s="2"/>
    </row>
    <row r="745">
      <c r="A745" s="2"/>
      <c r="B745" s="2"/>
      <c r="C745" s="2"/>
      <c r="D745" s="2"/>
      <c r="E745" s="2"/>
      <c r="F745" s="2"/>
      <c r="G745" s="2"/>
      <c r="H745" s="2"/>
      <c r="I745" s="2"/>
      <c r="J745" s="2"/>
      <c r="K745" s="2"/>
      <c r="L745" s="2"/>
      <c r="M745" s="2"/>
      <c r="N745" s="2"/>
      <c r="O745" s="2"/>
      <c r="P745" s="2"/>
      <c r="Q745" s="2"/>
      <c r="R745" s="2"/>
    </row>
    <row r="746">
      <c r="A746" s="2"/>
      <c r="B746" s="2"/>
      <c r="C746" s="2"/>
      <c r="D746" s="2"/>
      <c r="E746" s="2"/>
      <c r="F746" s="2"/>
      <c r="G746" s="2"/>
      <c r="H746" s="2"/>
      <c r="I746" s="2"/>
      <c r="J746" s="2"/>
      <c r="K746" s="2"/>
      <c r="L746" s="2"/>
      <c r="M746" s="2"/>
      <c r="N746" s="2"/>
      <c r="O746" s="2"/>
      <c r="P746" s="2"/>
      <c r="Q746" s="2"/>
      <c r="R746" s="2"/>
    </row>
    <row r="747">
      <c r="A747" s="2"/>
      <c r="B747" s="2"/>
      <c r="C747" s="2"/>
      <c r="D747" s="2"/>
      <c r="E747" s="2"/>
      <c r="F747" s="2"/>
      <c r="G747" s="2"/>
      <c r="H747" s="2"/>
      <c r="I747" s="2"/>
      <c r="J747" s="2"/>
      <c r="K747" s="2"/>
      <c r="L747" s="2"/>
      <c r="M747" s="2"/>
      <c r="N747" s="2"/>
      <c r="O747" s="2"/>
      <c r="P747" s="2"/>
      <c r="Q747" s="2"/>
      <c r="R747" s="2"/>
    </row>
    <row r="748">
      <c r="A748" s="2"/>
      <c r="B748" s="2"/>
      <c r="C748" s="2"/>
      <c r="D748" s="2"/>
      <c r="E748" s="2"/>
      <c r="F748" s="2"/>
      <c r="G748" s="2"/>
      <c r="H748" s="2"/>
      <c r="I748" s="2"/>
      <c r="J748" s="2"/>
      <c r="K748" s="2"/>
      <c r="L748" s="2"/>
      <c r="M748" s="2"/>
      <c r="N748" s="2"/>
      <c r="O748" s="2"/>
      <c r="P748" s="2"/>
      <c r="Q748" s="2"/>
      <c r="R748" s="2"/>
    </row>
    <row r="749">
      <c r="A749" s="2"/>
      <c r="B749" s="2"/>
      <c r="C749" s="2"/>
      <c r="D749" s="2"/>
      <c r="E749" s="2"/>
      <c r="F749" s="2"/>
      <c r="G749" s="2"/>
      <c r="H749" s="2"/>
      <c r="I749" s="2"/>
      <c r="J749" s="2"/>
      <c r="K749" s="2"/>
      <c r="L749" s="2"/>
      <c r="M749" s="2"/>
      <c r="N749" s="2"/>
      <c r="O749" s="2"/>
      <c r="P749" s="2"/>
      <c r="Q749" s="2"/>
      <c r="R749" s="2"/>
    </row>
    <row r="750">
      <c r="A750" s="2"/>
      <c r="B750" s="2"/>
      <c r="C750" s="2"/>
      <c r="D750" s="2"/>
      <c r="E750" s="2"/>
      <c r="F750" s="2"/>
      <c r="G750" s="2"/>
      <c r="H750" s="2"/>
      <c r="I750" s="2"/>
      <c r="J750" s="2"/>
      <c r="K750" s="2"/>
      <c r="L750" s="2"/>
      <c r="M750" s="2"/>
      <c r="N750" s="2"/>
      <c r="O750" s="2"/>
      <c r="P750" s="2"/>
      <c r="Q750" s="2"/>
      <c r="R750" s="2"/>
    </row>
    <row r="751">
      <c r="A751" s="2"/>
      <c r="B751" s="2"/>
      <c r="C751" s="2"/>
      <c r="D751" s="2"/>
      <c r="E751" s="2"/>
      <c r="F751" s="2"/>
      <c r="G751" s="2"/>
      <c r="H751" s="2"/>
      <c r="I751" s="2"/>
      <c r="J751" s="2"/>
      <c r="K751" s="2"/>
      <c r="L751" s="2"/>
      <c r="M751" s="2"/>
      <c r="N751" s="2"/>
      <c r="O751" s="2"/>
      <c r="P751" s="2"/>
      <c r="Q751" s="2"/>
      <c r="R751" s="2"/>
    </row>
    <row r="752">
      <c r="A752" s="2"/>
      <c r="B752" s="2"/>
      <c r="C752" s="2"/>
      <c r="D752" s="2"/>
      <c r="E752" s="2"/>
      <c r="F752" s="2"/>
      <c r="G752" s="2"/>
      <c r="H752" s="2"/>
      <c r="I752" s="2"/>
      <c r="J752" s="2"/>
      <c r="K752" s="2"/>
      <c r="L752" s="2"/>
      <c r="M752" s="2"/>
      <c r="N752" s="2"/>
      <c r="O752" s="2"/>
      <c r="P752" s="2"/>
      <c r="Q752" s="2"/>
      <c r="R752" s="2"/>
    </row>
    <row r="753">
      <c r="A753" s="2"/>
      <c r="B753" s="2"/>
      <c r="C753" s="2"/>
      <c r="D753" s="2"/>
      <c r="E753" s="2"/>
      <c r="F753" s="2"/>
      <c r="G753" s="2"/>
      <c r="H753" s="2"/>
      <c r="I753" s="2"/>
      <c r="J753" s="2"/>
      <c r="K753" s="2"/>
      <c r="L753" s="2"/>
      <c r="M753" s="2"/>
      <c r="N753" s="2"/>
      <c r="O753" s="2"/>
      <c r="P753" s="2"/>
      <c r="Q753" s="2"/>
      <c r="R753" s="2"/>
    </row>
    <row r="754">
      <c r="A754" s="2"/>
      <c r="B754" s="2"/>
      <c r="C754" s="2"/>
      <c r="D754" s="2"/>
      <c r="E754" s="2"/>
      <c r="F754" s="2"/>
      <c r="G754" s="2"/>
      <c r="H754" s="2"/>
      <c r="I754" s="2"/>
      <c r="J754" s="2"/>
      <c r="K754" s="2"/>
      <c r="L754" s="2"/>
      <c r="M754" s="2"/>
      <c r="N754" s="2"/>
      <c r="O754" s="2"/>
      <c r="P754" s="2"/>
      <c r="Q754" s="2"/>
      <c r="R754" s="2"/>
    </row>
    <row r="755">
      <c r="A755" s="2"/>
      <c r="B755" s="2"/>
      <c r="C755" s="2"/>
      <c r="D755" s="2"/>
      <c r="E755" s="2"/>
      <c r="F755" s="2"/>
      <c r="G755" s="2"/>
      <c r="H755" s="2"/>
      <c r="I755" s="2"/>
      <c r="J755" s="2"/>
      <c r="K755" s="2"/>
      <c r="L755" s="2"/>
      <c r="M755" s="2"/>
      <c r="N755" s="2"/>
      <c r="O755" s="2"/>
      <c r="P755" s="2"/>
      <c r="Q755" s="2"/>
      <c r="R755" s="2"/>
    </row>
    <row r="756">
      <c r="A756" s="2"/>
      <c r="B756" s="2"/>
      <c r="C756" s="2"/>
      <c r="D756" s="2"/>
      <c r="E756" s="2"/>
      <c r="F756" s="2"/>
      <c r="G756" s="2"/>
      <c r="H756" s="2"/>
      <c r="I756" s="2"/>
      <c r="J756" s="2"/>
      <c r="K756" s="2"/>
      <c r="L756" s="2"/>
      <c r="M756" s="2"/>
      <c r="N756" s="2"/>
      <c r="O756" s="2"/>
      <c r="P756" s="2"/>
      <c r="Q756" s="2"/>
      <c r="R756" s="2"/>
    </row>
    <row r="757">
      <c r="A757" s="2"/>
      <c r="B757" s="2"/>
      <c r="C757" s="2"/>
      <c r="D757" s="2"/>
      <c r="E757" s="2"/>
      <c r="F757" s="2"/>
      <c r="G757" s="2"/>
      <c r="H757" s="2"/>
      <c r="I757" s="2"/>
      <c r="J757" s="2"/>
      <c r="K757" s="2"/>
      <c r="L757" s="2"/>
      <c r="M757" s="2"/>
      <c r="N757" s="2"/>
      <c r="O757" s="2"/>
      <c r="P757" s="2"/>
      <c r="Q757" s="2"/>
      <c r="R757" s="2"/>
    </row>
    <row r="758">
      <c r="A758" s="2"/>
      <c r="B758" s="2"/>
      <c r="C758" s="2"/>
      <c r="D758" s="2"/>
      <c r="E758" s="2"/>
      <c r="F758" s="2"/>
      <c r="G758" s="2"/>
      <c r="H758" s="2"/>
      <c r="I758" s="2"/>
      <c r="J758" s="2"/>
      <c r="K758" s="2"/>
      <c r="L758" s="2"/>
      <c r="M758" s="2"/>
      <c r="N758" s="2"/>
      <c r="O758" s="2"/>
      <c r="P758" s="2"/>
      <c r="Q758" s="2"/>
      <c r="R758" s="2"/>
    </row>
    <row r="759">
      <c r="A759" s="2"/>
      <c r="B759" s="2"/>
      <c r="C759" s="2"/>
      <c r="D759" s="2"/>
      <c r="E759" s="2"/>
      <c r="F759" s="2"/>
      <c r="G759" s="2"/>
      <c r="H759" s="2"/>
      <c r="I759" s="2"/>
      <c r="J759" s="2"/>
      <c r="K759" s="2"/>
      <c r="L759" s="2"/>
      <c r="M759" s="2"/>
      <c r="N759" s="2"/>
      <c r="O759" s="2"/>
      <c r="P759" s="2"/>
      <c r="Q759" s="2"/>
      <c r="R759" s="2"/>
    </row>
    <row r="760">
      <c r="A760" s="2"/>
      <c r="B760" s="2"/>
      <c r="C760" s="2"/>
      <c r="D760" s="2"/>
      <c r="E760" s="2"/>
      <c r="F760" s="2"/>
      <c r="G760" s="2"/>
      <c r="H760" s="2"/>
      <c r="I760" s="2"/>
      <c r="J760" s="2"/>
      <c r="K760" s="2"/>
      <c r="L760" s="2"/>
      <c r="M760" s="2"/>
      <c r="N760" s="2"/>
      <c r="O760" s="2"/>
      <c r="P760" s="2"/>
      <c r="Q760" s="2"/>
      <c r="R760" s="2"/>
    </row>
    <row r="761">
      <c r="A761" s="2"/>
      <c r="B761" s="2"/>
      <c r="C761" s="2"/>
      <c r="D761" s="2"/>
      <c r="E761" s="2"/>
      <c r="F761" s="2"/>
      <c r="G761" s="2"/>
      <c r="H761" s="2"/>
      <c r="I761" s="2"/>
      <c r="J761" s="2"/>
      <c r="K761" s="2"/>
      <c r="L761" s="2"/>
      <c r="M761" s="2"/>
      <c r="N761" s="2"/>
      <c r="O761" s="2"/>
      <c r="P761" s="2"/>
      <c r="Q761" s="2"/>
      <c r="R761" s="2"/>
    </row>
    <row r="762">
      <c r="A762" s="2"/>
      <c r="B762" s="2"/>
      <c r="C762" s="2"/>
      <c r="D762" s="2"/>
      <c r="E762" s="2"/>
      <c r="F762" s="2"/>
      <c r="G762" s="2"/>
      <c r="H762" s="2"/>
      <c r="I762" s="2"/>
      <c r="J762" s="2"/>
      <c r="K762" s="2"/>
      <c r="L762" s="2"/>
      <c r="M762" s="2"/>
      <c r="N762" s="2"/>
      <c r="O762" s="2"/>
      <c r="P762" s="2"/>
      <c r="Q762" s="2"/>
      <c r="R762" s="2"/>
    </row>
    <row r="763">
      <c r="A763" s="2"/>
      <c r="B763" s="2"/>
      <c r="C763" s="2"/>
      <c r="D763" s="2"/>
      <c r="E763" s="2"/>
      <c r="F763" s="2"/>
      <c r="G763" s="2"/>
      <c r="H763" s="2"/>
      <c r="I763" s="2"/>
      <c r="J763" s="2"/>
      <c r="K763" s="2"/>
      <c r="L763" s="2"/>
      <c r="M763" s="2"/>
      <c r="N763" s="2"/>
      <c r="O763" s="2"/>
      <c r="P763" s="2"/>
      <c r="Q763" s="2"/>
      <c r="R763" s="2"/>
    </row>
    <row r="764">
      <c r="A764" s="2"/>
      <c r="B764" s="2"/>
      <c r="C764" s="2"/>
      <c r="D764" s="2"/>
      <c r="E764" s="2"/>
      <c r="F764" s="2"/>
      <c r="G764" s="2"/>
      <c r="H764" s="2"/>
      <c r="I764" s="2"/>
      <c r="J764" s="2"/>
      <c r="K764" s="2"/>
      <c r="L764" s="2"/>
      <c r="M764" s="2"/>
      <c r="N764" s="2"/>
      <c r="O764" s="2"/>
      <c r="P764" s="2"/>
      <c r="Q764" s="2"/>
      <c r="R764" s="2"/>
    </row>
    <row r="765">
      <c r="A765" s="2"/>
      <c r="B765" s="2"/>
      <c r="C765" s="2"/>
      <c r="D765" s="2"/>
      <c r="E765" s="2"/>
      <c r="F765" s="2"/>
      <c r="G765" s="2"/>
      <c r="H765" s="2"/>
      <c r="I765" s="2"/>
      <c r="J765" s="2"/>
      <c r="K765" s="2"/>
      <c r="L765" s="2"/>
      <c r="M765" s="2"/>
      <c r="N765" s="2"/>
      <c r="O765" s="2"/>
      <c r="P765" s="2"/>
      <c r="Q765" s="2"/>
      <c r="R765" s="2"/>
    </row>
    <row r="766">
      <c r="A766" s="2"/>
      <c r="B766" s="2"/>
      <c r="C766" s="2"/>
      <c r="D766" s="2"/>
      <c r="E766" s="2"/>
      <c r="F766" s="2"/>
      <c r="G766" s="2"/>
      <c r="H766" s="2"/>
      <c r="I766" s="2"/>
      <c r="J766" s="2"/>
      <c r="K766" s="2"/>
      <c r="L766" s="2"/>
      <c r="M766" s="2"/>
      <c r="N766" s="2"/>
      <c r="O766" s="2"/>
      <c r="P766" s="2"/>
      <c r="Q766" s="2"/>
      <c r="R766" s="2"/>
    </row>
    <row r="767">
      <c r="A767" s="2"/>
      <c r="B767" s="2"/>
      <c r="C767" s="2"/>
      <c r="D767" s="2"/>
      <c r="E767" s="2"/>
      <c r="F767" s="2"/>
      <c r="G767" s="2"/>
      <c r="H767" s="2"/>
      <c r="I767" s="2"/>
      <c r="J767" s="2"/>
      <c r="K767" s="2"/>
      <c r="L767" s="2"/>
      <c r="M767" s="2"/>
      <c r="N767" s="2"/>
      <c r="O767" s="2"/>
      <c r="P767" s="2"/>
      <c r="Q767" s="2"/>
      <c r="R767" s="2"/>
    </row>
    <row r="768">
      <c r="A768" s="2"/>
      <c r="B768" s="2"/>
      <c r="C768" s="2"/>
      <c r="D768" s="2"/>
      <c r="E768" s="2"/>
      <c r="F768" s="2"/>
      <c r="G768" s="2"/>
      <c r="H768" s="2"/>
      <c r="I768" s="2"/>
      <c r="J768" s="2"/>
      <c r="K768" s="2"/>
      <c r="L768" s="2"/>
      <c r="M768" s="2"/>
      <c r="N768" s="2"/>
      <c r="O768" s="2"/>
      <c r="P768" s="2"/>
      <c r="Q768" s="2"/>
      <c r="R768" s="2"/>
    </row>
    <row r="769">
      <c r="A769" s="2"/>
      <c r="B769" s="2"/>
      <c r="C769" s="2"/>
      <c r="D769" s="2"/>
      <c r="E769" s="2"/>
      <c r="F769" s="2"/>
      <c r="G769" s="2"/>
      <c r="H769" s="2"/>
      <c r="I769" s="2"/>
      <c r="J769" s="2"/>
      <c r="K769" s="2"/>
      <c r="L769" s="2"/>
      <c r="M769" s="2"/>
      <c r="N769" s="2"/>
      <c r="O769" s="2"/>
      <c r="P769" s="2"/>
      <c r="Q769" s="2"/>
      <c r="R769" s="2"/>
    </row>
    <row r="770">
      <c r="A770" s="2"/>
      <c r="B770" s="2"/>
      <c r="C770" s="2"/>
      <c r="D770" s="2"/>
      <c r="E770" s="2"/>
      <c r="F770" s="2"/>
      <c r="G770" s="2"/>
      <c r="H770" s="2"/>
      <c r="I770" s="2"/>
      <c r="J770" s="2"/>
      <c r="K770" s="2"/>
      <c r="L770" s="2"/>
      <c r="M770" s="2"/>
      <c r="N770" s="2"/>
      <c r="O770" s="2"/>
      <c r="P770" s="2"/>
      <c r="Q770" s="2"/>
      <c r="R770" s="2"/>
    </row>
    <row r="771">
      <c r="A771" s="2"/>
      <c r="B771" s="2"/>
      <c r="C771" s="2"/>
      <c r="D771" s="2"/>
      <c r="E771" s="2"/>
      <c r="F771" s="2"/>
      <c r="G771" s="2"/>
      <c r="H771" s="2"/>
      <c r="I771" s="2"/>
      <c r="J771" s="2"/>
      <c r="K771" s="2"/>
      <c r="L771" s="2"/>
      <c r="M771" s="2"/>
      <c r="N771" s="2"/>
      <c r="O771" s="2"/>
      <c r="P771" s="2"/>
      <c r="Q771" s="2"/>
      <c r="R771" s="2"/>
    </row>
    <row r="772">
      <c r="A772" s="2"/>
      <c r="B772" s="2"/>
      <c r="C772" s="2"/>
      <c r="D772" s="2"/>
      <c r="E772" s="2"/>
      <c r="F772" s="2"/>
      <c r="G772" s="2"/>
      <c r="H772" s="2"/>
      <c r="I772" s="2"/>
      <c r="J772" s="2"/>
      <c r="K772" s="2"/>
      <c r="L772" s="2"/>
      <c r="M772" s="2"/>
      <c r="N772" s="2"/>
      <c r="O772" s="2"/>
      <c r="P772" s="2"/>
      <c r="Q772" s="2"/>
      <c r="R772" s="2"/>
    </row>
    <row r="773">
      <c r="A773" s="2"/>
      <c r="B773" s="2"/>
      <c r="C773" s="2"/>
      <c r="D773" s="2"/>
      <c r="E773" s="2"/>
      <c r="F773" s="2"/>
      <c r="G773" s="2"/>
      <c r="H773" s="2"/>
      <c r="I773" s="2"/>
      <c r="J773" s="2"/>
      <c r="K773" s="2"/>
      <c r="L773" s="2"/>
      <c r="M773" s="2"/>
      <c r="N773" s="2"/>
      <c r="O773" s="2"/>
      <c r="P773" s="2"/>
      <c r="Q773" s="2"/>
      <c r="R773" s="2"/>
    </row>
    <row r="774">
      <c r="A774" s="2"/>
      <c r="B774" s="2"/>
      <c r="C774" s="2"/>
      <c r="D774" s="2"/>
      <c r="E774" s="2"/>
      <c r="F774" s="2"/>
      <c r="G774" s="2"/>
      <c r="H774" s="2"/>
      <c r="I774" s="2"/>
      <c r="J774" s="2"/>
      <c r="K774" s="2"/>
      <c r="L774" s="2"/>
      <c r="M774" s="2"/>
      <c r="N774" s="2"/>
      <c r="O774" s="2"/>
      <c r="P774" s="2"/>
      <c r="Q774" s="2"/>
      <c r="R774" s="2"/>
    </row>
    <row r="775">
      <c r="A775" s="2"/>
      <c r="B775" s="2"/>
      <c r="C775" s="2"/>
      <c r="D775" s="2"/>
      <c r="E775" s="2"/>
      <c r="F775" s="2"/>
      <c r="G775" s="2"/>
      <c r="H775" s="2"/>
      <c r="I775" s="2"/>
      <c r="J775" s="2"/>
      <c r="K775" s="2"/>
      <c r="L775" s="2"/>
      <c r="M775" s="2"/>
      <c r="N775" s="2"/>
      <c r="O775" s="2"/>
      <c r="P775" s="2"/>
      <c r="Q775" s="2"/>
      <c r="R775" s="2"/>
    </row>
    <row r="776">
      <c r="A776" s="2"/>
      <c r="B776" s="2"/>
      <c r="C776" s="2"/>
      <c r="D776" s="2"/>
      <c r="E776" s="2"/>
      <c r="F776" s="2"/>
      <c r="G776" s="2"/>
      <c r="H776" s="2"/>
      <c r="I776" s="2"/>
      <c r="J776" s="2"/>
      <c r="K776" s="2"/>
      <c r="L776" s="2"/>
      <c r="M776" s="2"/>
      <c r="N776" s="2"/>
      <c r="O776" s="2"/>
      <c r="P776" s="2"/>
      <c r="Q776" s="2"/>
      <c r="R776" s="2"/>
    </row>
    <row r="777">
      <c r="A777" s="2"/>
      <c r="B777" s="2"/>
      <c r="C777" s="2"/>
      <c r="D777" s="2"/>
      <c r="E777" s="2"/>
      <c r="F777" s="2"/>
      <c r="G777" s="2"/>
      <c r="H777" s="2"/>
      <c r="I777" s="2"/>
      <c r="J777" s="2"/>
      <c r="K777" s="2"/>
      <c r="L777" s="2"/>
      <c r="M777" s="2"/>
      <c r="N777" s="2"/>
      <c r="O777" s="2"/>
      <c r="P777" s="2"/>
      <c r="Q777" s="2"/>
      <c r="R777" s="2"/>
    </row>
    <row r="778">
      <c r="A778" s="2"/>
      <c r="B778" s="2"/>
      <c r="C778" s="2"/>
      <c r="D778" s="2"/>
      <c r="E778" s="2"/>
      <c r="F778" s="2"/>
      <c r="G778" s="2"/>
      <c r="H778" s="2"/>
      <c r="I778" s="2"/>
      <c r="J778" s="2"/>
      <c r="K778" s="2"/>
      <c r="L778" s="2"/>
      <c r="M778" s="2"/>
      <c r="N778" s="2"/>
      <c r="O778" s="2"/>
      <c r="P778" s="2"/>
      <c r="Q778" s="2"/>
      <c r="R778" s="2"/>
    </row>
    <row r="779">
      <c r="A779" s="2"/>
      <c r="B779" s="2"/>
      <c r="C779" s="2"/>
      <c r="D779" s="2"/>
      <c r="E779" s="2"/>
      <c r="F779" s="2"/>
      <c r="G779" s="2"/>
      <c r="H779" s="2"/>
      <c r="I779" s="2"/>
      <c r="J779" s="2"/>
      <c r="K779" s="2"/>
      <c r="L779" s="2"/>
      <c r="M779" s="2"/>
      <c r="N779" s="2"/>
      <c r="O779" s="2"/>
      <c r="P779" s="2"/>
      <c r="Q779" s="2"/>
      <c r="R779" s="2"/>
    </row>
    <row r="780">
      <c r="A780" s="2"/>
      <c r="B780" s="2"/>
      <c r="C780" s="2"/>
      <c r="D780" s="2"/>
      <c r="E780" s="2"/>
      <c r="F780" s="2"/>
      <c r="G780" s="2"/>
      <c r="H780" s="2"/>
      <c r="I780" s="2"/>
      <c r="J780" s="2"/>
      <c r="K780" s="2"/>
      <c r="L780" s="2"/>
      <c r="M780" s="2"/>
      <c r="N780" s="2"/>
      <c r="O780" s="2"/>
      <c r="P780" s="2"/>
      <c r="Q780" s="2"/>
      <c r="R780" s="2"/>
    </row>
    <row r="781">
      <c r="A781" s="2"/>
      <c r="B781" s="2"/>
      <c r="C781" s="2"/>
      <c r="D781" s="2"/>
      <c r="E781" s="2"/>
      <c r="F781" s="2"/>
      <c r="G781" s="2"/>
      <c r="H781" s="2"/>
      <c r="I781" s="2"/>
      <c r="J781" s="2"/>
      <c r="K781" s="2"/>
      <c r="L781" s="2"/>
      <c r="M781" s="2"/>
      <c r="N781" s="2"/>
      <c r="O781" s="2"/>
      <c r="P781" s="2"/>
      <c r="Q781" s="2"/>
      <c r="R781" s="2"/>
    </row>
    <row r="782">
      <c r="A782" s="2"/>
      <c r="B782" s="2"/>
      <c r="C782" s="2"/>
      <c r="D782" s="2"/>
      <c r="E782" s="2"/>
      <c r="F782" s="2"/>
      <c r="G782" s="2"/>
      <c r="H782" s="2"/>
      <c r="I782" s="2"/>
      <c r="J782" s="2"/>
      <c r="K782" s="2"/>
      <c r="L782" s="2"/>
      <c r="M782" s="2"/>
      <c r="N782" s="2"/>
      <c r="O782" s="2"/>
      <c r="P782" s="2"/>
      <c r="Q782" s="2"/>
      <c r="R782" s="2"/>
    </row>
    <row r="783">
      <c r="A783" s="2"/>
      <c r="B783" s="2"/>
      <c r="C783" s="2"/>
      <c r="D783" s="2"/>
      <c r="E783" s="2"/>
      <c r="F783" s="2"/>
      <c r="G783" s="2"/>
      <c r="H783" s="2"/>
      <c r="I783" s="2"/>
      <c r="J783" s="2"/>
      <c r="K783" s="2"/>
      <c r="L783" s="2"/>
      <c r="M783" s="2"/>
      <c r="N783" s="2"/>
      <c r="O783" s="2"/>
      <c r="P783" s="2"/>
      <c r="Q783" s="2"/>
      <c r="R783" s="2"/>
    </row>
    <row r="784">
      <c r="A784" s="2"/>
      <c r="B784" s="2"/>
      <c r="C784" s="2"/>
      <c r="D784" s="2"/>
      <c r="E784" s="2"/>
      <c r="F784" s="2"/>
      <c r="G784" s="2"/>
      <c r="H784" s="2"/>
      <c r="I784" s="2"/>
      <c r="J784" s="2"/>
      <c r="K784" s="2"/>
      <c r="L784" s="2"/>
      <c r="M784" s="2"/>
      <c r="N784" s="2"/>
      <c r="O784" s="2"/>
      <c r="P784" s="2"/>
      <c r="Q784" s="2"/>
      <c r="R784" s="2"/>
    </row>
    <row r="785">
      <c r="A785" s="2"/>
      <c r="B785" s="2"/>
      <c r="C785" s="2"/>
      <c r="D785" s="2"/>
      <c r="E785" s="2"/>
      <c r="F785" s="2"/>
      <c r="G785" s="2"/>
      <c r="H785" s="2"/>
      <c r="I785" s="2"/>
      <c r="J785" s="2"/>
      <c r="K785" s="2"/>
      <c r="L785" s="2"/>
      <c r="M785" s="2"/>
      <c r="N785" s="2"/>
      <c r="O785" s="2"/>
      <c r="P785" s="2"/>
      <c r="Q785" s="2"/>
      <c r="R785" s="2"/>
    </row>
    <row r="786">
      <c r="A786" s="2"/>
      <c r="B786" s="2"/>
      <c r="C786" s="2"/>
      <c r="D786" s="2"/>
      <c r="E786" s="2"/>
      <c r="F786" s="2"/>
      <c r="G786" s="2"/>
      <c r="H786" s="2"/>
      <c r="I786" s="2"/>
      <c r="J786" s="2"/>
      <c r="K786" s="2"/>
      <c r="L786" s="2"/>
      <c r="M786" s="2"/>
      <c r="N786" s="2"/>
      <c r="O786" s="2"/>
      <c r="P786" s="2"/>
      <c r="Q786" s="2"/>
      <c r="R786" s="2"/>
    </row>
    <row r="787">
      <c r="A787" s="2"/>
      <c r="B787" s="2"/>
      <c r="C787" s="2"/>
      <c r="D787" s="2"/>
      <c r="E787" s="2"/>
      <c r="F787" s="2"/>
      <c r="G787" s="2"/>
      <c r="H787" s="2"/>
      <c r="I787" s="2"/>
      <c r="J787" s="2"/>
      <c r="K787" s="2"/>
      <c r="L787" s="2"/>
      <c r="M787" s="2"/>
      <c r="N787" s="2"/>
      <c r="O787" s="2"/>
      <c r="P787" s="2"/>
      <c r="Q787" s="2"/>
      <c r="R787" s="2"/>
    </row>
    <row r="788">
      <c r="A788" s="2"/>
      <c r="B788" s="2"/>
      <c r="C788" s="2"/>
      <c r="D788" s="2"/>
      <c r="E788" s="2"/>
      <c r="F788" s="2"/>
      <c r="G788" s="2"/>
      <c r="H788" s="2"/>
      <c r="I788" s="2"/>
      <c r="J788" s="2"/>
      <c r="K788" s="2"/>
      <c r="L788" s="2"/>
      <c r="M788" s="2"/>
      <c r="N788" s="2"/>
      <c r="O788" s="2"/>
      <c r="P788" s="2"/>
      <c r="Q788" s="2"/>
      <c r="R788" s="2"/>
    </row>
    <row r="789">
      <c r="A789" s="2"/>
      <c r="B789" s="2"/>
      <c r="C789" s="2"/>
      <c r="D789" s="2"/>
      <c r="E789" s="2"/>
      <c r="F789" s="2"/>
      <c r="G789" s="2"/>
      <c r="H789" s="2"/>
      <c r="I789" s="2"/>
      <c r="J789" s="2"/>
      <c r="K789" s="2"/>
      <c r="L789" s="2"/>
      <c r="M789" s="2"/>
      <c r="N789" s="2"/>
      <c r="O789" s="2"/>
      <c r="P789" s="2"/>
      <c r="Q789" s="2"/>
      <c r="R789" s="2"/>
    </row>
    <row r="790">
      <c r="A790" s="2"/>
      <c r="B790" s="2"/>
      <c r="C790" s="2"/>
      <c r="D790" s="2"/>
      <c r="E790" s="2"/>
      <c r="F790" s="2"/>
      <c r="G790" s="2"/>
      <c r="H790" s="2"/>
      <c r="I790" s="2"/>
      <c r="J790" s="2"/>
      <c r="K790" s="2"/>
      <c r="L790" s="2"/>
      <c r="M790" s="2"/>
      <c r="N790" s="2"/>
      <c r="O790" s="2"/>
      <c r="P790" s="2"/>
      <c r="Q790" s="2"/>
      <c r="R790" s="2"/>
    </row>
    <row r="791">
      <c r="A791" s="2"/>
      <c r="B791" s="2"/>
      <c r="C791" s="2"/>
      <c r="D791" s="2"/>
      <c r="E791" s="2"/>
      <c r="F791" s="2"/>
      <c r="G791" s="2"/>
      <c r="H791" s="2"/>
      <c r="I791" s="2"/>
      <c r="J791" s="2"/>
      <c r="K791" s="2"/>
      <c r="L791" s="2"/>
      <c r="M791" s="2"/>
      <c r="N791" s="2"/>
      <c r="O791" s="2"/>
      <c r="P791" s="2"/>
      <c r="Q791" s="2"/>
      <c r="R791" s="2"/>
    </row>
    <row r="792">
      <c r="A792" s="2"/>
      <c r="B792" s="2"/>
      <c r="C792" s="2"/>
      <c r="D792" s="2"/>
      <c r="E792" s="2"/>
      <c r="F792" s="2"/>
      <c r="G792" s="2"/>
      <c r="H792" s="2"/>
      <c r="I792" s="2"/>
      <c r="J792" s="2"/>
      <c r="K792" s="2"/>
      <c r="L792" s="2"/>
      <c r="M792" s="2"/>
      <c r="N792" s="2"/>
      <c r="O792" s="2"/>
      <c r="P792" s="2"/>
      <c r="Q792" s="2"/>
      <c r="R792" s="2"/>
    </row>
    <row r="793">
      <c r="A793" s="2"/>
      <c r="B793" s="2"/>
      <c r="C793" s="2"/>
      <c r="D793" s="2"/>
      <c r="E793" s="2"/>
      <c r="F793" s="2"/>
      <c r="G793" s="2"/>
      <c r="H793" s="2"/>
      <c r="I793" s="2"/>
      <c r="J793" s="2"/>
      <c r="K793" s="2"/>
      <c r="L793" s="2"/>
      <c r="M793" s="2"/>
      <c r="N793" s="2"/>
      <c r="O793" s="2"/>
      <c r="P793" s="2"/>
      <c r="Q793" s="2"/>
      <c r="R793" s="2"/>
    </row>
    <row r="794">
      <c r="A794" s="2"/>
      <c r="B794" s="2"/>
      <c r="C794" s="2"/>
      <c r="D794" s="2"/>
      <c r="E794" s="2"/>
      <c r="F794" s="2"/>
      <c r="G794" s="2"/>
      <c r="H794" s="2"/>
      <c r="I794" s="2"/>
      <c r="J794" s="2"/>
      <c r="K794" s="2"/>
      <c r="L794" s="2"/>
      <c r="M794" s="2"/>
      <c r="N794" s="2"/>
      <c r="O794" s="2"/>
      <c r="P794" s="2"/>
      <c r="Q794" s="2"/>
      <c r="R794" s="2"/>
    </row>
    <row r="795">
      <c r="A795" s="2"/>
      <c r="B795" s="2"/>
      <c r="C795" s="2"/>
      <c r="D795" s="2"/>
      <c r="E795" s="2"/>
      <c r="F795" s="2"/>
      <c r="G795" s="2"/>
      <c r="H795" s="2"/>
      <c r="I795" s="2"/>
      <c r="J795" s="2"/>
      <c r="K795" s="2"/>
      <c r="L795" s="2"/>
      <c r="M795" s="2"/>
      <c r="N795" s="2"/>
      <c r="O795" s="2"/>
      <c r="P795" s="2"/>
      <c r="Q795" s="2"/>
      <c r="R795" s="2"/>
    </row>
    <row r="796">
      <c r="A796" s="2"/>
      <c r="B796" s="2"/>
      <c r="C796" s="2"/>
      <c r="D796" s="2"/>
      <c r="E796" s="2"/>
      <c r="F796" s="2"/>
      <c r="G796" s="2"/>
      <c r="H796" s="2"/>
      <c r="I796" s="2"/>
      <c r="J796" s="2"/>
      <c r="K796" s="2"/>
      <c r="L796" s="2"/>
      <c r="M796" s="2"/>
      <c r="N796" s="2"/>
      <c r="O796" s="2"/>
      <c r="P796" s="2"/>
      <c r="Q796" s="2"/>
      <c r="R796" s="2"/>
    </row>
    <row r="797">
      <c r="A797" s="2"/>
      <c r="B797" s="2"/>
      <c r="C797" s="2"/>
      <c r="D797" s="2"/>
      <c r="E797" s="2"/>
      <c r="F797" s="2"/>
      <c r="G797" s="2"/>
      <c r="H797" s="2"/>
      <c r="I797" s="2"/>
      <c r="J797" s="2"/>
      <c r="K797" s="2"/>
      <c r="L797" s="2"/>
      <c r="M797" s="2"/>
      <c r="N797" s="2"/>
      <c r="O797" s="2"/>
      <c r="P797" s="2"/>
      <c r="Q797" s="2"/>
      <c r="R797" s="2"/>
    </row>
    <row r="798">
      <c r="A798" s="2"/>
      <c r="B798" s="2"/>
      <c r="C798" s="2"/>
      <c r="D798" s="2"/>
      <c r="E798" s="2"/>
      <c r="F798" s="2"/>
      <c r="G798" s="2"/>
      <c r="H798" s="2"/>
      <c r="I798" s="2"/>
      <c r="J798" s="2"/>
      <c r="K798" s="2"/>
      <c r="L798" s="2"/>
      <c r="M798" s="2"/>
      <c r="N798" s="2"/>
      <c r="O798" s="2"/>
      <c r="P798" s="2"/>
      <c r="Q798" s="2"/>
      <c r="R798" s="2"/>
    </row>
    <row r="799">
      <c r="A799" s="2"/>
      <c r="B799" s="2"/>
      <c r="C799" s="2"/>
      <c r="D799" s="2"/>
      <c r="E799" s="2"/>
      <c r="F799" s="2"/>
      <c r="G799" s="2"/>
      <c r="H799" s="2"/>
      <c r="I799" s="2"/>
      <c r="J799" s="2"/>
      <c r="K799" s="2"/>
      <c r="L799" s="2"/>
      <c r="M799" s="2"/>
      <c r="N799" s="2"/>
      <c r="O799" s="2"/>
      <c r="P799" s="2"/>
      <c r="Q799" s="2"/>
      <c r="R799" s="2"/>
    </row>
    <row r="800">
      <c r="A800" s="2"/>
      <c r="B800" s="2"/>
      <c r="C800" s="2"/>
      <c r="D800" s="2"/>
      <c r="E800" s="2"/>
      <c r="F800" s="2"/>
      <c r="G800" s="2"/>
      <c r="H800" s="2"/>
      <c r="I800" s="2"/>
      <c r="J800" s="2"/>
      <c r="K800" s="2"/>
      <c r="L800" s="2"/>
      <c r="M800" s="2"/>
      <c r="N800" s="2"/>
      <c r="O800" s="2"/>
      <c r="P800" s="2"/>
      <c r="Q800" s="2"/>
      <c r="R800" s="2"/>
    </row>
    <row r="801">
      <c r="A801" s="2"/>
      <c r="B801" s="2"/>
      <c r="C801" s="2"/>
      <c r="D801" s="2"/>
      <c r="E801" s="2"/>
      <c r="F801" s="2"/>
      <c r="G801" s="2"/>
      <c r="H801" s="2"/>
      <c r="I801" s="2"/>
      <c r="J801" s="2"/>
      <c r="K801" s="2"/>
      <c r="L801" s="2"/>
      <c r="M801" s="2"/>
      <c r="N801" s="2"/>
      <c r="O801" s="2"/>
      <c r="P801" s="2"/>
      <c r="Q801" s="2"/>
      <c r="R801" s="2"/>
    </row>
    <row r="802">
      <c r="A802" s="2"/>
      <c r="B802" s="2"/>
      <c r="C802" s="2"/>
      <c r="D802" s="2"/>
      <c r="E802" s="2"/>
      <c r="F802" s="2"/>
      <c r="G802" s="2"/>
      <c r="H802" s="2"/>
      <c r="I802" s="2"/>
      <c r="J802" s="2"/>
      <c r="K802" s="2"/>
      <c r="L802" s="2"/>
      <c r="M802" s="2"/>
      <c r="N802" s="2"/>
      <c r="O802" s="2"/>
      <c r="P802" s="2"/>
      <c r="Q802" s="2"/>
      <c r="R802" s="2"/>
    </row>
    <row r="803">
      <c r="A803" s="2"/>
      <c r="B803" s="2"/>
      <c r="C803" s="2"/>
      <c r="D803" s="2"/>
      <c r="E803" s="2"/>
      <c r="F803" s="2"/>
      <c r="G803" s="2"/>
      <c r="H803" s="2"/>
      <c r="I803" s="2"/>
      <c r="J803" s="2"/>
      <c r="K803" s="2"/>
      <c r="L803" s="2"/>
      <c r="M803" s="2"/>
      <c r="N803" s="2"/>
      <c r="O803" s="2"/>
      <c r="P803" s="2"/>
      <c r="Q803" s="2"/>
      <c r="R803" s="2"/>
    </row>
    <row r="804">
      <c r="A804" s="2"/>
      <c r="B804" s="2"/>
      <c r="C804" s="2"/>
      <c r="D804" s="2"/>
      <c r="E804" s="2"/>
      <c r="F804" s="2"/>
      <c r="G804" s="2"/>
      <c r="H804" s="2"/>
      <c r="I804" s="2"/>
      <c r="J804" s="2"/>
      <c r="K804" s="2"/>
      <c r="L804" s="2"/>
      <c r="M804" s="2"/>
      <c r="N804" s="2"/>
      <c r="O804" s="2"/>
      <c r="P804" s="2"/>
      <c r="Q804" s="2"/>
      <c r="R804" s="2"/>
    </row>
    <row r="805">
      <c r="A805" s="2"/>
      <c r="B805" s="2"/>
      <c r="C805" s="2"/>
      <c r="D805" s="2"/>
      <c r="E805" s="2"/>
      <c r="F805" s="2"/>
      <c r="G805" s="2"/>
      <c r="H805" s="2"/>
      <c r="I805" s="2"/>
      <c r="J805" s="2"/>
      <c r="K805" s="2"/>
      <c r="L805" s="2"/>
      <c r="M805" s="2"/>
      <c r="N805" s="2"/>
      <c r="O805" s="2"/>
      <c r="P805" s="2"/>
      <c r="Q805" s="2"/>
      <c r="R805" s="2"/>
    </row>
    <row r="806">
      <c r="A806" s="2"/>
      <c r="B806" s="2"/>
      <c r="C806" s="2"/>
      <c r="D806" s="2"/>
      <c r="E806" s="2"/>
      <c r="F806" s="2"/>
      <c r="G806" s="2"/>
      <c r="H806" s="2"/>
      <c r="I806" s="2"/>
      <c r="J806" s="2"/>
      <c r="K806" s="2"/>
      <c r="L806" s="2"/>
      <c r="M806" s="2"/>
      <c r="N806" s="2"/>
      <c r="O806" s="2"/>
      <c r="P806" s="2"/>
      <c r="Q806" s="2"/>
      <c r="R806" s="2"/>
    </row>
    <row r="807">
      <c r="A807" s="2"/>
      <c r="B807" s="2"/>
      <c r="C807" s="2"/>
      <c r="D807" s="2"/>
      <c r="E807" s="2"/>
      <c r="F807" s="2"/>
      <c r="G807" s="2"/>
      <c r="H807" s="2"/>
      <c r="I807" s="2"/>
      <c r="J807" s="2"/>
      <c r="K807" s="2"/>
      <c r="L807" s="2"/>
      <c r="M807" s="2"/>
      <c r="N807" s="2"/>
      <c r="O807" s="2"/>
      <c r="P807" s="2"/>
      <c r="Q807" s="2"/>
      <c r="R807" s="2"/>
    </row>
    <row r="808">
      <c r="A808" s="2"/>
      <c r="B808" s="2"/>
      <c r="C808" s="2"/>
      <c r="D808" s="2"/>
      <c r="E808" s="2"/>
      <c r="F808" s="2"/>
      <c r="G808" s="2"/>
      <c r="H808" s="2"/>
      <c r="I808" s="2"/>
      <c r="J808" s="2"/>
      <c r="K808" s="2"/>
      <c r="L808" s="2"/>
      <c r="M808" s="2"/>
      <c r="N808" s="2"/>
      <c r="O808" s="2"/>
      <c r="P808" s="2"/>
      <c r="Q808" s="2"/>
      <c r="R808" s="2"/>
    </row>
    <row r="809">
      <c r="A809" s="2"/>
      <c r="B809" s="2"/>
      <c r="C809" s="2"/>
      <c r="D809" s="2"/>
      <c r="E809" s="2"/>
      <c r="F809" s="2"/>
      <c r="G809" s="2"/>
      <c r="H809" s="2"/>
      <c r="I809" s="2"/>
      <c r="J809" s="2"/>
      <c r="K809" s="2"/>
      <c r="L809" s="2"/>
      <c r="M809" s="2"/>
      <c r="N809" s="2"/>
      <c r="O809" s="2"/>
      <c r="P809" s="2"/>
      <c r="Q809" s="2"/>
      <c r="R809" s="2"/>
    </row>
    <row r="810">
      <c r="A810" s="2"/>
      <c r="B810" s="2"/>
      <c r="C810" s="2"/>
      <c r="D810" s="2"/>
      <c r="E810" s="2"/>
      <c r="F810" s="2"/>
      <c r="G810" s="2"/>
      <c r="H810" s="2"/>
      <c r="I810" s="2"/>
      <c r="J810" s="2"/>
      <c r="K810" s="2"/>
      <c r="L810" s="2"/>
      <c r="M810" s="2"/>
      <c r="N810" s="2"/>
      <c r="O810" s="2"/>
      <c r="P810" s="2"/>
      <c r="Q810" s="2"/>
      <c r="R810" s="2"/>
    </row>
    <row r="811">
      <c r="A811" s="2"/>
      <c r="B811" s="2"/>
      <c r="C811" s="2"/>
      <c r="D811" s="2"/>
      <c r="E811" s="2"/>
      <c r="F811" s="2"/>
      <c r="G811" s="2"/>
      <c r="H811" s="2"/>
      <c r="I811" s="2"/>
      <c r="J811" s="2"/>
      <c r="K811" s="2"/>
      <c r="L811" s="2"/>
      <c r="M811" s="2"/>
      <c r="N811" s="2"/>
      <c r="O811" s="2"/>
      <c r="P811" s="2"/>
      <c r="Q811" s="2"/>
      <c r="R811" s="2"/>
    </row>
    <row r="812">
      <c r="A812" s="2"/>
      <c r="B812" s="2"/>
      <c r="C812" s="2"/>
      <c r="D812" s="2"/>
      <c r="E812" s="2"/>
      <c r="F812" s="2"/>
      <c r="G812" s="2"/>
      <c r="H812" s="2"/>
      <c r="I812" s="2"/>
      <c r="J812" s="2"/>
      <c r="K812" s="2"/>
      <c r="L812" s="2"/>
      <c r="M812" s="2"/>
      <c r="N812" s="2"/>
      <c r="O812" s="2"/>
      <c r="P812" s="2"/>
      <c r="Q812" s="2"/>
      <c r="R812" s="2"/>
    </row>
    <row r="813">
      <c r="A813" s="2"/>
      <c r="B813" s="2"/>
      <c r="C813" s="2"/>
      <c r="D813" s="2"/>
      <c r="E813" s="2"/>
      <c r="F813" s="2"/>
      <c r="G813" s="2"/>
      <c r="H813" s="2"/>
      <c r="I813" s="2"/>
      <c r="J813" s="2"/>
      <c r="K813" s="2"/>
      <c r="L813" s="2"/>
      <c r="M813" s="2"/>
      <c r="N813" s="2"/>
      <c r="O813" s="2"/>
      <c r="P813" s="2"/>
      <c r="Q813" s="2"/>
      <c r="R813" s="2"/>
    </row>
    <row r="814">
      <c r="A814" s="2"/>
      <c r="B814" s="2"/>
      <c r="C814" s="2"/>
      <c r="D814" s="2"/>
      <c r="E814" s="2"/>
      <c r="F814" s="2"/>
      <c r="G814" s="2"/>
      <c r="H814" s="2"/>
      <c r="I814" s="2"/>
      <c r="J814" s="2"/>
      <c r="K814" s="2"/>
      <c r="L814" s="2"/>
      <c r="M814" s="2"/>
      <c r="N814" s="2"/>
      <c r="O814" s="2"/>
      <c r="P814" s="2"/>
      <c r="Q814" s="2"/>
      <c r="R814" s="2"/>
    </row>
    <row r="815">
      <c r="A815" s="2"/>
      <c r="B815" s="2"/>
      <c r="C815" s="2"/>
      <c r="D815" s="2"/>
      <c r="E815" s="2"/>
      <c r="F815" s="2"/>
      <c r="G815" s="2"/>
      <c r="H815" s="2"/>
      <c r="I815" s="2"/>
      <c r="J815" s="2"/>
      <c r="K815" s="2"/>
      <c r="L815" s="2"/>
      <c r="M815" s="2"/>
      <c r="N815" s="2"/>
      <c r="O815" s="2"/>
      <c r="P815" s="2"/>
      <c r="Q815" s="2"/>
      <c r="R815" s="2"/>
    </row>
    <row r="816">
      <c r="A816" s="2"/>
      <c r="B816" s="2"/>
      <c r="C816" s="2"/>
      <c r="D816" s="2"/>
      <c r="E816" s="2"/>
      <c r="F816" s="2"/>
      <c r="G816" s="2"/>
      <c r="H816" s="2"/>
      <c r="I816" s="2"/>
      <c r="J816" s="2"/>
      <c r="K816" s="2"/>
      <c r="L816" s="2"/>
      <c r="M816" s="2"/>
      <c r="N816" s="2"/>
      <c r="O816" s="2"/>
      <c r="P816" s="2"/>
      <c r="Q816" s="2"/>
      <c r="R816" s="2"/>
    </row>
    <row r="817">
      <c r="A817" s="2"/>
      <c r="B817" s="2"/>
      <c r="C817" s="2"/>
      <c r="D817" s="2"/>
      <c r="E817" s="2"/>
      <c r="F817" s="2"/>
      <c r="G817" s="2"/>
      <c r="H817" s="2"/>
      <c r="I817" s="2"/>
      <c r="J817" s="2"/>
      <c r="K817" s="2"/>
      <c r="L817" s="2"/>
      <c r="M817" s="2"/>
      <c r="N817" s="2"/>
      <c r="O817" s="2"/>
      <c r="P817" s="2"/>
      <c r="Q817" s="2"/>
      <c r="R817" s="2"/>
    </row>
    <row r="818">
      <c r="A818" s="2"/>
      <c r="B818" s="2"/>
      <c r="C818" s="2"/>
      <c r="D818" s="2"/>
      <c r="E818" s="2"/>
      <c r="F818" s="2"/>
      <c r="G818" s="2"/>
      <c r="H818" s="2"/>
      <c r="I818" s="2"/>
      <c r="J818" s="2"/>
      <c r="K818" s="2"/>
      <c r="L818" s="2"/>
      <c r="M818" s="2"/>
      <c r="N818" s="2"/>
      <c r="O818" s="2"/>
      <c r="P818" s="2"/>
      <c r="Q818" s="2"/>
      <c r="R818" s="2"/>
    </row>
    <row r="819">
      <c r="A819" s="2"/>
      <c r="B819" s="2"/>
      <c r="C819" s="2"/>
      <c r="D819" s="2"/>
      <c r="E819" s="2"/>
      <c r="F819" s="2"/>
      <c r="G819" s="2"/>
      <c r="H819" s="2"/>
      <c r="I819" s="2"/>
      <c r="J819" s="2"/>
      <c r="K819" s="2"/>
      <c r="L819" s="2"/>
      <c r="M819" s="2"/>
      <c r="N819" s="2"/>
      <c r="O819" s="2"/>
      <c r="P819" s="2"/>
      <c r="Q819" s="2"/>
      <c r="R819" s="2"/>
    </row>
    <row r="820">
      <c r="A820" s="2"/>
      <c r="B820" s="2"/>
      <c r="C820" s="2"/>
      <c r="D820" s="2"/>
      <c r="E820" s="2"/>
      <c r="F820" s="2"/>
      <c r="G820" s="2"/>
      <c r="H820" s="2"/>
      <c r="I820" s="2"/>
      <c r="J820" s="2"/>
      <c r="K820" s="2"/>
      <c r="L820" s="2"/>
      <c r="M820" s="2"/>
      <c r="N820" s="2"/>
      <c r="O820" s="2"/>
      <c r="P820" s="2"/>
      <c r="Q820" s="2"/>
      <c r="R820" s="2"/>
    </row>
    <row r="821">
      <c r="A821" s="2"/>
      <c r="B821" s="2"/>
      <c r="C821" s="2"/>
      <c r="D821" s="2"/>
      <c r="E821" s="2"/>
      <c r="F821" s="2"/>
      <c r="G821" s="2"/>
      <c r="H821" s="2"/>
      <c r="I821" s="2"/>
      <c r="J821" s="2"/>
      <c r="K821" s="2"/>
      <c r="L821" s="2"/>
      <c r="M821" s="2"/>
      <c r="N821" s="2"/>
      <c r="O821" s="2"/>
      <c r="P821" s="2"/>
      <c r="Q821" s="2"/>
      <c r="R821" s="2"/>
    </row>
    <row r="822">
      <c r="A822" s="2"/>
      <c r="B822" s="2"/>
      <c r="C822" s="2"/>
      <c r="D822" s="2"/>
      <c r="E822" s="2"/>
      <c r="F822" s="2"/>
      <c r="G822" s="2"/>
      <c r="H822" s="2"/>
      <c r="I822" s="2"/>
      <c r="J822" s="2"/>
      <c r="K822" s="2"/>
      <c r="L822" s="2"/>
      <c r="M822" s="2"/>
      <c r="N822" s="2"/>
      <c r="O822" s="2"/>
      <c r="P822" s="2"/>
      <c r="Q822" s="2"/>
      <c r="R822" s="2"/>
    </row>
    <row r="823">
      <c r="A823" s="2"/>
      <c r="B823" s="2"/>
      <c r="C823" s="2"/>
      <c r="D823" s="2"/>
      <c r="E823" s="2"/>
      <c r="F823" s="2"/>
      <c r="G823" s="2"/>
      <c r="H823" s="2"/>
      <c r="I823" s="2"/>
      <c r="J823" s="2"/>
      <c r="K823" s="2"/>
      <c r="L823" s="2"/>
      <c r="M823" s="2"/>
      <c r="N823" s="2"/>
      <c r="O823" s="2"/>
      <c r="P823" s="2"/>
      <c r="Q823" s="2"/>
      <c r="R823" s="2"/>
    </row>
    <row r="824">
      <c r="A824" s="2"/>
      <c r="B824" s="2"/>
      <c r="C824" s="2"/>
      <c r="D824" s="2"/>
      <c r="E824" s="2"/>
      <c r="F824" s="2"/>
      <c r="G824" s="2"/>
      <c r="H824" s="2"/>
      <c r="I824" s="2"/>
      <c r="J824" s="2"/>
      <c r="K824" s="2"/>
      <c r="L824" s="2"/>
      <c r="M824" s="2"/>
      <c r="N824" s="2"/>
      <c r="O824" s="2"/>
      <c r="P824" s="2"/>
      <c r="Q824" s="2"/>
      <c r="R824" s="2"/>
    </row>
    <row r="825">
      <c r="A825" s="2"/>
      <c r="B825" s="2"/>
      <c r="C825" s="2"/>
      <c r="D825" s="2"/>
      <c r="E825" s="2"/>
      <c r="F825" s="2"/>
      <c r="G825" s="2"/>
      <c r="H825" s="2"/>
      <c r="I825" s="2"/>
      <c r="J825" s="2"/>
      <c r="K825" s="2"/>
      <c r="L825" s="2"/>
      <c r="M825" s="2"/>
      <c r="N825" s="2"/>
      <c r="O825" s="2"/>
      <c r="P825" s="2"/>
      <c r="Q825" s="2"/>
      <c r="R825" s="2"/>
    </row>
    <row r="826">
      <c r="A826" s="2"/>
      <c r="B826" s="2"/>
      <c r="C826" s="2"/>
      <c r="D826" s="2"/>
      <c r="E826" s="2"/>
      <c r="F826" s="2"/>
      <c r="G826" s="2"/>
      <c r="H826" s="2"/>
      <c r="I826" s="2"/>
      <c r="J826" s="2"/>
      <c r="K826" s="2"/>
      <c r="L826" s="2"/>
      <c r="M826" s="2"/>
      <c r="N826" s="2"/>
      <c r="O826" s="2"/>
      <c r="P826" s="2"/>
      <c r="Q826" s="2"/>
      <c r="R826" s="2"/>
    </row>
    <row r="827">
      <c r="A827" s="2"/>
      <c r="B827" s="2"/>
      <c r="C827" s="2"/>
      <c r="D827" s="2"/>
      <c r="E827" s="2"/>
      <c r="F827" s="2"/>
      <c r="G827" s="2"/>
      <c r="H827" s="2"/>
      <c r="I827" s="2"/>
      <c r="J827" s="2"/>
      <c r="K827" s="2"/>
      <c r="L827" s="2"/>
      <c r="M827" s="2"/>
      <c r="N827" s="2"/>
      <c r="O827" s="2"/>
      <c r="P827" s="2"/>
      <c r="Q827" s="2"/>
      <c r="R827" s="2"/>
    </row>
    <row r="828">
      <c r="A828" s="2"/>
      <c r="B828" s="2"/>
      <c r="C828" s="2"/>
      <c r="D828" s="2"/>
      <c r="E828" s="2"/>
      <c r="F828" s="2"/>
      <c r="G828" s="2"/>
      <c r="H828" s="2"/>
      <c r="I828" s="2"/>
      <c r="J828" s="2"/>
      <c r="K828" s="2"/>
      <c r="L828" s="2"/>
      <c r="M828" s="2"/>
      <c r="N828" s="2"/>
      <c r="O828" s="2"/>
      <c r="P828" s="2"/>
      <c r="Q828" s="2"/>
      <c r="R828" s="2"/>
    </row>
    <row r="829">
      <c r="A829" s="2"/>
      <c r="B829" s="2"/>
      <c r="C829" s="2"/>
      <c r="D829" s="2"/>
      <c r="E829" s="2"/>
      <c r="F829" s="2"/>
      <c r="G829" s="2"/>
      <c r="H829" s="2"/>
      <c r="I829" s="2"/>
      <c r="J829" s="2"/>
      <c r="K829" s="2"/>
      <c r="L829" s="2"/>
      <c r="M829" s="2"/>
      <c r="N829" s="2"/>
      <c r="O829" s="2"/>
      <c r="P829" s="2"/>
      <c r="Q829" s="2"/>
      <c r="R829" s="2"/>
    </row>
    <row r="830">
      <c r="A830" s="2"/>
      <c r="B830" s="2"/>
      <c r="C830" s="2"/>
      <c r="D830" s="2"/>
      <c r="E830" s="2"/>
      <c r="F830" s="2"/>
      <c r="G830" s="2"/>
      <c r="H830" s="2"/>
      <c r="I830" s="2"/>
      <c r="J830" s="2"/>
      <c r="K830" s="2"/>
      <c r="L830" s="2"/>
      <c r="M830" s="2"/>
      <c r="N830" s="2"/>
      <c r="O830" s="2"/>
      <c r="P830" s="2"/>
      <c r="Q830" s="2"/>
      <c r="R830" s="2"/>
    </row>
    <row r="831">
      <c r="A831" s="2"/>
      <c r="B831" s="2"/>
      <c r="C831" s="2"/>
      <c r="D831" s="2"/>
      <c r="E831" s="2"/>
      <c r="F831" s="2"/>
      <c r="G831" s="2"/>
      <c r="H831" s="2"/>
      <c r="I831" s="2"/>
      <c r="J831" s="2"/>
      <c r="K831" s="2"/>
      <c r="L831" s="2"/>
      <c r="M831" s="2"/>
      <c r="N831" s="2"/>
      <c r="O831" s="2"/>
      <c r="P831" s="2"/>
      <c r="Q831" s="2"/>
      <c r="R831" s="2"/>
    </row>
    <row r="832">
      <c r="A832" s="2"/>
      <c r="B832" s="2"/>
      <c r="C832" s="2"/>
      <c r="D832" s="2"/>
      <c r="E832" s="2"/>
      <c r="F832" s="2"/>
      <c r="G832" s="2"/>
      <c r="H832" s="2"/>
      <c r="I832" s="2"/>
      <c r="J832" s="2"/>
      <c r="K832" s="2"/>
      <c r="L832" s="2"/>
      <c r="M832" s="2"/>
      <c r="N832" s="2"/>
      <c r="O832" s="2"/>
      <c r="P832" s="2"/>
      <c r="Q832" s="2"/>
      <c r="R832" s="2"/>
    </row>
    <row r="833">
      <c r="A833" s="2"/>
      <c r="B833" s="2"/>
      <c r="C833" s="2"/>
      <c r="D833" s="2"/>
      <c r="E833" s="2"/>
      <c r="F833" s="2"/>
      <c r="G833" s="2"/>
      <c r="H833" s="2"/>
      <c r="I833" s="2"/>
      <c r="J833" s="2"/>
      <c r="K833" s="2"/>
      <c r="L833" s="2"/>
      <c r="M833" s="2"/>
      <c r="N833" s="2"/>
      <c r="O833" s="2"/>
      <c r="P833" s="2"/>
      <c r="Q833" s="2"/>
      <c r="R833" s="2"/>
    </row>
    <row r="834">
      <c r="A834" s="2"/>
      <c r="B834" s="2"/>
      <c r="C834" s="2"/>
      <c r="D834" s="2"/>
      <c r="E834" s="2"/>
      <c r="F834" s="2"/>
      <c r="G834" s="2"/>
      <c r="H834" s="2"/>
      <c r="I834" s="2"/>
      <c r="J834" s="2"/>
      <c r="K834" s="2"/>
      <c r="L834" s="2"/>
      <c r="M834" s="2"/>
      <c r="N834" s="2"/>
      <c r="O834" s="2"/>
      <c r="P834" s="2"/>
      <c r="Q834" s="2"/>
      <c r="R834" s="2"/>
    </row>
    <row r="835">
      <c r="A835" s="2"/>
      <c r="B835" s="2"/>
      <c r="C835" s="2"/>
      <c r="D835" s="2"/>
      <c r="E835" s="2"/>
      <c r="F835" s="2"/>
      <c r="G835" s="2"/>
      <c r="H835" s="2"/>
      <c r="I835" s="2"/>
      <c r="J835" s="2"/>
      <c r="K835" s="2"/>
      <c r="L835" s="2"/>
      <c r="M835" s="2"/>
      <c r="N835" s="2"/>
      <c r="O835" s="2"/>
      <c r="P835" s="2"/>
      <c r="Q835" s="2"/>
      <c r="R835" s="2"/>
    </row>
    <row r="836">
      <c r="A836" s="2"/>
      <c r="B836" s="2"/>
      <c r="C836" s="2"/>
      <c r="D836" s="2"/>
      <c r="E836" s="2"/>
      <c r="F836" s="2"/>
      <c r="G836" s="2"/>
      <c r="H836" s="2"/>
      <c r="I836" s="2"/>
      <c r="J836" s="2"/>
      <c r="K836" s="2"/>
      <c r="L836" s="2"/>
      <c r="M836" s="2"/>
      <c r="N836" s="2"/>
      <c r="O836" s="2"/>
      <c r="P836" s="2"/>
      <c r="Q836" s="2"/>
      <c r="R836" s="2"/>
    </row>
    <row r="837">
      <c r="A837" s="2"/>
      <c r="B837" s="2"/>
      <c r="C837" s="2"/>
      <c r="D837" s="2"/>
      <c r="E837" s="2"/>
      <c r="F837" s="2"/>
      <c r="G837" s="2"/>
      <c r="H837" s="2"/>
      <c r="I837" s="2"/>
      <c r="J837" s="2"/>
      <c r="K837" s="2"/>
      <c r="L837" s="2"/>
      <c r="M837" s="2"/>
      <c r="N837" s="2"/>
      <c r="O837" s="2"/>
      <c r="P837" s="2"/>
      <c r="Q837" s="2"/>
      <c r="R837" s="2"/>
    </row>
    <row r="838">
      <c r="A838" s="2"/>
      <c r="B838" s="2"/>
      <c r="C838" s="2"/>
      <c r="D838" s="2"/>
      <c r="E838" s="2"/>
      <c r="F838" s="2"/>
      <c r="G838" s="2"/>
      <c r="H838" s="2"/>
      <c r="I838" s="2"/>
      <c r="J838" s="2"/>
      <c r="K838" s="2"/>
      <c r="L838" s="2"/>
      <c r="M838" s="2"/>
      <c r="N838" s="2"/>
      <c r="O838" s="2"/>
      <c r="P838" s="2"/>
      <c r="Q838" s="2"/>
      <c r="R838" s="2"/>
    </row>
    <row r="839">
      <c r="A839" s="2"/>
      <c r="B839" s="2"/>
      <c r="C839" s="2"/>
      <c r="D839" s="2"/>
      <c r="E839" s="2"/>
      <c r="F839" s="2"/>
      <c r="G839" s="2"/>
      <c r="H839" s="2"/>
      <c r="I839" s="2"/>
      <c r="J839" s="2"/>
      <c r="K839" s="2"/>
      <c r="L839" s="2"/>
      <c r="M839" s="2"/>
      <c r="N839" s="2"/>
      <c r="O839" s="2"/>
      <c r="P839" s="2"/>
      <c r="Q839" s="2"/>
      <c r="R839" s="2"/>
    </row>
    <row r="840">
      <c r="A840" s="2"/>
      <c r="B840" s="2"/>
      <c r="C840" s="2"/>
      <c r="D840" s="2"/>
      <c r="E840" s="2"/>
      <c r="F840" s="2"/>
      <c r="G840" s="2"/>
      <c r="H840" s="2"/>
      <c r="I840" s="2"/>
      <c r="J840" s="2"/>
      <c r="K840" s="2"/>
      <c r="L840" s="2"/>
      <c r="M840" s="2"/>
      <c r="N840" s="2"/>
      <c r="O840" s="2"/>
      <c r="P840" s="2"/>
      <c r="Q840" s="2"/>
      <c r="R840" s="2"/>
    </row>
    <row r="841">
      <c r="A841" s="2"/>
      <c r="B841" s="2"/>
      <c r="C841" s="2"/>
      <c r="D841" s="2"/>
      <c r="E841" s="2"/>
      <c r="F841" s="2"/>
      <c r="G841" s="2"/>
      <c r="H841" s="2"/>
      <c r="I841" s="2"/>
      <c r="J841" s="2"/>
      <c r="K841" s="2"/>
      <c r="L841" s="2"/>
      <c r="M841" s="2"/>
      <c r="N841" s="2"/>
      <c r="O841" s="2"/>
      <c r="P841" s="2"/>
      <c r="Q841" s="2"/>
      <c r="R841" s="2"/>
    </row>
    <row r="842">
      <c r="A842" s="2"/>
      <c r="B842" s="2"/>
      <c r="C842" s="2"/>
      <c r="D842" s="2"/>
      <c r="E842" s="2"/>
      <c r="F842" s="2"/>
      <c r="G842" s="2"/>
      <c r="H842" s="2"/>
      <c r="I842" s="2"/>
      <c r="J842" s="2"/>
      <c r="K842" s="2"/>
      <c r="L842" s="2"/>
      <c r="M842" s="2"/>
      <c r="N842" s="2"/>
      <c r="O842" s="2"/>
      <c r="P842" s="2"/>
      <c r="Q842" s="2"/>
      <c r="R842" s="2"/>
    </row>
    <row r="843">
      <c r="A843" s="2"/>
      <c r="B843" s="2"/>
      <c r="C843" s="2"/>
      <c r="D843" s="2"/>
      <c r="E843" s="2"/>
      <c r="F843" s="2"/>
      <c r="G843" s="2"/>
      <c r="H843" s="2"/>
      <c r="I843" s="2"/>
      <c r="J843" s="2"/>
      <c r="K843" s="2"/>
      <c r="L843" s="2"/>
      <c r="M843" s="2"/>
      <c r="N843" s="2"/>
      <c r="O843" s="2"/>
      <c r="P843" s="2"/>
      <c r="Q843" s="2"/>
      <c r="R843" s="2"/>
    </row>
    <row r="844">
      <c r="A844" s="2"/>
      <c r="B844" s="2"/>
      <c r="C844" s="2"/>
      <c r="D844" s="2"/>
      <c r="E844" s="2"/>
      <c r="F844" s="2"/>
      <c r="G844" s="2"/>
      <c r="H844" s="2"/>
      <c r="I844" s="2"/>
      <c r="J844" s="2"/>
      <c r="K844" s="2"/>
      <c r="L844" s="2"/>
      <c r="M844" s="2"/>
      <c r="N844" s="2"/>
      <c r="O844" s="2"/>
      <c r="P844" s="2"/>
      <c r="Q844" s="2"/>
      <c r="R844" s="2"/>
    </row>
    <row r="845">
      <c r="A845" s="2"/>
      <c r="B845" s="2"/>
      <c r="C845" s="2"/>
      <c r="D845" s="2"/>
      <c r="E845" s="2"/>
      <c r="F845" s="2"/>
      <c r="G845" s="2"/>
      <c r="H845" s="2"/>
      <c r="I845" s="2"/>
      <c r="J845" s="2"/>
      <c r="K845" s="2"/>
      <c r="L845" s="2"/>
      <c r="M845" s="2"/>
      <c r="N845" s="2"/>
      <c r="O845" s="2"/>
      <c r="P845" s="2"/>
      <c r="Q845" s="2"/>
      <c r="R845" s="2"/>
    </row>
    <row r="846">
      <c r="A846" s="2"/>
      <c r="B846" s="2"/>
      <c r="C846" s="2"/>
      <c r="D846" s="2"/>
      <c r="E846" s="2"/>
      <c r="F846" s="2"/>
      <c r="G846" s="2"/>
      <c r="H846" s="2"/>
      <c r="I846" s="2"/>
      <c r="J846" s="2"/>
      <c r="K846" s="2"/>
      <c r="L846" s="2"/>
      <c r="M846" s="2"/>
      <c r="N846" s="2"/>
      <c r="O846" s="2"/>
      <c r="P846" s="2"/>
      <c r="Q846" s="2"/>
      <c r="R846" s="2"/>
    </row>
    <row r="847">
      <c r="A847" s="2"/>
      <c r="B847" s="2"/>
      <c r="C847" s="2"/>
      <c r="D847" s="2"/>
      <c r="E847" s="2"/>
      <c r="F847" s="2"/>
      <c r="G847" s="2"/>
      <c r="H847" s="2"/>
      <c r="I847" s="2"/>
      <c r="J847" s="2"/>
      <c r="K847" s="2"/>
      <c r="L847" s="2"/>
      <c r="M847" s="2"/>
      <c r="N847" s="2"/>
      <c r="O847" s="2"/>
      <c r="P847" s="2"/>
      <c r="Q847" s="2"/>
      <c r="R847" s="2"/>
    </row>
    <row r="848">
      <c r="A848" s="2"/>
      <c r="B848" s="2"/>
      <c r="C848" s="2"/>
      <c r="D848" s="2"/>
      <c r="E848" s="2"/>
      <c r="F848" s="2"/>
      <c r="G848" s="2"/>
      <c r="H848" s="2"/>
      <c r="I848" s="2"/>
      <c r="J848" s="2"/>
      <c r="K848" s="2"/>
      <c r="L848" s="2"/>
      <c r="M848" s="2"/>
      <c r="N848" s="2"/>
      <c r="O848" s="2"/>
      <c r="P848" s="2"/>
      <c r="Q848" s="2"/>
      <c r="R848" s="2"/>
    </row>
    <row r="849">
      <c r="A849" s="2"/>
      <c r="B849" s="2"/>
      <c r="C849" s="2"/>
      <c r="D849" s="2"/>
      <c r="E849" s="2"/>
      <c r="F849" s="2"/>
      <c r="G849" s="2"/>
      <c r="H849" s="2"/>
      <c r="I849" s="2"/>
      <c r="J849" s="2"/>
      <c r="K849" s="2"/>
      <c r="L849" s="2"/>
      <c r="M849" s="2"/>
      <c r="N849" s="2"/>
      <c r="O849" s="2"/>
      <c r="P849" s="2"/>
      <c r="Q849" s="2"/>
      <c r="R849" s="2"/>
    </row>
    <row r="850">
      <c r="A850" s="2"/>
      <c r="B850" s="2"/>
      <c r="C850" s="2"/>
      <c r="D850" s="2"/>
      <c r="E850" s="2"/>
      <c r="F850" s="2"/>
      <c r="G850" s="2"/>
      <c r="H850" s="2"/>
      <c r="I850" s="2"/>
      <c r="J850" s="2"/>
      <c r="K850" s="2"/>
      <c r="L850" s="2"/>
      <c r="M850" s="2"/>
      <c r="N850" s="2"/>
      <c r="O850" s="2"/>
      <c r="P850" s="2"/>
      <c r="Q850" s="2"/>
      <c r="R850" s="2"/>
    </row>
    <row r="851">
      <c r="A851" s="2"/>
      <c r="B851" s="2"/>
      <c r="C851" s="2"/>
      <c r="D851" s="2"/>
      <c r="E851" s="2"/>
      <c r="F851" s="2"/>
      <c r="G851" s="2"/>
      <c r="H851" s="2"/>
      <c r="I851" s="2"/>
      <c r="J851" s="2"/>
      <c r="K851" s="2"/>
      <c r="L851" s="2"/>
      <c r="M851" s="2"/>
      <c r="N851" s="2"/>
      <c r="O851" s="2"/>
      <c r="P851" s="2"/>
      <c r="Q851" s="2"/>
      <c r="R851" s="2"/>
    </row>
    <row r="852">
      <c r="A852" s="2"/>
      <c r="B852" s="2"/>
      <c r="C852" s="2"/>
      <c r="D852" s="2"/>
      <c r="E852" s="2"/>
      <c r="F852" s="2"/>
      <c r="G852" s="2"/>
      <c r="H852" s="2"/>
      <c r="I852" s="2"/>
      <c r="J852" s="2"/>
      <c r="K852" s="2"/>
      <c r="L852" s="2"/>
      <c r="M852" s="2"/>
      <c r="N852" s="2"/>
      <c r="O852" s="2"/>
      <c r="P852" s="2"/>
      <c r="Q852" s="2"/>
      <c r="R852" s="2"/>
    </row>
    <row r="853">
      <c r="A853" s="2"/>
      <c r="B853" s="2"/>
      <c r="C853" s="2"/>
      <c r="D853" s="2"/>
      <c r="E853" s="2"/>
      <c r="F853" s="2"/>
      <c r="G853" s="2"/>
      <c r="H853" s="2"/>
      <c r="I853" s="2"/>
      <c r="J853" s="2"/>
      <c r="K853" s="2"/>
      <c r="L853" s="2"/>
      <c r="M853" s="2"/>
      <c r="N853" s="2"/>
      <c r="O853" s="2"/>
      <c r="P853" s="2"/>
      <c r="Q853" s="2"/>
      <c r="R853" s="2"/>
    </row>
    <row r="854">
      <c r="A854" s="2"/>
      <c r="B854" s="2"/>
      <c r="C854" s="2"/>
      <c r="D854" s="2"/>
      <c r="E854" s="2"/>
      <c r="F854" s="2"/>
      <c r="G854" s="2"/>
      <c r="H854" s="2"/>
      <c r="I854" s="2"/>
      <c r="J854" s="2"/>
      <c r="K854" s="2"/>
      <c r="L854" s="2"/>
      <c r="M854" s="2"/>
      <c r="N854" s="2"/>
      <c r="O854" s="2"/>
      <c r="P854" s="2"/>
      <c r="Q854" s="2"/>
      <c r="R854" s="2"/>
    </row>
    <row r="855">
      <c r="A855" s="2"/>
      <c r="B855" s="2"/>
      <c r="C855" s="2"/>
      <c r="D855" s="2"/>
      <c r="E855" s="2"/>
      <c r="F855" s="2"/>
      <c r="G855" s="2"/>
      <c r="H855" s="2"/>
      <c r="I855" s="2"/>
      <c r="J855" s="2"/>
      <c r="K855" s="2"/>
      <c r="L855" s="2"/>
      <c r="M855" s="2"/>
      <c r="N855" s="2"/>
      <c r="O855" s="2"/>
      <c r="P855" s="2"/>
      <c r="Q855" s="2"/>
      <c r="R855" s="2"/>
    </row>
    <row r="856">
      <c r="A856" s="2"/>
      <c r="B856" s="2"/>
      <c r="C856" s="2"/>
      <c r="D856" s="2"/>
      <c r="E856" s="2"/>
      <c r="F856" s="2"/>
      <c r="G856" s="2"/>
      <c r="H856" s="2"/>
      <c r="I856" s="2"/>
      <c r="J856" s="2"/>
      <c r="K856" s="2"/>
      <c r="L856" s="2"/>
      <c r="M856" s="2"/>
      <c r="N856" s="2"/>
      <c r="O856" s="2"/>
      <c r="P856" s="2"/>
      <c r="Q856" s="2"/>
      <c r="R856" s="2"/>
    </row>
    <row r="857">
      <c r="A857" s="2"/>
      <c r="B857" s="2"/>
      <c r="C857" s="2"/>
      <c r="D857" s="2"/>
      <c r="E857" s="2"/>
      <c r="F857" s="2"/>
      <c r="G857" s="2"/>
      <c r="H857" s="2"/>
      <c r="I857" s="2"/>
      <c r="J857" s="2"/>
      <c r="K857" s="2"/>
      <c r="L857" s="2"/>
      <c r="M857" s="2"/>
      <c r="N857" s="2"/>
      <c r="O857" s="2"/>
      <c r="P857" s="2"/>
      <c r="Q857" s="2"/>
      <c r="R857" s="2"/>
    </row>
    <row r="858">
      <c r="A858" s="2"/>
      <c r="B858" s="2"/>
      <c r="C858" s="2"/>
      <c r="D858" s="2"/>
      <c r="E858" s="2"/>
      <c r="F858" s="2"/>
      <c r="G858" s="2"/>
      <c r="H858" s="2"/>
      <c r="I858" s="2"/>
      <c r="J858" s="2"/>
      <c r="K858" s="2"/>
      <c r="L858" s="2"/>
      <c r="M858" s="2"/>
      <c r="N858" s="2"/>
      <c r="O858" s="2"/>
      <c r="P858" s="2"/>
      <c r="Q858" s="2"/>
      <c r="R858" s="2"/>
    </row>
    <row r="859">
      <c r="A859" s="2"/>
      <c r="B859" s="2"/>
      <c r="C859" s="2"/>
      <c r="D859" s="2"/>
      <c r="E859" s="2"/>
      <c r="F859" s="2"/>
      <c r="G859" s="2"/>
      <c r="H859" s="2"/>
      <c r="I859" s="2"/>
      <c r="J859" s="2"/>
      <c r="K859" s="2"/>
      <c r="L859" s="2"/>
      <c r="M859" s="2"/>
      <c r="N859" s="2"/>
      <c r="O859" s="2"/>
      <c r="P859" s="2"/>
      <c r="Q859" s="2"/>
      <c r="R859" s="2"/>
    </row>
    <row r="860">
      <c r="A860" s="2"/>
      <c r="B860" s="2"/>
      <c r="C860" s="2"/>
      <c r="D860" s="2"/>
      <c r="E860" s="2"/>
      <c r="F860" s="2"/>
      <c r="G860" s="2"/>
      <c r="H860" s="2"/>
      <c r="I860" s="2"/>
      <c r="J860" s="2"/>
      <c r="K860" s="2"/>
      <c r="L860" s="2"/>
      <c r="M860" s="2"/>
      <c r="N860" s="2"/>
      <c r="O860" s="2"/>
      <c r="P860" s="2"/>
      <c r="Q860" s="2"/>
      <c r="R860" s="2"/>
    </row>
    <row r="861">
      <c r="A861" s="2"/>
      <c r="B861" s="2"/>
      <c r="C861" s="2"/>
      <c r="D861" s="2"/>
      <c r="E861" s="2"/>
      <c r="F861" s="2"/>
      <c r="G861" s="2"/>
      <c r="H861" s="2"/>
      <c r="I861" s="2"/>
      <c r="J861" s="2"/>
      <c r="K861" s="2"/>
      <c r="L861" s="2"/>
      <c r="M861" s="2"/>
      <c r="N861" s="2"/>
      <c r="O861" s="2"/>
      <c r="P861" s="2"/>
      <c r="Q861" s="2"/>
      <c r="R861" s="2"/>
    </row>
    <row r="862">
      <c r="A862" s="2"/>
      <c r="B862" s="2"/>
      <c r="C862" s="2"/>
      <c r="D862" s="2"/>
      <c r="E862" s="2"/>
      <c r="F862" s="2"/>
      <c r="G862" s="2"/>
      <c r="H862" s="2"/>
      <c r="I862" s="2"/>
      <c r="J862" s="2"/>
      <c r="K862" s="2"/>
      <c r="L862" s="2"/>
      <c r="M862" s="2"/>
      <c r="N862" s="2"/>
      <c r="O862" s="2"/>
      <c r="P862" s="2"/>
      <c r="Q862" s="2"/>
      <c r="R862" s="2"/>
    </row>
    <row r="863">
      <c r="A863" s="2"/>
      <c r="B863" s="2"/>
      <c r="C863" s="2"/>
      <c r="D863" s="2"/>
      <c r="E863" s="2"/>
      <c r="F863" s="2"/>
      <c r="G863" s="2"/>
      <c r="H863" s="2"/>
      <c r="I863" s="2"/>
      <c r="J863" s="2"/>
      <c r="K863" s="2"/>
      <c r="L863" s="2"/>
      <c r="M863" s="2"/>
      <c r="N863" s="2"/>
      <c r="O863" s="2"/>
      <c r="P863" s="2"/>
      <c r="Q863" s="2"/>
      <c r="R863" s="2"/>
    </row>
    <row r="864">
      <c r="A864" s="2"/>
      <c r="B864" s="2"/>
      <c r="C864" s="2"/>
      <c r="D864" s="2"/>
      <c r="E864" s="2"/>
      <c r="F864" s="2"/>
      <c r="G864" s="2"/>
      <c r="H864" s="2"/>
      <c r="I864" s="2"/>
      <c r="J864" s="2"/>
      <c r="K864" s="2"/>
      <c r="L864" s="2"/>
      <c r="M864" s="2"/>
      <c r="N864" s="2"/>
      <c r="O864" s="2"/>
      <c r="P864" s="2"/>
      <c r="Q864" s="2"/>
      <c r="R864" s="2"/>
    </row>
    <row r="865">
      <c r="A865" s="2"/>
      <c r="B865" s="2"/>
      <c r="C865" s="2"/>
      <c r="D865" s="2"/>
      <c r="E865" s="2"/>
      <c r="F865" s="2"/>
      <c r="G865" s="2"/>
      <c r="H865" s="2"/>
      <c r="I865" s="2"/>
      <c r="J865" s="2"/>
      <c r="K865" s="2"/>
      <c r="L865" s="2"/>
      <c r="M865" s="2"/>
      <c r="N865" s="2"/>
      <c r="O865" s="2"/>
      <c r="P865" s="2"/>
      <c r="Q865" s="2"/>
      <c r="R865" s="2"/>
    </row>
    <row r="866">
      <c r="A866" s="2"/>
      <c r="B866" s="2"/>
      <c r="C866" s="2"/>
      <c r="D866" s="2"/>
      <c r="E866" s="2"/>
      <c r="F866" s="2"/>
      <c r="G866" s="2"/>
      <c r="H866" s="2"/>
      <c r="I866" s="2"/>
      <c r="J866" s="2"/>
      <c r="K866" s="2"/>
      <c r="L866" s="2"/>
      <c r="M866" s="2"/>
      <c r="N866" s="2"/>
      <c r="O866" s="2"/>
      <c r="P866" s="2"/>
      <c r="Q866" s="2"/>
      <c r="R866" s="2"/>
    </row>
    <row r="867">
      <c r="A867" s="2"/>
      <c r="B867" s="2"/>
      <c r="C867" s="2"/>
      <c r="D867" s="2"/>
      <c r="E867" s="2"/>
      <c r="F867" s="2"/>
      <c r="G867" s="2"/>
      <c r="H867" s="2"/>
      <c r="I867" s="2"/>
      <c r="J867" s="2"/>
      <c r="K867" s="2"/>
      <c r="L867" s="2"/>
      <c r="M867" s="2"/>
      <c r="N867" s="2"/>
      <c r="O867" s="2"/>
      <c r="P867" s="2"/>
      <c r="Q867" s="2"/>
      <c r="R867" s="2"/>
    </row>
    <row r="868">
      <c r="A868" s="2"/>
      <c r="B868" s="2"/>
      <c r="C868" s="2"/>
      <c r="D868" s="2"/>
      <c r="E868" s="2"/>
      <c r="F868" s="2"/>
      <c r="G868" s="2"/>
      <c r="H868" s="2"/>
      <c r="I868" s="2"/>
      <c r="J868" s="2"/>
      <c r="K868" s="2"/>
      <c r="L868" s="2"/>
      <c r="M868" s="2"/>
      <c r="N868" s="2"/>
      <c r="O868" s="2"/>
      <c r="P868" s="2"/>
      <c r="Q868" s="2"/>
      <c r="R868" s="2"/>
    </row>
    <row r="869">
      <c r="A869" s="2"/>
      <c r="B869" s="2"/>
      <c r="C869" s="2"/>
      <c r="D869" s="2"/>
      <c r="E869" s="2"/>
      <c r="F869" s="2"/>
      <c r="G869" s="2"/>
      <c r="H869" s="2"/>
      <c r="I869" s="2"/>
      <c r="J869" s="2"/>
      <c r="K869" s="2"/>
      <c r="L869" s="2"/>
      <c r="M869" s="2"/>
      <c r="N869" s="2"/>
      <c r="O869" s="2"/>
      <c r="P869" s="2"/>
      <c r="Q869" s="2"/>
      <c r="R869" s="2"/>
    </row>
    <row r="870">
      <c r="A870" s="2"/>
      <c r="B870" s="2"/>
      <c r="C870" s="2"/>
      <c r="D870" s="2"/>
      <c r="E870" s="2"/>
      <c r="F870" s="2"/>
      <c r="G870" s="2"/>
      <c r="H870" s="2"/>
      <c r="I870" s="2"/>
      <c r="J870" s="2"/>
      <c r="K870" s="2"/>
      <c r="L870" s="2"/>
      <c r="M870" s="2"/>
      <c r="N870" s="2"/>
      <c r="O870" s="2"/>
      <c r="P870" s="2"/>
      <c r="Q870" s="2"/>
      <c r="R870" s="2"/>
    </row>
    <row r="871">
      <c r="A871" s="2"/>
      <c r="B871" s="2"/>
      <c r="C871" s="2"/>
      <c r="D871" s="2"/>
      <c r="E871" s="2"/>
      <c r="F871" s="2"/>
      <c r="G871" s="2"/>
      <c r="H871" s="2"/>
      <c r="I871" s="2"/>
      <c r="J871" s="2"/>
      <c r="K871" s="2"/>
      <c r="L871" s="2"/>
      <c r="M871" s="2"/>
      <c r="N871" s="2"/>
      <c r="O871" s="2"/>
      <c r="P871" s="2"/>
      <c r="Q871" s="2"/>
      <c r="R871" s="2"/>
    </row>
    <row r="872">
      <c r="A872" s="2"/>
      <c r="B872" s="2"/>
      <c r="C872" s="2"/>
      <c r="D872" s="2"/>
      <c r="E872" s="2"/>
      <c r="F872" s="2"/>
      <c r="G872" s="2"/>
      <c r="H872" s="2"/>
      <c r="I872" s="2"/>
      <c r="J872" s="2"/>
      <c r="K872" s="2"/>
      <c r="L872" s="2"/>
      <c r="M872" s="2"/>
      <c r="N872" s="2"/>
      <c r="O872" s="2"/>
      <c r="P872" s="2"/>
      <c r="Q872" s="2"/>
      <c r="R872" s="2"/>
    </row>
    <row r="873">
      <c r="A873" s="2"/>
      <c r="B873" s="2"/>
      <c r="C873" s="2"/>
      <c r="D873" s="2"/>
      <c r="E873" s="2"/>
      <c r="F873" s="2"/>
      <c r="G873" s="2"/>
      <c r="H873" s="2"/>
      <c r="I873" s="2"/>
      <c r="J873" s="2"/>
      <c r="K873" s="2"/>
      <c r="L873" s="2"/>
      <c r="M873" s="2"/>
      <c r="N873" s="2"/>
      <c r="O873" s="2"/>
      <c r="P873" s="2"/>
      <c r="Q873" s="2"/>
      <c r="R873" s="2"/>
    </row>
    <row r="874">
      <c r="A874" s="2"/>
      <c r="B874" s="2"/>
      <c r="C874" s="2"/>
      <c r="D874" s="2"/>
      <c r="E874" s="2"/>
      <c r="F874" s="2"/>
      <c r="G874" s="2"/>
      <c r="H874" s="2"/>
      <c r="I874" s="2"/>
      <c r="J874" s="2"/>
      <c r="K874" s="2"/>
      <c r="L874" s="2"/>
      <c r="M874" s="2"/>
      <c r="N874" s="2"/>
      <c r="O874" s="2"/>
      <c r="P874" s="2"/>
      <c r="Q874" s="2"/>
      <c r="R874" s="2"/>
    </row>
    <row r="875">
      <c r="A875" s="2"/>
      <c r="B875" s="2"/>
      <c r="C875" s="2"/>
      <c r="D875" s="2"/>
      <c r="E875" s="2"/>
      <c r="F875" s="2"/>
      <c r="G875" s="2"/>
      <c r="H875" s="2"/>
      <c r="I875" s="2"/>
      <c r="J875" s="2"/>
      <c r="K875" s="2"/>
      <c r="L875" s="2"/>
      <c r="M875" s="2"/>
      <c r="N875" s="2"/>
      <c r="O875" s="2"/>
      <c r="P875" s="2"/>
      <c r="Q875" s="2"/>
      <c r="R875" s="2"/>
    </row>
    <row r="876">
      <c r="A876" s="2"/>
      <c r="B876" s="2"/>
      <c r="C876" s="2"/>
      <c r="D876" s="2"/>
      <c r="E876" s="2"/>
      <c r="F876" s="2"/>
      <c r="G876" s="2"/>
      <c r="H876" s="2"/>
      <c r="I876" s="2"/>
      <c r="J876" s="2"/>
      <c r="K876" s="2"/>
      <c r="L876" s="2"/>
      <c r="M876" s="2"/>
      <c r="N876" s="2"/>
      <c r="O876" s="2"/>
      <c r="P876" s="2"/>
      <c r="Q876" s="2"/>
      <c r="R876" s="2"/>
    </row>
    <row r="877">
      <c r="A877" s="2"/>
      <c r="B877" s="2"/>
      <c r="C877" s="2"/>
      <c r="D877" s="2"/>
      <c r="E877" s="2"/>
      <c r="F877" s="2"/>
      <c r="G877" s="2"/>
      <c r="H877" s="2"/>
      <c r="I877" s="2"/>
      <c r="J877" s="2"/>
      <c r="K877" s="2"/>
      <c r="L877" s="2"/>
      <c r="M877" s="2"/>
      <c r="N877" s="2"/>
      <c r="O877" s="2"/>
      <c r="P877" s="2"/>
      <c r="Q877" s="2"/>
      <c r="R877" s="2"/>
    </row>
    <row r="878">
      <c r="A878" s="2"/>
      <c r="B878" s="2"/>
      <c r="C878" s="2"/>
      <c r="D878" s="2"/>
      <c r="E878" s="2"/>
      <c r="F878" s="2"/>
      <c r="G878" s="2"/>
      <c r="H878" s="2"/>
      <c r="I878" s="2"/>
      <c r="J878" s="2"/>
      <c r="K878" s="2"/>
      <c r="L878" s="2"/>
      <c r="M878" s="2"/>
      <c r="N878" s="2"/>
      <c r="O878" s="2"/>
      <c r="P878" s="2"/>
      <c r="Q878" s="2"/>
      <c r="R878" s="2"/>
    </row>
    <row r="879">
      <c r="A879" s="2"/>
      <c r="B879" s="2"/>
      <c r="C879" s="2"/>
      <c r="D879" s="2"/>
      <c r="E879" s="2"/>
      <c r="F879" s="2"/>
      <c r="G879" s="2"/>
      <c r="H879" s="2"/>
      <c r="I879" s="2"/>
      <c r="J879" s="2"/>
      <c r="K879" s="2"/>
      <c r="L879" s="2"/>
      <c r="M879" s="2"/>
      <c r="N879" s="2"/>
      <c r="O879" s="2"/>
      <c r="P879" s="2"/>
      <c r="Q879" s="2"/>
      <c r="R879" s="2"/>
    </row>
    <row r="880">
      <c r="A880" s="2"/>
      <c r="B880" s="2"/>
      <c r="C880" s="2"/>
      <c r="D880" s="2"/>
      <c r="E880" s="2"/>
      <c r="F880" s="2"/>
      <c r="G880" s="2"/>
      <c r="H880" s="2"/>
      <c r="I880" s="2"/>
      <c r="J880" s="2"/>
      <c r="K880" s="2"/>
      <c r="L880" s="2"/>
      <c r="M880" s="2"/>
      <c r="N880" s="2"/>
      <c r="O880" s="2"/>
      <c r="P880" s="2"/>
      <c r="Q880" s="2"/>
      <c r="R880" s="2"/>
    </row>
    <row r="881">
      <c r="A881" s="2"/>
      <c r="B881" s="2"/>
      <c r="C881" s="2"/>
      <c r="D881" s="2"/>
      <c r="E881" s="2"/>
      <c r="F881" s="2"/>
      <c r="G881" s="2"/>
      <c r="H881" s="2"/>
      <c r="I881" s="2"/>
      <c r="J881" s="2"/>
      <c r="K881" s="2"/>
      <c r="L881" s="2"/>
      <c r="M881" s="2"/>
      <c r="N881" s="2"/>
      <c r="O881" s="2"/>
      <c r="P881" s="2"/>
      <c r="Q881" s="2"/>
      <c r="R881" s="2"/>
    </row>
    <row r="882">
      <c r="A882" s="2"/>
      <c r="B882" s="2"/>
      <c r="C882" s="2"/>
      <c r="D882" s="2"/>
      <c r="E882" s="2"/>
      <c r="F882" s="2"/>
      <c r="G882" s="2"/>
      <c r="H882" s="2"/>
      <c r="I882" s="2"/>
      <c r="J882" s="2"/>
      <c r="K882" s="2"/>
      <c r="L882" s="2"/>
      <c r="M882" s="2"/>
      <c r="N882" s="2"/>
      <c r="O882" s="2"/>
      <c r="P882" s="2"/>
      <c r="Q882" s="2"/>
      <c r="R882" s="2"/>
    </row>
    <row r="883">
      <c r="A883" s="2"/>
      <c r="B883" s="2"/>
      <c r="C883" s="2"/>
      <c r="D883" s="2"/>
      <c r="E883" s="2"/>
      <c r="F883" s="2"/>
      <c r="G883" s="2"/>
      <c r="H883" s="2"/>
      <c r="I883" s="2"/>
      <c r="J883" s="2"/>
      <c r="K883" s="2"/>
      <c r="L883" s="2"/>
      <c r="M883" s="2"/>
      <c r="N883" s="2"/>
      <c r="O883" s="2"/>
      <c r="P883" s="2"/>
      <c r="Q883" s="2"/>
      <c r="R883" s="2"/>
    </row>
    <row r="884">
      <c r="A884" s="2"/>
      <c r="B884" s="2"/>
      <c r="C884" s="2"/>
      <c r="D884" s="2"/>
      <c r="E884" s="2"/>
      <c r="F884" s="2"/>
      <c r="G884" s="2"/>
      <c r="H884" s="2"/>
      <c r="I884" s="2"/>
      <c r="J884" s="2"/>
      <c r="K884" s="2"/>
      <c r="L884" s="2"/>
      <c r="M884" s="2"/>
      <c r="N884" s="2"/>
      <c r="O884" s="2"/>
      <c r="P884" s="2"/>
      <c r="Q884" s="2"/>
      <c r="R884" s="2"/>
    </row>
    <row r="885">
      <c r="A885" s="2"/>
      <c r="B885" s="2"/>
      <c r="C885" s="2"/>
      <c r="D885" s="2"/>
      <c r="E885" s="2"/>
      <c r="F885" s="2"/>
      <c r="G885" s="2"/>
      <c r="H885" s="2"/>
      <c r="I885" s="2"/>
      <c r="J885" s="2"/>
      <c r="K885" s="2"/>
      <c r="L885" s="2"/>
      <c r="M885" s="2"/>
      <c r="N885" s="2"/>
      <c r="O885" s="2"/>
      <c r="P885" s="2"/>
      <c r="Q885" s="2"/>
      <c r="R885" s="2"/>
    </row>
    <row r="886">
      <c r="A886" s="2"/>
      <c r="B886" s="2"/>
      <c r="C886" s="2"/>
      <c r="D886" s="2"/>
      <c r="E886" s="2"/>
      <c r="F886" s="2"/>
      <c r="G886" s="2"/>
      <c r="H886" s="2"/>
      <c r="I886" s="2"/>
      <c r="J886" s="2"/>
      <c r="K886" s="2"/>
      <c r="L886" s="2"/>
      <c r="M886" s="2"/>
      <c r="N886" s="2"/>
      <c r="O886" s="2"/>
      <c r="P886" s="2"/>
      <c r="Q886" s="2"/>
      <c r="R886" s="2"/>
    </row>
    <row r="887">
      <c r="A887" s="2"/>
      <c r="B887" s="2"/>
      <c r="C887" s="2"/>
      <c r="D887" s="2"/>
      <c r="E887" s="2"/>
      <c r="F887" s="2"/>
      <c r="G887" s="2"/>
      <c r="H887" s="2"/>
      <c r="I887" s="2"/>
      <c r="J887" s="2"/>
      <c r="K887" s="2"/>
      <c r="L887" s="2"/>
      <c r="M887" s="2"/>
      <c r="N887" s="2"/>
      <c r="O887" s="2"/>
      <c r="P887" s="2"/>
      <c r="Q887" s="2"/>
      <c r="R887" s="2"/>
    </row>
    <row r="888">
      <c r="A888" s="2"/>
      <c r="B888" s="2"/>
      <c r="C888" s="2"/>
      <c r="D888" s="2"/>
      <c r="E888" s="2"/>
      <c r="F888" s="2"/>
      <c r="G888" s="2"/>
      <c r="H888" s="2"/>
      <c r="I888" s="2"/>
      <c r="J888" s="2"/>
      <c r="K888" s="2"/>
      <c r="L888" s="2"/>
      <c r="M888" s="2"/>
      <c r="N888" s="2"/>
      <c r="O888" s="2"/>
      <c r="P888" s="2"/>
      <c r="Q888" s="2"/>
      <c r="R888" s="2"/>
    </row>
    <row r="889">
      <c r="A889" s="2"/>
      <c r="B889" s="2"/>
      <c r="C889" s="2"/>
      <c r="D889" s="2"/>
      <c r="E889" s="2"/>
      <c r="F889" s="2"/>
      <c r="G889" s="2"/>
      <c r="H889" s="2"/>
      <c r="I889" s="2"/>
      <c r="J889" s="2"/>
      <c r="K889" s="2"/>
      <c r="L889" s="2"/>
      <c r="M889" s="2"/>
      <c r="N889" s="2"/>
      <c r="O889" s="2"/>
      <c r="P889" s="2"/>
      <c r="Q889" s="2"/>
      <c r="R889" s="2"/>
    </row>
    <row r="890">
      <c r="A890" s="2"/>
      <c r="B890" s="2"/>
      <c r="C890" s="2"/>
      <c r="D890" s="2"/>
      <c r="E890" s="2"/>
      <c r="F890" s="2"/>
      <c r="G890" s="2"/>
      <c r="H890" s="2"/>
      <c r="I890" s="2"/>
      <c r="J890" s="2"/>
      <c r="K890" s="2"/>
      <c r="L890" s="2"/>
      <c r="M890" s="2"/>
      <c r="N890" s="2"/>
      <c r="O890" s="2"/>
      <c r="P890" s="2"/>
      <c r="Q890" s="2"/>
      <c r="R890" s="2"/>
    </row>
    <row r="891">
      <c r="A891" s="2"/>
      <c r="B891" s="2"/>
      <c r="C891" s="2"/>
      <c r="D891" s="2"/>
      <c r="E891" s="2"/>
      <c r="F891" s="2"/>
      <c r="G891" s="2"/>
      <c r="H891" s="2"/>
      <c r="I891" s="2"/>
      <c r="J891" s="2"/>
      <c r="K891" s="2"/>
      <c r="L891" s="2"/>
      <c r="M891" s="2"/>
      <c r="N891" s="2"/>
      <c r="O891" s="2"/>
      <c r="P891" s="2"/>
      <c r="Q891" s="2"/>
      <c r="R891" s="2"/>
    </row>
    <row r="892">
      <c r="A892" s="2"/>
      <c r="B892" s="2"/>
      <c r="C892" s="2"/>
      <c r="D892" s="2"/>
      <c r="E892" s="2"/>
      <c r="F892" s="2"/>
      <c r="G892" s="2"/>
      <c r="H892" s="2"/>
      <c r="I892" s="2"/>
      <c r="J892" s="2"/>
      <c r="K892" s="2"/>
      <c r="L892" s="2"/>
      <c r="M892" s="2"/>
      <c r="N892" s="2"/>
      <c r="O892" s="2"/>
      <c r="P892" s="2"/>
      <c r="Q892" s="2"/>
      <c r="R892" s="2"/>
    </row>
    <row r="893">
      <c r="A893" s="2"/>
      <c r="B893" s="2"/>
      <c r="C893" s="2"/>
      <c r="D893" s="2"/>
      <c r="E893" s="2"/>
      <c r="F893" s="2"/>
      <c r="G893" s="2"/>
      <c r="H893" s="2"/>
      <c r="I893" s="2"/>
      <c r="J893" s="2"/>
      <c r="K893" s="2"/>
      <c r="L893" s="2"/>
      <c r="M893" s="2"/>
      <c r="N893" s="2"/>
      <c r="O893" s="2"/>
      <c r="P893" s="2"/>
      <c r="Q893" s="2"/>
      <c r="R893" s="2"/>
    </row>
    <row r="894">
      <c r="A894" s="2"/>
      <c r="B894" s="2"/>
      <c r="C894" s="2"/>
      <c r="D894" s="2"/>
      <c r="E894" s="2"/>
      <c r="F894" s="2"/>
      <c r="G894" s="2"/>
      <c r="H894" s="2"/>
      <c r="I894" s="2"/>
      <c r="J894" s="2"/>
      <c r="K894" s="2"/>
      <c r="L894" s="2"/>
      <c r="M894" s="2"/>
      <c r="N894" s="2"/>
      <c r="O894" s="2"/>
      <c r="P894" s="2"/>
      <c r="Q894" s="2"/>
      <c r="R894" s="2"/>
    </row>
    <row r="895">
      <c r="A895" s="2"/>
      <c r="B895" s="2"/>
      <c r="C895" s="2"/>
      <c r="D895" s="2"/>
      <c r="E895" s="2"/>
      <c r="F895" s="2"/>
      <c r="G895" s="2"/>
      <c r="H895" s="2"/>
      <c r="I895" s="2"/>
      <c r="J895" s="2"/>
      <c r="K895" s="2"/>
      <c r="L895" s="2"/>
      <c r="M895" s="2"/>
      <c r="N895" s="2"/>
      <c r="O895" s="2"/>
      <c r="P895" s="2"/>
      <c r="Q895" s="2"/>
      <c r="R895" s="2"/>
    </row>
    <row r="896">
      <c r="A896" s="2"/>
      <c r="B896" s="2"/>
      <c r="C896" s="2"/>
      <c r="D896" s="2"/>
      <c r="E896" s="2"/>
      <c r="F896" s="2"/>
      <c r="G896" s="2"/>
      <c r="H896" s="2"/>
      <c r="I896" s="2"/>
      <c r="J896" s="2"/>
      <c r="K896" s="2"/>
      <c r="L896" s="2"/>
      <c r="M896" s="2"/>
      <c r="N896" s="2"/>
      <c r="O896" s="2"/>
      <c r="P896" s="2"/>
      <c r="Q896" s="2"/>
      <c r="R896" s="2"/>
    </row>
    <row r="897">
      <c r="A897" s="2"/>
      <c r="B897" s="2"/>
      <c r="C897" s="2"/>
      <c r="D897" s="2"/>
      <c r="E897" s="2"/>
      <c r="F897" s="2"/>
      <c r="G897" s="2"/>
      <c r="H897" s="2"/>
      <c r="I897" s="2"/>
      <c r="J897" s="2"/>
      <c r="K897" s="2"/>
      <c r="L897" s="2"/>
      <c r="M897" s="2"/>
      <c r="N897" s="2"/>
      <c r="O897" s="2"/>
      <c r="P897" s="2"/>
      <c r="Q897" s="2"/>
      <c r="R897" s="2"/>
    </row>
    <row r="898">
      <c r="A898" s="2"/>
      <c r="B898" s="2"/>
      <c r="C898" s="2"/>
      <c r="D898" s="2"/>
      <c r="E898" s="2"/>
      <c r="F898" s="2"/>
      <c r="G898" s="2"/>
      <c r="H898" s="2"/>
      <c r="I898" s="2"/>
      <c r="J898" s="2"/>
      <c r="K898" s="2"/>
      <c r="L898" s="2"/>
      <c r="M898" s="2"/>
      <c r="N898" s="2"/>
      <c r="O898" s="2"/>
      <c r="P898" s="2"/>
      <c r="Q898" s="2"/>
      <c r="R898" s="2"/>
    </row>
    <row r="899">
      <c r="A899" s="2"/>
      <c r="B899" s="2"/>
      <c r="C899" s="2"/>
      <c r="D899" s="2"/>
      <c r="E899" s="2"/>
      <c r="F899" s="2"/>
      <c r="G899" s="2"/>
      <c r="H899" s="2"/>
      <c r="I899" s="2"/>
      <c r="J899" s="2"/>
      <c r="K899" s="2"/>
      <c r="L899" s="2"/>
      <c r="M899" s="2"/>
      <c r="N899" s="2"/>
      <c r="O899" s="2"/>
      <c r="P899" s="2"/>
      <c r="Q899" s="2"/>
      <c r="R899" s="2"/>
    </row>
    <row r="900">
      <c r="A900" s="2"/>
      <c r="B900" s="2"/>
      <c r="C900" s="2"/>
      <c r="D900" s="2"/>
      <c r="E900" s="2"/>
      <c r="F900" s="2"/>
      <c r="G900" s="2"/>
      <c r="H900" s="2"/>
      <c r="I900" s="2"/>
      <c r="J900" s="2"/>
      <c r="K900" s="2"/>
      <c r="L900" s="2"/>
      <c r="M900" s="2"/>
      <c r="N900" s="2"/>
      <c r="O900" s="2"/>
      <c r="P900" s="2"/>
      <c r="Q900" s="2"/>
      <c r="R900" s="2"/>
    </row>
    <row r="901">
      <c r="A901" s="2"/>
      <c r="B901" s="2"/>
      <c r="C901" s="2"/>
      <c r="D901" s="2"/>
      <c r="E901" s="2"/>
      <c r="F901" s="2"/>
      <c r="G901" s="2"/>
      <c r="H901" s="2"/>
      <c r="I901" s="2"/>
      <c r="J901" s="2"/>
      <c r="K901" s="2"/>
      <c r="L901" s="2"/>
      <c r="M901" s="2"/>
      <c r="N901" s="2"/>
      <c r="O901" s="2"/>
      <c r="P901" s="2"/>
      <c r="Q901" s="2"/>
      <c r="R901" s="2"/>
    </row>
    <row r="902">
      <c r="A902" s="2"/>
      <c r="B902" s="2"/>
      <c r="C902" s="2"/>
      <c r="D902" s="2"/>
      <c r="E902" s="2"/>
      <c r="F902" s="2"/>
      <c r="G902" s="2"/>
      <c r="H902" s="2"/>
      <c r="I902" s="2"/>
      <c r="J902" s="2"/>
      <c r="K902" s="2"/>
      <c r="L902" s="2"/>
      <c r="M902" s="2"/>
      <c r="N902" s="2"/>
      <c r="O902" s="2"/>
      <c r="P902" s="2"/>
      <c r="Q902" s="2"/>
      <c r="R902" s="2"/>
    </row>
    <row r="903">
      <c r="A903" s="2"/>
      <c r="B903" s="2"/>
      <c r="C903" s="2"/>
      <c r="D903" s="2"/>
      <c r="E903" s="2"/>
      <c r="F903" s="2"/>
      <c r="G903" s="2"/>
      <c r="H903" s="2"/>
      <c r="I903" s="2"/>
      <c r="J903" s="2"/>
      <c r="K903" s="2"/>
      <c r="L903" s="2"/>
      <c r="M903" s="2"/>
      <c r="N903" s="2"/>
      <c r="O903" s="2"/>
      <c r="P903" s="2"/>
      <c r="Q903" s="2"/>
      <c r="R903" s="2"/>
    </row>
    <row r="904">
      <c r="A904" s="2"/>
      <c r="B904" s="2"/>
      <c r="C904" s="2"/>
      <c r="D904" s="2"/>
      <c r="E904" s="2"/>
      <c r="F904" s="2"/>
      <c r="G904" s="2"/>
      <c r="H904" s="2"/>
      <c r="I904" s="2"/>
      <c r="J904" s="2"/>
      <c r="K904" s="2"/>
      <c r="L904" s="2"/>
      <c r="M904" s="2"/>
      <c r="N904" s="2"/>
      <c r="O904" s="2"/>
      <c r="P904" s="2"/>
      <c r="Q904" s="2"/>
      <c r="R904" s="2"/>
    </row>
    <row r="905">
      <c r="A905" s="2"/>
      <c r="B905" s="2"/>
      <c r="C905" s="2"/>
      <c r="D905" s="2"/>
      <c r="E905" s="2"/>
      <c r="F905" s="2"/>
      <c r="G905" s="2"/>
      <c r="H905" s="2"/>
      <c r="I905" s="2"/>
      <c r="J905" s="2"/>
      <c r="K905" s="2"/>
      <c r="L905" s="2"/>
      <c r="M905" s="2"/>
      <c r="N905" s="2"/>
      <c r="O905" s="2"/>
      <c r="P905" s="2"/>
      <c r="Q905" s="2"/>
      <c r="R905" s="2"/>
    </row>
    <row r="906">
      <c r="A906" s="2"/>
      <c r="B906" s="2"/>
      <c r="C906" s="2"/>
      <c r="D906" s="2"/>
      <c r="E906" s="2"/>
      <c r="F906" s="2"/>
      <c r="G906" s="2"/>
      <c r="H906" s="2"/>
      <c r="I906" s="2"/>
      <c r="J906" s="2"/>
      <c r="K906" s="2"/>
      <c r="L906" s="2"/>
      <c r="M906" s="2"/>
      <c r="N906" s="2"/>
      <c r="O906" s="2"/>
      <c r="P906" s="2"/>
      <c r="Q906" s="2"/>
      <c r="R906" s="2"/>
    </row>
    <row r="907">
      <c r="A907" s="2"/>
      <c r="B907" s="2"/>
      <c r="C907" s="2"/>
      <c r="D907" s="2"/>
      <c r="E907" s="2"/>
      <c r="F907" s="2"/>
      <c r="G907" s="2"/>
      <c r="H907" s="2"/>
      <c r="I907" s="2"/>
      <c r="J907" s="2"/>
      <c r="K907" s="2"/>
      <c r="L907" s="2"/>
      <c r="M907" s="2"/>
      <c r="N907" s="2"/>
      <c r="O907" s="2"/>
      <c r="P907" s="2"/>
      <c r="Q907" s="2"/>
      <c r="R907" s="2"/>
    </row>
    <row r="908">
      <c r="A908" s="2"/>
      <c r="B908" s="2"/>
      <c r="C908" s="2"/>
      <c r="D908" s="2"/>
      <c r="E908" s="2"/>
      <c r="F908" s="2"/>
      <c r="G908" s="2"/>
      <c r="H908" s="2"/>
      <c r="I908" s="2"/>
      <c r="J908" s="2"/>
      <c r="K908" s="2"/>
      <c r="L908" s="2"/>
      <c r="M908" s="2"/>
      <c r="N908" s="2"/>
      <c r="O908" s="2"/>
      <c r="P908" s="2"/>
      <c r="Q908" s="2"/>
      <c r="R908" s="2"/>
    </row>
    <row r="909">
      <c r="A909" s="2"/>
      <c r="B909" s="2"/>
      <c r="C909" s="2"/>
      <c r="D909" s="2"/>
      <c r="E909" s="2"/>
      <c r="F909" s="2"/>
      <c r="G909" s="2"/>
      <c r="H909" s="2"/>
      <c r="I909" s="2"/>
      <c r="J909" s="2"/>
      <c r="K909" s="2"/>
      <c r="L909" s="2"/>
      <c r="M909" s="2"/>
      <c r="N909" s="2"/>
      <c r="O909" s="2"/>
      <c r="P909" s="2"/>
      <c r="Q909" s="2"/>
      <c r="R909" s="2"/>
    </row>
    <row r="910">
      <c r="A910" s="2"/>
      <c r="B910" s="2"/>
      <c r="C910" s="2"/>
      <c r="D910" s="2"/>
      <c r="E910" s="2"/>
      <c r="F910" s="2"/>
      <c r="G910" s="2"/>
      <c r="H910" s="2"/>
      <c r="I910" s="2"/>
      <c r="J910" s="2"/>
      <c r="K910" s="2"/>
      <c r="L910" s="2"/>
      <c r="M910" s="2"/>
      <c r="N910" s="2"/>
      <c r="O910" s="2"/>
      <c r="P910" s="2"/>
      <c r="Q910" s="2"/>
      <c r="R910" s="2"/>
    </row>
    <row r="911">
      <c r="A911" s="2"/>
      <c r="B911" s="2"/>
      <c r="C911" s="2"/>
      <c r="D911" s="2"/>
      <c r="E911" s="2"/>
      <c r="F911" s="2"/>
      <c r="G911" s="2"/>
      <c r="H911" s="2"/>
      <c r="I911" s="2"/>
      <c r="J911" s="2"/>
      <c r="K911" s="2"/>
      <c r="L911" s="2"/>
      <c r="M911" s="2"/>
      <c r="N911" s="2"/>
      <c r="O911" s="2"/>
      <c r="P911" s="2"/>
      <c r="Q911" s="2"/>
      <c r="R911" s="2"/>
    </row>
    <row r="912">
      <c r="A912" s="2"/>
      <c r="B912" s="2"/>
      <c r="C912" s="2"/>
      <c r="D912" s="2"/>
      <c r="E912" s="2"/>
      <c r="F912" s="2"/>
      <c r="G912" s="2"/>
      <c r="H912" s="2"/>
      <c r="I912" s="2"/>
      <c r="J912" s="2"/>
      <c r="K912" s="2"/>
      <c r="L912" s="2"/>
      <c r="M912" s="2"/>
      <c r="N912" s="2"/>
      <c r="O912" s="2"/>
      <c r="P912" s="2"/>
      <c r="Q912" s="2"/>
      <c r="R912" s="2"/>
    </row>
    <row r="913">
      <c r="A913" s="2"/>
      <c r="B913" s="2"/>
      <c r="C913" s="2"/>
      <c r="D913" s="2"/>
      <c r="E913" s="2"/>
      <c r="F913" s="2"/>
      <c r="G913" s="2"/>
      <c r="H913" s="2"/>
      <c r="I913" s="2"/>
      <c r="J913" s="2"/>
      <c r="K913" s="2"/>
      <c r="L913" s="2"/>
      <c r="M913" s="2"/>
      <c r="N913" s="2"/>
      <c r="O913" s="2"/>
      <c r="P913" s="2"/>
      <c r="Q913" s="2"/>
      <c r="R913" s="2"/>
    </row>
    <row r="914">
      <c r="A914" s="2"/>
      <c r="B914" s="2"/>
      <c r="C914" s="2"/>
      <c r="D914" s="2"/>
      <c r="E914" s="2"/>
      <c r="F914" s="2"/>
      <c r="G914" s="2"/>
      <c r="H914" s="2"/>
      <c r="I914" s="2"/>
      <c r="J914" s="2"/>
      <c r="K914" s="2"/>
      <c r="L914" s="2"/>
      <c r="M914" s="2"/>
      <c r="N914" s="2"/>
      <c r="O914" s="2"/>
      <c r="P914" s="2"/>
      <c r="Q914" s="2"/>
      <c r="R914" s="2"/>
    </row>
    <row r="915">
      <c r="A915" s="2"/>
      <c r="B915" s="2"/>
      <c r="C915" s="2"/>
      <c r="D915" s="2"/>
      <c r="E915" s="2"/>
      <c r="F915" s="2"/>
      <c r="G915" s="2"/>
      <c r="H915" s="2"/>
      <c r="I915" s="2"/>
      <c r="J915" s="2"/>
      <c r="K915" s="2"/>
      <c r="L915" s="2"/>
      <c r="M915" s="2"/>
      <c r="N915" s="2"/>
      <c r="O915" s="2"/>
      <c r="P915" s="2"/>
      <c r="Q915" s="2"/>
      <c r="R915" s="2"/>
    </row>
    <row r="916">
      <c r="A916" s="2"/>
      <c r="B916" s="2"/>
      <c r="C916" s="2"/>
      <c r="D916" s="2"/>
      <c r="E916" s="2"/>
      <c r="F916" s="2"/>
      <c r="G916" s="2"/>
      <c r="H916" s="2"/>
      <c r="I916" s="2"/>
      <c r="J916" s="2"/>
      <c r="K916" s="2"/>
      <c r="L916" s="2"/>
      <c r="M916" s="2"/>
      <c r="N916" s="2"/>
      <c r="O916" s="2"/>
      <c r="P916" s="2"/>
      <c r="Q916" s="2"/>
      <c r="R916" s="2"/>
    </row>
    <row r="917">
      <c r="A917" s="2"/>
      <c r="B917" s="2"/>
      <c r="C917" s="2"/>
      <c r="D917" s="2"/>
      <c r="E917" s="2"/>
      <c r="F917" s="2"/>
      <c r="G917" s="2"/>
      <c r="H917" s="2"/>
      <c r="I917" s="2"/>
      <c r="J917" s="2"/>
      <c r="K917" s="2"/>
      <c r="L917" s="2"/>
      <c r="M917" s="2"/>
      <c r="N917" s="2"/>
      <c r="O917" s="2"/>
      <c r="P917" s="2"/>
      <c r="Q917" s="2"/>
      <c r="R917" s="2"/>
    </row>
    <row r="918">
      <c r="A918" s="2"/>
      <c r="B918" s="2"/>
      <c r="C918" s="2"/>
      <c r="D918" s="2"/>
      <c r="E918" s="2"/>
      <c r="F918" s="2"/>
      <c r="G918" s="2"/>
      <c r="H918" s="2"/>
      <c r="I918" s="2"/>
      <c r="J918" s="2"/>
      <c r="K918" s="2"/>
      <c r="L918" s="2"/>
      <c r="M918" s="2"/>
      <c r="N918" s="2"/>
      <c r="O918" s="2"/>
      <c r="P918" s="2"/>
      <c r="Q918" s="2"/>
      <c r="R918" s="2"/>
    </row>
    <row r="919">
      <c r="A919" s="2"/>
      <c r="B919" s="2"/>
      <c r="C919" s="2"/>
      <c r="D919" s="2"/>
      <c r="E919" s="2"/>
      <c r="F919" s="2"/>
      <c r="G919" s="2"/>
      <c r="H919" s="2"/>
      <c r="I919" s="2"/>
      <c r="J919" s="2"/>
      <c r="K919" s="2"/>
      <c r="L919" s="2"/>
      <c r="M919" s="2"/>
      <c r="N919" s="2"/>
      <c r="O919" s="2"/>
      <c r="P919" s="2"/>
      <c r="Q919" s="2"/>
      <c r="R919" s="2"/>
    </row>
    <row r="920">
      <c r="A920" s="2"/>
      <c r="B920" s="2"/>
      <c r="C920" s="2"/>
      <c r="D920" s="2"/>
      <c r="E920" s="2"/>
      <c r="F920" s="2"/>
      <c r="G920" s="2"/>
      <c r="H920" s="2"/>
      <c r="I920" s="2"/>
      <c r="J920" s="2"/>
      <c r="K920" s="2"/>
      <c r="L920" s="2"/>
      <c r="M920" s="2"/>
      <c r="N920" s="2"/>
      <c r="O920" s="2"/>
      <c r="P920" s="2"/>
      <c r="Q920" s="2"/>
      <c r="R920" s="2"/>
    </row>
    <row r="921">
      <c r="A921" s="2"/>
      <c r="B921" s="2"/>
      <c r="C921" s="2"/>
      <c r="D921" s="2"/>
      <c r="E921" s="2"/>
      <c r="F921" s="2"/>
      <c r="G921" s="2"/>
      <c r="H921" s="2"/>
      <c r="I921" s="2"/>
      <c r="J921" s="2"/>
      <c r="K921" s="2"/>
      <c r="L921" s="2"/>
      <c r="M921" s="2"/>
      <c r="N921" s="2"/>
      <c r="O921" s="2"/>
      <c r="P921" s="2"/>
      <c r="Q921" s="2"/>
      <c r="R921" s="2"/>
    </row>
    <row r="922">
      <c r="A922" s="2"/>
      <c r="B922" s="2"/>
      <c r="C922" s="2"/>
      <c r="D922" s="2"/>
      <c r="E922" s="2"/>
      <c r="F922" s="2"/>
      <c r="G922" s="2"/>
      <c r="H922" s="2"/>
      <c r="I922" s="2"/>
      <c r="J922" s="2"/>
      <c r="K922" s="2"/>
      <c r="L922" s="2"/>
      <c r="M922" s="2"/>
      <c r="N922" s="2"/>
      <c r="O922" s="2"/>
      <c r="P922" s="2"/>
      <c r="Q922" s="2"/>
      <c r="R922" s="2"/>
    </row>
    <row r="923">
      <c r="A923" s="2"/>
      <c r="B923" s="2"/>
      <c r="C923" s="2"/>
      <c r="D923" s="2"/>
      <c r="E923" s="2"/>
      <c r="F923" s="2"/>
      <c r="G923" s="2"/>
      <c r="H923" s="2"/>
      <c r="I923" s="2"/>
      <c r="J923" s="2"/>
      <c r="K923" s="2"/>
      <c r="L923" s="2"/>
      <c r="M923" s="2"/>
      <c r="N923" s="2"/>
      <c r="O923" s="2"/>
      <c r="P923" s="2"/>
      <c r="Q923" s="2"/>
      <c r="R923" s="2"/>
    </row>
    <row r="924">
      <c r="A924" s="2"/>
      <c r="B924" s="2"/>
      <c r="C924" s="2"/>
      <c r="D924" s="2"/>
      <c r="E924" s="2"/>
      <c r="F924" s="2"/>
      <c r="G924" s="2"/>
      <c r="H924" s="2"/>
      <c r="I924" s="2"/>
      <c r="J924" s="2"/>
      <c r="K924" s="2"/>
      <c r="L924" s="2"/>
      <c r="M924" s="2"/>
      <c r="N924" s="2"/>
      <c r="O924" s="2"/>
      <c r="P924" s="2"/>
      <c r="Q924" s="2"/>
      <c r="R924" s="2"/>
    </row>
    <row r="925">
      <c r="A925" s="2"/>
      <c r="B925" s="2"/>
      <c r="C925" s="2"/>
      <c r="D925" s="2"/>
      <c r="E925" s="2"/>
      <c r="F925" s="2"/>
      <c r="G925" s="2"/>
      <c r="H925" s="2"/>
      <c r="I925" s="2"/>
      <c r="J925" s="2"/>
      <c r="K925" s="2"/>
      <c r="L925" s="2"/>
      <c r="M925" s="2"/>
      <c r="N925" s="2"/>
      <c r="O925" s="2"/>
      <c r="P925" s="2"/>
      <c r="Q925" s="2"/>
      <c r="R925" s="2"/>
    </row>
    <row r="926">
      <c r="A926" s="2"/>
      <c r="B926" s="2"/>
      <c r="C926" s="2"/>
      <c r="D926" s="2"/>
      <c r="E926" s="2"/>
      <c r="F926" s="2"/>
      <c r="G926" s="2"/>
      <c r="H926" s="2"/>
      <c r="I926" s="2"/>
      <c r="J926" s="2"/>
      <c r="K926" s="2"/>
      <c r="L926" s="2"/>
      <c r="M926" s="2"/>
      <c r="N926" s="2"/>
      <c r="O926" s="2"/>
      <c r="P926" s="2"/>
      <c r="Q926" s="2"/>
      <c r="R926" s="2"/>
    </row>
    <row r="927">
      <c r="A927" s="2"/>
      <c r="B927" s="2"/>
      <c r="C927" s="2"/>
      <c r="D927" s="2"/>
      <c r="E927" s="2"/>
      <c r="F927" s="2"/>
      <c r="G927" s="2"/>
      <c r="H927" s="2"/>
      <c r="I927" s="2"/>
      <c r="J927" s="2"/>
      <c r="K927" s="2"/>
      <c r="L927" s="2"/>
      <c r="M927" s="2"/>
      <c r="N927" s="2"/>
      <c r="O927" s="2"/>
      <c r="P927" s="2"/>
      <c r="Q927" s="2"/>
      <c r="R927" s="2"/>
    </row>
    <row r="928">
      <c r="A928" s="2"/>
      <c r="B928" s="2"/>
      <c r="C928" s="2"/>
      <c r="D928" s="2"/>
      <c r="E928" s="2"/>
      <c r="F928" s="2"/>
      <c r="G928" s="2"/>
      <c r="H928" s="2"/>
      <c r="I928" s="2"/>
      <c r="J928" s="2"/>
      <c r="K928" s="2"/>
      <c r="L928" s="2"/>
      <c r="M928" s="2"/>
      <c r="N928" s="2"/>
      <c r="O928" s="2"/>
      <c r="P928" s="2"/>
      <c r="Q928" s="2"/>
      <c r="R928" s="2"/>
    </row>
    <row r="929">
      <c r="A929" s="2"/>
      <c r="B929" s="2"/>
      <c r="C929" s="2"/>
      <c r="D929" s="2"/>
      <c r="E929" s="2"/>
      <c r="F929" s="2"/>
      <c r="G929" s="2"/>
      <c r="H929" s="2"/>
      <c r="I929" s="2"/>
      <c r="J929" s="2"/>
      <c r="K929" s="2"/>
      <c r="L929" s="2"/>
      <c r="M929" s="2"/>
      <c r="N929" s="2"/>
      <c r="O929" s="2"/>
      <c r="P929" s="2"/>
      <c r="Q929" s="2"/>
      <c r="R929" s="2"/>
    </row>
    <row r="930">
      <c r="A930" s="2"/>
      <c r="B930" s="2"/>
      <c r="C930" s="2"/>
      <c r="D930" s="2"/>
      <c r="E930" s="2"/>
      <c r="F930" s="2"/>
      <c r="G930" s="2"/>
      <c r="H930" s="2"/>
      <c r="I930" s="2"/>
      <c r="J930" s="2"/>
      <c r="K930" s="2"/>
      <c r="L930" s="2"/>
      <c r="M930" s="2"/>
      <c r="N930" s="2"/>
      <c r="O930" s="2"/>
      <c r="P930" s="2"/>
      <c r="Q930" s="2"/>
      <c r="R930" s="2"/>
    </row>
    <row r="931">
      <c r="A931" s="2"/>
      <c r="B931" s="2"/>
      <c r="C931" s="2"/>
      <c r="D931" s="2"/>
      <c r="E931" s="2"/>
      <c r="F931" s="2"/>
      <c r="G931" s="2"/>
      <c r="H931" s="2"/>
      <c r="I931" s="2"/>
      <c r="J931" s="2"/>
      <c r="K931" s="2"/>
      <c r="L931" s="2"/>
      <c r="M931" s="2"/>
      <c r="N931" s="2"/>
      <c r="O931" s="2"/>
      <c r="P931" s="2"/>
      <c r="Q931" s="2"/>
      <c r="R931" s="2"/>
    </row>
    <row r="932">
      <c r="A932" s="2"/>
      <c r="B932" s="2"/>
      <c r="C932" s="2"/>
      <c r="D932" s="2"/>
      <c r="E932" s="2"/>
      <c r="F932" s="2"/>
      <c r="G932" s="2"/>
      <c r="H932" s="2"/>
      <c r="I932" s="2"/>
      <c r="J932" s="2"/>
      <c r="K932" s="2"/>
      <c r="L932" s="2"/>
      <c r="M932" s="2"/>
      <c r="N932" s="2"/>
      <c r="O932" s="2"/>
      <c r="P932" s="2"/>
      <c r="Q932" s="2"/>
      <c r="R932" s="2"/>
    </row>
    <row r="933">
      <c r="A933" s="2"/>
      <c r="B933" s="2"/>
      <c r="C933" s="2"/>
      <c r="D933" s="2"/>
      <c r="E933" s="2"/>
      <c r="F933" s="2"/>
      <c r="G933" s="2"/>
      <c r="H933" s="2"/>
      <c r="I933" s="2"/>
      <c r="J933" s="2"/>
      <c r="K933" s="2"/>
      <c r="L933" s="2"/>
      <c r="M933" s="2"/>
      <c r="N933" s="2"/>
      <c r="O933" s="2"/>
      <c r="P933" s="2"/>
      <c r="Q933" s="2"/>
      <c r="R933" s="2"/>
    </row>
    <row r="934">
      <c r="A934" s="2"/>
      <c r="B934" s="2"/>
      <c r="C934" s="2"/>
      <c r="D934" s="2"/>
      <c r="E934" s="2"/>
      <c r="F934" s="2"/>
      <c r="G934" s="2"/>
      <c r="H934" s="2"/>
      <c r="I934" s="2"/>
      <c r="J934" s="2"/>
      <c r="K934" s="2"/>
      <c r="L934" s="2"/>
      <c r="M934" s="2"/>
      <c r="N934" s="2"/>
      <c r="O934" s="2"/>
      <c r="P934" s="2"/>
      <c r="Q934" s="2"/>
      <c r="R934" s="2"/>
    </row>
    <row r="935">
      <c r="A935" s="2"/>
      <c r="B935" s="2"/>
      <c r="C935" s="2"/>
      <c r="D935" s="2"/>
      <c r="E935" s="2"/>
      <c r="F935" s="2"/>
      <c r="G935" s="2"/>
      <c r="H935" s="2"/>
      <c r="I935" s="2"/>
      <c r="J935" s="2"/>
      <c r="K935" s="2"/>
      <c r="L935" s="2"/>
      <c r="M935" s="2"/>
      <c r="N935" s="2"/>
      <c r="O935" s="2"/>
      <c r="P935" s="2"/>
      <c r="Q935" s="2"/>
      <c r="R935" s="2"/>
    </row>
    <row r="936">
      <c r="A936" s="2"/>
      <c r="B936" s="2"/>
      <c r="C936" s="2"/>
      <c r="D936" s="2"/>
      <c r="E936" s="2"/>
      <c r="F936" s="2"/>
      <c r="G936" s="2"/>
      <c r="H936" s="2"/>
      <c r="I936" s="2"/>
      <c r="J936" s="2"/>
      <c r="K936" s="2"/>
      <c r="L936" s="2"/>
      <c r="M936" s="2"/>
      <c r="N936" s="2"/>
      <c r="O936" s="2"/>
      <c r="P936" s="2"/>
      <c r="Q936" s="2"/>
      <c r="R936" s="2"/>
    </row>
    <row r="937">
      <c r="A937" s="2"/>
      <c r="B937" s="2"/>
      <c r="C937" s="2"/>
      <c r="D937" s="2"/>
      <c r="E937" s="2"/>
      <c r="F937" s="2"/>
      <c r="G937" s="2"/>
      <c r="H937" s="2"/>
      <c r="I937" s="2"/>
      <c r="J937" s="2"/>
      <c r="K937" s="2"/>
      <c r="L937" s="2"/>
      <c r="M937" s="2"/>
      <c r="N937" s="2"/>
      <c r="O937" s="2"/>
      <c r="P937" s="2"/>
      <c r="Q937" s="2"/>
      <c r="R937" s="2"/>
    </row>
    <row r="938">
      <c r="A938" s="2"/>
      <c r="B938" s="2"/>
      <c r="C938" s="2"/>
      <c r="D938" s="2"/>
      <c r="E938" s="2"/>
      <c r="F938" s="2"/>
      <c r="G938" s="2"/>
      <c r="H938" s="2"/>
      <c r="I938" s="2"/>
      <c r="J938" s="2"/>
      <c r="K938" s="2"/>
      <c r="L938" s="2"/>
      <c r="M938" s="2"/>
      <c r="N938" s="2"/>
      <c r="O938" s="2"/>
      <c r="P938" s="2"/>
      <c r="Q938" s="2"/>
      <c r="R938" s="2"/>
    </row>
    <row r="939">
      <c r="A939" s="2"/>
      <c r="B939" s="2"/>
      <c r="C939" s="2"/>
      <c r="D939" s="2"/>
      <c r="E939" s="2"/>
      <c r="F939" s="2"/>
      <c r="G939" s="2"/>
      <c r="H939" s="2"/>
      <c r="I939" s="2"/>
      <c r="J939" s="2"/>
      <c r="K939" s="2"/>
      <c r="L939" s="2"/>
      <c r="M939" s="2"/>
      <c r="N939" s="2"/>
      <c r="O939" s="2"/>
      <c r="P939" s="2"/>
      <c r="Q939" s="2"/>
      <c r="R939" s="2"/>
    </row>
    <row r="940">
      <c r="A940" s="2"/>
      <c r="B940" s="2"/>
      <c r="C940" s="2"/>
      <c r="D940" s="2"/>
      <c r="E940" s="2"/>
      <c r="F940" s="2"/>
      <c r="G940" s="2"/>
      <c r="H940" s="2"/>
      <c r="I940" s="2"/>
      <c r="J940" s="2"/>
      <c r="K940" s="2"/>
      <c r="L940" s="2"/>
      <c r="M940" s="2"/>
      <c r="N940" s="2"/>
      <c r="O940" s="2"/>
      <c r="P940" s="2"/>
      <c r="Q940" s="2"/>
      <c r="R940" s="2"/>
    </row>
    <row r="941">
      <c r="A941" s="2"/>
      <c r="B941" s="2"/>
      <c r="C941" s="2"/>
      <c r="D941" s="2"/>
      <c r="E941" s="2"/>
      <c r="F941" s="2"/>
      <c r="G941" s="2"/>
      <c r="H941" s="2"/>
      <c r="I941" s="2"/>
      <c r="J941" s="2"/>
      <c r="K941" s="2"/>
      <c r="L941" s="2"/>
      <c r="M941" s="2"/>
      <c r="N941" s="2"/>
      <c r="O941" s="2"/>
      <c r="P941" s="2"/>
      <c r="Q941" s="2"/>
      <c r="R941" s="2"/>
    </row>
    <row r="942">
      <c r="A942" s="2"/>
      <c r="B942" s="2"/>
      <c r="C942" s="2"/>
      <c r="D942" s="2"/>
      <c r="E942" s="2"/>
      <c r="F942" s="2"/>
      <c r="G942" s="2"/>
      <c r="H942" s="2"/>
      <c r="I942" s="2"/>
      <c r="J942" s="2"/>
      <c r="K942" s="2"/>
      <c r="L942" s="2"/>
      <c r="M942" s="2"/>
      <c r="N942" s="2"/>
      <c r="O942" s="2"/>
      <c r="P942" s="2"/>
      <c r="Q942" s="2"/>
      <c r="R942" s="2"/>
    </row>
    <row r="943">
      <c r="A943" s="2"/>
      <c r="B943" s="2"/>
      <c r="C943" s="2"/>
      <c r="D943" s="2"/>
      <c r="E943" s="2"/>
      <c r="F943" s="2"/>
      <c r="G943" s="2"/>
      <c r="H943" s="2"/>
      <c r="I943" s="2"/>
      <c r="J943" s="2"/>
      <c r="K943" s="2"/>
      <c r="L943" s="2"/>
      <c r="M943" s="2"/>
      <c r="N943" s="2"/>
      <c r="O943" s="2"/>
      <c r="P943" s="2"/>
      <c r="Q943" s="2"/>
      <c r="R943" s="2"/>
    </row>
    <row r="944">
      <c r="A944" s="2"/>
      <c r="B944" s="2"/>
      <c r="C944" s="2"/>
      <c r="D944" s="2"/>
      <c r="E944" s="2"/>
      <c r="F944" s="2"/>
      <c r="G944" s="2"/>
      <c r="H944" s="2"/>
      <c r="I944" s="2"/>
      <c r="J944" s="2"/>
      <c r="K944" s="2"/>
      <c r="L944" s="2"/>
      <c r="M944" s="2"/>
      <c r="N944" s="2"/>
      <c r="O944" s="2"/>
      <c r="P944" s="2"/>
      <c r="Q944" s="2"/>
      <c r="R944" s="2"/>
    </row>
    <row r="945">
      <c r="A945" s="2"/>
      <c r="B945" s="2"/>
      <c r="C945" s="2"/>
      <c r="D945" s="2"/>
      <c r="E945" s="2"/>
      <c r="F945" s="2"/>
      <c r="G945" s="2"/>
      <c r="H945" s="2"/>
      <c r="I945" s="2"/>
      <c r="J945" s="2"/>
      <c r="K945" s="2"/>
      <c r="L945" s="2"/>
      <c r="M945" s="2"/>
      <c r="N945" s="2"/>
      <c r="O945" s="2"/>
      <c r="P945" s="2"/>
      <c r="Q945" s="2"/>
      <c r="R945" s="2"/>
    </row>
    <row r="946">
      <c r="A946" s="2"/>
      <c r="B946" s="2"/>
      <c r="C946" s="2"/>
      <c r="D946" s="2"/>
      <c r="E946" s="2"/>
      <c r="F946" s="2"/>
      <c r="G946" s="2"/>
      <c r="H946" s="2"/>
      <c r="I946" s="2"/>
      <c r="J946" s="2"/>
      <c r="K946" s="2"/>
      <c r="L946" s="2"/>
      <c r="M946" s="2"/>
      <c r="N946" s="2"/>
      <c r="O946" s="2"/>
      <c r="P946" s="2"/>
      <c r="Q946" s="2"/>
      <c r="R946" s="2"/>
    </row>
    <row r="947">
      <c r="A947" s="2"/>
      <c r="B947" s="2"/>
      <c r="C947" s="2"/>
      <c r="D947" s="2"/>
      <c r="E947" s="2"/>
      <c r="F947" s="2"/>
      <c r="G947" s="2"/>
      <c r="H947" s="2"/>
      <c r="I947" s="2"/>
      <c r="J947" s="2"/>
      <c r="K947" s="2"/>
      <c r="L947" s="2"/>
      <c r="M947" s="2"/>
      <c r="N947" s="2"/>
      <c r="O947" s="2"/>
      <c r="P947" s="2"/>
      <c r="Q947" s="2"/>
      <c r="R947" s="2"/>
    </row>
    <row r="948">
      <c r="A948" s="2"/>
      <c r="B948" s="2"/>
      <c r="C948" s="2"/>
      <c r="D948" s="2"/>
      <c r="E948" s="2"/>
      <c r="F948" s="2"/>
      <c r="G948" s="2"/>
      <c r="H948" s="2"/>
      <c r="I948" s="2"/>
      <c r="J948" s="2"/>
      <c r="K948" s="2"/>
      <c r="L948" s="2"/>
      <c r="M948" s="2"/>
      <c r="N948" s="2"/>
      <c r="O948" s="2"/>
      <c r="P948" s="2"/>
      <c r="Q948" s="2"/>
      <c r="R948" s="2"/>
    </row>
    <row r="949">
      <c r="A949" s="2"/>
      <c r="B949" s="2"/>
      <c r="C949" s="2"/>
      <c r="D949" s="2"/>
      <c r="E949" s="2"/>
      <c r="F949" s="2"/>
      <c r="G949" s="2"/>
      <c r="H949" s="2"/>
      <c r="I949" s="2"/>
      <c r="J949" s="2"/>
      <c r="K949" s="2"/>
      <c r="L949" s="2"/>
      <c r="M949" s="2"/>
      <c r="N949" s="2"/>
      <c r="O949" s="2"/>
      <c r="P949" s="2"/>
      <c r="Q949" s="2"/>
      <c r="R949" s="2"/>
    </row>
    <row r="950">
      <c r="A950" s="2"/>
      <c r="B950" s="2"/>
      <c r="C950" s="2"/>
      <c r="D950" s="2"/>
      <c r="E950" s="2"/>
      <c r="F950" s="2"/>
      <c r="G950" s="2"/>
      <c r="H950" s="2"/>
      <c r="I950" s="2"/>
      <c r="J950" s="2"/>
      <c r="K950" s="2"/>
      <c r="L950" s="2"/>
      <c r="M950" s="2"/>
      <c r="N950" s="2"/>
      <c r="O950" s="2"/>
      <c r="P950" s="2"/>
      <c r="Q950" s="2"/>
      <c r="R950" s="2"/>
    </row>
    <row r="951">
      <c r="A951" s="2"/>
      <c r="B951" s="2"/>
      <c r="C951" s="2"/>
      <c r="D951" s="2"/>
      <c r="E951" s="2"/>
      <c r="F951" s="2"/>
      <c r="G951" s="2"/>
      <c r="H951" s="2"/>
      <c r="I951" s="2"/>
      <c r="J951" s="2"/>
      <c r="K951" s="2"/>
      <c r="L951" s="2"/>
      <c r="M951" s="2"/>
      <c r="N951" s="2"/>
      <c r="O951" s="2"/>
      <c r="P951" s="2"/>
      <c r="Q951" s="2"/>
      <c r="R951" s="2"/>
    </row>
    <row r="952">
      <c r="A952" s="2"/>
      <c r="B952" s="2"/>
      <c r="C952" s="2"/>
      <c r="D952" s="2"/>
      <c r="E952" s="2"/>
      <c r="F952" s="2"/>
      <c r="G952" s="2"/>
      <c r="H952" s="2"/>
      <c r="I952" s="2"/>
      <c r="J952" s="2"/>
      <c r="K952" s="2"/>
      <c r="L952" s="2"/>
      <c r="M952" s="2"/>
      <c r="N952" s="2"/>
      <c r="O952" s="2"/>
      <c r="P952" s="2"/>
      <c r="Q952" s="2"/>
      <c r="R952" s="2"/>
    </row>
    <row r="953">
      <c r="A953" s="2"/>
      <c r="B953" s="2"/>
      <c r="C953" s="2"/>
      <c r="D953" s="2"/>
      <c r="E953" s="2"/>
      <c r="F953" s="2"/>
      <c r="G953" s="2"/>
      <c r="H953" s="2"/>
      <c r="I953" s="2"/>
      <c r="J953" s="2"/>
      <c r="K953" s="2"/>
      <c r="L953" s="2"/>
      <c r="M953" s="2"/>
      <c r="N953" s="2"/>
      <c r="O953" s="2"/>
      <c r="P953" s="2"/>
      <c r="Q953" s="2"/>
      <c r="R953" s="2"/>
    </row>
    <row r="954">
      <c r="A954" s="2"/>
      <c r="B954" s="2"/>
      <c r="C954" s="2"/>
      <c r="D954" s="2"/>
      <c r="E954" s="2"/>
      <c r="F954" s="2"/>
      <c r="G954" s="2"/>
      <c r="H954" s="2"/>
      <c r="I954" s="2"/>
      <c r="J954" s="2"/>
      <c r="K954" s="2"/>
      <c r="L954" s="2"/>
      <c r="M954" s="2"/>
      <c r="N954" s="2"/>
      <c r="O954" s="2"/>
      <c r="P954" s="2"/>
      <c r="Q954" s="2"/>
      <c r="R954" s="2"/>
    </row>
    <row r="955">
      <c r="A955" s="2"/>
      <c r="B955" s="2"/>
      <c r="C955" s="2"/>
      <c r="D955" s="2"/>
      <c r="E955" s="2"/>
      <c r="F955" s="2"/>
      <c r="G955" s="2"/>
      <c r="H955" s="2"/>
      <c r="I955" s="2"/>
      <c r="J955" s="2"/>
      <c r="K955" s="2"/>
      <c r="L955" s="2"/>
      <c r="M955" s="2"/>
      <c r="N955" s="2"/>
      <c r="O955" s="2"/>
      <c r="P955" s="2"/>
      <c r="Q955" s="2"/>
      <c r="R955" s="2"/>
    </row>
    <row r="956">
      <c r="A956" s="2"/>
      <c r="B956" s="2"/>
      <c r="C956" s="2"/>
      <c r="D956" s="2"/>
      <c r="E956" s="2"/>
      <c r="F956" s="2"/>
      <c r="G956" s="2"/>
      <c r="H956" s="2"/>
      <c r="I956" s="2"/>
      <c r="J956" s="2"/>
      <c r="K956" s="2"/>
      <c r="L956" s="2"/>
      <c r="M956" s="2"/>
      <c r="N956" s="2"/>
      <c r="O956" s="2"/>
      <c r="P956" s="2"/>
      <c r="Q956" s="2"/>
      <c r="R956" s="2"/>
    </row>
    <row r="957">
      <c r="A957" s="2"/>
      <c r="B957" s="2"/>
      <c r="C957" s="2"/>
      <c r="D957" s="2"/>
      <c r="E957" s="2"/>
      <c r="F957" s="2"/>
      <c r="G957" s="2"/>
      <c r="H957" s="2"/>
      <c r="I957" s="2"/>
      <c r="J957" s="2"/>
      <c r="K957" s="2"/>
      <c r="L957" s="2"/>
      <c r="M957" s="2"/>
      <c r="N957" s="2"/>
      <c r="O957" s="2"/>
      <c r="P957" s="2"/>
      <c r="Q957" s="2"/>
      <c r="R957" s="2"/>
    </row>
    <row r="958">
      <c r="A958" s="2"/>
      <c r="B958" s="2"/>
      <c r="C958" s="2"/>
      <c r="D958" s="2"/>
      <c r="E958" s="2"/>
      <c r="F958" s="2"/>
      <c r="G958" s="2"/>
      <c r="H958" s="2"/>
      <c r="I958" s="2"/>
      <c r="J958" s="2"/>
      <c r="K958" s="2"/>
      <c r="L958" s="2"/>
      <c r="M958" s="2"/>
      <c r="N958" s="2"/>
      <c r="O958" s="2"/>
      <c r="P958" s="2"/>
      <c r="Q958" s="2"/>
      <c r="R958" s="2"/>
    </row>
    <row r="959">
      <c r="A959" s="2"/>
      <c r="B959" s="2"/>
      <c r="C959" s="2"/>
      <c r="D959" s="2"/>
      <c r="E959" s="2"/>
      <c r="F959" s="2"/>
      <c r="G959" s="2"/>
      <c r="H959" s="2"/>
      <c r="I959" s="2"/>
      <c r="J959" s="2"/>
      <c r="K959" s="2"/>
      <c r="L959" s="2"/>
      <c r="M959" s="2"/>
      <c r="N959" s="2"/>
      <c r="O959" s="2"/>
      <c r="P959" s="2"/>
      <c r="Q959" s="2"/>
      <c r="R959" s="2"/>
    </row>
    <row r="960">
      <c r="A960" s="2"/>
      <c r="B960" s="2"/>
      <c r="C960" s="2"/>
      <c r="D960" s="2"/>
      <c r="E960" s="2"/>
      <c r="F960" s="2"/>
      <c r="G960" s="2"/>
      <c r="H960" s="2"/>
      <c r="I960" s="2"/>
      <c r="J960" s="2"/>
      <c r="K960" s="2"/>
      <c r="L960" s="2"/>
      <c r="M960" s="2"/>
      <c r="N960" s="2"/>
      <c r="O960" s="2"/>
      <c r="P960" s="2"/>
      <c r="Q960" s="2"/>
      <c r="R960" s="2"/>
    </row>
    <row r="961">
      <c r="A961" s="2"/>
      <c r="B961" s="2"/>
      <c r="C961" s="2"/>
      <c r="D961" s="2"/>
      <c r="E961" s="2"/>
      <c r="F961" s="2"/>
      <c r="G961" s="2"/>
      <c r="H961" s="2"/>
      <c r="I961" s="2"/>
      <c r="J961" s="2"/>
      <c r="K961" s="2"/>
      <c r="L961" s="2"/>
      <c r="M961" s="2"/>
      <c r="N961" s="2"/>
      <c r="O961" s="2"/>
      <c r="P961" s="2"/>
      <c r="Q961" s="2"/>
      <c r="R961" s="2"/>
    </row>
    <row r="962">
      <c r="A962" s="2"/>
      <c r="B962" s="2"/>
      <c r="C962" s="2"/>
      <c r="D962" s="2"/>
      <c r="E962" s="2"/>
      <c r="F962" s="2"/>
      <c r="G962" s="2"/>
      <c r="H962" s="2"/>
      <c r="I962" s="2"/>
      <c r="J962" s="2"/>
      <c r="K962" s="2"/>
      <c r="L962" s="2"/>
      <c r="M962" s="2"/>
      <c r="N962" s="2"/>
      <c r="O962" s="2"/>
      <c r="P962" s="2"/>
      <c r="Q962" s="2"/>
      <c r="R962" s="2"/>
    </row>
    <row r="963">
      <c r="A963" s="2"/>
      <c r="B963" s="2"/>
      <c r="C963" s="2"/>
      <c r="D963" s="2"/>
      <c r="E963" s="2"/>
      <c r="F963" s="2"/>
      <c r="G963" s="2"/>
      <c r="H963" s="2"/>
      <c r="I963" s="2"/>
      <c r="J963" s="2"/>
      <c r="K963" s="2"/>
      <c r="L963" s="2"/>
      <c r="M963" s="2"/>
      <c r="N963" s="2"/>
      <c r="O963" s="2"/>
      <c r="P963" s="2"/>
      <c r="Q963" s="2"/>
      <c r="R963" s="2"/>
    </row>
    <row r="964">
      <c r="A964" s="2"/>
      <c r="B964" s="2"/>
      <c r="C964" s="2"/>
      <c r="D964" s="2"/>
      <c r="E964" s="2"/>
      <c r="F964" s="2"/>
      <c r="G964" s="2"/>
      <c r="H964" s="2"/>
      <c r="I964" s="2"/>
      <c r="J964" s="2"/>
      <c r="K964" s="2"/>
      <c r="L964" s="2"/>
      <c r="M964" s="2"/>
      <c r="N964" s="2"/>
      <c r="O964" s="2"/>
      <c r="P964" s="2"/>
      <c r="Q964" s="2"/>
      <c r="R964" s="2"/>
    </row>
    <row r="965">
      <c r="A965" s="2"/>
      <c r="B965" s="2"/>
      <c r="C965" s="2"/>
      <c r="D965" s="2"/>
      <c r="E965" s="2"/>
      <c r="F965" s="2"/>
      <c r="G965" s="2"/>
      <c r="H965" s="2"/>
      <c r="I965" s="2"/>
      <c r="J965" s="2"/>
      <c r="K965" s="2"/>
      <c r="L965" s="2"/>
      <c r="M965" s="2"/>
      <c r="N965" s="2"/>
      <c r="O965" s="2"/>
      <c r="P965" s="2"/>
      <c r="Q965" s="2"/>
      <c r="R965" s="2"/>
    </row>
    <row r="966">
      <c r="A966" s="2"/>
      <c r="B966" s="2"/>
      <c r="C966" s="2"/>
      <c r="D966" s="2"/>
      <c r="E966" s="2"/>
      <c r="F966" s="2"/>
      <c r="G966" s="2"/>
      <c r="H966" s="2"/>
      <c r="I966" s="2"/>
      <c r="J966" s="2"/>
      <c r="K966" s="2"/>
      <c r="L966" s="2"/>
      <c r="M966" s="2"/>
      <c r="N966" s="2"/>
      <c r="O966" s="2"/>
      <c r="P966" s="2"/>
      <c r="Q966" s="2"/>
      <c r="R966" s="2"/>
    </row>
    <row r="967">
      <c r="A967" s="2"/>
      <c r="B967" s="2"/>
      <c r="C967" s="2"/>
      <c r="D967" s="2"/>
      <c r="E967" s="2"/>
      <c r="F967" s="2"/>
      <c r="G967" s="2"/>
      <c r="H967" s="2"/>
      <c r="I967" s="2"/>
      <c r="J967" s="2"/>
      <c r="K967" s="2"/>
      <c r="L967" s="2"/>
      <c r="M967" s="2"/>
      <c r="N967" s="2"/>
      <c r="O967" s="2"/>
      <c r="P967" s="2"/>
      <c r="Q967" s="2"/>
      <c r="R967" s="2"/>
    </row>
    <row r="968">
      <c r="A968" s="2"/>
      <c r="B968" s="2"/>
      <c r="C968" s="2"/>
      <c r="D968" s="2"/>
      <c r="E968" s="2"/>
      <c r="F968" s="2"/>
      <c r="G968" s="2"/>
      <c r="H968" s="2"/>
      <c r="I968" s="2"/>
      <c r="J968" s="2"/>
      <c r="K968" s="2"/>
      <c r="L968" s="2"/>
      <c r="M968" s="2"/>
      <c r="N968" s="2"/>
      <c r="O968" s="2"/>
      <c r="P968" s="2"/>
      <c r="Q968" s="2"/>
      <c r="R968" s="2"/>
    </row>
    <row r="969">
      <c r="A969" s="2"/>
      <c r="B969" s="2"/>
      <c r="C969" s="2"/>
      <c r="D969" s="2"/>
      <c r="E969" s="2"/>
      <c r="F969" s="2"/>
      <c r="G969" s="2"/>
      <c r="H969" s="2"/>
      <c r="I969" s="2"/>
      <c r="J969" s="2"/>
      <c r="K969" s="2"/>
      <c r="L969" s="2"/>
      <c r="M969" s="2"/>
      <c r="N969" s="2"/>
      <c r="O969" s="2"/>
      <c r="P969" s="2"/>
      <c r="Q969" s="2"/>
      <c r="R969" s="2"/>
    </row>
    <row r="970">
      <c r="A970" s="2"/>
      <c r="B970" s="2"/>
      <c r="C970" s="2"/>
      <c r="D970" s="2"/>
      <c r="E970" s="2"/>
      <c r="F970" s="2"/>
      <c r="G970" s="2"/>
      <c r="H970" s="2"/>
      <c r="I970" s="2"/>
      <c r="J970" s="2"/>
      <c r="K970" s="2"/>
      <c r="L970" s="2"/>
      <c r="M970" s="2"/>
      <c r="N970" s="2"/>
      <c r="O970" s="2"/>
      <c r="P970" s="2"/>
      <c r="Q970" s="2"/>
      <c r="R970" s="2"/>
    </row>
    <row r="971">
      <c r="A971" s="2"/>
      <c r="B971" s="2"/>
      <c r="C971" s="2"/>
      <c r="D971" s="2"/>
      <c r="E971" s="2"/>
      <c r="F971" s="2"/>
      <c r="G971" s="2"/>
      <c r="H971" s="2"/>
      <c r="I971" s="2"/>
      <c r="J971" s="2"/>
      <c r="K971" s="2"/>
      <c r="L971" s="2"/>
      <c r="M971" s="2"/>
      <c r="N971" s="2"/>
      <c r="O971" s="2"/>
      <c r="P971" s="2"/>
      <c r="Q971" s="2"/>
      <c r="R971" s="2"/>
    </row>
    <row r="972">
      <c r="A972" s="2"/>
      <c r="B972" s="2"/>
      <c r="C972" s="2"/>
      <c r="D972" s="2"/>
      <c r="E972" s="2"/>
      <c r="F972" s="2"/>
      <c r="G972" s="2"/>
      <c r="H972" s="2"/>
      <c r="I972" s="2"/>
      <c r="J972" s="2"/>
      <c r="K972" s="2"/>
      <c r="L972" s="2"/>
      <c r="M972" s="2"/>
      <c r="N972" s="2"/>
      <c r="O972" s="2"/>
      <c r="P972" s="2"/>
      <c r="Q972" s="2"/>
      <c r="R972" s="2"/>
    </row>
    <row r="973">
      <c r="A973" s="2"/>
      <c r="B973" s="2"/>
      <c r="C973" s="2"/>
      <c r="D973" s="2"/>
      <c r="E973" s="2"/>
      <c r="F973" s="2"/>
      <c r="G973" s="2"/>
      <c r="H973" s="2"/>
      <c r="I973" s="2"/>
      <c r="J973" s="2"/>
      <c r="K973" s="2"/>
      <c r="L973" s="2"/>
      <c r="M973" s="2"/>
      <c r="N973" s="2"/>
      <c r="O973" s="2"/>
      <c r="P973" s="2"/>
      <c r="Q973" s="2"/>
      <c r="R973" s="2"/>
    </row>
    <row r="974">
      <c r="A974" s="2"/>
      <c r="B974" s="2"/>
      <c r="C974" s="2"/>
      <c r="D974" s="2"/>
      <c r="E974" s="2"/>
      <c r="F974" s="2"/>
      <c r="G974" s="2"/>
      <c r="H974" s="2"/>
      <c r="I974" s="2"/>
      <c r="J974" s="2"/>
      <c r="K974" s="2"/>
      <c r="L974" s="2"/>
      <c r="M974" s="2"/>
      <c r="N974" s="2"/>
      <c r="O974" s="2"/>
      <c r="P974" s="2"/>
      <c r="Q974" s="2"/>
      <c r="R974" s="2"/>
    </row>
    <row r="975">
      <c r="A975" s="2"/>
      <c r="B975" s="2"/>
      <c r="C975" s="2"/>
      <c r="D975" s="2"/>
      <c r="E975" s="2"/>
      <c r="F975" s="2"/>
      <c r="G975" s="2"/>
      <c r="H975" s="2"/>
      <c r="I975" s="2"/>
      <c r="J975" s="2"/>
      <c r="K975" s="2"/>
      <c r="L975" s="2"/>
      <c r="M975" s="2"/>
      <c r="N975" s="2"/>
      <c r="O975" s="2"/>
      <c r="P975" s="2"/>
      <c r="Q975" s="2"/>
      <c r="R975" s="2"/>
    </row>
    <row r="976">
      <c r="A976" s="2"/>
      <c r="B976" s="2"/>
      <c r="C976" s="2"/>
      <c r="D976" s="2"/>
      <c r="E976" s="2"/>
      <c r="F976" s="2"/>
      <c r="G976" s="2"/>
      <c r="H976" s="2"/>
      <c r="I976" s="2"/>
      <c r="J976" s="2"/>
      <c r="K976" s="2"/>
      <c r="L976" s="2"/>
      <c r="M976" s="2"/>
      <c r="N976" s="2"/>
      <c r="O976" s="2"/>
      <c r="P976" s="2"/>
      <c r="Q976" s="2"/>
      <c r="R976" s="2"/>
    </row>
    <row r="977">
      <c r="A977" s="2"/>
      <c r="B977" s="2"/>
      <c r="C977" s="2"/>
      <c r="D977" s="2"/>
      <c r="E977" s="2"/>
      <c r="F977" s="2"/>
      <c r="G977" s="2"/>
      <c r="H977" s="2"/>
      <c r="I977" s="2"/>
      <c r="J977" s="2"/>
      <c r="K977" s="2"/>
      <c r="L977" s="2"/>
      <c r="M977" s="2"/>
      <c r="N977" s="2"/>
      <c r="O977" s="2"/>
      <c r="P977" s="2"/>
      <c r="Q977" s="2"/>
      <c r="R977" s="2"/>
    </row>
    <row r="978">
      <c r="A978" s="2"/>
      <c r="B978" s="2"/>
      <c r="C978" s="2"/>
      <c r="D978" s="2"/>
      <c r="E978" s="2"/>
      <c r="F978" s="2"/>
      <c r="G978" s="2"/>
      <c r="H978" s="2"/>
      <c r="I978" s="2"/>
      <c r="J978" s="2"/>
      <c r="K978" s="2"/>
      <c r="L978" s="2"/>
      <c r="M978" s="2"/>
      <c r="N978" s="2"/>
      <c r="O978" s="2"/>
      <c r="P978" s="2"/>
      <c r="Q978" s="2"/>
      <c r="R978" s="2"/>
    </row>
    <row r="979">
      <c r="A979" s="2"/>
      <c r="B979" s="2"/>
      <c r="C979" s="2"/>
      <c r="D979" s="2"/>
      <c r="E979" s="2"/>
      <c r="F979" s="2"/>
      <c r="G979" s="2"/>
      <c r="H979" s="2"/>
      <c r="I979" s="2"/>
      <c r="J979" s="2"/>
      <c r="K979" s="2"/>
      <c r="L979" s="2"/>
      <c r="M979" s="2"/>
      <c r="N979" s="2"/>
      <c r="O979" s="2"/>
      <c r="P979" s="2"/>
      <c r="Q979" s="2"/>
      <c r="R979" s="2"/>
    </row>
    <row r="980">
      <c r="A980" s="2"/>
      <c r="B980" s="2"/>
      <c r="C980" s="2"/>
      <c r="D980" s="2"/>
      <c r="E980" s="2"/>
      <c r="F980" s="2"/>
      <c r="G980" s="2"/>
      <c r="H980" s="2"/>
      <c r="I980" s="2"/>
      <c r="J980" s="2"/>
      <c r="K980" s="2"/>
      <c r="L980" s="2"/>
      <c r="M980" s="2"/>
      <c r="N980" s="2"/>
      <c r="O980" s="2"/>
      <c r="P980" s="2"/>
      <c r="Q980" s="2"/>
      <c r="R980" s="2"/>
    </row>
    <row r="981">
      <c r="A981" s="2"/>
      <c r="B981" s="2"/>
      <c r="C981" s="2"/>
      <c r="D981" s="2"/>
      <c r="E981" s="2"/>
      <c r="F981" s="2"/>
      <c r="G981" s="2"/>
      <c r="H981" s="2"/>
      <c r="I981" s="2"/>
      <c r="J981" s="2"/>
      <c r="K981" s="2"/>
      <c r="L981" s="2"/>
      <c r="M981" s="2"/>
      <c r="N981" s="2"/>
      <c r="O981" s="2"/>
      <c r="P981" s="2"/>
      <c r="Q981" s="2"/>
      <c r="R981" s="2"/>
    </row>
    <row r="982">
      <c r="A982" s="2"/>
      <c r="B982" s="2"/>
      <c r="C982" s="2"/>
      <c r="D982" s="2"/>
      <c r="E982" s="2"/>
      <c r="F982" s="2"/>
      <c r="G982" s="2"/>
      <c r="H982" s="2"/>
      <c r="I982" s="2"/>
      <c r="J982" s="2"/>
      <c r="K982" s="2"/>
      <c r="L982" s="2"/>
      <c r="M982" s="2"/>
      <c r="N982" s="2"/>
      <c r="O982" s="2"/>
      <c r="P982" s="2"/>
      <c r="Q982" s="2"/>
      <c r="R982" s="2"/>
    </row>
    <row r="983">
      <c r="A983" s="2"/>
      <c r="B983" s="2"/>
      <c r="C983" s="2"/>
      <c r="D983" s="2"/>
      <c r="E983" s="2"/>
      <c r="F983" s="2"/>
      <c r="G983" s="2"/>
      <c r="H983" s="2"/>
      <c r="I983" s="2"/>
      <c r="J983" s="2"/>
      <c r="K983" s="2"/>
      <c r="L983" s="2"/>
      <c r="M983" s="2"/>
      <c r="N983" s="2"/>
      <c r="O983" s="2"/>
      <c r="P983" s="2"/>
      <c r="Q983" s="2"/>
      <c r="R983" s="2"/>
    </row>
    <row r="984">
      <c r="A984" s="2"/>
      <c r="B984" s="2"/>
      <c r="C984" s="2"/>
      <c r="D984" s="2"/>
      <c r="E984" s="2"/>
      <c r="F984" s="2"/>
      <c r="G984" s="2"/>
      <c r="H984" s="2"/>
      <c r="I984" s="2"/>
      <c r="J984" s="2"/>
      <c r="K984" s="2"/>
      <c r="L984" s="2"/>
      <c r="M984" s="2"/>
      <c r="N984" s="2"/>
      <c r="O984" s="2"/>
      <c r="P984" s="2"/>
      <c r="Q984" s="2"/>
      <c r="R984" s="2"/>
    </row>
    <row r="985">
      <c r="A985" s="2"/>
      <c r="B985" s="2"/>
      <c r="C985" s="2"/>
      <c r="D985" s="2"/>
      <c r="E985" s="2"/>
      <c r="F985" s="2"/>
      <c r="G985" s="2"/>
      <c r="H985" s="2"/>
      <c r="I985" s="2"/>
      <c r="J985" s="2"/>
      <c r="K985" s="2"/>
      <c r="L985" s="2"/>
      <c r="M985" s="2"/>
      <c r="N985" s="2"/>
      <c r="O985" s="2"/>
      <c r="P985" s="2"/>
      <c r="Q985" s="2"/>
      <c r="R985" s="2"/>
    </row>
    <row r="986">
      <c r="A986" s="2"/>
      <c r="B986" s="2"/>
      <c r="C986" s="2"/>
      <c r="D986" s="2"/>
      <c r="E986" s="2"/>
      <c r="F986" s="2"/>
      <c r="G986" s="2"/>
      <c r="H986" s="2"/>
      <c r="I986" s="2"/>
      <c r="J986" s="2"/>
      <c r="K986" s="2"/>
      <c r="L986" s="2"/>
      <c r="M986" s="2"/>
      <c r="N986" s="2"/>
      <c r="O986" s="2"/>
      <c r="P986" s="2"/>
      <c r="Q986" s="2"/>
      <c r="R986" s="2"/>
    </row>
    <row r="987">
      <c r="A987" s="2"/>
      <c r="B987" s="2"/>
      <c r="C987" s="2"/>
      <c r="D987" s="2"/>
      <c r="E987" s="2"/>
      <c r="F987" s="2"/>
      <c r="G987" s="2"/>
      <c r="H987" s="2"/>
      <c r="I987" s="2"/>
      <c r="J987" s="2"/>
      <c r="K987" s="2"/>
      <c r="L987" s="2"/>
      <c r="M987" s="2"/>
      <c r="N987" s="2"/>
      <c r="O987" s="2"/>
      <c r="P987" s="2"/>
      <c r="Q987" s="2"/>
      <c r="R987" s="2"/>
    </row>
    <row r="988">
      <c r="A988" s="2"/>
      <c r="B988" s="2"/>
      <c r="C988" s="2"/>
      <c r="D988" s="2"/>
      <c r="E988" s="2"/>
      <c r="F988" s="2"/>
      <c r="G988" s="2"/>
      <c r="H988" s="2"/>
      <c r="I988" s="2"/>
      <c r="J988" s="2"/>
      <c r="K988" s="2"/>
      <c r="L988" s="2"/>
      <c r="M988" s="2"/>
      <c r="N988" s="2"/>
      <c r="O988" s="2"/>
      <c r="P988" s="2"/>
      <c r="Q988" s="2"/>
      <c r="R988" s="2"/>
    </row>
    <row r="989">
      <c r="A989" s="2"/>
      <c r="B989" s="2"/>
      <c r="C989" s="2"/>
      <c r="D989" s="2"/>
      <c r="E989" s="2"/>
      <c r="F989" s="2"/>
      <c r="G989" s="2"/>
      <c r="H989" s="2"/>
      <c r="I989" s="2"/>
      <c r="J989" s="2"/>
      <c r="K989" s="2"/>
      <c r="L989" s="2"/>
      <c r="M989" s="2"/>
      <c r="N989" s="2"/>
      <c r="O989" s="2"/>
      <c r="P989" s="2"/>
      <c r="Q989" s="2"/>
      <c r="R989" s="2"/>
    </row>
    <row r="990">
      <c r="A990" s="2"/>
      <c r="B990" s="2"/>
      <c r="C990" s="2"/>
      <c r="D990" s="2"/>
      <c r="E990" s="2"/>
      <c r="F990" s="2"/>
      <c r="G990" s="2"/>
      <c r="H990" s="2"/>
      <c r="I990" s="2"/>
      <c r="J990" s="2"/>
      <c r="K990" s="2"/>
      <c r="L990" s="2"/>
      <c r="M990" s="2"/>
      <c r="N990" s="2"/>
      <c r="O990" s="2"/>
      <c r="P990" s="2"/>
      <c r="Q990" s="2"/>
      <c r="R990" s="2"/>
    </row>
    <row r="991">
      <c r="A991" s="2"/>
      <c r="B991" s="2"/>
      <c r="C991" s="2"/>
      <c r="D991" s="2"/>
      <c r="E991" s="2"/>
      <c r="F991" s="2"/>
      <c r="G991" s="2"/>
      <c r="H991" s="2"/>
      <c r="I991" s="2"/>
      <c r="J991" s="2"/>
      <c r="K991" s="2"/>
      <c r="L991" s="2"/>
      <c r="M991" s="2"/>
      <c r="N991" s="2"/>
      <c r="O991" s="2"/>
      <c r="P991" s="2"/>
      <c r="Q991" s="2"/>
      <c r="R991" s="2"/>
    </row>
    <row r="992">
      <c r="A992" s="2"/>
      <c r="B992" s="2"/>
      <c r="C992" s="2"/>
      <c r="D992" s="2"/>
      <c r="E992" s="2"/>
      <c r="F992" s="2"/>
      <c r="G992" s="2"/>
      <c r="H992" s="2"/>
      <c r="I992" s="2"/>
      <c r="J992" s="2"/>
      <c r="K992" s="2"/>
      <c r="L992" s="2"/>
      <c r="M992" s="2"/>
      <c r="N992" s="2"/>
      <c r="O992" s="2"/>
      <c r="P992" s="2"/>
      <c r="Q992" s="2"/>
      <c r="R992" s="2"/>
    </row>
    <row r="993">
      <c r="A993" s="2"/>
      <c r="B993" s="2"/>
      <c r="C993" s="2"/>
      <c r="D993" s="2"/>
      <c r="E993" s="2"/>
      <c r="F993" s="2"/>
      <c r="G993" s="2"/>
      <c r="H993" s="2"/>
      <c r="I993" s="2"/>
      <c r="J993" s="2"/>
      <c r="K993" s="2"/>
      <c r="L993" s="2"/>
      <c r="M993" s="2"/>
      <c r="N993" s="2"/>
      <c r="O993" s="2"/>
      <c r="P993" s="2"/>
      <c r="Q993" s="2"/>
      <c r="R993" s="2"/>
    </row>
    <row r="994">
      <c r="A994" s="2"/>
      <c r="B994" s="2"/>
      <c r="C994" s="2"/>
      <c r="D994" s="2"/>
      <c r="E994" s="2"/>
      <c r="F994" s="2"/>
      <c r="G994" s="2"/>
      <c r="H994" s="2"/>
      <c r="I994" s="2"/>
      <c r="J994" s="2"/>
      <c r="K994" s="2"/>
      <c r="L994" s="2"/>
      <c r="M994" s="2"/>
      <c r="N994" s="2"/>
      <c r="O994" s="2"/>
      <c r="P994" s="2"/>
      <c r="Q994" s="2"/>
      <c r="R994" s="2"/>
    </row>
    <row r="995">
      <c r="A995" s="2"/>
      <c r="B995" s="2"/>
      <c r="C995" s="2"/>
      <c r="D995" s="2"/>
      <c r="E995" s="2"/>
      <c r="F995" s="2"/>
      <c r="G995" s="2"/>
      <c r="H995" s="2"/>
      <c r="I995" s="2"/>
      <c r="J995" s="2"/>
      <c r="K995" s="2"/>
      <c r="L995" s="2"/>
      <c r="M995" s="2"/>
      <c r="N995" s="2"/>
      <c r="O995" s="2"/>
      <c r="P995" s="2"/>
      <c r="Q995" s="2"/>
      <c r="R995" s="2"/>
    </row>
    <row r="996">
      <c r="A996" s="2"/>
      <c r="B996" s="2"/>
      <c r="C996" s="2"/>
      <c r="D996" s="2"/>
      <c r="E996" s="2"/>
      <c r="F996" s="2"/>
      <c r="G996" s="2"/>
      <c r="H996" s="2"/>
      <c r="I996" s="2"/>
      <c r="J996" s="2"/>
      <c r="K996" s="2"/>
      <c r="L996" s="2"/>
      <c r="M996" s="2"/>
      <c r="N996" s="2"/>
      <c r="O996" s="2"/>
      <c r="P996" s="2"/>
      <c r="Q996" s="2"/>
      <c r="R996" s="2"/>
    </row>
    <row r="997">
      <c r="A997" s="60"/>
      <c r="B997" s="60"/>
      <c r="C997" s="60"/>
      <c r="D997" s="60"/>
      <c r="E997" s="60"/>
      <c r="F997" s="60"/>
      <c r="G997" s="60"/>
      <c r="H997" s="60"/>
      <c r="I997" s="60"/>
      <c r="J997" s="60"/>
      <c r="K997" s="60"/>
      <c r="L997" s="60"/>
      <c r="M997" s="2"/>
      <c r="N997" s="2"/>
      <c r="O997" s="2"/>
      <c r="P997" s="2"/>
      <c r="Q997" s="2"/>
      <c r="R997" s="2"/>
    </row>
  </sheetData>
  <autoFilter ref="$A$1:$L$90"/>
  <dataValidations>
    <dataValidation type="list" allowBlank="1" showErrorMessage="1" sqref="I2:I90">
      <formula1>"GTel Site,Online"</formula1>
    </dataValidation>
    <dataValidation type="list" allowBlank="1" showErrorMessage="1" sqref="G2:G90">
      <formula1>"Expert,Senior,Middle,Junior,Fresher,Intern"</formula1>
    </dataValidation>
    <dataValidation type="list" allowBlank="1" showErrorMessage="1" sqref="E2:E90">
      <formula1>"PM 1,PM 2"</formula1>
    </dataValidation>
    <dataValidation type="list" allowBlank="1" showErrorMessage="1" sqref="D2:D90">
      <formula1>"GTEL ICT,VISSOFT,MIGI,AGILETECH,ALADIN,NODO,NOVABYTE,MPSOL,VDSS,GTEL OTS"</formula1>
    </dataValidation>
    <dataValidation type="list" allowBlank="1" showErrorMessage="1" sqref="J2:J90">
      <formula1>"Full-time,Part-time"</formula1>
    </dataValidation>
    <dataValidation type="list" allowBlank="1" showErrorMessage="1" sqref="H2:H90">
      <formula1>"Học việc,Thử việc,Chính thức,Outsourcing"</formula1>
    </dataValidation>
    <dataValidation type="list" allowBlank="1" showErrorMessage="1" sqref="K2:K90">
      <formula1>"Có phí,Không có phí"</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4.67"/>
    <col customWidth="1" min="2" max="2" width="17.0"/>
    <col customWidth="1" min="3" max="3" width="19.22"/>
    <col customWidth="1" min="4" max="4" width="15.0"/>
  </cols>
  <sheetData>
    <row r="1">
      <c r="A1" s="45" t="s">
        <v>42</v>
      </c>
      <c r="B1" s="45" t="s">
        <v>51</v>
      </c>
      <c r="C1" s="45" t="s">
        <v>52</v>
      </c>
      <c r="D1" s="45"/>
    </row>
    <row r="2">
      <c r="A2" s="61"/>
      <c r="B2" s="61"/>
      <c r="C2" s="62"/>
      <c r="D2" s="61"/>
    </row>
    <row r="3">
      <c r="A3" s="61"/>
      <c r="B3" s="61"/>
      <c r="C3" s="61"/>
      <c r="D3" s="61"/>
    </row>
    <row r="4">
      <c r="A4" s="61"/>
      <c r="B4" s="61"/>
      <c r="C4" s="62"/>
      <c r="D4" s="61"/>
    </row>
    <row r="5">
      <c r="A5" s="61"/>
      <c r="B5" s="61"/>
      <c r="C5" s="61"/>
      <c r="D5" s="61"/>
    </row>
    <row r="6">
      <c r="A6" s="61"/>
      <c r="B6" s="61"/>
      <c r="C6" s="61"/>
      <c r="D6" s="63"/>
    </row>
    <row r="7">
      <c r="A7" s="61"/>
      <c r="B7" s="61"/>
      <c r="C7" s="61"/>
      <c r="D7" s="61"/>
    </row>
    <row r="8">
      <c r="A8" s="61"/>
      <c r="B8" s="61"/>
      <c r="C8" s="61"/>
      <c r="D8" s="61"/>
    </row>
    <row r="9">
      <c r="A9" s="61"/>
      <c r="B9" s="61"/>
      <c r="C9" s="61"/>
      <c r="D9" s="61"/>
    </row>
    <row r="10">
      <c r="A10" s="61"/>
      <c r="B10" s="61"/>
      <c r="C10" s="61"/>
      <c r="D10" s="61"/>
    </row>
    <row r="11">
      <c r="A11" s="61"/>
      <c r="B11" s="61"/>
      <c r="C11" s="61"/>
      <c r="D11" s="61"/>
    </row>
    <row r="12">
      <c r="A12" s="61"/>
      <c r="B12" s="61"/>
      <c r="C12" s="61"/>
      <c r="D12" s="63"/>
    </row>
    <row r="13">
      <c r="A13" s="64"/>
      <c r="B13" s="64"/>
      <c r="C13" s="64"/>
      <c r="D13" s="64"/>
    </row>
    <row r="14">
      <c r="A14" s="64"/>
      <c r="B14" s="64"/>
      <c r="C14" s="64"/>
      <c r="D14" s="64"/>
    </row>
    <row r="15">
      <c r="A15" s="64"/>
      <c r="B15" s="64"/>
      <c r="C15" s="64"/>
      <c r="D15" s="64"/>
    </row>
    <row r="16">
      <c r="A16" s="64"/>
      <c r="B16" s="64"/>
      <c r="C16" s="64"/>
      <c r="D16" s="64"/>
    </row>
    <row r="17">
      <c r="A17" s="64"/>
      <c r="B17" s="64"/>
      <c r="C17" s="64"/>
      <c r="D17" s="64"/>
    </row>
    <row r="18">
      <c r="A18" s="64"/>
      <c r="B18" s="64"/>
      <c r="C18" s="64"/>
      <c r="D18" s="64"/>
    </row>
    <row r="19">
      <c r="A19" s="64"/>
      <c r="B19" s="64"/>
      <c r="C19" s="64"/>
      <c r="D19" s="64"/>
    </row>
    <row r="20">
      <c r="A20" s="64"/>
      <c r="B20" s="64"/>
      <c r="C20" s="64"/>
      <c r="D20" s="64"/>
    </row>
    <row r="21">
      <c r="A21" s="64"/>
      <c r="B21" s="64"/>
      <c r="C21" s="64"/>
      <c r="D21" s="64"/>
    </row>
    <row r="22">
      <c r="A22" s="64"/>
      <c r="B22" s="64"/>
      <c r="C22" s="64"/>
      <c r="D22" s="64"/>
    </row>
    <row r="23">
      <c r="A23" s="64"/>
      <c r="B23" s="64"/>
      <c r="C23" s="64"/>
      <c r="D23" s="64"/>
    </row>
    <row r="24">
      <c r="A24" s="64"/>
      <c r="B24" s="64"/>
      <c r="C24" s="64"/>
      <c r="D24" s="64"/>
    </row>
    <row r="25">
      <c r="A25" s="64"/>
      <c r="B25" s="64"/>
      <c r="C25" s="64"/>
      <c r="D25" s="64"/>
    </row>
    <row r="26">
      <c r="A26" s="64"/>
      <c r="B26" s="64"/>
      <c r="C26" s="64"/>
      <c r="D26" s="64"/>
    </row>
    <row r="27">
      <c r="A27" s="64"/>
      <c r="B27" s="64"/>
      <c r="C27" s="64"/>
      <c r="D27" s="64"/>
    </row>
    <row r="28">
      <c r="A28" s="64"/>
      <c r="B28" s="64"/>
      <c r="C28" s="64"/>
      <c r="D28" s="64"/>
    </row>
    <row r="29">
      <c r="A29" s="64"/>
      <c r="B29" s="64"/>
      <c r="C29" s="64"/>
      <c r="D29" s="64"/>
    </row>
    <row r="30">
      <c r="A30" s="65"/>
      <c r="B30" s="65"/>
      <c r="C30" s="65"/>
      <c r="D30" s="65"/>
    </row>
    <row r="31">
      <c r="A31" s="65"/>
      <c r="B31" s="65"/>
      <c r="C31" s="65"/>
      <c r="D31" s="65"/>
    </row>
    <row r="32">
      <c r="A32" s="65"/>
      <c r="B32" s="65"/>
      <c r="C32" s="65"/>
      <c r="D32" s="65"/>
    </row>
    <row r="33">
      <c r="A33" s="65"/>
      <c r="B33" s="65"/>
      <c r="C33" s="65"/>
      <c r="D33" s="65"/>
    </row>
    <row r="34">
      <c r="A34" s="65"/>
      <c r="B34" s="65"/>
      <c r="C34" s="65"/>
      <c r="D34" s="65"/>
    </row>
    <row r="35">
      <c r="A35" s="65"/>
      <c r="B35" s="65"/>
      <c r="C35" s="65"/>
      <c r="D35" s="65"/>
    </row>
    <row r="36">
      <c r="A36" s="65"/>
      <c r="B36" s="65"/>
      <c r="C36" s="65"/>
      <c r="D36" s="65"/>
    </row>
    <row r="37">
      <c r="A37" s="65"/>
      <c r="B37" s="65"/>
      <c r="C37" s="65"/>
      <c r="D37" s="65"/>
    </row>
    <row r="38">
      <c r="A38" s="65"/>
      <c r="B38" s="65"/>
      <c r="C38" s="65"/>
      <c r="D38" s="65"/>
    </row>
    <row r="39">
      <c r="A39" s="65"/>
      <c r="B39" s="65"/>
      <c r="C39" s="65"/>
      <c r="D39" s="65"/>
    </row>
    <row r="40">
      <c r="A40" s="64"/>
      <c r="B40" s="64"/>
      <c r="C40" s="64"/>
      <c r="D40" s="64"/>
    </row>
    <row r="41">
      <c r="A41" s="64"/>
      <c r="B41" s="64"/>
      <c r="C41" s="64"/>
      <c r="D41" s="64"/>
    </row>
    <row r="42">
      <c r="A42" s="64"/>
      <c r="B42" s="64"/>
      <c r="C42" s="64"/>
      <c r="D42" s="64"/>
    </row>
    <row r="43">
      <c r="A43" s="64"/>
      <c r="B43" s="64"/>
      <c r="C43" s="64"/>
      <c r="D43" s="64"/>
    </row>
    <row r="44">
      <c r="A44" s="64"/>
      <c r="B44" s="64"/>
      <c r="C44" s="64"/>
      <c r="D44" s="64"/>
    </row>
    <row r="45">
      <c r="A45" s="64"/>
      <c r="B45" s="64"/>
      <c r="C45" s="64"/>
      <c r="D45" s="64"/>
    </row>
    <row r="46">
      <c r="A46" s="64"/>
      <c r="B46" s="64"/>
      <c r="C46" s="64"/>
      <c r="D46" s="64"/>
    </row>
    <row r="47">
      <c r="A47" s="64"/>
      <c r="B47" s="64"/>
      <c r="C47" s="64"/>
      <c r="D47" s="64"/>
    </row>
    <row r="48">
      <c r="A48" s="64"/>
      <c r="B48" s="64"/>
      <c r="C48" s="64"/>
      <c r="D48" s="64"/>
    </row>
    <row r="49">
      <c r="A49" s="64"/>
      <c r="B49" s="64"/>
      <c r="C49" s="64"/>
      <c r="D49" s="64"/>
    </row>
    <row r="50">
      <c r="A50" s="64"/>
      <c r="B50" s="64"/>
      <c r="C50" s="64"/>
      <c r="D50" s="64"/>
    </row>
    <row r="51">
      <c r="A51" s="64"/>
      <c r="B51" s="64"/>
      <c r="C51" s="64"/>
      <c r="D51" s="64"/>
    </row>
    <row r="52">
      <c r="A52" s="64"/>
      <c r="B52" s="64"/>
      <c r="C52" s="64"/>
      <c r="D52" s="64"/>
    </row>
    <row r="53">
      <c r="A53" s="64"/>
      <c r="B53" s="64"/>
      <c r="C53" s="64"/>
      <c r="D53" s="64"/>
    </row>
    <row r="54">
      <c r="A54" s="64"/>
      <c r="B54" s="64"/>
      <c r="C54" s="64"/>
      <c r="D54" s="64"/>
    </row>
    <row r="55">
      <c r="A55" s="64"/>
      <c r="B55" s="64"/>
      <c r="C55" s="64"/>
      <c r="D55" s="64"/>
    </row>
    <row r="56">
      <c r="A56" s="64"/>
      <c r="B56" s="64"/>
      <c r="C56" s="64"/>
      <c r="D56" s="64"/>
    </row>
    <row r="57">
      <c r="A57" s="64"/>
      <c r="B57" s="64"/>
      <c r="C57" s="64"/>
      <c r="D57" s="64"/>
    </row>
    <row r="58">
      <c r="A58" s="64"/>
      <c r="B58" s="64"/>
      <c r="C58" s="64"/>
      <c r="D58" s="64"/>
    </row>
    <row r="59">
      <c r="A59" s="64"/>
      <c r="B59" s="64"/>
      <c r="C59" s="64"/>
      <c r="D59" s="64"/>
    </row>
    <row r="60">
      <c r="A60" s="64"/>
      <c r="B60" s="64"/>
      <c r="C60" s="64"/>
      <c r="D60" s="64"/>
    </row>
    <row r="61">
      <c r="A61" s="64"/>
      <c r="B61" s="64"/>
      <c r="C61" s="64"/>
      <c r="D61" s="64"/>
    </row>
    <row r="62">
      <c r="A62" s="64"/>
      <c r="B62" s="64"/>
      <c r="C62" s="64"/>
      <c r="D62" s="64"/>
    </row>
    <row r="63">
      <c r="A63" s="64"/>
      <c r="B63" s="64"/>
      <c r="C63" s="64"/>
      <c r="D63" s="64"/>
    </row>
    <row r="64">
      <c r="A64" s="64"/>
      <c r="B64" s="64"/>
      <c r="C64" s="64"/>
      <c r="D64" s="64"/>
    </row>
    <row r="65">
      <c r="A65" s="64"/>
      <c r="B65" s="64"/>
      <c r="C65" s="64"/>
      <c r="D65" s="64"/>
    </row>
    <row r="66">
      <c r="A66" s="64"/>
      <c r="B66" s="64"/>
      <c r="C66" s="64"/>
      <c r="D66" s="64"/>
    </row>
    <row r="67">
      <c r="A67" s="64"/>
      <c r="B67" s="64"/>
      <c r="C67" s="64"/>
      <c r="D67" s="64"/>
    </row>
    <row r="68">
      <c r="A68" s="64"/>
      <c r="B68" s="64"/>
      <c r="C68" s="64"/>
      <c r="D68" s="64"/>
    </row>
    <row r="69">
      <c r="A69" s="64"/>
      <c r="B69" s="64"/>
      <c r="C69" s="64"/>
      <c r="D69" s="64"/>
    </row>
    <row r="70">
      <c r="A70" s="64"/>
      <c r="B70" s="64"/>
      <c r="C70" s="64"/>
      <c r="D70" s="64"/>
    </row>
    <row r="71">
      <c r="A71" s="64"/>
      <c r="B71" s="64"/>
      <c r="C71" s="64"/>
      <c r="D71" s="64"/>
    </row>
    <row r="72">
      <c r="A72" s="64"/>
      <c r="B72" s="64"/>
      <c r="C72" s="64"/>
      <c r="D72" s="64"/>
    </row>
    <row r="73">
      <c r="A73" s="64"/>
      <c r="B73" s="64"/>
      <c r="C73" s="64"/>
      <c r="D73" s="64"/>
    </row>
    <row r="74">
      <c r="A74" s="64"/>
      <c r="B74" s="64"/>
      <c r="C74" s="64"/>
      <c r="D74" s="64"/>
    </row>
    <row r="75">
      <c r="A75" s="64"/>
      <c r="B75" s="64"/>
      <c r="C75" s="64"/>
      <c r="D75" s="64"/>
    </row>
    <row r="76">
      <c r="A76" s="64"/>
      <c r="B76" s="64"/>
      <c r="C76" s="64"/>
      <c r="D76" s="64"/>
    </row>
    <row r="77">
      <c r="A77" s="64"/>
      <c r="B77" s="64"/>
      <c r="C77" s="64"/>
      <c r="D77" s="64"/>
    </row>
    <row r="78">
      <c r="A78" s="64"/>
      <c r="B78" s="64"/>
      <c r="C78" s="64"/>
      <c r="D78" s="64"/>
    </row>
    <row r="79">
      <c r="A79" s="64"/>
      <c r="B79" s="64"/>
      <c r="C79" s="64"/>
      <c r="D79" s="64"/>
    </row>
    <row r="80">
      <c r="A80" s="64"/>
      <c r="B80" s="64"/>
      <c r="C80" s="64"/>
      <c r="D80" s="64"/>
    </row>
    <row r="81">
      <c r="A81" s="64"/>
      <c r="B81" s="64"/>
      <c r="C81" s="64"/>
      <c r="D81" s="64"/>
    </row>
    <row r="82">
      <c r="A82" s="64"/>
      <c r="B82" s="64"/>
      <c r="C82" s="64"/>
      <c r="D82" s="64"/>
    </row>
    <row r="83">
      <c r="A83" s="64"/>
      <c r="B83" s="64"/>
      <c r="C83" s="64"/>
      <c r="D83" s="64"/>
    </row>
    <row r="84">
      <c r="A84" s="64"/>
      <c r="B84" s="64"/>
      <c r="C84" s="64"/>
      <c r="D84" s="64"/>
    </row>
    <row r="85">
      <c r="A85" s="64"/>
      <c r="B85" s="64"/>
      <c r="C85" s="64"/>
      <c r="D85" s="64"/>
    </row>
    <row r="86">
      <c r="A86" s="64"/>
      <c r="B86" s="64"/>
      <c r="C86" s="64"/>
      <c r="D86" s="64"/>
    </row>
    <row r="87">
      <c r="A87" s="64"/>
      <c r="B87" s="64"/>
      <c r="C87" s="64"/>
      <c r="D87" s="64"/>
    </row>
    <row r="88">
      <c r="A88" s="64"/>
      <c r="B88" s="64"/>
      <c r="C88" s="64"/>
      <c r="D88" s="64"/>
    </row>
    <row r="89">
      <c r="A89" s="64"/>
      <c r="B89" s="64"/>
      <c r="C89" s="64"/>
      <c r="D89" s="64"/>
    </row>
    <row r="90">
      <c r="A90" s="64"/>
      <c r="B90" s="64"/>
      <c r="C90" s="64"/>
      <c r="D90" s="64"/>
    </row>
    <row r="91">
      <c r="A91" s="64"/>
      <c r="B91" s="64"/>
      <c r="C91" s="64"/>
      <c r="D91" s="64"/>
    </row>
    <row r="92">
      <c r="A92" s="64"/>
      <c r="B92" s="64"/>
      <c r="C92" s="64"/>
      <c r="D92" s="64"/>
    </row>
    <row r="93">
      <c r="A93" s="64"/>
      <c r="B93" s="64"/>
      <c r="C93" s="64"/>
      <c r="D93" s="64"/>
    </row>
    <row r="94">
      <c r="A94" s="64"/>
      <c r="B94" s="64"/>
      <c r="C94" s="64"/>
      <c r="D94" s="64"/>
    </row>
    <row r="95">
      <c r="A95" s="64"/>
      <c r="B95" s="64"/>
      <c r="C95" s="64"/>
      <c r="D95" s="64"/>
    </row>
    <row r="96">
      <c r="A96" s="64"/>
      <c r="B96" s="64"/>
      <c r="C96" s="64"/>
      <c r="D96" s="64"/>
    </row>
    <row r="97">
      <c r="A97" s="64"/>
      <c r="B97" s="64"/>
      <c r="C97" s="64"/>
      <c r="D97" s="64"/>
    </row>
    <row r="98">
      <c r="A98" s="64"/>
      <c r="B98" s="64"/>
      <c r="C98" s="64"/>
      <c r="D98" s="64"/>
    </row>
    <row r="99">
      <c r="A99" s="64"/>
      <c r="B99" s="64"/>
      <c r="C99" s="64"/>
      <c r="D99" s="64"/>
    </row>
    <row r="100">
      <c r="A100" s="64"/>
      <c r="B100" s="64"/>
      <c r="C100" s="64"/>
      <c r="D100" s="64"/>
    </row>
    <row r="101">
      <c r="A101" s="64"/>
      <c r="B101" s="64"/>
      <c r="C101" s="64"/>
      <c r="D101" s="64"/>
    </row>
    <row r="102">
      <c r="A102" s="64"/>
      <c r="B102" s="64"/>
      <c r="C102" s="64"/>
      <c r="D102" s="64"/>
    </row>
    <row r="103">
      <c r="A103" s="64"/>
      <c r="B103" s="64"/>
      <c r="C103" s="64"/>
      <c r="D103" s="64"/>
    </row>
    <row r="104">
      <c r="A104" s="64"/>
      <c r="B104" s="64"/>
      <c r="C104" s="64"/>
      <c r="D104" s="64"/>
    </row>
    <row r="105">
      <c r="A105" s="64"/>
      <c r="B105" s="64"/>
      <c r="C105" s="64"/>
      <c r="D105" s="64"/>
    </row>
    <row r="106">
      <c r="A106" s="64"/>
      <c r="B106" s="64"/>
      <c r="C106" s="64"/>
      <c r="D106" s="64"/>
    </row>
    <row r="107">
      <c r="A107" s="64"/>
      <c r="B107" s="64"/>
      <c r="C107" s="64"/>
      <c r="D107" s="64"/>
    </row>
    <row r="108">
      <c r="A108" s="64"/>
      <c r="B108" s="64"/>
      <c r="C108" s="64"/>
      <c r="D108" s="64"/>
    </row>
    <row r="109">
      <c r="A109" s="64"/>
      <c r="B109" s="64"/>
      <c r="C109" s="64"/>
      <c r="D109" s="64"/>
    </row>
    <row r="110">
      <c r="A110" s="64"/>
      <c r="B110" s="64"/>
      <c r="C110" s="64"/>
      <c r="D110" s="64"/>
    </row>
    <row r="111">
      <c r="A111" s="64"/>
      <c r="B111" s="64"/>
      <c r="C111" s="64"/>
      <c r="D111" s="64"/>
    </row>
    <row r="112">
      <c r="A112" s="64"/>
      <c r="B112" s="64"/>
      <c r="C112" s="64"/>
      <c r="D112" s="64"/>
    </row>
    <row r="113">
      <c r="A113" s="64"/>
      <c r="B113" s="64"/>
      <c r="C113" s="64"/>
      <c r="D113" s="64"/>
    </row>
    <row r="114">
      <c r="A114" s="64"/>
      <c r="B114" s="64"/>
      <c r="C114" s="64"/>
      <c r="D114" s="64"/>
    </row>
    <row r="115">
      <c r="A115" s="64"/>
      <c r="B115" s="64"/>
      <c r="C115" s="64"/>
      <c r="D115" s="64"/>
    </row>
    <row r="116">
      <c r="A116" s="64"/>
      <c r="B116" s="64"/>
      <c r="C116" s="64"/>
      <c r="D116" s="64"/>
    </row>
    <row r="117">
      <c r="A117" s="64"/>
      <c r="B117" s="64"/>
      <c r="C117" s="64"/>
      <c r="D117" s="64"/>
    </row>
    <row r="118">
      <c r="A118" s="64"/>
      <c r="B118" s="64"/>
      <c r="C118" s="64"/>
      <c r="D118" s="64"/>
    </row>
    <row r="119">
      <c r="A119" s="64"/>
      <c r="B119" s="64"/>
      <c r="C119" s="64"/>
      <c r="D119" s="64"/>
    </row>
    <row r="120">
      <c r="A120" s="64"/>
      <c r="B120" s="64"/>
      <c r="C120" s="64"/>
      <c r="D120" s="64"/>
    </row>
    <row r="121">
      <c r="A121" s="64"/>
      <c r="B121" s="64"/>
      <c r="C121" s="64"/>
      <c r="D121" s="64"/>
    </row>
    <row r="122">
      <c r="A122" s="64"/>
      <c r="B122" s="64"/>
      <c r="C122" s="64"/>
      <c r="D122" s="64"/>
    </row>
    <row r="123">
      <c r="A123" s="64"/>
      <c r="B123" s="64"/>
      <c r="C123" s="64"/>
      <c r="D123" s="64"/>
    </row>
    <row r="124">
      <c r="A124" s="64"/>
      <c r="B124" s="64"/>
      <c r="C124" s="64"/>
      <c r="D124" s="64"/>
    </row>
    <row r="125">
      <c r="A125" s="64"/>
      <c r="B125" s="64"/>
      <c r="C125" s="64"/>
      <c r="D125" s="64"/>
    </row>
    <row r="126">
      <c r="A126" s="64"/>
      <c r="B126" s="64"/>
      <c r="C126" s="64"/>
      <c r="D126" s="64"/>
    </row>
    <row r="127">
      <c r="A127" s="64"/>
      <c r="B127" s="64"/>
      <c r="C127" s="64"/>
      <c r="D127" s="64"/>
    </row>
    <row r="128">
      <c r="A128" s="64"/>
      <c r="B128" s="64"/>
      <c r="C128" s="64"/>
      <c r="D128" s="64"/>
    </row>
    <row r="129">
      <c r="A129" s="64"/>
      <c r="B129" s="64"/>
      <c r="C129" s="64"/>
      <c r="D129" s="64"/>
    </row>
    <row r="130">
      <c r="A130" s="64"/>
      <c r="B130" s="64"/>
      <c r="C130" s="64"/>
      <c r="D130" s="64"/>
    </row>
    <row r="131">
      <c r="A131" s="64"/>
      <c r="B131" s="64"/>
      <c r="C131" s="64"/>
      <c r="D131" s="64"/>
    </row>
    <row r="132">
      <c r="A132" s="64"/>
      <c r="B132" s="64"/>
      <c r="C132" s="64"/>
      <c r="D132" s="64"/>
    </row>
    <row r="133">
      <c r="A133" s="64"/>
      <c r="B133" s="64"/>
      <c r="C133" s="64"/>
      <c r="D133" s="64"/>
    </row>
    <row r="134">
      <c r="A134" s="64"/>
      <c r="B134" s="64"/>
      <c r="C134" s="64"/>
      <c r="D134" s="64"/>
    </row>
    <row r="135">
      <c r="A135" s="64"/>
      <c r="B135" s="64"/>
      <c r="C135" s="64"/>
      <c r="D135" s="64"/>
    </row>
    <row r="136">
      <c r="A136" s="64"/>
      <c r="B136" s="64"/>
      <c r="C136" s="64"/>
      <c r="D136" s="64"/>
    </row>
    <row r="137">
      <c r="A137" s="64"/>
      <c r="B137" s="64"/>
      <c r="C137" s="64"/>
      <c r="D137" s="64"/>
    </row>
    <row r="138">
      <c r="A138" s="64"/>
      <c r="B138" s="64"/>
      <c r="C138" s="64"/>
      <c r="D138" s="64"/>
    </row>
    <row r="139">
      <c r="A139" s="64"/>
      <c r="B139" s="64"/>
      <c r="C139" s="64"/>
      <c r="D139" s="64"/>
    </row>
    <row r="140">
      <c r="A140" s="64"/>
      <c r="B140" s="64"/>
      <c r="C140" s="64"/>
      <c r="D140" s="64"/>
    </row>
    <row r="141">
      <c r="A141" s="64"/>
      <c r="B141" s="64"/>
      <c r="C141" s="64"/>
      <c r="D141" s="64"/>
    </row>
    <row r="142">
      <c r="A142" s="64"/>
      <c r="B142" s="64"/>
      <c r="C142" s="64"/>
      <c r="D142" s="64"/>
    </row>
    <row r="143">
      <c r="A143" s="64"/>
      <c r="B143" s="64"/>
      <c r="C143" s="64"/>
      <c r="D143" s="64"/>
    </row>
    <row r="144">
      <c r="A144" s="64"/>
      <c r="B144" s="64"/>
      <c r="C144" s="64"/>
      <c r="D144" s="64"/>
    </row>
    <row r="145">
      <c r="A145" s="64"/>
      <c r="B145" s="64"/>
      <c r="C145" s="64"/>
      <c r="D145" s="64"/>
    </row>
    <row r="146">
      <c r="A146" s="64"/>
      <c r="B146" s="64"/>
      <c r="C146" s="64"/>
      <c r="D146" s="64"/>
    </row>
    <row r="147">
      <c r="A147" s="64"/>
      <c r="B147" s="64"/>
      <c r="C147" s="64"/>
      <c r="D147" s="64"/>
    </row>
    <row r="148">
      <c r="A148" s="64"/>
      <c r="B148" s="64"/>
      <c r="C148" s="64"/>
      <c r="D148" s="64"/>
    </row>
    <row r="149">
      <c r="A149" s="64"/>
      <c r="B149" s="64"/>
      <c r="C149" s="64"/>
      <c r="D149" s="64"/>
    </row>
    <row r="150">
      <c r="A150" s="64"/>
      <c r="B150" s="64"/>
      <c r="C150" s="64"/>
      <c r="D150" s="64"/>
    </row>
    <row r="151">
      <c r="A151" s="64"/>
      <c r="B151" s="64"/>
      <c r="C151" s="64"/>
      <c r="D151" s="64"/>
    </row>
    <row r="152">
      <c r="A152" s="64"/>
      <c r="B152" s="64"/>
      <c r="C152" s="64"/>
      <c r="D152" s="64"/>
    </row>
    <row r="153">
      <c r="A153" s="64"/>
      <c r="B153" s="64"/>
      <c r="C153" s="64"/>
      <c r="D153" s="64"/>
    </row>
    <row r="154">
      <c r="A154" s="64"/>
      <c r="B154" s="64"/>
      <c r="C154" s="64"/>
      <c r="D154" s="64"/>
    </row>
    <row r="155">
      <c r="A155" s="64"/>
      <c r="B155" s="64"/>
      <c r="C155" s="64"/>
      <c r="D155" s="64"/>
    </row>
    <row r="156">
      <c r="A156" s="64"/>
      <c r="B156" s="64"/>
      <c r="C156" s="64"/>
      <c r="D156" s="64"/>
    </row>
    <row r="157">
      <c r="A157" s="64"/>
      <c r="B157" s="64"/>
      <c r="C157" s="64"/>
      <c r="D157" s="64"/>
    </row>
    <row r="158">
      <c r="A158" s="64"/>
      <c r="B158" s="64"/>
      <c r="C158" s="64"/>
      <c r="D158" s="64"/>
    </row>
    <row r="159">
      <c r="A159" s="64"/>
      <c r="B159" s="64"/>
      <c r="C159" s="64"/>
      <c r="D159" s="64"/>
    </row>
    <row r="160">
      <c r="A160" s="64"/>
      <c r="B160" s="64"/>
      <c r="C160" s="64"/>
      <c r="D160" s="64"/>
    </row>
    <row r="161">
      <c r="A161" s="64"/>
      <c r="B161" s="64"/>
      <c r="C161" s="64"/>
      <c r="D161" s="64"/>
    </row>
    <row r="162">
      <c r="A162" s="64"/>
      <c r="B162" s="64"/>
      <c r="C162" s="64"/>
      <c r="D162" s="64"/>
    </row>
    <row r="163">
      <c r="A163" s="64"/>
      <c r="B163" s="64"/>
      <c r="C163" s="64"/>
      <c r="D163" s="64"/>
    </row>
    <row r="164">
      <c r="A164" s="64"/>
      <c r="B164" s="64"/>
      <c r="C164" s="64"/>
      <c r="D164" s="64"/>
    </row>
    <row r="165">
      <c r="A165" s="64"/>
      <c r="B165" s="64"/>
      <c r="C165" s="64"/>
      <c r="D165" s="64"/>
    </row>
    <row r="166">
      <c r="A166" s="64"/>
      <c r="B166" s="64"/>
      <c r="C166" s="64"/>
      <c r="D166" s="64"/>
    </row>
    <row r="167">
      <c r="A167" s="64"/>
      <c r="B167" s="64"/>
      <c r="C167" s="64"/>
      <c r="D167" s="64"/>
    </row>
    <row r="168">
      <c r="A168" s="64"/>
      <c r="B168" s="64"/>
      <c r="C168" s="64"/>
      <c r="D168" s="64"/>
    </row>
    <row r="169">
      <c r="A169" s="64"/>
      <c r="B169" s="64"/>
      <c r="C169" s="64"/>
      <c r="D169" s="64"/>
    </row>
    <row r="170">
      <c r="A170" s="64"/>
      <c r="B170" s="64"/>
      <c r="C170" s="64"/>
      <c r="D170" s="64"/>
    </row>
    <row r="171">
      <c r="A171" s="64"/>
      <c r="B171" s="64"/>
      <c r="C171" s="64"/>
      <c r="D171" s="64"/>
    </row>
    <row r="172">
      <c r="A172" s="64"/>
      <c r="B172" s="64"/>
      <c r="C172" s="64"/>
      <c r="D172" s="64"/>
    </row>
    <row r="173">
      <c r="A173" s="64"/>
      <c r="B173" s="64"/>
      <c r="C173" s="64"/>
      <c r="D173" s="64"/>
    </row>
    <row r="174">
      <c r="A174" s="64"/>
      <c r="B174" s="64"/>
      <c r="C174" s="64"/>
      <c r="D174" s="64"/>
    </row>
    <row r="175">
      <c r="A175" s="64"/>
      <c r="B175" s="64"/>
      <c r="C175" s="64"/>
      <c r="D175" s="64"/>
    </row>
    <row r="176">
      <c r="A176" s="64"/>
      <c r="B176" s="64"/>
      <c r="C176" s="64"/>
      <c r="D176" s="64"/>
    </row>
    <row r="177">
      <c r="A177" s="64"/>
      <c r="B177" s="64"/>
      <c r="C177" s="64"/>
      <c r="D177" s="64"/>
    </row>
    <row r="178">
      <c r="A178" s="64"/>
      <c r="B178" s="64"/>
      <c r="C178" s="64"/>
      <c r="D178" s="64"/>
    </row>
    <row r="179">
      <c r="A179" s="64"/>
      <c r="B179" s="64"/>
      <c r="C179" s="64"/>
      <c r="D179" s="64"/>
    </row>
    <row r="180">
      <c r="A180" s="64"/>
      <c r="B180" s="64"/>
      <c r="C180" s="64"/>
      <c r="D180" s="64"/>
    </row>
    <row r="181">
      <c r="A181" s="64"/>
      <c r="B181" s="64"/>
      <c r="C181" s="64"/>
      <c r="D181" s="64"/>
    </row>
    <row r="182">
      <c r="A182" s="64"/>
      <c r="B182" s="64"/>
      <c r="C182" s="64"/>
      <c r="D182" s="64"/>
    </row>
    <row r="183">
      <c r="A183" s="64"/>
      <c r="B183" s="64"/>
      <c r="C183" s="64"/>
      <c r="D183" s="64"/>
    </row>
    <row r="184">
      <c r="A184" s="64"/>
      <c r="B184" s="64"/>
      <c r="C184" s="64"/>
      <c r="D184" s="64"/>
    </row>
    <row r="185">
      <c r="A185" s="64"/>
      <c r="B185" s="64"/>
      <c r="C185" s="64"/>
      <c r="D185" s="64"/>
    </row>
    <row r="186">
      <c r="A186" s="64"/>
      <c r="B186" s="64"/>
      <c r="C186" s="64"/>
      <c r="D186" s="64"/>
    </row>
    <row r="187">
      <c r="A187" s="64"/>
      <c r="B187" s="64"/>
      <c r="C187" s="64"/>
      <c r="D187" s="64"/>
    </row>
    <row r="188">
      <c r="A188" s="64"/>
      <c r="B188" s="64"/>
      <c r="C188" s="64"/>
      <c r="D188" s="64"/>
    </row>
    <row r="189">
      <c r="A189" s="64"/>
      <c r="B189" s="64"/>
      <c r="C189" s="64"/>
      <c r="D189" s="64"/>
    </row>
    <row r="190">
      <c r="A190" s="64"/>
      <c r="B190" s="64"/>
      <c r="C190" s="64"/>
      <c r="D190" s="64"/>
    </row>
    <row r="191">
      <c r="A191" s="64"/>
      <c r="B191" s="64"/>
      <c r="C191" s="64"/>
      <c r="D191" s="64"/>
    </row>
    <row r="192">
      <c r="A192" s="64"/>
      <c r="B192" s="64"/>
      <c r="C192" s="64"/>
      <c r="D192" s="64"/>
    </row>
    <row r="193">
      <c r="A193" s="64"/>
      <c r="B193" s="64"/>
      <c r="C193" s="64"/>
      <c r="D193" s="64"/>
    </row>
    <row r="194">
      <c r="A194" s="64"/>
      <c r="B194" s="64"/>
      <c r="C194" s="64"/>
      <c r="D194" s="64"/>
    </row>
    <row r="195">
      <c r="A195" s="64"/>
      <c r="B195" s="64"/>
      <c r="C195" s="64"/>
      <c r="D195" s="64"/>
    </row>
    <row r="196">
      <c r="A196" s="64"/>
      <c r="B196" s="64"/>
      <c r="C196" s="64"/>
      <c r="D196" s="64"/>
    </row>
    <row r="197">
      <c r="A197" s="64"/>
      <c r="B197" s="64"/>
      <c r="C197" s="64"/>
      <c r="D197" s="64"/>
    </row>
    <row r="198">
      <c r="A198" s="64"/>
      <c r="B198" s="64"/>
      <c r="C198" s="64"/>
      <c r="D198" s="64"/>
    </row>
    <row r="199">
      <c r="A199" s="64"/>
      <c r="B199" s="64"/>
      <c r="C199" s="64"/>
      <c r="D199" s="64"/>
    </row>
    <row r="200">
      <c r="A200" s="64"/>
      <c r="B200" s="64"/>
      <c r="C200" s="64"/>
      <c r="D200" s="64"/>
    </row>
    <row r="201">
      <c r="A201" s="64"/>
      <c r="B201" s="64"/>
      <c r="C201" s="64"/>
      <c r="D201" s="64"/>
    </row>
    <row r="202">
      <c r="A202" s="64"/>
      <c r="B202" s="64"/>
      <c r="C202" s="64"/>
      <c r="D202" s="64"/>
    </row>
    <row r="203">
      <c r="A203" s="64"/>
      <c r="B203" s="64"/>
      <c r="C203" s="64"/>
      <c r="D203" s="64"/>
    </row>
    <row r="204">
      <c r="A204" s="64"/>
      <c r="B204" s="64"/>
      <c r="C204" s="64"/>
      <c r="D204" s="64"/>
    </row>
    <row r="205">
      <c r="A205" s="64"/>
      <c r="B205" s="64"/>
      <c r="C205" s="64"/>
      <c r="D205" s="64"/>
    </row>
    <row r="206">
      <c r="A206" s="64"/>
      <c r="B206" s="64"/>
      <c r="C206" s="64"/>
      <c r="D206" s="64"/>
    </row>
    <row r="207">
      <c r="A207" s="64"/>
      <c r="B207" s="64"/>
      <c r="C207" s="64"/>
      <c r="D207" s="64"/>
    </row>
    <row r="208">
      <c r="A208" s="64"/>
      <c r="B208" s="64"/>
      <c r="C208" s="64"/>
      <c r="D208" s="64"/>
    </row>
    <row r="209">
      <c r="A209" s="64"/>
      <c r="B209" s="64"/>
      <c r="C209" s="64"/>
      <c r="D209" s="64"/>
    </row>
    <row r="210">
      <c r="A210" s="64"/>
      <c r="B210" s="64"/>
      <c r="C210" s="64"/>
      <c r="D210" s="64"/>
    </row>
    <row r="211">
      <c r="A211" s="64"/>
      <c r="B211" s="64"/>
      <c r="C211" s="64"/>
      <c r="D211" s="64"/>
    </row>
    <row r="212">
      <c r="A212" s="64"/>
      <c r="B212" s="64"/>
      <c r="C212" s="64"/>
      <c r="D212" s="64"/>
    </row>
    <row r="213">
      <c r="A213" s="64"/>
      <c r="B213" s="64"/>
      <c r="C213" s="64"/>
      <c r="D213" s="64"/>
    </row>
    <row r="214">
      <c r="A214" s="64"/>
      <c r="B214" s="64"/>
      <c r="C214" s="64"/>
      <c r="D214" s="64"/>
    </row>
    <row r="215">
      <c r="A215" s="64"/>
      <c r="B215" s="64"/>
      <c r="C215" s="64"/>
      <c r="D215" s="64"/>
    </row>
    <row r="216">
      <c r="A216" s="64"/>
      <c r="B216" s="64"/>
      <c r="C216" s="64"/>
      <c r="D216" s="64"/>
    </row>
    <row r="217">
      <c r="A217" s="64"/>
      <c r="B217" s="64"/>
      <c r="C217" s="64"/>
      <c r="D217" s="64"/>
    </row>
    <row r="218">
      <c r="A218" s="64"/>
      <c r="B218" s="64"/>
      <c r="C218" s="64"/>
      <c r="D218" s="64"/>
    </row>
    <row r="219">
      <c r="A219" s="64"/>
      <c r="B219" s="64"/>
      <c r="C219" s="64"/>
      <c r="D219" s="64"/>
    </row>
    <row r="220">
      <c r="A220" s="64"/>
      <c r="B220" s="64"/>
      <c r="C220" s="64"/>
      <c r="D220" s="64"/>
    </row>
    <row r="221">
      <c r="A221" s="64"/>
      <c r="B221" s="64"/>
      <c r="C221" s="64"/>
      <c r="D221" s="64"/>
    </row>
    <row r="222">
      <c r="A222" s="64"/>
      <c r="B222" s="64"/>
      <c r="C222" s="64"/>
      <c r="D222" s="64"/>
    </row>
    <row r="223">
      <c r="A223" s="64"/>
      <c r="B223" s="64"/>
      <c r="C223" s="64"/>
      <c r="D223" s="64"/>
    </row>
    <row r="224">
      <c r="A224" s="64"/>
      <c r="B224" s="64"/>
      <c r="C224" s="64"/>
      <c r="D224" s="64"/>
    </row>
    <row r="225">
      <c r="A225" s="64"/>
      <c r="B225" s="64"/>
      <c r="C225" s="64"/>
      <c r="D225" s="64"/>
    </row>
    <row r="226">
      <c r="A226" s="64"/>
      <c r="B226" s="64"/>
      <c r="C226" s="64"/>
      <c r="D226" s="64"/>
    </row>
    <row r="227">
      <c r="A227" s="64"/>
      <c r="B227" s="64"/>
      <c r="C227" s="64"/>
      <c r="D227" s="64"/>
    </row>
    <row r="228">
      <c r="A228" s="64"/>
      <c r="B228" s="64"/>
      <c r="C228" s="64"/>
      <c r="D228" s="64"/>
    </row>
    <row r="229">
      <c r="A229" s="64"/>
      <c r="B229" s="64"/>
      <c r="C229" s="64"/>
      <c r="D229" s="64"/>
    </row>
    <row r="230">
      <c r="A230" s="64"/>
      <c r="B230" s="64"/>
      <c r="C230" s="64"/>
      <c r="D230" s="64"/>
    </row>
    <row r="231">
      <c r="A231" s="64"/>
      <c r="B231" s="64"/>
      <c r="C231" s="64"/>
      <c r="D231" s="64"/>
    </row>
    <row r="232">
      <c r="A232" s="64"/>
      <c r="B232" s="64"/>
      <c r="C232" s="64"/>
      <c r="D232" s="64"/>
    </row>
    <row r="233">
      <c r="A233" s="64"/>
      <c r="B233" s="64"/>
      <c r="C233" s="64"/>
      <c r="D233" s="64"/>
    </row>
    <row r="234">
      <c r="A234" s="64"/>
      <c r="B234" s="64"/>
      <c r="C234" s="64"/>
      <c r="D234" s="64"/>
    </row>
    <row r="235">
      <c r="A235" s="64"/>
      <c r="B235" s="64"/>
      <c r="C235" s="64"/>
      <c r="D235" s="64"/>
    </row>
    <row r="236">
      <c r="A236" s="64"/>
      <c r="B236" s="64"/>
      <c r="C236" s="64"/>
      <c r="D236" s="64"/>
    </row>
    <row r="237">
      <c r="A237" s="64"/>
      <c r="B237" s="64"/>
      <c r="C237" s="64"/>
      <c r="D237" s="64"/>
    </row>
    <row r="238">
      <c r="A238" s="64"/>
      <c r="B238" s="64"/>
      <c r="C238" s="64"/>
      <c r="D238" s="64"/>
    </row>
    <row r="239">
      <c r="A239" s="64"/>
      <c r="B239" s="64"/>
      <c r="C239" s="64"/>
      <c r="D239" s="64"/>
    </row>
    <row r="240">
      <c r="A240" s="64"/>
      <c r="B240" s="64"/>
      <c r="C240" s="64"/>
      <c r="D240" s="64"/>
    </row>
    <row r="241">
      <c r="A241" s="64"/>
      <c r="B241" s="64"/>
      <c r="C241" s="64"/>
      <c r="D241" s="64"/>
    </row>
    <row r="242">
      <c r="A242" s="64"/>
      <c r="B242" s="64"/>
      <c r="C242" s="64"/>
      <c r="D242" s="64"/>
    </row>
    <row r="243">
      <c r="A243" s="64"/>
      <c r="B243" s="64"/>
      <c r="C243" s="64"/>
      <c r="D243" s="64"/>
    </row>
    <row r="244">
      <c r="A244" s="64"/>
      <c r="B244" s="64"/>
      <c r="C244" s="64"/>
      <c r="D244" s="64"/>
    </row>
    <row r="245">
      <c r="A245" s="64"/>
      <c r="B245" s="64"/>
      <c r="C245" s="64"/>
      <c r="D245" s="64"/>
    </row>
    <row r="246">
      <c r="A246" s="64"/>
      <c r="B246" s="64"/>
      <c r="C246" s="64"/>
      <c r="D246" s="64"/>
    </row>
    <row r="247">
      <c r="A247" s="64"/>
      <c r="B247" s="64"/>
      <c r="C247" s="64"/>
      <c r="D247" s="64"/>
    </row>
    <row r="248">
      <c r="A248" s="64"/>
      <c r="B248" s="64"/>
      <c r="C248" s="64"/>
      <c r="D248" s="64"/>
    </row>
    <row r="249">
      <c r="A249" s="64"/>
      <c r="B249" s="64"/>
      <c r="C249" s="64"/>
      <c r="D249" s="64"/>
    </row>
    <row r="250">
      <c r="A250" s="64"/>
      <c r="B250" s="64"/>
      <c r="C250" s="64"/>
      <c r="D250" s="64"/>
    </row>
    <row r="251">
      <c r="A251" s="64"/>
      <c r="B251" s="64"/>
      <c r="C251" s="64"/>
      <c r="D251" s="64"/>
    </row>
    <row r="252">
      <c r="A252" s="64"/>
      <c r="B252" s="64"/>
      <c r="C252" s="64"/>
      <c r="D252" s="64"/>
    </row>
    <row r="253">
      <c r="A253" s="64"/>
      <c r="B253" s="64"/>
      <c r="C253" s="64"/>
      <c r="D253" s="64"/>
    </row>
    <row r="254">
      <c r="A254" s="64"/>
      <c r="B254" s="64"/>
      <c r="C254" s="64"/>
      <c r="D254" s="64"/>
    </row>
    <row r="255">
      <c r="A255" s="64"/>
      <c r="B255" s="64"/>
      <c r="C255" s="64"/>
      <c r="D255" s="64"/>
    </row>
    <row r="256">
      <c r="A256" s="64"/>
      <c r="B256" s="64"/>
      <c r="C256" s="64"/>
      <c r="D256" s="64"/>
    </row>
    <row r="257">
      <c r="A257" s="64"/>
      <c r="B257" s="64"/>
      <c r="C257" s="64"/>
      <c r="D257" s="64"/>
    </row>
    <row r="258">
      <c r="A258" s="64"/>
      <c r="B258" s="64"/>
      <c r="C258" s="64"/>
      <c r="D258" s="64"/>
    </row>
    <row r="259">
      <c r="A259" s="64"/>
      <c r="B259" s="64"/>
      <c r="C259" s="64"/>
      <c r="D259" s="64"/>
    </row>
    <row r="260">
      <c r="A260" s="64"/>
      <c r="B260" s="64"/>
      <c r="C260" s="64"/>
      <c r="D260" s="64"/>
    </row>
    <row r="261">
      <c r="A261" s="64"/>
      <c r="B261" s="64"/>
      <c r="C261" s="64"/>
      <c r="D261" s="64"/>
    </row>
    <row r="262">
      <c r="A262" s="64"/>
      <c r="B262" s="64"/>
      <c r="C262" s="64"/>
      <c r="D262" s="64"/>
    </row>
    <row r="263">
      <c r="A263" s="64"/>
      <c r="B263" s="64"/>
      <c r="C263" s="64"/>
      <c r="D263" s="64"/>
    </row>
    <row r="264">
      <c r="A264" s="64"/>
      <c r="B264" s="64"/>
      <c r="C264" s="64"/>
      <c r="D264" s="64"/>
    </row>
    <row r="265">
      <c r="A265" s="64"/>
      <c r="B265" s="64"/>
      <c r="C265" s="64"/>
      <c r="D265" s="64"/>
    </row>
    <row r="266">
      <c r="A266" s="64"/>
      <c r="B266" s="64"/>
      <c r="C266" s="64"/>
      <c r="D266" s="64"/>
    </row>
    <row r="267">
      <c r="A267" s="64"/>
      <c r="B267" s="64"/>
      <c r="C267" s="64"/>
      <c r="D267" s="64"/>
    </row>
    <row r="268">
      <c r="A268" s="64"/>
      <c r="B268" s="64"/>
      <c r="C268" s="64"/>
      <c r="D268" s="64"/>
    </row>
    <row r="269">
      <c r="A269" s="64"/>
      <c r="B269" s="64"/>
      <c r="C269" s="64"/>
      <c r="D269" s="64"/>
    </row>
    <row r="270">
      <c r="A270" s="64"/>
      <c r="B270" s="64"/>
      <c r="C270" s="64"/>
      <c r="D270" s="64"/>
    </row>
    <row r="271">
      <c r="A271" s="64"/>
      <c r="B271" s="64"/>
      <c r="C271" s="64"/>
      <c r="D271" s="64"/>
    </row>
    <row r="272">
      <c r="A272" s="64"/>
      <c r="B272" s="64"/>
      <c r="C272" s="64"/>
      <c r="D272" s="64"/>
    </row>
    <row r="273">
      <c r="A273" s="64"/>
      <c r="B273" s="64"/>
      <c r="C273" s="64"/>
      <c r="D273" s="64"/>
    </row>
    <row r="274">
      <c r="A274" s="64"/>
      <c r="B274" s="64"/>
      <c r="C274" s="64"/>
      <c r="D274" s="64"/>
    </row>
    <row r="275">
      <c r="A275" s="64"/>
      <c r="B275" s="64"/>
      <c r="C275" s="64"/>
      <c r="D275" s="64"/>
    </row>
    <row r="276">
      <c r="A276" s="64"/>
      <c r="B276" s="64"/>
      <c r="C276" s="64"/>
      <c r="D276" s="64"/>
    </row>
    <row r="277">
      <c r="A277" s="64"/>
      <c r="B277" s="64"/>
      <c r="C277" s="64"/>
      <c r="D277" s="64"/>
    </row>
    <row r="278">
      <c r="A278" s="64"/>
      <c r="B278" s="64"/>
      <c r="C278" s="64"/>
      <c r="D278" s="64"/>
    </row>
    <row r="279">
      <c r="A279" s="64"/>
      <c r="B279" s="64"/>
      <c r="C279" s="64"/>
      <c r="D279" s="64"/>
    </row>
    <row r="280">
      <c r="A280" s="64"/>
      <c r="B280" s="64"/>
      <c r="C280" s="64"/>
      <c r="D280" s="64"/>
    </row>
    <row r="281">
      <c r="A281" s="64"/>
      <c r="B281" s="64"/>
      <c r="C281" s="64"/>
      <c r="D281" s="64"/>
    </row>
    <row r="282">
      <c r="A282" s="64"/>
      <c r="B282" s="64"/>
      <c r="C282" s="64"/>
      <c r="D282" s="64"/>
    </row>
    <row r="283">
      <c r="A283" s="64"/>
      <c r="B283" s="64"/>
      <c r="C283" s="64"/>
      <c r="D283" s="64"/>
    </row>
    <row r="284">
      <c r="A284" s="64"/>
      <c r="B284" s="64"/>
      <c r="C284" s="64"/>
      <c r="D284" s="64"/>
    </row>
    <row r="285">
      <c r="A285" s="64"/>
      <c r="B285" s="64"/>
      <c r="C285" s="64"/>
      <c r="D285" s="64"/>
    </row>
    <row r="286">
      <c r="A286" s="64"/>
      <c r="B286" s="64"/>
      <c r="C286" s="64"/>
      <c r="D286" s="64"/>
    </row>
    <row r="287">
      <c r="A287" s="64"/>
      <c r="B287" s="64"/>
      <c r="C287" s="64"/>
      <c r="D287" s="64"/>
    </row>
    <row r="288">
      <c r="A288" s="64"/>
      <c r="B288" s="64"/>
      <c r="C288" s="64"/>
      <c r="D288" s="64"/>
    </row>
    <row r="289">
      <c r="A289" s="64"/>
      <c r="B289" s="64"/>
      <c r="C289" s="64"/>
      <c r="D289" s="64"/>
    </row>
    <row r="290">
      <c r="A290" s="64"/>
      <c r="B290" s="64"/>
      <c r="C290" s="64"/>
      <c r="D290" s="64"/>
    </row>
    <row r="291">
      <c r="A291" s="64"/>
      <c r="B291" s="64"/>
      <c r="C291" s="64"/>
      <c r="D291" s="64"/>
    </row>
    <row r="292">
      <c r="A292" s="64"/>
      <c r="B292" s="64"/>
      <c r="C292" s="64"/>
      <c r="D292" s="64"/>
    </row>
    <row r="293">
      <c r="A293" s="64"/>
      <c r="B293" s="64"/>
      <c r="C293" s="64"/>
      <c r="D293" s="64"/>
    </row>
    <row r="294">
      <c r="A294" s="64"/>
      <c r="B294" s="64"/>
      <c r="C294" s="64"/>
      <c r="D294" s="64"/>
    </row>
    <row r="295">
      <c r="A295" s="64"/>
      <c r="B295" s="64"/>
      <c r="C295" s="64"/>
      <c r="D295" s="64"/>
    </row>
    <row r="296">
      <c r="A296" s="64"/>
      <c r="B296" s="64"/>
      <c r="C296" s="64"/>
      <c r="D296" s="64"/>
    </row>
    <row r="297">
      <c r="A297" s="64"/>
      <c r="B297" s="64"/>
      <c r="C297" s="64"/>
      <c r="D297" s="64"/>
    </row>
    <row r="298">
      <c r="A298" s="64"/>
      <c r="B298" s="64"/>
      <c r="C298" s="64"/>
      <c r="D298" s="64"/>
    </row>
    <row r="299">
      <c r="A299" s="64"/>
      <c r="B299" s="64"/>
      <c r="C299" s="64"/>
      <c r="D299" s="64"/>
    </row>
    <row r="300">
      <c r="A300" s="64"/>
      <c r="B300" s="64"/>
      <c r="C300" s="64"/>
      <c r="D300" s="64"/>
    </row>
    <row r="301">
      <c r="A301" s="64"/>
      <c r="B301" s="64"/>
      <c r="C301" s="64"/>
      <c r="D301" s="64"/>
    </row>
    <row r="302">
      <c r="A302" s="64"/>
      <c r="B302" s="64"/>
      <c r="C302" s="64"/>
      <c r="D302" s="64"/>
    </row>
    <row r="303">
      <c r="A303" s="64"/>
      <c r="B303" s="64"/>
      <c r="C303" s="64"/>
      <c r="D303" s="64"/>
    </row>
    <row r="304">
      <c r="A304" s="64"/>
      <c r="B304" s="64"/>
      <c r="C304" s="64"/>
      <c r="D304" s="64"/>
    </row>
    <row r="305">
      <c r="A305" s="64"/>
      <c r="B305" s="64"/>
      <c r="C305" s="64"/>
      <c r="D305" s="64"/>
    </row>
    <row r="306">
      <c r="A306" s="64"/>
      <c r="B306" s="64"/>
      <c r="C306" s="64"/>
      <c r="D306" s="64"/>
    </row>
    <row r="307">
      <c r="A307" s="64"/>
      <c r="B307" s="64"/>
      <c r="C307" s="64"/>
      <c r="D307" s="64"/>
    </row>
    <row r="308">
      <c r="A308" s="64"/>
      <c r="B308" s="64"/>
      <c r="C308" s="64"/>
      <c r="D308" s="64"/>
    </row>
    <row r="309">
      <c r="A309" s="64"/>
      <c r="B309" s="64"/>
      <c r="C309" s="64"/>
      <c r="D309" s="64"/>
    </row>
    <row r="310">
      <c r="A310" s="64"/>
      <c r="B310" s="64"/>
      <c r="C310" s="64"/>
      <c r="D310" s="64"/>
    </row>
    <row r="311">
      <c r="A311" s="64"/>
      <c r="B311" s="64"/>
      <c r="C311" s="64"/>
      <c r="D311" s="64"/>
    </row>
    <row r="312">
      <c r="A312" s="64"/>
      <c r="B312" s="64"/>
      <c r="C312" s="64"/>
      <c r="D312" s="64"/>
    </row>
    <row r="313">
      <c r="A313" s="64"/>
      <c r="B313" s="64"/>
      <c r="C313" s="64"/>
      <c r="D313" s="64"/>
    </row>
    <row r="314">
      <c r="A314" s="64"/>
      <c r="B314" s="64"/>
      <c r="C314" s="64"/>
      <c r="D314" s="64"/>
    </row>
    <row r="315">
      <c r="A315" s="64"/>
      <c r="B315" s="64"/>
      <c r="C315" s="64"/>
      <c r="D315" s="64"/>
    </row>
    <row r="316">
      <c r="A316" s="64"/>
      <c r="B316" s="64"/>
      <c r="C316" s="64"/>
      <c r="D316" s="64"/>
    </row>
    <row r="317">
      <c r="A317" s="64"/>
      <c r="B317" s="64"/>
      <c r="C317" s="64"/>
      <c r="D317" s="64"/>
    </row>
    <row r="318">
      <c r="A318" s="64"/>
      <c r="B318" s="64"/>
      <c r="C318" s="64"/>
      <c r="D318" s="64"/>
    </row>
    <row r="319">
      <c r="A319" s="64"/>
      <c r="B319" s="64"/>
      <c r="C319" s="64"/>
      <c r="D319" s="64"/>
    </row>
    <row r="320">
      <c r="A320" s="64"/>
      <c r="B320" s="64"/>
      <c r="C320" s="64"/>
      <c r="D320" s="64"/>
    </row>
    <row r="321">
      <c r="A321" s="64"/>
      <c r="B321" s="64"/>
      <c r="C321" s="64"/>
      <c r="D321" s="64"/>
    </row>
    <row r="322">
      <c r="A322" s="64"/>
      <c r="B322" s="64"/>
      <c r="C322" s="64"/>
      <c r="D322" s="64"/>
    </row>
    <row r="323">
      <c r="A323" s="64"/>
      <c r="B323" s="64"/>
      <c r="C323" s="64"/>
      <c r="D323" s="64"/>
    </row>
    <row r="324">
      <c r="A324" s="64"/>
      <c r="B324" s="64"/>
      <c r="C324" s="64"/>
      <c r="D324" s="64"/>
    </row>
    <row r="325">
      <c r="A325" s="64"/>
      <c r="B325" s="64"/>
      <c r="C325" s="64"/>
      <c r="D325" s="64"/>
    </row>
    <row r="326">
      <c r="A326" s="64"/>
      <c r="B326" s="64"/>
      <c r="C326" s="64"/>
      <c r="D326" s="64"/>
    </row>
    <row r="327">
      <c r="A327" s="64"/>
      <c r="B327" s="64"/>
      <c r="C327" s="64"/>
      <c r="D327" s="64"/>
    </row>
    <row r="328">
      <c r="A328" s="64"/>
      <c r="B328" s="64"/>
      <c r="C328" s="64"/>
      <c r="D328" s="64"/>
    </row>
    <row r="329">
      <c r="A329" s="64"/>
      <c r="B329" s="64"/>
      <c r="C329" s="64"/>
      <c r="D329" s="64"/>
    </row>
    <row r="330">
      <c r="A330" s="64"/>
      <c r="B330" s="64"/>
      <c r="C330" s="64"/>
      <c r="D330" s="64"/>
    </row>
    <row r="331">
      <c r="A331" s="64"/>
      <c r="B331" s="64"/>
      <c r="C331" s="64"/>
      <c r="D331" s="64"/>
    </row>
    <row r="332">
      <c r="A332" s="64"/>
      <c r="B332" s="64"/>
      <c r="C332" s="64"/>
      <c r="D332" s="64"/>
    </row>
    <row r="333">
      <c r="A333" s="64"/>
      <c r="B333" s="64"/>
      <c r="C333" s="64"/>
      <c r="D333" s="64"/>
    </row>
    <row r="334">
      <c r="A334" s="64"/>
      <c r="B334" s="64"/>
      <c r="C334" s="64"/>
      <c r="D334" s="64"/>
    </row>
    <row r="335">
      <c r="A335" s="64"/>
      <c r="B335" s="64"/>
      <c r="C335" s="64"/>
      <c r="D335" s="64"/>
    </row>
    <row r="336">
      <c r="A336" s="64"/>
      <c r="B336" s="64"/>
      <c r="C336" s="64"/>
      <c r="D336" s="64"/>
    </row>
    <row r="337">
      <c r="A337" s="64"/>
      <c r="B337" s="64"/>
      <c r="C337" s="64"/>
      <c r="D337" s="64"/>
    </row>
    <row r="338">
      <c r="A338" s="64"/>
      <c r="B338" s="64"/>
      <c r="C338" s="64"/>
      <c r="D338" s="64"/>
    </row>
    <row r="339">
      <c r="A339" s="64"/>
      <c r="B339" s="64"/>
      <c r="C339" s="64"/>
      <c r="D339" s="64"/>
    </row>
    <row r="340">
      <c r="A340" s="64"/>
      <c r="B340" s="64"/>
      <c r="C340" s="64"/>
      <c r="D340" s="64"/>
    </row>
    <row r="341">
      <c r="A341" s="64"/>
      <c r="B341" s="64"/>
      <c r="C341" s="64"/>
      <c r="D341" s="64"/>
    </row>
    <row r="342">
      <c r="A342" s="64"/>
      <c r="B342" s="64"/>
      <c r="C342" s="64"/>
      <c r="D342" s="64"/>
    </row>
    <row r="343">
      <c r="A343" s="64"/>
      <c r="B343" s="64"/>
      <c r="C343" s="64"/>
      <c r="D343" s="64"/>
    </row>
    <row r="344">
      <c r="A344" s="64"/>
      <c r="B344" s="64"/>
      <c r="C344" s="64"/>
      <c r="D344" s="64"/>
    </row>
    <row r="345">
      <c r="A345" s="64"/>
      <c r="B345" s="64"/>
      <c r="C345" s="64"/>
      <c r="D345" s="64"/>
    </row>
    <row r="346">
      <c r="A346" s="64"/>
      <c r="B346" s="64"/>
      <c r="C346" s="64"/>
      <c r="D346" s="64"/>
    </row>
    <row r="347">
      <c r="A347" s="64"/>
      <c r="B347" s="64"/>
      <c r="C347" s="64"/>
      <c r="D347" s="64"/>
    </row>
    <row r="348">
      <c r="A348" s="64"/>
      <c r="B348" s="64"/>
      <c r="C348" s="64"/>
      <c r="D348" s="64"/>
    </row>
    <row r="349">
      <c r="A349" s="64"/>
      <c r="B349" s="64"/>
      <c r="C349" s="64"/>
      <c r="D349" s="64"/>
    </row>
    <row r="350">
      <c r="A350" s="64"/>
      <c r="B350" s="64"/>
      <c r="C350" s="64"/>
      <c r="D350" s="64"/>
    </row>
    <row r="351">
      <c r="A351" s="64"/>
      <c r="B351" s="64"/>
      <c r="C351" s="64"/>
      <c r="D351" s="64"/>
    </row>
    <row r="352">
      <c r="A352" s="64"/>
      <c r="B352" s="64"/>
      <c r="C352" s="64"/>
      <c r="D352" s="64"/>
    </row>
    <row r="353">
      <c r="A353" s="64"/>
      <c r="B353" s="64"/>
      <c r="C353" s="64"/>
      <c r="D353" s="64"/>
    </row>
    <row r="354">
      <c r="A354" s="64"/>
      <c r="B354" s="64"/>
      <c r="C354" s="64"/>
      <c r="D354" s="64"/>
    </row>
    <row r="355">
      <c r="A355" s="64"/>
      <c r="B355" s="64"/>
      <c r="C355" s="64"/>
      <c r="D355" s="64"/>
    </row>
    <row r="356">
      <c r="A356" s="64"/>
      <c r="B356" s="64"/>
      <c r="C356" s="64"/>
      <c r="D356" s="64"/>
    </row>
    <row r="357">
      <c r="A357" s="64"/>
      <c r="B357" s="64"/>
      <c r="C357" s="64"/>
      <c r="D357" s="64"/>
    </row>
    <row r="358">
      <c r="A358" s="64"/>
      <c r="B358" s="64"/>
      <c r="C358" s="64"/>
      <c r="D358" s="64"/>
    </row>
    <row r="359">
      <c r="A359" s="64"/>
      <c r="B359" s="64"/>
      <c r="C359" s="64"/>
      <c r="D359" s="64"/>
    </row>
    <row r="360">
      <c r="A360" s="64"/>
      <c r="B360" s="64"/>
      <c r="C360" s="64"/>
      <c r="D360" s="64"/>
    </row>
    <row r="361">
      <c r="A361" s="64"/>
      <c r="B361" s="64"/>
      <c r="C361" s="64"/>
      <c r="D361" s="64"/>
    </row>
    <row r="362">
      <c r="A362" s="64"/>
      <c r="B362" s="64"/>
      <c r="C362" s="64"/>
      <c r="D362" s="64"/>
    </row>
    <row r="363">
      <c r="A363" s="64"/>
      <c r="B363" s="64"/>
      <c r="C363" s="64"/>
      <c r="D363" s="64"/>
    </row>
    <row r="364">
      <c r="A364" s="64"/>
      <c r="B364" s="64"/>
      <c r="C364" s="64"/>
      <c r="D364" s="64"/>
    </row>
    <row r="365">
      <c r="A365" s="64"/>
      <c r="B365" s="64"/>
      <c r="C365" s="64"/>
      <c r="D365" s="64"/>
    </row>
    <row r="366">
      <c r="A366" s="64"/>
      <c r="B366" s="64"/>
      <c r="C366" s="64"/>
      <c r="D366" s="64"/>
    </row>
    <row r="367">
      <c r="A367" s="64"/>
      <c r="B367" s="64"/>
      <c r="C367" s="64"/>
      <c r="D367" s="64"/>
    </row>
    <row r="368">
      <c r="A368" s="64"/>
      <c r="B368" s="64"/>
      <c r="C368" s="64"/>
      <c r="D368" s="64"/>
    </row>
    <row r="369">
      <c r="A369" s="64"/>
      <c r="B369" s="64"/>
      <c r="C369" s="64"/>
      <c r="D369" s="64"/>
    </row>
    <row r="370">
      <c r="A370" s="64"/>
      <c r="B370" s="64"/>
      <c r="C370" s="64"/>
      <c r="D370" s="64"/>
    </row>
    <row r="371">
      <c r="A371" s="64"/>
      <c r="B371" s="64"/>
      <c r="C371" s="64"/>
      <c r="D371" s="64"/>
    </row>
    <row r="372">
      <c r="A372" s="64"/>
      <c r="B372" s="64"/>
      <c r="C372" s="64"/>
      <c r="D372" s="64"/>
    </row>
    <row r="373">
      <c r="A373" s="64"/>
      <c r="B373" s="64"/>
      <c r="C373" s="64"/>
      <c r="D373" s="64"/>
    </row>
    <row r="374">
      <c r="A374" s="64"/>
      <c r="B374" s="64"/>
      <c r="C374" s="64"/>
      <c r="D374" s="64"/>
    </row>
    <row r="375">
      <c r="A375" s="64"/>
      <c r="B375" s="64"/>
      <c r="C375" s="64"/>
      <c r="D375" s="64"/>
    </row>
    <row r="376">
      <c r="A376" s="64"/>
      <c r="B376" s="64"/>
      <c r="C376" s="64"/>
      <c r="D376" s="64"/>
    </row>
    <row r="377">
      <c r="A377" s="64"/>
      <c r="B377" s="64"/>
      <c r="C377" s="64"/>
      <c r="D377" s="64"/>
    </row>
    <row r="378">
      <c r="A378" s="64"/>
      <c r="B378" s="64"/>
      <c r="C378" s="64"/>
      <c r="D378" s="64"/>
    </row>
    <row r="379">
      <c r="A379" s="64"/>
      <c r="B379" s="64"/>
      <c r="C379" s="64"/>
      <c r="D379" s="64"/>
    </row>
    <row r="380">
      <c r="A380" s="64"/>
      <c r="B380" s="64"/>
      <c r="C380" s="64"/>
      <c r="D380" s="64"/>
    </row>
    <row r="381">
      <c r="A381" s="64"/>
      <c r="B381" s="64"/>
      <c r="C381" s="64"/>
      <c r="D381" s="64"/>
    </row>
    <row r="382">
      <c r="A382" s="64"/>
      <c r="B382" s="64"/>
      <c r="C382" s="64"/>
      <c r="D382" s="64"/>
    </row>
    <row r="383">
      <c r="A383" s="64"/>
      <c r="B383" s="64"/>
      <c r="C383" s="64"/>
      <c r="D383" s="64"/>
    </row>
    <row r="384">
      <c r="A384" s="64"/>
      <c r="B384" s="64"/>
      <c r="C384" s="64"/>
      <c r="D384" s="64"/>
    </row>
    <row r="385">
      <c r="A385" s="64"/>
      <c r="B385" s="64"/>
      <c r="C385" s="64"/>
      <c r="D385" s="64"/>
    </row>
    <row r="386">
      <c r="A386" s="64"/>
      <c r="B386" s="64"/>
      <c r="C386" s="64"/>
      <c r="D386" s="64"/>
    </row>
    <row r="387">
      <c r="A387" s="64"/>
      <c r="B387" s="64"/>
      <c r="C387" s="64"/>
      <c r="D387" s="64"/>
    </row>
    <row r="388">
      <c r="A388" s="64"/>
      <c r="B388" s="64"/>
      <c r="C388" s="64"/>
      <c r="D388" s="64"/>
    </row>
    <row r="389">
      <c r="A389" s="64"/>
      <c r="B389" s="64"/>
      <c r="C389" s="64"/>
      <c r="D389" s="64"/>
    </row>
    <row r="390">
      <c r="A390" s="64"/>
      <c r="B390" s="64"/>
      <c r="C390" s="64"/>
      <c r="D390" s="64"/>
    </row>
    <row r="391">
      <c r="A391" s="64"/>
      <c r="B391" s="64"/>
      <c r="C391" s="64"/>
      <c r="D391" s="64"/>
    </row>
    <row r="392">
      <c r="A392" s="64"/>
      <c r="B392" s="64"/>
      <c r="C392" s="64"/>
      <c r="D392" s="64"/>
    </row>
    <row r="393">
      <c r="A393" s="64"/>
      <c r="B393" s="64"/>
      <c r="C393" s="64"/>
      <c r="D393" s="64"/>
    </row>
    <row r="394">
      <c r="A394" s="64"/>
      <c r="B394" s="64"/>
      <c r="C394" s="64"/>
      <c r="D394" s="64"/>
    </row>
    <row r="395">
      <c r="A395" s="64"/>
      <c r="B395" s="64"/>
      <c r="C395" s="64"/>
      <c r="D395" s="64"/>
    </row>
    <row r="396">
      <c r="A396" s="64"/>
      <c r="B396" s="64"/>
      <c r="C396" s="64"/>
      <c r="D396" s="64"/>
    </row>
    <row r="397">
      <c r="A397" s="64"/>
      <c r="B397" s="64"/>
      <c r="C397" s="64"/>
      <c r="D397" s="64"/>
    </row>
    <row r="398">
      <c r="A398" s="64"/>
      <c r="B398" s="64"/>
      <c r="C398" s="64"/>
      <c r="D398" s="64"/>
    </row>
    <row r="399">
      <c r="A399" s="64"/>
      <c r="B399" s="64"/>
      <c r="C399" s="64"/>
      <c r="D399" s="64"/>
    </row>
    <row r="400">
      <c r="A400" s="64"/>
      <c r="B400" s="64"/>
      <c r="C400" s="64"/>
      <c r="D400" s="64"/>
    </row>
    <row r="401">
      <c r="A401" s="64"/>
      <c r="B401" s="64"/>
      <c r="C401" s="64"/>
      <c r="D401" s="64"/>
    </row>
    <row r="402">
      <c r="A402" s="64"/>
      <c r="B402" s="64"/>
      <c r="C402" s="64"/>
      <c r="D402" s="64"/>
    </row>
    <row r="403">
      <c r="A403" s="64"/>
      <c r="B403" s="64"/>
      <c r="C403" s="64"/>
      <c r="D403" s="64"/>
    </row>
    <row r="404">
      <c r="A404" s="64"/>
      <c r="B404" s="64"/>
      <c r="C404" s="64"/>
      <c r="D404" s="64"/>
    </row>
    <row r="405">
      <c r="A405" s="64"/>
      <c r="B405" s="64"/>
      <c r="C405" s="64"/>
      <c r="D405" s="64"/>
    </row>
    <row r="406">
      <c r="A406" s="64"/>
      <c r="B406" s="64"/>
      <c r="C406" s="64"/>
      <c r="D406" s="64"/>
    </row>
    <row r="407">
      <c r="A407" s="64"/>
      <c r="B407" s="64"/>
      <c r="C407" s="64"/>
      <c r="D407" s="64"/>
    </row>
    <row r="408">
      <c r="A408" s="64"/>
      <c r="B408" s="64"/>
      <c r="C408" s="64"/>
      <c r="D408" s="64"/>
    </row>
    <row r="409">
      <c r="A409" s="64"/>
      <c r="B409" s="64"/>
      <c r="C409" s="64"/>
      <c r="D409" s="64"/>
    </row>
    <row r="410">
      <c r="A410" s="64"/>
      <c r="B410" s="64"/>
      <c r="C410" s="64"/>
      <c r="D410" s="64"/>
    </row>
    <row r="411">
      <c r="A411" s="64"/>
      <c r="B411" s="64"/>
      <c r="C411" s="64"/>
      <c r="D411" s="64"/>
    </row>
    <row r="412">
      <c r="A412" s="64"/>
      <c r="B412" s="64"/>
      <c r="C412" s="64"/>
      <c r="D412" s="64"/>
    </row>
    <row r="413">
      <c r="A413" s="64"/>
      <c r="B413" s="64"/>
      <c r="C413" s="64"/>
      <c r="D413" s="64"/>
    </row>
    <row r="414">
      <c r="A414" s="64"/>
      <c r="B414" s="64"/>
      <c r="C414" s="64"/>
      <c r="D414" s="64"/>
    </row>
    <row r="415">
      <c r="A415" s="64"/>
      <c r="B415" s="64"/>
      <c r="C415" s="64"/>
      <c r="D415" s="64"/>
    </row>
    <row r="416">
      <c r="A416" s="64"/>
      <c r="B416" s="64"/>
      <c r="C416" s="64"/>
      <c r="D416" s="64"/>
    </row>
    <row r="417">
      <c r="A417" s="64"/>
      <c r="B417" s="64"/>
      <c r="C417" s="64"/>
      <c r="D417" s="64"/>
    </row>
    <row r="418">
      <c r="A418" s="64"/>
      <c r="B418" s="64"/>
      <c r="C418" s="64"/>
      <c r="D418" s="64"/>
    </row>
    <row r="419">
      <c r="A419" s="64"/>
      <c r="B419" s="64"/>
      <c r="C419" s="64"/>
      <c r="D419" s="64"/>
    </row>
    <row r="420">
      <c r="A420" s="64"/>
      <c r="B420" s="64"/>
      <c r="C420" s="64"/>
      <c r="D420" s="64"/>
    </row>
    <row r="421">
      <c r="A421" s="64"/>
      <c r="B421" s="64"/>
      <c r="C421" s="64"/>
      <c r="D421" s="64"/>
    </row>
    <row r="422">
      <c r="A422" s="64"/>
      <c r="B422" s="64"/>
      <c r="C422" s="64"/>
      <c r="D422" s="64"/>
    </row>
    <row r="423">
      <c r="A423" s="64"/>
      <c r="B423" s="64"/>
      <c r="C423" s="64"/>
      <c r="D423" s="64"/>
    </row>
    <row r="424">
      <c r="A424" s="64"/>
      <c r="B424" s="64"/>
      <c r="C424" s="64"/>
      <c r="D424" s="64"/>
    </row>
    <row r="425">
      <c r="A425" s="64"/>
      <c r="B425" s="64"/>
      <c r="C425" s="64"/>
      <c r="D425" s="64"/>
    </row>
    <row r="426">
      <c r="A426" s="64"/>
      <c r="B426" s="64"/>
      <c r="C426" s="64"/>
      <c r="D426" s="64"/>
    </row>
    <row r="427">
      <c r="A427" s="64"/>
      <c r="B427" s="64"/>
      <c r="C427" s="64"/>
      <c r="D427" s="64"/>
    </row>
    <row r="428">
      <c r="A428" s="64"/>
      <c r="B428" s="64"/>
      <c r="C428" s="64"/>
      <c r="D428" s="64"/>
    </row>
    <row r="429">
      <c r="A429" s="64"/>
      <c r="B429" s="64"/>
      <c r="C429" s="64"/>
      <c r="D429" s="64"/>
    </row>
    <row r="430">
      <c r="A430" s="64"/>
      <c r="B430" s="64"/>
      <c r="C430" s="64"/>
      <c r="D430" s="64"/>
    </row>
    <row r="431">
      <c r="A431" s="64"/>
      <c r="B431" s="64"/>
      <c r="C431" s="64"/>
      <c r="D431" s="64"/>
    </row>
    <row r="432">
      <c r="A432" s="64"/>
      <c r="B432" s="64"/>
      <c r="C432" s="64"/>
      <c r="D432" s="64"/>
    </row>
    <row r="433">
      <c r="A433" s="64"/>
      <c r="B433" s="64"/>
      <c r="C433" s="64"/>
      <c r="D433" s="64"/>
    </row>
    <row r="434">
      <c r="A434" s="64"/>
      <c r="B434" s="64"/>
      <c r="C434" s="64"/>
      <c r="D434" s="64"/>
    </row>
    <row r="435">
      <c r="A435" s="64"/>
      <c r="B435" s="64"/>
      <c r="C435" s="64"/>
      <c r="D435" s="64"/>
    </row>
    <row r="436">
      <c r="A436" s="64"/>
      <c r="B436" s="64"/>
      <c r="C436" s="64"/>
      <c r="D436" s="64"/>
    </row>
    <row r="437">
      <c r="A437" s="64"/>
      <c r="B437" s="64"/>
      <c r="C437" s="64"/>
      <c r="D437" s="64"/>
    </row>
    <row r="438">
      <c r="A438" s="64"/>
      <c r="B438" s="64"/>
      <c r="C438" s="64"/>
      <c r="D438" s="64"/>
    </row>
    <row r="439">
      <c r="A439" s="64"/>
      <c r="B439" s="64"/>
      <c r="C439" s="64"/>
      <c r="D439" s="64"/>
    </row>
    <row r="440">
      <c r="A440" s="64"/>
      <c r="B440" s="64"/>
      <c r="C440" s="64"/>
      <c r="D440" s="64"/>
    </row>
    <row r="441">
      <c r="A441" s="64"/>
      <c r="B441" s="64"/>
      <c r="C441" s="64"/>
      <c r="D441" s="64"/>
    </row>
    <row r="442">
      <c r="A442" s="64"/>
      <c r="B442" s="64"/>
      <c r="C442" s="64"/>
      <c r="D442" s="64"/>
    </row>
    <row r="443">
      <c r="A443" s="64"/>
      <c r="B443" s="64"/>
      <c r="C443" s="64"/>
      <c r="D443" s="64"/>
    </row>
    <row r="444">
      <c r="A444" s="64"/>
      <c r="B444" s="64"/>
      <c r="C444" s="64"/>
      <c r="D444" s="64"/>
    </row>
    <row r="445">
      <c r="A445" s="64"/>
      <c r="B445" s="64"/>
      <c r="C445" s="64"/>
      <c r="D445" s="64"/>
    </row>
    <row r="446">
      <c r="A446" s="64"/>
      <c r="B446" s="64"/>
      <c r="C446" s="64"/>
      <c r="D446" s="64"/>
    </row>
    <row r="447">
      <c r="A447" s="64"/>
      <c r="B447" s="64"/>
      <c r="C447" s="64"/>
      <c r="D447" s="64"/>
    </row>
    <row r="448">
      <c r="A448" s="64"/>
      <c r="B448" s="64"/>
      <c r="C448" s="64"/>
      <c r="D448" s="64"/>
    </row>
    <row r="449">
      <c r="A449" s="64"/>
      <c r="B449" s="64"/>
      <c r="C449" s="64"/>
      <c r="D449" s="64"/>
    </row>
    <row r="450">
      <c r="A450" s="64"/>
      <c r="B450" s="64"/>
      <c r="C450" s="64"/>
      <c r="D450" s="64"/>
    </row>
    <row r="451">
      <c r="A451" s="64"/>
      <c r="B451" s="64"/>
      <c r="C451" s="64"/>
      <c r="D451" s="64"/>
    </row>
    <row r="452">
      <c r="A452" s="64"/>
      <c r="B452" s="64"/>
      <c r="C452" s="64"/>
      <c r="D452" s="64"/>
    </row>
    <row r="453">
      <c r="A453" s="64"/>
      <c r="B453" s="64"/>
      <c r="C453" s="64"/>
      <c r="D453" s="64"/>
    </row>
    <row r="454">
      <c r="A454" s="64"/>
      <c r="B454" s="64"/>
      <c r="C454" s="64"/>
      <c r="D454" s="64"/>
    </row>
    <row r="455">
      <c r="A455" s="64"/>
      <c r="B455" s="64"/>
      <c r="C455" s="64"/>
      <c r="D455" s="64"/>
    </row>
    <row r="456">
      <c r="A456" s="64"/>
      <c r="B456" s="64"/>
      <c r="C456" s="64"/>
      <c r="D456" s="64"/>
    </row>
    <row r="457">
      <c r="A457" s="64"/>
      <c r="B457" s="64"/>
      <c r="C457" s="64"/>
      <c r="D457" s="64"/>
    </row>
    <row r="458">
      <c r="A458" s="64"/>
      <c r="B458" s="64"/>
      <c r="C458" s="64"/>
      <c r="D458" s="64"/>
    </row>
    <row r="459">
      <c r="A459" s="64"/>
      <c r="B459" s="64"/>
      <c r="C459" s="64"/>
      <c r="D459" s="64"/>
    </row>
    <row r="460">
      <c r="A460" s="64"/>
      <c r="B460" s="64"/>
      <c r="C460" s="64"/>
      <c r="D460" s="64"/>
    </row>
    <row r="461">
      <c r="A461" s="64"/>
      <c r="B461" s="64"/>
      <c r="C461" s="64"/>
      <c r="D461" s="64"/>
    </row>
    <row r="462">
      <c r="A462" s="64"/>
      <c r="B462" s="64"/>
      <c r="C462" s="64"/>
      <c r="D462" s="64"/>
    </row>
    <row r="463">
      <c r="A463" s="64"/>
      <c r="B463" s="64"/>
      <c r="C463" s="64"/>
      <c r="D463" s="64"/>
    </row>
    <row r="464">
      <c r="A464" s="64"/>
      <c r="B464" s="64"/>
      <c r="C464" s="64"/>
      <c r="D464" s="64"/>
    </row>
    <row r="465">
      <c r="A465" s="64"/>
      <c r="B465" s="64"/>
      <c r="C465" s="64"/>
      <c r="D465" s="64"/>
    </row>
    <row r="466">
      <c r="A466" s="64"/>
      <c r="B466" s="64"/>
      <c r="C466" s="64"/>
      <c r="D466" s="64"/>
    </row>
    <row r="467">
      <c r="A467" s="64"/>
      <c r="B467" s="64"/>
      <c r="C467" s="64"/>
      <c r="D467" s="64"/>
    </row>
    <row r="468">
      <c r="A468" s="64"/>
      <c r="B468" s="64"/>
      <c r="C468" s="64"/>
      <c r="D468" s="64"/>
    </row>
    <row r="469">
      <c r="A469" s="64"/>
      <c r="B469" s="64"/>
      <c r="C469" s="64"/>
      <c r="D469" s="64"/>
    </row>
    <row r="470">
      <c r="A470" s="64"/>
      <c r="B470" s="64"/>
      <c r="C470" s="64"/>
      <c r="D470" s="64"/>
    </row>
    <row r="471">
      <c r="A471" s="64"/>
      <c r="B471" s="64"/>
      <c r="C471" s="64"/>
      <c r="D471" s="64"/>
    </row>
    <row r="472">
      <c r="A472" s="64"/>
      <c r="B472" s="64"/>
      <c r="C472" s="64"/>
      <c r="D472" s="64"/>
    </row>
    <row r="473">
      <c r="A473" s="64"/>
      <c r="B473" s="64"/>
      <c r="C473" s="64"/>
      <c r="D473" s="64"/>
    </row>
    <row r="474">
      <c r="A474" s="64"/>
      <c r="B474" s="64"/>
      <c r="C474" s="64"/>
      <c r="D474" s="64"/>
    </row>
    <row r="475">
      <c r="A475" s="64"/>
      <c r="B475" s="64"/>
      <c r="C475" s="64"/>
      <c r="D475" s="64"/>
    </row>
    <row r="476">
      <c r="A476" s="64"/>
      <c r="B476" s="64"/>
      <c r="C476" s="64"/>
      <c r="D476" s="64"/>
    </row>
    <row r="477">
      <c r="A477" s="64"/>
      <c r="B477" s="64"/>
      <c r="C477" s="64"/>
      <c r="D477" s="64"/>
    </row>
    <row r="478">
      <c r="A478" s="64"/>
      <c r="B478" s="64"/>
      <c r="C478" s="64"/>
      <c r="D478" s="64"/>
    </row>
    <row r="479">
      <c r="A479" s="64"/>
      <c r="B479" s="64"/>
      <c r="C479" s="64"/>
      <c r="D479" s="64"/>
    </row>
    <row r="480">
      <c r="A480" s="64"/>
      <c r="B480" s="64"/>
      <c r="C480" s="64"/>
      <c r="D480" s="64"/>
    </row>
    <row r="481">
      <c r="A481" s="64"/>
      <c r="B481" s="64"/>
      <c r="C481" s="64"/>
      <c r="D481" s="64"/>
    </row>
    <row r="482">
      <c r="A482" s="64"/>
      <c r="B482" s="64"/>
      <c r="C482" s="64"/>
      <c r="D482" s="64"/>
    </row>
    <row r="483">
      <c r="A483" s="64"/>
      <c r="B483" s="64"/>
      <c r="C483" s="64"/>
      <c r="D483" s="64"/>
    </row>
    <row r="484">
      <c r="A484" s="64"/>
      <c r="B484" s="64"/>
      <c r="C484" s="64"/>
      <c r="D484" s="64"/>
    </row>
    <row r="485">
      <c r="A485" s="64"/>
      <c r="B485" s="64"/>
      <c r="C485" s="64"/>
      <c r="D485" s="64"/>
    </row>
    <row r="486">
      <c r="A486" s="64"/>
      <c r="B486" s="64"/>
      <c r="C486" s="64"/>
      <c r="D486" s="64"/>
    </row>
    <row r="487">
      <c r="A487" s="64"/>
      <c r="B487" s="64"/>
      <c r="C487" s="64"/>
      <c r="D487" s="64"/>
    </row>
    <row r="488">
      <c r="A488" s="64"/>
      <c r="B488" s="64"/>
      <c r="C488" s="64"/>
      <c r="D488" s="64"/>
    </row>
    <row r="489">
      <c r="A489" s="64"/>
      <c r="B489" s="64"/>
      <c r="C489" s="64"/>
      <c r="D489" s="64"/>
    </row>
    <row r="490">
      <c r="A490" s="64"/>
      <c r="B490" s="64"/>
      <c r="C490" s="64"/>
      <c r="D490" s="64"/>
    </row>
    <row r="491">
      <c r="A491" s="64"/>
      <c r="B491" s="64"/>
      <c r="C491" s="64"/>
      <c r="D491" s="64"/>
    </row>
    <row r="492">
      <c r="A492" s="64"/>
      <c r="B492" s="64"/>
      <c r="C492" s="64"/>
      <c r="D492" s="64"/>
    </row>
    <row r="493">
      <c r="A493" s="64"/>
      <c r="B493" s="64"/>
      <c r="C493" s="64"/>
      <c r="D493" s="64"/>
    </row>
    <row r="494">
      <c r="A494" s="64"/>
      <c r="B494" s="64"/>
      <c r="C494" s="64"/>
      <c r="D494" s="64"/>
    </row>
    <row r="495">
      <c r="A495" s="64"/>
      <c r="B495" s="64"/>
      <c r="C495" s="64"/>
      <c r="D495" s="64"/>
    </row>
    <row r="496">
      <c r="A496" s="64"/>
      <c r="B496" s="64"/>
      <c r="C496" s="64"/>
      <c r="D496" s="64"/>
    </row>
    <row r="497">
      <c r="A497" s="64"/>
      <c r="B497" s="64"/>
      <c r="C497" s="64"/>
      <c r="D497" s="64"/>
    </row>
    <row r="498">
      <c r="A498" s="64"/>
      <c r="B498" s="64"/>
      <c r="C498" s="64"/>
      <c r="D498" s="64"/>
    </row>
    <row r="499">
      <c r="A499" s="64"/>
      <c r="B499" s="64"/>
      <c r="C499" s="64"/>
      <c r="D499" s="64"/>
    </row>
    <row r="500">
      <c r="A500" s="64"/>
      <c r="B500" s="64"/>
      <c r="C500" s="64"/>
      <c r="D500" s="64"/>
    </row>
    <row r="501">
      <c r="A501" s="64"/>
      <c r="B501" s="64"/>
      <c r="C501" s="64"/>
      <c r="D501" s="64"/>
    </row>
    <row r="502">
      <c r="A502" s="64"/>
      <c r="B502" s="64"/>
      <c r="C502" s="64"/>
      <c r="D502" s="64"/>
    </row>
    <row r="503">
      <c r="A503" s="64"/>
      <c r="B503" s="64"/>
      <c r="C503" s="64"/>
      <c r="D503" s="64"/>
    </row>
    <row r="504">
      <c r="A504" s="64"/>
      <c r="B504" s="64"/>
      <c r="C504" s="64"/>
      <c r="D504" s="64"/>
    </row>
    <row r="505">
      <c r="A505" s="64"/>
      <c r="B505" s="64"/>
      <c r="C505" s="64"/>
      <c r="D505" s="64"/>
    </row>
    <row r="506">
      <c r="A506" s="64"/>
      <c r="B506" s="64"/>
      <c r="C506" s="64"/>
      <c r="D506" s="64"/>
    </row>
    <row r="507">
      <c r="A507" s="64"/>
      <c r="B507" s="64"/>
      <c r="C507" s="64"/>
      <c r="D507" s="64"/>
    </row>
    <row r="508">
      <c r="A508" s="64"/>
      <c r="B508" s="64"/>
      <c r="C508" s="64"/>
      <c r="D508" s="64"/>
    </row>
    <row r="509">
      <c r="A509" s="64"/>
      <c r="B509" s="64"/>
      <c r="C509" s="64"/>
      <c r="D509" s="64"/>
    </row>
    <row r="510">
      <c r="A510" s="64"/>
      <c r="B510" s="64"/>
      <c r="C510" s="64"/>
      <c r="D510" s="64"/>
    </row>
    <row r="511">
      <c r="A511" s="64"/>
      <c r="B511" s="64"/>
      <c r="C511" s="64"/>
      <c r="D511" s="64"/>
    </row>
    <row r="512">
      <c r="A512" s="64"/>
      <c r="B512" s="64"/>
      <c r="C512" s="64"/>
      <c r="D512" s="64"/>
    </row>
    <row r="513">
      <c r="A513" s="64"/>
      <c r="B513" s="64"/>
      <c r="C513" s="64"/>
      <c r="D513" s="64"/>
    </row>
    <row r="514">
      <c r="A514" s="64"/>
      <c r="B514" s="64"/>
      <c r="C514" s="64"/>
      <c r="D514" s="64"/>
    </row>
    <row r="515">
      <c r="A515" s="64"/>
      <c r="B515" s="64"/>
      <c r="C515" s="64"/>
      <c r="D515" s="64"/>
    </row>
    <row r="516">
      <c r="A516" s="64"/>
      <c r="B516" s="64"/>
      <c r="C516" s="64"/>
      <c r="D516" s="64"/>
    </row>
    <row r="517">
      <c r="A517" s="64"/>
      <c r="B517" s="64"/>
      <c r="C517" s="64"/>
      <c r="D517" s="64"/>
    </row>
    <row r="518">
      <c r="A518" s="64"/>
      <c r="B518" s="64"/>
      <c r="C518" s="64"/>
      <c r="D518" s="64"/>
    </row>
    <row r="519">
      <c r="A519" s="64"/>
      <c r="B519" s="64"/>
      <c r="C519" s="64"/>
      <c r="D519" s="64"/>
    </row>
    <row r="520">
      <c r="A520" s="64"/>
      <c r="B520" s="64"/>
      <c r="C520" s="64"/>
      <c r="D520" s="64"/>
    </row>
    <row r="521">
      <c r="A521" s="64"/>
      <c r="B521" s="64"/>
      <c r="C521" s="64"/>
      <c r="D521" s="64"/>
    </row>
    <row r="522">
      <c r="A522" s="64"/>
      <c r="B522" s="64"/>
      <c r="C522" s="64"/>
      <c r="D522" s="64"/>
    </row>
    <row r="523">
      <c r="A523" s="64"/>
      <c r="B523" s="64"/>
      <c r="C523" s="64"/>
      <c r="D523" s="64"/>
    </row>
    <row r="524">
      <c r="A524" s="64"/>
      <c r="B524" s="64"/>
      <c r="C524" s="64"/>
      <c r="D524" s="64"/>
    </row>
    <row r="525">
      <c r="A525" s="64"/>
      <c r="B525" s="64"/>
      <c r="C525" s="64"/>
      <c r="D525" s="64"/>
    </row>
    <row r="526">
      <c r="A526" s="64"/>
      <c r="B526" s="64"/>
      <c r="C526" s="64"/>
      <c r="D526" s="64"/>
    </row>
    <row r="527">
      <c r="A527" s="64"/>
      <c r="B527" s="64"/>
      <c r="C527" s="64"/>
      <c r="D527" s="64"/>
    </row>
    <row r="528">
      <c r="A528" s="64"/>
      <c r="B528" s="64"/>
      <c r="C528" s="64"/>
      <c r="D528" s="64"/>
    </row>
    <row r="529">
      <c r="A529" s="64"/>
      <c r="B529" s="64"/>
      <c r="C529" s="64"/>
      <c r="D529" s="64"/>
    </row>
    <row r="530">
      <c r="A530" s="64"/>
      <c r="B530" s="64"/>
      <c r="C530" s="64"/>
      <c r="D530" s="64"/>
    </row>
    <row r="531">
      <c r="A531" s="64"/>
      <c r="B531" s="64"/>
      <c r="C531" s="64"/>
      <c r="D531" s="64"/>
    </row>
    <row r="532">
      <c r="A532" s="64"/>
      <c r="B532" s="64"/>
      <c r="C532" s="64"/>
      <c r="D532" s="64"/>
    </row>
    <row r="533">
      <c r="A533" s="64"/>
      <c r="B533" s="64"/>
      <c r="C533" s="64"/>
      <c r="D533" s="64"/>
    </row>
    <row r="534">
      <c r="A534" s="64"/>
      <c r="B534" s="64"/>
      <c r="C534" s="64"/>
      <c r="D534" s="64"/>
    </row>
    <row r="535">
      <c r="A535" s="64"/>
      <c r="B535" s="64"/>
      <c r="C535" s="64"/>
      <c r="D535" s="64"/>
    </row>
    <row r="536">
      <c r="A536" s="64"/>
      <c r="B536" s="64"/>
      <c r="C536" s="64"/>
      <c r="D536" s="64"/>
    </row>
    <row r="537">
      <c r="A537" s="64"/>
      <c r="B537" s="64"/>
      <c r="C537" s="64"/>
      <c r="D537" s="64"/>
    </row>
    <row r="538">
      <c r="A538" s="64"/>
      <c r="B538" s="64"/>
      <c r="C538" s="64"/>
      <c r="D538" s="64"/>
    </row>
    <row r="539">
      <c r="A539" s="64"/>
      <c r="B539" s="64"/>
      <c r="C539" s="64"/>
      <c r="D539" s="64"/>
    </row>
    <row r="540">
      <c r="A540" s="64"/>
      <c r="B540" s="64"/>
      <c r="C540" s="64"/>
      <c r="D540" s="64"/>
    </row>
    <row r="541">
      <c r="A541" s="64"/>
      <c r="B541" s="64"/>
      <c r="C541" s="64"/>
      <c r="D541" s="64"/>
    </row>
    <row r="542">
      <c r="A542" s="64"/>
      <c r="B542" s="64"/>
      <c r="C542" s="64"/>
      <c r="D542" s="64"/>
    </row>
    <row r="543">
      <c r="A543" s="64"/>
      <c r="B543" s="64"/>
      <c r="C543" s="64"/>
      <c r="D543" s="64"/>
    </row>
    <row r="544">
      <c r="A544" s="64"/>
      <c r="B544" s="64"/>
      <c r="C544" s="64"/>
      <c r="D544" s="64"/>
    </row>
    <row r="545">
      <c r="A545" s="64"/>
      <c r="B545" s="64"/>
      <c r="C545" s="64"/>
      <c r="D545" s="64"/>
    </row>
    <row r="546">
      <c r="A546" s="64"/>
      <c r="B546" s="64"/>
      <c r="C546" s="64"/>
      <c r="D546" s="64"/>
    </row>
    <row r="547">
      <c r="A547" s="64"/>
      <c r="B547" s="64"/>
      <c r="C547" s="64"/>
      <c r="D547" s="64"/>
    </row>
    <row r="548">
      <c r="A548" s="64"/>
      <c r="B548" s="64"/>
      <c r="C548" s="64"/>
      <c r="D548" s="64"/>
    </row>
    <row r="549">
      <c r="A549" s="64"/>
      <c r="B549" s="64"/>
      <c r="C549" s="64"/>
      <c r="D549" s="64"/>
    </row>
    <row r="550">
      <c r="A550" s="64"/>
      <c r="B550" s="64"/>
      <c r="C550" s="64"/>
      <c r="D550" s="64"/>
    </row>
    <row r="551">
      <c r="A551" s="64"/>
      <c r="B551" s="64"/>
      <c r="C551" s="64"/>
      <c r="D551" s="64"/>
    </row>
    <row r="552">
      <c r="A552" s="64"/>
      <c r="B552" s="64"/>
      <c r="C552" s="64"/>
      <c r="D552" s="64"/>
    </row>
    <row r="553">
      <c r="A553" s="64"/>
      <c r="B553" s="64"/>
      <c r="C553" s="64"/>
      <c r="D553" s="64"/>
    </row>
    <row r="554">
      <c r="A554" s="64"/>
      <c r="B554" s="64"/>
      <c r="C554" s="64"/>
      <c r="D554" s="64"/>
    </row>
    <row r="555">
      <c r="A555" s="64"/>
      <c r="B555" s="64"/>
      <c r="C555" s="64"/>
      <c r="D555" s="64"/>
    </row>
    <row r="556">
      <c r="A556" s="64"/>
      <c r="B556" s="64"/>
      <c r="C556" s="64"/>
      <c r="D556" s="64"/>
    </row>
    <row r="557">
      <c r="A557" s="64"/>
      <c r="B557" s="64"/>
      <c r="C557" s="64"/>
      <c r="D557" s="64"/>
    </row>
    <row r="558">
      <c r="A558" s="64"/>
      <c r="B558" s="64"/>
      <c r="C558" s="64"/>
      <c r="D558" s="64"/>
    </row>
    <row r="559">
      <c r="A559" s="64"/>
      <c r="B559" s="64"/>
      <c r="C559" s="64"/>
      <c r="D559" s="64"/>
    </row>
    <row r="560">
      <c r="A560" s="64"/>
      <c r="B560" s="64"/>
      <c r="C560" s="64"/>
      <c r="D560" s="64"/>
    </row>
    <row r="561">
      <c r="A561" s="64"/>
      <c r="B561" s="64"/>
      <c r="C561" s="64"/>
      <c r="D561" s="64"/>
    </row>
    <row r="562">
      <c r="A562" s="64"/>
      <c r="B562" s="64"/>
      <c r="C562" s="64"/>
      <c r="D562" s="64"/>
    </row>
    <row r="563">
      <c r="A563" s="64"/>
      <c r="B563" s="64"/>
      <c r="C563" s="64"/>
      <c r="D563" s="64"/>
    </row>
    <row r="564">
      <c r="A564" s="64"/>
      <c r="B564" s="64"/>
      <c r="C564" s="64"/>
      <c r="D564" s="64"/>
    </row>
    <row r="565">
      <c r="A565" s="64"/>
      <c r="B565" s="64"/>
      <c r="C565" s="64"/>
      <c r="D565" s="64"/>
    </row>
    <row r="566">
      <c r="A566" s="64"/>
      <c r="B566" s="64"/>
      <c r="C566" s="64"/>
      <c r="D566" s="64"/>
    </row>
    <row r="567">
      <c r="A567" s="64"/>
      <c r="B567" s="64"/>
      <c r="C567" s="64"/>
      <c r="D567" s="64"/>
    </row>
    <row r="568">
      <c r="A568" s="64"/>
      <c r="B568" s="64"/>
      <c r="C568" s="64"/>
      <c r="D568" s="64"/>
    </row>
    <row r="569">
      <c r="A569" s="64"/>
      <c r="B569" s="64"/>
      <c r="C569" s="64"/>
      <c r="D569" s="64"/>
    </row>
    <row r="570">
      <c r="A570" s="64"/>
      <c r="B570" s="64"/>
      <c r="C570" s="64"/>
      <c r="D570" s="64"/>
    </row>
    <row r="571">
      <c r="A571" s="64"/>
      <c r="B571" s="64"/>
      <c r="C571" s="64"/>
      <c r="D571" s="64"/>
    </row>
    <row r="572">
      <c r="A572" s="64"/>
      <c r="B572" s="64"/>
      <c r="C572" s="64"/>
      <c r="D572" s="64"/>
    </row>
    <row r="573">
      <c r="A573" s="64"/>
      <c r="B573" s="64"/>
      <c r="C573" s="64"/>
      <c r="D573" s="64"/>
    </row>
    <row r="574">
      <c r="A574" s="64"/>
      <c r="B574" s="64"/>
      <c r="C574" s="64"/>
      <c r="D574" s="64"/>
    </row>
    <row r="575">
      <c r="A575" s="64"/>
      <c r="B575" s="64"/>
      <c r="C575" s="64"/>
      <c r="D575" s="64"/>
    </row>
    <row r="576">
      <c r="A576" s="64"/>
      <c r="B576" s="64"/>
      <c r="C576" s="64"/>
      <c r="D576" s="64"/>
    </row>
    <row r="577">
      <c r="A577" s="64"/>
      <c r="B577" s="64"/>
      <c r="C577" s="64"/>
      <c r="D577" s="64"/>
    </row>
    <row r="578">
      <c r="A578" s="64"/>
      <c r="B578" s="64"/>
      <c r="C578" s="64"/>
      <c r="D578" s="64"/>
    </row>
    <row r="579">
      <c r="A579" s="64"/>
      <c r="B579" s="64"/>
      <c r="C579" s="64"/>
      <c r="D579" s="64"/>
    </row>
    <row r="580">
      <c r="A580" s="64"/>
      <c r="B580" s="64"/>
      <c r="C580" s="64"/>
      <c r="D580" s="64"/>
    </row>
    <row r="581">
      <c r="A581" s="64"/>
      <c r="B581" s="64"/>
      <c r="C581" s="64"/>
      <c r="D581" s="64"/>
    </row>
    <row r="582">
      <c r="A582" s="64"/>
      <c r="B582" s="64"/>
      <c r="C582" s="64"/>
      <c r="D582" s="64"/>
    </row>
    <row r="583">
      <c r="A583" s="64"/>
      <c r="B583" s="64"/>
      <c r="C583" s="64"/>
      <c r="D583" s="64"/>
    </row>
    <row r="584">
      <c r="A584" s="64"/>
      <c r="B584" s="64"/>
      <c r="C584" s="64"/>
      <c r="D584" s="64"/>
    </row>
    <row r="585">
      <c r="A585" s="64"/>
      <c r="B585" s="64"/>
      <c r="C585" s="64"/>
      <c r="D585" s="64"/>
    </row>
    <row r="586">
      <c r="A586" s="64"/>
      <c r="B586" s="64"/>
      <c r="C586" s="64"/>
      <c r="D586" s="64"/>
    </row>
    <row r="587">
      <c r="A587" s="64"/>
      <c r="B587" s="64"/>
      <c r="C587" s="64"/>
      <c r="D587" s="64"/>
    </row>
    <row r="588">
      <c r="A588" s="64"/>
      <c r="B588" s="64"/>
      <c r="C588" s="64"/>
      <c r="D588" s="64"/>
    </row>
    <row r="589">
      <c r="A589" s="64"/>
      <c r="B589" s="64"/>
      <c r="C589" s="64"/>
      <c r="D589" s="64"/>
    </row>
    <row r="590">
      <c r="A590" s="64"/>
      <c r="B590" s="64"/>
      <c r="C590" s="64"/>
      <c r="D590" s="64"/>
    </row>
    <row r="591">
      <c r="A591" s="64"/>
      <c r="B591" s="64"/>
      <c r="C591" s="64"/>
      <c r="D591" s="64"/>
    </row>
    <row r="592">
      <c r="A592" s="64"/>
      <c r="B592" s="64"/>
      <c r="C592" s="64"/>
      <c r="D592" s="64"/>
    </row>
    <row r="593">
      <c r="A593" s="64"/>
      <c r="B593" s="64"/>
      <c r="C593" s="64"/>
      <c r="D593" s="64"/>
    </row>
    <row r="594">
      <c r="A594" s="64"/>
      <c r="B594" s="64"/>
      <c r="C594" s="64"/>
      <c r="D594" s="64"/>
    </row>
    <row r="595">
      <c r="A595" s="64"/>
      <c r="B595" s="64"/>
      <c r="C595" s="64"/>
      <c r="D595" s="64"/>
    </row>
    <row r="596">
      <c r="A596" s="64"/>
      <c r="B596" s="64"/>
      <c r="C596" s="64"/>
      <c r="D596" s="64"/>
    </row>
    <row r="597">
      <c r="A597" s="64"/>
      <c r="B597" s="64"/>
      <c r="C597" s="64"/>
      <c r="D597" s="64"/>
    </row>
    <row r="598">
      <c r="A598" s="64"/>
      <c r="B598" s="64"/>
      <c r="C598" s="64"/>
      <c r="D598" s="64"/>
    </row>
    <row r="599">
      <c r="A599" s="64"/>
      <c r="B599" s="64"/>
      <c r="C599" s="64"/>
      <c r="D599" s="64"/>
    </row>
    <row r="600">
      <c r="A600" s="64"/>
      <c r="B600" s="64"/>
      <c r="C600" s="64"/>
      <c r="D600" s="64"/>
    </row>
    <row r="601">
      <c r="A601" s="64"/>
      <c r="B601" s="64"/>
      <c r="C601" s="64"/>
      <c r="D601" s="64"/>
    </row>
    <row r="602">
      <c r="A602" s="64"/>
      <c r="B602" s="64"/>
      <c r="C602" s="64"/>
      <c r="D602" s="64"/>
    </row>
    <row r="603">
      <c r="A603" s="64"/>
      <c r="B603" s="64"/>
      <c r="C603" s="64"/>
      <c r="D603" s="64"/>
    </row>
    <row r="604">
      <c r="A604" s="64"/>
      <c r="B604" s="64"/>
      <c r="C604" s="64"/>
      <c r="D604" s="64"/>
    </row>
    <row r="605">
      <c r="A605" s="64"/>
      <c r="B605" s="64"/>
      <c r="C605" s="64"/>
      <c r="D605" s="64"/>
    </row>
    <row r="606">
      <c r="A606" s="64"/>
      <c r="B606" s="64"/>
      <c r="C606" s="64"/>
      <c r="D606" s="64"/>
    </row>
    <row r="607">
      <c r="A607" s="64"/>
      <c r="B607" s="64"/>
      <c r="C607" s="64"/>
      <c r="D607" s="64"/>
    </row>
    <row r="608">
      <c r="A608" s="64"/>
      <c r="B608" s="64"/>
      <c r="C608" s="64"/>
      <c r="D608" s="64"/>
    </row>
    <row r="609">
      <c r="A609" s="64"/>
      <c r="B609" s="64"/>
      <c r="C609" s="64"/>
      <c r="D609" s="64"/>
    </row>
    <row r="610">
      <c r="A610" s="64"/>
      <c r="B610" s="64"/>
      <c r="C610" s="64"/>
      <c r="D610" s="64"/>
    </row>
    <row r="611">
      <c r="A611" s="64"/>
      <c r="B611" s="64"/>
      <c r="C611" s="64"/>
      <c r="D611" s="64"/>
    </row>
    <row r="612">
      <c r="A612" s="64"/>
      <c r="B612" s="64"/>
      <c r="C612" s="64"/>
      <c r="D612" s="64"/>
    </row>
    <row r="613">
      <c r="A613" s="64"/>
      <c r="B613" s="64"/>
      <c r="C613" s="64"/>
      <c r="D613" s="64"/>
    </row>
    <row r="614">
      <c r="A614" s="64"/>
      <c r="B614" s="64"/>
      <c r="C614" s="64"/>
      <c r="D614" s="64"/>
    </row>
    <row r="615">
      <c r="A615" s="64"/>
      <c r="B615" s="64"/>
      <c r="C615" s="64"/>
      <c r="D615" s="64"/>
    </row>
    <row r="616">
      <c r="A616" s="64"/>
      <c r="B616" s="64"/>
      <c r="C616" s="64"/>
      <c r="D616" s="64"/>
    </row>
    <row r="617">
      <c r="A617" s="64"/>
      <c r="B617" s="64"/>
      <c r="C617" s="64"/>
      <c r="D617" s="64"/>
    </row>
    <row r="618">
      <c r="A618" s="64"/>
      <c r="B618" s="64"/>
      <c r="C618" s="64"/>
      <c r="D618" s="64"/>
    </row>
    <row r="619">
      <c r="A619" s="64"/>
      <c r="B619" s="64"/>
      <c r="C619" s="64"/>
      <c r="D619" s="64"/>
    </row>
    <row r="620">
      <c r="A620" s="64"/>
      <c r="B620" s="64"/>
      <c r="C620" s="64"/>
      <c r="D620" s="64"/>
    </row>
    <row r="621">
      <c r="A621" s="64"/>
      <c r="B621" s="64"/>
      <c r="C621" s="64"/>
      <c r="D621" s="64"/>
    </row>
    <row r="622">
      <c r="A622" s="64"/>
      <c r="B622" s="64"/>
      <c r="C622" s="64"/>
      <c r="D622" s="64"/>
    </row>
    <row r="623">
      <c r="A623" s="64"/>
      <c r="B623" s="64"/>
      <c r="C623" s="64"/>
      <c r="D623" s="64"/>
    </row>
    <row r="624">
      <c r="A624" s="64"/>
      <c r="B624" s="64"/>
      <c r="C624" s="64"/>
      <c r="D624" s="64"/>
    </row>
    <row r="625">
      <c r="A625" s="64"/>
      <c r="B625" s="64"/>
      <c r="C625" s="64"/>
      <c r="D625" s="64"/>
    </row>
    <row r="626">
      <c r="A626" s="64"/>
      <c r="B626" s="64"/>
      <c r="C626" s="64"/>
      <c r="D626" s="64"/>
    </row>
    <row r="627">
      <c r="A627" s="64"/>
      <c r="B627" s="64"/>
      <c r="C627" s="64"/>
      <c r="D627" s="64"/>
    </row>
    <row r="628">
      <c r="A628" s="64"/>
      <c r="B628" s="64"/>
      <c r="C628" s="64"/>
      <c r="D628" s="64"/>
    </row>
    <row r="629">
      <c r="A629" s="64"/>
      <c r="B629" s="64"/>
      <c r="C629" s="64"/>
      <c r="D629" s="64"/>
    </row>
    <row r="630">
      <c r="A630" s="64"/>
      <c r="B630" s="64"/>
      <c r="C630" s="64"/>
      <c r="D630" s="64"/>
    </row>
    <row r="631">
      <c r="A631" s="64"/>
      <c r="B631" s="64"/>
      <c r="C631" s="64"/>
      <c r="D631" s="64"/>
    </row>
    <row r="632">
      <c r="A632" s="64"/>
      <c r="B632" s="64"/>
      <c r="C632" s="64"/>
      <c r="D632" s="64"/>
    </row>
    <row r="633">
      <c r="A633" s="64"/>
      <c r="B633" s="64"/>
      <c r="C633" s="64"/>
      <c r="D633" s="64"/>
    </row>
    <row r="634">
      <c r="A634" s="64"/>
      <c r="B634" s="64"/>
      <c r="C634" s="64"/>
      <c r="D634" s="64"/>
    </row>
    <row r="635">
      <c r="A635" s="64"/>
      <c r="B635" s="64"/>
      <c r="C635" s="64"/>
      <c r="D635" s="64"/>
    </row>
    <row r="636">
      <c r="A636" s="64"/>
      <c r="B636" s="64"/>
      <c r="C636" s="64"/>
      <c r="D636" s="64"/>
    </row>
    <row r="637">
      <c r="A637" s="64"/>
      <c r="B637" s="64"/>
      <c r="C637" s="64"/>
      <c r="D637" s="64"/>
    </row>
    <row r="638">
      <c r="A638" s="64"/>
      <c r="B638" s="64"/>
      <c r="C638" s="64"/>
      <c r="D638" s="64"/>
    </row>
    <row r="639">
      <c r="A639" s="64"/>
      <c r="B639" s="64"/>
      <c r="C639" s="64"/>
      <c r="D639" s="64"/>
    </row>
    <row r="640">
      <c r="A640" s="64"/>
      <c r="B640" s="64"/>
      <c r="C640" s="64"/>
      <c r="D640" s="64"/>
    </row>
    <row r="641">
      <c r="A641" s="64"/>
      <c r="B641" s="64"/>
      <c r="C641" s="64"/>
      <c r="D641" s="64"/>
    </row>
    <row r="642">
      <c r="A642" s="64"/>
      <c r="B642" s="64"/>
      <c r="C642" s="64"/>
      <c r="D642" s="64"/>
    </row>
    <row r="643">
      <c r="A643" s="64"/>
      <c r="B643" s="64"/>
      <c r="C643" s="64"/>
      <c r="D643" s="64"/>
    </row>
    <row r="644">
      <c r="A644" s="64"/>
      <c r="B644" s="64"/>
      <c r="C644" s="64"/>
      <c r="D644" s="64"/>
    </row>
    <row r="645">
      <c r="A645" s="64"/>
      <c r="B645" s="64"/>
      <c r="C645" s="64"/>
      <c r="D645" s="64"/>
    </row>
    <row r="646">
      <c r="A646" s="64"/>
      <c r="B646" s="64"/>
      <c r="C646" s="64"/>
      <c r="D646" s="64"/>
    </row>
    <row r="647">
      <c r="A647" s="64"/>
      <c r="B647" s="64"/>
      <c r="C647" s="64"/>
      <c r="D647" s="64"/>
    </row>
    <row r="648">
      <c r="A648" s="64"/>
      <c r="B648" s="64"/>
      <c r="C648" s="64"/>
      <c r="D648" s="64"/>
    </row>
    <row r="649">
      <c r="A649" s="64"/>
      <c r="B649" s="64"/>
      <c r="C649" s="64"/>
      <c r="D649" s="64"/>
    </row>
    <row r="650">
      <c r="A650" s="64"/>
      <c r="B650" s="64"/>
      <c r="C650" s="64"/>
      <c r="D650" s="64"/>
    </row>
    <row r="651">
      <c r="A651" s="64"/>
      <c r="B651" s="64"/>
      <c r="C651" s="64"/>
      <c r="D651" s="64"/>
    </row>
    <row r="652">
      <c r="A652" s="64"/>
      <c r="B652" s="64"/>
      <c r="C652" s="64"/>
      <c r="D652" s="64"/>
    </row>
    <row r="653">
      <c r="A653" s="64"/>
      <c r="B653" s="64"/>
      <c r="C653" s="64"/>
      <c r="D653" s="64"/>
    </row>
    <row r="654">
      <c r="A654" s="64"/>
      <c r="B654" s="64"/>
      <c r="C654" s="64"/>
      <c r="D654" s="64"/>
    </row>
    <row r="655">
      <c r="A655" s="64"/>
      <c r="B655" s="64"/>
      <c r="C655" s="64"/>
      <c r="D655" s="64"/>
    </row>
    <row r="656">
      <c r="A656" s="64"/>
      <c r="B656" s="64"/>
      <c r="C656" s="64"/>
      <c r="D656" s="64"/>
    </row>
    <row r="657">
      <c r="A657" s="64"/>
      <c r="B657" s="64"/>
      <c r="C657" s="64"/>
      <c r="D657" s="64"/>
    </row>
    <row r="658">
      <c r="A658" s="64"/>
      <c r="B658" s="64"/>
      <c r="C658" s="64"/>
      <c r="D658" s="64"/>
    </row>
    <row r="659">
      <c r="A659" s="64"/>
      <c r="B659" s="64"/>
      <c r="C659" s="64"/>
      <c r="D659" s="64"/>
    </row>
    <row r="660">
      <c r="A660" s="64"/>
      <c r="B660" s="64"/>
      <c r="C660" s="64"/>
      <c r="D660" s="64"/>
    </row>
    <row r="661">
      <c r="A661" s="64"/>
      <c r="B661" s="64"/>
      <c r="C661" s="64"/>
      <c r="D661" s="64"/>
    </row>
    <row r="662">
      <c r="A662" s="64"/>
      <c r="B662" s="64"/>
      <c r="C662" s="64"/>
      <c r="D662" s="64"/>
    </row>
    <row r="663">
      <c r="A663" s="64"/>
      <c r="B663" s="64"/>
      <c r="C663" s="64"/>
      <c r="D663" s="64"/>
    </row>
    <row r="664">
      <c r="A664" s="64"/>
      <c r="B664" s="64"/>
      <c r="C664" s="64"/>
      <c r="D664" s="64"/>
    </row>
    <row r="665">
      <c r="A665" s="64"/>
      <c r="B665" s="64"/>
      <c r="C665" s="64"/>
      <c r="D665" s="64"/>
    </row>
    <row r="666">
      <c r="A666" s="64"/>
      <c r="B666" s="64"/>
      <c r="C666" s="64"/>
      <c r="D666" s="64"/>
    </row>
    <row r="667">
      <c r="A667" s="64"/>
      <c r="B667" s="64"/>
      <c r="C667" s="64"/>
      <c r="D667" s="64"/>
    </row>
    <row r="668">
      <c r="A668" s="64"/>
      <c r="B668" s="64"/>
      <c r="C668" s="64"/>
      <c r="D668" s="64"/>
    </row>
    <row r="669">
      <c r="A669" s="64"/>
      <c r="B669" s="64"/>
      <c r="C669" s="64"/>
      <c r="D669" s="64"/>
    </row>
    <row r="670">
      <c r="A670" s="64"/>
      <c r="B670" s="64"/>
      <c r="C670" s="64"/>
      <c r="D670" s="64"/>
    </row>
    <row r="671">
      <c r="A671" s="64"/>
      <c r="B671" s="64"/>
      <c r="C671" s="64"/>
      <c r="D671" s="64"/>
    </row>
    <row r="672">
      <c r="A672" s="64"/>
      <c r="B672" s="64"/>
      <c r="C672" s="64"/>
      <c r="D672" s="64"/>
    </row>
    <row r="673">
      <c r="A673" s="64"/>
      <c r="B673" s="64"/>
      <c r="C673" s="64"/>
      <c r="D673" s="64"/>
    </row>
    <row r="674">
      <c r="A674" s="64"/>
      <c r="B674" s="64"/>
      <c r="C674" s="64"/>
      <c r="D674" s="64"/>
    </row>
    <row r="675">
      <c r="A675" s="64"/>
      <c r="B675" s="64"/>
      <c r="C675" s="64"/>
      <c r="D675" s="64"/>
    </row>
    <row r="676">
      <c r="A676" s="64"/>
      <c r="B676" s="64"/>
      <c r="C676" s="64"/>
      <c r="D676" s="64"/>
    </row>
    <row r="677">
      <c r="A677" s="64"/>
      <c r="B677" s="64"/>
      <c r="C677" s="64"/>
      <c r="D677" s="64"/>
    </row>
    <row r="678">
      <c r="A678" s="64"/>
      <c r="B678" s="64"/>
      <c r="C678" s="64"/>
      <c r="D678" s="64"/>
    </row>
    <row r="679">
      <c r="A679" s="64"/>
      <c r="B679" s="64"/>
      <c r="C679" s="64"/>
      <c r="D679" s="64"/>
    </row>
    <row r="680">
      <c r="A680" s="64"/>
      <c r="B680" s="64"/>
      <c r="C680" s="64"/>
      <c r="D680" s="64"/>
    </row>
    <row r="681">
      <c r="A681" s="64"/>
      <c r="B681" s="64"/>
      <c r="C681" s="64"/>
      <c r="D681" s="64"/>
    </row>
    <row r="682">
      <c r="A682" s="64"/>
      <c r="B682" s="64"/>
      <c r="C682" s="64"/>
      <c r="D682" s="64"/>
    </row>
    <row r="683">
      <c r="A683" s="64"/>
      <c r="B683" s="64"/>
      <c r="C683" s="64"/>
      <c r="D683" s="64"/>
    </row>
    <row r="684">
      <c r="A684" s="64"/>
      <c r="B684" s="64"/>
      <c r="C684" s="64"/>
      <c r="D684" s="64"/>
    </row>
    <row r="685">
      <c r="A685" s="64"/>
      <c r="B685" s="64"/>
      <c r="C685" s="64"/>
      <c r="D685" s="64"/>
    </row>
    <row r="686">
      <c r="A686" s="64"/>
      <c r="B686" s="64"/>
      <c r="C686" s="64"/>
      <c r="D686" s="64"/>
    </row>
    <row r="687">
      <c r="A687" s="64"/>
      <c r="B687" s="64"/>
      <c r="C687" s="64"/>
      <c r="D687" s="64"/>
    </row>
    <row r="688">
      <c r="A688" s="64"/>
      <c r="B688" s="64"/>
      <c r="C688" s="64"/>
      <c r="D688" s="64"/>
    </row>
    <row r="689">
      <c r="A689" s="64"/>
      <c r="B689" s="64"/>
      <c r="C689" s="64"/>
      <c r="D689" s="64"/>
    </row>
    <row r="690">
      <c r="A690" s="64"/>
      <c r="B690" s="64"/>
      <c r="C690" s="64"/>
      <c r="D690" s="64"/>
    </row>
    <row r="691">
      <c r="A691" s="64"/>
      <c r="B691" s="64"/>
      <c r="C691" s="64"/>
      <c r="D691" s="64"/>
    </row>
    <row r="692">
      <c r="A692" s="64"/>
      <c r="B692" s="64"/>
      <c r="C692" s="64"/>
      <c r="D692" s="64"/>
    </row>
    <row r="693">
      <c r="A693" s="64"/>
      <c r="B693" s="64"/>
      <c r="C693" s="64"/>
      <c r="D693" s="64"/>
    </row>
    <row r="694">
      <c r="A694" s="64"/>
      <c r="B694" s="64"/>
      <c r="C694" s="64"/>
      <c r="D694" s="64"/>
    </row>
    <row r="695">
      <c r="A695" s="64"/>
      <c r="B695" s="64"/>
      <c r="C695" s="64"/>
      <c r="D695" s="64"/>
    </row>
    <row r="696">
      <c r="A696" s="64"/>
      <c r="B696" s="64"/>
      <c r="C696" s="64"/>
      <c r="D696" s="64"/>
    </row>
    <row r="697">
      <c r="A697" s="64"/>
      <c r="B697" s="64"/>
      <c r="C697" s="64"/>
      <c r="D697" s="64"/>
    </row>
    <row r="698">
      <c r="A698" s="64"/>
      <c r="B698" s="64"/>
      <c r="C698" s="64"/>
      <c r="D698" s="64"/>
    </row>
    <row r="699">
      <c r="A699" s="64"/>
      <c r="B699" s="64"/>
      <c r="C699" s="64"/>
      <c r="D699" s="64"/>
    </row>
    <row r="700">
      <c r="A700" s="64"/>
      <c r="B700" s="64"/>
      <c r="C700" s="64"/>
      <c r="D700" s="64"/>
    </row>
    <row r="701">
      <c r="A701" s="64"/>
      <c r="B701" s="64"/>
      <c r="C701" s="64"/>
      <c r="D701" s="64"/>
    </row>
    <row r="702">
      <c r="A702" s="64"/>
      <c r="B702" s="64"/>
      <c r="C702" s="64"/>
      <c r="D702" s="64"/>
    </row>
    <row r="703">
      <c r="A703" s="64"/>
      <c r="B703" s="64"/>
      <c r="C703" s="64"/>
      <c r="D703" s="64"/>
    </row>
    <row r="704">
      <c r="A704" s="64"/>
      <c r="B704" s="64"/>
      <c r="C704" s="64"/>
      <c r="D704" s="64"/>
    </row>
    <row r="705">
      <c r="A705" s="64"/>
      <c r="B705" s="64"/>
      <c r="C705" s="64"/>
      <c r="D705" s="64"/>
    </row>
    <row r="706">
      <c r="A706" s="64"/>
      <c r="B706" s="64"/>
      <c r="C706" s="64"/>
      <c r="D706" s="64"/>
    </row>
    <row r="707">
      <c r="A707" s="64"/>
      <c r="B707" s="64"/>
      <c r="C707" s="64"/>
      <c r="D707" s="64"/>
    </row>
    <row r="708">
      <c r="A708" s="64"/>
      <c r="B708" s="64"/>
      <c r="C708" s="64"/>
      <c r="D708" s="64"/>
    </row>
    <row r="709">
      <c r="A709" s="64"/>
      <c r="B709" s="64"/>
      <c r="C709" s="64"/>
      <c r="D709" s="64"/>
    </row>
    <row r="710">
      <c r="A710" s="64"/>
      <c r="B710" s="64"/>
      <c r="C710" s="64"/>
      <c r="D710" s="64"/>
    </row>
    <row r="711">
      <c r="A711" s="64"/>
      <c r="B711" s="64"/>
      <c r="C711" s="64"/>
      <c r="D711" s="64"/>
    </row>
    <row r="712">
      <c r="A712" s="64"/>
      <c r="B712" s="64"/>
      <c r="C712" s="64"/>
      <c r="D712" s="64"/>
    </row>
    <row r="713">
      <c r="A713" s="64"/>
      <c r="B713" s="64"/>
      <c r="C713" s="64"/>
      <c r="D713" s="64"/>
    </row>
    <row r="714">
      <c r="A714" s="64"/>
      <c r="B714" s="64"/>
      <c r="C714" s="64"/>
      <c r="D714" s="64"/>
    </row>
    <row r="715">
      <c r="A715" s="64"/>
      <c r="B715" s="64"/>
      <c r="C715" s="64"/>
      <c r="D715" s="64"/>
    </row>
    <row r="716">
      <c r="A716" s="64"/>
      <c r="B716" s="64"/>
      <c r="C716" s="64"/>
      <c r="D716" s="64"/>
    </row>
    <row r="717">
      <c r="A717" s="64"/>
      <c r="B717" s="64"/>
      <c r="C717" s="64"/>
      <c r="D717" s="64"/>
    </row>
    <row r="718">
      <c r="A718" s="64"/>
      <c r="B718" s="64"/>
      <c r="C718" s="64"/>
      <c r="D718" s="64"/>
    </row>
    <row r="719">
      <c r="A719" s="64"/>
      <c r="B719" s="64"/>
      <c r="C719" s="64"/>
      <c r="D719" s="64"/>
    </row>
    <row r="720">
      <c r="A720" s="64"/>
      <c r="B720" s="64"/>
      <c r="C720" s="64"/>
      <c r="D720" s="64"/>
    </row>
    <row r="721">
      <c r="A721" s="64"/>
      <c r="B721" s="64"/>
      <c r="C721" s="64"/>
      <c r="D721" s="64"/>
    </row>
    <row r="722">
      <c r="A722" s="64"/>
      <c r="B722" s="64"/>
      <c r="C722" s="64"/>
      <c r="D722" s="64"/>
    </row>
    <row r="723">
      <c r="A723" s="64"/>
      <c r="B723" s="64"/>
      <c r="C723" s="64"/>
      <c r="D723" s="64"/>
    </row>
    <row r="724">
      <c r="A724" s="64"/>
      <c r="B724" s="64"/>
      <c r="C724" s="64"/>
      <c r="D724" s="64"/>
    </row>
    <row r="725">
      <c r="A725" s="64"/>
      <c r="B725" s="64"/>
      <c r="C725" s="64"/>
      <c r="D725" s="64"/>
    </row>
    <row r="726">
      <c r="A726" s="64"/>
      <c r="B726" s="64"/>
      <c r="C726" s="64"/>
      <c r="D726" s="64"/>
    </row>
    <row r="727">
      <c r="A727" s="64"/>
      <c r="B727" s="64"/>
      <c r="C727" s="64"/>
      <c r="D727" s="64"/>
    </row>
    <row r="728">
      <c r="A728" s="64"/>
      <c r="B728" s="64"/>
      <c r="C728" s="64"/>
      <c r="D728" s="64"/>
    </row>
    <row r="729">
      <c r="A729" s="64"/>
      <c r="B729" s="64"/>
      <c r="C729" s="64"/>
      <c r="D729" s="64"/>
    </row>
    <row r="730">
      <c r="A730" s="64"/>
      <c r="B730" s="64"/>
      <c r="C730" s="64"/>
      <c r="D730" s="64"/>
    </row>
    <row r="731">
      <c r="A731" s="64"/>
      <c r="B731" s="64"/>
      <c r="C731" s="64"/>
      <c r="D731" s="64"/>
    </row>
    <row r="732">
      <c r="A732" s="64"/>
      <c r="B732" s="64"/>
      <c r="C732" s="64"/>
      <c r="D732" s="64"/>
    </row>
    <row r="733">
      <c r="A733" s="64"/>
      <c r="B733" s="64"/>
      <c r="C733" s="64"/>
      <c r="D733" s="64"/>
    </row>
    <row r="734">
      <c r="A734" s="64"/>
      <c r="B734" s="64"/>
      <c r="C734" s="64"/>
      <c r="D734" s="64"/>
    </row>
    <row r="735">
      <c r="A735" s="64"/>
      <c r="B735" s="64"/>
      <c r="C735" s="64"/>
      <c r="D735" s="64"/>
    </row>
    <row r="736">
      <c r="A736" s="64"/>
      <c r="B736" s="64"/>
      <c r="C736" s="64"/>
      <c r="D736" s="64"/>
    </row>
    <row r="737">
      <c r="A737" s="64"/>
      <c r="B737" s="64"/>
      <c r="C737" s="64"/>
      <c r="D737" s="64"/>
    </row>
    <row r="738">
      <c r="A738" s="64"/>
      <c r="B738" s="64"/>
      <c r="C738" s="64"/>
      <c r="D738" s="64"/>
    </row>
    <row r="739">
      <c r="A739" s="64"/>
      <c r="B739" s="64"/>
      <c r="C739" s="64"/>
      <c r="D739" s="64"/>
    </row>
    <row r="740">
      <c r="A740" s="64"/>
      <c r="B740" s="64"/>
      <c r="C740" s="64"/>
      <c r="D740" s="64"/>
    </row>
    <row r="741">
      <c r="A741" s="64"/>
      <c r="B741" s="64"/>
      <c r="C741" s="64"/>
      <c r="D741" s="64"/>
    </row>
    <row r="742">
      <c r="A742" s="64"/>
      <c r="B742" s="64"/>
      <c r="C742" s="64"/>
      <c r="D742" s="64"/>
    </row>
    <row r="743">
      <c r="A743" s="64"/>
      <c r="B743" s="64"/>
      <c r="C743" s="64"/>
      <c r="D743" s="64"/>
    </row>
    <row r="744">
      <c r="A744" s="64"/>
      <c r="B744" s="64"/>
      <c r="C744" s="64"/>
      <c r="D744" s="64"/>
    </row>
    <row r="745">
      <c r="A745" s="64"/>
      <c r="B745" s="64"/>
      <c r="C745" s="64"/>
      <c r="D745" s="64"/>
    </row>
    <row r="746">
      <c r="A746" s="64"/>
      <c r="B746" s="64"/>
      <c r="C746" s="64"/>
      <c r="D746" s="64"/>
    </row>
    <row r="747">
      <c r="A747" s="64"/>
      <c r="B747" s="64"/>
      <c r="C747" s="64"/>
      <c r="D747" s="64"/>
    </row>
    <row r="748">
      <c r="A748" s="64"/>
      <c r="B748" s="64"/>
      <c r="C748" s="64"/>
      <c r="D748" s="64"/>
    </row>
    <row r="749">
      <c r="A749" s="64"/>
      <c r="B749" s="64"/>
      <c r="C749" s="64"/>
      <c r="D749" s="64"/>
    </row>
    <row r="750">
      <c r="A750" s="64"/>
      <c r="B750" s="64"/>
      <c r="C750" s="64"/>
      <c r="D750" s="64"/>
    </row>
    <row r="751">
      <c r="A751" s="64"/>
      <c r="B751" s="64"/>
      <c r="C751" s="64"/>
      <c r="D751" s="64"/>
    </row>
    <row r="752">
      <c r="A752" s="64"/>
      <c r="B752" s="64"/>
      <c r="C752" s="64"/>
      <c r="D752" s="64"/>
    </row>
    <row r="753">
      <c r="A753" s="64"/>
      <c r="B753" s="64"/>
      <c r="C753" s="64"/>
      <c r="D753" s="64"/>
    </row>
    <row r="754">
      <c r="A754" s="64"/>
      <c r="B754" s="64"/>
      <c r="C754" s="64"/>
      <c r="D754" s="64"/>
    </row>
    <row r="755">
      <c r="A755" s="64"/>
      <c r="B755" s="64"/>
      <c r="C755" s="64"/>
      <c r="D755" s="64"/>
    </row>
    <row r="756">
      <c r="A756" s="64"/>
      <c r="B756" s="64"/>
      <c r="C756" s="64"/>
      <c r="D756" s="64"/>
    </row>
    <row r="757">
      <c r="A757" s="64"/>
      <c r="B757" s="64"/>
      <c r="C757" s="64"/>
      <c r="D757" s="64"/>
    </row>
    <row r="758">
      <c r="A758" s="64"/>
      <c r="B758" s="64"/>
      <c r="C758" s="64"/>
      <c r="D758" s="64"/>
    </row>
    <row r="759">
      <c r="A759" s="64"/>
      <c r="B759" s="64"/>
      <c r="C759" s="64"/>
      <c r="D759" s="64"/>
    </row>
    <row r="760">
      <c r="A760" s="64"/>
      <c r="B760" s="64"/>
      <c r="C760" s="64"/>
      <c r="D760" s="64"/>
    </row>
    <row r="761">
      <c r="A761" s="64"/>
      <c r="B761" s="64"/>
      <c r="C761" s="64"/>
      <c r="D761" s="64"/>
    </row>
    <row r="762">
      <c r="A762" s="64"/>
      <c r="B762" s="64"/>
      <c r="C762" s="64"/>
      <c r="D762" s="64"/>
    </row>
    <row r="763">
      <c r="A763" s="64"/>
      <c r="B763" s="64"/>
      <c r="C763" s="64"/>
      <c r="D763" s="64"/>
    </row>
    <row r="764">
      <c r="A764" s="64"/>
      <c r="B764" s="64"/>
      <c r="C764" s="64"/>
      <c r="D764" s="64"/>
    </row>
    <row r="765">
      <c r="A765" s="64"/>
      <c r="B765" s="64"/>
      <c r="C765" s="64"/>
      <c r="D765" s="64"/>
    </row>
    <row r="766">
      <c r="A766" s="64"/>
      <c r="B766" s="64"/>
      <c r="C766" s="64"/>
      <c r="D766" s="64"/>
    </row>
    <row r="767">
      <c r="A767" s="64"/>
      <c r="B767" s="64"/>
      <c r="C767" s="64"/>
      <c r="D767" s="64"/>
    </row>
    <row r="768">
      <c r="A768" s="64"/>
      <c r="B768" s="64"/>
      <c r="C768" s="64"/>
      <c r="D768" s="64"/>
    </row>
    <row r="769">
      <c r="A769" s="64"/>
      <c r="B769" s="64"/>
      <c r="C769" s="64"/>
      <c r="D769" s="64"/>
    </row>
    <row r="770">
      <c r="A770" s="64"/>
      <c r="B770" s="64"/>
      <c r="C770" s="64"/>
      <c r="D770" s="64"/>
    </row>
    <row r="771">
      <c r="A771" s="64"/>
      <c r="B771" s="64"/>
      <c r="C771" s="64"/>
      <c r="D771" s="64"/>
    </row>
    <row r="772">
      <c r="A772" s="64"/>
      <c r="B772" s="64"/>
      <c r="C772" s="64"/>
      <c r="D772" s="64"/>
    </row>
    <row r="773">
      <c r="A773" s="64"/>
      <c r="B773" s="64"/>
      <c r="C773" s="64"/>
      <c r="D773" s="64"/>
    </row>
    <row r="774">
      <c r="A774" s="64"/>
      <c r="B774" s="64"/>
      <c r="C774" s="64"/>
      <c r="D774" s="64"/>
    </row>
    <row r="775">
      <c r="A775" s="64"/>
      <c r="B775" s="64"/>
      <c r="C775" s="64"/>
      <c r="D775" s="64"/>
    </row>
    <row r="776">
      <c r="A776" s="64"/>
      <c r="B776" s="64"/>
      <c r="C776" s="64"/>
      <c r="D776" s="64"/>
    </row>
    <row r="777">
      <c r="A777" s="64"/>
      <c r="B777" s="64"/>
      <c r="C777" s="64"/>
      <c r="D777" s="64"/>
    </row>
    <row r="778">
      <c r="A778" s="64"/>
      <c r="B778" s="64"/>
      <c r="C778" s="64"/>
      <c r="D778" s="64"/>
    </row>
    <row r="779">
      <c r="A779" s="64"/>
      <c r="B779" s="64"/>
      <c r="C779" s="64"/>
      <c r="D779" s="64"/>
    </row>
    <row r="780">
      <c r="A780" s="64"/>
      <c r="B780" s="64"/>
      <c r="C780" s="64"/>
      <c r="D780" s="64"/>
    </row>
    <row r="781">
      <c r="A781" s="64"/>
      <c r="B781" s="64"/>
      <c r="C781" s="64"/>
      <c r="D781" s="64"/>
    </row>
    <row r="782">
      <c r="A782" s="64"/>
      <c r="B782" s="64"/>
      <c r="C782" s="64"/>
      <c r="D782" s="64"/>
    </row>
    <row r="783">
      <c r="A783" s="64"/>
      <c r="B783" s="64"/>
      <c r="C783" s="64"/>
      <c r="D783" s="64"/>
    </row>
    <row r="784">
      <c r="A784" s="64"/>
      <c r="B784" s="64"/>
      <c r="C784" s="64"/>
      <c r="D784" s="64"/>
    </row>
    <row r="785">
      <c r="A785" s="64"/>
      <c r="B785" s="64"/>
      <c r="C785" s="64"/>
      <c r="D785" s="64"/>
    </row>
    <row r="786">
      <c r="A786" s="64"/>
      <c r="B786" s="64"/>
      <c r="C786" s="64"/>
      <c r="D786" s="64"/>
    </row>
    <row r="787">
      <c r="A787" s="64"/>
      <c r="B787" s="64"/>
      <c r="C787" s="64"/>
      <c r="D787" s="64"/>
    </row>
    <row r="788">
      <c r="A788" s="64"/>
      <c r="B788" s="64"/>
      <c r="C788" s="64"/>
      <c r="D788" s="64"/>
    </row>
    <row r="789">
      <c r="A789" s="64"/>
      <c r="B789" s="64"/>
      <c r="C789" s="64"/>
      <c r="D789" s="64"/>
    </row>
    <row r="790">
      <c r="A790" s="64"/>
      <c r="B790" s="64"/>
      <c r="C790" s="64"/>
      <c r="D790" s="64"/>
    </row>
    <row r="791">
      <c r="A791" s="64"/>
      <c r="B791" s="64"/>
      <c r="C791" s="64"/>
      <c r="D791" s="64"/>
    </row>
    <row r="792">
      <c r="A792" s="64"/>
      <c r="B792" s="64"/>
      <c r="C792" s="64"/>
      <c r="D792" s="64"/>
    </row>
    <row r="793">
      <c r="A793" s="64"/>
      <c r="B793" s="64"/>
      <c r="C793" s="64"/>
      <c r="D793" s="64"/>
    </row>
    <row r="794">
      <c r="A794" s="64"/>
      <c r="B794" s="64"/>
      <c r="C794" s="64"/>
      <c r="D794" s="64"/>
    </row>
    <row r="795">
      <c r="A795" s="64"/>
      <c r="B795" s="64"/>
      <c r="C795" s="64"/>
      <c r="D795" s="64"/>
    </row>
    <row r="796">
      <c r="A796" s="64"/>
      <c r="B796" s="64"/>
      <c r="C796" s="64"/>
      <c r="D796" s="64"/>
    </row>
    <row r="797">
      <c r="A797" s="64"/>
      <c r="B797" s="64"/>
      <c r="C797" s="64"/>
      <c r="D797" s="64"/>
    </row>
    <row r="798">
      <c r="A798" s="64"/>
      <c r="B798" s="64"/>
      <c r="C798" s="64"/>
      <c r="D798" s="64"/>
    </row>
    <row r="799">
      <c r="A799" s="64"/>
      <c r="B799" s="64"/>
      <c r="C799" s="64"/>
      <c r="D799" s="64"/>
    </row>
    <row r="800">
      <c r="A800" s="64"/>
      <c r="B800" s="64"/>
      <c r="C800" s="64"/>
      <c r="D800" s="64"/>
    </row>
    <row r="801">
      <c r="A801" s="64"/>
      <c r="B801" s="64"/>
      <c r="C801" s="64"/>
      <c r="D801" s="64"/>
    </row>
    <row r="802">
      <c r="A802" s="64"/>
      <c r="B802" s="64"/>
      <c r="C802" s="64"/>
      <c r="D802" s="64"/>
    </row>
    <row r="803">
      <c r="A803" s="64"/>
      <c r="B803" s="64"/>
      <c r="C803" s="64"/>
      <c r="D803" s="64"/>
    </row>
    <row r="804">
      <c r="A804" s="64"/>
      <c r="B804" s="64"/>
      <c r="C804" s="64"/>
      <c r="D804" s="64"/>
    </row>
    <row r="805">
      <c r="A805" s="64"/>
      <c r="B805" s="64"/>
      <c r="C805" s="64"/>
      <c r="D805" s="64"/>
    </row>
    <row r="806">
      <c r="A806" s="64"/>
      <c r="B806" s="64"/>
      <c r="C806" s="64"/>
      <c r="D806" s="64"/>
    </row>
    <row r="807">
      <c r="A807" s="64"/>
      <c r="B807" s="64"/>
      <c r="C807" s="64"/>
      <c r="D807" s="64"/>
    </row>
    <row r="808">
      <c r="A808" s="64"/>
      <c r="B808" s="64"/>
      <c r="C808" s="64"/>
      <c r="D808" s="64"/>
    </row>
    <row r="809">
      <c r="A809" s="64"/>
      <c r="B809" s="64"/>
      <c r="C809" s="64"/>
      <c r="D809" s="64"/>
    </row>
    <row r="810">
      <c r="A810" s="64"/>
      <c r="B810" s="64"/>
      <c r="C810" s="64"/>
      <c r="D810" s="64"/>
    </row>
    <row r="811">
      <c r="A811" s="64"/>
      <c r="B811" s="64"/>
      <c r="C811" s="64"/>
      <c r="D811" s="64"/>
    </row>
    <row r="812">
      <c r="A812" s="64"/>
      <c r="B812" s="64"/>
      <c r="C812" s="64"/>
      <c r="D812" s="64"/>
    </row>
    <row r="813">
      <c r="A813" s="64"/>
      <c r="B813" s="64"/>
      <c r="C813" s="64"/>
      <c r="D813" s="64"/>
    </row>
    <row r="814">
      <c r="A814" s="64"/>
      <c r="B814" s="64"/>
      <c r="C814" s="64"/>
      <c r="D814" s="64"/>
    </row>
    <row r="815">
      <c r="A815" s="64"/>
      <c r="B815" s="64"/>
      <c r="C815" s="64"/>
      <c r="D815" s="64"/>
    </row>
    <row r="816">
      <c r="A816" s="64"/>
      <c r="B816" s="64"/>
      <c r="C816" s="64"/>
      <c r="D816" s="64"/>
    </row>
    <row r="817">
      <c r="A817" s="64"/>
      <c r="B817" s="64"/>
      <c r="C817" s="64"/>
      <c r="D817" s="64"/>
    </row>
    <row r="818">
      <c r="A818" s="64"/>
      <c r="B818" s="64"/>
      <c r="C818" s="64"/>
      <c r="D818" s="64"/>
    </row>
    <row r="819">
      <c r="A819" s="64"/>
      <c r="B819" s="64"/>
      <c r="C819" s="64"/>
      <c r="D819" s="64"/>
    </row>
    <row r="820">
      <c r="A820" s="64"/>
      <c r="B820" s="64"/>
      <c r="C820" s="64"/>
      <c r="D820" s="64"/>
    </row>
    <row r="821">
      <c r="A821" s="64"/>
      <c r="B821" s="64"/>
      <c r="C821" s="64"/>
      <c r="D821" s="64"/>
    </row>
    <row r="822">
      <c r="A822" s="64"/>
      <c r="B822" s="64"/>
      <c r="C822" s="64"/>
      <c r="D822" s="64"/>
    </row>
    <row r="823">
      <c r="A823" s="64"/>
      <c r="B823" s="64"/>
      <c r="C823" s="64"/>
      <c r="D823" s="64"/>
    </row>
    <row r="824">
      <c r="A824" s="64"/>
      <c r="B824" s="64"/>
      <c r="C824" s="64"/>
      <c r="D824" s="64"/>
    </row>
    <row r="825">
      <c r="A825" s="64"/>
      <c r="B825" s="64"/>
      <c r="C825" s="64"/>
      <c r="D825" s="64"/>
    </row>
    <row r="826">
      <c r="A826" s="64"/>
      <c r="B826" s="64"/>
      <c r="C826" s="64"/>
      <c r="D826" s="64"/>
    </row>
    <row r="827">
      <c r="A827" s="64"/>
      <c r="B827" s="64"/>
      <c r="C827" s="64"/>
      <c r="D827" s="64"/>
    </row>
    <row r="828">
      <c r="A828" s="64"/>
      <c r="B828" s="64"/>
      <c r="C828" s="64"/>
      <c r="D828" s="64"/>
    </row>
    <row r="829">
      <c r="A829" s="64"/>
      <c r="B829" s="64"/>
      <c r="C829" s="64"/>
      <c r="D829" s="64"/>
    </row>
    <row r="830">
      <c r="A830" s="64"/>
      <c r="B830" s="64"/>
      <c r="C830" s="64"/>
      <c r="D830" s="64"/>
    </row>
    <row r="831">
      <c r="A831" s="64"/>
      <c r="B831" s="64"/>
      <c r="C831" s="64"/>
      <c r="D831" s="64"/>
    </row>
    <row r="832">
      <c r="A832" s="64"/>
      <c r="B832" s="64"/>
      <c r="C832" s="64"/>
      <c r="D832" s="64"/>
    </row>
    <row r="833">
      <c r="A833" s="64"/>
      <c r="B833" s="64"/>
      <c r="C833" s="64"/>
      <c r="D833" s="64"/>
    </row>
    <row r="834">
      <c r="A834" s="64"/>
      <c r="B834" s="64"/>
      <c r="C834" s="64"/>
      <c r="D834" s="64"/>
    </row>
    <row r="835">
      <c r="A835" s="64"/>
      <c r="B835" s="64"/>
      <c r="C835" s="64"/>
      <c r="D835" s="64"/>
    </row>
    <row r="836">
      <c r="A836" s="64"/>
      <c r="B836" s="64"/>
      <c r="C836" s="64"/>
      <c r="D836" s="64"/>
    </row>
    <row r="837">
      <c r="A837" s="64"/>
      <c r="B837" s="64"/>
      <c r="C837" s="64"/>
      <c r="D837" s="64"/>
    </row>
    <row r="838">
      <c r="A838" s="64"/>
      <c r="B838" s="64"/>
      <c r="C838" s="64"/>
      <c r="D838" s="64"/>
    </row>
    <row r="839">
      <c r="A839" s="64"/>
      <c r="B839" s="64"/>
      <c r="C839" s="64"/>
      <c r="D839" s="64"/>
    </row>
    <row r="840">
      <c r="A840" s="64"/>
      <c r="B840" s="64"/>
      <c r="C840" s="64"/>
      <c r="D840" s="64"/>
    </row>
    <row r="841">
      <c r="A841" s="64"/>
      <c r="B841" s="64"/>
      <c r="C841" s="64"/>
      <c r="D841" s="64"/>
    </row>
    <row r="842">
      <c r="A842" s="64"/>
      <c r="B842" s="64"/>
      <c r="C842" s="64"/>
      <c r="D842" s="64"/>
    </row>
    <row r="843">
      <c r="A843" s="64"/>
      <c r="B843" s="64"/>
      <c r="C843" s="64"/>
      <c r="D843" s="64"/>
    </row>
    <row r="844">
      <c r="A844" s="64"/>
      <c r="B844" s="64"/>
      <c r="C844" s="64"/>
      <c r="D844" s="64"/>
    </row>
    <row r="845">
      <c r="A845" s="64"/>
      <c r="B845" s="64"/>
      <c r="C845" s="64"/>
      <c r="D845" s="64"/>
    </row>
    <row r="846">
      <c r="A846" s="64"/>
      <c r="B846" s="64"/>
      <c r="C846" s="64"/>
      <c r="D846" s="64"/>
    </row>
    <row r="847">
      <c r="A847" s="64"/>
      <c r="B847" s="64"/>
      <c r="C847" s="64"/>
      <c r="D847" s="64"/>
    </row>
    <row r="848">
      <c r="A848" s="64"/>
      <c r="B848" s="64"/>
      <c r="C848" s="64"/>
      <c r="D848" s="64"/>
    </row>
    <row r="849">
      <c r="A849" s="64"/>
      <c r="B849" s="64"/>
      <c r="C849" s="64"/>
      <c r="D849" s="64"/>
    </row>
    <row r="850">
      <c r="A850" s="64"/>
      <c r="B850" s="64"/>
      <c r="C850" s="64"/>
      <c r="D850" s="64"/>
    </row>
    <row r="851">
      <c r="A851" s="64"/>
      <c r="B851" s="64"/>
      <c r="C851" s="64"/>
      <c r="D851" s="64"/>
    </row>
    <row r="852">
      <c r="A852" s="64"/>
      <c r="B852" s="64"/>
      <c r="C852" s="64"/>
      <c r="D852" s="64"/>
    </row>
    <row r="853">
      <c r="A853" s="64"/>
      <c r="B853" s="64"/>
      <c r="C853" s="64"/>
      <c r="D853" s="64"/>
    </row>
    <row r="854">
      <c r="A854" s="64"/>
      <c r="B854" s="64"/>
      <c r="C854" s="64"/>
      <c r="D854" s="64"/>
    </row>
    <row r="855">
      <c r="A855" s="64"/>
      <c r="B855" s="64"/>
      <c r="C855" s="64"/>
      <c r="D855" s="64"/>
    </row>
    <row r="856">
      <c r="A856" s="64"/>
      <c r="B856" s="64"/>
      <c r="C856" s="64"/>
      <c r="D856" s="64"/>
    </row>
    <row r="857">
      <c r="A857" s="64"/>
      <c r="B857" s="64"/>
      <c r="C857" s="64"/>
      <c r="D857" s="64"/>
    </row>
    <row r="858">
      <c r="A858" s="64"/>
      <c r="B858" s="64"/>
      <c r="C858" s="64"/>
      <c r="D858" s="64"/>
    </row>
    <row r="859">
      <c r="A859" s="64"/>
      <c r="B859" s="64"/>
      <c r="C859" s="64"/>
      <c r="D859" s="64"/>
    </row>
    <row r="860">
      <c r="A860" s="64"/>
      <c r="B860" s="64"/>
      <c r="C860" s="64"/>
      <c r="D860" s="64"/>
    </row>
    <row r="861">
      <c r="A861" s="64"/>
      <c r="B861" s="64"/>
      <c r="C861" s="64"/>
      <c r="D861" s="64"/>
    </row>
    <row r="862">
      <c r="A862" s="64"/>
      <c r="B862" s="64"/>
      <c r="C862" s="64"/>
      <c r="D862" s="64"/>
    </row>
    <row r="863">
      <c r="A863" s="64"/>
      <c r="B863" s="64"/>
      <c r="C863" s="64"/>
      <c r="D863" s="64"/>
    </row>
    <row r="864">
      <c r="A864" s="64"/>
      <c r="B864" s="64"/>
      <c r="C864" s="64"/>
      <c r="D864" s="64"/>
    </row>
    <row r="865">
      <c r="A865" s="64"/>
      <c r="B865" s="64"/>
      <c r="C865" s="64"/>
      <c r="D865" s="64"/>
    </row>
    <row r="866">
      <c r="A866" s="64"/>
      <c r="B866" s="64"/>
      <c r="C866" s="64"/>
      <c r="D866" s="64"/>
    </row>
    <row r="867">
      <c r="A867" s="64"/>
      <c r="B867" s="64"/>
      <c r="C867" s="64"/>
      <c r="D867" s="64"/>
    </row>
    <row r="868">
      <c r="A868" s="64"/>
      <c r="B868" s="64"/>
      <c r="C868" s="64"/>
      <c r="D868" s="64"/>
    </row>
    <row r="869">
      <c r="A869" s="64"/>
      <c r="B869" s="64"/>
      <c r="C869" s="64"/>
      <c r="D869" s="64"/>
    </row>
    <row r="870">
      <c r="A870" s="64"/>
      <c r="B870" s="64"/>
      <c r="C870" s="64"/>
      <c r="D870" s="64"/>
    </row>
    <row r="871">
      <c r="A871" s="64"/>
      <c r="B871" s="64"/>
      <c r="C871" s="64"/>
      <c r="D871" s="64"/>
    </row>
    <row r="872">
      <c r="A872" s="64"/>
      <c r="B872" s="64"/>
      <c r="C872" s="64"/>
      <c r="D872" s="64"/>
    </row>
    <row r="873">
      <c r="A873" s="64"/>
      <c r="B873" s="64"/>
      <c r="C873" s="64"/>
      <c r="D873" s="64"/>
    </row>
    <row r="874">
      <c r="A874" s="64"/>
      <c r="B874" s="64"/>
      <c r="C874" s="64"/>
      <c r="D874" s="64"/>
    </row>
    <row r="875">
      <c r="A875" s="64"/>
      <c r="B875" s="64"/>
      <c r="C875" s="64"/>
      <c r="D875" s="64"/>
    </row>
    <row r="876">
      <c r="A876" s="64"/>
      <c r="B876" s="64"/>
      <c r="C876" s="64"/>
      <c r="D876" s="64"/>
    </row>
    <row r="877">
      <c r="A877" s="64"/>
      <c r="B877" s="64"/>
      <c r="C877" s="64"/>
      <c r="D877" s="64"/>
    </row>
    <row r="878">
      <c r="A878" s="64"/>
      <c r="B878" s="64"/>
      <c r="C878" s="64"/>
      <c r="D878" s="64"/>
    </row>
    <row r="879">
      <c r="A879" s="64"/>
      <c r="B879" s="64"/>
      <c r="C879" s="64"/>
      <c r="D879" s="64"/>
    </row>
    <row r="880">
      <c r="A880" s="64"/>
      <c r="B880" s="64"/>
      <c r="C880" s="64"/>
      <c r="D880" s="64"/>
    </row>
    <row r="881">
      <c r="A881" s="64"/>
      <c r="B881" s="64"/>
      <c r="C881" s="64"/>
      <c r="D881" s="64"/>
    </row>
    <row r="882">
      <c r="A882" s="64"/>
      <c r="B882" s="64"/>
      <c r="C882" s="64"/>
      <c r="D882" s="64"/>
    </row>
    <row r="883">
      <c r="A883" s="64"/>
      <c r="B883" s="64"/>
      <c r="C883" s="64"/>
      <c r="D883" s="64"/>
    </row>
    <row r="884">
      <c r="A884" s="64"/>
      <c r="B884" s="64"/>
      <c r="C884" s="64"/>
      <c r="D884" s="64"/>
    </row>
    <row r="885">
      <c r="A885" s="64"/>
      <c r="B885" s="64"/>
      <c r="C885" s="64"/>
      <c r="D885" s="64"/>
    </row>
    <row r="886">
      <c r="A886" s="64"/>
      <c r="B886" s="64"/>
      <c r="C886" s="64"/>
      <c r="D886" s="64"/>
    </row>
    <row r="887">
      <c r="A887" s="64"/>
      <c r="B887" s="64"/>
      <c r="C887" s="64"/>
      <c r="D887" s="64"/>
    </row>
    <row r="888">
      <c r="A888" s="64"/>
      <c r="B888" s="64"/>
      <c r="C888" s="64"/>
      <c r="D888" s="64"/>
    </row>
    <row r="889">
      <c r="A889" s="64"/>
      <c r="B889" s="64"/>
      <c r="C889" s="64"/>
      <c r="D889" s="64"/>
    </row>
    <row r="890">
      <c r="A890" s="64"/>
      <c r="B890" s="64"/>
      <c r="C890" s="64"/>
      <c r="D890" s="64"/>
    </row>
    <row r="891">
      <c r="A891" s="64"/>
      <c r="B891" s="64"/>
      <c r="C891" s="64"/>
      <c r="D891" s="64"/>
    </row>
    <row r="892">
      <c r="A892" s="64"/>
      <c r="B892" s="64"/>
      <c r="C892" s="64"/>
      <c r="D892" s="64"/>
    </row>
    <row r="893">
      <c r="A893" s="64"/>
      <c r="B893" s="64"/>
      <c r="C893" s="64"/>
      <c r="D893" s="64"/>
    </row>
    <row r="894">
      <c r="A894" s="64"/>
      <c r="B894" s="64"/>
      <c r="C894" s="64"/>
      <c r="D894" s="64"/>
    </row>
    <row r="895">
      <c r="A895" s="64"/>
      <c r="B895" s="64"/>
      <c r="C895" s="64"/>
      <c r="D895" s="64"/>
    </row>
    <row r="896">
      <c r="A896" s="64"/>
      <c r="B896" s="64"/>
      <c r="C896" s="64"/>
      <c r="D896" s="64"/>
    </row>
    <row r="897">
      <c r="A897" s="64"/>
      <c r="B897" s="64"/>
      <c r="C897" s="64"/>
      <c r="D897" s="64"/>
    </row>
    <row r="898">
      <c r="A898" s="64"/>
      <c r="B898" s="64"/>
      <c r="C898" s="64"/>
      <c r="D898" s="64"/>
    </row>
    <row r="899">
      <c r="A899" s="64"/>
      <c r="B899" s="64"/>
      <c r="C899" s="64"/>
      <c r="D899" s="64"/>
    </row>
    <row r="900">
      <c r="A900" s="64"/>
      <c r="B900" s="64"/>
      <c r="C900" s="64"/>
      <c r="D900" s="64"/>
    </row>
    <row r="901">
      <c r="A901" s="64"/>
      <c r="B901" s="64"/>
      <c r="C901" s="64"/>
      <c r="D901" s="64"/>
    </row>
    <row r="902">
      <c r="A902" s="64"/>
      <c r="B902" s="64"/>
      <c r="C902" s="64"/>
      <c r="D902" s="64"/>
    </row>
    <row r="903">
      <c r="A903" s="64"/>
      <c r="B903" s="64"/>
      <c r="C903" s="64"/>
      <c r="D903" s="64"/>
    </row>
    <row r="904">
      <c r="A904" s="64"/>
      <c r="B904" s="64"/>
      <c r="C904" s="64"/>
      <c r="D904" s="64"/>
    </row>
    <row r="905">
      <c r="A905" s="64"/>
      <c r="B905" s="64"/>
      <c r="C905" s="64"/>
      <c r="D905" s="64"/>
    </row>
    <row r="906">
      <c r="A906" s="64"/>
      <c r="B906" s="64"/>
      <c r="C906" s="64"/>
      <c r="D906" s="64"/>
    </row>
    <row r="907">
      <c r="A907" s="64"/>
      <c r="B907" s="64"/>
      <c r="C907" s="64"/>
      <c r="D907" s="64"/>
    </row>
    <row r="908">
      <c r="A908" s="64"/>
      <c r="B908" s="64"/>
      <c r="C908" s="64"/>
      <c r="D908" s="64"/>
    </row>
    <row r="909">
      <c r="A909" s="64"/>
      <c r="B909" s="64"/>
      <c r="C909" s="64"/>
      <c r="D909" s="64"/>
    </row>
    <row r="910">
      <c r="A910" s="64"/>
      <c r="B910" s="64"/>
      <c r="C910" s="64"/>
      <c r="D910" s="64"/>
    </row>
    <row r="911">
      <c r="A911" s="64"/>
      <c r="B911" s="64"/>
      <c r="C911" s="64"/>
      <c r="D911" s="64"/>
    </row>
    <row r="912">
      <c r="A912" s="64"/>
      <c r="B912" s="64"/>
      <c r="C912" s="64"/>
      <c r="D912" s="64"/>
    </row>
    <row r="913">
      <c r="A913" s="64"/>
      <c r="B913" s="64"/>
      <c r="C913" s="64"/>
      <c r="D913" s="64"/>
    </row>
    <row r="914">
      <c r="A914" s="64"/>
      <c r="B914" s="64"/>
      <c r="C914" s="64"/>
      <c r="D914" s="64"/>
    </row>
    <row r="915">
      <c r="A915" s="64"/>
      <c r="B915" s="64"/>
      <c r="C915" s="64"/>
      <c r="D915" s="64"/>
    </row>
    <row r="916">
      <c r="A916" s="64"/>
      <c r="B916" s="64"/>
      <c r="C916" s="64"/>
      <c r="D916" s="64"/>
    </row>
    <row r="917">
      <c r="A917" s="64"/>
      <c r="B917" s="64"/>
      <c r="C917" s="64"/>
      <c r="D917" s="64"/>
    </row>
    <row r="918">
      <c r="A918" s="64"/>
      <c r="B918" s="64"/>
      <c r="C918" s="64"/>
      <c r="D918" s="64"/>
    </row>
    <row r="919">
      <c r="A919" s="64"/>
      <c r="B919" s="64"/>
      <c r="C919" s="64"/>
      <c r="D919" s="64"/>
    </row>
    <row r="920">
      <c r="A920" s="64"/>
      <c r="B920" s="64"/>
      <c r="C920" s="64"/>
      <c r="D920" s="64"/>
    </row>
    <row r="921">
      <c r="A921" s="64"/>
      <c r="B921" s="64"/>
      <c r="C921" s="64"/>
      <c r="D921" s="64"/>
    </row>
    <row r="922">
      <c r="A922" s="64"/>
      <c r="B922" s="64"/>
      <c r="C922" s="64"/>
      <c r="D922" s="64"/>
    </row>
    <row r="923">
      <c r="A923" s="64"/>
      <c r="B923" s="64"/>
      <c r="C923" s="64"/>
      <c r="D923" s="64"/>
    </row>
    <row r="924">
      <c r="A924" s="64"/>
      <c r="B924" s="64"/>
      <c r="C924" s="64"/>
      <c r="D924" s="64"/>
    </row>
    <row r="925">
      <c r="A925" s="64"/>
      <c r="B925" s="64"/>
      <c r="C925" s="64"/>
      <c r="D925" s="64"/>
    </row>
    <row r="926">
      <c r="A926" s="64"/>
      <c r="B926" s="64"/>
      <c r="C926" s="64"/>
      <c r="D926" s="64"/>
    </row>
    <row r="927">
      <c r="A927" s="64"/>
      <c r="B927" s="64"/>
      <c r="C927" s="64"/>
      <c r="D927" s="64"/>
    </row>
    <row r="928">
      <c r="A928" s="64"/>
      <c r="B928" s="64"/>
      <c r="C928" s="64"/>
      <c r="D928" s="64"/>
    </row>
    <row r="929">
      <c r="A929" s="64"/>
      <c r="B929" s="64"/>
      <c r="C929" s="64"/>
      <c r="D929" s="64"/>
    </row>
    <row r="930">
      <c r="A930" s="64"/>
      <c r="B930" s="64"/>
      <c r="C930" s="64"/>
      <c r="D930" s="64"/>
    </row>
    <row r="931">
      <c r="A931" s="64"/>
      <c r="B931" s="64"/>
      <c r="C931" s="64"/>
      <c r="D931" s="64"/>
    </row>
    <row r="932">
      <c r="A932" s="64"/>
      <c r="B932" s="64"/>
      <c r="C932" s="64"/>
      <c r="D932" s="64"/>
    </row>
    <row r="933">
      <c r="A933" s="64"/>
      <c r="B933" s="64"/>
      <c r="C933" s="64"/>
      <c r="D933" s="64"/>
    </row>
    <row r="934">
      <c r="A934" s="64"/>
      <c r="B934" s="64"/>
      <c r="C934" s="64"/>
      <c r="D934" s="64"/>
    </row>
    <row r="935">
      <c r="A935" s="64"/>
      <c r="B935" s="64"/>
      <c r="C935" s="64"/>
      <c r="D935" s="64"/>
    </row>
    <row r="936">
      <c r="A936" s="64"/>
      <c r="B936" s="64"/>
      <c r="C936" s="64"/>
      <c r="D936" s="64"/>
    </row>
    <row r="937">
      <c r="A937" s="64"/>
      <c r="B937" s="64"/>
      <c r="C937" s="64"/>
      <c r="D937" s="64"/>
    </row>
    <row r="938">
      <c r="A938" s="64"/>
      <c r="B938" s="64"/>
      <c r="C938" s="64"/>
      <c r="D938" s="64"/>
    </row>
    <row r="939">
      <c r="A939" s="64"/>
      <c r="B939" s="64"/>
      <c r="C939" s="64"/>
      <c r="D939" s="64"/>
    </row>
    <row r="940">
      <c r="A940" s="64"/>
      <c r="B940" s="64"/>
      <c r="C940" s="64"/>
      <c r="D940" s="64"/>
    </row>
    <row r="941">
      <c r="A941" s="64"/>
      <c r="B941" s="64"/>
      <c r="C941" s="64"/>
      <c r="D941" s="64"/>
    </row>
    <row r="942">
      <c r="A942" s="64"/>
      <c r="B942" s="64"/>
      <c r="C942" s="64"/>
      <c r="D942" s="64"/>
    </row>
    <row r="943">
      <c r="A943" s="64"/>
      <c r="B943" s="64"/>
      <c r="C943" s="64"/>
      <c r="D943" s="64"/>
    </row>
    <row r="944">
      <c r="A944" s="64"/>
      <c r="B944" s="64"/>
      <c r="C944" s="64"/>
      <c r="D944" s="64"/>
    </row>
    <row r="945">
      <c r="A945" s="64"/>
      <c r="B945" s="64"/>
      <c r="C945" s="64"/>
      <c r="D945" s="64"/>
    </row>
    <row r="946">
      <c r="A946" s="64"/>
      <c r="B946" s="64"/>
      <c r="C946" s="64"/>
      <c r="D946" s="64"/>
    </row>
    <row r="947">
      <c r="A947" s="64"/>
      <c r="B947" s="64"/>
      <c r="C947" s="64"/>
      <c r="D947" s="64"/>
    </row>
    <row r="948">
      <c r="A948" s="64"/>
      <c r="B948" s="64"/>
      <c r="C948" s="64"/>
      <c r="D948" s="64"/>
    </row>
    <row r="949">
      <c r="A949" s="64"/>
      <c r="B949" s="64"/>
      <c r="C949" s="64"/>
      <c r="D949" s="64"/>
    </row>
    <row r="950">
      <c r="A950" s="64"/>
      <c r="B950" s="64"/>
      <c r="C950" s="64"/>
      <c r="D950" s="64"/>
    </row>
    <row r="951">
      <c r="A951" s="64"/>
      <c r="B951" s="64"/>
      <c r="C951" s="64"/>
      <c r="D951" s="64"/>
    </row>
    <row r="952">
      <c r="A952" s="64"/>
      <c r="B952" s="64"/>
      <c r="C952" s="64"/>
      <c r="D952" s="64"/>
    </row>
    <row r="953">
      <c r="A953" s="64"/>
      <c r="B953" s="64"/>
      <c r="C953" s="64"/>
      <c r="D953" s="64"/>
    </row>
    <row r="954">
      <c r="A954" s="64"/>
      <c r="B954" s="64"/>
      <c r="C954" s="64"/>
      <c r="D954" s="64"/>
    </row>
    <row r="955">
      <c r="A955" s="64"/>
      <c r="B955" s="64"/>
      <c r="C955" s="64"/>
      <c r="D955" s="64"/>
    </row>
    <row r="956">
      <c r="A956" s="64"/>
      <c r="B956" s="64"/>
      <c r="C956" s="64"/>
      <c r="D956" s="64"/>
    </row>
    <row r="957">
      <c r="A957" s="64"/>
      <c r="B957" s="64"/>
      <c r="C957" s="64"/>
      <c r="D957" s="64"/>
    </row>
    <row r="958">
      <c r="A958" s="64"/>
      <c r="B958" s="64"/>
      <c r="C958" s="64"/>
      <c r="D958" s="64"/>
    </row>
    <row r="959">
      <c r="A959" s="64"/>
      <c r="B959" s="64"/>
      <c r="C959" s="64"/>
      <c r="D959" s="64"/>
    </row>
    <row r="960">
      <c r="A960" s="64"/>
      <c r="B960" s="64"/>
      <c r="C960" s="64"/>
      <c r="D960" s="64"/>
    </row>
    <row r="961">
      <c r="A961" s="64"/>
      <c r="B961" s="64"/>
      <c r="C961" s="64"/>
      <c r="D961" s="64"/>
    </row>
    <row r="962">
      <c r="A962" s="64"/>
      <c r="B962" s="64"/>
      <c r="C962" s="64"/>
      <c r="D962" s="64"/>
    </row>
    <row r="963">
      <c r="A963" s="64"/>
      <c r="B963" s="64"/>
      <c r="C963" s="64"/>
      <c r="D963" s="64"/>
    </row>
    <row r="964">
      <c r="A964" s="64"/>
      <c r="B964" s="64"/>
      <c r="C964" s="64"/>
      <c r="D964" s="64"/>
    </row>
    <row r="965">
      <c r="A965" s="64"/>
      <c r="B965" s="64"/>
      <c r="C965" s="64"/>
      <c r="D965" s="64"/>
    </row>
    <row r="966">
      <c r="A966" s="64"/>
      <c r="B966" s="64"/>
      <c r="C966" s="64"/>
      <c r="D966" s="64"/>
    </row>
    <row r="967">
      <c r="A967" s="64"/>
      <c r="B967" s="64"/>
      <c r="C967" s="64"/>
      <c r="D967" s="64"/>
    </row>
    <row r="968">
      <c r="A968" s="64"/>
      <c r="B968" s="64"/>
      <c r="C968" s="64"/>
      <c r="D968" s="64"/>
    </row>
    <row r="969">
      <c r="A969" s="64"/>
      <c r="B969" s="64"/>
      <c r="C969" s="64"/>
      <c r="D969" s="64"/>
    </row>
    <row r="970">
      <c r="A970" s="64"/>
      <c r="B970" s="64"/>
      <c r="C970" s="64"/>
      <c r="D970" s="64"/>
    </row>
    <row r="971">
      <c r="A971" s="64"/>
      <c r="B971" s="64"/>
      <c r="C971" s="64"/>
      <c r="D971" s="64"/>
    </row>
    <row r="972">
      <c r="A972" s="64"/>
      <c r="B972" s="64"/>
      <c r="C972" s="64"/>
      <c r="D972" s="64"/>
    </row>
    <row r="973">
      <c r="A973" s="64"/>
      <c r="B973" s="64"/>
      <c r="C973" s="64"/>
      <c r="D973" s="64"/>
    </row>
    <row r="974">
      <c r="A974" s="64"/>
      <c r="B974" s="64"/>
      <c r="C974" s="64"/>
      <c r="D974" s="64"/>
    </row>
    <row r="975">
      <c r="A975" s="64"/>
      <c r="B975" s="64"/>
      <c r="C975" s="64"/>
      <c r="D975" s="64"/>
    </row>
    <row r="976">
      <c r="A976" s="64"/>
      <c r="B976" s="64"/>
      <c r="C976" s="64"/>
      <c r="D976" s="64"/>
    </row>
    <row r="977">
      <c r="A977" s="64"/>
      <c r="B977" s="64"/>
      <c r="C977" s="64"/>
      <c r="D977" s="64"/>
    </row>
    <row r="978">
      <c r="A978" s="64"/>
      <c r="B978" s="64"/>
      <c r="C978" s="64"/>
      <c r="D978" s="64"/>
    </row>
    <row r="979">
      <c r="A979" s="64"/>
      <c r="B979" s="64"/>
      <c r="C979" s="64"/>
      <c r="D979" s="64"/>
    </row>
    <row r="980">
      <c r="A980" s="64"/>
      <c r="B980" s="64"/>
      <c r="C980" s="64"/>
      <c r="D980" s="64"/>
    </row>
    <row r="981">
      <c r="A981" s="64"/>
      <c r="B981" s="64"/>
      <c r="C981" s="64"/>
      <c r="D981" s="64"/>
    </row>
    <row r="982">
      <c r="A982" s="64"/>
      <c r="B982" s="64"/>
      <c r="C982" s="64"/>
      <c r="D982" s="64"/>
    </row>
    <row r="983">
      <c r="A983" s="64"/>
      <c r="B983" s="64"/>
      <c r="C983" s="64"/>
      <c r="D983" s="64"/>
    </row>
    <row r="984">
      <c r="A984" s="64"/>
      <c r="B984" s="64"/>
      <c r="C984" s="64"/>
      <c r="D984" s="64"/>
    </row>
    <row r="985">
      <c r="A985" s="64"/>
      <c r="B985" s="64"/>
      <c r="C985" s="64"/>
      <c r="D985" s="64"/>
    </row>
    <row r="986">
      <c r="A986" s="64"/>
      <c r="B986" s="64"/>
      <c r="C986" s="64"/>
      <c r="D986" s="64"/>
    </row>
    <row r="987">
      <c r="A987" s="64"/>
      <c r="B987" s="64"/>
      <c r="C987" s="64"/>
      <c r="D987" s="64"/>
    </row>
    <row r="988">
      <c r="A988" s="64"/>
      <c r="B988" s="64"/>
      <c r="C988" s="64"/>
      <c r="D988" s="64"/>
    </row>
    <row r="989">
      <c r="A989" s="64"/>
      <c r="B989" s="64"/>
      <c r="C989" s="64"/>
      <c r="D989" s="64"/>
    </row>
    <row r="990">
      <c r="A990" s="64"/>
      <c r="B990" s="64"/>
      <c r="C990" s="64"/>
      <c r="D990" s="64"/>
    </row>
    <row r="991">
      <c r="A991" s="64"/>
      <c r="B991" s="64"/>
      <c r="C991" s="64"/>
      <c r="D991" s="64"/>
    </row>
    <row r="992">
      <c r="A992" s="64"/>
      <c r="B992" s="64"/>
      <c r="C992" s="64"/>
      <c r="D992" s="64"/>
    </row>
    <row r="993">
      <c r="A993" s="64"/>
      <c r="B993" s="64"/>
      <c r="C993" s="64"/>
      <c r="D993" s="64"/>
    </row>
    <row r="994">
      <c r="A994" s="64"/>
      <c r="B994" s="64"/>
      <c r="C994" s="64"/>
      <c r="D994" s="64"/>
    </row>
    <row r="995">
      <c r="A995" s="64"/>
      <c r="B995" s="64"/>
      <c r="C995" s="64"/>
      <c r="D995" s="64"/>
    </row>
    <row r="996">
      <c r="A996" s="64"/>
      <c r="B996" s="64"/>
      <c r="C996" s="64"/>
      <c r="D996" s="6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0202"/>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78"/>
    <col customWidth="1" min="2" max="2" width="22.89"/>
    <col customWidth="1" min="3" max="3" width="16.11"/>
    <col customWidth="1" min="4" max="4" width="11.33"/>
    <col customWidth="1" min="5" max="5" width="11.0"/>
    <col customWidth="1" min="6" max="6" width="7.44"/>
    <col customWidth="1" min="7" max="25" width="9.22"/>
    <col customWidth="1" min="26" max="26" width="11.89"/>
    <col customWidth="1" min="27" max="29" width="8.67"/>
    <col customWidth="1" min="30" max="30" width="11.89"/>
    <col customWidth="1" min="31" max="32" width="8.67"/>
    <col customWidth="1" min="33" max="33" width="24.56"/>
    <col customWidth="1" min="34" max="35" width="21.22"/>
    <col customWidth="1" min="36" max="36" width="9.56"/>
    <col customWidth="1" min="37" max="37" width="20.22"/>
    <col customWidth="1" min="38" max="38" width="22.67"/>
    <col customWidth="1" min="39" max="39" width="23.56"/>
    <col customWidth="1" min="40" max="40" width="8.89"/>
    <col customWidth="1" min="41" max="41" width="5.11"/>
    <col customWidth="1" min="42" max="42" width="5.33"/>
    <col customWidth="1" min="44" max="44" width="22.78"/>
    <col customWidth="1" min="45" max="45" width="10.11"/>
    <col customWidth="1" min="46" max="46" width="4.33"/>
    <col customWidth="1" min="47" max="47" width="27.33"/>
    <col customWidth="1" min="48" max="48" width="21.56"/>
    <col customWidth="1" min="49" max="49" width="8.22"/>
    <col customWidth="1" min="50" max="50" width="16.78"/>
    <col customWidth="1" min="51" max="51" width="5.0"/>
    <col customWidth="1" min="52" max="52" width="15.56"/>
    <col customWidth="1" min="53" max="53" width="16.44"/>
    <col customWidth="1" min="54" max="54" width="22.0"/>
    <col customWidth="1" min="55" max="55" width="21.89"/>
    <col customWidth="1" min="56" max="56" width="10.67"/>
    <col customWidth="1" min="57" max="57" width="22.0"/>
    <col customWidth="1" min="58" max="58" width="23.22"/>
    <col customWidth="1" min="59" max="59" width="8.22"/>
    <col customWidth="1" min="61" max="61" width="25.0"/>
    <col customWidth="1" min="62" max="62" width="16.56"/>
    <col customWidth="1" min="63" max="63" width="8.22"/>
  </cols>
  <sheetData>
    <row r="1" ht="30.0" customHeight="1">
      <c r="A1" s="45" t="s">
        <v>53</v>
      </c>
      <c r="B1" s="45" t="s">
        <v>39</v>
      </c>
      <c r="C1" s="45" t="s">
        <v>54</v>
      </c>
      <c r="D1" s="45" t="s">
        <v>55</v>
      </c>
      <c r="E1" s="45" t="s">
        <v>56</v>
      </c>
      <c r="F1" s="45" t="s">
        <v>57</v>
      </c>
      <c r="G1" s="45" t="s">
        <v>58</v>
      </c>
      <c r="H1" s="45" t="s">
        <v>59</v>
      </c>
      <c r="I1" s="45" t="s">
        <v>60</v>
      </c>
      <c r="J1" s="45" t="s">
        <v>61</v>
      </c>
      <c r="K1" s="45" t="s">
        <v>62</v>
      </c>
      <c r="L1" s="45" t="s">
        <v>63</v>
      </c>
      <c r="M1" s="45" t="s">
        <v>64</v>
      </c>
      <c r="N1" s="45" t="s">
        <v>65</v>
      </c>
      <c r="O1" s="45" t="s">
        <v>66</v>
      </c>
      <c r="P1" s="45" t="s">
        <v>67</v>
      </c>
      <c r="Q1" s="45" t="s">
        <v>68</v>
      </c>
      <c r="R1" s="45" t="s">
        <v>69</v>
      </c>
      <c r="S1" s="45" t="s">
        <v>70</v>
      </c>
      <c r="T1" s="45" t="s">
        <v>71</v>
      </c>
      <c r="U1" s="45" t="s">
        <v>72</v>
      </c>
      <c r="V1" s="45" t="s">
        <v>73</v>
      </c>
      <c r="W1" s="45" t="s">
        <v>74</v>
      </c>
      <c r="X1" s="45" t="s">
        <v>75</v>
      </c>
      <c r="Y1" s="45" t="s">
        <v>76</v>
      </c>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7"/>
      <c r="BB1" s="66"/>
      <c r="BC1" s="66"/>
      <c r="BD1" s="66"/>
      <c r="BE1" s="66"/>
      <c r="BF1" s="66"/>
      <c r="BG1" s="66"/>
      <c r="BH1" s="66"/>
      <c r="BI1" s="66"/>
      <c r="BJ1" s="66"/>
      <c r="BK1" s="66"/>
      <c r="BL1" s="66"/>
      <c r="BM1" s="66"/>
      <c r="BN1" s="66"/>
    </row>
    <row r="2" ht="30.0" customHeight="1">
      <c r="A2" s="49"/>
      <c r="B2" s="68"/>
      <c r="C2" s="49" t="s">
        <v>77</v>
      </c>
      <c r="D2" s="69"/>
      <c r="E2" s="69"/>
      <c r="F2" s="70"/>
      <c r="G2" s="71">
        <f>IFERROR(__xludf.DUMMYFUNCTION("LET(
  monthStart,DATE(VALUE(REGEXEXTRACT(G$1,""\d{4}"")),VALUE(REGEXEXTRACT(G$1,""T(\d+)"")),1),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H2" s="71">
        <f>IFERROR(__xludf.DUMMYFUNCTION("LET(
  monthStart,DATE(VALUE(REGEXEXTRACT(H$1,""\d{4}"")),VALUE(REGEXEXTRACT(H$1,""T(\d+)"")),1),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I2" s="71">
        <f>IFERROR(__xludf.DUMMYFUNCTION("LET(
  monthStart,DATE(VALUE(REGEXEXTRACT(I$1,""\d{4}"")),VALUE(REGEXEXTRACT(I$1,""T(\d+)"")),1),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J2" s="71">
        <f>IFERROR(__xludf.DUMMYFUNCTION("LET(
  monthStart,DATE(VALUE(REGEXEXTRACT(J$1,""\d{4}"")),VALUE(REGEXEXTRACT(J$1,""T(\d+)"")),1),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K2" s="71">
        <f>IFERROR(__xludf.DUMMYFUNCTION("LET(
  monthStart,DATE(VALUE(REGEXEXTRACT(K$1,""\d{4}"")),VALUE(REGEXEXTRACT(K$1,""T(\d+)"")),1),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L2" s="71">
        <f>IFERROR(__xludf.DUMMYFUNCTION("LET(
  monthStart,DATE(VALUE(REGEXEXTRACT(L$1,""\d{4}"")),VALUE(REGEXEXTRACT(L$1,""T(\d+)"")),1),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M2" s="71">
        <f>IFERROR(__xludf.DUMMYFUNCTION("LET(
  monthStart,DATE(VALUE(REGEXEXTRACT(M$1,""\d{4}"")),VALUE(REGEXEXTRACT(M$1,""T(\d+)"")),1),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N2" s="71">
        <f>IFERROR(__xludf.DUMMYFUNCTION("LET(
  monthStart,DATE(VALUE(REGEXEXTRACT(N$1,""\d{4}"")),VALUE(REGEXEXTRACT(N$1,""T(\d+)"")),1),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O2" s="71">
        <f>IFERROR(__xludf.DUMMYFUNCTION("LET(
  monthStart,DATE(VALUE(REGEXEXTRACT(O$1,""\d{4}"")),VALUE(REGEXEXTRACT(O$1,""T(\d+)"")),1),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P2" s="71">
        <f>IFERROR(__xludf.DUMMYFUNCTION("LET(
  monthStart,DATE(VALUE(REGEXEXTRACT(P$1,""\d{4}"")),VALUE(REGEXEXTRACT(P$1,""T(\d+)"")),1),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Q2" s="71">
        <f>IFERROR(__xludf.DUMMYFUNCTION("LET(
  monthStart,DATE(VALUE(REGEXEXTRACT(Q$1,""\d{4}"")),VALUE(REGEXEXTRACT(Q$1,""T(\d+)"")),1),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R2" s="71">
        <f>IFERROR(__xludf.DUMMYFUNCTION("LET(
  monthStart,DATE(VALUE(REGEXEXTRACT(R$1,""\d{4}"")),VALUE(REGEXEXTRACT(R$1,""T(\d+)"")),1),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S2" s="71">
        <f>IFERROR(__xludf.DUMMYFUNCTION("LET(
  monthStart,DATE(VALUE(REGEXEXTRACT(S$1,""\d{4}"")),VALUE(REGEXEXTRACT(S$1,""T(\d+)"")),1),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T2" s="71">
        <f>IFERROR(__xludf.DUMMYFUNCTION("LET(
  monthStart,DATE(VALUE(REGEXEXTRACT(T$1,""\d{4}"")),VALUE(REGEXEXTRACT(T$1,""T(\d+)"")),1),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U2" s="71">
        <f>IFERROR(__xludf.DUMMYFUNCTION("LET(
  monthStart,DATE(VALUE(REGEXEXTRACT(U$1,""\d{4}"")),VALUE(REGEXEXTRACT(U$1,""T(\d+)"")),1),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V2" s="71">
        <f>IFERROR(__xludf.DUMMYFUNCTION("LET(
  monthStart,DATE(VALUE(REGEXEXTRACT(V$1,""\d{4}"")),VALUE(REGEXEXTRACT(V$1,""T(\d+)"")),1),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W2" s="71">
        <f>IFERROR(__xludf.DUMMYFUNCTION("LET(
  monthStart,DATE(VALUE(REGEXEXTRACT(W$1,""\d{4}"")),VALUE(REGEXEXTRACT(W$1,""T(\d+)"")),1),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X2" s="71">
        <f>IFERROR(__xludf.DUMMYFUNCTION("LET(
  monthStart,DATE(VALUE(REGEXEXTRACT(X$1,""\d{4}"")),VALUE(REGEXEXTRACT(X$1,""T(\d+)"")),1),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Y2" s="71">
        <f>IFERROR(__xludf.DUMMYFUNCTION("LET(
  monthStart,DATE(VALUE(REGEXEXTRACT(Y$1,""\d{4}"")),VALUE(REGEXEXTRACT(Y$1,""T(\d+)"")),1),
  monthEnd,EOMONTH(monthStart,0),
  actualStart,MAX($D2,monthStart),
  actualEnd,MIN($E2,monthEnd),
  workingDaysInMonth,NETWORKDAYS(monthStart,monthEnd),
  "&amp;"workingDaysOverlap,IF(actualStart&gt;actualEnd,0,NETWORKDAYS(actualStart,actualEnd)),
  IF(workingDaysOverlap=0,"""",$F2*workingDaysOverlap/workingDaysInMonth)
)"),0.0)</f>
        <v>0</v>
      </c>
      <c r="AJ2" s="64"/>
      <c r="AK2" s="64"/>
      <c r="AO2" s="64"/>
      <c r="AP2" s="64"/>
      <c r="AT2" s="64"/>
      <c r="AX2" s="64"/>
      <c r="AY2" s="64"/>
      <c r="AZ2" s="64"/>
      <c r="BA2" s="72"/>
      <c r="BB2" s="67"/>
      <c r="BC2" s="67"/>
      <c r="BD2" s="66"/>
      <c r="BH2" s="64"/>
      <c r="BL2" s="64"/>
      <c r="BM2" s="64"/>
      <c r="BN2" s="64"/>
    </row>
    <row r="3" ht="30.0" customHeight="1">
      <c r="A3" s="49"/>
      <c r="B3" s="68"/>
      <c r="C3" s="73"/>
      <c r="D3" s="69"/>
      <c r="E3" s="69"/>
      <c r="F3" s="70"/>
      <c r="G3" s="71">
        <f>IFERROR(__xludf.DUMMYFUNCTION("LET(
  monthStart,DATE(VALUE(REGEXEXTRACT(G$1,""\d{4}"")),VALUE(REGEXEXTRACT(G$1,""T(\d+)"")),1),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H3" s="71">
        <f>IFERROR(__xludf.DUMMYFUNCTION("LET(
  monthStart,DATE(VALUE(REGEXEXTRACT(H$1,""\d{4}"")),VALUE(REGEXEXTRACT(H$1,""T(\d+)"")),1),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I3" s="71">
        <f>IFERROR(__xludf.DUMMYFUNCTION("LET(
  monthStart,DATE(VALUE(REGEXEXTRACT(I$1,""\d{4}"")),VALUE(REGEXEXTRACT(I$1,""T(\d+)"")),1),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J3" s="71">
        <f>IFERROR(__xludf.DUMMYFUNCTION("LET(
  monthStart,DATE(VALUE(REGEXEXTRACT(J$1,""\d{4}"")),VALUE(REGEXEXTRACT(J$1,""T(\d+)"")),1),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K3" s="71">
        <f>IFERROR(__xludf.DUMMYFUNCTION("LET(
  monthStart,DATE(VALUE(REGEXEXTRACT(K$1,""\d{4}"")),VALUE(REGEXEXTRACT(K$1,""T(\d+)"")),1),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L3" s="71">
        <f>IFERROR(__xludf.DUMMYFUNCTION("LET(
  monthStart,DATE(VALUE(REGEXEXTRACT(L$1,""\d{4}"")),VALUE(REGEXEXTRACT(L$1,""T(\d+)"")),1),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M3" s="71">
        <f>IFERROR(__xludf.DUMMYFUNCTION("LET(
  monthStart,DATE(VALUE(REGEXEXTRACT(M$1,""\d{4}"")),VALUE(REGEXEXTRACT(M$1,""T(\d+)"")),1),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N3" s="71">
        <f>IFERROR(__xludf.DUMMYFUNCTION("LET(
  monthStart,DATE(VALUE(REGEXEXTRACT(N$1,""\d{4}"")),VALUE(REGEXEXTRACT(N$1,""T(\d+)"")),1),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O3" s="71">
        <f>IFERROR(__xludf.DUMMYFUNCTION("LET(
  monthStart,DATE(VALUE(REGEXEXTRACT(O$1,""\d{4}"")),VALUE(REGEXEXTRACT(O$1,""T(\d+)"")),1),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P3" s="71">
        <f>IFERROR(__xludf.DUMMYFUNCTION("LET(
  monthStart,DATE(VALUE(REGEXEXTRACT(P$1,""\d{4}"")),VALUE(REGEXEXTRACT(P$1,""T(\d+)"")),1),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Q3" s="71">
        <f>IFERROR(__xludf.DUMMYFUNCTION("LET(
  monthStart,DATE(VALUE(REGEXEXTRACT(Q$1,""\d{4}"")),VALUE(REGEXEXTRACT(Q$1,""T(\d+)"")),1),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R3" s="71">
        <f>IFERROR(__xludf.DUMMYFUNCTION("LET(
  monthStart,DATE(VALUE(REGEXEXTRACT(R$1,""\d{4}"")),VALUE(REGEXEXTRACT(R$1,""T(\d+)"")),1),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S3" s="71">
        <f>IFERROR(__xludf.DUMMYFUNCTION("LET(
  monthStart,DATE(VALUE(REGEXEXTRACT(S$1,""\d{4}"")),VALUE(REGEXEXTRACT(S$1,""T(\d+)"")),1),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T3" s="71">
        <f>IFERROR(__xludf.DUMMYFUNCTION("LET(
  monthStart,DATE(VALUE(REGEXEXTRACT(T$1,""\d{4}"")),VALUE(REGEXEXTRACT(T$1,""T(\d+)"")),1),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U3" s="71">
        <f>IFERROR(__xludf.DUMMYFUNCTION("LET(
  monthStart,DATE(VALUE(REGEXEXTRACT(U$1,""\d{4}"")),VALUE(REGEXEXTRACT(U$1,""T(\d+)"")),1),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V3" s="71">
        <f>IFERROR(__xludf.DUMMYFUNCTION("LET(
  monthStart,DATE(VALUE(REGEXEXTRACT(V$1,""\d{4}"")),VALUE(REGEXEXTRACT(V$1,""T(\d+)"")),1),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W3" s="71">
        <f>IFERROR(__xludf.DUMMYFUNCTION("LET(
  monthStart,DATE(VALUE(REGEXEXTRACT(W$1,""\d{4}"")),VALUE(REGEXEXTRACT(W$1,""T(\d+)"")),1),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X3" s="71">
        <f>IFERROR(__xludf.DUMMYFUNCTION("LET(
  monthStart,DATE(VALUE(REGEXEXTRACT(X$1,""\d{4}"")),VALUE(REGEXEXTRACT(X$1,""T(\d+)"")),1),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Y3" s="71">
        <f>IFERROR(__xludf.DUMMYFUNCTION("LET(
  monthStart,DATE(VALUE(REGEXEXTRACT(Y$1,""\d{4}"")),VALUE(REGEXEXTRACT(Y$1,""T(\d+)"")),1),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AJ3" s="64"/>
      <c r="AK3" s="64"/>
      <c r="AO3" s="64"/>
      <c r="AP3" s="64"/>
      <c r="AT3" s="64"/>
      <c r="AX3" s="64"/>
      <c r="AY3" s="64"/>
      <c r="AZ3" s="64"/>
      <c r="BA3" s="72"/>
      <c r="BB3" s="67"/>
      <c r="BC3" s="67"/>
      <c r="BD3" s="66"/>
      <c r="BH3" s="64"/>
      <c r="BL3" s="64"/>
      <c r="BM3" s="64"/>
      <c r="BN3" s="64"/>
    </row>
    <row r="4" ht="30.0" customHeight="1">
      <c r="A4" s="49"/>
      <c r="B4" s="68"/>
      <c r="C4" s="73"/>
      <c r="D4" s="69"/>
      <c r="E4" s="69"/>
      <c r="F4" s="70"/>
      <c r="G4" s="71">
        <f>IFERROR(__xludf.DUMMYFUNCTION("LET(
  monthStart,DATE(VALUE(REGEXEXTRACT(G$1,""\d{4}"")),VALUE(REGEXEXTRACT(G$1,""T(\d+)"")),1),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H4" s="71">
        <f>IFERROR(__xludf.DUMMYFUNCTION("LET(
  monthStart,DATE(VALUE(REGEXEXTRACT(H$1,""\d{4}"")),VALUE(REGEXEXTRACT(H$1,""T(\d+)"")),1),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I4" s="71">
        <f>IFERROR(__xludf.DUMMYFUNCTION("LET(
  monthStart,DATE(VALUE(REGEXEXTRACT(I$1,""\d{4}"")),VALUE(REGEXEXTRACT(I$1,""T(\d+)"")),1),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J4" s="71">
        <f>IFERROR(__xludf.DUMMYFUNCTION("LET(
  monthStart,DATE(VALUE(REGEXEXTRACT(J$1,""\d{4}"")),VALUE(REGEXEXTRACT(J$1,""T(\d+)"")),1),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K4" s="71">
        <f>IFERROR(__xludf.DUMMYFUNCTION("LET(
  monthStart,DATE(VALUE(REGEXEXTRACT(K$1,""\d{4}"")),VALUE(REGEXEXTRACT(K$1,""T(\d+)"")),1),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L4" s="71">
        <f>IFERROR(__xludf.DUMMYFUNCTION("LET(
  monthStart,DATE(VALUE(REGEXEXTRACT(L$1,""\d{4}"")),VALUE(REGEXEXTRACT(L$1,""T(\d+)"")),1),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M4" s="71">
        <f>IFERROR(__xludf.DUMMYFUNCTION("LET(
  monthStart,DATE(VALUE(REGEXEXTRACT(M$1,""\d{4}"")),VALUE(REGEXEXTRACT(M$1,""T(\d+)"")),1),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N4" s="71">
        <f>IFERROR(__xludf.DUMMYFUNCTION("LET(
  monthStart,DATE(VALUE(REGEXEXTRACT(N$1,""\d{4}"")),VALUE(REGEXEXTRACT(N$1,""T(\d+)"")),1),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O4" s="71">
        <f>IFERROR(__xludf.DUMMYFUNCTION("LET(
  monthStart,DATE(VALUE(REGEXEXTRACT(O$1,""\d{4}"")),VALUE(REGEXEXTRACT(O$1,""T(\d+)"")),1),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P4" s="71">
        <f>IFERROR(__xludf.DUMMYFUNCTION("LET(
  monthStart,DATE(VALUE(REGEXEXTRACT(P$1,""\d{4}"")),VALUE(REGEXEXTRACT(P$1,""T(\d+)"")),1),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Q4" s="71">
        <f>IFERROR(__xludf.DUMMYFUNCTION("LET(
  monthStart,DATE(VALUE(REGEXEXTRACT(Q$1,""\d{4}"")),VALUE(REGEXEXTRACT(Q$1,""T(\d+)"")),1),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R4" s="71">
        <f>IFERROR(__xludf.DUMMYFUNCTION("LET(
  monthStart,DATE(VALUE(REGEXEXTRACT(R$1,""\d{4}"")),VALUE(REGEXEXTRACT(R$1,""T(\d+)"")),1),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S4" s="71">
        <f>IFERROR(__xludf.DUMMYFUNCTION("LET(
  monthStart,DATE(VALUE(REGEXEXTRACT(S$1,""\d{4}"")),VALUE(REGEXEXTRACT(S$1,""T(\d+)"")),1),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T4" s="71">
        <f>IFERROR(__xludf.DUMMYFUNCTION("LET(
  monthStart,DATE(VALUE(REGEXEXTRACT(T$1,""\d{4}"")),VALUE(REGEXEXTRACT(T$1,""T(\d+)"")),1),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U4" s="71">
        <f>IFERROR(__xludf.DUMMYFUNCTION("LET(
  monthStart,DATE(VALUE(REGEXEXTRACT(U$1,""\d{4}"")),VALUE(REGEXEXTRACT(U$1,""T(\d+)"")),1),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V4" s="71">
        <f>IFERROR(__xludf.DUMMYFUNCTION("LET(
  monthStart,DATE(VALUE(REGEXEXTRACT(V$1,""\d{4}"")),VALUE(REGEXEXTRACT(V$1,""T(\d+)"")),1),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W4" s="71">
        <f>IFERROR(__xludf.DUMMYFUNCTION("LET(
  monthStart,DATE(VALUE(REGEXEXTRACT(W$1,""\d{4}"")),VALUE(REGEXEXTRACT(W$1,""T(\d+)"")),1),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X4" s="71">
        <f>IFERROR(__xludf.DUMMYFUNCTION("LET(
  monthStart,DATE(VALUE(REGEXEXTRACT(X$1,""\d{4}"")),VALUE(REGEXEXTRACT(X$1,""T(\d+)"")),1),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Y4" s="71">
        <f>IFERROR(__xludf.DUMMYFUNCTION("LET(
  monthStart,DATE(VALUE(REGEXEXTRACT(Y$1,""\d{4}"")),VALUE(REGEXEXTRACT(Y$1,""T(\d+)"")),1),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AJ4" s="64"/>
      <c r="AK4" s="64"/>
      <c r="AO4" s="64"/>
      <c r="AP4" s="64"/>
      <c r="AT4" s="64"/>
      <c r="AX4" s="64"/>
      <c r="AY4" s="64"/>
      <c r="AZ4" s="64"/>
      <c r="BA4" s="72"/>
      <c r="BB4" s="67"/>
      <c r="BC4" s="67"/>
      <c r="BD4" s="66"/>
      <c r="BH4" s="64"/>
      <c r="BL4" s="64"/>
      <c r="BM4" s="64"/>
      <c r="BN4" s="64"/>
    </row>
    <row r="5" ht="30.0" customHeight="1">
      <c r="A5" s="49"/>
      <c r="B5" s="68"/>
      <c r="C5" s="73"/>
      <c r="D5" s="69"/>
      <c r="E5" s="69"/>
      <c r="F5" s="70"/>
      <c r="G5" s="71">
        <f>IFERROR(__xludf.DUMMYFUNCTION("LET(
  monthStart,DATE(VALUE(REGEXEXTRACT(G$1,""\d{4}"")),VALUE(REGEXEXTRACT(G$1,""T(\d+)"")),1),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H5" s="71">
        <f>IFERROR(__xludf.DUMMYFUNCTION("LET(
  monthStart,DATE(VALUE(REGEXEXTRACT(H$1,""\d{4}"")),VALUE(REGEXEXTRACT(H$1,""T(\d+)"")),1),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I5" s="71">
        <f>IFERROR(__xludf.DUMMYFUNCTION("LET(
  monthStart,DATE(VALUE(REGEXEXTRACT(I$1,""\d{4}"")),VALUE(REGEXEXTRACT(I$1,""T(\d+)"")),1),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J5" s="71">
        <f>IFERROR(__xludf.DUMMYFUNCTION("LET(
  monthStart,DATE(VALUE(REGEXEXTRACT(J$1,""\d{4}"")),VALUE(REGEXEXTRACT(J$1,""T(\d+)"")),1),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K5" s="71">
        <f>IFERROR(__xludf.DUMMYFUNCTION("LET(
  monthStart,DATE(VALUE(REGEXEXTRACT(K$1,""\d{4}"")),VALUE(REGEXEXTRACT(K$1,""T(\d+)"")),1),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L5" s="71">
        <f>IFERROR(__xludf.DUMMYFUNCTION("LET(
  monthStart,DATE(VALUE(REGEXEXTRACT(L$1,""\d{4}"")),VALUE(REGEXEXTRACT(L$1,""T(\d+)"")),1),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M5" s="71">
        <f>IFERROR(__xludf.DUMMYFUNCTION("LET(
  monthStart,DATE(VALUE(REGEXEXTRACT(M$1,""\d{4}"")),VALUE(REGEXEXTRACT(M$1,""T(\d+)"")),1),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N5" s="71">
        <f>IFERROR(__xludf.DUMMYFUNCTION("LET(
  monthStart,DATE(VALUE(REGEXEXTRACT(N$1,""\d{4}"")),VALUE(REGEXEXTRACT(N$1,""T(\d+)"")),1),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O5" s="71">
        <f>IFERROR(__xludf.DUMMYFUNCTION("LET(
  monthStart,DATE(VALUE(REGEXEXTRACT(O$1,""\d{4}"")),VALUE(REGEXEXTRACT(O$1,""T(\d+)"")),1),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P5" s="71">
        <f>IFERROR(__xludf.DUMMYFUNCTION("LET(
  monthStart,DATE(VALUE(REGEXEXTRACT(P$1,""\d{4}"")),VALUE(REGEXEXTRACT(P$1,""T(\d+)"")),1),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Q5" s="71">
        <f>IFERROR(__xludf.DUMMYFUNCTION("LET(
  monthStart,DATE(VALUE(REGEXEXTRACT(Q$1,""\d{4}"")),VALUE(REGEXEXTRACT(Q$1,""T(\d+)"")),1),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R5" s="71">
        <f>IFERROR(__xludf.DUMMYFUNCTION("LET(
  monthStart,DATE(VALUE(REGEXEXTRACT(R$1,""\d{4}"")),VALUE(REGEXEXTRACT(R$1,""T(\d+)"")),1),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S5" s="71">
        <f>IFERROR(__xludf.DUMMYFUNCTION("LET(
  monthStart,DATE(VALUE(REGEXEXTRACT(S$1,""\d{4}"")),VALUE(REGEXEXTRACT(S$1,""T(\d+)"")),1),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T5" s="71">
        <f>IFERROR(__xludf.DUMMYFUNCTION("LET(
  monthStart,DATE(VALUE(REGEXEXTRACT(T$1,""\d{4}"")),VALUE(REGEXEXTRACT(T$1,""T(\d+)"")),1),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U5" s="71">
        <f>IFERROR(__xludf.DUMMYFUNCTION("LET(
  monthStart,DATE(VALUE(REGEXEXTRACT(U$1,""\d{4}"")),VALUE(REGEXEXTRACT(U$1,""T(\d+)"")),1),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V5" s="71">
        <f>IFERROR(__xludf.DUMMYFUNCTION("LET(
  monthStart,DATE(VALUE(REGEXEXTRACT(V$1,""\d{4}"")),VALUE(REGEXEXTRACT(V$1,""T(\d+)"")),1),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W5" s="71">
        <f>IFERROR(__xludf.DUMMYFUNCTION("LET(
  monthStart,DATE(VALUE(REGEXEXTRACT(W$1,""\d{4}"")),VALUE(REGEXEXTRACT(W$1,""T(\d+)"")),1),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X5" s="71">
        <f>IFERROR(__xludf.DUMMYFUNCTION("LET(
  monthStart,DATE(VALUE(REGEXEXTRACT(X$1,""\d{4}"")),VALUE(REGEXEXTRACT(X$1,""T(\d+)"")),1),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Y5" s="71">
        <f>IFERROR(__xludf.DUMMYFUNCTION("LET(
  monthStart,DATE(VALUE(REGEXEXTRACT(Y$1,""\d{4}"")),VALUE(REGEXEXTRACT(Y$1,""T(\d+)"")),1),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AJ5" s="64"/>
      <c r="AK5" s="64"/>
      <c r="AO5" s="64"/>
      <c r="AP5" s="64"/>
      <c r="AT5" s="64"/>
      <c r="AX5" s="64"/>
      <c r="AY5" s="64"/>
      <c r="AZ5" s="64"/>
      <c r="BA5" s="72"/>
      <c r="BB5" s="67"/>
      <c r="BC5" s="67"/>
      <c r="BD5" s="66"/>
      <c r="BH5" s="64"/>
      <c r="BL5" s="64"/>
      <c r="BM5" s="64"/>
      <c r="BN5" s="64"/>
    </row>
    <row r="6" ht="30.0" customHeight="1">
      <c r="A6" s="49"/>
      <c r="B6" s="68"/>
      <c r="C6" s="73"/>
      <c r="D6" s="69"/>
      <c r="E6" s="69"/>
      <c r="F6" s="70"/>
      <c r="G6" s="71">
        <f>IFERROR(__xludf.DUMMYFUNCTION("LET(
  monthStart,DATE(VALUE(REGEXEXTRACT(G$1,""\d{4}"")),VALUE(REGEXEXTRACT(G$1,""T(\d+)"")),1),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H6" s="71">
        <f>IFERROR(__xludf.DUMMYFUNCTION("LET(
  monthStart,DATE(VALUE(REGEXEXTRACT(H$1,""\d{4}"")),VALUE(REGEXEXTRACT(H$1,""T(\d+)"")),1),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I6" s="71">
        <f>IFERROR(__xludf.DUMMYFUNCTION("LET(
  monthStart,DATE(VALUE(REGEXEXTRACT(I$1,""\d{4}"")),VALUE(REGEXEXTRACT(I$1,""T(\d+)"")),1),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J6" s="71">
        <f>IFERROR(__xludf.DUMMYFUNCTION("LET(
  monthStart,DATE(VALUE(REGEXEXTRACT(J$1,""\d{4}"")),VALUE(REGEXEXTRACT(J$1,""T(\d+)"")),1),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K6" s="71">
        <f>IFERROR(__xludf.DUMMYFUNCTION("LET(
  monthStart,DATE(VALUE(REGEXEXTRACT(K$1,""\d{4}"")),VALUE(REGEXEXTRACT(K$1,""T(\d+)"")),1),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L6" s="71">
        <f>IFERROR(__xludf.DUMMYFUNCTION("LET(
  monthStart,DATE(VALUE(REGEXEXTRACT(L$1,""\d{4}"")),VALUE(REGEXEXTRACT(L$1,""T(\d+)"")),1),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M6" s="71">
        <f>IFERROR(__xludf.DUMMYFUNCTION("LET(
  monthStart,DATE(VALUE(REGEXEXTRACT(M$1,""\d{4}"")),VALUE(REGEXEXTRACT(M$1,""T(\d+)"")),1),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N6" s="71">
        <f>IFERROR(__xludf.DUMMYFUNCTION("LET(
  monthStart,DATE(VALUE(REGEXEXTRACT(N$1,""\d{4}"")),VALUE(REGEXEXTRACT(N$1,""T(\d+)"")),1),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O6" s="71">
        <f>IFERROR(__xludf.DUMMYFUNCTION("LET(
  monthStart,DATE(VALUE(REGEXEXTRACT(O$1,""\d{4}"")),VALUE(REGEXEXTRACT(O$1,""T(\d+)"")),1),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P6" s="71">
        <f>IFERROR(__xludf.DUMMYFUNCTION("LET(
  monthStart,DATE(VALUE(REGEXEXTRACT(P$1,""\d{4}"")),VALUE(REGEXEXTRACT(P$1,""T(\d+)"")),1),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Q6" s="71">
        <f>IFERROR(__xludf.DUMMYFUNCTION("LET(
  monthStart,DATE(VALUE(REGEXEXTRACT(Q$1,""\d{4}"")),VALUE(REGEXEXTRACT(Q$1,""T(\d+)"")),1),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R6" s="71">
        <f>IFERROR(__xludf.DUMMYFUNCTION("LET(
  monthStart,DATE(VALUE(REGEXEXTRACT(R$1,""\d{4}"")),VALUE(REGEXEXTRACT(R$1,""T(\d+)"")),1),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S6" s="71">
        <f>IFERROR(__xludf.DUMMYFUNCTION("LET(
  monthStart,DATE(VALUE(REGEXEXTRACT(S$1,""\d{4}"")),VALUE(REGEXEXTRACT(S$1,""T(\d+)"")),1),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T6" s="71">
        <f>IFERROR(__xludf.DUMMYFUNCTION("LET(
  monthStart,DATE(VALUE(REGEXEXTRACT(T$1,""\d{4}"")),VALUE(REGEXEXTRACT(T$1,""T(\d+)"")),1),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U6" s="71">
        <f>IFERROR(__xludf.DUMMYFUNCTION("LET(
  monthStart,DATE(VALUE(REGEXEXTRACT(U$1,""\d{4}"")),VALUE(REGEXEXTRACT(U$1,""T(\d+)"")),1),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V6" s="71">
        <f>IFERROR(__xludf.DUMMYFUNCTION("LET(
  monthStart,DATE(VALUE(REGEXEXTRACT(V$1,""\d{4}"")),VALUE(REGEXEXTRACT(V$1,""T(\d+)"")),1),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W6" s="71">
        <f>IFERROR(__xludf.DUMMYFUNCTION("LET(
  monthStart,DATE(VALUE(REGEXEXTRACT(W$1,""\d{4}"")),VALUE(REGEXEXTRACT(W$1,""T(\d+)"")),1),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X6" s="71">
        <f>IFERROR(__xludf.DUMMYFUNCTION("LET(
  monthStart,DATE(VALUE(REGEXEXTRACT(X$1,""\d{4}"")),VALUE(REGEXEXTRACT(X$1,""T(\d+)"")),1),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Y6" s="71">
        <f>IFERROR(__xludf.DUMMYFUNCTION("LET(
  monthStart,DATE(VALUE(REGEXEXTRACT(Y$1,""\d{4}"")),VALUE(REGEXEXTRACT(Y$1,""T(\d+)"")),1),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AJ6" s="64"/>
      <c r="AK6" s="64"/>
      <c r="AO6" s="64"/>
      <c r="AP6" s="64"/>
      <c r="AT6" s="64"/>
      <c r="AX6" s="64"/>
      <c r="AY6" s="64"/>
      <c r="AZ6" s="64"/>
      <c r="BA6" s="72"/>
      <c r="BB6" s="67"/>
      <c r="BC6" s="67"/>
      <c r="BD6" s="66"/>
      <c r="BH6" s="64"/>
      <c r="BL6" s="64"/>
      <c r="BM6" s="64"/>
      <c r="BN6" s="64"/>
    </row>
    <row r="7" ht="30.0" customHeight="1">
      <c r="A7" s="49"/>
      <c r="B7" s="68"/>
      <c r="C7" s="73"/>
      <c r="D7" s="69"/>
      <c r="E7" s="69"/>
      <c r="F7" s="70"/>
      <c r="G7" s="71">
        <f>IFERROR(__xludf.DUMMYFUNCTION("LET(
  monthStart,DATE(VALUE(REGEXEXTRACT(G$1,""\d{4}"")),VALUE(REGEXEXTRACT(G$1,""T(\d+)"")),1),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H7" s="71">
        <f>IFERROR(__xludf.DUMMYFUNCTION("LET(
  monthStart,DATE(VALUE(REGEXEXTRACT(H$1,""\d{4}"")),VALUE(REGEXEXTRACT(H$1,""T(\d+)"")),1),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I7" s="71">
        <f>IFERROR(__xludf.DUMMYFUNCTION("LET(
  monthStart,DATE(VALUE(REGEXEXTRACT(I$1,""\d{4}"")),VALUE(REGEXEXTRACT(I$1,""T(\d+)"")),1),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J7" s="71">
        <f>IFERROR(__xludf.DUMMYFUNCTION("LET(
  monthStart,DATE(VALUE(REGEXEXTRACT(J$1,""\d{4}"")),VALUE(REGEXEXTRACT(J$1,""T(\d+)"")),1),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K7" s="71">
        <f>IFERROR(__xludf.DUMMYFUNCTION("LET(
  monthStart,DATE(VALUE(REGEXEXTRACT(K$1,""\d{4}"")),VALUE(REGEXEXTRACT(K$1,""T(\d+)"")),1),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L7" s="71">
        <f>IFERROR(__xludf.DUMMYFUNCTION("LET(
  monthStart,DATE(VALUE(REGEXEXTRACT(L$1,""\d{4}"")),VALUE(REGEXEXTRACT(L$1,""T(\d+)"")),1),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M7" s="71">
        <f>IFERROR(__xludf.DUMMYFUNCTION("LET(
  monthStart,DATE(VALUE(REGEXEXTRACT(M$1,""\d{4}"")),VALUE(REGEXEXTRACT(M$1,""T(\d+)"")),1),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N7" s="71">
        <f>IFERROR(__xludf.DUMMYFUNCTION("LET(
  monthStart,DATE(VALUE(REGEXEXTRACT(N$1,""\d{4}"")),VALUE(REGEXEXTRACT(N$1,""T(\d+)"")),1),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O7" s="71">
        <f>IFERROR(__xludf.DUMMYFUNCTION("LET(
  monthStart,DATE(VALUE(REGEXEXTRACT(O$1,""\d{4}"")),VALUE(REGEXEXTRACT(O$1,""T(\d+)"")),1),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P7" s="71">
        <f>IFERROR(__xludf.DUMMYFUNCTION("LET(
  monthStart,DATE(VALUE(REGEXEXTRACT(P$1,""\d{4}"")),VALUE(REGEXEXTRACT(P$1,""T(\d+)"")),1),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Q7" s="71">
        <f>IFERROR(__xludf.DUMMYFUNCTION("LET(
  monthStart,DATE(VALUE(REGEXEXTRACT(Q$1,""\d{4}"")),VALUE(REGEXEXTRACT(Q$1,""T(\d+)"")),1),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R7" s="71">
        <f>IFERROR(__xludf.DUMMYFUNCTION("LET(
  monthStart,DATE(VALUE(REGEXEXTRACT(R$1,""\d{4}"")),VALUE(REGEXEXTRACT(R$1,""T(\d+)"")),1),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S7" s="71">
        <f>IFERROR(__xludf.DUMMYFUNCTION("LET(
  monthStart,DATE(VALUE(REGEXEXTRACT(S$1,""\d{4}"")),VALUE(REGEXEXTRACT(S$1,""T(\d+)"")),1),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T7" s="71">
        <f>IFERROR(__xludf.DUMMYFUNCTION("LET(
  monthStart,DATE(VALUE(REGEXEXTRACT(T$1,""\d{4}"")),VALUE(REGEXEXTRACT(T$1,""T(\d+)"")),1),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U7" s="71">
        <f>IFERROR(__xludf.DUMMYFUNCTION("LET(
  monthStart,DATE(VALUE(REGEXEXTRACT(U$1,""\d{4}"")),VALUE(REGEXEXTRACT(U$1,""T(\d+)"")),1),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V7" s="71">
        <f>IFERROR(__xludf.DUMMYFUNCTION("LET(
  monthStart,DATE(VALUE(REGEXEXTRACT(V$1,""\d{4}"")),VALUE(REGEXEXTRACT(V$1,""T(\d+)"")),1),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W7" s="71">
        <f>IFERROR(__xludf.DUMMYFUNCTION("LET(
  monthStart,DATE(VALUE(REGEXEXTRACT(W$1,""\d{4}"")),VALUE(REGEXEXTRACT(W$1,""T(\d+)"")),1),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X7" s="71">
        <f>IFERROR(__xludf.DUMMYFUNCTION("LET(
  monthStart,DATE(VALUE(REGEXEXTRACT(X$1,""\d{4}"")),VALUE(REGEXEXTRACT(X$1,""T(\d+)"")),1),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Y7" s="71">
        <f>IFERROR(__xludf.DUMMYFUNCTION("LET(
  monthStart,DATE(VALUE(REGEXEXTRACT(Y$1,""\d{4}"")),VALUE(REGEXEXTRACT(Y$1,""T(\d+)"")),1),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AJ7" s="64"/>
      <c r="AK7" s="64"/>
      <c r="AO7" s="64"/>
      <c r="AP7" s="64"/>
      <c r="AT7" s="64"/>
      <c r="AX7" s="64"/>
      <c r="AY7" s="64"/>
      <c r="AZ7" s="64"/>
      <c r="BA7" s="72"/>
      <c r="BB7" s="67"/>
      <c r="BC7" s="67"/>
      <c r="BD7" s="66"/>
      <c r="BH7" s="64"/>
      <c r="BL7" s="64"/>
      <c r="BM7" s="64"/>
      <c r="BN7" s="64"/>
    </row>
    <row r="8" ht="30.0" customHeight="1">
      <c r="A8" s="49"/>
      <c r="B8" s="68"/>
      <c r="C8" s="73"/>
      <c r="D8" s="69"/>
      <c r="E8" s="69"/>
      <c r="F8" s="70"/>
      <c r="G8" s="71">
        <f>IFERROR(__xludf.DUMMYFUNCTION("LET(
  monthStart,DATE(VALUE(REGEXEXTRACT(G$1,""\d{4}"")),VALUE(REGEXEXTRACT(G$1,""T(\d+)"")),1),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H8" s="71">
        <f>IFERROR(__xludf.DUMMYFUNCTION("LET(
  monthStart,DATE(VALUE(REGEXEXTRACT(H$1,""\d{4}"")),VALUE(REGEXEXTRACT(H$1,""T(\d+)"")),1),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I8" s="71">
        <f>IFERROR(__xludf.DUMMYFUNCTION("LET(
  monthStart,DATE(VALUE(REGEXEXTRACT(I$1,""\d{4}"")),VALUE(REGEXEXTRACT(I$1,""T(\d+)"")),1),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J8" s="71">
        <f>IFERROR(__xludf.DUMMYFUNCTION("LET(
  monthStart,DATE(VALUE(REGEXEXTRACT(J$1,""\d{4}"")),VALUE(REGEXEXTRACT(J$1,""T(\d+)"")),1),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K8" s="71">
        <f>IFERROR(__xludf.DUMMYFUNCTION("LET(
  monthStart,DATE(VALUE(REGEXEXTRACT(K$1,""\d{4}"")),VALUE(REGEXEXTRACT(K$1,""T(\d+)"")),1),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L8" s="71">
        <f>IFERROR(__xludf.DUMMYFUNCTION("LET(
  monthStart,DATE(VALUE(REGEXEXTRACT(L$1,""\d{4}"")),VALUE(REGEXEXTRACT(L$1,""T(\d+)"")),1),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M8" s="71">
        <f>IFERROR(__xludf.DUMMYFUNCTION("LET(
  monthStart,DATE(VALUE(REGEXEXTRACT(M$1,""\d{4}"")),VALUE(REGEXEXTRACT(M$1,""T(\d+)"")),1),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N8" s="71">
        <f>IFERROR(__xludf.DUMMYFUNCTION("LET(
  monthStart,DATE(VALUE(REGEXEXTRACT(N$1,""\d{4}"")),VALUE(REGEXEXTRACT(N$1,""T(\d+)"")),1),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O8" s="71">
        <f>IFERROR(__xludf.DUMMYFUNCTION("LET(
  monthStart,DATE(VALUE(REGEXEXTRACT(O$1,""\d{4}"")),VALUE(REGEXEXTRACT(O$1,""T(\d+)"")),1),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P8" s="71">
        <f>IFERROR(__xludf.DUMMYFUNCTION("LET(
  monthStart,DATE(VALUE(REGEXEXTRACT(P$1,""\d{4}"")),VALUE(REGEXEXTRACT(P$1,""T(\d+)"")),1),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Q8" s="71">
        <f>IFERROR(__xludf.DUMMYFUNCTION("LET(
  monthStart,DATE(VALUE(REGEXEXTRACT(Q$1,""\d{4}"")),VALUE(REGEXEXTRACT(Q$1,""T(\d+)"")),1),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R8" s="71">
        <f>IFERROR(__xludf.DUMMYFUNCTION("LET(
  monthStart,DATE(VALUE(REGEXEXTRACT(R$1,""\d{4}"")),VALUE(REGEXEXTRACT(R$1,""T(\d+)"")),1),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S8" s="71">
        <f>IFERROR(__xludf.DUMMYFUNCTION("LET(
  monthStart,DATE(VALUE(REGEXEXTRACT(S$1,""\d{4}"")),VALUE(REGEXEXTRACT(S$1,""T(\d+)"")),1),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T8" s="71">
        <f>IFERROR(__xludf.DUMMYFUNCTION("LET(
  monthStart,DATE(VALUE(REGEXEXTRACT(T$1,""\d{4}"")),VALUE(REGEXEXTRACT(T$1,""T(\d+)"")),1),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U8" s="71">
        <f>IFERROR(__xludf.DUMMYFUNCTION("LET(
  monthStart,DATE(VALUE(REGEXEXTRACT(U$1,""\d{4}"")),VALUE(REGEXEXTRACT(U$1,""T(\d+)"")),1),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V8" s="71">
        <f>IFERROR(__xludf.DUMMYFUNCTION("LET(
  monthStart,DATE(VALUE(REGEXEXTRACT(V$1,""\d{4}"")),VALUE(REGEXEXTRACT(V$1,""T(\d+)"")),1),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W8" s="71">
        <f>IFERROR(__xludf.DUMMYFUNCTION("LET(
  monthStart,DATE(VALUE(REGEXEXTRACT(W$1,""\d{4}"")),VALUE(REGEXEXTRACT(W$1,""T(\d+)"")),1),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X8" s="71">
        <f>IFERROR(__xludf.DUMMYFUNCTION("LET(
  monthStart,DATE(VALUE(REGEXEXTRACT(X$1,""\d{4}"")),VALUE(REGEXEXTRACT(X$1,""T(\d+)"")),1),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Y8" s="71">
        <f>IFERROR(__xludf.DUMMYFUNCTION("LET(
  monthStart,DATE(VALUE(REGEXEXTRACT(Y$1,""\d{4}"")),VALUE(REGEXEXTRACT(Y$1,""T(\d+)"")),1),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AJ8" s="64"/>
      <c r="AK8" s="64"/>
      <c r="AO8" s="64"/>
      <c r="AP8" s="64"/>
      <c r="AT8" s="64"/>
      <c r="AX8" s="64"/>
      <c r="AY8" s="64"/>
      <c r="AZ8" s="64"/>
      <c r="BA8" s="72"/>
      <c r="BB8" s="67"/>
      <c r="BC8" s="67"/>
      <c r="BD8" s="66"/>
      <c r="BH8" s="64"/>
      <c r="BL8" s="64"/>
      <c r="BM8" s="64"/>
      <c r="BN8" s="64"/>
    </row>
    <row r="9" ht="30.0" customHeight="1">
      <c r="A9" s="49"/>
      <c r="B9" s="68"/>
      <c r="C9" s="73"/>
      <c r="D9" s="69"/>
      <c r="E9" s="69"/>
      <c r="F9" s="70"/>
      <c r="G9" s="71">
        <f>IFERROR(__xludf.DUMMYFUNCTION("LET(
  monthStart,DATE(VALUE(REGEXEXTRACT(G$1,""\d{4}"")),VALUE(REGEXEXTRACT(G$1,""T(\d+)"")),1),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H9" s="71">
        <f>IFERROR(__xludf.DUMMYFUNCTION("LET(
  monthStart,DATE(VALUE(REGEXEXTRACT(H$1,""\d{4}"")),VALUE(REGEXEXTRACT(H$1,""T(\d+)"")),1),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I9" s="71">
        <f>IFERROR(__xludf.DUMMYFUNCTION("LET(
  monthStart,DATE(VALUE(REGEXEXTRACT(I$1,""\d{4}"")),VALUE(REGEXEXTRACT(I$1,""T(\d+)"")),1),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J9" s="71">
        <f>IFERROR(__xludf.DUMMYFUNCTION("LET(
  monthStart,DATE(VALUE(REGEXEXTRACT(J$1,""\d{4}"")),VALUE(REGEXEXTRACT(J$1,""T(\d+)"")),1),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K9" s="71">
        <f>IFERROR(__xludf.DUMMYFUNCTION("LET(
  monthStart,DATE(VALUE(REGEXEXTRACT(K$1,""\d{4}"")),VALUE(REGEXEXTRACT(K$1,""T(\d+)"")),1),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L9" s="71">
        <f>IFERROR(__xludf.DUMMYFUNCTION("LET(
  monthStart,DATE(VALUE(REGEXEXTRACT(L$1,""\d{4}"")),VALUE(REGEXEXTRACT(L$1,""T(\d+)"")),1),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M9" s="71">
        <f>IFERROR(__xludf.DUMMYFUNCTION("LET(
  monthStart,DATE(VALUE(REGEXEXTRACT(M$1,""\d{4}"")),VALUE(REGEXEXTRACT(M$1,""T(\d+)"")),1),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N9" s="71">
        <f>IFERROR(__xludf.DUMMYFUNCTION("LET(
  monthStart,DATE(VALUE(REGEXEXTRACT(N$1,""\d{4}"")),VALUE(REGEXEXTRACT(N$1,""T(\d+)"")),1),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O9" s="71">
        <f>IFERROR(__xludf.DUMMYFUNCTION("LET(
  monthStart,DATE(VALUE(REGEXEXTRACT(O$1,""\d{4}"")),VALUE(REGEXEXTRACT(O$1,""T(\d+)"")),1),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P9" s="71">
        <f>IFERROR(__xludf.DUMMYFUNCTION("LET(
  monthStart,DATE(VALUE(REGEXEXTRACT(P$1,""\d{4}"")),VALUE(REGEXEXTRACT(P$1,""T(\d+)"")),1),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Q9" s="71">
        <f>IFERROR(__xludf.DUMMYFUNCTION("LET(
  monthStart,DATE(VALUE(REGEXEXTRACT(Q$1,""\d{4}"")),VALUE(REGEXEXTRACT(Q$1,""T(\d+)"")),1),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R9" s="71">
        <f>IFERROR(__xludf.DUMMYFUNCTION("LET(
  monthStart,DATE(VALUE(REGEXEXTRACT(R$1,""\d{4}"")),VALUE(REGEXEXTRACT(R$1,""T(\d+)"")),1),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S9" s="71">
        <f>IFERROR(__xludf.DUMMYFUNCTION("LET(
  monthStart,DATE(VALUE(REGEXEXTRACT(S$1,""\d{4}"")),VALUE(REGEXEXTRACT(S$1,""T(\d+)"")),1),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T9" s="71">
        <f>IFERROR(__xludf.DUMMYFUNCTION("LET(
  monthStart,DATE(VALUE(REGEXEXTRACT(T$1,""\d{4}"")),VALUE(REGEXEXTRACT(T$1,""T(\d+)"")),1),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U9" s="71">
        <f>IFERROR(__xludf.DUMMYFUNCTION("LET(
  monthStart,DATE(VALUE(REGEXEXTRACT(U$1,""\d{4}"")),VALUE(REGEXEXTRACT(U$1,""T(\d+)"")),1),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V9" s="71">
        <f>IFERROR(__xludf.DUMMYFUNCTION("LET(
  monthStart,DATE(VALUE(REGEXEXTRACT(V$1,""\d{4}"")),VALUE(REGEXEXTRACT(V$1,""T(\d+)"")),1),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W9" s="71">
        <f>IFERROR(__xludf.DUMMYFUNCTION("LET(
  monthStart,DATE(VALUE(REGEXEXTRACT(W$1,""\d{4}"")),VALUE(REGEXEXTRACT(W$1,""T(\d+)"")),1),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X9" s="71">
        <f>IFERROR(__xludf.DUMMYFUNCTION("LET(
  monthStart,DATE(VALUE(REGEXEXTRACT(X$1,""\d{4}"")),VALUE(REGEXEXTRACT(X$1,""T(\d+)"")),1),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Y9" s="71">
        <f>IFERROR(__xludf.DUMMYFUNCTION("LET(
  monthStart,DATE(VALUE(REGEXEXTRACT(Y$1,""\d{4}"")),VALUE(REGEXEXTRACT(Y$1,""T(\d+)"")),1),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AJ9" s="64"/>
      <c r="AK9" s="64"/>
      <c r="AO9" s="64"/>
      <c r="AP9" s="64"/>
      <c r="AT9" s="64"/>
      <c r="AX9" s="64"/>
      <c r="AY9" s="64"/>
      <c r="AZ9" s="64"/>
      <c r="BA9" s="72"/>
      <c r="BB9" s="67"/>
      <c r="BC9" s="67"/>
      <c r="BD9" s="66"/>
      <c r="BH9" s="64"/>
      <c r="BL9" s="64"/>
      <c r="BM9" s="64"/>
      <c r="BN9" s="64"/>
    </row>
    <row r="10" ht="30.0" customHeight="1">
      <c r="A10" s="49"/>
      <c r="B10" s="68"/>
      <c r="C10" s="73"/>
      <c r="D10" s="69"/>
      <c r="E10" s="69"/>
      <c r="F10" s="70"/>
      <c r="G10" s="71">
        <f>IFERROR(__xludf.DUMMYFUNCTION("LET(
  monthStart,DATE(VALUE(REGEXEXTRACT(G$1,""\d{4}"")),VALUE(REGEXEXTRACT(G$1,""T(\d+)"")),1),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H10" s="71">
        <f>IFERROR(__xludf.DUMMYFUNCTION("LET(
  monthStart,DATE(VALUE(REGEXEXTRACT(H$1,""\d{4}"")),VALUE(REGEXEXTRACT(H$1,""T(\d+)"")),1),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I10" s="71">
        <f>IFERROR(__xludf.DUMMYFUNCTION("LET(
  monthStart,DATE(VALUE(REGEXEXTRACT(I$1,""\d{4}"")),VALUE(REGEXEXTRACT(I$1,""T(\d+)"")),1),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J10" s="71">
        <f>IFERROR(__xludf.DUMMYFUNCTION("LET(
  monthStart,DATE(VALUE(REGEXEXTRACT(J$1,""\d{4}"")),VALUE(REGEXEXTRACT(J$1,""T(\d+)"")),1),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K10" s="71">
        <f>IFERROR(__xludf.DUMMYFUNCTION("LET(
  monthStart,DATE(VALUE(REGEXEXTRACT(K$1,""\d{4}"")),VALUE(REGEXEXTRACT(K$1,""T(\d+)"")),1),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L10" s="71">
        <f>IFERROR(__xludf.DUMMYFUNCTION("LET(
  monthStart,DATE(VALUE(REGEXEXTRACT(L$1,""\d{4}"")),VALUE(REGEXEXTRACT(L$1,""T(\d+)"")),1),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M10" s="71">
        <f>IFERROR(__xludf.DUMMYFUNCTION("LET(
  monthStart,DATE(VALUE(REGEXEXTRACT(M$1,""\d{4}"")),VALUE(REGEXEXTRACT(M$1,""T(\d+)"")),1),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N10" s="71">
        <f>IFERROR(__xludf.DUMMYFUNCTION("LET(
  monthStart,DATE(VALUE(REGEXEXTRACT(N$1,""\d{4}"")),VALUE(REGEXEXTRACT(N$1,""T(\d+)"")),1),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O10" s="71">
        <f>IFERROR(__xludf.DUMMYFUNCTION("LET(
  monthStart,DATE(VALUE(REGEXEXTRACT(O$1,""\d{4}"")),VALUE(REGEXEXTRACT(O$1,""T(\d+)"")),1),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P10" s="71">
        <f>IFERROR(__xludf.DUMMYFUNCTION("LET(
  monthStart,DATE(VALUE(REGEXEXTRACT(P$1,""\d{4}"")),VALUE(REGEXEXTRACT(P$1,""T(\d+)"")),1),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Q10" s="71">
        <f>IFERROR(__xludf.DUMMYFUNCTION("LET(
  monthStart,DATE(VALUE(REGEXEXTRACT(Q$1,""\d{4}"")),VALUE(REGEXEXTRACT(Q$1,""T(\d+)"")),1),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R10" s="71">
        <f>IFERROR(__xludf.DUMMYFUNCTION("LET(
  monthStart,DATE(VALUE(REGEXEXTRACT(R$1,""\d{4}"")),VALUE(REGEXEXTRACT(R$1,""T(\d+)"")),1),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S10" s="71">
        <f>IFERROR(__xludf.DUMMYFUNCTION("LET(
  monthStart,DATE(VALUE(REGEXEXTRACT(S$1,""\d{4}"")),VALUE(REGEXEXTRACT(S$1,""T(\d+)"")),1),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T10" s="71">
        <f>IFERROR(__xludf.DUMMYFUNCTION("LET(
  monthStart,DATE(VALUE(REGEXEXTRACT(T$1,""\d{4}"")),VALUE(REGEXEXTRACT(T$1,""T(\d+)"")),1),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U10" s="71">
        <f>IFERROR(__xludf.DUMMYFUNCTION("LET(
  monthStart,DATE(VALUE(REGEXEXTRACT(U$1,""\d{4}"")),VALUE(REGEXEXTRACT(U$1,""T(\d+)"")),1),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V10" s="71">
        <f>IFERROR(__xludf.DUMMYFUNCTION("LET(
  monthStart,DATE(VALUE(REGEXEXTRACT(V$1,""\d{4}"")),VALUE(REGEXEXTRACT(V$1,""T(\d+)"")),1),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W10" s="71">
        <f>IFERROR(__xludf.DUMMYFUNCTION("LET(
  monthStart,DATE(VALUE(REGEXEXTRACT(W$1,""\d{4}"")),VALUE(REGEXEXTRACT(W$1,""T(\d+)"")),1),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X10" s="71">
        <f>IFERROR(__xludf.DUMMYFUNCTION("LET(
  monthStart,DATE(VALUE(REGEXEXTRACT(X$1,""\d{4}"")),VALUE(REGEXEXTRACT(X$1,""T(\d+)"")),1),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Y10" s="71">
        <f>IFERROR(__xludf.DUMMYFUNCTION("LET(
  monthStart,DATE(VALUE(REGEXEXTRACT(Y$1,""\d{4}"")),VALUE(REGEXEXTRACT(Y$1,""T(\d+)"")),1),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AJ10" s="64"/>
      <c r="AK10" s="64"/>
      <c r="AO10" s="64"/>
      <c r="AP10" s="64"/>
      <c r="AT10" s="64"/>
      <c r="AX10" s="64"/>
      <c r="AY10" s="64"/>
      <c r="AZ10" s="64"/>
      <c r="BA10" s="72"/>
      <c r="BB10" s="67"/>
      <c r="BC10" s="67"/>
      <c r="BD10" s="66"/>
      <c r="BH10" s="64"/>
      <c r="BL10" s="64"/>
      <c r="BM10" s="64"/>
      <c r="BN10" s="64"/>
    </row>
    <row r="11" ht="30.0" customHeight="1">
      <c r="A11" s="49"/>
      <c r="B11" s="68"/>
      <c r="C11" s="73"/>
      <c r="D11" s="69"/>
      <c r="E11" s="69"/>
      <c r="F11" s="70"/>
      <c r="G11" s="71">
        <f>IFERROR(__xludf.DUMMYFUNCTION("LET(
  monthStart,DATE(VALUE(REGEXEXTRACT(G$1,""\d{4}"")),VALUE(REGEXEXTRACT(G$1,""T(\d+)"")),1),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H11" s="71">
        <f>IFERROR(__xludf.DUMMYFUNCTION("LET(
  monthStart,DATE(VALUE(REGEXEXTRACT(H$1,""\d{4}"")),VALUE(REGEXEXTRACT(H$1,""T(\d+)"")),1),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I11" s="71">
        <f>IFERROR(__xludf.DUMMYFUNCTION("LET(
  monthStart,DATE(VALUE(REGEXEXTRACT(I$1,""\d{4}"")),VALUE(REGEXEXTRACT(I$1,""T(\d+)"")),1),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J11" s="71">
        <f>IFERROR(__xludf.DUMMYFUNCTION("LET(
  monthStart,DATE(VALUE(REGEXEXTRACT(J$1,""\d{4}"")),VALUE(REGEXEXTRACT(J$1,""T(\d+)"")),1),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K11" s="71">
        <f>IFERROR(__xludf.DUMMYFUNCTION("LET(
  monthStart,DATE(VALUE(REGEXEXTRACT(K$1,""\d{4}"")),VALUE(REGEXEXTRACT(K$1,""T(\d+)"")),1),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L11" s="71">
        <f>IFERROR(__xludf.DUMMYFUNCTION("LET(
  monthStart,DATE(VALUE(REGEXEXTRACT(L$1,""\d{4}"")),VALUE(REGEXEXTRACT(L$1,""T(\d+)"")),1),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M11" s="71">
        <f>IFERROR(__xludf.DUMMYFUNCTION("LET(
  monthStart,DATE(VALUE(REGEXEXTRACT(M$1,""\d{4}"")),VALUE(REGEXEXTRACT(M$1,""T(\d+)"")),1),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N11" s="71">
        <f>IFERROR(__xludf.DUMMYFUNCTION("LET(
  monthStart,DATE(VALUE(REGEXEXTRACT(N$1,""\d{4}"")),VALUE(REGEXEXTRACT(N$1,""T(\d+)"")),1),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O11" s="71">
        <f>IFERROR(__xludf.DUMMYFUNCTION("LET(
  monthStart,DATE(VALUE(REGEXEXTRACT(O$1,""\d{4}"")),VALUE(REGEXEXTRACT(O$1,""T(\d+)"")),1),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P11" s="71">
        <f>IFERROR(__xludf.DUMMYFUNCTION("LET(
  monthStart,DATE(VALUE(REGEXEXTRACT(P$1,""\d{4}"")),VALUE(REGEXEXTRACT(P$1,""T(\d+)"")),1),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Q11" s="71">
        <f>IFERROR(__xludf.DUMMYFUNCTION("LET(
  monthStart,DATE(VALUE(REGEXEXTRACT(Q$1,""\d{4}"")),VALUE(REGEXEXTRACT(Q$1,""T(\d+)"")),1),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R11" s="71">
        <f>IFERROR(__xludf.DUMMYFUNCTION("LET(
  monthStart,DATE(VALUE(REGEXEXTRACT(R$1,""\d{4}"")),VALUE(REGEXEXTRACT(R$1,""T(\d+)"")),1),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S11" s="71">
        <f>IFERROR(__xludf.DUMMYFUNCTION("LET(
  monthStart,DATE(VALUE(REGEXEXTRACT(S$1,""\d{4}"")),VALUE(REGEXEXTRACT(S$1,""T(\d+)"")),1),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T11" s="71">
        <f>IFERROR(__xludf.DUMMYFUNCTION("LET(
  monthStart,DATE(VALUE(REGEXEXTRACT(T$1,""\d{4}"")),VALUE(REGEXEXTRACT(T$1,""T(\d+)"")),1),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U11" s="71">
        <f>IFERROR(__xludf.DUMMYFUNCTION("LET(
  monthStart,DATE(VALUE(REGEXEXTRACT(U$1,""\d{4}"")),VALUE(REGEXEXTRACT(U$1,""T(\d+)"")),1),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V11" s="71">
        <f>IFERROR(__xludf.DUMMYFUNCTION("LET(
  monthStart,DATE(VALUE(REGEXEXTRACT(V$1,""\d{4}"")),VALUE(REGEXEXTRACT(V$1,""T(\d+)"")),1),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W11" s="71">
        <f>IFERROR(__xludf.DUMMYFUNCTION("LET(
  monthStart,DATE(VALUE(REGEXEXTRACT(W$1,""\d{4}"")),VALUE(REGEXEXTRACT(W$1,""T(\d+)"")),1),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X11" s="71">
        <f>IFERROR(__xludf.DUMMYFUNCTION("LET(
  monthStart,DATE(VALUE(REGEXEXTRACT(X$1,""\d{4}"")),VALUE(REGEXEXTRACT(X$1,""T(\d+)"")),1),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Y11" s="71">
        <f>IFERROR(__xludf.DUMMYFUNCTION("LET(
  monthStart,DATE(VALUE(REGEXEXTRACT(Y$1,""\d{4}"")),VALUE(REGEXEXTRACT(Y$1,""T(\d+)"")),1),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AJ11" s="64"/>
      <c r="AK11" s="64"/>
      <c r="AO11" s="64"/>
      <c r="AP11" s="64"/>
      <c r="AT11" s="64"/>
      <c r="AX11" s="64"/>
      <c r="AY11" s="64"/>
      <c r="AZ11" s="64"/>
      <c r="BA11" s="72"/>
      <c r="BB11" s="67"/>
      <c r="BC11" s="67"/>
      <c r="BD11" s="66"/>
      <c r="BH11" s="64"/>
      <c r="BL11" s="64"/>
      <c r="BM11" s="64"/>
      <c r="BN11" s="64"/>
    </row>
    <row r="12" ht="30.0" customHeight="1">
      <c r="A12" s="49"/>
      <c r="B12" s="68"/>
      <c r="C12" s="73"/>
      <c r="D12" s="69"/>
      <c r="E12" s="69"/>
      <c r="F12" s="70"/>
      <c r="G12" s="71">
        <f>IFERROR(__xludf.DUMMYFUNCTION("LET(
  monthStart,DATE(VALUE(REGEXEXTRACT(G$1,""\d{4}"")),VALUE(REGEXEXTRACT(G$1,""T(\d+)"")),1),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H12" s="71">
        <f>IFERROR(__xludf.DUMMYFUNCTION("LET(
  monthStart,DATE(VALUE(REGEXEXTRACT(H$1,""\d{4}"")),VALUE(REGEXEXTRACT(H$1,""T(\d+)"")),1),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I12" s="71">
        <f>IFERROR(__xludf.DUMMYFUNCTION("LET(
  monthStart,DATE(VALUE(REGEXEXTRACT(I$1,""\d{4}"")),VALUE(REGEXEXTRACT(I$1,""T(\d+)"")),1),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J12" s="71">
        <f>IFERROR(__xludf.DUMMYFUNCTION("LET(
  monthStart,DATE(VALUE(REGEXEXTRACT(J$1,""\d{4}"")),VALUE(REGEXEXTRACT(J$1,""T(\d+)"")),1),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K12" s="71">
        <f>IFERROR(__xludf.DUMMYFUNCTION("LET(
  monthStart,DATE(VALUE(REGEXEXTRACT(K$1,""\d{4}"")),VALUE(REGEXEXTRACT(K$1,""T(\d+)"")),1),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L12" s="71">
        <f>IFERROR(__xludf.DUMMYFUNCTION("LET(
  monthStart,DATE(VALUE(REGEXEXTRACT(L$1,""\d{4}"")),VALUE(REGEXEXTRACT(L$1,""T(\d+)"")),1),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M12" s="71">
        <f>IFERROR(__xludf.DUMMYFUNCTION("LET(
  monthStart,DATE(VALUE(REGEXEXTRACT(M$1,""\d{4}"")),VALUE(REGEXEXTRACT(M$1,""T(\d+)"")),1),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N12" s="71">
        <f>IFERROR(__xludf.DUMMYFUNCTION("LET(
  monthStart,DATE(VALUE(REGEXEXTRACT(N$1,""\d{4}"")),VALUE(REGEXEXTRACT(N$1,""T(\d+)"")),1),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O12" s="71">
        <f>IFERROR(__xludf.DUMMYFUNCTION("LET(
  monthStart,DATE(VALUE(REGEXEXTRACT(O$1,""\d{4}"")),VALUE(REGEXEXTRACT(O$1,""T(\d+)"")),1),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P12" s="71">
        <f>IFERROR(__xludf.DUMMYFUNCTION("LET(
  monthStart,DATE(VALUE(REGEXEXTRACT(P$1,""\d{4}"")),VALUE(REGEXEXTRACT(P$1,""T(\d+)"")),1),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Q12" s="71">
        <f>IFERROR(__xludf.DUMMYFUNCTION("LET(
  monthStart,DATE(VALUE(REGEXEXTRACT(Q$1,""\d{4}"")),VALUE(REGEXEXTRACT(Q$1,""T(\d+)"")),1),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R12" s="71">
        <f>IFERROR(__xludf.DUMMYFUNCTION("LET(
  monthStart,DATE(VALUE(REGEXEXTRACT(R$1,""\d{4}"")),VALUE(REGEXEXTRACT(R$1,""T(\d+)"")),1),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S12" s="71">
        <f>IFERROR(__xludf.DUMMYFUNCTION("LET(
  monthStart,DATE(VALUE(REGEXEXTRACT(S$1,""\d{4}"")),VALUE(REGEXEXTRACT(S$1,""T(\d+)"")),1),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T12" s="71">
        <f>IFERROR(__xludf.DUMMYFUNCTION("LET(
  monthStart,DATE(VALUE(REGEXEXTRACT(T$1,""\d{4}"")),VALUE(REGEXEXTRACT(T$1,""T(\d+)"")),1),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U12" s="71">
        <f>IFERROR(__xludf.DUMMYFUNCTION("LET(
  monthStart,DATE(VALUE(REGEXEXTRACT(U$1,""\d{4}"")),VALUE(REGEXEXTRACT(U$1,""T(\d+)"")),1),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V12" s="71">
        <f>IFERROR(__xludf.DUMMYFUNCTION("LET(
  monthStart,DATE(VALUE(REGEXEXTRACT(V$1,""\d{4}"")),VALUE(REGEXEXTRACT(V$1,""T(\d+)"")),1),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W12" s="71">
        <f>IFERROR(__xludf.DUMMYFUNCTION("LET(
  monthStart,DATE(VALUE(REGEXEXTRACT(W$1,""\d{4}"")),VALUE(REGEXEXTRACT(W$1,""T(\d+)"")),1),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X12" s="71">
        <f>IFERROR(__xludf.DUMMYFUNCTION("LET(
  monthStart,DATE(VALUE(REGEXEXTRACT(X$1,""\d{4}"")),VALUE(REGEXEXTRACT(X$1,""T(\d+)"")),1),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Y12" s="71">
        <f>IFERROR(__xludf.DUMMYFUNCTION("LET(
  monthStart,DATE(VALUE(REGEXEXTRACT(Y$1,""\d{4}"")),VALUE(REGEXEXTRACT(Y$1,""T(\d+)"")),1),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AJ12" s="64"/>
      <c r="AK12" s="64"/>
      <c r="AO12" s="64"/>
      <c r="AP12" s="64"/>
      <c r="AT12" s="64"/>
      <c r="AX12" s="64"/>
      <c r="AY12" s="64"/>
      <c r="AZ12" s="64"/>
      <c r="BA12" s="72"/>
      <c r="BB12" s="67"/>
      <c r="BC12" s="67"/>
      <c r="BD12" s="66"/>
      <c r="BH12" s="64"/>
      <c r="BL12" s="64"/>
      <c r="BM12" s="64"/>
      <c r="BN12" s="64"/>
    </row>
    <row r="13" ht="30.0" customHeight="1">
      <c r="A13" s="49"/>
      <c r="B13" s="68"/>
      <c r="C13" s="73"/>
      <c r="D13" s="69"/>
      <c r="E13" s="69"/>
      <c r="F13" s="70"/>
      <c r="G13" s="71">
        <f>IFERROR(__xludf.DUMMYFUNCTION("LET(
  monthStart,DATE(VALUE(REGEXEXTRACT(G$1,""\d{4}"")),VALUE(REGEXEXTRACT(G$1,""T(\d+)"")),1),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H13" s="71">
        <f>IFERROR(__xludf.DUMMYFUNCTION("LET(
  monthStart,DATE(VALUE(REGEXEXTRACT(H$1,""\d{4}"")),VALUE(REGEXEXTRACT(H$1,""T(\d+)"")),1),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I13" s="71">
        <f>IFERROR(__xludf.DUMMYFUNCTION("LET(
  monthStart,DATE(VALUE(REGEXEXTRACT(I$1,""\d{4}"")),VALUE(REGEXEXTRACT(I$1,""T(\d+)"")),1),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J13" s="71">
        <f>IFERROR(__xludf.DUMMYFUNCTION("LET(
  monthStart,DATE(VALUE(REGEXEXTRACT(J$1,""\d{4}"")),VALUE(REGEXEXTRACT(J$1,""T(\d+)"")),1),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K13" s="71">
        <f>IFERROR(__xludf.DUMMYFUNCTION("LET(
  monthStart,DATE(VALUE(REGEXEXTRACT(K$1,""\d{4}"")),VALUE(REGEXEXTRACT(K$1,""T(\d+)"")),1),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L13" s="71">
        <f>IFERROR(__xludf.DUMMYFUNCTION("LET(
  monthStart,DATE(VALUE(REGEXEXTRACT(L$1,""\d{4}"")),VALUE(REGEXEXTRACT(L$1,""T(\d+)"")),1),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M13" s="71">
        <f>IFERROR(__xludf.DUMMYFUNCTION("LET(
  monthStart,DATE(VALUE(REGEXEXTRACT(M$1,""\d{4}"")),VALUE(REGEXEXTRACT(M$1,""T(\d+)"")),1),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N13" s="71">
        <f>IFERROR(__xludf.DUMMYFUNCTION("LET(
  monthStart,DATE(VALUE(REGEXEXTRACT(N$1,""\d{4}"")),VALUE(REGEXEXTRACT(N$1,""T(\d+)"")),1),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O13" s="71">
        <f>IFERROR(__xludf.DUMMYFUNCTION("LET(
  monthStart,DATE(VALUE(REGEXEXTRACT(O$1,""\d{4}"")),VALUE(REGEXEXTRACT(O$1,""T(\d+)"")),1),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P13" s="71">
        <f>IFERROR(__xludf.DUMMYFUNCTION("LET(
  monthStart,DATE(VALUE(REGEXEXTRACT(P$1,""\d{4}"")),VALUE(REGEXEXTRACT(P$1,""T(\d+)"")),1),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Q13" s="71">
        <f>IFERROR(__xludf.DUMMYFUNCTION("LET(
  monthStart,DATE(VALUE(REGEXEXTRACT(Q$1,""\d{4}"")),VALUE(REGEXEXTRACT(Q$1,""T(\d+)"")),1),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R13" s="71">
        <f>IFERROR(__xludf.DUMMYFUNCTION("LET(
  monthStart,DATE(VALUE(REGEXEXTRACT(R$1,""\d{4}"")),VALUE(REGEXEXTRACT(R$1,""T(\d+)"")),1),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S13" s="71">
        <f>IFERROR(__xludf.DUMMYFUNCTION("LET(
  monthStart,DATE(VALUE(REGEXEXTRACT(S$1,""\d{4}"")),VALUE(REGEXEXTRACT(S$1,""T(\d+)"")),1),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T13" s="71">
        <f>IFERROR(__xludf.DUMMYFUNCTION("LET(
  monthStart,DATE(VALUE(REGEXEXTRACT(T$1,""\d{4}"")),VALUE(REGEXEXTRACT(T$1,""T(\d+)"")),1),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U13" s="71">
        <f>IFERROR(__xludf.DUMMYFUNCTION("LET(
  monthStart,DATE(VALUE(REGEXEXTRACT(U$1,""\d{4}"")),VALUE(REGEXEXTRACT(U$1,""T(\d+)"")),1),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V13" s="71">
        <f>IFERROR(__xludf.DUMMYFUNCTION("LET(
  monthStart,DATE(VALUE(REGEXEXTRACT(V$1,""\d{4}"")),VALUE(REGEXEXTRACT(V$1,""T(\d+)"")),1),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W13" s="71">
        <f>IFERROR(__xludf.DUMMYFUNCTION("LET(
  monthStart,DATE(VALUE(REGEXEXTRACT(W$1,""\d{4}"")),VALUE(REGEXEXTRACT(W$1,""T(\d+)"")),1),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X13" s="71">
        <f>IFERROR(__xludf.DUMMYFUNCTION("LET(
  monthStart,DATE(VALUE(REGEXEXTRACT(X$1,""\d{4}"")),VALUE(REGEXEXTRACT(X$1,""T(\d+)"")),1),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Y13" s="71">
        <f>IFERROR(__xludf.DUMMYFUNCTION("LET(
  monthStart,DATE(VALUE(REGEXEXTRACT(Y$1,""\d{4}"")),VALUE(REGEXEXTRACT(Y$1,""T(\d+)"")),1),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AJ13" s="64"/>
      <c r="AK13" s="64"/>
      <c r="AO13" s="64"/>
      <c r="AP13" s="64"/>
      <c r="AT13" s="64"/>
      <c r="AX13" s="64"/>
      <c r="AY13" s="64"/>
      <c r="AZ13" s="64"/>
      <c r="BA13" s="72"/>
      <c r="BB13" s="67"/>
      <c r="BC13" s="67"/>
      <c r="BD13" s="66"/>
      <c r="BH13" s="64"/>
      <c r="BL13" s="64"/>
      <c r="BM13" s="64"/>
      <c r="BN13" s="64"/>
    </row>
    <row r="14" ht="30.0" customHeight="1">
      <c r="A14" s="49"/>
      <c r="B14" s="68"/>
      <c r="C14" s="73"/>
      <c r="D14" s="69"/>
      <c r="E14" s="69"/>
      <c r="F14" s="70"/>
      <c r="G14" s="71">
        <f>IFERROR(__xludf.DUMMYFUNCTION("LET(
  monthStart,DATE(VALUE(REGEXEXTRACT(G$1,""\d{4}"")),VALUE(REGEXEXTRACT(G$1,""T(\d+)"")),1),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H14" s="71">
        <f>IFERROR(__xludf.DUMMYFUNCTION("LET(
  monthStart,DATE(VALUE(REGEXEXTRACT(H$1,""\d{4}"")),VALUE(REGEXEXTRACT(H$1,""T(\d+)"")),1),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I14" s="71">
        <f>IFERROR(__xludf.DUMMYFUNCTION("LET(
  monthStart,DATE(VALUE(REGEXEXTRACT(I$1,""\d{4}"")),VALUE(REGEXEXTRACT(I$1,""T(\d+)"")),1),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J14" s="71">
        <f>IFERROR(__xludf.DUMMYFUNCTION("LET(
  monthStart,DATE(VALUE(REGEXEXTRACT(J$1,""\d{4}"")),VALUE(REGEXEXTRACT(J$1,""T(\d+)"")),1),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K14" s="71">
        <f>IFERROR(__xludf.DUMMYFUNCTION("LET(
  monthStart,DATE(VALUE(REGEXEXTRACT(K$1,""\d{4}"")),VALUE(REGEXEXTRACT(K$1,""T(\d+)"")),1),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L14" s="71">
        <f>IFERROR(__xludf.DUMMYFUNCTION("LET(
  monthStart,DATE(VALUE(REGEXEXTRACT(L$1,""\d{4}"")),VALUE(REGEXEXTRACT(L$1,""T(\d+)"")),1),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M14" s="71">
        <f>IFERROR(__xludf.DUMMYFUNCTION("LET(
  monthStart,DATE(VALUE(REGEXEXTRACT(M$1,""\d{4}"")),VALUE(REGEXEXTRACT(M$1,""T(\d+)"")),1),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N14" s="71">
        <f>IFERROR(__xludf.DUMMYFUNCTION("LET(
  monthStart,DATE(VALUE(REGEXEXTRACT(N$1,""\d{4}"")),VALUE(REGEXEXTRACT(N$1,""T(\d+)"")),1),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O14" s="71">
        <f>IFERROR(__xludf.DUMMYFUNCTION("LET(
  monthStart,DATE(VALUE(REGEXEXTRACT(O$1,""\d{4}"")),VALUE(REGEXEXTRACT(O$1,""T(\d+)"")),1),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P14" s="71">
        <f>IFERROR(__xludf.DUMMYFUNCTION("LET(
  monthStart,DATE(VALUE(REGEXEXTRACT(P$1,""\d{4}"")),VALUE(REGEXEXTRACT(P$1,""T(\d+)"")),1),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Q14" s="71">
        <f>IFERROR(__xludf.DUMMYFUNCTION("LET(
  monthStart,DATE(VALUE(REGEXEXTRACT(Q$1,""\d{4}"")),VALUE(REGEXEXTRACT(Q$1,""T(\d+)"")),1),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R14" s="71">
        <f>IFERROR(__xludf.DUMMYFUNCTION("LET(
  monthStart,DATE(VALUE(REGEXEXTRACT(R$1,""\d{4}"")),VALUE(REGEXEXTRACT(R$1,""T(\d+)"")),1),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S14" s="71">
        <f>IFERROR(__xludf.DUMMYFUNCTION("LET(
  monthStart,DATE(VALUE(REGEXEXTRACT(S$1,""\d{4}"")),VALUE(REGEXEXTRACT(S$1,""T(\d+)"")),1),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T14" s="71">
        <f>IFERROR(__xludf.DUMMYFUNCTION("LET(
  monthStart,DATE(VALUE(REGEXEXTRACT(T$1,""\d{4}"")),VALUE(REGEXEXTRACT(T$1,""T(\d+)"")),1),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U14" s="71">
        <f>IFERROR(__xludf.DUMMYFUNCTION("LET(
  monthStart,DATE(VALUE(REGEXEXTRACT(U$1,""\d{4}"")),VALUE(REGEXEXTRACT(U$1,""T(\d+)"")),1),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V14" s="71">
        <f>IFERROR(__xludf.DUMMYFUNCTION("LET(
  monthStart,DATE(VALUE(REGEXEXTRACT(V$1,""\d{4}"")),VALUE(REGEXEXTRACT(V$1,""T(\d+)"")),1),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W14" s="71">
        <f>IFERROR(__xludf.DUMMYFUNCTION("LET(
  monthStart,DATE(VALUE(REGEXEXTRACT(W$1,""\d{4}"")),VALUE(REGEXEXTRACT(W$1,""T(\d+)"")),1),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X14" s="71">
        <f>IFERROR(__xludf.DUMMYFUNCTION("LET(
  monthStart,DATE(VALUE(REGEXEXTRACT(X$1,""\d{4}"")),VALUE(REGEXEXTRACT(X$1,""T(\d+)"")),1),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Y14" s="71">
        <f>IFERROR(__xludf.DUMMYFUNCTION("LET(
  monthStart,DATE(VALUE(REGEXEXTRACT(Y$1,""\d{4}"")),VALUE(REGEXEXTRACT(Y$1,""T(\d+)"")),1),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AJ14" s="64"/>
      <c r="AK14" s="64"/>
      <c r="AO14" s="64"/>
      <c r="AP14" s="64"/>
      <c r="AT14" s="64"/>
      <c r="AX14" s="64"/>
      <c r="AY14" s="64"/>
      <c r="AZ14" s="64"/>
      <c r="BA14" s="72"/>
      <c r="BB14" s="67"/>
      <c r="BC14" s="67"/>
      <c r="BD14" s="66"/>
      <c r="BH14" s="64"/>
      <c r="BL14" s="64"/>
      <c r="BM14" s="64"/>
      <c r="BN14" s="64"/>
    </row>
    <row r="15" ht="30.0" customHeight="1">
      <c r="A15" s="49"/>
      <c r="B15" s="68"/>
      <c r="C15" s="73"/>
      <c r="D15" s="69"/>
      <c r="E15" s="69"/>
      <c r="F15" s="70"/>
      <c r="G15" s="71">
        <f>IFERROR(__xludf.DUMMYFUNCTION("LET(
  monthStart,DATE(VALUE(REGEXEXTRACT(G$1,""\d{4}"")),VALUE(REGEXEXTRACT(G$1,""T(\d+)"")),1),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H15" s="71">
        <f>IFERROR(__xludf.DUMMYFUNCTION("LET(
  monthStart,DATE(VALUE(REGEXEXTRACT(H$1,""\d{4}"")),VALUE(REGEXEXTRACT(H$1,""T(\d+)"")),1),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I15" s="71">
        <f>IFERROR(__xludf.DUMMYFUNCTION("LET(
  monthStart,DATE(VALUE(REGEXEXTRACT(I$1,""\d{4}"")),VALUE(REGEXEXTRACT(I$1,""T(\d+)"")),1),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J15" s="71">
        <f>IFERROR(__xludf.DUMMYFUNCTION("LET(
  monthStart,DATE(VALUE(REGEXEXTRACT(J$1,""\d{4}"")),VALUE(REGEXEXTRACT(J$1,""T(\d+)"")),1),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K15" s="71">
        <f>IFERROR(__xludf.DUMMYFUNCTION("LET(
  monthStart,DATE(VALUE(REGEXEXTRACT(K$1,""\d{4}"")),VALUE(REGEXEXTRACT(K$1,""T(\d+)"")),1),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L15" s="71">
        <f>IFERROR(__xludf.DUMMYFUNCTION("LET(
  monthStart,DATE(VALUE(REGEXEXTRACT(L$1,""\d{4}"")),VALUE(REGEXEXTRACT(L$1,""T(\d+)"")),1),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M15" s="71">
        <f>IFERROR(__xludf.DUMMYFUNCTION("LET(
  monthStart,DATE(VALUE(REGEXEXTRACT(M$1,""\d{4}"")),VALUE(REGEXEXTRACT(M$1,""T(\d+)"")),1),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N15" s="71">
        <f>IFERROR(__xludf.DUMMYFUNCTION("LET(
  monthStart,DATE(VALUE(REGEXEXTRACT(N$1,""\d{4}"")),VALUE(REGEXEXTRACT(N$1,""T(\d+)"")),1),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O15" s="71">
        <f>IFERROR(__xludf.DUMMYFUNCTION("LET(
  monthStart,DATE(VALUE(REGEXEXTRACT(O$1,""\d{4}"")),VALUE(REGEXEXTRACT(O$1,""T(\d+)"")),1),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P15" s="71">
        <f>IFERROR(__xludf.DUMMYFUNCTION("LET(
  monthStart,DATE(VALUE(REGEXEXTRACT(P$1,""\d{4}"")),VALUE(REGEXEXTRACT(P$1,""T(\d+)"")),1),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Q15" s="71">
        <f>IFERROR(__xludf.DUMMYFUNCTION("LET(
  monthStart,DATE(VALUE(REGEXEXTRACT(Q$1,""\d{4}"")),VALUE(REGEXEXTRACT(Q$1,""T(\d+)"")),1),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R15" s="71">
        <f>IFERROR(__xludf.DUMMYFUNCTION("LET(
  monthStart,DATE(VALUE(REGEXEXTRACT(R$1,""\d{4}"")),VALUE(REGEXEXTRACT(R$1,""T(\d+)"")),1),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S15" s="71">
        <f>IFERROR(__xludf.DUMMYFUNCTION("LET(
  monthStart,DATE(VALUE(REGEXEXTRACT(S$1,""\d{4}"")),VALUE(REGEXEXTRACT(S$1,""T(\d+)"")),1),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T15" s="71">
        <f>IFERROR(__xludf.DUMMYFUNCTION("LET(
  monthStart,DATE(VALUE(REGEXEXTRACT(T$1,""\d{4}"")),VALUE(REGEXEXTRACT(T$1,""T(\d+)"")),1),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U15" s="71">
        <f>IFERROR(__xludf.DUMMYFUNCTION("LET(
  monthStart,DATE(VALUE(REGEXEXTRACT(U$1,""\d{4}"")),VALUE(REGEXEXTRACT(U$1,""T(\d+)"")),1),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V15" s="71">
        <f>IFERROR(__xludf.DUMMYFUNCTION("LET(
  monthStart,DATE(VALUE(REGEXEXTRACT(V$1,""\d{4}"")),VALUE(REGEXEXTRACT(V$1,""T(\d+)"")),1),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W15" s="71">
        <f>IFERROR(__xludf.DUMMYFUNCTION("LET(
  monthStart,DATE(VALUE(REGEXEXTRACT(W$1,""\d{4}"")),VALUE(REGEXEXTRACT(W$1,""T(\d+)"")),1),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X15" s="71">
        <f>IFERROR(__xludf.DUMMYFUNCTION("LET(
  monthStart,DATE(VALUE(REGEXEXTRACT(X$1,""\d{4}"")),VALUE(REGEXEXTRACT(X$1,""T(\d+)"")),1),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Y15" s="71">
        <f>IFERROR(__xludf.DUMMYFUNCTION("LET(
  monthStart,DATE(VALUE(REGEXEXTRACT(Y$1,""\d{4}"")),VALUE(REGEXEXTRACT(Y$1,""T(\d+)"")),1),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AJ15" s="64"/>
      <c r="AK15" s="64"/>
      <c r="AO15" s="64"/>
      <c r="AP15" s="64"/>
      <c r="AT15" s="64"/>
      <c r="AX15" s="64"/>
      <c r="AY15" s="64"/>
      <c r="AZ15" s="64"/>
      <c r="BA15" s="72"/>
      <c r="BB15" s="67"/>
      <c r="BC15" s="67"/>
      <c r="BD15" s="66"/>
      <c r="BH15" s="64"/>
      <c r="BL15" s="64"/>
      <c r="BM15" s="64"/>
      <c r="BN15" s="64"/>
    </row>
    <row r="16" ht="30.0" customHeight="1">
      <c r="A16" s="49"/>
      <c r="B16" s="68"/>
      <c r="C16" s="73"/>
      <c r="D16" s="69"/>
      <c r="E16" s="69"/>
      <c r="F16" s="70"/>
      <c r="G16" s="71">
        <f>IFERROR(__xludf.DUMMYFUNCTION("LET(
  monthStart,DATE(VALUE(REGEXEXTRACT(G$1,""\d{4}"")),VALUE(REGEXEXTRACT(G$1,""T(\d+)"")),1),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H16" s="71">
        <f>IFERROR(__xludf.DUMMYFUNCTION("LET(
  monthStart,DATE(VALUE(REGEXEXTRACT(H$1,""\d{4}"")),VALUE(REGEXEXTRACT(H$1,""T(\d+)"")),1),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I16" s="71">
        <f>IFERROR(__xludf.DUMMYFUNCTION("LET(
  monthStart,DATE(VALUE(REGEXEXTRACT(I$1,""\d{4}"")),VALUE(REGEXEXTRACT(I$1,""T(\d+)"")),1),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J16" s="71">
        <f>IFERROR(__xludf.DUMMYFUNCTION("LET(
  monthStart,DATE(VALUE(REGEXEXTRACT(J$1,""\d{4}"")),VALUE(REGEXEXTRACT(J$1,""T(\d+)"")),1),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K16" s="71">
        <f>IFERROR(__xludf.DUMMYFUNCTION("LET(
  monthStart,DATE(VALUE(REGEXEXTRACT(K$1,""\d{4}"")),VALUE(REGEXEXTRACT(K$1,""T(\d+)"")),1),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L16" s="71">
        <f>IFERROR(__xludf.DUMMYFUNCTION("LET(
  monthStart,DATE(VALUE(REGEXEXTRACT(L$1,""\d{4}"")),VALUE(REGEXEXTRACT(L$1,""T(\d+)"")),1),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M16" s="71">
        <f>IFERROR(__xludf.DUMMYFUNCTION("LET(
  monthStart,DATE(VALUE(REGEXEXTRACT(M$1,""\d{4}"")),VALUE(REGEXEXTRACT(M$1,""T(\d+)"")),1),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N16" s="71">
        <f>IFERROR(__xludf.DUMMYFUNCTION("LET(
  monthStart,DATE(VALUE(REGEXEXTRACT(N$1,""\d{4}"")),VALUE(REGEXEXTRACT(N$1,""T(\d+)"")),1),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O16" s="71">
        <f>IFERROR(__xludf.DUMMYFUNCTION("LET(
  monthStart,DATE(VALUE(REGEXEXTRACT(O$1,""\d{4}"")),VALUE(REGEXEXTRACT(O$1,""T(\d+)"")),1),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P16" s="71">
        <f>IFERROR(__xludf.DUMMYFUNCTION("LET(
  monthStart,DATE(VALUE(REGEXEXTRACT(P$1,""\d{4}"")),VALUE(REGEXEXTRACT(P$1,""T(\d+)"")),1),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Q16" s="71">
        <f>IFERROR(__xludf.DUMMYFUNCTION("LET(
  monthStart,DATE(VALUE(REGEXEXTRACT(Q$1,""\d{4}"")),VALUE(REGEXEXTRACT(Q$1,""T(\d+)"")),1),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R16" s="71">
        <f>IFERROR(__xludf.DUMMYFUNCTION("LET(
  monthStart,DATE(VALUE(REGEXEXTRACT(R$1,""\d{4}"")),VALUE(REGEXEXTRACT(R$1,""T(\d+)"")),1),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S16" s="71">
        <f>IFERROR(__xludf.DUMMYFUNCTION("LET(
  monthStart,DATE(VALUE(REGEXEXTRACT(S$1,""\d{4}"")),VALUE(REGEXEXTRACT(S$1,""T(\d+)"")),1),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T16" s="71">
        <f>IFERROR(__xludf.DUMMYFUNCTION("LET(
  monthStart,DATE(VALUE(REGEXEXTRACT(T$1,""\d{4}"")),VALUE(REGEXEXTRACT(T$1,""T(\d+)"")),1),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U16" s="71">
        <f>IFERROR(__xludf.DUMMYFUNCTION("LET(
  monthStart,DATE(VALUE(REGEXEXTRACT(U$1,""\d{4}"")),VALUE(REGEXEXTRACT(U$1,""T(\d+)"")),1),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V16" s="71">
        <f>IFERROR(__xludf.DUMMYFUNCTION("LET(
  monthStart,DATE(VALUE(REGEXEXTRACT(V$1,""\d{4}"")),VALUE(REGEXEXTRACT(V$1,""T(\d+)"")),1),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W16" s="71">
        <f>IFERROR(__xludf.DUMMYFUNCTION("LET(
  monthStart,DATE(VALUE(REGEXEXTRACT(W$1,""\d{4}"")),VALUE(REGEXEXTRACT(W$1,""T(\d+)"")),1),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X16" s="71">
        <f>IFERROR(__xludf.DUMMYFUNCTION("LET(
  monthStart,DATE(VALUE(REGEXEXTRACT(X$1,""\d{4}"")),VALUE(REGEXEXTRACT(X$1,""T(\d+)"")),1),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Y16" s="71">
        <f>IFERROR(__xludf.DUMMYFUNCTION("LET(
  monthStart,DATE(VALUE(REGEXEXTRACT(Y$1,""\d{4}"")),VALUE(REGEXEXTRACT(Y$1,""T(\d+)"")),1),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AJ16" s="64"/>
      <c r="AK16" s="64"/>
      <c r="AO16" s="64"/>
      <c r="AP16" s="64"/>
      <c r="AT16" s="64"/>
      <c r="AX16" s="64"/>
      <c r="AY16" s="64"/>
      <c r="AZ16" s="64"/>
      <c r="BA16" s="72"/>
      <c r="BB16" s="67"/>
      <c r="BC16" s="67"/>
      <c r="BD16" s="66"/>
      <c r="BH16" s="64"/>
      <c r="BL16" s="64"/>
      <c r="BM16" s="64"/>
      <c r="BN16" s="64"/>
    </row>
    <row r="17" ht="30.0" customHeight="1">
      <c r="A17" s="49"/>
      <c r="B17" s="68"/>
      <c r="C17" s="73"/>
      <c r="D17" s="69"/>
      <c r="E17" s="69"/>
      <c r="F17" s="70"/>
      <c r="G17" s="71">
        <f>IFERROR(__xludf.DUMMYFUNCTION("LET(
  monthStart,DATE(VALUE(REGEXEXTRACT(G$1,""\d{4}"")),VALUE(REGEXEXTRACT(G$1,""T(\d+)"")),1),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H17" s="71">
        <f>IFERROR(__xludf.DUMMYFUNCTION("LET(
  monthStart,DATE(VALUE(REGEXEXTRACT(H$1,""\d{4}"")),VALUE(REGEXEXTRACT(H$1,""T(\d+)"")),1),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I17" s="71">
        <f>IFERROR(__xludf.DUMMYFUNCTION("LET(
  monthStart,DATE(VALUE(REGEXEXTRACT(I$1,""\d{4}"")),VALUE(REGEXEXTRACT(I$1,""T(\d+)"")),1),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J17" s="71">
        <f>IFERROR(__xludf.DUMMYFUNCTION("LET(
  monthStart,DATE(VALUE(REGEXEXTRACT(J$1,""\d{4}"")),VALUE(REGEXEXTRACT(J$1,""T(\d+)"")),1),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K17" s="71">
        <f>IFERROR(__xludf.DUMMYFUNCTION("LET(
  monthStart,DATE(VALUE(REGEXEXTRACT(K$1,""\d{4}"")),VALUE(REGEXEXTRACT(K$1,""T(\d+)"")),1),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L17" s="71">
        <f>IFERROR(__xludf.DUMMYFUNCTION("LET(
  monthStart,DATE(VALUE(REGEXEXTRACT(L$1,""\d{4}"")),VALUE(REGEXEXTRACT(L$1,""T(\d+)"")),1),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M17" s="71">
        <f>IFERROR(__xludf.DUMMYFUNCTION("LET(
  monthStart,DATE(VALUE(REGEXEXTRACT(M$1,""\d{4}"")),VALUE(REGEXEXTRACT(M$1,""T(\d+)"")),1),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N17" s="71">
        <f>IFERROR(__xludf.DUMMYFUNCTION("LET(
  monthStart,DATE(VALUE(REGEXEXTRACT(N$1,""\d{4}"")),VALUE(REGEXEXTRACT(N$1,""T(\d+)"")),1),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O17" s="71">
        <f>IFERROR(__xludf.DUMMYFUNCTION("LET(
  monthStart,DATE(VALUE(REGEXEXTRACT(O$1,""\d{4}"")),VALUE(REGEXEXTRACT(O$1,""T(\d+)"")),1),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P17" s="71">
        <f>IFERROR(__xludf.DUMMYFUNCTION("LET(
  monthStart,DATE(VALUE(REGEXEXTRACT(P$1,""\d{4}"")),VALUE(REGEXEXTRACT(P$1,""T(\d+)"")),1),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Q17" s="71">
        <f>IFERROR(__xludf.DUMMYFUNCTION("LET(
  monthStart,DATE(VALUE(REGEXEXTRACT(Q$1,""\d{4}"")),VALUE(REGEXEXTRACT(Q$1,""T(\d+)"")),1),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R17" s="71">
        <f>IFERROR(__xludf.DUMMYFUNCTION("LET(
  monthStart,DATE(VALUE(REGEXEXTRACT(R$1,""\d{4}"")),VALUE(REGEXEXTRACT(R$1,""T(\d+)"")),1),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S17" s="71">
        <f>IFERROR(__xludf.DUMMYFUNCTION("LET(
  monthStart,DATE(VALUE(REGEXEXTRACT(S$1,""\d{4}"")),VALUE(REGEXEXTRACT(S$1,""T(\d+)"")),1),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T17" s="71">
        <f>IFERROR(__xludf.DUMMYFUNCTION("LET(
  monthStart,DATE(VALUE(REGEXEXTRACT(T$1,""\d{4}"")),VALUE(REGEXEXTRACT(T$1,""T(\d+)"")),1),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U17" s="71">
        <f>IFERROR(__xludf.DUMMYFUNCTION("LET(
  monthStart,DATE(VALUE(REGEXEXTRACT(U$1,""\d{4}"")),VALUE(REGEXEXTRACT(U$1,""T(\d+)"")),1),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V17" s="71">
        <f>IFERROR(__xludf.DUMMYFUNCTION("LET(
  monthStart,DATE(VALUE(REGEXEXTRACT(V$1,""\d{4}"")),VALUE(REGEXEXTRACT(V$1,""T(\d+)"")),1),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W17" s="71">
        <f>IFERROR(__xludf.DUMMYFUNCTION("LET(
  monthStart,DATE(VALUE(REGEXEXTRACT(W$1,""\d{4}"")),VALUE(REGEXEXTRACT(W$1,""T(\d+)"")),1),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X17" s="71">
        <f>IFERROR(__xludf.DUMMYFUNCTION("LET(
  monthStart,DATE(VALUE(REGEXEXTRACT(X$1,""\d{4}"")),VALUE(REGEXEXTRACT(X$1,""T(\d+)"")),1),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Y17" s="71">
        <f>IFERROR(__xludf.DUMMYFUNCTION("LET(
  monthStart,DATE(VALUE(REGEXEXTRACT(Y$1,""\d{4}"")),VALUE(REGEXEXTRACT(Y$1,""T(\d+)"")),1),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AJ17" s="64"/>
      <c r="AK17" s="64"/>
      <c r="AO17" s="64"/>
      <c r="AP17" s="64"/>
      <c r="AT17" s="64"/>
      <c r="AX17" s="64"/>
      <c r="AY17" s="64"/>
      <c r="AZ17" s="64"/>
      <c r="BA17" s="72"/>
      <c r="BB17" s="67"/>
      <c r="BC17" s="67"/>
      <c r="BD17" s="66"/>
      <c r="BH17" s="64"/>
      <c r="BL17" s="64"/>
      <c r="BM17" s="64"/>
      <c r="BN17" s="64"/>
    </row>
    <row r="18" ht="30.0" customHeight="1">
      <c r="A18" s="49"/>
      <c r="B18" s="68"/>
      <c r="C18" s="73"/>
      <c r="D18" s="69"/>
      <c r="E18" s="69"/>
      <c r="F18" s="70"/>
      <c r="G18" s="71">
        <f>IFERROR(__xludf.DUMMYFUNCTION("LET(
  monthStart,DATE(VALUE(REGEXEXTRACT(G$1,""\d{4}"")),VALUE(REGEXEXTRACT(G$1,""T(\d+)"")),1),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H18" s="71">
        <f>IFERROR(__xludf.DUMMYFUNCTION("LET(
  monthStart,DATE(VALUE(REGEXEXTRACT(H$1,""\d{4}"")),VALUE(REGEXEXTRACT(H$1,""T(\d+)"")),1),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I18" s="71">
        <f>IFERROR(__xludf.DUMMYFUNCTION("LET(
  monthStart,DATE(VALUE(REGEXEXTRACT(I$1,""\d{4}"")),VALUE(REGEXEXTRACT(I$1,""T(\d+)"")),1),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J18" s="71">
        <f>IFERROR(__xludf.DUMMYFUNCTION("LET(
  monthStart,DATE(VALUE(REGEXEXTRACT(J$1,""\d{4}"")),VALUE(REGEXEXTRACT(J$1,""T(\d+)"")),1),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K18" s="71">
        <f>IFERROR(__xludf.DUMMYFUNCTION("LET(
  monthStart,DATE(VALUE(REGEXEXTRACT(K$1,""\d{4}"")),VALUE(REGEXEXTRACT(K$1,""T(\d+)"")),1),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L18" s="71">
        <f>IFERROR(__xludf.DUMMYFUNCTION("LET(
  monthStart,DATE(VALUE(REGEXEXTRACT(L$1,""\d{4}"")),VALUE(REGEXEXTRACT(L$1,""T(\d+)"")),1),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M18" s="71">
        <f>IFERROR(__xludf.DUMMYFUNCTION("LET(
  monthStart,DATE(VALUE(REGEXEXTRACT(M$1,""\d{4}"")),VALUE(REGEXEXTRACT(M$1,""T(\d+)"")),1),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N18" s="71">
        <f>IFERROR(__xludf.DUMMYFUNCTION("LET(
  monthStart,DATE(VALUE(REGEXEXTRACT(N$1,""\d{4}"")),VALUE(REGEXEXTRACT(N$1,""T(\d+)"")),1),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O18" s="71">
        <f>IFERROR(__xludf.DUMMYFUNCTION("LET(
  monthStart,DATE(VALUE(REGEXEXTRACT(O$1,""\d{4}"")),VALUE(REGEXEXTRACT(O$1,""T(\d+)"")),1),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P18" s="71">
        <f>IFERROR(__xludf.DUMMYFUNCTION("LET(
  monthStart,DATE(VALUE(REGEXEXTRACT(P$1,""\d{4}"")),VALUE(REGEXEXTRACT(P$1,""T(\d+)"")),1),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Q18" s="71">
        <f>IFERROR(__xludf.DUMMYFUNCTION("LET(
  monthStart,DATE(VALUE(REGEXEXTRACT(Q$1,""\d{4}"")),VALUE(REGEXEXTRACT(Q$1,""T(\d+)"")),1),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R18" s="71">
        <f>IFERROR(__xludf.DUMMYFUNCTION("LET(
  monthStart,DATE(VALUE(REGEXEXTRACT(R$1,""\d{4}"")),VALUE(REGEXEXTRACT(R$1,""T(\d+)"")),1),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S18" s="71">
        <f>IFERROR(__xludf.DUMMYFUNCTION("LET(
  monthStart,DATE(VALUE(REGEXEXTRACT(S$1,""\d{4}"")),VALUE(REGEXEXTRACT(S$1,""T(\d+)"")),1),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T18" s="71">
        <f>IFERROR(__xludf.DUMMYFUNCTION("LET(
  monthStart,DATE(VALUE(REGEXEXTRACT(T$1,""\d{4}"")),VALUE(REGEXEXTRACT(T$1,""T(\d+)"")),1),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U18" s="71">
        <f>IFERROR(__xludf.DUMMYFUNCTION("LET(
  monthStart,DATE(VALUE(REGEXEXTRACT(U$1,""\d{4}"")),VALUE(REGEXEXTRACT(U$1,""T(\d+)"")),1),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V18" s="71">
        <f>IFERROR(__xludf.DUMMYFUNCTION("LET(
  monthStart,DATE(VALUE(REGEXEXTRACT(V$1,""\d{4}"")),VALUE(REGEXEXTRACT(V$1,""T(\d+)"")),1),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W18" s="71">
        <f>IFERROR(__xludf.DUMMYFUNCTION("LET(
  monthStart,DATE(VALUE(REGEXEXTRACT(W$1,""\d{4}"")),VALUE(REGEXEXTRACT(W$1,""T(\d+)"")),1),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X18" s="71">
        <f>IFERROR(__xludf.DUMMYFUNCTION("LET(
  monthStart,DATE(VALUE(REGEXEXTRACT(X$1,""\d{4}"")),VALUE(REGEXEXTRACT(X$1,""T(\d+)"")),1),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Y18" s="71">
        <f>IFERROR(__xludf.DUMMYFUNCTION("LET(
  monthStart,DATE(VALUE(REGEXEXTRACT(Y$1,""\d{4}"")),VALUE(REGEXEXTRACT(Y$1,""T(\d+)"")),1),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AJ18" s="64"/>
      <c r="AK18" s="64"/>
      <c r="AO18" s="64"/>
      <c r="AP18" s="64"/>
      <c r="AT18" s="64"/>
      <c r="AX18" s="64"/>
      <c r="AY18" s="64"/>
      <c r="AZ18" s="64"/>
      <c r="BA18" s="72"/>
      <c r="BB18" s="67"/>
      <c r="BC18" s="67"/>
      <c r="BD18" s="66"/>
      <c r="BH18" s="64"/>
      <c r="BL18" s="64"/>
      <c r="BM18" s="64"/>
      <c r="BN18" s="64"/>
    </row>
    <row r="19" ht="30.0" customHeight="1">
      <c r="A19" s="49"/>
      <c r="B19" s="68"/>
      <c r="C19" s="73"/>
      <c r="D19" s="69"/>
      <c r="E19" s="69"/>
      <c r="F19" s="70"/>
      <c r="G19" s="71">
        <f>IFERROR(__xludf.DUMMYFUNCTION("LET(
  monthStart,DATE(VALUE(REGEXEXTRACT(G$1,""\d{4}"")),VALUE(REGEXEXTRACT(G$1,""T(\d+)"")),1),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H19" s="71">
        <f>IFERROR(__xludf.DUMMYFUNCTION("LET(
  monthStart,DATE(VALUE(REGEXEXTRACT(H$1,""\d{4}"")),VALUE(REGEXEXTRACT(H$1,""T(\d+)"")),1),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I19" s="71">
        <f>IFERROR(__xludf.DUMMYFUNCTION("LET(
  monthStart,DATE(VALUE(REGEXEXTRACT(I$1,""\d{4}"")),VALUE(REGEXEXTRACT(I$1,""T(\d+)"")),1),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J19" s="71">
        <f>IFERROR(__xludf.DUMMYFUNCTION("LET(
  monthStart,DATE(VALUE(REGEXEXTRACT(J$1,""\d{4}"")),VALUE(REGEXEXTRACT(J$1,""T(\d+)"")),1),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K19" s="71">
        <f>IFERROR(__xludf.DUMMYFUNCTION("LET(
  monthStart,DATE(VALUE(REGEXEXTRACT(K$1,""\d{4}"")),VALUE(REGEXEXTRACT(K$1,""T(\d+)"")),1),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L19" s="71">
        <f>IFERROR(__xludf.DUMMYFUNCTION("LET(
  monthStart,DATE(VALUE(REGEXEXTRACT(L$1,""\d{4}"")),VALUE(REGEXEXTRACT(L$1,""T(\d+)"")),1),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M19" s="71">
        <f>IFERROR(__xludf.DUMMYFUNCTION("LET(
  monthStart,DATE(VALUE(REGEXEXTRACT(M$1,""\d{4}"")),VALUE(REGEXEXTRACT(M$1,""T(\d+)"")),1),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N19" s="71">
        <f>IFERROR(__xludf.DUMMYFUNCTION("LET(
  monthStart,DATE(VALUE(REGEXEXTRACT(N$1,""\d{4}"")),VALUE(REGEXEXTRACT(N$1,""T(\d+)"")),1),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O19" s="71">
        <f>IFERROR(__xludf.DUMMYFUNCTION("LET(
  monthStart,DATE(VALUE(REGEXEXTRACT(O$1,""\d{4}"")),VALUE(REGEXEXTRACT(O$1,""T(\d+)"")),1),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P19" s="71">
        <f>IFERROR(__xludf.DUMMYFUNCTION("LET(
  monthStart,DATE(VALUE(REGEXEXTRACT(P$1,""\d{4}"")),VALUE(REGEXEXTRACT(P$1,""T(\d+)"")),1),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Q19" s="71">
        <f>IFERROR(__xludf.DUMMYFUNCTION("LET(
  monthStart,DATE(VALUE(REGEXEXTRACT(Q$1,""\d{4}"")),VALUE(REGEXEXTRACT(Q$1,""T(\d+)"")),1),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R19" s="71">
        <f>IFERROR(__xludf.DUMMYFUNCTION("LET(
  monthStart,DATE(VALUE(REGEXEXTRACT(R$1,""\d{4}"")),VALUE(REGEXEXTRACT(R$1,""T(\d+)"")),1),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S19" s="71">
        <f>IFERROR(__xludf.DUMMYFUNCTION("LET(
  monthStart,DATE(VALUE(REGEXEXTRACT(S$1,""\d{4}"")),VALUE(REGEXEXTRACT(S$1,""T(\d+)"")),1),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T19" s="71">
        <f>IFERROR(__xludf.DUMMYFUNCTION("LET(
  monthStart,DATE(VALUE(REGEXEXTRACT(T$1,""\d{4}"")),VALUE(REGEXEXTRACT(T$1,""T(\d+)"")),1),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U19" s="71">
        <f>IFERROR(__xludf.DUMMYFUNCTION("LET(
  monthStart,DATE(VALUE(REGEXEXTRACT(U$1,""\d{4}"")),VALUE(REGEXEXTRACT(U$1,""T(\d+)"")),1),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V19" s="71">
        <f>IFERROR(__xludf.DUMMYFUNCTION("LET(
  monthStart,DATE(VALUE(REGEXEXTRACT(V$1,""\d{4}"")),VALUE(REGEXEXTRACT(V$1,""T(\d+)"")),1),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W19" s="71">
        <f>IFERROR(__xludf.DUMMYFUNCTION("LET(
  monthStart,DATE(VALUE(REGEXEXTRACT(W$1,""\d{4}"")),VALUE(REGEXEXTRACT(W$1,""T(\d+)"")),1),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X19" s="71">
        <f>IFERROR(__xludf.DUMMYFUNCTION("LET(
  monthStart,DATE(VALUE(REGEXEXTRACT(X$1,""\d{4}"")),VALUE(REGEXEXTRACT(X$1,""T(\d+)"")),1),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Y19" s="71">
        <f>IFERROR(__xludf.DUMMYFUNCTION("LET(
  monthStart,DATE(VALUE(REGEXEXTRACT(Y$1,""\d{4}"")),VALUE(REGEXEXTRACT(Y$1,""T(\d+)"")),1),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AJ19" s="64"/>
      <c r="AK19" s="64"/>
      <c r="AO19" s="64"/>
      <c r="AP19" s="64"/>
      <c r="AT19" s="64"/>
      <c r="AX19" s="64"/>
      <c r="AY19" s="64"/>
      <c r="AZ19" s="64"/>
      <c r="BA19" s="72"/>
      <c r="BB19" s="67"/>
      <c r="BC19" s="67"/>
      <c r="BD19" s="66"/>
      <c r="BH19" s="64"/>
      <c r="BL19" s="64"/>
      <c r="BM19" s="64"/>
      <c r="BN19" s="64"/>
    </row>
    <row r="20" ht="30.0" customHeight="1">
      <c r="A20" s="49"/>
      <c r="B20" s="68"/>
      <c r="C20" s="73"/>
      <c r="D20" s="69"/>
      <c r="E20" s="69"/>
      <c r="F20" s="70"/>
      <c r="G20" s="71">
        <f>IFERROR(__xludf.DUMMYFUNCTION("LET(
  monthStart,DATE(VALUE(REGEXEXTRACT(G$1,""\d{4}"")),VALUE(REGEXEXTRACT(G$1,""T(\d+)"")),1),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H20" s="71">
        <f>IFERROR(__xludf.DUMMYFUNCTION("LET(
  monthStart,DATE(VALUE(REGEXEXTRACT(H$1,""\d{4}"")),VALUE(REGEXEXTRACT(H$1,""T(\d+)"")),1),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I20" s="71">
        <f>IFERROR(__xludf.DUMMYFUNCTION("LET(
  monthStart,DATE(VALUE(REGEXEXTRACT(I$1,""\d{4}"")),VALUE(REGEXEXTRACT(I$1,""T(\d+)"")),1),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J20" s="71">
        <f>IFERROR(__xludf.DUMMYFUNCTION("LET(
  monthStart,DATE(VALUE(REGEXEXTRACT(J$1,""\d{4}"")),VALUE(REGEXEXTRACT(J$1,""T(\d+)"")),1),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K20" s="71">
        <f>IFERROR(__xludf.DUMMYFUNCTION("LET(
  monthStart,DATE(VALUE(REGEXEXTRACT(K$1,""\d{4}"")),VALUE(REGEXEXTRACT(K$1,""T(\d+)"")),1),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L20" s="71">
        <f>IFERROR(__xludf.DUMMYFUNCTION("LET(
  monthStart,DATE(VALUE(REGEXEXTRACT(L$1,""\d{4}"")),VALUE(REGEXEXTRACT(L$1,""T(\d+)"")),1),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M20" s="71">
        <f>IFERROR(__xludf.DUMMYFUNCTION("LET(
  monthStart,DATE(VALUE(REGEXEXTRACT(M$1,""\d{4}"")),VALUE(REGEXEXTRACT(M$1,""T(\d+)"")),1),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N20" s="71">
        <f>IFERROR(__xludf.DUMMYFUNCTION("LET(
  monthStart,DATE(VALUE(REGEXEXTRACT(N$1,""\d{4}"")),VALUE(REGEXEXTRACT(N$1,""T(\d+)"")),1),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O20" s="71">
        <f>IFERROR(__xludf.DUMMYFUNCTION("LET(
  monthStart,DATE(VALUE(REGEXEXTRACT(O$1,""\d{4}"")),VALUE(REGEXEXTRACT(O$1,""T(\d+)"")),1),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P20" s="71">
        <f>IFERROR(__xludf.DUMMYFUNCTION("LET(
  monthStart,DATE(VALUE(REGEXEXTRACT(P$1,""\d{4}"")),VALUE(REGEXEXTRACT(P$1,""T(\d+)"")),1),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Q20" s="71">
        <f>IFERROR(__xludf.DUMMYFUNCTION("LET(
  monthStart,DATE(VALUE(REGEXEXTRACT(Q$1,""\d{4}"")),VALUE(REGEXEXTRACT(Q$1,""T(\d+)"")),1),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R20" s="71">
        <f>IFERROR(__xludf.DUMMYFUNCTION("LET(
  monthStart,DATE(VALUE(REGEXEXTRACT(R$1,""\d{4}"")),VALUE(REGEXEXTRACT(R$1,""T(\d+)"")),1),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S20" s="71">
        <f>IFERROR(__xludf.DUMMYFUNCTION("LET(
  monthStart,DATE(VALUE(REGEXEXTRACT(S$1,""\d{4}"")),VALUE(REGEXEXTRACT(S$1,""T(\d+)"")),1),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T20" s="71">
        <f>IFERROR(__xludf.DUMMYFUNCTION("LET(
  monthStart,DATE(VALUE(REGEXEXTRACT(T$1,""\d{4}"")),VALUE(REGEXEXTRACT(T$1,""T(\d+)"")),1),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U20" s="71">
        <f>IFERROR(__xludf.DUMMYFUNCTION("LET(
  monthStart,DATE(VALUE(REGEXEXTRACT(U$1,""\d{4}"")),VALUE(REGEXEXTRACT(U$1,""T(\d+)"")),1),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V20" s="71">
        <f>IFERROR(__xludf.DUMMYFUNCTION("LET(
  monthStart,DATE(VALUE(REGEXEXTRACT(V$1,""\d{4}"")),VALUE(REGEXEXTRACT(V$1,""T(\d+)"")),1),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W20" s="71">
        <f>IFERROR(__xludf.DUMMYFUNCTION("LET(
  monthStart,DATE(VALUE(REGEXEXTRACT(W$1,""\d{4}"")),VALUE(REGEXEXTRACT(W$1,""T(\d+)"")),1),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X20" s="71">
        <f>IFERROR(__xludf.DUMMYFUNCTION("LET(
  monthStart,DATE(VALUE(REGEXEXTRACT(X$1,""\d{4}"")),VALUE(REGEXEXTRACT(X$1,""T(\d+)"")),1),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Y20" s="71">
        <f>IFERROR(__xludf.DUMMYFUNCTION("LET(
  monthStart,DATE(VALUE(REGEXEXTRACT(Y$1,""\d{4}"")),VALUE(REGEXEXTRACT(Y$1,""T(\d+)"")),1),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AJ20" s="64"/>
      <c r="AK20" s="64"/>
      <c r="AO20" s="64"/>
      <c r="AP20" s="64"/>
      <c r="AT20" s="64"/>
      <c r="AX20" s="64"/>
      <c r="AY20" s="64"/>
      <c r="AZ20" s="64"/>
      <c r="BA20" s="72"/>
      <c r="BB20" s="67"/>
      <c r="BC20" s="67"/>
      <c r="BD20" s="66"/>
      <c r="BH20" s="64"/>
      <c r="BL20" s="64"/>
      <c r="BM20" s="64"/>
      <c r="BN20" s="64"/>
    </row>
    <row r="21" ht="30.0" customHeight="1">
      <c r="A21" s="49"/>
      <c r="B21" s="68"/>
      <c r="C21" s="73"/>
      <c r="D21" s="69"/>
      <c r="E21" s="69"/>
      <c r="F21" s="70"/>
      <c r="G21" s="71">
        <f>IFERROR(__xludf.DUMMYFUNCTION("LET(
  monthStart,DATE(VALUE(REGEXEXTRACT(G$1,""\d{4}"")),VALUE(REGEXEXTRACT(G$1,""T(\d+)"")),1),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H21" s="71">
        <f>IFERROR(__xludf.DUMMYFUNCTION("LET(
  monthStart,DATE(VALUE(REGEXEXTRACT(H$1,""\d{4}"")),VALUE(REGEXEXTRACT(H$1,""T(\d+)"")),1),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I21" s="71">
        <f>IFERROR(__xludf.DUMMYFUNCTION("LET(
  monthStart,DATE(VALUE(REGEXEXTRACT(I$1,""\d{4}"")),VALUE(REGEXEXTRACT(I$1,""T(\d+)"")),1),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J21" s="71">
        <f>IFERROR(__xludf.DUMMYFUNCTION("LET(
  monthStart,DATE(VALUE(REGEXEXTRACT(J$1,""\d{4}"")),VALUE(REGEXEXTRACT(J$1,""T(\d+)"")),1),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K21" s="71">
        <f>IFERROR(__xludf.DUMMYFUNCTION("LET(
  monthStart,DATE(VALUE(REGEXEXTRACT(K$1,""\d{4}"")),VALUE(REGEXEXTRACT(K$1,""T(\d+)"")),1),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L21" s="71">
        <f>IFERROR(__xludf.DUMMYFUNCTION("LET(
  monthStart,DATE(VALUE(REGEXEXTRACT(L$1,""\d{4}"")),VALUE(REGEXEXTRACT(L$1,""T(\d+)"")),1),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M21" s="71">
        <f>IFERROR(__xludf.DUMMYFUNCTION("LET(
  monthStart,DATE(VALUE(REGEXEXTRACT(M$1,""\d{4}"")),VALUE(REGEXEXTRACT(M$1,""T(\d+)"")),1),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N21" s="71">
        <f>IFERROR(__xludf.DUMMYFUNCTION("LET(
  monthStart,DATE(VALUE(REGEXEXTRACT(N$1,""\d{4}"")),VALUE(REGEXEXTRACT(N$1,""T(\d+)"")),1),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O21" s="71">
        <f>IFERROR(__xludf.DUMMYFUNCTION("LET(
  monthStart,DATE(VALUE(REGEXEXTRACT(O$1,""\d{4}"")),VALUE(REGEXEXTRACT(O$1,""T(\d+)"")),1),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P21" s="71">
        <f>IFERROR(__xludf.DUMMYFUNCTION("LET(
  monthStart,DATE(VALUE(REGEXEXTRACT(P$1,""\d{4}"")),VALUE(REGEXEXTRACT(P$1,""T(\d+)"")),1),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Q21" s="71">
        <f>IFERROR(__xludf.DUMMYFUNCTION("LET(
  monthStart,DATE(VALUE(REGEXEXTRACT(Q$1,""\d{4}"")),VALUE(REGEXEXTRACT(Q$1,""T(\d+)"")),1),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R21" s="71">
        <f>IFERROR(__xludf.DUMMYFUNCTION("LET(
  monthStart,DATE(VALUE(REGEXEXTRACT(R$1,""\d{4}"")),VALUE(REGEXEXTRACT(R$1,""T(\d+)"")),1),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S21" s="71">
        <f>IFERROR(__xludf.DUMMYFUNCTION("LET(
  monthStart,DATE(VALUE(REGEXEXTRACT(S$1,""\d{4}"")),VALUE(REGEXEXTRACT(S$1,""T(\d+)"")),1),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T21" s="71">
        <f>IFERROR(__xludf.DUMMYFUNCTION("LET(
  monthStart,DATE(VALUE(REGEXEXTRACT(T$1,""\d{4}"")),VALUE(REGEXEXTRACT(T$1,""T(\d+)"")),1),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U21" s="71">
        <f>IFERROR(__xludf.DUMMYFUNCTION("LET(
  monthStart,DATE(VALUE(REGEXEXTRACT(U$1,""\d{4}"")),VALUE(REGEXEXTRACT(U$1,""T(\d+)"")),1),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V21" s="71">
        <f>IFERROR(__xludf.DUMMYFUNCTION("LET(
  monthStart,DATE(VALUE(REGEXEXTRACT(V$1,""\d{4}"")),VALUE(REGEXEXTRACT(V$1,""T(\d+)"")),1),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W21" s="71">
        <f>IFERROR(__xludf.DUMMYFUNCTION("LET(
  monthStart,DATE(VALUE(REGEXEXTRACT(W$1,""\d{4}"")),VALUE(REGEXEXTRACT(W$1,""T(\d+)"")),1),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X21" s="71">
        <f>IFERROR(__xludf.DUMMYFUNCTION("LET(
  monthStart,DATE(VALUE(REGEXEXTRACT(X$1,""\d{4}"")),VALUE(REGEXEXTRACT(X$1,""T(\d+)"")),1),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Y21" s="71">
        <f>IFERROR(__xludf.DUMMYFUNCTION("LET(
  monthStart,DATE(VALUE(REGEXEXTRACT(Y$1,""\d{4}"")),VALUE(REGEXEXTRACT(Y$1,""T(\d+)"")),1),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AJ21" s="64"/>
      <c r="AK21" s="64"/>
      <c r="AO21" s="64"/>
      <c r="AP21" s="64"/>
      <c r="AT21" s="64"/>
      <c r="AX21" s="64"/>
      <c r="AY21" s="64"/>
      <c r="AZ21" s="64"/>
      <c r="BA21" s="72"/>
      <c r="BB21" s="67"/>
      <c r="BC21" s="67"/>
      <c r="BD21" s="66"/>
      <c r="BH21" s="64"/>
      <c r="BL21" s="64"/>
      <c r="BM21" s="64"/>
      <c r="BN21" s="64"/>
    </row>
    <row r="22" ht="30.0" customHeight="1">
      <c r="A22" s="49"/>
      <c r="B22" s="68"/>
      <c r="C22" s="73"/>
      <c r="D22" s="69"/>
      <c r="E22" s="69"/>
      <c r="F22" s="70"/>
      <c r="G22" s="71">
        <f>IFERROR(__xludf.DUMMYFUNCTION("LET(
  monthStart,DATE(VALUE(REGEXEXTRACT(G$1,""\d{4}"")),VALUE(REGEXEXTRACT(G$1,""T(\d+)"")),1),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H22" s="71">
        <f>IFERROR(__xludf.DUMMYFUNCTION("LET(
  monthStart,DATE(VALUE(REGEXEXTRACT(H$1,""\d{4}"")),VALUE(REGEXEXTRACT(H$1,""T(\d+)"")),1),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I22" s="71">
        <f>IFERROR(__xludf.DUMMYFUNCTION("LET(
  monthStart,DATE(VALUE(REGEXEXTRACT(I$1,""\d{4}"")),VALUE(REGEXEXTRACT(I$1,""T(\d+)"")),1),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J22" s="71">
        <f>IFERROR(__xludf.DUMMYFUNCTION("LET(
  monthStart,DATE(VALUE(REGEXEXTRACT(J$1,""\d{4}"")),VALUE(REGEXEXTRACT(J$1,""T(\d+)"")),1),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K22" s="71">
        <f>IFERROR(__xludf.DUMMYFUNCTION("LET(
  monthStart,DATE(VALUE(REGEXEXTRACT(K$1,""\d{4}"")),VALUE(REGEXEXTRACT(K$1,""T(\d+)"")),1),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L22" s="71">
        <f>IFERROR(__xludf.DUMMYFUNCTION("LET(
  monthStart,DATE(VALUE(REGEXEXTRACT(L$1,""\d{4}"")),VALUE(REGEXEXTRACT(L$1,""T(\d+)"")),1),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M22" s="71">
        <f>IFERROR(__xludf.DUMMYFUNCTION("LET(
  monthStart,DATE(VALUE(REGEXEXTRACT(M$1,""\d{4}"")),VALUE(REGEXEXTRACT(M$1,""T(\d+)"")),1),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N22" s="71">
        <f>IFERROR(__xludf.DUMMYFUNCTION("LET(
  monthStart,DATE(VALUE(REGEXEXTRACT(N$1,""\d{4}"")),VALUE(REGEXEXTRACT(N$1,""T(\d+)"")),1),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O22" s="71">
        <f>IFERROR(__xludf.DUMMYFUNCTION("LET(
  monthStart,DATE(VALUE(REGEXEXTRACT(O$1,""\d{4}"")),VALUE(REGEXEXTRACT(O$1,""T(\d+)"")),1),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P22" s="71">
        <f>IFERROR(__xludf.DUMMYFUNCTION("LET(
  monthStart,DATE(VALUE(REGEXEXTRACT(P$1,""\d{4}"")),VALUE(REGEXEXTRACT(P$1,""T(\d+)"")),1),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Q22" s="71">
        <f>IFERROR(__xludf.DUMMYFUNCTION("LET(
  monthStart,DATE(VALUE(REGEXEXTRACT(Q$1,""\d{4}"")),VALUE(REGEXEXTRACT(Q$1,""T(\d+)"")),1),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R22" s="71">
        <f>IFERROR(__xludf.DUMMYFUNCTION("LET(
  monthStart,DATE(VALUE(REGEXEXTRACT(R$1,""\d{4}"")),VALUE(REGEXEXTRACT(R$1,""T(\d+)"")),1),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S22" s="71">
        <f>IFERROR(__xludf.DUMMYFUNCTION("LET(
  monthStart,DATE(VALUE(REGEXEXTRACT(S$1,""\d{4}"")),VALUE(REGEXEXTRACT(S$1,""T(\d+)"")),1),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T22" s="71">
        <f>IFERROR(__xludf.DUMMYFUNCTION("LET(
  monthStart,DATE(VALUE(REGEXEXTRACT(T$1,""\d{4}"")),VALUE(REGEXEXTRACT(T$1,""T(\d+)"")),1),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U22" s="71">
        <f>IFERROR(__xludf.DUMMYFUNCTION("LET(
  monthStart,DATE(VALUE(REGEXEXTRACT(U$1,""\d{4}"")),VALUE(REGEXEXTRACT(U$1,""T(\d+)"")),1),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V22" s="71">
        <f>IFERROR(__xludf.DUMMYFUNCTION("LET(
  monthStart,DATE(VALUE(REGEXEXTRACT(V$1,""\d{4}"")),VALUE(REGEXEXTRACT(V$1,""T(\d+)"")),1),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W22" s="71">
        <f>IFERROR(__xludf.DUMMYFUNCTION("LET(
  monthStart,DATE(VALUE(REGEXEXTRACT(W$1,""\d{4}"")),VALUE(REGEXEXTRACT(W$1,""T(\d+)"")),1),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X22" s="71">
        <f>IFERROR(__xludf.DUMMYFUNCTION("LET(
  monthStart,DATE(VALUE(REGEXEXTRACT(X$1,""\d{4}"")),VALUE(REGEXEXTRACT(X$1,""T(\d+)"")),1),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Y22" s="71">
        <f>IFERROR(__xludf.DUMMYFUNCTION("LET(
  monthStart,DATE(VALUE(REGEXEXTRACT(Y$1,""\d{4}"")),VALUE(REGEXEXTRACT(Y$1,""T(\d+)"")),1),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AJ22" s="64"/>
      <c r="AK22" s="64"/>
      <c r="AO22" s="64"/>
      <c r="AP22" s="64"/>
      <c r="AT22" s="64"/>
      <c r="AX22" s="64"/>
      <c r="AY22" s="64"/>
      <c r="AZ22" s="64"/>
      <c r="BA22" s="72"/>
      <c r="BB22" s="67"/>
      <c r="BC22" s="67"/>
      <c r="BD22" s="66"/>
      <c r="BH22" s="64"/>
      <c r="BL22" s="64"/>
      <c r="BM22" s="64"/>
      <c r="BN22" s="64"/>
    </row>
    <row r="23" ht="30.0" customHeight="1">
      <c r="A23" s="49"/>
      <c r="B23" s="68"/>
      <c r="C23" s="73"/>
      <c r="D23" s="69"/>
      <c r="E23" s="69"/>
      <c r="F23" s="70"/>
      <c r="G23" s="71">
        <f>IFERROR(__xludf.DUMMYFUNCTION("LET(
  monthStart,DATE(VALUE(REGEXEXTRACT(G$1,""\d{4}"")),VALUE(REGEXEXTRACT(G$1,""T(\d+)"")),1),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H23" s="71">
        <f>IFERROR(__xludf.DUMMYFUNCTION("LET(
  monthStart,DATE(VALUE(REGEXEXTRACT(H$1,""\d{4}"")),VALUE(REGEXEXTRACT(H$1,""T(\d+)"")),1),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I23" s="71">
        <f>IFERROR(__xludf.DUMMYFUNCTION("LET(
  monthStart,DATE(VALUE(REGEXEXTRACT(I$1,""\d{4}"")),VALUE(REGEXEXTRACT(I$1,""T(\d+)"")),1),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J23" s="71">
        <f>IFERROR(__xludf.DUMMYFUNCTION("LET(
  monthStart,DATE(VALUE(REGEXEXTRACT(J$1,""\d{4}"")),VALUE(REGEXEXTRACT(J$1,""T(\d+)"")),1),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K23" s="71">
        <f>IFERROR(__xludf.DUMMYFUNCTION("LET(
  monthStart,DATE(VALUE(REGEXEXTRACT(K$1,""\d{4}"")),VALUE(REGEXEXTRACT(K$1,""T(\d+)"")),1),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L23" s="71">
        <f>IFERROR(__xludf.DUMMYFUNCTION("LET(
  monthStart,DATE(VALUE(REGEXEXTRACT(L$1,""\d{4}"")),VALUE(REGEXEXTRACT(L$1,""T(\d+)"")),1),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M23" s="71">
        <f>IFERROR(__xludf.DUMMYFUNCTION("LET(
  monthStart,DATE(VALUE(REGEXEXTRACT(M$1,""\d{4}"")),VALUE(REGEXEXTRACT(M$1,""T(\d+)"")),1),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N23" s="71">
        <f>IFERROR(__xludf.DUMMYFUNCTION("LET(
  monthStart,DATE(VALUE(REGEXEXTRACT(N$1,""\d{4}"")),VALUE(REGEXEXTRACT(N$1,""T(\d+)"")),1),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O23" s="71">
        <f>IFERROR(__xludf.DUMMYFUNCTION("LET(
  monthStart,DATE(VALUE(REGEXEXTRACT(O$1,""\d{4}"")),VALUE(REGEXEXTRACT(O$1,""T(\d+)"")),1),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P23" s="71">
        <f>IFERROR(__xludf.DUMMYFUNCTION("LET(
  monthStart,DATE(VALUE(REGEXEXTRACT(P$1,""\d{4}"")),VALUE(REGEXEXTRACT(P$1,""T(\d+)"")),1),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Q23" s="71">
        <f>IFERROR(__xludf.DUMMYFUNCTION("LET(
  monthStart,DATE(VALUE(REGEXEXTRACT(Q$1,""\d{4}"")),VALUE(REGEXEXTRACT(Q$1,""T(\d+)"")),1),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R23" s="71">
        <f>IFERROR(__xludf.DUMMYFUNCTION("LET(
  monthStart,DATE(VALUE(REGEXEXTRACT(R$1,""\d{4}"")),VALUE(REGEXEXTRACT(R$1,""T(\d+)"")),1),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S23" s="71">
        <f>IFERROR(__xludf.DUMMYFUNCTION("LET(
  monthStart,DATE(VALUE(REGEXEXTRACT(S$1,""\d{4}"")),VALUE(REGEXEXTRACT(S$1,""T(\d+)"")),1),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T23" s="71">
        <f>IFERROR(__xludf.DUMMYFUNCTION("LET(
  monthStart,DATE(VALUE(REGEXEXTRACT(T$1,""\d{4}"")),VALUE(REGEXEXTRACT(T$1,""T(\d+)"")),1),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U23" s="71">
        <f>IFERROR(__xludf.DUMMYFUNCTION("LET(
  monthStart,DATE(VALUE(REGEXEXTRACT(U$1,""\d{4}"")),VALUE(REGEXEXTRACT(U$1,""T(\d+)"")),1),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V23" s="71">
        <f>IFERROR(__xludf.DUMMYFUNCTION("LET(
  monthStart,DATE(VALUE(REGEXEXTRACT(V$1,""\d{4}"")),VALUE(REGEXEXTRACT(V$1,""T(\d+)"")),1),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W23" s="71">
        <f>IFERROR(__xludf.DUMMYFUNCTION("LET(
  monthStart,DATE(VALUE(REGEXEXTRACT(W$1,""\d{4}"")),VALUE(REGEXEXTRACT(W$1,""T(\d+)"")),1),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X23" s="71">
        <f>IFERROR(__xludf.DUMMYFUNCTION("LET(
  monthStart,DATE(VALUE(REGEXEXTRACT(X$1,""\d{4}"")),VALUE(REGEXEXTRACT(X$1,""T(\d+)"")),1),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Y23" s="71">
        <f>IFERROR(__xludf.DUMMYFUNCTION("LET(
  monthStart,DATE(VALUE(REGEXEXTRACT(Y$1,""\d{4}"")),VALUE(REGEXEXTRACT(Y$1,""T(\d+)"")),1),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AJ23" s="64"/>
      <c r="AK23" s="64"/>
      <c r="AO23" s="64"/>
      <c r="AP23" s="64"/>
      <c r="AT23" s="64"/>
      <c r="AX23" s="64"/>
      <c r="AY23" s="64"/>
      <c r="AZ23" s="64"/>
      <c r="BA23" s="72"/>
      <c r="BB23" s="67"/>
      <c r="BC23" s="67"/>
      <c r="BD23" s="66"/>
      <c r="BH23" s="64"/>
      <c r="BL23" s="64"/>
      <c r="BM23" s="64"/>
      <c r="BN23" s="64"/>
    </row>
    <row r="24" ht="30.0" customHeight="1">
      <c r="A24" s="49"/>
      <c r="B24" s="68"/>
      <c r="C24" s="73"/>
      <c r="D24" s="69"/>
      <c r="E24" s="69"/>
      <c r="F24" s="70"/>
      <c r="G24" s="71">
        <f>IFERROR(__xludf.DUMMYFUNCTION("LET(
  monthStart,DATE(VALUE(REGEXEXTRACT(G$1,""\d{4}"")),VALUE(REGEXEXTRACT(G$1,""T(\d+)"")),1),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H24" s="71">
        <f>IFERROR(__xludf.DUMMYFUNCTION("LET(
  monthStart,DATE(VALUE(REGEXEXTRACT(H$1,""\d{4}"")),VALUE(REGEXEXTRACT(H$1,""T(\d+)"")),1),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I24" s="71">
        <f>IFERROR(__xludf.DUMMYFUNCTION("LET(
  monthStart,DATE(VALUE(REGEXEXTRACT(I$1,""\d{4}"")),VALUE(REGEXEXTRACT(I$1,""T(\d+)"")),1),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J24" s="71">
        <f>IFERROR(__xludf.DUMMYFUNCTION("LET(
  monthStart,DATE(VALUE(REGEXEXTRACT(J$1,""\d{4}"")),VALUE(REGEXEXTRACT(J$1,""T(\d+)"")),1),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K24" s="71">
        <f>IFERROR(__xludf.DUMMYFUNCTION("LET(
  monthStart,DATE(VALUE(REGEXEXTRACT(K$1,""\d{4}"")),VALUE(REGEXEXTRACT(K$1,""T(\d+)"")),1),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L24" s="71">
        <f>IFERROR(__xludf.DUMMYFUNCTION("LET(
  monthStart,DATE(VALUE(REGEXEXTRACT(L$1,""\d{4}"")),VALUE(REGEXEXTRACT(L$1,""T(\d+)"")),1),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M24" s="71">
        <f>IFERROR(__xludf.DUMMYFUNCTION("LET(
  monthStart,DATE(VALUE(REGEXEXTRACT(M$1,""\d{4}"")),VALUE(REGEXEXTRACT(M$1,""T(\d+)"")),1),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N24" s="71">
        <f>IFERROR(__xludf.DUMMYFUNCTION("LET(
  monthStart,DATE(VALUE(REGEXEXTRACT(N$1,""\d{4}"")),VALUE(REGEXEXTRACT(N$1,""T(\d+)"")),1),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O24" s="71">
        <f>IFERROR(__xludf.DUMMYFUNCTION("LET(
  monthStart,DATE(VALUE(REGEXEXTRACT(O$1,""\d{4}"")),VALUE(REGEXEXTRACT(O$1,""T(\d+)"")),1),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P24" s="71">
        <f>IFERROR(__xludf.DUMMYFUNCTION("LET(
  monthStart,DATE(VALUE(REGEXEXTRACT(P$1,""\d{4}"")),VALUE(REGEXEXTRACT(P$1,""T(\d+)"")),1),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Q24" s="71">
        <f>IFERROR(__xludf.DUMMYFUNCTION("LET(
  monthStart,DATE(VALUE(REGEXEXTRACT(Q$1,""\d{4}"")),VALUE(REGEXEXTRACT(Q$1,""T(\d+)"")),1),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R24" s="71">
        <f>IFERROR(__xludf.DUMMYFUNCTION("LET(
  monthStart,DATE(VALUE(REGEXEXTRACT(R$1,""\d{4}"")),VALUE(REGEXEXTRACT(R$1,""T(\d+)"")),1),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S24" s="71">
        <f>IFERROR(__xludf.DUMMYFUNCTION("LET(
  monthStart,DATE(VALUE(REGEXEXTRACT(S$1,""\d{4}"")),VALUE(REGEXEXTRACT(S$1,""T(\d+)"")),1),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T24" s="71">
        <f>IFERROR(__xludf.DUMMYFUNCTION("LET(
  monthStart,DATE(VALUE(REGEXEXTRACT(T$1,""\d{4}"")),VALUE(REGEXEXTRACT(T$1,""T(\d+)"")),1),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U24" s="71">
        <f>IFERROR(__xludf.DUMMYFUNCTION("LET(
  monthStart,DATE(VALUE(REGEXEXTRACT(U$1,""\d{4}"")),VALUE(REGEXEXTRACT(U$1,""T(\d+)"")),1),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V24" s="71">
        <f>IFERROR(__xludf.DUMMYFUNCTION("LET(
  monthStart,DATE(VALUE(REGEXEXTRACT(V$1,""\d{4}"")),VALUE(REGEXEXTRACT(V$1,""T(\d+)"")),1),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W24" s="71">
        <f>IFERROR(__xludf.DUMMYFUNCTION("LET(
  monthStart,DATE(VALUE(REGEXEXTRACT(W$1,""\d{4}"")),VALUE(REGEXEXTRACT(W$1,""T(\d+)"")),1),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X24" s="71">
        <f>IFERROR(__xludf.DUMMYFUNCTION("LET(
  monthStart,DATE(VALUE(REGEXEXTRACT(X$1,""\d{4}"")),VALUE(REGEXEXTRACT(X$1,""T(\d+)"")),1),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Y24" s="71">
        <f>IFERROR(__xludf.DUMMYFUNCTION("LET(
  monthStart,DATE(VALUE(REGEXEXTRACT(Y$1,""\d{4}"")),VALUE(REGEXEXTRACT(Y$1,""T(\d+)"")),1),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AJ24" s="64"/>
      <c r="AK24" s="64"/>
      <c r="AO24" s="64"/>
      <c r="AP24" s="64"/>
      <c r="AT24" s="64"/>
      <c r="AX24" s="64"/>
      <c r="AY24" s="64"/>
      <c r="AZ24" s="64"/>
      <c r="BA24" s="72"/>
      <c r="BB24" s="67"/>
      <c r="BC24" s="67"/>
      <c r="BD24" s="66"/>
      <c r="BH24" s="64"/>
      <c r="BL24" s="64"/>
      <c r="BM24" s="64"/>
      <c r="BN24" s="64"/>
    </row>
    <row r="25" ht="30.0" customHeight="1">
      <c r="A25" s="49"/>
      <c r="B25" s="68"/>
      <c r="C25" s="73"/>
      <c r="D25" s="69"/>
      <c r="E25" s="69"/>
      <c r="F25" s="70"/>
      <c r="G25" s="71">
        <f>IFERROR(__xludf.DUMMYFUNCTION("LET(
  monthStart,DATE(VALUE(REGEXEXTRACT(G$1,""\d{4}"")),VALUE(REGEXEXTRACT(G$1,""T(\d+)"")),1),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H25" s="71">
        <f>IFERROR(__xludf.DUMMYFUNCTION("LET(
  monthStart,DATE(VALUE(REGEXEXTRACT(H$1,""\d{4}"")),VALUE(REGEXEXTRACT(H$1,""T(\d+)"")),1),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I25" s="71">
        <f>IFERROR(__xludf.DUMMYFUNCTION("LET(
  monthStart,DATE(VALUE(REGEXEXTRACT(I$1,""\d{4}"")),VALUE(REGEXEXTRACT(I$1,""T(\d+)"")),1),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J25" s="71">
        <f>IFERROR(__xludf.DUMMYFUNCTION("LET(
  monthStart,DATE(VALUE(REGEXEXTRACT(J$1,""\d{4}"")),VALUE(REGEXEXTRACT(J$1,""T(\d+)"")),1),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K25" s="71">
        <f>IFERROR(__xludf.DUMMYFUNCTION("LET(
  monthStart,DATE(VALUE(REGEXEXTRACT(K$1,""\d{4}"")),VALUE(REGEXEXTRACT(K$1,""T(\d+)"")),1),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L25" s="71">
        <f>IFERROR(__xludf.DUMMYFUNCTION("LET(
  monthStart,DATE(VALUE(REGEXEXTRACT(L$1,""\d{4}"")),VALUE(REGEXEXTRACT(L$1,""T(\d+)"")),1),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M25" s="71">
        <f>IFERROR(__xludf.DUMMYFUNCTION("LET(
  monthStart,DATE(VALUE(REGEXEXTRACT(M$1,""\d{4}"")),VALUE(REGEXEXTRACT(M$1,""T(\d+)"")),1),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N25" s="71">
        <f>IFERROR(__xludf.DUMMYFUNCTION("LET(
  monthStart,DATE(VALUE(REGEXEXTRACT(N$1,""\d{4}"")),VALUE(REGEXEXTRACT(N$1,""T(\d+)"")),1),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O25" s="71">
        <f>IFERROR(__xludf.DUMMYFUNCTION("LET(
  monthStart,DATE(VALUE(REGEXEXTRACT(O$1,""\d{4}"")),VALUE(REGEXEXTRACT(O$1,""T(\d+)"")),1),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P25" s="71">
        <f>IFERROR(__xludf.DUMMYFUNCTION("LET(
  monthStart,DATE(VALUE(REGEXEXTRACT(P$1,""\d{4}"")),VALUE(REGEXEXTRACT(P$1,""T(\d+)"")),1),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Q25" s="71">
        <f>IFERROR(__xludf.DUMMYFUNCTION("LET(
  monthStart,DATE(VALUE(REGEXEXTRACT(Q$1,""\d{4}"")),VALUE(REGEXEXTRACT(Q$1,""T(\d+)"")),1),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R25" s="71">
        <f>IFERROR(__xludf.DUMMYFUNCTION("LET(
  monthStart,DATE(VALUE(REGEXEXTRACT(R$1,""\d{4}"")),VALUE(REGEXEXTRACT(R$1,""T(\d+)"")),1),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S25" s="71">
        <f>IFERROR(__xludf.DUMMYFUNCTION("LET(
  monthStart,DATE(VALUE(REGEXEXTRACT(S$1,""\d{4}"")),VALUE(REGEXEXTRACT(S$1,""T(\d+)"")),1),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T25" s="71">
        <f>IFERROR(__xludf.DUMMYFUNCTION("LET(
  monthStart,DATE(VALUE(REGEXEXTRACT(T$1,""\d{4}"")),VALUE(REGEXEXTRACT(T$1,""T(\d+)"")),1),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U25" s="71">
        <f>IFERROR(__xludf.DUMMYFUNCTION("LET(
  monthStart,DATE(VALUE(REGEXEXTRACT(U$1,""\d{4}"")),VALUE(REGEXEXTRACT(U$1,""T(\d+)"")),1),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V25" s="71">
        <f>IFERROR(__xludf.DUMMYFUNCTION("LET(
  monthStart,DATE(VALUE(REGEXEXTRACT(V$1,""\d{4}"")),VALUE(REGEXEXTRACT(V$1,""T(\d+)"")),1),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W25" s="71">
        <f>IFERROR(__xludf.DUMMYFUNCTION("LET(
  monthStart,DATE(VALUE(REGEXEXTRACT(W$1,""\d{4}"")),VALUE(REGEXEXTRACT(W$1,""T(\d+)"")),1),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X25" s="71">
        <f>IFERROR(__xludf.DUMMYFUNCTION("LET(
  monthStart,DATE(VALUE(REGEXEXTRACT(X$1,""\d{4}"")),VALUE(REGEXEXTRACT(X$1,""T(\d+)"")),1),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Y25" s="71">
        <f>IFERROR(__xludf.DUMMYFUNCTION("LET(
  monthStart,DATE(VALUE(REGEXEXTRACT(Y$1,""\d{4}"")),VALUE(REGEXEXTRACT(Y$1,""T(\d+)"")),1),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AJ25" s="64"/>
      <c r="AK25" s="64"/>
      <c r="AO25" s="64"/>
      <c r="AP25" s="64"/>
      <c r="AT25" s="64"/>
      <c r="AX25" s="64"/>
      <c r="AY25" s="64"/>
      <c r="AZ25" s="64"/>
      <c r="BA25" s="72"/>
      <c r="BB25" s="67"/>
      <c r="BC25" s="67"/>
      <c r="BD25" s="66"/>
      <c r="BH25" s="64"/>
      <c r="BL25" s="64"/>
      <c r="BM25" s="64"/>
      <c r="BN25" s="64"/>
    </row>
    <row r="26" ht="30.0" customHeight="1">
      <c r="A26" s="49"/>
      <c r="B26" s="68"/>
      <c r="C26" s="73"/>
      <c r="D26" s="69"/>
      <c r="E26" s="69"/>
      <c r="F26" s="70"/>
      <c r="G26" s="71">
        <f>IFERROR(__xludf.DUMMYFUNCTION("LET(
  monthStart,DATE(VALUE(REGEXEXTRACT(G$1,""\d{4}"")),VALUE(REGEXEXTRACT(G$1,""T(\d+)"")),1),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H26" s="71">
        <f>IFERROR(__xludf.DUMMYFUNCTION("LET(
  monthStart,DATE(VALUE(REGEXEXTRACT(H$1,""\d{4}"")),VALUE(REGEXEXTRACT(H$1,""T(\d+)"")),1),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I26" s="71">
        <f>IFERROR(__xludf.DUMMYFUNCTION("LET(
  monthStart,DATE(VALUE(REGEXEXTRACT(I$1,""\d{4}"")),VALUE(REGEXEXTRACT(I$1,""T(\d+)"")),1),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J26" s="71">
        <f>IFERROR(__xludf.DUMMYFUNCTION("LET(
  monthStart,DATE(VALUE(REGEXEXTRACT(J$1,""\d{4}"")),VALUE(REGEXEXTRACT(J$1,""T(\d+)"")),1),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K26" s="71">
        <f>IFERROR(__xludf.DUMMYFUNCTION("LET(
  monthStart,DATE(VALUE(REGEXEXTRACT(K$1,""\d{4}"")),VALUE(REGEXEXTRACT(K$1,""T(\d+)"")),1),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L26" s="71">
        <f>IFERROR(__xludf.DUMMYFUNCTION("LET(
  monthStart,DATE(VALUE(REGEXEXTRACT(L$1,""\d{4}"")),VALUE(REGEXEXTRACT(L$1,""T(\d+)"")),1),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M26" s="71">
        <f>IFERROR(__xludf.DUMMYFUNCTION("LET(
  monthStart,DATE(VALUE(REGEXEXTRACT(M$1,""\d{4}"")),VALUE(REGEXEXTRACT(M$1,""T(\d+)"")),1),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N26" s="71">
        <f>IFERROR(__xludf.DUMMYFUNCTION("LET(
  monthStart,DATE(VALUE(REGEXEXTRACT(N$1,""\d{4}"")),VALUE(REGEXEXTRACT(N$1,""T(\d+)"")),1),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O26" s="71">
        <f>IFERROR(__xludf.DUMMYFUNCTION("LET(
  monthStart,DATE(VALUE(REGEXEXTRACT(O$1,""\d{4}"")),VALUE(REGEXEXTRACT(O$1,""T(\d+)"")),1),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P26" s="71">
        <f>IFERROR(__xludf.DUMMYFUNCTION("LET(
  monthStart,DATE(VALUE(REGEXEXTRACT(P$1,""\d{4}"")),VALUE(REGEXEXTRACT(P$1,""T(\d+)"")),1),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Q26" s="71">
        <f>IFERROR(__xludf.DUMMYFUNCTION("LET(
  monthStart,DATE(VALUE(REGEXEXTRACT(Q$1,""\d{4}"")),VALUE(REGEXEXTRACT(Q$1,""T(\d+)"")),1),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R26" s="71">
        <f>IFERROR(__xludf.DUMMYFUNCTION("LET(
  monthStart,DATE(VALUE(REGEXEXTRACT(R$1,""\d{4}"")),VALUE(REGEXEXTRACT(R$1,""T(\d+)"")),1),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S26" s="71">
        <f>IFERROR(__xludf.DUMMYFUNCTION("LET(
  monthStart,DATE(VALUE(REGEXEXTRACT(S$1,""\d{4}"")),VALUE(REGEXEXTRACT(S$1,""T(\d+)"")),1),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T26" s="71">
        <f>IFERROR(__xludf.DUMMYFUNCTION("LET(
  monthStart,DATE(VALUE(REGEXEXTRACT(T$1,""\d{4}"")),VALUE(REGEXEXTRACT(T$1,""T(\d+)"")),1),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U26" s="71">
        <f>IFERROR(__xludf.DUMMYFUNCTION("LET(
  monthStart,DATE(VALUE(REGEXEXTRACT(U$1,""\d{4}"")),VALUE(REGEXEXTRACT(U$1,""T(\d+)"")),1),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V26" s="71">
        <f>IFERROR(__xludf.DUMMYFUNCTION("LET(
  monthStart,DATE(VALUE(REGEXEXTRACT(V$1,""\d{4}"")),VALUE(REGEXEXTRACT(V$1,""T(\d+)"")),1),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W26" s="71">
        <f>IFERROR(__xludf.DUMMYFUNCTION("LET(
  monthStart,DATE(VALUE(REGEXEXTRACT(W$1,""\d{4}"")),VALUE(REGEXEXTRACT(W$1,""T(\d+)"")),1),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X26" s="71">
        <f>IFERROR(__xludf.DUMMYFUNCTION("LET(
  monthStart,DATE(VALUE(REGEXEXTRACT(X$1,""\d{4}"")),VALUE(REGEXEXTRACT(X$1,""T(\d+)"")),1),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Y26" s="71">
        <f>IFERROR(__xludf.DUMMYFUNCTION("LET(
  monthStart,DATE(VALUE(REGEXEXTRACT(Y$1,""\d{4}"")),VALUE(REGEXEXTRACT(Y$1,""T(\d+)"")),1),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AJ26" s="64"/>
      <c r="AK26" s="64"/>
      <c r="AO26" s="64"/>
      <c r="AP26" s="64"/>
      <c r="AT26" s="64"/>
      <c r="AX26" s="64"/>
      <c r="AY26" s="64"/>
      <c r="AZ26" s="64"/>
      <c r="BA26" s="72"/>
      <c r="BB26" s="67"/>
      <c r="BC26" s="67"/>
      <c r="BD26" s="66"/>
      <c r="BH26" s="64"/>
      <c r="BL26" s="64"/>
      <c r="BM26" s="64"/>
      <c r="BN26" s="64"/>
    </row>
    <row r="27" ht="30.0" customHeight="1">
      <c r="A27" s="49"/>
      <c r="B27" s="68"/>
      <c r="C27" s="73"/>
      <c r="D27" s="69"/>
      <c r="E27" s="69"/>
      <c r="F27" s="70"/>
      <c r="G27" s="71">
        <f>IFERROR(__xludf.DUMMYFUNCTION("LET(
  monthStart,DATE(VALUE(REGEXEXTRACT(G$1,""\d{4}"")),VALUE(REGEXEXTRACT(G$1,""T(\d+)"")),1),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H27" s="71">
        <f>IFERROR(__xludf.DUMMYFUNCTION("LET(
  monthStart,DATE(VALUE(REGEXEXTRACT(H$1,""\d{4}"")),VALUE(REGEXEXTRACT(H$1,""T(\d+)"")),1),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I27" s="71">
        <f>IFERROR(__xludf.DUMMYFUNCTION("LET(
  monthStart,DATE(VALUE(REGEXEXTRACT(I$1,""\d{4}"")),VALUE(REGEXEXTRACT(I$1,""T(\d+)"")),1),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J27" s="71">
        <f>IFERROR(__xludf.DUMMYFUNCTION("LET(
  monthStart,DATE(VALUE(REGEXEXTRACT(J$1,""\d{4}"")),VALUE(REGEXEXTRACT(J$1,""T(\d+)"")),1),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K27" s="71">
        <f>IFERROR(__xludf.DUMMYFUNCTION("LET(
  monthStart,DATE(VALUE(REGEXEXTRACT(K$1,""\d{4}"")),VALUE(REGEXEXTRACT(K$1,""T(\d+)"")),1),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L27" s="71">
        <f>IFERROR(__xludf.DUMMYFUNCTION("LET(
  monthStart,DATE(VALUE(REGEXEXTRACT(L$1,""\d{4}"")),VALUE(REGEXEXTRACT(L$1,""T(\d+)"")),1),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M27" s="71">
        <f>IFERROR(__xludf.DUMMYFUNCTION("LET(
  monthStart,DATE(VALUE(REGEXEXTRACT(M$1,""\d{4}"")),VALUE(REGEXEXTRACT(M$1,""T(\d+)"")),1),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N27" s="71">
        <f>IFERROR(__xludf.DUMMYFUNCTION("LET(
  monthStart,DATE(VALUE(REGEXEXTRACT(N$1,""\d{4}"")),VALUE(REGEXEXTRACT(N$1,""T(\d+)"")),1),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O27" s="71">
        <f>IFERROR(__xludf.DUMMYFUNCTION("LET(
  monthStart,DATE(VALUE(REGEXEXTRACT(O$1,""\d{4}"")),VALUE(REGEXEXTRACT(O$1,""T(\d+)"")),1),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P27" s="71">
        <f>IFERROR(__xludf.DUMMYFUNCTION("LET(
  monthStart,DATE(VALUE(REGEXEXTRACT(P$1,""\d{4}"")),VALUE(REGEXEXTRACT(P$1,""T(\d+)"")),1),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Q27" s="71">
        <f>IFERROR(__xludf.DUMMYFUNCTION("LET(
  monthStart,DATE(VALUE(REGEXEXTRACT(Q$1,""\d{4}"")),VALUE(REGEXEXTRACT(Q$1,""T(\d+)"")),1),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R27" s="71">
        <f>IFERROR(__xludf.DUMMYFUNCTION("LET(
  monthStart,DATE(VALUE(REGEXEXTRACT(R$1,""\d{4}"")),VALUE(REGEXEXTRACT(R$1,""T(\d+)"")),1),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S27" s="71">
        <f>IFERROR(__xludf.DUMMYFUNCTION("LET(
  monthStart,DATE(VALUE(REGEXEXTRACT(S$1,""\d{4}"")),VALUE(REGEXEXTRACT(S$1,""T(\d+)"")),1),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T27" s="71">
        <f>IFERROR(__xludf.DUMMYFUNCTION("LET(
  monthStart,DATE(VALUE(REGEXEXTRACT(T$1,""\d{4}"")),VALUE(REGEXEXTRACT(T$1,""T(\d+)"")),1),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U27" s="71">
        <f>IFERROR(__xludf.DUMMYFUNCTION("LET(
  monthStart,DATE(VALUE(REGEXEXTRACT(U$1,""\d{4}"")),VALUE(REGEXEXTRACT(U$1,""T(\d+)"")),1),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V27" s="71">
        <f>IFERROR(__xludf.DUMMYFUNCTION("LET(
  monthStart,DATE(VALUE(REGEXEXTRACT(V$1,""\d{4}"")),VALUE(REGEXEXTRACT(V$1,""T(\d+)"")),1),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W27" s="71">
        <f>IFERROR(__xludf.DUMMYFUNCTION("LET(
  monthStart,DATE(VALUE(REGEXEXTRACT(W$1,""\d{4}"")),VALUE(REGEXEXTRACT(W$1,""T(\d+)"")),1),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X27" s="71">
        <f>IFERROR(__xludf.DUMMYFUNCTION("LET(
  monthStart,DATE(VALUE(REGEXEXTRACT(X$1,""\d{4}"")),VALUE(REGEXEXTRACT(X$1,""T(\d+)"")),1),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Y27" s="71">
        <f>IFERROR(__xludf.DUMMYFUNCTION("LET(
  monthStart,DATE(VALUE(REGEXEXTRACT(Y$1,""\d{4}"")),VALUE(REGEXEXTRACT(Y$1,""T(\d+)"")),1),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AJ27" s="64"/>
      <c r="AK27" s="64"/>
      <c r="AO27" s="64"/>
      <c r="AP27" s="64"/>
      <c r="AT27" s="64"/>
      <c r="AX27" s="64"/>
      <c r="AY27" s="64"/>
      <c r="AZ27" s="64"/>
      <c r="BA27" s="72"/>
      <c r="BB27" s="67"/>
      <c r="BC27" s="67"/>
      <c r="BD27" s="66"/>
      <c r="BH27" s="64"/>
      <c r="BL27" s="64"/>
      <c r="BM27" s="64"/>
      <c r="BN27" s="64"/>
    </row>
    <row r="28" ht="30.0" customHeight="1">
      <c r="A28" s="49"/>
      <c r="B28" s="68"/>
      <c r="C28" s="73"/>
      <c r="D28" s="69"/>
      <c r="E28" s="69"/>
      <c r="F28" s="70"/>
      <c r="G28" s="71">
        <f>IFERROR(__xludf.DUMMYFUNCTION("LET(
  monthStart,DATE(VALUE(REGEXEXTRACT(G$1,""\d{4}"")),VALUE(REGEXEXTRACT(G$1,""T(\d+)"")),1),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H28" s="71">
        <f>IFERROR(__xludf.DUMMYFUNCTION("LET(
  monthStart,DATE(VALUE(REGEXEXTRACT(H$1,""\d{4}"")),VALUE(REGEXEXTRACT(H$1,""T(\d+)"")),1),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I28" s="71">
        <f>IFERROR(__xludf.DUMMYFUNCTION("LET(
  monthStart,DATE(VALUE(REGEXEXTRACT(I$1,""\d{4}"")),VALUE(REGEXEXTRACT(I$1,""T(\d+)"")),1),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J28" s="71">
        <f>IFERROR(__xludf.DUMMYFUNCTION("LET(
  monthStart,DATE(VALUE(REGEXEXTRACT(J$1,""\d{4}"")),VALUE(REGEXEXTRACT(J$1,""T(\d+)"")),1),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K28" s="71">
        <f>IFERROR(__xludf.DUMMYFUNCTION("LET(
  monthStart,DATE(VALUE(REGEXEXTRACT(K$1,""\d{4}"")),VALUE(REGEXEXTRACT(K$1,""T(\d+)"")),1),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L28" s="71">
        <f>IFERROR(__xludf.DUMMYFUNCTION("LET(
  monthStart,DATE(VALUE(REGEXEXTRACT(L$1,""\d{4}"")),VALUE(REGEXEXTRACT(L$1,""T(\d+)"")),1),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M28" s="71">
        <f>IFERROR(__xludf.DUMMYFUNCTION("LET(
  monthStart,DATE(VALUE(REGEXEXTRACT(M$1,""\d{4}"")),VALUE(REGEXEXTRACT(M$1,""T(\d+)"")),1),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N28" s="71">
        <f>IFERROR(__xludf.DUMMYFUNCTION("LET(
  monthStart,DATE(VALUE(REGEXEXTRACT(N$1,""\d{4}"")),VALUE(REGEXEXTRACT(N$1,""T(\d+)"")),1),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O28" s="71">
        <f>IFERROR(__xludf.DUMMYFUNCTION("LET(
  monthStart,DATE(VALUE(REGEXEXTRACT(O$1,""\d{4}"")),VALUE(REGEXEXTRACT(O$1,""T(\d+)"")),1),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P28" s="71">
        <f>IFERROR(__xludf.DUMMYFUNCTION("LET(
  monthStart,DATE(VALUE(REGEXEXTRACT(P$1,""\d{4}"")),VALUE(REGEXEXTRACT(P$1,""T(\d+)"")),1),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Q28" s="71">
        <f>IFERROR(__xludf.DUMMYFUNCTION("LET(
  monthStart,DATE(VALUE(REGEXEXTRACT(Q$1,""\d{4}"")),VALUE(REGEXEXTRACT(Q$1,""T(\d+)"")),1),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R28" s="71">
        <f>IFERROR(__xludf.DUMMYFUNCTION("LET(
  monthStart,DATE(VALUE(REGEXEXTRACT(R$1,""\d{4}"")),VALUE(REGEXEXTRACT(R$1,""T(\d+)"")),1),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S28" s="71">
        <f>IFERROR(__xludf.DUMMYFUNCTION("LET(
  monthStart,DATE(VALUE(REGEXEXTRACT(S$1,""\d{4}"")),VALUE(REGEXEXTRACT(S$1,""T(\d+)"")),1),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T28" s="71">
        <f>IFERROR(__xludf.DUMMYFUNCTION("LET(
  monthStart,DATE(VALUE(REGEXEXTRACT(T$1,""\d{4}"")),VALUE(REGEXEXTRACT(T$1,""T(\d+)"")),1),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U28" s="71">
        <f>IFERROR(__xludf.DUMMYFUNCTION("LET(
  monthStart,DATE(VALUE(REGEXEXTRACT(U$1,""\d{4}"")),VALUE(REGEXEXTRACT(U$1,""T(\d+)"")),1),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V28" s="71">
        <f>IFERROR(__xludf.DUMMYFUNCTION("LET(
  monthStart,DATE(VALUE(REGEXEXTRACT(V$1,""\d{4}"")),VALUE(REGEXEXTRACT(V$1,""T(\d+)"")),1),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W28" s="71">
        <f>IFERROR(__xludf.DUMMYFUNCTION("LET(
  monthStart,DATE(VALUE(REGEXEXTRACT(W$1,""\d{4}"")),VALUE(REGEXEXTRACT(W$1,""T(\d+)"")),1),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X28" s="71">
        <f>IFERROR(__xludf.DUMMYFUNCTION("LET(
  monthStart,DATE(VALUE(REGEXEXTRACT(X$1,""\d{4}"")),VALUE(REGEXEXTRACT(X$1,""T(\d+)"")),1),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Y28" s="71">
        <f>IFERROR(__xludf.DUMMYFUNCTION("LET(
  monthStart,DATE(VALUE(REGEXEXTRACT(Y$1,""\d{4}"")),VALUE(REGEXEXTRACT(Y$1,""T(\d+)"")),1),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AJ28" s="64"/>
      <c r="AK28" s="64"/>
      <c r="AO28" s="64"/>
      <c r="AP28" s="64"/>
      <c r="AT28" s="64"/>
      <c r="AX28" s="64"/>
      <c r="AY28" s="64"/>
      <c r="AZ28" s="64"/>
      <c r="BA28" s="72"/>
      <c r="BB28" s="67"/>
      <c r="BC28" s="67"/>
      <c r="BD28" s="66"/>
      <c r="BH28" s="64"/>
      <c r="BL28" s="64"/>
      <c r="BM28" s="64"/>
      <c r="BN28" s="64"/>
    </row>
    <row r="29" ht="30.0" customHeight="1">
      <c r="A29" s="49"/>
      <c r="B29" s="68"/>
      <c r="C29" s="73"/>
      <c r="D29" s="69"/>
      <c r="E29" s="69"/>
      <c r="F29" s="70"/>
      <c r="G29" s="71">
        <f>IFERROR(__xludf.DUMMYFUNCTION("LET(
  monthStart,DATE(VALUE(REGEXEXTRACT(G$1,""\d{4}"")),VALUE(REGEXEXTRACT(G$1,""T(\d+)"")),1),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H29" s="71">
        <f>IFERROR(__xludf.DUMMYFUNCTION("LET(
  monthStart,DATE(VALUE(REGEXEXTRACT(H$1,""\d{4}"")),VALUE(REGEXEXTRACT(H$1,""T(\d+)"")),1),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I29" s="71">
        <f>IFERROR(__xludf.DUMMYFUNCTION("LET(
  monthStart,DATE(VALUE(REGEXEXTRACT(I$1,""\d{4}"")),VALUE(REGEXEXTRACT(I$1,""T(\d+)"")),1),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J29" s="71">
        <f>IFERROR(__xludf.DUMMYFUNCTION("LET(
  monthStart,DATE(VALUE(REGEXEXTRACT(J$1,""\d{4}"")),VALUE(REGEXEXTRACT(J$1,""T(\d+)"")),1),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K29" s="71">
        <f>IFERROR(__xludf.DUMMYFUNCTION("LET(
  monthStart,DATE(VALUE(REGEXEXTRACT(K$1,""\d{4}"")),VALUE(REGEXEXTRACT(K$1,""T(\d+)"")),1),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L29" s="71">
        <f>IFERROR(__xludf.DUMMYFUNCTION("LET(
  monthStart,DATE(VALUE(REGEXEXTRACT(L$1,""\d{4}"")),VALUE(REGEXEXTRACT(L$1,""T(\d+)"")),1),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M29" s="71">
        <f>IFERROR(__xludf.DUMMYFUNCTION("LET(
  monthStart,DATE(VALUE(REGEXEXTRACT(M$1,""\d{4}"")),VALUE(REGEXEXTRACT(M$1,""T(\d+)"")),1),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N29" s="71">
        <f>IFERROR(__xludf.DUMMYFUNCTION("LET(
  monthStart,DATE(VALUE(REGEXEXTRACT(N$1,""\d{4}"")),VALUE(REGEXEXTRACT(N$1,""T(\d+)"")),1),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O29" s="71">
        <f>IFERROR(__xludf.DUMMYFUNCTION("LET(
  monthStart,DATE(VALUE(REGEXEXTRACT(O$1,""\d{4}"")),VALUE(REGEXEXTRACT(O$1,""T(\d+)"")),1),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P29" s="71">
        <f>IFERROR(__xludf.DUMMYFUNCTION("LET(
  monthStart,DATE(VALUE(REGEXEXTRACT(P$1,""\d{4}"")),VALUE(REGEXEXTRACT(P$1,""T(\d+)"")),1),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Q29" s="71">
        <f>IFERROR(__xludf.DUMMYFUNCTION("LET(
  monthStart,DATE(VALUE(REGEXEXTRACT(Q$1,""\d{4}"")),VALUE(REGEXEXTRACT(Q$1,""T(\d+)"")),1),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R29" s="71">
        <f>IFERROR(__xludf.DUMMYFUNCTION("LET(
  monthStart,DATE(VALUE(REGEXEXTRACT(R$1,""\d{4}"")),VALUE(REGEXEXTRACT(R$1,""T(\d+)"")),1),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S29" s="71">
        <f>IFERROR(__xludf.DUMMYFUNCTION("LET(
  monthStart,DATE(VALUE(REGEXEXTRACT(S$1,""\d{4}"")),VALUE(REGEXEXTRACT(S$1,""T(\d+)"")),1),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T29" s="71">
        <f>IFERROR(__xludf.DUMMYFUNCTION("LET(
  monthStart,DATE(VALUE(REGEXEXTRACT(T$1,""\d{4}"")),VALUE(REGEXEXTRACT(T$1,""T(\d+)"")),1),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U29" s="71">
        <f>IFERROR(__xludf.DUMMYFUNCTION("LET(
  monthStart,DATE(VALUE(REGEXEXTRACT(U$1,""\d{4}"")),VALUE(REGEXEXTRACT(U$1,""T(\d+)"")),1),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V29" s="71">
        <f>IFERROR(__xludf.DUMMYFUNCTION("LET(
  monthStart,DATE(VALUE(REGEXEXTRACT(V$1,""\d{4}"")),VALUE(REGEXEXTRACT(V$1,""T(\d+)"")),1),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W29" s="71">
        <f>IFERROR(__xludf.DUMMYFUNCTION("LET(
  monthStart,DATE(VALUE(REGEXEXTRACT(W$1,""\d{4}"")),VALUE(REGEXEXTRACT(W$1,""T(\d+)"")),1),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X29" s="71">
        <f>IFERROR(__xludf.DUMMYFUNCTION("LET(
  monthStart,DATE(VALUE(REGEXEXTRACT(X$1,""\d{4}"")),VALUE(REGEXEXTRACT(X$1,""T(\d+)"")),1),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Y29" s="71">
        <f>IFERROR(__xludf.DUMMYFUNCTION("LET(
  monthStart,DATE(VALUE(REGEXEXTRACT(Y$1,""\d{4}"")),VALUE(REGEXEXTRACT(Y$1,""T(\d+)"")),1),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AJ29" s="64"/>
      <c r="AK29" s="64"/>
      <c r="AO29" s="64"/>
      <c r="AP29" s="64"/>
      <c r="AT29" s="64"/>
      <c r="AX29" s="64"/>
      <c r="AY29" s="64"/>
      <c r="AZ29" s="64"/>
      <c r="BA29" s="72"/>
      <c r="BB29" s="67"/>
      <c r="BC29" s="67"/>
      <c r="BD29" s="66"/>
      <c r="BH29" s="64"/>
      <c r="BI29" s="64"/>
      <c r="BJ29" s="64"/>
      <c r="BK29" s="64"/>
      <c r="BL29" s="64"/>
      <c r="BM29" s="64"/>
      <c r="BN29" s="64"/>
    </row>
    <row r="30" ht="30.0" customHeight="1">
      <c r="A30" s="49"/>
      <c r="B30" s="68"/>
      <c r="C30" s="73"/>
      <c r="D30" s="69"/>
      <c r="E30" s="69"/>
      <c r="F30" s="70"/>
      <c r="G30" s="71">
        <f>IFERROR(__xludf.DUMMYFUNCTION("LET(
  monthStart,DATE(VALUE(REGEXEXTRACT(G$1,""\d{4}"")),VALUE(REGEXEXTRACT(G$1,""T(\d+)"")),1),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H30" s="71">
        <f>IFERROR(__xludf.DUMMYFUNCTION("LET(
  monthStart,DATE(VALUE(REGEXEXTRACT(H$1,""\d{4}"")),VALUE(REGEXEXTRACT(H$1,""T(\d+)"")),1),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I30" s="71">
        <f>IFERROR(__xludf.DUMMYFUNCTION("LET(
  monthStart,DATE(VALUE(REGEXEXTRACT(I$1,""\d{4}"")),VALUE(REGEXEXTRACT(I$1,""T(\d+)"")),1),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J30" s="71">
        <f>IFERROR(__xludf.DUMMYFUNCTION("LET(
  monthStart,DATE(VALUE(REGEXEXTRACT(J$1,""\d{4}"")),VALUE(REGEXEXTRACT(J$1,""T(\d+)"")),1),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K30" s="71">
        <f>IFERROR(__xludf.DUMMYFUNCTION("LET(
  monthStart,DATE(VALUE(REGEXEXTRACT(K$1,""\d{4}"")),VALUE(REGEXEXTRACT(K$1,""T(\d+)"")),1),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L30" s="71">
        <f>IFERROR(__xludf.DUMMYFUNCTION("LET(
  monthStart,DATE(VALUE(REGEXEXTRACT(L$1,""\d{4}"")),VALUE(REGEXEXTRACT(L$1,""T(\d+)"")),1),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M30" s="71">
        <f>IFERROR(__xludf.DUMMYFUNCTION("LET(
  monthStart,DATE(VALUE(REGEXEXTRACT(M$1,""\d{4}"")),VALUE(REGEXEXTRACT(M$1,""T(\d+)"")),1),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N30" s="71">
        <f>IFERROR(__xludf.DUMMYFUNCTION("LET(
  monthStart,DATE(VALUE(REGEXEXTRACT(N$1,""\d{4}"")),VALUE(REGEXEXTRACT(N$1,""T(\d+)"")),1),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O30" s="71">
        <f>IFERROR(__xludf.DUMMYFUNCTION("LET(
  monthStart,DATE(VALUE(REGEXEXTRACT(O$1,""\d{4}"")),VALUE(REGEXEXTRACT(O$1,""T(\d+)"")),1),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P30" s="71">
        <f>IFERROR(__xludf.DUMMYFUNCTION("LET(
  monthStart,DATE(VALUE(REGEXEXTRACT(P$1,""\d{4}"")),VALUE(REGEXEXTRACT(P$1,""T(\d+)"")),1),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Q30" s="71">
        <f>IFERROR(__xludf.DUMMYFUNCTION("LET(
  monthStart,DATE(VALUE(REGEXEXTRACT(Q$1,""\d{4}"")),VALUE(REGEXEXTRACT(Q$1,""T(\d+)"")),1),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R30" s="71">
        <f>IFERROR(__xludf.DUMMYFUNCTION("LET(
  monthStart,DATE(VALUE(REGEXEXTRACT(R$1,""\d{4}"")),VALUE(REGEXEXTRACT(R$1,""T(\d+)"")),1),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S30" s="71">
        <f>IFERROR(__xludf.DUMMYFUNCTION("LET(
  monthStart,DATE(VALUE(REGEXEXTRACT(S$1,""\d{4}"")),VALUE(REGEXEXTRACT(S$1,""T(\d+)"")),1),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T30" s="71">
        <f>IFERROR(__xludf.DUMMYFUNCTION("LET(
  monthStart,DATE(VALUE(REGEXEXTRACT(T$1,""\d{4}"")),VALUE(REGEXEXTRACT(T$1,""T(\d+)"")),1),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U30" s="71">
        <f>IFERROR(__xludf.DUMMYFUNCTION("LET(
  monthStart,DATE(VALUE(REGEXEXTRACT(U$1,""\d{4}"")),VALUE(REGEXEXTRACT(U$1,""T(\d+)"")),1),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V30" s="71">
        <f>IFERROR(__xludf.DUMMYFUNCTION("LET(
  monthStart,DATE(VALUE(REGEXEXTRACT(V$1,""\d{4}"")),VALUE(REGEXEXTRACT(V$1,""T(\d+)"")),1),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W30" s="71">
        <f>IFERROR(__xludf.DUMMYFUNCTION("LET(
  monthStart,DATE(VALUE(REGEXEXTRACT(W$1,""\d{4}"")),VALUE(REGEXEXTRACT(W$1,""T(\d+)"")),1),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X30" s="71">
        <f>IFERROR(__xludf.DUMMYFUNCTION("LET(
  monthStart,DATE(VALUE(REGEXEXTRACT(X$1,""\d{4}"")),VALUE(REGEXEXTRACT(X$1,""T(\d+)"")),1),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Y30" s="71">
        <f>IFERROR(__xludf.DUMMYFUNCTION("LET(
  monthStart,DATE(VALUE(REGEXEXTRACT(Y$1,""\d{4}"")),VALUE(REGEXEXTRACT(Y$1,""T(\d+)"")),1),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AJ30" s="64"/>
      <c r="AK30" s="64"/>
      <c r="AO30" s="64"/>
      <c r="AP30" s="64"/>
      <c r="AT30" s="64"/>
      <c r="AX30" s="64"/>
      <c r="AY30" s="64"/>
      <c r="AZ30" s="64"/>
      <c r="BA30" s="72"/>
      <c r="BB30" s="67"/>
      <c r="BC30" s="67"/>
      <c r="BD30" s="66"/>
      <c r="BH30" s="64"/>
      <c r="BI30" s="64"/>
      <c r="BJ30" s="64"/>
      <c r="BK30" s="64"/>
      <c r="BL30" s="64"/>
      <c r="BM30" s="64"/>
      <c r="BN30" s="64"/>
    </row>
    <row r="31" ht="30.0" customHeight="1">
      <c r="A31" s="49"/>
      <c r="B31" s="68"/>
      <c r="C31" s="73"/>
      <c r="D31" s="69"/>
      <c r="E31" s="69"/>
      <c r="F31" s="70"/>
      <c r="G31" s="71">
        <f>IFERROR(__xludf.DUMMYFUNCTION("LET(
  monthStart,DATE(VALUE(REGEXEXTRACT(G$1,""\d{4}"")),VALUE(REGEXEXTRACT(G$1,""T(\d+)"")),1),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H31" s="71">
        <f>IFERROR(__xludf.DUMMYFUNCTION("LET(
  monthStart,DATE(VALUE(REGEXEXTRACT(H$1,""\d{4}"")),VALUE(REGEXEXTRACT(H$1,""T(\d+)"")),1),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I31" s="71">
        <f>IFERROR(__xludf.DUMMYFUNCTION("LET(
  monthStart,DATE(VALUE(REGEXEXTRACT(I$1,""\d{4}"")),VALUE(REGEXEXTRACT(I$1,""T(\d+)"")),1),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J31" s="71">
        <f>IFERROR(__xludf.DUMMYFUNCTION("LET(
  monthStart,DATE(VALUE(REGEXEXTRACT(J$1,""\d{4}"")),VALUE(REGEXEXTRACT(J$1,""T(\d+)"")),1),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K31" s="71">
        <f>IFERROR(__xludf.DUMMYFUNCTION("LET(
  monthStart,DATE(VALUE(REGEXEXTRACT(K$1,""\d{4}"")),VALUE(REGEXEXTRACT(K$1,""T(\d+)"")),1),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L31" s="71">
        <f>IFERROR(__xludf.DUMMYFUNCTION("LET(
  monthStart,DATE(VALUE(REGEXEXTRACT(L$1,""\d{4}"")),VALUE(REGEXEXTRACT(L$1,""T(\d+)"")),1),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M31" s="71">
        <f>IFERROR(__xludf.DUMMYFUNCTION("LET(
  monthStart,DATE(VALUE(REGEXEXTRACT(M$1,""\d{4}"")),VALUE(REGEXEXTRACT(M$1,""T(\d+)"")),1),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N31" s="71">
        <f>IFERROR(__xludf.DUMMYFUNCTION("LET(
  monthStart,DATE(VALUE(REGEXEXTRACT(N$1,""\d{4}"")),VALUE(REGEXEXTRACT(N$1,""T(\d+)"")),1),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O31" s="71">
        <f>IFERROR(__xludf.DUMMYFUNCTION("LET(
  monthStart,DATE(VALUE(REGEXEXTRACT(O$1,""\d{4}"")),VALUE(REGEXEXTRACT(O$1,""T(\d+)"")),1),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P31" s="71">
        <f>IFERROR(__xludf.DUMMYFUNCTION("LET(
  monthStart,DATE(VALUE(REGEXEXTRACT(P$1,""\d{4}"")),VALUE(REGEXEXTRACT(P$1,""T(\d+)"")),1),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Q31" s="71">
        <f>IFERROR(__xludf.DUMMYFUNCTION("LET(
  monthStart,DATE(VALUE(REGEXEXTRACT(Q$1,""\d{4}"")),VALUE(REGEXEXTRACT(Q$1,""T(\d+)"")),1),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R31" s="71">
        <f>IFERROR(__xludf.DUMMYFUNCTION("LET(
  monthStart,DATE(VALUE(REGEXEXTRACT(R$1,""\d{4}"")),VALUE(REGEXEXTRACT(R$1,""T(\d+)"")),1),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S31" s="71">
        <f>IFERROR(__xludf.DUMMYFUNCTION("LET(
  monthStart,DATE(VALUE(REGEXEXTRACT(S$1,""\d{4}"")),VALUE(REGEXEXTRACT(S$1,""T(\d+)"")),1),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T31" s="71">
        <f>IFERROR(__xludf.DUMMYFUNCTION("LET(
  monthStart,DATE(VALUE(REGEXEXTRACT(T$1,""\d{4}"")),VALUE(REGEXEXTRACT(T$1,""T(\d+)"")),1),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U31" s="71">
        <f>IFERROR(__xludf.DUMMYFUNCTION("LET(
  monthStart,DATE(VALUE(REGEXEXTRACT(U$1,""\d{4}"")),VALUE(REGEXEXTRACT(U$1,""T(\d+)"")),1),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V31" s="71">
        <f>IFERROR(__xludf.DUMMYFUNCTION("LET(
  monthStart,DATE(VALUE(REGEXEXTRACT(V$1,""\d{4}"")),VALUE(REGEXEXTRACT(V$1,""T(\d+)"")),1),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W31" s="71">
        <f>IFERROR(__xludf.DUMMYFUNCTION("LET(
  monthStart,DATE(VALUE(REGEXEXTRACT(W$1,""\d{4}"")),VALUE(REGEXEXTRACT(W$1,""T(\d+)"")),1),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X31" s="71">
        <f>IFERROR(__xludf.DUMMYFUNCTION("LET(
  monthStart,DATE(VALUE(REGEXEXTRACT(X$1,""\d{4}"")),VALUE(REGEXEXTRACT(X$1,""T(\d+)"")),1),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Y31" s="71">
        <f>IFERROR(__xludf.DUMMYFUNCTION("LET(
  monthStart,DATE(VALUE(REGEXEXTRACT(Y$1,""\d{4}"")),VALUE(REGEXEXTRACT(Y$1,""T(\d+)"")),1),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AJ31" s="64"/>
      <c r="AK31" s="64"/>
      <c r="AO31" s="64"/>
      <c r="AP31" s="64"/>
      <c r="AT31" s="64"/>
      <c r="AX31" s="64"/>
      <c r="AY31" s="64"/>
      <c r="AZ31" s="64"/>
      <c r="BA31" s="72"/>
      <c r="BB31" s="67"/>
      <c r="BC31" s="67"/>
      <c r="BD31" s="66"/>
      <c r="BH31" s="64"/>
      <c r="BI31" s="64"/>
      <c r="BJ31" s="64"/>
      <c r="BK31" s="64"/>
      <c r="BL31" s="64"/>
      <c r="BM31" s="64"/>
      <c r="BN31" s="64"/>
    </row>
    <row r="32" ht="30.0" customHeight="1">
      <c r="A32" s="49"/>
      <c r="B32" s="68"/>
      <c r="C32" s="73"/>
      <c r="D32" s="69"/>
      <c r="E32" s="69"/>
      <c r="F32" s="70"/>
      <c r="G32" s="71">
        <f>IFERROR(__xludf.DUMMYFUNCTION("LET(
  monthStart,DATE(VALUE(REGEXEXTRACT(G$1,""\d{4}"")),VALUE(REGEXEXTRACT(G$1,""T(\d+)"")),1),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H32" s="71">
        <f>IFERROR(__xludf.DUMMYFUNCTION("LET(
  monthStart,DATE(VALUE(REGEXEXTRACT(H$1,""\d{4}"")),VALUE(REGEXEXTRACT(H$1,""T(\d+)"")),1),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I32" s="71">
        <f>IFERROR(__xludf.DUMMYFUNCTION("LET(
  monthStart,DATE(VALUE(REGEXEXTRACT(I$1,""\d{4}"")),VALUE(REGEXEXTRACT(I$1,""T(\d+)"")),1),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J32" s="71">
        <f>IFERROR(__xludf.DUMMYFUNCTION("LET(
  monthStart,DATE(VALUE(REGEXEXTRACT(J$1,""\d{4}"")),VALUE(REGEXEXTRACT(J$1,""T(\d+)"")),1),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K32" s="71">
        <f>IFERROR(__xludf.DUMMYFUNCTION("LET(
  monthStart,DATE(VALUE(REGEXEXTRACT(K$1,""\d{4}"")),VALUE(REGEXEXTRACT(K$1,""T(\d+)"")),1),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L32" s="71">
        <f>IFERROR(__xludf.DUMMYFUNCTION("LET(
  monthStart,DATE(VALUE(REGEXEXTRACT(L$1,""\d{4}"")),VALUE(REGEXEXTRACT(L$1,""T(\d+)"")),1),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M32" s="71">
        <f>IFERROR(__xludf.DUMMYFUNCTION("LET(
  monthStart,DATE(VALUE(REGEXEXTRACT(M$1,""\d{4}"")),VALUE(REGEXEXTRACT(M$1,""T(\d+)"")),1),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N32" s="71">
        <f>IFERROR(__xludf.DUMMYFUNCTION("LET(
  monthStart,DATE(VALUE(REGEXEXTRACT(N$1,""\d{4}"")),VALUE(REGEXEXTRACT(N$1,""T(\d+)"")),1),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O32" s="71">
        <f>IFERROR(__xludf.DUMMYFUNCTION("LET(
  monthStart,DATE(VALUE(REGEXEXTRACT(O$1,""\d{4}"")),VALUE(REGEXEXTRACT(O$1,""T(\d+)"")),1),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P32" s="71">
        <f>IFERROR(__xludf.DUMMYFUNCTION("LET(
  monthStart,DATE(VALUE(REGEXEXTRACT(P$1,""\d{4}"")),VALUE(REGEXEXTRACT(P$1,""T(\d+)"")),1),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Q32" s="71">
        <f>IFERROR(__xludf.DUMMYFUNCTION("LET(
  monthStart,DATE(VALUE(REGEXEXTRACT(Q$1,""\d{4}"")),VALUE(REGEXEXTRACT(Q$1,""T(\d+)"")),1),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R32" s="71">
        <f>IFERROR(__xludf.DUMMYFUNCTION("LET(
  monthStart,DATE(VALUE(REGEXEXTRACT(R$1,""\d{4}"")),VALUE(REGEXEXTRACT(R$1,""T(\d+)"")),1),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S32" s="71">
        <f>IFERROR(__xludf.DUMMYFUNCTION("LET(
  monthStart,DATE(VALUE(REGEXEXTRACT(S$1,""\d{4}"")),VALUE(REGEXEXTRACT(S$1,""T(\d+)"")),1),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T32" s="71">
        <f>IFERROR(__xludf.DUMMYFUNCTION("LET(
  monthStart,DATE(VALUE(REGEXEXTRACT(T$1,""\d{4}"")),VALUE(REGEXEXTRACT(T$1,""T(\d+)"")),1),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U32" s="71">
        <f>IFERROR(__xludf.DUMMYFUNCTION("LET(
  monthStart,DATE(VALUE(REGEXEXTRACT(U$1,""\d{4}"")),VALUE(REGEXEXTRACT(U$1,""T(\d+)"")),1),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V32" s="71">
        <f>IFERROR(__xludf.DUMMYFUNCTION("LET(
  monthStart,DATE(VALUE(REGEXEXTRACT(V$1,""\d{4}"")),VALUE(REGEXEXTRACT(V$1,""T(\d+)"")),1),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W32" s="71">
        <f>IFERROR(__xludf.DUMMYFUNCTION("LET(
  monthStart,DATE(VALUE(REGEXEXTRACT(W$1,""\d{4}"")),VALUE(REGEXEXTRACT(W$1,""T(\d+)"")),1),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X32" s="71">
        <f>IFERROR(__xludf.DUMMYFUNCTION("LET(
  monthStart,DATE(VALUE(REGEXEXTRACT(X$1,""\d{4}"")),VALUE(REGEXEXTRACT(X$1,""T(\d+)"")),1),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Y32" s="71">
        <f>IFERROR(__xludf.DUMMYFUNCTION("LET(
  monthStart,DATE(VALUE(REGEXEXTRACT(Y$1,""\d{4}"")),VALUE(REGEXEXTRACT(Y$1,""T(\d+)"")),1),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AJ32" s="64"/>
      <c r="AK32" s="64"/>
      <c r="AO32" s="64"/>
      <c r="AP32" s="64"/>
      <c r="AT32" s="64"/>
      <c r="AX32" s="64"/>
      <c r="AY32" s="64"/>
      <c r="AZ32" s="64"/>
      <c r="BA32" s="72"/>
      <c r="BB32" s="67"/>
      <c r="BC32" s="67"/>
      <c r="BD32" s="66"/>
      <c r="BH32" s="64"/>
      <c r="BI32" s="64"/>
      <c r="BJ32" s="64"/>
      <c r="BK32" s="64"/>
      <c r="BL32" s="64"/>
      <c r="BM32" s="64"/>
      <c r="BN32" s="64"/>
    </row>
    <row r="33" ht="30.0" customHeight="1">
      <c r="A33" s="49"/>
      <c r="B33" s="68"/>
      <c r="C33" s="73"/>
      <c r="D33" s="69"/>
      <c r="E33" s="69"/>
      <c r="F33" s="70"/>
      <c r="G33" s="71">
        <f>IFERROR(__xludf.DUMMYFUNCTION("LET(
  monthStart,DATE(VALUE(REGEXEXTRACT(G$1,""\d{4}"")),VALUE(REGEXEXTRACT(G$1,""T(\d+)"")),1),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H33" s="71">
        <f>IFERROR(__xludf.DUMMYFUNCTION("LET(
  monthStart,DATE(VALUE(REGEXEXTRACT(H$1,""\d{4}"")),VALUE(REGEXEXTRACT(H$1,""T(\d+)"")),1),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I33" s="71">
        <f>IFERROR(__xludf.DUMMYFUNCTION("LET(
  monthStart,DATE(VALUE(REGEXEXTRACT(I$1,""\d{4}"")),VALUE(REGEXEXTRACT(I$1,""T(\d+)"")),1),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J33" s="71">
        <f>IFERROR(__xludf.DUMMYFUNCTION("LET(
  monthStart,DATE(VALUE(REGEXEXTRACT(J$1,""\d{4}"")),VALUE(REGEXEXTRACT(J$1,""T(\d+)"")),1),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K33" s="71">
        <f>IFERROR(__xludf.DUMMYFUNCTION("LET(
  monthStart,DATE(VALUE(REGEXEXTRACT(K$1,""\d{4}"")),VALUE(REGEXEXTRACT(K$1,""T(\d+)"")),1),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L33" s="71">
        <f>IFERROR(__xludf.DUMMYFUNCTION("LET(
  monthStart,DATE(VALUE(REGEXEXTRACT(L$1,""\d{4}"")),VALUE(REGEXEXTRACT(L$1,""T(\d+)"")),1),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M33" s="71">
        <f>IFERROR(__xludf.DUMMYFUNCTION("LET(
  monthStart,DATE(VALUE(REGEXEXTRACT(M$1,""\d{4}"")),VALUE(REGEXEXTRACT(M$1,""T(\d+)"")),1),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N33" s="71">
        <f>IFERROR(__xludf.DUMMYFUNCTION("LET(
  monthStart,DATE(VALUE(REGEXEXTRACT(N$1,""\d{4}"")),VALUE(REGEXEXTRACT(N$1,""T(\d+)"")),1),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O33" s="71">
        <f>IFERROR(__xludf.DUMMYFUNCTION("LET(
  monthStart,DATE(VALUE(REGEXEXTRACT(O$1,""\d{4}"")),VALUE(REGEXEXTRACT(O$1,""T(\d+)"")),1),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P33" s="71">
        <f>IFERROR(__xludf.DUMMYFUNCTION("LET(
  monthStart,DATE(VALUE(REGEXEXTRACT(P$1,""\d{4}"")),VALUE(REGEXEXTRACT(P$1,""T(\d+)"")),1),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Q33" s="71">
        <f>IFERROR(__xludf.DUMMYFUNCTION("LET(
  monthStart,DATE(VALUE(REGEXEXTRACT(Q$1,""\d{4}"")),VALUE(REGEXEXTRACT(Q$1,""T(\d+)"")),1),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R33" s="71">
        <f>IFERROR(__xludf.DUMMYFUNCTION("LET(
  monthStart,DATE(VALUE(REGEXEXTRACT(R$1,""\d{4}"")),VALUE(REGEXEXTRACT(R$1,""T(\d+)"")),1),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S33" s="71">
        <f>IFERROR(__xludf.DUMMYFUNCTION("LET(
  monthStart,DATE(VALUE(REGEXEXTRACT(S$1,""\d{4}"")),VALUE(REGEXEXTRACT(S$1,""T(\d+)"")),1),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T33" s="71">
        <f>IFERROR(__xludf.DUMMYFUNCTION("LET(
  monthStart,DATE(VALUE(REGEXEXTRACT(T$1,""\d{4}"")),VALUE(REGEXEXTRACT(T$1,""T(\d+)"")),1),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U33" s="71">
        <f>IFERROR(__xludf.DUMMYFUNCTION("LET(
  monthStart,DATE(VALUE(REGEXEXTRACT(U$1,""\d{4}"")),VALUE(REGEXEXTRACT(U$1,""T(\d+)"")),1),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V33" s="71">
        <f>IFERROR(__xludf.DUMMYFUNCTION("LET(
  monthStart,DATE(VALUE(REGEXEXTRACT(V$1,""\d{4}"")),VALUE(REGEXEXTRACT(V$1,""T(\d+)"")),1),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W33" s="71">
        <f>IFERROR(__xludf.DUMMYFUNCTION("LET(
  monthStart,DATE(VALUE(REGEXEXTRACT(W$1,""\d{4}"")),VALUE(REGEXEXTRACT(W$1,""T(\d+)"")),1),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X33" s="71">
        <f>IFERROR(__xludf.DUMMYFUNCTION("LET(
  monthStart,DATE(VALUE(REGEXEXTRACT(X$1,""\d{4}"")),VALUE(REGEXEXTRACT(X$1,""T(\d+)"")),1),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Y33" s="71">
        <f>IFERROR(__xludf.DUMMYFUNCTION("LET(
  monthStart,DATE(VALUE(REGEXEXTRACT(Y$1,""\d{4}"")),VALUE(REGEXEXTRACT(Y$1,""T(\d+)"")),1),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AJ33" s="64"/>
      <c r="AK33" s="64"/>
      <c r="AO33" s="64"/>
      <c r="AP33" s="64"/>
      <c r="AT33" s="64"/>
      <c r="AX33" s="64"/>
      <c r="AY33" s="64"/>
      <c r="AZ33" s="64"/>
      <c r="BA33" s="72"/>
      <c r="BB33" s="67"/>
      <c r="BC33" s="67"/>
      <c r="BD33" s="66"/>
      <c r="BH33" s="64"/>
      <c r="BI33" s="64"/>
      <c r="BJ33" s="64"/>
      <c r="BK33" s="64"/>
      <c r="BL33" s="64"/>
      <c r="BM33" s="64"/>
      <c r="BN33" s="64"/>
    </row>
    <row r="34" ht="30.0" customHeight="1">
      <c r="A34" s="49"/>
      <c r="B34" s="68"/>
      <c r="C34" s="73"/>
      <c r="D34" s="69"/>
      <c r="E34" s="69"/>
      <c r="F34" s="70"/>
      <c r="G34" s="71">
        <f>IFERROR(__xludf.DUMMYFUNCTION("LET(
  monthStart,DATE(VALUE(REGEXEXTRACT(G$1,""\d{4}"")),VALUE(REGEXEXTRACT(G$1,""T(\d+)"")),1),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H34" s="71">
        <f>IFERROR(__xludf.DUMMYFUNCTION("LET(
  monthStart,DATE(VALUE(REGEXEXTRACT(H$1,""\d{4}"")),VALUE(REGEXEXTRACT(H$1,""T(\d+)"")),1),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I34" s="71">
        <f>IFERROR(__xludf.DUMMYFUNCTION("LET(
  monthStart,DATE(VALUE(REGEXEXTRACT(I$1,""\d{4}"")),VALUE(REGEXEXTRACT(I$1,""T(\d+)"")),1),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J34" s="71">
        <f>IFERROR(__xludf.DUMMYFUNCTION("LET(
  monthStart,DATE(VALUE(REGEXEXTRACT(J$1,""\d{4}"")),VALUE(REGEXEXTRACT(J$1,""T(\d+)"")),1),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K34" s="71">
        <f>IFERROR(__xludf.DUMMYFUNCTION("LET(
  monthStart,DATE(VALUE(REGEXEXTRACT(K$1,""\d{4}"")),VALUE(REGEXEXTRACT(K$1,""T(\d+)"")),1),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L34" s="71">
        <f>IFERROR(__xludf.DUMMYFUNCTION("LET(
  monthStart,DATE(VALUE(REGEXEXTRACT(L$1,""\d{4}"")),VALUE(REGEXEXTRACT(L$1,""T(\d+)"")),1),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M34" s="71">
        <f>IFERROR(__xludf.DUMMYFUNCTION("LET(
  monthStart,DATE(VALUE(REGEXEXTRACT(M$1,""\d{4}"")),VALUE(REGEXEXTRACT(M$1,""T(\d+)"")),1),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N34" s="71">
        <f>IFERROR(__xludf.DUMMYFUNCTION("LET(
  monthStart,DATE(VALUE(REGEXEXTRACT(N$1,""\d{4}"")),VALUE(REGEXEXTRACT(N$1,""T(\d+)"")),1),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O34" s="71">
        <f>IFERROR(__xludf.DUMMYFUNCTION("LET(
  monthStart,DATE(VALUE(REGEXEXTRACT(O$1,""\d{4}"")),VALUE(REGEXEXTRACT(O$1,""T(\d+)"")),1),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P34" s="71">
        <f>IFERROR(__xludf.DUMMYFUNCTION("LET(
  monthStart,DATE(VALUE(REGEXEXTRACT(P$1,""\d{4}"")),VALUE(REGEXEXTRACT(P$1,""T(\d+)"")),1),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Q34" s="71">
        <f>IFERROR(__xludf.DUMMYFUNCTION("LET(
  monthStart,DATE(VALUE(REGEXEXTRACT(Q$1,""\d{4}"")),VALUE(REGEXEXTRACT(Q$1,""T(\d+)"")),1),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R34" s="71">
        <f>IFERROR(__xludf.DUMMYFUNCTION("LET(
  monthStart,DATE(VALUE(REGEXEXTRACT(R$1,""\d{4}"")),VALUE(REGEXEXTRACT(R$1,""T(\d+)"")),1),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S34" s="71">
        <f>IFERROR(__xludf.DUMMYFUNCTION("LET(
  monthStart,DATE(VALUE(REGEXEXTRACT(S$1,""\d{4}"")),VALUE(REGEXEXTRACT(S$1,""T(\d+)"")),1),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T34" s="71">
        <f>IFERROR(__xludf.DUMMYFUNCTION("LET(
  monthStart,DATE(VALUE(REGEXEXTRACT(T$1,""\d{4}"")),VALUE(REGEXEXTRACT(T$1,""T(\d+)"")),1),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U34" s="71">
        <f>IFERROR(__xludf.DUMMYFUNCTION("LET(
  monthStart,DATE(VALUE(REGEXEXTRACT(U$1,""\d{4}"")),VALUE(REGEXEXTRACT(U$1,""T(\d+)"")),1),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V34" s="71">
        <f>IFERROR(__xludf.DUMMYFUNCTION("LET(
  monthStart,DATE(VALUE(REGEXEXTRACT(V$1,""\d{4}"")),VALUE(REGEXEXTRACT(V$1,""T(\d+)"")),1),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W34" s="71">
        <f>IFERROR(__xludf.DUMMYFUNCTION("LET(
  monthStart,DATE(VALUE(REGEXEXTRACT(W$1,""\d{4}"")),VALUE(REGEXEXTRACT(W$1,""T(\d+)"")),1),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X34" s="71">
        <f>IFERROR(__xludf.DUMMYFUNCTION("LET(
  monthStart,DATE(VALUE(REGEXEXTRACT(X$1,""\d{4}"")),VALUE(REGEXEXTRACT(X$1,""T(\d+)"")),1),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Y34" s="71">
        <f>IFERROR(__xludf.DUMMYFUNCTION("LET(
  monthStart,DATE(VALUE(REGEXEXTRACT(Y$1,""\d{4}"")),VALUE(REGEXEXTRACT(Y$1,""T(\d+)"")),1),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AJ34" s="64"/>
      <c r="AK34" s="64"/>
      <c r="AO34" s="64"/>
      <c r="AP34" s="64"/>
      <c r="AT34" s="64"/>
      <c r="AX34" s="64"/>
      <c r="AY34" s="64"/>
      <c r="AZ34" s="64"/>
      <c r="BA34" s="72"/>
      <c r="BB34" s="67"/>
      <c r="BC34" s="67"/>
      <c r="BD34" s="66"/>
      <c r="BH34" s="64"/>
      <c r="BI34" s="64"/>
      <c r="BJ34" s="64"/>
      <c r="BK34" s="64"/>
      <c r="BL34" s="64"/>
      <c r="BM34" s="64"/>
      <c r="BN34" s="64"/>
    </row>
    <row r="35" ht="30.0" customHeight="1">
      <c r="A35" s="49"/>
      <c r="B35" s="68"/>
      <c r="C35" s="73"/>
      <c r="D35" s="69"/>
      <c r="E35" s="69"/>
      <c r="F35" s="70"/>
      <c r="G35" s="71">
        <f>IFERROR(__xludf.DUMMYFUNCTION("LET(
  monthStart,DATE(VALUE(REGEXEXTRACT(G$1,""\d{4}"")),VALUE(REGEXEXTRACT(G$1,""T(\d+)"")),1),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H35" s="71">
        <f>IFERROR(__xludf.DUMMYFUNCTION("LET(
  monthStart,DATE(VALUE(REGEXEXTRACT(H$1,""\d{4}"")),VALUE(REGEXEXTRACT(H$1,""T(\d+)"")),1),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I35" s="71">
        <f>IFERROR(__xludf.DUMMYFUNCTION("LET(
  monthStart,DATE(VALUE(REGEXEXTRACT(I$1,""\d{4}"")),VALUE(REGEXEXTRACT(I$1,""T(\d+)"")),1),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J35" s="71">
        <f>IFERROR(__xludf.DUMMYFUNCTION("LET(
  monthStart,DATE(VALUE(REGEXEXTRACT(J$1,""\d{4}"")),VALUE(REGEXEXTRACT(J$1,""T(\d+)"")),1),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K35" s="71">
        <f>IFERROR(__xludf.DUMMYFUNCTION("LET(
  monthStart,DATE(VALUE(REGEXEXTRACT(K$1,""\d{4}"")),VALUE(REGEXEXTRACT(K$1,""T(\d+)"")),1),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L35" s="71">
        <f>IFERROR(__xludf.DUMMYFUNCTION("LET(
  monthStart,DATE(VALUE(REGEXEXTRACT(L$1,""\d{4}"")),VALUE(REGEXEXTRACT(L$1,""T(\d+)"")),1),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M35" s="71">
        <f>IFERROR(__xludf.DUMMYFUNCTION("LET(
  monthStart,DATE(VALUE(REGEXEXTRACT(M$1,""\d{4}"")),VALUE(REGEXEXTRACT(M$1,""T(\d+)"")),1),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N35" s="71">
        <f>IFERROR(__xludf.DUMMYFUNCTION("LET(
  monthStart,DATE(VALUE(REGEXEXTRACT(N$1,""\d{4}"")),VALUE(REGEXEXTRACT(N$1,""T(\d+)"")),1),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O35" s="71">
        <f>IFERROR(__xludf.DUMMYFUNCTION("LET(
  monthStart,DATE(VALUE(REGEXEXTRACT(O$1,""\d{4}"")),VALUE(REGEXEXTRACT(O$1,""T(\d+)"")),1),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P35" s="71">
        <f>IFERROR(__xludf.DUMMYFUNCTION("LET(
  monthStart,DATE(VALUE(REGEXEXTRACT(P$1,""\d{4}"")),VALUE(REGEXEXTRACT(P$1,""T(\d+)"")),1),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Q35" s="71">
        <f>IFERROR(__xludf.DUMMYFUNCTION("LET(
  monthStart,DATE(VALUE(REGEXEXTRACT(Q$1,""\d{4}"")),VALUE(REGEXEXTRACT(Q$1,""T(\d+)"")),1),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R35" s="71">
        <f>IFERROR(__xludf.DUMMYFUNCTION("LET(
  monthStart,DATE(VALUE(REGEXEXTRACT(R$1,""\d{4}"")),VALUE(REGEXEXTRACT(R$1,""T(\d+)"")),1),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S35" s="71">
        <f>IFERROR(__xludf.DUMMYFUNCTION("LET(
  monthStart,DATE(VALUE(REGEXEXTRACT(S$1,""\d{4}"")),VALUE(REGEXEXTRACT(S$1,""T(\d+)"")),1),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T35" s="71">
        <f>IFERROR(__xludf.DUMMYFUNCTION("LET(
  monthStart,DATE(VALUE(REGEXEXTRACT(T$1,""\d{4}"")),VALUE(REGEXEXTRACT(T$1,""T(\d+)"")),1),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U35" s="71">
        <f>IFERROR(__xludf.DUMMYFUNCTION("LET(
  monthStart,DATE(VALUE(REGEXEXTRACT(U$1,""\d{4}"")),VALUE(REGEXEXTRACT(U$1,""T(\d+)"")),1),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V35" s="71">
        <f>IFERROR(__xludf.DUMMYFUNCTION("LET(
  monthStart,DATE(VALUE(REGEXEXTRACT(V$1,""\d{4}"")),VALUE(REGEXEXTRACT(V$1,""T(\d+)"")),1),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W35" s="71">
        <f>IFERROR(__xludf.DUMMYFUNCTION("LET(
  monthStart,DATE(VALUE(REGEXEXTRACT(W$1,""\d{4}"")),VALUE(REGEXEXTRACT(W$1,""T(\d+)"")),1),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X35" s="71">
        <f>IFERROR(__xludf.DUMMYFUNCTION("LET(
  monthStart,DATE(VALUE(REGEXEXTRACT(X$1,""\d{4}"")),VALUE(REGEXEXTRACT(X$1,""T(\d+)"")),1),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Y35" s="71">
        <f>IFERROR(__xludf.DUMMYFUNCTION("LET(
  monthStart,DATE(VALUE(REGEXEXTRACT(Y$1,""\d{4}"")),VALUE(REGEXEXTRACT(Y$1,""T(\d+)"")),1),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AJ35" s="64"/>
      <c r="AK35" s="64"/>
      <c r="AO35" s="64"/>
      <c r="AP35" s="64"/>
      <c r="AT35" s="64"/>
      <c r="AX35" s="64"/>
      <c r="AY35" s="64"/>
      <c r="AZ35" s="64"/>
      <c r="BA35" s="72"/>
      <c r="BB35" s="67"/>
      <c r="BC35" s="67"/>
      <c r="BD35" s="66"/>
      <c r="BH35" s="64"/>
      <c r="BI35" s="64"/>
      <c r="BJ35" s="64"/>
      <c r="BK35" s="64"/>
      <c r="BL35" s="64"/>
      <c r="BM35" s="64"/>
      <c r="BN35" s="64"/>
    </row>
    <row r="36" ht="30.0" customHeight="1">
      <c r="A36" s="49"/>
      <c r="B36" s="68"/>
      <c r="C36" s="73"/>
      <c r="D36" s="69"/>
      <c r="E36" s="69"/>
      <c r="F36" s="70"/>
      <c r="G36" s="71">
        <f>IFERROR(__xludf.DUMMYFUNCTION("LET(
  monthStart,DATE(VALUE(REGEXEXTRACT(G$1,""\d{4}"")),VALUE(REGEXEXTRACT(G$1,""T(\d+)"")),1),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H36" s="71">
        <f>IFERROR(__xludf.DUMMYFUNCTION("LET(
  monthStart,DATE(VALUE(REGEXEXTRACT(H$1,""\d{4}"")),VALUE(REGEXEXTRACT(H$1,""T(\d+)"")),1),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I36" s="71">
        <f>IFERROR(__xludf.DUMMYFUNCTION("LET(
  monthStart,DATE(VALUE(REGEXEXTRACT(I$1,""\d{4}"")),VALUE(REGEXEXTRACT(I$1,""T(\d+)"")),1),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J36" s="71">
        <f>IFERROR(__xludf.DUMMYFUNCTION("LET(
  monthStart,DATE(VALUE(REGEXEXTRACT(J$1,""\d{4}"")),VALUE(REGEXEXTRACT(J$1,""T(\d+)"")),1),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K36" s="71">
        <f>IFERROR(__xludf.DUMMYFUNCTION("LET(
  monthStart,DATE(VALUE(REGEXEXTRACT(K$1,""\d{4}"")),VALUE(REGEXEXTRACT(K$1,""T(\d+)"")),1),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L36" s="71">
        <f>IFERROR(__xludf.DUMMYFUNCTION("LET(
  monthStart,DATE(VALUE(REGEXEXTRACT(L$1,""\d{4}"")),VALUE(REGEXEXTRACT(L$1,""T(\d+)"")),1),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M36" s="71">
        <f>IFERROR(__xludf.DUMMYFUNCTION("LET(
  monthStart,DATE(VALUE(REGEXEXTRACT(M$1,""\d{4}"")),VALUE(REGEXEXTRACT(M$1,""T(\d+)"")),1),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N36" s="71">
        <f>IFERROR(__xludf.DUMMYFUNCTION("LET(
  monthStart,DATE(VALUE(REGEXEXTRACT(N$1,""\d{4}"")),VALUE(REGEXEXTRACT(N$1,""T(\d+)"")),1),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O36" s="71">
        <f>IFERROR(__xludf.DUMMYFUNCTION("LET(
  monthStart,DATE(VALUE(REGEXEXTRACT(O$1,""\d{4}"")),VALUE(REGEXEXTRACT(O$1,""T(\d+)"")),1),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P36" s="71">
        <f>IFERROR(__xludf.DUMMYFUNCTION("LET(
  monthStart,DATE(VALUE(REGEXEXTRACT(P$1,""\d{4}"")),VALUE(REGEXEXTRACT(P$1,""T(\d+)"")),1),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Q36" s="71">
        <f>IFERROR(__xludf.DUMMYFUNCTION("LET(
  monthStart,DATE(VALUE(REGEXEXTRACT(Q$1,""\d{4}"")),VALUE(REGEXEXTRACT(Q$1,""T(\d+)"")),1),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R36" s="71">
        <f>IFERROR(__xludf.DUMMYFUNCTION("LET(
  monthStart,DATE(VALUE(REGEXEXTRACT(R$1,""\d{4}"")),VALUE(REGEXEXTRACT(R$1,""T(\d+)"")),1),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S36" s="71">
        <f>IFERROR(__xludf.DUMMYFUNCTION("LET(
  monthStart,DATE(VALUE(REGEXEXTRACT(S$1,""\d{4}"")),VALUE(REGEXEXTRACT(S$1,""T(\d+)"")),1),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T36" s="71">
        <f>IFERROR(__xludf.DUMMYFUNCTION("LET(
  monthStart,DATE(VALUE(REGEXEXTRACT(T$1,""\d{4}"")),VALUE(REGEXEXTRACT(T$1,""T(\d+)"")),1),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U36" s="71">
        <f>IFERROR(__xludf.DUMMYFUNCTION("LET(
  monthStart,DATE(VALUE(REGEXEXTRACT(U$1,""\d{4}"")),VALUE(REGEXEXTRACT(U$1,""T(\d+)"")),1),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V36" s="71">
        <f>IFERROR(__xludf.DUMMYFUNCTION("LET(
  monthStart,DATE(VALUE(REGEXEXTRACT(V$1,""\d{4}"")),VALUE(REGEXEXTRACT(V$1,""T(\d+)"")),1),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W36" s="71">
        <f>IFERROR(__xludf.DUMMYFUNCTION("LET(
  monthStart,DATE(VALUE(REGEXEXTRACT(W$1,""\d{4}"")),VALUE(REGEXEXTRACT(W$1,""T(\d+)"")),1),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X36" s="71">
        <f>IFERROR(__xludf.DUMMYFUNCTION("LET(
  monthStart,DATE(VALUE(REGEXEXTRACT(X$1,""\d{4}"")),VALUE(REGEXEXTRACT(X$1,""T(\d+)"")),1),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Y36" s="71">
        <f>IFERROR(__xludf.DUMMYFUNCTION("LET(
  monthStart,DATE(VALUE(REGEXEXTRACT(Y$1,""\d{4}"")),VALUE(REGEXEXTRACT(Y$1,""T(\d+)"")),1),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AJ36" s="64"/>
      <c r="AK36" s="64"/>
      <c r="AO36" s="64"/>
      <c r="AP36" s="64"/>
      <c r="AT36" s="64"/>
      <c r="AX36" s="64"/>
      <c r="AY36" s="64"/>
      <c r="AZ36" s="64"/>
      <c r="BA36" s="72"/>
      <c r="BB36" s="67"/>
      <c r="BC36" s="67"/>
      <c r="BD36" s="66"/>
      <c r="BH36" s="64"/>
      <c r="BI36" s="64"/>
      <c r="BJ36" s="64"/>
      <c r="BK36" s="64"/>
      <c r="BL36" s="64"/>
      <c r="BM36" s="64"/>
      <c r="BN36" s="64"/>
    </row>
    <row r="37" ht="30.0" customHeight="1">
      <c r="A37" s="49"/>
      <c r="B37" s="68"/>
      <c r="C37" s="73"/>
      <c r="D37" s="69"/>
      <c r="E37" s="69"/>
      <c r="F37" s="70"/>
      <c r="G37" s="71">
        <f>IFERROR(__xludf.DUMMYFUNCTION("LET(
  monthStart,DATE(VALUE(REGEXEXTRACT(G$1,""\d{4}"")),VALUE(REGEXEXTRACT(G$1,""T(\d+)"")),1),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H37" s="71">
        <f>IFERROR(__xludf.DUMMYFUNCTION("LET(
  monthStart,DATE(VALUE(REGEXEXTRACT(H$1,""\d{4}"")),VALUE(REGEXEXTRACT(H$1,""T(\d+)"")),1),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I37" s="71">
        <f>IFERROR(__xludf.DUMMYFUNCTION("LET(
  monthStart,DATE(VALUE(REGEXEXTRACT(I$1,""\d{4}"")),VALUE(REGEXEXTRACT(I$1,""T(\d+)"")),1),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J37" s="71">
        <f>IFERROR(__xludf.DUMMYFUNCTION("LET(
  monthStart,DATE(VALUE(REGEXEXTRACT(J$1,""\d{4}"")),VALUE(REGEXEXTRACT(J$1,""T(\d+)"")),1),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K37" s="71">
        <f>IFERROR(__xludf.DUMMYFUNCTION("LET(
  monthStart,DATE(VALUE(REGEXEXTRACT(K$1,""\d{4}"")),VALUE(REGEXEXTRACT(K$1,""T(\d+)"")),1),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L37" s="71">
        <f>IFERROR(__xludf.DUMMYFUNCTION("LET(
  monthStart,DATE(VALUE(REGEXEXTRACT(L$1,""\d{4}"")),VALUE(REGEXEXTRACT(L$1,""T(\d+)"")),1),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M37" s="71">
        <f>IFERROR(__xludf.DUMMYFUNCTION("LET(
  monthStart,DATE(VALUE(REGEXEXTRACT(M$1,""\d{4}"")),VALUE(REGEXEXTRACT(M$1,""T(\d+)"")),1),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N37" s="71">
        <f>IFERROR(__xludf.DUMMYFUNCTION("LET(
  monthStart,DATE(VALUE(REGEXEXTRACT(N$1,""\d{4}"")),VALUE(REGEXEXTRACT(N$1,""T(\d+)"")),1),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O37" s="71">
        <f>IFERROR(__xludf.DUMMYFUNCTION("LET(
  monthStart,DATE(VALUE(REGEXEXTRACT(O$1,""\d{4}"")),VALUE(REGEXEXTRACT(O$1,""T(\d+)"")),1),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P37" s="71">
        <f>IFERROR(__xludf.DUMMYFUNCTION("LET(
  monthStart,DATE(VALUE(REGEXEXTRACT(P$1,""\d{4}"")),VALUE(REGEXEXTRACT(P$1,""T(\d+)"")),1),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Q37" s="71">
        <f>IFERROR(__xludf.DUMMYFUNCTION("LET(
  monthStart,DATE(VALUE(REGEXEXTRACT(Q$1,""\d{4}"")),VALUE(REGEXEXTRACT(Q$1,""T(\d+)"")),1),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R37" s="71">
        <f>IFERROR(__xludf.DUMMYFUNCTION("LET(
  monthStart,DATE(VALUE(REGEXEXTRACT(R$1,""\d{4}"")),VALUE(REGEXEXTRACT(R$1,""T(\d+)"")),1),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S37" s="71">
        <f>IFERROR(__xludf.DUMMYFUNCTION("LET(
  monthStart,DATE(VALUE(REGEXEXTRACT(S$1,""\d{4}"")),VALUE(REGEXEXTRACT(S$1,""T(\d+)"")),1),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T37" s="71">
        <f>IFERROR(__xludf.DUMMYFUNCTION("LET(
  monthStart,DATE(VALUE(REGEXEXTRACT(T$1,""\d{4}"")),VALUE(REGEXEXTRACT(T$1,""T(\d+)"")),1),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U37" s="71">
        <f>IFERROR(__xludf.DUMMYFUNCTION("LET(
  monthStart,DATE(VALUE(REGEXEXTRACT(U$1,""\d{4}"")),VALUE(REGEXEXTRACT(U$1,""T(\d+)"")),1),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V37" s="71">
        <f>IFERROR(__xludf.DUMMYFUNCTION("LET(
  monthStart,DATE(VALUE(REGEXEXTRACT(V$1,""\d{4}"")),VALUE(REGEXEXTRACT(V$1,""T(\d+)"")),1),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W37" s="71">
        <f>IFERROR(__xludf.DUMMYFUNCTION("LET(
  monthStart,DATE(VALUE(REGEXEXTRACT(W$1,""\d{4}"")),VALUE(REGEXEXTRACT(W$1,""T(\d+)"")),1),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X37" s="71">
        <f>IFERROR(__xludf.DUMMYFUNCTION("LET(
  monthStart,DATE(VALUE(REGEXEXTRACT(X$1,""\d{4}"")),VALUE(REGEXEXTRACT(X$1,""T(\d+)"")),1),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Y37" s="71">
        <f>IFERROR(__xludf.DUMMYFUNCTION("LET(
  monthStart,DATE(VALUE(REGEXEXTRACT(Y$1,""\d{4}"")),VALUE(REGEXEXTRACT(Y$1,""T(\d+)"")),1),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AJ37" s="64"/>
      <c r="AK37" s="64"/>
      <c r="AO37" s="64"/>
      <c r="AP37" s="64"/>
      <c r="AT37" s="64"/>
      <c r="AX37" s="64"/>
      <c r="AY37" s="64"/>
      <c r="AZ37" s="64"/>
      <c r="BA37" s="72"/>
      <c r="BB37" s="67"/>
      <c r="BC37" s="67"/>
      <c r="BD37" s="66"/>
      <c r="BH37" s="64"/>
      <c r="BI37" s="64"/>
      <c r="BJ37" s="64"/>
      <c r="BK37" s="64"/>
      <c r="BL37" s="64"/>
      <c r="BM37" s="64"/>
      <c r="BN37" s="64"/>
    </row>
    <row r="38" ht="30.0" customHeight="1">
      <c r="A38" s="49"/>
      <c r="B38" s="68"/>
      <c r="C38" s="73"/>
      <c r="D38" s="69"/>
      <c r="E38" s="69"/>
      <c r="F38" s="70"/>
      <c r="G38" s="71">
        <f>IFERROR(__xludf.DUMMYFUNCTION("LET(
  monthStart,DATE(VALUE(REGEXEXTRACT(G$1,""\d{4}"")),VALUE(REGEXEXTRACT(G$1,""T(\d+)"")),1),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H38" s="71">
        <f>IFERROR(__xludf.DUMMYFUNCTION("LET(
  monthStart,DATE(VALUE(REGEXEXTRACT(H$1,""\d{4}"")),VALUE(REGEXEXTRACT(H$1,""T(\d+)"")),1),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I38" s="71">
        <f>IFERROR(__xludf.DUMMYFUNCTION("LET(
  monthStart,DATE(VALUE(REGEXEXTRACT(I$1,""\d{4}"")),VALUE(REGEXEXTRACT(I$1,""T(\d+)"")),1),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J38" s="71">
        <f>IFERROR(__xludf.DUMMYFUNCTION("LET(
  monthStart,DATE(VALUE(REGEXEXTRACT(J$1,""\d{4}"")),VALUE(REGEXEXTRACT(J$1,""T(\d+)"")),1),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K38" s="71">
        <f>IFERROR(__xludf.DUMMYFUNCTION("LET(
  monthStart,DATE(VALUE(REGEXEXTRACT(K$1,""\d{4}"")),VALUE(REGEXEXTRACT(K$1,""T(\d+)"")),1),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L38" s="71">
        <f>IFERROR(__xludf.DUMMYFUNCTION("LET(
  monthStart,DATE(VALUE(REGEXEXTRACT(L$1,""\d{4}"")),VALUE(REGEXEXTRACT(L$1,""T(\d+)"")),1),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M38" s="71">
        <f>IFERROR(__xludf.DUMMYFUNCTION("LET(
  monthStart,DATE(VALUE(REGEXEXTRACT(M$1,""\d{4}"")),VALUE(REGEXEXTRACT(M$1,""T(\d+)"")),1),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N38" s="71">
        <f>IFERROR(__xludf.DUMMYFUNCTION("LET(
  monthStart,DATE(VALUE(REGEXEXTRACT(N$1,""\d{4}"")),VALUE(REGEXEXTRACT(N$1,""T(\d+)"")),1),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O38" s="71">
        <f>IFERROR(__xludf.DUMMYFUNCTION("LET(
  monthStart,DATE(VALUE(REGEXEXTRACT(O$1,""\d{4}"")),VALUE(REGEXEXTRACT(O$1,""T(\d+)"")),1),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P38" s="71">
        <f>IFERROR(__xludf.DUMMYFUNCTION("LET(
  monthStart,DATE(VALUE(REGEXEXTRACT(P$1,""\d{4}"")),VALUE(REGEXEXTRACT(P$1,""T(\d+)"")),1),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Q38" s="71">
        <f>IFERROR(__xludf.DUMMYFUNCTION("LET(
  monthStart,DATE(VALUE(REGEXEXTRACT(Q$1,""\d{4}"")),VALUE(REGEXEXTRACT(Q$1,""T(\d+)"")),1),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R38" s="71">
        <f>IFERROR(__xludf.DUMMYFUNCTION("LET(
  monthStart,DATE(VALUE(REGEXEXTRACT(R$1,""\d{4}"")),VALUE(REGEXEXTRACT(R$1,""T(\d+)"")),1),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S38" s="71">
        <f>IFERROR(__xludf.DUMMYFUNCTION("LET(
  monthStart,DATE(VALUE(REGEXEXTRACT(S$1,""\d{4}"")),VALUE(REGEXEXTRACT(S$1,""T(\d+)"")),1),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T38" s="71">
        <f>IFERROR(__xludf.DUMMYFUNCTION("LET(
  monthStart,DATE(VALUE(REGEXEXTRACT(T$1,""\d{4}"")),VALUE(REGEXEXTRACT(T$1,""T(\d+)"")),1),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U38" s="71">
        <f>IFERROR(__xludf.DUMMYFUNCTION("LET(
  monthStart,DATE(VALUE(REGEXEXTRACT(U$1,""\d{4}"")),VALUE(REGEXEXTRACT(U$1,""T(\d+)"")),1),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V38" s="71">
        <f>IFERROR(__xludf.DUMMYFUNCTION("LET(
  monthStart,DATE(VALUE(REGEXEXTRACT(V$1,""\d{4}"")),VALUE(REGEXEXTRACT(V$1,""T(\d+)"")),1),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W38" s="71">
        <f>IFERROR(__xludf.DUMMYFUNCTION("LET(
  monthStart,DATE(VALUE(REGEXEXTRACT(W$1,""\d{4}"")),VALUE(REGEXEXTRACT(W$1,""T(\d+)"")),1),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X38" s="71">
        <f>IFERROR(__xludf.DUMMYFUNCTION("LET(
  monthStart,DATE(VALUE(REGEXEXTRACT(X$1,""\d{4}"")),VALUE(REGEXEXTRACT(X$1,""T(\d+)"")),1),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Y38" s="71">
        <f>IFERROR(__xludf.DUMMYFUNCTION("LET(
  monthStart,DATE(VALUE(REGEXEXTRACT(Y$1,""\d{4}"")),VALUE(REGEXEXTRACT(Y$1,""T(\d+)"")),1),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AJ38" s="64"/>
      <c r="AK38" s="64"/>
      <c r="AO38" s="64"/>
      <c r="AP38" s="64"/>
      <c r="AT38" s="64"/>
      <c r="AX38" s="64"/>
      <c r="AY38" s="64"/>
      <c r="AZ38" s="64"/>
      <c r="BA38" s="74"/>
      <c r="BB38" s="75"/>
      <c r="BC38" s="75"/>
      <c r="BD38" s="66"/>
      <c r="BH38" s="64"/>
      <c r="BI38" s="64"/>
      <c r="BJ38" s="64"/>
      <c r="BK38" s="64"/>
      <c r="BL38" s="64"/>
      <c r="BM38" s="64"/>
      <c r="BN38" s="64"/>
    </row>
    <row r="39" ht="30.0" customHeight="1">
      <c r="A39" s="49"/>
      <c r="B39" s="68"/>
      <c r="C39" s="73"/>
      <c r="D39" s="69"/>
      <c r="E39" s="69"/>
      <c r="F39" s="70"/>
      <c r="G39" s="71">
        <f>IFERROR(__xludf.DUMMYFUNCTION("LET(
  monthStart,DATE(VALUE(REGEXEXTRACT(G$1,""\d{4}"")),VALUE(REGEXEXTRACT(G$1,""T(\d+)"")),1),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H39" s="71">
        <f>IFERROR(__xludf.DUMMYFUNCTION("LET(
  monthStart,DATE(VALUE(REGEXEXTRACT(H$1,""\d{4}"")),VALUE(REGEXEXTRACT(H$1,""T(\d+)"")),1),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I39" s="71">
        <f>IFERROR(__xludf.DUMMYFUNCTION("LET(
  monthStart,DATE(VALUE(REGEXEXTRACT(I$1,""\d{4}"")),VALUE(REGEXEXTRACT(I$1,""T(\d+)"")),1),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J39" s="71">
        <f>IFERROR(__xludf.DUMMYFUNCTION("LET(
  monthStart,DATE(VALUE(REGEXEXTRACT(J$1,""\d{4}"")),VALUE(REGEXEXTRACT(J$1,""T(\d+)"")),1),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K39" s="71">
        <f>IFERROR(__xludf.DUMMYFUNCTION("LET(
  monthStart,DATE(VALUE(REGEXEXTRACT(K$1,""\d{4}"")),VALUE(REGEXEXTRACT(K$1,""T(\d+)"")),1),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L39" s="71">
        <f>IFERROR(__xludf.DUMMYFUNCTION("LET(
  monthStart,DATE(VALUE(REGEXEXTRACT(L$1,""\d{4}"")),VALUE(REGEXEXTRACT(L$1,""T(\d+)"")),1),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M39" s="71">
        <f>IFERROR(__xludf.DUMMYFUNCTION("LET(
  monthStart,DATE(VALUE(REGEXEXTRACT(M$1,""\d{4}"")),VALUE(REGEXEXTRACT(M$1,""T(\d+)"")),1),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N39" s="71">
        <f>IFERROR(__xludf.DUMMYFUNCTION("LET(
  monthStart,DATE(VALUE(REGEXEXTRACT(N$1,""\d{4}"")),VALUE(REGEXEXTRACT(N$1,""T(\d+)"")),1),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O39" s="71">
        <f>IFERROR(__xludf.DUMMYFUNCTION("LET(
  monthStart,DATE(VALUE(REGEXEXTRACT(O$1,""\d{4}"")),VALUE(REGEXEXTRACT(O$1,""T(\d+)"")),1),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P39" s="71">
        <f>IFERROR(__xludf.DUMMYFUNCTION("LET(
  monthStart,DATE(VALUE(REGEXEXTRACT(P$1,""\d{4}"")),VALUE(REGEXEXTRACT(P$1,""T(\d+)"")),1),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Q39" s="71">
        <f>IFERROR(__xludf.DUMMYFUNCTION("LET(
  monthStart,DATE(VALUE(REGEXEXTRACT(Q$1,""\d{4}"")),VALUE(REGEXEXTRACT(Q$1,""T(\d+)"")),1),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R39" s="71">
        <f>IFERROR(__xludf.DUMMYFUNCTION("LET(
  monthStart,DATE(VALUE(REGEXEXTRACT(R$1,""\d{4}"")),VALUE(REGEXEXTRACT(R$1,""T(\d+)"")),1),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S39" s="71">
        <f>IFERROR(__xludf.DUMMYFUNCTION("LET(
  monthStart,DATE(VALUE(REGEXEXTRACT(S$1,""\d{4}"")),VALUE(REGEXEXTRACT(S$1,""T(\d+)"")),1),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T39" s="71">
        <f>IFERROR(__xludf.DUMMYFUNCTION("LET(
  monthStart,DATE(VALUE(REGEXEXTRACT(T$1,""\d{4}"")),VALUE(REGEXEXTRACT(T$1,""T(\d+)"")),1),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U39" s="71">
        <f>IFERROR(__xludf.DUMMYFUNCTION("LET(
  monthStart,DATE(VALUE(REGEXEXTRACT(U$1,""\d{4}"")),VALUE(REGEXEXTRACT(U$1,""T(\d+)"")),1),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V39" s="71">
        <f>IFERROR(__xludf.DUMMYFUNCTION("LET(
  monthStart,DATE(VALUE(REGEXEXTRACT(V$1,""\d{4}"")),VALUE(REGEXEXTRACT(V$1,""T(\d+)"")),1),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W39" s="71">
        <f>IFERROR(__xludf.DUMMYFUNCTION("LET(
  monthStart,DATE(VALUE(REGEXEXTRACT(W$1,""\d{4}"")),VALUE(REGEXEXTRACT(W$1,""T(\d+)"")),1),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X39" s="71">
        <f>IFERROR(__xludf.DUMMYFUNCTION("LET(
  monthStart,DATE(VALUE(REGEXEXTRACT(X$1,""\d{4}"")),VALUE(REGEXEXTRACT(X$1,""T(\d+)"")),1),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Y39" s="71">
        <f>IFERROR(__xludf.DUMMYFUNCTION("LET(
  monthStart,DATE(VALUE(REGEXEXTRACT(Y$1,""\d{4}"")),VALUE(REGEXEXTRACT(Y$1,""T(\d+)"")),1),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AJ39" s="64"/>
      <c r="AK39" s="64"/>
      <c r="AO39" s="64"/>
      <c r="AP39" s="64"/>
      <c r="AT39" s="64"/>
      <c r="AX39" s="64"/>
      <c r="AY39" s="64"/>
      <c r="AZ39" s="64"/>
      <c r="BA39" s="74"/>
      <c r="BB39" s="75"/>
      <c r="BC39" s="75"/>
      <c r="BD39" s="66"/>
      <c r="BH39" s="64"/>
      <c r="BI39" s="64"/>
      <c r="BJ39" s="64"/>
      <c r="BK39" s="64"/>
      <c r="BL39" s="64"/>
      <c r="BM39" s="64"/>
      <c r="BN39" s="64"/>
    </row>
    <row r="40" ht="30.0" customHeight="1">
      <c r="A40" s="49"/>
      <c r="B40" s="68"/>
      <c r="C40" s="73"/>
      <c r="D40" s="69"/>
      <c r="E40" s="69"/>
      <c r="F40" s="70"/>
      <c r="G40" s="71">
        <f>IFERROR(__xludf.DUMMYFUNCTION("LET(
  monthStart,DATE(VALUE(REGEXEXTRACT(G$1,""\d{4}"")),VALUE(REGEXEXTRACT(G$1,""T(\d+)"")),1),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H40" s="71">
        <f>IFERROR(__xludf.DUMMYFUNCTION("LET(
  monthStart,DATE(VALUE(REGEXEXTRACT(H$1,""\d{4}"")),VALUE(REGEXEXTRACT(H$1,""T(\d+)"")),1),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I40" s="71">
        <f>IFERROR(__xludf.DUMMYFUNCTION("LET(
  monthStart,DATE(VALUE(REGEXEXTRACT(I$1,""\d{4}"")),VALUE(REGEXEXTRACT(I$1,""T(\d+)"")),1),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J40" s="71">
        <f>IFERROR(__xludf.DUMMYFUNCTION("LET(
  monthStart,DATE(VALUE(REGEXEXTRACT(J$1,""\d{4}"")),VALUE(REGEXEXTRACT(J$1,""T(\d+)"")),1),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K40" s="71">
        <f>IFERROR(__xludf.DUMMYFUNCTION("LET(
  monthStart,DATE(VALUE(REGEXEXTRACT(K$1,""\d{4}"")),VALUE(REGEXEXTRACT(K$1,""T(\d+)"")),1),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L40" s="71">
        <f>IFERROR(__xludf.DUMMYFUNCTION("LET(
  monthStart,DATE(VALUE(REGEXEXTRACT(L$1,""\d{4}"")),VALUE(REGEXEXTRACT(L$1,""T(\d+)"")),1),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M40" s="71">
        <f>IFERROR(__xludf.DUMMYFUNCTION("LET(
  monthStart,DATE(VALUE(REGEXEXTRACT(M$1,""\d{4}"")),VALUE(REGEXEXTRACT(M$1,""T(\d+)"")),1),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N40" s="71">
        <f>IFERROR(__xludf.DUMMYFUNCTION("LET(
  monthStart,DATE(VALUE(REGEXEXTRACT(N$1,""\d{4}"")),VALUE(REGEXEXTRACT(N$1,""T(\d+)"")),1),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O40" s="71">
        <f>IFERROR(__xludf.DUMMYFUNCTION("LET(
  monthStart,DATE(VALUE(REGEXEXTRACT(O$1,""\d{4}"")),VALUE(REGEXEXTRACT(O$1,""T(\d+)"")),1),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P40" s="71">
        <f>IFERROR(__xludf.DUMMYFUNCTION("LET(
  monthStart,DATE(VALUE(REGEXEXTRACT(P$1,""\d{4}"")),VALUE(REGEXEXTRACT(P$1,""T(\d+)"")),1),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Q40" s="71">
        <f>IFERROR(__xludf.DUMMYFUNCTION("LET(
  monthStart,DATE(VALUE(REGEXEXTRACT(Q$1,""\d{4}"")),VALUE(REGEXEXTRACT(Q$1,""T(\d+)"")),1),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R40" s="71">
        <f>IFERROR(__xludf.DUMMYFUNCTION("LET(
  monthStart,DATE(VALUE(REGEXEXTRACT(R$1,""\d{4}"")),VALUE(REGEXEXTRACT(R$1,""T(\d+)"")),1),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S40" s="71">
        <f>IFERROR(__xludf.DUMMYFUNCTION("LET(
  monthStart,DATE(VALUE(REGEXEXTRACT(S$1,""\d{4}"")),VALUE(REGEXEXTRACT(S$1,""T(\d+)"")),1),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T40" s="71">
        <f>IFERROR(__xludf.DUMMYFUNCTION("LET(
  monthStart,DATE(VALUE(REGEXEXTRACT(T$1,""\d{4}"")),VALUE(REGEXEXTRACT(T$1,""T(\d+)"")),1),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U40" s="71">
        <f>IFERROR(__xludf.DUMMYFUNCTION("LET(
  monthStart,DATE(VALUE(REGEXEXTRACT(U$1,""\d{4}"")),VALUE(REGEXEXTRACT(U$1,""T(\d+)"")),1),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V40" s="71">
        <f>IFERROR(__xludf.DUMMYFUNCTION("LET(
  monthStart,DATE(VALUE(REGEXEXTRACT(V$1,""\d{4}"")),VALUE(REGEXEXTRACT(V$1,""T(\d+)"")),1),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W40" s="71">
        <f>IFERROR(__xludf.DUMMYFUNCTION("LET(
  monthStart,DATE(VALUE(REGEXEXTRACT(W$1,""\d{4}"")),VALUE(REGEXEXTRACT(W$1,""T(\d+)"")),1),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X40" s="71">
        <f>IFERROR(__xludf.DUMMYFUNCTION("LET(
  monthStart,DATE(VALUE(REGEXEXTRACT(X$1,""\d{4}"")),VALUE(REGEXEXTRACT(X$1,""T(\d+)"")),1),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Y40" s="71">
        <f>IFERROR(__xludf.DUMMYFUNCTION("LET(
  monthStart,DATE(VALUE(REGEXEXTRACT(Y$1,""\d{4}"")),VALUE(REGEXEXTRACT(Y$1,""T(\d+)"")),1),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AJ40" s="64"/>
      <c r="AK40" s="64"/>
      <c r="AO40" s="64"/>
      <c r="AP40" s="64"/>
      <c r="AT40" s="64"/>
      <c r="AX40" s="64"/>
      <c r="AY40" s="64"/>
      <c r="AZ40" s="64"/>
      <c r="BA40" s="74"/>
      <c r="BB40" s="75"/>
      <c r="BC40" s="75"/>
      <c r="BD40" s="66"/>
      <c r="BH40" s="64"/>
      <c r="BI40" s="64"/>
      <c r="BJ40" s="64"/>
      <c r="BK40" s="64"/>
      <c r="BL40" s="64"/>
      <c r="BM40" s="64"/>
      <c r="BN40" s="64"/>
    </row>
    <row r="41" ht="30.0" customHeight="1">
      <c r="A41" s="49"/>
      <c r="B41" s="68"/>
      <c r="C41" s="73"/>
      <c r="D41" s="69"/>
      <c r="E41" s="69"/>
      <c r="F41" s="70"/>
      <c r="G41" s="71">
        <f>IFERROR(__xludf.DUMMYFUNCTION("LET(
  monthStart,DATE(VALUE(REGEXEXTRACT(G$1,""\d{4}"")),VALUE(REGEXEXTRACT(G$1,""T(\d+)"")),1),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H41" s="71">
        <f>IFERROR(__xludf.DUMMYFUNCTION("LET(
  monthStart,DATE(VALUE(REGEXEXTRACT(H$1,""\d{4}"")),VALUE(REGEXEXTRACT(H$1,""T(\d+)"")),1),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I41" s="71">
        <f>IFERROR(__xludf.DUMMYFUNCTION("LET(
  monthStart,DATE(VALUE(REGEXEXTRACT(I$1,""\d{4}"")),VALUE(REGEXEXTRACT(I$1,""T(\d+)"")),1),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J41" s="71">
        <f>IFERROR(__xludf.DUMMYFUNCTION("LET(
  monthStart,DATE(VALUE(REGEXEXTRACT(J$1,""\d{4}"")),VALUE(REGEXEXTRACT(J$1,""T(\d+)"")),1),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K41" s="71">
        <f>IFERROR(__xludf.DUMMYFUNCTION("LET(
  monthStart,DATE(VALUE(REGEXEXTRACT(K$1,""\d{4}"")),VALUE(REGEXEXTRACT(K$1,""T(\d+)"")),1),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L41" s="71">
        <f>IFERROR(__xludf.DUMMYFUNCTION("LET(
  monthStart,DATE(VALUE(REGEXEXTRACT(L$1,""\d{4}"")),VALUE(REGEXEXTRACT(L$1,""T(\d+)"")),1),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M41" s="71">
        <f>IFERROR(__xludf.DUMMYFUNCTION("LET(
  monthStart,DATE(VALUE(REGEXEXTRACT(M$1,""\d{4}"")),VALUE(REGEXEXTRACT(M$1,""T(\d+)"")),1),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N41" s="71">
        <f>IFERROR(__xludf.DUMMYFUNCTION("LET(
  monthStart,DATE(VALUE(REGEXEXTRACT(N$1,""\d{4}"")),VALUE(REGEXEXTRACT(N$1,""T(\d+)"")),1),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O41" s="71">
        <f>IFERROR(__xludf.DUMMYFUNCTION("LET(
  monthStart,DATE(VALUE(REGEXEXTRACT(O$1,""\d{4}"")),VALUE(REGEXEXTRACT(O$1,""T(\d+)"")),1),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P41" s="71">
        <f>IFERROR(__xludf.DUMMYFUNCTION("LET(
  monthStart,DATE(VALUE(REGEXEXTRACT(P$1,""\d{4}"")),VALUE(REGEXEXTRACT(P$1,""T(\d+)"")),1),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Q41" s="71">
        <f>IFERROR(__xludf.DUMMYFUNCTION("LET(
  monthStart,DATE(VALUE(REGEXEXTRACT(Q$1,""\d{4}"")),VALUE(REGEXEXTRACT(Q$1,""T(\d+)"")),1),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R41" s="71">
        <f>IFERROR(__xludf.DUMMYFUNCTION("LET(
  monthStart,DATE(VALUE(REGEXEXTRACT(R$1,""\d{4}"")),VALUE(REGEXEXTRACT(R$1,""T(\d+)"")),1),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S41" s="71">
        <f>IFERROR(__xludf.DUMMYFUNCTION("LET(
  monthStart,DATE(VALUE(REGEXEXTRACT(S$1,""\d{4}"")),VALUE(REGEXEXTRACT(S$1,""T(\d+)"")),1),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T41" s="71">
        <f>IFERROR(__xludf.DUMMYFUNCTION("LET(
  monthStart,DATE(VALUE(REGEXEXTRACT(T$1,""\d{4}"")),VALUE(REGEXEXTRACT(T$1,""T(\d+)"")),1),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U41" s="71">
        <f>IFERROR(__xludf.DUMMYFUNCTION("LET(
  monthStart,DATE(VALUE(REGEXEXTRACT(U$1,""\d{4}"")),VALUE(REGEXEXTRACT(U$1,""T(\d+)"")),1),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V41" s="71">
        <f>IFERROR(__xludf.DUMMYFUNCTION("LET(
  monthStart,DATE(VALUE(REGEXEXTRACT(V$1,""\d{4}"")),VALUE(REGEXEXTRACT(V$1,""T(\d+)"")),1),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W41" s="71">
        <f>IFERROR(__xludf.DUMMYFUNCTION("LET(
  monthStart,DATE(VALUE(REGEXEXTRACT(W$1,""\d{4}"")),VALUE(REGEXEXTRACT(W$1,""T(\d+)"")),1),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X41" s="71">
        <f>IFERROR(__xludf.DUMMYFUNCTION("LET(
  monthStart,DATE(VALUE(REGEXEXTRACT(X$1,""\d{4}"")),VALUE(REGEXEXTRACT(X$1,""T(\d+)"")),1),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Y41" s="71">
        <f>IFERROR(__xludf.DUMMYFUNCTION("LET(
  monthStart,DATE(VALUE(REGEXEXTRACT(Y$1,""\d{4}"")),VALUE(REGEXEXTRACT(Y$1,""T(\d+)"")),1),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AJ41" s="64"/>
      <c r="AK41" s="64"/>
      <c r="AO41" s="64"/>
      <c r="AP41" s="64"/>
      <c r="AT41" s="64"/>
      <c r="AX41" s="64"/>
      <c r="AY41" s="64"/>
      <c r="BD41" s="76"/>
      <c r="BH41" s="64"/>
      <c r="BI41" s="64"/>
      <c r="BJ41" s="64"/>
      <c r="BK41" s="64"/>
      <c r="BL41" s="64"/>
      <c r="BM41" s="64"/>
      <c r="BN41" s="64"/>
    </row>
    <row r="42" ht="30.0" customHeight="1">
      <c r="A42" s="49"/>
      <c r="B42" s="68"/>
      <c r="C42" s="73"/>
      <c r="D42" s="69"/>
      <c r="E42" s="69"/>
      <c r="F42" s="70"/>
      <c r="G42" s="71">
        <f>IFERROR(__xludf.DUMMYFUNCTION("LET(
  monthStart,DATE(VALUE(REGEXEXTRACT(G$1,""\d{4}"")),VALUE(REGEXEXTRACT(G$1,""T(\d+)"")),1),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H42" s="71">
        <f>IFERROR(__xludf.DUMMYFUNCTION("LET(
  monthStart,DATE(VALUE(REGEXEXTRACT(H$1,""\d{4}"")),VALUE(REGEXEXTRACT(H$1,""T(\d+)"")),1),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I42" s="71">
        <f>IFERROR(__xludf.DUMMYFUNCTION("LET(
  monthStart,DATE(VALUE(REGEXEXTRACT(I$1,""\d{4}"")),VALUE(REGEXEXTRACT(I$1,""T(\d+)"")),1),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J42" s="71">
        <f>IFERROR(__xludf.DUMMYFUNCTION("LET(
  monthStart,DATE(VALUE(REGEXEXTRACT(J$1,""\d{4}"")),VALUE(REGEXEXTRACT(J$1,""T(\d+)"")),1),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K42" s="71">
        <f>IFERROR(__xludf.DUMMYFUNCTION("LET(
  monthStart,DATE(VALUE(REGEXEXTRACT(K$1,""\d{4}"")),VALUE(REGEXEXTRACT(K$1,""T(\d+)"")),1),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L42" s="71">
        <f>IFERROR(__xludf.DUMMYFUNCTION("LET(
  monthStart,DATE(VALUE(REGEXEXTRACT(L$1,""\d{4}"")),VALUE(REGEXEXTRACT(L$1,""T(\d+)"")),1),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M42" s="71">
        <f>IFERROR(__xludf.DUMMYFUNCTION("LET(
  monthStart,DATE(VALUE(REGEXEXTRACT(M$1,""\d{4}"")),VALUE(REGEXEXTRACT(M$1,""T(\d+)"")),1),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N42" s="71">
        <f>IFERROR(__xludf.DUMMYFUNCTION("LET(
  monthStart,DATE(VALUE(REGEXEXTRACT(N$1,""\d{4}"")),VALUE(REGEXEXTRACT(N$1,""T(\d+)"")),1),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O42" s="71">
        <f>IFERROR(__xludf.DUMMYFUNCTION("LET(
  monthStart,DATE(VALUE(REGEXEXTRACT(O$1,""\d{4}"")),VALUE(REGEXEXTRACT(O$1,""T(\d+)"")),1),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P42" s="71">
        <f>IFERROR(__xludf.DUMMYFUNCTION("LET(
  monthStart,DATE(VALUE(REGEXEXTRACT(P$1,""\d{4}"")),VALUE(REGEXEXTRACT(P$1,""T(\d+)"")),1),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Q42" s="71">
        <f>IFERROR(__xludf.DUMMYFUNCTION("LET(
  monthStart,DATE(VALUE(REGEXEXTRACT(Q$1,""\d{4}"")),VALUE(REGEXEXTRACT(Q$1,""T(\d+)"")),1),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R42" s="71">
        <f>IFERROR(__xludf.DUMMYFUNCTION("LET(
  monthStart,DATE(VALUE(REGEXEXTRACT(R$1,""\d{4}"")),VALUE(REGEXEXTRACT(R$1,""T(\d+)"")),1),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S42" s="71">
        <f>IFERROR(__xludf.DUMMYFUNCTION("LET(
  monthStart,DATE(VALUE(REGEXEXTRACT(S$1,""\d{4}"")),VALUE(REGEXEXTRACT(S$1,""T(\d+)"")),1),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T42" s="71">
        <f>IFERROR(__xludf.DUMMYFUNCTION("LET(
  monthStart,DATE(VALUE(REGEXEXTRACT(T$1,""\d{4}"")),VALUE(REGEXEXTRACT(T$1,""T(\d+)"")),1),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U42" s="71">
        <f>IFERROR(__xludf.DUMMYFUNCTION("LET(
  monthStart,DATE(VALUE(REGEXEXTRACT(U$1,""\d{4}"")),VALUE(REGEXEXTRACT(U$1,""T(\d+)"")),1),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V42" s="71">
        <f>IFERROR(__xludf.DUMMYFUNCTION("LET(
  monthStart,DATE(VALUE(REGEXEXTRACT(V$1,""\d{4}"")),VALUE(REGEXEXTRACT(V$1,""T(\d+)"")),1),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W42" s="71">
        <f>IFERROR(__xludf.DUMMYFUNCTION("LET(
  monthStart,DATE(VALUE(REGEXEXTRACT(W$1,""\d{4}"")),VALUE(REGEXEXTRACT(W$1,""T(\d+)"")),1),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X42" s="71">
        <f>IFERROR(__xludf.DUMMYFUNCTION("LET(
  monthStart,DATE(VALUE(REGEXEXTRACT(X$1,""\d{4}"")),VALUE(REGEXEXTRACT(X$1,""T(\d+)"")),1),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Y42" s="71">
        <f>IFERROR(__xludf.DUMMYFUNCTION("LET(
  monthStart,DATE(VALUE(REGEXEXTRACT(Y$1,""\d{4}"")),VALUE(REGEXEXTRACT(Y$1,""T(\d+)"")),1),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Z42" s="64"/>
      <c r="AA42" s="64"/>
      <c r="AB42" s="64"/>
      <c r="AC42" s="64"/>
      <c r="AD42" s="64"/>
      <c r="AE42" s="64"/>
      <c r="AF42" s="64"/>
      <c r="AJ42" s="64"/>
      <c r="AK42" s="64"/>
      <c r="AO42" s="64"/>
      <c r="AP42" s="64"/>
      <c r="AT42" s="64"/>
      <c r="AX42" s="64"/>
      <c r="AY42" s="77"/>
      <c r="AZ42" s="64"/>
      <c r="BA42" s="67"/>
      <c r="BB42" s="67"/>
      <c r="BC42" s="67"/>
      <c r="BD42" s="66"/>
      <c r="BH42" s="64"/>
      <c r="BI42" s="64"/>
      <c r="BJ42" s="64"/>
      <c r="BK42" s="64"/>
      <c r="BL42" s="64"/>
      <c r="BM42" s="64"/>
      <c r="BN42" s="64"/>
    </row>
    <row r="43" ht="30.0" customHeight="1">
      <c r="A43" s="49"/>
      <c r="B43" s="68"/>
      <c r="C43" s="73"/>
      <c r="D43" s="69"/>
      <c r="E43" s="69"/>
      <c r="F43" s="70"/>
      <c r="G43" s="71">
        <f>IFERROR(__xludf.DUMMYFUNCTION("LET(
  monthStart,DATE(VALUE(REGEXEXTRACT(G$1,""\d{4}"")),VALUE(REGEXEXTRACT(G$1,""T(\d+)"")),1),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H43" s="71">
        <f>IFERROR(__xludf.DUMMYFUNCTION("LET(
  monthStart,DATE(VALUE(REGEXEXTRACT(H$1,""\d{4}"")),VALUE(REGEXEXTRACT(H$1,""T(\d+)"")),1),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I43" s="71">
        <f>IFERROR(__xludf.DUMMYFUNCTION("LET(
  monthStart,DATE(VALUE(REGEXEXTRACT(I$1,""\d{4}"")),VALUE(REGEXEXTRACT(I$1,""T(\d+)"")),1),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J43" s="71">
        <f>IFERROR(__xludf.DUMMYFUNCTION("LET(
  monthStart,DATE(VALUE(REGEXEXTRACT(J$1,""\d{4}"")),VALUE(REGEXEXTRACT(J$1,""T(\d+)"")),1),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K43" s="71">
        <f>IFERROR(__xludf.DUMMYFUNCTION("LET(
  monthStart,DATE(VALUE(REGEXEXTRACT(K$1,""\d{4}"")),VALUE(REGEXEXTRACT(K$1,""T(\d+)"")),1),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L43" s="71">
        <f>IFERROR(__xludf.DUMMYFUNCTION("LET(
  monthStart,DATE(VALUE(REGEXEXTRACT(L$1,""\d{4}"")),VALUE(REGEXEXTRACT(L$1,""T(\d+)"")),1),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M43" s="71">
        <f>IFERROR(__xludf.DUMMYFUNCTION("LET(
  monthStart,DATE(VALUE(REGEXEXTRACT(M$1,""\d{4}"")),VALUE(REGEXEXTRACT(M$1,""T(\d+)"")),1),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N43" s="71">
        <f>IFERROR(__xludf.DUMMYFUNCTION("LET(
  monthStart,DATE(VALUE(REGEXEXTRACT(N$1,""\d{4}"")),VALUE(REGEXEXTRACT(N$1,""T(\d+)"")),1),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O43" s="71">
        <f>IFERROR(__xludf.DUMMYFUNCTION("LET(
  monthStart,DATE(VALUE(REGEXEXTRACT(O$1,""\d{4}"")),VALUE(REGEXEXTRACT(O$1,""T(\d+)"")),1),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P43" s="71">
        <f>IFERROR(__xludf.DUMMYFUNCTION("LET(
  monthStart,DATE(VALUE(REGEXEXTRACT(P$1,""\d{4}"")),VALUE(REGEXEXTRACT(P$1,""T(\d+)"")),1),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Q43" s="71">
        <f>IFERROR(__xludf.DUMMYFUNCTION("LET(
  monthStart,DATE(VALUE(REGEXEXTRACT(Q$1,""\d{4}"")),VALUE(REGEXEXTRACT(Q$1,""T(\d+)"")),1),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R43" s="71">
        <f>IFERROR(__xludf.DUMMYFUNCTION("LET(
  monthStart,DATE(VALUE(REGEXEXTRACT(R$1,""\d{4}"")),VALUE(REGEXEXTRACT(R$1,""T(\d+)"")),1),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S43" s="71">
        <f>IFERROR(__xludf.DUMMYFUNCTION("LET(
  monthStart,DATE(VALUE(REGEXEXTRACT(S$1,""\d{4}"")),VALUE(REGEXEXTRACT(S$1,""T(\d+)"")),1),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T43" s="71">
        <f>IFERROR(__xludf.DUMMYFUNCTION("LET(
  monthStart,DATE(VALUE(REGEXEXTRACT(T$1,""\d{4}"")),VALUE(REGEXEXTRACT(T$1,""T(\d+)"")),1),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U43" s="71">
        <f>IFERROR(__xludf.DUMMYFUNCTION("LET(
  monthStart,DATE(VALUE(REGEXEXTRACT(U$1,""\d{4}"")),VALUE(REGEXEXTRACT(U$1,""T(\d+)"")),1),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V43" s="71">
        <f>IFERROR(__xludf.DUMMYFUNCTION("LET(
  monthStart,DATE(VALUE(REGEXEXTRACT(V$1,""\d{4}"")),VALUE(REGEXEXTRACT(V$1,""T(\d+)"")),1),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W43" s="71">
        <f>IFERROR(__xludf.DUMMYFUNCTION("LET(
  monthStart,DATE(VALUE(REGEXEXTRACT(W$1,""\d{4}"")),VALUE(REGEXEXTRACT(W$1,""T(\d+)"")),1),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X43" s="71">
        <f>IFERROR(__xludf.DUMMYFUNCTION("LET(
  monthStart,DATE(VALUE(REGEXEXTRACT(X$1,""\d{4}"")),VALUE(REGEXEXTRACT(X$1,""T(\d+)"")),1),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Y43" s="71">
        <f>IFERROR(__xludf.DUMMYFUNCTION("LET(
  monthStart,DATE(VALUE(REGEXEXTRACT(Y$1,""\d{4}"")),VALUE(REGEXEXTRACT(Y$1,""T(\d+)"")),1),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Z43" s="64"/>
      <c r="AA43" s="64"/>
      <c r="AB43" s="64"/>
      <c r="AC43" s="64"/>
      <c r="AD43" s="64"/>
      <c r="AE43" s="64"/>
      <c r="AF43" s="64"/>
      <c r="AJ43" s="64"/>
      <c r="AK43" s="64"/>
      <c r="AO43" s="64"/>
      <c r="AP43" s="64"/>
      <c r="AT43" s="64"/>
      <c r="AX43" s="64"/>
      <c r="AY43" s="77"/>
      <c r="AZ43" s="78"/>
      <c r="BA43" s="79"/>
      <c r="BB43" s="67"/>
      <c r="BC43" s="67"/>
      <c r="BD43" s="80"/>
      <c r="BH43" s="64"/>
      <c r="BI43" s="64"/>
      <c r="BJ43" s="64"/>
      <c r="BK43" s="64"/>
      <c r="BL43" s="64"/>
      <c r="BM43" s="64"/>
      <c r="BN43" s="64"/>
    </row>
    <row r="44" ht="30.0" customHeight="1">
      <c r="A44" s="49"/>
      <c r="B44" s="68"/>
      <c r="C44" s="73"/>
      <c r="D44" s="69"/>
      <c r="E44" s="69"/>
      <c r="F44" s="70"/>
      <c r="G44" s="71">
        <f>IFERROR(__xludf.DUMMYFUNCTION("LET(
  monthStart,DATE(VALUE(REGEXEXTRACT(G$1,""\d{4}"")),VALUE(REGEXEXTRACT(G$1,""T(\d+)"")),1),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H44" s="71">
        <f>IFERROR(__xludf.DUMMYFUNCTION("LET(
  monthStart,DATE(VALUE(REGEXEXTRACT(H$1,""\d{4}"")),VALUE(REGEXEXTRACT(H$1,""T(\d+)"")),1),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I44" s="71">
        <f>IFERROR(__xludf.DUMMYFUNCTION("LET(
  monthStart,DATE(VALUE(REGEXEXTRACT(I$1,""\d{4}"")),VALUE(REGEXEXTRACT(I$1,""T(\d+)"")),1),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J44" s="71">
        <f>IFERROR(__xludf.DUMMYFUNCTION("LET(
  monthStart,DATE(VALUE(REGEXEXTRACT(J$1,""\d{4}"")),VALUE(REGEXEXTRACT(J$1,""T(\d+)"")),1),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K44" s="71">
        <f>IFERROR(__xludf.DUMMYFUNCTION("LET(
  monthStart,DATE(VALUE(REGEXEXTRACT(K$1,""\d{4}"")),VALUE(REGEXEXTRACT(K$1,""T(\d+)"")),1),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L44" s="71">
        <f>IFERROR(__xludf.DUMMYFUNCTION("LET(
  monthStart,DATE(VALUE(REGEXEXTRACT(L$1,""\d{4}"")),VALUE(REGEXEXTRACT(L$1,""T(\d+)"")),1),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M44" s="71">
        <f>IFERROR(__xludf.DUMMYFUNCTION("LET(
  monthStart,DATE(VALUE(REGEXEXTRACT(M$1,""\d{4}"")),VALUE(REGEXEXTRACT(M$1,""T(\d+)"")),1),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N44" s="71">
        <f>IFERROR(__xludf.DUMMYFUNCTION("LET(
  monthStart,DATE(VALUE(REGEXEXTRACT(N$1,""\d{4}"")),VALUE(REGEXEXTRACT(N$1,""T(\d+)"")),1),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O44" s="71">
        <f>IFERROR(__xludf.DUMMYFUNCTION("LET(
  monthStart,DATE(VALUE(REGEXEXTRACT(O$1,""\d{4}"")),VALUE(REGEXEXTRACT(O$1,""T(\d+)"")),1),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P44" s="71">
        <f>IFERROR(__xludf.DUMMYFUNCTION("LET(
  monthStart,DATE(VALUE(REGEXEXTRACT(P$1,""\d{4}"")),VALUE(REGEXEXTRACT(P$1,""T(\d+)"")),1),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Q44" s="71">
        <f>IFERROR(__xludf.DUMMYFUNCTION("LET(
  monthStart,DATE(VALUE(REGEXEXTRACT(Q$1,""\d{4}"")),VALUE(REGEXEXTRACT(Q$1,""T(\d+)"")),1),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R44" s="71">
        <f>IFERROR(__xludf.DUMMYFUNCTION("LET(
  monthStart,DATE(VALUE(REGEXEXTRACT(R$1,""\d{4}"")),VALUE(REGEXEXTRACT(R$1,""T(\d+)"")),1),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S44" s="71">
        <f>IFERROR(__xludf.DUMMYFUNCTION("LET(
  monthStart,DATE(VALUE(REGEXEXTRACT(S$1,""\d{4}"")),VALUE(REGEXEXTRACT(S$1,""T(\d+)"")),1),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T44" s="71">
        <f>IFERROR(__xludf.DUMMYFUNCTION("LET(
  monthStart,DATE(VALUE(REGEXEXTRACT(T$1,""\d{4}"")),VALUE(REGEXEXTRACT(T$1,""T(\d+)"")),1),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U44" s="71">
        <f>IFERROR(__xludf.DUMMYFUNCTION("LET(
  monthStart,DATE(VALUE(REGEXEXTRACT(U$1,""\d{4}"")),VALUE(REGEXEXTRACT(U$1,""T(\d+)"")),1),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V44" s="71">
        <f>IFERROR(__xludf.DUMMYFUNCTION("LET(
  monthStart,DATE(VALUE(REGEXEXTRACT(V$1,""\d{4}"")),VALUE(REGEXEXTRACT(V$1,""T(\d+)"")),1),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W44" s="71">
        <f>IFERROR(__xludf.DUMMYFUNCTION("LET(
  monthStart,DATE(VALUE(REGEXEXTRACT(W$1,""\d{4}"")),VALUE(REGEXEXTRACT(W$1,""T(\d+)"")),1),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X44" s="71">
        <f>IFERROR(__xludf.DUMMYFUNCTION("LET(
  monthStart,DATE(VALUE(REGEXEXTRACT(X$1,""\d{4}"")),VALUE(REGEXEXTRACT(X$1,""T(\d+)"")),1),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Y44" s="71">
        <f>IFERROR(__xludf.DUMMYFUNCTION("LET(
  monthStart,DATE(VALUE(REGEXEXTRACT(Y$1,""\d{4}"")),VALUE(REGEXEXTRACT(Y$1,""T(\d+)"")),1),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AE44" s="67"/>
      <c r="AF44" s="67"/>
      <c r="AJ44" s="64"/>
      <c r="AK44" s="64"/>
      <c r="AO44" s="64"/>
      <c r="AP44" s="64"/>
      <c r="AT44" s="64"/>
      <c r="AX44" s="64"/>
      <c r="AY44" s="77"/>
      <c r="AZ44" s="78"/>
      <c r="BA44" s="79"/>
      <c r="BB44" s="67"/>
      <c r="BC44" s="67"/>
      <c r="BD44" s="80"/>
      <c r="BH44" s="64"/>
      <c r="BI44" s="64"/>
      <c r="BJ44" s="64"/>
      <c r="BK44" s="64"/>
      <c r="BL44" s="64"/>
      <c r="BM44" s="64"/>
      <c r="BN44" s="64"/>
    </row>
    <row r="45" ht="30.0" customHeight="1">
      <c r="A45" s="49"/>
      <c r="B45" s="68"/>
      <c r="C45" s="73"/>
      <c r="D45" s="69"/>
      <c r="E45" s="69"/>
      <c r="F45" s="70"/>
      <c r="G45" s="71">
        <f>IFERROR(__xludf.DUMMYFUNCTION("LET(
  monthStart,DATE(VALUE(REGEXEXTRACT(G$1,""\d{4}"")),VALUE(REGEXEXTRACT(G$1,""T(\d+)"")),1),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H45" s="71">
        <f>IFERROR(__xludf.DUMMYFUNCTION("LET(
  monthStart,DATE(VALUE(REGEXEXTRACT(H$1,""\d{4}"")),VALUE(REGEXEXTRACT(H$1,""T(\d+)"")),1),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I45" s="71">
        <f>IFERROR(__xludf.DUMMYFUNCTION("LET(
  monthStart,DATE(VALUE(REGEXEXTRACT(I$1,""\d{4}"")),VALUE(REGEXEXTRACT(I$1,""T(\d+)"")),1),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J45" s="71">
        <f>IFERROR(__xludf.DUMMYFUNCTION("LET(
  monthStart,DATE(VALUE(REGEXEXTRACT(J$1,""\d{4}"")),VALUE(REGEXEXTRACT(J$1,""T(\d+)"")),1),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K45" s="71">
        <f>IFERROR(__xludf.DUMMYFUNCTION("LET(
  monthStart,DATE(VALUE(REGEXEXTRACT(K$1,""\d{4}"")),VALUE(REGEXEXTRACT(K$1,""T(\d+)"")),1),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L45" s="71">
        <f>IFERROR(__xludf.DUMMYFUNCTION("LET(
  monthStart,DATE(VALUE(REGEXEXTRACT(L$1,""\d{4}"")),VALUE(REGEXEXTRACT(L$1,""T(\d+)"")),1),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M45" s="71">
        <f>IFERROR(__xludf.DUMMYFUNCTION("LET(
  monthStart,DATE(VALUE(REGEXEXTRACT(M$1,""\d{4}"")),VALUE(REGEXEXTRACT(M$1,""T(\d+)"")),1),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N45" s="71">
        <f>IFERROR(__xludf.DUMMYFUNCTION("LET(
  monthStart,DATE(VALUE(REGEXEXTRACT(N$1,""\d{4}"")),VALUE(REGEXEXTRACT(N$1,""T(\d+)"")),1),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O45" s="71">
        <f>IFERROR(__xludf.DUMMYFUNCTION("LET(
  monthStart,DATE(VALUE(REGEXEXTRACT(O$1,""\d{4}"")),VALUE(REGEXEXTRACT(O$1,""T(\d+)"")),1),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P45" s="71">
        <f>IFERROR(__xludf.DUMMYFUNCTION("LET(
  monthStart,DATE(VALUE(REGEXEXTRACT(P$1,""\d{4}"")),VALUE(REGEXEXTRACT(P$1,""T(\d+)"")),1),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Q45" s="71">
        <f>IFERROR(__xludf.DUMMYFUNCTION("LET(
  monthStart,DATE(VALUE(REGEXEXTRACT(Q$1,""\d{4}"")),VALUE(REGEXEXTRACT(Q$1,""T(\d+)"")),1),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R45" s="71">
        <f>IFERROR(__xludf.DUMMYFUNCTION("LET(
  monthStart,DATE(VALUE(REGEXEXTRACT(R$1,""\d{4}"")),VALUE(REGEXEXTRACT(R$1,""T(\d+)"")),1),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S45" s="71">
        <f>IFERROR(__xludf.DUMMYFUNCTION("LET(
  monthStart,DATE(VALUE(REGEXEXTRACT(S$1,""\d{4}"")),VALUE(REGEXEXTRACT(S$1,""T(\d+)"")),1),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T45" s="71">
        <f>IFERROR(__xludf.DUMMYFUNCTION("LET(
  monthStart,DATE(VALUE(REGEXEXTRACT(T$1,""\d{4}"")),VALUE(REGEXEXTRACT(T$1,""T(\d+)"")),1),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U45" s="71">
        <f>IFERROR(__xludf.DUMMYFUNCTION("LET(
  monthStart,DATE(VALUE(REGEXEXTRACT(U$1,""\d{4}"")),VALUE(REGEXEXTRACT(U$1,""T(\d+)"")),1),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V45" s="71">
        <f>IFERROR(__xludf.DUMMYFUNCTION("LET(
  monthStart,DATE(VALUE(REGEXEXTRACT(V$1,""\d{4}"")),VALUE(REGEXEXTRACT(V$1,""T(\d+)"")),1),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W45" s="71">
        <f>IFERROR(__xludf.DUMMYFUNCTION("LET(
  monthStart,DATE(VALUE(REGEXEXTRACT(W$1,""\d{4}"")),VALUE(REGEXEXTRACT(W$1,""T(\d+)"")),1),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X45" s="71">
        <f>IFERROR(__xludf.DUMMYFUNCTION("LET(
  monthStart,DATE(VALUE(REGEXEXTRACT(X$1,""\d{4}"")),VALUE(REGEXEXTRACT(X$1,""T(\d+)"")),1),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Y45" s="71">
        <f>IFERROR(__xludf.DUMMYFUNCTION("LET(
  monthStart,DATE(VALUE(REGEXEXTRACT(Y$1,""\d{4}"")),VALUE(REGEXEXTRACT(Y$1,""T(\d+)"")),1),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AE45" s="67"/>
      <c r="AF45" s="67"/>
      <c r="AJ45" s="64"/>
      <c r="AK45" s="64"/>
      <c r="AO45" s="64"/>
      <c r="AP45" s="64"/>
      <c r="AT45" s="64"/>
      <c r="AX45" s="64"/>
      <c r="AY45" s="77"/>
      <c r="AZ45" s="78"/>
      <c r="BA45" s="79"/>
      <c r="BB45" s="67"/>
      <c r="BC45" s="67"/>
      <c r="BD45" s="80"/>
      <c r="BH45" s="64"/>
      <c r="BI45" s="64"/>
      <c r="BJ45" s="64"/>
      <c r="BK45" s="64"/>
      <c r="BL45" s="64"/>
      <c r="BM45" s="64"/>
      <c r="BN45" s="64"/>
    </row>
    <row r="46" ht="30.0" customHeight="1">
      <c r="A46" s="49"/>
      <c r="B46" s="68"/>
      <c r="C46" s="73"/>
      <c r="D46" s="69"/>
      <c r="E46" s="69"/>
      <c r="F46" s="70"/>
      <c r="G46" s="71">
        <f>IFERROR(__xludf.DUMMYFUNCTION("LET(
  monthStart,DATE(VALUE(REGEXEXTRACT(G$1,""\d{4}"")),VALUE(REGEXEXTRACT(G$1,""T(\d+)"")),1),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H46" s="71">
        <f>IFERROR(__xludf.DUMMYFUNCTION("LET(
  monthStart,DATE(VALUE(REGEXEXTRACT(H$1,""\d{4}"")),VALUE(REGEXEXTRACT(H$1,""T(\d+)"")),1),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I46" s="71">
        <f>IFERROR(__xludf.DUMMYFUNCTION("LET(
  monthStart,DATE(VALUE(REGEXEXTRACT(I$1,""\d{4}"")),VALUE(REGEXEXTRACT(I$1,""T(\d+)"")),1),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J46" s="71">
        <f>IFERROR(__xludf.DUMMYFUNCTION("LET(
  monthStart,DATE(VALUE(REGEXEXTRACT(J$1,""\d{4}"")),VALUE(REGEXEXTRACT(J$1,""T(\d+)"")),1),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K46" s="71">
        <f>IFERROR(__xludf.DUMMYFUNCTION("LET(
  monthStart,DATE(VALUE(REGEXEXTRACT(K$1,""\d{4}"")),VALUE(REGEXEXTRACT(K$1,""T(\d+)"")),1),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L46" s="71">
        <f>IFERROR(__xludf.DUMMYFUNCTION("LET(
  monthStart,DATE(VALUE(REGEXEXTRACT(L$1,""\d{4}"")),VALUE(REGEXEXTRACT(L$1,""T(\d+)"")),1),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M46" s="71">
        <f>IFERROR(__xludf.DUMMYFUNCTION("LET(
  monthStart,DATE(VALUE(REGEXEXTRACT(M$1,""\d{4}"")),VALUE(REGEXEXTRACT(M$1,""T(\d+)"")),1),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N46" s="71">
        <f>IFERROR(__xludf.DUMMYFUNCTION("LET(
  monthStart,DATE(VALUE(REGEXEXTRACT(N$1,""\d{4}"")),VALUE(REGEXEXTRACT(N$1,""T(\d+)"")),1),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O46" s="71">
        <f>IFERROR(__xludf.DUMMYFUNCTION("LET(
  monthStart,DATE(VALUE(REGEXEXTRACT(O$1,""\d{4}"")),VALUE(REGEXEXTRACT(O$1,""T(\d+)"")),1),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P46" s="71">
        <f>IFERROR(__xludf.DUMMYFUNCTION("LET(
  monthStart,DATE(VALUE(REGEXEXTRACT(P$1,""\d{4}"")),VALUE(REGEXEXTRACT(P$1,""T(\d+)"")),1),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Q46" s="71">
        <f>IFERROR(__xludf.DUMMYFUNCTION("LET(
  monthStart,DATE(VALUE(REGEXEXTRACT(Q$1,""\d{4}"")),VALUE(REGEXEXTRACT(Q$1,""T(\d+)"")),1),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R46" s="71">
        <f>IFERROR(__xludf.DUMMYFUNCTION("LET(
  monthStart,DATE(VALUE(REGEXEXTRACT(R$1,""\d{4}"")),VALUE(REGEXEXTRACT(R$1,""T(\d+)"")),1),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S46" s="71">
        <f>IFERROR(__xludf.DUMMYFUNCTION("LET(
  monthStart,DATE(VALUE(REGEXEXTRACT(S$1,""\d{4}"")),VALUE(REGEXEXTRACT(S$1,""T(\d+)"")),1),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T46" s="71">
        <f>IFERROR(__xludf.DUMMYFUNCTION("LET(
  monthStart,DATE(VALUE(REGEXEXTRACT(T$1,""\d{4}"")),VALUE(REGEXEXTRACT(T$1,""T(\d+)"")),1),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U46" s="71">
        <f>IFERROR(__xludf.DUMMYFUNCTION("LET(
  monthStart,DATE(VALUE(REGEXEXTRACT(U$1,""\d{4}"")),VALUE(REGEXEXTRACT(U$1,""T(\d+)"")),1),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V46" s="71">
        <f>IFERROR(__xludf.DUMMYFUNCTION("LET(
  monthStart,DATE(VALUE(REGEXEXTRACT(V$1,""\d{4}"")),VALUE(REGEXEXTRACT(V$1,""T(\d+)"")),1),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W46" s="71">
        <f>IFERROR(__xludf.DUMMYFUNCTION("LET(
  monthStart,DATE(VALUE(REGEXEXTRACT(W$1,""\d{4}"")),VALUE(REGEXEXTRACT(W$1,""T(\d+)"")),1),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X46" s="71">
        <f>IFERROR(__xludf.DUMMYFUNCTION("LET(
  monthStart,DATE(VALUE(REGEXEXTRACT(X$1,""\d{4}"")),VALUE(REGEXEXTRACT(X$1,""T(\d+)"")),1),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Y46" s="71">
        <f>IFERROR(__xludf.DUMMYFUNCTION("LET(
  monthStart,DATE(VALUE(REGEXEXTRACT(Y$1,""\d{4}"")),VALUE(REGEXEXTRACT(Y$1,""T(\d+)"")),1),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AE46" s="67"/>
      <c r="AF46" s="67"/>
      <c r="AJ46" s="64"/>
      <c r="AK46" s="64"/>
      <c r="AO46" s="64"/>
      <c r="AP46" s="64"/>
      <c r="AT46" s="64"/>
      <c r="AX46" s="64"/>
      <c r="AY46" s="77"/>
      <c r="AZ46" s="78"/>
      <c r="BA46" s="79"/>
      <c r="BB46" s="67"/>
      <c r="BC46" s="67"/>
      <c r="BD46" s="80"/>
      <c r="BH46" s="64"/>
      <c r="BI46" s="64"/>
      <c r="BJ46" s="64"/>
      <c r="BK46" s="64"/>
      <c r="BL46" s="64"/>
      <c r="BM46" s="64"/>
      <c r="BN46" s="64"/>
    </row>
    <row r="47" ht="30.0" customHeight="1">
      <c r="A47" s="49"/>
      <c r="B47" s="68"/>
      <c r="C47" s="73"/>
      <c r="D47" s="69"/>
      <c r="E47" s="69"/>
      <c r="F47" s="70"/>
      <c r="G47" s="71">
        <f>IFERROR(__xludf.DUMMYFUNCTION("LET(
  monthStart,DATE(VALUE(REGEXEXTRACT(G$1,""\d{4}"")),VALUE(REGEXEXTRACT(G$1,""T(\d+)"")),1),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H47" s="71">
        <f>IFERROR(__xludf.DUMMYFUNCTION("LET(
  monthStart,DATE(VALUE(REGEXEXTRACT(H$1,""\d{4}"")),VALUE(REGEXEXTRACT(H$1,""T(\d+)"")),1),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I47" s="71">
        <f>IFERROR(__xludf.DUMMYFUNCTION("LET(
  monthStart,DATE(VALUE(REGEXEXTRACT(I$1,""\d{4}"")),VALUE(REGEXEXTRACT(I$1,""T(\d+)"")),1),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J47" s="71">
        <f>IFERROR(__xludf.DUMMYFUNCTION("LET(
  monthStart,DATE(VALUE(REGEXEXTRACT(J$1,""\d{4}"")),VALUE(REGEXEXTRACT(J$1,""T(\d+)"")),1),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K47" s="71">
        <f>IFERROR(__xludf.DUMMYFUNCTION("LET(
  monthStart,DATE(VALUE(REGEXEXTRACT(K$1,""\d{4}"")),VALUE(REGEXEXTRACT(K$1,""T(\d+)"")),1),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L47" s="71">
        <f>IFERROR(__xludf.DUMMYFUNCTION("LET(
  monthStart,DATE(VALUE(REGEXEXTRACT(L$1,""\d{4}"")),VALUE(REGEXEXTRACT(L$1,""T(\d+)"")),1),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M47" s="71">
        <f>IFERROR(__xludf.DUMMYFUNCTION("LET(
  monthStart,DATE(VALUE(REGEXEXTRACT(M$1,""\d{4}"")),VALUE(REGEXEXTRACT(M$1,""T(\d+)"")),1),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N47" s="71">
        <f>IFERROR(__xludf.DUMMYFUNCTION("LET(
  monthStart,DATE(VALUE(REGEXEXTRACT(N$1,""\d{4}"")),VALUE(REGEXEXTRACT(N$1,""T(\d+)"")),1),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O47" s="71">
        <f>IFERROR(__xludf.DUMMYFUNCTION("LET(
  monthStart,DATE(VALUE(REGEXEXTRACT(O$1,""\d{4}"")),VALUE(REGEXEXTRACT(O$1,""T(\d+)"")),1),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P47" s="71">
        <f>IFERROR(__xludf.DUMMYFUNCTION("LET(
  monthStart,DATE(VALUE(REGEXEXTRACT(P$1,""\d{4}"")),VALUE(REGEXEXTRACT(P$1,""T(\d+)"")),1),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Q47" s="71">
        <f>IFERROR(__xludf.DUMMYFUNCTION("LET(
  monthStart,DATE(VALUE(REGEXEXTRACT(Q$1,""\d{4}"")),VALUE(REGEXEXTRACT(Q$1,""T(\d+)"")),1),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R47" s="71">
        <f>IFERROR(__xludf.DUMMYFUNCTION("LET(
  monthStart,DATE(VALUE(REGEXEXTRACT(R$1,""\d{4}"")),VALUE(REGEXEXTRACT(R$1,""T(\d+)"")),1),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S47" s="71">
        <f>IFERROR(__xludf.DUMMYFUNCTION("LET(
  monthStart,DATE(VALUE(REGEXEXTRACT(S$1,""\d{4}"")),VALUE(REGEXEXTRACT(S$1,""T(\d+)"")),1),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T47" s="71">
        <f>IFERROR(__xludf.DUMMYFUNCTION("LET(
  monthStart,DATE(VALUE(REGEXEXTRACT(T$1,""\d{4}"")),VALUE(REGEXEXTRACT(T$1,""T(\d+)"")),1),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U47" s="71">
        <f>IFERROR(__xludf.DUMMYFUNCTION("LET(
  monthStart,DATE(VALUE(REGEXEXTRACT(U$1,""\d{4}"")),VALUE(REGEXEXTRACT(U$1,""T(\d+)"")),1),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V47" s="71">
        <f>IFERROR(__xludf.DUMMYFUNCTION("LET(
  monthStart,DATE(VALUE(REGEXEXTRACT(V$1,""\d{4}"")),VALUE(REGEXEXTRACT(V$1,""T(\d+)"")),1),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W47" s="71">
        <f>IFERROR(__xludf.DUMMYFUNCTION("LET(
  monthStart,DATE(VALUE(REGEXEXTRACT(W$1,""\d{4}"")),VALUE(REGEXEXTRACT(W$1,""T(\d+)"")),1),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X47" s="71">
        <f>IFERROR(__xludf.DUMMYFUNCTION("LET(
  monthStart,DATE(VALUE(REGEXEXTRACT(X$1,""\d{4}"")),VALUE(REGEXEXTRACT(X$1,""T(\d+)"")),1),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Y47" s="71">
        <f>IFERROR(__xludf.DUMMYFUNCTION("LET(
  monthStart,DATE(VALUE(REGEXEXTRACT(Y$1,""\d{4}"")),VALUE(REGEXEXTRACT(Y$1,""T(\d+)"")),1),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AE47" s="67"/>
      <c r="AF47" s="67"/>
      <c r="AJ47" s="64"/>
      <c r="AK47" s="64"/>
      <c r="AO47" s="64"/>
      <c r="AP47" s="64"/>
      <c r="AT47" s="64"/>
      <c r="AX47" s="64"/>
      <c r="AY47" s="77"/>
      <c r="AZ47" s="78"/>
      <c r="BA47" s="79"/>
      <c r="BB47" s="67"/>
      <c r="BC47" s="67"/>
      <c r="BD47" s="80"/>
      <c r="BH47" s="64"/>
      <c r="BI47" s="64"/>
      <c r="BJ47" s="64"/>
      <c r="BK47" s="64"/>
      <c r="BL47" s="64"/>
      <c r="BM47" s="64"/>
      <c r="BN47" s="64"/>
    </row>
    <row r="48" ht="30.0" customHeight="1">
      <c r="A48" s="49"/>
      <c r="B48" s="68"/>
      <c r="C48" s="73"/>
      <c r="D48" s="69"/>
      <c r="E48" s="69"/>
      <c r="F48" s="70"/>
      <c r="G48" s="71">
        <f>IFERROR(__xludf.DUMMYFUNCTION("LET(
  monthStart,DATE(VALUE(REGEXEXTRACT(G$1,""\d{4}"")),VALUE(REGEXEXTRACT(G$1,""T(\d+)"")),1),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H48" s="71">
        <f>IFERROR(__xludf.DUMMYFUNCTION("LET(
  monthStart,DATE(VALUE(REGEXEXTRACT(H$1,""\d{4}"")),VALUE(REGEXEXTRACT(H$1,""T(\d+)"")),1),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I48" s="71">
        <f>IFERROR(__xludf.DUMMYFUNCTION("LET(
  monthStart,DATE(VALUE(REGEXEXTRACT(I$1,""\d{4}"")),VALUE(REGEXEXTRACT(I$1,""T(\d+)"")),1),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J48" s="71">
        <f>IFERROR(__xludf.DUMMYFUNCTION("LET(
  monthStart,DATE(VALUE(REGEXEXTRACT(J$1,""\d{4}"")),VALUE(REGEXEXTRACT(J$1,""T(\d+)"")),1),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K48" s="71">
        <f>IFERROR(__xludf.DUMMYFUNCTION("LET(
  monthStart,DATE(VALUE(REGEXEXTRACT(K$1,""\d{4}"")),VALUE(REGEXEXTRACT(K$1,""T(\d+)"")),1),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L48" s="71">
        <f>IFERROR(__xludf.DUMMYFUNCTION("LET(
  monthStart,DATE(VALUE(REGEXEXTRACT(L$1,""\d{4}"")),VALUE(REGEXEXTRACT(L$1,""T(\d+)"")),1),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M48" s="71">
        <f>IFERROR(__xludf.DUMMYFUNCTION("LET(
  monthStart,DATE(VALUE(REGEXEXTRACT(M$1,""\d{4}"")),VALUE(REGEXEXTRACT(M$1,""T(\d+)"")),1),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N48" s="71">
        <f>IFERROR(__xludf.DUMMYFUNCTION("LET(
  monthStart,DATE(VALUE(REGEXEXTRACT(N$1,""\d{4}"")),VALUE(REGEXEXTRACT(N$1,""T(\d+)"")),1),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O48" s="71">
        <f>IFERROR(__xludf.DUMMYFUNCTION("LET(
  monthStart,DATE(VALUE(REGEXEXTRACT(O$1,""\d{4}"")),VALUE(REGEXEXTRACT(O$1,""T(\d+)"")),1),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P48" s="71">
        <f>IFERROR(__xludf.DUMMYFUNCTION("LET(
  monthStart,DATE(VALUE(REGEXEXTRACT(P$1,""\d{4}"")),VALUE(REGEXEXTRACT(P$1,""T(\d+)"")),1),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Q48" s="71">
        <f>IFERROR(__xludf.DUMMYFUNCTION("LET(
  monthStart,DATE(VALUE(REGEXEXTRACT(Q$1,""\d{4}"")),VALUE(REGEXEXTRACT(Q$1,""T(\d+)"")),1),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R48" s="71">
        <f>IFERROR(__xludf.DUMMYFUNCTION("LET(
  monthStart,DATE(VALUE(REGEXEXTRACT(R$1,""\d{4}"")),VALUE(REGEXEXTRACT(R$1,""T(\d+)"")),1),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S48" s="71">
        <f>IFERROR(__xludf.DUMMYFUNCTION("LET(
  monthStart,DATE(VALUE(REGEXEXTRACT(S$1,""\d{4}"")),VALUE(REGEXEXTRACT(S$1,""T(\d+)"")),1),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T48" s="71">
        <f>IFERROR(__xludf.DUMMYFUNCTION("LET(
  monthStart,DATE(VALUE(REGEXEXTRACT(T$1,""\d{4}"")),VALUE(REGEXEXTRACT(T$1,""T(\d+)"")),1),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U48" s="71">
        <f>IFERROR(__xludf.DUMMYFUNCTION("LET(
  monthStart,DATE(VALUE(REGEXEXTRACT(U$1,""\d{4}"")),VALUE(REGEXEXTRACT(U$1,""T(\d+)"")),1),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V48" s="71">
        <f>IFERROR(__xludf.DUMMYFUNCTION("LET(
  monthStart,DATE(VALUE(REGEXEXTRACT(V$1,""\d{4}"")),VALUE(REGEXEXTRACT(V$1,""T(\d+)"")),1),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W48" s="71">
        <f>IFERROR(__xludf.DUMMYFUNCTION("LET(
  monthStart,DATE(VALUE(REGEXEXTRACT(W$1,""\d{4}"")),VALUE(REGEXEXTRACT(W$1,""T(\d+)"")),1),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X48" s="71">
        <f>IFERROR(__xludf.DUMMYFUNCTION("LET(
  monthStart,DATE(VALUE(REGEXEXTRACT(X$1,""\d{4}"")),VALUE(REGEXEXTRACT(X$1,""T(\d+)"")),1),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Y48" s="71">
        <f>IFERROR(__xludf.DUMMYFUNCTION("LET(
  monthStart,DATE(VALUE(REGEXEXTRACT(Y$1,""\d{4}"")),VALUE(REGEXEXTRACT(Y$1,""T(\d+)"")),1),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AE48" s="67"/>
      <c r="AF48" s="67"/>
      <c r="AJ48" s="64"/>
      <c r="AK48" s="64"/>
      <c r="AO48" s="64"/>
      <c r="AP48" s="64"/>
      <c r="AT48" s="64"/>
      <c r="AX48" s="64"/>
      <c r="AY48" s="77"/>
      <c r="AZ48" s="78"/>
      <c r="BA48" s="79"/>
      <c r="BB48" s="67"/>
      <c r="BC48" s="67"/>
      <c r="BD48" s="80"/>
      <c r="BH48" s="64"/>
      <c r="BI48" s="64"/>
      <c r="BJ48" s="64"/>
      <c r="BK48" s="64"/>
      <c r="BL48" s="64"/>
      <c r="BM48" s="64"/>
      <c r="BN48" s="64"/>
    </row>
    <row r="49" ht="30.0" customHeight="1">
      <c r="A49" s="49"/>
      <c r="B49" s="68"/>
      <c r="C49" s="73"/>
      <c r="D49" s="69"/>
      <c r="E49" s="69"/>
      <c r="F49" s="70"/>
      <c r="G49" s="71">
        <f>IFERROR(__xludf.DUMMYFUNCTION("LET(
  monthStart,DATE(VALUE(REGEXEXTRACT(G$1,""\d{4}"")),VALUE(REGEXEXTRACT(G$1,""T(\d+)"")),1),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H49" s="71">
        <f>IFERROR(__xludf.DUMMYFUNCTION("LET(
  monthStart,DATE(VALUE(REGEXEXTRACT(H$1,""\d{4}"")),VALUE(REGEXEXTRACT(H$1,""T(\d+)"")),1),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I49" s="71">
        <f>IFERROR(__xludf.DUMMYFUNCTION("LET(
  monthStart,DATE(VALUE(REGEXEXTRACT(I$1,""\d{4}"")),VALUE(REGEXEXTRACT(I$1,""T(\d+)"")),1),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J49" s="71">
        <f>IFERROR(__xludf.DUMMYFUNCTION("LET(
  monthStart,DATE(VALUE(REGEXEXTRACT(J$1,""\d{4}"")),VALUE(REGEXEXTRACT(J$1,""T(\d+)"")),1),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K49" s="71">
        <f>IFERROR(__xludf.DUMMYFUNCTION("LET(
  monthStart,DATE(VALUE(REGEXEXTRACT(K$1,""\d{4}"")),VALUE(REGEXEXTRACT(K$1,""T(\d+)"")),1),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L49" s="71">
        <f>IFERROR(__xludf.DUMMYFUNCTION("LET(
  monthStart,DATE(VALUE(REGEXEXTRACT(L$1,""\d{4}"")),VALUE(REGEXEXTRACT(L$1,""T(\d+)"")),1),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M49" s="71">
        <f>IFERROR(__xludf.DUMMYFUNCTION("LET(
  monthStart,DATE(VALUE(REGEXEXTRACT(M$1,""\d{4}"")),VALUE(REGEXEXTRACT(M$1,""T(\d+)"")),1),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N49" s="71">
        <f>IFERROR(__xludf.DUMMYFUNCTION("LET(
  monthStart,DATE(VALUE(REGEXEXTRACT(N$1,""\d{4}"")),VALUE(REGEXEXTRACT(N$1,""T(\d+)"")),1),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O49" s="71">
        <f>IFERROR(__xludf.DUMMYFUNCTION("LET(
  monthStart,DATE(VALUE(REGEXEXTRACT(O$1,""\d{4}"")),VALUE(REGEXEXTRACT(O$1,""T(\d+)"")),1),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P49" s="71">
        <f>IFERROR(__xludf.DUMMYFUNCTION("LET(
  monthStart,DATE(VALUE(REGEXEXTRACT(P$1,""\d{4}"")),VALUE(REGEXEXTRACT(P$1,""T(\d+)"")),1),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Q49" s="71">
        <f>IFERROR(__xludf.DUMMYFUNCTION("LET(
  monthStart,DATE(VALUE(REGEXEXTRACT(Q$1,""\d{4}"")),VALUE(REGEXEXTRACT(Q$1,""T(\d+)"")),1),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R49" s="71">
        <f>IFERROR(__xludf.DUMMYFUNCTION("LET(
  monthStart,DATE(VALUE(REGEXEXTRACT(R$1,""\d{4}"")),VALUE(REGEXEXTRACT(R$1,""T(\d+)"")),1),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S49" s="71">
        <f>IFERROR(__xludf.DUMMYFUNCTION("LET(
  monthStart,DATE(VALUE(REGEXEXTRACT(S$1,""\d{4}"")),VALUE(REGEXEXTRACT(S$1,""T(\d+)"")),1),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T49" s="71">
        <f>IFERROR(__xludf.DUMMYFUNCTION("LET(
  monthStart,DATE(VALUE(REGEXEXTRACT(T$1,""\d{4}"")),VALUE(REGEXEXTRACT(T$1,""T(\d+)"")),1),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U49" s="71">
        <f>IFERROR(__xludf.DUMMYFUNCTION("LET(
  monthStart,DATE(VALUE(REGEXEXTRACT(U$1,""\d{4}"")),VALUE(REGEXEXTRACT(U$1,""T(\d+)"")),1),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V49" s="71">
        <f>IFERROR(__xludf.DUMMYFUNCTION("LET(
  monthStart,DATE(VALUE(REGEXEXTRACT(V$1,""\d{4}"")),VALUE(REGEXEXTRACT(V$1,""T(\d+)"")),1),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W49" s="71">
        <f>IFERROR(__xludf.DUMMYFUNCTION("LET(
  monthStart,DATE(VALUE(REGEXEXTRACT(W$1,""\d{4}"")),VALUE(REGEXEXTRACT(W$1,""T(\d+)"")),1),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X49" s="71">
        <f>IFERROR(__xludf.DUMMYFUNCTION("LET(
  monthStart,DATE(VALUE(REGEXEXTRACT(X$1,""\d{4}"")),VALUE(REGEXEXTRACT(X$1,""T(\d+)"")),1),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Y49" s="71">
        <f>IFERROR(__xludf.DUMMYFUNCTION("LET(
  monthStart,DATE(VALUE(REGEXEXTRACT(Y$1,""\d{4}"")),VALUE(REGEXEXTRACT(Y$1,""T(\d+)"")),1),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AE49" s="67"/>
      <c r="AF49" s="67"/>
      <c r="AJ49" s="64"/>
      <c r="AK49" s="64"/>
      <c r="AO49" s="64"/>
      <c r="AP49" s="64"/>
      <c r="AT49" s="64"/>
      <c r="AX49" s="64"/>
      <c r="AY49" s="77"/>
      <c r="AZ49" s="78"/>
      <c r="BA49" s="79"/>
      <c r="BB49" s="67"/>
      <c r="BC49" s="67"/>
      <c r="BD49" s="80"/>
      <c r="BH49" s="64"/>
      <c r="BI49" s="64"/>
      <c r="BJ49" s="64"/>
      <c r="BK49" s="64"/>
      <c r="BL49" s="64"/>
      <c r="BM49" s="64"/>
      <c r="BN49" s="64"/>
    </row>
    <row r="50" ht="30.0" customHeight="1">
      <c r="A50" s="49"/>
      <c r="B50" s="68"/>
      <c r="C50" s="73"/>
      <c r="D50" s="69"/>
      <c r="E50" s="69"/>
      <c r="F50" s="70"/>
      <c r="G50" s="71">
        <f>IFERROR(__xludf.DUMMYFUNCTION("LET(
  monthStart,DATE(VALUE(REGEXEXTRACT(G$1,""\d{4}"")),VALUE(REGEXEXTRACT(G$1,""T(\d+)"")),1),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H50" s="71">
        <f>IFERROR(__xludf.DUMMYFUNCTION("LET(
  monthStart,DATE(VALUE(REGEXEXTRACT(H$1,""\d{4}"")),VALUE(REGEXEXTRACT(H$1,""T(\d+)"")),1),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I50" s="71">
        <f>IFERROR(__xludf.DUMMYFUNCTION("LET(
  monthStart,DATE(VALUE(REGEXEXTRACT(I$1,""\d{4}"")),VALUE(REGEXEXTRACT(I$1,""T(\d+)"")),1),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J50" s="71">
        <f>IFERROR(__xludf.DUMMYFUNCTION("LET(
  monthStart,DATE(VALUE(REGEXEXTRACT(J$1,""\d{4}"")),VALUE(REGEXEXTRACT(J$1,""T(\d+)"")),1),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K50" s="71">
        <f>IFERROR(__xludf.DUMMYFUNCTION("LET(
  monthStart,DATE(VALUE(REGEXEXTRACT(K$1,""\d{4}"")),VALUE(REGEXEXTRACT(K$1,""T(\d+)"")),1),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L50" s="71">
        <f>IFERROR(__xludf.DUMMYFUNCTION("LET(
  monthStart,DATE(VALUE(REGEXEXTRACT(L$1,""\d{4}"")),VALUE(REGEXEXTRACT(L$1,""T(\d+)"")),1),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M50" s="71">
        <f>IFERROR(__xludf.DUMMYFUNCTION("LET(
  monthStart,DATE(VALUE(REGEXEXTRACT(M$1,""\d{4}"")),VALUE(REGEXEXTRACT(M$1,""T(\d+)"")),1),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N50" s="71">
        <f>IFERROR(__xludf.DUMMYFUNCTION("LET(
  monthStart,DATE(VALUE(REGEXEXTRACT(N$1,""\d{4}"")),VALUE(REGEXEXTRACT(N$1,""T(\d+)"")),1),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O50" s="71">
        <f>IFERROR(__xludf.DUMMYFUNCTION("LET(
  monthStart,DATE(VALUE(REGEXEXTRACT(O$1,""\d{4}"")),VALUE(REGEXEXTRACT(O$1,""T(\d+)"")),1),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P50" s="71">
        <f>IFERROR(__xludf.DUMMYFUNCTION("LET(
  monthStart,DATE(VALUE(REGEXEXTRACT(P$1,""\d{4}"")),VALUE(REGEXEXTRACT(P$1,""T(\d+)"")),1),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Q50" s="71">
        <f>IFERROR(__xludf.DUMMYFUNCTION("LET(
  monthStart,DATE(VALUE(REGEXEXTRACT(Q$1,""\d{4}"")),VALUE(REGEXEXTRACT(Q$1,""T(\d+)"")),1),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R50" s="71">
        <f>IFERROR(__xludf.DUMMYFUNCTION("LET(
  monthStart,DATE(VALUE(REGEXEXTRACT(R$1,""\d{4}"")),VALUE(REGEXEXTRACT(R$1,""T(\d+)"")),1),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S50" s="71">
        <f>IFERROR(__xludf.DUMMYFUNCTION("LET(
  monthStart,DATE(VALUE(REGEXEXTRACT(S$1,""\d{4}"")),VALUE(REGEXEXTRACT(S$1,""T(\d+)"")),1),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T50" s="71">
        <f>IFERROR(__xludf.DUMMYFUNCTION("LET(
  monthStart,DATE(VALUE(REGEXEXTRACT(T$1,""\d{4}"")),VALUE(REGEXEXTRACT(T$1,""T(\d+)"")),1),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U50" s="71">
        <f>IFERROR(__xludf.DUMMYFUNCTION("LET(
  monthStart,DATE(VALUE(REGEXEXTRACT(U$1,""\d{4}"")),VALUE(REGEXEXTRACT(U$1,""T(\d+)"")),1),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V50" s="71">
        <f>IFERROR(__xludf.DUMMYFUNCTION("LET(
  monthStart,DATE(VALUE(REGEXEXTRACT(V$1,""\d{4}"")),VALUE(REGEXEXTRACT(V$1,""T(\d+)"")),1),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W50" s="71">
        <f>IFERROR(__xludf.DUMMYFUNCTION("LET(
  monthStart,DATE(VALUE(REGEXEXTRACT(W$1,""\d{4}"")),VALUE(REGEXEXTRACT(W$1,""T(\d+)"")),1),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X50" s="71">
        <f>IFERROR(__xludf.DUMMYFUNCTION("LET(
  monthStart,DATE(VALUE(REGEXEXTRACT(X$1,""\d{4}"")),VALUE(REGEXEXTRACT(X$1,""T(\d+)"")),1),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Y50" s="71">
        <f>IFERROR(__xludf.DUMMYFUNCTION("LET(
  monthStart,DATE(VALUE(REGEXEXTRACT(Y$1,""\d{4}"")),VALUE(REGEXEXTRACT(Y$1,""T(\d+)"")),1),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AE50" s="67"/>
      <c r="AF50" s="67"/>
      <c r="AJ50" s="64"/>
      <c r="AK50" s="64"/>
      <c r="AO50" s="64"/>
      <c r="AP50" s="64"/>
      <c r="AT50" s="64"/>
      <c r="AX50" s="64"/>
      <c r="AY50" s="77"/>
      <c r="AZ50" s="78"/>
      <c r="BA50" s="79"/>
      <c r="BB50" s="67"/>
      <c r="BC50" s="67"/>
      <c r="BD50" s="80"/>
      <c r="BH50" s="64"/>
      <c r="BI50" s="64"/>
      <c r="BJ50" s="64"/>
      <c r="BK50" s="64"/>
      <c r="BL50" s="64"/>
      <c r="BM50" s="64"/>
      <c r="BN50" s="64"/>
    </row>
    <row r="51" ht="30.0" customHeight="1">
      <c r="A51" s="49"/>
      <c r="B51" s="68"/>
      <c r="C51" s="73"/>
      <c r="D51" s="69"/>
      <c r="E51" s="69"/>
      <c r="F51" s="70"/>
      <c r="G51" s="71">
        <f>IFERROR(__xludf.DUMMYFUNCTION("LET(
  monthStart,DATE(VALUE(REGEXEXTRACT(G$1,""\d{4}"")),VALUE(REGEXEXTRACT(G$1,""T(\d+)"")),1),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H51" s="71">
        <f>IFERROR(__xludf.DUMMYFUNCTION("LET(
  monthStart,DATE(VALUE(REGEXEXTRACT(H$1,""\d{4}"")),VALUE(REGEXEXTRACT(H$1,""T(\d+)"")),1),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I51" s="71">
        <f>IFERROR(__xludf.DUMMYFUNCTION("LET(
  monthStart,DATE(VALUE(REGEXEXTRACT(I$1,""\d{4}"")),VALUE(REGEXEXTRACT(I$1,""T(\d+)"")),1),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J51" s="71">
        <f>IFERROR(__xludf.DUMMYFUNCTION("LET(
  monthStart,DATE(VALUE(REGEXEXTRACT(J$1,""\d{4}"")),VALUE(REGEXEXTRACT(J$1,""T(\d+)"")),1),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K51" s="71">
        <f>IFERROR(__xludf.DUMMYFUNCTION("LET(
  monthStart,DATE(VALUE(REGEXEXTRACT(K$1,""\d{4}"")),VALUE(REGEXEXTRACT(K$1,""T(\d+)"")),1),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L51" s="71">
        <f>IFERROR(__xludf.DUMMYFUNCTION("LET(
  monthStart,DATE(VALUE(REGEXEXTRACT(L$1,""\d{4}"")),VALUE(REGEXEXTRACT(L$1,""T(\d+)"")),1),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M51" s="71">
        <f>IFERROR(__xludf.DUMMYFUNCTION("LET(
  monthStart,DATE(VALUE(REGEXEXTRACT(M$1,""\d{4}"")),VALUE(REGEXEXTRACT(M$1,""T(\d+)"")),1),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N51" s="71">
        <f>IFERROR(__xludf.DUMMYFUNCTION("LET(
  monthStart,DATE(VALUE(REGEXEXTRACT(N$1,""\d{4}"")),VALUE(REGEXEXTRACT(N$1,""T(\d+)"")),1),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O51" s="71">
        <f>IFERROR(__xludf.DUMMYFUNCTION("LET(
  monthStart,DATE(VALUE(REGEXEXTRACT(O$1,""\d{4}"")),VALUE(REGEXEXTRACT(O$1,""T(\d+)"")),1),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P51" s="71">
        <f>IFERROR(__xludf.DUMMYFUNCTION("LET(
  monthStart,DATE(VALUE(REGEXEXTRACT(P$1,""\d{4}"")),VALUE(REGEXEXTRACT(P$1,""T(\d+)"")),1),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Q51" s="71">
        <f>IFERROR(__xludf.DUMMYFUNCTION("LET(
  monthStart,DATE(VALUE(REGEXEXTRACT(Q$1,""\d{4}"")),VALUE(REGEXEXTRACT(Q$1,""T(\d+)"")),1),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R51" s="71">
        <f>IFERROR(__xludf.DUMMYFUNCTION("LET(
  monthStart,DATE(VALUE(REGEXEXTRACT(R$1,""\d{4}"")),VALUE(REGEXEXTRACT(R$1,""T(\d+)"")),1),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S51" s="71">
        <f>IFERROR(__xludf.DUMMYFUNCTION("LET(
  monthStart,DATE(VALUE(REGEXEXTRACT(S$1,""\d{4}"")),VALUE(REGEXEXTRACT(S$1,""T(\d+)"")),1),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T51" s="71">
        <f>IFERROR(__xludf.DUMMYFUNCTION("LET(
  monthStart,DATE(VALUE(REGEXEXTRACT(T$1,""\d{4}"")),VALUE(REGEXEXTRACT(T$1,""T(\d+)"")),1),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U51" s="71">
        <f>IFERROR(__xludf.DUMMYFUNCTION("LET(
  monthStart,DATE(VALUE(REGEXEXTRACT(U$1,""\d{4}"")),VALUE(REGEXEXTRACT(U$1,""T(\d+)"")),1),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V51" s="71">
        <f>IFERROR(__xludf.DUMMYFUNCTION("LET(
  monthStart,DATE(VALUE(REGEXEXTRACT(V$1,""\d{4}"")),VALUE(REGEXEXTRACT(V$1,""T(\d+)"")),1),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W51" s="71">
        <f>IFERROR(__xludf.DUMMYFUNCTION("LET(
  monthStart,DATE(VALUE(REGEXEXTRACT(W$1,""\d{4}"")),VALUE(REGEXEXTRACT(W$1,""T(\d+)"")),1),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X51" s="71">
        <f>IFERROR(__xludf.DUMMYFUNCTION("LET(
  monthStart,DATE(VALUE(REGEXEXTRACT(X$1,""\d{4}"")),VALUE(REGEXEXTRACT(X$1,""T(\d+)"")),1),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Y51" s="71">
        <f>IFERROR(__xludf.DUMMYFUNCTION("LET(
  monthStart,DATE(VALUE(REGEXEXTRACT(Y$1,""\d{4}"")),VALUE(REGEXEXTRACT(Y$1,""T(\d+)"")),1),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AE51" s="67"/>
      <c r="AF51" s="67"/>
      <c r="AJ51" s="64"/>
      <c r="AK51" s="64"/>
      <c r="AO51" s="64"/>
      <c r="AP51" s="64"/>
      <c r="AT51" s="64"/>
      <c r="AX51" s="64"/>
      <c r="AY51" s="77"/>
      <c r="AZ51" s="78"/>
      <c r="BA51" s="79"/>
      <c r="BB51" s="67"/>
      <c r="BC51" s="67"/>
      <c r="BD51" s="80"/>
      <c r="BH51" s="64"/>
      <c r="BI51" s="64"/>
      <c r="BJ51" s="64"/>
      <c r="BK51" s="64"/>
      <c r="BL51" s="64"/>
      <c r="BM51" s="64"/>
      <c r="BN51" s="64"/>
    </row>
    <row r="52" ht="30.0" customHeight="1">
      <c r="A52" s="49"/>
      <c r="B52" s="68"/>
      <c r="C52" s="73"/>
      <c r="D52" s="69"/>
      <c r="E52" s="69"/>
      <c r="F52" s="70"/>
      <c r="G52" s="71">
        <f>IFERROR(__xludf.DUMMYFUNCTION("LET(
  monthStart,DATE(VALUE(REGEXEXTRACT(G$1,""\d{4}"")),VALUE(REGEXEXTRACT(G$1,""T(\d+)"")),1),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H52" s="71">
        <f>IFERROR(__xludf.DUMMYFUNCTION("LET(
  monthStart,DATE(VALUE(REGEXEXTRACT(H$1,""\d{4}"")),VALUE(REGEXEXTRACT(H$1,""T(\d+)"")),1),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I52" s="71">
        <f>IFERROR(__xludf.DUMMYFUNCTION("LET(
  monthStart,DATE(VALUE(REGEXEXTRACT(I$1,""\d{4}"")),VALUE(REGEXEXTRACT(I$1,""T(\d+)"")),1),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J52" s="71">
        <f>IFERROR(__xludf.DUMMYFUNCTION("LET(
  monthStart,DATE(VALUE(REGEXEXTRACT(J$1,""\d{4}"")),VALUE(REGEXEXTRACT(J$1,""T(\d+)"")),1),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K52" s="71">
        <f>IFERROR(__xludf.DUMMYFUNCTION("LET(
  monthStart,DATE(VALUE(REGEXEXTRACT(K$1,""\d{4}"")),VALUE(REGEXEXTRACT(K$1,""T(\d+)"")),1),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L52" s="71">
        <f>IFERROR(__xludf.DUMMYFUNCTION("LET(
  monthStart,DATE(VALUE(REGEXEXTRACT(L$1,""\d{4}"")),VALUE(REGEXEXTRACT(L$1,""T(\d+)"")),1),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M52" s="71">
        <f>IFERROR(__xludf.DUMMYFUNCTION("LET(
  monthStart,DATE(VALUE(REGEXEXTRACT(M$1,""\d{4}"")),VALUE(REGEXEXTRACT(M$1,""T(\d+)"")),1),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N52" s="71">
        <f>IFERROR(__xludf.DUMMYFUNCTION("LET(
  monthStart,DATE(VALUE(REGEXEXTRACT(N$1,""\d{4}"")),VALUE(REGEXEXTRACT(N$1,""T(\d+)"")),1),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O52" s="71">
        <f>IFERROR(__xludf.DUMMYFUNCTION("LET(
  monthStart,DATE(VALUE(REGEXEXTRACT(O$1,""\d{4}"")),VALUE(REGEXEXTRACT(O$1,""T(\d+)"")),1),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P52" s="71">
        <f>IFERROR(__xludf.DUMMYFUNCTION("LET(
  monthStart,DATE(VALUE(REGEXEXTRACT(P$1,""\d{4}"")),VALUE(REGEXEXTRACT(P$1,""T(\d+)"")),1),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Q52" s="71">
        <f>IFERROR(__xludf.DUMMYFUNCTION("LET(
  monthStart,DATE(VALUE(REGEXEXTRACT(Q$1,""\d{4}"")),VALUE(REGEXEXTRACT(Q$1,""T(\d+)"")),1),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R52" s="71">
        <f>IFERROR(__xludf.DUMMYFUNCTION("LET(
  monthStart,DATE(VALUE(REGEXEXTRACT(R$1,""\d{4}"")),VALUE(REGEXEXTRACT(R$1,""T(\d+)"")),1),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S52" s="71">
        <f>IFERROR(__xludf.DUMMYFUNCTION("LET(
  monthStart,DATE(VALUE(REGEXEXTRACT(S$1,""\d{4}"")),VALUE(REGEXEXTRACT(S$1,""T(\d+)"")),1),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T52" s="71">
        <f>IFERROR(__xludf.DUMMYFUNCTION("LET(
  monthStart,DATE(VALUE(REGEXEXTRACT(T$1,""\d{4}"")),VALUE(REGEXEXTRACT(T$1,""T(\d+)"")),1),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U52" s="71">
        <f>IFERROR(__xludf.DUMMYFUNCTION("LET(
  monthStart,DATE(VALUE(REGEXEXTRACT(U$1,""\d{4}"")),VALUE(REGEXEXTRACT(U$1,""T(\d+)"")),1),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V52" s="71">
        <f>IFERROR(__xludf.DUMMYFUNCTION("LET(
  monthStart,DATE(VALUE(REGEXEXTRACT(V$1,""\d{4}"")),VALUE(REGEXEXTRACT(V$1,""T(\d+)"")),1),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W52" s="71">
        <f>IFERROR(__xludf.DUMMYFUNCTION("LET(
  monthStart,DATE(VALUE(REGEXEXTRACT(W$1,""\d{4}"")),VALUE(REGEXEXTRACT(W$1,""T(\d+)"")),1),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X52" s="71">
        <f>IFERROR(__xludf.DUMMYFUNCTION("LET(
  monthStart,DATE(VALUE(REGEXEXTRACT(X$1,""\d{4}"")),VALUE(REGEXEXTRACT(X$1,""T(\d+)"")),1),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Y52" s="71">
        <f>IFERROR(__xludf.DUMMYFUNCTION("LET(
  monthStart,DATE(VALUE(REGEXEXTRACT(Y$1,""\d{4}"")),VALUE(REGEXEXTRACT(Y$1,""T(\d+)"")),1),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AE52" s="67"/>
      <c r="AF52" s="67"/>
      <c r="AJ52" s="64"/>
      <c r="AK52" s="64"/>
      <c r="AO52" s="64"/>
      <c r="AP52" s="64"/>
      <c r="AT52" s="64"/>
      <c r="AX52" s="64"/>
      <c r="AY52" s="77"/>
      <c r="AZ52" s="78"/>
      <c r="BA52" s="79"/>
      <c r="BB52" s="67"/>
      <c r="BC52" s="67"/>
      <c r="BD52" s="80"/>
      <c r="BH52" s="64"/>
      <c r="BI52" s="64"/>
      <c r="BJ52" s="64"/>
      <c r="BK52" s="64"/>
      <c r="BL52" s="64"/>
      <c r="BM52" s="64"/>
      <c r="BN52" s="64"/>
    </row>
    <row r="53" ht="30.0" customHeight="1">
      <c r="A53" s="49"/>
      <c r="B53" s="68"/>
      <c r="C53" s="73"/>
      <c r="D53" s="69"/>
      <c r="E53" s="69"/>
      <c r="F53" s="70"/>
      <c r="G53" s="71">
        <f>IFERROR(__xludf.DUMMYFUNCTION("LET(
  monthStart,DATE(VALUE(REGEXEXTRACT(G$1,""\d{4}"")),VALUE(REGEXEXTRACT(G$1,""T(\d+)"")),1),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H53" s="71">
        <f>IFERROR(__xludf.DUMMYFUNCTION("LET(
  monthStart,DATE(VALUE(REGEXEXTRACT(H$1,""\d{4}"")),VALUE(REGEXEXTRACT(H$1,""T(\d+)"")),1),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I53" s="71">
        <f>IFERROR(__xludf.DUMMYFUNCTION("LET(
  monthStart,DATE(VALUE(REGEXEXTRACT(I$1,""\d{4}"")),VALUE(REGEXEXTRACT(I$1,""T(\d+)"")),1),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J53" s="71">
        <f>IFERROR(__xludf.DUMMYFUNCTION("LET(
  monthStart,DATE(VALUE(REGEXEXTRACT(J$1,""\d{4}"")),VALUE(REGEXEXTRACT(J$1,""T(\d+)"")),1),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K53" s="71">
        <f>IFERROR(__xludf.DUMMYFUNCTION("LET(
  monthStart,DATE(VALUE(REGEXEXTRACT(K$1,""\d{4}"")),VALUE(REGEXEXTRACT(K$1,""T(\d+)"")),1),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L53" s="71">
        <f>IFERROR(__xludf.DUMMYFUNCTION("LET(
  monthStart,DATE(VALUE(REGEXEXTRACT(L$1,""\d{4}"")),VALUE(REGEXEXTRACT(L$1,""T(\d+)"")),1),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M53" s="71">
        <f>IFERROR(__xludf.DUMMYFUNCTION("LET(
  monthStart,DATE(VALUE(REGEXEXTRACT(M$1,""\d{4}"")),VALUE(REGEXEXTRACT(M$1,""T(\d+)"")),1),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N53" s="71">
        <f>IFERROR(__xludf.DUMMYFUNCTION("LET(
  monthStart,DATE(VALUE(REGEXEXTRACT(N$1,""\d{4}"")),VALUE(REGEXEXTRACT(N$1,""T(\d+)"")),1),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O53" s="71">
        <f>IFERROR(__xludf.DUMMYFUNCTION("LET(
  monthStart,DATE(VALUE(REGEXEXTRACT(O$1,""\d{4}"")),VALUE(REGEXEXTRACT(O$1,""T(\d+)"")),1),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P53" s="71">
        <f>IFERROR(__xludf.DUMMYFUNCTION("LET(
  monthStart,DATE(VALUE(REGEXEXTRACT(P$1,""\d{4}"")),VALUE(REGEXEXTRACT(P$1,""T(\d+)"")),1),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Q53" s="71">
        <f>IFERROR(__xludf.DUMMYFUNCTION("LET(
  monthStart,DATE(VALUE(REGEXEXTRACT(Q$1,""\d{4}"")),VALUE(REGEXEXTRACT(Q$1,""T(\d+)"")),1),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R53" s="71">
        <f>IFERROR(__xludf.DUMMYFUNCTION("LET(
  monthStart,DATE(VALUE(REGEXEXTRACT(R$1,""\d{4}"")),VALUE(REGEXEXTRACT(R$1,""T(\d+)"")),1),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S53" s="71">
        <f>IFERROR(__xludf.DUMMYFUNCTION("LET(
  monthStart,DATE(VALUE(REGEXEXTRACT(S$1,""\d{4}"")),VALUE(REGEXEXTRACT(S$1,""T(\d+)"")),1),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T53" s="71">
        <f>IFERROR(__xludf.DUMMYFUNCTION("LET(
  monthStart,DATE(VALUE(REGEXEXTRACT(T$1,""\d{4}"")),VALUE(REGEXEXTRACT(T$1,""T(\d+)"")),1),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U53" s="71">
        <f>IFERROR(__xludf.DUMMYFUNCTION("LET(
  monthStart,DATE(VALUE(REGEXEXTRACT(U$1,""\d{4}"")),VALUE(REGEXEXTRACT(U$1,""T(\d+)"")),1),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V53" s="71">
        <f>IFERROR(__xludf.DUMMYFUNCTION("LET(
  monthStart,DATE(VALUE(REGEXEXTRACT(V$1,""\d{4}"")),VALUE(REGEXEXTRACT(V$1,""T(\d+)"")),1),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W53" s="71">
        <f>IFERROR(__xludf.DUMMYFUNCTION("LET(
  monthStart,DATE(VALUE(REGEXEXTRACT(W$1,""\d{4}"")),VALUE(REGEXEXTRACT(W$1,""T(\d+)"")),1),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X53" s="71">
        <f>IFERROR(__xludf.DUMMYFUNCTION("LET(
  monthStart,DATE(VALUE(REGEXEXTRACT(X$1,""\d{4}"")),VALUE(REGEXEXTRACT(X$1,""T(\d+)"")),1),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Y53" s="71">
        <f>IFERROR(__xludf.DUMMYFUNCTION("LET(
  monthStart,DATE(VALUE(REGEXEXTRACT(Y$1,""\d{4}"")),VALUE(REGEXEXTRACT(Y$1,""T(\d+)"")),1),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AE53" s="67"/>
      <c r="AF53" s="67"/>
      <c r="AJ53" s="64"/>
      <c r="AK53" s="64"/>
      <c r="AO53" s="64"/>
      <c r="AP53" s="64"/>
      <c r="AT53" s="64"/>
      <c r="AX53" s="64"/>
      <c r="AY53" s="77"/>
      <c r="AZ53" s="78"/>
      <c r="BA53" s="79"/>
      <c r="BB53" s="67"/>
      <c r="BC53" s="67"/>
      <c r="BD53" s="80"/>
      <c r="BH53" s="64"/>
      <c r="BI53" s="64"/>
      <c r="BJ53" s="64"/>
      <c r="BK53" s="64"/>
      <c r="BL53" s="64"/>
      <c r="BM53" s="64"/>
      <c r="BN53" s="64"/>
    </row>
    <row r="54" ht="30.0" customHeight="1">
      <c r="A54" s="49"/>
      <c r="B54" s="68"/>
      <c r="C54" s="73"/>
      <c r="D54" s="69"/>
      <c r="E54" s="69"/>
      <c r="F54" s="70"/>
      <c r="G54" s="71">
        <f>IFERROR(__xludf.DUMMYFUNCTION("LET(
  monthStart,DATE(VALUE(REGEXEXTRACT(G$1,""\d{4}"")),VALUE(REGEXEXTRACT(G$1,""T(\d+)"")),1),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H54" s="71">
        <f>IFERROR(__xludf.DUMMYFUNCTION("LET(
  monthStart,DATE(VALUE(REGEXEXTRACT(H$1,""\d{4}"")),VALUE(REGEXEXTRACT(H$1,""T(\d+)"")),1),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I54" s="71">
        <f>IFERROR(__xludf.DUMMYFUNCTION("LET(
  monthStart,DATE(VALUE(REGEXEXTRACT(I$1,""\d{4}"")),VALUE(REGEXEXTRACT(I$1,""T(\d+)"")),1),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J54" s="71">
        <f>IFERROR(__xludf.DUMMYFUNCTION("LET(
  monthStart,DATE(VALUE(REGEXEXTRACT(J$1,""\d{4}"")),VALUE(REGEXEXTRACT(J$1,""T(\d+)"")),1),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K54" s="71">
        <f>IFERROR(__xludf.DUMMYFUNCTION("LET(
  monthStart,DATE(VALUE(REGEXEXTRACT(K$1,""\d{4}"")),VALUE(REGEXEXTRACT(K$1,""T(\d+)"")),1),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L54" s="71">
        <f>IFERROR(__xludf.DUMMYFUNCTION("LET(
  monthStart,DATE(VALUE(REGEXEXTRACT(L$1,""\d{4}"")),VALUE(REGEXEXTRACT(L$1,""T(\d+)"")),1),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M54" s="71">
        <f>IFERROR(__xludf.DUMMYFUNCTION("LET(
  monthStart,DATE(VALUE(REGEXEXTRACT(M$1,""\d{4}"")),VALUE(REGEXEXTRACT(M$1,""T(\d+)"")),1),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N54" s="71">
        <f>IFERROR(__xludf.DUMMYFUNCTION("LET(
  monthStart,DATE(VALUE(REGEXEXTRACT(N$1,""\d{4}"")),VALUE(REGEXEXTRACT(N$1,""T(\d+)"")),1),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O54" s="71">
        <f>IFERROR(__xludf.DUMMYFUNCTION("LET(
  monthStart,DATE(VALUE(REGEXEXTRACT(O$1,""\d{4}"")),VALUE(REGEXEXTRACT(O$1,""T(\d+)"")),1),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P54" s="71">
        <f>IFERROR(__xludf.DUMMYFUNCTION("LET(
  monthStart,DATE(VALUE(REGEXEXTRACT(P$1,""\d{4}"")),VALUE(REGEXEXTRACT(P$1,""T(\d+)"")),1),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Q54" s="71">
        <f>IFERROR(__xludf.DUMMYFUNCTION("LET(
  monthStart,DATE(VALUE(REGEXEXTRACT(Q$1,""\d{4}"")),VALUE(REGEXEXTRACT(Q$1,""T(\d+)"")),1),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R54" s="71">
        <f>IFERROR(__xludf.DUMMYFUNCTION("LET(
  monthStart,DATE(VALUE(REGEXEXTRACT(R$1,""\d{4}"")),VALUE(REGEXEXTRACT(R$1,""T(\d+)"")),1),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S54" s="71">
        <f>IFERROR(__xludf.DUMMYFUNCTION("LET(
  monthStart,DATE(VALUE(REGEXEXTRACT(S$1,""\d{4}"")),VALUE(REGEXEXTRACT(S$1,""T(\d+)"")),1),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T54" s="71">
        <f>IFERROR(__xludf.DUMMYFUNCTION("LET(
  monthStart,DATE(VALUE(REGEXEXTRACT(T$1,""\d{4}"")),VALUE(REGEXEXTRACT(T$1,""T(\d+)"")),1),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U54" s="71">
        <f>IFERROR(__xludf.DUMMYFUNCTION("LET(
  monthStart,DATE(VALUE(REGEXEXTRACT(U$1,""\d{4}"")),VALUE(REGEXEXTRACT(U$1,""T(\d+)"")),1),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V54" s="71">
        <f>IFERROR(__xludf.DUMMYFUNCTION("LET(
  monthStart,DATE(VALUE(REGEXEXTRACT(V$1,""\d{4}"")),VALUE(REGEXEXTRACT(V$1,""T(\d+)"")),1),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W54" s="71">
        <f>IFERROR(__xludf.DUMMYFUNCTION("LET(
  monthStart,DATE(VALUE(REGEXEXTRACT(W$1,""\d{4}"")),VALUE(REGEXEXTRACT(W$1,""T(\d+)"")),1),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X54" s="71">
        <f>IFERROR(__xludf.DUMMYFUNCTION("LET(
  monthStart,DATE(VALUE(REGEXEXTRACT(X$1,""\d{4}"")),VALUE(REGEXEXTRACT(X$1,""T(\d+)"")),1),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Y54" s="71">
        <f>IFERROR(__xludf.DUMMYFUNCTION("LET(
  monthStart,DATE(VALUE(REGEXEXTRACT(Y$1,""\d{4}"")),VALUE(REGEXEXTRACT(Y$1,""T(\d+)"")),1),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AE54" s="67"/>
      <c r="AF54" s="67"/>
      <c r="AJ54" s="64"/>
      <c r="AK54" s="64"/>
      <c r="AO54" s="64"/>
      <c r="AP54" s="64"/>
      <c r="AT54" s="64"/>
      <c r="AX54" s="64"/>
      <c r="AY54" s="77"/>
      <c r="AZ54" s="78"/>
      <c r="BA54" s="79"/>
      <c r="BB54" s="67"/>
      <c r="BC54" s="67"/>
      <c r="BD54" s="80"/>
      <c r="BH54" s="64"/>
      <c r="BI54" s="64"/>
      <c r="BJ54" s="64"/>
      <c r="BK54" s="64"/>
      <c r="BL54" s="64"/>
      <c r="BM54" s="64"/>
      <c r="BN54" s="64"/>
    </row>
    <row r="55" ht="30.0" customHeight="1">
      <c r="A55" s="49"/>
      <c r="B55" s="68"/>
      <c r="C55" s="73"/>
      <c r="D55" s="69"/>
      <c r="E55" s="69"/>
      <c r="F55" s="70"/>
      <c r="G55" s="71">
        <f>IFERROR(__xludf.DUMMYFUNCTION("LET(
  monthStart,DATE(VALUE(REGEXEXTRACT(G$1,""\d{4}"")),VALUE(REGEXEXTRACT(G$1,""T(\d+)"")),1),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H55" s="71">
        <f>IFERROR(__xludf.DUMMYFUNCTION("LET(
  monthStart,DATE(VALUE(REGEXEXTRACT(H$1,""\d{4}"")),VALUE(REGEXEXTRACT(H$1,""T(\d+)"")),1),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I55" s="71">
        <f>IFERROR(__xludf.DUMMYFUNCTION("LET(
  monthStart,DATE(VALUE(REGEXEXTRACT(I$1,""\d{4}"")),VALUE(REGEXEXTRACT(I$1,""T(\d+)"")),1),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J55" s="71">
        <f>IFERROR(__xludf.DUMMYFUNCTION("LET(
  monthStart,DATE(VALUE(REGEXEXTRACT(J$1,""\d{4}"")),VALUE(REGEXEXTRACT(J$1,""T(\d+)"")),1),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K55" s="71">
        <f>IFERROR(__xludf.DUMMYFUNCTION("LET(
  monthStart,DATE(VALUE(REGEXEXTRACT(K$1,""\d{4}"")),VALUE(REGEXEXTRACT(K$1,""T(\d+)"")),1),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L55" s="71">
        <f>IFERROR(__xludf.DUMMYFUNCTION("LET(
  monthStart,DATE(VALUE(REGEXEXTRACT(L$1,""\d{4}"")),VALUE(REGEXEXTRACT(L$1,""T(\d+)"")),1),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M55" s="71">
        <f>IFERROR(__xludf.DUMMYFUNCTION("LET(
  monthStart,DATE(VALUE(REGEXEXTRACT(M$1,""\d{4}"")),VALUE(REGEXEXTRACT(M$1,""T(\d+)"")),1),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N55" s="71">
        <f>IFERROR(__xludf.DUMMYFUNCTION("LET(
  monthStart,DATE(VALUE(REGEXEXTRACT(N$1,""\d{4}"")),VALUE(REGEXEXTRACT(N$1,""T(\d+)"")),1),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O55" s="71">
        <f>IFERROR(__xludf.DUMMYFUNCTION("LET(
  monthStart,DATE(VALUE(REGEXEXTRACT(O$1,""\d{4}"")),VALUE(REGEXEXTRACT(O$1,""T(\d+)"")),1),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P55" s="71">
        <f>IFERROR(__xludf.DUMMYFUNCTION("LET(
  monthStart,DATE(VALUE(REGEXEXTRACT(P$1,""\d{4}"")),VALUE(REGEXEXTRACT(P$1,""T(\d+)"")),1),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Q55" s="71">
        <f>IFERROR(__xludf.DUMMYFUNCTION("LET(
  monthStart,DATE(VALUE(REGEXEXTRACT(Q$1,""\d{4}"")),VALUE(REGEXEXTRACT(Q$1,""T(\d+)"")),1),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R55" s="71">
        <f>IFERROR(__xludf.DUMMYFUNCTION("LET(
  monthStart,DATE(VALUE(REGEXEXTRACT(R$1,""\d{4}"")),VALUE(REGEXEXTRACT(R$1,""T(\d+)"")),1),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S55" s="71">
        <f>IFERROR(__xludf.DUMMYFUNCTION("LET(
  monthStart,DATE(VALUE(REGEXEXTRACT(S$1,""\d{4}"")),VALUE(REGEXEXTRACT(S$1,""T(\d+)"")),1),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T55" s="71">
        <f>IFERROR(__xludf.DUMMYFUNCTION("LET(
  monthStart,DATE(VALUE(REGEXEXTRACT(T$1,""\d{4}"")),VALUE(REGEXEXTRACT(T$1,""T(\d+)"")),1),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U55" s="71">
        <f>IFERROR(__xludf.DUMMYFUNCTION("LET(
  monthStart,DATE(VALUE(REGEXEXTRACT(U$1,""\d{4}"")),VALUE(REGEXEXTRACT(U$1,""T(\d+)"")),1),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V55" s="71">
        <f>IFERROR(__xludf.DUMMYFUNCTION("LET(
  monthStart,DATE(VALUE(REGEXEXTRACT(V$1,""\d{4}"")),VALUE(REGEXEXTRACT(V$1,""T(\d+)"")),1),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W55" s="71">
        <f>IFERROR(__xludf.DUMMYFUNCTION("LET(
  monthStart,DATE(VALUE(REGEXEXTRACT(W$1,""\d{4}"")),VALUE(REGEXEXTRACT(W$1,""T(\d+)"")),1),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X55" s="71">
        <f>IFERROR(__xludf.DUMMYFUNCTION("LET(
  monthStart,DATE(VALUE(REGEXEXTRACT(X$1,""\d{4}"")),VALUE(REGEXEXTRACT(X$1,""T(\d+)"")),1),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Y55" s="71">
        <f>IFERROR(__xludf.DUMMYFUNCTION("LET(
  monthStart,DATE(VALUE(REGEXEXTRACT(Y$1,""\d{4}"")),VALUE(REGEXEXTRACT(Y$1,""T(\d+)"")),1),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AE55" s="67"/>
      <c r="AF55" s="67"/>
      <c r="AJ55" s="64"/>
      <c r="AK55" s="64"/>
      <c r="AO55" s="64"/>
      <c r="AP55" s="64"/>
      <c r="AT55" s="64"/>
      <c r="AX55" s="64"/>
      <c r="AY55" s="77"/>
      <c r="AZ55" s="78"/>
      <c r="BA55" s="79"/>
      <c r="BB55" s="67"/>
      <c r="BC55" s="67"/>
      <c r="BD55" s="80"/>
      <c r="BH55" s="64"/>
      <c r="BI55" s="64"/>
      <c r="BJ55" s="64"/>
      <c r="BK55" s="64"/>
      <c r="BL55" s="64"/>
      <c r="BM55" s="64"/>
      <c r="BN55" s="64"/>
    </row>
    <row r="56" ht="30.0" customHeight="1">
      <c r="A56" s="81"/>
      <c r="B56" s="82"/>
      <c r="C56" s="83"/>
      <c r="D56" s="84"/>
      <c r="E56" s="84"/>
      <c r="F56" s="85"/>
      <c r="G56" s="86"/>
      <c r="H56" s="86"/>
      <c r="I56" s="86"/>
      <c r="J56" s="86"/>
      <c r="K56" s="86"/>
      <c r="L56" s="86"/>
      <c r="M56" s="86"/>
      <c r="N56" s="86"/>
      <c r="O56" s="86"/>
      <c r="P56" s="86"/>
      <c r="Q56" s="86"/>
      <c r="R56" s="86"/>
      <c r="S56" s="86"/>
      <c r="T56" s="86"/>
      <c r="U56" s="86"/>
      <c r="V56" s="86"/>
      <c r="W56" s="86"/>
      <c r="X56" s="86"/>
      <c r="Y56" s="86"/>
      <c r="AE56" s="67"/>
      <c r="AF56" s="67"/>
      <c r="AJ56" s="64"/>
      <c r="AK56" s="64"/>
      <c r="AO56" s="64"/>
      <c r="AP56" s="64"/>
      <c r="AT56" s="64"/>
      <c r="AX56" s="64"/>
      <c r="AY56" s="77"/>
      <c r="AZ56" s="78"/>
      <c r="BA56" s="79"/>
      <c r="BB56" s="67"/>
      <c r="BC56" s="67"/>
      <c r="BD56" s="80"/>
      <c r="BH56" s="64"/>
      <c r="BI56" s="64"/>
      <c r="BJ56" s="64"/>
      <c r="BK56" s="64"/>
      <c r="BL56" s="64"/>
      <c r="BM56" s="64"/>
      <c r="BN56" s="64"/>
    </row>
    <row r="57" ht="30.0" customHeight="1">
      <c r="A57" s="81"/>
      <c r="B57" s="82"/>
      <c r="C57" s="83"/>
      <c r="D57" s="84"/>
      <c r="E57" s="84"/>
      <c r="F57" s="85"/>
      <c r="G57" s="86">
        <f>IFERROR(__xludf.DUMMYFUNCTION("LET(
  monthStart,DATE(VALUE(REGEXEXTRACT(G$1,""\d{4}"")),VALUE(REGEXEXTRACT(G$1,""T(\d+)"")),1),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H57" s="86">
        <f>IFERROR(__xludf.DUMMYFUNCTION("LET(
  monthStart,DATE(VALUE(REGEXEXTRACT(H$1,""\d{4}"")),VALUE(REGEXEXTRACT(H$1,""T(\d+)"")),1),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I57" s="86">
        <f>IFERROR(__xludf.DUMMYFUNCTION("LET(
  monthStart,DATE(VALUE(REGEXEXTRACT(I$1,""\d{4}"")),VALUE(REGEXEXTRACT(I$1,""T(\d+)"")),1),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J57" s="86">
        <f>IFERROR(__xludf.DUMMYFUNCTION("LET(
  monthStart,DATE(VALUE(REGEXEXTRACT(J$1,""\d{4}"")),VALUE(REGEXEXTRACT(J$1,""T(\d+)"")),1),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K57" s="86">
        <f>IFERROR(__xludf.DUMMYFUNCTION("LET(
  monthStart,DATE(VALUE(REGEXEXTRACT(K$1,""\d{4}"")),VALUE(REGEXEXTRACT(K$1,""T(\d+)"")),1),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L57" s="86">
        <f>IFERROR(__xludf.DUMMYFUNCTION("LET(
  monthStart,DATE(VALUE(REGEXEXTRACT(L$1,""\d{4}"")),VALUE(REGEXEXTRACT(L$1,""T(\d+)"")),1),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M57" s="86">
        <f>IFERROR(__xludf.DUMMYFUNCTION("LET(
  monthStart,DATE(VALUE(REGEXEXTRACT(M$1,""\d{4}"")),VALUE(REGEXEXTRACT(M$1,""T(\d+)"")),1),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N57" s="86">
        <f>IFERROR(__xludf.DUMMYFUNCTION("LET(
  monthStart,DATE(VALUE(REGEXEXTRACT(N$1,""\d{4}"")),VALUE(REGEXEXTRACT(N$1,""T(\d+)"")),1),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O57" s="86">
        <f>IFERROR(__xludf.DUMMYFUNCTION("LET(
  monthStart,DATE(VALUE(REGEXEXTRACT(O$1,""\d{4}"")),VALUE(REGEXEXTRACT(O$1,""T(\d+)"")),1),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P57" s="86">
        <f>IFERROR(__xludf.DUMMYFUNCTION("LET(
  monthStart,DATE(VALUE(REGEXEXTRACT(P$1,""\d{4}"")),VALUE(REGEXEXTRACT(P$1,""T(\d+)"")),1),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Q57" s="86">
        <f>IFERROR(__xludf.DUMMYFUNCTION("LET(
  monthStart,DATE(VALUE(REGEXEXTRACT(Q$1,""\d{4}"")),VALUE(REGEXEXTRACT(Q$1,""T(\d+)"")),1),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R57" s="86">
        <f>IFERROR(__xludf.DUMMYFUNCTION("LET(
  monthStart,DATE(VALUE(REGEXEXTRACT(R$1,""\d{4}"")),VALUE(REGEXEXTRACT(R$1,""T(\d+)"")),1),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S57" s="86">
        <f>IFERROR(__xludf.DUMMYFUNCTION("LET(
  monthStart,DATE(VALUE(REGEXEXTRACT(S$1,""\d{4}"")),VALUE(REGEXEXTRACT(S$1,""T(\d+)"")),1),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T57" s="86">
        <f>IFERROR(__xludf.DUMMYFUNCTION("LET(
  monthStart,DATE(VALUE(REGEXEXTRACT(T$1,""\d{4}"")),VALUE(REGEXEXTRACT(T$1,""T(\d+)"")),1),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U57" s="86">
        <f>IFERROR(__xludf.DUMMYFUNCTION("LET(
  monthStart,DATE(VALUE(REGEXEXTRACT(U$1,""\d{4}"")),VALUE(REGEXEXTRACT(U$1,""T(\d+)"")),1),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V57" s="86">
        <f>IFERROR(__xludf.DUMMYFUNCTION("LET(
  monthStart,DATE(VALUE(REGEXEXTRACT(V$1,""\d{4}"")),VALUE(REGEXEXTRACT(V$1,""T(\d+)"")),1),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W57" s="86">
        <f>IFERROR(__xludf.DUMMYFUNCTION("LET(
  monthStart,DATE(VALUE(REGEXEXTRACT(W$1,""\d{4}"")),VALUE(REGEXEXTRACT(W$1,""T(\d+)"")),1),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X57" s="86">
        <f>IFERROR(__xludf.DUMMYFUNCTION("LET(
  monthStart,DATE(VALUE(REGEXEXTRACT(X$1,""\d{4}"")),VALUE(REGEXEXTRACT(X$1,""T(\d+)"")),1),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Y57" s="86">
        <f>IFERROR(__xludf.DUMMYFUNCTION("LET(
  monthStart,DATE(VALUE(REGEXEXTRACT(Y$1,""\d{4}"")),VALUE(REGEXEXTRACT(Y$1,""T(\d+)"")),1),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AE57" s="67"/>
      <c r="AF57" s="67"/>
      <c r="AJ57" s="64"/>
      <c r="AK57" s="64"/>
      <c r="AO57" s="64"/>
      <c r="AP57" s="64"/>
      <c r="AT57" s="64"/>
      <c r="AX57" s="64"/>
      <c r="AY57" s="77"/>
      <c r="AZ57" s="78"/>
      <c r="BA57" s="79"/>
      <c r="BB57" s="67"/>
      <c r="BC57" s="67"/>
      <c r="BD57" s="80"/>
      <c r="BH57" s="64"/>
      <c r="BI57" s="64"/>
      <c r="BJ57" s="64"/>
      <c r="BK57" s="64"/>
      <c r="BL57" s="64"/>
      <c r="BM57" s="64"/>
      <c r="BN57" s="64"/>
    </row>
    <row r="58" ht="30.0" customHeight="1">
      <c r="A58" s="81"/>
      <c r="B58" s="82"/>
      <c r="C58" s="83"/>
      <c r="D58" s="84"/>
      <c r="E58" s="84"/>
      <c r="F58" s="85"/>
      <c r="G58" s="86">
        <f>IFERROR(__xludf.DUMMYFUNCTION("LET(
  monthStart,DATE(VALUE(REGEXEXTRACT(G$1,""\d{4}"")),VALUE(REGEXEXTRACT(G$1,""T(\d+)"")),1),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H58" s="86">
        <f>IFERROR(__xludf.DUMMYFUNCTION("LET(
  monthStart,DATE(VALUE(REGEXEXTRACT(H$1,""\d{4}"")),VALUE(REGEXEXTRACT(H$1,""T(\d+)"")),1),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I58" s="86">
        <f>IFERROR(__xludf.DUMMYFUNCTION("LET(
  monthStart,DATE(VALUE(REGEXEXTRACT(I$1,""\d{4}"")),VALUE(REGEXEXTRACT(I$1,""T(\d+)"")),1),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J58" s="86">
        <f>IFERROR(__xludf.DUMMYFUNCTION("LET(
  monthStart,DATE(VALUE(REGEXEXTRACT(J$1,""\d{4}"")),VALUE(REGEXEXTRACT(J$1,""T(\d+)"")),1),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K58" s="86">
        <f>IFERROR(__xludf.DUMMYFUNCTION("LET(
  monthStart,DATE(VALUE(REGEXEXTRACT(K$1,""\d{4}"")),VALUE(REGEXEXTRACT(K$1,""T(\d+)"")),1),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L58" s="86">
        <f>IFERROR(__xludf.DUMMYFUNCTION("LET(
  monthStart,DATE(VALUE(REGEXEXTRACT(L$1,""\d{4}"")),VALUE(REGEXEXTRACT(L$1,""T(\d+)"")),1),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M58" s="86">
        <f>IFERROR(__xludf.DUMMYFUNCTION("LET(
  monthStart,DATE(VALUE(REGEXEXTRACT(M$1,""\d{4}"")),VALUE(REGEXEXTRACT(M$1,""T(\d+)"")),1),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N58" s="86">
        <f>IFERROR(__xludf.DUMMYFUNCTION("LET(
  monthStart,DATE(VALUE(REGEXEXTRACT(N$1,""\d{4}"")),VALUE(REGEXEXTRACT(N$1,""T(\d+)"")),1),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O58" s="86">
        <f>IFERROR(__xludf.DUMMYFUNCTION("LET(
  monthStart,DATE(VALUE(REGEXEXTRACT(O$1,""\d{4}"")),VALUE(REGEXEXTRACT(O$1,""T(\d+)"")),1),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P58" s="86">
        <f>IFERROR(__xludf.DUMMYFUNCTION("LET(
  monthStart,DATE(VALUE(REGEXEXTRACT(P$1,""\d{4}"")),VALUE(REGEXEXTRACT(P$1,""T(\d+)"")),1),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Q58" s="86">
        <f>IFERROR(__xludf.DUMMYFUNCTION("LET(
  monthStart,DATE(VALUE(REGEXEXTRACT(Q$1,""\d{4}"")),VALUE(REGEXEXTRACT(Q$1,""T(\d+)"")),1),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R58" s="86">
        <f>IFERROR(__xludf.DUMMYFUNCTION("LET(
  monthStart,DATE(VALUE(REGEXEXTRACT(R$1,""\d{4}"")),VALUE(REGEXEXTRACT(R$1,""T(\d+)"")),1),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S58" s="86">
        <f>IFERROR(__xludf.DUMMYFUNCTION("LET(
  monthStart,DATE(VALUE(REGEXEXTRACT(S$1,""\d{4}"")),VALUE(REGEXEXTRACT(S$1,""T(\d+)"")),1),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T58" s="86">
        <f>IFERROR(__xludf.DUMMYFUNCTION("LET(
  monthStart,DATE(VALUE(REGEXEXTRACT(T$1,""\d{4}"")),VALUE(REGEXEXTRACT(T$1,""T(\d+)"")),1),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U58" s="86">
        <f>IFERROR(__xludf.DUMMYFUNCTION("LET(
  monthStart,DATE(VALUE(REGEXEXTRACT(U$1,""\d{4}"")),VALUE(REGEXEXTRACT(U$1,""T(\d+)"")),1),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V58" s="86">
        <f>IFERROR(__xludf.DUMMYFUNCTION("LET(
  monthStart,DATE(VALUE(REGEXEXTRACT(V$1,""\d{4}"")),VALUE(REGEXEXTRACT(V$1,""T(\d+)"")),1),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W58" s="86">
        <f>IFERROR(__xludf.DUMMYFUNCTION("LET(
  monthStart,DATE(VALUE(REGEXEXTRACT(W$1,""\d{4}"")),VALUE(REGEXEXTRACT(W$1,""T(\d+)"")),1),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X58" s="86">
        <f>IFERROR(__xludf.DUMMYFUNCTION("LET(
  monthStart,DATE(VALUE(REGEXEXTRACT(X$1,""\d{4}"")),VALUE(REGEXEXTRACT(X$1,""T(\d+)"")),1),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Y58" s="86">
        <f>IFERROR(__xludf.DUMMYFUNCTION("LET(
  monthStart,DATE(VALUE(REGEXEXTRACT(Y$1,""\d{4}"")),VALUE(REGEXEXTRACT(Y$1,""T(\d+)"")),1),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AE58" s="67"/>
      <c r="AF58" s="67"/>
      <c r="AJ58" s="64"/>
      <c r="AK58" s="64"/>
      <c r="AO58" s="64"/>
      <c r="AP58" s="64"/>
      <c r="AT58" s="64"/>
      <c r="AX58" s="64"/>
      <c r="AY58" s="77"/>
      <c r="AZ58" s="78"/>
      <c r="BA58" s="79"/>
      <c r="BB58" s="67"/>
      <c r="BC58" s="67"/>
      <c r="BD58" s="80"/>
      <c r="BH58" s="64"/>
      <c r="BI58" s="64"/>
      <c r="BJ58" s="64"/>
      <c r="BK58" s="64"/>
      <c r="BL58" s="64"/>
      <c r="BM58" s="64"/>
      <c r="BN58" s="64"/>
    </row>
    <row r="59" ht="30.0" customHeight="1">
      <c r="A59" s="81"/>
      <c r="B59" s="82"/>
      <c r="C59" s="83"/>
      <c r="D59" s="84"/>
      <c r="E59" s="84"/>
      <c r="F59" s="85"/>
      <c r="G59" s="86">
        <f>IFERROR(__xludf.DUMMYFUNCTION("LET(
  monthStart,DATE(VALUE(REGEXEXTRACT(G$1,""\d{4}"")),VALUE(REGEXEXTRACT(G$1,""T(\d+)"")),1),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H59" s="86">
        <f>IFERROR(__xludf.DUMMYFUNCTION("LET(
  monthStart,DATE(VALUE(REGEXEXTRACT(H$1,""\d{4}"")),VALUE(REGEXEXTRACT(H$1,""T(\d+)"")),1),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I59" s="86">
        <f>IFERROR(__xludf.DUMMYFUNCTION("LET(
  monthStart,DATE(VALUE(REGEXEXTRACT(I$1,""\d{4}"")),VALUE(REGEXEXTRACT(I$1,""T(\d+)"")),1),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J59" s="86">
        <f>IFERROR(__xludf.DUMMYFUNCTION("LET(
  monthStart,DATE(VALUE(REGEXEXTRACT(J$1,""\d{4}"")),VALUE(REGEXEXTRACT(J$1,""T(\d+)"")),1),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K59" s="86">
        <f>IFERROR(__xludf.DUMMYFUNCTION("LET(
  monthStart,DATE(VALUE(REGEXEXTRACT(K$1,""\d{4}"")),VALUE(REGEXEXTRACT(K$1,""T(\d+)"")),1),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L59" s="86">
        <f>IFERROR(__xludf.DUMMYFUNCTION("LET(
  monthStart,DATE(VALUE(REGEXEXTRACT(L$1,""\d{4}"")),VALUE(REGEXEXTRACT(L$1,""T(\d+)"")),1),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M59" s="86">
        <f>IFERROR(__xludf.DUMMYFUNCTION("LET(
  monthStart,DATE(VALUE(REGEXEXTRACT(M$1,""\d{4}"")),VALUE(REGEXEXTRACT(M$1,""T(\d+)"")),1),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N59" s="86">
        <f>IFERROR(__xludf.DUMMYFUNCTION("LET(
  monthStart,DATE(VALUE(REGEXEXTRACT(N$1,""\d{4}"")),VALUE(REGEXEXTRACT(N$1,""T(\d+)"")),1),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O59" s="86">
        <f>IFERROR(__xludf.DUMMYFUNCTION("LET(
  monthStart,DATE(VALUE(REGEXEXTRACT(O$1,""\d{4}"")),VALUE(REGEXEXTRACT(O$1,""T(\d+)"")),1),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P59" s="86">
        <f>IFERROR(__xludf.DUMMYFUNCTION("LET(
  monthStart,DATE(VALUE(REGEXEXTRACT(P$1,""\d{4}"")),VALUE(REGEXEXTRACT(P$1,""T(\d+)"")),1),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Q59" s="86">
        <f>IFERROR(__xludf.DUMMYFUNCTION("LET(
  monthStart,DATE(VALUE(REGEXEXTRACT(Q$1,""\d{4}"")),VALUE(REGEXEXTRACT(Q$1,""T(\d+)"")),1),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R59" s="86">
        <f>IFERROR(__xludf.DUMMYFUNCTION("LET(
  monthStart,DATE(VALUE(REGEXEXTRACT(R$1,""\d{4}"")),VALUE(REGEXEXTRACT(R$1,""T(\d+)"")),1),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S59" s="86">
        <f>IFERROR(__xludf.DUMMYFUNCTION("LET(
  monthStart,DATE(VALUE(REGEXEXTRACT(S$1,""\d{4}"")),VALUE(REGEXEXTRACT(S$1,""T(\d+)"")),1),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T59" s="86">
        <f>IFERROR(__xludf.DUMMYFUNCTION("LET(
  monthStart,DATE(VALUE(REGEXEXTRACT(T$1,""\d{4}"")),VALUE(REGEXEXTRACT(T$1,""T(\d+)"")),1),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U59" s="86">
        <f>IFERROR(__xludf.DUMMYFUNCTION("LET(
  monthStart,DATE(VALUE(REGEXEXTRACT(U$1,""\d{4}"")),VALUE(REGEXEXTRACT(U$1,""T(\d+)"")),1),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V59" s="86">
        <f>IFERROR(__xludf.DUMMYFUNCTION("LET(
  monthStart,DATE(VALUE(REGEXEXTRACT(V$1,""\d{4}"")),VALUE(REGEXEXTRACT(V$1,""T(\d+)"")),1),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W59" s="86">
        <f>IFERROR(__xludf.DUMMYFUNCTION("LET(
  monthStart,DATE(VALUE(REGEXEXTRACT(W$1,""\d{4}"")),VALUE(REGEXEXTRACT(W$1,""T(\d+)"")),1),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X59" s="86">
        <f>IFERROR(__xludf.DUMMYFUNCTION("LET(
  monthStart,DATE(VALUE(REGEXEXTRACT(X$1,""\d{4}"")),VALUE(REGEXEXTRACT(X$1,""T(\d+)"")),1),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Y59" s="86">
        <f>IFERROR(__xludf.DUMMYFUNCTION("LET(
  monthStart,DATE(VALUE(REGEXEXTRACT(Y$1,""\d{4}"")),VALUE(REGEXEXTRACT(Y$1,""T(\d+)"")),1),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AE59" s="67"/>
      <c r="AF59" s="67"/>
      <c r="AJ59" s="64"/>
      <c r="AK59" s="64"/>
      <c r="AO59" s="64"/>
      <c r="AP59" s="64"/>
      <c r="AT59" s="64"/>
      <c r="AX59" s="64"/>
      <c r="AY59" s="77"/>
      <c r="AZ59" s="78"/>
      <c r="BA59" s="79"/>
      <c r="BB59" s="67"/>
      <c r="BC59" s="67"/>
      <c r="BD59" s="80"/>
      <c r="BH59" s="64"/>
      <c r="BI59" s="64"/>
      <c r="BJ59" s="64"/>
      <c r="BK59" s="64"/>
      <c r="BL59" s="64"/>
      <c r="BM59" s="64"/>
      <c r="BN59" s="64"/>
    </row>
    <row r="60" ht="30.0" customHeight="1">
      <c r="A60" s="81"/>
      <c r="B60" s="82"/>
      <c r="C60" s="83"/>
      <c r="D60" s="84"/>
      <c r="E60" s="84"/>
      <c r="F60" s="85"/>
      <c r="G60" s="86">
        <f>IFERROR(__xludf.DUMMYFUNCTION("LET(
  monthStart,DATE(VALUE(REGEXEXTRACT(G$1,""\d{4}"")),VALUE(REGEXEXTRACT(G$1,""T(\d+)"")),1),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H60" s="86">
        <f>IFERROR(__xludf.DUMMYFUNCTION("LET(
  monthStart,DATE(VALUE(REGEXEXTRACT(H$1,""\d{4}"")),VALUE(REGEXEXTRACT(H$1,""T(\d+)"")),1),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I60" s="86">
        <f>IFERROR(__xludf.DUMMYFUNCTION("LET(
  monthStart,DATE(VALUE(REGEXEXTRACT(I$1,""\d{4}"")),VALUE(REGEXEXTRACT(I$1,""T(\d+)"")),1),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J60" s="86">
        <f>IFERROR(__xludf.DUMMYFUNCTION("LET(
  monthStart,DATE(VALUE(REGEXEXTRACT(J$1,""\d{4}"")),VALUE(REGEXEXTRACT(J$1,""T(\d+)"")),1),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K60" s="86">
        <f>IFERROR(__xludf.DUMMYFUNCTION("LET(
  monthStart,DATE(VALUE(REGEXEXTRACT(K$1,""\d{4}"")),VALUE(REGEXEXTRACT(K$1,""T(\d+)"")),1),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L60" s="86">
        <f>IFERROR(__xludf.DUMMYFUNCTION("LET(
  monthStart,DATE(VALUE(REGEXEXTRACT(L$1,""\d{4}"")),VALUE(REGEXEXTRACT(L$1,""T(\d+)"")),1),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M60" s="86">
        <f>IFERROR(__xludf.DUMMYFUNCTION("LET(
  monthStart,DATE(VALUE(REGEXEXTRACT(M$1,""\d{4}"")),VALUE(REGEXEXTRACT(M$1,""T(\d+)"")),1),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N60" s="86">
        <f>IFERROR(__xludf.DUMMYFUNCTION("LET(
  monthStart,DATE(VALUE(REGEXEXTRACT(N$1,""\d{4}"")),VALUE(REGEXEXTRACT(N$1,""T(\d+)"")),1),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O60" s="86">
        <f>IFERROR(__xludf.DUMMYFUNCTION("LET(
  monthStart,DATE(VALUE(REGEXEXTRACT(O$1,""\d{4}"")),VALUE(REGEXEXTRACT(O$1,""T(\d+)"")),1),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P60" s="86">
        <f>IFERROR(__xludf.DUMMYFUNCTION("LET(
  monthStart,DATE(VALUE(REGEXEXTRACT(P$1,""\d{4}"")),VALUE(REGEXEXTRACT(P$1,""T(\d+)"")),1),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Q60" s="86">
        <f>IFERROR(__xludf.DUMMYFUNCTION("LET(
  monthStart,DATE(VALUE(REGEXEXTRACT(Q$1,""\d{4}"")),VALUE(REGEXEXTRACT(Q$1,""T(\d+)"")),1),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R60" s="86">
        <f>IFERROR(__xludf.DUMMYFUNCTION("LET(
  monthStart,DATE(VALUE(REGEXEXTRACT(R$1,""\d{4}"")),VALUE(REGEXEXTRACT(R$1,""T(\d+)"")),1),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S60" s="86">
        <f>IFERROR(__xludf.DUMMYFUNCTION("LET(
  monthStart,DATE(VALUE(REGEXEXTRACT(S$1,""\d{4}"")),VALUE(REGEXEXTRACT(S$1,""T(\d+)"")),1),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T60" s="86">
        <f>IFERROR(__xludf.DUMMYFUNCTION("LET(
  monthStart,DATE(VALUE(REGEXEXTRACT(T$1,""\d{4}"")),VALUE(REGEXEXTRACT(T$1,""T(\d+)"")),1),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U60" s="86">
        <f>IFERROR(__xludf.DUMMYFUNCTION("LET(
  monthStart,DATE(VALUE(REGEXEXTRACT(U$1,""\d{4}"")),VALUE(REGEXEXTRACT(U$1,""T(\d+)"")),1),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V60" s="86">
        <f>IFERROR(__xludf.DUMMYFUNCTION("LET(
  monthStart,DATE(VALUE(REGEXEXTRACT(V$1,""\d{4}"")),VALUE(REGEXEXTRACT(V$1,""T(\d+)"")),1),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W60" s="86">
        <f>IFERROR(__xludf.DUMMYFUNCTION("LET(
  monthStart,DATE(VALUE(REGEXEXTRACT(W$1,""\d{4}"")),VALUE(REGEXEXTRACT(W$1,""T(\d+)"")),1),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X60" s="86">
        <f>IFERROR(__xludf.DUMMYFUNCTION("LET(
  monthStart,DATE(VALUE(REGEXEXTRACT(X$1,""\d{4}"")),VALUE(REGEXEXTRACT(X$1,""T(\d+)"")),1),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Y60" s="86">
        <f>IFERROR(__xludf.DUMMYFUNCTION("LET(
  monthStart,DATE(VALUE(REGEXEXTRACT(Y$1,""\d{4}"")),VALUE(REGEXEXTRACT(Y$1,""T(\d+)"")),1),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AE60" s="67"/>
      <c r="AF60" s="67"/>
      <c r="AJ60" s="64"/>
      <c r="AK60" s="64"/>
      <c r="AO60" s="64"/>
      <c r="AP60" s="64"/>
      <c r="AT60" s="64"/>
      <c r="AX60" s="64"/>
      <c r="AY60" s="77"/>
      <c r="AZ60" s="78"/>
      <c r="BA60" s="79"/>
      <c r="BB60" s="67"/>
      <c r="BC60" s="67"/>
      <c r="BD60" s="80"/>
      <c r="BH60" s="64"/>
      <c r="BI60" s="64"/>
      <c r="BJ60" s="64"/>
      <c r="BK60" s="64"/>
      <c r="BL60" s="64"/>
      <c r="BM60" s="64"/>
      <c r="BN60" s="64"/>
    </row>
    <row r="61" ht="30.0" customHeight="1">
      <c r="A61" s="81"/>
      <c r="B61" s="82"/>
      <c r="C61" s="83"/>
      <c r="D61" s="84"/>
      <c r="E61" s="84"/>
      <c r="F61" s="85"/>
      <c r="G61" s="86">
        <f>IFERROR(__xludf.DUMMYFUNCTION("LET(
  monthStart,DATE(VALUE(REGEXEXTRACT(G$1,""\d{4}"")),VALUE(REGEXEXTRACT(G$1,""T(\d+)"")),1),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H61" s="86">
        <f>IFERROR(__xludf.DUMMYFUNCTION("LET(
  monthStart,DATE(VALUE(REGEXEXTRACT(H$1,""\d{4}"")),VALUE(REGEXEXTRACT(H$1,""T(\d+)"")),1),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I61" s="86">
        <f>IFERROR(__xludf.DUMMYFUNCTION("LET(
  monthStart,DATE(VALUE(REGEXEXTRACT(I$1,""\d{4}"")),VALUE(REGEXEXTRACT(I$1,""T(\d+)"")),1),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J61" s="86">
        <f>IFERROR(__xludf.DUMMYFUNCTION("LET(
  monthStart,DATE(VALUE(REGEXEXTRACT(J$1,""\d{4}"")),VALUE(REGEXEXTRACT(J$1,""T(\d+)"")),1),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K61" s="86">
        <f>IFERROR(__xludf.DUMMYFUNCTION("LET(
  monthStart,DATE(VALUE(REGEXEXTRACT(K$1,""\d{4}"")),VALUE(REGEXEXTRACT(K$1,""T(\d+)"")),1),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L61" s="86">
        <f>IFERROR(__xludf.DUMMYFUNCTION("LET(
  monthStart,DATE(VALUE(REGEXEXTRACT(L$1,""\d{4}"")),VALUE(REGEXEXTRACT(L$1,""T(\d+)"")),1),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M61" s="86">
        <f>IFERROR(__xludf.DUMMYFUNCTION("LET(
  monthStart,DATE(VALUE(REGEXEXTRACT(M$1,""\d{4}"")),VALUE(REGEXEXTRACT(M$1,""T(\d+)"")),1),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N61" s="86">
        <f>IFERROR(__xludf.DUMMYFUNCTION("LET(
  monthStart,DATE(VALUE(REGEXEXTRACT(N$1,""\d{4}"")),VALUE(REGEXEXTRACT(N$1,""T(\d+)"")),1),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O61" s="86">
        <f>IFERROR(__xludf.DUMMYFUNCTION("LET(
  monthStart,DATE(VALUE(REGEXEXTRACT(O$1,""\d{4}"")),VALUE(REGEXEXTRACT(O$1,""T(\d+)"")),1),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P61" s="86">
        <f>IFERROR(__xludf.DUMMYFUNCTION("LET(
  monthStart,DATE(VALUE(REGEXEXTRACT(P$1,""\d{4}"")),VALUE(REGEXEXTRACT(P$1,""T(\d+)"")),1),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Q61" s="86">
        <f>IFERROR(__xludf.DUMMYFUNCTION("LET(
  monthStart,DATE(VALUE(REGEXEXTRACT(Q$1,""\d{4}"")),VALUE(REGEXEXTRACT(Q$1,""T(\d+)"")),1),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R61" s="86">
        <f>IFERROR(__xludf.DUMMYFUNCTION("LET(
  monthStart,DATE(VALUE(REGEXEXTRACT(R$1,""\d{4}"")),VALUE(REGEXEXTRACT(R$1,""T(\d+)"")),1),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S61" s="86">
        <f>IFERROR(__xludf.DUMMYFUNCTION("LET(
  monthStart,DATE(VALUE(REGEXEXTRACT(S$1,""\d{4}"")),VALUE(REGEXEXTRACT(S$1,""T(\d+)"")),1),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T61" s="86">
        <f>IFERROR(__xludf.DUMMYFUNCTION("LET(
  monthStart,DATE(VALUE(REGEXEXTRACT(T$1,""\d{4}"")),VALUE(REGEXEXTRACT(T$1,""T(\d+)"")),1),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U61" s="86">
        <f>IFERROR(__xludf.DUMMYFUNCTION("LET(
  monthStart,DATE(VALUE(REGEXEXTRACT(U$1,""\d{4}"")),VALUE(REGEXEXTRACT(U$1,""T(\d+)"")),1),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V61" s="86">
        <f>IFERROR(__xludf.DUMMYFUNCTION("LET(
  monthStart,DATE(VALUE(REGEXEXTRACT(V$1,""\d{4}"")),VALUE(REGEXEXTRACT(V$1,""T(\d+)"")),1),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W61" s="86">
        <f>IFERROR(__xludf.DUMMYFUNCTION("LET(
  monthStart,DATE(VALUE(REGEXEXTRACT(W$1,""\d{4}"")),VALUE(REGEXEXTRACT(W$1,""T(\d+)"")),1),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X61" s="86">
        <f>IFERROR(__xludf.DUMMYFUNCTION("LET(
  monthStart,DATE(VALUE(REGEXEXTRACT(X$1,""\d{4}"")),VALUE(REGEXEXTRACT(X$1,""T(\d+)"")),1),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Y61" s="86">
        <f>IFERROR(__xludf.DUMMYFUNCTION("LET(
  monthStart,DATE(VALUE(REGEXEXTRACT(Y$1,""\d{4}"")),VALUE(REGEXEXTRACT(Y$1,""T(\d+)"")),1),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AE61" s="67"/>
      <c r="AF61" s="67"/>
      <c r="AJ61" s="64"/>
      <c r="AK61" s="64"/>
      <c r="AO61" s="64"/>
      <c r="AP61" s="64"/>
      <c r="AT61" s="64"/>
      <c r="AX61" s="64"/>
      <c r="AY61" s="77"/>
      <c r="AZ61" s="78"/>
      <c r="BA61" s="79"/>
      <c r="BB61" s="67"/>
      <c r="BC61" s="67"/>
      <c r="BD61" s="80"/>
      <c r="BH61" s="64"/>
      <c r="BI61" s="64"/>
      <c r="BJ61" s="64"/>
      <c r="BK61" s="64"/>
      <c r="BL61" s="64"/>
      <c r="BM61" s="64"/>
      <c r="BN61" s="64"/>
    </row>
    <row r="62" ht="30.0" customHeight="1">
      <c r="A62" s="81"/>
      <c r="B62" s="82"/>
      <c r="C62" s="83"/>
      <c r="D62" s="84"/>
      <c r="E62" s="84"/>
      <c r="F62" s="85"/>
      <c r="G62" s="86">
        <f>IFERROR(__xludf.DUMMYFUNCTION("LET(
  monthStart,DATE(VALUE(REGEXEXTRACT(G$1,""\d{4}"")),VALUE(REGEXEXTRACT(G$1,""T(\d+)"")),1),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H62" s="86">
        <f>IFERROR(__xludf.DUMMYFUNCTION("LET(
  monthStart,DATE(VALUE(REGEXEXTRACT(H$1,""\d{4}"")),VALUE(REGEXEXTRACT(H$1,""T(\d+)"")),1),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I62" s="86">
        <f>IFERROR(__xludf.DUMMYFUNCTION("LET(
  monthStart,DATE(VALUE(REGEXEXTRACT(I$1,""\d{4}"")),VALUE(REGEXEXTRACT(I$1,""T(\d+)"")),1),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J62" s="86">
        <f>IFERROR(__xludf.DUMMYFUNCTION("LET(
  monthStart,DATE(VALUE(REGEXEXTRACT(J$1,""\d{4}"")),VALUE(REGEXEXTRACT(J$1,""T(\d+)"")),1),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K62" s="86">
        <f>IFERROR(__xludf.DUMMYFUNCTION("LET(
  monthStart,DATE(VALUE(REGEXEXTRACT(K$1,""\d{4}"")),VALUE(REGEXEXTRACT(K$1,""T(\d+)"")),1),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L62" s="86">
        <f>IFERROR(__xludf.DUMMYFUNCTION("LET(
  monthStart,DATE(VALUE(REGEXEXTRACT(L$1,""\d{4}"")),VALUE(REGEXEXTRACT(L$1,""T(\d+)"")),1),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M62" s="86">
        <f>IFERROR(__xludf.DUMMYFUNCTION("LET(
  monthStart,DATE(VALUE(REGEXEXTRACT(M$1,""\d{4}"")),VALUE(REGEXEXTRACT(M$1,""T(\d+)"")),1),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N62" s="86">
        <f>IFERROR(__xludf.DUMMYFUNCTION("LET(
  monthStart,DATE(VALUE(REGEXEXTRACT(N$1,""\d{4}"")),VALUE(REGEXEXTRACT(N$1,""T(\d+)"")),1),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O62" s="86">
        <f>IFERROR(__xludf.DUMMYFUNCTION("LET(
  monthStart,DATE(VALUE(REGEXEXTRACT(O$1,""\d{4}"")),VALUE(REGEXEXTRACT(O$1,""T(\d+)"")),1),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P62" s="86">
        <f>IFERROR(__xludf.DUMMYFUNCTION("LET(
  monthStart,DATE(VALUE(REGEXEXTRACT(P$1,""\d{4}"")),VALUE(REGEXEXTRACT(P$1,""T(\d+)"")),1),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Q62" s="86">
        <f>IFERROR(__xludf.DUMMYFUNCTION("LET(
  monthStart,DATE(VALUE(REGEXEXTRACT(Q$1,""\d{4}"")),VALUE(REGEXEXTRACT(Q$1,""T(\d+)"")),1),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R62" s="86">
        <f>IFERROR(__xludf.DUMMYFUNCTION("LET(
  monthStart,DATE(VALUE(REGEXEXTRACT(R$1,""\d{4}"")),VALUE(REGEXEXTRACT(R$1,""T(\d+)"")),1),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S62" s="86">
        <f>IFERROR(__xludf.DUMMYFUNCTION("LET(
  monthStart,DATE(VALUE(REGEXEXTRACT(S$1,""\d{4}"")),VALUE(REGEXEXTRACT(S$1,""T(\d+)"")),1),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T62" s="86">
        <f>IFERROR(__xludf.DUMMYFUNCTION("LET(
  monthStart,DATE(VALUE(REGEXEXTRACT(T$1,""\d{4}"")),VALUE(REGEXEXTRACT(T$1,""T(\d+)"")),1),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U62" s="86">
        <f>IFERROR(__xludf.DUMMYFUNCTION("LET(
  monthStart,DATE(VALUE(REGEXEXTRACT(U$1,""\d{4}"")),VALUE(REGEXEXTRACT(U$1,""T(\d+)"")),1),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V62" s="86">
        <f>IFERROR(__xludf.DUMMYFUNCTION("LET(
  monthStart,DATE(VALUE(REGEXEXTRACT(V$1,""\d{4}"")),VALUE(REGEXEXTRACT(V$1,""T(\d+)"")),1),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W62" s="86">
        <f>IFERROR(__xludf.DUMMYFUNCTION("LET(
  monthStart,DATE(VALUE(REGEXEXTRACT(W$1,""\d{4}"")),VALUE(REGEXEXTRACT(W$1,""T(\d+)"")),1),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X62" s="86">
        <f>IFERROR(__xludf.DUMMYFUNCTION("LET(
  monthStart,DATE(VALUE(REGEXEXTRACT(X$1,""\d{4}"")),VALUE(REGEXEXTRACT(X$1,""T(\d+)"")),1),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Y62" s="86">
        <f>IFERROR(__xludf.DUMMYFUNCTION("LET(
  monthStart,DATE(VALUE(REGEXEXTRACT(Y$1,""\d{4}"")),VALUE(REGEXEXTRACT(Y$1,""T(\d+)"")),1),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AE62" s="67"/>
      <c r="AF62" s="67"/>
      <c r="AJ62" s="64"/>
      <c r="AK62" s="64"/>
      <c r="AO62" s="64"/>
      <c r="AP62" s="64"/>
      <c r="AT62" s="64"/>
      <c r="AX62" s="64"/>
      <c r="AY62" s="77"/>
      <c r="AZ62" s="78"/>
      <c r="BA62" s="79"/>
      <c r="BB62" s="67"/>
      <c r="BC62" s="67"/>
      <c r="BD62" s="80"/>
      <c r="BH62" s="64"/>
      <c r="BI62" s="64"/>
      <c r="BJ62" s="64"/>
      <c r="BK62" s="64"/>
      <c r="BL62" s="64"/>
      <c r="BM62" s="64"/>
      <c r="BN62" s="64"/>
    </row>
    <row r="63" ht="30.0" customHeight="1">
      <c r="A63" s="81"/>
      <c r="B63" s="82"/>
      <c r="C63" s="83"/>
      <c r="D63" s="84"/>
      <c r="E63" s="84"/>
      <c r="F63" s="85"/>
      <c r="G63" s="86">
        <f>IFERROR(__xludf.DUMMYFUNCTION("LET(
  monthStart,DATE(VALUE(REGEXEXTRACT(G$1,""\d{4}"")),VALUE(REGEXEXTRACT(G$1,""T(\d+)"")),1),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H63" s="86">
        <f>IFERROR(__xludf.DUMMYFUNCTION("LET(
  monthStart,DATE(VALUE(REGEXEXTRACT(H$1,""\d{4}"")),VALUE(REGEXEXTRACT(H$1,""T(\d+)"")),1),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I63" s="86">
        <f>IFERROR(__xludf.DUMMYFUNCTION("LET(
  monthStart,DATE(VALUE(REGEXEXTRACT(I$1,""\d{4}"")),VALUE(REGEXEXTRACT(I$1,""T(\d+)"")),1),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J63" s="86">
        <f>IFERROR(__xludf.DUMMYFUNCTION("LET(
  monthStart,DATE(VALUE(REGEXEXTRACT(J$1,""\d{4}"")),VALUE(REGEXEXTRACT(J$1,""T(\d+)"")),1),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K63" s="86">
        <f>IFERROR(__xludf.DUMMYFUNCTION("LET(
  monthStart,DATE(VALUE(REGEXEXTRACT(K$1,""\d{4}"")),VALUE(REGEXEXTRACT(K$1,""T(\d+)"")),1),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L63" s="86">
        <f>IFERROR(__xludf.DUMMYFUNCTION("LET(
  monthStart,DATE(VALUE(REGEXEXTRACT(L$1,""\d{4}"")),VALUE(REGEXEXTRACT(L$1,""T(\d+)"")),1),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M63" s="86">
        <f>IFERROR(__xludf.DUMMYFUNCTION("LET(
  monthStart,DATE(VALUE(REGEXEXTRACT(M$1,""\d{4}"")),VALUE(REGEXEXTRACT(M$1,""T(\d+)"")),1),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N63" s="86">
        <f>IFERROR(__xludf.DUMMYFUNCTION("LET(
  monthStart,DATE(VALUE(REGEXEXTRACT(N$1,""\d{4}"")),VALUE(REGEXEXTRACT(N$1,""T(\d+)"")),1),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O63" s="86">
        <f>IFERROR(__xludf.DUMMYFUNCTION("LET(
  monthStart,DATE(VALUE(REGEXEXTRACT(O$1,""\d{4}"")),VALUE(REGEXEXTRACT(O$1,""T(\d+)"")),1),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P63" s="86">
        <f>IFERROR(__xludf.DUMMYFUNCTION("LET(
  monthStart,DATE(VALUE(REGEXEXTRACT(P$1,""\d{4}"")),VALUE(REGEXEXTRACT(P$1,""T(\d+)"")),1),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Q63" s="86">
        <f>IFERROR(__xludf.DUMMYFUNCTION("LET(
  monthStart,DATE(VALUE(REGEXEXTRACT(Q$1,""\d{4}"")),VALUE(REGEXEXTRACT(Q$1,""T(\d+)"")),1),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R63" s="86">
        <f>IFERROR(__xludf.DUMMYFUNCTION("LET(
  monthStart,DATE(VALUE(REGEXEXTRACT(R$1,""\d{4}"")),VALUE(REGEXEXTRACT(R$1,""T(\d+)"")),1),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S63" s="86">
        <f>IFERROR(__xludf.DUMMYFUNCTION("LET(
  monthStart,DATE(VALUE(REGEXEXTRACT(S$1,""\d{4}"")),VALUE(REGEXEXTRACT(S$1,""T(\d+)"")),1),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T63" s="86">
        <f>IFERROR(__xludf.DUMMYFUNCTION("LET(
  monthStart,DATE(VALUE(REGEXEXTRACT(T$1,""\d{4}"")),VALUE(REGEXEXTRACT(T$1,""T(\d+)"")),1),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U63" s="86">
        <f>IFERROR(__xludf.DUMMYFUNCTION("LET(
  monthStart,DATE(VALUE(REGEXEXTRACT(U$1,""\d{4}"")),VALUE(REGEXEXTRACT(U$1,""T(\d+)"")),1),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V63" s="86">
        <f>IFERROR(__xludf.DUMMYFUNCTION("LET(
  monthStart,DATE(VALUE(REGEXEXTRACT(V$1,""\d{4}"")),VALUE(REGEXEXTRACT(V$1,""T(\d+)"")),1),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W63" s="86">
        <f>IFERROR(__xludf.DUMMYFUNCTION("LET(
  monthStart,DATE(VALUE(REGEXEXTRACT(W$1,""\d{4}"")),VALUE(REGEXEXTRACT(W$1,""T(\d+)"")),1),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X63" s="86">
        <f>IFERROR(__xludf.DUMMYFUNCTION("LET(
  monthStart,DATE(VALUE(REGEXEXTRACT(X$1,""\d{4}"")),VALUE(REGEXEXTRACT(X$1,""T(\d+)"")),1),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Y63" s="86">
        <f>IFERROR(__xludf.DUMMYFUNCTION("LET(
  monthStart,DATE(VALUE(REGEXEXTRACT(Y$1,""\d{4}"")),VALUE(REGEXEXTRACT(Y$1,""T(\d+)"")),1),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AE63" s="67"/>
      <c r="AF63" s="67"/>
      <c r="AJ63" s="64"/>
      <c r="AK63" s="64"/>
      <c r="AO63" s="64"/>
      <c r="AP63" s="64"/>
      <c r="AT63" s="64"/>
      <c r="AX63" s="64"/>
      <c r="AY63" s="77"/>
      <c r="AZ63" s="78"/>
      <c r="BA63" s="79"/>
      <c r="BB63" s="67"/>
      <c r="BC63" s="67"/>
      <c r="BD63" s="80"/>
      <c r="BH63" s="64"/>
      <c r="BI63" s="64"/>
      <c r="BJ63" s="64"/>
      <c r="BK63" s="64"/>
      <c r="BL63" s="64"/>
      <c r="BM63" s="64"/>
      <c r="BN63" s="64"/>
    </row>
    <row r="64" ht="30.0" customHeight="1">
      <c r="A64" s="81"/>
      <c r="B64" s="82"/>
      <c r="C64" s="83"/>
      <c r="D64" s="84"/>
      <c r="E64" s="84"/>
      <c r="F64" s="85"/>
      <c r="G64" s="86">
        <f>IFERROR(__xludf.DUMMYFUNCTION("LET(
  monthStart,DATE(VALUE(REGEXEXTRACT(G$1,""\d{4}"")),VALUE(REGEXEXTRACT(G$1,""T(\d+)"")),1),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H64" s="86">
        <f>IFERROR(__xludf.DUMMYFUNCTION("LET(
  monthStart,DATE(VALUE(REGEXEXTRACT(H$1,""\d{4}"")),VALUE(REGEXEXTRACT(H$1,""T(\d+)"")),1),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I64" s="86">
        <f>IFERROR(__xludf.DUMMYFUNCTION("LET(
  monthStart,DATE(VALUE(REGEXEXTRACT(I$1,""\d{4}"")),VALUE(REGEXEXTRACT(I$1,""T(\d+)"")),1),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J64" s="86">
        <f>IFERROR(__xludf.DUMMYFUNCTION("LET(
  monthStart,DATE(VALUE(REGEXEXTRACT(J$1,""\d{4}"")),VALUE(REGEXEXTRACT(J$1,""T(\d+)"")),1),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K64" s="86">
        <f>IFERROR(__xludf.DUMMYFUNCTION("LET(
  monthStart,DATE(VALUE(REGEXEXTRACT(K$1,""\d{4}"")),VALUE(REGEXEXTRACT(K$1,""T(\d+)"")),1),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L64" s="86">
        <f>IFERROR(__xludf.DUMMYFUNCTION("LET(
  monthStart,DATE(VALUE(REGEXEXTRACT(L$1,""\d{4}"")),VALUE(REGEXEXTRACT(L$1,""T(\d+)"")),1),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M64" s="86">
        <f>IFERROR(__xludf.DUMMYFUNCTION("LET(
  monthStart,DATE(VALUE(REGEXEXTRACT(M$1,""\d{4}"")),VALUE(REGEXEXTRACT(M$1,""T(\d+)"")),1),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N64" s="86">
        <f>IFERROR(__xludf.DUMMYFUNCTION("LET(
  monthStart,DATE(VALUE(REGEXEXTRACT(N$1,""\d{4}"")),VALUE(REGEXEXTRACT(N$1,""T(\d+)"")),1),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O64" s="86">
        <f>IFERROR(__xludf.DUMMYFUNCTION("LET(
  monthStart,DATE(VALUE(REGEXEXTRACT(O$1,""\d{4}"")),VALUE(REGEXEXTRACT(O$1,""T(\d+)"")),1),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P64" s="86">
        <f>IFERROR(__xludf.DUMMYFUNCTION("LET(
  monthStart,DATE(VALUE(REGEXEXTRACT(P$1,""\d{4}"")),VALUE(REGEXEXTRACT(P$1,""T(\d+)"")),1),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Q64" s="86">
        <f>IFERROR(__xludf.DUMMYFUNCTION("LET(
  monthStart,DATE(VALUE(REGEXEXTRACT(Q$1,""\d{4}"")),VALUE(REGEXEXTRACT(Q$1,""T(\d+)"")),1),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R64" s="86">
        <f>IFERROR(__xludf.DUMMYFUNCTION("LET(
  monthStart,DATE(VALUE(REGEXEXTRACT(R$1,""\d{4}"")),VALUE(REGEXEXTRACT(R$1,""T(\d+)"")),1),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S64" s="86">
        <f>IFERROR(__xludf.DUMMYFUNCTION("LET(
  monthStart,DATE(VALUE(REGEXEXTRACT(S$1,""\d{4}"")),VALUE(REGEXEXTRACT(S$1,""T(\d+)"")),1),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T64" s="86">
        <f>IFERROR(__xludf.DUMMYFUNCTION("LET(
  monthStart,DATE(VALUE(REGEXEXTRACT(T$1,""\d{4}"")),VALUE(REGEXEXTRACT(T$1,""T(\d+)"")),1),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U64" s="86">
        <f>IFERROR(__xludf.DUMMYFUNCTION("LET(
  monthStart,DATE(VALUE(REGEXEXTRACT(U$1,""\d{4}"")),VALUE(REGEXEXTRACT(U$1,""T(\d+)"")),1),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V64" s="86">
        <f>IFERROR(__xludf.DUMMYFUNCTION("LET(
  monthStart,DATE(VALUE(REGEXEXTRACT(V$1,""\d{4}"")),VALUE(REGEXEXTRACT(V$1,""T(\d+)"")),1),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W64" s="86">
        <f>IFERROR(__xludf.DUMMYFUNCTION("LET(
  monthStart,DATE(VALUE(REGEXEXTRACT(W$1,""\d{4}"")),VALUE(REGEXEXTRACT(W$1,""T(\d+)"")),1),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X64" s="86">
        <f>IFERROR(__xludf.DUMMYFUNCTION("LET(
  monthStart,DATE(VALUE(REGEXEXTRACT(X$1,""\d{4}"")),VALUE(REGEXEXTRACT(X$1,""T(\d+)"")),1),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Y64" s="86">
        <f>IFERROR(__xludf.DUMMYFUNCTION("LET(
  monthStart,DATE(VALUE(REGEXEXTRACT(Y$1,""\d{4}"")),VALUE(REGEXEXTRACT(Y$1,""T(\d+)"")),1),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AE64" s="67"/>
      <c r="AF64" s="67"/>
      <c r="AJ64" s="64"/>
      <c r="AK64" s="64"/>
      <c r="AO64" s="64"/>
      <c r="AP64" s="64"/>
      <c r="AT64" s="64"/>
      <c r="AX64" s="64"/>
      <c r="AY64" s="77"/>
      <c r="AZ64" s="78"/>
      <c r="BA64" s="79"/>
      <c r="BB64" s="67"/>
      <c r="BC64" s="67"/>
      <c r="BD64" s="80"/>
      <c r="BH64" s="64"/>
      <c r="BI64" s="64"/>
      <c r="BJ64" s="64"/>
      <c r="BK64" s="64"/>
      <c r="BL64" s="64"/>
      <c r="BM64" s="64"/>
      <c r="BN64" s="64"/>
    </row>
    <row r="65" ht="30.0" customHeight="1">
      <c r="A65" s="81"/>
      <c r="B65" s="82"/>
      <c r="C65" s="83"/>
      <c r="D65" s="84"/>
      <c r="E65" s="84"/>
      <c r="F65" s="85"/>
      <c r="G65" s="86">
        <f>IFERROR(__xludf.DUMMYFUNCTION("LET(
  monthStart,DATE(VALUE(REGEXEXTRACT(G$1,""\d{4}"")),VALUE(REGEXEXTRACT(G$1,""T(\d+)"")),1),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H65" s="86">
        <f>IFERROR(__xludf.DUMMYFUNCTION("LET(
  monthStart,DATE(VALUE(REGEXEXTRACT(H$1,""\d{4}"")),VALUE(REGEXEXTRACT(H$1,""T(\d+)"")),1),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I65" s="86">
        <f>IFERROR(__xludf.DUMMYFUNCTION("LET(
  monthStart,DATE(VALUE(REGEXEXTRACT(I$1,""\d{4}"")),VALUE(REGEXEXTRACT(I$1,""T(\d+)"")),1),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J65" s="86">
        <f>IFERROR(__xludf.DUMMYFUNCTION("LET(
  monthStart,DATE(VALUE(REGEXEXTRACT(J$1,""\d{4}"")),VALUE(REGEXEXTRACT(J$1,""T(\d+)"")),1),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K65" s="86">
        <f>IFERROR(__xludf.DUMMYFUNCTION("LET(
  monthStart,DATE(VALUE(REGEXEXTRACT(K$1,""\d{4}"")),VALUE(REGEXEXTRACT(K$1,""T(\d+)"")),1),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L65" s="86">
        <f>IFERROR(__xludf.DUMMYFUNCTION("LET(
  monthStart,DATE(VALUE(REGEXEXTRACT(L$1,""\d{4}"")),VALUE(REGEXEXTRACT(L$1,""T(\d+)"")),1),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M65" s="86">
        <f>IFERROR(__xludf.DUMMYFUNCTION("LET(
  monthStart,DATE(VALUE(REGEXEXTRACT(M$1,""\d{4}"")),VALUE(REGEXEXTRACT(M$1,""T(\d+)"")),1),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N65" s="86">
        <f>IFERROR(__xludf.DUMMYFUNCTION("LET(
  monthStart,DATE(VALUE(REGEXEXTRACT(N$1,""\d{4}"")),VALUE(REGEXEXTRACT(N$1,""T(\d+)"")),1),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O65" s="86">
        <f>IFERROR(__xludf.DUMMYFUNCTION("LET(
  monthStart,DATE(VALUE(REGEXEXTRACT(O$1,""\d{4}"")),VALUE(REGEXEXTRACT(O$1,""T(\d+)"")),1),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P65" s="86">
        <f>IFERROR(__xludf.DUMMYFUNCTION("LET(
  monthStart,DATE(VALUE(REGEXEXTRACT(P$1,""\d{4}"")),VALUE(REGEXEXTRACT(P$1,""T(\d+)"")),1),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Q65" s="86">
        <f>IFERROR(__xludf.DUMMYFUNCTION("LET(
  monthStart,DATE(VALUE(REGEXEXTRACT(Q$1,""\d{4}"")),VALUE(REGEXEXTRACT(Q$1,""T(\d+)"")),1),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R65" s="86">
        <f>IFERROR(__xludf.DUMMYFUNCTION("LET(
  monthStart,DATE(VALUE(REGEXEXTRACT(R$1,""\d{4}"")),VALUE(REGEXEXTRACT(R$1,""T(\d+)"")),1),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S65" s="86">
        <f>IFERROR(__xludf.DUMMYFUNCTION("LET(
  monthStart,DATE(VALUE(REGEXEXTRACT(S$1,""\d{4}"")),VALUE(REGEXEXTRACT(S$1,""T(\d+)"")),1),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T65" s="86">
        <f>IFERROR(__xludf.DUMMYFUNCTION("LET(
  monthStart,DATE(VALUE(REGEXEXTRACT(T$1,""\d{4}"")),VALUE(REGEXEXTRACT(T$1,""T(\d+)"")),1),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U65" s="86">
        <f>IFERROR(__xludf.DUMMYFUNCTION("LET(
  monthStart,DATE(VALUE(REGEXEXTRACT(U$1,""\d{4}"")),VALUE(REGEXEXTRACT(U$1,""T(\d+)"")),1),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V65" s="86">
        <f>IFERROR(__xludf.DUMMYFUNCTION("LET(
  monthStart,DATE(VALUE(REGEXEXTRACT(V$1,""\d{4}"")),VALUE(REGEXEXTRACT(V$1,""T(\d+)"")),1),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W65" s="86">
        <f>IFERROR(__xludf.DUMMYFUNCTION("LET(
  monthStart,DATE(VALUE(REGEXEXTRACT(W$1,""\d{4}"")),VALUE(REGEXEXTRACT(W$1,""T(\d+)"")),1),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X65" s="86">
        <f>IFERROR(__xludf.DUMMYFUNCTION("LET(
  monthStart,DATE(VALUE(REGEXEXTRACT(X$1,""\d{4}"")),VALUE(REGEXEXTRACT(X$1,""T(\d+)"")),1),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Y65" s="86">
        <f>IFERROR(__xludf.DUMMYFUNCTION("LET(
  monthStart,DATE(VALUE(REGEXEXTRACT(Y$1,""\d{4}"")),VALUE(REGEXEXTRACT(Y$1,""T(\d+)"")),1),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AE65" s="67"/>
      <c r="AF65" s="67"/>
      <c r="AJ65" s="64"/>
      <c r="AK65" s="64"/>
      <c r="AO65" s="64"/>
      <c r="AP65" s="64"/>
      <c r="AT65" s="64"/>
      <c r="AX65" s="64"/>
      <c r="AY65" s="77"/>
      <c r="AZ65" s="77"/>
      <c r="BA65" s="79"/>
      <c r="BB65" s="67"/>
      <c r="BC65" s="67"/>
      <c r="BD65" s="80"/>
      <c r="BH65" s="64"/>
      <c r="BI65" s="64"/>
      <c r="BJ65" s="64"/>
      <c r="BK65" s="64"/>
      <c r="BL65" s="64"/>
      <c r="BM65" s="64"/>
      <c r="BN65" s="64"/>
    </row>
    <row r="66" ht="30.0" customHeight="1">
      <c r="A66" s="81"/>
      <c r="B66" s="82"/>
      <c r="C66" s="83"/>
      <c r="D66" s="84"/>
      <c r="E66" s="84"/>
      <c r="F66" s="85"/>
      <c r="G66" s="86">
        <f>IFERROR(__xludf.DUMMYFUNCTION("LET(
  monthStart,DATE(VALUE(REGEXEXTRACT(G$1,""\d{4}"")),VALUE(REGEXEXTRACT(G$1,""T(\d+)"")),1),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H66" s="86">
        <f>IFERROR(__xludf.DUMMYFUNCTION("LET(
  monthStart,DATE(VALUE(REGEXEXTRACT(H$1,""\d{4}"")),VALUE(REGEXEXTRACT(H$1,""T(\d+)"")),1),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I66" s="86">
        <f>IFERROR(__xludf.DUMMYFUNCTION("LET(
  monthStart,DATE(VALUE(REGEXEXTRACT(I$1,""\d{4}"")),VALUE(REGEXEXTRACT(I$1,""T(\d+)"")),1),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J66" s="86">
        <f>IFERROR(__xludf.DUMMYFUNCTION("LET(
  monthStart,DATE(VALUE(REGEXEXTRACT(J$1,""\d{4}"")),VALUE(REGEXEXTRACT(J$1,""T(\d+)"")),1),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K66" s="86">
        <f>IFERROR(__xludf.DUMMYFUNCTION("LET(
  monthStart,DATE(VALUE(REGEXEXTRACT(K$1,""\d{4}"")),VALUE(REGEXEXTRACT(K$1,""T(\d+)"")),1),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L66" s="86">
        <f>IFERROR(__xludf.DUMMYFUNCTION("LET(
  monthStart,DATE(VALUE(REGEXEXTRACT(L$1,""\d{4}"")),VALUE(REGEXEXTRACT(L$1,""T(\d+)"")),1),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M66" s="86">
        <f>IFERROR(__xludf.DUMMYFUNCTION("LET(
  monthStart,DATE(VALUE(REGEXEXTRACT(M$1,""\d{4}"")),VALUE(REGEXEXTRACT(M$1,""T(\d+)"")),1),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N66" s="86">
        <f>IFERROR(__xludf.DUMMYFUNCTION("LET(
  monthStart,DATE(VALUE(REGEXEXTRACT(N$1,""\d{4}"")),VALUE(REGEXEXTRACT(N$1,""T(\d+)"")),1),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O66" s="86">
        <f>IFERROR(__xludf.DUMMYFUNCTION("LET(
  monthStart,DATE(VALUE(REGEXEXTRACT(O$1,""\d{4}"")),VALUE(REGEXEXTRACT(O$1,""T(\d+)"")),1),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P66" s="86">
        <f>IFERROR(__xludf.DUMMYFUNCTION("LET(
  monthStart,DATE(VALUE(REGEXEXTRACT(P$1,""\d{4}"")),VALUE(REGEXEXTRACT(P$1,""T(\d+)"")),1),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Q66" s="86">
        <f>IFERROR(__xludf.DUMMYFUNCTION("LET(
  monthStart,DATE(VALUE(REGEXEXTRACT(Q$1,""\d{4}"")),VALUE(REGEXEXTRACT(Q$1,""T(\d+)"")),1),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R66" s="86">
        <f>IFERROR(__xludf.DUMMYFUNCTION("LET(
  monthStart,DATE(VALUE(REGEXEXTRACT(R$1,""\d{4}"")),VALUE(REGEXEXTRACT(R$1,""T(\d+)"")),1),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S66" s="86">
        <f>IFERROR(__xludf.DUMMYFUNCTION("LET(
  monthStart,DATE(VALUE(REGEXEXTRACT(S$1,""\d{4}"")),VALUE(REGEXEXTRACT(S$1,""T(\d+)"")),1),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T66" s="86">
        <f>IFERROR(__xludf.DUMMYFUNCTION("LET(
  monthStart,DATE(VALUE(REGEXEXTRACT(T$1,""\d{4}"")),VALUE(REGEXEXTRACT(T$1,""T(\d+)"")),1),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U66" s="86">
        <f>IFERROR(__xludf.DUMMYFUNCTION("LET(
  monthStart,DATE(VALUE(REGEXEXTRACT(U$1,""\d{4}"")),VALUE(REGEXEXTRACT(U$1,""T(\d+)"")),1),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V66" s="86">
        <f>IFERROR(__xludf.DUMMYFUNCTION("LET(
  monthStart,DATE(VALUE(REGEXEXTRACT(V$1,""\d{4}"")),VALUE(REGEXEXTRACT(V$1,""T(\d+)"")),1),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W66" s="86">
        <f>IFERROR(__xludf.DUMMYFUNCTION("LET(
  monthStart,DATE(VALUE(REGEXEXTRACT(W$1,""\d{4}"")),VALUE(REGEXEXTRACT(W$1,""T(\d+)"")),1),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X66" s="86">
        <f>IFERROR(__xludf.DUMMYFUNCTION("LET(
  monthStart,DATE(VALUE(REGEXEXTRACT(X$1,""\d{4}"")),VALUE(REGEXEXTRACT(X$1,""T(\d+)"")),1),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Y66" s="86">
        <f>IFERROR(__xludf.DUMMYFUNCTION("LET(
  monthStart,DATE(VALUE(REGEXEXTRACT(Y$1,""\d{4}"")),VALUE(REGEXEXTRACT(Y$1,""T(\d+)"")),1),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AE66" s="67"/>
      <c r="AF66" s="67"/>
      <c r="AJ66" s="64"/>
      <c r="AK66" s="64"/>
      <c r="AO66" s="64"/>
      <c r="AP66" s="64"/>
      <c r="AT66" s="64"/>
      <c r="AX66" s="64"/>
      <c r="AY66" s="77"/>
      <c r="AZ66" s="77"/>
      <c r="BA66" s="79"/>
      <c r="BB66" s="67"/>
      <c r="BC66" s="67"/>
      <c r="BD66" s="80"/>
      <c r="BH66" s="64"/>
      <c r="BI66" s="64"/>
      <c r="BJ66" s="64"/>
      <c r="BK66" s="64"/>
      <c r="BL66" s="64"/>
      <c r="BM66" s="64"/>
      <c r="BN66" s="64"/>
    </row>
    <row r="67" ht="30.0" customHeight="1">
      <c r="A67" s="81"/>
      <c r="B67" s="82"/>
      <c r="C67" s="83"/>
      <c r="D67" s="84"/>
      <c r="E67" s="84"/>
      <c r="F67" s="85"/>
      <c r="G67" s="86">
        <f>IFERROR(__xludf.DUMMYFUNCTION("LET(
  monthStart,DATE(VALUE(REGEXEXTRACT(G$1,""\d{4}"")),VALUE(REGEXEXTRACT(G$1,""T(\d+)"")),1),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H67" s="86">
        <f>IFERROR(__xludf.DUMMYFUNCTION("LET(
  monthStart,DATE(VALUE(REGEXEXTRACT(H$1,""\d{4}"")),VALUE(REGEXEXTRACT(H$1,""T(\d+)"")),1),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I67" s="86">
        <f>IFERROR(__xludf.DUMMYFUNCTION("LET(
  monthStart,DATE(VALUE(REGEXEXTRACT(I$1,""\d{4}"")),VALUE(REGEXEXTRACT(I$1,""T(\d+)"")),1),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J67" s="86">
        <f>IFERROR(__xludf.DUMMYFUNCTION("LET(
  monthStart,DATE(VALUE(REGEXEXTRACT(J$1,""\d{4}"")),VALUE(REGEXEXTRACT(J$1,""T(\d+)"")),1),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K67" s="86">
        <f>IFERROR(__xludf.DUMMYFUNCTION("LET(
  monthStart,DATE(VALUE(REGEXEXTRACT(K$1,""\d{4}"")),VALUE(REGEXEXTRACT(K$1,""T(\d+)"")),1),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L67" s="86">
        <f>IFERROR(__xludf.DUMMYFUNCTION("LET(
  monthStart,DATE(VALUE(REGEXEXTRACT(L$1,""\d{4}"")),VALUE(REGEXEXTRACT(L$1,""T(\d+)"")),1),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M67" s="86">
        <f>IFERROR(__xludf.DUMMYFUNCTION("LET(
  monthStart,DATE(VALUE(REGEXEXTRACT(M$1,""\d{4}"")),VALUE(REGEXEXTRACT(M$1,""T(\d+)"")),1),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N67" s="86">
        <f>IFERROR(__xludf.DUMMYFUNCTION("LET(
  monthStart,DATE(VALUE(REGEXEXTRACT(N$1,""\d{4}"")),VALUE(REGEXEXTRACT(N$1,""T(\d+)"")),1),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O67" s="86">
        <f>IFERROR(__xludf.DUMMYFUNCTION("LET(
  monthStart,DATE(VALUE(REGEXEXTRACT(O$1,""\d{4}"")),VALUE(REGEXEXTRACT(O$1,""T(\d+)"")),1),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P67" s="86">
        <f>IFERROR(__xludf.DUMMYFUNCTION("LET(
  monthStart,DATE(VALUE(REGEXEXTRACT(P$1,""\d{4}"")),VALUE(REGEXEXTRACT(P$1,""T(\d+)"")),1),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Q67" s="86">
        <f>IFERROR(__xludf.DUMMYFUNCTION("LET(
  monthStart,DATE(VALUE(REGEXEXTRACT(Q$1,""\d{4}"")),VALUE(REGEXEXTRACT(Q$1,""T(\d+)"")),1),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R67" s="86">
        <f>IFERROR(__xludf.DUMMYFUNCTION("LET(
  monthStart,DATE(VALUE(REGEXEXTRACT(R$1,""\d{4}"")),VALUE(REGEXEXTRACT(R$1,""T(\d+)"")),1),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S67" s="86">
        <f>IFERROR(__xludf.DUMMYFUNCTION("LET(
  monthStart,DATE(VALUE(REGEXEXTRACT(S$1,""\d{4}"")),VALUE(REGEXEXTRACT(S$1,""T(\d+)"")),1),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T67" s="86">
        <f>IFERROR(__xludf.DUMMYFUNCTION("LET(
  monthStart,DATE(VALUE(REGEXEXTRACT(T$1,""\d{4}"")),VALUE(REGEXEXTRACT(T$1,""T(\d+)"")),1),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U67" s="86">
        <f>IFERROR(__xludf.DUMMYFUNCTION("LET(
  monthStart,DATE(VALUE(REGEXEXTRACT(U$1,""\d{4}"")),VALUE(REGEXEXTRACT(U$1,""T(\d+)"")),1),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V67" s="86">
        <f>IFERROR(__xludf.DUMMYFUNCTION("LET(
  monthStart,DATE(VALUE(REGEXEXTRACT(V$1,""\d{4}"")),VALUE(REGEXEXTRACT(V$1,""T(\d+)"")),1),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W67" s="86">
        <f>IFERROR(__xludf.DUMMYFUNCTION("LET(
  monthStart,DATE(VALUE(REGEXEXTRACT(W$1,""\d{4}"")),VALUE(REGEXEXTRACT(W$1,""T(\d+)"")),1),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X67" s="86">
        <f>IFERROR(__xludf.DUMMYFUNCTION("LET(
  monthStart,DATE(VALUE(REGEXEXTRACT(X$1,""\d{4}"")),VALUE(REGEXEXTRACT(X$1,""T(\d+)"")),1),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Y67" s="86">
        <f>IFERROR(__xludf.DUMMYFUNCTION("LET(
  monthStart,DATE(VALUE(REGEXEXTRACT(Y$1,""\d{4}"")),VALUE(REGEXEXTRACT(Y$1,""T(\d+)"")),1),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AE67" s="67"/>
      <c r="AF67" s="67"/>
      <c r="AJ67" s="64"/>
      <c r="AK67" s="64"/>
      <c r="AO67" s="64"/>
      <c r="AP67" s="64"/>
      <c r="AT67" s="64"/>
      <c r="AX67" s="64"/>
      <c r="AY67" s="77"/>
      <c r="AZ67" s="77"/>
      <c r="BA67" s="87"/>
      <c r="BB67" s="67"/>
      <c r="BC67" s="67"/>
      <c r="BD67" s="80"/>
      <c r="BH67" s="64"/>
      <c r="BI67" s="64"/>
      <c r="BJ67" s="64"/>
      <c r="BK67" s="64"/>
      <c r="BL67" s="64"/>
      <c r="BM67" s="64"/>
      <c r="BN67" s="64"/>
    </row>
    <row r="68" ht="30.0" customHeight="1">
      <c r="A68" s="81"/>
      <c r="B68" s="82"/>
      <c r="C68" s="83"/>
      <c r="D68" s="84"/>
      <c r="E68" s="84"/>
      <c r="F68" s="85"/>
      <c r="G68" s="86">
        <f>IFERROR(__xludf.DUMMYFUNCTION("LET(
  monthStart,DATE(VALUE(REGEXEXTRACT(G$1,""\d{4}"")),VALUE(REGEXEXTRACT(G$1,""T(\d+)"")),1),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H68" s="86">
        <f>IFERROR(__xludf.DUMMYFUNCTION("LET(
  monthStart,DATE(VALUE(REGEXEXTRACT(H$1,""\d{4}"")),VALUE(REGEXEXTRACT(H$1,""T(\d+)"")),1),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I68" s="86">
        <f>IFERROR(__xludf.DUMMYFUNCTION("LET(
  monthStart,DATE(VALUE(REGEXEXTRACT(I$1,""\d{4}"")),VALUE(REGEXEXTRACT(I$1,""T(\d+)"")),1),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J68" s="86">
        <f>IFERROR(__xludf.DUMMYFUNCTION("LET(
  monthStart,DATE(VALUE(REGEXEXTRACT(J$1,""\d{4}"")),VALUE(REGEXEXTRACT(J$1,""T(\d+)"")),1),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K68" s="86">
        <f>IFERROR(__xludf.DUMMYFUNCTION("LET(
  monthStart,DATE(VALUE(REGEXEXTRACT(K$1,""\d{4}"")),VALUE(REGEXEXTRACT(K$1,""T(\d+)"")),1),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L68" s="86">
        <f>IFERROR(__xludf.DUMMYFUNCTION("LET(
  monthStart,DATE(VALUE(REGEXEXTRACT(L$1,""\d{4}"")),VALUE(REGEXEXTRACT(L$1,""T(\d+)"")),1),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M68" s="86">
        <f>IFERROR(__xludf.DUMMYFUNCTION("LET(
  monthStart,DATE(VALUE(REGEXEXTRACT(M$1,""\d{4}"")),VALUE(REGEXEXTRACT(M$1,""T(\d+)"")),1),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N68" s="86">
        <f>IFERROR(__xludf.DUMMYFUNCTION("LET(
  monthStart,DATE(VALUE(REGEXEXTRACT(N$1,""\d{4}"")),VALUE(REGEXEXTRACT(N$1,""T(\d+)"")),1),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O68" s="86">
        <f>IFERROR(__xludf.DUMMYFUNCTION("LET(
  monthStart,DATE(VALUE(REGEXEXTRACT(O$1,""\d{4}"")),VALUE(REGEXEXTRACT(O$1,""T(\d+)"")),1),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P68" s="86">
        <f>IFERROR(__xludf.DUMMYFUNCTION("LET(
  monthStart,DATE(VALUE(REGEXEXTRACT(P$1,""\d{4}"")),VALUE(REGEXEXTRACT(P$1,""T(\d+)"")),1),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Q68" s="86">
        <f>IFERROR(__xludf.DUMMYFUNCTION("LET(
  monthStart,DATE(VALUE(REGEXEXTRACT(Q$1,""\d{4}"")),VALUE(REGEXEXTRACT(Q$1,""T(\d+)"")),1),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R68" s="86">
        <f>IFERROR(__xludf.DUMMYFUNCTION("LET(
  monthStart,DATE(VALUE(REGEXEXTRACT(R$1,""\d{4}"")),VALUE(REGEXEXTRACT(R$1,""T(\d+)"")),1),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S68" s="86">
        <f>IFERROR(__xludf.DUMMYFUNCTION("LET(
  monthStart,DATE(VALUE(REGEXEXTRACT(S$1,""\d{4}"")),VALUE(REGEXEXTRACT(S$1,""T(\d+)"")),1),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T68" s="86">
        <f>IFERROR(__xludf.DUMMYFUNCTION("LET(
  monthStart,DATE(VALUE(REGEXEXTRACT(T$1,""\d{4}"")),VALUE(REGEXEXTRACT(T$1,""T(\d+)"")),1),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U68" s="86">
        <f>IFERROR(__xludf.DUMMYFUNCTION("LET(
  monthStart,DATE(VALUE(REGEXEXTRACT(U$1,""\d{4}"")),VALUE(REGEXEXTRACT(U$1,""T(\d+)"")),1),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V68" s="86">
        <f>IFERROR(__xludf.DUMMYFUNCTION("LET(
  monthStart,DATE(VALUE(REGEXEXTRACT(V$1,""\d{4}"")),VALUE(REGEXEXTRACT(V$1,""T(\d+)"")),1),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W68" s="86">
        <f>IFERROR(__xludf.DUMMYFUNCTION("LET(
  monthStart,DATE(VALUE(REGEXEXTRACT(W$1,""\d{4}"")),VALUE(REGEXEXTRACT(W$1,""T(\d+)"")),1),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X68" s="86">
        <f>IFERROR(__xludf.DUMMYFUNCTION("LET(
  monthStart,DATE(VALUE(REGEXEXTRACT(X$1,""\d{4}"")),VALUE(REGEXEXTRACT(X$1,""T(\d+)"")),1),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Y68" s="86">
        <f>IFERROR(__xludf.DUMMYFUNCTION("LET(
  monthStart,DATE(VALUE(REGEXEXTRACT(Y$1,""\d{4}"")),VALUE(REGEXEXTRACT(Y$1,""T(\d+)"")),1),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AE68" s="67"/>
      <c r="AF68" s="67"/>
      <c r="AJ68" s="64"/>
      <c r="AK68" s="64"/>
      <c r="AO68" s="64"/>
      <c r="AP68" s="64"/>
      <c r="AT68" s="64"/>
      <c r="AX68" s="64"/>
      <c r="AY68" s="77"/>
      <c r="AZ68" s="77"/>
      <c r="BA68" s="87"/>
      <c r="BB68" s="67"/>
      <c r="BC68" s="67"/>
      <c r="BD68" s="80"/>
      <c r="BH68" s="64"/>
      <c r="BI68" s="64"/>
      <c r="BJ68" s="64"/>
      <c r="BK68" s="64"/>
      <c r="BL68" s="64"/>
      <c r="BM68" s="64"/>
      <c r="BN68" s="64"/>
    </row>
    <row r="69" ht="30.0" customHeight="1">
      <c r="A69" s="81"/>
      <c r="B69" s="82"/>
      <c r="C69" s="83"/>
      <c r="D69" s="84"/>
      <c r="E69" s="84"/>
      <c r="F69" s="85"/>
      <c r="G69" s="86">
        <f>IFERROR(__xludf.DUMMYFUNCTION("LET(
  monthStart,DATE(VALUE(REGEXEXTRACT(G$1,""\d{4}"")),VALUE(REGEXEXTRACT(G$1,""T(\d+)"")),1),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H69" s="86">
        <f>IFERROR(__xludf.DUMMYFUNCTION("LET(
  monthStart,DATE(VALUE(REGEXEXTRACT(H$1,""\d{4}"")),VALUE(REGEXEXTRACT(H$1,""T(\d+)"")),1),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I69" s="86">
        <f>IFERROR(__xludf.DUMMYFUNCTION("LET(
  monthStart,DATE(VALUE(REGEXEXTRACT(I$1,""\d{4}"")),VALUE(REGEXEXTRACT(I$1,""T(\d+)"")),1),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J69" s="86">
        <f>IFERROR(__xludf.DUMMYFUNCTION("LET(
  monthStart,DATE(VALUE(REGEXEXTRACT(J$1,""\d{4}"")),VALUE(REGEXEXTRACT(J$1,""T(\d+)"")),1),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K69" s="86">
        <f>IFERROR(__xludf.DUMMYFUNCTION("LET(
  monthStart,DATE(VALUE(REGEXEXTRACT(K$1,""\d{4}"")),VALUE(REGEXEXTRACT(K$1,""T(\d+)"")),1),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L69" s="86">
        <f>IFERROR(__xludf.DUMMYFUNCTION("LET(
  monthStart,DATE(VALUE(REGEXEXTRACT(L$1,""\d{4}"")),VALUE(REGEXEXTRACT(L$1,""T(\d+)"")),1),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M69" s="86">
        <f>IFERROR(__xludf.DUMMYFUNCTION("LET(
  monthStart,DATE(VALUE(REGEXEXTRACT(M$1,""\d{4}"")),VALUE(REGEXEXTRACT(M$1,""T(\d+)"")),1),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N69" s="86">
        <f>IFERROR(__xludf.DUMMYFUNCTION("LET(
  monthStart,DATE(VALUE(REGEXEXTRACT(N$1,""\d{4}"")),VALUE(REGEXEXTRACT(N$1,""T(\d+)"")),1),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O69" s="86">
        <f>IFERROR(__xludf.DUMMYFUNCTION("LET(
  monthStart,DATE(VALUE(REGEXEXTRACT(O$1,""\d{4}"")),VALUE(REGEXEXTRACT(O$1,""T(\d+)"")),1),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P69" s="86">
        <f>IFERROR(__xludf.DUMMYFUNCTION("LET(
  monthStart,DATE(VALUE(REGEXEXTRACT(P$1,""\d{4}"")),VALUE(REGEXEXTRACT(P$1,""T(\d+)"")),1),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Q69" s="86">
        <f>IFERROR(__xludf.DUMMYFUNCTION("LET(
  monthStart,DATE(VALUE(REGEXEXTRACT(Q$1,""\d{4}"")),VALUE(REGEXEXTRACT(Q$1,""T(\d+)"")),1),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R69" s="86">
        <f>IFERROR(__xludf.DUMMYFUNCTION("LET(
  monthStart,DATE(VALUE(REGEXEXTRACT(R$1,""\d{4}"")),VALUE(REGEXEXTRACT(R$1,""T(\d+)"")),1),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S69" s="86">
        <f>IFERROR(__xludf.DUMMYFUNCTION("LET(
  monthStart,DATE(VALUE(REGEXEXTRACT(S$1,""\d{4}"")),VALUE(REGEXEXTRACT(S$1,""T(\d+)"")),1),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T69" s="86">
        <f>IFERROR(__xludf.DUMMYFUNCTION("LET(
  monthStart,DATE(VALUE(REGEXEXTRACT(T$1,""\d{4}"")),VALUE(REGEXEXTRACT(T$1,""T(\d+)"")),1),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U69" s="86">
        <f>IFERROR(__xludf.DUMMYFUNCTION("LET(
  monthStart,DATE(VALUE(REGEXEXTRACT(U$1,""\d{4}"")),VALUE(REGEXEXTRACT(U$1,""T(\d+)"")),1),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V69" s="86">
        <f>IFERROR(__xludf.DUMMYFUNCTION("LET(
  monthStart,DATE(VALUE(REGEXEXTRACT(V$1,""\d{4}"")),VALUE(REGEXEXTRACT(V$1,""T(\d+)"")),1),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W69" s="86">
        <f>IFERROR(__xludf.DUMMYFUNCTION("LET(
  monthStart,DATE(VALUE(REGEXEXTRACT(W$1,""\d{4}"")),VALUE(REGEXEXTRACT(W$1,""T(\d+)"")),1),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X69" s="86">
        <f>IFERROR(__xludf.DUMMYFUNCTION("LET(
  monthStart,DATE(VALUE(REGEXEXTRACT(X$1,""\d{4}"")),VALUE(REGEXEXTRACT(X$1,""T(\d+)"")),1),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Y69" s="86">
        <f>IFERROR(__xludf.DUMMYFUNCTION("LET(
  monthStart,DATE(VALUE(REGEXEXTRACT(Y$1,""\d{4}"")),VALUE(REGEXEXTRACT(Y$1,""T(\d+)"")),1),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AE69" s="67"/>
      <c r="AF69" s="67"/>
      <c r="AJ69" s="64"/>
      <c r="AK69" s="64"/>
      <c r="AO69" s="64"/>
      <c r="AP69" s="64"/>
      <c r="AT69" s="64"/>
      <c r="AX69" s="64"/>
      <c r="AY69" s="64"/>
      <c r="AZ69" s="77"/>
      <c r="BA69" s="87"/>
      <c r="BB69" s="67"/>
      <c r="BC69" s="67"/>
      <c r="BD69" s="80"/>
      <c r="BH69" s="64"/>
      <c r="BI69" s="64"/>
      <c r="BJ69" s="64"/>
      <c r="BK69" s="64"/>
      <c r="BL69" s="64"/>
      <c r="BM69" s="64"/>
      <c r="BN69" s="64"/>
    </row>
    <row r="70" ht="30.0" customHeight="1">
      <c r="A70" s="81"/>
      <c r="B70" s="82"/>
      <c r="C70" s="83"/>
      <c r="D70" s="84"/>
      <c r="E70" s="84"/>
      <c r="F70" s="85"/>
      <c r="G70" s="86">
        <f>IFERROR(__xludf.DUMMYFUNCTION("LET(
  monthStart,DATE(VALUE(REGEXEXTRACT(G$1,""\d{4}"")),VALUE(REGEXEXTRACT(G$1,""T(\d+)"")),1),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H70" s="86">
        <f>IFERROR(__xludf.DUMMYFUNCTION("LET(
  monthStart,DATE(VALUE(REGEXEXTRACT(H$1,""\d{4}"")),VALUE(REGEXEXTRACT(H$1,""T(\d+)"")),1),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I70" s="86">
        <f>IFERROR(__xludf.DUMMYFUNCTION("LET(
  monthStart,DATE(VALUE(REGEXEXTRACT(I$1,""\d{4}"")),VALUE(REGEXEXTRACT(I$1,""T(\d+)"")),1),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J70" s="86">
        <f>IFERROR(__xludf.DUMMYFUNCTION("LET(
  monthStart,DATE(VALUE(REGEXEXTRACT(J$1,""\d{4}"")),VALUE(REGEXEXTRACT(J$1,""T(\d+)"")),1),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K70" s="86">
        <f>IFERROR(__xludf.DUMMYFUNCTION("LET(
  monthStart,DATE(VALUE(REGEXEXTRACT(K$1,""\d{4}"")),VALUE(REGEXEXTRACT(K$1,""T(\d+)"")),1),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L70" s="86">
        <f>IFERROR(__xludf.DUMMYFUNCTION("LET(
  monthStart,DATE(VALUE(REGEXEXTRACT(L$1,""\d{4}"")),VALUE(REGEXEXTRACT(L$1,""T(\d+)"")),1),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M70" s="86">
        <f>IFERROR(__xludf.DUMMYFUNCTION("LET(
  monthStart,DATE(VALUE(REGEXEXTRACT(M$1,""\d{4}"")),VALUE(REGEXEXTRACT(M$1,""T(\d+)"")),1),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N70" s="86">
        <f>IFERROR(__xludf.DUMMYFUNCTION("LET(
  monthStart,DATE(VALUE(REGEXEXTRACT(N$1,""\d{4}"")),VALUE(REGEXEXTRACT(N$1,""T(\d+)"")),1),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O70" s="86">
        <f>IFERROR(__xludf.DUMMYFUNCTION("LET(
  monthStart,DATE(VALUE(REGEXEXTRACT(O$1,""\d{4}"")),VALUE(REGEXEXTRACT(O$1,""T(\d+)"")),1),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P70" s="86">
        <f>IFERROR(__xludf.DUMMYFUNCTION("LET(
  monthStart,DATE(VALUE(REGEXEXTRACT(P$1,""\d{4}"")),VALUE(REGEXEXTRACT(P$1,""T(\d+)"")),1),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Q70" s="86">
        <f>IFERROR(__xludf.DUMMYFUNCTION("LET(
  monthStart,DATE(VALUE(REGEXEXTRACT(Q$1,""\d{4}"")),VALUE(REGEXEXTRACT(Q$1,""T(\d+)"")),1),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R70" s="86">
        <f>IFERROR(__xludf.DUMMYFUNCTION("LET(
  monthStart,DATE(VALUE(REGEXEXTRACT(R$1,""\d{4}"")),VALUE(REGEXEXTRACT(R$1,""T(\d+)"")),1),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S70" s="86">
        <f>IFERROR(__xludf.DUMMYFUNCTION("LET(
  monthStart,DATE(VALUE(REGEXEXTRACT(S$1,""\d{4}"")),VALUE(REGEXEXTRACT(S$1,""T(\d+)"")),1),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T70" s="86">
        <f>IFERROR(__xludf.DUMMYFUNCTION("LET(
  monthStart,DATE(VALUE(REGEXEXTRACT(T$1,""\d{4}"")),VALUE(REGEXEXTRACT(T$1,""T(\d+)"")),1),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U70" s="86">
        <f>IFERROR(__xludf.DUMMYFUNCTION("LET(
  monthStart,DATE(VALUE(REGEXEXTRACT(U$1,""\d{4}"")),VALUE(REGEXEXTRACT(U$1,""T(\d+)"")),1),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V70" s="86">
        <f>IFERROR(__xludf.DUMMYFUNCTION("LET(
  monthStart,DATE(VALUE(REGEXEXTRACT(V$1,""\d{4}"")),VALUE(REGEXEXTRACT(V$1,""T(\d+)"")),1),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W70" s="86">
        <f>IFERROR(__xludf.DUMMYFUNCTION("LET(
  monthStart,DATE(VALUE(REGEXEXTRACT(W$1,""\d{4}"")),VALUE(REGEXEXTRACT(W$1,""T(\d+)"")),1),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X70" s="86">
        <f>IFERROR(__xludf.DUMMYFUNCTION("LET(
  monthStart,DATE(VALUE(REGEXEXTRACT(X$1,""\d{4}"")),VALUE(REGEXEXTRACT(X$1,""T(\d+)"")),1),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Y70" s="86">
        <f>IFERROR(__xludf.DUMMYFUNCTION("LET(
  monthStart,DATE(VALUE(REGEXEXTRACT(Y$1,""\d{4}"")),VALUE(REGEXEXTRACT(Y$1,""T(\d+)"")),1),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AE70" s="67"/>
      <c r="AF70" s="67"/>
      <c r="AJ70" s="64"/>
      <c r="AK70" s="64"/>
      <c r="AO70" s="64"/>
      <c r="AP70" s="64"/>
      <c r="AT70" s="64"/>
      <c r="AX70" s="64"/>
      <c r="AY70" s="64"/>
      <c r="AZ70" s="77"/>
      <c r="BA70" s="87"/>
      <c r="BB70" s="67"/>
      <c r="BC70" s="67"/>
      <c r="BD70" s="80"/>
      <c r="BH70" s="64"/>
      <c r="BI70" s="64"/>
      <c r="BJ70" s="64"/>
      <c r="BK70" s="64"/>
      <c r="BL70" s="64"/>
      <c r="BM70" s="64"/>
      <c r="BN70" s="64"/>
    </row>
    <row r="71" ht="30.0" customHeight="1">
      <c r="A71" s="81"/>
      <c r="B71" s="82"/>
      <c r="C71" s="83"/>
      <c r="D71" s="84"/>
      <c r="E71" s="84"/>
      <c r="F71" s="85"/>
      <c r="G71" s="86">
        <f>IFERROR(__xludf.DUMMYFUNCTION("LET(
  monthStart,DATE(VALUE(REGEXEXTRACT(G$1,""\d{4}"")),VALUE(REGEXEXTRACT(G$1,""T(\d+)"")),1),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H71" s="86">
        <f>IFERROR(__xludf.DUMMYFUNCTION("LET(
  monthStart,DATE(VALUE(REGEXEXTRACT(H$1,""\d{4}"")),VALUE(REGEXEXTRACT(H$1,""T(\d+)"")),1),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I71" s="86">
        <f>IFERROR(__xludf.DUMMYFUNCTION("LET(
  monthStart,DATE(VALUE(REGEXEXTRACT(I$1,""\d{4}"")),VALUE(REGEXEXTRACT(I$1,""T(\d+)"")),1),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J71" s="86">
        <f>IFERROR(__xludf.DUMMYFUNCTION("LET(
  monthStart,DATE(VALUE(REGEXEXTRACT(J$1,""\d{4}"")),VALUE(REGEXEXTRACT(J$1,""T(\d+)"")),1),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K71" s="86">
        <f>IFERROR(__xludf.DUMMYFUNCTION("LET(
  monthStart,DATE(VALUE(REGEXEXTRACT(K$1,""\d{4}"")),VALUE(REGEXEXTRACT(K$1,""T(\d+)"")),1),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L71" s="86">
        <f>IFERROR(__xludf.DUMMYFUNCTION("LET(
  monthStart,DATE(VALUE(REGEXEXTRACT(L$1,""\d{4}"")),VALUE(REGEXEXTRACT(L$1,""T(\d+)"")),1),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M71" s="86">
        <f>IFERROR(__xludf.DUMMYFUNCTION("LET(
  monthStart,DATE(VALUE(REGEXEXTRACT(M$1,""\d{4}"")),VALUE(REGEXEXTRACT(M$1,""T(\d+)"")),1),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N71" s="86">
        <f>IFERROR(__xludf.DUMMYFUNCTION("LET(
  monthStart,DATE(VALUE(REGEXEXTRACT(N$1,""\d{4}"")),VALUE(REGEXEXTRACT(N$1,""T(\d+)"")),1),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O71" s="86">
        <f>IFERROR(__xludf.DUMMYFUNCTION("LET(
  monthStart,DATE(VALUE(REGEXEXTRACT(O$1,""\d{4}"")),VALUE(REGEXEXTRACT(O$1,""T(\d+)"")),1),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P71" s="86">
        <f>IFERROR(__xludf.DUMMYFUNCTION("LET(
  monthStart,DATE(VALUE(REGEXEXTRACT(P$1,""\d{4}"")),VALUE(REGEXEXTRACT(P$1,""T(\d+)"")),1),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Q71" s="86">
        <f>IFERROR(__xludf.DUMMYFUNCTION("LET(
  monthStart,DATE(VALUE(REGEXEXTRACT(Q$1,""\d{4}"")),VALUE(REGEXEXTRACT(Q$1,""T(\d+)"")),1),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R71" s="86">
        <f>IFERROR(__xludf.DUMMYFUNCTION("LET(
  monthStart,DATE(VALUE(REGEXEXTRACT(R$1,""\d{4}"")),VALUE(REGEXEXTRACT(R$1,""T(\d+)"")),1),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S71" s="86">
        <f>IFERROR(__xludf.DUMMYFUNCTION("LET(
  monthStart,DATE(VALUE(REGEXEXTRACT(S$1,""\d{4}"")),VALUE(REGEXEXTRACT(S$1,""T(\d+)"")),1),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T71" s="86">
        <f>IFERROR(__xludf.DUMMYFUNCTION("LET(
  monthStart,DATE(VALUE(REGEXEXTRACT(T$1,""\d{4}"")),VALUE(REGEXEXTRACT(T$1,""T(\d+)"")),1),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U71" s="86">
        <f>IFERROR(__xludf.DUMMYFUNCTION("LET(
  monthStart,DATE(VALUE(REGEXEXTRACT(U$1,""\d{4}"")),VALUE(REGEXEXTRACT(U$1,""T(\d+)"")),1),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V71" s="86">
        <f>IFERROR(__xludf.DUMMYFUNCTION("LET(
  monthStart,DATE(VALUE(REGEXEXTRACT(V$1,""\d{4}"")),VALUE(REGEXEXTRACT(V$1,""T(\d+)"")),1),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W71" s="86">
        <f>IFERROR(__xludf.DUMMYFUNCTION("LET(
  monthStart,DATE(VALUE(REGEXEXTRACT(W$1,""\d{4}"")),VALUE(REGEXEXTRACT(W$1,""T(\d+)"")),1),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X71" s="86">
        <f>IFERROR(__xludf.DUMMYFUNCTION("LET(
  monthStart,DATE(VALUE(REGEXEXTRACT(X$1,""\d{4}"")),VALUE(REGEXEXTRACT(X$1,""T(\d+)"")),1),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Y71" s="86">
        <f>IFERROR(__xludf.DUMMYFUNCTION("LET(
  monthStart,DATE(VALUE(REGEXEXTRACT(Y$1,""\d{4}"")),VALUE(REGEXEXTRACT(Y$1,""T(\d+)"")),1),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AE71" s="67"/>
      <c r="AF71" s="67"/>
      <c r="AJ71" s="64"/>
      <c r="AK71" s="64"/>
      <c r="AO71" s="64"/>
      <c r="AP71" s="64"/>
      <c r="AT71" s="64"/>
      <c r="AX71" s="64"/>
      <c r="AY71" s="77"/>
      <c r="BD71" s="76"/>
      <c r="BH71" s="64"/>
      <c r="BI71" s="64"/>
      <c r="BJ71" s="64"/>
      <c r="BK71" s="64"/>
      <c r="BL71" s="64"/>
      <c r="BM71" s="64"/>
      <c r="BN71" s="64"/>
    </row>
    <row r="72" ht="30.0" customHeight="1">
      <c r="A72" s="81"/>
      <c r="B72" s="82"/>
      <c r="C72" s="83"/>
      <c r="D72" s="84"/>
      <c r="E72" s="84"/>
      <c r="F72" s="85"/>
      <c r="G72" s="86">
        <f>IFERROR(__xludf.DUMMYFUNCTION("LET(
  monthStart,DATE(VALUE(REGEXEXTRACT(G$1,""\d{4}"")),VALUE(REGEXEXTRACT(G$1,""T(\d+)"")),1),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H72" s="86">
        <f>IFERROR(__xludf.DUMMYFUNCTION("LET(
  monthStart,DATE(VALUE(REGEXEXTRACT(H$1,""\d{4}"")),VALUE(REGEXEXTRACT(H$1,""T(\d+)"")),1),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I72" s="86">
        <f>IFERROR(__xludf.DUMMYFUNCTION("LET(
  monthStart,DATE(VALUE(REGEXEXTRACT(I$1,""\d{4}"")),VALUE(REGEXEXTRACT(I$1,""T(\d+)"")),1),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J72" s="86">
        <f>IFERROR(__xludf.DUMMYFUNCTION("LET(
  monthStart,DATE(VALUE(REGEXEXTRACT(J$1,""\d{4}"")),VALUE(REGEXEXTRACT(J$1,""T(\d+)"")),1),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K72" s="86">
        <f>IFERROR(__xludf.DUMMYFUNCTION("LET(
  monthStart,DATE(VALUE(REGEXEXTRACT(K$1,""\d{4}"")),VALUE(REGEXEXTRACT(K$1,""T(\d+)"")),1),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L72" s="86">
        <f>IFERROR(__xludf.DUMMYFUNCTION("LET(
  monthStart,DATE(VALUE(REGEXEXTRACT(L$1,""\d{4}"")),VALUE(REGEXEXTRACT(L$1,""T(\d+)"")),1),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M72" s="86">
        <f>IFERROR(__xludf.DUMMYFUNCTION("LET(
  monthStart,DATE(VALUE(REGEXEXTRACT(M$1,""\d{4}"")),VALUE(REGEXEXTRACT(M$1,""T(\d+)"")),1),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N72" s="86">
        <f>IFERROR(__xludf.DUMMYFUNCTION("LET(
  monthStart,DATE(VALUE(REGEXEXTRACT(N$1,""\d{4}"")),VALUE(REGEXEXTRACT(N$1,""T(\d+)"")),1),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O72" s="86">
        <f>IFERROR(__xludf.DUMMYFUNCTION("LET(
  monthStart,DATE(VALUE(REGEXEXTRACT(O$1,""\d{4}"")),VALUE(REGEXEXTRACT(O$1,""T(\d+)"")),1),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P72" s="86">
        <f>IFERROR(__xludf.DUMMYFUNCTION("LET(
  monthStart,DATE(VALUE(REGEXEXTRACT(P$1,""\d{4}"")),VALUE(REGEXEXTRACT(P$1,""T(\d+)"")),1),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Q72" s="86">
        <f>IFERROR(__xludf.DUMMYFUNCTION("LET(
  monthStart,DATE(VALUE(REGEXEXTRACT(Q$1,""\d{4}"")),VALUE(REGEXEXTRACT(Q$1,""T(\d+)"")),1),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R72" s="86">
        <f>IFERROR(__xludf.DUMMYFUNCTION("LET(
  monthStart,DATE(VALUE(REGEXEXTRACT(R$1,""\d{4}"")),VALUE(REGEXEXTRACT(R$1,""T(\d+)"")),1),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S72" s="86">
        <f>IFERROR(__xludf.DUMMYFUNCTION("LET(
  monthStart,DATE(VALUE(REGEXEXTRACT(S$1,""\d{4}"")),VALUE(REGEXEXTRACT(S$1,""T(\d+)"")),1),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T72" s="86">
        <f>IFERROR(__xludf.DUMMYFUNCTION("LET(
  monthStart,DATE(VALUE(REGEXEXTRACT(T$1,""\d{4}"")),VALUE(REGEXEXTRACT(T$1,""T(\d+)"")),1),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U72" s="86">
        <f>IFERROR(__xludf.DUMMYFUNCTION("LET(
  monthStart,DATE(VALUE(REGEXEXTRACT(U$1,""\d{4}"")),VALUE(REGEXEXTRACT(U$1,""T(\d+)"")),1),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V72" s="86">
        <f>IFERROR(__xludf.DUMMYFUNCTION("LET(
  monthStart,DATE(VALUE(REGEXEXTRACT(V$1,""\d{4}"")),VALUE(REGEXEXTRACT(V$1,""T(\d+)"")),1),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W72" s="86">
        <f>IFERROR(__xludf.DUMMYFUNCTION("LET(
  monthStart,DATE(VALUE(REGEXEXTRACT(W$1,""\d{4}"")),VALUE(REGEXEXTRACT(W$1,""T(\d+)"")),1),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X72" s="86">
        <f>IFERROR(__xludf.DUMMYFUNCTION("LET(
  monthStart,DATE(VALUE(REGEXEXTRACT(X$1,""\d{4}"")),VALUE(REGEXEXTRACT(X$1,""T(\d+)"")),1),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Y72" s="86">
        <f>IFERROR(__xludf.DUMMYFUNCTION("LET(
  monthStart,DATE(VALUE(REGEXEXTRACT(Y$1,""\d{4}"")),VALUE(REGEXEXTRACT(Y$1,""T(\d+)"")),1),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AE72" s="67"/>
      <c r="AF72" s="67"/>
      <c r="AJ72" s="64"/>
      <c r="AK72" s="64"/>
      <c r="AO72" s="64"/>
      <c r="AP72" s="64"/>
      <c r="AT72" s="64"/>
      <c r="AX72" s="64"/>
      <c r="AY72" s="77"/>
      <c r="BD72" s="76"/>
      <c r="BH72" s="64"/>
      <c r="BI72" s="64"/>
      <c r="BJ72" s="64"/>
      <c r="BK72" s="64"/>
      <c r="BL72" s="64"/>
      <c r="BM72" s="64"/>
      <c r="BN72" s="64"/>
    </row>
    <row r="73" ht="30.0" customHeight="1">
      <c r="A73" s="81"/>
      <c r="B73" s="82"/>
      <c r="C73" s="83"/>
      <c r="D73" s="84"/>
      <c r="E73" s="84"/>
      <c r="F73" s="85"/>
      <c r="G73" s="86">
        <f>IFERROR(__xludf.DUMMYFUNCTION("LET(
  monthStart,DATE(VALUE(REGEXEXTRACT(G$1,""\d{4}"")),VALUE(REGEXEXTRACT(G$1,""T(\d+)"")),1),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H73" s="86">
        <f>IFERROR(__xludf.DUMMYFUNCTION("LET(
  monthStart,DATE(VALUE(REGEXEXTRACT(H$1,""\d{4}"")),VALUE(REGEXEXTRACT(H$1,""T(\d+)"")),1),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I73" s="86">
        <f>IFERROR(__xludf.DUMMYFUNCTION("LET(
  monthStart,DATE(VALUE(REGEXEXTRACT(I$1,""\d{4}"")),VALUE(REGEXEXTRACT(I$1,""T(\d+)"")),1),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J73" s="86">
        <f>IFERROR(__xludf.DUMMYFUNCTION("LET(
  monthStart,DATE(VALUE(REGEXEXTRACT(J$1,""\d{4}"")),VALUE(REGEXEXTRACT(J$1,""T(\d+)"")),1),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K73" s="86">
        <f>IFERROR(__xludf.DUMMYFUNCTION("LET(
  monthStart,DATE(VALUE(REGEXEXTRACT(K$1,""\d{4}"")),VALUE(REGEXEXTRACT(K$1,""T(\d+)"")),1),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L73" s="86">
        <f>IFERROR(__xludf.DUMMYFUNCTION("LET(
  monthStart,DATE(VALUE(REGEXEXTRACT(L$1,""\d{4}"")),VALUE(REGEXEXTRACT(L$1,""T(\d+)"")),1),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M73" s="86">
        <f>IFERROR(__xludf.DUMMYFUNCTION("LET(
  monthStart,DATE(VALUE(REGEXEXTRACT(M$1,""\d{4}"")),VALUE(REGEXEXTRACT(M$1,""T(\d+)"")),1),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N73" s="86">
        <f>IFERROR(__xludf.DUMMYFUNCTION("LET(
  monthStart,DATE(VALUE(REGEXEXTRACT(N$1,""\d{4}"")),VALUE(REGEXEXTRACT(N$1,""T(\d+)"")),1),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O73" s="86">
        <f>IFERROR(__xludf.DUMMYFUNCTION("LET(
  monthStart,DATE(VALUE(REGEXEXTRACT(O$1,""\d{4}"")),VALUE(REGEXEXTRACT(O$1,""T(\d+)"")),1),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P73" s="86">
        <f>IFERROR(__xludf.DUMMYFUNCTION("LET(
  monthStart,DATE(VALUE(REGEXEXTRACT(P$1,""\d{4}"")),VALUE(REGEXEXTRACT(P$1,""T(\d+)"")),1),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Q73" s="86">
        <f>IFERROR(__xludf.DUMMYFUNCTION("LET(
  monthStart,DATE(VALUE(REGEXEXTRACT(Q$1,""\d{4}"")),VALUE(REGEXEXTRACT(Q$1,""T(\d+)"")),1),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R73" s="86">
        <f>IFERROR(__xludf.DUMMYFUNCTION("LET(
  monthStart,DATE(VALUE(REGEXEXTRACT(R$1,""\d{4}"")),VALUE(REGEXEXTRACT(R$1,""T(\d+)"")),1),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S73" s="86">
        <f>IFERROR(__xludf.DUMMYFUNCTION("LET(
  monthStart,DATE(VALUE(REGEXEXTRACT(S$1,""\d{4}"")),VALUE(REGEXEXTRACT(S$1,""T(\d+)"")),1),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T73" s="86">
        <f>IFERROR(__xludf.DUMMYFUNCTION("LET(
  monthStart,DATE(VALUE(REGEXEXTRACT(T$1,""\d{4}"")),VALUE(REGEXEXTRACT(T$1,""T(\d+)"")),1),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U73" s="86">
        <f>IFERROR(__xludf.DUMMYFUNCTION("LET(
  monthStart,DATE(VALUE(REGEXEXTRACT(U$1,""\d{4}"")),VALUE(REGEXEXTRACT(U$1,""T(\d+)"")),1),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V73" s="86">
        <f>IFERROR(__xludf.DUMMYFUNCTION("LET(
  monthStart,DATE(VALUE(REGEXEXTRACT(V$1,""\d{4}"")),VALUE(REGEXEXTRACT(V$1,""T(\d+)"")),1),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W73" s="86">
        <f>IFERROR(__xludf.DUMMYFUNCTION("LET(
  monthStart,DATE(VALUE(REGEXEXTRACT(W$1,""\d{4}"")),VALUE(REGEXEXTRACT(W$1,""T(\d+)"")),1),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X73" s="86">
        <f>IFERROR(__xludf.DUMMYFUNCTION("LET(
  monthStart,DATE(VALUE(REGEXEXTRACT(X$1,""\d{4}"")),VALUE(REGEXEXTRACT(X$1,""T(\d+)"")),1),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Y73" s="86">
        <f>IFERROR(__xludf.DUMMYFUNCTION("LET(
  monthStart,DATE(VALUE(REGEXEXTRACT(Y$1,""\d{4}"")),VALUE(REGEXEXTRACT(Y$1,""T(\d+)"")),1),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AE73" s="67"/>
      <c r="AF73" s="67"/>
      <c r="AJ73" s="64"/>
      <c r="AK73" s="64"/>
      <c r="AO73" s="64"/>
      <c r="AP73" s="64"/>
      <c r="AT73" s="64"/>
      <c r="AX73" s="64"/>
      <c r="AY73" s="77"/>
      <c r="BD73" s="76"/>
      <c r="BH73" s="64"/>
      <c r="BI73" s="64"/>
      <c r="BJ73" s="64"/>
      <c r="BK73" s="64"/>
      <c r="BL73" s="64"/>
      <c r="BM73" s="64"/>
      <c r="BN73" s="64"/>
    </row>
    <row r="74" ht="30.0" customHeight="1">
      <c r="A74" s="81"/>
      <c r="B74" s="82"/>
      <c r="C74" s="83"/>
      <c r="D74" s="84"/>
      <c r="E74" s="84"/>
      <c r="F74" s="85"/>
      <c r="G74" s="86">
        <f>IFERROR(__xludf.DUMMYFUNCTION("LET(
  monthStart,DATE(VALUE(REGEXEXTRACT(G$1,""\d{4}"")),VALUE(REGEXEXTRACT(G$1,""T(\d+)"")),1),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H74" s="86">
        <f>IFERROR(__xludf.DUMMYFUNCTION("LET(
  monthStart,DATE(VALUE(REGEXEXTRACT(H$1,""\d{4}"")),VALUE(REGEXEXTRACT(H$1,""T(\d+)"")),1),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I74" s="86">
        <f>IFERROR(__xludf.DUMMYFUNCTION("LET(
  monthStart,DATE(VALUE(REGEXEXTRACT(I$1,""\d{4}"")),VALUE(REGEXEXTRACT(I$1,""T(\d+)"")),1),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J74" s="86">
        <f>IFERROR(__xludf.DUMMYFUNCTION("LET(
  monthStart,DATE(VALUE(REGEXEXTRACT(J$1,""\d{4}"")),VALUE(REGEXEXTRACT(J$1,""T(\d+)"")),1),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K74" s="86">
        <f>IFERROR(__xludf.DUMMYFUNCTION("LET(
  monthStart,DATE(VALUE(REGEXEXTRACT(K$1,""\d{4}"")),VALUE(REGEXEXTRACT(K$1,""T(\d+)"")),1),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L74" s="86">
        <f>IFERROR(__xludf.DUMMYFUNCTION("LET(
  monthStart,DATE(VALUE(REGEXEXTRACT(L$1,""\d{4}"")),VALUE(REGEXEXTRACT(L$1,""T(\d+)"")),1),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M74" s="86">
        <f>IFERROR(__xludf.DUMMYFUNCTION("LET(
  monthStart,DATE(VALUE(REGEXEXTRACT(M$1,""\d{4}"")),VALUE(REGEXEXTRACT(M$1,""T(\d+)"")),1),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N74" s="86">
        <f>IFERROR(__xludf.DUMMYFUNCTION("LET(
  monthStart,DATE(VALUE(REGEXEXTRACT(N$1,""\d{4}"")),VALUE(REGEXEXTRACT(N$1,""T(\d+)"")),1),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O74" s="86">
        <f>IFERROR(__xludf.DUMMYFUNCTION("LET(
  monthStart,DATE(VALUE(REGEXEXTRACT(O$1,""\d{4}"")),VALUE(REGEXEXTRACT(O$1,""T(\d+)"")),1),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P74" s="86">
        <f>IFERROR(__xludf.DUMMYFUNCTION("LET(
  monthStart,DATE(VALUE(REGEXEXTRACT(P$1,""\d{4}"")),VALUE(REGEXEXTRACT(P$1,""T(\d+)"")),1),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Q74" s="86">
        <f>IFERROR(__xludf.DUMMYFUNCTION("LET(
  monthStart,DATE(VALUE(REGEXEXTRACT(Q$1,""\d{4}"")),VALUE(REGEXEXTRACT(Q$1,""T(\d+)"")),1),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R74" s="86">
        <f>IFERROR(__xludf.DUMMYFUNCTION("LET(
  monthStart,DATE(VALUE(REGEXEXTRACT(R$1,""\d{4}"")),VALUE(REGEXEXTRACT(R$1,""T(\d+)"")),1),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S74" s="86">
        <f>IFERROR(__xludf.DUMMYFUNCTION("LET(
  monthStart,DATE(VALUE(REGEXEXTRACT(S$1,""\d{4}"")),VALUE(REGEXEXTRACT(S$1,""T(\d+)"")),1),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T74" s="86">
        <f>IFERROR(__xludf.DUMMYFUNCTION("LET(
  monthStart,DATE(VALUE(REGEXEXTRACT(T$1,""\d{4}"")),VALUE(REGEXEXTRACT(T$1,""T(\d+)"")),1),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U74" s="86">
        <f>IFERROR(__xludf.DUMMYFUNCTION("LET(
  monthStart,DATE(VALUE(REGEXEXTRACT(U$1,""\d{4}"")),VALUE(REGEXEXTRACT(U$1,""T(\d+)"")),1),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V74" s="86">
        <f>IFERROR(__xludf.DUMMYFUNCTION("LET(
  monthStart,DATE(VALUE(REGEXEXTRACT(V$1,""\d{4}"")),VALUE(REGEXEXTRACT(V$1,""T(\d+)"")),1),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W74" s="86">
        <f>IFERROR(__xludf.DUMMYFUNCTION("LET(
  monthStart,DATE(VALUE(REGEXEXTRACT(W$1,""\d{4}"")),VALUE(REGEXEXTRACT(W$1,""T(\d+)"")),1),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X74" s="86">
        <f>IFERROR(__xludf.DUMMYFUNCTION("LET(
  monthStart,DATE(VALUE(REGEXEXTRACT(X$1,""\d{4}"")),VALUE(REGEXEXTRACT(X$1,""T(\d+)"")),1),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Y74" s="86">
        <f>IFERROR(__xludf.DUMMYFUNCTION("LET(
  monthStart,DATE(VALUE(REGEXEXTRACT(Y$1,""\d{4}"")),VALUE(REGEXEXTRACT(Y$1,""T(\d+)"")),1),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AE74" s="67"/>
      <c r="AF74" s="67"/>
      <c r="AJ74" s="64"/>
      <c r="AK74" s="64"/>
      <c r="AO74" s="64"/>
      <c r="AP74" s="64"/>
      <c r="AT74" s="64"/>
      <c r="AX74" s="64"/>
      <c r="AY74" s="77"/>
      <c r="BD74" s="76"/>
      <c r="BH74" s="64"/>
      <c r="BI74" s="64"/>
      <c r="BJ74" s="64"/>
      <c r="BK74" s="64"/>
      <c r="BL74" s="64"/>
      <c r="BM74" s="64"/>
      <c r="BN74" s="64"/>
    </row>
    <row r="75" ht="30.0" customHeight="1">
      <c r="A75" s="81"/>
      <c r="B75" s="82"/>
      <c r="C75" s="83"/>
      <c r="D75" s="84"/>
      <c r="E75" s="84"/>
      <c r="F75" s="85"/>
      <c r="G75" s="86">
        <f>IFERROR(__xludf.DUMMYFUNCTION("LET(
  monthStart,DATE(VALUE(REGEXEXTRACT(G$1,""\d{4}"")),VALUE(REGEXEXTRACT(G$1,""T(\d+)"")),1),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H75" s="86">
        <f>IFERROR(__xludf.DUMMYFUNCTION("LET(
  monthStart,DATE(VALUE(REGEXEXTRACT(H$1,""\d{4}"")),VALUE(REGEXEXTRACT(H$1,""T(\d+)"")),1),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I75" s="86">
        <f>IFERROR(__xludf.DUMMYFUNCTION("LET(
  monthStart,DATE(VALUE(REGEXEXTRACT(I$1,""\d{4}"")),VALUE(REGEXEXTRACT(I$1,""T(\d+)"")),1),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J75" s="86">
        <f>IFERROR(__xludf.DUMMYFUNCTION("LET(
  monthStart,DATE(VALUE(REGEXEXTRACT(J$1,""\d{4}"")),VALUE(REGEXEXTRACT(J$1,""T(\d+)"")),1),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K75" s="86">
        <f>IFERROR(__xludf.DUMMYFUNCTION("LET(
  monthStart,DATE(VALUE(REGEXEXTRACT(K$1,""\d{4}"")),VALUE(REGEXEXTRACT(K$1,""T(\d+)"")),1),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L75" s="86">
        <f>IFERROR(__xludf.DUMMYFUNCTION("LET(
  monthStart,DATE(VALUE(REGEXEXTRACT(L$1,""\d{4}"")),VALUE(REGEXEXTRACT(L$1,""T(\d+)"")),1),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M75" s="86">
        <f>IFERROR(__xludf.DUMMYFUNCTION("LET(
  monthStart,DATE(VALUE(REGEXEXTRACT(M$1,""\d{4}"")),VALUE(REGEXEXTRACT(M$1,""T(\d+)"")),1),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N75" s="86">
        <f>IFERROR(__xludf.DUMMYFUNCTION("LET(
  monthStart,DATE(VALUE(REGEXEXTRACT(N$1,""\d{4}"")),VALUE(REGEXEXTRACT(N$1,""T(\d+)"")),1),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O75" s="86">
        <f>IFERROR(__xludf.DUMMYFUNCTION("LET(
  monthStart,DATE(VALUE(REGEXEXTRACT(O$1,""\d{4}"")),VALUE(REGEXEXTRACT(O$1,""T(\d+)"")),1),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P75" s="86">
        <f>IFERROR(__xludf.DUMMYFUNCTION("LET(
  monthStart,DATE(VALUE(REGEXEXTRACT(P$1,""\d{4}"")),VALUE(REGEXEXTRACT(P$1,""T(\d+)"")),1),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Q75" s="86">
        <f>IFERROR(__xludf.DUMMYFUNCTION("LET(
  monthStart,DATE(VALUE(REGEXEXTRACT(Q$1,""\d{4}"")),VALUE(REGEXEXTRACT(Q$1,""T(\d+)"")),1),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R75" s="86">
        <f>IFERROR(__xludf.DUMMYFUNCTION("LET(
  monthStart,DATE(VALUE(REGEXEXTRACT(R$1,""\d{4}"")),VALUE(REGEXEXTRACT(R$1,""T(\d+)"")),1),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S75" s="86">
        <f>IFERROR(__xludf.DUMMYFUNCTION("LET(
  monthStart,DATE(VALUE(REGEXEXTRACT(S$1,""\d{4}"")),VALUE(REGEXEXTRACT(S$1,""T(\d+)"")),1),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T75" s="86">
        <f>IFERROR(__xludf.DUMMYFUNCTION("LET(
  monthStart,DATE(VALUE(REGEXEXTRACT(T$1,""\d{4}"")),VALUE(REGEXEXTRACT(T$1,""T(\d+)"")),1),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U75" s="86">
        <f>IFERROR(__xludf.DUMMYFUNCTION("LET(
  monthStart,DATE(VALUE(REGEXEXTRACT(U$1,""\d{4}"")),VALUE(REGEXEXTRACT(U$1,""T(\d+)"")),1),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V75" s="86">
        <f>IFERROR(__xludf.DUMMYFUNCTION("LET(
  monthStart,DATE(VALUE(REGEXEXTRACT(V$1,""\d{4}"")),VALUE(REGEXEXTRACT(V$1,""T(\d+)"")),1),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W75" s="86">
        <f>IFERROR(__xludf.DUMMYFUNCTION("LET(
  monthStart,DATE(VALUE(REGEXEXTRACT(W$1,""\d{4}"")),VALUE(REGEXEXTRACT(W$1,""T(\d+)"")),1),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X75" s="86">
        <f>IFERROR(__xludf.DUMMYFUNCTION("LET(
  monthStart,DATE(VALUE(REGEXEXTRACT(X$1,""\d{4}"")),VALUE(REGEXEXTRACT(X$1,""T(\d+)"")),1),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Y75" s="86">
        <f>IFERROR(__xludf.DUMMYFUNCTION("LET(
  monthStart,DATE(VALUE(REGEXEXTRACT(Y$1,""\d{4}"")),VALUE(REGEXEXTRACT(Y$1,""T(\d+)"")),1),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AE75" s="67"/>
      <c r="AF75" s="67"/>
      <c r="AJ75" s="64"/>
      <c r="AK75" s="64"/>
      <c r="AO75" s="64"/>
      <c r="AP75" s="64"/>
      <c r="AT75" s="64"/>
      <c r="AX75" s="64"/>
      <c r="AY75" s="77"/>
      <c r="BD75" s="76"/>
      <c r="BH75" s="64"/>
      <c r="BI75" s="64"/>
      <c r="BJ75" s="64"/>
      <c r="BK75" s="64"/>
      <c r="BL75" s="64"/>
      <c r="BM75" s="64"/>
      <c r="BN75" s="64"/>
    </row>
    <row r="76" ht="30.0" customHeight="1">
      <c r="A76" s="81"/>
      <c r="B76" s="82"/>
      <c r="C76" s="83"/>
      <c r="D76" s="84"/>
      <c r="E76" s="84"/>
      <c r="F76" s="85"/>
      <c r="G76" s="86">
        <f>IFERROR(__xludf.DUMMYFUNCTION("LET(
  monthStart,DATE(VALUE(REGEXEXTRACT(G$1,""\d{4}"")),VALUE(REGEXEXTRACT(G$1,""T(\d+)"")),1),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H76" s="86">
        <f>IFERROR(__xludf.DUMMYFUNCTION("LET(
  monthStart,DATE(VALUE(REGEXEXTRACT(H$1,""\d{4}"")),VALUE(REGEXEXTRACT(H$1,""T(\d+)"")),1),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I76" s="86">
        <f>IFERROR(__xludf.DUMMYFUNCTION("LET(
  monthStart,DATE(VALUE(REGEXEXTRACT(I$1,""\d{4}"")),VALUE(REGEXEXTRACT(I$1,""T(\d+)"")),1),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J76" s="86">
        <f>IFERROR(__xludf.DUMMYFUNCTION("LET(
  monthStart,DATE(VALUE(REGEXEXTRACT(J$1,""\d{4}"")),VALUE(REGEXEXTRACT(J$1,""T(\d+)"")),1),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K76" s="86">
        <f>IFERROR(__xludf.DUMMYFUNCTION("LET(
  monthStart,DATE(VALUE(REGEXEXTRACT(K$1,""\d{4}"")),VALUE(REGEXEXTRACT(K$1,""T(\d+)"")),1),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L76" s="86">
        <f>IFERROR(__xludf.DUMMYFUNCTION("LET(
  monthStart,DATE(VALUE(REGEXEXTRACT(L$1,""\d{4}"")),VALUE(REGEXEXTRACT(L$1,""T(\d+)"")),1),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M76" s="86">
        <f>IFERROR(__xludf.DUMMYFUNCTION("LET(
  monthStart,DATE(VALUE(REGEXEXTRACT(M$1,""\d{4}"")),VALUE(REGEXEXTRACT(M$1,""T(\d+)"")),1),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N76" s="86">
        <f>IFERROR(__xludf.DUMMYFUNCTION("LET(
  monthStart,DATE(VALUE(REGEXEXTRACT(N$1,""\d{4}"")),VALUE(REGEXEXTRACT(N$1,""T(\d+)"")),1),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O76" s="86">
        <f>IFERROR(__xludf.DUMMYFUNCTION("LET(
  monthStart,DATE(VALUE(REGEXEXTRACT(O$1,""\d{4}"")),VALUE(REGEXEXTRACT(O$1,""T(\d+)"")),1),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P76" s="86">
        <f>IFERROR(__xludf.DUMMYFUNCTION("LET(
  monthStart,DATE(VALUE(REGEXEXTRACT(P$1,""\d{4}"")),VALUE(REGEXEXTRACT(P$1,""T(\d+)"")),1),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Q76" s="86">
        <f>IFERROR(__xludf.DUMMYFUNCTION("LET(
  monthStart,DATE(VALUE(REGEXEXTRACT(Q$1,""\d{4}"")),VALUE(REGEXEXTRACT(Q$1,""T(\d+)"")),1),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R76" s="86">
        <f>IFERROR(__xludf.DUMMYFUNCTION("LET(
  monthStart,DATE(VALUE(REGEXEXTRACT(R$1,""\d{4}"")),VALUE(REGEXEXTRACT(R$1,""T(\d+)"")),1),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S76" s="86">
        <f>IFERROR(__xludf.DUMMYFUNCTION("LET(
  monthStart,DATE(VALUE(REGEXEXTRACT(S$1,""\d{4}"")),VALUE(REGEXEXTRACT(S$1,""T(\d+)"")),1),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T76" s="86">
        <f>IFERROR(__xludf.DUMMYFUNCTION("LET(
  monthStart,DATE(VALUE(REGEXEXTRACT(T$1,""\d{4}"")),VALUE(REGEXEXTRACT(T$1,""T(\d+)"")),1),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U76" s="86">
        <f>IFERROR(__xludf.DUMMYFUNCTION("LET(
  monthStart,DATE(VALUE(REGEXEXTRACT(U$1,""\d{4}"")),VALUE(REGEXEXTRACT(U$1,""T(\d+)"")),1),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V76" s="86">
        <f>IFERROR(__xludf.DUMMYFUNCTION("LET(
  monthStart,DATE(VALUE(REGEXEXTRACT(V$1,""\d{4}"")),VALUE(REGEXEXTRACT(V$1,""T(\d+)"")),1),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W76" s="86">
        <f>IFERROR(__xludf.DUMMYFUNCTION("LET(
  monthStart,DATE(VALUE(REGEXEXTRACT(W$1,""\d{4}"")),VALUE(REGEXEXTRACT(W$1,""T(\d+)"")),1),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X76" s="86">
        <f>IFERROR(__xludf.DUMMYFUNCTION("LET(
  monthStart,DATE(VALUE(REGEXEXTRACT(X$1,""\d{4}"")),VALUE(REGEXEXTRACT(X$1,""T(\d+)"")),1),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Y76" s="86">
        <f>IFERROR(__xludf.DUMMYFUNCTION("LET(
  monthStart,DATE(VALUE(REGEXEXTRACT(Y$1,""\d{4}"")),VALUE(REGEXEXTRACT(Y$1,""T(\d+)"")),1),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AE76" s="67"/>
      <c r="AF76" s="67"/>
      <c r="AJ76" s="64"/>
      <c r="AK76" s="64"/>
      <c r="AO76" s="64"/>
      <c r="AP76" s="64"/>
      <c r="AT76" s="64"/>
      <c r="AX76" s="64"/>
      <c r="AY76" s="77"/>
      <c r="BD76" s="76"/>
      <c r="BH76" s="64"/>
      <c r="BI76" s="64"/>
      <c r="BJ76" s="64"/>
      <c r="BK76" s="64"/>
      <c r="BL76" s="64"/>
      <c r="BM76" s="64"/>
      <c r="BN76" s="64"/>
    </row>
    <row r="77" ht="30.0" customHeight="1">
      <c r="A77" s="81"/>
      <c r="B77" s="82"/>
      <c r="C77" s="83"/>
      <c r="D77" s="84"/>
      <c r="E77" s="84"/>
      <c r="F77" s="85"/>
      <c r="G77" s="86"/>
      <c r="H77" s="86"/>
      <c r="I77" s="86"/>
      <c r="J77" s="86"/>
      <c r="K77" s="86"/>
      <c r="L77" s="86"/>
      <c r="M77" s="86"/>
      <c r="N77" s="86"/>
      <c r="O77" s="86"/>
      <c r="P77" s="86"/>
      <c r="Q77" s="86"/>
      <c r="R77" s="86"/>
      <c r="S77" s="86"/>
      <c r="T77" s="86"/>
      <c r="U77" s="86"/>
      <c r="V77" s="86"/>
      <c r="W77" s="86"/>
      <c r="X77" s="86"/>
      <c r="Y77" s="86"/>
      <c r="AE77" s="75"/>
      <c r="AF77" s="75"/>
      <c r="AJ77" s="64"/>
      <c r="AK77" s="64"/>
      <c r="AO77" s="64"/>
      <c r="AP77" s="64"/>
      <c r="AT77" s="64"/>
      <c r="AX77" s="64"/>
      <c r="AY77" s="77"/>
      <c r="AZ77" s="64"/>
      <c r="BA77" s="67"/>
      <c r="BB77" s="67"/>
      <c r="BC77" s="67"/>
      <c r="BD77" s="66"/>
      <c r="BH77" s="64"/>
      <c r="BI77" s="64"/>
      <c r="BJ77" s="64"/>
      <c r="BK77" s="64"/>
      <c r="BL77" s="64"/>
      <c r="BM77" s="64"/>
      <c r="BN77" s="64"/>
    </row>
    <row r="78" ht="30.0" customHeight="1">
      <c r="A78" s="81"/>
      <c r="B78" s="82"/>
      <c r="C78" s="83"/>
      <c r="D78" s="84"/>
      <c r="E78" s="84"/>
      <c r="F78" s="85"/>
      <c r="G78" s="86">
        <f>IFERROR(__xludf.DUMMYFUNCTION("LET(
  monthStart,DATE(VALUE(REGEXEXTRACT(G$1,""\d{4}"")),VALUE(REGEXEXTRACT(G$1,""T(\d+)"")),1),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H78" s="86">
        <f>IFERROR(__xludf.DUMMYFUNCTION("LET(
  monthStart,DATE(VALUE(REGEXEXTRACT(H$1,""\d{4}"")),VALUE(REGEXEXTRACT(H$1,""T(\d+)"")),1),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I78" s="86">
        <f>IFERROR(__xludf.DUMMYFUNCTION("LET(
  monthStart,DATE(VALUE(REGEXEXTRACT(I$1,""\d{4}"")),VALUE(REGEXEXTRACT(I$1,""T(\d+)"")),1),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J78" s="86">
        <f>IFERROR(__xludf.DUMMYFUNCTION("LET(
  monthStart,DATE(VALUE(REGEXEXTRACT(J$1,""\d{4}"")),VALUE(REGEXEXTRACT(J$1,""T(\d+)"")),1),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K78" s="86">
        <f>IFERROR(__xludf.DUMMYFUNCTION("LET(
  monthStart,DATE(VALUE(REGEXEXTRACT(K$1,""\d{4}"")),VALUE(REGEXEXTRACT(K$1,""T(\d+)"")),1),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L78" s="86">
        <f>IFERROR(__xludf.DUMMYFUNCTION("LET(
  monthStart,DATE(VALUE(REGEXEXTRACT(L$1,""\d{4}"")),VALUE(REGEXEXTRACT(L$1,""T(\d+)"")),1),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M78" s="86">
        <f>IFERROR(__xludf.DUMMYFUNCTION("LET(
  monthStart,DATE(VALUE(REGEXEXTRACT(M$1,""\d{4}"")),VALUE(REGEXEXTRACT(M$1,""T(\d+)"")),1),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N78" s="86">
        <f>IFERROR(__xludf.DUMMYFUNCTION("LET(
  monthStart,DATE(VALUE(REGEXEXTRACT(N$1,""\d{4}"")),VALUE(REGEXEXTRACT(N$1,""T(\d+)"")),1),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O78" s="86">
        <f>IFERROR(__xludf.DUMMYFUNCTION("LET(
  monthStart,DATE(VALUE(REGEXEXTRACT(O$1,""\d{4}"")),VALUE(REGEXEXTRACT(O$1,""T(\d+)"")),1),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P78" s="86">
        <f>IFERROR(__xludf.DUMMYFUNCTION("LET(
  monthStart,DATE(VALUE(REGEXEXTRACT(P$1,""\d{4}"")),VALUE(REGEXEXTRACT(P$1,""T(\d+)"")),1),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Q78" s="86">
        <f>IFERROR(__xludf.DUMMYFUNCTION("LET(
  monthStart,DATE(VALUE(REGEXEXTRACT(Q$1,""\d{4}"")),VALUE(REGEXEXTRACT(Q$1,""T(\d+)"")),1),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R78" s="86">
        <f>IFERROR(__xludf.DUMMYFUNCTION("LET(
  monthStart,DATE(VALUE(REGEXEXTRACT(R$1,""\d{4}"")),VALUE(REGEXEXTRACT(R$1,""T(\d+)"")),1),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S78" s="86">
        <f>IFERROR(__xludf.DUMMYFUNCTION("LET(
  monthStart,DATE(VALUE(REGEXEXTRACT(S$1,""\d{4}"")),VALUE(REGEXEXTRACT(S$1,""T(\d+)"")),1),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T78" s="86">
        <f>IFERROR(__xludf.DUMMYFUNCTION("LET(
  monthStart,DATE(VALUE(REGEXEXTRACT(T$1,""\d{4}"")),VALUE(REGEXEXTRACT(T$1,""T(\d+)"")),1),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U78" s="86">
        <f>IFERROR(__xludf.DUMMYFUNCTION("LET(
  monthStart,DATE(VALUE(REGEXEXTRACT(U$1,""\d{4}"")),VALUE(REGEXEXTRACT(U$1,""T(\d+)"")),1),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V78" s="86">
        <f>IFERROR(__xludf.DUMMYFUNCTION("LET(
  monthStart,DATE(VALUE(REGEXEXTRACT(V$1,""\d{4}"")),VALUE(REGEXEXTRACT(V$1,""T(\d+)"")),1),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W78" s="86">
        <f>IFERROR(__xludf.DUMMYFUNCTION("LET(
  monthStart,DATE(VALUE(REGEXEXTRACT(W$1,""\d{4}"")),VALUE(REGEXEXTRACT(W$1,""T(\d+)"")),1),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X78" s="86">
        <f>IFERROR(__xludf.DUMMYFUNCTION("LET(
  monthStart,DATE(VALUE(REGEXEXTRACT(X$1,""\d{4}"")),VALUE(REGEXEXTRACT(X$1,""T(\d+)"")),1),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Y78" s="86">
        <f>IFERROR(__xludf.DUMMYFUNCTION("LET(
  monthStart,DATE(VALUE(REGEXEXTRACT(Y$1,""\d{4}"")),VALUE(REGEXEXTRACT(Y$1,""T(\d+)"")),1),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AE78" s="75"/>
      <c r="AF78" s="75"/>
      <c r="AJ78" s="64"/>
      <c r="AK78" s="64"/>
      <c r="AO78" s="64"/>
      <c r="AP78" s="64"/>
      <c r="AT78" s="64"/>
      <c r="AX78" s="64"/>
      <c r="AY78" s="77"/>
      <c r="AZ78" s="64"/>
      <c r="BA78" s="67"/>
      <c r="BB78" s="67"/>
      <c r="BC78" s="67"/>
      <c r="BD78" s="66"/>
      <c r="BH78" s="64"/>
      <c r="BI78" s="64"/>
      <c r="BJ78" s="64"/>
      <c r="BK78" s="64"/>
      <c r="BL78" s="64"/>
      <c r="BM78" s="64"/>
      <c r="BN78" s="64"/>
    </row>
    <row r="79" ht="30.0" customHeight="1">
      <c r="A79" s="81"/>
      <c r="B79" s="82"/>
      <c r="C79" s="83"/>
      <c r="D79" s="84"/>
      <c r="E79" s="84"/>
      <c r="F79" s="85"/>
      <c r="G79" s="86">
        <f>IFERROR(__xludf.DUMMYFUNCTION("LET(
  monthStart,DATE(VALUE(REGEXEXTRACT(G$1,""\d{4}"")),VALUE(REGEXEXTRACT(G$1,""T(\d+)"")),1),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H79" s="86">
        <f>IFERROR(__xludf.DUMMYFUNCTION("LET(
  monthStart,DATE(VALUE(REGEXEXTRACT(H$1,""\d{4}"")),VALUE(REGEXEXTRACT(H$1,""T(\d+)"")),1),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I79" s="86">
        <f>IFERROR(__xludf.DUMMYFUNCTION("LET(
  monthStart,DATE(VALUE(REGEXEXTRACT(I$1,""\d{4}"")),VALUE(REGEXEXTRACT(I$1,""T(\d+)"")),1),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J79" s="86">
        <f>IFERROR(__xludf.DUMMYFUNCTION("LET(
  monthStart,DATE(VALUE(REGEXEXTRACT(J$1,""\d{4}"")),VALUE(REGEXEXTRACT(J$1,""T(\d+)"")),1),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K79" s="86">
        <f>IFERROR(__xludf.DUMMYFUNCTION("LET(
  monthStart,DATE(VALUE(REGEXEXTRACT(K$1,""\d{4}"")),VALUE(REGEXEXTRACT(K$1,""T(\d+)"")),1),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L79" s="86">
        <f>IFERROR(__xludf.DUMMYFUNCTION("LET(
  monthStart,DATE(VALUE(REGEXEXTRACT(L$1,""\d{4}"")),VALUE(REGEXEXTRACT(L$1,""T(\d+)"")),1),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M79" s="86">
        <f>IFERROR(__xludf.DUMMYFUNCTION("LET(
  monthStart,DATE(VALUE(REGEXEXTRACT(M$1,""\d{4}"")),VALUE(REGEXEXTRACT(M$1,""T(\d+)"")),1),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N79" s="86">
        <f>IFERROR(__xludf.DUMMYFUNCTION("LET(
  monthStart,DATE(VALUE(REGEXEXTRACT(N$1,""\d{4}"")),VALUE(REGEXEXTRACT(N$1,""T(\d+)"")),1),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O79" s="86">
        <f>IFERROR(__xludf.DUMMYFUNCTION("LET(
  monthStart,DATE(VALUE(REGEXEXTRACT(O$1,""\d{4}"")),VALUE(REGEXEXTRACT(O$1,""T(\d+)"")),1),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P79" s="86">
        <f>IFERROR(__xludf.DUMMYFUNCTION("LET(
  monthStart,DATE(VALUE(REGEXEXTRACT(P$1,""\d{4}"")),VALUE(REGEXEXTRACT(P$1,""T(\d+)"")),1),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Q79" s="86">
        <f>IFERROR(__xludf.DUMMYFUNCTION("LET(
  monthStart,DATE(VALUE(REGEXEXTRACT(Q$1,""\d{4}"")),VALUE(REGEXEXTRACT(Q$1,""T(\d+)"")),1),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R79" s="86">
        <f>IFERROR(__xludf.DUMMYFUNCTION("LET(
  monthStart,DATE(VALUE(REGEXEXTRACT(R$1,""\d{4}"")),VALUE(REGEXEXTRACT(R$1,""T(\d+)"")),1),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S79" s="86">
        <f>IFERROR(__xludf.DUMMYFUNCTION("LET(
  monthStart,DATE(VALUE(REGEXEXTRACT(S$1,""\d{4}"")),VALUE(REGEXEXTRACT(S$1,""T(\d+)"")),1),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T79" s="86">
        <f>IFERROR(__xludf.DUMMYFUNCTION("LET(
  monthStart,DATE(VALUE(REGEXEXTRACT(T$1,""\d{4}"")),VALUE(REGEXEXTRACT(T$1,""T(\d+)"")),1),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U79" s="86">
        <f>IFERROR(__xludf.DUMMYFUNCTION("LET(
  monthStart,DATE(VALUE(REGEXEXTRACT(U$1,""\d{4}"")),VALUE(REGEXEXTRACT(U$1,""T(\d+)"")),1),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V79" s="86">
        <f>IFERROR(__xludf.DUMMYFUNCTION("LET(
  monthStart,DATE(VALUE(REGEXEXTRACT(V$1,""\d{4}"")),VALUE(REGEXEXTRACT(V$1,""T(\d+)"")),1),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W79" s="86">
        <f>IFERROR(__xludf.DUMMYFUNCTION("LET(
  monthStart,DATE(VALUE(REGEXEXTRACT(W$1,""\d{4}"")),VALUE(REGEXEXTRACT(W$1,""T(\d+)"")),1),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X79" s="86">
        <f>IFERROR(__xludf.DUMMYFUNCTION("LET(
  monthStart,DATE(VALUE(REGEXEXTRACT(X$1,""\d{4}"")),VALUE(REGEXEXTRACT(X$1,""T(\d+)"")),1),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Y79" s="86">
        <f>IFERROR(__xludf.DUMMYFUNCTION("LET(
  monthStart,DATE(VALUE(REGEXEXTRACT(Y$1,""\d{4}"")),VALUE(REGEXEXTRACT(Y$1,""T(\d+)"")),1),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AE79" s="75"/>
      <c r="AF79" s="75"/>
      <c r="AJ79" s="64"/>
      <c r="AK79" s="64"/>
      <c r="AO79" s="64"/>
      <c r="AP79" s="64"/>
      <c r="AT79" s="64"/>
      <c r="AX79" s="64"/>
      <c r="AY79" s="77"/>
      <c r="AZ79" s="77"/>
      <c r="BA79" s="88"/>
      <c r="BB79" s="72"/>
      <c r="BC79" s="72"/>
      <c r="BD79" s="67"/>
      <c r="BH79" s="64"/>
      <c r="BI79" s="64"/>
      <c r="BJ79" s="64"/>
      <c r="BK79" s="64"/>
      <c r="BL79" s="64"/>
      <c r="BM79" s="64"/>
      <c r="BN79" s="64"/>
    </row>
    <row r="80" ht="30.0" customHeight="1">
      <c r="A80" s="81"/>
      <c r="B80" s="82"/>
      <c r="C80" s="83"/>
      <c r="D80" s="84"/>
      <c r="E80" s="84"/>
      <c r="F80" s="85"/>
      <c r="G80" s="86">
        <f>IFERROR(__xludf.DUMMYFUNCTION("LET(
  monthStart,DATE(VALUE(REGEXEXTRACT(G$1,""\d{4}"")),VALUE(REGEXEXTRACT(G$1,""T(\d+)"")),1),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H80" s="86">
        <f>IFERROR(__xludf.DUMMYFUNCTION("LET(
  monthStart,DATE(VALUE(REGEXEXTRACT(H$1,""\d{4}"")),VALUE(REGEXEXTRACT(H$1,""T(\d+)"")),1),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I80" s="86">
        <f>IFERROR(__xludf.DUMMYFUNCTION("LET(
  monthStart,DATE(VALUE(REGEXEXTRACT(I$1,""\d{4}"")),VALUE(REGEXEXTRACT(I$1,""T(\d+)"")),1),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J80" s="86">
        <f>IFERROR(__xludf.DUMMYFUNCTION("LET(
  monthStart,DATE(VALUE(REGEXEXTRACT(J$1,""\d{4}"")),VALUE(REGEXEXTRACT(J$1,""T(\d+)"")),1),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K80" s="86">
        <f>IFERROR(__xludf.DUMMYFUNCTION("LET(
  monthStart,DATE(VALUE(REGEXEXTRACT(K$1,""\d{4}"")),VALUE(REGEXEXTRACT(K$1,""T(\d+)"")),1),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L80" s="86">
        <f>IFERROR(__xludf.DUMMYFUNCTION("LET(
  monthStart,DATE(VALUE(REGEXEXTRACT(L$1,""\d{4}"")),VALUE(REGEXEXTRACT(L$1,""T(\d+)"")),1),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M80" s="86">
        <f>IFERROR(__xludf.DUMMYFUNCTION("LET(
  monthStart,DATE(VALUE(REGEXEXTRACT(M$1,""\d{4}"")),VALUE(REGEXEXTRACT(M$1,""T(\d+)"")),1),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N80" s="86">
        <f>IFERROR(__xludf.DUMMYFUNCTION("LET(
  monthStart,DATE(VALUE(REGEXEXTRACT(N$1,""\d{4}"")),VALUE(REGEXEXTRACT(N$1,""T(\d+)"")),1),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O80" s="86">
        <f>IFERROR(__xludf.DUMMYFUNCTION("LET(
  monthStart,DATE(VALUE(REGEXEXTRACT(O$1,""\d{4}"")),VALUE(REGEXEXTRACT(O$1,""T(\d+)"")),1),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P80" s="86">
        <f>IFERROR(__xludf.DUMMYFUNCTION("LET(
  monthStart,DATE(VALUE(REGEXEXTRACT(P$1,""\d{4}"")),VALUE(REGEXEXTRACT(P$1,""T(\d+)"")),1),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Q80" s="86">
        <f>IFERROR(__xludf.DUMMYFUNCTION("LET(
  monthStart,DATE(VALUE(REGEXEXTRACT(Q$1,""\d{4}"")),VALUE(REGEXEXTRACT(Q$1,""T(\d+)"")),1),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R80" s="86">
        <f>IFERROR(__xludf.DUMMYFUNCTION("LET(
  monthStart,DATE(VALUE(REGEXEXTRACT(R$1,""\d{4}"")),VALUE(REGEXEXTRACT(R$1,""T(\d+)"")),1),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S80" s="86">
        <f>IFERROR(__xludf.DUMMYFUNCTION("LET(
  monthStart,DATE(VALUE(REGEXEXTRACT(S$1,""\d{4}"")),VALUE(REGEXEXTRACT(S$1,""T(\d+)"")),1),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T80" s="86">
        <f>IFERROR(__xludf.DUMMYFUNCTION("LET(
  monthStart,DATE(VALUE(REGEXEXTRACT(T$1,""\d{4}"")),VALUE(REGEXEXTRACT(T$1,""T(\d+)"")),1),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U80" s="86">
        <f>IFERROR(__xludf.DUMMYFUNCTION("LET(
  monthStart,DATE(VALUE(REGEXEXTRACT(U$1,""\d{4}"")),VALUE(REGEXEXTRACT(U$1,""T(\d+)"")),1),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V80" s="86">
        <f>IFERROR(__xludf.DUMMYFUNCTION("LET(
  monthStart,DATE(VALUE(REGEXEXTRACT(V$1,""\d{4}"")),VALUE(REGEXEXTRACT(V$1,""T(\d+)"")),1),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W80" s="86">
        <f>IFERROR(__xludf.DUMMYFUNCTION("LET(
  monthStart,DATE(VALUE(REGEXEXTRACT(W$1,""\d{4}"")),VALUE(REGEXEXTRACT(W$1,""T(\d+)"")),1),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X80" s="86">
        <f>IFERROR(__xludf.DUMMYFUNCTION("LET(
  monthStart,DATE(VALUE(REGEXEXTRACT(X$1,""\d{4}"")),VALUE(REGEXEXTRACT(X$1,""T(\d+)"")),1),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Y80" s="86">
        <f>IFERROR(__xludf.DUMMYFUNCTION("LET(
  monthStart,DATE(VALUE(REGEXEXTRACT(Y$1,""\d{4}"")),VALUE(REGEXEXTRACT(Y$1,""T(\d+)"")),1),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AE80" s="64"/>
      <c r="AF80" s="64"/>
      <c r="AJ80" s="64"/>
      <c r="AK80" s="64"/>
      <c r="AO80" s="64"/>
      <c r="AP80" s="64"/>
      <c r="AT80" s="64"/>
      <c r="AX80" s="64"/>
      <c r="AY80" s="77"/>
      <c r="AZ80" s="77"/>
      <c r="BA80" s="88"/>
      <c r="BB80" s="72"/>
      <c r="BC80" s="72"/>
      <c r="BD80" s="67"/>
      <c r="BH80" s="64"/>
      <c r="BI80" s="64"/>
      <c r="BJ80" s="64"/>
      <c r="BK80" s="64"/>
      <c r="BL80" s="64"/>
      <c r="BM80" s="64"/>
      <c r="BN80" s="64"/>
    </row>
    <row r="81" ht="30.0" customHeight="1">
      <c r="A81" s="81"/>
      <c r="B81" s="82"/>
      <c r="C81" s="83"/>
      <c r="D81" s="84"/>
      <c r="E81" s="84"/>
      <c r="F81" s="85"/>
      <c r="G81" s="86">
        <f>IFERROR(__xludf.DUMMYFUNCTION("LET(
  monthStart,DATE(VALUE(REGEXEXTRACT(G$1,""\d{4}"")),VALUE(REGEXEXTRACT(G$1,""T(\d+)"")),1),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H81" s="86">
        <f>IFERROR(__xludf.DUMMYFUNCTION("LET(
  monthStart,DATE(VALUE(REGEXEXTRACT(H$1,""\d{4}"")),VALUE(REGEXEXTRACT(H$1,""T(\d+)"")),1),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I81" s="86">
        <f>IFERROR(__xludf.DUMMYFUNCTION("LET(
  monthStart,DATE(VALUE(REGEXEXTRACT(I$1,""\d{4}"")),VALUE(REGEXEXTRACT(I$1,""T(\d+)"")),1),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J81" s="86">
        <f>IFERROR(__xludf.DUMMYFUNCTION("LET(
  monthStart,DATE(VALUE(REGEXEXTRACT(J$1,""\d{4}"")),VALUE(REGEXEXTRACT(J$1,""T(\d+)"")),1),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K81" s="86">
        <f>IFERROR(__xludf.DUMMYFUNCTION("LET(
  monthStart,DATE(VALUE(REGEXEXTRACT(K$1,""\d{4}"")),VALUE(REGEXEXTRACT(K$1,""T(\d+)"")),1),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L81" s="86">
        <f>IFERROR(__xludf.DUMMYFUNCTION("LET(
  monthStart,DATE(VALUE(REGEXEXTRACT(L$1,""\d{4}"")),VALUE(REGEXEXTRACT(L$1,""T(\d+)"")),1),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M81" s="86">
        <f>IFERROR(__xludf.DUMMYFUNCTION("LET(
  monthStart,DATE(VALUE(REGEXEXTRACT(M$1,""\d{4}"")),VALUE(REGEXEXTRACT(M$1,""T(\d+)"")),1),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N81" s="86">
        <f>IFERROR(__xludf.DUMMYFUNCTION("LET(
  monthStart,DATE(VALUE(REGEXEXTRACT(N$1,""\d{4}"")),VALUE(REGEXEXTRACT(N$1,""T(\d+)"")),1),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O81" s="86">
        <f>IFERROR(__xludf.DUMMYFUNCTION("LET(
  monthStart,DATE(VALUE(REGEXEXTRACT(O$1,""\d{4}"")),VALUE(REGEXEXTRACT(O$1,""T(\d+)"")),1),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P81" s="86">
        <f>IFERROR(__xludf.DUMMYFUNCTION("LET(
  monthStart,DATE(VALUE(REGEXEXTRACT(P$1,""\d{4}"")),VALUE(REGEXEXTRACT(P$1,""T(\d+)"")),1),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Q81" s="86">
        <f>IFERROR(__xludf.DUMMYFUNCTION("LET(
  monthStart,DATE(VALUE(REGEXEXTRACT(Q$1,""\d{4}"")),VALUE(REGEXEXTRACT(Q$1,""T(\d+)"")),1),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R81" s="86">
        <f>IFERROR(__xludf.DUMMYFUNCTION("LET(
  monthStart,DATE(VALUE(REGEXEXTRACT(R$1,""\d{4}"")),VALUE(REGEXEXTRACT(R$1,""T(\d+)"")),1),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S81" s="86">
        <f>IFERROR(__xludf.DUMMYFUNCTION("LET(
  monthStart,DATE(VALUE(REGEXEXTRACT(S$1,""\d{4}"")),VALUE(REGEXEXTRACT(S$1,""T(\d+)"")),1),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T81" s="86">
        <f>IFERROR(__xludf.DUMMYFUNCTION("LET(
  monthStart,DATE(VALUE(REGEXEXTRACT(T$1,""\d{4}"")),VALUE(REGEXEXTRACT(T$1,""T(\d+)"")),1),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U81" s="86">
        <f>IFERROR(__xludf.DUMMYFUNCTION("LET(
  monthStart,DATE(VALUE(REGEXEXTRACT(U$1,""\d{4}"")),VALUE(REGEXEXTRACT(U$1,""T(\d+)"")),1),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V81" s="86">
        <f>IFERROR(__xludf.DUMMYFUNCTION("LET(
  monthStart,DATE(VALUE(REGEXEXTRACT(V$1,""\d{4}"")),VALUE(REGEXEXTRACT(V$1,""T(\d+)"")),1),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W81" s="86">
        <f>IFERROR(__xludf.DUMMYFUNCTION("LET(
  monthStart,DATE(VALUE(REGEXEXTRACT(W$1,""\d{4}"")),VALUE(REGEXEXTRACT(W$1,""T(\d+)"")),1),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X81" s="86">
        <f>IFERROR(__xludf.DUMMYFUNCTION("LET(
  monthStart,DATE(VALUE(REGEXEXTRACT(X$1,""\d{4}"")),VALUE(REGEXEXTRACT(X$1,""T(\d+)"")),1),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Y81" s="86">
        <f>IFERROR(__xludf.DUMMYFUNCTION("LET(
  monthStart,DATE(VALUE(REGEXEXTRACT(Y$1,""\d{4}"")),VALUE(REGEXEXTRACT(Y$1,""T(\d+)"")),1),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Z81" s="64"/>
      <c r="AA81" s="64"/>
      <c r="AB81" s="64"/>
      <c r="AC81" s="64"/>
      <c r="AD81" s="64"/>
      <c r="AE81" s="64"/>
      <c r="AF81" s="64"/>
      <c r="AJ81" s="64"/>
      <c r="AK81" s="64"/>
      <c r="AO81" s="64"/>
      <c r="AP81" s="64"/>
      <c r="AT81" s="64"/>
      <c r="AX81" s="64"/>
      <c r="AY81" s="77"/>
      <c r="AZ81" s="77"/>
      <c r="BA81" s="87"/>
      <c r="BB81" s="72"/>
      <c r="BC81" s="72"/>
      <c r="BD81" s="67"/>
      <c r="BH81" s="64"/>
      <c r="BI81" s="64"/>
      <c r="BJ81" s="64"/>
      <c r="BK81" s="64"/>
      <c r="BL81" s="64"/>
      <c r="BM81" s="64"/>
      <c r="BN81" s="64"/>
    </row>
    <row r="82" ht="30.0" customHeight="1">
      <c r="A82" s="81"/>
      <c r="B82" s="82"/>
      <c r="C82" s="83"/>
      <c r="D82" s="84"/>
      <c r="E82" s="84"/>
      <c r="F82" s="85"/>
      <c r="G82" s="86">
        <f>IFERROR(__xludf.DUMMYFUNCTION("LET(
  monthStart,DATE(VALUE(REGEXEXTRACT(G$1,""\d{4}"")),VALUE(REGEXEXTRACT(G$1,""T(\d+)"")),1),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H82" s="86">
        <f>IFERROR(__xludf.DUMMYFUNCTION("LET(
  monthStart,DATE(VALUE(REGEXEXTRACT(H$1,""\d{4}"")),VALUE(REGEXEXTRACT(H$1,""T(\d+)"")),1),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I82" s="86">
        <f>IFERROR(__xludf.DUMMYFUNCTION("LET(
  monthStart,DATE(VALUE(REGEXEXTRACT(I$1,""\d{4}"")),VALUE(REGEXEXTRACT(I$1,""T(\d+)"")),1),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J82" s="86">
        <f>IFERROR(__xludf.DUMMYFUNCTION("LET(
  monthStart,DATE(VALUE(REGEXEXTRACT(J$1,""\d{4}"")),VALUE(REGEXEXTRACT(J$1,""T(\d+)"")),1),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K82" s="86">
        <f>IFERROR(__xludf.DUMMYFUNCTION("LET(
  monthStart,DATE(VALUE(REGEXEXTRACT(K$1,""\d{4}"")),VALUE(REGEXEXTRACT(K$1,""T(\d+)"")),1),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L82" s="86">
        <f>IFERROR(__xludf.DUMMYFUNCTION("LET(
  monthStart,DATE(VALUE(REGEXEXTRACT(L$1,""\d{4}"")),VALUE(REGEXEXTRACT(L$1,""T(\d+)"")),1),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M82" s="86">
        <f>IFERROR(__xludf.DUMMYFUNCTION("LET(
  monthStart,DATE(VALUE(REGEXEXTRACT(M$1,""\d{4}"")),VALUE(REGEXEXTRACT(M$1,""T(\d+)"")),1),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N82" s="86">
        <f>IFERROR(__xludf.DUMMYFUNCTION("LET(
  monthStart,DATE(VALUE(REGEXEXTRACT(N$1,""\d{4}"")),VALUE(REGEXEXTRACT(N$1,""T(\d+)"")),1),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O82" s="86">
        <f>IFERROR(__xludf.DUMMYFUNCTION("LET(
  monthStart,DATE(VALUE(REGEXEXTRACT(O$1,""\d{4}"")),VALUE(REGEXEXTRACT(O$1,""T(\d+)"")),1),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P82" s="86">
        <f>IFERROR(__xludf.DUMMYFUNCTION("LET(
  monthStart,DATE(VALUE(REGEXEXTRACT(P$1,""\d{4}"")),VALUE(REGEXEXTRACT(P$1,""T(\d+)"")),1),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Q82" s="86">
        <f>IFERROR(__xludf.DUMMYFUNCTION("LET(
  monthStart,DATE(VALUE(REGEXEXTRACT(Q$1,""\d{4}"")),VALUE(REGEXEXTRACT(Q$1,""T(\d+)"")),1),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R82" s="86">
        <f>IFERROR(__xludf.DUMMYFUNCTION("LET(
  monthStart,DATE(VALUE(REGEXEXTRACT(R$1,""\d{4}"")),VALUE(REGEXEXTRACT(R$1,""T(\d+)"")),1),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S82" s="86">
        <f>IFERROR(__xludf.DUMMYFUNCTION("LET(
  monthStart,DATE(VALUE(REGEXEXTRACT(S$1,""\d{4}"")),VALUE(REGEXEXTRACT(S$1,""T(\d+)"")),1),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T82" s="86">
        <f>IFERROR(__xludf.DUMMYFUNCTION("LET(
  monthStart,DATE(VALUE(REGEXEXTRACT(T$1,""\d{4}"")),VALUE(REGEXEXTRACT(T$1,""T(\d+)"")),1),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U82" s="86">
        <f>IFERROR(__xludf.DUMMYFUNCTION("LET(
  monthStart,DATE(VALUE(REGEXEXTRACT(U$1,""\d{4}"")),VALUE(REGEXEXTRACT(U$1,""T(\d+)"")),1),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V82" s="86">
        <f>IFERROR(__xludf.DUMMYFUNCTION("LET(
  monthStart,DATE(VALUE(REGEXEXTRACT(V$1,""\d{4}"")),VALUE(REGEXEXTRACT(V$1,""T(\d+)"")),1),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W82" s="86">
        <f>IFERROR(__xludf.DUMMYFUNCTION("LET(
  monthStart,DATE(VALUE(REGEXEXTRACT(W$1,""\d{4}"")),VALUE(REGEXEXTRACT(W$1,""T(\d+)"")),1),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X82" s="86">
        <f>IFERROR(__xludf.DUMMYFUNCTION("LET(
  monthStart,DATE(VALUE(REGEXEXTRACT(X$1,""\d{4}"")),VALUE(REGEXEXTRACT(X$1,""T(\d+)"")),1),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Y82" s="86">
        <f>IFERROR(__xludf.DUMMYFUNCTION("LET(
  monthStart,DATE(VALUE(REGEXEXTRACT(Y$1,""\d{4}"")),VALUE(REGEXEXTRACT(Y$1,""T(\d+)"")),1),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Z82" s="64"/>
      <c r="AA82" s="64"/>
      <c r="AB82" s="64"/>
      <c r="AC82" s="64"/>
      <c r="AD82" s="64"/>
      <c r="AE82" s="64"/>
      <c r="AF82" s="64"/>
      <c r="AJ82" s="64"/>
      <c r="AK82" s="64"/>
      <c r="AO82" s="64"/>
      <c r="AP82" s="64"/>
      <c r="AT82" s="64"/>
      <c r="AX82" s="64"/>
      <c r="AY82" s="77"/>
      <c r="AZ82" s="77"/>
      <c r="BA82" s="87"/>
      <c r="BB82" s="72"/>
      <c r="BC82" s="72"/>
      <c r="BD82" s="67"/>
      <c r="BH82" s="64"/>
      <c r="BI82" s="64"/>
      <c r="BJ82" s="64"/>
      <c r="BK82" s="64"/>
      <c r="BL82" s="64"/>
      <c r="BM82" s="64"/>
      <c r="BN82" s="64"/>
    </row>
    <row r="83" ht="30.0" customHeight="1">
      <c r="A83" s="81"/>
      <c r="B83" s="82"/>
      <c r="C83" s="83"/>
      <c r="D83" s="84"/>
      <c r="E83" s="84"/>
      <c r="F83" s="85"/>
      <c r="G83" s="86">
        <f>IFERROR(__xludf.DUMMYFUNCTION("LET(
  monthStart,DATE(VALUE(REGEXEXTRACT(G$1,""\d{4}"")),VALUE(REGEXEXTRACT(G$1,""T(\d+)"")),1),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H83" s="86">
        <f>IFERROR(__xludf.DUMMYFUNCTION("LET(
  monthStart,DATE(VALUE(REGEXEXTRACT(H$1,""\d{4}"")),VALUE(REGEXEXTRACT(H$1,""T(\d+)"")),1),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I83" s="86">
        <f>IFERROR(__xludf.DUMMYFUNCTION("LET(
  monthStart,DATE(VALUE(REGEXEXTRACT(I$1,""\d{4}"")),VALUE(REGEXEXTRACT(I$1,""T(\d+)"")),1),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J83" s="86">
        <f>IFERROR(__xludf.DUMMYFUNCTION("LET(
  monthStart,DATE(VALUE(REGEXEXTRACT(J$1,""\d{4}"")),VALUE(REGEXEXTRACT(J$1,""T(\d+)"")),1),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K83" s="86">
        <f>IFERROR(__xludf.DUMMYFUNCTION("LET(
  monthStart,DATE(VALUE(REGEXEXTRACT(K$1,""\d{4}"")),VALUE(REGEXEXTRACT(K$1,""T(\d+)"")),1),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L83" s="86">
        <f>IFERROR(__xludf.DUMMYFUNCTION("LET(
  monthStart,DATE(VALUE(REGEXEXTRACT(L$1,""\d{4}"")),VALUE(REGEXEXTRACT(L$1,""T(\d+)"")),1),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M83" s="86">
        <f>IFERROR(__xludf.DUMMYFUNCTION("LET(
  monthStart,DATE(VALUE(REGEXEXTRACT(M$1,""\d{4}"")),VALUE(REGEXEXTRACT(M$1,""T(\d+)"")),1),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N83" s="86">
        <f>IFERROR(__xludf.DUMMYFUNCTION("LET(
  monthStart,DATE(VALUE(REGEXEXTRACT(N$1,""\d{4}"")),VALUE(REGEXEXTRACT(N$1,""T(\d+)"")),1),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O83" s="86">
        <f>IFERROR(__xludf.DUMMYFUNCTION("LET(
  monthStart,DATE(VALUE(REGEXEXTRACT(O$1,""\d{4}"")),VALUE(REGEXEXTRACT(O$1,""T(\d+)"")),1),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P83" s="86">
        <f>IFERROR(__xludf.DUMMYFUNCTION("LET(
  monthStart,DATE(VALUE(REGEXEXTRACT(P$1,""\d{4}"")),VALUE(REGEXEXTRACT(P$1,""T(\d+)"")),1),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Q83" s="86">
        <f>IFERROR(__xludf.DUMMYFUNCTION("LET(
  monthStart,DATE(VALUE(REGEXEXTRACT(Q$1,""\d{4}"")),VALUE(REGEXEXTRACT(Q$1,""T(\d+)"")),1),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R83" s="86">
        <f>IFERROR(__xludf.DUMMYFUNCTION("LET(
  monthStart,DATE(VALUE(REGEXEXTRACT(R$1,""\d{4}"")),VALUE(REGEXEXTRACT(R$1,""T(\d+)"")),1),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S83" s="86">
        <f>IFERROR(__xludf.DUMMYFUNCTION("LET(
  monthStart,DATE(VALUE(REGEXEXTRACT(S$1,""\d{4}"")),VALUE(REGEXEXTRACT(S$1,""T(\d+)"")),1),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T83" s="86">
        <f>IFERROR(__xludf.DUMMYFUNCTION("LET(
  monthStart,DATE(VALUE(REGEXEXTRACT(T$1,""\d{4}"")),VALUE(REGEXEXTRACT(T$1,""T(\d+)"")),1),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U83" s="86">
        <f>IFERROR(__xludf.DUMMYFUNCTION("LET(
  monthStart,DATE(VALUE(REGEXEXTRACT(U$1,""\d{4}"")),VALUE(REGEXEXTRACT(U$1,""T(\d+)"")),1),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V83" s="86">
        <f>IFERROR(__xludf.DUMMYFUNCTION("LET(
  monthStart,DATE(VALUE(REGEXEXTRACT(V$1,""\d{4}"")),VALUE(REGEXEXTRACT(V$1,""T(\d+)"")),1),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W83" s="86">
        <f>IFERROR(__xludf.DUMMYFUNCTION("LET(
  monthStart,DATE(VALUE(REGEXEXTRACT(W$1,""\d{4}"")),VALUE(REGEXEXTRACT(W$1,""T(\d+)"")),1),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X83" s="86">
        <f>IFERROR(__xludf.DUMMYFUNCTION("LET(
  monthStart,DATE(VALUE(REGEXEXTRACT(X$1,""\d{4}"")),VALUE(REGEXEXTRACT(X$1,""T(\d+)"")),1),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Y83" s="86">
        <f>IFERROR(__xludf.DUMMYFUNCTION("LET(
  monthStart,DATE(VALUE(REGEXEXTRACT(Y$1,""\d{4}"")),VALUE(REGEXEXTRACT(Y$1,""T(\d+)"")),1),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Z83" s="64"/>
      <c r="AA83" s="64"/>
      <c r="AB83" s="64"/>
      <c r="AC83" s="64"/>
      <c r="AD83" s="64"/>
      <c r="AE83" s="64"/>
      <c r="AF83" s="64"/>
      <c r="AJ83" s="64"/>
      <c r="AK83" s="64"/>
      <c r="AO83" s="64"/>
      <c r="AP83" s="64"/>
      <c r="AT83" s="64"/>
      <c r="AX83" s="64"/>
      <c r="AY83" s="77"/>
      <c r="AZ83" s="77"/>
      <c r="BA83" s="87"/>
      <c r="BB83" s="72"/>
      <c r="BC83" s="72"/>
      <c r="BD83" s="67"/>
      <c r="BH83" s="64"/>
      <c r="BI83" s="64"/>
      <c r="BJ83" s="64"/>
      <c r="BK83" s="64"/>
      <c r="BL83" s="64"/>
      <c r="BM83" s="64"/>
      <c r="BN83" s="64"/>
    </row>
    <row r="84" ht="30.0" customHeight="1">
      <c r="A84" s="81"/>
      <c r="B84" s="82"/>
      <c r="C84" s="83"/>
      <c r="D84" s="84"/>
      <c r="E84" s="84"/>
      <c r="F84" s="85"/>
      <c r="G84" s="86">
        <f>IFERROR(__xludf.DUMMYFUNCTION("LET(
  monthStart,DATE(VALUE(REGEXEXTRACT(G$1,""\d{4}"")),VALUE(REGEXEXTRACT(G$1,""T(\d+)"")),1),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H84" s="86">
        <f>IFERROR(__xludf.DUMMYFUNCTION("LET(
  monthStart,DATE(VALUE(REGEXEXTRACT(H$1,""\d{4}"")),VALUE(REGEXEXTRACT(H$1,""T(\d+)"")),1),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I84" s="86">
        <f>IFERROR(__xludf.DUMMYFUNCTION("LET(
  monthStart,DATE(VALUE(REGEXEXTRACT(I$1,""\d{4}"")),VALUE(REGEXEXTRACT(I$1,""T(\d+)"")),1),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J84" s="86">
        <f>IFERROR(__xludf.DUMMYFUNCTION("LET(
  monthStart,DATE(VALUE(REGEXEXTRACT(J$1,""\d{4}"")),VALUE(REGEXEXTRACT(J$1,""T(\d+)"")),1),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K84" s="86">
        <f>IFERROR(__xludf.DUMMYFUNCTION("LET(
  monthStart,DATE(VALUE(REGEXEXTRACT(K$1,""\d{4}"")),VALUE(REGEXEXTRACT(K$1,""T(\d+)"")),1),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L84" s="86">
        <f>IFERROR(__xludf.DUMMYFUNCTION("LET(
  monthStart,DATE(VALUE(REGEXEXTRACT(L$1,""\d{4}"")),VALUE(REGEXEXTRACT(L$1,""T(\d+)"")),1),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M84" s="86">
        <f>IFERROR(__xludf.DUMMYFUNCTION("LET(
  monthStart,DATE(VALUE(REGEXEXTRACT(M$1,""\d{4}"")),VALUE(REGEXEXTRACT(M$1,""T(\d+)"")),1),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N84" s="86">
        <f>IFERROR(__xludf.DUMMYFUNCTION("LET(
  monthStart,DATE(VALUE(REGEXEXTRACT(N$1,""\d{4}"")),VALUE(REGEXEXTRACT(N$1,""T(\d+)"")),1),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O84" s="86">
        <f>IFERROR(__xludf.DUMMYFUNCTION("LET(
  monthStart,DATE(VALUE(REGEXEXTRACT(O$1,""\d{4}"")),VALUE(REGEXEXTRACT(O$1,""T(\d+)"")),1),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P84" s="86">
        <f>IFERROR(__xludf.DUMMYFUNCTION("LET(
  monthStart,DATE(VALUE(REGEXEXTRACT(P$1,""\d{4}"")),VALUE(REGEXEXTRACT(P$1,""T(\d+)"")),1),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Q84" s="86">
        <f>IFERROR(__xludf.DUMMYFUNCTION("LET(
  monthStart,DATE(VALUE(REGEXEXTRACT(Q$1,""\d{4}"")),VALUE(REGEXEXTRACT(Q$1,""T(\d+)"")),1),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R84" s="86">
        <f>IFERROR(__xludf.DUMMYFUNCTION("LET(
  monthStart,DATE(VALUE(REGEXEXTRACT(R$1,""\d{4}"")),VALUE(REGEXEXTRACT(R$1,""T(\d+)"")),1),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S84" s="86">
        <f>IFERROR(__xludf.DUMMYFUNCTION("LET(
  monthStart,DATE(VALUE(REGEXEXTRACT(S$1,""\d{4}"")),VALUE(REGEXEXTRACT(S$1,""T(\d+)"")),1),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T84" s="86">
        <f>IFERROR(__xludf.DUMMYFUNCTION("LET(
  monthStart,DATE(VALUE(REGEXEXTRACT(T$1,""\d{4}"")),VALUE(REGEXEXTRACT(T$1,""T(\d+)"")),1),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U84" s="86">
        <f>IFERROR(__xludf.DUMMYFUNCTION("LET(
  monthStart,DATE(VALUE(REGEXEXTRACT(U$1,""\d{4}"")),VALUE(REGEXEXTRACT(U$1,""T(\d+)"")),1),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V84" s="86">
        <f>IFERROR(__xludf.DUMMYFUNCTION("LET(
  monthStart,DATE(VALUE(REGEXEXTRACT(V$1,""\d{4}"")),VALUE(REGEXEXTRACT(V$1,""T(\d+)"")),1),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W84" s="86">
        <f>IFERROR(__xludf.DUMMYFUNCTION("LET(
  monthStart,DATE(VALUE(REGEXEXTRACT(W$1,""\d{4}"")),VALUE(REGEXEXTRACT(W$1,""T(\d+)"")),1),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X84" s="86">
        <f>IFERROR(__xludf.DUMMYFUNCTION("LET(
  monthStart,DATE(VALUE(REGEXEXTRACT(X$1,""\d{4}"")),VALUE(REGEXEXTRACT(X$1,""T(\d+)"")),1),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Y84" s="86">
        <f>IFERROR(__xludf.DUMMYFUNCTION("LET(
  monthStart,DATE(VALUE(REGEXEXTRACT(Y$1,""\d{4}"")),VALUE(REGEXEXTRACT(Y$1,""T(\d+)"")),1),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Z84" s="64"/>
      <c r="AA84" s="64"/>
      <c r="AB84" s="64"/>
      <c r="AC84" s="64"/>
      <c r="AD84" s="64"/>
      <c r="AE84" s="64"/>
      <c r="AF84" s="64"/>
      <c r="AJ84" s="64"/>
      <c r="AK84" s="64"/>
      <c r="AO84" s="64"/>
      <c r="AP84" s="64"/>
      <c r="AT84" s="64"/>
      <c r="AX84" s="64"/>
      <c r="AY84" s="77"/>
      <c r="AZ84" s="77"/>
      <c r="BA84" s="87"/>
      <c r="BB84" s="72"/>
      <c r="BC84" s="72"/>
      <c r="BD84" s="67"/>
      <c r="BH84" s="64"/>
      <c r="BI84" s="64"/>
      <c r="BJ84" s="64"/>
      <c r="BK84" s="64"/>
      <c r="BL84" s="64"/>
      <c r="BM84" s="64"/>
      <c r="BN84" s="64"/>
    </row>
    <row r="85" ht="30.0" customHeight="1">
      <c r="A85" s="81"/>
      <c r="B85" s="82"/>
      <c r="C85" s="83"/>
      <c r="D85" s="84"/>
      <c r="E85" s="84"/>
      <c r="F85" s="85"/>
      <c r="G85" s="86">
        <f>IFERROR(__xludf.DUMMYFUNCTION("LET(
  monthStart,DATE(VALUE(REGEXEXTRACT(G$1,""\d{4}"")),VALUE(REGEXEXTRACT(G$1,""T(\d+)"")),1),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H85" s="86">
        <f>IFERROR(__xludf.DUMMYFUNCTION("LET(
  monthStart,DATE(VALUE(REGEXEXTRACT(H$1,""\d{4}"")),VALUE(REGEXEXTRACT(H$1,""T(\d+)"")),1),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I85" s="86">
        <f>IFERROR(__xludf.DUMMYFUNCTION("LET(
  monthStart,DATE(VALUE(REGEXEXTRACT(I$1,""\d{4}"")),VALUE(REGEXEXTRACT(I$1,""T(\d+)"")),1),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J85" s="86">
        <f>IFERROR(__xludf.DUMMYFUNCTION("LET(
  monthStart,DATE(VALUE(REGEXEXTRACT(J$1,""\d{4}"")),VALUE(REGEXEXTRACT(J$1,""T(\d+)"")),1),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K85" s="86">
        <f>IFERROR(__xludf.DUMMYFUNCTION("LET(
  monthStart,DATE(VALUE(REGEXEXTRACT(K$1,""\d{4}"")),VALUE(REGEXEXTRACT(K$1,""T(\d+)"")),1),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L85" s="86">
        <f>IFERROR(__xludf.DUMMYFUNCTION("LET(
  monthStart,DATE(VALUE(REGEXEXTRACT(L$1,""\d{4}"")),VALUE(REGEXEXTRACT(L$1,""T(\d+)"")),1),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M85" s="86">
        <f>IFERROR(__xludf.DUMMYFUNCTION("LET(
  monthStart,DATE(VALUE(REGEXEXTRACT(M$1,""\d{4}"")),VALUE(REGEXEXTRACT(M$1,""T(\d+)"")),1),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N85" s="86">
        <f>IFERROR(__xludf.DUMMYFUNCTION("LET(
  monthStart,DATE(VALUE(REGEXEXTRACT(N$1,""\d{4}"")),VALUE(REGEXEXTRACT(N$1,""T(\d+)"")),1),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O85" s="86">
        <f>IFERROR(__xludf.DUMMYFUNCTION("LET(
  monthStart,DATE(VALUE(REGEXEXTRACT(O$1,""\d{4}"")),VALUE(REGEXEXTRACT(O$1,""T(\d+)"")),1),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P85" s="86">
        <f>IFERROR(__xludf.DUMMYFUNCTION("LET(
  monthStart,DATE(VALUE(REGEXEXTRACT(P$1,""\d{4}"")),VALUE(REGEXEXTRACT(P$1,""T(\d+)"")),1),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Q85" s="86">
        <f>IFERROR(__xludf.DUMMYFUNCTION("LET(
  monthStart,DATE(VALUE(REGEXEXTRACT(Q$1,""\d{4}"")),VALUE(REGEXEXTRACT(Q$1,""T(\d+)"")),1),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R85" s="86">
        <f>IFERROR(__xludf.DUMMYFUNCTION("LET(
  monthStart,DATE(VALUE(REGEXEXTRACT(R$1,""\d{4}"")),VALUE(REGEXEXTRACT(R$1,""T(\d+)"")),1),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S85" s="86">
        <f>IFERROR(__xludf.DUMMYFUNCTION("LET(
  monthStart,DATE(VALUE(REGEXEXTRACT(S$1,""\d{4}"")),VALUE(REGEXEXTRACT(S$1,""T(\d+)"")),1),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T85" s="86">
        <f>IFERROR(__xludf.DUMMYFUNCTION("LET(
  monthStart,DATE(VALUE(REGEXEXTRACT(T$1,""\d{4}"")),VALUE(REGEXEXTRACT(T$1,""T(\d+)"")),1),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U85" s="86">
        <f>IFERROR(__xludf.DUMMYFUNCTION("LET(
  monthStart,DATE(VALUE(REGEXEXTRACT(U$1,""\d{4}"")),VALUE(REGEXEXTRACT(U$1,""T(\d+)"")),1),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V85" s="86">
        <f>IFERROR(__xludf.DUMMYFUNCTION("LET(
  monthStart,DATE(VALUE(REGEXEXTRACT(V$1,""\d{4}"")),VALUE(REGEXEXTRACT(V$1,""T(\d+)"")),1),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W85" s="86">
        <f>IFERROR(__xludf.DUMMYFUNCTION("LET(
  monthStart,DATE(VALUE(REGEXEXTRACT(W$1,""\d{4}"")),VALUE(REGEXEXTRACT(W$1,""T(\d+)"")),1),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X85" s="86">
        <f>IFERROR(__xludf.DUMMYFUNCTION("LET(
  monthStart,DATE(VALUE(REGEXEXTRACT(X$1,""\d{4}"")),VALUE(REGEXEXTRACT(X$1,""T(\d+)"")),1),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Y85" s="86">
        <f>IFERROR(__xludf.DUMMYFUNCTION("LET(
  monthStart,DATE(VALUE(REGEXEXTRACT(Y$1,""\d{4}"")),VALUE(REGEXEXTRACT(Y$1,""T(\d+)"")),1),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Z85" s="67"/>
      <c r="AA85" s="67"/>
      <c r="AB85" s="67"/>
      <c r="AC85" s="67"/>
      <c r="AD85" s="67"/>
      <c r="AE85" s="67"/>
      <c r="AF85" s="64"/>
      <c r="AJ85" s="64"/>
      <c r="AK85" s="64"/>
      <c r="AO85" s="64"/>
      <c r="AP85" s="64"/>
      <c r="AT85" s="64"/>
      <c r="AX85" s="64"/>
      <c r="AY85" s="77"/>
      <c r="AZ85" s="77"/>
      <c r="BA85" s="88"/>
      <c r="BB85" s="72"/>
      <c r="BC85" s="72"/>
      <c r="BD85" s="67"/>
      <c r="BH85" s="64"/>
      <c r="BI85" s="64"/>
      <c r="BJ85" s="64"/>
      <c r="BK85" s="64"/>
      <c r="BL85" s="64"/>
      <c r="BM85" s="64"/>
      <c r="BN85" s="64"/>
    </row>
    <row r="86" ht="30.0" customHeight="1">
      <c r="A86" s="81"/>
      <c r="B86" s="82"/>
      <c r="C86" s="83"/>
      <c r="D86" s="84"/>
      <c r="E86" s="84"/>
      <c r="F86" s="85"/>
      <c r="G86" s="86">
        <f>IFERROR(__xludf.DUMMYFUNCTION("LET(
  monthStart,DATE(VALUE(REGEXEXTRACT(G$1,""\d{4}"")),VALUE(REGEXEXTRACT(G$1,""T(\d+)"")),1),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H86" s="86">
        <f>IFERROR(__xludf.DUMMYFUNCTION("LET(
  monthStart,DATE(VALUE(REGEXEXTRACT(H$1,""\d{4}"")),VALUE(REGEXEXTRACT(H$1,""T(\d+)"")),1),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I86" s="86">
        <f>IFERROR(__xludf.DUMMYFUNCTION("LET(
  monthStart,DATE(VALUE(REGEXEXTRACT(I$1,""\d{4}"")),VALUE(REGEXEXTRACT(I$1,""T(\d+)"")),1),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J86" s="86">
        <f>IFERROR(__xludf.DUMMYFUNCTION("LET(
  monthStart,DATE(VALUE(REGEXEXTRACT(J$1,""\d{4}"")),VALUE(REGEXEXTRACT(J$1,""T(\d+)"")),1),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K86" s="86">
        <f>IFERROR(__xludf.DUMMYFUNCTION("LET(
  monthStart,DATE(VALUE(REGEXEXTRACT(K$1,""\d{4}"")),VALUE(REGEXEXTRACT(K$1,""T(\d+)"")),1),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L86" s="86">
        <f>IFERROR(__xludf.DUMMYFUNCTION("LET(
  monthStart,DATE(VALUE(REGEXEXTRACT(L$1,""\d{4}"")),VALUE(REGEXEXTRACT(L$1,""T(\d+)"")),1),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M86" s="86">
        <f>IFERROR(__xludf.DUMMYFUNCTION("LET(
  monthStart,DATE(VALUE(REGEXEXTRACT(M$1,""\d{4}"")),VALUE(REGEXEXTRACT(M$1,""T(\d+)"")),1),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N86" s="86">
        <f>IFERROR(__xludf.DUMMYFUNCTION("LET(
  monthStart,DATE(VALUE(REGEXEXTRACT(N$1,""\d{4}"")),VALUE(REGEXEXTRACT(N$1,""T(\d+)"")),1),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O86" s="86">
        <f>IFERROR(__xludf.DUMMYFUNCTION("LET(
  monthStart,DATE(VALUE(REGEXEXTRACT(O$1,""\d{4}"")),VALUE(REGEXEXTRACT(O$1,""T(\d+)"")),1),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P86" s="86">
        <f>IFERROR(__xludf.DUMMYFUNCTION("LET(
  monthStart,DATE(VALUE(REGEXEXTRACT(P$1,""\d{4}"")),VALUE(REGEXEXTRACT(P$1,""T(\d+)"")),1),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Q86" s="86">
        <f>IFERROR(__xludf.DUMMYFUNCTION("LET(
  monthStart,DATE(VALUE(REGEXEXTRACT(Q$1,""\d{4}"")),VALUE(REGEXEXTRACT(Q$1,""T(\d+)"")),1),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R86" s="86">
        <f>IFERROR(__xludf.DUMMYFUNCTION("LET(
  monthStart,DATE(VALUE(REGEXEXTRACT(R$1,""\d{4}"")),VALUE(REGEXEXTRACT(R$1,""T(\d+)"")),1),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S86" s="86">
        <f>IFERROR(__xludf.DUMMYFUNCTION("LET(
  monthStart,DATE(VALUE(REGEXEXTRACT(S$1,""\d{4}"")),VALUE(REGEXEXTRACT(S$1,""T(\d+)"")),1),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T86" s="86">
        <f>IFERROR(__xludf.DUMMYFUNCTION("LET(
  monthStart,DATE(VALUE(REGEXEXTRACT(T$1,""\d{4}"")),VALUE(REGEXEXTRACT(T$1,""T(\d+)"")),1),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U86" s="86">
        <f>IFERROR(__xludf.DUMMYFUNCTION("LET(
  monthStart,DATE(VALUE(REGEXEXTRACT(U$1,""\d{4}"")),VALUE(REGEXEXTRACT(U$1,""T(\d+)"")),1),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V86" s="86">
        <f>IFERROR(__xludf.DUMMYFUNCTION("LET(
  monthStart,DATE(VALUE(REGEXEXTRACT(V$1,""\d{4}"")),VALUE(REGEXEXTRACT(V$1,""T(\d+)"")),1),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W86" s="86">
        <f>IFERROR(__xludf.DUMMYFUNCTION("LET(
  monthStart,DATE(VALUE(REGEXEXTRACT(W$1,""\d{4}"")),VALUE(REGEXEXTRACT(W$1,""T(\d+)"")),1),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X86" s="86">
        <f>IFERROR(__xludf.DUMMYFUNCTION("LET(
  monthStart,DATE(VALUE(REGEXEXTRACT(X$1,""\d{4}"")),VALUE(REGEXEXTRACT(X$1,""T(\d+)"")),1),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Y86" s="86">
        <f>IFERROR(__xludf.DUMMYFUNCTION("LET(
  monthStart,DATE(VALUE(REGEXEXTRACT(Y$1,""\d{4}"")),VALUE(REGEXEXTRACT(Y$1,""T(\d+)"")),1),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Z86" s="67"/>
      <c r="AA86" s="67"/>
      <c r="AB86" s="67"/>
      <c r="AC86" s="67"/>
      <c r="AD86" s="67"/>
      <c r="AE86" s="67"/>
      <c r="AF86" s="64"/>
      <c r="AJ86" s="64"/>
      <c r="AK86" s="64"/>
      <c r="AO86" s="64"/>
      <c r="AP86" s="64"/>
      <c r="AT86" s="64"/>
      <c r="AX86" s="64"/>
      <c r="AY86" s="77"/>
      <c r="AZ86" s="77"/>
      <c r="BA86" s="88"/>
      <c r="BB86" s="72"/>
      <c r="BC86" s="72"/>
      <c r="BD86" s="67"/>
      <c r="BH86" s="64"/>
      <c r="BI86" s="64"/>
      <c r="BJ86" s="64"/>
      <c r="BK86" s="64"/>
      <c r="BL86" s="64"/>
      <c r="BM86" s="64"/>
      <c r="BN86" s="64"/>
    </row>
    <row r="87" ht="30.0" customHeight="1">
      <c r="A87" s="81"/>
      <c r="B87" s="82"/>
      <c r="C87" s="83"/>
      <c r="D87" s="84"/>
      <c r="E87" s="84"/>
      <c r="F87" s="85"/>
      <c r="G87" s="86">
        <f>IFERROR(__xludf.DUMMYFUNCTION("LET(
  monthStart,DATE(VALUE(REGEXEXTRACT(G$1,""\d{4}"")),VALUE(REGEXEXTRACT(G$1,""T(\d+)"")),1),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H87" s="86">
        <f>IFERROR(__xludf.DUMMYFUNCTION("LET(
  monthStart,DATE(VALUE(REGEXEXTRACT(H$1,""\d{4}"")),VALUE(REGEXEXTRACT(H$1,""T(\d+)"")),1),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I87" s="86">
        <f>IFERROR(__xludf.DUMMYFUNCTION("LET(
  monthStart,DATE(VALUE(REGEXEXTRACT(I$1,""\d{4}"")),VALUE(REGEXEXTRACT(I$1,""T(\d+)"")),1),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J87" s="86">
        <f>IFERROR(__xludf.DUMMYFUNCTION("LET(
  monthStart,DATE(VALUE(REGEXEXTRACT(J$1,""\d{4}"")),VALUE(REGEXEXTRACT(J$1,""T(\d+)"")),1),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K87" s="86">
        <f>IFERROR(__xludf.DUMMYFUNCTION("LET(
  monthStart,DATE(VALUE(REGEXEXTRACT(K$1,""\d{4}"")),VALUE(REGEXEXTRACT(K$1,""T(\d+)"")),1),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L87" s="86">
        <f>IFERROR(__xludf.DUMMYFUNCTION("LET(
  monthStart,DATE(VALUE(REGEXEXTRACT(L$1,""\d{4}"")),VALUE(REGEXEXTRACT(L$1,""T(\d+)"")),1),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M87" s="86">
        <f>IFERROR(__xludf.DUMMYFUNCTION("LET(
  monthStart,DATE(VALUE(REGEXEXTRACT(M$1,""\d{4}"")),VALUE(REGEXEXTRACT(M$1,""T(\d+)"")),1),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N87" s="86">
        <f>IFERROR(__xludf.DUMMYFUNCTION("LET(
  monthStart,DATE(VALUE(REGEXEXTRACT(N$1,""\d{4}"")),VALUE(REGEXEXTRACT(N$1,""T(\d+)"")),1),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O87" s="86">
        <f>IFERROR(__xludf.DUMMYFUNCTION("LET(
  monthStart,DATE(VALUE(REGEXEXTRACT(O$1,""\d{4}"")),VALUE(REGEXEXTRACT(O$1,""T(\d+)"")),1),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P87" s="86">
        <f>IFERROR(__xludf.DUMMYFUNCTION("LET(
  monthStart,DATE(VALUE(REGEXEXTRACT(P$1,""\d{4}"")),VALUE(REGEXEXTRACT(P$1,""T(\d+)"")),1),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Q87" s="86">
        <f>IFERROR(__xludf.DUMMYFUNCTION("LET(
  monthStart,DATE(VALUE(REGEXEXTRACT(Q$1,""\d{4}"")),VALUE(REGEXEXTRACT(Q$1,""T(\d+)"")),1),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R87" s="86">
        <f>IFERROR(__xludf.DUMMYFUNCTION("LET(
  monthStart,DATE(VALUE(REGEXEXTRACT(R$1,""\d{4}"")),VALUE(REGEXEXTRACT(R$1,""T(\d+)"")),1),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S87" s="86">
        <f>IFERROR(__xludf.DUMMYFUNCTION("LET(
  monthStart,DATE(VALUE(REGEXEXTRACT(S$1,""\d{4}"")),VALUE(REGEXEXTRACT(S$1,""T(\d+)"")),1),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T87" s="86">
        <f>IFERROR(__xludf.DUMMYFUNCTION("LET(
  monthStart,DATE(VALUE(REGEXEXTRACT(T$1,""\d{4}"")),VALUE(REGEXEXTRACT(T$1,""T(\d+)"")),1),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U87" s="86">
        <f>IFERROR(__xludf.DUMMYFUNCTION("LET(
  monthStart,DATE(VALUE(REGEXEXTRACT(U$1,""\d{4}"")),VALUE(REGEXEXTRACT(U$1,""T(\d+)"")),1),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V87" s="86">
        <f>IFERROR(__xludf.DUMMYFUNCTION("LET(
  monthStart,DATE(VALUE(REGEXEXTRACT(V$1,""\d{4}"")),VALUE(REGEXEXTRACT(V$1,""T(\d+)"")),1),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W87" s="86">
        <f>IFERROR(__xludf.DUMMYFUNCTION("LET(
  monthStart,DATE(VALUE(REGEXEXTRACT(W$1,""\d{4}"")),VALUE(REGEXEXTRACT(W$1,""T(\d+)"")),1),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X87" s="86">
        <f>IFERROR(__xludf.DUMMYFUNCTION("LET(
  monthStart,DATE(VALUE(REGEXEXTRACT(X$1,""\d{4}"")),VALUE(REGEXEXTRACT(X$1,""T(\d+)"")),1),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Y87" s="86">
        <f>IFERROR(__xludf.DUMMYFUNCTION("LET(
  monthStart,DATE(VALUE(REGEXEXTRACT(Y$1,""\d{4}"")),VALUE(REGEXEXTRACT(Y$1,""T(\d+)"")),1),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Z87" s="67"/>
      <c r="AA87" s="67"/>
      <c r="AB87" s="67"/>
      <c r="AC87" s="67"/>
      <c r="AD87" s="67"/>
      <c r="AE87" s="67"/>
      <c r="AF87" s="64"/>
      <c r="AJ87" s="64"/>
      <c r="AK87" s="64"/>
      <c r="AO87" s="64"/>
      <c r="AP87" s="64"/>
      <c r="AT87" s="64"/>
      <c r="AX87" s="64"/>
      <c r="AY87" s="77"/>
      <c r="AZ87" s="77"/>
      <c r="BA87" s="87"/>
      <c r="BB87" s="72"/>
      <c r="BC87" s="72"/>
      <c r="BD87" s="67"/>
      <c r="BH87" s="64"/>
      <c r="BI87" s="64"/>
      <c r="BJ87" s="64"/>
      <c r="BK87" s="64"/>
      <c r="BL87" s="64"/>
      <c r="BM87" s="64"/>
      <c r="BN87" s="64"/>
    </row>
    <row r="88" ht="30.0" customHeight="1">
      <c r="A88" s="81"/>
      <c r="B88" s="82"/>
      <c r="C88" s="83"/>
      <c r="D88" s="84"/>
      <c r="E88" s="84"/>
      <c r="F88" s="85"/>
      <c r="G88" s="86">
        <f>IFERROR(__xludf.DUMMYFUNCTION("LET(
  monthStart,DATE(VALUE(REGEXEXTRACT(G$1,""\d{4}"")),VALUE(REGEXEXTRACT(G$1,""T(\d+)"")),1),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H88" s="86">
        <f>IFERROR(__xludf.DUMMYFUNCTION("LET(
  monthStart,DATE(VALUE(REGEXEXTRACT(H$1,""\d{4}"")),VALUE(REGEXEXTRACT(H$1,""T(\d+)"")),1),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I88" s="86">
        <f>IFERROR(__xludf.DUMMYFUNCTION("LET(
  monthStart,DATE(VALUE(REGEXEXTRACT(I$1,""\d{4}"")),VALUE(REGEXEXTRACT(I$1,""T(\d+)"")),1),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J88" s="86">
        <f>IFERROR(__xludf.DUMMYFUNCTION("LET(
  monthStart,DATE(VALUE(REGEXEXTRACT(J$1,""\d{4}"")),VALUE(REGEXEXTRACT(J$1,""T(\d+)"")),1),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K88" s="86">
        <f>IFERROR(__xludf.DUMMYFUNCTION("LET(
  monthStart,DATE(VALUE(REGEXEXTRACT(K$1,""\d{4}"")),VALUE(REGEXEXTRACT(K$1,""T(\d+)"")),1),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L88" s="86">
        <f>IFERROR(__xludf.DUMMYFUNCTION("LET(
  monthStart,DATE(VALUE(REGEXEXTRACT(L$1,""\d{4}"")),VALUE(REGEXEXTRACT(L$1,""T(\d+)"")),1),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M88" s="86">
        <f>IFERROR(__xludf.DUMMYFUNCTION("LET(
  monthStart,DATE(VALUE(REGEXEXTRACT(M$1,""\d{4}"")),VALUE(REGEXEXTRACT(M$1,""T(\d+)"")),1),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N88" s="86">
        <f>IFERROR(__xludf.DUMMYFUNCTION("LET(
  monthStart,DATE(VALUE(REGEXEXTRACT(N$1,""\d{4}"")),VALUE(REGEXEXTRACT(N$1,""T(\d+)"")),1),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O88" s="86">
        <f>IFERROR(__xludf.DUMMYFUNCTION("LET(
  monthStart,DATE(VALUE(REGEXEXTRACT(O$1,""\d{4}"")),VALUE(REGEXEXTRACT(O$1,""T(\d+)"")),1),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P88" s="86">
        <f>IFERROR(__xludf.DUMMYFUNCTION("LET(
  monthStart,DATE(VALUE(REGEXEXTRACT(P$1,""\d{4}"")),VALUE(REGEXEXTRACT(P$1,""T(\d+)"")),1),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Q88" s="86">
        <f>IFERROR(__xludf.DUMMYFUNCTION("LET(
  monthStart,DATE(VALUE(REGEXEXTRACT(Q$1,""\d{4}"")),VALUE(REGEXEXTRACT(Q$1,""T(\d+)"")),1),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R88" s="86">
        <f>IFERROR(__xludf.DUMMYFUNCTION("LET(
  monthStart,DATE(VALUE(REGEXEXTRACT(R$1,""\d{4}"")),VALUE(REGEXEXTRACT(R$1,""T(\d+)"")),1),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S88" s="86">
        <f>IFERROR(__xludf.DUMMYFUNCTION("LET(
  monthStart,DATE(VALUE(REGEXEXTRACT(S$1,""\d{4}"")),VALUE(REGEXEXTRACT(S$1,""T(\d+)"")),1),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T88" s="86">
        <f>IFERROR(__xludf.DUMMYFUNCTION("LET(
  monthStart,DATE(VALUE(REGEXEXTRACT(T$1,""\d{4}"")),VALUE(REGEXEXTRACT(T$1,""T(\d+)"")),1),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U88" s="86">
        <f>IFERROR(__xludf.DUMMYFUNCTION("LET(
  monthStart,DATE(VALUE(REGEXEXTRACT(U$1,""\d{4}"")),VALUE(REGEXEXTRACT(U$1,""T(\d+)"")),1),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V88" s="86">
        <f>IFERROR(__xludf.DUMMYFUNCTION("LET(
  monthStart,DATE(VALUE(REGEXEXTRACT(V$1,""\d{4}"")),VALUE(REGEXEXTRACT(V$1,""T(\d+)"")),1),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W88" s="86">
        <f>IFERROR(__xludf.DUMMYFUNCTION("LET(
  monthStart,DATE(VALUE(REGEXEXTRACT(W$1,""\d{4}"")),VALUE(REGEXEXTRACT(W$1,""T(\d+)"")),1),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X88" s="86">
        <f>IFERROR(__xludf.DUMMYFUNCTION("LET(
  monthStart,DATE(VALUE(REGEXEXTRACT(X$1,""\d{4}"")),VALUE(REGEXEXTRACT(X$1,""T(\d+)"")),1),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Y88" s="86">
        <f>IFERROR(__xludf.DUMMYFUNCTION("LET(
  monthStart,DATE(VALUE(REGEXEXTRACT(Y$1,""\d{4}"")),VALUE(REGEXEXTRACT(Y$1,""T(\d+)"")),1),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Z88" s="67"/>
      <c r="AA88" s="67"/>
      <c r="AB88" s="67"/>
      <c r="AC88" s="67"/>
      <c r="AD88" s="67"/>
      <c r="AE88" s="67"/>
      <c r="AF88" s="64"/>
      <c r="AJ88" s="64"/>
      <c r="AK88" s="64"/>
      <c r="AO88" s="64"/>
      <c r="AP88" s="64"/>
      <c r="AT88" s="64"/>
      <c r="AX88" s="64"/>
      <c r="AY88" s="77"/>
      <c r="AZ88" s="77"/>
      <c r="BA88" s="88"/>
      <c r="BB88" s="72"/>
      <c r="BC88" s="72"/>
      <c r="BD88" s="67"/>
      <c r="BH88" s="64"/>
      <c r="BI88" s="64"/>
      <c r="BJ88" s="64"/>
      <c r="BK88" s="64"/>
      <c r="BL88" s="64"/>
      <c r="BM88" s="64"/>
      <c r="BN88" s="64"/>
    </row>
    <row r="89" ht="30.0" customHeight="1">
      <c r="A89" s="81"/>
      <c r="B89" s="82"/>
      <c r="C89" s="83"/>
      <c r="D89" s="84"/>
      <c r="E89" s="84"/>
      <c r="F89" s="85"/>
      <c r="G89" s="86">
        <f>IFERROR(__xludf.DUMMYFUNCTION("LET(
  monthStart,DATE(VALUE(REGEXEXTRACT(G$1,""\d{4}"")),VALUE(REGEXEXTRACT(G$1,""T(\d+)"")),1),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H89" s="86">
        <f>IFERROR(__xludf.DUMMYFUNCTION("LET(
  monthStart,DATE(VALUE(REGEXEXTRACT(H$1,""\d{4}"")),VALUE(REGEXEXTRACT(H$1,""T(\d+)"")),1),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I89" s="86">
        <f>IFERROR(__xludf.DUMMYFUNCTION("LET(
  monthStart,DATE(VALUE(REGEXEXTRACT(I$1,""\d{4}"")),VALUE(REGEXEXTRACT(I$1,""T(\d+)"")),1),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J89" s="86">
        <f>IFERROR(__xludf.DUMMYFUNCTION("LET(
  monthStart,DATE(VALUE(REGEXEXTRACT(J$1,""\d{4}"")),VALUE(REGEXEXTRACT(J$1,""T(\d+)"")),1),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K89" s="86">
        <f>IFERROR(__xludf.DUMMYFUNCTION("LET(
  monthStart,DATE(VALUE(REGEXEXTRACT(K$1,""\d{4}"")),VALUE(REGEXEXTRACT(K$1,""T(\d+)"")),1),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L89" s="86">
        <f>IFERROR(__xludf.DUMMYFUNCTION("LET(
  monthStart,DATE(VALUE(REGEXEXTRACT(L$1,""\d{4}"")),VALUE(REGEXEXTRACT(L$1,""T(\d+)"")),1),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M89" s="86">
        <f>IFERROR(__xludf.DUMMYFUNCTION("LET(
  monthStart,DATE(VALUE(REGEXEXTRACT(M$1,""\d{4}"")),VALUE(REGEXEXTRACT(M$1,""T(\d+)"")),1),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N89" s="86">
        <f>IFERROR(__xludf.DUMMYFUNCTION("LET(
  monthStart,DATE(VALUE(REGEXEXTRACT(N$1,""\d{4}"")),VALUE(REGEXEXTRACT(N$1,""T(\d+)"")),1),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O89" s="86">
        <f>IFERROR(__xludf.DUMMYFUNCTION("LET(
  monthStart,DATE(VALUE(REGEXEXTRACT(O$1,""\d{4}"")),VALUE(REGEXEXTRACT(O$1,""T(\d+)"")),1),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P89" s="86">
        <f>IFERROR(__xludf.DUMMYFUNCTION("LET(
  monthStart,DATE(VALUE(REGEXEXTRACT(P$1,""\d{4}"")),VALUE(REGEXEXTRACT(P$1,""T(\d+)"")),1),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Q89" s="86">
        <f>IFERROR(__xludf.DUMMYFUNCTION("LET(
  monthStart,DATE(VALUE(REGEXEXTRACT(Q$1,""\d{4}"")),VALUE(REGEXEXTRACT(Q$1,""T(\d+)"")),1),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R89" s="86">
        <f>IFERROR(__xludf.DUMMYFUNCTION("LET(
  monthStart,DATE(VALUE(REGEXEXTRACT(R$1,""\d{4}"")),VALUE(REGEXEXTRACT(R$1,""T(\d+)"")),1),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S89" s="86">
        <f>IFERROR(__xludf.DUMMYFUNCTION("LET(
  monthStart,DATE(VALUE(REGEXEXTRACT(S$1,""\d{4}"")),VALUE(REGEXEXTRACT(S$1,""T(\d+)"")),1),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T89" s="86">
        <f>IFERROR(__xludf.DUMMYFUNCTION("LET(
  monthStart,DATE(VALUE(REGEXEXTRACT(T$1,""\d{4}"")),VALUE(REGEXEXTRACT(T$1,""T(\d+)"")),1),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U89" s="86">
        <f>IFERROR(__xludf.DUMMYFUNCTION("LET(
  monthStart,DATE(VALUE(REGEXEXTRACT(U$1,""\d{4}"")),VALUE(REGEXEXTRACT(U$1,""T(\d+)"")),1),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V89" s="86">
        <f>IFERROR(__xludf.DUMMYFUNCTION("LET(
  monthStart,DATE(VALUE(REGEXEXTRACT(V$1,""\d{4}"")),VALUE(REGEXEXTRACT(V$1,""T(\d+)"")),1),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W89" s="86">
        <f>IFERROR(__xludf.DUMMYFUNCTION("LET(
  monthStart,DATE(VALUE(REGEXEXTRACT(W$1,""\d{4}"")),VALUE(REGEXEXTRACT(W$1,""T(\d+)"")),1),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X89" s="86">
        <f>IFERROR(__xludf.DUMMYFUNCTION("LET(
  monthStart,DATE(VALUE(REGEXEXTRACT(X$1,""\d{4}"")),VALUE(REGEXEXTRACT(X$1,""T(\d+)"")),1),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Y89" s="86">
        <f>IFERROR(__xludf.DUMMYFUNCTION("LET(
  monthStart,DATE(VALUE(REGEXEXTRACT(Y$1,""\d{4}"")),VALUE(REGEXEXTRACT(Y$1,""T(\d+)"")),1),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Z89" s="67"/>
      <c r="AA89" s="67"/>
      <c r="AB89" s="67"/>
      <c r="AC89" s="67"/>
      <c r="AD89" s="67"/>
      <c r="AE89" s="67"/>
      <c r="AF89" s="64"/>
      <c r="AJ89" s="64"/>
      <c r="AK89" s="64"/>
      <c r="AO89" s="64"/>
      <c r="AP89" s="64"/>
      <c r="AT89" s="64"/>
      <c r="AX89" s="64"/>
      <c r="AY89" s="77"/>
      <c r="AZ89" s="77"/>
      <c r="BA89" s="88"/>
      <c r="BB89" s="72"/>
      <c r="BC89" s="72"/>
      <c r="BD89" s="67"/>
      <c r="BH89" s="64"/>
      <c r="BI89" s="64"/>
      <c r="BJ89" s="64"/>
      <c r="BK89" s="64"/>
      <c r="BL89" s="64"/>
      <c r="BM89" s="64"/>
      <c r="BN89" s="64"/>
    </row>
    <row r="90" ht="30.0" customHeight="1">
      <c r="A90" s="81"/>
      <c r="B90" s="82"/>
      <c r="C90" s="83"/>
      <c r="D90" s="84"/>
      <c r="E90" s="84"/>
      <c r="F90" s="85"/>
      <c r="G90" s="86">
        <f>IFERROR(__xludf.DUMMYFUNCTION("LET(
  monthStart,DATE(VALUE(REGEXEXTRACT(G$1,""\d{4}"")),VALUE(REGEXEXTRACT(G$1,""T(\d+)"")),1),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H90" s="86">
        <f>IFERROR(__xludf.DUMMYFUNCTION("LET(
  monthStart,DATE(VALUE(REGEXEXTRACT(H$1,""\d{4}"")),VALUE(REGEXEXTRACT(H$1,""T(\d+)"")),1),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I90" s="86">
        <f>IFERROR(__xludf.DUMMYFUNCTION("LET(
  monthStart,DATE(VALUE(REGEXEXTRACT(I$1,""\d{4}"")),VALUE(REGEXEXTRACT(I$1,""T(\d+)"")),1),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J90" s="86">
        <f>IFERROR(__xludf.DUMMYFUNCTION("LET(
  monthStart,DATE(VALUE(REGEXEXTRACT(J$1,""\d{4}"")),VALUE(REGEXEXTRACT(J$1,""T(\d+)"")),1),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K90" s="86">
        <f>IFERROR(__xludf.DUMMYFUNCTION("LET(
  monthStart,DATE(VALUE(REGEXEXTRACT(K$1,""\d{4}"")),VALUE(REGEXEXTRACT(K$1,""T(\d+)"")),1),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L90" s="86">
        <f>IFERROR(__xludf.DUMMYFUNCTION("LET(
  monthStart,DATE(VALUE(REGEXEXTRACT(L$1,""\d{4}"")),VALUE(REGEXEXTRACT(L$1,""T(\d+)"")),1),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M90" s="86">
        <f>IFERROR(__xludf.DUMMYFUNCTION("LET(
  monthStart,DATE(VALUE(REGEXEXTRACT(M$1,""\d{4}"")),VALUE(REGEXEXTRACT(M$1,""T(\d+)"")),1),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N90" s="86">
        <f>IFERROR(__xludf.DUMMYFUNCTION("LET(
  monthStart,DATE(VALUE(REGEXEXTRACT(N$1,""\d{4}"")),VALUE(REGEXEXTRACT(N$1,""T(\d+)"")),1),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O90" s="86">
        <f>IFERROR(__xludf.DUMMYFUNCTION("LET(
  monthStart,DATE(VALUE(REGEXEXTRACT(O$1,""\d{4}"")),VALUE(REGEXEXTRACT(O$1,""T(\d+)"")),1),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P90" s="86">
        <f>IFERROR(__xludf.DUMMYFUNCTION("LET(
  monthStart,DATE(VALUE(REGEXEXTRACT(P$1,""\d{4}"")),VALUE(REGEXEXTRACT(P$1,""T(\d+)"")),1),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Q90" s="86">
        <f>IFERROR(__xludf.DUMMYFUNCTION("LET(
  monthStart,DATE(VALUE(REGEXEXTRACT(Q$1,""\d{4}"")),VALUE(REGEXEXTRACT(Q$1,""T(\d+)"")),1),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R90" s="86">
        <f>IFERROR(__xludf.DUMMYFUNCTION("LET(
  monthStart,DATE(VALUE(REGEXEXTRACT(R$1,""\d{4}"")),VALUE(REGEXEXTRACT(R$1,""T(\d+)"")),1),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S90" s="86">
        <f>IFERROR(__xludf.DUMMYFUNCTION("LET(
  monthStart,DATE(VALUE(REGEXEXTRACT(S$1,""\d{4}"")),VALUE(REGEXEXTRACT(S$1,""T(\d+)"")),1),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T90" s="86">
        <f>IFERROR(__xludf.DUMMYFUNCTION("LET(
  monthStart,DATE(VALUE(REGEXEXTRACT(T$1,""\d{4}"")),VALUE(REGEXEXTRACT(T$1,""T(\d+)"")),1),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U90" s="86">
        <f>IFERROR(__xludf.DUMMYFUNCTION("LET(
  monthStart,DATE(VALUE(REGEXEXTRACT(U$1,""\d{4}"")),VALUE(REGEXEXTRACT(U$1,""T(\d+)"")),1),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V90" s="86">
        <f>IFERROR(__xludf.DUMMYFUNCTION("LET(
  monthStart,DATE(VALUE(REGEXEXTRACT(V$1,""\d{4}"")),VALUE(REGEXEXTRACT(V$1,""T(\d+)"")),1),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W90" s="86">
        <f>IFERROR(__xludf.DUMMYFUNCTION("LET(
  monthStart,DATE(VALUE(REGEXEXTRACT(W$1,""\d{4}"")),VALUE(REGEXEXTRACT(W$1,""T(\d+)"")),1),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X90" s="86">
        <f>IFERROR(__xludf.DUMMYFUNCTION("LET(
  monthStart,DATE(VALUE(REGEXEXTRACT(X$1,""\d{4}"")),VALUE(REGEXEXTRACT(X$1,""T(\d+)"")),1),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Y90" s="86">
        <f>IFERROR(__xludf.DUMMYFUNCTION("LET(
  monthStart,DATE(VALUE(REGEXEXTRACT(Y$1,""\d{4}"")),VALUE(REGEXEXTRACT(Y$1,""T(\d+)"")),1),
  monthEnd,EOMONTH(monthStart,0),
  actualStart,MAX($D90,monthStart),
  actualEnd,MIN($E90,monthEnd),
  workingDaysInMonth,NETWORKDAYS(monthStart,monthEnd),
"&amp;"  workingDaysOverlap,IF(actualStart&gt;actualEnd,0,NETWORKDAYS(actualStart,actualEnd)),
  IF(workingDaysOverlap=0,"""",$F90*workingDaysOverlap/workingDaysInMonth)
)"),0.0)</f>
        <v>0</v>
      </c>
      <c r="Z90" s="67"/>
      <c r="AA90" s="67"/>
      <c r="AB90" s="67"/>
      <c r="AC90" s="67"/>
      <c r="AD90" s="67"/>
      <c r="AE90" s="67"/>
      <c r="AF90" s="64"/>
      <c r="AJ90" s="64"/>
      <c r="AK90" s="64"/>
      <c r="AO90" s="64"/>
      <c r="AP90" s="64"/>
      <c r="AT90" s="64"/>
      <c r="AX90" s="64"/>
      <c r="AY90" s="77"/>
      <c r="AZ90" s="77"/>
      <c r="BA90" s="88"/>
      <c r="BB90" s="72"/>
      <c r="BC90" s="72"/>
      <c r="BD90" s="67"/>
      <c r="BH90" s="64"/>
      <c r="BI90" s="64"/>
      <c r="BJ90" s="64"/>
      <c r="BK90" s="64"/>
      <c r="BL90" s="64"/>
      <c r="BM90" s="64"/>
      <c r="BN90" s="64"/>
    </row>
    <row r="91" ht="30.0" customHeight="1">
      <c r="A91" s="81"/>
      <c r="B91" s="82"/>
      <c r="C91" s="83"/>
      <c r="D91" s="84"/>
      <c r="E91" s="84"/>
      <c r="F91" s="85"/>
      <c r="G91" s="86">
        <f>IFERROR(__xludf.DUMMYFUNCTION("LET(
  monthStart,DATE(VALUE(REGEXEXTRACT(G$1,""\d{4}"")),VALUE(REGEXEXTRACT(G$1,""T(\d+)"")),1),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H91" s="86">
        <f>IFERROR(__xludf.DUMMYFUNCTION("LET(
  monthStart,DATE(VALUE(REGEXEXTRACT(H$1,""\d{4}"")),VALUE(REGEXEXTRACT(H$1,""T(\d+)"")),1),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I91" s="86">
        <f>IFERROR(__xludf.DUMMYFUNCTION("LET(
  monthStart,DATE(VALUE(REGEXEXTRACT(I$1,""\d{4}"")),VALUE(REGEXEXTRACT(I$1,""T(\d+)"")),1),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J91" s="86">
        <f>IFERROR(__xludf.DUMMYFUNCTION("LET(
  monthStart,DATE(VALUE(REGEXEXTRACT(J$1,""\d{4}"")),VALUE(REGEXEXTRACT(J$1,""T(\d+)"")),1),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K91" s="86">
        <f>IFERROR(__xludf.DUMMYFUNCTION("LET(
  monthStart,DATE(VALUE(REGEXEXTRACT(K$1,""\d{4}"")),VALUE(REGEXEXTRACT(K$1,""T(\d+)"")),1),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L91" s="86">
        <f>IFERROR(__xludf.DUMMYFUNCTION("LET(
  monthStart,DATE(VALUE(REGEXEXTRACT(L$1,""\d{4}"")),VALUE(REGEXEXTRACT(L$1,""T(\d+)"")),1),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M91" s="86">
        <f>IFERROR(__xludf.DUMMYFUNCTION("LET(
  monthStart,DATE(VALUE(REGEXEXTRACT(M$1,""\d{4}"")),VALUE(REGEXEXTRACT(M$1,""T(\d+)"")),1),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N91" s="86">
        <f>IFERROR(__xludf.DUMMYFUNCTION("LET(
  monthStart,DATE(VALUE(REGEXEXTRACT(N$1,""\d{4}"")),VALUE(REGEXEXTRACT(N$1,""T(\d+)"")),1),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O91" s="86">
        <f>IFERROR(__xludf.DUMMYFUNCTION("LET(
  monthStart,DATE(VALUE(REGEXEXTRACT(O$1,""\d{4}"")),VALUE(REGEXEXTRACT(O$1,""T(\d+)"")),1),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P91" s="86">
        <f>IFERROR(__xludf.DUMMYFUNCTION("LET(
  monthStart,DATE(VALUE(REGEXEXTRACT(P$1,""\d{4}"")),VALUE(REGEXEXTRACT(P$1,""T(\d+)"")),1),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Q91" s="86">
        <f>IFERROR(__xludf.DUMMYFUNCTION("LET(
  monthStart,DATE(VALUE(REGEXEXTRACT(Q$1,""\d{4}"")),VALUE(REGEXEXTRACT(Q$1,""T(\d+)"")),1),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R91" s="86">
        <f>IFERROR(__xludf.DUMMYFUNCTION("LET(
  monthStart,DATE(VALUE(REGEXEXTRACT(R$1,""\d{4}"")),VALUE(REGEXEXTRACT(R$1,""T(\d+)"")),1),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S91" s="86">
        <f>IFERROR(__xludf.DUMMYFUNCTION("LET(
  monthStart,DATE(VALUE(REGEXEXTRACT(S$1,""\d{4}"")),VALUE(REGEXEXTRACT(S$1,""T(\d+)"")),1),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T91" s="86">
        <f>IFERROR(__xludf.DUMMYFUNCTION("LET(
  monthStart,DATE(VALUE(REGEXEXTRACT(T$1,""\d{4}"")),VALUE(REGEXEXTRACT(T$1,""T(\d+)"")),1),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U91" s="86">
        <f>IFERROR(__xludf.DUMMYFUNCTION("LET(
  monthStart,DATE(VALUE(REGEXEXTRACT(U$1,""\d{4}"")),VALUE(REGEXEXTRACT(U$1,""T(\d+)"")),1),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V91" s="86">
        <f>IFERROR(__xludf.DUMMYFUNCTION("LET(
  monthStart,DATE(VALUE(REGEXEXTRACT(V$1,""\d{4}"")),VALUE(REGEXEXTRACT(V$1,""T(\d+)"")),1),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W91" s="86">
        <f>IFERROR(__xludf.DUMMYFUNCTION("LET(
  monthStart,DATE(VALUE(REGEXEXTRACT(W$1,""\d{4}"")),VALUE(REGEXEXTRACT(W$1,""T(\d+)"")),1),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X91" s="86">
        <f>IFERROR(__xludf.DUMMYFUNCTION("LET(
  monthStart,DATE(VALUE(REGEXEXTRACT(X$1,""\d{4}"")),VALUE(REGEXEXTRACT(X$1,""T(\d+)"")),1),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Y91" s="86">
        <f>IFERROR(__xludf.DUMMYFUNCTION("LET(
  monthStart,DATE(VALUE(REGEXEXTRACT(Y$1,""\d{4}"")),VALUE(REGEXEXTRACT(Y$1,""T(\d+)"")),1),
  monthEnd,EOMONTH(monthStart,0),
  actualStart,MAX($D91,monthStart),
  actualEnd,MIN($E91,monthEnd),
  workingDaysInMonth,NETWORKDAYS(monthStart,monthEnd),
"&amp;"  workingDaysOverlap,IF(actualStart&gt;actualEnd,0,NETWORKDAYS(actualStart,actualEnd)),
  IF(workingDaysOverlap=0,"""",$F91*workingDaysOverlap/workingDaysInMonth)
)"),0.0)</f>
        <v>0</v>
      </c>
      <c r="Z91" s="67"/>
      <c r="AA91" s="67"/>
      <c r="AB91" s="67"/>
      <c r="AC91" s="67"/>
      <c r="AD91" s="67"/>
      <c r="AE91" s="67"/>
      <c r="AF91" s="64"/>
      <c r="AJ91" s="64"/>
      <c r="AK91" s="64"/>
      <c r="AO91" s="64"/>
      <c r="AP91" s="64"/>
      <c r="AT91" s="64"/>
      <c r="AX91" s="64"/>
      <c r="AY91" s="77"/>
      <c r="AZ91" s="77"/>
      <c r="BA91" s="88"/>
      <c r="BB91" s="72"/>
      <c r="BC91" s="72"/>
      <c r="BD91" s="67"/>
      <c r="BH91" s="64"/>
      <c r="BI91" s="64"/>
      <c r="BJ91" s="64"/>
      <c r="BK91" s="64"/>
      <c r="BL91" s="64"/>
      <c r="BM91" s="64"/>
      <c r="BN91" s="64"/>
    </row>
    <row r="92" ht="30.0" customHeight="1">
      <c r="A92" s="81"/>
      <c r="B92" s="82"/>
      <c r="C92" s="83"/>
      <c r="D92" s="84"/>
      <c r="E92" s="84"/>
      <c r="F92" s="85"/>
      <c r="G92" s="86">
        <f>IFERROR(__xludf.DUMMYFUNCTION("LET(
  monthStart,DATE(VALUE(REGEXEXTRACT(G$1,""\d{4}"")),VALUE(REGEXEXTRACT(G$1,""T(\d+)"")),1),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H92" s="86">
        <f>IFERROR(__xludf.DUMMYFUNCTION("LET(
  monthStart,DATE(VALUE(REGEXEXTRACT(H$1,""\d{4}"")),VALUE(REGEXEXTRACT(H$1,""T(\d+)"")),1),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I92" s="86">
        <f>IFERROR(__xludf.DUMMYFUNCTION("LET(
  monthStart,DATE(VALUE(REGEXEXTRACT(I$1,""\d{4}"")),VALUE(REGEXEXTRACT(I$1,""T(\d+)"")),1),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J92" s="86">
        <f>IFERROR(__xludf.DUMMYFUNCTION("LET(
  monthStart,DATE(VALUE(REGEXEXTRACT(J$1,""\d{4}"")),VALUE(REGEXEXTRACT(J$1,""T(\d+)"")),1),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K92" s="86">
        <f>IFERROR(__xludf.DUMMYFUNCTION("LET(
  monthStart,DATE(VALUE(REGEXEXTRACT(K$1,""\d{4}"")),VALUE(REGEXEXTRACT(K$1,""T(\d+)"")),1),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L92" s="86">
        <f>IFERROR(__xludf.DUMMYFUNCTION("LET(
  monthStart,DATE(VALUE(REGEXEXTRACT(L$1,""\d{4}"")),VALUE(REGEXEXTRACT(L$1,""T(\d+)"")),1),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M92" s="86">
        <f>IFERROR(__xludf.DUMMYFUNCTION("LET(
  monthStart,DATE(VALUE(REGEXEXTRACT(M$1,""\d{4}"")),VALUE(REGEXEXTRACT(M$1,""T(\d+)"")),1),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N92" s="86">
        <f>IFERROR(__xludf.DUMMYFUNCTION("LET(
  monthStart,DATE(VALUE(REGEXEXTRACT(N$1,""\d{4}"")),VALUE(REGEXEXTRACT(N$1,""T(\d+)"")),1),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O92" s="86">
        <f>IFERROR(__xludf.DUMMYFUNCTION("LET(
  monthStart,DATE(VALUE(REGEXEXTRACT(O$1,""\d{4}"")),VALUE(REGEXEXTRACT(O$1,""T(\d+)"")),1),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P92" s="86">
        <f>IFERROR(__xludf.DUMMYFUNCTION("LET(
  monthStart,DATE(VALUE(REGEXEXTRACT(P$1,""\d{4}"")),VALUE(REGEXEXTRACT(P$1,""T(\d+)"")),1),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Q92" s="86">
        <f>IFERROR(__xludf.DUMMYFUNCTION("LET(
  monthStart,DATE(VALUE(REGEXEXTRACT(Q$1,""\d{4}"")),VALUE(REGEXEXTRACT(Q$1,""T(\d+)"")),1),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R92" s="86">
        <f>IFERROR(__xludf.DUMMYFUNCTION("LET(
  monthStart,DATE(VALUE(REGEXEXTRACT(R$1,""\d{4}"")),VALUE(REGEXEXTRACT(R$1,""T(\d+)"")),1),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S92" s="86">
        <f>IFERROR(__xludf.DUMMYFUNCTION("LET(
  monthStart,DATE(VALUE(REGEXEXTRACT(S$1,""\d{4}"")),VALUE(REGEXEXTRACT(S$1,""T(\d+)"")),1),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T92" s="86">
        <f>IFERROR(__xludf.DUMMYFUNCTION("LET(
  monthStart,DATE(VALUE(REGEXEXTRACT(T$1,""\d{4}"")),VALUE(REGEXEXTRACT(T$1,""T(\d+)"")),1),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U92" s="86">
        <f>IFERROR(__xludf.DUMMYFUNCTION("LET(
  monthStart,DATE(VALUE(REGEXEXTRACT(U$1,""\d{4}"")),VALUE(REGEXEXTRACT(U$1,""T(\d+)"")),1),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V92" s="86">
        <f>IFERROR(__xludf.DUMMYFUNCTION("LET(
  monthStart,DATE(VALUE(REGEXEXTRACT(V$1,""\d{4}"")),VALUE(REGEXEXTRACT(V$1,""T(\d+)"")),1),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W92" s="86">
        <f>IFERROR(__xludf.DUMMYFUNCTION("LET(
  monthStart,DATE(VALUE(REGEXEXTRACT(W$1,""\d{4}"")),VALUE(REGEXEXTRACT(W$1,""T(\d+)"")),1),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X92" s="86">
        <f>IFERROR(__xludf.DUMMYFUNCTION("LET(
  monthStart,DATE(VALUE(REGEXEXTRACT(X$1,""\d{4}"")),VALUE(REGEXEXTRACT(X$1,""T(\d+)"")),1),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Y92" s="86">
        <f>IFERROR(__xludf.DUMMYFUNCTION("LET(
  monthStart,DATE(VALUE(REGEXEXTRACT(Y$1,""\d{4}"")),VALUE(REGEXEXTRACT(Y$1,""T(\d+)"")),1),
  monthEnd,EOMONTH(monthStart,0),
  actualStart,MAX($D92,monthStart),
  actualEnd,MIN($E92,monthEnd),
  workingDaysInMonth,NETWORKDAYS(monthStart,monthEnd),
"&amp;"  workingDaysOverlap,IF(actualStart&gt;actualEnd,0,NETWORKDAYS(actualStart,actualEnd)),
  IF(workingDaysOverlap=0,"""",$F92*workingDaysOverlap/workingDaysInMonth)
)"),0.0)</f>
        <v>0</v>
      </c>
      <c r="Z92" s="67"/>
      <c r="AA92" s="67"/>
      <c r="AB92" s="67"/>
      <c r="AC92" s="67"/>
      <c r="AD92" s="67"/>
      <c r="AE92" s="67"/>
      <c r="AF92" s="64"/>
      <c r="AJ92" s="64"/>
      <c r="AK92" s="64"/>
      <c r="AO92" s="64"/>
      <c r="AP92" s="64"/>
      <c r="AT92" s="64"/>
      <c r="AX92" s="64"/>
      <c r="AY92" s="77"/>
      <c r="AZ92" s="77"/>
      <c r="BA92" s="87"/>
      <c r="BB92" s="72"/>
      <c r="BC92" s="72"/>
      <c r="BD92" s="67"/>
      <c r="BH92" s="64"/>
      <c r="BI92" s="64"/>
      <c r="BJ92" s="64"/>
      <c r="BK92" s="64"/>
      <c r="BL92" s="64"/>
      <c r="BM92" s="64"/>
      <c r="BN92" s="64"/>
    </row>
    <row r="93" ht="30.0" customHeight="1">
      <c r="A93" s="81"/>
      <c r="B93" s="82"/>
      <c r="C93" s="83"/>
      <c r="D93" s="84"/>
      <c r="E93" s="84"/>
      <c r="F93" s="85"/>
      <c r="G93" s="86">
        <f>IFERROR(__xludf.DUMMYFUNCTION("LET(
  monthStart,DATE(VALUE(REGEXEXTRACT(G$1,""\d{4}"")),VALUE(REGEXEXTRACT(G$1,""T(\d+)"")),1),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H93" s="86">
        <f>IFERROR(__xludf.DUMMYFUNCTION("LET(
  monthStart,DATE(VALUE(REGEXEXTRACT(H$1,""\d{4}"")),VALUE(REGEXEXTRACT(H$1,""T(\d+)"")),1),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I93" s="86">
        <f>IFERROR(__xludf.DUMMYFUNCTION("LET(
  monthStart,DATE(VALUE(REGEXEXTRACT(I$1,""\d{4}"")),VALUE(REGEXEXTRACT(I$1,""T(\d+)"")),1),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J93" s="86">
        <f>IFERROR(__xludf.DUMMYFUNCTION("LET(
  monthStart,DATE(VALUE(REGEXEXTRACT(J$1,""\d{4}"")),VALUE(REGEXEXTRACT(J$1,""T(\d+)"")),1),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K93" s="86">
        <f>IFERROR(__xludf.DUMMYFUNCTION("LET(
  monthStart,DATE(VALUE(REGEXEXTRACT(K$1,""\d{4}"")),VALUE(REGEXEXTRACT(K$1,""T(\d+)"")),1),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L93" s="86">
        <f>IFERROR(__xludf.DUMMYFUNCTION("LET(
  monthStart,DATE(VALUE(REGEXEXTRACT(L$1,""\d{4}"")),VALUE(REGEXEXTRACT(L$1,""T(\d+)"")),1),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M93" s="86">
        <f>IFERROR(__xludf.DUMMYFUNCTION("LET(
  monthStart,DATE(VALUE(REGEXEXTRACT(M$1,""\d{4}"")),VALUE(REGEXEXTRACT(M$1,""T(\d+)"")),1),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N93" s="86">
        <f>IFERROR(__xludf.DUMMYFUNCTION("LET(
  monthStart,DATE(VALUE(REGEXEXTRACT(N$1,""\d{4}"")),VALUE(REGEXEXTRACT(N$1,""T(\d+)"")),1),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O93" s="86">
        <f>IFERROR(__xludf.DUMMYFUNCTION("LET(
  monthStart,DATE(VALUE(REGEXEXTRACT(O$1,""\d{4}"")),VALUE(REGEXEXTRACT(O$1,""T(\d+)"")),1),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P93" s="86">
        <f>IFERROR(__xludf.DUMMYFUNCTION("LET(
  monthStart,DATE(VALUE(REGEXEXTRACT(P$1,""\d{4}"")),VALUE(REGEXEXTRACT(P$1,""T(\d+)"")),1),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Q93" s="86">
        <f>IFERROR(__xludf.DUMMYFUNCTION("LET(
  monthStart,DATE(VALUE(REGEXEXTRACT(Q$1,""\d{4}"")),VALUE(REGEXEXTRACT(Q$1,""T(\d+)"")),1),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R93" s="86">
        <f>IFERROR(__xludf.DUMMYFUNCTION("LET(
  monthStart,DATE(VALUE(REGEXEXTRACT(R$1,""\d{4}"")),VALUE(REGEXEXTRACT(R$1,""T(\d+)"")),1),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S93" s="86">
        <f>IFERROR(__xludf.DUMMYFUNCTION("LET(
  monthStart,DATE(VALUE(REGEXEXTRACT(S$1,""\d{4}"")),VALUE(REGEXEXTRACT(S$1,""T(\d+)"")),1),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T93" s="86">
        <f>IFERROR(__xludf.DUMMYFUNCTION("LET(
  monthStart,DATE(VALUE(REGEXEXTRACT(T$1,""\d{4}"")),VALUE(REGEXEXTRACT(T$1,""T(\d+)"")),1),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U93" s="86">
        <f>IFERROR(__xludf.DUMMYFUNCTION("LET(
  monthStart,DATE(VALUE(REGEXEXTRACT(U$1,""\d{4}"")),VALUE(REGEXEXTRACT(U$1,""T(\d+)"")),1),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V93" s="86">
        <f>IFERROR(__xludf.DUMMYFUNCTION("LET(
  monthStart,DATE(VALUE(REGEXEXTRACT(V$1,""\d{4}"")),VALUE(REGEXEXTRACT(V$1,""T(\d+)"")),1),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W93" s="86">
        <f>IFERROR(__xludf.DUMMYFUNCTION("LET(
  monthStart,DATE(VALUE(REGEXEXTRACT(W$1,""\d{4}"")),VALUE(REGEXEXTRACT(W$1,""T(\d+)"")),1),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X93" s="86">
        <f>IFERROR(__xludf.DUMMYFUNCTION("LET(
  monthStart,DATE(VALUE(REGEXEXTRACT(X$1,""\d{4}"")),VALUE(REGEXEXTRACT(X$1,""T(\d+)"")),1),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Y93" s="86">
        <f>IFERROR(__xludf.DUMMYFUNCTION("LET(
  monthStart,DATE(VALUE(REGEXEXTRACT(Y$1,""\d{4}"")),VALUE(REGEXEXTRACT(Y$1,""T(\d+)"")),1),
  monthEnd,EOMONTH(monthStart,0),
  actualStart,MAX($D93,monthStart),
  actualEnd,MIN($E93,monthEnd),
  workingDaysInMonth,NETWORKDAYS(monthStart,monthEnd),
"&amp;"  workingDaysOverlap,IF(actualStart&gt;actualEnd,0,NETWORKDAYS(actualStart,actualEnd)),
  IF(workingDaysOverlap=0,"""",$F93*workingDaysOverlap/workingDaysInMonth)
)"),0.0)</f>
        <v>0</v>
      </c>
      <c r="Z93" s="67"/>
      <c r="AA93" s="67"/>
      <c r="AB93" s="67"/>
      <c r="AC93" s="67"/>
      <c r="AD93" s="67"/>
      <c r="AE93" s="67"/>
      <c r="AF93" s="64"/>
      <c r="AJ93" s="64"/>
      <c r="AK93" s="64"/>
      <c r="AO93" s="64"/>
      <c r="AP93" s="64"/>
      <c r="AT93" s="64"/>
      <c r="AX93" s="64"/>
      <c r="AY93" s="77"/>
      <c r="AZ93" s="77"/>
      <c r="BA93" s="88"/>
      <c r="BB93" s="72"/>
      <c r="BC93" s="72"/>
      <c r="BD93" s="67"/>
      <c r="BH93" s="64"/>
      <c r="BI93" s="64"/>
      <c r="BJ93" s="64"/>
      <c r="BK93" s="64"/>
      <c r="BL93" s="64"/>
      <c r="BM93" s="64"/>
      <c r="BN93" s="64"/>
    </row>
    <row r="94" ht="30.0" customHeight="1">
      <c r="A94" s="81"/>
      <c r="B94" s="82"/>
      <c r="C94" s="83"/>
      <c r="D94" s="84"/>
      <c r="E94" s="84"/>
      <c r="F94" s="85"/>
      <c r="G94" s="86">
        <f>IFERROR(__xludf.DUMMYFUNCTION("LET(
  monthStart,DATE(VALUE(REGEXEXTRACT(G$1,""\d{4}"")),VALUE(REGEXEXTRACT(G$1,""T(\d+)"")),1),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H94" s="86">
        <f>IFERROR(__xludf.DUMMYFUNCTION("LET(
  monthStart,DATE(VALUE(REGEXEXTRACT(H$1,""\d{4}"")),VALUE(REGEXEXTRACT(H$1,""T(\d+)"")),1),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I94" s="86">
        <f>IFERROR(__xludf.DUMMYFUNCTION("LET(
  monthStart,DATE(VALUE(REGEXEXTRACT(I$1,""\d{4}"")),VALUE(REGEXEXTRACT(I$1,""T(\d+)"")),1),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J94" s="86">
        <f>IFERROR(__xludf.DUMMYFUNCTION("LET(
  monthStart,DATE(VALUE(REGEXEXTRACT(J$1,""\d{4}"")),VALUE(REGEXEXTRACT(J$1,""T(\d+)"")),1),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K94" s="86">
        <f>IFERROR(__xludf.DUMMYFUNCTION("LET(
  monthStart,DATE(VALUE(REGEXEXTRACT(K$1,""\d{4}"")),VALUE(REGEXEXTRACT(K$1,""T(\d+)"")),1),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L94" s="86">
        <f>IFERROR(__xludf.DUMMYFUNCTION("LET(
  monthStart,DATE(VALUE(REGEXEXTRACT(L$1,""\d{4}"")),VALUE(REGEXEXTRACT(L$1,""T(\d+)"")),1),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M94" s="86">
        <f>IFERROR(__xludf.DUMMYFUNCTION("LET(
  monthStart,DATE(VALUE(REGEXEXTRACT(M$1,""\d{4}"")),VALUE(REGEXEXTRACT(M$1,""T(\d+)"")),1),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N94" s="86">
        <f>IFERROR(__xludf.DUMMYFUNCTION("LET(
  monthStart,DATE(VALUE(REGEXEXTRACT(N$1,""\d{4}"")),VALUE(REGEXEXTRACT(N$1,""T(\d+)"")),1),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O94" s="86">
        <f>IFERROR(__xludf.DUMMYFUNCTION("LET(
  monthStart,DATE(VALUE(REGEXEXTRACT(O$1,""\d{4}"")),VALUE(REGEXEXTRACT(O$1,""T(\d+)"")),1),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P94" s="86">
        <f>IFERROR(__xludf.DUMMYFUNCTION("LET(
  monthStart,DATE(VALUE(REGEXEXTRACT(P$1,""\d{4}"")),VALUE(REGEXEXTRACT(P$1,""T(\d+)"")),1),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Q94" s="86">
        <f>IFERROR(__xludf.DUMMYFUNCTION("LET(
  monthStart,DATE(VALUE(REGEXEXTRACT(Q$1,""\d{4}"")),VALUE(REGEXEXTRACT(Q$1,""T(\d+)"")),1),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R94" s="86">
        <f>IFERROR(__xludf.DUMMYFUNCTION("LET(
  monthStart,DATE(VALUE(REGEXEXTRACT(R$1,""\d{4}"")),VALUE(REGEXEXTRACT(R$1,""T(\d+)"")),1),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S94" s="86">
        <f>IFERROR(__xludf.DUMMYFUNCTION("LET(
  monthStart,DATE(VALUE(REGEXEXTRACT(S$1,""\d{4}"")),VALUE(REGEXEXTRACT(S$1,""T(\d+)"")),1),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T94" s="86">
        <f>IFERROR(__xludf.DUMMYFUNCTION("LET(
  monthStart,DATE(VALUE(REGEXEXTRACT(T$1,""\d{4}"")),VALUE(REGEXEXTRACT(T$1,""T(\d+)"")),1),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U94" s="86">
        <f>IFERROR(__xludf.DUMMYFUNCTION("LET(
  monthStart,DATE(VALUE(REGEXEXTRACT(U$1,""\d{4}"")),VALUE(REGEXEXTRACT(U$1,""T(\d+)"")),1),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V94" s="86">
        <f>IFERROR(__xludf.DUMMYFUNCTION("LET(
  monthStart,DATE(VALUE(REGEXEXTRACT(V$1,""\d{4}"")),VALUE(REGEXEXTRACT(V$1,""T(\d+)"")),1),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W94" s="86">
        <f>IFERROR(__xludf.DUMMYFUNCTION("LET(
  monthStart,DATE(VALUE(REGEXEXTRACT(W$1,""\d{4}"")),VALUE(REGEXEXTRACT(W$1,""T(\d+)"")),1),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X94" s="86">
        <f>IFERROR(__xludf.DUMMYFUNCTION("LET(
  monthStart,DATE(VALUE(REGEXEXTRACT(X$1,""\d{4}"")),VALUE(REGEXEXTRACT(X$1,""T(\d+)"")),1),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Y94" s="86">
        <f>IFERROR(__xludf.DUMMYFUNCTION("LET(
  monthStart,DATE(VALUE(REGEXEXTRACT(Y$1,""\d{4}"")),VALUE(REGEXEXTRACT(Y$1,""T(\d+)"")),1),
  monthEnd,EOMONTH(monthStart,0),
  actualStart,MAX($D94,monthStart),
  actualEnd,MIN($E94,monthEnd),
  workingDaysInMonth,NETWORKDAYS(monthStart,monthEnd),
"&amp;"  workingDaysOverlap,IF(actualStart&gt;actualEnd,0,NETWORKDAYS(actualStart,actualEnd)),
  IF(workingDaysOverlap=0,"""",$F94*workingDaysOverlap/workingDaysInMonth)
)"),0.0)</f>
        <v>0</v>
      </c>
      <c r="Z94" s="67"/>
      <c r="AA94" s="67"/>
      <c r="AB94" s="67"/>
      <c r="AC94" s="67"/>
      <c r="AD94" s="67"/>
      <c r="AE94" s="67"/>
      <c r="AF94" s="64"/>
      <c r="AJ94" s="64"/>
      <c r="AK94" s="64"/>
      <c r="AO94" s="64"/>
      <c r="AP94" s="64"/>
      <c r="AT94" s="64"/>
      <c r="AX94" s="64"/>
      <c r="AY94" s="77"/>
      <c r="AZ94" s="77"/>
      <c r="BA94" s="78"/>
      <c r="BB94" s="74"/>
      <c r="BC94" s="74"/>
      <c r="BD94" s="67"/>
      <c r="BH94" s="64"/>
      <c r="BI94" s="64"/>
      <c r="BJ94" s="64"/>
      <c r="BK94" s="64"/>
      <c r="BL94" s="64"/>
      <c r="BM94" s="64"/>
      <c r="BN94" s="64"/>
    </row>
    <row r="95" ht="30.0" customHeight="1">
      <c r="A95" s="81"/>
      <c r="B95" s="82"/>
      <c r="C95" s="83"/>
      <c r="D95" s="84"/>
      <c r="E95" s="84"/>
      <c r="F95" s="85"/>
      <c r="G95" s="86">
        <f>IFERROR(__xludf.DUMMYFUNCTION("LET(
  monthStart,DATE(VALUE(REGEXEXTRACT(G$1,""\d{4}"")),VALUE(REGEXEXTRACT(G$1,""T(\d+)"")),1),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H95" s="86">
        <f>IFERROR(__xludf.DUMMYFUNCTION("LET(
  monthStart,DATE(VALUE(REGEXEXTRACT(H$1,""\d{4}"")),VALUE(REGEXEXTRACT(H$1,""T(\d+)"")),1),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I95" s="86">
        <f>IFERROR(__xludf.DUMMYFUNCTION("LET(
  monthStart,DATE(VALUE(REGEXEXTRACT(I$1,""\d{4}"")),VALUE(REGEXEXTRACT(I$1,""T(\d+)"")),1),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J95" s="86">
        <f>IFERROR(__xludf.DUMMYFUNCTION("LET(
  monthStart,DATE(VALUE(REGEXEXTRACT(J$1,""\d{4}"")),VALUE(REGEXEXTRACT(J$1,""T(\d+)"")),1),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K95" s="86">
        <f>IFERROR(__xludf.DUMMYFUNCTION("LET(
  monthStart,DATE(VALUE(REGEXEXTRACT(K$1,""\d{4}"")),VALUE(REGEXEXTRACT(K$1,""T(\d+)"")),1),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L95" s="86">
        <f>IFERROR(__xludf.DUMMYFUNCTION("LET(
  monthStart,DATE(VALUE(REGEXEXTRACT(L$1,""\d{4}"")),VALUE(REGEXEXTRACT(L$1,""T(\d+)"")),1),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M95" s="86">
        <f>IFERROR(__xludf.DUMMYFUNCTION("LET(
  monthStart,DATE(VALUE(REGEXEXTRACT(M$1,""\d{4}"")),VALUE(REGEXEXTRACT(M$1,""T(\d+)"")),1),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N95" s="86">
        <f>IFERROR(__xludf.DUMMYFUNCTION("LET(
  monthStart,DATE(VALUE(REGEXEXTRACT(N$1,""\d{4}"")),VALUE(REGEXEXTRACT(N$1,""T(\d+)"")),1),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O95" s="86">
        <f>IFERROR(__xludf.DUMMYFUNCTION("LET(
  monthStart,DATE(VALUE(REGEXEXTRACT(O$1,""\d{4}"")),VALUE(REGEXEXTRACT(O$1,""T(\d+)"")),1),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P95" s="86">
        <f>IFERROR(__xludf.DUMMYFUNCTION("LET(
  monthStart,DATE(VALUE(REGEXEXTRACT(P$1,""\d{4}"")),VALUE(REGEXEXTRACT(P$1,""T(\d+)"")),1),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Q95" s="86">
        <f>IFERROR(__xludf.DUMMYFUNCTION("LET(
  monthStart,DATE(VALUE(REGEXEXTRACT(Q$1,""\d{4}"")),VALUE(REGEXEXTRACT(Q$1,""T(\d+)"")),1),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R95" s="86">
        <f>IFERROR(__xludf.DUMMYFUNCTION("LET(
  monthStart,DATE(VALUE(REGEXEXTRACT(R$1,""\d{4}"")),VALUE(REGEXEXTRACT(R$1,""T(\d+)"")),1),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S95" s="86">
        <f>IFERROR(__xludf.DUMMYFUNCTION("LET(
  monthStart,DATE(VALUE(REGEXEXTRACT(S$1,""\d{4}"")),VALUE(REGEXEXTRACT(S$1,""T(\d+)"")),1),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T95" s="86">
        <f>IFERROR(__xludf.DUMMYFUNCTION("LET(
  monthStart,DATE(VALUE(REGEXEXTRACT(T$1,""\d{4}"")),VALUE(REGEXEXTRACT(T$1,""T(\d+)"")),1),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U95" s="86">
        <f>IFERROR(__xludf.DUMMYFUNCTION("LET(
  monthStart,DATE(VALUE(REGEXEXTRACT(U$1,""\d{4}"")),VALUE(REGEXEXTRACT(U$1,""T(\d+)"")),1),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V95" s="86">
        <f>IFERROR(__xludf.DUMMYFUNCTION("LET(
  monthStart,DATE(VALUE(REGEXEXTRACT(V$1,""\d{4}"")),VALUE(REGEXEXTRACT(V$1,""T(\d+)"")),1),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W95" s="86">
        <f>IFERROR(__xludf.DUMMYFUNCTION("LET(
  monthStart,DATE(VALUE(REGEXEXTRACT(W$1,""\d{4}"")),VALUE(REGEXEXTRACT(W$1,""T(\d+)"")),1),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X95" s="86">
        <f>IFERROR(__xludf.DUMMYFUNCTION("LET(
  monthStart,DATE(VALUE(REGEXEXTRACT(X$1,""\d{4}"")),VALUE(REGEXEXTRACT(X$1,""T(\d+)"")),1),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Y95" s="86">
        <f>IFERROR(__xludf.DUMMYFUNCTION("LET(
  monthStart,DATE(VALUE(REGEXEXTRACT(Y$1,""\d{4}"")),VALUE(REGEXEXTRACT(Y$1,""T(\d+)"")),1),
  monthEnd,EOMONTH(monthStart,0),
  actualStart,MAX($D95,monthStart),
  actualEnd,MIN($E95,monthEnd),
  workingDaysInMonth,NETWORKDAYS(monthStart,monthEnd),
"&amp;"  workingDaysOverlap,IF(actualStart&gt;actualEnd,0,NETWORKDAYS(actualStart,actualEnd)),
  IF(workingDaysOverlap=0,"""",$F95*workingDaysOverlap/workingDaysInMonth)
)"),0.0)</f>
        <v>0</v>
      </c>
      <c r="Z95" s="67"/>
      <c r="AA95" s="67"/>
      <c r="AB95" s="67"/>
      <c r="AC95" s="67"/>
      <c r="AD95" s="67"/>
      <c r="AE95" s="67"/>
      <c r="AF95" s="64"/>
      <c r="AJ95" s="64"/>
      <c r="AK95" s="64"/>
      <c r="AO95" s="64"/>
      <c r="AP95" s="64"/>
      <c r="AT95" s="64"/>
      <c r="AX95" s="64"/>
      <c r="AY95" s="77"/>
      <c r="AZ95" s="77"/>
      <c r="BA95" s="78"/>
      <c r="BB95" s="74"/>
      <c r="BC95" s="74"/>
      <c r="BD95" s="67"/>
      <c r="BH95" s="64"/>
      <c r="BI95" s="64"/>
      <c r="BJ95" s="64"/>
      <c r="BK95" s="64"/>
      <c r="BL95" s="64"/>
      <c r="BM95" s="64"/>
      <c r="BN95" s="64"/>
    </row>
    <row r="96" ht="30.0" customHeight="1">
      <c r="A96" s="81"/>
      <c r="B96" s="82"/>
      <c r="C96" s="83"/>
      <c r="D96" s="84"/>
      <c r="E96" s="84"/>
      <c r="F96" s="85"/>
      <c r="G96" s="86">
        <f>IFERROR(__xludf.DUMMYFUNCTION("LET(
  monthStart,DATE(VALUE(REGEXEXTRACT(G$1,""\d{4}"")),VALUE(REGEXEXTRACT(G$1,""T(\d+)"")),1),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H96" s="86">
        <f>IFERROR(__xludf.DUMMYFUNCTION("LET(
  monthStart,DATE(VALUE(REGEXEXTRACT(H$1,""\d{4}"")),VALUE(REGEXEXTRACT(H$1,""T(\d+)"")),1),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I96" s="86">
        <f>IFERROR(__xludf.DUMMYFUNCTION("LET(
  monthStart,DATE(VALUE(REGEXEXTRACT(I$1,""\d{4}"")),VALUE(REGEXEXTRACT(I$1,""T(\d+)"")),1),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J96" s="86">
        <f>IFERROR(__xludf.DUMMYFUNCTION("LET(
  monthStart,DATE(VALUE(REGEXEXTRACT(J$1,""\d{4}"")),VALUE(REGEXEXTRACT(J$1,""T(\d+)"")),1),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K96" s="86">
        <f>IFERROR(__xludf.DUMMYFUNCTION("LET(
  monthStart,DATE(VALUE(REGEXEXTRACT(K$1,""\d{4}"")),VALUE(REGEXEXTRACT(K$1,""T(\d+)"")),1),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L96" s="86">
        <f>IFERROR(__xludf.DUMMYFUNCTION("LET(
  monthStart,DATE(VALUE(REGEXEXTRACT(L$1,""\d{4}"")),VALUE(REGEXEXTRACT(L$1,""T(\d+)"")),1),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M96" s="86">
        <f>IFERROR(__xludf.DUMMYFUNCTION("LET(
  monthStart,DATE(VALUE(REGEXEXTRACT(M$1,""\d{4}"")),VALUE(REGEXEXTRACT(M$1,""T(\d+)"")),1),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N96" s="86">
        <f>IFERROR(__xludf.DUMMYFUNCTION("LET(
  monthStart,DATE(VALUE(REGEXEXTRACT(N$1,""\d{4}"")),VALUE(REGEXEXTRACT(N$1,""T(\d+)"")),1),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O96" s="86">
        <f>IFERROR(__xludf.DUMMYFUNCTION("LET(
  monthStart,DATE(VALUE(REGEXEXTRACT(O$1,""\d{4}"")),VALUE(REGEXEXTRACT(O$1,""T(\d+)"")),1),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P96" s="86">
        <f>IFERROR(__xludf.DUMMYFUNCTION("LET(
  monthStart,DATE(VALUE(REGEXEXTRACT(P$1,""\d{4}"")),VALUE(REGEXEXTRACT(P$1,""T(\d+)"")),1),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Q96" s="86">
        <f>IFERROR(__xludf.DUMMYFUNCTION("LET(
  monthStart,DATE(VALUE(REGEXEXTRACT(Q$1,""\d{4}"")),VALUE(REGEXEXTRACT(Q$1,""T(\d+)"")),1),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R96" s="86">
        <f>IFERROR(__xludf.DUMMYFUNCTION("LET(
  monthStart,DATE(VALUE(REGEXEXTRACT(R$1,""\d{4}"")),VALUE(REGEXEXTRACT(R$1,""T(\d+)"")),1),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S96" s="86">
        <f>IFERROR(__xludf.DUMMYFUNCTION("LET(
  monthStart,DATE(VALUE(REGEXEXTRACT(S$1,""\d{4}"")),VALUE(REGEXEXTRACT(S$1,""T(\d+)"")),1),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T96" s="86">
        <f>IFERROR(__xludf.DUMMYFUNCTION("LET(
  monthStart,DATE(VALUE(REGEXEXTRACT(T$1,""\d{4}"")),VALUE(REGEXEXTRACT(T$1,""T(\d+)"")),1),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U96" s="86">
        <f>IFERROR(__xludf.DUMMYFUNCTION("LET(
  monthStart,DATE(VALUE(REGEXEXTRACT(U$1,""\d{4}"")),VALUE(REGEXEXTRACT(U$1,""T(\d+)"")),1),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V96" s="86">
        <f>IFERROR(__xludf.DUMMYFUNCTION("LET(
  monthStart,DATE(VALUE(REGEXEXTRACT(V$1,""\d{4}"")),VALUE(REGEXEXTRACT(V$1,""T(\d+)"")),1),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W96" s="86">
        <f>IFERROR(__xludf.DUMMYFUNCTION("LET(
  monthStart,DATE(VALUE(REGEXEXTRACT(W$1,""\d{4}"")),VALUE(REGEXEXTRACT(W$1,""T(\d+)"")),1),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X96" s="86">
        <f>IFERROR(__xludf.DUMMYFUNCTION("LET(
  monthStart,DATE(VALUE(REGEXEXTRACT(X$1,""\d{4}"")),VALUE(REGEXEXTRACT(X$1,""T(\d+)"")),1),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Y96" s="86">
        <f>IFERROR(__xludf.DUMMYFUNCTION("LET(
  monthStart,DATE(VALUE(REGEXEXTRACT(Y$1,""\d{4}"")),VALUE(REGEXEXTRACT(Y$1,""T(\d+)"")),1),
  monthEnd,EOMONTH(monthStart,0),
  actualStart,MAX($D96,monthStart),
  actualEnd,MIN($E96,monthEnd),
  workingDaysInMonth,NETWORKDAYS(monthStart,monthEnd),
"&amp;"  workingDaysOverlap,IF(actualStart&gt;actualEnd,0,NETWORKDAYS(actualStart,actualEnd)),
  IF(workingDaysOverlap=0,"""",$F96*workingDaysOverlap/workingDaysInMonth)
)"),0.0)</f>
        <v>0</v>
      </c>
      <c r="Z96" s="67"/>
      <c r="AA96" s="67"/>
      <c r="AB96" s="67"/>
      <c r="AC96" s="67"/>
      <c r="AD96" s="67"/>
      <c r="AE96" s="67"/>
      <c r="AF96" s="64"/>
      <c r="AJ96" s="64"/>
      <c r="AK96" s="64"/>
      <c r="AO96" s="64"/>
      <c r="AP96" s="64"/>
      <c r="AT96" s="64"/>
      <c r="AX96" s="64"/>
      <c r="AY96" s="77"/>
      <c r="AZ96" s="77"/>
      <c r="BA96" s="77"/>
      <c r="BB96" s="74"/>
      <c r="BC96" s="74"/>
      <c r="BD96" s="67"/>
      <c r="BH96" s="64"/>
      <c r="BI96" s="64"/>
      <c r="BJ96" s="64"/>
      <c r="BK96" s="64"/>
      <c r="BL96" s="64"/>
      <c r="BM96" s="64"/>
      <c r="BN96" s="64"/>
    </row>
    <row r="97" ht="30.0" customHeight="1">
      <c r="A97" s="81"/>
      <c r="B97" s="82"/>
      <c r="C97" s="83"/>
      <c r="D97" s="84"/>
      <c r="E97" s="84"/>
      <c r="F97" s="85"/>
      <c r="G97" s="86">
        <f>IFERROR(__xludf.DUMMYFUNCTION("LET(
  monthStart,DATE(VALUE(REGEXEXTRACT(G$1,""\d{4}"")),VALUE(REGEXEXTRACT(G$1,""T(\d+)"")),1),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H97" s="86">
        <f>IFERROR(__xludf.DUMMYFUNCTION("LET(
  monthStart,DATE(VALUE(REGEXEXTRACT(H$1,""\d{4}"")),VALUE(REGEXEXTRACT(H$1,""T(\d+)"")),1),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I97" s="86">
        <f>IFERROR(__xludf.DUMMYFUNCTION("LET(
  monthStart,DATE(VALUE(REGEXEXTRACT(I$1,""\d{4}"")),VALUE(REGEXEXTRACT(I$1,""T(\d+)"")),1),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J97" s="86">
        <f>IFERROR(__xludf.DUMMYFUNCTION("LET(
  monthStart,DATE(VALUE(REGEXEXTRACT(J$1,""\d{4}"")),VALUE(REGEXEXTRACT(J$1,""T(\d+)"")),1),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K97" s="86">
        <f>IFERROR(__xludf.DUMMYFUNCTION("LET(
  monthStart,DATE(VALUE(REGEXEXTRACT(K$1,""\d{4}"")),VALUE(REGEXEXTRACT(K$1,""T(\d+)"")),1),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L97" s="86">
        <f>IFERROR(__xludf.DUMMYFUNCTION("LET(
  monthStart,DATE(VALUE(REGEXEXTRACT(L$1,""\d{4}"")),VALUE(REGEXEXTRACT(L$1,""T(\d+)"")),1),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M97" s="86">
        <f>IFERROR(__xludf.DUMMYFUNCTION("LET(
  monthStart,DATE(VALUE(REGEXEXTRACT(M$1,""\d{4}"")),VALUE(REGEXEXTRACT(M$1,""T(\d+)"")),1),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N97" s="86">
        <f>IFERROR(__xludf.DUMMYFUNCTION("LET(
  monthStart,DATE(VALUE(REGEXEXTRACT(N$1,""\d{4}"")),VALUE(REGEXEXTRACT(N$1,""T(\d+)"")),1),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O97" s="86">
        <f>IFERROR(__xludf.DUMMYFUNCTION("LET(
  monthStart,DATE(VALUE(REGEXEXTRACT(O$1,""\d{4}"")),VALUE(REGEXEXTRACT(O$1,""T(\d+)"")),1),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P97" s="86">
        <f>IFERROR(__xludf.DUMMYFUNCTION("LET(
  monthStart,DATE(VALUE(REGEXEXTRACT(P$1,""\d{4}"")),VALUE(REGEXEXTRACT(P$1,""T(\d+)"")),1),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Q97" s="86">
        <f>IFERROR(__xludf.DUMMYFUNCTION("LET(
  monthStart,DATE(VALUE(REGEXEXTRACT(Q$1,""\d{4}"")),VALUE(REGEXEXTRACT(Q$1,""T(\d+)"")),1),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R97" s="86">
        <f>IFERROR(__xludf.DUMMYFUNCTION("LET(
  monthStart,DATE(VALUE(REGEXEXTRACT(R$1,""\d{4}"")),VALUE(REGEXEXTRACT(R$1,""T(\d+)"")),1),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S97" s="86">
        <f>IFERROR(__xludf.DUMMYFUNCTION("LET(
  monthStart,DATE(VALUE(REGEXEXTRACT(S$1,""\d{4}"")),VALUE(REGEXEXTRACT(S$1,""T(\d+)"")),1),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T97" s="86">
        <f>IFERROR(__xludf.DUMMYFUNCTION("LET(
  monthStart,DATE(VALUE(REGEXEXTRACT(T$1,""\d{4}"")),VALUE(REGEXEXTRACT(T$1,""T(\d+)"")),1),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U97" s="86">
        <f>IFERROR(__xludf.DUMMYFUNCTION("LET(
  monthStart,DATE(VALUE(REGEXEXTRACT(U$1,""\d{4}"")),VALUE(REGEXEXTRACT(U$1,""T(\d+)"")),1),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V97" s="86">
        <f>IFERROR(__xludf.DUMMYFUNCTION("LET(
  monthStart,DATE(VALUE(REGEXEXTRACT(V$1,""\d{4}"")),VALUE(REGEXEXTRACT(V$1,""T(\d+)"")),1),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W97" s="86">
        <f>IFERROR(__xludf.DUMMYFUNCTION("LET(
  monthStart,DATE(VALUE(REGEXEXTRACT(W$1,""\d{4}"")),VALUE(REGEXEXTRACT(W$1,""T(\d+)"")),1),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X97" s="86">
        <f>IFERROR(__xludf.DUMMYFUNCTION("LET(
  monthStart,DATE(VALUE(REGEXEXTRACT(X$1,""\d{4}"")),VALUE(REGEXEXTRACT(X$1,""T(\d+)"")),1),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Y97" s="86">
        <f>IFERROR(__xludf.DUMMYFUNCTION("LET(
  monthStart,DATE(VALUE(REGEXEXTRACT(Y$1,""\d{4}"")),VALUE(REGEXEXTRACT(Y$1,""T(\d+)"")),1),
  monthEnd,EOMONTH(monthStart,0),
  actualStart,MAX($D97,monthStart),
  actualEnd,MIN($E97,monthEnd),
  workingDaysInMonth,NETWORKDAYS(monthStart,monthEnd),
"&amp;"  workingDaysOverlap,IF(actualStart&gt;actualEnd,0,NETWORKDAYS(actualStart,actualEnd)),
  IF(workingDaysOverlap=0,"""",$F97*workingDaysOverlap/workingDaysInMonth)
)"),0.0)</f>
        <v>0</v>
      </c>
      <c r="Z97" s="67"/>
      <c r="AA97" s="67"/>
      <c r="AB97" s="67"/>
      <c r="AC97" s="67"/>
      <c r="AD97" s="67"/>
      <c r="AE97" s="67"/>
      <c r="AF97" s="64"/>
      <c r="AJ97" s="64"/>
      <c r="AK97" s="64"/>
      <c r="AO97" s="64"/>
      <c r="AP97" s="64"/>
      <c r="AT97" s="64"/>
      <c r="AX97" s="64"/>
      <c r="AY97" s="77"/>
      <c r="AZ97" s="77"/>
      <c r="BA97" s="78"/>
      <c r="BB97" s="74"/>
      <c r="BC97" s="74"/>
      <c r="BD97" s="67"/>
      <c r="BH97" s="64"/>
      <c r="BI97" s="64"/>
      <c r="BJ97" s="64"/>
      <c r="BK97" s="64"/>
      <c r="BL97" s="64"/>
      <c r="BM97" s="64"/>
      <c r="BN97" s="64"/>
    </row>
    <row r="98" ht="30.0" customHeight="1">
      <c r="A98" s="81"/>
      <c r="B98" s="82"/>
      <c r="C98" s="83"/>
      <c r="D98" s="84"/>
      <c r="E98" s="84"/>
      <c r="F98" s="85"/>
      <c r="G98" s="86">
        <f>IFERROR(__xludf.DUMMYFUNCTION("LET(
  monthStart,DATE(VALUE(REGEXEXTRACT(G$1,""\d{4}"")),VALUE(REGEXEXTRACT(G$1,""T(\d+)"")),1),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H98" s="86">
        <f>IFERROR(__xludf.DUMMYFUNCTION("LET(
  monthStart,DATE(VALUE(REGEXEXTRACT(H$1,""\d{4}"")),VALUE(REGEXEXTRACT(H$1,""T(\d+)"")),1),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I98" s="86">
        <f>IFERROR(__xludf.DUMMYFUNCTION("LET(
  monthStart,DATE(VALUE(REGEXEXTRACT(I$1,""\d{4}"")),VALUE(REGEXEXTRACT(I$1,""T(\d+)"")),1),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J98" s="86">
        <f>IFERROR(__xludf.DUMMYFUNCTION("LET(
  monthStart,DATE(VALUE(REGEXEXTRACT(J$1,""\d{4}"")),VALUE(REGEXEXTRACT(J$1,""T(\d+)"")),1),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K98" s="86">
        <f>IFERROR(__xludf.DUMMYFUNCTION("LET(
  monthStart,DATE(VALUE(REGEXEXTRACT(K$1,""\d{4}"")),VALUE(REGEXEXTRACT(K$1,""T(\d+)"")),1),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L98" s="86">
        <f>IFERROR(__xludf.DUMMYFUNCTION("LET(
  monthStart,DATE(VALUE(REGEXEXTRACT(L$1,""\d{4}"")),VALUE(REGEXEXTRACT(L$1,""T(\d+)"")),1),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M98" s="86">
        <f>IFERROR(__xludf.DUMMYFUNCTION("LET(
  monthStart,DATE(VALUE(REGEXEXTRACT(M$1,""\d{4}"")),VALUE(REGEXEXTRACT(M$1,""T(\d+)"")),1),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N98" s="86">
        <f>IFERROR(__xludf.DUMMYFUNCTION("LET(
  monthStart,DATE(VALUE(REGEXEXTRACT(N$1,""\d{4}"")),VALUE(REGEXEXTRACT(N$1,""T(\d+)"")),1),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O98" s="86">
        <f>IFERROR(__xludf.DUMMYFUNCTION("LET(
  monthStart,DATE(VALUE(REGEXEXTRACT(O$1,""\d{4}"")),VALUE(REGEXEXTRACT(O$1,""T(\d+)"")),1),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P98" s="86">
        <f>IFERROR(__xludf.DUMMYFUNCTION("LET(
  monthStart,DATE(VALUE(REGEXEXTRACT(P$1,""\d{4}"")),VALUE(REGEXEXTRACT(P$1,""T(\d+)"")),1),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Q98" s="86">
        <f>IFERROR(__xludf.DUMMYFUNCTION("LET(
  monthStart,DATE(VALUE(REGEXEXTRACT(Q$1,""\d{4}"")),VALUE(REGEXEXTRACT(Q$1,""T(\d+)"")),1),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R98" s="86">
        <f>IFERROR(__xludf.DUMMYFUNCTION("LET(
  monthStart,DATE(VALUE(REGEXEXTRACT(R$1,""\d{4}"")),VALUE(REGEXEXTRACT(R$1,""T(\d+)"")),1),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S98" s="86">
        <f>IFERROR(__xludf.DUMMYFUNCTION("LET(
  monthStart,DATE(VALUE(REGEXEXTRACT(S$1,""\d{4}"")),VALUE(REGEXEXTRACT(S$1,""T(\d+)"")),1),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T98" s="86">
        <f>IFERROR(__xludf.DUMMYFUNCTION("LET(
  monthStart,DATE(VALUE(REGEXEXTRACT(T$1,""\d{4}"")),VALUE(REGEXEXTRACT(T$1,""T(\d+)"")),1),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U98" s="86">
        <f>IFERROR(__xludf.DUMMYFUNCTION("LET(
  monthStart,DATE(VALUE(REGEXEXTRACT(U$1,""\d{4}"")),VALUE(REGEXEXTRACT(U$1,""T(\d+)"")),1),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V98" s="86">
        <f>IFERROR(__xludf.DUMMYFUNCTION("LET(
  monthStart,DATE(VALUE(REGEXEXTRACT(V$1,""\d{4}"")),VALUE(REGEXEXTRACT(V$1,""T(\d+)"")),1),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W98" s="86">
        <f>IFERROR(__xludf.DUMMYFUNCTION("LET(
  monthStart,DATE(VALUE(REGEXEXTRACT(W$1,""\d{4}"")),VALUE(REGEXEXTRACT(W$1,""T(\d+)"")),1),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X98" s="86">
        <f>IFERROR(__xludf.DUMMYFUNCTION("LET(
  monthStart,DATE(VALUE(REGEXEXTRACT(X$1,""\d{4}"")),VALUE(REGEXEXTRACT(X$1,""T(\d+)"")),1),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Y98" s="86">
        <f>IFERROR(__xludf.DUMMYFUNCTION("LET(
  monthStart,DATE(VALUE(REGEXEXTRACT(Y$1,""\d{4}"")),VALUE(REGEXEXTRACT(Y$1,""T(\d+)"")),1),
  monthEnd,EOMONTH(monthStart,0),
  actualStart,MAX($D98,monthStart),
  actualEnd,MIN($E98,monthEnd),
  workingDaysInMonth,NETWORKDAYS(monthStart,monthEnd),
"&amp;"  workingDaysOverlap,IF(actualStart&gt;actualEnd,0,NETWORKDAYS(actualStart,actualEnd)),
  IF(workingDaysOverlap=0,"""",$F98*workingDaysOverlap/workingDaysInMonth)
)"),0.0)</f>
        <v>0</v>
      </c>
      <c r="Z98" s="67"/>
      <c r="AA98" s="67"/>
      <c r="AB98" s="67"/>
      <c r="AC98" s="67"/>
      <c r="AD98" s="67"/>
      <c r="AE98" s="67"/>
      <c r="AF98" s="64"/>
      <c r="AJ98" s="64"/>
      <c r="AK98" s="64"/>
      <c r="AO98" s="64"/>
      <c r="AP98" s="64"/>
      <c r="AT98" s="64"/>
      <c r="AX98" s="64"/>
      <c r="AY98" s="77"/>
      <c r="AZ98" s="77"/>
      <c r="BA98" s="77"/>
      <c r="BB98" s="74"/>
      <c r="BC98" s="74"/>
      <c r="BD98" s="67"/>
      <c r="BH98" s="64"/>
      <c r="BI98" s="64"/>
      <c r="BJ98" s="64"/>
      <c r="BK98" s="64"/>
      <c r="BL98" s="64"/>
      <c r="BM98" s="64"/>
      <c r="BN98" s="64"/>
    </row>
    <row r="99" ht="30.0" customHeight="1">
      <c r="A99" s="81"/>
      <c r="B99" s="82"/>
      <c r="C99" s="83"/>
      <c r="D99" s="84"/>
      <c r="E99" s="84"/>
      <c r="F99" s="85"/>
      <c r="G99" s="86">
        <f>IFERROR(__xludf.DUMMYFUNCTION("LET(
  monthStart,DATE(VALUE(REGEXEXTRACT(G$1,""\d{4}"")),VALUE(REGEXEXTRACT(G$1,""T(\d+)"")),1),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H99" s="86">
        <f>IFERROR(__xludf.DUMMYFUNCTION("LET(
  monthStart,DATE(VALUE(REGEXEXTRACT(H$1,""\d{4}"")),VALUE(REGEXEXTRACT(H$1,""T(\d+)"")),1),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I99" s="86">
        <f>IFERROR(__xludf.DUMMYFUNCTION("LET(
  monthStart,DATE(VALUE(REGEXEXTRACT(I$1,""\d{4}"")),VALUE(REGEXEXTRACT(I$1,""T(\d+)"")),1),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J99" s="86">
        <f>IFERROR(__xludf.DUMMYFUNCTION("LET(
  monthStart,DATE(VALUE(REGEXEXTRACT(J$1,""\d{4}"")),VALUE(REGEXEXTRACT(J$1,""T(\d+)"")),1),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K99" s="86">
        <f>IFERROR(__xludf.DUMMYFUNCTION("LET(
  monthStart,DATE(VALUE(REGEXEXTRACT(K$1,""\d{4}"")),VALUE(REGEXEXTRACT(K$1,""T(\d+)"")),1),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L99" s="86">
        <f>IFERROR(__xludf.DUMMYFUNCTION("LET(
  monthStart,DATE(VALUE(REGEXEXTRACT(L$1,""\d{4}"")),VALUE(REGEXEXTRACT(L$1,""T(\d+)"")),1),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M99" s="86">
        <f>IFERROR(__xludf.DUMMYFUNCTION("LET(
  monthStart,DATE(VALUE(REGEXEXTRACT(M$1,""\d{4}"")),VALUE(REGEXEXTRACT(M$1,""T(\d+)"")),1),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N99" s="86">
        <f>IFERROR(__xludf.DUMMYFUNCTION("LET(
  monthStart,DATE(VALUE(REGEXEXTRACT(N$1,""\d{4}"")),VALUE(REGEXEXTRACT(N$1,""T(\d+)"")),1),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O99" s="86">
        <f>IFERROR(__xludf.DUMMYFUNCTION("LET(
  monthStart,DATE(VALUE(REGEXEXTRACT(O$1,""\d{4}"")),VALUE(REGEXEXTRACT(O$1,""T(\d+)"")),1),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P99" s="86">
        <f>IFERROR(__xludf.DUMMYFUNCTION("LET(
  monthStart,DATE(VALUE(REGEXEXTRACT(P$1,""\d{4}"")),VALUE(REGEXEXTRACT(P$1,""T(\d+)"")),1),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Q99" s="86">
        <f>IFERROR(__xludf.DUMMYFUNCTION("LET(
  monthStart,DATE(VALUE(REGEXEXTRACT(Q$1,""\d{4}"")),VALUE(REGEXEXTRACT(Q$1,""T(\d+)"")),1),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R99" s="86">
        <f>IFERROR(__xludf.DUMMYFUNCTION("LET(
  monthStart,DATE(VALUE(REGEXEXTRACT(R$1,""\d{4}"")),VALUE(REGEXEXTRACT(R$1,""T(\d+)"")),1),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S99" s="86">
        <f>IFERROR(__xludf.DUMMYFUNCTION("LET(
  monthStart,DATE(VALUE(REGEXEXTRACT(S$1,""\d{4}"")),VALUE(REGEXEXTRACT(S$1,""T(\d+)"")),1),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T99" s="86">
        <f>IFERROR(__xludf.DUMMYFUNCTION("LET(
  monthStart,DATE(VALUE(REGEXEXTRACT(T$1,""\d{4}"")),VALUE(REGEXEXTRACT(T$1,""T(\d+)"")),1),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U99" s="86">
        <f>IFERROR(__xludf.DUMMYFUNCTION("LET(
  monthStart,DATE(VALUE(REGEXEXTRACT(U$1,""\d{4}"")),VALUE(REGEXEXTRACT(U$1,""T(\d+)"")),1),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V99" s="86">
        <f>IFERROR(__xludf.DUMMYFUNCTION("LET(
  monthStart,DATE(VALUE(REGEXEXTRACT(V$1,""\d{4}"")),VALUE(REGEXEXTRACT(V$1,""T(\d+)"")),1),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W99" s="86">
        <f>IFERROR(__xludf.DUMMYFUNCTION("LET(
  monthStart,DATE(VALUE(REGEXEXTRACT(W$1,""\d{4}"")),VALUE(REGEXEXTRACT(W$1,""T(\d+)"")),1),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X99" s="86">
        <f>IFERROR(__xludf.DUMMYFUNCTION("LET(
  monthStart,DATE(VALUE(REGEXEXTRACT(X$1,""\d{4}"")),VALUE(REGEXEXTRACT(X$1,""T(\d+)"")),1),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Y99" s="86">
        <f>IFERROR(__xludf.DUMMYFUNCTION("LET(
  monthStart,DATE(VALUE(REGEXEXTRACT(Y$1,""\d{4}"")),VALUE(REGEXEXTRACT(Y$1,""T(\d+)"")),1),
  monthEnd,EOMONTH(monthStart,0),
  actualStart,MAX($D99,monthStart),
  actualEnd,MIN($E99,monthEnd),
  workingDaysInMonth,NETWORKDAYS(monthStart,monthEnd),
"&amp;"  workingDaysOverlap,IF(actualStart&gt;actualEnd,0,NETWORKDAYS(actualStart,actualEnd)),
  IF(workingDaysOverlap=0,"""",$F99*workingDaysOverlap/workingDaysInMonth)
)"),0.0)</f>
        <v>0</v>
      </c>
      <c r="Z99" s="67"/>
      <c r="AA99" s="67"/>
      <c r="AB99" s="67"/>
      <c r="AC99" s="67"/>
      <c r="AD99" s="67"/>
      <c r="AE99" s="67"/>
      <c r="AF99" s="64"/>
      <c r="AJ99" s="64"/>
      <c r="AK99" s="64"/>
      <c r="AO99" s="64"/>
      <c r="AP99" s="64"/>
      <c r="AT99" s="64"/>
      <c r="AX99" s="64"/>
      <c r="AY99" s="77"/>
      <c r="AZ99" s="77"/>
      <c r="BA99" s="77"/>
      <c r="BB99" s="74"/>
      <c r="BC99" s="74"/>
      <c r="BD99" s="67"/>
      <c r="BH99" s="64"/>
      <c r="BI99" s="64"/>
      <c r="BJ99" s="64"/>
      <c r="BK99" s="64"/>
      <c r="BL99" s="64"/>
      <c r="BM99" s="64"/>
      <c r="BN99" s="64"/>
    </row>
    <row r="100" ht="30.0" customHeight="1">
      <c r="A100" s="81"/>
      <c r="B100" s="82"/>
      <c r="C100" s="83"/>
      <c r="D100" s="84"/>
      <c r="E100" s="84"/>
      <c r="F100" s="85"/>
      <c r="G100" s="86">
        <f>IFERROR(__xludf.DUMMYFUNCTION("LET(
  monthStart,DATE(VALUE(REGEXEXTRACT(G$1,""\d{4}"")),VALUE(REGEXEXTRACT(G$1,""T(\d+)"")),1),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H100" s="86">
        <f>IFERROR(__xludf.DUMMYFUNCTION("LET(
  monthStart,DATE(VALUE(REGEXEXTRACT(H$1,""\d{4}"")),VALUE(REGEXEXTRACT(H$1,""T(\d+)"")),1),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I100" s="86">
        <f>IFERROR(__xludf.DUMMYFUNCTION("LET(
  monthStart,DATE(VALUE(REGEXEXTRACT(I$1,""\d{4}"")),VALUE(REGEXEXTRACT(I$1,""T(\d+)"")),1),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J100" s="86">
        <f>IFERROR(__xludf.DUMMYFUNCTION("LET(
  monthStart,DATE(VALUE(REGEXEXTRACT(J$1,""\d{4}"")),VALUE(REGEXEXTRACT(J$1,""T(\d+)"")),1),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K100" s="86">
        <f>IFERROR(__xludf.DUMMYFUNCTION("LET(
  monthStart,DATE(VALUE(REGEXEXTRACT(K$1,""\d{4}"")),VALUE(REGEXEXTRACT(K$1,""T(\d+)"")),1),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L100" s="86">
        <f>IFERROR(__xludf.DUMMYFUNCTION("LET(
  monthStart,DATE(VALUE(REGEXEXTRACT(L$1,""\d{4}"")),VALUE(REGEXEXTRACT(L$1,""T(\d+)"")),1),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M100" s="86">
        <f>IFERROR(__xludf.DUMMYFUNCTION("LET(
  monthStart,DATE(VALUE(REGEXEXTRACT(M$1,""\d{4}"")),VALUE(REGEXEXTRACT(M$1,""T(\d+)"")),1),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N100" s="86">
        <f>IFERROR(__xludf.DUMMYFUNCTION("LET(
  monthStart,DATE(VALUE(REGEXEXTRACT(N$1,""\d{4}"")),VALUE(REGEXEXTRACT(N$1,""T(\d+)"")),1),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O100" s="86">
        <f>IFERROR(__xludf.DUMMYFUNCTION("LET(
  monthStart,DATE(VALUE(REGEXEXTRACT(O$1,""\d{4}"")),VALUE(REGEXEXTRACT(O$1,""T(\d+)"")),1),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P100" s="86">
        <f>IFERROR(__xludf.DUMMYFUNCTION("LET(
  monthStart,DATE(VALUE(REGEXEXTRACT(P$1,""\d{4}"")),VALUE(REGEXEXTRACT(P$1,""T(\d+)"")),1),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Q100" s="86">
        <f>IFERROR(__xludf.DUMMYFUNCTION("LET(
  monthStart,DATE(VALUE(REGEXEXTRACT(Q$1,""\d{4}"")),VALUE(REGEXEXTRACT(Q$1,""T(\d+)"")),1),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R100" s="86">
        <f>IFERROR(__xludf.DUMMYFUNCTION("LET(
  monthStart,DATE(VALUE(REGEXEXTRACT(R$1,""\d{4}"")),VALUE(REGEXEXTRACT(R$1,""T(\d+)"")),1),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S100" s="86">
        <f>IFERROR(__xludf.DUMMYFUNCTION("LET(
  monthStart,DATE(VALUE(REGEXEXTRACT(S$1,""\d{4}"")),VALUE(REGEXEXTRACT(S$1,""T(\d+)"")),1),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T100" s="86">
        <f>IFERROR(__xludf.DUMMYFUNCTION("LET(
  monthStart,DATE(VALUE(REGEXEXTRACT(T$1,""\d{4}"")),VALUE(REGEXEXTRACT(T$1,""T(\d+)"")),1),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U100" s="86">
        <f>IFERROR(__xludf.DUMMYFUNCTION("LET(
  monthStart,DATE(VALUE(REGEXEXTRACT(U$1,""\d{4}"")),VALUE(REGEXEXTRACT(U$1,""T(\d+)"")),1),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V100" s="86">
        <f>IFERROR(__xludf.DUMMYFUNCTION("LET(
  monthStart,DATE(VALUE(REGEXEXTRACT(V$1,""\d{4}"")),VALUE(REGEXEXTRACT(V$1,""T(\d+)"")),1),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W100" s="86">
        <f>IFERROR(__xludf.DUMMYFUNCTION("LET(
  monthStart,DATE(VALUE(REGEXEXTRACT(W$1,""\d{4}"")),VALUE(REGEXEXTRACT(W$1,""T(\d+)"")),1),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X100" s="86">
        <f>IFERROR(__xludf.DUMMYFUNCTION("LET(
  monthStart,DATE(VALUE(REGEXEXTRACT(X$1,""\d{4}"")),VALUE(REGEXEXTRACT(X$1,""T(\d+)"")),1),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Y100" s="86">
        <f>IFERROR(__xludf.DUMMYFUNCTION("LET(
  monthStart,DATE(VALUE(REGEXEXTRACT(Y$1,""\d{4}"")),VALUE(REGEXEXTRACT(Y$1,""T(\d+)"")),1),
  monthEnd,EOMONTH(monthStart,0),
  actualStart,MAX($D100,monthStart),
  actualEnd,MIN($E100,monthEnd),
  workingDaysInMonth,NETWORKDAYS(monthStart,monthEnd)"&amp;",
  workingDaysOverlap,IF(actualStart&gt;actualEnd,0,NETWORKDAYS(actualStart,actualEnd)),
  IF(workingDaysOverlap=0,"""",$F100*workingDaysOverlap/workingDaysInMonth)
)"),0.0)</f>
        <v>0</v>
      </c>
      <c r="Z100" s="75"/>
      <c r="AA100" s="75"/>
      <c r="AB100" s="75"/>
      <c r="AC100" s="75"/>
      <c r="AD100" s="75"/>
      <c r="AE100" s="75"/>
      <c r="AF100" s="64"/>
      <c r="AJ100" s="64"/>
      <c r="AK100" s="64"/>
      <c r="AO100" s="64"/>
      <c r="AP100" s="64"/>
      <c r="AT100" s="64"/>
      <c r="AX100" s="64"/>
      <c r="AY100" s="77"/>
      <c r="AZ100" s="77"/>
      <c r="BA100" s="78"/>
      <c r="BB100" s="74"/>
      <c r="BC100" s="74"/>
      <c r="BD100" s="67"/>
      <c r="BH100" s="64"/>
      <c r="BI100" s="64"/>
      <c r="BJ100" s="64"/>
      <c r="BK100" s="64"/>
      <c r="BL100" s="64"/>
      <c r="BM100" s="64"/>
      <c r="BN100" s="64"/>
    </row>
    <row r="101" ht="30.0" customHeight="1">
      <c r="A101" s="81"/>
      <c r="B101" s="82"/>
      <c r="C101" s="83"/>
      <c r="D101" s="84"/>
      <c r="E101" s="84"/>
      <c r="F101" s="85"/>
      <c r="G101" s="86">
        <f>IFERROR(__xludf.DUMMYFUNCTION("LET(
  monthStart,DATE(VALUE(REGEXEXTRACT(G$1,""\d{4}"")),VALUE(REGEXEXTRACT(G$1,""T(\d+)"")),1),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H101" s="86">
        <f>IFERROR(__xludf.DUMMYFUNCTION("LET(
  monthStart,DATE(VALUE(REGEXEXTRACT(H$1,""\d{4}"")),VALUE(REGEXEXTRACT(H$1,""T(\d+)"")),1),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I101" s="86">
        <f>IFERROR(__xludf.DUMMYFUNCTION("LET(
  monthStart,DATE(VALUE(REGEXEXTRACT(I$1,""\d{4}"")),VALUE(REGEXEXTRACT(I$1,""T(\d+)"")),1),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J101" s="86">
        <f>IFERROR(__xludf.DUMMYFUNCTION("LET(
  monthStart,DATE(VALUE(REGEXEXTRACT(J$1,""\d{4}"")),VALUE(REGEXEXTRACT(J$1,""T(\d+)"")),1),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K101" s="86">
        <f>IFERROR(__xludf.DUMMYFUNCTION("LET(
  monthStart,DATE(VALUE(REGEXEXTRACT(K$1,""\d{4}"")),VALUE(REGEXEXTRACT(K$1,""T(\d+)"")),1),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L101" s="86">
        <f>IFERROR(__xludf.DUMMYFUNCTION("LET(
  monthStart,DATE(VALUE(REGEXEXTRACT(L$1,""\d{4}"")),VALUE(REGEXEXTRACT(L$1,""T(\d+)"")),1),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M101" s="86">
        <f>IFERROR(__xludf.DUMMYFUNCTION("LET(
  monthStart,DATE(VALUE(REGEXEXTRACT(M$1,""\d{4}"")),VALUE(REGEXEXTRACT(M$1,""T(\d+)"")),1),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N101" s="86">
        <f>IFERROR(__xludf.DUMMYFUNCTION("LET(
  monthStart,DATE(VALUE(REGEXEXTRACT(N$1,""\d{4}"")),VALUE(REGEXEXTRACT(N$1,""T(\d+)"")),1),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O101" s="86">
        <f>IFERROR(__xludf.DUMMYFUNCTION("LET(
  monthStart,DATE(VALUE(REGEXEXTRACT(O$1,""\d{4}"")),VALUE(REGEXEXTRACT(O$1,""T(\d+)"")),1),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P101" s="86">
        <f>IFERROR(__xludf.DUMMYFUNCTION("LET(
  monthStart,DATE(VALUE(REGEXEXTRACT(P$1,""\d{4}"")),VALUE(REGEXEXTRACT(P$1,""T(\d+)"")),1),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Q101" s="86">
        <f>IFERROR(__xludf.DUMMYFUNCTION("LET(
  monthStart,DATE(VALUE(REGEXEXTRACT(Q$1,""\d{4}"")),VALUE(REGEXEXTRACT(Q$1,""T(\d+)"")),1),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R101" s="86">
        <f>IFERROR(__xludf.DUMMYFUNCTION("LET(
  monthStart,DATE(VALUE(REGEXEXTRACT(R$1,""\d{4}"")),VALUE(REGEXEXTRACT(R$1,""T(\d+)"")),1),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S101" s="86">
        <f>IFERROR(__xludf.DUMMYFUNCTION("LET(
  monthStart,DATE(VALUE(REGEXEXTRACT(S$1,""\d{4}"")),VALUE(REGEXEXTRACT(S$1,""T(\d+)"")),1),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T101" s="86">
        <f>IFERROR(__xludf.DUMMYFUNCTION("LET(
  monthStart,DATE(VALUE(REGEXEXTRACT(T$1,""\d{4}"")),VALUE(REGEXEXTRACT(T$1,""T(\d+)"")),1),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U101" s="86">
        <f>IFERROR(__xludf.DUMMYFUNCTION("LET(
  monthStart,DATE(VALUE(REGEXEXTRACT(U$1,""\d{4}"")),VALUE(REGEXEXTRACT(U$1,""T(\d+)"")),1),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V101" s="86">
        <f>IFERROR(__xludf.DUMMYFUNCTION("LET(
  monthStart,DATE(VALUE(REGEXEXTRACT(V$1,""\d{4}"")),VALUE(REGEXEXTRACT(V$1,""T(\d+)"")),1),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W101" s="86">
        <f>IFERROR(__xludf.DUMMYFUNCTION("LET(
  monthStart,DATE(VALUE(REGEXEXTRACT(W$1,""\d{4}"")),VALUE(REGEXEXTRACT(W$1,""T(\d+)"")),1),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X101" s="86">
        <f>IFERROR(__xludf.DUMMYFUNCTION("LET(
  monthStart,DATE(VALUE(REGEXEXTRACT(X$1,""\d{4}"")),VALUE(REGEXEXTRACT(X$1,""T(\d+)"")),1),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Y101" s="86">
        <f>IFERROR(__xludf.DUMMYFUNCTION("LET(
  monthStart,DATE(VALUE(REGEXEXTRACT(Y$1,""\d{4}"")),VALUE(REGEXEXTRACT(Y$1,""T(\d+)"")),1),
  monthEnd,EOMONTH(monthStart,0),
  actualStart,MAX($D101,monthStart),
  actualEnd,MIN($E101,monthEnd),
  workingDaysInMonth,NETWORKDAYS(monthStart,monthEnd)"&amp;",
  workingDaysOverlap,IF(actualStart&gt;actualEnd,0,NETWORKDAYS(actualStart,actualEnd)),
  IF(workingDaysOverlap=0,"""",$F101*workingDaysOverlap/workingDaysInMonth)
)"),0.0)</f>
        <v>0</v>
      </c>
      <c r="Z101" s="75"/>
      <c r="AA101" s="75"/>
      <c r="AB101" s="75"/>
      <c r="AC101" s="75"/>
      <c r="AD101" s="75"/>
      <c r="AE101" s="75"/>
      <c r="AF101" s="64"/>
      <c r="AJ101" s="64"/>
      <c r="AK101" s="64"/>
      <c r="AO101" s="64"/>
      <c r="AP101" s="64"/>
      <c r="AT101" s="64"/>
      <c r="AX101" s="64"/>
      <c r="AY101" s="77"/>
      <c r="AZ101" s="77"/>
      <c r="BA101" s="78"/>
      <c r="BB101" s="74"/>
      <c r="BC101" s="74"/>
      <c r="BD101" s="67"/>
      <c r="BH101" s="64"/>
      <c r="BI101" s="64"/>
      <c r="BJ101" s="64"/>
      <c r="BK101" s="64"/>
      <c r="BL101" s="64"/>
      <c r="BM101" s="64"/>
      <c r="BN101" s="64"/>
    </row>
    <row r="102" ht="30.0" customHeight="1">
      <c r="A102" s="81"/>
      <c r="B102" s="82"/>
      <c r="C102" s="83"/>
      <c r="D102" s="84"/>
      <c r="E102" s="84"/>
      <c r="F102" s="85"/>
      <c r="G102" s="86">
        <f>IFERROR(__xludf.DUMMYFUNCTION("LET(
  monthStart,DATE(VALUE(REGEXEXTRACT(G$1,""\d{4}"")),VALUE(REGEXEXTRACT(G$1,""T(\d+)"")),1),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H102" s="86">
        <f>IFERROR(__xludf.DUMMYFUNCTION("LET(
  monthStart,DATE(VALUE(REGEXEXTRACT(H$1,""\d{4}"")),VALUE(REGEXEXTRACT(H$1,""T(\d+)"")),1),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I102" s="86">
        <f>IFERROR(__xludf.DUMMYFUNCTION("LET(
  monthStart,DATE(VALUE(REGEXEXTRACT(I$1,""\d{4}"")),VALUE(REGEXEXTRACT(I$1,""T(\d+)"")),1),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J102" s="86">
        <f>IFERROR(__xludf.DUMMYFUNCTION("LET(
  monthStart,DATE(VALUE(REGEXEXTRACT(J$1,""\d{4}"")),VALUE(REGEXEXTRACT(J$1,""T(\d+)"")),1),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K102" s="86">
        <f>IFERROR(__xludf.DUMMYFUNCTION("LET(
  monthStart,DATE(VALUE(REGEXEXTRACT(K$1,""\d{4}"")),VALUE(REGEXEXTRACT(K$1,""T(\d+)"")),1),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L102" s="86">
        <f>IFERROR(__xludf.DUMMYFUNCTION("LET(
  monthStart,DATE(VALUE(REGEXEXTRACT(L$1,""\d{4}"")),VALUE(REGEXEXTRACT(L$1,""T(\d+)"")),1),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M102" s="86">
        <f>IFERROR(__xludf.DUMMYFUNCTION("LET(
  monthStart,DATE(VALUE(REGEXEXTRACT(M$1,""\d{4}"")),VALUE(REGEXEXTRACT(M$1,""T(\d+)"")),1),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N102" s="86">
        <f>IFERROR(__xludf.DUMMYFUNCTION("LET(
  monthStart,DATE(VALUE(REGEXEXTRACT(N$1,""\d{4}"")),VALUE(REGEXEXTRACT(N$1,""T(\d+)"")),1),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O102" s="86">
        <f>IFERROR(__xludf.DUMMYFUNCTION("LET(
  monthStart,DATE(VALUE(REGEXEXTRACT(O$1,""\d{4}"")),VALUE(REGEXEXTRACT(O$1,""T(\d+)"")),1),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P102" s="86">
        <f>IFERROR(__xludf.DUMMYFUNCTION("LET(
  monthStart,DATE(VALUE(REGEXEXTRACT(P$1,""\d{4}"")),VALUE(REGEXEXTRACT(P$1,""T(\d+)"")),1),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Q102" s="86">
        <f>IFERROR(__xludf.DUMMYFUNCTION("LET(
  monthStart,DATE(VALUE(REGEXEXTRACT(Q$1,""\d{4}"")),VALUE(REGEXEXTRACT(Q$1,""T(\d+)"")),1),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R102" s="86">
        <f>IFERROR(__xludf.DUMMYFUNCTION("LET(
  monthStart,DATE(VALUE(REGEXEXTRACT(R$1,""\d{4}"")),VALUE(REGEXEXTRACT(R$1,""T(\d+)"")),1),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S102" s="86">
        <f>IFERROR(__xludf.DUMMYFUNCTION("LET(
  monthStart,DATE(VALUE(REGEXEXTRACT(S$1,""\d{4}"")),VALUE(REGEXEXTRACT(S$1,""T(\d+)"")),1),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T102" s="86">
        <f>IFERROR(__xludf.DUMMYFUNCTION("LET(
  monthStart,DATE(VALUE(REGEXEXTRACT(T$1,""\d{4}"")),VALUE(REGEXEXTRACT(T$1,""T(\d+)"")),1),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U102" s="86">
        <f>IFERROR(__xludf.DUMMYFUNCTION("LET(
  monthStart,DATE(VALUE(REGEXEXTRACT(U$1,""\d{4}"")),VALUE(REGEXEXTRACT(U$1,""T(\d+)"")),1),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V102" s="86">
        <f>IFERROR(__xludf.DUMMYFUNCTION("LET(
  monthStart,DATE(VALUE(REGEXEXTRACT(V$1,""\d{4}"")),VALUE(REGEXEXTRACT(V$1,""T(\d+)"")),1),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W102" s="86">
        <f>IFERROR(__xludf.DUMMYFUNCTION("LET(
  monthStart,DATE(VALUE(REGEXEXTRACT(W$1,""\d{4}"")),VALUE(REGEXEXTRACT(W$1,""T(\d+)"")),1),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X102" s="86">
        <f>IFERROR(__xludf.DUMMYFUNCTION("LET(
  monthStart,DATE(VALUE(REGEXEXTRACT(X$1,""\d{4}"")),VALUE(REGEXEXTRACT(X$1,""T(\d+)"")),1),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Y102" s="86">
        <f>IFERROR(__xludf.DUMMYFUNCTION("LET(
  monthStart,DATE(VALUE(REGEXEXTRACT(Y$1,""\d{4}"")),VALUE(REGEXEXTRACT(Y$1,""T(\d+)"")),1),
  monthEnd,EOMONTH(monthStart,0),
  actualStart,MAX($D102,monthStart),
  actualEnd,MIN($E102,monthEnd),
  workingDaysInMonth,NETWORKDAYS(monthStart,monthEnd)"&amp;",
  workingDaysOverlap,IF(actualStart&gt;actualEnd,0,NETWORKDAYS(actualStart,actualEnd)),
  IF(workingDaysOverlap=0,"""",$F102*workingDaysOverlap/workingDaysInMonth)
)"),0.0)</f>
        <v>0</v>
      </c>
      <c r="Z102" s="75"/>
      <c r="AA102" s="75"/>
      <c r="AB102" s="75"/>
      <c r="AC102" s="75"/>
      <c r="AD102" s="75"/>
      <c r="AE102" s="75"/>
      <c r="AF102" s="64"/>
      <c r="AJ102" s="64"/>
      <c r="AK102" s="64"/>
      <c r="AO102" s="64"/>
      <c r="AP102" s="64"/>
      <c r="AT102" s="64"/>
      <c r="AX102" s="64"/>
      <c r="AY102" s="77"/>
      <c r="AZ102" s="77"/>
      <c r="BA102" s="78"/>
      <c r="BB102" s="74"/>
      <c r="BC102" s="74"/>
      <c r="BD102" s="67"/>
      <c r="BH102" s="64"/>
      <c r="BI102" s="64"/>
      <c r="BJ102" s="64"/>
      <c r="BK102" s="64"/>
      <c r="BL102" s="64"/>
      <c r="BM102" s="64"/>
      <c r="BN102" s="64"/>
    </row>
    <row r="103" ht="30.0" customHeight="1">
      <c r="A103" s="81"/>
      <c r="B103" s="82"/>
      <c r="C103" s="83"/>
      <c r="D103" s="84"/>
      <c r="E103" s="84"/>
      <c r="F103" s="85"/>
      <c r="G103" s="86">
        <f>IFERROR(__xludf.DUMMYFUNCTION("LET(
  monthStart,DATE(VALUE(REGEXEXTRACT(G$1,""\d{4}"")),VALUE(REGEXEXTRACT(G$1,""T(\d+)"")),1),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H103" s="86">
        <f>IFERROR(__xludf.DUMMYFUNCTION("LET(
  monthStart,DATE(VALUE(REGEXEXTRACT(H$1,""\d{4}"")),VALUE(REGEXEXTRACT(H$1,""T(\d+)"")),1),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I103" s="86">
        <f>IFERROR(__xludf.DUMMYFUNCTION("LET(
  monthStart,DATE(VALUE(REGEXEXTRACT(I$1,""\d{4}"")),VALUE(REGEXEXTRACT(I$1,""T(\d+)"")),1),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J103" s="86">
        <f>IFERROR(__xludf.DUMMYFUNCTION("LET(
  monthStart,DATE(VALUE(REGEXEXTRACT(J$1,""\d{4}"")),VALUE(REGEXEXTRACT(J$1,""T(\d+)"")),1),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K103" s="86">
        <f>IFERROR(__xludf.DUMMYFUNCTION("LET(
  monthStart,DATE(VALUE(REGEXEXTRACT(K$1,""\d{4}"")),VALUE(REGEXEXTRACT(K$1,""T(\d+)"")),1),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L103" s="86">
        <f>IFERROR(__xludf.DUMMYFUNCTION("LET(
  monthStart,DATE(VALUE(REGEXEXTRACT(L$1,""\d{4}"")),VALUE(REGEXEXTRACT(L$1,""T(\d+)"")),1),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M103" s="86">
        <f>IFERROR(__xludf.DUMMYFUNCTION("LET(
  monthStart,DATE(VALUE(REGEXEXTRACT(M$1,""\d{4}"")),VALUE(REGEXEXTRACT(M$1,""T(\d+)"")),1),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N103" s="86">
        <f>IFERROR(__xludf.DUMMYFUNCTION("LET(
  monthStart,DATE(VALUE(REGEXEXTRACT(N$1,""\d{4}"")),VALUE(REGEXEXTRACT(N$1,""T(\d+)"")),1),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O103" s="86">
        <f>IFERROR(__xludf.DUMMYFUNCTION("LET(
  monthStart,DATE(VALUE(REGEXEXTRACT(O$1,""\d{4}"")),VALUE(REGEXEXTRACT(O$1,""T(\d+)"")),1),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P103" s="86">
        <f>IFERROR(__xludf.DUMMYFUNCTION("LET(
  monthStart,DATE(VALUE(REGEXEXTRACT(P$1,""\d{4}"")),VALUE(REGEXEXTRACT(P$1,""T(\d+)"")),1),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Q103" s="86">
        <f>IFERROR(__xludf.DUMMYFUNCTION("LET(
  monthStart,DATE(VALUE(REGEXEXTRACT(Q$1,""\d{4}"")),VALUE(REGEXEXTRACT(Q$1,""T(\d+)"")),1),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R103" s="86">
        <f>IFERROR(__xludf.DUMMYFUNCTION("LET(
  monthStart,DATE(VALUE(REGEXEXTRACT(R$1,""\d{4}"")),VALUE(REGEXEXTRACT(R$1,""T(\d+)"")),1),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S103" s="86">
        <f>IFERROR(__xludf.DUMMYFUNCTION("LET(
  monthStart,DATE(VALUE(REGEXEXTRACT(S$1,""\d{4}"")),VALUE(REGEXEXTRACT(S$1,""T(\d+)"")),1),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T103" s="86">
        <f>IFERROR(__xludf.DUMMYFUNCTION("LET(
  monthStart,DATE(VALUE(REGEXEXTRACT(T$1,""\d{4}"")),VALUE(REGEXEXTRACT(T$1,""T(\d+)"")),1),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U103" s="86">
        <f>IFERROR(__xludf.DUMMYFUNCTION("LET(
  monthStart,DATE(VALUE(REGEXEXTRACT(U$1,""\d{4}"")),VALUE(REGEXEXTRACT(U$1,""T(\d+)"")),1),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V103" s="86">
        <f>IFERROR(__xludf.DUMMYFUNCTION("LET(
  monthStart,DATE(VALUE(REGEXEXTRACT(V$1,""\d{4}"")),VALUE(REGEXEXTRACT(V$1,""T(\d+)"")),1),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W103" s="86">
        <f>IFERROR(__xludf.DUMMYFUNCTION("LET(
  monthStart,DATE(VALUE(REGEXEXTRACT(W$1,""\d{4}"")),VALUE(REGEXEXTRACT(W$1,""T(\d+)"")),1),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X103" s="86">
        <f>IFERROR(__xludf.DUMMYFUNCTION("LET(
  monthStart,DATE(VALUE(REGEXEXTRACT(X$1,""\d{4}"")),VALUE(REGEXEXTRACT(X$1,""T(\d+)"")),1),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Y103" s="86">
        <f>IFERROR(__xludf.DUMMYFUNCTION("LET(
  monthStart,DATE(VALUE(REGEXEXTRACT(Y$1,""\d{4}"")),VALUE(REGEXEXTRACT(Y$1,""T(\d+)"")),1),
  monthEnd,EOMONTH(monthStart,0),
  actualStart,MAX($D103,monthStart),
  actualEnd,MIN($E103,monthEnd),
  workingDaysInMonth,NETWORKDAYS(monthStart,monthEnd)"&amp;",
  workingDaysOverlap,IF(actualStart&gt;actualEnd,0,NETWORKDAYS(actualStart,actualEnd)),
  IF(workingDaysOverlap=0,"""",$F103*workingDaysOverlap/workingDaysInMonth)
)"),0.0)</f>
        <v>0</v>
      </c>
      <c r="Z103" s="75"/>
      <c r="AA103" s="75"/>
      <c r="AB103" s="75"/>
      <c r="AC103" s="75"/>
      <c r="AD103" s="75"/>
      <c r="AE103" s="75"/>
      <c r="AF103" s="64"/>
      <c r="AJ103" s="64"/>
      <c r="AK103" s="64"/>
      <c r="AO103" s="64"/>
      <c r="AP103" s="64"/>
      <c r="AT103" s="64"/>
      <c r="AX103" s="64"/>
      <c r="AY103" s="77"/>
      <c r="AZ103" s="77"/>
      <c r="BA103" s="78"/>
      <c r="BB103" s="74"/>
      <c r="BC103" s="74"/>
      <c r="BD103" s="67"/>
      <c r="BH103" s="64"/>
      <c r="BI103" s="64"/>
      <c r="BJ103" s="64"/>
      <c r="BK103" s="64"/>
      <c r="BL103" s="64"/>
      <c r="BM103" s="64"/>
      <c r="BN103" s="64"/>
    </row>
    <row r="104" ht="30.0" customHeight="1">
      <c r="A104" s="81"/>
      <c r="B104" s="82"/>
      <c r="C104" s="83"/>
      <c r="D104" s="84"/>
      <c r="E104" s="84"/>
      <c r="F104" s="85"/>
      <c r="G104" s="86">
        <f>IFERROR(__xludf.DUMMYFUNCTION("LET(
  monthStart,DATE(VALUE(REGEXEXTRACT(G$1,""\d{4}"")),VALUE(REGEXEXTRACT(G$1,""T(\d+)"")),1),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H104" s="86">
        <f>IFERROR(__xludf.DUMMYFUNCTION("LET(
  monthStart,DATE(VALUE(REGEXEXTRACT(H$1,""\d{4}"")),VALUE(REGEXEXTRACT(H$1,""T(\d+)"")),1),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I104" s="86">
        <f>IFERROR(__xludf.DUMMYFUNCTION("LET(
  monthStart,DATE(VALUE(REGEXEXTRACT(I$1,""\d{4}"")),VALUE(REGEXEXTRACT(I$1,""T(\d+)"")),1),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J104" s="86">
        <f>IFERROR(__xludf.DUMMYFUNCTION("LET(
  monthStart,DATE(VALUE(REGEXEXTRACT(J$1,""\d{4}"")),VALUE(REGEXEXTRACT(J$1,""T(\d+)"")),1),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K104" s="86">
        <f>IFERROR(__xludf.DUMMYFUNCTION("LET(
  monthStart,DATE(VALUE(REGEXEXTRACT(K$1,""\d{4}"")),VALUE(REGEXEXTRACT(K$1,""T(\d+)"")),1),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L104" s="86">
        <f>IFERROR(__xludf.DUMMYFUNCTION("LET(
  monthStart,DATE(VALUE(REGEXEXTRACT(L$1,""\d{4}"")),VALUE(REGEXEXTRACT(L$1,""T(\d+)"")),1),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M104" s="86">
        <f>IFERROR(__xludf.DUMMYFUNCTION("LET(
  monthStart,DATE(VALUE(REGEXEXTRACT(M$1,""\d{4}"")),VALUE(REGEXEXTRACT(M$1,""T(\d+)"")),1),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N104" s="86">
        <f>IFERROR(__xludf.DUMMYFUNCTION("LET(
  monthStart,DATE(VALUE(REGEXEXTRACT(N$1,""\d{4}"")),VALUE(REGEXEXTRACT(N$1,""T(\d+)"")),1),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O104" s="86">
        <f>IFERROR(__xludf.DUMMYFUNCTION("LET(
  monthStart,DATE(VALUE(REGEXEXTRACT(O$1,""\d{4}"")),VALUE(REGEXEXTRACT(O$1,""T(\d+)"")),1),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P104" s="86">
        <f>IFERROR(__xludf.DUMMYFUNCTION("LET(
  monthStart,DATE(VALUE(REGEXEXTRACT(P$1,""\d{4}"")),VALUE(REGEXEXTRACT(P$1,""T(\d+)"")),1),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Q104" s="86">
        <f>IFERROR(__xludf.DUMMYFUNCTION("LET(
  monthStart,DATE(VALUE(REGEXEXTRACT(Q$1,""\d{4}"")),VALUE(REGEXEXTRACT(Q$1,""T(\d+)"")),1),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R104" s="86">
        <f>IFERROR(__xludf.DUMMYFUNCTION("LET(
  monthStart,DATE(VALUE(REGEXEXTRACT(R$1,""\d{4}"")),VALUE(REGEXEXTRACT(R$1,""T(\d+)"")),1),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S104" s="86">
        <f>IFERROR(__xludf.DUMMYFUNCTION("LET(
  monthStart,DATE(VALUE(REGEXEXTRACT(S$1,""\d{4}"")),VALUE(REGEXEXTRACT(S$1,""T(\d+)"")),1),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T104" s="86">
        <f>IFERROR(__xludf.DUMMYFUNCTION("LET(
  monthStart,DATE(VALUE(REGEXEXTRACT(T$1,""\d{4}"")),VALUE(REGEXEXTRACT(T$1,""T(\d+)"")),1),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U104" s="86">
        <f>IFERROR(__xludf.DUMMYFUNCTION("LET(
  monthStart,DATE(VALUE(REGEXEXTRACT(U$1,""\d{4}"")),VALUE(REGEXEXTRACT(U$1,""T(\d+)"")),1),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V104" s="86">
        <f>IFERROR(__xludf.DUMMYFUNCTION("LET(
  monthStart,DATE(VALUE(REGEXEXTRACT(V$1,""\d{4}"")),VALUE(REGEXEXTRACT(V$1,""T(\d+)"")),1),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W104" s="86">
        <f>IFERROR(__xludf.DUMMYFUNCTION("LET(
  monthStart,DATE(VALUE(REGEXEXTRACT(W$1,""\d{4}"")),VALUE(REGEXEXTRACT(W$1,""T(\d+)"")),1),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X104" s="86">
        <f>IFERROR(__xludf.DUMMYFUNCTION("LET(
  monthStart,DATE(VALUE(REGEXEXTRACT(X$1,""\d{4}"")),VALUE(REGEXEXTRACT(X$1,""T(\d+)"")),1),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Y104" s="86">
        <f>IFERROR(__xludf.DUMMYFUNCTION("LET(
  monthStart,DATE(VALUE(REGEXEXTRACT(Y$1,""\d{4}"")),VALUE(REGEXEXTRACT(Y$1,""T(\d+)"")),1),
  monthEnd,EOMONTH(monthStart,0),
  actualStart,MAX($D104,monthStart),
  actualEnd,MIN($E104,monthEnd),
  workingDaysInMonth,NETWORKDAYS(monthStart,monthEnd)"&amp;",
  workingDaysOverlap,IF(actualStart&gt;actualEnd,0,NETWORKDAYS(actualStart,actualEnd)),
  IF(workingDaysOverlap=0,"""",$F104*workingDaysOverlap/workingDaysInMonth)
)"),0.0)</f>
        <v>0</v>
      </c>
      <c r="Z104" s="64"/>
      <c r="AA104" s="64"/>
      <c r="AB104" s="64"/>
      <c r="AC104" s="64"/>
      <c r="AD104" s="64"/>
      <c r="AE104" s="64"/>
      <c r="AF104" s="64"/>
      <c r="AJ104" s="64"/>
      <c r="AK104" s="64"/>
      <c r="AO104" s="64"/>
      <c r="AP104" s="64"/>
      <c r="AT104" s="64"/>
      <c r="AX104" s="64"/>
      <c r="AY104" s="77"/>
      <c r="AZ104" s="77"/>
      <c r="BA104" s="78"/>
      <c r="BB104" s="74"/>
      <c r="BC104" s="74"/>
      <c r="BD104" s="67"/>
      <c r="BH104" s="64"/>
      <c r="BI104" s="64"/>
      <c r="BJ104" s="64"/>
      <c r="BK104" s="64"/>
      <c r="BL104" s="64"/>
      <c r="BM104" s="64"/>
      <c r="BN104" s="64"/>
    </row>
    <row r="105" ht="30.0" customHeight="1">
      <c r="A105" s="81"/>
      <c r="B105" s="82"/>
      <c r="C105" s="83"/>
      <c r="D105" s="84"/>
      <c r="E105" s="84"/>
      <c r="F105" s="85"/>
      <c r="G105" s="86">
        <f>IFERROR(__xludf.DUMMYFUNCTION("LET(
  monthStart,DATE(VALUE(REGEXEXTRACT(G$1,""\d{4}"")),VALUE(REGEXEXTRACT(G$1,""T(\d+)"")),1),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H105" s="86">
        <f>IFERROR(__xludf.DUMMYFUNCTION("LET(
  monthStart,DATE(VALUE(REGEXEXTRACT(H$1,""\d{4}"")),VALUE(REGEXEXTRACT(H$1,""T(\d+)"")),1),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I105" s="86">
        <f>IFERROR(__xludf.DUMMYFUNCTION("LET(
  monthStart,DATE(VALUE(REGEXEXTRACT(I$1,""\d{4}"")),VALUE(REGEXEXTRACT(I$1,""T(\d+)"")),1),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J105" s="86">
        <f>IFERROR(__xludf.DUMMYFUNCTION("LET(
  monthStart,DATE(VALUE(REGEXEXTRACT(J$1,""\d{4}"")),VALUE(REGEXEXTRACT(J$1,""T(\d+)"")),1),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K105" s="86">
        <f>IFERROR(__xludf.DUMMYFUNCTION("LET(
  monthStart,DATE(VALUE(REGEXEXTRACT(K$1,""\d{4}"")),VALUE(REGEXEXTRACT(K$1,""T(\d+)"")),1),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L105" s="86">
        <f>IFERROR(__xludf.DUMMYFUNCTION("LET(
  monthStart,DATE(VALUE(REGEXEXTRACT(L$1,""\d{4}"")),VALUE(REGEXEXTRACT(L$1,""T(\d+)"")),1),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M105" s="86">
        <f>IFERROR(__xludf.DUMMYFUNCTION("LET(
  monthStart,DATE(VALUE(REGEXEXTRACT(M$1,""\d{4}"")),VALUE(REGEXEXTRACT(M$1,""T(\d+)"")),1),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N105" s="86">
        <f>IFERROR(__xludf.DUMMYFUNCTION("LET(
  monthStart,DATE(VALUE(REGEXEXTRACT(N$1,""\d{4}"")),VALUE(REGEXEXTRACT(N$1,""T(\d+)"")),1),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O105" s="86">
        <f>IFERROR(__xludf.DUMMYFUNCTION("LET(
  monthStart,DATE(VALUE(REGEXEXTRACT(O$1,""\d{4}"")),VALUE(REGEXEXTRACT(O$1,""T(\d+)"")),1),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P105" s="86">
        <f>IFERROR(__xludf.DUMMYFUNCTION("LET(
  monthStart,DATE(VALUE(REGEXEXTRACT(P$1,""\d{4}"")),VALUE(REGEXEXTRACT(P$1,""T(\d+)"")),1),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Q105" s="86">
        <f>IFERROR(__xludf.DUMMYFUNCTION("LET(
  monthStart,DATE(VALUE(REGEXEXTRACT(Q$1,""\d{4}"")),VALUE(REGEXEXTRACT(Q$1,""T(\d+)"")),1),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R105" s="86">
        <f>IFERROR(__xludf.DUMMYFUNCTION("LET(
  monthStart,DATE(VALUE(REGEXEXTRACT(R$1,""\d{4}"")),VALUE(REGEXEXTRACT(R$1,""T(\d+)"")),1),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S105" s="86">
        <f>IFERROR(__xludf.DUMMYFUNCTION("LET(
  monthStart,DATE(VALUE(REGEXEXTRACT(S$1,""\d{4}"")),VALUE(REGEXEXTRACT(S$1,""T(\d+)"")),1),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T105" s="86">
        <f>IFERROR(__xludf.DUMMYFUNCTION("LET(
  monthStart,DATE(VALUE(REGEXEXTRACT(T$1,""\d{4}"")),VALUE(REGEXEXTRACT(T$1,""T(\d+)"")),1),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U105" s="86">
        <f>IFERROR(__xludf.DUMMYFUNCTION("LET(
  monthStart,DATE(VALUE(REGEXEXTRACT(U$1,""\d{4}"")),VALUE(REGEXEXTRACT(U$1,""T(\d+)"")),1),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V105" s="86">
        <f>IFERROR(__xludf.DUMMYFUNCTION("LET(
  monthStart,DATE(VALUE(REGEXEXTRACT(V$1,""\d{4}"")),VALUE(REGEXEXTRACT(V$1,""T(\d+)"")),1),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W105" s="86">
        <f>IFERROR(__xludf.DUMMYFUNCTION("LET(
  monthStart,DATE(VALUE(REGEXEXTRACT(W$1,""\d{4}"")),VALUE(REGEXEXTRACT(W$1,""T(\d+)"")),1),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X105" s="86">
        <f>IFERROR(__xludf.DUMMYFUNCTION("LET(
  monthStart,DATE(VALUE(REGEXEXTRACT(X$1,""\d{4}"")),VALUE(REGEXEXTRACT(X$1,""T(\d+)"")),1),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Y105" s="86">
        <f>IFERROR(__xludf.DUMMYFUNCTION("LET(
  monthStart,DATE(VALUE(REGEXEXTRACT(Y$1,""\d{4}"")),VALUE(REGEXEXTRACT(Y$1,""T(\d+)"")),1),
  monthEnd,EOMONTH(monthStart,0),
  actualStart,MAX($D105,monthStart),
  actualEnd,MIN($E105,monthEnd),
  workingDaysInMonth,NETWORKDAYS(monthStart,monthEnd)"&amp;",
  workingDaysOverlap,IF(actualStart&gt;actualEnd,0,NETWORKDAYS(actualStart,actualEnd)),
  IF(workingDaysOverlap=0,"""",$F105*workingDaysOverlap/workingDaysInMonth)
)"),0.0)</f>
        <v>0</v>
      </c>
      <c r="Z105" s="64"/>
      <c r="AA105" s="64"/>
      <c r="AB105" s="64"/>
      <c r="AC105" s="64"/>
      <c r="AD105" s="64"/>
      <c r="AE105" s="64"/>
      <c r="AF105" s="64"/>
      <c r="AJ105" s="64"/>
      <c r="AK105" s="64"/>
      <c r="AO105" s="64"/>
      <c r="AP105" s="64"/>
      <c r="AT105" s="64"/>
      <c r="AX105" s="64"/>
      <c r="AY105" s="77"/>
      <c r="AZ105" s="77"/>
      <c r="BA105" s="77"/>
      <c r="BB105" s="74"/>
      <c r="BC105" s="74"/>
      <c r="BD105" s="67"/>
      <c r="BH105" s="64"/>
      <c r="BI105" s="64"/>
      <c r="BJ105" s="64"/>
      <c r="BK105" s="64"/>
      <c r="BL105" s="64"/>
      <c r="BM105" s="64"/>
      <c r="BN105" s="64"/>
    </row>
    <row r="106" ht="30.0" customHeight="1">
      <c r="A106" s="81"/>
      <c r="B106" s="82"/>
      <c r="C106" s="83"/>
      <c r="D106" s="84"/>
      <c r="E106" s="84"/>
      <c r="F106" s="85"/>
      <c r="G106" s="86">
        <f>IFERROR(__xludf.DUMMYFUNCTION("LET(
  monthStart,DATE(VALUE(REGEXEXTRACT(G$1,""\d{4}"")),VALUE(REGEXEXTRACT(G$1,""T(\d+)"")),1),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H106" s="86">
        <f>IFERROR(__xludf.DUMMYFUNCTION("LET(
  monthStart,DATE(VALUE(REGEXEXTRACT(H$1,""\d{4}"")),VALUE(REGEXEXTRACT(H$1,""T(\d+)"")),1),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I106" s="86">
        <f>IFERROR(__xludf.DUMMYFUNCTION("LET(
  monthStart,DATE(VALUE(REGEXEXTRACT(I$1,""\d{4}"")),VALUE(REGEXEXTRACT(I$1,""T(\d+)"")),1),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J106" s="86">
        <f>IFERROR(__xludf.DUMMYFUNCTION("LET(
  monthStart,DATE(VALUE(REGEXEXTRACT(J$1,""\d{4}"")),VALUE(REGEXEXTRACT(J$1,""T(\d+)"")),1),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K106" s="86">
        <f>IFERROR(__xludf.DUMMYFUNCTION("LET(
  monthStart,DATE(VALUE(REGEXEXTRACT(K$1,""\d{4}"")),VALUE(REGEXEXTRACT(K$1,""T(\d+)"")),1),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L106" s="86">
        <f>IFERROR(__xludf.DUMMYFUNCTION("LET(
  monthStart,DATE(VALUE(REGEXEXTRACT(L$1,""\d{4}"")),VALUE(REGEXEXTRACT(L$1,""T(\d+)"")),1),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M106" s="86">
        <f>IFERROR(__xludf.DUMMYFUNCTION("LET(
  monthStart,DATE(VALUE(REGEXEXTRACT(M$1,""\d{4}"")),VALUE(REGEXEXTRACT(M$1,""T(\d+)"")),1),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N106" s="86">
        <f>IFERROR(__xludf.DUMMYFUNCTION("LET(
  monthStart,DATE(VALUE(REGEXEXTRACT(N$1,""\d{4}"")),VALUE(REGEXEXTRACT(N$1,""T(\d+)"")),1),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O106" s="86">
        <f>IFERROR(__xludf.DUMMYFUNCTION("LET(
  monthStart,DATE(VALUE(REGEXEXTRACT(O$1,""\d{4}"")),VALUE(REGEXEXTRACT(O$1,""T(\d+)"")),1),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P106" s="86">
        <f>IFERROR(__xludf.DUMMYFUNCTION("LET(
  monthStart,DATE(VALUE(REGEXEXTRACT(P$1,""\d{4}"")),VALUE(REGEXEXTRACT(P$1,""T(\d+)"")),1),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Q106" s="86">
        <f>IFERROR(__xludf.DUMMYFUNCTION("LET(
  monthStart,DATE(VALUE(REGEXEXTRACT(Q$1,""\d{4}"")),VALUE(REGEXEXTRACT(Q$1,""T(\d+)"")),1),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R106" s="86">
        <f>IFERROR(__xludf.DUMMYFUNCTION("LET(
  monthStart,DATE(VALUE(REGEXEXTRACT(R$1,""\d{4}"")),VALUE(REGEXEXTRACT(R$1,""T(\d+)"")),1),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S106" s="86">
        <f>IFERROR(__xludf.DUMMYFUNCTION("LET(
  monthStart,DATE(VALUE(REGEXEXTRACT(S$1,""\d{4}"")),VALUE(REGEXEXTRACT(S$1,""T(\d+)"")),1),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T106" s="86">
        <f>IFERROR(__xludf.DUMMYFUNCTION("LET(
  monthStart,DATE(VALUE(REGEXEXTRACT(T$1,""\d{4}"")),VALUE(REGEXEXTRACT(T$1,""T(\d+)"")),1),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U106" s="86">
        <f>IFERROR(__xludf.DUMMYFUNCTION("LET(
  monthStart,DATE(VALUE(REGEXEXTRACT(U$1,""\d{4}"")),VALUE(REGEXEXTRACT(U$1,""T(\d+)"")),1),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V106" s="86">
        <f>IFERROR(__xludf.DUMMYFUNCTION("LET(
  monthStart,DATE(VALUE(REGEXEXTRACT(V$1,""\d{4}"")),VALUE(REGEXEXTRACT(V$1,""T(\d+)"")),1),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W106" s="86">
        <f>IFERROR(__xludf.DUMMYFUNCTION("LET(
  monthStart,DATE(VALUE(REGEXEXTRACT(W$1,""\d{4}"")),VALUE(REGEXEXTRACT(W$1,""T(\d+)"")),1),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X106" s="86">
        <f>IFERROR(__xludf.DUMMYFUNCTION("LET(
  monthStart,DATE(VALUE(REGEXEXTRACT(X$1,""\d{4}"")),VALUE(REGEXEXTRACT(X$1,""T(\d+)"")),1),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Y106" s="86">
        <f>IFERROR(__xludf.DUMMYFUNCTION("LET(
  monthStart,DATE(VALUE(REGEXEXTRACT(Y$1,""\d{4}"")),VALUE(REGEXEXTRACT(Y$1,""T(\d+)"")),1),
  monthEnd,EOMONTH(monthStart,0),
  actualStart,MAX($D106,monthStart),
  actualEnd,MIN($E106,monthEnd),
  workingDaysInMonth,NETWORKDAYS(monthStart,monthEnd)"&amp;",
  workingDaysOverlap,IF(actualStart&gt;actualEnd,0,NETWORKDAYS(actualStart,actualEnd)),
  IF(workingDaysOverlap=0,"""",$F106*workingDaysOverlap/workingDaysInMonth)
)"),0.0)</f>
        <v>0</v>
      </c>
      <c r="Z106" s="64"/>
      <c r="AA106" s="64"/>
      <c r="AB106" s="64"/>
      <c r="AC106" s="64"/>
      <c r="AD106" s="64"/>
      <c r="AE106" s="64"/>
      <c r="AF106" s="64"/>
      <c r="AJ106" s="64"/>
      <c r="AK106" s="64"/>
      <c r="AO106" s="64"/>
      <c r="AP106" s="64"/>
      <c r="AT106" s="64"/>
      <c r="AX106" s="64"/>
      <c r="AY106" s="77"/>
      <c r="AZ106" s="77"/>
      <c r="BA106" s="77"/>
      <c r="BB106" s="74"/>
      <c r="BC106" s="74"/>
      <c r="BD106" s="67"/>
      <c r="BH106" s="64"/>
      <c r="BI106" s="64"/>
      <c r="BJ106" s="64"/>
      <c r="BK106" s="64"/>
      <c r="BL106" s="64"/>
      <c r="BM106" s="64"/>
      <c r="BN106" s="64"/>
    </row>
    <row r="107" ht="30.0" customHeight="1">
      <c r="A107" s="81"/>
      <c r="B107" s="82"/>
      <c r="C107" s="83"/>
      <c r="D107" s="84"/>
      <c r="E107" s="84"/>
      <c r="F107" s="85"/>
      <c r="G107" s="86">
        <f>IFERROR(__xludf.DUMMYFUNCTION("LET(
  monthStart,DATE(VALUE(REGEXEXTRACT(G$1,""\d{4}"")),VALUE(REGEXEXTRACT(G$1,""T(\d+)"")),1),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H107" s="86">
        <f>IFERROR(__xludf.DUMMYFUNCTION("LET(
  monthStart,DATE(VALUE(REGEXEXTRACT(H$1,""\d{4}"")),VALUE(REGEXEXTRACT(H$1,""T(\d+)"")),1),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I107" s="86">
        <f>IFERROR(__xludf.DUMMYFUNCTION("LET(
  monthStart,DATE(VALUE(REGEXEXTRACT(I$1,""\d{4}"")),VALUE(REGEXEXTRACT(I$1,""T(\d+)"")),1),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J107" s="86">
        <f>IFERROR(__xludf.DUMMYFUNCTION("LET(
  monthStart,DATE(VALUE(REGEXEXTRACT(J$1,""\d{4}"")),VALUE(REGEXEXTRACT(J$1,""T(\d+)"")),1),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K107" s="86">
        <f>IFERROR(__xludf.DUMMYFUNCTION("LET(
  monthStart,DATE(VALUE(REGEXEXTRACT(K$1,""\d{4}"")),VALUE(REGEXEXTRACT(K$1,""T(\d+)"")),1),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L107" s="86">
        <f>IFERROR(__xludf.DUMMYFUNCTION("LET(
  monthStart,DATE(VALUE(REGEXEXTRACT(L$1,""\d{4}"")),VALUE(REGEXEXTRACT(L$1,""T(\d+)"")),1),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M107" s="86">
        <f>IFERROR(__xludf.DUMMYFUNCTION("LET(
  monthStart,DATE(VALUE(REGEXEXTRACT(M$1,""\d{4}"")),VALUE(REGEXEXTRACT(M$1,""T(\d+)"")),1),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N107" s="86">
        <f>IFERROR(__xludf.DUMMYFUNCTION("LET(
  monthStart,DATE(VALUE(REGEXEXTRACT(N$1,""\d{4}"")),VALUE(REGEXEXTRACT(N$1,""T(\d+)"")),1),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O107" s="86">
        <f>IFERROR(__xludf.DUMMYFUNCTION("LET(
  monthStart,DATE(VALUE(REGEXEXTRACT(O$1,""\d{4}"")),VALUE(REGEXEXTRACT(O$1,""T(\d+)"")),1),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P107" s="86">
        <f>IFERROR(__xludf.DUMMYFUNCTION("LET(
  monthStart,DATE(VALUE(REGEXEXTRACT(P$1,""\d{4}"")),VALUE(REGEXEXTRACT(P$1,""T(\d+)"")),1),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Q107" s="86">
        <f>IFERROR(__xludf.DUMMYFUNCTION("LET(
  monthStart,DATE(VALUE(REGEXEXTRACT(Q$1,""\d{4}"")),VALUE(REGEXEXTRACT(Q$1,""T(\d+)"")),1),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R107" s="86">
        <f>IFERROR(__xludf.DUMMYFUNCTION("LET(
  monthStart,DATE(VALUE(REGEXEXTRACT(R$1,""\d{4}"")),VALUE(REGEXEXTRACT(R$1,""T(\d+)"")),1),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S107" s="86">
        <f>IFERROR(__xludf.DUMMYFUNCTION("LET(
  monthStart,DATE(VALUE(REGEXEXTRACT(S$1,""\d{4}"")),VALUE(REGEXEXTRACT(S$1,""T(\d+)"")),1),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T107" s="86">
        <f>IFERROR(__xludf.DUMMYFUNCTION("LET(
  monthStart,DATE(VALUE(REGEXEXTRACT(T$1,""\d{4}"")),VALUE(REGEXEXTRACT(T$1,""T(\d+)"")),1),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U107" s="86">
        <f>IFERROR(__xludf.DUMMYFUNCTION("LET(
  monthStart,DATE(VALUE(REGEXEXTRACT(U$1,""\d{4}"")),VALUE(REGEXEXTRACT(U$1,""T(\d+)"")),1),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V107" s="86">
        <f>IFERROR(__xludf.DUMMYFUNCTION("LET(
  monthStart,DATE(VALUE(REGEXEXTRACT(V$1,""\d{4}"")),VALUE(REGEXEXTRACT(V$1,""T(\d+)"")),1),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W107" s="86">
        <f>IFERROR(__xludf.DUMMYFUNCTION("LET(
  monthStart,DATE(VALUE(REGEXEXTRACT(W$1,""\d{4}"")),VALUE(REGEXEXTRACT(W$1,""T(\d+)"")),1),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X107" s="86">
        <f>IFERROR(__xludf.DUMMYFUNCTION("LET(
  monthStart,DATE(VALUE(REGEXEXTRACT(X$1,""\d{4}"")),VALUE(REGEXEXTRACT(X$1,""T(\d+)"")),1),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Y107" s="86">
        <f>IFERROR(__xludf.DUMMYFUNCTION("LET(
  monthStart,DATE(VALUE(REGEXEXTRACT(Y$1,""\d{4}"")),VALUE(REGEXEXTRACT(Y$1,""T(\d+)"")),1),
  monthEnd,EOMONTH(monthStart,0),
  actualStart,MAX($D107,monthStart),
  actualEnd,MIN($E107,monthEnd),
  workingDaysInMonth,NETWORKDAYS(monthStart,monthEnd)"&amp;",
  workingDaysOverlap,IF(actualStart&gt;actualEnd,0,NETWORKDAYS(actualStart,actualEnd)),
  IF(workingDaysOverlap=0,"""",$F107*workingDaysOverlap/workingDaysInMonth)
)"),0.0)</f>
        <v>0</v>
      </c>
      <c r="Z107" s="64"/>
      <c r="AA107" s="64"/>
      <c r="AB107" s="64"/>
      <c r="AC107" s="64"/>
      <c r="AD107" s="64"/>
      <c r="AE107" s="64"/>
      <c r="AF107" s="64"/>
      <c r="AJ107" s="64"/>
      <c r="AK107" s="64"/>
      <c r="AO107" s="64"/>
      <c r="AP107" s="64"/>
      <c r="AT107" s="64"/>
      <c r="AX107" s="64"/>
      <c r="AY107" s="77"/>
      <c r="AZ107" s="77"/>
      <c r="BA107" s="77"/>
      <c r="BB107" s="74"/>
      <c r="BC107" s="74"/>
      <c r="BD107" s="67"/>
      <c r="BH107" s="64"/>
      <c r="BI107" s="64"/>
      <c r="BJ107" s="64"/>
      <c r="BK107" s="64"/>
      <c r="BL107" s="64"/>
      <c r="BM107" s="64"/>
      <c r="BN107" s="64"/>
    </row>
    <row r="108" ht="30.0" customHeight="1">
      <c r="A108" s="81"/>
      <c r="B108" s="82"/>
      <c r="C108" s="83"/>
      <c r="D108" s="84"/>
      <c r="E108" s="84"/>
      <c r="F108" s="85"/>
      <c r="G108" s="86">
        <f>IFERROR(__xludf.DUMMYFUNCTION("LET(
  monthStart,DATE(VALUE(REGEXEXTRACT(G$1,""\d{4}"")),VALUE(REGEXEXTRACT(G$1,""T(\d+)"")),1),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H108" s="86">
        <f>IFERROR(__xludf.DUMMYFUNCTION("LET(
  monthStart,DATE(VALUE(REGEXEXTRACT(H$1,""\d{4}"")),VALUE(REGEXEXTRACT(H$1,""T(\d+)"")),1),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I108" s="86">
        <f>IFERROR(__xludf.DUMMYFUNCTION("LET(
  monthStart,DATE(VALUE(REGEXEXTRACT(I$1,""\d{4}"")),VALUE(REGEXEXTRACT(I$1,""T(\d+)"")),1),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J108" s="86">
        <f>IFERROR(__xludf.DUMMYFUNCTION("LET(
  monthStart,DATE(VALUE(REGEXEXTRACT(J$1,""\d{4}"")),VALUE(REGEXEXTRACT(J$1,""T(\d+)"")),1),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K108" s="86">
        <f>IFERROR(__xludf.DUMMYFUNCTION("LET(
  monthStart,DATE(VALUE(REGEXEXTRACT(K$1,""\d{4}"")),VALUE(REGEXEXTRACT(K$1,""T(\d+)"")),1),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L108" s="86">
        <f>IFERROR(__xludf.DUMMYFUNCTION("LET(
  monthStart,DATE(VALUE(REGEXEXTRACT(L$1,""\d{4}"")),VALUE(REGEXEXTRACT(L$1,""T(\d+)"")),1),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M108" s="86">
        <f>IFERROR(__xludf.DUMMYFUNCTION("LET(
  monthStart,DATE(VALUE(REGEXEXTRACT(M$1,""\d{4}"")),VALUE(REGEXEXTRACT(M$1,""T(\d+)"")),1),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N108" s="86">
        <f>IFERROR(__xludf.DUMMYFUNCTION("LET(
  monthStart,DATE(VALUE(REGEXEXTRACT(N$1,""\d{4}"")),VALUE(REGEXEXTRACT(N$1,""T(\d+)"")),1),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O108" s="86">
        <f>IFERROR(__xludf.DUMMYFUNCTION("LET(
  monthStart,DATE(VALUE(REGEXEXTRACT(O$1,""\d{4}"")),VALUE(REGEXEXTRACT(O$1,""T(\d+)"")),1),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P108" s="86">
        <f>IFERROR(__xludf.DUMMYFUNCTION("LET(
  monthStart,DATE(VALUE(REGEXEXTRACT(P$1,""\d{4}"")),VALUE(REGEXEXTRACT(P$1,""T(\d+)"")),1),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Q108" s="86">
        <f>IFERROR(__xludf.DUMMYFUNCTION("LET(
  monthStart,DATE(VALUE(REGEXEXTRACT(Q$1,""\d{4}"")),VALUE(REGEXEXTRACT(Q$1,""T(\d+)"")),1),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R108" s="86">
        <f>IFERROR(__xludf.DUMMYFUNCTION("LET(
  monthStart,DATE(VALUE(REGEXEXTRACT(R$1,""\d{4}"")),VALUE(REGEXEXTRACT(R$1,""T(\d+)"")),1),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S108" s="86">
        <f>IFERROR(__xludf.DUMMYFUNCTION("LET(
  monthStart,DATE(VALUE(REGEXEXTRACT(S$1,""\d{4}"")),VALUE(REGEXEXTRACT(S$1,""T(\d+)"")),1),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T108" s="86">
        <f>IFERROR(__xludf.DUMMYFUNCTION("LET(
  monthStart,DATE(VALUE(REGEXEXTRACT(T$1,""\d{4}"")),VALUE(REGEXEXTRACT(T$1,""T(\d+)"")),1),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U108" s="86">
        <f>IFERROR(__xludf.DUMMYFUNCTION("LET(
  monthStart,DATE(VALUE(REGEXEXTRACT(U$1,""\d{4}"")),VALUE(REGEXEXTRACT(U$1,""T(\d+)"")),1),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V108" s="86">
        <f>IFERROR(__xludf.DUMMYFUNCTION("LET(
  monthStart,DATE(VALUE(REGEXEXTRACT(V$1,""\d{4}"")),VALUE(REGEXEXTRACT(V$1,""T(\d+)"")),1),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W108" s="86">
        <f>IFERROR(__xludf.DUMMYFUNCTION("LET(
  monthStart,DATE(VALUE(REGEXEXTRACT(W$1,""\d{4}"")),VALUE(REGEXEXTRACT(W$1,""T(\d+)"")),1),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X108" s="86">
        <f>IFERROR(__xludf.DUMMYFUNCTION("LET(
  monthStart,DATE(VALUE(REGEXEXTRACT(X$1,""\d{4}"")),VALUE(REGEXEXTRACT(X$1,""T(\d+)"")),1),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Y108" s="86">
        <f>IFERROR(__xludf.DUMMYFUNCTION("LET(
  monthStart,DATE(VALUE(REGEXEXTRACT(Y$1,""\d{4}"")),VALUE(REGEXEXTRACT(Y$1,""T(\d+)"")),1),
  monthEnd,EOMONTH(monthStart,0),
  actualStart,MAX($D108,monthStart),
  actualEnd,MIN($E108,monthEnd),
  workingDaysInMonth,NETWORKDAYS(monthStart,monthEnd)"&amp;",
  workingDaysOverlap,IF(actualStart&gt;actualEnd,0,NETWORKDAYS(actualStart,actualEnd)),
  IF(workingDaysOverlap=0,"""",$F108*workingDaysOverlap/workingDaysInMonth)
)"),0.0)</f>
        <v>0</v>
      </c>
      <c r="Z108" s="64"/>
      <c r="AA108" s="64"/>
      <c r="AB108" s="64"/>
      <c r="AC108" s="64"/>
      <c r="AD108" s="64"/>
      <c r="AE108" s="64"/>
      <c r="AF108" s="64"/>
      <c r="AJ108" s="64"/>
      <c r="AK108" s="64"/>
      <c r="AO108" s="64"/>
      <c r="AP108" s="64"/>
      <c r="AT108" s="64"/>
      <c r="AX108" s="64"/>
      <c r="AY108" s="77"/>
      <c r="AZ108" s="77"/>
      <c r="BA108" s="77"/>
      <c r="BB108" s="74"/>
      <c r="BC108" s="74"/>
      <c r="BD108" s="67"/>
      <c r="BH108" s="64"/>
      <c r="BI108" s="64"/>
      <c r="BJ108" s="64"/>
      <c r="BK108" s="64"/>
      <c r="BL108" s="64"/>
      <c r="BM108" s="64"/>
      <c r="BN108" s="64"/>
    </row>
    <row r="109" ht="30.0" customHeight="1">
      <c r="A109" s="81"/>
      <c r="B109" s="82"/>
      <c r="C109" s="83"/>
      <c r="D109" s="84"/>
      <c r="E109" s="84"/>
      <c r="F109" s="85"/>
      <c r="G109" s="86">
        <f>IFERROR(__xludf.DUMMYFUNCTION("LET(
  monthStart,DATE(VALUE(REGEXEXTRACT(G$1,""\d{4}"")),VALUE(REGEXEXTRACT(G$1,""T(\d+)"")),1),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H109" s="86">
        <f>IFERROR(__xludf.DUMMYFUNCTION("LET(
  monthStart,DATE(VALUE(REGEXEXTRACT(H$1,""\d{4}"")),VALUE(REGEXEXTRACT(H$1,""T(\d+)"")),1),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I109" s="86">
        <f>IFERROR(__xludf.DUMMYFUNCTION("LET(
  monthStart,DATE(VALUE(REGEXEXTRACT(I$1,""\d{4}"")),VALUE(REGEXEXTRACT(I$1,""T(\d+)"")),1),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J109" s="86">
        <f>IFERROR(__xludf.DUMMYFUNCTION("LET(
  monthStart,DATE(VALUE(REGEXEXTRACT(J$1,""\d{4}"")),VALUE(REGEXEXTRACT(J$1,""T(\d+)"")),1),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K109" s="86">
        <f>IFERROR(__xludf.DUMMYFUNCTION("LET(
  monthStart,DATE(VALUE(REGEXEXTRACT(K$1,""\d{4}"")),VALUE(REGEXEXTRACT(K$1,""T(\d+)"")),1),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L109" s="86">
        <f>IFERROR(__xludf.DUMMYFUNCTION("LET(
  monthStart,DATE(VALUE(REGEXEXTRACT(L$1,""\d{4}"")),VALUE(REGEXEXTRACT(L$1,""T(\d+)"")),1),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M109" s="86">
        <f>IFERROR(__xludf.DUMMYFUNCTION("LET(
  monthStart,DATE(VALUE(REGEXEXTRACT(M$1,""\d{4}"")),VALUE(REGEXEXTRACT(M$1,""T(\d+)"")),1),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N109" s="86">
        <f>IFERROR(__xludf.DUMMYFUNCTION("LET(
  monthStart,DATE(VALUE(REGEXEXTRACT(N$1,""\d{4}"")),VALUE(REGEXEXTRACT(N$1,""T(\d+)"")),1),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O109" s="86">
        <f>IFERROR(__xludf.DUMMYFUNCTION("LET(
  monthStart,DATE(VALUE(REGEXEXTRACT(O$1,""\d{4}"")),VALUE(REGEXEXTRACT(O$1,""T(\d+)"")),1),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P109" s="86">
        <f>IFERROR(__xludf.DUMMYFUNCTION("LET(
  monthStart,DATE(VALUE(REGEXEXTRACT(P$1,""\d{4}"")),VALUE(REGEXEXTRACT(P$1,""T(\d+)"")),1),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Q109" s="86">
        <f>IFERROR(__xludf.DUMMYFUNCTION("LET(
  monthStart,DATE(VALUE(REGEXEXTRACT(Q$1,""\d{4}"")),VALUE(REGEXEXTRACT(Q$1,""T(\d+)"")),1),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R109" s="86">
        <f>IFERROR(__xludf.DUMMYFUNCTION("LET(
  monthStart,DATE(VALUE(REGEXEXTRACT(R$1,""\d{4}"")),VALUE(REGEXEXTRACT(R$1,""T(\d+)"")),1),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S109" s="86">
        <f>IFERROR(__xludf.DUMMYFUNCTION("LET(
  monthStart,DATE(VALUE(REGEXEXTRACT(S$1,""\d{4}"")),VALUE(REGEXEXTRACT(S$1,""T(\d+)"")),1),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T109" s="86">
        <f>IFERROR(__xludf.DUMMYFUNCTION("LET(
  monthStart,DATE(VALUE(REGEXEXTRACT(T$1,""\d{4}"")),VALUE(REGEXEXTRACT(T$1,""T(\d+)"")),1),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U109" s="86">
        <f>IFERROR(__xludf.DUMMYFUNCTION("LET(
  monthStart,DATE(VALUE(REGEXEXTRACT(U$1,""\d{4}"")),VALUE(REGEXEXTRACT(U$1,""T(\d+)"")),1),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V109" s="86">
        <f>IFERROR(__xludf.DUMMYFUNCTION("LET(
  monthStart,DATE(VALUE(REGEXEXTRACT(V$1,""\d{4}"")),VALUE(REGEXEXTRACT(V$1,""T(\d+)"")),1),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W109" s="86">
        <f>IFERROR(__xludf.DUMMYFUNCTION("LET(
  monthStart,DATE(VALUE(REGEXEXTRACT(W$1,""\d{4}"")),VALUE(REGEXEXTRACT(W$1,""T(\d+)"")),1),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X109" s="86">
        <f>IFERROR(__xludf.DUMMYFUNCTION("LET(
  monthStart,DATE(VALUE(REGEXEXTRACT(X$1,""\d{4}"")),VALUE(REGEXEXTRACT(X$1,""T(\d+)"")),1),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Y109" s="86">
        <f>IFERROR(__xludf.DUMMYFUNCTION("LET(
  monthStart,DATE(VALUE(REGEXEXTRACT(Y$1,""\d{4}"")),VALUE(REGEXEXTRACT(Y$1,""T(\d+)"")),1),
  monthEnd,EOMONTH(monthStart,0),
  actualStart,MAX($D109,monthStart),
  actualEnd,MIN($E109,monthEnd),
  workingDaysInMonth,NETWORKDAYS(monthStart,monthEnd)"&amp;",
  workingDaysOverlap,IF(actualStart&gt;actualEnd,0,NETWORKDAYS(actualStart,actualEnd)),
  IF(workingDaysOverlap=0,"""",$F109*workingDaysOverlap/workingDaysInMonth)
)"),0.0)</f>
        <v>0</v>
      </c>
      <c r="Z109" s="64"/>
      <c r="AA109" s="64"/>
      <c r="AB109" s="64"/>
      <c r="AC109" s="64"/>
      <c r="AD109" s="64"/>
      <c r="AE109" s="64"/>
      <c r="AF109" s="64"/>
      <c r="AJ109" s="64"/>
      <c r="AK109" s="64"/>
      <c r="AO109" s="64"/>
      <c r="AP109" s="64"/>
      <c r="AT109" s="64"/>
      <c r="AX109" s="64"/>
      <c r="AY109" s="77"/>
      <c r="AZ109" s="77"/>
      <c r="BA109" s="77"/>
      <c r="BB109" s="74"/>
      <c r="BC109" s="74"/>
      <c r="BD109" s="67"/>
      <c r="BH109" s="64"/>
      <c r="BI109" s="64"/>
      <c r="BJ109" s="64"/>
      <c r="BK109" s="64"/>
      <c r="BL109" s="64"/>
      <c r="BM109" s="64"/>
      <c r="BN109" s="64"/>
    </row>
    <row r="110" ht="30.0" customHeight="1">
      <c r="A110" s="81"/>
      <c r="B110" s="82"/>
      <c r="C110" s="83"/>
      <c r="D110" s="84"/>
      <c r="E110" s="84"/>
      <c r="F110" s="85"/>
      <c r="G110" s="86"/>
      <c r="H110" s="86"/>
      <c r="I110" s="86"/>
      <c r="J110" s="86"/>
      <c r="K110" s="86"/>
      <c r="L110" s="86"/>
      <c r="M110" s="86"/>
      <c r="N110" s="86"/>
      <c r="O110" s="86"/>
      <c r="P110" s="86"/>
      <c r="Q110" s="86"/>
      <c r="R110" s="86"/>
      <c r="S110" s="86"/>
      <c r="T110" s="86"/>
      <c r="U110" s="86"/>
      <c r="V110" s="86"/>
      <c r="W110" s="86"/>
      <c r="X110" s="86"/>
      <c r="Y110" s="86"/>
      <c r="Z110" s="64"/>
      <c r="AA110" s="64"/>
      <c r="AB110" s="64"/>
      <c r="AC110" s="64"/>
      <c r="AD110" s="64"/>
      <c r="AE110" s="64"/>
      <c r="AF110" s="64"/>
      <c r="AJ110" s="64"/>
      <c r="AK110" s="64"/>
      <c r="AO110" s="64"/>
      <c r="AP110" s="64"/>
      <c r="AT110" s="64"/>
      <c r="AX110" s="64"/>
      <c r="AY110" s="77"/>
      <c r="AZ110" s="77"/>
      <c r="BA110" s="78"/>
      <c r="BB110" s="74"/>
      <c r="BC110" s="74"/>
      <c r="BD110" s="67"/>
      <c r="BH110" s="64"/>
      <c r="BI110" s="64"/>
      <c r="BJ110" s="64"/>
      <c r="BK110" s="64"/>
      <c r="BL110" s="64"/>
      <c r="BM110" s="64"/>
      <c r="BN110" s="64"/>
    </row>
    <row r="111" ht="30.0" customHeight="1">
      <c r="A111" s="81"/>
      <c r="B111" s="82"/>
      <c r="C111" s="83"/>
      <c r="D111" s="84"/>
      <c r="E111" s="84"/>
      <c r="F111" s="85"/>
      <c r="G111" s="86">
        <f>IFERROR(__xludf.DUMMYFUNCTION("LET(
  monthStart,DATE(VALUE(REGEXEXTRACT(G$1,""\d{4}"")),VALUE(REGEXEXTRACT(G$1,""T(\d+)"")),1),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H111" s="86">
        <f>IFERROR(__xludf.DUMMYFUNCTION("LET(
  monthStart,DATE(VALUE(REGEXEXTRACT(H$1,""\d{4}"")),VALUE(REGEXEXTRACT(H$1,""T(\d+)"")),1),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I111" s="86">
        <f>IFERROR(__xludf.DUMMYFUNCTION("LET(
  monthStart,DATE(VALUE(REGEXEXTRACT(I$1,""\d{4}"")),VALUE(REGEXEXTRACT(I$1,""T(\d+)"")),1),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J111" s="86">
        <f>IFERROR(__xludf.DUMMYFUNCTION("LET(
  monthStart,DATE(VALUE(REGEXEXTRACT(J$1,""\d{4}"")),VALUE(REGEXEXTRACT(J$1,""T(\d+)"")),1),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K111" s="86">
        <f>IFERROR(__xludf.DUMMYFUNCTION("LET(
  monthStart,DATE(VALUE(REGEXEXTRACT(K$1,""\d{4}"")),VALUE(REGEXEXTRACT(K$1,""T(\d+)"")),1),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L111" s="86">
        <f>IFERROR(__xludf.DUMMYFUNCTION("LET(
  monthStart,DATE(VALUE(REGEXEXTRACT(L$1,""\d{4}"")),VALUE(REGEXEXTRACT(L$1,""T(\d+)"")),1),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M111" s="86">
        <f>IFERROR(__xludf.DUMMYFUNCTION("LET(
  monthStart,DATE(VALUE(REGEXEXTRACT(M$1,""\d{4}"")),VALUE(REGEXEXTRACT(M$1,""T(\d+)"")),1),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N111" s="86">
        <f>IFERROR(__xludf.DUMMYFUNCTION("LET(
  monthStart,DATE(VALUE(REGEXEXTRACT(N$1,""\d{4}"")),VALUE(REGEXEXTRACT(N$1,""T(\d+)"")),1),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O111" s="86">
        <f>IFERROR(__xludf.DUMMYFUNCTION("LET(
  monthStart,DATE(VALUE(REGEXEXTRACT(O$1,""\d{4}"")),VALUE(REGEXEXTRACT(O$1,""T(\d+)"")),1),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P111" s="86">
        <f>IFERROR(__xludf.DUMMYFUNCTION("LET(
  monthStart,DATE(VALUE(REGEXEXTRACT(P$1,""\d{4}"")),VALUE(REGEXEXTRACT(P$1,""T(\d+)"")),1),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Q111" s="86">
        <f>IFERROR(__xludf.DUMMYFUNCTION("LET(
  monthStart,DATE(VALUE(REGEXEXTRACT(Q$1,""\d{4}"")),VALUE(REGEXEXTRACT(Q$1,""T(\d+)"")),1),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R111" s="86">
        <f>IFERROR(__xludf.DUMMYFUNCTION("LET(
  monthStart,DATE(VALUE(REGEXEXTRACT(R$1,""\d{4}"")),VALUE(REGEXEXTRACT(R$1,""T(\d+)"")),1),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S111" s="86">
        <f>IFERROR(__xludf.DUMMYFUNCTION("LET(
  monthStart,DATE(VALUE(REGEXEXTRACT(S$1,""\d{4}"")),VALUE(REGEXEXTRACT(S$1,""T(\d+)"")),1),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T111" s="86">
        <f>IFERROR(__xludf.DUMMYFUNCTION("LET(
  monthStart,DATE(VALUE(REGEXEXTRACT(T$1,""\d{4}"")),VALUE(REGEXEXTRACT(T$1,""T(\d+)"")),1),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U111" s="86">
        <f>IFERROR(__xludf.DUMMYFUNCTION("LET(
  monthStart,DATE(VALUE(REGEXEXTRACT(U$1,""\d{4}"")),VALUE(REGEXEXTRACT(U$1,""T(\d+)"")),1),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V111" s="86">
        <f>IFERROR(__xludf.DUMMYFUNCTION("LET(
  monthStart,DATE(VALUE(REGEXEXTRACT(V$1,""\d{4}"")),VALUE(REGEXEXTRACT(V$1,""T(\d+)"")),1),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W111" s="86">
        <f>IFERROR(__xludf.DUMMYFUNCTION("LET(
  monthStart,DATE(VALUE(REGEXEXTRACT(W$1,""\d{4}"")),VALUE(REGEXEXTRACT(W$1,""T(\d+)"")),1),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X111" s="86">
        <f>IFERROR(__xludf.DUMMYFUNCTION("LET(
  monthStart,DATE(VALUE(REGEXEXTRACT(X$1,""\d{4}"")),VALUE(REGEXEXTRACT(X$1,""T(\d+)"")),1),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Y111" s="86">
        <f>IFERROR(__xludf.DUMMYFUNCTION("LET(
  monthStart,DATE(VALUE(REGEXEXTRACT(Y$1,""\d{4}"")),VALUE(REGEXEXTRACT(Y$1,""T(\d+)"")),1),
  monthEnd,EOMONTH(monthStart,0),
  actualStart,MAX($D111,monthStart),
  actualEnd,MIN($E111,monthEnd),
  workingDaysInMonth,NETWORKDAYS(monthStart,monthEnd)"&amp;",
  workingDaysOverlap,IF(actualStart&gt;actualEnd,0,NETWORKDAYS(actualStart,actualEnd)),
  IF(workingDaysOverlap=0,"""",$F111*workingDaysOverlap/workingDaysInMonth)
)"),0.0)</f>
        <v>0</v>
      </c>
      <c r="Z111" s="64"/>
      <c r="AA111" s="64"/>
      <c r="AB111" s="64"/>
      <c r="AC111" s="64"/>
      <c r="AD111" s="64"/>
      <c r="AE111" s="64"/>
      <c r="AF111" s="64"/>
      <c r="AJ111" s="64"/>
      <c r="AK111" s="64"/>
      <c r="AO111" s="64"/>
      <c r="AP111" s="64"/>
      <c r="AT111" s="64"/>
      <c r="AX111" s="64"/>
      <c r="AY111" s="77"/>
      <c r="AZ111" s="77"/>
      <c r="BA111" s="78"/>
      <c r="BB111" s="74"/>
      <c r="BC111" s="74"/>
      <c r="BD111" s="67"/>
      <c r="BH111" s="64"/>
      <c r="BI111" s="64"/>
      <c r="BJ111" s="64"/>
      <c r="BK111" s="64"/>
      <c r="BL111" s="64"/>
      <c r="BM111" s="64"/>
      <c r="BN111" s="64"/>
    </row>
    <row r="112" ht="30.0" customHeight="1">
      <c r="A112" s="81"/>
      <c r="B112" s="82"/>
      <c r="C112" s="83"/>
      <c r="D112" s="84"/>
      <c r="E112" s="84"/>
      <c r="F112" s="85"/>
      <c r="G112" s="86">
        <f>IFERROR(__xludf.DUMMYFUNCTION("LET(
  monthStart,DATE(VALUE(REGEXEXTRACT(G$1,""\d{4}"")),VALUE(REGEXEXTRACT(G$1,""T(\d+)"")),1),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H112" s="86">
        <f>IFERROR(__xludf.DUMMYFUNCTION("LET(
  monthStart,DATE(VALUE(REGEXEXTRACT(H$1,""\d{4}"")),VALUE(REGEXEXTRACT(H$1,""T(\d+)"")),1),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I112" s="86">
        <f>IFERROR(__xludf.DUMMYFUNCTION("LET(
  monthStart,DATE(VALUE(REGEXEXTRACT(I$1,""\d{4}"")),VALUE(REGEXEXTRACT(I$1,""T(\d+)"")),1),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J112" s="86">
        <f>IFERROR(__xludf.DUMMYFUNCTION("LET(
  monthStart,DATE(VALUE(REGEXEXTRACT(J$1,""\d{4}"")),VALUE(REGEXEXTRACT(J$1,""T(\d+)"")),1),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K112" s="86">
        <f>IFERROR(__xludf.DUMMYFUNCTION("LET(
  monthStart,DATE(VALUE(REGEXEXTRACT(K$1,""\d{4}"")),VALUE(REGEXEXTRACT(K$1,""T(\d+)"")),1),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L112" s="86">
        <f>IFERROR(__xludf.DUMMYFUNCTION("LET(
  monthStart,DATE(VALUE(REGEXEXTRACT(L$1,""\d{4}"")),VALUE(REGEXEXTRACT(L$1,""T(\d+)"")),1),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M112" s="86">
        <f>IFERROR(__xludf.DUMMYFUNCTION("LET(
  monthStart,DATE(VALUE(REGEXEXTRACT(M$1,""\d{4}"")),VALUE(REGEXEXTRACT(M$1,""T(\d+)"")),1),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N112" s="86">
        <f>IFERROR(__xludf.DUMMYFUNCTION("LET(
  monthStart,DATE(VALUE(REGEXEXTRACT(N$1,""\d{4}"")),VALUE(REGEXEXTRACT(N$1,""T(\d+)"")),1),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O112" s="86">
        <f>IFERROR(__xludf.DUMMYFUNCTION("LET(
  monthStart,DATE(VALUE(REGEXEXTRACT(O$1,""\d{4}"")),VALUE(REGEXEXTRACT(O$1,""T(\d+)"")),1),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P112" s="86">
        <f>IFERROR(__xludf.DUMMYFUNCTION("LET(
  monthStart,DATE(VALUE(REGEXEXTRACT(P$1,""\d{4}"")),VALUE(REGEXEXTRACT(P$1,""T(\d+)"")),1),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Q112" s="86">
        <f>IFERROR(__xludf.DUMMYFUNCTION("LET(
  monthStart,DATE(VALUE(REGEXEXTRACT(Q$1,""\d{4}"")),VALUE(REGEXEXTRACT(Q$1,""T(\d+)"")),1),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R112" s="86">
        <f>IFERROR(__xludf.DUMMYFUNCTION("LET(
  monthStart,DATE(VALUE(REGEXEXTRACT(R$1,""\d{4}"")),VALUE(REGEXEXTRACT(R$1,""T(\d+)"")),1),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S112" s="86">
        <f>IFERROR(__xludf.DUMMYFUNCTION("LET(
  monthStart,DATE(VALUE(REGEXEXTRACT(S$1,""\d{4}"")),VALUE(REGEXEXTRACT(S$1,""T(\d+)"")),1),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T112" s="86">
        <f>IFERROR(__xludf.DUMMYFUNCTION("LET(
  monthStart,DATE(VALUE(REGEXEXTRACT(T$1,""\d{4}"")),VALUE(REGEXEXTRACT(T$1,""T(\d+)"")),1),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U112" s="86">
        <f>IFERROR(__xludf.DUMMYFUNCTION("LET(
  monthStart,DATE(VALUE(REGEXEXTRACT(U$1,""\d{4}"")),VALUE(REGEXEXTRACT(U$1,""T(\d+)"")),1),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V112" s="86">
        <f>IFERROR(__xludf.DUMMYFUNCTION("LET(
  monthStart,DATE(VALUE(REGEXEXTRACT(V$1,""\d{4}"")),VALUE(REGEXEXTRACT(V$1,""T(\d+)"")),1),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W112" s="86">
        <f>IFERROR(__xludf.DUMMYFUNCTION("LET(
  monthStart,DATE(VALUE(REGEXEXTRACT(W$1,""\d{4}"")),VALUE(REGEXEXTRACT(W$1,""T(\d+)"")),1),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X112" s="86">
        <f>IFERROR(__xludf.DUMMYFUNCTION("LET(
  monthStart,DATE(VALUE(REGEXEXTRACT(X$1,""\d{4}"")),VALUE(REGEXEXTRACT(X$1,""T(\d+)"")),1),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Y112" s="86">
        <f>IFERROR(__xludf.DUMMYFUNCTION("LET(
  monthStart,DATE(VALUE(REGEXEXTRACT(Y$1,""\d{4}"")),VALUE(REGEXEXTRACT(Y$1,""T(\d+)"")),1),
  monthEnd,EOMONTH(monthStart,0),
  actualStart,MAX($D112,monthStart),
  actualEnd,MIN($E112,monthEnd),
  workingDaysInMonth,NETWORKDAYS(monthStart,monthEnd)"&amp;",
  workingDaysOverlap,IF(actualStart&gt;actualEnd,0,NETWORKDAYS(actualStart,actualEnd)),
  IF(workingDaysOverlap=0,"""",$F112*workingDaysOverlap/workingDaysInMonth)
)"),0.0)</f>
        <v>0</v>
      </c>
      <c r="Z112" s="64"/>
      <c r="AA112" s="64"/>
      <c r="AB112" s="64"/>
      <c r="AC112" s="64"/>
      <c r="AD112" s="64"/>
      <c r="AE112" s="64"/>
      <c r="AF112" s="64"/>
      <c r="AJ112" s="64"/>
      <c r="AK112" s="64"/>
      <c r="AO112" s="64"/>
      <c r="AP112" s="64"/>
      <c r="AT112" s="64"/>
      <c r="AX112" s="64"/>
      <c r="AY112" s="77"/>
      <c r="AZ112" s="77"/>
      <c r="BA112" s="78"/>
      <c r="BB112" s="74"/>
      <c r="BC112" s="74"/>
      <c r="BD112" s="67"/>
      <c r="BH112" s="64"/>
      <c r="BI112" s="64"/>
      <c r="BJ112" s="64"/>
      <c r="BK112" s="64"/>
      <c r="BL112" s="64"/>
      <c r="BM112" s="64"/>
      <c r="BN112" s="64"/>
    </row>
    <row r="113" ht="30.0" customHeight="1">
      <c r="A113" s="81"/>
      <c r="B113" s="82"/>
      <c r="C113" s="83"/>
      <c r="D113" s="84"/>
      <c r="E113" s="84"/>
      <c r="F113" s="85"/>
      <c r="G113" s="86">
        <f>IFERROR(__xludf.DUMMYFUNCTION("LET(
  monthStart,DATE(VALUE(REGEXEXTRACT(G$1,""\d{4}"")),VALUE(REGEXEXTRACT(G$1,""T(\d+)"")),1),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H113" s="86">
        <f>IFERROR(__xludf.DUMMYFUNCTION("LET(
  monthStart,DATE(VALUE(REGEXEXTRACT(H$1,""\d{4}"")),VALUE(REGEXEXTRACT(H$1,""T(\d+)"")),1),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I113" s="86">
        <f>IFERROR(__xludf.DUMMYFUNCTION("LET(
  monthStart,DATE(VALUE(REGEXEXTRACT(I$1,""\d{4}"")),VALUE(REGEXEXTRACT(I$1,""T(\d+)"")),1),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J113" s="86">
        <f>IFERROR(__xludf.DUMMYFUNCTION("LET(
  monthStart,DATE(VALUE(REGEXEXTRACT(J$1,""\d{4}"")),VALUE(REGEXEXTRACT(J$1,""T(\d+)"")),1),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K113" s="86">
        <f>IFERROR(__xludf.DUMMYFUNCTION("LET(
  monthStart,DATE(VALUE(REGEXEXTRACT(K$1,""\d{4}"")),VALUE(REGEXEXTRACT(K$1,""T(\d+)"")),1),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L113" s="86">
        <f>IFERROR(__xludf.DUMMYFUNCTION("LET(
  monthStart,DATE(VALUE(REGEXEXTRACT(L$1,""\d{4}"")),VALUE(REGEXEXTRACT(L$1,""T(\d+)"")),1),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M113" s="86">
        <f>IFERROR(__xludf.DUMMYFUNCTION("LET(
  monthStart,DATE(VALUE(REGEXEXTRACT(M$1,""\d{4}"")),VALUE(REGEXEXTRACT(M$1,""T(\d+)"")),1),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N113" s="86">
        <f>IFERROR(__xludf.DUMMYFUNCTION("LET(
  monthStart,DATE(VALUE(REGEXEXTRACT(N$1,""\d{4}"")),VALUE(REGEXEXTRACT(N$1,""T(\d+)"")),1),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O113" s="86">
        <f>IFERROR(__xludf.DUMMYFUNCTION("LET(
  monthStart,DATE(VALUE(REGEXEXTRACT(O$1,""\d{4}"")),VALUE(REGEXEXTRACT(O$1,""T(\d+)"")),1),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P113" s="86">
        <f>IFERROR(__xludf.DUMMYFUNCTION("LET(
  monthStart,DATE(VALUE(REGEXEXTRACT(P$1,""\d{4}"")),VALUE(REGEXEXTRACT(P$1,""T(\d+)"")),1),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Q113" s="86">
        <f>IFERROR(__xludf.DUMMYFUNCTION("LET(
  monthStart,DATE(VALUE(REGEXEXTRACT(Q$1,""\d{4}"")),VALUE(REGEXEXTRACT(Q$1,""T(\d+)"")),1),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R113" s="86">
        <f>IFERROR(__xludf.DUMMYFUNCTION("LET(
  monthStart,DATE(VALUE(REGEXEXTRACT(R$1,""\d{4}"")),VALUE(REGEXEXTRACT(R$1,""T(\d+)"")),1),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S113" s="86">
        <f>IFERROR(__xludf.DUMMYFUNCTION("LET(
  monthStart,DATE(VALUE(REGEXEXTRACT(S$1,""\d{4}"")),VALUE(REGEXEXTRACT(S$1,""T(\d+)"")),1),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T113" s="86">
        <f>IFERROR(__xludf.DUMMYFUNCTION("LET(
  monthStart,DATE(VALUE(REGEXEXTRACT(T$1,""\d{4}"")),VALUE(REGEXEXTRACT(T$1,""T(\d+)"")),1),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U113" s="86">
        <f>IFERROR(__xludf.DUMMYFUNCTION("LET(
  monthStart,DATE(VALUE(REGEXEXTRACT(U$1,""\d{4}"")),VALUE(REGEXEXTRACT(U$1,""T(\d+)"")),1),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V113" s="86">
        <f>IFERROR(__xludf.DUMMYFUNCTION("LET(
  monthStart,DATE(VALUE(REGEXEXTRACT(V$1,""\d{4}"")),VALUE(REGEXEXTRACT(V$1,""T(\d+)"")),1),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W113" s="86">
        <f>IFERROR(__xludf.DUMMYFUNCTION("LET(
  monthStart,DATE(VALUE(REGEXEXTRACT(W$1,""\d{4}"")),VALUE(REGEXEXTRACT(W$1,""T(\d+)"")),1),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X113" s="86">
        <f>IFERROR(__xludf.DUMMYFUNCTION("LET(
  monthStart,DATE(VALUE(REGEXEXTRACT(X$1,""\d{4}"")),VALUE(REGEXEXTRACT(X$1,""T(\d+)"")),1),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Y113" s="86">
        <f>IFERROR(__xludf.DUMMYFUNCTION("LET(
  monthStart,DATE(VALUE(REGEXEXTRACT(Y$1,""\d{4}"")),VALUE(REGEXEXTRACT(Y$1,""T(\d+)"")),1),
  monthEnd,EOMONTH(monthStart,0),
  actualStart,MAX($D113,monthStart),
  actualEnd,MIN($E113,monthEnd),
  workingDaysInMonth,NETWORKDAYS(monthStart,monthEnd)"&amp;",
  workingDaysOverlap,IF(actualStart&gt;actualEnd,0,NETWORKDAYS(actualStart,actualEnd)),
  IF(workingDaysOverlap=0,"""",$F113*workingDaysOverlap/workingDaysInMonth)
)"),0.0)</f>
        <v>0</v>
      </c>
      <c r="Z113" s="64"/>
      <c r="AA113" s="64"/>
      <c r="AB113" s="64"/>
      <c r="AC113" s="64"/>
      <c r="AD113" s="64"/>
      <c r="AE113" s="64"/>
      <c r="AF113" s="64"/>
      <c r="AJ113" s="64"/>
      <c r="AK113" s="64"/>
      <c r="AO113" s="64"/>
      <c r="AP113" s="64"/>
      <c r="AT113" s="64"/>
      <c r="AX113" s="64"/>
      <c r="AY113" s="77"/>
      <c r="AZ113" s="77"/>
      <c r="BA113" s="78"/>
      <c r="BB113" s="74"/>
      <c r="BC113" s="74"/>
      <c r="BD113" s="67"/>
      <c r="BH113" s="64"/>
      <c r="BI113" s="64"/>
      <c r="BJ113" s="64"/>
      <c r="BK113" s="64"/>
      <c r="BL113" s="64"/>
      <c r="BM113" s="64"/>
      <c r="BN113" s="64"/>
    </row>
    <row r="114" ht="30.0" customHeight="1">
      <c r="A114" s="81"/>
      <c r="B114" s="82"/>
      <c r="C114" s="83"/>
      <c r="D114" s="84"/>
      <c r="E114" s="84"/>
      <c r="F114" s="85"/>
      <c r="G114" s="86">
        <f>IFERROR(__xludf.DUMMYFUNCTION("LET(
  monthStart,DATE(VALUE(REGEXEXTRACT(G$1,""\d{4}"")),VALUE(REGEXEXTRACT(G$1,""T(\d+)"")),1),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H114" s="86">
        <f>IFERROR(__xludf.DUMMYFUNCTION("LET(
  monthStart,DATE(VALUE(REGEXEXTRACT(H$1,""\d{4}"")),VALUE(REGEXEXTRACT(H$1,""T(\d+)"")),1),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I114" s="86">
        <f>IFERROR(__xludf.DUMMYFUNCTION("LET(
  monthStart,DATE(VALUE(REGEXEXTRACT(I$1,""\d{4}"")),VALUE(REGEXEXTRACT(I$1,""T(\d+)"")),1),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J114" s="86">
        <f>IFERROR(__xludf.DUMMYFUNCTION("LET(
  monthStart,DATE(VALUE(REGEXEXTRACT(J$1,""\d{4}"")),VALUE(REGEXEXTRACT(J$1,""T(\d+)"")),1),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K114" s="86">
        <f>IFERROR(__xludf.DUMMYFUNCTION("LET(
  monthStart,DATE(VALUE(REGEXEXTRACT(K$1,""\d{4}"")),VALUE(REGEXEXTRACT(K$1,""T(\d+)"")),1),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L114" s="86">
        <f>IFERROR(__xludf.DUMMYFUNCTION("LET(
  monthStart,DATE(VALUE(REGEXEXTRACT(L$1,""\d{4}"")),VALUE(REGEXEXTRACT(L$1,""T(\d+)"")),1),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M114" s="86">
        <f>IFERROR(__xludf.DUMMYFUNCTION("LET(
  monthStart,DATE(VALUE(REGEXEXTRACT(M$1,""\d{4}"")),VALUE(REGEXEXTRACT(M$1,""T(\d+)"")),1),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N114" s="86">
        <f>IFERROR(__xludf.DUMMYFUNCTION("LET(
  monthStart,DATE(VALUE(REGEXEXTRACT(N$1,""\d{4}"")),VALUE(REGEXEXTRACT(N$1,""T(\d+)"")),1),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O114" s="86">
        <f>IFERROR(__xludf.DUMMYFUNCTION("LET(
  monthStart,DATE(VALUE(REGEXEXTRACT(O$1,""\d{4}"")),VALUE(REGEXEXTRACT(O$1,""T(\d+)"")),1),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P114" s="86">
        <f>IFERROR(__xludf.DUMMYFUNCTION("LET(
  monthStart,DATE(VALUE(REGEXEXTRACT(P$1,""\d{4}"")),VALUE(REGEXEXTRACT(P$1,""T(\d+)"")),1),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Q114" s="86">
        <f>IFERROR(__xludf.DUMMYFUNCTION("LET(
  monthStart,DATE(VALUE(REGEXEXTRACT(Q$1,""\d{4}"")),VALUE(REGEXEXTRACT(Q$1,""T(\d+)"")),1),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R114" s="86">
        <f>IFERROR(__xludf.DUMMYFUNCTION("LET(
  monthStart,DATE(VALUE(REGEXEXTRACT(R$1,""\d{4}"")),VALUE(REGEXEXTRACT(R$1,""T(\d+)"")),1),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S114" s="86">
        <f>IFERROR(__xludf.DUMMYFUNCTION("LET(
  monthStart,DATE(VALUE(REGEXEXTRACT(S$1,""\d{4}"")),VALUE(REGEXEXTRACT(S$1,""T(\d+)"")),1),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T114" s="86">
        <f>IFERROR(__xludf.DUMMYFUNCTION("LET(
  monthStart,DATE(VALUE(REGEXEXTRACT(T$1,""\d{4}"")),VALUE(REGEXEXTRACT(T$1,""T(\d+)"")),1),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U114" s="86">
        <f>IFERROR(__xludf.DUMMYFUNCTION("LET(
  monthStart,DATE(VALUE(REGEXEXTRACT(U$1,""\d{4}"")),VALUE(REGEXEXTRACT(U$1,""T(\d+)"")),1),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V114" s="86">
        <f>IFERROR(__xludf.DUMMYFUNCTION("LET(
  monthStart,DATE(VALUE(REGEXEXTRACT(V$1,""\d{4}"")),VALUE(REGEXEXTRACT(V$1,""T(\d+)"")),1),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W114" s="86">
        <f>IFERROR(__xludf.DUMMYFUNCTION("LET(
  monthStart,DATE(VALUE(REGEXEXTRACT(W$1,""\d{4}"")),VALUE(REGEXEXTRACT(W$1,""T(\d+)"")),1),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X114" s="86">
        <f>IFERROR(__xludf.DUMMYFUNCTION("LET(
  monthStart,DATE(VALUE(REGEXEXTRACT(X$1,""\d{4}"")),VALUE(REGEXEXTRACT(X$1,""T(\d+)"")),1),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Y114" s="86">
        <f>IFERROR(__xludf.DUMMYFUNCTION("LET(
  monthStart,DATE(VALUE(REGEXEXTRACT(Y$1,""\d{4}"")),VALUE(REGEXEXTRACT(Y$1,""T(\d+)"")),1),
  monthEnd,EOMONTH(monthStart,0),
  actualStart,MAX($D114,monthStart),
  actualEnd,MIN($E114,monthEnd),
  workingDaysInMonth,NETWORKDAYS(monthStart,monthEnd)"&amp;",
  workingDaysOverlap,IF(actualStart&gt;actualEnd,0,NETWORKDAYS(actualStart,actualEnd)),
  IF(workingDaysOverlap=0,"""",$F114*workingDaysOverlap/workingDaysInMonth)
)"),0.0)</f>
        <v>0</v>
      </c>
      <c r="Z114" s="64"/>
      <c r="AA114" s="64"/>
      <c r="AB114" s="64"/>
      <c r="AC114" s="64"/>
      <c r="AD114" s="64"/>
      <c r="AE114" s="64"/>
      <c r="AF114" s="64"/>
      <c r="AJ114" s="64"/>
      <c r="AK114" s="64"/>
      <c r="AO114" s="64"/>
      <c r="AP114" s="64"/>
      <c r="AT114" s="64"/>
      <c r="AX114" s="64"/>
      <c r="AY114" s="77"/>
      <c r="AZ114" s="77"/>
      <c r="BA114" s="78"/>
      <c r="BB114" s="74"/>
      <c r="BC114" s="74"/>
      <c r="BD114" s="67"/>
      <c r="BH114" s="64"/>
      <c r="BI114" s="64"/>
      <c r="BJ114" s="64"/>
      <c r="BK114" s="64"/>
      <c r="BL114" s="64"/>
      <c r="BM114" s="64"/>
      <c r="BN114" s="64"/>
    </row>
    <row r="115" ht="30.0" customHeight="1">
      <c r="A115" s="81"/>
      <c r="B115" s="82"/>
      <c r="C115" s="83"/>
      <c r="D115" s="84"/>
      <c r="E115" s="84"/>
      <c r="F115" s="85"/>
      <c r="G115" s="86">
        <f>IFERROR(__xludf.DUMMYFUNCTION("LET(
  monthStart,DATE(VALUE(REGEXEXTRACT(G$1,""\d{4}"")),VALUE(REGEXEXTRACT(G$1,""T(\d+)"")),1),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H115" s="86">
        <f>IFERROR(__xludf.DUMMYFUNCTION("LET(
  monthStart,DATE(VALUE(REGEXEXTRACT(H$1,""\d{4}"")),VALUE(REGEXEXTRACT(H$1,""T(\d+)"")),1),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I115" s="86">
        <f>IFERROR(__xludf.DUMMYFUNCTION("LET(
  monthStart,DATE(VALUE(REGEXEXTRACT(I$1,""\d{4}"")),VALUE(REGEXEXTRACT(I$1,""T(\d+)"")),1),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J115" s="86">
        <f>IFERROR(__xludf.DUMMYFUNCTION("LET(
  monthStart,DATE(VALUE(REGEXEXTRACT(J$1,""\d{4}"")),VALUE(REGEXEXTRACT(J$1,""T(\d+)"")),1),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K115" s="86">
        <f>IFERROR(__xludf.DUMMYFUNCTION("LET(
  monthStart,DATE(VALUE(REGEXEXTRACT(K$1,""\d{4}"")),VALUE(REGEXEXTRACT(K$1,""T(\d+)"")),1),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L115" s="86">
        <f>IFERROR(__xludf.DUMMYFUNCTION("LET(
  monthStart,DATE(VALUE(REGEXEXTRACT(L$1,""\d{4}"")),VALUE(REGEXEXTRACT(L$1,""T(\d+)"")),1),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M115" s="86">
        <f>IFERROR(__xludf.DUMMYFUNCTION("LET(
  monthStart,DATE(VALUE(REGEXEXTRACT(M$1,""\d{4}"")),VALUE(REGEXEXTRACT(M$1,""T(\d+)"")),1),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N115" s="86">
        <f>IFERROR(__xludf.DUMMYFUNCTION("LET(
  monthStart,DATE(VALUE(REGEXEXTRACT(N$1,""\d{4}"")),VALUE(REGEXEXTRACT(N$1,""T(\d+)"")),1),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O115" s="86">
        <f>IFERROR(__xludf.DUMMYFUNCTION("LET(
  monthStart,DATE(VALUE(REGEXEXTRACT(O$1,""\d{4}"")),VALUE(REGEXEXTRACT(O$1,""T(\d+)"")),1),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P115" s="86">
        <f>IFERROR(__xludf.DUMMYFUNCTION("LET(
  monthStart,DATE(VALUE(REGEXEXTRACT(P$1,""\d{4}"")),VALUE(REGEXEXTRACT(P$1,""T(\d+)"")),1),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Q115" s="86">
        <f>IFERROR(__xludf.DUMMYFUNCTION("LET(
  monthStart,DATE(VALUE(REGEXEXTRACT(Q$1,""\d{4}"")),VALUE(REGEXEXTRACT(Q$1,""T(\d+)"")),1),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R115" s="86">
        <f>IFERROR(__xludf.DUMMYFUNCTION("LET(
  monthStart,DATE(VALUE(REGEXEXTRACT(R$1,""\d{4}"")),VALUE(REGEXEXTRACT(R$1,""T(\d+)"")),1),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S115" s="86">
        <f>IFERROR(__xludf.DUMMYFUNCTION("LET(
  monthStart,DATE(VALUE(REGEXEXTRACT(S$1,""\d{4}"")),VALUE(REGEXEXTRACT(S$1,""T(\d+)"")),1),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T115" s="86">
        <f>IFERROR(__xludf.DUMMYFUNCTION("LET(
  monthStart,DATE(VALUE(REGEXEXTRACT(T$1,""\d{4}"")),VALUE(REGEXEXTRACT(T$1,""T(\d+)"")),1),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U115" s="86">
        <f>IFERROR(__xludf.DUMMYFUNCTION("LET(
  monthStart,DATE(VALUE(REGEXEXTRACT(U$1,""\d{4}"")),VALUE(REGEXEXTRACT(U$1,""T(\d+)"")),1),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V115" s="86">
        <f>IFERROR(__xludf.DUMMYFUNCTION("LET(
  monthStart,DATE(VALUE(REGEXEXTRACT(V$1,""\d{4}"")),VALUE(REGEXEXTRACT(V$1,""T(\d+)"")),1),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W115" s="86">
        <f>IFERROR(__xludf.DUMMYFUNCTION("LET(
  monthStart,DATE(VALUE(REGEXEXTRACT(W$1,""\d{4}"")),VALUE(REGEXEXTRACT(W$1,""T(\d+)"")),1),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X115" s="86">
        <f>IFERROR(__xludf.DUMMYFUNCTION("LET(
  monthStart,DATE(VALUE(REGEXEXTRACT(X$1,""\d{4}"")),VALUE(REGEXEXTRACT(X$1,""T(\d+)"")),1),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Y115" s="86">
        <f>IFERROR(__xludf.DUMMYFUNCTION("LET(
  monthStart,DATE(VALUE(REGEXEXTRACT(Y$1,""\d{4}"")),VALUE(REGEXEXTRACT(Y$1,""T(\d+)"")),1),
  monthEnd,EOMONTH(monthStart,0),
  actualStart,MAX($D115,monthStart),
  actualEnd,MIN($E115,monthEnd),
  workingDaysInMonth,NETWORKDAYS(monthStart,monthEnd)"&amp;",
  workingDaysOverlap,IF(actualStart&gt;actualEnd,0,NETWORKDAYS(actualStart,actualEnd)),
  IF(workingDaysOverlap=0,"""",$F115*workingDaysOverlap/workingDaysInMonth)
)"),0.0)</f>
        <v>0</v>
      </c>
      <c r="Z115" s="64"/>
      <c r="AA115" s="64"/>
      <c r="AB115" s="64"/>
      <c r="AC115" s="64"/>
      <c r="AD115" s="64"/>
      <c r="AE115" s="64"/>
      <c r="AF115" s="64"/>
      <c r="AJ115" s="64"/>
      <c r="AK115" s="64"/>
      <c r="AO115" s="64"/>
      <c r="AP115" s="64"/>
      <c r="AT115" s="64"/>
      <c r="AX115" s="64"/>
      <c r="AY115" s="77"/>
      <c r="AZ115" s="77"/>
      <c r="BA115" s="77"/>
      <c r="BB115" s="74"/>
      <c r="BC115" s="74"/>
      <c r="BD115" s="67"/>
      <c r="BH115" s="64"/>
      <c r="BI115" s="64"/>
      <c r="BJ115" s="64"/>
      <c r="BK115" s="64"/>
      <c r="BL115" s="64"/>
      <c r="BM115" s="64"/>
      <c r="BN115" s="64"/>
    </row>
    <row r="116" ht="30.0" customHeight="1">
      <c r="A116" s="81"/>
      <c r="B116" s="82"/>
      <c r="C116" s="83"/>
      <c r="D116" s="84"/>
      <c r="E116" s="84"/>
      <c r="F116" s="85"/>
      <c r="G116" s="86">
        <f>IFERROR(__xludf.DUMMYFUNCTION("LET(
  monthStart,DATE(VALUE(REGEXEXTRACT(G$1,""\d{4}"")),VALUE(REGEXEXTRACT(G$1,""T(\d+)"")),1),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H116" s="86">
        <f>IFERROR(__xludf.DUMMYFUNCTION("LET(
  monthStart,DATE(VALUE(REGEXEXTRACT(H$1,""\d{4}"")),VALUE(REGEXEXTRACT(H$1,""T(\d+)"")),1),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I116" s="86">
        <f>IFERROR(__xludf.DUMMYFUNCTION("LET(
  monthStart,DATE(VALUE(REGEXEXTRACT(I$1,""\d{4}"")),VALUE(REGEXEXTRACT(I$1,""T(\d+)"")),1),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J116" s="86">
        <f>IFERROR(__xludf.DUMMYFUNCTION("LET(
  monthStart,DATE(VALUE(REGEXEXTRACT(J$1,""\d{4}"")),VALUE(REGEXEXTRACT(J$1,""T(\d+)"")),1),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K116" s="86">
        <f>IFERROR(__xludf.DUMMYFUNCTION("LET(
  monthStart,DATE(VALUE(REGEXEXTRACT(K$1,""\d{4}"")),VALUE(REGEXEXTRACT(K$1,""T(\d+)"")),1),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L116" s="86">
        <f>IFERROR(__xludf.DUMMYFUNCTION("LET(
  monthStart,DATE(VALUE(REGEXEXTRACT(L$1,""\d{4}"")),VALUE(REGEXEXTRACT(L$1,""T(\d+)"")),1),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M116" s="86">
        <f>IFERROR(__xludf.DUMMYFUNCTION("LET(
  monthStart,DATE(VALUE(REGEXEXTRACT(M$1,""\d{4}"")),VALUE(REGEXEXTRACT(M$1,""T(\d+)"")),1),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N116" s="86">
        <f>IFERROR(__xludf.DUMMYFUNCTION("LET(
  monthStart,DATE(VALUE(REGEXEXTRACT(N$1,""\d{4}"")),VALUE(REGEXEXTRACT(N$1,""T(\d+)"")),1),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O116" s="86">
        <f>IFERROR(__xludf.DUMMYFUNCTION("LET(
  monthStart,DATE(VALUE(REGEXEXTRACT(O$1,""\d{4}"")),VALUE(REGEXEXTRACT(O$1,""T(\d+)"")),1),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P116" s="86">
        <f>IFERROR(__xludf.DUMMYFUNCTION("LET(
  monthStart,DATE(VALUE(REGEXEXTRACT(P$1,""\d{4}"")),VALUE(REGEXEXTRACT(P$1,""T(\d+)"")),1),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Q116" s="86">
        <f>IFERROR(__xludf.DUMMYFUNCTION("LET(
  monthStart,DATE(VALUE(REGEXEXTRACT(Q$1,""\d{4}"")),VALUE(REGEXEXTRACT(Q$1,""T(\d+)"")),1),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R116" s="86">
        <f>IFERROR(__xludf.DUMMYFUNCTION("LET(
  monthStart,DATE(VALUE(REGEXEXTRACT(R$1,""\d{4}"")),VALUE(REGEXEXTRACT(R$1,""T(\d+)"")),1),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S116" s="86">
        <f>IFERROR(__xludf.DUMMYFUNCTION("LET(
  monthStart,DATE(VALUE(REGEXEXTRACT(S$1,""\d{4}"")),VALUE(REGEXEXTRACT(S$1,""T(\d+)"")),1),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T116" s="86">
        <f>IFERROR(__xludf.DUMMYFUNCTION("LET(
  monthStart,DATE(VALUE(REGEXEXTRACT(T$1,""\d{4}"")),VALUE(REGEXEXTRACT(T$1,""T(\d+)"")),1),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U116" s="86">
        <f>IFERROR(__xludf.DUMMYFUNCTION("LET(
  monthStart,DATE(VALUE(REGEXEXTRACT(U$1,""\d{4}"")),VALUE(REGEXEXTRACT(U$1,""T(\d+)"")),1),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V116" s="86">
        <f>IFERROR(__xludf.DUMMYFUNCTION("LET(
  monthStart,DATE(VALUE(REGEXEXTRACT(V$1,""\d{4}"")),VALUE(REGEXEXTRACT(V$1,""T(\d+)"")),1),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W116" s="86">
        <f>IFERROR(__xludf.DUMMYFUNCTION("LET(
  monthStart,DATE(VALUE(REGEXEXTRACT(W$1,""\d{4}"")),VALUE(REGEXEXTRACT(W$1,""T(\d+)"")),1),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X116" s="86">
        <f>IFERROR(__xludf.DUMMYFUNCTION("LET(
  monthStart,DATE(VALUE(REGEXEXTRACT(X$1,""\d{4}"")),VALUE(REGEXEXTRACT(X$1,""T(\d+)"")),1),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Y116" s="86">
        <f>IFERROR(__xludf.DUMMYFUNCTION("LET(
  monthStart,DATE(VALUE(REGEXEXTRACT(Y$1,""\d{4}"")),VALUE(REGEXEXTRACT(Y$1,""T(\d+)"")),1),
  monthEnd,EOMONTH(monthStart,0),
  actualStart,MAX($D116,monthStart),
  actualEnd,MIN($E116,monthEnd),
  workingDaysInMonth,NETWORKDAYS(monthStart,monthEnd)"&amp;",
  workingDaysOverlap,IF(actualStart&gt;actualEnd,0,NETWORKDAYS(actualStart,actualEnd)),
  IF(workingDaysOverlap=0,"""",$F116*workingDaysOverlap/workingDaysInMonth)
)"),0.0)</f>
        <v>0</v>
      </c>
      <c r="Z116" s="64"/>
      <c r="AA116" s="64"/>
      <c r="AB116" s="64"/>
      <c r="AC116" s="64"/>
      <c r="AD116" s="64"/>
      <c r="AE116" s="64"/>
      <c r="AF116" s="64"/>
      <c r="AJ116" s="64"/>
      <c r="AK116" s="64"/>
      <c r="AO116" s="64"/>
      <c r="AP116" s="64"/>
      <c r="AT116" s="64"/>
      <c r="AX116" s="64"/>
      <c r="AY116" s="77"/>
      <c r="AZ116" s="77"/>
      <c r="BA116" s="78"/>
      <c r="BB116" s="74"/>
      <c r="BC116" s="74"/>
      <c r="BD116" s="67"/>
      <c r="BH116" s="64"/>
      <c r="BI116" s="64"/>
      <c r="BJ116" s="64"/>
      <c r="BK116" s="64"/>
      <c r="BL116" s="64"/>
      <c r="BM116" s="64"/>
      <c r="BN116" s="64"/>
    </row>
    <row r="117" ht="30.0" customHeight="1">
      <c r="A117" s="81"/>
      <c r="B117" s="82"/>
      <c r="C117" s="83"/>
      <c r="D117" s="84"/>
      <c r="E117" s="84"/>
      <c r="F117" s="85"/>
      <c r="G117" s="86">
        <f>IFERROR(__xludf.DUMMYFUNCTION("LET(
  monthStart,DATE(VALUE(REGEXEXTRACT(G$1,""\d{4}"")),VALUE(REGEXEXTRACT(G$1,""T(\d+)"")),1),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H117" s="86">
        <f>IFERROR(__xludf.DUMMYFUNCTION("LET(
  monthStart,DATE(VALUE(REGEXEXTRACT(H$1,""\d{4}"")),VALUE(REGEXEXTRACT(H$1,""T(\d+)"")),1),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I117" s="86">
        <f>IFERROR(__xludf.DUMMYFUNCTION("LET(
  monthStart,DATE(VALUE(REGEXEXTRACT(I$1,""\d{4}"")),VALUE(REGEXEXTRACT(I$1,""T(\d+)"")),1),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J117" s="86">
        <f>IFERROR(__xludf.DUMMYFUNCTION("LET(
  monthStart,DATE(VALUE(REGEXEXTRACT(J$1,""\d{4}"")),VALUE(REGEXEXTRACT(J$1,""T(\d+)"")),1),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K117" s="86">
        <f>IFERROR(__xludf.DUMMYFUNCTION("LET(
  monthStart,DATE(VALUE(REGEXEXTRACT(K$1,""\d{4}"")),VALUE(REGEXEXTRACT(K$1,""T(\d+)"")),1),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L117" s="86">
        <f>IFERROR(__xludf.DUMMYFUNCTION("LET(
  monthStart,DATE(VALUE(REGEXEXTRACT(L$1,""\d{4}"")),VALUE(REGEXEXTRACT(L$1,""T(\d+)"")),1),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M117" s="86">
        <f>IFERROR(__xludf.DUMMYFUNCTION("LET(
  monthStart,DATE(VALUE(REGEXEXTRACT(M$1,""\d{4}"")),VALUE(REGEXEXTRACT(M$1,""T(\d+)"")),1),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N117" s="86">
        <f>IFERROR(__xludf.DUMMYFUNCTION("LET(
  monthStart,DATE(VALUE(REGEXEXTRACT(N$1,""\d{4}"")),VALUE(REGEXEXTRACT(N$1,""T(\d+)"")),1),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O117" s="86">
        <f>IFERROR(__xludf.DUMMYFUNCTION("LET(
  monthStart,DATE(VALUE(REGEXEXTRACT(O$1,""\d{4}"")),VALUE(REGEXEXTRACT(O$1,""T(\d+)"")),1),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P117" s="86">
        <f>IFERROR(__xludf.DUMMYFUNCTION("LET(
  monthStart,DATE(VALUE(REGEXEXTRACT(P$1,""\d{4}"")),VALUE(REGEXEXTRACT(P$1,""T(\d+)"")),1),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Q117" s="86">
        <f>IFERROR(__xludf.DUMMYFUNCTION("LET(
  monthStart,DATE(VALUE(REGEXEXTRACT(Q$1,""\d{4}"")),VALUE(REGEXEXTRACT(Q$1,""T(\d+)"")),1),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R117" s="86">
        <f>IFERROR(__xludf.DUMMYFUNCTION("LET(
  monthStart,DATE(VALUE(REGEXEXTRACT(R$1,""\d{4}"")),VALUE(REGEXEXTRACT(R$1,""T(\d+)"")),1),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S117" s="86">
        <f>IFERROR(__xludf.DUMMYFUNCTION("LET(
  monthStart,DATE(VALUE(REGEXEXTRACT(S$1,""\d{4}"")),VALUE(REGEXEXTRACT(S$1,""T(\d+)"")),1),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T117" s="86">
        <f>IFERROR(__xludf.DUMMYFUNCTION("LET(
  monthStart,DATE(VALUE(REGEXEXTRACT(T$1,""\d{4}"")),VALUE(REGEXEXTRACT(T$1,""T(\d+)"")),1),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U117" s="86">
        <f>IFERROR(__xludf.DUMMYFUNCTION("LET(
  monthStart,DATE(VALUE(REGEXEXTRACT(U$1,""\d{4}"")),VALUE(REGEXEXTRACT(U$1,""T(\d+)"")),1),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V117" s="86">
        <f>IFERROR(__xludf.DUMMYFUNCTION("LET(
  monthStart,DATE(VALUE(REGEXEXTRACT(V$1,""\d{4}"")),VALUE(REGEXEXTRACT(V$1,""T(\d+)"")),1),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W117" s="86">
        <f>IFERROR(__xludf.DUMMYFUNCTION("LET(
  monthStart,DATE(VALUE(REGEXEXTRACT(W$1,""\d{4}"")),VALUE(REGEXEXTRACT(W$1,""T(\d+)"")),1),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X117" s="86">
        <f>IFERROR(__xludf.DUMMYFUNCTION("LET(
  monthStart,DATE(VALUE(REGEXEXTRACT(X$1,""\d{4}"")),VALUE(REGEXEXTRACT(X$1,""T(\d+)"")),1),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Y117" s="86">
        <f>IFERROR(__xludf.DUMMYFUNCTION("LET(
  monthStart,DATE(VALUE(REGEXEXTRACT(Y$1,""\d{4}"")),VALUE(REGEXEXTRACT(Y$1,""T(\d+)"")),1),
  monthEnd,EOMONTH(monthStart,0),
  actualStart,MAX($D117,monthStart),
  actualEnd,MIN($E117,monthEnd),
  workingDaysInMonth,NETWORKDAYS(monthStart,monthEnd)"&amp;",
  workingDaysOverlap,IF(actualStart&gt;actualEnd,0,NETWORKDAYS(actualStart,actualEnd)),
  IF(workingDaysOverlap=0,"""",$F117*workingDaysOverlap/workingDaysInMonth)
)"),0.0)</f>
        <v>0</v>
      </c>
      <c r="Z117" s="64"/>
      <c r="AA117" s="64"/>
      <c r="AB117" s="64"/>
      <c r="AC117" s="64"/>
      <c r="AD117" s="64"/>
      <c r="AE117" s="64"/>
      <c r="AF117" s="64"/>
      <c r="AJ117" s="64"/>
      <c r="AK117" s="64"/>
      <c r="AO117" s="64"/>
      <c r="AP117" s="64"/>
      <c r="AT117" s="64"/>
      <c r="AX117" s="64"/>
      <c r="AY117" s="77"/>
      <c r="AZ117" s="77"/>
      <c r="BA117" s="77"/>
      <c r="BB117" s="74"/>
      <c r="BC117" s="74"/>
      <c r="BD117" s="67"/>
      <c r="BH117" s="64"/>
      <c r="BI117" s="64"/>
      <c r="BJ117" s="64"/>
      <c r="BK117" s="64"/>
      <c r="BL117" s="64"/>
      <c r="BM117" s="64"/>
      <c r="BN117" s="64"/>
    </row>
    <row r="118" ht="30.0" customHeight="1">
      <c r="A118" s="81"/>
      <c r="B118" s="82"/>
      <c r="C118" s="83"/>
      <c r="D118" s="84"/>
      <c r="E118" s="84"/>
      <c r="F118" s="85"/>
      <c r="G118" s="86">
        <f>IFERROR(__xludf.DUMMYFUNCTION("LET(
  monthStart,DATE(VALUE(REGEXEXTRACT(G$1,""\d{4}"")),VALUE(REGEXEXTRACT(G$1,""T(\d+)"")),1),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H118" s="86">
        <f>IFERROR(__xludf.DUMMYFUNCTION("LET(
  monthStart,DATE(VALUE(REGEXEXTRACT(H$1,""\d{4}"")),VALUE(REGEXEXTRACT(H$1,""T(\d+)"")),1),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I118" s="86">
        <f>IFERROR(__xludf.DUMMYFUNCTION("LET(
  monthStart,DATE(VALUE(REGEXEXTRACT(I$1,""\d{4}"")),VALUE(REGEXEXTRACT(I$1,""T(\d+)"")),1),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J118" s="86">
        <f>IFERROR(__xludf.DUMMYFUNCTION("LET(
  monthStart,DATE(VALUE(REGEXEXTRACT(J$1,""\d{4}"")),VALUE(REGEXEXTRACT(J$1,""T(\d+)"")),1),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K118" s="86">
        <f>IFERROR(__xludf.DUMMYFUNCTION("LET(
  monthStart,DATE(VALUE(REGEXEXTRACT(K$1,""\d{4}"")),VALUE(REGEXEXTRACT(K$1,""T(\d+)"")),1),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L118" s="86">
        <f>IFERROR(__xludf.DUMMYFUNCTION("LET(
  monthStart,DATE(VALUE(REGEXEXTRACT(L$1,""\d{4}"")),VALUE(REGEXEXTRACT(L$1,""T(\d+)"")),1),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M118" s="86">
        <f>IFERROR(__xludf.DUMMYFUNCTION("LET(
  monthStart,DATE(VALUE(REGEXEXTRACT(M$1,""\d{4}"")),VALUE(REGEXEXTRACT(M$1,""T(\d+)"")),1),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N118" s="86">
        <f>IFERROR(__xludf.DUMMYFUNCTION("LET(
  monthStart,DATE(VALUE(REGEXEXTRACT(N$1,""\d{4}"")),VALUE(REGEXEXTRACT(N$1,""T(\d+)"")),1),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O118" s="86">
        <f>IFERROR(__xludf.DUMMYFUNCTION("LET(
  monthStart,DATE(VALUE(REGEXEXTRACT(O$1,""\d{4}"")),VALUE(REGEXEXTRACT(O$1,""T(\d+)"")),1),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P118" s="86">
        <f>IFERROR(__xludf.DUMMYFUNCTION("LET(
  monthStart,DATE(VALUE(REGEXEXTRACT(P$1,""\d{4}"")),VALUE(REGEXEXTRACT(P$1,""T(\d+)"")),1),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Q118" s="86">
        <f>IFERROR(__xludf.DUMMYFUNCTION("LET(
  monthStart,DATE(VALUE(REGEXEXTRACT(Q$1,""\d{4}"")),VALUE(REGEXEXTRACT(Q$1,""T(\d+)"")),1),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R118" s="86">
        <f>IFERROR(__xludf.DUMMYFUNCTION("LET(
  monthStart,DATE(VALUE(REGEXEXTRACT(R$1,""\d{4}"")),VALUE(REGEXEXTRACT(R$1,""T(\d+)"")),1),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S118" s="86">
        <f>IFERROR(__xludf.DUMMYFUNCTION("LET(
  monthStart,DATE(VALUE(REGEXEXTRACT(S$1,""\d{4}"")),VALUE(REGEXEXTRACT(S$1,""T(\d+)"")),1),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T118" s="86">
        <f>IFERROR(__xludf.DUMMYFUNCTION("LET(
  monthStart,DATE(VALUE(REGEXEXTRACT(T$1,""\d{4}"")),VALUE(REGEXEXTRACT(T$1,""T(\d+)"")),1),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U118" s="86">
        <f>IFERROR(__xludf.DUMMYFUNCTION("LET(
  monthStart,DATE(VALUE(REGEXEXTRACT(U$1,""\d{4}"")),VALUE(REGEXEXTRACT(U$1,""T(\d+)"")),1),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V118" s="86">
        <f>IFERROR(__xludf.DUMMYFUNCTION("LET(
  monthStart,DATE(VALUE(REGEXEXTRACT(V$1,""\d{4}"")),VALUE(REGEXEXTRACT(V$1,""T(\d+)"")),1),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W118" s="86">
        <f>IFERROR(__xludf.DUMMYFUNCTION("LET(
  monthStart,DATE(VALUE(REGEXEXTRACT(W$1,""\d{4}"")),VALUE(REGEXEXTRACT(W$1,""T(\d+)"")),1),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X118" s="86">
        <f>IFERROR(__xludf.DUMMYFUNCTION("LET(
  monthStart,DATE(VALUE(REGEXEXTRACT(X$1,""\d{4}"")),VALUE(REGEXEXTRACT(X$1,""T(\d+)"")),1),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Y118" s="86">
        <f>IFERROR(__xludf.DUMMYFUNCTION("LET(
  monthStart,DATE(VALUE(REGEXEXTRACT(Y$1,""\d{4}"")),VALUE(REGEXEXTRACT(Y$1,""T(\d+)"")),1),
  monthEnd,EOMONTH(monthStart,0),
  actualStart,MAX($D118,monthStart),
  actualEnd,MIN($E118,monthEnd),
  workingDaysInMonth,NETWORKDAYS(monthStart,monthEnd)"&amp;",
  workingDaysOverlap,IF(actualStart&gt;actualEnd,0,NETWORKDAYS(actualStart,actualEnd)),
  IF(workingDaysOverlap=0,"""",$F118*workingDaysOverlap/workingDaysInMonth)
)"),0.0)</f>
        <v>0</v>
      </c>
      <c r="Z118" s="64"/>
      <c r="AA118" s="64"/>
      <c r="AB118" s="64"/>
      <c r="AC118" s="64"/>
      <c r="AD118" s="64"/>
      <c r="AE118" s="64"/>
      <c r="AF118" s="64"/>
      <c r="AJ118" s="64"/>
      <c r="AK118" s="64"/>
      <c r="AO118" s="64"/>
      <c r="AP118" s="64"/>
      <c r="AT118" s="64"/>
      <c r="AX118" s="64"/>
      <c r="AY118" s="77"/>
      <c r="AZ118" s="77"/>
      <c r="BA118" s="77"/>
      <c r="BB118" s="74"/>
      <c r="BC118" s="74"/>
      <c r="BD118" s="67"/>
      <c r="BH118" s="64"/>
      <c r="BI118" s="64"/>
      <c r="BJ118" s="64"/>
      <c r="BK118" s="64"/>
      <c r="BL118" s="64"/>
      <c r="BM118" s="64"/>
      <c r="BN118" s="64"/>
    </row>
    <row r="119" ht="30.0" customHeight="1">
      <c r="A119" s="81"/>
      <c r="B119" s="82"/>
      <c r="C119" s="83"/>
      <c r="D119" s="84"/>
      <c r="E119" s="84"/>
      <c r="F119" s="85"/>
      <c r="G119" s="86">
        <f>IFERROR(__xludf.DUMMYFUNCTION("LET(
  monthStart,DATE(VALUE(REGEXEXTRACT(G$1,""\d{4}"")),VALUE(REGEXEXTRACT(G$1,""T(\d+)"")),1),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H119" s="86">
        <f>IFERROR(__xludf.DUMMYFUNCTION("LET(
  monthStart,DATE(VALUE(REGEXEXTRACT(H$1,""\d{4}"")),VALUE(REGEXEXTRACT(H$1,""T(\d+)"")),1),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I119" s="86">
        <f>IFERROR(__xludf.DUMMYFUNCTION("LET(
  monthStart,DATE(VALUE(REGEXEXTRACT(I$1,""\d{4}"")),VALUE(REGEXEXTRACT(I$1,""T(\d+)"")),1),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J119" s="86">
        <f>IFERROR(__xludf.DUMMYFUNCTION("LET(
  monthStart,DATE(VALUE(REGEXEXTRACT(J$1,""\d{4}"")),VALUE(REGEXEXTRACT(J$1,""T(\d+)"")),1),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K119" s="86">
        <f>IFERROR(__xludf.DUMMYFUNCTION("LET(
  monthStart,DATE(VALUE(REGEXEXTRACT(K$1,""\d{4}"")),VALUE(REGEXEXTRACT(K$1,""T(\d+)"")),1),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L119" s="86">
        <f>IFERROR(__xludf.DUMMYFUNCTION("LET(
  monthStart,DATE(VALUE(REGEXEXTRACT(L$1,""\d{4}"")),VALUE(REGEXEXTRACT(L$1,""T(\d+)"")),1),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M119" s="86">
        <f>IFERROR(__xludf.DUMMYFUNCTION("LET(
  monthStart,DATE(VALUE(REGEXEXTRACT(M$1,""\d{4}"")),VALUE(REGEXEXTRACT(M$1,""T(\d+)"")),1),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N119" s="86">
        <f>IFERROR(__xludf.DUMMYFUNCTION("LET(
  monthStart,DATE(VALUE(REGEXEXTRACT(N$1,""\d{4}"")),VALUE(REGEXEXTRACT(N$1,""T(\d+)"")),1),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O119" s="86">
        <f>IFERROR(__xludf.DUMMYFUNCTION("LET(
  monthStart,DATE(VALUE(REGEXEXTRACT(O$1,""\d{4}"")),VALUE(REGEXEXTRACT(O$1,""T(\d+)"")),1),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P119" s="86">
        <f>IFERROR(__xludf.DUMMYFUNCTION("LET(
  monthStart,DATE(VALUE(REGEXEXTRACT(P$1,""\d{4}"")),VALUE(REGEXEXTRACT(P$1,""T(\d+)"")),1),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Q119" s="86">
        <f>IFERROR(__xludf.DUMMYFUNCTION("LET(
  monthStart,DATE(VALUE(REGEXEXTRACT(Q$1,""\d{4}"")),VALUE(REGEXEXTRACT(Q$1,""T(\d+)"")),1),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R119" s="86">
        <f>IFERROR(__xludf.DUMMYFUNCTION("LET(
  monthStart,DATE(VALUE(REGEXEXTRACT(R$1,""\d{4}"")),VALUE(REGEXEXTRACT(R$1,""T(\d+)"")),1),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S119" s="86">
        <f>IFERROR(__xludf.DUMMYFUNCTION("LET(
  monthStart,DATE(VALUE(REGEXEXTRACT(S$1,""\d{4}"")),VALUE(REGEXEXTRACT(S$1,""T(\d+)"")),1),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T119" s="86">
        <f>IFERROR(__xludf.DUMMYFUNCTION("LET(
  monthStart,DATE(VALUE(REGEXEXTRACT(T$1,""\d{4}"")),VALUE(REGEXEXTRACT(T$1,""T(\d+)"")),1),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U119" s="86">
        <f>IFERROR(__xludf.DUMMYFUNCTION("LET(
  monthStart,DATE(VALUE(REGEXEXTRACT(U$1,""\d{4}"")),VALUE(REGEXEXTRACT(U$1,""T(\d+)"")),1),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V119" s="86">
        <f>IFERROR(__xludf.DUMMYFUNCTION("LET(
  monthStart,DATE(VALUE(REGEXEXTRACT(V$1,""\d{4}"")),VALUE(REGEXEXTRACT(V$1,""T(\d+)"")),1),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W119" s="86">
        <f>IFERROR(__xludf.DUMMYFUNCTION("LET(
  monthStart,DATE(VALUE(REGEXEXTRACT(W$1,""\d{4}"")),VALUE(REGEXEXTRACT(W$1,""T(\d+)"")),1),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X119" s="86">
        <f>IFERROR(__xludf.DUMMYFUNCTION("LET(
  monthStart,DATE(VALUE(REGEXEXTRACT(X$1,""\d{4}"")),VALUE(REGEXEXTRACT(X$1,""T(\d+)"")),1),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Y119" s="86">
        <f>IFERROR(__xludf.DUMMYFUNCTION("LET(
  monthStart,DATE(VALUE(REGEXEXTRACT(Y$1,""\d{4}"")),VALUE(REGEXEXTRACT(Y$1,""T(\d+)"")),1),
  monthEnd,EOMONTH(monthStart,0),
  actualStart,MAX($D119,monthStart),
  actualEnd,MIN($E119,monthEnd),
  workingDaysInMonth,NETWORKDAYS(monthStart,monthEnd)"&amp;",
  workingDaysOverlap,IF(actualStart&gt;actualEnd,0,NETWORKDAYS(actualStart,actualEnd)),
  IF(workingDaysOverlap=0,"""",$F119*workingDaysOverlap/workingDaysInMonth)
)"),0.0)</f>
        <v>0</v>
      </c>
      <c r="Z119" s="64"/>
      <c r="AA119" s="64"/>
      <c r="AB119" s="64"/>
      <c r="AC119" s="64"/>
      <c r="AD119" s="64"/>
      <c r="AE119" s="64"/>
      <c r="AF119" s="64"/>
      <c r="AJ119" s="64"/>
      <c r="AK119" s="64"/>
      <c r="AO119" s="64"/>
      <c r="AP119" s="64"/>
      <c r="AT119" s="64"/>
      <c r="AX119" s="64"/>
      <c r="AY119" s="77"/>
      <c r="AZ119" s="77"/>
      <c r="BA119" s="77"/>
      <c r="BB119" s="74"/>
      <c r="BC119" s="74"/>
      <c r="BD119" s="67"/>
      <c r="BH119" s="64"/>
      <c r="BI119" s="64"/>
      <c r="BJ119" s="64"/>
      <c r="BK119" s="64"/>
      <c r="BL119" s="64"/>
      <c r="BM119" s="64"/>
      <c r="BN119" s="64"/>
    </row>
    <row r="120" ht="30.0" customHeight="1">
      <c r="A120" s="81"/>
      <c r="B120" s="82"/>
      <c r="C120" s="83"/>
      <c r="D120" s="84"/>
      <c r="E120" s="84"/>
      <c r="F120" s="85"/>
      <c r="G120" s="86">
        <f>IFERROR(__xludf.DUMMYFUNCTION("LET(
  monthStart,DATE(VALUE(REGEXEXTRACT(G$1,""\d{4}"")),VALUE(REGEXEXTRACT(G$1,""T(\d+)"")),1),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H120" s="86">
        <f>IFERROR(__xludf.DUMMYFUNCTION("LET(
  monthStart,DATE(VALUE(REGEXEXTRACT(H$1,""\d{4}"")),VALUE(REGEXEXTRACT(H$1,""T(\d+)"")),1),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I120" s="86">
        <f>IFERROR(__xludf.DUMMYFUNCTION("LET(
  monthStart,DATE(VALUE(REGEXEXTRACT(I$1,""\d{4}"")),VALUE(REGEXEXTRACT(I$1,""T(\d+)"")),1),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J120" s="86">
        <f>IFERROR(__xludf.DUMMYFUNCTION("LET(
  monthStart,DATE(VALUE(REGEXEXTRACT(J$1,""\d{4}"")),VALUE(REGEXEXTRACT(J$1,""T(\d+)"")),1),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K120" s="86">
        <f>IFERROR(__xludf.DUMMYFUNCTION("LET(
  monthStart,DATE(VALUE(REGEXEXTRACT(K$1,""\d{4}"")),VALUE(REGEXEXTRACT(K$1,""T(\d+)"")),1),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L120" s="86">
        <f>IFERROR(__xludf.DUMMYFUNCTION("LET(
  monthStart,DATE(VALUE(REGEXEXTRACT(L$1,""\d{4}"")),VALUE(REGEXEXTRACT(L$1,""T(\d+)"")),1),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M120" s="86">
        <f>IFERROR(__xludf.DUMMYFUNCTION("LET(
  monthStart,DATE(VALUE(REGEXEXTRACT(M$1,""\d{4}"")),VALUE(REGEXEXTRACT(M$1,""T(\d+)"")),1),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N120" s="86">
        <f>IFERROR(__xludf.DUMMYFUNCTION("LET(
  monthStart,DATE(VALUE(REGEXEXTRACT(N$1,""\d{4}"")),VALUE(REGEXEXTRACT(N$1,""T(\d+)"")),1),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O120" s="86">
        <f>IFERROR(__xludf.DUMMYFUNCTION("LET(
  monthStart,DATE(VALUE(REGEXEXTRACT(O$1,""\d{4}"")),VALUE(REGEXEXTRACT(O$1,""T(\d+)"")),1),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P120" s="86">
        <f>IFERROR(__xludf.DUMMYFUNCTION("LET(
  monthStart,DATE(VALUE(REGEXEXTRACT(P$1,""\d{4}"")),VALUE(REGEXEXTRACT(P$1,""T(\d+)"")),1),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Q120" s="86">
        <f>IFERROR(__xludf.DUMMYFUNCTION("LET(
  monthStart,DATE(VALUE(REGEXEXTRACT(Q$1,""\d{4}"")),VALUE(REGEXEXTRACT(Q$1,""T(\d+)"")),1),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R120" s="86">
        <f>IFERROR(__xludf.DUMMYFUNCTION("LET(
  monthStart,DATE(VALUE(REGEXEXTRACT(R$1,""\d{4}"")),VALUE(REGEXEXTRACT(R$1,""T(\d+)"")),1),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S120" s="86">
        <f>IFERROR(__xludf.DUMMYFUNCTION("LET(
  monthStart,DATE(VALUE(REGEXEXTRACT(S$1,""\d{4}"")),VALUE(REGEXEXTRACT(S$1,""T(\d+)"")),1),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T120" s="86">
        <f>IFERROR(__xludf.DUMMYFUNCTION("LET(
  monthStart,DATE(VALUE(REGEXEXTRACT(T$1,""\d{4}"")),VALUE(REGEXEXTRACT(T$1,""T(\d+)"")),1),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U120" s="86">
        <f>IFERROR(__xludf.DUMMYFUNCTION("LET(
  monthStart,DATE(VALUE(REGEXEXTRACT(U$1,""\d{4}"")),VALUE(REGEXEXTRACT(U$1,""T(\d+)"")),1),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V120" s="86">
        <f>IFERROR(__xludf.DUMMYFUNCTION("LET(
  monthStart,DATE(VALUE(REGEXEXTRACT(V$1,""\d{4}"")),VALUE(REGEXEXTRACT(V$1,""T(\d+)"")),1),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W120" s="86">
        <f>IFERROR(__xludf.DUMMYFUNCTION("LET(
  monthStart,DATE(VALUE(REGEXEXTRACT(W$1,""\d{4}"")),VALUE(REGEXEXTRACT(W$1,""T(\d+)"")),1),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X120" s="86">
        <f>IFERROR(__xludf.DUMMYFUNCTION("LET(
  monthStart,DATE(VALUE(REGEXEXTRACT(X$1,""\d{4}"")),VALUE(REGEXEXTRACT(X$1,""T(\d+)"")),1),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Y120" s="86">
        <f>IFERROR(__xludf.DUMMYFUNCTION("LET(
  monthStart,DATE(VALUE(REGEXEXTRACT(Y$1,""\d{4}"")),VALUE(REGEXEXTRACT(Y$1,""T(\d+)"")),1),
  monthEnd,EOMONTH(monthStart,0),
  actualStart,MAX($D120,monthStart),
  actualEnd,MIN($E120,monthEnd),
  workingDaysInMonth,NETWORKDAYS(monthStart,monthEnd)"&amp;",
  workingDaysOverlap,IF(actualStart&gt;actualEnd,0,NETWORKDAYS(actualStart,actualEnd)),
  IF(workingDaysOverlap=0,"""",$F120*workingDaysOverlap/workingDaysInMonth)
)"),0.0)</f>
        <v>0</v>
      </c>
      <c r="Z120" s="64"/>
      <c r="AA120" s="64"/>
      <c r="AB120" s="64"/>
      <c r="AC120" s="64"/>
      <c r="AD120" s="64"/>
      <c r="AE120" s="64"/>
      <c r="AF120" s="64"/>
      <c r="AJ120" s="64"/>
      <c r="AK120" s="64"/>
      <c r="AO120" s="64"/>
      <c r="AP120" s="64"/>
      <c r="AQ120" s="64"/>
      <c r="AR120" s="64"/>
      <c r="AS120" s="64"/>
      <c r="AT120" s="64"/>
      <c r="AX120" s="64"/>
      <c r="AY120" s="77"/>
      <c r="AZ120" s="77"/>
      <c r="BA120" s="78"/>
      <c r="BB120" s="74"/>
      <c r="BC120" s="74"/>
      <c r="BD120" s="67"/>
      <c r="BH120" s="64"/>
      <c r="BI120" s="64"/>
      <c r="BJ120" s="64"/>
      <c r="BK120" s="64"/>
      <c r="BL120" s="64"/>
      <c r="BM120" s="64"/>
      <c r="BN120" s="64"/>
    </row>
    <row r="121" ht="30.0" customHeight="1">
      <c r="A121" s="81"/>
      <c r="B121" s="82"/>
      <c r="C121" s="83"/>
      <c r="D121" s="84"/>
      <c r="E121" s="84"/>
      <c r="F121" s="85"/>
      <c r="G121" s="86">
        <f>IFERROR(__xludf.DUMMYFUNCTION("LET(
  monthStart,DATE(VALUE(REGEXEXTRACT(G$1,""\d{4}"")),VALUE(REGEXEXTRACT(G$1,""T(\d+)"")),1),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H121" s="86">
        <f>IFERROR(__xludf.DUMMYFUNCTION("LET(
  monthStart,DATE(VALUE(REGEXEXTRACT(H$1,""\d{4}"")),VALUE(REGEXEXTRACT(H$1,""T(\d+)"")),1),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I121" s="86">
        <f>IFERROR(__xludf.DUMMYFUNCTION("LET(
  monthStart,DATE(VALUE(REGEXEXTRACT(I$1,""\d{4}"")),VALUE(REGEXEXTRACT(I$1,""T(\d+)"")),1),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J121" s="86">
        <f>IFERROR(__xludf.DUMMYFUNCTION("LET(
  monthStart,DATE(VALUE(REGEXEXTRACT(J$1,""\d{4}"")),VALUE(REGEXEXTRACT(J$1,""T(\d+)"")),1),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K121" s="86">
        <f>IFERROR(__xludf.DUMMYFUNCTION("LET(
  monthStart,DATE(VALUE(REGEXEXTRACT(K$1,""\d{4}"")),VALUE(REGEXEXTRACT(K$1,""T(\d+)"")),1),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L121" s="86">
        <f>IFERROR(__xludf.DUMMYFUNCTION("LET(
  monthStart,DATE(VALUE(REGEXEXTRACT(L$1,""\d{4}"")),VALUE(REGEXEXTRACT(L$1,""T(\d+)"")),1),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M121" s="86">
        <f>IFERROR(__xludf.DUMMYFUNCTION("LET(
  monthStart,DATE(VALUE(REGEXEXTRACT(M$1,""\d{4}"")),VALUE(REGEXEXTRACT(M$1,""T(\d+)"")),1),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N121" s="86">
        <f>IFERROR(__xludf.DUMMYFUNCTION("LET(
  monthStart,DATE(VALUE(REGEXEXTRACT(N$1,""\d{4}"")),VALUE(REGEXEXTRACT(N$1,""T(\d+)"")),1),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O121" s="86">
        <f>IFERROR(__xludf.DUMMYFUNCTION("LET(
  monthStart,DATE(VALUE(REGEXEXTRACT(O$1,""\d{4}"")),VALUE(REGEXEXTRACT(O$1,""T(\d+)"")),1),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P121" s="86">
        <f>IFERROR(__xludf.DUMMYFUNCTION("LET(
  monthStart,DATE(VALUE(REGEXEXTRACT(P$1,""\d{4}"")),VALUE(REGEXEXTRACT(P$1,""T(\d+)"")),1),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Q121" s="86">
        <f>IFERROR(__xludf.DUMMYFUNCTION("LET(
  monthStart,DATE(VALUE(REGEXEXTRACT(Q$1,""\d{4}"")),VALUE(REGEXEXTRACT(Q$1,""T(\d+)"")),1),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R121" s="86">
        <f>IFERROR(__xludf.DUMMYFUNCTION("LET(
  monthStart,DATE(VALUE(REGEXEXTRACT(R$1,""\d{4}"")),VALUE(REGEXEXTRACT(R$1,""T(\d+)"")),1),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S121" s="86">
        <f>IFERROR(__xludf.DUMMYFUNCTION("LET(
  monthStart,DATE(VALUE(REGEXEXTRACT(S$1,""\d{4}"")),VALUE(REGEXEXTRACT(S$1,""T(\d+)"")),1),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T121" s="86">
        <f>IFERROR(__xludf.DUMMYFUNCTION("LET(
  monthStart,DATE(VALUE(REGEXEXTRACT(T$1,""\d{4}"")),VALUE(REGEXEXTRACT(T$1,""T(\d+)"")),1),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U121" s="86">
        <f>IFERROR(__xludf.DUMMYFUNCTION("LET(
  monthStart,DATE(VALUE(REGEXEXTRACT(U$1,""\d{4}"")),VALUE(REGEXEXTRACT(U$1,""T(\d+)"")),1),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V121" s="86">
        <f>IFERROR(__xludf.DUMMYFUNCTION("LET(
  monthStart,DATE(VALUE(REGEXEXTRACT(V$1,""\d{4}"")),VALUE(REGEXEXTRACT(V$1,""T(\d+)"")),1),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W121" s="86">
        <f>IFERROR(__xludf.DUMMYFUNCTION("LET(
  monthStart,DATE(VALUE(REGEXEXTRACT(W$1,""\d{4}"")),VALUE(REGEXEXTRACT(W$1,""T(\d+)"")),1),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X121" s="86">
        <f>IFERROR(__xludf.DUMMYFUNCTION("LET(
  monthStart,DATE(VALUE(REGEXEXTRACT(X$1,""\d{4}"")),VALUE(REGEXEXTRACT(X$1,""T(\d+)"")),1),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Y121" s="86">
        <f>IFERROR(__xludf.DUMMYFUNCTION("LET(
  monthStart,DATE(VALUE(REGEXEXTRACT(Y$1,""\d{4}"")),VALUE(REGEXEXTRACT(Y$1,""T(\d+)"")),1),
  monthEnd,EOMONTH(monthStart,0),
  actualStart,MAX($D121,monthStart),
  actualEnd,MIN($E121,monthEnd),
  workingDaysInMonth,NETWORKDAYS(monthStart,monthEnd)"&amp;",
  workingDaysOverlap,IF(actualStart&gt;actualEnd,0,NETWORKDAYS(actualStart,actualEnd)),
  IF(workingDaysOverlap=0,"""",$F121*workingDaysOverlap/workingDaysInMonth)
)"),0.0)</f>
        <v>0</v>
      </c>
      <c r="Z121" s="64"/>
      <c r="AA121" s="64"/>
      <c r="AB121" s="64"/>
      <c r="AC121" s="64"/>
      <c r="AD121" s="64"/>
      <c r="AE121" s="64"/>
      <c r="AF121" s="64"/>
      <c r="AJ121" s="64"/>
      <c r="AK121" s="64"/>
      <c r="AO121" s="64"/>
      <c r="AP121" s="64"/>
      <c r="AQ121" s="64"/>
      <c r="AR121" s="64"/>
      <c r="AS121" s="64"/>
      <c r="AT121" s="64"/>
      <c r="AX121" s="64"/>
      <c r="AY121" s="77"/>
      <c r="AZ121" s="77"/>
      <c r="BA121" s="77"/>
      <c r="BB121" s="74"/>
      <c r="BC121" s="74"/>
      <c r="BD121" s="67"/>
      <c r="BH121" s="64"/>
      <c r="BI121" s="64"/>
      <c r="BJ121" s="64"/>
      <c r="BK121" s="64"/>
      <c r="BL121" s="64"/>
      <c r="BM121" s="64"/>
      <c r="BN121" s="64"/>
    </row>
    <row r="122" ht="30.0" customHeight="1">
      <c r="A122" s="81"/>
      <c r="B122" s="82"/>
      <c r="C122" s="83"/>
      <c r="D122" s="84"/>
      <c r="E122" s="84"/>
      <c r="F122" s="85"/>
      <c r="G122" s="86">
        <f>IFERROR(__xludf.DUMMYFUNCTION("LET(
  monthStart,DATE(VALUE(REGEXEXTRACT(G$1,""\d{4}"")),VALUE(REGEXEXTRACT(G$1,""T(\d+)"")),1),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H122" s="86">
        <f>IFERROR(__xludf.DUMMYFUNCTION("LET(
  monthStart,DATE(VALUE(REGEXEXTRACT(H$1,""\d{4}"")),VALUE(REGEXEXTRACT(H$1,""T(\d+)"")),1),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I122" s="86">
        <f>IFERROR(__xludf.DUMMYFUNCTION("LET(
  monthStart,DATE(VALUE(REGEXEXTRACT(I$1,""\d{4}"")),VALUE(REGEXEXTRACT(I$1,""T(\d+)"")),1),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J122" s="86">
        <f>IFERROR(__xludf.DUMMYFUNCTION("LET(
  monthStart,DATE(VALUE(REGEXEXTRACT(J$1,""\d{4}"")),VALUE(REGEXEXTRACT(J$1,""T(\d+)"")),1),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K122" s="86">
        <f>IFERROR(__xludf.DUMMYFUNCTION("LET(
  monthStart,DATE(VALUE(REGEXEXTRACT(K$1,""\d{4}"")),VALUE(REGEXEXTRACT(K$1,""T(\d+)"")),1),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L122" s="86">
        <f>IFERROR(__xludf.DUMMYFUNCTION("LET(
  monthStart,DATE(VALUE(REGEXEXTRACT(L$1,""\d{4}"")),VALUE(REGEXEXTRACT(L$1,""T(\d+)"")),1),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M122" s="86">
        <f>IFERROR(__xludf.DUMMYFUNCTION("LET(
  monthStart,DATE(VALUE(REGEXEXTRACT(M$1,""\d{4}"")),VALUE(REGEXEXTRACT(M$1,""T(\d+)"")),1),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N122" s="86">
        <f>IFERROR(__xludf.DUMMYFUNCTION("LET(
  monthStart,DATE(VALUE(REGEXEXTRACT(N$1,""\d{4}"")),VALUE(REGEXEXTRACT(N$1,""T(\d+)"")),1),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O122" s="86">
        <f>IFERROR(__xludf.DUMMYFUNCTION("LET(
  monthStart,DATE(VALUE(REGEXEXTRACT(O$1,""\d{4}"")),VALUE(REGEXEXTRACT(O$1,""T(\d+)"")),1),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P122" s="86">
        <f>IFERROR(__xludf.DUMMYFUNCTION("LET(
  monthStart,DATE(VALUE(REGEXEXTRACT(P$1,""\d{4}"")),VALUE(REGEXEXTRACT(P$1,""T(\d+)"")),1),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Q122" s="86">
        <f>IFERROR(__xludf.DUMMYFUNCTION("LET(
  monthStart,DATE(VALUE(REGEXEXTRACT(Q$1,""\d{4}"")),VALUE(REGEXEXTRACT(Q$1,""T(\d+)"")),1),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R122" s="86">
        <f>IFERROR(__xludf.DUMMYFUNCTION("LET(
  monthStart,DATE(VALUE(REGEXEXTRACT(R$1,""\d{4}"")),VALUE(REGEXEXTRACT(R$1,""T(\d+)"")),1),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S122" s="86">
        <f>IFERROR(__xludf.DUMMYFUNCTION("LET(
  monthStart,DATE(VALUE(REGEXEXTRACT(S$1,""\d{4}"")),VALUE(REGEXEXTRACT(S$1,""T(\d+)"")),1),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T122" s="86">
        <f>IFERROR(__xludf.DUMMYFUNCTION("LET(
  monthStart,DATE(VALUE(REGEXEXTRACT(T$1,""\d{4}"")),VALUE(REGEXEXTRACT(T$1,""T(\d+)"")),1),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U122" s="86">
        <f>IFERROR(__xludf.DUMMYFUNCTION("LET(
  monthStart,DATE(VALUE(REGEXEXTRACT(U$1,""\d{4}"")),VALUE(REGEXEXTRACT(U$1,""T(\d+)"")),1),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V122" s="86">
        <f>IFERROR(__xludf.DUMMYFUNCTION("LET(
  monthStart,DATE(VALUE(REGEXEXTRACT(V$1,""\d{4}"")),VALUE(REGEXEXTRACT(V$1,""T(\d+)"")),1),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W122" s="86">
        <f>IFERROR(__xludf.DUMMYFUNCTION("LET(
  monthStart,DATE(VALUE(REGEXEXTRACT(W$1,""\d{4}"")),VALUE(REGEXEXTRACT(W$1,""T(\d+)"")),1),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X122" s="86">
        <f>IFERROR(__xludf.DUMMYFUNCTION("LET(
  monthStart,DATE(VALUE(REGEXEXTRACT(X$1,""\d{4}"")),VALUE(REGEXEXTRACT(X$1,""T(\d+)"")),1),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Y122" s="86">
        <f>IFERROR(__xludf.DUMMYFUNCTION("LET(
  monthStart,DATE(VALUE(REGEXEXTRACT(Y$1,""\d{4}"")),VALUE(REGEXEXTRACT(Y$1,""T(\d+)"")),1),
  monthEnd,EOMONTH(monthStart,0),
  actualStart,MAX($D122,monthStart),
  actualEnd,MIN($E122,monthEnd),
  workingDaysInMonth,NETWORKDAYS(monthStart,monthEnd)"&amp;",
  workingDaysOverlap,IF(actualStart&gt;actualEnd,0,NETWORKDAYS(actualStart,actualEnd)),
  IF(workingDaysOverlap=0,"""",$F122*workingDaysOverlap/workingDaysInMonth)
)"),0.0)</f>
        <v>0</v>
      </c>
      <c r="Z122" s="64"/>
      <c r="AA122" s="64"/>
      <c r="AB122" s="64"/>
      <c r="AC122" s="64"/>
      <c r="AD122" s="64"/>
      <c r="AE122" s="64"/>
      <c r="AF122" s="64"/>
      <c r="AJ122" s="64"/>
      <c r="AK122" s="64"/>
      <c r="AO122" s="64"/>
      <c r="AP122" s="64"/>
      <c r="AQ122" s="64"/>
      <c r="AR122" s="64"/>
      <c r="AS122" s="64"/>
      <c r="AT122" s="64"/>
      <c r="AX122" s="64"/>
      <c r="AY122" s="77"/>
      <c r="AZ122" s="77"/>
      <c r="BA122" s="78"/>
      <c r="BB122" s="74"/>
      <c r="BC122" s="74"/>
      <c r="BD122" s="67"/>
      <c r="BH122" s="64"/>
      <c r="BI122" s="64"/>
      <c r="BJ122" s="64"/>
      <c r="BK122" s="64"/>
      <c r="BL122" s="64"/>
      <c r="BM122" s="64"/>
      <c r="BN122" s="64"/>
    </row>
    <row r="123" ht="30.0" customHeight="1">
      <c r="A123" s="81"/>
      <c r="B123" s="82"/>
      <c r="C123" s="83"/>
      <c r="D123" s="84"/>
      <c r="E123" s="84"/>
      <c r="F123" s="85"/>
      <c r="G123" s="86">
        <f>IFERROR(__xludf.DUMMYFUNCTION("LET(
  monthStart,DATE(VALUE(REGEXEXTRACT(G$1,""\d{4}"")),VALUE(REGEXEXTRACT(G$1,""T(\d+)"")),1),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H123" s="86">
        <f>IFERROR(__xludf.DUMMYFUNCTION("LET(
  monthStart,DATE(VALUE(REGEXEXTRACT(H$1,""\d{4}"")),VALUE(REGEXEXTRACT(H$1,""T(\d+)"")),1),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I123" s="86">
        <f>IFERROR(__xludf.DUMMYFUNCTION("LET(
  monthStart,DATE(VALUE(REGEXEXTRACT(I$1,""\d{4}"")),VALUE(REGEXEXTRACT(I$1,""T(\d+)"")),1),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J123" s="86">
        <f>IFERROR(__xludf.DUMMYFUNCTION("LET(
  monthStart,DATE(VALUE(REGEXEXTRACT(J$1,""\d{4}"")),VALUE(REGEXEXTRACT(J$1,""T(\d+)"")),1),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K123" s="86">
        <f>IFERROR(__xludf.DUMMYFUNCTION("LET(
  monthStart,DATE(VALUE(REGEXEXTRACT(K$1,""\d{4}"")),VALUE(REGEXEXTRACT(K$1,""T(\d+)"")),1),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L123" s="86">
        <f>IFERROR(__xludf.DUMMYFUNCTION("LET(
  monthStart,DATE(VALUE(REGEXEXTRACT(L$1,""\d{4}"")),VALUE(REGEXEXTRACT(L$1,""T(\d+)"")),1),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M123" s="86">
        <f>IFERROR(__xludf.DUMMYFUNCTION("LET(
  monthStart,DATE(VALUE(REGEXEXTRACT(M$1,""\d{4}"")),VALUE(REGEXEXTRACT(M$1,""T(\d+)"")),1),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N123" s="86">
        <f>IFERROR(__xludf.DUMMYFUNCTION("LET(
  monthStart,DATE(VALUE(REGEXEXTRACT(N$1,""\d{4}"")),VALUE(REGEXEXTRACT(N$1,""T(\d+)"")),1),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O123" s="86">
        <f>IFERROR(__xludf.DUMMYFUNCTION("LET(
  monthStart,DATE(VALUE(REGEXEXTRACT(O$1,""\d{4}"")),VALUE(REGEXEXTRACT(O$1,""T(\d+)"")),1),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P123" s="86">
        <f>IFERROR(__xludf.DUMMYFUNCTION("LET(
  monthStart,DATE(VALUE(REGEXEXTRACT(P$1,""\d{4}"")),VALUE(REGEXEXTRACT(P$1,""T(\d+)"")),1),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Q123" s="86">
        <f>IFERROR(__xludf.DUMMYFUNCTION("LET(
  monthStart,DATE(VALUE(REGEXEXTRACT(Q$1,""\d{4}"")),VALUE(REGEXEXTRACT(Q$1,""T(\d+)"")),1),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R123" s="86">
        <f>IFERROR(__xludf.DUMMYFUNCTION("LET(
  monthStart,DATE(VALUE(REGEXEXTRACT(R$1,""\d{4}"")),VALUE(REGEXEXTRACT(R$1,""T(\d+)"")),1),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S123" s="86">
        <f>IFERROR(__xludf.DUMMYFUNCTION("LET(
  monthStart,DATE(VALUE(REGEXEXTRACT(S$1,""\d{4}"")),VALUE(REGEXEXTRACT(S$1,""T(\d+)"")),1),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T123" s="86">
        <f>IFERROR(__xludf.DUMMYFUNCTION("LET(
  monthStart,DATE(VALUE(REGEXEXTRACT(T$1,""\d{4}"")),VALUE(REGEXEXTRACT(T$1,""T(\d+)"")),1),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U123" s="86">
        <f>IFERROR(__xludf.DUMMYFUNCTION("LET(
  monthStart,DATE(VALUE(REGEXEXTRACT(U$1,""\d{4}"")),VALUE(REGEXEXTRACT(U$1,""T(\d+)"")),1),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V123" s="86">
        <f>IFERROR(__xludf.DUMMYFUNCTION("LET(
  monthStart,DATE(VALUE(REGEXEXTRACT(V$1,""\d{4}"")),VALUE(REGEXEXTRACT(V$1,""T(\d+)"")),1),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W123" s="86">
        <f>IFERROR(__xludf.DUMMYFUNCTION("LET(
  monthStart,DATE(VALUE(REGEXEXTRACT(W$1,""\d{4}"")),VALUE(REGEXEXTRACT(W$1,""T(\d+)"")),1),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X123" s="86">
        <f>IFERROR(__xludf.DUMMYFUNCTION("LET(
  monthStart,DATE(VALUE(REGEXEXTRACT(X$1,""\d{4}"")),VALUE(REGEXEXTRACT(X$1,""T(\d+)"")),1),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Y123" s="86">
        <f>IFERROR(__xludf.DUMMYFUNCTION("LET(
  monthStart,DATE(VALUE(REGEXEXTRACT(Y$1,""\d{4}"")),VALUE(REGEXEXTRACT(Y$1,""T(\d+)"")),1),
  monthEnd,EOMONTH(monthStart,0),
  actualStart,MAX($D123,monthStart),
  actualEnd,MIN($E123,monthEnd),
  workingDaysInMonth,NETWORKDAYS(monthStart,monthEnd)"&amp;",
  workingDaysOverlap,IF(actualStart&gt;actualEnd,0,NETWORKDAYS(actualStart,actualEnd)),
  IF(workingDaysOverlap=0,"""",$F123*workingDaysOverlap/workingDaysInMonth)
)"),0.0)</f>
        <v>0</v>
      </c>
      <c r="Z123" s="64"/>
      <c r="AA123" s="64"/>
      <c r="AB123" s="64"/>
      <c r="AC123" s="64"/>
      <c r="AD123" s="64"/>
      <c r="AE123" s="64"/>
      <c r="AF123" s="64"/>
      <c r="AG123" s="64"/>
      <c r="AH123" s="64"/>
      <c r="AI123" s="75"/>
      <c r="AJ123" s="64"/>
      <c r="AK123" s="64"/>
      <c r="AO123" s="64"/>
      <c r="AP123" s="64"/>
      <c r="AQ123" s="64"/>
      <c r="AR123" s="64"/>
      <c r="AS123" s="64"/>
      <c r="AT123" s="64"/>
      <c r="AX123" s="64"/>
      <c r="AY123" s="89"/>
      <c r="AZ123" s="77"/>
      <c r="BA123" s="77"/>
      <c r="BB123" s="74"/>
      <c r="BC123" s="74"/>
      <c r="BD123" s="67"/>
      <c r="BH123" s="64"/>
      <c r="BI123" s="64"/>
      <c r="BJ123" s="64"/>
      <c r="BK123" s="64"/>
      <c r="BL123" s="64"/>
      <c r="BM123" s="64"/>
      <c r="BN123" s="64"/>
    </row>
    <row r="124" ht="30.0" customHeight="1">
      <c r="A124" s="81"/>
      <c r="B124" s="82"/>
      <c r="C124" s="83"/>
      <c r="D124" s="84"/>
      <c r="E124" s="84"/>
      <c r="F124" s="85"/>
      <c r="G124" s="86">
        <f>IFERROR(__xludf.DUMMYFUNCTION("LET(
  monthStart,DATE(VALUE(REGEXEXTRACT(G$1,""\d{4}"")),VALUE(REGEXEXTRACT(G$1,""T(\d+)"")),1),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H124" s="86">
        <f>IFERROR(__xludf.DUMMYFUNCTION("LET(
  monthStart,DATE(VALUE(REGEXEXTRACT(H$1,""\d{4}"")),VALUE(REGEXEXTRACT(H$1,""T(\d+)"")),1),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I124" s="86">
        <f>IFERROR(__xludf.DUMMYFUNCTION("LET(
  monthStart,DATE(VALUE(REGEXEXTRACT(I$1,""\d{4}"")),VALUE(REGEXEXTRACT(I$1,""T(\d+)"")),1),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J124" s="86">
        <f>IFERROR(__xludf.DUMMYFUNCTION("LET(
  monthStart,DATE(VALUE(REGEXEXTRACT(J$1,""\d{4}"")),VALUE(REGEXEXTRACT(J$1,""T(\d+)"")),1),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K124" s="86">
        <f>IFERROR(__xludf.DUMMYFUNCTION("LET(
  monthStart,DATE(VALUE(REGEXEXTRACT(K$1,""\d{4}"")),VALUE(REGEXEXTRACT(K$1,""T(\d+)"")),1),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L124" s="86">
        <f>IFERROR(__xludf.DUMMYFUNCTION("LET(
  monthStart,DATE(VALUE(REGEXEXTRACT(L$1,""\d{4}"")),VALUE(REGEXEXTRACT(L$1,""T(\d+)"")),1),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M124" s="86">
        <f>IFERROR(__xludf.DUMMYFUNCTION("LET(
  monthStart,DATE(VALUE(REGEXEXTRACT(M$1,""\d{4}"")),VALUE(REGEXEXTRACT(M$1,""T(\d+)"")),1),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N124" s="86">
        <f>IFERROR(__xludf.DUMMYFUNCTION("LET(
  monthStart,DATE(VALUE(REGEXEXTRACT(N$1,""\d{4}"")),VALUE(REGEXEXTRACT(N$1,""T(\d+)"")),1),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O124" s="86">
        <f>IFERROR(__xludf.DUMMYFUNCTION("LET(
  monthStart,DATE(VALUE(REGEXEXTRACT(O$1,""\d{4}"")),VALUE(REGEXEXTRACT(O$1,""T(\d+)"")),1),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P124" s="86">
        <f>IFERROR(__xludf.DUMMYFUNCTION("LET(
  monthStart,DATE(VALUE(REGEXEXTRACT(P$1,""\d{4}"")),VALUE(REGEXEXTRACT(P$1,""T(\d+)"")),1),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Q124" s="86">
        <f>IFERROR(__xludf.DUMMYFUNCTION("LET(
  monthStart,DATE(VALUE(REGEXEXTRACT(Q$1,""\d{4}"")),VALUE(REGEXEXTRACT(Q$1,""T(\d+)"")),1),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R124" s="86">
        <f>IFERROR(__xludf.DUMMYFUNCTION("LET(
  monthStart,DATE(VALUE(REGEXEXTRACT(R$1,""\d{4}"")),VALUE(REGEXEXTRACT(R$1,""T(\d+)"")),1),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S124" s="86">
        <f>IFERROR(__xludf.DUMMYFUNCTION("LET(
  monthStart,DATE(VALUE(REGEXEXTRACT(S$1,""\d{4}"")),VALUE(REGEXEXTRACT(S$1,""T(\d+)"")),1),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T124" s="86">
        <f>IFERROR(__xludf.DUMMYFUNCTION("LET(
  monthStart,DATE(VALUE(REGEXEXTRACT(T$1,""\d{4}"")),VALUE(REGEXEXTRACT(T$1,""T(\d+)"")),1),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U124" s="86">
        <f>IFERROR(__xludf.DUMMYFUNCTION("LET(
  monthStart,DATE(VALUE(REGEXEXTRACT(U$1,""\d{4}"")),VALUE(REGEXEXTRACT(U$1,""T(\d+)"")),1),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V124" s="86">
        <f>IFERROR(__xludf.DUMMYFUNCTION("LET(
  monthStart,DATE(VALUE(REGEXEXTRACT(V$1,""\d{4}"")),VALUE(REGEXEXTRACT(V$1,""T(\d+)"")),1),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W124" s="86">
        <f>IFERROR(__xludf.DUMMYFUNCTION("LET(
  monthStart,DATE(VALUE(REGEXEXTRACT(W$1,""\d{4}"")),VALUE(REGEXEXTRACT(W$1,""T(\d+)"")),1),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X124" s="86">
        <f>IFERROR(__xludf.DUMMYFUNCTION("LET(
  monthStart,DATE(VALUE(REGEXEXTRACT(X$1,""\d{4}"")),VALUE(REGEXEXTRACT(X$1,""T(\d+)"")),1),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Y124" s="86">
        <f>IFERROR(__xludf.DUMMYFUNCTION("LET(
  monthStart,DATE(VALUE(REGEXEXTRACT(Y$1,""\d{4}"")),VALUE(REGEXEXTRACT(Y$1,""T(\d+)"")),1),
  monthEnd,EOMONTH(monthStart,0),
  actualStart,MAX($D124,monthStart),
  actualEnd,MIN($E124,monthEnd),
  workingDaysInMonth,NETWORKDAYS(monthStart,monthEnd)"&amp;",
  workingDaysOverlap,IF(actualStart&gt;actualEnd,0,NETWORKDAYS(actualStart,actualEnd)),
  IF(workingDaysOverlap=0,"""",$F124*workingDaysOverlap/workingDaysInMonth)
)"),0.0)</f>
        <v>0</v>
      </c>
      <c r="Z124" s="64"/>
      <c r="AA124" s="64"/>
      <c r="AB124" s="64"/>
      <c r="AC124" s="64"/>
      <c r="AD124" s="64"/>
      <c r="AE124" s="64"/>
      <c r="AF124" s="64"/>
      <c r="AG124" s="64"/>
      <c r="AH124" s="64"/>
      <c r="AI124" s="75"/>
      <c r="AJ124" s="64"/>
      <c r="AK124" s="64"/>
      <c r="AO124" s="64"/>
      <c r="AP124" s="64"/>
      <c r="AQ124" s="64"/>
      <c r="AR124" s="64"/>
      <c r="AS124" s="64"/>
      <c r="AT124" s="64"/>
      <c r="AX124" s="64"/>
      <c r="AY124" s="89"/>
      <c r="AZ124" s="77"/>
      <c r="BA124" s="77"/>
      <c r="BB124" s="74"/>
      <c r="BC124" s="74"/>
      <c r="BD124" s="67"/>
      <c r="BH124" s="64"/>
      <c r="BI124" s="64"/>
      <c r="BJ124" s="64"/>
      <c r="BK124" s="64"/>
      <c r="BL124" s="64"/>
      <c r="BM124" s="64"/>
      <c r="BN124" s="64"/>
    </row>
    <row r="125" ht="30.0" customHeight="1">
      <c r="A125" s="81"/>
      <c r="B125" s="82"/>
      <c r="C125" s="83"/>
      <c r="D125" s="84"/>
      <c r="E125" s="84"/>
      <c r="F125" s="85"/>
      <c r="G125" s="86">
        <f>IFERROR(__xludf.DUMMYFUNCTION("LET(
  monthStart,DATE(VALUE(REGEXEXTRACT(G$1,""\d{4}"")),VALUE(REGEXEXTRACT(G$1,""T(\d+)"")),1),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H125" s="86">
        <f>IFERROR(__xludf.DUMMYFUNCTION("LET(
  monthStart,DATE(VALUE(REGEXEXTRACT(H$1,""\d{4}"")),VALUE(REGEXEXTRACT(H$1,""T(\d+)"")),1),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I125" s="86">
        <f>IFERROR(__xludf.DUMMYFUNCTION("LET(
  monthStart,DATE(VALUE(REGEXEXTRACT(I$1,""\d{4}"")),VALUE(REGEXEXTRACT(I$1,""T(\d+)"")),1),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J125" s="86">
        <f>IFERROR(__xludf.DUMMYFUNCTION("LET(
  monthStart,DATE(VALUE(REGEXEXTRACT(J$1,""\d{4}"")),VALUE(REGEXEXTRACT(J$1,""T(\d+)"")),1),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K125" s="86">
        <f>IFERROR(__xludf.DUMMYFUNCTION("LET(
  monthStart,DATE(VALUE(REGEXEXTRACT(K$1,""\d{4}"")),VALUE(REGEXEXTRACT(K$1,""T(\d+)"")),1),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L125" s="86">
        <f>IFERROR(__xludf.DUMMYFUNCTION("LET(
  monthStart,DATE(VALUE(REGEXEXTRACT(L$1,""\d{4}"")),VALUE(REGEXEXTRACT(L$1,""T(\d+)"")),1),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M125" s="86">
        <f>IFERROR(__xludf.DUMMYFUNCTION("LET(
  monthStart,DATE(VALUE(REGEXEXTRACT(M$1,""\d{4}"")),VALUE(REGEXEXTRACT(M$1,""T(\d+)"")),1),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N125" s="86">
        <f>IFERROR(__xludf.DUMMYFUNCTION("LET(
  monthStart,DATE(VALUE(REGEXEXTRACT(N$1,""\d{4}"")),VALUE(REGEXEXTRACT(N$1,""T(\d+)"")),1),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O125" s="86">
        <f>IFERROR(__xludf.DUMMYFUNCTION("LET(
  monthStart,DATE(VALUE(REGEXEXTRACT(O$1,""\d{4}"")),VALUE(REGEXEXTRACT(O$1,""T(\d+)"")),1),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P125" s="86">
        <f>IFERROR(__xludf.DUMMYFUNCTION("LET(
  monthStart,DATE(VALUE(REGEXEXTRACT(P$1,""\d{4}"")),VALUE(REGEXEXTRACT(P$1,""T(\d+)"")),1),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Q125" s="86">
        <f>IFERROR(__xludf.DUMMYFUNCTION("LET(
  monthStart,DATE(VALUE(REGEXEXTRACT(Q$1,""\d{4}"")),VALUE(REGEXEXTRACT(Q$1,""T(\d+)"")),1),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R125" s="86">
        <f>IFERROR(__xludf.DUMMYFUNCTION("LET(
  monthStart,DATE(VALUE(REGEXEXTRACT(R$1,""\d{4}"")),VALUE(REGEXEXTRACT(R$1,""T(\d+)"")),1),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S125" s="86">
        <f>IFERROR(__xludf.DUMMYFUNCTION("LET(
  monthStart,DATE(VALUE(REGEXEXTRACT(S$1,""\d{4}"")),VALUE(REGEXEXTRACT(S$1,""T(\d+)"")),1),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T125" s="86">
        <f>IFERROR(__xludf.DUMMYFUNCTION("LET(
  monthStart,DATE(VALUE(REGEXEXTRACT(T$1,""\d{4}"")),VALUE(REGEXEXTRACT(T$1,""T(\d+)"")),1),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U125" s="86">
        <f>IFERROR(__xludf.DUMMYFUNCTION("LET(
  monthStart,DATE(VALUE(REGEXEXTRACT(U$1,""\d{4}"")),VALUE(REGEXEXTRACT(U$1,""T(\d+)"")),1),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V125" s="86">
        <f>IFERROR(__xludf.DUMMYFUNCTION("LET(
  monthStart,DATE(VALUE(REGEXEXTRACT(V$1,""\d{4}"")),VALUE(REGEXEXTRACT(V$1,""T(\d+)"")),1),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W125" s="86">
        <f>IFERROR(__xludf.DUMMYFUNCTION("LET(
  monthStart,DATE(VALUE(REGEXEXTRACT(W$1,""\d{4}"")),VALUE(REGEXEXTRACT(W$1,""T(\d+)"")),1),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X125" s="86">
        <f>IFERROR(__xludf.DUMMYFUNCTION("LET(
  monthStart,DATE(VALUE(REGEXEXTRACT(X$1,""\d{4}"")),VALUE(REGEXEXTRACT(X$1,""T(\d+)"")),1),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Y125" s="86">
        <f>IFERROR(__xludf.DUMMYFUNCTION("LET(
  monthStart,DATE(VALUE(REGEXEXTRACT(Y$1,""\d{4}"")),VALUE(REGEXEXTRACT(Y$1,""T(\d+)"")),1),
  monthEnd,EOMONTH(monthStart,0),
  actualStart,MAX($D125,monthStart),
  actualEnd,MIN($E125,monthEnd),
  workingDaysInMonth,NETWORKDAYS(monthStart,monthEnd)"&amp;",
  workingDaysOverlap,IF(actualStart&gt;actualEnd,0,NETWORKDAYS(actualStart,actualEnd)),
  IF(workingDaysOverlap=0,"""",$F125*workingDaysOverlap/workingDaysInMonth)
)"),0.0)</f>
        <v>0</v>
      </c>
      <c r="Z125" s="64"/>
      <c r="AA125" s="64"/>
      <c r="AB125" s="64"/>
      <c r="AC125" s="64"/>
      <c r="AD125" s="64"/>
      <c r="AE125" s="64"/>
      <c r="AF125" s="64"/>
      <c r="AG125" s="64"/>
      <c r="AH125" s="64"/>
      <c r="AI125" s="75"/>
      <c r="AJ125" s="64"/>
      <c r="AK125" s="64"/>
      <c r="AO125" s="64"/>
      <c r="AP125" s="64"/>
      <c r="AQ125" s="64"/>
      <c r="AR125" s="64"/>
      <c r="AS125" s="64"/>
      <c r="AT125" s="64"/>
      <c r="AX125" s="64"/>
      <c r="AY125" s="89"/>
      <c r="AZ125" s="77"/>
      <c r="BA125" s="77"/>
      <c r="BB125" s="74"/>
      <c r="BC125" s="74"/>
      <c r="BD125" s="67"/>
      <c r="BH125" s="64"/>
      <c r="BI125" s="64"/>
      <c r="BJ125" s="64"/>
      <c r="BK125" s="64"/>
      <c r="BL125" s="64"/>
      <c r="BM125" s="64"/>
      <c r="BN125" s="64"/>
    </row>
    <row r="126" ht="30.0" customHeight="1">
      <c r="A126" s="81"/>
      <c r="B126" s="82"/>
      <c r="C126" s="83"/>
      <c r="D126" s="84"/>
      <c r="E126" s="84"/>
      <c r="F126" s="85"/>
      <c r="G126" s="86">
        <f>IFERROR(__xludf.DUMMYFUNCTION("LET(
  monthStart,DATE(VALUE(REGEXEXTRACT(G$1,""\d{4}"")),VALUE(REGEXEXTRACT(G$1,""T(\d+)"")),1),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H126" s="86">
        <f>IFERROR(__xludf.DUMMYFUNCTION("LET(
  monthStart,DATE(VALUE(REGEXEXTRACT(H$1,""\d{4}"")),VALUE(REGEXEXTRACT(H$1,""T(\d+)"")),1),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I126" s="86">
        <f>IFERROR(__xludf.DUMMYFUNCTION("LET(
  monthStart,DATE(VALUE(REGEXEXTRACT(I$1,""\d{4}"")),VALUE(REGEXEXTRACT(I$1,""T(\d+)"")),1),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J126" s="86">
        <f>IFERROR(__xludf.DUMMYFUNCTION("LET(
  monthStart,DATE(VALUE(REGEXEXTRACT(J$1,""\d{4}"")),VALUE(REGEXEXTRACT(J$1,""T(\d+)"")),1),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K126" s="86">
        <f>IFERROR(__xludf.DUMMYFUNCTION("LET(
  monthStart,DATE(VALUE(REGEXEXTRACT(K$1,""\d{4}"")),VALUE(REGEXEXTRACT(K$1,""T(\d+)"")),1),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L126" s="86">
        <f>IFERROR(__xludf.DUMMYFUNCTION("LET(
  monthStart,DATE(VALUE(REGEXEXTRACT(L$1,""\d{4}"")),VALUE(REGEXEXTRACT(L$1,""T(\d+)"")),1),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M126" s="86">
        <f>IFERROR(__xludf.DUMMYFUNCTION("LET(
  monthStart,DATE(VALUE(REGEXEXTRACT(M$1,""\d{4}"")),VALUE(REGEXEXTRACT(M$1,""T(\d+)"")),1),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N126" s="86">
        <f>IFERROR(__xludf.DUMMYFUNCTION("LET(
  monthStart,DATE(VALUE(REGEXEXTRACT(N$1,""\d{4}"")),VALUE(REGEXEXTRACT(N$1,""T(\d+)"")),1),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O126" s="86">
        <f>IFERROR(__xludf.DUMMYFUNCTION("LET(
  monthStart,DATE(VALUE(REGEXEXTRACT(O$1,""\d{4}"")),VALUE(REGEXEXTRACT(O$1,""T(\d+)"")),1),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P126" s="86">
        <f>IFERROR(__xludf.DUMMYFUNCTION("LET(
  monthStart,DATE(VALUE(REGEXEXTRACT(P$1,""\d{4}"")),VALUE(REGEXEXTRACT(P$1,""T(\d+)"")),1),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Q126" s="86">
        <f>IFERROR(__xludf.DUMMYFUNCTION("LET(
  monthStart,DATE(VALUE(REGEXEXTRACT(Q$1,""\d{4}"")),VALUE(REGEXEXTRACT(Q$1,""T(\d+)"")),1),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R126" s="86">
        <f>IFERROR(__xludf.DUMMYFUNCTION("LET(
  monthStart,DATE(VALUE(REGEXEXTRACT(R$1,""\d{4}"")),VALUE(REGEXEXTRACT(R$1,""T(\d+)"")),1),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S126" s="86">
        <f>IFERROR(__xludf.DUMMYFUNCTION("LET(
  monthStart,DATE(VALUE(REGEXEXTRACT(S$1,""\d{4}"")),VALUE(REGEXEXTRACT(S$1,""T(\d+)"")),1),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T126" s="86">
        <f>IFERROR(__xludf.DUMMYFUNCTION("LET(
  monthStart,DATE(VALUE(REGEXEXTRACT(T$1,""\d{4}"")),VALUE(REGEXEXTRACT(T$1,""T(\d+)"")),1),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U126" s="86">
        <f>IFERROR(__xludf.DUMMYFUNCTION("LET(
  monthStart,DATE(VALUE(REGEXEXTRACT(U$1,""\d{4}"")),VALUE(REGEXEXTRACT(U$1,""T(\d+)"")),1),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V126" s="86">
        <f>IFERROR(__xludf.DUMMYFUNCTION("LET(
  monthStart,DATE(VALUE(REGEXEXTRACT(V$1,""\d{4}"")),VALUE(REGEXEXTRACT(V$1,""T(\d+)"")),1),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W126" s="86">
        <f>IFERROR(__xludf.DUMMYFUNCTION("LET(
  monthStart,DATE(VALUE(REGEXEXTRACT(W$1,""\d{4}"")),VALUE(REGEXEXTRACT(W$1,""T(\d+)"")),1),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X126" s="86">
        <f>IFERROR(__xludf.DUMMYFUNCTION("LET(
  monthStart,DATE(VALUE(REGEXEXTRACT(X$1,""\d{4}"")),VALUE(REGEXEXTRACT(X$1,""T(\d+)"")),1),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Y126" s="86">
        <f>IFERROR(__xludf.DUMMYFUNCTION("LET(
  monthStart,DATE(VALUE(REGEXEXTRACT(Y$1,""\d{4}"")),VALUE(REGEXEXTRACT(Y$1,""T(\d+)"")),1),
  monthEnd,EOMONTH(monthStart,0),
  actualStart,MAX($D126,monthStart),
  actualEnd,MIN($E126,monthEnd),
  workingDaysInMonth,NETWORKDAYS(monthStart,monthEnd)"&amp;",
  workingDaysOverlap,IF(actualStart&gt;actualEnd,0,NETWORKDAYS(actualStart,actualEnd)),
  IF(workingDaysOverlap=0,"""",$F126*workingDaysOverlap/workingDaysInMonth)
)"),0.0)</f>
        <v>0</v>
      </c>
      <c r="Z126" s="64"/>
      <c r="AA126" s="64"/>
      <c r="AB126" s="64"/>
      <c r="AC126" s="64"/>
      <c r="AD126" s="64"/>
      <c r="AE126" s="64"/>
      <c r="AF126" s="64"/>
      <c r="AG126" s="64"/>
      <c r="AH126" s="64"/>
      <c r="AI126" s="75"/>
      <c r="AJ126" s="64"/>
      <c r="AK126" s="64"/>
      <c r="AO126" s="64"/>
      <c r="AP126" s="64"/>
      <c r="AQ126" s="64"/>
      <c r="AR126" s="64"/>
      <c r="AS126" s="64"/>
      <c r="AT126" s="64"/>
      <c r="AX126" s="64"/>
      <c r="AY126" s="89"/>
      <c r="AZ126" s="77"/>
      <c r="BA126" s="77"/>
      <c r="BB126" s="74"/>
      <c r="BC126" s="74"/>
      <c r="BD126" s="67"/>
      <c r="BH126" s="64"/>
      <c r="BI126" s="64"/>
      <c r="BJ126" s="64"/>
      <c r="BK126" s="64"/>
      <c r="BL126" s="64"/>
      <c r="BM126" s="64"/>
      <c r="BN126" s="64"/>
    </row>
    <row r="127" ht="30.0" customHeight="1">
      <c r="A127" s="81"/>
      <c r="B127" s="82"/>
      <c r="C127" s="83"/>
      <c r="D127" s="84"/>
      <c r="E127" s="84"/>
      <c r="F127" s="85"/>
      <c r="G127" s="86">
        <f>IFERROR(__xludf.DUMMYFUNCTION("LET(
  monthStart,DATE(VALUE(REGEXEXTRACT(G$1,""\d{4}"")),VALUE(REGEXEXTRACT(G$1,""T(\d+)"")),1),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H127" s="86">
        <f>IFERROR(__xludf.DUMMYFUNCTION("LET(
  monthStart,DATE(VALUE(REGEXEXTRACT(H$1,""\d{4}"")),VALUE(REGEXEXTRACT(H$1,""T(\d+)"")),1),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I127" s="86">
        <f>IFERROR(__xludf.DUMMYFUNCTION("LET(
  monthStart,DATE(VALUE(REGEXEXTRACT(I$1,""\d{4}"")),VALUE(REGEXEXTRACT(I$1,""T(\d+)"")),1),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J127" s="86">
        <f>IFERROR(__xludf.DUMMYFUNCTION("LET(
  monthStart,DATE(VALUE(REGEXEXTRACT(J$1,""\d{4}"")),VALUE(REGEXEXTRACT(J$1,""T(\d+)"")),1),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K127" s="86">
        <f>IFERROR(__xludf.DUMMYFUNCTION("LET(
  monthStart,DATE(VALUE(REGEXEXTRACT(K$1,""\d{4}"")),VALUE(REGEXEXTRACT(K$1,""T(\d+)"")),1),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L127" s="86">
        <f>IFERROR(__xludf.DUMMYFUNCTION("LET(
  monthStart,DATE(VALUE(REGEXEXTRACT(L$1,""\d{4}"")),VALUE(REGEXEXTRACT(L$1,""T(\d+)"")),1),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M127" s="86">
        <f>IFERROR(__xludf.DUMMYFUNCTION("LET(
  monthStart,DATE(VALUE(REGEXEXTRACT(M$1,""\d{4}"")),VALUE(REGEXEXTRACT(M$1,""T(\d+)"")),1),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N127" s="86">
        <f>IFERROR(__xludf.DUMMYFUNCTION("LET(
  monthStart,DATE(VALUE(REGEXEXTRACT(N$1,""\d{4}"")),VALUE(REGEXEXTRACT(N$1,""T(\d+)"")),1),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O127" s="86">
        <f>IFERROR(__xludf.DUMMYFUNCTION("LET(
  monthStart,DATE(VALUE(REGEXEXTRACT(O$1,""\d{4}"")),VALUE(REGEXEXTRACT(O$1,""T(\d+)"")),1),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P127" s="86">
        <f>IFERROR(__xludf.DUMMYFUNCTION("LET(
  monthStart,DATE(VALUE(REGEXEXTRACT(P$1,""\d{4}"")),VALUE(REGEXEXTRACT(P$1,""T(\d+)"")),1),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Q127" s="86">
        <f>IFERROR(__xludf.DUMMYFUNCTION("LET(
  monthStart,DATE(VALUE(REGEXEXTRACT(Q$1,""\d{4}"")),VALUE(REGEXEXTRACT(Q$1,""T(\d+)"")),1),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R127" s="86">
        <f>IFERROR(__xludf.DUMMYFUNCTION("LET(
  monthStart,DATE(VALUE(REGEXEXTRACT(R$1,""\d{4}"")),VALUE(REGEXEXTRACT(R$1,""T(\d+)"")),1),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S127" s="86">
        <f>IFERROR(__xludf.DUMMYFUNCTION("LET(
  monthStart,DATE(VALUE(REGEXEXTRACT(S$1,""\d{4}"")),VALUE(REGEXEXTRACT(S$1,""T(\d+)"")),1),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T127" s="86">
        <f>IFERROR(__xludf.DUMMYFUNCTION("LET(
  monthStart,DATE(VALUE(REGEXEXTRACT(T$1,""\d{4}"")),VALUE(REGEXEXTRACT(T$1,""T(\d+)"")),1),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U127" s="86">
        <f>IFERROR(__xludf.DUMMYFUNCTION("LET(
  monthStart,DATE(VALUE(REGEXEXTRACT(U$1,""\d{4}"")),VALUE(REGEXEXTRACT(U$1,""T(\d+)"")),1),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V127" s="86">
        <f>IFERROR(__xludf.DUMMYFUNCTION("LET(
  monthStart,DATE(VALUE(REGEXEXTRACT(V$1,""\d{4}"")),VALUE(REGEXEXTRACT(V$1,""T(\d+)"")),1),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W127" s="86">
        <f>IFERROR(__xludf.DUMMYFUNCTION("LET(
  monthStart,DATE(VALUE(REGEXEXTRACT(W$1,""\d{4}"")),VALUE(REGEXEXTRACT(W$1,""T(\d+)"")),1),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X127" s="86">
        <f>IFERROR(__xludf.DUMMYFUNCTION("LET(
  monthStart,DATE(VALUE(REGEXEXTRACT(X$1,""\d{4}"")),VALUE(REGEXEXTRACT(X$1,""T(\d+)"")),1),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Y127" s="86">
        <f>IFERROR(__xludf.DUMMYFUNCTION("LET(
  monthStart,DATE(VALUE(REGEXEXTRACT(Y$1,""\d{4}"")),VALUE(REGEXEXTRACT(Y$1,""T(\d+)"")),1),
  monthEnd,EOMONTH(monthStart,0),
  actualStart,MAX($D127,monthStart),
  actualEnd,MIN($E127,monthEnd),
  workingDaysInMonth,NETWORKDAYS(monthStart,monthEnd)"&amp;",
  workingDaysOverlap,IF(actualStart&gt;actualEnd,0,NETWORKDAYS(actualStart,actualEnd)),
  IF(workingDaysOverlap=0,"""",$F127*workingDaysOverlap/workingDaysInMonth)
)"),0.0)</f>
        <v>0</v>
      </c>
      <c r="Z127" s="64"/>
      <c r="AA127" s="64"/>
      <c r="AB127" s="64"/>
      <c r="AC127" s="64"/>
      <c r="AD127" s="64"/>
      <c r="AE127" s="64"/>
      <c r="AF127" s="64"/>
      <c r="AG127" s="64"/>
      <c r="AH127" s="64"/>
      <c r="AI127" s="75"/>
      <c r="AJ127" s="64"/>
      <c r="AK127" s="64"/>
      <c r="AO127" s="64"/>
      <c r="AP127" s="64"/>
      <c r="AQ127" s="64"/>
      <c r="AR127" s="64"/>
      <c r="AS127" s="64"/>
      <c r="AT127" s="64"/>
      <c r="AX127" s="64"/>
      <c r="AY127" s="89"/>
      <c r="AZ127" s="89"/>
      <c r="BA127" s="89"/>
      <c r="BB127" s="90"/>
      <c r="BC127" s="75"/>
      <c r="BD127" s="67"/>
      <c r="BH127" s="64"/>
      <c r="BI127" s="64"/>
      <c r="BJ127" s="64"/>
      <c r="BK127" s="64"/>
      <c r="BL127" s="64"/>
      <c r="BM127" s="64"/>
      <c r="BN127" s="64"/>
    </row>
    <row r="128" ht="30.0" customHeight="1">
      <c r="A128" s="81"/>
      <c r="B128" s="82"/>
      <c r="C128" s="83"/>
      <c r="D128" s="84"/>
      <c r="E128" s="84"/>
      <c r="F128" s="85"/>
      <c r="G128" s="86">
        <f>IFERROR(__xludf.DUMMYFUNCTION("LET(
  monthStart,DATE(VALUE(REGEXEXTRACT(G$1,""\d{4}"")),VALUE(REGEXEXTRACT(G$1,""T(\d+)"")),1),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H128" s="86">
        <f>IFERROR(__xludf.DUMMYFUNCTION("LET(
  monthStart,DATE(VALUE(REGEXEXTRACT(H$1,""\d{4}"")),VALUE(REGEXEXTRACT(H$1,""T(\d+)"")),1),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I128" s="86">
        <f>IFERROR(__xludf.DUMMYFUNCTION("LET(
  monthStart,DATE(VALUE(REGEXEXTRACT(I$1,""\d{4}"")),VALUE(REGEXEXTRACT(I$1,""T(\d+)"")),1),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J128" s="86">
        <f>IFERROR(__xludf.DUMMYFUNCTION("LET(
  monthStart,DATE(VALUE(REGEXEXTRACT(J$1,""\d{4}"")),VALUE(REGEXEXTRACT(J$1,""T(\d+)"")),1),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K128" s="86">
        <f>IFERROR(__xludf.DUMMYFUNCTION("LET(
  monthStart,DATE(VALUE(REGEXEXTRACT(K$1,""\d{4}"")),VALUE(REGEXEXTRACT(K$1,""T(\d+)"")),1),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L128" s="86">
        <f>IFERROR(__xludf.DUMMYFUNCTION("LET(
  monthStart,DATE(VALUE(REGEXEXTRACT(L$1,""\d{4}"")),VALUE(REGEXEXTRACT(L$1,""T(\d+)"")),1),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M128" s="86">
        <f>IFERROR(__xludf.DUMMYFUNCTION("LET(
  monthStart,DATE(VALUE(REGEXEXTRACT(M$1,""\d{4}"")),VALUE(REGEXEXTRACT(M$1,""T(\d+)"")),1),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N128" s="86">
        <f>IFERROR(__xludf.DUMMYFUNCTION("LET(
  monthStart,DATE(VALUE(REGEXEXTRACT(N$1,""\d{4}"")),VALUE(REGEXEXTRACT(N$1,""T(\d+)"")),1),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O128" s="86">
        <f>IFERROR(__xludf.DUMMYFUNCTION("LET(
  monthStart,DATE(VALUE(REGEXEXTRACT(O$1,""\d{4}"")),VALUE(REGEXEXTRACT(O$1,""T(\d+)"")),1),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P128" s="86">
        <f>IFERROR(__xludf.DUMMYFUNCTION("LET(
  monthStart,DATE(VALUE(REGEXEXTRACT(P$1,""\d{4}"")),VALUE(REGEXEXTRACT(P$1,""T(\d+)"")),1),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Q128" s="86">
        <f>IFERROR(__xludf.DUMMYFUNCTION("LET(
  monthStart,DATE(VALUE(REGEXEXTRACT(Q$1,""\d{4}"")),VALUE(REGEXEXTRACT(Q$1,""T(\d+)"")),1),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R128" s="86">
        <f>IFERROR(__xludf.DUMMYFUNCTION("LET(
  monthStart,DATE(VALUE(REGEXEXTRACT(R$1,""\d{4}"")),VALUE(REGEXEXTRACT(R$1,""T(\d+)"")),1),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S128" s="86">
        <f>IFERROR(__xludf.DUMMYFUNCTION("LET(
  monthStart,DATE(VALUE(REGEXEXTRACT(S$1,""\d{4}"")),VALUE(REGEXEXTRACT(S$1,""T(\d+)"")),1),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T128" s="86">
        <f>IFERROR(__xludf.DUMMYFUNCTION("LET(
  monthStart,DATE(VALUE(REGEXEXTRACT(T$1,""\d{4}"")),VALUE(REGEXEXTRACT(T$1,""T(\d+)"")),1),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U128" s="86">
        <f>IFERROR(__xludf.DUMMYFUNCTION("LET(
  monthStart,DATE(VALUE(REGEXEXTRACT(U$1,""\d{4}"")),VALUE(REGEXEXTRACT(U$1,""T(\d+)"")),1),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V128" s="86">
        <f>IFERROR(__xludf.DUMMYFUNCTION("LET(
  monthStart,DATE(VALUE(REGEXEXTRACT(V$1,""\d{4}"")),VALUE(REGEXEXTRACT(V$1,""T(\d+)"")),1),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W128" s="86">
        <f>IFERROR(__xludf.DUMMYFUNCTION("LET(
  monthStart,DATE(VALUE(REGEXEXTRACT(W$1,""\d{4}"")),VALUE(REGEXEXTRACT(W$1,""T(\d+)"")),1),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X128" s="86">
        <f>IFERROR(__xludf.DUMMYFUNCTION("LET(
  monthStart,DATE(VALUE(REGEXEXTRACT(X$1,""\d{4}"")),VALUE(REGEXEXTRACT(X$1,""T(\d+)"")),1),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Y128" s="86">
        <f>IFERROR(__xludf.DUMMYFUNCTION("LET(
  monthStart,DATE(VALUE(REGEXEXTRACT(Y$1,""\d{4}"")),VALUE(REGEXEXTRACT(Y$1,""T(\d+)"")),1),
  monthEnd,EOMONTH(monthStart,0),
  actualStart,MAX($D128,monthStart),
  actualEnd,MIN($E128,monthEnd),
  workingDaysInMonth,NETWORKDAYS(monthStart,monthEnd)"&amp;",
  workingDaysOverlap,IF(actualStart&gt;actualEnd,0,NETWORKDAYS(actualStart,actualEnd)),
  IF(workingDaysOverlap=0,"""",$F128*workingDaysOverlap/workingDaysInMonth)
)"),0.0)</f>
        <v>0</v>
      </c>
      <c r="Z128" s="64"/>
      <c r="AA128" s="64"/>
      <c r="AB128" s="64"/>
      <c r="AC128" s="64"/>
      <c r="AD128" s="64"/>
      <c r="AE128" s="64"/>
      <c r="AF128" s="64"/>
      <c r="AG128" s="64"/>
      <c r="AH128" s="64"/>
      <c r="AI128" s="75"/>
      <c r="AJ128" s="64"/>
      <c r="AK128" s="64"/>
      <c r="AO128" s="64"/>
      <c r="AP128" s="64"/>
      <c r="AQ128" s="64"/>
      <c r="AR128" s="64"/>
      <c r="AS128" s="64"/>
      <c r="AT128" s="64"/>
      <c r="AX128" s="64"/>
      <c r="AY128" s="89"/>
      <c r="AZ128" s="89"/>
      <c r="BA128" s="89"/>
      <c r="BB128" s="90"/>
      <c r="BC128" s="75"/>
      <c r="BD128" s="67"/>
      <c r="BH128" s="64"/>
      <c r="BI128" s="64"/>
      <c r="BJ128" s="64"/>
      <c r="BK128" s="64"/>
      <c r="BL128" s="64"/>
      <c r="BM128" s="64"/>
      <c r="BN128" s="64"/>
    </row>
    <row r="129" ht="30.0" customHeight="1">
      <c r="A129" s="81"/>
      <c r="B129" s="82"/>
      <c r="C129" s="83"/>
      <c r="D129" s="84"/>
      <c r="E129" s="84"/>
      <c r="F129" s="85"/>
      <c r="G129" s="86">
        <f>IFERROR(__xludf.DUMMYFUNCTION("LET(
  monthStart,DATE(VALUE(REGEXEXTRACT(G$1,""\d{4}"")),VALUE(REGEXEXTRACT(G$1,""T(\d+)"")),1),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H129" s="86">
        <f>IFERROR(__xludf.DUMMYFUNCTION("LET(
  monthStart,DATE(VALUE(REGEXEXTRACT(H$1,""\d{4}"")),VALUE(REGEXEXTRACT(H$1,""T(\d+)"")),1),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I129" s="86">
        <f>IFERROR(__xludf.DUMMYFUNCTION("LET(
  monthStart,DATE(VALUE(REGEXEXTRACT(I$1,""\d{4}"")),VALUE(REGEXEXTRACT(I$1,""T(\d+)"")),1),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J129" s="86">
        <f>IFERROR(__xludf.DUMMYFUNCTION("LET(
  monthStart,DATE(VALUE(REGEXEXTRACT(J$1,""\d{4}"")),VALUE(REGEXEXTRACT(J$1,""T(\d+)"")),1),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K129" s="86">
        <f>IFERROR(__xludf.DUMMYFUNCTION("LET(
  monthStart,DATE(VALUE(REGEXEXTRACT(K$1,""\d{4}"")),VALUE(REGEXEXTRACT(K$1,""T(\d+)"")),1),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L129" s="86">
        <f>IFERROR(__xludf.DUMMYFUNCTION("LET(
  monthStart,DATE(VALUE(REGEXEXTRACT(L$1,""\d{4}"")),VALUE(REGEXEXTRACT(L$1,""T(\d+)"")),1),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M129" s="86">
        <f>IFERROR(__xludf.DUMMYFUNCTION("LET(
  monthStart,DATE(VALUE(REGEXEXTRACT(M$1,""\d{4}"")),VALUE(REGEXEXTRACT(M$1,""T(\d+)"")),1),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N129" s="86">
        <f>IFERROR(__xludf.DUMMYFUNCTION("LET(
  monthStart,DATE(VALUE(REGEXEXTRACT(N$1,""\d{4}"")),VALUE(REGEXEXTRACT(N$1,""T(\d+)"")),1),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O129" s="86">
        <f>IFERROR(__xludf.DUMMYFUNCTION("LET(
  monthStart,DATE(VALUE(REGEXEXTRACT(O$1,""\d{4}"")),VALUE(REGEXEXTRACT(O$1,""T(\d+)"")),1),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P129" s="86">
        <f>IFERROR(__xludf.DUMMYFUNCTION("LET(
  monthStart,DATE(VALUE(REGEXEXTRACT(P$1,""\d{4}"")),VALUE(REGEXEXTRACT(P$1,""T(\d+)"")),1),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Q129" s="86">
        <f>IFERROR(__xludf.DUMMYFUNCTION("LET(
  monthStart,DATE(VALUE(REGEXEXTRACT(Q$1,""\d{4}"")),VALUE(REGEXEXTRACT(Q$1,""T(\d+)"")),1),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R129" s="86">
        <f>IFERROR(__xludf.DUMMYFUNCTION("LET(
  monthStart,DATE(VALUE(REGEXEXTRACT(R$1,""\d{4}"")),VALUE(REGEXEXTRACT(R$1,""T(\d+)"")),1),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S129" s="86">
        <f>IFERROR(__xludf.DUMMYFUNCTION("LET(
  monthStart,DATE(VALUE(REGEXEXTRACT(S$1,""\d{4}"")),VALUE(REGEXEXTRACT(S$1,""T(\d+)"")),1),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T129" s="86">
        <f>IFERROR(__xludf.DUMMYFUNCTION("LET(
  monthStart,DATE(VALUE(REGEXEXTRACT(T$1,""\d{4}"")),VALUE(REGEXEXTRACT(T$1,""T(\d+)"")),1),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U129" s="86">
        <f>IFERROR(__xludf.DUMMYFUNCTION("LET(
  monthStart,DATE(VALUE(REGEXEXTRACT(U$1,""\d{4}"")),VALUE(REGEXEXTRACT(U$1,""T(\d+)"")),1),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V129" s="86">
        <f>IFERROR(__xludf.DUMMYFUNCTION("LET(
  monthStart,DATE(VALUE(REGEXEXTRACT(V$1,""\d{4}"")),VALUE(REGEXEXTRACT(V$1,""T(\d+)"")),1),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W129" s="86">
        <f>IFERROR(__xludf.DUMMYFUNCTION("LET(
  monthStart,DATE(VALUE(REGEXEXTRACT(W$1,""\d{4}"")),VALUE(REGEXEXTRACT(W$1,""T(\d+)"")),1),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X129" s="86">
        <f>IFERROR(__xludf.DUMMYFUNCTION("LET(
  monthStart,DATE(VALUE(REGEXEXTRACT(X$1,""\d{4}"")),VALUE(REGEXEXTRACT(X$1,""T(\d+)"")),1),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Y129" s="86">
        <f>IFERROR(__xludf.DUMMYFUNCTION("LET(
  monthStart,DATE(VALUE(REGEXEXTRACT(Y$1,""\d{4}"")),VALUE(REGEXEXTRACT(Y$1,""T(\d+)"")),1),
  monthEnd,EOMONTH(monthStart,0),
  actualStart,MAX($D129,monthStart),
  actualEnd,MIN($E129,monthEnd),
  workingDaysInMonth,NETWORKDAYS(monthStart,monthEnd)"&amp;",
  workingDaysOverlap,IF(actualStart&gt;actualEnd,0,NETWORKDAYS(actualStart,actualEnd)),
  IF(workingDaysOverlap=0,"""",$F129*workingDaysOverlap/workingDaysInMonth)
)"),0.0)</f>
        <v>0</v>
      </c>
      <c r="Z129" s="64"/>
      <c r="AA129" s="64"/>
      <c r="AB129" s="64"/>
      <c r="AC129" s="64"/>
      <c r="AD129" s="64"/>
      <c r="AE129" s="64"/>
      <c r="AF129" s="64"/>
      <c r="AG129" s="64"/>
      <c r="AH129" s="64"/>
      <c r="AI129" s="75"/>
      <c r="AJ129" s="64"/>
      <c r="AK129" s="64"/>
      <c r="AO129" s="64"/>
      <c r="AP129" s="64"/>
      <c r="AQ129" s="64"/>
      <c r="AR129" s="64"/>
      <c r="AS129" s="64"/>
      <c r="AT129" s="64"/>
      <c r="AX129" s="64"/>
      <c r="AY129" s="89"/>
      <c r="AZ129" s="89"/>
      <c r="BA129" s="89"/>
      <c r="BB129" s="90"/>
      <c r="BC129" s="75"/>
      <c r="BD129" s="67"/>
      <c r="BH129" s="64"/>
      <c r="BI129" s="64"/>
      <c r="BJ129" s="64"/>
      <c r="BK129" s="64"/>
      <c r="BL129" s="64"/>
      <c r="BM129" s="64"/>
      <c r="BN129" s="64"/>
    </row>
    <row r="130" ht="30.0" customHeight="1">
      <c r="A130" s="81"/>
      <c r="B130" s="82"/>
      <c r="C130" s="83"/>
      <c r="D130" s="84"/>
      <c r="E130" s="84"/>
      <c r="F130" s="85"/>
      <c r="G130" s="86">
        <f>IFERROR(__xludf.DUMMYFUNCTION("LET(
  monthStart,DATE(VALUE(REGEXEXTRACT(G$1,""\d{4}"")),VALUE(REGEXEXTRACT(G$1,""T(\d+)"")),1),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H130" s="86">
        <f>IFERROR(__xludf.DUMMYFUNCTION("LET(
  monthStart,DATE(VALUE(REGEXEXTRACT(H$1,""\d{4}"")),VALUE(REGEXEXTRACT(H$1,""T(\d+)"")),1),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I130" s="86">
        <f>IFERROR(__xludf.DUMMYFUNCTION("LET(
  monthStart,DATE(VALUE(REGEXEXTRACT(I$1,""\d{4}"")),VALUE(REGEXEXTRACT(I$1,""T(\d+)"")),1),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J130" s="86">
        <f>IFERROR(__xludf.DUMMYFUNCTION("LET(
  monthStart,DATE(VALUE(REGEXEXTRACT(J$1,""\d{4}"")),VALUE(REGEXEXTRACT(J$1,""T(\d+)"")),1),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K130" s="86">
        <f>IFERROR(__xludf.DUMMYFUNCTION("LET(
  monthStart,DATE(VALUE(REGEXEXTRACT(K$1,""\d{4}"")),VALUE(REGEXEXTRACT(K$1,""T(\d+)"")),1),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L130" s="86">
        <f>IFERROR(__xludf.DUMMYFUNCTION("LET(
  monthStart,DATE(VALUE(REGEXEXTRACT(L$1,""\d{4}"")),VALUE(REGEXEXTRACT(L$1,""T(\d+)"")),1),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M130" s="86">
        <f>IFERROR(__xludf.DUMMYFUNCTION("LET(
  monthStart,DATE(VALUE(REGEXEXTRACT(M$1,""\d{4}"")),VALUE(REGEXEXTRACT(M$1,""T(\d+)"")),1),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N130" s="86">
        <f>IFERROR(__xludf.DUMMYFUNCTION("LET(
  monthStart,DATE(VALUE(REGEXEXTRACT(N$1,""\d{4}"")),VALUE(REGEXEXTRACT(N$1,""T(\d+)"")),1),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O130" s="86">
        <f>IFERROR(__xludf.DUMMYFUNCTION("LET(
  monthStart,DATE(VALUE(REGEXEXTRACT(O$1,""\d{4}"")),VALUE(REGEXEXTRACT(O$1,""T(\d+)"")),1),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P130" s="86">
        <f>IFERROR(__xludf.DUMMYFUNCTION("LET(
  monthStart,DATE(VALUE(REGEXEXTRACT(P$1,""\d{4}"")),VALUE(REGEXEXTRACT(P$1,""T(\d+)"")),1),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Q130" s="86">
        <f>IFERROR(__xludf.DUMMYFUNCTION("LET(
  monthStart,DATE(VALUE(REGEXEXTRACT(Q$1,""\d{4}"")),VALUE(REGEXEXTRACT(Q$1,""T(\d+)"")),1),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R130" s="86">
        <f>IFERROR(__xludf.DUMMYFUNCTION("LET(
  monthStart,DATE(VALUE(REGEXEXTRACT(R$1,""\d{4}"")),VALUE(REGEXEXTRACT(R$1,""T(\d+)"")),1),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S130" s="86">
        <f>IFERROR(__xludf.DUMMYFUNCTION("LET(
  monthStart,DATE(VALUE(REGEXEXTRACT(S$1,""\d{4}"")),VALUE(REGEXEXTRACT(S$1,""T(\d+)"")),1),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T130" s="86">
        <f>IFERROR(__xludf.DUMMYFUNCTION("LET(
  monthStart,DATE(VALUE(REGEXEXTRACT(T$1,""\d{4}"")),VALUE(REGEXEXTRACT(T$1,""T(\d+)"")),1),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U130" s="86">
        <f>IFERROR(__xludf.DUMMYFUNCTION("LET(
  monthStart,DATE(VALUE(REGEXEXTRACT(U$1,""\d{4}"")),VALUE(REGEXEXTRACT(U$1,""T(\d+)"")),1),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V130" s="86">
        <f>IFERROR(__xludf.DUMMYFUNCTION("LET(
  monthStart,DATE(VALUE(REGEXEXTRACT(V$1,""\d{4}"")),VALUE(REGEXEXTRACT(V$1,""T(\d+)"")),1),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W130" s="86">
        <f>IFERROR(__xludf.DUMMYFUNCTION("LET(
  monthStart,DATE(VALUE(REGEXEXTRACT(W$1,""\d{4}"")),VALUE(REGEXEXTRACT(W$1,""T(\d+)"")),1),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X130" s="86">
        <f>IFERROR(__xludf.DUMMYFUNCTION("LET(
  monthStart,DATE(VALUE(REGEXEXTRACT(X$1,""\d{4}"")),VALUE(REGEXEXTRACT(X$1,""T(\d+)"")),1),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Y130" s="86">
        <f>IFERROR(__xludf.DUMMYFUNCTION("LET(
  monthStart,DATE(VALUE(REGEXEXTRACT(Y$1,""\d{4}"")),VALUE(REGEXEXTRACT(Y$1,""T(\d+)"")),1),
  monthEnd,EOMONTH(monthStart,0),
  actualStart,MAX($D130,monthStart),
  actualEnd,MIN($E130,monthEnd),
  workingDaysInMonth,NETWORKDAYS(monthStart,monthEnd)"&amp;",
  workingDaysOverlap,IF(actualStart&gt;actualEnd,0,NETWORKDAYS(actualStart,actualEnd)),
  IF(workingDaysOverlap=0,"""",$F130*workingDaysOverlap/workingDaysInMonth)
)"),0.0)</f>
        <v>0</v>
      </c>
      <c r="Z130" s="64"/>
      <c r="AA130" s="64"/>
      <c r="AB130" s="64"/>
      <c r="AC130" s="64"/>
      <c r="AD130" s="64"/>
      <c r="AE130" s="64"/>
      <c r="AF130" s="64"/>
      <c r="AG130" s="64"/>
      <c r="AH130" s="64"/>
      <c r="AI130" s="75"/>
      <c r="AJ130" s="64"/>
      <c r="AK130" s="64"/>
      <c r="AO130" s="64"/>
      <c r="AP130" s="64"/>
      <c r="AQ130" s="64"/>
      <c r="AR130" s="64"/>
      <c r="AS130" s="64"/>
      <c r="AT130" s="64"/>
      <c r="AX130" s="64"/>
      <c r="AY130" s="89"/>
      <c r="AZ130" s="89"/>
      <c r="BA130" s="89"/>
      <c r="BB130" s="90"/>
      <c r="BC130" s="75"/>
      <c r="BD130" s="67"/>
      <c r="BH130" s="64"/>
      <c r="BI130" s="64"/>
      <c r="BJ130" s="64"/>
      <c r="BK130" s="64"/>
      <c r="BL130" s="64"/>
      <c r="BM130" s="64"/>
      <c r="BN130" s="64"/>
    </row>
    <row r="131" ht="30.0" customHeight="1">
      <c r="A131" s="81"/>
      <c r="B131" s="82"/>
      <c r="C131" s="83"/>
      <c r="D131" s="84"/>
      <c r="E131" s="84"/>
      <c r="F131" s="85"/>
      <c r="G131" s="86">
        <f>IFERROR(__xludf.DUMMYFUNCTION("LET(
  monthStart,DATE(VALUE(REGEXEXTRACT(G$1,""\d{4}"")),VALUE(REGEXEXTRACT(G$1,""T(\d+)"")),1),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H131" s="86">
        <f>IFERROR(__xludf.DUMMYFUNCTION("LET(
  monthStart,DATE(VALUE(REGEXEXTRACT(H$1,""\d{4}"")),VALUE(REGEXEXTRACT(H$1,""T(\d+)"")),1),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I131" s="86">
        <f>IFERROR(__xludf.DUMMYFUNCTION("LET(
  monthStart,DATE(VALUE(REGEXEXTRACT(I$1,""\d{4}"")),VALUE(REGEXEXTRACT(I$1,""T(\d+)"")),1),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J131" s="86">
        <f>IFERROR(__xludf.DUMMYFUNCTION("LET(
  monthStart,DATE(VALUE(REGEXEXTRACT(J$1,""\d{4}"")),VALUE(REGEXEXTRACT(J$1,""T(\d+)"")),1),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K131" s="86">
        <f>IFERROR(__xludf.DUMMYFUNCTION("LET(
  monthStart,DATE(VALUE(REGEXEXTRACT(K$1,""\d{4}"")),VALUE(REGEXEXTRACT(K$1,""T(\d+)"")),1),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L131" s="86">
        <f>IFERROR(__xludf.DUMMYFUNCTION("LET(
  monthStart,DATE(VALUE(REGEXEXTRACT(L$1,""\d{4}"")),VALUE(REGEXEXTRACT(L$1,""T(\d+)"")),1),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M131" s="86">
        <f>IFERROR(__xludf.DUMMYFUNCTION("LET(
  monthStart,DATE(VALUE(REGEXEXTRACT(M$1,""\d{4}"")),VALUE(REGEXEXTRACT(M$1,""T(\d+)"")),1),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N131" s="86">
        <f>IFERROR(__xludf.DUMMYFUNCTION("LET(
  monthStart,DATE(VALUE(REGEXEXTRACT(N$1,""\d{4}"")),VALUE(REGEXEXTRACT(N$1,""T(\d+)"")),1),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O131" s="86">
        <f>IFERROR(__xludf.DUMMYFUNCTION("LET(
  monthStart,DATE(VALUE(REGEXEXTRACT(O$1,""\d{4}"")),VALUE(REGEXEXTRACT(O$1,""T(\d+)"")),1),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P131" s="86">
        <f>IFERROR(__xludf.DUMMYFUNCTION("LET(
  monthStart,DATE(VALUE(REGEXEXTRACT(P$1,""\d{4}"")),VALUE(REGEXEXTRACT(P$1,""T(\d+)"")),1),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Q131" s="86">
        <f>IFERROR(__xludf.DUMMYFUNCTION("LET(
  monthStart,DATE(VALUE(REGEXEXTRACT(Q$1,""\d{4}"")),VALUE(REGEXEXTRACT(Q$1,""T(\d+)"")),1),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R131" s="86">
        <f>IFERROR(__xludf.DUMMYFUNCTION("LET(
  monthStart,DATE(VALUE(REGEXEXTRACT(R$1,""\d{4}"")),VALUE(REGEXEXTRACT(R$1,""T(\d+)"")),1),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S131" s="86">
        <f>IFERROR(__xludf.DUMMYFUNCTION("LET(
  monthStart,DATE(VALUE(REGEXEXTRACT(S$1,""\d{4}"")),VALUE(REGEXEXTRACT(S$1,""T(\d+)"")),1),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T131" s="86">
        <f>IFERROR(__xludf.DUMMYFUNCTION("LET(
  monthStart,DATE(VALUE(REGEXEXTRACT(T$1,""\d{4}"")),VALUE(REGEXEXTRACT(T$1,""T(\d+)"")),1),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U131" s="86">
        <f>IFERROR(__xludf.DUMMYFUNCTION("LET(
  monthStart,DATE(VALUE(REGEXEXTRACT(U$1,""\d{4}"")),VALUE(REGEXEXTRACT(U$1,""T(\d+)"")),1),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V131" s="86">
        <f>IFERROR(__xludf.DUMMYFUNCTION("LET(
  monthStart,DATE(VALUE(REGEXEXTRACT(V$1,""\d{4}"")),VALUE(REGEXEXTRACT(V$1,""T(\d+)"")),1),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W131" s="86">
        <f>IFERROR(__xludf.DUMMYFUNCTION("LET(
  monthStart,DATE(VALUE(REGEXEXTRACT(W$1,""\d{4}"")),VALUE(REGEXEXTRACT(W$1,""T(\d+)"")),1),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X131" s="86">
        <f>IFERROR(__xludf.DUMMYFUNCTION("LET(
  monthStart,DATE(VALUE(REGEXEXTRACT(X$1,""\d{4}"")),VALUE(REGEXEXTRACT(X$1,""T(\d+)"")),1),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Y131" s="86">
        <f>IFERROR(__xludf.DUMMYFUNCTION("LET(
  monthStart,DATE(VALUE(REGEXEXTRACT(Y$1,""\d{4}"")),VALUE(REGEXEXTRACT(Y$1,""T(\d+)"")),1),
  monthEnd,EOMONTH(monthStart,0),
  actualStart,MAX($D131,monthStart),
  actualEnd,MIN($E131,monthEnd),
  workingDaysInMonth,NETWORKDAYS(monthStart,monthEnd)"&amp;",
  workingDaysOverlap,IF(actualStart&gt;actualEnd,0,NETWORKDAYS(actualStart,actualEnd)),
  IF(workingDaysOverlap=0,"""",$F131*workingDaysOverlap/workingDaysInMonth)
)"),0.0)</f>
        <v>0</v>
      </c>
      <c r="Z131" s="64"/>
      <c r="AA131" s="64"/>
      <c r="AB131" s="64"/>
      <c r="AC131" s="64"/>
      <c r="AD131" s="64"/>
      <c r="AE131" s="64"/>
      <c r="AF131" s="64"/>
      <c r="AG131" s="64"/>
      <c r="AH131" s="64"/>
      <c r="AI131" s="75"/>
      <c r="AJ131" s="64"/>
      <c r="AK131" s="64"/>
      <c r="AO131" s="64"/>
      <c r="AP131" s="64"/>
      <c r="AQ131" s="64"/>
      <c r="AR131" s="64"/>
      <c r="AS131" s="64"/>
      <c r="AT131" s="64"/>
      <c r="AX131" s="64"/>
      <c r="AY131" s="89"/>
      <c r="AZ131" s="89"/>
      <c r="BA131" s="89"/>
      <c r="BB131" s="90"/>
      <c r="BC131" s="75"/>
      <c r="BD131" s="67"/>
      <c r="BH131" s="64"/>
      <c r="BI131" s="64"/>
      <c r="BJ131" s="64"/>
      <c r="BK131" s="64"/>
      <c r="BL131" s="64"/>
      <c r="BM131" s="64"/>
      <c r="BN131" s="64"/>
    </row>
    <row r="132" ht="30.0" customHeight="1">
      <c r="A132" s="81"/>
      <c r="B132" s="82"/>
      <c r="C132" s="83"/>
      <c r="D132" s="84"/>
      <c r="E132" s="84"/>
      <c r="F132" s="85"/>
      <c r="G132" s="86">
        <f>IFERROR(__xludf.DUMMYFUNCTION("LET(
  monthStart,DATE(VALUE(REGEXEXTRACT(G$1,""\d{4}"")),VALUE(REGEXEXTRACT(G$1,""T(\d+)"")),1),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H132" s="86">
        <f>IFERROR(__xludf.DUMMYFUNCTION("LET(
  monthStart,DATE(VALUE(REGEXEXTRACT(H$1,""\d{4}"")),VALUE(REGEXEXTRACT(H$1,""T(\d+)"")),1),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I132" s="86">
        <f>IFERROR(__xludf.DUMMYFUNCTION("LET(
  monthStart,DATE(VALUE(REGEXEXTRACT(I$1,""\d{4}"")),VALUE(REGEXEXTRACT(I$1,""T(\d+)"")),1),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J132" s="86">
        <f>IFERROR(__xludf.DUMMYFUNCTION("LET(
  monthStart,DATE(VALUE(REGEXEXTRACT(J$1,""\d{4}"")),VALUE(REGEXEXTRACT(J$1,""T(\d+)"")),1),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K132" s="86">
        <f>IFERROR(__xludf.DUMMYFUNCTION("LET(
  monthStart,DATE(VALUE(REGEXEXTRACT(K$1,""\d{4}"")),VALUE(REGEXEXTRACT(K$1,""T(\d+)"")),1),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L132" s="86">
        <f>IFERROR(__xludf.DUMMYFUNCTION("LET(
  monthStart,DATE(VALUE(REGEXEXTRACT(L$1,""\d{4}"")),VALUE(REGEXEXTRACT(L$1,""T(\d+)"")),1),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M132" s="86">
        <f>IFERROR(__xludf.DUMMYFUNCTION("LET(
  monthStart,DATE(VALUE(REGEXEXTRACT(M$1,""\d{4}"")),VALUE(REGEXEXTRACT(M$1,""T(\d+)"")),1),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N132" s="86">
        <f>IFERROR(__xludf.DUMMYFUNCTION("LET(
  monthStart,DATE(VALUE(REGEXEXTRACT(N$1,""\d{4}"")),VALUE(REGEXEXTRACT(N$1,""T(\d+)"")),1),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O132" s="86">
        <f>IFERROR(__xludf.DUMMYFUNCTION("LET(
  monthStart,DATE(VALUE(REGEXEXTRACT(O$1,""\d{4}"")),VALUE(REGEXEXTRACT(O$1,""T(\d+)"")),1),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P132" s="86">
        <f>IFERROR(__xludf.DUMMYFUNCTION("LET(
  monthStart,DATE(VALUE(REGEXEXTRACT(P$1,""\d{4}"")),VALUE(REGEXEXTRACT(P$1,""T(\d+)"")),1),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Q132" s="86">
        <f>IFERROR(__xludf.DUMMYFUNCTION("LET(
  monthStart,DATE(VALUE(REGEXEXTRACT(Q$1,""\d{4}"")),VALUE(REGEXEXTRACT(Q$1,""T(\d+)"")),1),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R132" s="86">
        <f>IFERROR(__xludf.DUMMYFUNCTION("LET(
  monthStart,DATE(VALUE(REGEXEXTRACT(R$1,""\d{4}"")),VALUE(REGEXEXTRACT(R$1,""T(\d+)"")),1),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S132" s="86">
        <f>IFERROR(__xludf.DUMMYFUNCTION("LET(
  monthStart,DATE(VALUE(REGEXEXTRACT(S$1,""\d{4}"")),VALUE(REGEXEXTRACT(S$1,""T(\d+)"")),1),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T132" s="86">
        <f>IFERROR(__xludf.DUMMYFUNCTION("LET(
  monthStart,DATE(VALUE(REGEXEXTRACT(T$1,""\d{4}"")),VALUE(REGEXEXTRACT(T$1,""T(\d+)"")),1),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U132" s="86">
        <f>IFERROR(__xludf.DUMMYFUNCTION("LET(
  monthStart,DATE(VALUE(REGEXEXTRACT(U$1,""\d{4}"")),VALUE(REGEXEXTRACT(U$1,""T(\d+)"")),1),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V132" s="86">
        <f>IFERROR(__xludf.DUMMYFUNCTION("LET(
  monthStart,DATE(VALUE(REGEXEXTRACT(V$1,""\d{4}"")),VALUE(REGEXEXTRACT(V$1,""T(\d+)"")),1),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W132" s="86">
        <f>IFERROR(__xludf.DUMMYFUNCTION("LET(
  monthStart,DATE(VALUE(REGEXEXTRACT(W$1,""\d{4}"")),VALUE(REGEXEXTRACT(W$1,""T(\d+)"")),1),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X132" s="86">
        <f>IFERROR(__xludf.DUMMYFUNCTION("LET(
  monthStart,DATE(VALUE(REGEXEXTRACT(X$1,""\d{4}"")),VALUE(REGEXEXTRACT(X$1,""T(\d+)"")),1),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Y132" s="86">
        <f>IFERROR(__xludf.DUMMYFUNCTION("LET(
  monthStart,DATE(VALUE(REGEXEXTRACT(Y$1,""\d{4}"")),VALUE(REGEXEXTRACT(Y$1,""T(\d+)"")),1),
  monthEnd,EOMONTH(monthStart,0),
  actualStart,MAX($D132,monthStart),
  actualEnd,MIN($E132,monthEnd),
  workingDaysInMonth,NETWORKDAYS(monthStart,monthEnd)"&amp;",
  workingDaysOverlap,IF(actualStart&gt;actualEnd,0,NETWORKDAYS(actualStart,actualEnd)),
  IF(workingDaysOverlap=0,"""",$F132*workingDaysOverlap/workingDaysInMonth)
)"),0.0)</f>
        <v>0</v>
      </c>
      <c r="Z132" s="64"/>
      <c r="AA132" s="64"/>
      <c r="AB132" s="64"/>
      <c r="AC132" s="64"/>
      <c r="AD132" s="64"/>
      <c r="AE132" s="64"/>
      <c r="AF132" s="64"/>
      <c r="AG132" s="64"/>
      <c r="AH132" s="64"/>
      <c r="AI132" s="75"/>
      <c r="AJ132" s="64"/>
      <c r="AK132" s="64"/>
      <c r="AO132" s="64"/>
      <c r="AP132" s="64"/>
      <c r="AQ132" s="64"/>
      <c r="AR132" s="64"/>
      <c r="AS132" s="64"/>
      <c r="AT132" s="64"/>
      <c r="AX132" s="64"/>
      <c r="AY132" s="89"/>
      <c r="AZ132" s="89"/>
      <c r="BA132" s="89"/>
      <c r="BB132" s="90"/>
      <c r="BC132" s="75"/>
      <c r="BD132" s="67"/>
      <c r="BH132" s="64"/>
      <c r="BI132" s="64"/>
      <c r="BJ132" s="64"/>
      <c r="BK132" s="64"/>
      <c r="BL132" s="64"/>
      <c r="BM132" s="64"/>
      <c r="BN132" s="64"/>
    </row>
    <row r="133" ht="30.0" customHeight="1">
      <c r="A133" s="81"/>
      <c r="B133" s="82"/>
      <c r="C133" s="83"/>
      <c r="D133" s="84"/>
      <c r="E133" s="84"/>
      <c r="F133" s="85"/>
      <c r="G133" s="86">
        <f>IFERROR(__xludf.DUMMYFUNCTION("LET(
  monthStart,DATE(VALUE(REGEXEXTRACT(G$1,""\d{4}"")),VALUE(REGEXEXTRACT(G$1,""T(\d+)"")),1),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H133" s="86">
        <f>IFERROR(__xludf.DUMMYFUNCTION("LET(
  monthStart,DATE(VALUE(REGEXEXTRACT(H$1,""\d{4}"")),VALUE(REGEXEXTRACT(H$1,""T(\d+)"")),1),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I133" s="86">
        <f>IFERROR(__xludf.DUMMYFUNCTION("LET(
  monthStart,DATE(VALUE(REGEXEXTRACT(I$1,""\d{4}"")),VALUE(REGEXEXTRACT(I$1,""T(\d+)"")),1),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J133" s="86">
        <f>IFERROR(__xludf.DUMMYFUNCTION("LET(
  monthStart,DATE(VALUE(REGEXEXTRACT(J$1,""\d{4}"")),VALUE(REGEXEXTRACT(J$1,""T(\d+)"")),1),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K133" s="86">
        <f>IFERROR(__xludf.DUMMYFUNCTION("LET(
  monthStart,DATE(VALUE(REGEXEXTRACT(K$1,""\d{4}"")),VALUE(REGEXEXTRACT(K$1,""T(\d+)"")),1),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L133" s="86">
        <f>IFERROR(__xludf.DUMMYFUNCTION("LET(
  monthStart,DATE(VALUE(REGEXEXTRACT(L$1,""\d{4}"")),VALUE(REGEXEXTRACT(L$1,""T(\d+)"")),1),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M133" s="86">
        <f>IFERROR(__xludf.DUMMYFUNCTION("LET(
  monthStart,DATE(VALUE(REGEXEXTRACT(M$1,""\d{4}"")),VALUE(REGEXEXTRACT(M$1,""T(\d+)"")),1),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N133" s="86">
        <f>IFERROR(__xludf.DUMMYFUNCTION("LET(
  monthStart,DATE(VALUE(REGEXEXTRACT(N$1,""\d{4}"")),VALUE(REGEXEXTRACT(N$1,""T(\d+)"")),1),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O133" s="86">
        <f>IFERROR(__xludf.DUMMYFUNCTION("LET(
  monthStart,DATE(VALUE(REGEXEXTRACT(O$1,""\d{4}"")),VALUE(REGEXEXTRACT(O$1,""T(\d+)"")),1),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P133" s="86">
        <f>IFERROR(__xludf.DUMMYFUNCTION("LET(
  monthStart,DATE(VALUE(REGEXEXTRACT(P$1,""\d{4}"")),VALUE(REGEXEXTRACT(P$1,""T(\d+)"")),1),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Q133" s="86">
        <f>IFERROR(__xludf.DUMMYFUNCTION("LET(
  monthStart,DATE(VALUE(REGEXEXTRACT(Q$1,""\d{4}"")),VALUE(REGEXEXTRACT(Q$1,""T(\d+)"")),1),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R133" s="86">
        <f>IFERROR(__xludf.DUMMYFUNCTION("LET(
  monthStart,DATE(VALUE(REGEXEXTRACT(R$1,""\d{4}"")),VALUE(REGEXEXTRACT(R$1,""T(\d+)"")),1),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S133" s="86">
        <f>IFERROR(__xludf.DUMMYFUNCTION("LET(
  monthStart,DATE(VALUE(REGEXEXTRACT(S$1,""\d{4}"")),VALUE(REGEXEXTRACT(S$1,""T(\d+)"")),1),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T133" s="86">
        <f>IFERROR(__xludf.DUMMYFUNCTION("LET(
  monthStart,DATE(VALUE(REGEXEXTRACT(T$1,""\d{4}"")),VALUE(REGEXEXTRACT(T$1,""T(\d+)"")),1),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U133" s="86">
        <f>IFERROR(__xludf.DUMMYFUNCTION("LET(
  monthStart,DATE(VALUE(REGEXEXTRACT(U$1,""\d{4}"")),VALUE(REGEXEXTRACT(U$1,""T(\d+)"")),1),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V133" s="86">
        <f>IFERROR(__xludf.DUMMYFUNCTION("LET(
  monthStart,DATE(VALUE(REGEXEXTRACT(V$1,""\d{4}"")),VALUE(REGEXEXTRACT(V$1,""T(\d+)"")),1),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W133" s="86">
        <f>IFERROR(__xludf.DUMMYFUNCTION("LET(
  monthStart,DATE(VALUE(REGEXEXTRACT(W$1,""\d{4}"")),VALUE(REGEXEXTRACT(W$1,""T(\d+)"")),1),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X133" s="86">
        <f>IFERROR(__xludf.DUMMYFUNCTION("LET(
  monthStart,DATE(VALUE(REGEXEXTRACT(X$1,""\d{4}"")),VALUE(REGEXEXTRACT(X$1,""T(\d+)"")),1),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Y133" s="86">
        <f>IFERROR(__xludf.DUMMYFUNCTION("LET(
  monthStart,DATE(VALUE(REGEXEXTRACT(Y$1,""\d{4}"")),VALUE(REGEXEXTRACT(Y$1,""T(\d+)"")),1),
  monthEnd,EOMONTH(monthStart,0),
  actualStart,MAX($D133,monthStart),
  actualEnd,MIN($E133,monthEnd),
  workingDaysInMonth,NETWORKDAYS(monthStart,monthEnd)"&amp;",
  workingDaysOverlap,IF(actualStart&gt;actualEnd,0,NETWORKDAYS(actualStart,actualEnd)),
  IF(workingDaysOverlap=0,"""",$F133*workingDaysOverlap/workingDaysInMonth)
)"),0.0)</f>
        <v>0</v>
      </c>
      <c r="Z133" s="64"/>
      <c r="AA133" s="64"/>
      <c r="AB133" s="64"/>
      <c r="AC133" s="64"/>
      <c r="AD133" s="64"/>
      <c r="AE133" s="64"/>
      <c r="AF133" s="64"/>
      <c r="AG133" s="64"/>
      <c r="AH133" s="64"/>
      <c r="AI133" s="75"/>
      <c r="AJ133" s="64"/>
      <c r="AK133" s="64"/>
      <c r="AO133" s="64"/>
      <c r="AP133" s="64"/>
      <c r="AQ133" s="64"/>
      <c r="AR133" s="64"/>
      <c r="AS133" s="64"/>
      <c r="AT133" s="64"/>
      <c r="AX133" s="64"/>
      <c r="AY133" s="89"/>
      <c r="AZ133" s="89"/>
      <c r="BA133" s="89"/>
      <c r="BB133" s="90"/>
      <c r="BC133" s="75"/>
      <c r="BD133" s="67"/>
      <c r="BH133" s="64"/>
      <c r="BI133" s="64"/>
      <c r="BJ133" s="64"/>
      <c r="BK133" s="64"/>
      <c r="BL133" s="64"/>
      <c r="BM133" s="64"/>
      <c r="BN133" s="64"/>
    </row>
    <row r="134" ht="30.0" customHeight="1">
      <c r="A134" s="81"/>
      <c r="B134" s="82"/>
      <c r="C134" s="83"/>
      <c r="D134" s="84"/>
      <c r="E134" s="84"/>
      <c r="F134" s="85"/>
      <c r="G134" s="86">
        <f>IFERROR(__xludf.DUMMYFUNCTION("LET(
  monthStart,DATE(VALUE(REGEXEXTRACT(G$1,""\d{4}"")),VALUE(REGEXEXTRACT(G$1,""T(\d+)"")),1),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H134" s="86">
        <f>IFERROR(__xludf.DUMMYFUNCTION("LET(
  monthStart,DATE(VALUE(REGEXEXTRACT(H$1,""\d{4}"")),VALUE(REGEXEXTRACT(H$1,""T(\d+)"")),1),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I134" s="86">
        <f>IFERROR(__xludf.DUMMYFUNCTION("LET(
  monthStart,DATE(VALUE(REGEXEXTRACT(I$1,""\d{4}"")),VALUE(REGEXEXTRACT(I$1,""T(\d+)"")),1),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J134" s="86">
        <f>IFERROR(__xludf.DUMMYFUNCTION("LET(
  monthStart,DATE(VALUE(REGEXEXTRACT(J$1,""\d{4}"")),VALUE(REGEXEXTRACT(J$1,""T(\d+)"")),1),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K134" s="86">
        <f>IFERROR(__xludf.DUMMYFUNCTION("LET(
  monthStart,DATE(VALUE(REGEXEXTRACT(K$1,""\d{4}"")),VALUE(REGEXEXTRACT(K$1,""T(\d+)"")),1),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L134" s="86">
        <f>IFERROR(__xludf.DUMMYFUNCTION("LET(
  monthStart,DATE(VALUE(REGEXEXTRACT(L$1,""\d{4}"")),VALUE(REGEXEXTRACT(L$1,""T(\d+)"")),1),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M134" s="86">
        <f>IFERROR(__xludf.DUMMYFUNCTION("LET(
  monthStart,DATE(VALUE(REGEXEXTRACT(M$1,""\d{4}"")),VALUE(REGEXEXTRACT(M$1,""T(\d+)"")),1),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N134" s="86">
        <f>IFERROR(__xludf.DUMMYFUNCTION("LET(
  monthStart,DATE(VALUE(REGEXEXTRACT(N$1,""\d{4}"")),VALUE(REGEXEXTRACT(N$1,""T(\d+)"")),1),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O134" s="86">
        <f>IFERROR(__xludf.DUMMYFUNCTION("LET(
  monthStart,DATE(VALUE(REGEXEXTRACT(O$1,""\d{4}"")),VALUE(REGEXEXTRACT(O$1,""T(\d+)"")),1),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P134" s="86">
        <f>IFERROR(__xludf.DUMMYFUNCTION("LET(
  monthStart,DATE(VALUE(REGEXEXTRACT(P$1,""\d{4}"")),VALUE(REGEXEXTRACT(P$1,""T(\d+)"")),1),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Q134" s="86">
        <f>IFERROR(__xludf.DUMMYFUNCTION("LET(
  monthStart,DATE(VALUE(REGEXEXTRACT(Q$1,""\d{4}"")),VALUE(REGEXEXTRACT(Q$1,""T(\d+)"")),1),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R134" s="86">
        <f>IFERROR(__xludf.DUMMYFUNCTION("LET(
  monthStart,DATE(VALUE(REGEXEXTRACT(R$1,""\d{4}"")),VALUE(REGEXEXTRACT(R$1,""T(\d+)"")),1),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S134" s="86">
        <f>IFERROR(__xludf.DUMMYFUNCTION("LET(
  monthStart,DATE(VALUE(REGEXEXTRACT(S$1,""\d{4}"")),VALUE(REGEXEXTRACT(S$1,""T(\d+)"")),1),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T134" s="86">
        <f>IFERROR(__xludf.DUMMYFUNCTION("LET(
  monthStart,DATE(VALUE(REGEXEXTRACT(T$1,""\d{4}"")),VALUE(REGEXEXTRACT(T$1,""T(\d+)"")),1),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U134" s="86">
        <f>IFERROR(__xludf.DUMMYFUNCTION("LET(
  monthStart,DATE(VALUE(REGEXEXTRACT(U$1,""\d{4}"")),VALUE(REGEXEXTRACT(U$1,""T(\d+)"")),1),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V134" s="86">
        <f>IFERROR(__xludf.DUMMYFUNCTION("LET(
  monthStart,DATE(VALUE(REGEXEXTRACT(V$1,""\d{4}"")),VALUE(REGEXEXTRACT(V$1,""T(\d+)"")),1),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W134" s="86">
        <f>IFERROR(__xludf.DUMMYFUNCTION("LET(
  monthStart,DATE(VALUE(REGEXEXTRACT(W$1,""\d{4}"")),VALUE(REGEXEXTRACT(W$1,""T(\d+)"")),1),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X134" s="86">
        <f>IFERROR(__xludf.DUMMYFUNCTION("LET(
  monthStart,DATE(VALUE(REGEXEXTRACT(X$1,""\d{4}"")),VALUE(REGEXEXTRACT(X$1,""T(\d+)"")),1),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Y134" s="86">
        <f>IFERROR(__xludf.DUMMYFUNCTION("LET(
  monthStart,DATE(VALUE(REGEXEXTRACT(Y$1,""\d{4}"")),VALUE(REGEXEXTRACT(Y$1,""T(\d+)"")),1),
  monthEnd,EOMONTH(monthStart,0),
  actualStart,MAX($D134,monthStart),
  actualEnd,MIN($E134,monthEnd),
  workingDaysInMonth,NETWORKDAYS(monthStart,monthEnd)"&amp;",
  workingDaysOverlap,IF(actualStart&gt;actualEnd,0,NETWORKDAYS(actualStart,actualEnd)),
  IF(workingDaysOverlap=0,"""",$F134*workingDaysOverlap/workingDaysInMonth)
)"),0.0)</f>
        <v>0</v>
      </c>
      <c r="Z134" s="64"/>
      <c r="AA134" s="64"/>
      <c r="AB134" s="64"/>
      <c r="AC134" s="64"/>
      <c r="AD134" s="64"/>
      <c r="AE134" s="64"/>
      <c r="AF134" s="64"/>
      <c r="AG134" s="64"/>
      <c r="AH134" s="64"/>
      <c r="AI134" s="75"/>
      <c r="AJ134" s="64"/>
      <c r="AK134" s="64"/>
      <c r="AO134" s="64"/>
      <c r="AP134" s="64"/>
      <c r="AQ134" s="64"/>
      <c r="AR134" s="64"/>
      <c r="AS134" s="64"/>
      <c r="AT134" s="64"/>
      <c r="AX134" s="64"/>
      <c r="AY134" s="89"/>
      <c r="AZ134" s="89"/>
      <c r="BA134" s="89"/>
      <c r="BB134" s="90"/>
      <c r="BC134" s="75"/>
      <c r="BD134" s="67"/>
      <c r="BH134" s="64"/>
      <c r="BI134" s="64"/>
      <c r="BJ134" s="64"/>
      <c r="BK134" s="64"/>
      <c r="BL134" s="64"/>
      <c r="BM134" s="64"/>
      <c r="BN134" s="64"/>
    </row>
    <row r="135" ht="30.0" customHeight="1">
      <c r="A135" s="81"/>
      <c r="B135" s="82"/>
      <c r="C135" s="83"/>
      <c r="D135" s="84"/>
      <c r="E135" s="84"/>
      <c r="F135" s="85"/>
      <c r="G135" s="86">
        <f>IFERROR(__xludf.DUMMYFUNCTION("LET(
  monthStart,DATE(VALUE(REGEXEXTRACT(G$1,""\d{4}"")),VALUE(REGEXEXTRACT(G$1,""T(\d+)"")),1),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H135" s="86">
        <f>IFERROR(__xludf.DUMMYFUNCTION("LET(
  monthStart,DATE(VALUE(REGEXEXTRACT(H$1,""\d{4}"")),VALUE(REGEXEXTRACT(H$1,""T(\d+)"")),1),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I135" s="86">
        <f>IFERROR(__xludf.DUMMYFUNCTION("LET(
  monthStart,DATE(VALUE(REGEXEXTRACT(I$1,""\d{4}"")),VALUE(REGEXEXTRACT(I$1,""T(\d+)"")),1),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J135" s="86">
        <f>IFERROR(__xludf.DUMMYFUNCTION("LET(
  monthStart,DATE(VALUE(REGEXEXTRACT(J$1,""\d{4}"")),VALUE(REGEXEXTRACT(J$1,""T(\d+)"")),1),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K135" s="86">
        <f>IFERROR(__xludf.DUMMYFUNCTION("LET(
  monthStart,DATE(VALUE(REGEXEXTRACT(K$1,""\d{4}"")),VALUE(REGEXEXTRACT(K$1,""T(\d+)"")),1),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L135" s="86">
        <f>IFERROR(__xludf.DUMMYFUNCTION("LET(
  monthStart,DATE(VALUE(REGEXEXTRACT(L$1,""\d{4}"")),VALUE(REGEXEXTRACT(L$1,""T(\d+)"")),1),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M135" s="86">
        <f>IFERROR(__xludf.DUMMYFUNCTION("LET(
  monthStart,DATE(VALUE(REGEXEXTRACT(M$1,""\d{4}"")),VALUE(REGEXEXTRACT(M$1,""T(\d+)"")),1),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N135" s="86">
        <f>IFERROR(__xludf.DUMMYFUNCTION("LET(
  monthStart,DATE(VALUE(REGEXEXTRACT(N$1,""\d{4}"")),VALUE(REGEXEXTRACT(N$1,""T(\d+)"")),1),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O135" s="86">
        <f>IFERROR(__xludf.DUMMYFUNCTION("LET(
  monthStart,DATE(VALUE(REGEXEXTRACT(O$1,""\d{4}"")),VALUE(REGEXEXTRACT(O$1,""T(\d+)"")),1),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P135" s="86">
        <f>IFERROR(__xludf.DUMMYFUNCTION("LET(
  monthStart,DATE(VALUE(REGEXEXTRACT(P$1,""\d{4}"")),VALUE(REGEXEXTRACT(P$1,""T(\d+)"")),1),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Q135" s="86">
        <f>IFERROR(__xludf.DUMMYFUNCTION("LET(
  monthStart,DATE(VALUE(REGEXEXTRACT(Q$1,""\d{4}"")),VALUE(REGEXEXTRACT(Q$1,""T(\d+)"")),1),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R135" s="86">
        <f>IFERROR(__xludf.DUMMYFUNCTION("LET(
  monthStart,DATE(VALUE(REGEXEXTRACT(R$1,""\d{4}"")),VALUE(REGEXEXTRACT(R$1,""T(\d+)"")),1),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S135" s="86">
        <f>IFERROR(__xludf.DUMMYFUNCTION("LET(
  monthStart,DATE(VALUE(REGEXEXTRACT(S$1,""\d{4}"")),VALUE(REGEXEXTRACT(S$1,""T(\d+)"")),1),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T135" s="86">
        <f>IFERROR(__xludf.DUMMYFUNCTION("LET(
  monthStart,DATE(VALUE(REGEXEXTRACT(T$1,""\d{4}"")),VALUE(REGEXEXTRACT(T$1,""T(\d+)"")),1),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U135" s="86">
        <f>IFERROR(__xludf.DUMMYFUNCTION("LET(
  monthStart,DATE(VALUE(REGEXEXTRACT(U$1,""\d{4}"")),VALUE(REGEXEXTRACT(U$1,""T(\d+)"")),1),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V135" s="86">
        <f>IFERROR(__xludf.DUMMYFUNCTION("LET(
  monthStart,DATE(VALUE(REGEXEXTRACT(V$1,""\d{4}"")),VALUE(REGEXEXTRACT(V$1,""T(\d+)"")),1),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W135" s="86">
        <f>IFERROR(__xludf.DUMMYFUNCTION("LET(
  monthStart,DATE(VALUE(REGEXEXTRACT(W$1,""\d{4}"")),VALUE(REGEXEXTRACT(W$1,""T(\d+)"")),1),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X135" s="86">
        <f>IFERROR(__xludf.DUMMYFUNCTION("LET(
  monthStart,DATE(VALUE(REGEXEXTRACT(X$1,""\d{4}"")),VALUE(REGEXEXTRACT(X$1,""T(\d+)"")),1),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Y135" s="86">
        <f>IFERROR(__xludf.DUMMYFUNCTION("LET(
  monthStart,DATE(VALUE(REGEXEXTRACT(Y$1,""\d{4}"")),VALUE(REGEXEXTRACT(Y$1,""T(\d+)"")),1),
  monthEnd,EOMONTH(monthStart,0),
  actualStart,MAX($D135,monthStart),
  actualEnd,MIN($E135,monthEnd),
  workingDaysInMonth,NETWORKDAYS(monthStart,monthEnd)"&amp;",
  workingDaysOverlap,IF(actualStart&gt;actualEnd,0,NETWORKDAYS(actualStart,actualEnd)),
  IF(workingDaysOverlap=0,"""",$F135*workingDaysOverlap/workingDaysInMonth)
)"),0.0)</f>
        <v>0</v>
      </c>
      <c r="Z135" s="64"/>
      <c r="AA135" s="64"/>
      <c r="AB135" s="64"/>
      <c r="AC135" s="64"/>
      <c r="AD135" s="64"/>
      <c r="AE135" s="64"/>
      <c r="AF135" s="64"/>
      <c r="AG135" s="64"/>
      <c r="AH135" s="64"/>
      <c r="AI135" s="75"/>
      <c r="AJ135" s="64"/>
      <c r="AK135" s="64"/>
      <c r="AO135" s="64"/>
      <c r="AP135" s="64"/>
      <c r="AQ135" s="64"/>
      <c r="AR135" s="64"/>
      <c r="AS135" s="64"/>
      <c r="AT135" s="64"/>
      <c r="AX135" s="64"/>
      <c r="AY135" s="65"/>
      <c r="AZ135" s="89"/>
      <c r="BA135" s="89"/>
      <c r="BB135" s="90"/>
      <c r="BC135" s="75"/>
      <c r="BD135" s="67"/>
      <c r="BH135" s="64"/>
      <c r="BI135" s="64"/>
      <c r="BJ135" s="64"/>
      <c r="BK135" s="64"/>
      <c r="BL135" s="64"/>
      <c r="BM135" s="64"/>
      <c r="BN135" s="64"/>
    </row>
    <row r="136" ht="30.0" customHeight="1">
      <c r="A136" s="81"/>
      <c r="B136" s="82"/>
      <c r="C136" s="83"/>
      <c r="D136" s="84"/>
      <c r="E136" s="84"/>
      <c r="F136" s="85"/>
      <c r="G136" s="86">
        <f>IFERROR(__xludf.DUMMYFUNCTION("LET(
  monthStart,DATE(VALUE(REGEXEXTRACT(G$1,""\d{4}"")),VALUE(REGEXEXTRACT(G$1,""T(\d+)"")),1),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H136" s="86">
        <f>IFERROR(__xludf.DUMMYFUNCTION("LET(
  monthStart,DATE(VALUE(REGEXEXTRACT(H$1,""\d{4}"")),VALUE(REGEXEXTRACT(H$1,""T(\d+)"")),1),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I136" s="86">
        <f>IFERROR(__xludf.DUMMYFUNCTION("LET(
  monthStart,DATE(VALUE(REGEXEXTRACT(I$1,""\d{4}"")),VALUE(REGEXEXTRACT(I$1,""T(\d+)"")),1),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J136" s="86">
        <f>IFERROR(__xludf.DUMMYFUNCTION("LET(
  monthStart,DATE(VALUE(REGEXEXTRACT(J$1,""\d{4}"")),VALUE(REGEXEXTRACT(J$1,""T(\d+)"")),1),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K136" s="86">
        <f>IFERROR(__xludf.DUMMYFUNCTION("LET(
  monthStart,DATE(VALUE(REGEXEXTRACT(K$1,""\d{4}"")),VALUE(REGEXEXTRACT(K$1,""T(\d+)"")),1),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L136" s="86">
        <f>IFERROR(__xludf.DUMMYFUNCTION("LET(
  monthStart,DATE(VALUE(REGEXEXTRACT(L$1,""\d{4}"")),VALUE(REGEXEXTRACT(L$1,""T(\d+)"")),1),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M136" s="86">
        <f>IFERROR(__xludf.DUMMYFUNCTION("LET(
  monthStart,DATE(VALUE(REGEXEXTRACT(M$1,""\d{4}"")),VALUE(REGEXEXTRACT(M$1,""T(\d+)"")),1),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N136" s="86">
        <f>IFERROR(__xludf.DUMMYFUNCTION("LET(
  monthStart,DATE(VALUE(REGEXEXTRACT(N$1,""\d{4}"")),VALUE(REGEXEXTRACT(N$1,""T(\d+)"")),1),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O136" s="86">
        <f>IFERROR(__xludf.DUMMYFUNCTION("LET(
  monthStart,DATE(VALUE(REGEXEXTRACT(O$1,""\d{4}"")),VALUE(REGEXEXTRACT(O$1,""T(\d+)"")),1),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P136" s="86">
        <f>IFERROR(__xludf.DUMMYFUNCTION("LET(
  monthStart,DATE(VALUE(REGEXEXTRACT(P$1,""\d{4}"")),VALUE(REGEXEXTRACT(P$1,""T(\d+)"")),1),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Q136" s="86">
        <f>IFERROR(__xludf.DUMMYFUNCTION("LET(
  monthStart,DATE(VALUE(REGEXEXTRACT(Q$1,""\d{4}"")),VALUE(REGEXEXTRACT(Q$1,""T(\d+)"")),1),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R136" s="86">
        <f>IFERROR(__xludf.DUMMYFUNCTION("LET(
  monthStart,DATE(VALUE(REGEXEXTRACT(R$1,""\d{4}"")),VALUE(REGEXEXTRACT(R$1,""T(\d+)"")),1),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S136" s="86">
        <f>IFERROR(__xludf.DUMMYFUNCTION("LET(
  monthStart,DATE(VALUE(REGEXEXTRACT(S$1,""\d{4}"")),VALUE(REGEXEXTRACT(S$1,""T(\d+)"")),1),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T136" s="86">
        <f>IFERROR(__xludf.DUMMYFUNCTION("LET(
  monthStart,DATE(VALUE(REGEXEXTRACT(T$1,""\d{4}"")),VALUE(REGEXEXTRACT(T$1,""T(\d+)"")),1),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U136" s="86">
        <f>IFERROR(__xludf.DUMMYFUNCTION("LET(
  monthStart,DATE(VALUE(REGEXEXTRACT(U$1,""\d{4}"")),VALUE(REGEXEXTRACT(U$1,""T(\d+)"")),1),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V136" s="86">
        <f>IFERROR(__xludf.DUMMYFUNCTION("LET(
  monthStart,DATE(VALUE(REGEXEXTRACT(V$1,""\d{4}"")),VALUE(REGEXEXTRACT(V$1,""T(\d+)"")),1),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W136" s="86">
        <f>IFERROR(__xludf.DUMMYFUNCTION("LET(
  monthStart,DATE(VALUE(REGEXEXTRACT(W$1,""\d{4}"")),VALUE(REGEXEXTRACT(W$1,""T(\d+)"")),1),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X136" s="86">
        <f>IFERROR(__xludf.DUMMYFUNCTION("LET(
  monthStart,DATE(VALUE(REGEXEXTRACT(X$1,""\d{4}"")),VALUE(REGEXEXTRACT(X$1,""T(\d+)"")),1),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Y136" s="86">
        <f>IFERROR(__xludf.DUMMYFUNCTION("LET(
  monthStart,DATE(VALUE(REGEXEXTRACT(Y$1,""\d{4}"")),VALUE(REGEXEXTRACT(Y$1,""T(\d+)"")),1),
  monthEnd,EOMONTH(monthStart,0),
  actualStart,MAX($D136,monthStart),
  actualEnd,MIN($E136,monthEnd),
  workingDaysInMonth,NETWORKDAYS(monthStart,monthEnd)"&amp;",
  workingDaysOverlap,IF(actualStart&gt;actualEnd,0,NETWORKDAYS(actualStart,actualEnd)),
  IF(workingDaysOverlap=0,"""",$F136*workingDaysOverlap/workingDaysInMonth)
)"),0.0)</f>
        <v>0</v>
      </c>
      <c r="Z136" s="64"/>
      <c r="AA136" s="64"/>
      <c r="AB136" s="64"/>
      <c r="AC136" s="64"/>
      <c r="AD136" s="64"/>
      <c r="AE136" s="64"/>
      <c r="AF136" s="64"/>
      <c r="AG136" s="64"/>
      <c r="AH136" s="64"/>
      <c r="AI136" s="75"/>
      <c r="AJ136" s="64"/>
      <c r="AK136" s="64"/>
      <c r="AO136" s="64"/>
      <c r="AP136" s="64"/>
      <c r="AQ136" s="64"/>
      <c r="AR136" s="64"/>
      <c r="AS136" s="64"/>
      <c r="AT136" s="64"/>
      <c r="AX136" s="64"/>
      <c r="AY136" s="65"/>
      <c r="AZ136" s="89"/>
      <c r="BA136" s="89"/>
      <c r="BB136" s="90"/>
      <c r="BC136" s="75"/>
      <c r="BD136" s="67"/>
      <c r="BH136" s="64"/>
      <c r="BI136" s="64"/>
      <c r="BJ136" s="64"/>
      <c r="BK136" s="64"/>
      <c r="BL136" s="64"/>
      <c r="BM136" s="64"/>
      <c r="BN136" s="64"/>
    </row>
    <row r="137" ht="30.0" customHeight="1">
      <c r="A137" s="81"/>
      <c r="B137" s="82"/>
      <c r="C137" s="83"/>
      <c r="D137" s="84"/>
      <c r="E137" s="84"/>
      <c r="F137" s="85"/>
      <c r="G137" s="86">
        <f>IFERROR(__xludf.DUMMYFUNCTION("LET(
  monthStart,DATE(VALUE(REGEXEXTRACT(G$1,""\d{4}"")),VALUE(REGEXEXTRACT(G$1,""T(\d+)"")),1),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H137" s="86">
        <f>IFERROR(__xludf.DUMMYFUNCTION("LET(
  monthStart,DATE(VALUE(REGEXEXTRACT(H$1,""\d{4}"")),VALUE(REGEXEXTRACT(H$1,""T(\d+)"")),1),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I137" s="86">
        <f>IFERROR(__xludf.DUMMYFUNCTION("LET(
  monthStart,DATE(VALUE(REGEXEXTRACT(I$1,""\d{4}"")),VALUE(REGEXEXTRACT(I$1,""T(\d+)"")),1),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J137" s="86">
        <f>IFERROR(__xludf.DUMMYFUNCTION("LET(
  monthStart,DATE(VALUE(REGEXEXTRACT(J$1,""\d{4}"")),VALUE(REGEXEXTRACT(J$1,""T(\d+)"")),1),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K137" s="86">
        <f>IFERROR(__xludf.DUMMYFUNCTION("LET(
  monthStart,DATE(VALUE(REGEXEXTRACT(K$1,""\d{4}"")),VALUE(REGEXEXTRACT(K$1,""T(\d+)"")),1),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L137" s="86">
        <f>IFERROR(__xludf.DUMMYFUNCTION("LET(
  monthStart,DATE(VALUE(REGEXEXTRACT(L$1,""\d{4}"")),VALUE(REGEXEXTRACT(L$1,""T(\d+)"")),1),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M137" s="86">
        <f>IFERROR(__xludf.DUMMYFUNCTION("LET(
  monthStart,DATE(VALUE(REGEXEXTRACT(M$1,""\d{4}"")),VALUE(REGEXEXTRACT(M$1,""T(\d+)"")),1),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N137" s="86">
        <f>IFERROR(__xludf.DUMMYFUNCTION("LET(
  monthStart,DATE(VALUE(REGEXEXTRACT(N$1,""\d{4}"")),VALUE(REGEXEXTRACT(N$1,""T(\d+)"")),1),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O137" s="86">
        <f>IFERROR(__xludf.DUMMYFUNCTION("LET(
  monthStart,DATE(VALUE(REGEXEXTRACT(O$1,""\d{4}"")),VALUE(REGEXEXTRACT(O$1,""T(\d+)"")),1),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P137" s="86">
        <f>IFERROR(__xludf.DUMMYFUNCTION("LET(
  monthStart,DATE(VALUE(REGEXEXTRACT(P$1,""\d{4}"")),VALUE(REGEXEXTRACT(P$1,""T(\d+)"")),1),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Q137" s="86">
        <f>IFERROR(__xludf.DUMMYFUNCTION("LET(
  monthStart,DATE(VALUE(REGEXEXTRACT(Q$1,""\d{4}"")),VALUE(REGEXEXTRACT(Q$1,""T(\d+)"")),1),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R137" s="86">
        <f>IFERROR(__xludf.DUMMYFUNCTION("LET(
  monthStart,DATE(VALUE(REGEXEXTRACT(R$1,""\d{4}"")),VALUE(REGEXEXTRACT(R$1,""T(\d+)"")),1),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S137" s="86">
        <f>IFERROR(__xludf.DUMMYFUNCTION("LET(
  monthStart,DATE(VALUE(REGEXEXTRACT(S$1,""\d{4}"")),VALUE(REGEXEXTRACT(S$1,""T(\d+)"")),1),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T137" s="86">
        <f>IFERROR(__xludf.DUMMYFUNCTION("LET(
  monthStart,DATE(VALUE(REGEXEXTRACT(T$1,""\d{4}"")),VALUE(REGEXEXTRACT(T$1,""T(\d+)"")),1),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U137" s="86">
        <f>IFERROR(__xludf.DUMMYFUNCTION("LET(
  monthStart,DATE(VALUE(REGEXEXTRACT(U$1,""\d{4}"")),VALUE(REGEXEXTRACT(U$1,""T(\d+)"")),1),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V137" s="86">
        <f>IFERROR(__xludf.DUMMYFUNCTION("LET(
  monthStart,DATE(VALUE(REGEXEXTRACT(V$1,""\d{4}"")),VALUE(REGEXEXTRACT(V$1,""T(\d+)"")),1),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W137" s="86">
        <f>IFERROR(__xludf.DUMMYFUNCTION("LET(
  monthStart,DATE(VALUE(REGEXEXTRACT(W$1,""\d{4}"")),VALUE(REGEXEXTRACT(W$1,""T(\d+)"")),1),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X137" s="86">
        <f>IFERROR(__xludf.DUMMYFUNCTION("LET(
  monthStart,DATE(VALUE(REGEXEXTRACT(X$1,""\d{4}"")),VALUE(REGEXEXTRACT(X$1,""T(\d+)"")),1),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Y137" s="86">
        <f>IFERROR(__xludf.DUMMYFUNCTION("LET(
  monthStart,DATE(VALUE(REGEXEXTRACT(Y$1,""\d{4}"")),VALUE(REGEXEXTRACT(Y$1,""T(\d+)"")),1),
  monthEnd,EOMONTH(monthStart,0),
  actualStart,MAX($D137,monthStart),
  actualEnd,MIN($E137,monthEnd),
  workingDaysInMonth,NETWORKDAYS(monthStart,monthEnd)"&amp;",
  workingDaysOverlap,IF(actualStart&gt;actualEnd,0,NETWORKDAYS(actualStart,actualEnd)),
  IF(workingDaysOverlap=0,"""",$F137*workingDaysOverlap/workingDaysInMonth)
)"),0.0)</f>
        <v>0</v>
      </c>
      <c r="Z137" s="64"/>
      <c r="AA137" s="64"/>
      <c r="AB137" s="64"/>
      <c r="AC137" s="64"/>
      <c r="AD137" s="64"/>
      <c r="AE137" s="64"/>
      <c r="AF137" s="64"/>
      <c r="AG137" s="64"/>
      <c r="AH137" s="64"/>
      <c r="AI137" s="75"/>
      <c r="AJ137" s="64"/>
      <c r="AK137" s="64"/>
      <c r="AO137" s="64"/>
      <c r="AP137" s="64"/>
      <c r="AQ137" s="64"/>
      <c r="AR137" s="64"/>
      <c r="AS137" s="64"/>
      <c r="AT137" s="64"/>
      <c r="AX137" s="64"/>
      <c r="AY137" s="65"/>
      <c r="AZ137" s="89"/>
      <c r="BA137" s="89"/>
      <c r="BB137" s="90"/>
      <c r="BC137" s="75"/>
      <c r="BD137" s="67"/>
      <c r="BH137" s="64"/>
      <c r="BI137" s="64"/>
      <c r="BJ137" s="64"/>
      <c r="BK137" s="64"/>
      <c r="BL137" s="64"/>
      <c r="BM137" s="64"/>
      <c r="BN137" s="64"/>
    </row>
    <row r="138" ht="30.0" customHeight="1">
      <c r="A138" s="81"/>
      <c r="B138" s="82"/>
      <c r="C138" s="83"/>
      <c r="D138" s="84"/>
      <c r="E138" s="84"/>
      <c r="F138" s="85"/>
      <c r="G138" s="86">
        <f>IFERROR(__xludf.DUMMYFUNCTION("LET(
  monthStart,DATE(VALUE(REGEXEXTRACT(G$1,""\d{4}"")),VALUE(REGEXEXTRACT(G$1,""T(\d+)"")),1),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H138" s="86">
        <f>IFERROR(__xludf.DUMMYFUNCTION("LET(
  monthStart,DATE(VALUE(REGEXEXTRACT(H$1,""\d{4}"")),VALUE(REGEXEXTRACT(H$1,""T(\d+)"")),1),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I138" s="86">
        <f>IFERROR(__xludf.DUMMYFUNCTION("LET(
  monthStart,DATE(VALUE(REGEXEXTRACT(I$1,""\d{4}"")),VALUE(REGEXEXTRACT(I$1,""T(\d+)"")),1),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J138" s="86">
        <f>IFERROR(__xludf.DUMMYFUNCTION("LET(
  monthStart,DATE(VALUE(REGEXEXTRACT(J$1,""\d{4}"")),VALUE(REGEXEXTRACT(J$1,""T(\d+)"")),1),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K138" s="86">
        <f>IFERROR(__xludf.DUMMYFUNCTION("LET(
  monthStart,DATE(VALUE(REGEXEXTRACT(K$1,""\d{4}"")),VALUE(REGEXEXTRACT(K$1,""T(\d+)"")),1),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L138" s="86">
        <f>IFERROR(__xludf.DUMMYFUNCTION("LET(
  monthStart,DATE(VALUE(REGEXEXTRACT(L$1,""\d{4}"")),VALUE(REGEXEXTRACT(L$1,""T(\d+)"")),1),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M138" s="86">
        <f>IFERROR(__xludf.DUMMYFUNCTION("LET(
  monthStart,DATE(VALUE(REGEXEXTRACT(M$1,""\d{4}"")),VALUE(REGEXEXTRACT(M$1,""T(\d+)"")),1),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N138" s="86">
        <f>IFERROR(__xludf.DUMMYFUNCTION("LET(
  monthStart,DATE(VALUE(REGEXEXTRACT(N$1,""\d{4}"")),VALUE(REGEXEXTRACT(N$1,""T(\d+)"")),1),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O138" s="86">
        <f>IFERROR(__xludf.DUMMYFUNCTION("LET(
  monthStart,DATE(VALUE(REGEXEXTRACT(O$1,""\d{4}"")),VALUE(REGEXEXTRACT(O$1,""T(\d+)"")),1),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P138" s="86">
        <f>IFERROR(__xludf.DUMMYFUNCTION("LET(
  monthStart,DATE(VALUE(REGEXEXTRACT(P$1,""\d{4}"")),VALUE(REGEXEXTRACT(P$1,""T(\d+)"")),1),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Q138" s="86">
        <f>IFERROR(__xludf.DUMMYFUNCTION("LET(
  monthStart,DATE(VALUE(REGEXEXTRACT(Q$1,""\d{4}"")),VALUE(REGEXEXTRACT(Q$1,""T(\d+)"")),1),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R138" s="86">
        <f>IFERROR(__xludf.DUMMYFUNCTION("LET(
  monthStart,DATE(VALUE(REGEXEXTRACT(R$1,""\d{4}"")),VALUE(REGEXEXTRACT(R$1,""T(\d+)"")),1),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S138" s="86">
        <f>IFERROR(__xludf.DUMMYFUNCTION("LET(
  monthStart,DATE(VALUE(REGEXEXTRACT(S$1,""\d{4}"")),VALUE(REGEXEXTRACT(S$1,""T(\d+)"")),1),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T138" s="86">
        <f>IFERROR(__xludf.DUMMYFUNCTION("LET(
  monthStart,DATE(VALUE(REGEXEXTRACT(T$1,""\d{4}"")),VALUE(REGEXEXTRACT(T$1,""T(\d+)"")),1),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U138" s="86">
        <f>IFERROR(__xludf.DUMMYFUNCTION("LET(
  monthStart,DATE(VALUE(REGEXEXTRACT(U$1,""\d{4}"")),VALUE(REGEXEXTRACT(U$1,""T(\d+)"")),1),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V138" s="86">
        <f>IFERROR(__xludf.DUMMYFUNCTION("LET(
  monthStart,DATE(VALUE(REGEXEXTRACT(V$1,""\d{4}"")),VALUE(REGEXEXTRACT(V$1,""T(\d+)"")),1),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W138" s="86">
        <f>IFERROR(__xludf.DUMMYFUNCTION("LET(
  monthStart,DATE(VALUE(REGEXEXTRACT(W$1,""\d{4}"")),VALUE(REGEXEXTRACT(W$1,""T(\d+)"")),1),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X138" s="86">
        <f>IFERROR(__xludf.DUMMYFUNCTION("LET(
  monthStart,DATE(VALUE(REGEXEXTRACT(X$1,""\d{4}"")),VALUE(REGEXEXTRACT(X$1,""T(\d+)"")),1),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Y138" s="86">
        <f>IFERROR(__xludf.DUMMYFUNCTION("LET(
  monthStart,DATE(VALUE(REGEXEXTRACT(Y$1,""\d{4}"")),VALUE(REGEXEXTRACT(Y$1,""T(\d+)"")),1),
  monthEnd,EOMONTH(monthStart,0),
  actualStart,MAX($D138,monthStart),
  actualEnd,MIN($E138,monthEnd),
  workingDaysInMonth,NETWORKDAYS(monthStart,monthEnd)"&amp;",
  workingDaysOverlap,IF(actualStart&gt;actualEnd,0,NETWORKDAYS(actualStart,actualEnd)),
  IF(workingDaysOverlap=0,"""",$F138*workingDaysOverlap/workingDaysInMonth)
)"),0.0)</f>
        <v>0</v>
      </c>
      <c r="Z138" s="64"/>
      <c r="AA138" s="64"/>
      <c r="AB138" s="64"/>
      <c r="AC138" s="64"/>
      <c r="AD138" s="64"/>
      <c r="AE138" s="64"/>
      <c r="AF138" s="64"/>
      <c r="AG138" s="64"/>
      <c r="AH138" s="64"/>
      <c r="AI138" s="75"/>
      <c r="AJ138" s="64"/>
      <c r="AK138" s="64"/>
      <c r="AO138" s="64"/>
      <c r="AP138" s="64"/>
      <c r="AQ138" s="64"/>
      <c r="AR138" s="64"/>
      <c r="AS138" s="64"/>
      <c r="AT138" s="64"/>
      <c r="AX138" s="64"/>
      <c r="AY138" s="65"/>
      <c r="AZ138" s="89"/>
      <c r="BA138" s="89"/>
      <c r="BB138" s="90"/>
      <c r="BC138" s="75"/>
      <c r="BD138" s="67"/>
      <c r="BH138" s="64"/>
      <c r="BI138" s="64"/>
      <c r="BJ138" s="64"/>
      <c r="BK138" s="64"/>
      <c r="BL138" s="64"/>
      <c r="BM138" s="64"/>
      <c r="BN138" s="64"/>
    </row>
    <row r="139" ht="30.0" customHeight="1">
      <c r="A139" s="81"/>
      <c r="B139" s="82"/>
      <c r="C139" s="83"/>
      <c r="D139" s="84"/>
      <c r="E139" s="84"/>
      <c r="F139" s="85"/>
      <c r="G139" s="86">
        <f>IFERROR(__xludf.DUMMYFUNCTION("LET(
  monthStart,DATE(VALUE(REGEXEXTRACT(G$1,""\d{4}"")),VALUE(REGEXEXTRACT(G$1,""T(\d+)"")),1),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H139" s="86">
        <f>IFERROR(__xludf.DUMMYFUNCTION("LET(
  monthStart,DATE(VALUE(REGEXEXTRACT(H$1,""\d{4}"")),VALUE(REGEXEXTRACT(H$1,""T(\d+)"")),1),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I139" s="86">
        <f>IFERROR(__xludf.DUMMYFUNCTION("LET(
  monthStart,DATE(VALUE(REGEXEXTRACT(I$1,""\d{4}"")),VALUE(REGEXEXTRACT(I$1,""T(\d+)"")),1),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J139" s="86">
        <f>IFERROR(__xludf.DUMMYFUNCTION("LET(
  monthStart,DATE(VALUE(REGEXEXTRACT(J$1,""\d{4}"")),VALUE(REGEXEXTRACT(J$1,""T(\d+)"")),1),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K139" s="86">
        <f>IFERROR(__xludf.DUMMYFUNCTION("LET(
  monthStart,DATE(VALUE(REGEXEXTRACT(K$1,""\d{4}"")),VALUE(REGEXEXTRACT(K$1,""T(\d+)"")),1),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L139" s="86">
        <f>IFERROR(__xludf.DUMMYFUNCTION("LET(
  monthStart,DATE(VALUE(REGEXEXTRACT(L$1,""\d{4}"")),VALUE(REGEXEXTRACT(L$1,""T(\d+)"")),1),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M139" s="86">
        <f>IFERROR(__xludf.DUMMYFUNCTION("LET(
  monthStart,DATE(VALUE(REGEXEXTRACT(M$1,""\d{4}"")),VALUE(REGEXEXTRACT(M$1,""T(\d+)"")),1),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N139" s="86">
        <f>IFERROR(__xludf.DUMMYFUNCTION("LET(
  monthStart,DATE(VALUE(REGEXEXTRACT(N$1,""\d{4}"")),VALUE(REGEXEXTRACT(N$1,""T(\d+)"")),1),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O139" s="86">
        <f>IFERROR(__xludf.DUMMYFUNCTION("LET(
  monthStart,DATE(VALUE(REGEXEXTRACT(O$1,""\d{4}"")),VALUE(REGEXEXTRACT(O$1,""T(\d+)"")),1),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P139" s="86">
        <f>IFERROR(__xludf.DUMMYFUNCTION("LET(
  monthStart,DATE(VALUE(REGEXEXTRACT(P$1,""\d{4}"")),VALUE(REGEXEXTRACT(P$1,""T(\d+)"")),1),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Q139" s="86">
        <f>IFERROR(__xludf.DUMMYFUNCTION("LET(
  monthStart,DATE(VALUE(REGEXEXTRACT(Q$1,""\d{4}"")),VALUE(REGEXEXTRACT(Q$1,""T(\d+)"")),1),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R139" s="86">
        <f>IFERROR(__xludf.DUMMYFUNCTION("LET(
  monthStart,DATE(VALUE(REGEXEXTRACT(R$1,""\d{4}"")),VALUE(REGEXEXTRACT(R$1,""T(\d+)"")),1),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S139" s="86">
        <f>IFERROR(__xludf.DUMMYFUNCTION("LET(
  monthStart,DATE(VALUE(REGEXEXTRACT(S$1,""\d{4}"")),VALUE(REGEXEXTRACT(S$1,""T(\d+)"")),1),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T139" s="86">
        <f>IFERROR(__xludf.DUMMYFUNCTION("LET(
  monthStart,DATE(VALUE(REGEXEXTRACT(T$1,""\d{4}"")),VALUE(REGEXEXTRACT(T$1,""T(\d+)"")),1),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U139" s="86">
        <f>IFERROR(__xludf.DUMMYFUNCTION("LET(
  monthStart,DATE(VALUE(REGEXEXTRACT(U$1,""\d{4}"")),VALUE(REGEXEXTRACT(U$1,""T(\d+)"")),1),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V139" s="86">
        <f>IFERROR(__xludf.DUMMYFUNCTION("LET(
  monthStart,DATE(VALUE(REGEXEXTRACT(V$1,""\d{4}"")),VALUE(REGEXEXTRACT(V$1,""T(\d+)"")),1),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W139" s="86">
        <f>IFERROR(__xludf.DUMMYFUNCTION("LET(
  monthStart,DATE(VALUE(REGEXEXTRACT(W$1,""\d{4}"")),VALUE(REGEXEXTRACT(W$1,""T(\d+)"")),1),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X139" s="86">
        <f>IFERROR(__xludf.DUMMYFUNCTION("LET(
  monthStart,DATE(VALUE(REGEXEXTRACT(X$1,""\d{4}"")),VALUE(REGEXEXTRACT(X$1,""T(\d+)"")),1),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Y139" s="86">
        <f>IFERROR(__xludf.DUMMYFUNCTION("LET(
  monthStart,DATE(VALUE(REGEXEXTRACT(Y$1,""\d{4}"")),VALUE(REGEXEXTRACT(Y$1,""T(\d+)"")),1),
  monthEnd,EOMONTH(monthStart,0),
  actualStart,MAX($D139,monthStart),
  actualEnd,MIN($E139,monthEnd),
  workingDaysInMonth,NETWORKDAYS(monthStart,monthEnd)"&amp;",
  workingDaysOverlap,IF(actualStart&gt;actualEnd,0,NETWORKDAYS(actualStart,actualEnd)),
  IF(workingDaysOverlap=0,"""",$F139*workingDaysOverlap/workingDaysInMonth)
)"),0.0)</f>
        <v>0</v>
      </c>
      <c r="Z139" s="64"/>
      <c r="AA139" s="64"/>
      <c r="AB139" s="64"/>
      <c r="AC139" s="64"/>
      <c r="AD139" s="64"/>
      <c r="AE139" s="64"/>
      <c r="AF139" s="64"/>
      <c r="AG139" s="64"/>
      <c r="AH139" s="64"/>
      <c r="AI139" s="75"/>
      <c r="AJ139" s="64"/>
      <c r="AK139" s="64"/>
      <c r="AO139" s="64"/>
      <c r="AP139" s="64"/>
      <c r="AQ139" s="64"/>
      <c r="AR139" s="64"/>
      <c r="AS139" s="64"/>
      <c r="AT139" s="64"/>
      <c r="AX139" s="64"/>
      <c r="AY139" s="65"/>
      <c r="AZ139" s="65"/>
      <c r="BA139" s="65"/>
      <c r="BB139" s="90"/>
      <c r="BC139" s="75"/>
      <c r="BD139" s="67"/>
      <c r="BH139" s="64"/>
      <c r="BI139" s="64"/>
      <c r="BJ139" s="64"/>
      <c r="BK139" s="64"/>
      <c r="BL139" s="64"/>
      <c r="BM139" s="64"/>
      <c r="BN139" s="64"/>
    </row>
    <row r="140" ht="30.0" customHeight="1">
      <c r="A140" s="81"/>
      <c r="B140" s="82"/>
      <c r="C140" s="83"/>
      <c r="D140" s="84"/>
      <c r="E140" s="84"/>
      <c r="F140" s="85"/>
      <c r="G140" s="86">
        <f>IFERROR(__xludf.DUMMYFUNCTION("LET(
  monthStart,DATE(VALUE(REGEXEXTRACT(G$1,""\d{4}"")),VALUE(REGEXEXTRACT(G$1,""T(\d+)"")),1),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H140" s="86">
        <f>IFERROR(__xludf.DUMMYFUNCTION("LET(
  monthStart,DATE(VALUE(REGEXEXTRACT(H$1,""\d{4}"")),VALUE(REGEXEXTRACT(H$1,""T(\d+)"")),1),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I140" s="86">
        <f>IFERROR(__xludf.DUMMYFUNCTION("LET(
  monthStart,DATE(VALUE(REGEXEXTRACT(I$1,""\d{4}"")),VALUE(REGEXEXTRACT(I$1,""T(\d+)"")),1),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J140" s="86">
        <f>IFERROR(__xludf.DUMMYFUNCTION("LET(
  monthStart,DATE(VALUE(REGEXEXTRACT(J$1,""\d{4}"")),VALUE(REGEXEXTRACT(J$1,""T(\d+)"")),1),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K140" s="86">
        <f>IFERROR(__xludf.DUMMYFUNCTION("LET(
  monthStart,DATE(VALUE(REGEXEXTRACT(K$1,""\d{4}"")),VALUE(REGEXEXTRACT(K$1,""T(\d+)"")),1),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L140" s="86">
        <f>IFERROR(__xludf.DUMMYFUNCTION("LET(
  monthStart,DATE(VALUE(REGEXEXTRACT(L$1,""\d{4}"")),VALUE(REGEXEXTRACT(L$1,""T(\d+)"")),1),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M140" s="86">
        <f>IFERROR(__xludf.DUMMYFUNCTION("LET(
  monthStart,DATE(VALUE(REGEXEXTRACT(M$1,""\d{4}"")),VALUE(REGEXEXTRACT(M$1,""T(\d+)"")),1),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N140" s="86">
        <f>IFERROR(__xludf.DUMMYFUNCTION("LET(
  monthStart,DATE(VALUE(REGEXEXTRACT(N$1,""\d{4}"")),VALUE(REGEXEXTRACT(N$1,""T(\d+)"")),1),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O140" s="86">
        <f>IFERROR(__xludf.DUMMYFUNCTION("LET(
  monthStart,DATE(VALUE(REGEXEXTRACT(O$1,""\d{4}"")),VALUE(REGEXEXTRACT(O$1,""T(\d+)"")),1),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P140" s="86">
        <f>IFERROR(__xludf.DUMMYFUNCTION("LET(
  monthStart,DATE(VALUE(REGEXEXTRACT(P$1,""\d{4}"")),VALUE(REGEXEXTRACT(P$1,""T(\d+)"")),1),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Q140" s="86">
        <f>IFERROR(__xludf.DUMMYFUNCTION("LET(
  monthStart,DATE(VALUE(REGEXEXTRACT(Q$1,""\d{4}"")),VALUE(REGEXEXTRACT(Q$1,""T(\d+)"")),1),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R140" s="86">
        <f>IFERROR(__xludf.DUMMYFUNCTION("LET(
  monthStart,DATE(VALUE(REGEXEXTRACT(R$1,""\d{4}"")),VALUE(REGEXEXTRACT(R$1,""T(\d+)"")),1),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S140" s="86">
        <f>IFERROR(__xludf.DUMMYFUNCTION("LET(
  monthStart,DATE(VALUE(REGEXEXTRACT(S$1,""\d{4}"")),VALUE(REGEXEXTRACT(S$1,""T(\d+)"")),1),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T140" s="86">
        <f>IFERROR(__xludf.DUMMYFUNCTION("LET(
  monthStart,DATE(VALUE(REGEXEXTRACT(T$1,""\d{4}"")),VALUE(REGEXEXTRACT(T$1,""T(\d+)"")),1),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U140" s="86">
        <f>IFERROR(__xludf.DUMMYFUNCTION("LET(
  monthStart,DATE(VALUE(REGEXEXTRACT(U$1,""\d{4}"")),VALUE(REGEXEXTRACT(U$1,""T(\d+)"")),1),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V140" s="86">
        <f>IFERROR(__xludf.DUMMYFUNCTION("LET(
  monthStart,DATE(VALUE(REGEXEXTRACT(V$1,""\d{4}"")),VALUE(REGEXEXTRACT(V$1,""T(\d+)"")),1),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W140" s="86">
        <f>IFERROR(__xludf.DUMMYFUNCTION("LET(
  monthStart,DATE(VALUE(REGEXEXTRACT(W$1,""\d{4}"")),VALUE(REGEXEXTRACT(W$1,""T(\d+)"")),1),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X140" s="86">
        <f>IFERROR(__xludf.DUMMYFUNCTION("LET(
  monthStart,DATE(VALUE(REGEXEXTRACT(X$1,""\d{4}"")),VALUE(REGEXEXTRACT(X$1,""T(\d+)"")),1),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Y140" s="86">
        <f>IFERROR(__xludf.DUMMYFUNCTION("LET(
  monthStart,DATE(VALUE(REGEXEXTRACT(Y$1,""\d{4}"")),VALUE(REGEXEXTRACT(Y$1,""T(\d+)"")),1),
  monthEnd,EOMONTH(monthStart,0),
  actualStart,MAX($D140,monthStart),
  actualEnd,MIN($E140,monthEnd),
  workingDaysInMonth,NETWORKDAYS(monthStart,monthEnd)"&amp;",
  workingDaysOverlap,IF(actualStart&gt;actualEnd,0,NETWORKDAYS(actualStart,actualEnd)),
  IF(workingDaysOverlap=0,"""",$F140*workingDaysOverlap/workingDaysInMonth)
)"),0.0)</f>
        <v>0</v>
      </c>
      <c r="Z140" s="64"/>
      <c r="AA140" s="64"/>
      <c r="AB140" s="64"/>
      <c r="AC140" s="64"/>
      <c r="AD140" s="64"/>
      <c r="AE140" s="64"/>
      <c r="AF140" s="64"/>
      <c r="AG140" s="64"/>
      <c r="AH140" s="64"/>
      <c r="AI140" s="75"/>
      <c r="AJ140" s="64"/>
      <c r="AK140" s="64"/>
      <c r="AO140" s="64"/>
      <c r="AP140" s="64"/>
      <c r="AQ140" s="64"/>
      <c r="AR140" s="64"/>
      <c r="AS140" s="64"/>
      <c r="AT140" s="64"/>
      <c r="AX140" s="64"/>
      <c r="AY140" s="65"/>
      <c r="AZ140" s="65"/>
      <c r="BA140" s="65"/>
      <c r="BB140" s="90"/>
      <c r="BC140" s="75"/>
      <c r="BD140" s="67"/>
      <c r="BH140" s="64"/>
      <c r="BI140" s="64"/>
      <c r="BJ140" s="64"/>
      <c r="BK140" s="64"/>
      <c r="BL140" s="64"/>
      <c r="BM140" s="64"/>
      <c r="BN140" s="64"/>
    </row>
    <row r="141" ht="30.0" customHeight="1">
      <c r="A141" s="81"/>
      <c r="B141" s="82"/>
      <c r="C141" s="83"/>
      <c r="D141" s="84"/>
      <c r="E141" s="84"/>
      <c r="F141" s="85"/>
      <c r="G141" s="86">
        <f>IFERROR(__xludf.DUMMYFUNCTION("LET(
  monthStart,DATE(VALUE(REGEXEXTRACT(G$1,""\d{4}"")),VALUE(REGEXEXTRACT(G$1,""T(\d+)"")),1),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H141" s="86">
        <f>IFERROR(__xludf.DUMMYFUNCTION("LET(
  monthStart,DATE(VALUE(REGEXEXTRACT(H$1,""\d{4}"")),VALUE(REGEXEXTRACT(H$1,""T(\d+)"")),1),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I141" s="86">
        <f>IFERROR(__xludf.DUMMYFUNCTION("LET(
  monthStart,DATE(VALUE(REGEXEXTRACT(I$1,""\d{4}"")),VALUE(REGEXEXTRACT(I$1,""T(\d+)"")),1),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J141" s="86">
        <f>IFERROR(__xludf.DUMMYFUNCTION("LET(
  monthStart,DATE(VALUE(REGEXEXTRACT(J$1,""\d{4}"")),VALUE(REGEXEXTRACT(J$1,""T(\d+)"")),1),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K141" s="86">
        <f>IFERROR(__xludf.DUMMYFUNCTION("LET(
  monthStart,DATE(VALUE(REGEXEXTRACT(K$1,""\d{4}"")),VALUE(REGEXEXTRACT(K$1,""T(\d+)"")),1),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L141" s="86">
        <f>IFERROR(__xludf.DUMMYFUNCTION("LET(
  monthStart,DATE(VALUE(REGEXEXTRACT(L$1,""\d{4}"")),VALUE(REGEXEXTRACT(L$1,""T(\d+)"")),1),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M141" s="86">
        <f>IFERROR(__xludf.DUMMYFUNCTION("LET(
  monthStart,DATE(VALUE(REGEXEXTRACT(M$1,""\d{4}"")),VALUE(REGEXEXTRACT(M$1,""T(\d+)"")),1),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N141" s="86">
        <f>IFERROR(__xludf.DUMMYFUNCTION("LET(
  monthStart,DATE(VALUE(REGEXEXTRACT(N$1,""\d{4}"")),VALUE(REGEXEXTRACT(N$1,""T(\d+)"")),1),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O141" s="86">
        <f>IFERROR(__xludf.DUMMYFUNCTION("LET(
  monthStart,DATE(VALUE(REGEXEXTRACT(O$1,""\d{4}"")),VALUE(REGEXEXTRACT(O$1,""T(\d+)"")),1),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P141" s="86">
        <f>IFERROR(__xludf.DUMMYFUNCTION("LET(
  monthStart,DATE(VALUE(REGEXEXTRACT(P$1,""\d{4}"")),VALUE(REGEXEXTRACT(P$1,""T(\d+)"")),1),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Q141" s="86">
        <f>IFERROR(__xludf.DUMMYFUNCTION("LET(
  monthStart,DATE(VALUE(REGEXEXTRACT(Q$1,""\d{4}"")),VALUE(REGEXEXTRACT(Q$1,""T(\d+)"")),1),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R141" s="86">
        <f>IFERROR(__xludf.DUMMYFUNCTION("LET(
  monthStart,DATE(VALUE(REGEXEXTRACT(R$1,""\d{4}"")),VALUE(REGEXEXTRACT(R$1,""T(\d+)"")),1),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S141" s="86">
        <f>IFERROR(__xludf.DUMMYFUNCTION("LET(
  monthStart,DATE(VALUE(REGEXEXTRACT(S$1,""\d{4}"")),VALUE(REGEXEXTRACT(S$1,""T(\d+)"")),1),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T141" s="86">
        <f>IFERROR(__xludf.DUMMYFUNCTION("LET(
  monthStart,DATE(VALUE(REGEXEXTRACT(T$1,""\d{4}"")),VALUE(REGEXEXTRACT(T$1,""T(\d+)"")),1),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U141" s="86">
        <f>IFERROR(__xludf.DUMMYFUNCTION("LET(
  monthStart,DATE(VALUE(REGEXEXTRACT(U$1,""\d{4}"")),VALUE(REGEXEXTRACT(U$1,""T(\d+)"")),1),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V141" s="86">
        <f>IFERROR(__xludf.DUMMYFUNCTION("LET(
  monthStart,DATE(VALUE(REGEXEXTRACT(V$1,""\d{4}"")),VALUE(REGEXEXTRACT(V$1,""T(\d+)"")),1),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W141" s="86">
        <f>IFERROR(__xludf.DUMMYFUNCTION("LET(
  monthStart,DATE(VALUE(REGEXEXTRACT(W$1,""\d{4}"")),VALUE(REGEXEXTRACT(W$1,""T(\d+)"")),1),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X141" s="86">
        <f>IFERROR(__xludf.DUMMYFUNCTION("LET(
  monthStart,DATE(VALUE(REGEXEXTRACT(X$1,""\d{4}"")),VALUE(REGEXEXTRACT(X$1,""T(\d+)"")),1),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Y141" s="86">
        <f>IFERROR(__xludf.DUMMYFUNCTION("LET(
  monthStart,DATE(VALUE(REGEXEXTRACT(Y$1,""\d{4}"")),VALUE(REGEXEXTRACT(Y$1,""T(\d+)"")),1),
  monthEnd,EOMONTH(monthStart,0),
  actualStart,MAX($D141,monthStart),
  actualEnd,MIN($E141,monthEnd),
  workingDaysInMonth,NETWORKDAYS(monthStart,monthEnd)"&amp;",
  workingDaysOverlap,IF(actualStart&gt;actualEnd,0,NETWORKDAYS(actualStart,actualEnd)),
  IF(workingDaysOverlap=0,"""",$F141*workingDaysOverlap/workingDaysInMonth)
)"),0.0)</f>
        <v>0</v>
      </c>
      <c r="Z141" s="64"/>
      <c r="AA141" s="64"/>
      <c r="AB141" s="64"/>
      <c r="AC141" s="64"/>
      <c r="AD141" s="64"/>
      <c r="AE141" s="64"/>
      <c r="AF141" s="64"/>
      <c r="AG141" s="64"/>
      <c r="AH141" s="64"/>
      <c r="AI141" s="75"/>
      <c r="AJ141" s="64"/>
      <c r="AK141" s="64"/>
      <c r="AO141" s="64"/>
      <c r="AP141" s="64"/>
      <c r="AQ141" s="64"/>
      <c r="AR141" s="64"/>
      <c r="AS141" s="64"/>
      <c r="AT141" s="64"/>
      <c r="AX141" s="64"/>
      <c r="AY141" s="65"/>
      <c r="AZ141" s="65"/>
      <c r="BA141" s="65"/>
      <c r="BB141" s="90"/>
      <c r="BC141" s="75"/>
      <c r="BD141" s="67"/>
      <c r="BH141" s="64"/>
      <c r="BI141" s="64"/>
      <c r="BJ141" s="64"/>
      <c r="BK141" s="64"/>
      <c r="BL141" s="64"/>
      <c r="BM141" s="64"/>
      <c r="BN141" s="64"/>
    </row>
    <row r="142" ht="30.0" customHeight="1">
      <c r="A142" s="81"/>
      <c r="B142" s="82"/>
      <c r="C142" s="83"/>
      <c r="D142" s="84"/>
      <c r="E142" s="84"/>
      <c r="F142" s="85"/>
      <c r="G142" s="86">
        <f>IFERROR(__xludf.DUMMYFUNCTION("LET(
  monthStart,DATE(VALUE(REGEXEXTRACT(G$1,""\d{4}"")),VALUE(REGEXEXTRACT(G$1,""T(\d+)"")),1),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H142" s="86">
        <f>IFERROR(__xludf.DUMMYFUNCTION("LET(
  monthStart,DATE(VALUE(REGEXEXTRACT(H$1,""\d{4}"")),VALUE(REGEXEXTRACT(H$1,""T(\d+)"")),1),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I142" s="86">
        <f>IFERROR(__xludf.DUMMYFUNCTION("LET(
  monthStart,DATE(VALUE(REGEXEXTRACT(I$1,""\d{4}"")),VALUE(REGEXEXTRACT(I$1,""T(\d+)"")),1),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J142" s="86">
        <f>IFERROR(__xludf.DUMMYFUNCTION("LET(
  monthStart,DATE(VALUE(REGEXEXTRACT(J$1,""\d{4}"")),VALUE(REGEXEXTRACT(J$1,""T(\d+)"")),1),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K142" s="86">
        <f>IFERROR(__xludf.DUMMYFUNCTION("LET(
  monthStart,DATE(VALUE(REGEXEXTRACT(K$1,""\d{4}"")),VALUE(REGEXEXTRACT(K$1,""T(\d+)"")),1),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L142" s="86">
        <f>IFERROR(__xludf.DUMMYFUNCTION("LET(
  monthStart,DATE(VALUE(REGEXEXTRACT(L$1,""\d{4}"")),VALUE(REGEXEXTRACT(L$1,""T(\d+)"")),1),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M142" s="86">
        <f>IFERROR(__xludf.DUMMYFUNCTION("LET(
  monthStart,DATE(VALUE(REGEXEXTRACT(M$1,""\d{4}"")),VALUE(REGEXEXTRACT(M$1,""T(\d+)"")),1),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N142" s="86">
        <f>IFERROR(__xludf.DUMMYFUNCTION("LET(
  monthStart,DATE(VALUE(REGEXEXTRACT(N$1,""\d{4}"")),VALUE(REGEXEXTRACT(N$1,""T(\d+)"")),1),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O142" s="86">
        <f>IFERROR(__xludf.DUMMYFUNCTION("LET(
  monthStart,DATE(VALUE(REGEXEXTRACT(O$1,""\d{4}"")),VALUE(REGEXEXTRACT(O$1,""T(\d+)"")),1),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P142" s="86">
        <f>IFERROR(__xludf.DUMMYFUNCTION("LET(
  monthStart,DATE(VALUE(REGEXEXTRACT(P$1,""\d{4}"")),VALUE(REGEXEXTRACT(P$1,""T(\d+)"")),1),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Q142" s="86">
        <f>IFERROR(__xludf.DUMMYFUNCTION("LET(
  monthStart,DATE(VALUE(REGEXEXTRACT(Q$1,""\d{4}"")),VALUE(REGEXEXTRACT(Q$1,""T(\d+)"")),1),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R142" s="86">
        <f>IFERROR(__xludf.DUMMYFUNCTION("LET(
  monthStart,DATE(VALUE(REGEXEXTRACT(R$1,""\d{4}"")),VALUE(REGEXEXTRACT(R$1,""T(\d+)"")),1),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S142" s="86">
        <f>IFERROR(__xludf.DUMMYFUNCTION("LET(
  monthStart,DATE(VALUE(REGEXEXTRACT(S$1,""\d{4}"")),VALUE(REGEXEXTRACT(S$1,""T(\d+)"")),1),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T142" s="86">
        <f>IFERROR(__xludf.DUMMYFUNCTION("LET(
  monthStart,DATE(VALUE(REGEXEXTRACT(T$1,""\d{4}"")),VALUE(REGEXEXTRACT(T$1,""T(\d+)"")),1),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U142" s="86">
        <f>IFERROR(__xludf.DUMMYFUNCTION("LET(
  monthStart,DATE(VALUE(REGEXEXTRACT(U$1,""\d{4}"")),VALUE(REGEXEXTRACT(U$1,""T(\d+)"")),1),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V142" s="86">
        <f>IFERROR(__xludf.DUMMYFUNCTION("LET(
  monthStart,DATE(VALUE(REGEXEXTRACT(V$1,""\d{4}"")),VALUE(REGEXEXTRACT(V$1,""T(\d+)"")),1),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W142" s="86">
        <f>IFERROR(__xludf.DUMMYFUNCTION("LET(
  monthStart,DATE(VALUE(REGEXEXTRACT(W$1,""\d{4}"")),VALUE(REGEXEXTRACT(W$1,""T(\d+)"")),1),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X142" s="86">
        <f>IFERROR(__xludf.DUMMYFUNCTION("LET(
  monthStart,DATE(VALUE(REGEXEXTRACT(X$1,""\d{4}"")),VALUE(REGEXEXTRACT(X$1,""T(\d+)"")),1),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Y142" s="86">
        <f>IFERROR(__xludf.DUMMYFUNCTION("LET(
  monthStart,DATE(VALUE(REGEXEXTRACT(Y$1,""\d{4}"")),VALUE(REGEXEXTRACT(Y$1,""T(\d+)"")),1),
  monthEnd,EOMONTH(monthStart,0),
  actualStart,MAX($D142,monthStart),
  actualEnd,MIN($E142,monthEnd),
  workingDaysInMonth,NETWORKDAYS(monthStart,monthEnd)"&amp;",
  workingDaysOverlap,IF(actualStart&gt;actualEnd,0,NETWORKDAYS(actualStart,actualEnd)),
  IF(workingDaysOverlap=0,"""",$F142*workingDaysOverlap/workingDaysInMonth)
)"),0.0)</f>
        <v>0</v>
      </c>
      <c r="Z142" s="64"/>
      <c r="AA142" s="64"/>
      <c r="AB142" s="64"/>
      <c r="AC142" s="64"/>
      <c r="AD142" s="64"/>
      <c r="AE142" s="64"/>
      <c r="AF142" s="64"/>
      <c r="AG142" s="64"/>
      <c r="AH142" s="64"/>
      <c r="AI142" s="75"/>
      <c r="AJ142" s="64"/>
      <c r="AK142" s="64"/>
      <c r="AO142" s="64"/>
      <c r="AP142" s="64"/>
      <c r="AQ142" s="64"/>
      <c r="AR142" s="64"/>
      <c r="AS142" s="64"/>
      <c r="AT142" s="64"/>
      <c r="AX142" s="64"/>
      <c r="AY142" s="65"/>
      <c r="AZ142" s="65"/>
      <c r="BA142" s="65"/>
      <c r="BB142" s="90"/>
      <c r="BC142" s="75"/>
      <c r="BD142" s="67"/>
      <c r="BH142" s="64"/>
      <c r="BI142" s="64"/>
      <c r="BJ142" s="64"/>
      <c r="BK142" s="64"/>
      <c r="BL142" s="64"/>
      <c r="BM142" s="64"/>
      <c r="BN142" s="64"/>
    </row>
    <row r="143" ht="30.0" customHeight="1">
      <c r="A143" s="81"/>
      <c r="B143" s="82"/>
      <c r="C143" s="83"/>
      <c r="D143" s="84"/>
      <c r="E143" s="84"/>
      <c r="F143" s="85"/>
      <c r="G143" s="86">
        <f>IFERROR(__xludf.DUMMYFUNCTION("LET(
  monthStart,DATE(VALUE(REGEXEXTRACT(G$1,""\d{4}"")),VALUE(REGEXEXTRACT(G$1,""T(\d+)"")),1),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H143" s="86">
        <f>IFERROR(__xludf.DUMMYFUNCTION("LET(
  monthStart,DATE(VALUE(REGEXEXTRACT(H$1,""\d{4}"")),VALUE(REGEXEXTRACT(H$1,""T(\d+)"")),1),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I143" s="86">
        <f>IFERROR(__xludf.DUMMYFUNCTION("LET(
  monthStart,DATE(VALUE(REGEXEXTRACT(I$1,""\d{4}"")),VALUE(REGEXEXTRACT(I$1,""T(\d+)"")),1),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J143" s="86">
        <f>IFERROR(__xludf.DUMMYFUNCTION("LET(
  monthStart,DATE(VALUE(REGEXEXTRACT(J$1,""\d{4}"")),VALUE(REGEXEXTRACT(J$1,""T(\d+)"")),1),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K143" s="86">
        <f>IFERROR(__xludf.DUMMYFUNCTION("LET(
  monthStart,DATE(VALUE(REGEXEXTRACT(K$1,""\d{4}"")),VALUE(REGEXEXTRACT(K$1,""T(\d+)"")),1),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L143" s="86">
        <f>IFERROR(__xludf.DUMMYFUNCTION("LET(
  monthStart,DATE(VALUE(REGEXEXTRACT(L$1,""\d{4}"")),VALUE(REGEXEXTRACT(L$1,""T(\d+)"")),1),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M143" s="86">
        <f>IFERROR(__xludf.DUMMYFUNCTION("LET(
  monthStart,DATE(VALUE(REGEXEXTRACT(M$1,""\d{4}"")),VALUE(REGEXEXTRACT(M$1,""T(\d+)"")),1),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N143" s="86">
        <f>IFERROR(__xludf.DUMMYFUNCTION("LET(
  monthStart,DATE(VALUE(REGEXEXTRACT(N$1,""\d{4}"")),VALUE(REGEXEXTRACT(N$1,""T(\d+)"")),1),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O143" s="86">
        <f>IFERROR(__xludf.DUMMYFUNCTION("LET(
  monthStart,DATE(VALUE(REGEXEXTRACT(O$1,""\d{4}"")),VALUE(REGEXEXTRACT(O$1,""T(\d+)"")),1),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P143" s="86">
        <f>IFERROR(__xludf.DUMMYFUNCTION("LET(
  monthStart,DATE(VALUE(REGEXEXTRACT(P$1,""\d{4}"")),VALUE(REGEXEXTRACT(P$1,""T(\d+)"")),1),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Q143" s="86">
        <f>IFERROR(__xludf.DUMMYFUNCTION("LET(
  monthStart,DATE(VALUE(REGEXEXTRACT(Q$1,""\d{4}"")),VALUE(REGEXEXTRACT(Q$1,""T(\d+)"")),1),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R143" s="86">
        <f>IFERROR(__xludf.DUMMYFUNCTION("LET(
  monthStart,DATE(VALUE(REGEXEXTRACT(R$1,""\d{4}"")),VALUE(REGEXEXTRACT(R$1,""T(\d+)"")),1),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S143" s="86">
        <f>IFERROR(__xludf.DUMMYFUNCTION("LET(
  monthStart,DATE(VALUE(REGEXEXTRACT(S$1,""\d{4}"")),VALUE(REGEXEXTRACT(S$1,""T(\d+)"")),1),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T143" s="86">
        <f>IFERROR(__xludf.DUMMYFUNCTION("LET(
  monthStart,DATE(VALUE(REGEXEXTRACT(T$1,""\d{4}"")),VALUE(REGEXEXTRACT(T$1,""T(\d+)"")),1),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U143" s="86">
        <f>IFERROR(__xludf.DUMMYFUNCTION("LET(
  monthStart,DATE(VALUE(REGEXEXTRACT(U$1,""\d{4}"")),VALUE(REGEXEXTRACT(U$1,""T(\d+)"")),1),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V143" s="86">
        <f>IFERROR(__xludf.DUMMYFUNCTION("LET(
  monthStart,DATE(VALUE(REGEXEXTRACT(V$1,""\d{4}"")),VALUE(REGEXEXTRACT(V$1,""T(\d+)"")),1),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W143" s="86">
        <f>IFERROR(__xludf.DUMMYFUNCTION("LET(
  monthStart,DATE(VALUE(REGEXEXTRACT(W$1,""\d{4}"")),VALUE(REGEXEXTRACT(W$1,""T(\d+)"")),1),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X143" s="86">
        <f>IFERROR(__xludf.DUMMYFUNCTION("LET(
  monthStart,DATE(VALUE(REGEXEXTRACT(X$1,""\d{4}"")),VALUE(REGEXEXTRACT(X$1,""T(\d+)"")),1),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Y143" s="86">
        <f>IFERROR(__xludf.DUMMYFUNCTION("LET(
  monthStart,DATE(VALUE(REGEXEXTRACT(Y$1,""\d{4}"")),VALUE(REGEXEXTRACT(Y$1,""T(\d+)"")),1),
  monthEnd,EOMONTH(monthStart,0),
  actualStart,MAX($D143,monthStart),
  actualEnd,MIN($E143,monthEnd),
  workingDaysInMonth,NETWORKDAYS(monthStart,monthEnd)"&amp;",
  workingDaysOverlap,IF(actualStart&gt;actualEnd,0,NETWORKDAYS(actualStart,actualEnd)),
  IF(workingDaysOverlap=0,"""",$F143*workingDaysOverlap/workingDaysInMonth)
)"),0.0)</f>
        <v>0</v>
      </c>
      <c r="Z143" s="64"/>
      <c r="AA143" s="64"/>
      <c r="AB143" s="64"/>
      <c r="AC143" s="64"/>
      <c r="AD143" s="64"/>
      <c r="AE143" s="64"/>
      <c r="AF143" s="64"/>
      <c r="AG143" s="64"/>
      <c r="AH143" s="64"/>
      <c r="AI143" s="75"/>
      <c r="AJ143" s="64"/>
      <c r="AK143" s="64"/>
      <c r="AO143" s="64"/>
      <c r="AP143" s="64"/>
      <c r="AQ143" s="64"/>
      <c r="AR143" s="64"/>
      <c r="AS143" s="64"/>
      <c r="AT143" s="64"/>
      <c r="AX143" s="64"/>
      <c r="BD143" s="76"/>
      <c r="BH143" s="64"/>
      <c r="BI143" s="64"/>
      <c r="BJ143" s="64"/>
      <c r="BK143" s="64"/>
      <c r="BL143" s="64"/>
      <c r="BM143" s="64"/>
      <c r="BN143" s="64"/>
    </row>
    <row r="144" ht="30.0" customHeight="1">
      <c r="A144" s="81"/>
      <c r="B144" s="82"/>
      <c r="C144" s="83"/>
      <c r="D144" s="84"/>
      <c r="E144" s="84"/>
      <c r="F144" s="85"/>
      <c r="G144" s="86">
        <f>IFERROR(__xludf.DUMMYFUNCTION("LET(
  monthStart,DATE(VALUE(REGEXEXTRACT(G$1,""\d{4}"")),VALUE(REGEXEXTRACT(G$1,""T(\d+)"")),1),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H144" s="86">
        <f>IFERROR(__xludf.DUMMYFUNCTION("LET(
  monthStart,DATE(VALUE(REGEXEXTRACT(H$1,""\d{4}"")),VALUE(REGEXEXTRACT(H$1,""T(\d+)"")),1),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I144" s="86">
        <f>IFERROR(__xludf.DUMMYFUNCTION("LET(
  monthStart,DATE(VALUE(REGEXEXTRACT(I$1,""\d{4}"")),VALUE(REGEXEXTRACT(I$1,""T(\d+)"")),1),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J144" s="86">
        <f>IFERROR(__xludf.DUMMYFUNCTION("LET(
  monthStart,DATE(VALUE(REGEXEXTRACT(J$1,""\d{4}"")),VALUE(REGEXEXTRACT(J$1,""T(\d+)"")),1),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K144" s="86">
        <f>IFERROR(__xludf.DUMMYFUNCTION("LET(
  monthStart,DATE(VALUE(REGEXEXTRACT(K$1,""\d{4}"")),VALUE(REGEXEXTRACT(K$1,""T(\d+)"")),1),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L144" s="86">
        <f>IFERROR(__xludf.DUMMYFUNCTION("LET(
  monthStart,DATE(VALUE(REGEXEXTRACT(L$1,""\d{4}"")),VALUE(REGEXEXTRACT(L$1,""T(\d+)"")),1),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M144" s="86">
        <f>IFERROR(__xludf.DUMMYFUNCTION("LET(
  monthStart,DATE(VALUE(REGEXEXTRACT(M$1,""\d{4}"")),VALUE(REGEXEXTRACT(M$1,""T(\d+)"")),1),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N144" s="86">
        <f>IFERROR(__xludf.DUMMYFUNCTION("LET(
  monthStart,DATE(VALUE(REGEXEXTRACT(N$1,""\d{4}"")),VALUE(REGEXEXTRACT(N$1,""T(\d+)"")),1),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O144" s="86">
        <f>IFERROR(__xludf.DUMMYFUNCTION("LET(
  monthStart,DATE(VALUE(REGEXEXTRACT(O$1,""\d{4}"")),VALUE(REGEXEXTRACT(O$1,""T(\d+)"")),1),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P144" s="86">
        <f>IFERROR(__xludf.DUMMYFUNCTION("LET(
  monthStart,DATE(VALUE(REGEXEXTRACT(P$1,""\d{4}"")),VALUE(REGEXEXTRACT(P$1,""T(\d+)"")),1),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Q144" s="86">
        <f>IFERROR(__xludf.DUMMYFUNCTION("LET(
  monthStart,DATE(VALUE(REGEXEXTRACT(Q$1,""\d{4}"")),VALUE(REGEXEXTRACT(Q$1,""T(\d+)"")),1),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R144" s="86">
        <f>IFERROR(__xludf.DUMMYFUNCTION("LET(
  monthStart,DATE(VALUE(REGEXEXTRACT(R$1,""\d{4}"")),VALUE(REGEXEXTRACT(R$1,""T(\d+)"")),1),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S144" s="86">
        <f>IFERROR(__xludf.DUMMYFUNCTION("LET(
  monthStart,DATE(VALUE(REGEXEXTRACT(S$1,""\d{4}"")),VALUE(REGEXEXTRACT(S$1,""T(\d+)"")),1),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T144" s="86">
        <f>IFERROR(__xludf.DUMMYFUNCTION("LET(
  monthStart,DATE(VALUE(REGEXEXTRACT(T$1,""\d{4}"")),VALUE(REGEXEXTRACT(T$1,""T(\d+)"")),1),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U144" s="86">
        <f>IFERROR(__xludf.DUMMYFUNCTION("LET(
  monthStart,DATE(VALUE(REGEXEXTRACT(U$1,""\d{4}"")),VALUE(REGEXEXTRACT(U$1,""T(\d+)"")),1),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V144" s="86">
        <f>IFERROR(__xludf.DUMMYFUNCTION("LET(
  monthStart,DATE(VALUE(REGEXEXTRACT(V$1,""\d{4}"")),VALUE(REGEXEXTRACT(V$1,""T(\d+)"")),1),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W144" s="86">
        <f>IFERROR(__xludf.DUMMYFUNCTION("LET(
  monthStart,DATE(VALUE(REGEXEXTRACT(W$1,""\d{4}"")),VALUE(REGEXEXTRACT(W$1,""T(\d+)"")),1),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X144" s="86">
        <f>IFERROR(__xludf.DUMMYFUNCTION("LET(
  monthStart,DATE(VALUE(REGEXEXTRACT(X$1,""\d{4}"")),VALUE(REGEXEXTRACT(X$1,""T(\d+)"")),1),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Y144" s="86">
        <f>IFERROR(__xludf.DUMMYFUNCTION("LET(
  monthStart,DATE(VALUE(REGEXEXTRACT(Y$1,""\d{4}"")),VALUE(REGEXEXTRACT(Y$1,""T(\d+)"")),1),
  monthEnd,EOMONTH(monthStart,0),
  actualStart,MAX($D144,monthStart),
  actualEnd,MIN($E144,monthEnd),
  workingDaysInMonth,NETWORKDAYS(monthStart,monthEnd)"&amp;",
  workingDaysOverlap,IF(actualStart&gt;actualEnd,0,NETWORKDAYS(actualStart,actualEnd)),
  IF(workingDaysOverlap=0,"""",$F144*workingDaysOverlap/workingDaysInMonth)
)"),0.0)</f>
        <v>0</v>
      </c>
      <c r="Z144" s="64"/>
      <c r="AA144" s="64"/>
      <c r="AB144" s="64"/>
      <c r="AC144" s="64"/>
      <c r="AD144" s="64"/>
      <c r="AE144" s="64"/>
      <c r="AF144" s="64"/>
      <c r="AG144" s="64"/>
      <c r="AH144" s="64"/>
      <c r="AI144" s="75"/>
      <c r="AJ144" s="64"/>
      <c r="AK144" s="64"/>
      <c r="AO144" s="64"/>
      <c r="AP144" s="64"/>
      <c r="AQ144" s="64"/>
      <c r="AR144" s="64"/>
      <c r="AS144" s="64"/>
      <c r="AT144" s="64"/>
      <c r="AX144" s="64"/>
      <c r="AY144" s="64"/>
      <c r="AZ144" s="64"/>
      <c r="BA144" s="67"/>
      <c r="BB144" s="67"/>
      <c r="BC144" s="67"/>
      <c r="BD144" s="66"/>
      <c r="BH144" s="64"/>
      <c r="BI144" s="64"/>
      <c r="BJ144" s="64"/>
      <c r="BK144" s="64"/>
      <c r="BL144" s="64"/>
      <c r="BM144" s="64"/>
      <c r="BN144" s="64"/>
    </row>
    <row r="145" ht="30.0" customHeight="1">
      <c r="A145" s="81"/>
      <c r="B145" s="82"/>
      <c r="C145" s="83"/>
      <c r="D145" s="84"/>
      <c r="E145" s="84"/>
      <c r="F145" s="85"/>
      <c r="G145" s="86">
        <f>IFERROR(__xludf.DUMMYFUNCTION("LET(
  monthStart,DATE(VALUE(REGEXEXTRACT(G$1,""\d{4}"")),VALUE(REGEXEXTRACT(G$1,""T(\d+)"")),1),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H145" s="86">
        <f>IFERROR(__xludf.DUMMYFUNCTION("LET(
  monthStart,DATE(VALUE(REGEXEXTRACT(H$1,""\d{4}"")),VALUE(REGEXEXTRACT(H$1,""T(\d+)"")),1),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I145" s="86">
        <f>IFERROR(__xludf.DUMMYFUNCTION("LET(
  monthStart,DATE(VALUE(REGEXEXTRACT(I$1,""\d{4}"")),VALUE(REGEXEXTRACT(I$1,""T(\d+)"")),1),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J145" s="86">
        <f>IFERROR(__xludf.DUMMYFUNCTION("LET(
  monthStart,DATE(VALUE(REGEXEXTRACT(J$1,""\d{4}"")),VALUE(REGEXEXTRACT(J$1,""T(\d+)"")),1),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K145" s="86">
        <f>IFERROR(__xludf.DUMMYFUNCTION("LET(
  monthStart,DATE(VALUE(REGEXEXTRACT(K$1,""\d{4}"")),VALUE(REGEXEXTRACT(K$1,""T(\d+)"")),1),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L145" s="86">
        <f>IFERROR(__xludf.DUMMYFUNCTION("LET(
  monthStart,DATE(VALUE(REGEXEXTRACT(L$1,""\d{4}"")),VALUE(REGEXEXTRACT(L$1,""T(\d+)"")),1),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M145" s="86">
        <f>IFERROR(__xludf.DUMMYFUNCTION("LET(
  monthStart,DATE(VALUE(REGEXEXTRACT(M$1,""\d{4}"")),VALUE(REGEXEXTRACT(M$1,""T(\d+)"")),1),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N145" s="86">
        <f>IFERROR(__xludf.DUMMYFUNCTION("LET(
  monthStart,DATE(VALUE(REGEXEXTRACT(N$1,""\d{4}"")),VALUE(REGEXEXTRACT(N$1,""T(\d+)"")),1),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O145" s="86">
        <f>IFERROR(__xludf.DUMMYFUNCTION("LET(
  monthStart,DATE(VALUE(REGEXEXTRACT(O$1,""\d{4}"")),VALUE(REGEXEXTRACT(O$1,""T(\d+)"")),1),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P145" s="86">
        <f>IFERROR(__xludf.DUMMYFUNCTION("LET(
  monthStart,DATE(VALUE(REGEXEXTRACT(P$1,""\d{4}"")),VALUE(REGEXEXTRACT(P$1,""T(\d+)"")),1),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Q145" s="86">
        <f>IFERROR(__xludf.DUMMYFUNCTION("LET(
  monthStart,DATE(VALUE(REGEXEXTRACT(Q$1,""\d{4}"")),VALUE(REGEXEXTRACT(Q$1,""T(\d+)"")),1),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R145" s="86">
        <f>IFERROR(__xludf.DUMMYFUNCTION("LET(
  monthStart,DATE(VALUE(REGEXEXTRACT(R$1,""\d{4}"")),VALUE(REGEXEXTRACT(R$1,""T(\d+)"")),1),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S145" s="86">
        <f>IFERROR(__xludf.DUMMYFUNCTION("LET(
  monthStart,DATE(VALUE(REGEXEXTRACT(S$1,""\d{4}"")),VALUE(REGEXEXTRACT(S$1,""T(\d+)"")),1),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T145" s="86">
        <f>IFERROR(__xludf.DUMMYFUNCTION("LET(
  monthStart,DATE(VALUE(REGEXEXTRACT(T$1,""\d{4}"")),VALUE(REGEXEXTRACT(T$1,""T(\d+)"")),1),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U145" s="86">
        <f>IFERROR(__xludf.DUMMYFUNCTION("LET(
  monthStart,DATE(VALUE(REGEXEXTRACT(U$1,""\d{4}"")),VALUE(REGEXEXTRACT(U$1,""T(\d+)"")),1),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V145" s="86">
        <f>IFERROR(__xludf.DUMMYFUNCTION("LET(
  monthStart,DATE(VALUE(REGEXEXTRACT(V$1,""\d{4}"")),VALUE(REGEXEXTRACT(V$1,""T(\d+)"")),1),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W145" s="86">
        <f>IFERROR(__xludf.DUMMYFUNCTION("LET(
  monthStart,DATE(VALUE(REGEXEXTRACT(W$1,""\d{4}"")),VALUE(REGEXEXTRACT(W$1,""T(\d+)"")),1),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X145" s="86">
        <f>IFERROR(__xludf.DUMMYFUNCTION("LET(
  monthStart,DATE(VALUE(REGEXEXTRACT(X$1,""\d{4}"")),VALUE(REGEXEXTRACT(X$1,""T(\d+)"")),1),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Y145" s="86">
        <f>IFERROR(__xludf.DUMMYFUNCTION("LET(
  monthStart,DATE(VALUE(REGEXEXTRACT(Y$1,""\d{4}"")),VALUE(REGEXEXTRACT(Y$1,""T(\d+)"")),1),
  monthEnd,EOMONTH(monthStart,0),
  actualStart,MAX($D145,monthStart),
  actualEnd,MIN($E145,monthEnd),
  workingDaysInMonth,NETWORKDAYS(monthStart,monthEnd)"&amp;",
  workingDaysOverlap,IF(actualStart&gt;actualEnd,0,NETWORKDAYS(actualStart,actualEnd)),
  IF(workingDaysOverlap=0,"""",$F145*workingDaysOverlap/workingDaysInMonth)
)"),0.0)</f>
        <v>0</v>
      </c>
      <c r="Z145" s="64"/>
      <c r="AA145" s="64"/>
      <c r="AB145" s="64"/>
      <c r="AC145" s="64"/>
      <c r="AD145" s="64"/>
      <c r="AE145" s="64"/>
      <c r="AF145" s="64"/>
      <c r="AG145" s="64"/>
      <c r="AH145" s="64"/>
      <c r="AI145" s="75"/>
      <c r="AJ145" s="64"/>
      <c r="AK145" s="64"/>
      <c r="AO145" s="64"/>
      <c r="AP145" s="64"/>
      <c r="AQ145" s="64"/>
      <c r="AR145" s="64"/>
      <c r="AS145" s="64"/>
      <c r="AT145" s="64"/>
      <c r="AX145" s="64"/>
      <c r="AY145" s="77"/>
      <c r="AZ145" s="78"/>
      <c r="BA145" s="87"/>
      <c r="BB145" s="72"/>
      <c r="BC145" s="72"/>
      <c r="BD145" s="67"/>
      <c r="BH145" s="64"/>
      <c r="BI145" s="64"/>
      <c r="BJ145" s="64"/>
      <c r="BK145" s="64"/>
      <c r="BL145" s="64"/>
      <c r="BM145" s="64"/>
      <c r="BN145" s="64"/>
    </row>
    <row r="146" ht="30.0" customHeight="1">
      <c r="A146" s="81"/>
      <c r="B146" s="82"/>
      <c r="C146" s="83"/>
      <c r="D146" s="84"/>
      <c r="E146" s="84"/>
      <c r="F146" s="85"/>
      <c r="G146" s="86">
        <f>IFERROR(__xludf.DUMMYFUNCTION("LET(
  monthStart,DATE(VALUE(REGEXEXTRACT(G$1,""\d{4}"")),VALUE(REGEXEXTRACT(G$1,""T(\d+)"")),1),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H146" s="86">
        <f>IFERROR(__xludf.DUMMYFUNCTION("LET(
  monthStart,DATE(VALUE(REGEXEXTRACT(H$1,""\d{4}"")),VALUE(REGEXEXTRACT(H$1,""T(\d+)"")),1),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I146" s="86">
        <f>IFERROR(__xludf.DUMMYFUNCTION("LET(
  monthStart,DATE(VALUE(REGEXEXTRACT(I$1,""\d{4}"")),VALUE(REGEXEXTRACT(I$1,""T(\d+)"")),1),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J146" s="86">
        <f>IFERROR(__xludf.DUMMYFUNCTION("LET(
  monthStart,DATE(VALUE(REGEXEXTRACT(J$1,""\d{4}"")),VALUE(REGEXEXTRACT(J$1,""T(\d+)"")),1),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K146" s="86">
        <f>IFERROR(__xludf.DUMMYFUNCTION("LET(
  monthStart,DATE(VALUE(REGEXEXTRACT(K$1,""\d{4}"")),VALUE(REGEXEXTRACT(K$1,""T(\d+)"")),1),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L146" s="86">
        <f>IFERROR(__xludf.DUMMYFUNCTION("LET(
  monthStart,DATE(VALUE(REGEXEXTRACT(L$1,""\d{4}"")),VALUE(REGEXEXTRACT(L$1,""T(\d+)"")),1),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M146" s="86">
        <f>IFERROR(__xludf.DUMMYFUNCTION("LET(
  monthStart,DATE(VALUE(REGEXEXTRACT(M$1,""\d{4}"")),VALUE(REGEXEXTRACT(M$1,""T(\d+)"")),1),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N146" s="86">
        <f>IFERROR(__xludf.DUMMYFUNCTION("LET(
  monthStart,DATE(VALUE(REGEXEXTRACT(N$1,""\d{4}"")),VALUE(REGEXEXTRACT(N$1,""T(\d+)"")),1),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O146" s="86">
        <f>IFERROR(__xludf.DUMMYFUNCTION("LET(
  monthStart,DATE(VALUE(REGEXEXTRACT(O$1,""\d{4}"")),VALUE(REGEXEXTRACT(O$1,""T(\d+)"")),1),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P146" s="86">
        <f>IFERROR(__xludf.DUMMYFUNCTION("LET(
  monthStart,DATE(VALUE(REGEXEXTRACT(P$1,""\d{4}"")),VALUE(REGEXEXTRACT(P$1,""T(\d+)"")),1),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Q146" s="86">
        <f>IFERROR(__xludf.DUMMYFUNCTION("LET(
  monthStart,DATE(VALUE(REGEXEXTRACT(Q$1,""\d{4}"")),VALUE(REGEXEXTRACT(Q$1,""T(\d+)"")),1),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R146" s="86">
        <f>IFERROR(__xludf.DUMMYFUNCTION("LET(
  monthStart,DATE(VALUE(REGEXEXTRACT(R$1,""\d{4}"")),VALUE(REGEXEXTRACT(R$1,""T(\d+)"")),1),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S146" s="86">
        <f>IFERROR(__xludf.DUMMYFUNCTION("LET(
  monthStart,DATE(VALUE(REGEXEXTRACT(S$1,""\d{4}"")),VALUE(REGEXEXTRACT(S$1,""T(\d+)"")),1),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T146" s="86">
        <f>IFERROR(__xludf.DUMMYFUNCTION("LET(
  monthStart,DATE(VALUE(REGEXEXTRACT(T$1,""\d{4}"")),VALUE(REGEXEXTRACT(T$1,""T(\d+)"")),1),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U146" s="86">
        <f>IFERROR(__xludf.DUMMYFUNCTION("LET(
  monthStart,DATE(VALUE(REGEXEXTRACT(U$1,""\d{4}"")),VALUE(REGEXEXTRACT(U$1,""T(\d+)"")),1),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V146" s="86">
        <f>IFERROR(__xludf.DUMMYFUNCTION("LET(
  monthStart,DATE(VALUE(REGEXEXTRACT(V$1,""\d{4}"")),VALUE(REGEXEXTRACT(V$1,""T(\d+)"")),1),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W146" s="86">
        <f>IFERROR(__xludf.DUMMYFUNCTION("LET(
  monthStart,DATE(VALUE(REGEXEXTRACT(W$1,""\d{4}"")),VALUE(REGEXEXTRACT(W$1,""T(\d+)"")),1),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X146" s="86">
        <f>IFERROR(__xludf.DUMMYFUNCTION("LET(
  monthStart,DATE(VALUE(REGEXEXTRACT(X$1,""\d{4}"")),VALUE(REGEXEXTRACT(X$1,""T(\d+)"")),1),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Y146" s="86">
        <f>IFERROR(__xludf.DUMMYFUNCTION("LET(
  monthStart,DATE(VALUE(REGEXEXTRACT(Y$1,""\d{4}"")),VALUE(REGEXEXTRACT(Y$1,""T(\d+)"")),1),
  monthEnd,EOMONTH(monthStart,0),
  actualStart,MAX($D146,monthStart),
  actualEnd,MIN($E146,monthEnd),
  workingDaysInMonth,NETWORKDAYS(monthStart,monthEnd)"&amp;",
  workingDaysOverlap,IF(actualStart&gt;actualEnd,0,NETWORKDAYS(actualStart,actualEnd)),
  IF(workingDaysOverlap=0,"""",$F146*workingDaysOverlap/workingDaysInMonth)
)"),0.0)</f>
        <v>0</v>
      </c>
      <c r="Z146" s="64"/>
      <c r="AA146" s="64"/>
      <c r="AB146" s="64"/>
      <c r="AC146" s="64"/>
      <c r="AD146" s="64"/>
      <c r="AE146" s="64"/>
      <c r="AF146" s="64"/>
      <c r="AG146" s="64"/>
      <c r="AH146" s="64"/>
      <c r="AI146" s="75"/>
      <c r="AJ146" s="64"/>
      <c r="AK146" s="64"/>
      <c r="AO146" s="64"/>
      <c r="AP146" s="64"/>
      <c r="AQ146" s="64"/>
      <c r="AR146" s="64"/>
      <c r="AS146" s="64"/>
      <c r="AT146" s="64"/>
      <c r="AX146" s="64"/>
      <c r="AY146" s="77"/>
      <c r="AZ146" s="77"/>
      <c r="BA146" s="87"/>
      <c r="BB146" s="72"/>
      <c r="BC146" s="72"/>
      <c r="BD146" s="67"/>
      <c r="BH146" s="64"/>
      <c r="BI146" s="64"/>
      <c r="BJ146" s="64"/>
      <c r="BK146" s="64"/>
      <c r="BL146" s="64"/>
      <c r="BM146" s="64"/>
      <c r="BN146" s="64"/>
    </row>
    <row r="147" ht="30.0" customHeight="1">
      <c r="A147" s="81"/>
      <c r="B147" s="82"/>
      <c r="C147" s="83"/>
      <c r="D147" s="84"/>
      <c r="E147" s="84"/>
      <c r="F147" s="85"/>
      <c r="G147" s="86">
        <f>IFERROR(__xludf.DUMMYFUNCTION("LET(
  monthStart,DATE(VALUE(REGEXEXTRACT(G$1,""\d{4}"")),VALUE(REGEXEXTRACT(G$1,""T(\d+)"")),1),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H147" s="86">
        <f>IFERROR(__xludf.DUMMYFUNCTION("LET(
  monthStart,DATE(VALUE(REGEXEXTRACT(H$1,""\d{4}"")),VALUE(REGEXEXTRACT(H$1,""T(\d+)"")),1),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I147" s="86">
        <f>IFERROR(__xludf.DUMMYFUNCTION("LET(
  monthStart,DATE(VALUE(REGEXEXTRACT(I$1,""\d{4}"")),VALUE(REGEXEXTRACT(I$1,""T(\d+)"")),1),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J147" s="86">
        <f>IFERROR(__xludf.DUMMYFUNCTION("LET(
  monthStart,DATE(VALUE(REGEXEXTRACT(J$1,""\d{4}"")),VALUE(REGEXEXTRACT(J$1,""T(\d+)"")),1),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K147" s="86">
        <f>IFERROR(__xludf.DUMMYFUNCTION("LET(
  monthStart,DATE(VALUE(REGEXEXTRACT(K$1,""\d{4}"")),VALUE(REGEXEXTRACT(K$1,""T(\d+)"")),1),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L147" s="86">
        <f>IFERROR(__xludf.DUMMYFUNCTION("LET(
  monthStart,DATE(VALUE(REGEXEXTRACT(L$1,""\d{4}"")),VALUE(REGEXEXTRACT(L$1,""T(\d+)"")),1),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M147" s="86">
        <f>IFERROR(__xludf.DUMMYFUNCTION("LET(
  monthStart,DATE(VALUE(REGEXEXTRACT(M$1,""\d{4}"")),VALUE(REGEXEXTRACT(M$1,""T(\d+)"")),1),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N147" s="86">
        <f>IFERROR(__xludf.DUMMYFUNCTION("LET(
  monthStart,DATE(VALUE(REGEXEXTRACT(N$1,""\d{4}"")),VALUE(REGEXEXTRACT(N$1,""T(\d+)"")),1),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O147" s="86">
        <f>IFERROR(__xludf.DUMMYFUNCTION("LET(
  monthStart,DATE(VALUE(REGEXEXTRACT(O$1,""\d{4}"")),VALUE(REGEXEXTRACT(O$1,""T(\d+)"")),1),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P147" s="86">
        <f>IFERROR(__xludf.DUMMYFUNCTION("LET(
  monthStart,DATE(VALUE(REGEXEXTRACT(P$1,""\d{4}"")),VALUE(REGEXEXTRACT(P$1,""T(\d+)"")),1),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Q147" s="86">
        <f>IFERROR(__xludf.DUMMYFUNCTION("LET(
  monthStart,DATE(VALUE(REGEXEXTRACT(Q$1,""\d{4}"")),VALUE(REGEXEXTRACT(Q$1,""T(\d+)"")),1),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R147" s="86">
        <f>IFERROR(__xludf.DUMMYFUNCTION("LET(
  monthStart,DATE(VALUE(REGEXEXTRACT(R$1,""\d{4}"")),VALUE(REGEXEXTRACT(R$1,""T(\d+)"")),1),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S147" s="86">
        <f>IFERROR(__xludf.DUMMYFUNCTION("LET(
  monthStart,DATE(VALUE(REGEXEXTRACT(S$1,""\d{4}"")),VALUE(REGEXEXTRACT(S$1,""T(\d+)"")),1),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T147" s="86">
        <f>IFERROR(__xludf.DUMMYFUNCTION("LET(
  monthStart,DATE(VALUE(REGEXEXTRACT(T$1,""\d{4}"")),VALUE(REGEXEXTRACT(T$1,""T(\d+)"")),1),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U147" s="86">
        <f>IFERROR(__xludf.DUMMYFUNCTION("LET(
  monthStart,DATE(VALUE(REGEXEXTRACT(U$1,""\d{4}"")),VALUE(REGEXEXTRACT(U$1,""T(\d+)"")),1),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V147" s="86">
        <f>IFERROR(__xludf.DUMMYFUNCTION("LET(
  monthStart,DATE(VALUE(REGEXEXTRACT(V$1,""\d{4}"")),VALUE(REGEXEXTRACT(V$1,""T(\d+)"")),1),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W147" s="86">
        <f>IFERROR(__xludf.DUMMYFUNCTION("LET(
  monthStart,DATE(VALUE(REGEXEXTRACT(W$1,""\d{4}"")),VALUE(REGEXEXTRACT(W$1,""T(\d+)"")),1),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X147" s="86">
        <f>IFERROR(__xludf.DUMMYFUNCTION("LET(
  monthStart,DATE(VALUE(REGEXEXTRACT(X$1,""\d{4}"")),VALUE(REGEXEXTRACT(X$1,""T(\d+)"")),1),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Y147" s="86">
        <f>IFERROR(__xludf.DUMMYFUNCTION("LET(
  monthStart,DATE(VALUE(REGEXEXTRACT(Y$1,""\d{4}"")),VALUE(REGEXEXTRACT(Y$1,""T(\d+)"")),1),
  monthEnd,EOMONTH(monthStart,0),
  actualStart,MAX($D147,monthStart),
  actualEnd,MIN($E147,monthEnd),
  workingDaysInMonth,NETWORKDAYS(monthStart,monthEnd)"&amp;",
  workingDaysOverlap,IF(actualStart&gt;actualEnd,0,NETWORKDAYS(actualStart,actualEnd)),
  IF(workingDaysOverlap=0,"""",$F147*workingDaysOverlap/workingDaysInMonth)
)"),0.0)</f>
        <v>0</v>
      </c>
      <c r="Z147" s="64"/>
      <c r="AA147" s="64"/>
      <c r="AB147" s="64"/>
      <c r="AC147" s="64"/>
      <c r="AD147" s="64"/>
      <c r="AE147" s="64"/>
      <c r="AF147" s="64"/>
      <c r="AG147" s="64"/>
      <c r="AH147" s="64"/>
      <c r="AI147" s="75"/>
      <c r="AJ147" s="64"/>
      <c r="AK147" s="64"/>
      <c r="AO147" s="64"/>
      <c r="AP147" s="64"/>
      <c r="AQ147" s="64"/>
      <c r="AR147" s="64"/>
      <c r="AS147" s="64"/>
      <c r="AT147" s="64"/>
      <c r="AX147" s="64"/>
      <c r="AY147" s="77"/>
      <c r="AZ147" s="77"/>
      <c r="BA147" s="87"/>
      <c r="BB147" s="72"/>
      <c r="BC147" s="72"/>
      <c r="BD147" s="67"/>
      <c r="BH147" s="64"/>
      <c r="BI147" s="64"/>
      <c r="BJ147" s="64"/>
      <c r="BK147" s="64"/>
      <c r="BL147" s="64"/>
      <c r="BM147" s="64"/>
      <c r="BN147" s="64"/>
    </row>
    <row r="148" ht="30.0" customHeight="1">
      <c r="A148" s="81"/>
      <c r="B148" s="82"/>
      <c r="C148" s="83"/>
      <c r="D148" s="84"/>
      <c r="E148" s="84"/>
      <c r="F148" s="85"/>
      <c r="G148" s="86">
        <f>IFERROR(__xludf.DUMMYFUNCTION("LET(
  monthStart,DATE(VALUE(REGEXEXTRACT(G$1,""\d{4}"")),VALUE(REGEXEXTRACT(G$1,""T(\d+)"")),1),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H148" s="86">
        <f>IFERROR(__xludf.DUMMYFUNCTION("LET(
  monthStart,DATE(VALUE(REGEXEXTRACT(H$1,""\d{4}"")),VALUE(REGEXEXTRACT(H$1,""T(\d+)"")),1),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I148" s="86">
        <f>IFERROR(__xludf.DUMMYFUNCTION("LET(
  monthStart,DATE(VALUE(REGEXEXTRACT(I$1,""\d{4}"")),VALUE(REGEXEXTRACT(I$1,""T(\d+)"")),1),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J148" s="86">
        <f>IFERROR(__xludf.DUMMYFUNCTION("LET(
  monthStart,DATE(VALUE(REGEXEXTRACT(J$1,""\d{4}"")),VALUE(REGEXEXTRACT(J$1,""T(\d+)"")),1),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K148" s="86">
        <f>IFERROR(__xludf.DUMMYFUNCTION("LET(
  monthStart,DATE(VALUE(REGEXEXTRACT(K$1,""\d{4}"")),VALUE(REGEXEXTRACT(K$1,""T(\d+)"")),1),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L148" s="86">
        <f>IFERROR(__xludf.DUMMYFUNCTION("LET(
  monthStart,DATE(VALUE(REGEXEXTRACT(L$1,""\d{4}"")),VALUE(REGEXEXTRACT(L$1,""T(\d+)"")),1),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M148" s="86">
        <f>IFERROR(__xludf.DUMMYFUNCTION("LET(
  monthStart,DATE(VALUE(REGEXEXTRACT(M$1,""\d{4}"")),VALUE(REGEXEXTRACT(M$1,""T(\d+)"")),1),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N148" s="86">
        <f>IFERROR(__xludf.DUMMYFUNCTION("LET(
  monthStart,DATE(VALUE(REGEXEXTRACT(N$1,""\d{4}"")),VALUE(REGEXEXTRACT(N$1,""T(\d+)"")),1),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O148" s="86">
        <f>IFERROR(__xludf.DUMMYFUNCTION("LET(
  monthStart,DATE(VALUE(REGEXEXTRACT(O$1,""\d{4}"")),VALUE(REGEXEXTRACT(O$1,""T(\d+)"")),1),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P148" s="86">
        <f>IFERROR(__xludf.DUMMYFUNCTION("LET(
  monthStart,DATE(VALUE(REGEXEXTRACT(P$1,""\d{4}"")),VALUE(REGEXEXTRACT(P$1,""T(\d+)"")),1),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Q148" s="86">
        <f>IFERROR(__xludf.DUMMYFUNCTION("LET(
  monthStart,DATE(VALUE(REGEXEXTRACT(Q$1,""\d{4}"")),VALUE(REGEXEXTRACT(Q$1,""T(\d+)"")),1),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R148" s="86">
        <f>IFERROR(__xludf.DUMMYFUNCTION("LET(
  monthStart,DATE(VALUE(REGEXEXTRACT(R$1,""\d{4}"")),VALUE(REGEXEXTRACT(R$1,""T(\d+)"")),1),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S148" s="86">
        <f>IFERROR(__xludf.DUMMYFUNCTION("LET(
  monthStart,DATE(VALUE(REGEXEXTRACT(S$1,""\d{4}"")),VALUE(REGEXEXTRACT(S$1,""T(\d+)"")),1),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T148" s="86">
        <f>IFERROR(__xludf.DUMMYFUNCTION("LET(
  monthStart,DATE(VALUE(REGEXEXTRACT(T$1,""\d{4}"")),VALUE(REGEXEXTRACT(T$1,""T(\d+)"")),1),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U148" s="86">
        <f>IFERROR(__xludf.DUMMYFUNCTION("LET(
  monthStart,DATE(VALUE(REGEXEXTRACT(U$1,""\d{4}"")),VALUE(REGEXEXTRACT(U$1,""T(\d+)"")),1),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V148" s="86">
        <f>IFERROR(__xludf.DUMMYFUNCTION("LET(
  monthStart,DATE(VALUE(REGEXEXTRACT(V$1,""\d{4}"")),VALUE(REGEXEXTRACT(V$1,""T(\d+)"")),1),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W148" s="86">
        <f>IFERROR(__xludf.DUMMYFUNCTION("LET(
  monthStart,DATE(VALUE(REGEXEXTRACT(W$1,""\d{4}"")),VALUE(REGEXEXTRACT(W$1,""T(\d+)"")),1),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X148" s="86">
        <f>IFERROR(__xludf.DUMMYFUNCTION("LET(
  monthStart,DATE(VALUE(REGEXEXTRACT(X$1,""\d{4}"")),VALUE(REGEXEXTRACT(X$1,""T(\d+)"")),1),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Y148" s="86">
        <f>IFERROR(__xludf.DUMMYFUNCTION("LET(
  monthStart,DATE(VALUE(REGEXEXTRACT(Y$1,""\d{4}"")),VALUE(REGEXEXTRACT(Y$1,""T(\d+)"")),1),
  monthEnd,EOMONTH(monthStart,0),
  actualStart,MAX($D148,monthStart),
  actualEnd,MIN($E148,monthEnd),
  workingDaysInMonth,NETWORKDAYS(monthStart,monthEnd)"&amp;",
  workingDaysOverlap,IF(actualStart&gt;actualEnd,0,NETWORKDAYS(actualStart,actualEnd)),
  IF(workingDaysOverlap=0,"""",$F148*workingDaysOverlap/workingDaysInMonth)
)"),0.0)</f>
        <v>0</v>
      </c>
      <c r="Z148" s="64"/>
      <c r="AA148" s="64"/>
      <c r="AB148" s="64"/>
      <c r="AC148" s="64"/>
      <c r="AD148" s="64"/>
      <c r="AE148" s="64"/>
      <c r="AF148" s="64"/>
      <c r="AG148" s="64"/>
      <c r="AH148" s="64"/>
      <c r="AI148" s="64"/>
      <c r="AJ148" s="64"/>
      <c r="AK148" s="64"/>
      <c r="AO148" s="64"/>
      <c r="AP148" s="64"/>
      <c r="AQ148" s="64"/>
      <c r="AR148" s="64"/>
      <c r="AS148" s="64"/>
      <c r="AT148" s="64"/>
      <c r="AX148" s="64"/>
      <c r="AY148" s="77"/>
      <c r="AZ148" s="78"/>
      <c r="BA148" s="77"/>
      <c r="BB148" s="74"/>
      <c r="BC148" s="74"/>
      <c r="BD148" s="67"/>
      <c r="BH148" s="64"/>
      <c r="BI148" s="64"/>
      <c r="BJ148" s="64"/>
      <c r="BK148" s="64"/>
      <c r="BL148" s="64"/>
      <c r="BM148" s="64"/>
      <c r="BN148" s="64"/>
    </row>
    <row r="149" ht="30.0" customHeight="1">
      <c r="A149" s="81"/>
      <c r="B149" s="82"/>
      <c r="C149" s="83"/>
      <c r="D149" s="84"/>
      <c r="E149" s="84"/>
      <c r="F149" s="85"/>
      <c r="G149" s="86">
        <f>IFERROR(__xludf.DUMMYFUNCTION("LET(
  monthStart,DATE(VALUE(REGEXEXTRACT(G$1,""\d{4}"")),VALUE(REGEXEXTRACT(G$1,""T(\d+)"")),1),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H149" s="86">
        <f>IFERROR(__xludf.DUMMYFUNCTION("LET(
  monthStart,DATE(VALUE(REGEXEXTRACT(H$1,""\d{4}"")),VALUE(REGEXEXTRACT(H$1,""T(\d+)"")),1),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I149" s="86">
        <f>IFERROR(__xludf.DUMMYFUNCTION("LET(
  monthStart,DATE(VALUE(REGEXEXTRACT(I$1,""\d{4}"")),VALUE(REGEXEXTRACT(I$1,""T(\d+)"")),1),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J149" s="86">
        <f>IFERROR(__xludf.DUMMYFUNCTION("LET(
  monthStart,DATE(VALUE(REGEXEXTRACT(J$1,""\d{4}"")),VALUE(REGEXEXTRACT(J$1,""T(\d+)"")),1),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K149" s="86">
        <f>IFERROR(__xludf.DUMMYFUNCTION("LET(
  monthStart,DATE(VALUE(REGEXEXTRACT(K$1,""\d{4}"")),VALUE(REGEXEXTRACT(K$1,""T(\d+)"")),1),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L149" s="86">
        <f>IFERROR(__xludf.DUMMYFUNCTION("LET(
  monthStart,DATE(VALUE(REGEXEXTRACT(L$1,""\d{4}"")),VALUE(REGEXEXTRACT(L$1,""T(\d+)"")),1),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M149" s="86">
        <f>IFERROR(__xludf.DUMMYFUNCTION("LET(
  monthStart,DATE(VALUE(REGEXEXTRACT(M$1,""\d{4}"")),VALUE(REGEXEXTRACT(M$1,""T(\d+)"")),1),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N149" s="86">
        <f>IFERROR(__xludf.DUMMYFUNCTION("LET(
  monthStart,DATE(VALUE(REGEXEXTRACT(N$1,""\d{4}"")),VALUE(REGEXEXTRACT(N$1,""T(\d+)"")),1),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O149" s="86">
        <f>IFERROR(__xludf.DUMMYFUNCTION("LET(
  monthStart,DATE(VALUE(REGEXEXTRACT(O$1,""\d{4}"")),VALUE(REGEXEXTRACT(O$1,""T(\d+)"")),1),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P149" s="86">
        <f>IFERROR(__xludf.DUMMYFUNCTION("LET(
  monthStart,DATE(VALUE(REGEXEXTRACT(P$1,""\d{4}"")),VALUE(REGEXEXTRACT(P$1,""T(\d+)"")),1),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Q149" s="86">
        <f>IFERROR(__xludf.DUMMYFUNCTION("LET(
  monthStart,DATE(VALUE(REGEXEXTRACT(Q$1,""\d{4}"")),VALUE(REGEXEXTRACT(Q$1,""T(\d+)"")),1),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R149" s="86">
        <f>IFERROR(__xludf.DUMMYFUNCTION("LET(
  monthStart,DATE(VALUE(REGEXEXTRACT(R$1,""\d{4}"")),VALUE(REGEXEXTRACT(R$1,""T(\d+)"")),1),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S149" s="86">
        <f>IFERROR(__xludf.DUMMYFUNCTION("LET(
  monthStart,DATE(VALUE(REGEXEXTRACT(S$1,""\d{4}"")),VALUE(REGEXEXTRACT(S$1,""T(\d+)"")),1),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T149" s="86">
        <f>IFERROR(__xludf.DUMMYFUNCTION("LET(
  monthStart,DATE(VALUE(REGEXEXTRACT(T$1,""\d{4}"")),VALUE(REGEXEXTRACT(T$1,""T(\d+)"")),1),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U149" s="86">
        <f>IFERROR(__xludf.DUMMYFUNCTION("LET(
  monthStart,DATE(VALUE(REGEXEXTRACT(U$1,""\d{4}"")),VALUE(REGEXEXTRACT(U$1,""T(\d+)"")),1),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V149" s="86">
        <f>IFERROR(__xludf.DUMMYFUNCTION("LET(
  monthStart,DATE(VALUE(REGEXEXTRACT(V$1,""\d{4}"")),VALUE(REGEXEXTRACT(V$1,""T(\d+)"")),1),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W149" s="86">
        <f>IFERROR(__xludf.DUMMYFUNCTION("LET(
  monthStart,DATE(VALUE(REGEXEXTRACT(W$1,""\d{4}"")),VALUE(REGEXEXTRACT(W$1,""T(\d+)"")),1),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X149" s="86">
        <f>IFERROR(__xludf.DUMMYFUNCTION("LET(
  monthStart,DATE(VALUE(REGEXEXTRACT(X$1,""\d{4}"")),VALUE(REGEXEXTRACT(X$1,""T(\d+)"")),1),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Y149" s="86">
        <f>IFERROR(__xludf.DUMMYFUNCTION("LET(
  monthStart,DATE(VALUE(REGEXEXTRACT(Y$1,""\d{4}"")),VALUE(REGEXEXTRACT(Y$1,""T(\d+)"")),1),
  monthEnd,EOMONTH(monthStart,0),
  actualStart,MAX($D149,monthStart),
  actualEnd,MIN($E149,monthEnd),
  workingDaysInMonth,NETWORKDAYS(monthStart,monthEnd)"&amp;",
  workingDaysOverlap,IF(actualStart&gt;actualEnd,0,NETWORKDAYS(actualStart,actualEnd)),
  IF(workingDaysOverlap=0,"""",$F149*workingDaysOverlap/workingDaysInMonth)
)"),0.0)</f>
        <v>0</v>
      </c>
      <c r="Z149" s="64"/>
      <c r="AA149" s="64"/>
      <c r="AB149" s="64"/>
      <c r="AC149" s="64"/>
      <c r="AD149" s="64"/>
      <c r="AE149" s="64"/>
      <c r="AF149" s="64"/>
      <c r="AG149" s="64"/>
      <c r="AH149" s="64"/>
      <c r="AI149" s="64"/>
      <c r="AJ149" s="64"/>
      <c r="AK149" s="64"/>
      <c r="AO149" s="64"/>
      <c r="AP149" s="64"/>
      <c r="AQ149" s="64"/>
      <c r="AR149" s="64"/>
      <c r="AS149" s="64"/>
      <c r="AT149" s="64"/>
      <c r="AX149" s="64"/>
      <c r="AY149" s="77"/>
      <c r="AZ149" s="78"/>
      <c r="BA149" s="77"/>
      <c r="BB149" s="74"/>
      <c r="BC149" s="74"/>
      <c r="BD149" s="67"/>
      <c r="BH149" s="64"/>
      <c r="BI149" s="64"/>
      <c r="BJ149" s="64"/>
      <c r="BK149" s="64"/>
      <c r="BL149" s="64"/>
      <c r="BM149" s="64"/>
      <c r="BN149" s="64"/>
    </row>
    <row r="150" ht="30.0" customHeight="1">
      <c r="A150" s="81"/>
      <c r="B150" s="82"/>
      <c r="C150" s="83"/>
      <c r="D150" s="84"/>
      <c r="E150" s="84"/>
      <c r="F150" s="85"/>
      <c r="G150" s="86">
        <f>IFERROR(__xludf.DUMMYFUNCTION("LET(
  monthStart,DATE(VALUE(REGEXEXTRACT(G$1,""\d{4}"")),VALUE(REGEXEXTRACT(G$1,""T(\d+)"")),1),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H150" s="86">
        <f>IFERROR(__xludf.DUMMYFUNCTION("LET(
  monthStart,DATE(VALUE(REGEXEXTRACT(H$1,""\d{4}"")),VALUE(REGEXEXTRACT(H$1,""T(\d+)"")),1),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I150" s="86">
        <f>IFERROR(__xludf.DUMMYFUNCTION("LET(
  monthStart,DATE(VALUE(REGEXEXTRACT(I$1,""\d{4}"")),VALUE(REGEXEXTRACT(I$1,""T(\d+)"")),1),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J150" s="86">
        <f>IFERROR(__xludf.DUMMYFUNCTION("LET(
  monthStart,DATE(VALUE(REGEXEXTRACT(J$1,""\d{4}"")),VALUE(REGEXEXTRACT(J$1,""T(\d+)"")),1),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K150" s="86">
        <f>IFERROR(__xludf.DUMMYFUNCTION("LET(
  monthStart,DATE(VALUE(REGEXEXTRACT(K$1,""\d{4}"")),VALUE(REGEXEXTRACT(K$1,""T(\d+)"")),1),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L150" s="86">
        <f>IFERROR(__xludf.DUMMYFUNCTION("LET(
  monthStart,DATE(VALUE(REGEXEXTRACT(L$1,""\d{4}"")),VALUE(REGEXEXTRACT(L$1,""T(\d+)"")),1),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M150" s="86">
        <f>IFERROR(__xludf.DUMMYFUNCTION("LET(
  monthStart,DATE(VALUE(REGEXEXTRACT(M$1,""\d{4}"")),VALUE(REGEXEXTRACT(M$1,""T(\d+)"")),1),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N150" s="86">
        <f>IFERROR(__xludf.DUMMYFUNCTION("LET(
  monthStart,DATE(VALUE(REGEXEXTRACT(N$1,""\d{4}"")),VALUE(REGEXEXTRACT(N$1,""T(\d+)"")),1),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O150" s="86">
        <f>IFERROR(__xludf.DUMMYFUNCTION("LET(
  monthStart,DATE(VALUE(REGEXEXTRACT(O$1,""\d{4}"")),VALUE(REGEXEXTRACT(O$1,""T(\d+)"")),1),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P150" s="86">
        <f>IFERROR(__xludf.DUMMYFUNCTION("LET(
  monthStart,DATE(VALUE(REGEXEXTRACT(P$1,""\d{4}"")),VALUE(REGEXEXTRACT(P$1,""T(\d+)"")),1),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Q150" s="86">
        <f>IFERROR(__xludf.DUMMYFUNCTION("LET(
  monthStart,DATE(VALUE(REGEXEXTRACT(Q$1,""\d{4}"")),VALUE(REGEXEXTRACT(Q$1,""T(\d+)"")),1),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R150" s="86">
        <f>IFERROR(__xludf.DUMMYFUNCTION("LET(
  monthStart,DATE(VALUE(REGEXEXTRACT(R$1,""\d{4}"")),VALUE(REGEXEXTRACT(R$1,""T(\d+)"")),1),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S150" s="86">
        <f>IFERROR(__xludf.DUMMYFUNCTION("LET(
  monthStart,DATE(VALUE(REGEXEXTRACT(S$1,""\d{4}"")),VALUE(REGEXEXTRACT(S$1,""T(\d+)"")),1),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T150" s="86">
        <f>IFERROR(__xludf.DUMMYFUNCTION("LET(
  monthStart,DATE(VALUE(REGEXEXTRACT(T$1,""\d{4}"")),VALUE(REGEXEXTRACT(T$1,""T(\d+)"")),1),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U150" s="86">
        <f>IFERROR(__xludf.DUMMYFUNCTION("LET(
  monthStart,DATE(VALUE(REGEXEXTRACT(U$1,""\d{4}"")),VALUE(REGEXEXTRACT(U$1,""T(\d+)"")),1),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V150" s="86">
        <f>IFERROR(__xludf.DUMMYFUNCTION("LET(
  monthStart,DATE(VALUE(REGEXEXTRACT(V$1,""\d{4}"")),VALUE(REGEXEXTRACT(V$1,""T(\d+)"")),1),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W150" s="86">
        <f>IFERROR(__xludf.DUMMYFUNCTION("LET(
  monthStart,DATE(VALUE(REGEXEXTRACT(W$1,""\d{4}"")),VALUE(REGEXEXTRACT(W$1,""T(\d+)"")),1),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X150" s="86">
        <f>IFERROR(__xludf.DUMMYFUNCTION("LET(
  monthStart,DATE(VALUE(REGEXEXTRACT(X$1,""\d{4}"")),VALUE(REGEXEXTRACT(X$1,""T(\d+)"")),1),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Y150" s="86">
        <f>IFERROR(__xludf.DUMMYFUNCTION("LET(
  monthStart,DATE(VALUE(REGEXEXTRACT(Y$1,""\d{4}"")),VALUE(REGEXEXTRACT(Y$1,""T(\d+)"")),1),
  monthEnd,EOMONTH(monthStart,0),
  actualStart,MAX($D150,monthStart),
  actualEnd,MIN($E150,monthEnd),
  workingDaysInMonth,NETWORKDAYS(monthStart,monthEnd)"&amp;",
  workingDaysOverlap,IF(actualStart&gt;actualEnd,0,NETWORKDAYS(actualStart,actualEnd)),
  IF(workingDaysOverlap=0,"""",$F150*workingDaysOverlap/workingDaysInMonth)
)"),0.0)</f>
        <v>0</v>
      </c>
      <c r="Z150" s="64"/>
      <c r="AA150" s="64"/>
      <c r="AB150" s="64"/>
      <c r="AC150" s="64"/>
      <c r="AD150" s="64"/>
      <c r="AE150" s="64"/>
      <c r="AF150" s="64"/>
      <c r="AG150" s="64"/>
      <c r="AH150" s="64"/>
      <c r="AI150" s="75"/>
      <c r="AJ150" s="64"/>
      <c r="AK150" s="64"/>
      <c r="AO150" s="64"/>
      <c r="AP150" s="64"/>
      <c r="AQ150" s="64"/>
      <c r="AR150" s="64"/>
      <c r="AS150" s="64"/>
      <c r="AT150" s="64"/>
      <c r="AX150" s="64"/>
      <c r="AY150" s="77"/>
      <c r="AZ150" s="77"/>
      <c r="BA150" s="87"/>
      <c r="BB150" s="72"/>
      <c r="BC150" s="72"/>
      <c r="BD150" s="67"/>
      <c r="BH150" s="64"/>
      <c r="BI150" s="64"/>
      <c r="BJ150" s="64"/>
      <c r="BK150" s="64"/>
      <c r="BL150" s="64"/>
      <c r="BM150" s="64"/>
      <c r="BN150" s="64"/>
    </row>
    <row r="151" ht="30.0" customHeight="1">
      <c r="A151" s="81"/>
      <c r="B151" s="82"/>
      <c r="C151" s="83"/>
      <c r="D151" s="84"/>
      <c r="E151" s="84"/>
      <c r="F151" s="85"/>
      <c r="G151" s="86">
        <f>IFERROR(__xludf.DUMMYFUNCTION("LET(
  monthStart,DATE(VALUE(REGEXEXTRACT(G$1,""\d{4}"")),VALUE(REGEXEXTRACT(G$1,""T(\d+)"")),1),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H151" s="86">
        <f>IFERROR(__xludf.DUMMYFUNCTION("LET(
  monthStart,DATE(VALUE(REGEXEXTRACT(H$1,""\d{4}"")),VALUE(REGEXEXTRACT(H$1,""T(\d+)"")),1),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I151" s="86">
        <f>IFERROR(__xludf.DUMMYFUNCTION("LET(
  monthStart,DATE(VALUE(REGEXEXTRACT(I$1,""\d{4}"")),VALUE(REGEXEXTRACT(I$1,""T(\d+)"")),1),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J151" s="86">
        <f>IFERROR(__xludf.DUMMYFUNCTION("LET(
  monthStart,DATE(VALUE(REGEXEXTRACT(J$1,""\d{4}"")),VALUE(REGEXEXTRACT(J$1,""T(\d+)"")),1),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K151" s="86">
        <f>IFERROR(__xludf.DUMMYFUNCTION("LET(
  monthStart,DATE(VALUE(REGEXEXTRACT(K$1,""\d{4}"")),VALUE(REGEXEXTRACT(K$1,""T(\d+)"")),1),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L151" s="86">
        <f>IFERROR(__xludf.DUMMYFUNCTION("LET(
  monthStart,DATE(VALUE(REGEXEXTRACT(L$1,""\d{4}"")),VALUE(REGEXEXTRACT(L$1,""T(\d+)"")),1),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M151" s="86">
        <f>IFERROR(__xludf.DUMMYFUNCTION("LET(
  monthStart,DATE(VALUE(REGEXEXTRACT(M$1,""\d{4}"")),VALUE(REGEXEXTRACT(M$1,""T(\d+)"")),1),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N151" s="86">
        <f>IFERROR(__xludf.DUMMYFUNCTION("LET(
  monthStart,DATE(VALUE(REGEXEXTRACT(N$1,""\d{4}"")),VALUE(REGEXEXTRACT(N$1,""T(\d+)"")),1),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O151" s="86">
        <f>IFERROR(__xludf.DUMMYFUNCTION("LET(
  monthStart,DATE(VALUE(REGEXEXTRACT(O$1,""\d{4}"")),VALUE(REGEXEXTRACT(O$1,""T(\d+)"")),1),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P151" s="86">
        <f>IFERROR(__xludf.DUMMYFUNCTION("LET(
  monthStart,DATE(VALUE(REGEXEXTRACT(P$1,""\d{4}"")),VALUE(REGEXEXTRACT(P$1,""T(\d+)"")),1),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Q151" s="86">
        <f>IFERROR(__xludf.DUMMYFUNCTION("LET(
  monthStart,DATE(VALUE(REGEXEXTRACT(Q$1,""\d{4}"")),VALUE(REGEXEXTRACT(Q$1,""T(\d+)"")),1),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R151" s="86">
        <f>IFERROR(__xludf.DUMMYFUNCTION("LET(
  monthStart,DATE(VALUE(REGEXEXTRACT(R$1,""\d{4}"")),VALUE(REGEXEXTRACT(R$1,""T(\d+)"")),1),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S151" s="86">
        <f>IFERROR(__xludf.DUMMYFUNCTION("LET(
  monthStart,DATE(VALUE(REGEXEXTRACT(S$1,""\d{4}"")),VALUE(REGEXEXTRACT(S$1,""T(\d+)"")),1),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T151" s="86">
        <f>IFERROR(__xludf.DUMMYFUNCTION("LET(
  monthStart,DATE(VALUE(REGEXEXTRACT(T$1,""\d{4}"")),VALUE(REGEXEXTRACT(T$1,""T(\d+)"")),1),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U151" s="86">
        <f>IFERROR(__xludf.DUMMYFUNCTION("LET(
  monthStart,DATE(VALUE(REGEXEXTRACT(U$1,""\d{4}"")),VALUE(REGEXEXTRACT(U$1,""T(\d+)"")),1),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V151" s="86">
        <f>IFERROR(__xludf.DUMMYFUNCTION("LET(
  monthStart,DATE(VALUE(REGEXEXTRACT(V$1,""\d{4}"")),VALUE(REGEXEXTRACT(V$1,""T(\d+)"")),1),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W151" s="86">
        <f>IFERROR(__xludf.DUMMYFUNCTION("LET(
  monthStart,DATE(VALUE(REGEXEXTRACT(W$1,""\d{4}"")),VALUE(REGEXEXTRACT(W$1,""T(\d+)"")),1),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X151" s="86">
        <f>IFERROR(__xludf.DUMMYFUNCTION("LET(
  monthStart,DATE(VALUE(REGEXEXTRACT(X$1,""\d{4}"")),VALUE(REGEXEXTRACT(X$1,""T(\d+)"")),1),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Y151" s="86">
        <f>IFERROR(__xludf.DUMMYFUNCTION("LET(
  monthStart,DATE(VALUE(REGEXEXTRACT(Y$1,""\d{4}"")),VALUE(REGEXEXTRACT(Y$1,""T(\d+)"")),1),
  monthEnd,EOMONTH(monthStart,0),
  actualStart,MAX($D151,monthStart),
  actualEnd,MIN($E151,monthEnd),
  workingDaysInMonth,NETWORKDAYS(monthStart,monthEnd)"&amp;",
  workingDaysOverlap,IF(actualStart&gt;actualEnd,0,NETWORKDAYS(actualStart,actualEnd)),
  IF(workingDaysOverlap=0,"""",$F151*workingDaysOverlap/workingDaysInMonth)
)"),0.0)</f>
        <v>0</v>
      </c>
      <c r="Z151" s="64"/>
      <c r="AA151" s="64"/>
      <c r="AB151" s="64"/>
      <c r="AC151" s="64"/>
      <c r="AD151" s="64"/>
      <c r="AE151" s="64"/>
      <c r="AF151" s="64"/>
      <c r="AG151" s="64"/>
      <c r="AH151" s="64"/>
      <c r="AI151" s="64"/>
      <c r="AJ151" s="64"/>
      <c r="AK151" s="64"/>
      <c r="AO151" s="64"/>
      <c r="AP151" s="64"/>
      <c r="AQ151" s="64"/>
      <c r="AR151" s="64"/>
      <c r="AS151" s="64"/>
      <c r="AT151" s="64"/>
      <c r="AX151" s="64"/>
      <c r="AY151" s="77"/>
      <c r="AZ151" s="77"/>
      <c r="BA151" s="77"/>
      <c r="BB151" s="74"/>
      <c r="BC151" s="74"/>
      <c r="BD151" s="67"/>
      <c r="BH151" s="64"/>
      <c r="BI151" s="64"/>
      <c r="BJ151" s="64"/>
      <c r="BK151" s="64"/>
      <c r="BL151" s="64"/>
      <c r="BM151" s="64"/>
      <c r="BN151" s="64"/>
    </row>
    <row r="152" ht="30.0" customHeight="1">
      <c r="A152" s="81"/>
      <c r="B152" s="82"/>
      <c r="C152" s="83"/>
      <c r="D152" s="84"/>
      <c r="E152" s="84"/>
      <c r="F152" s="85"/>
      <c r="G152" s="86">
        <f>IFERROR(__xludf.DUMMYFUNCTION("LET(
  monthStart,DATE(VALUE(REGEXEXTRACT(G$1,""\d{4}"")),VALUE(REGEXEXTRACT(G$1,""T(\d+)"")),1),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H152" s="86">
        <f>IFERROR(__xludf.DUMMYFUNCTION("LET(
  monthStart,DATE(VALUE(REGEXEXTRACT(H$1,""\d{4}"")),VALUE(REGEXEXTRACT(H$1,""T(\d+)"")),1),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I152" s="86">
        <f>IFERROR(__xludf.DUMMYFUNCTION("LET(
  monthStart,DATE(VALUE(REGEXEXTRACT(I$1,""\d{4}"")),VALUE(REGEXEXTRACT(I$1,""T(\d+)"")),1),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J152" s="86">
        <f>IFERROR(__xludf.DUMMYFUNCTION("LET(
  monthStart,DATE(VALUE(REGEXEXTRACT(J$1,""\d{4}"")),VALUE(REGEXEXTRACT(J$1,""T(\d+)"")),1),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K152" s="86">
        <f>IFERROR(__xludf.DUMMYFUNCTION("LET(
  monthStart,DATE(VALUE(REGEXEXTRACT(K$1,""\d{4}"")),VALUE(REGEXEXTRACT(K$1,""T(\d+)"")),1),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L152" s="86">
        <f>IFERROR(__xludf.DUMMYFUNCTION("LET(
  monthStart,DATE(VALUE(REGEXEXTRACT(L$1,""\d{4}"")),VALUE(REGEXEXTRACT(L$1,""T(\d+)"")),1),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M152" s="86">
        <f>IFERROR(__xludf.DUMMYFUNCTION("LET(
  monthStart,DATE(VALUE(REGEXEXTRACT(M$1,""\d{4}"")),VALUE(REGEXEXTRACT(M$1,""T(\d+)"")),1),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N152" s="86">
        <f>IFERROR(__xludf.DUMMYFUNCTION("LET(
  monthStart,DATE(VALUE(REGEXEXTRACT(N$1,""\d{4}"")),VALUE(REGEXEXTRACT(N$1,""T(\d+)"")),1),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O152" s="86">
        <f>IFERROR(__xludf.DUMMYFUNCTION("LET(
  monthStart,DATE(VALUE(REGEXEXTRACT(O$1,""\d{4}"")),VALUE(REGEXEXTRACT(O$1,""T(\d+)"")),1),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P152" s="86">
        <f>IFERROR(__xludf.DUMMYFUNCTION("LET(
  monthStart,DATE(VALUE(REGEXEXTRACT(P$1,""\d{4}"")),VALUE(REGEXEXTRACT(P$1,""T(\d+)"")),1),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Q152" s="86">
        <f>IFERROR(__xludf.DUMMYFUNCTION("LET(
  monthStart,DATE(VALUE(REGEXEXTRACT(Q$1,""\d{4}"")),VALUE(REGEXEXTRACT(Q$1,""T(\d+)"")),1),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R152" s="86">
        <f>IFERROR(__xludf.DUMMYFUNCTION("LET(
  monthStart,DATE(VALUE(REGEXEXTRACT(R$1,""\d{4}"")),VALUE(REGEXEXTRACT(R$1,""T(\d+)"")),1),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S152" s="86">
        <f>IFERROR(__xludf.DUMMYFUNCTION("LET(
  monthStart,DATE(VALUE(REGEXEXTRACT(S$1,""\d{4}"")),VALUE(REGEXEXTRACT(S$1,""T(\d+)"")),1),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T152" s="86">
        <f>IFERROR(__xludf.DUMMYFUNCTION("LET(
  monthStart,DATE(VALUE(REGEXEXTRACT(T$1,""\d{4}"")),VALUE(REGEXEXTRACT(T$1,""T(\d+)"")),1),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U152" s="86">
        <f>IFERROR(__xludf.DUMMYFUNCTION("LET(
  monthStart,DATE(VALUE(REGEXEXTRACT(U$1,""\d{4}"")),VALUE(REGEXEXTRACT(U$1,""T(\d+)"")),1),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V152" s="86">
        <f>IFERROR(__xludf.DUMMYFUNCTION("LET(
  monthStart,DATE(VALUE(REGEXEXTRACT(V$1,""\d{4}"")),VALUE(REGEXEXTRACT(V$1,""T(\d+)"")),1),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W152" s="86">
        <f>IFERROR(__xludf.DUMMYFUNCTION("LET(
  monthStart,DATE(VALUE(REGEXEXTRACT(W$1,""\d{4}"")),VALUE(REGEXEXTRACT(W$1,""T(\d+)"")),1),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X152" s="86">
        <f>IFERROR(__xludf.DUMMYFUNCTION("LET(
  monthStart,DATE(VALUE(REGEXEXTRACT(X$1,""\d{4}"")),VALUE(REGEXEXTRACT(X$1,""T(\d+)"")),1),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Y152" s="86">
        <f>IFERROR(__xludf.DUMMYFUNCTION("LET(
  monthStart,DATE(VALUE(REGEXEXTRACT(Y$1,""\d{4}"")),VALUE(REGEXEXTRACT(Y$1,""T(\d+)"")),1),
  monthEnd,EOMONTH(monthStart,0),
  actualStart,MAX($D152,monthStart),
  actualEnd,MIN($E152,monthEnd),
  workingDaysInMonth,NETWORKDAYS(monthStart,monthEnd)"&amp;",
  workingDaysOverlap,IF(actualStart&gt;actualEnd,0,NETWORKDAYS(actualStart,actualEnd)),
  IF(workingDaysOverlap=0,"""",$F152*workingDaysOverlap/workingDaysInMonth)
)"),0.0)</f>
        <v>0</v>
      </c>
      <c r="Z152" s="64"/>
      <c r="AA152" s="64"/>
      <c r="AB152" s="64"/>
      <c r="AC152" s="64"/>
      <c r="AD152" s="64"/>
      <c r="AE152" s="64"/>
      <c r="AF152" s="64"/>
      <c r="AG152" s="64"/>
      <c r="AH152" s="64"/>
      <c r="AI152" s="64"/>
      <c r="AJ152" s="64"/>
      <c r="AK152" s="64"/>
      <c r="AO152" s="64"/>
      <c r="AP152" s="64"/>
      <c r="AQ152" s="64"/>
      <c r="AR152" s="64"/>
      <c r="AS152" s="64"/>
      <c r="AT152" s="64"/>
      <c r="AX152" s="64"/>
      <c r="AY152" s="77"/>
      <c r="AZ152" s="77"/>
      <c r="BA152" s="77"/>
      <c r="BB152" s="74"/>
      <c r="BC152" s="74"/>
      <c r="BD152" s="67"/>
      <c r="BH152" s="64"/>
      <c r="BI152" s="64"/>
      <c r="BJ152" s="64"/>
      <c r="BK152" s="64"/>
      <c r="BL152" s="64"/>
      <c r="BM152" s="64"/>
      <c r="BN152" s="64"/>
    </row>
    <row r="153" ht="30.0" customHeight="1">
      <c r="A153" s="81"/>
      <c r="B153" s="82"/>
      <c r="C153" s="83"/>
      <c r="D153" s="84"/>
      <c r="E153" s="84"/>
      <c r="F153" s="85"/>
      <c r="G153" s="86">
        <f>IFERROR(__xludf.DUMMYFUNCTION("LET(
  monthStart,DATE(VALUE(REGEXEXTRACT(G$1,""\d{4}"")),VALUE(REGEXEXTRACT(G$1,""T(\d+)"")),1),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H153" s="86">
        <f>IFERROR(__xludf.DUMMYFUNCTION("LET(
  monthStart,DATE(VALUE(REGEXEXTRACT(H$1,""\d{4}"")),VALUE(REGEXEXTRACT(H$1,""T(\d+)"")),1),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I153" s="86">
        <f>IFERROR(__xludf.DUMMYFUNCTION("LET(
  monthStart,DATE(VALUE(REGEXEXTRACT(I$1,""\d{4}"")),VALUE(REGEXEXTRACT(I$1,""T(\d+)"")),1),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J153" s="86">
        <f>IFERROR(__xludf.DUMMYFUNCTION("LET(
  monthStart,DATE(VALUE(REGEXEXTRACT(J$1,""\d{4}"")),VALUE(REGEXEXTRACT(J$1,""T(\d+)"")),1),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K153" s="86">
        <f>IFERROR(__xludf.DUMMYFUNCTION("LET(
  monthStart,DATE(VALUE(REGEXEXTRACT(K$1,""\d{4}"")),VALUE(REGEXEXTRACT(K$1,""T(\d+)"")),1),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L153" s="86">
        <f>IFERROR(__xludf.DUMMYFUNCTION("LET(
  monthStart,DATE(VALUE(REGEXEXTRACT(L$1,""\d{4}"")),VALUE(REGEXEXTRACT(L$1,""T(\d+)"")),1),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M153" s="86">
        <f>IFERROR(__xludf.DUMMYFUNCTION("LET(
  monthStart,DATE(VALUE(REGEXEXTRACT(M$1,""\d{4}"")),VALUE(REGEXEXTRACT(M$1,""T(\d+)"")),1),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N153" s="86">
        <f>IFERROR(__xludf.DUMMYFUNCTION("LET(
  monthStart,DATE(VALUE(REGEXEXTRACT(N$1,""\d{4}"")),VALUE(REGEXEXTRACT(N$1,""T(\d+)"")),1),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O153" s="86">
        <f>IFERROR(__xludf.DUMMYFUNCTION("LET(
  monthStart,DATE(VALUE(REGEXEXTRACT(O$1,""\d{4}"")),VALUE(REGEXEXTRACT(O$1,""T(\d+)"")),1),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P153" s="86">
        <f>IFERROR(__xludf.DUMMYFUNCTION("LET(
  monthStart,DATE(VALUE(REGEXEXTRACT(P$1,""\d{4}"")),VALUE(REGEXEXTRACT(P$1,""T(\d+)"")),1),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Q153" s="86">
        <f>IFERROR(__xludf.DUMMYFUNCTION("LET(
  monthStart,DATE(VALUE(REGEXEXTRACT(Q$1,""\d{4}"")),VALUE(REGEXEXTRACT(Q$1,""T(\d+)"")),1),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R153" s="86">
        <f>IFERROR(__xludf.DUMMYFUNCTION("LET(
  monthStart,DATE(VALUE(REGEXEXTRACT(R$1,""\d{4}"")),VALUE(REGEXEXTRACT(R$1,""T(\d+)"")),1),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S153" s="86">
        <f>IFERROR(__xludf.DUMMYFUNCTION("LET(
  monthStart,DATE(VALUE(REGEXEXTRACT(S$1,""\d{4}"")),VALUE(REGEXEXTRACT(S$1,""T(\d+)"")),1),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T153" s="86">
        <f>IFERROR(__xludf.DUMMYFUNCTION("LET(
  monthStart,DATE(VALUE(REGEXEXTRACT(T$1,""\d{4}"")),VALUE(REGEXEXTRACT(T$1,""T(\d+)"")),1),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U153" s="86">
        <f>IFERROR(__xludf.DUMMYFUNCTION("LET(
  monthStart,DATE(VALUE(REGEXEXTRACT(U$1,""\d{4}"")),VALUE(REGEXEXTRACT(U$1,""T(\d+)"")),1),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V153" s="86">
        <f>IFERROR(__xludf.DUMMYFUNCTION("LET(
  monthStart,DATE(VALUE(REGEXEXTRACT(V$1,""\d{4}"")),VALUE(REGEXEXTRACT(V$1,""T(\d+)"")),1),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W153" s="86">
        <f>IFERROR(__xludf.DUMMYFUNCTION("LET(
  monthStart,DATE(VALUE(REGEXEXTRACT(W$1,""\d{4}"")),VALUE(REGEXEXTRACT(W$1,""T(\d+)"")),1),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X153" s="86">
        <f>IFERROR(__xludf.DUMMYFUNCTION("LET(
  monthStart,DATE(VALUE(REGEXEXTRACT(X$1,""\d{4}"")),VALUE(REGEXEXTRACT(X$1,""T(\d+)"")),1),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Y153" s="86">
        <f>IFERROR(__xludf.DUMMYFUNCTION("LET(
  monthStart,DATE(VALUE(REGEXEXTRACT(Y$1,""\d{4}"")),VALUE(REGEXEXTRACT(Y$1,""T(\d+)"")),1),
  monthEnd,EOMONTH(monthStart,0),
  actualStart,MAX($D153,monthStart),
  actualEnd,MIN($E153,monthEnd),
  workingDaysInMonth,NETWORKDAYS(monthStart,monthEnd)"&amp;",
  workingDaysOverlap,IF(actualStart&gt;actualEnd,0,NETWORKDAYS(actualStart,actualEnd)),
  IF(workingDaysOverlap=0,"""",$F153*workingDaysOverlap/workingDaysInMonth)
)"),0.0)</f>
        <v>0</v>
      </c>
      <c r="Z153" s="64"/>
      <c r="AA153" s="64"/>
      <c r="AB153" s="64"/>
      <c r="AC153" s="64"/>
      <c r="AD153" s="64"/>
      <c r="AE153" s="64"/>
      <c r="AF153" s="64"/>
      <c r="AG153" s="64"/>
      <c r="AH153" s="64"/>
      <c r="AI153" s="75"/>
      <c r="AJ153" s="64"/>
      <c r="AK153" s="64"/>
      <c r="AO153" s="64"/>
      <c r="AP153" s="64"/>
      <c r="AQ153" s="64"/>
      <c r="AR153" s="64"/>
      <c r="AS153" s="64"/>
      <c r="AT153" s="64"/>
      <c r="AX153" s="64"/>
      <c r="AY153" s="77"/>
      <c r="AZ153" s="77"/>
      <c r="BA153" s="87"/>
      <c r="BB153" s="72"/>
      <c r="BC153" s="72"/>
      <c r="BD153" s="67"/>
      <c r="BH153" s="64"/>
      <c r="BI153" s="64"/>
      <c r="BJ153" s="64"/>
      <c r="BK153" s="64"/>
      <c r="BL153" s="64"/>
      <c r="BM153" s="64"/>
      <c r="BN153" s="64"/>
    </row>
    <row r="154" ht="30.0" customHeight="1">
      <c r="A154" s="81"/>
      <c r="B154" s="82"/>
      <c r="C154" s="83"/>
      <c r="D154" s="84"/>
      <c r="E154" s="84"/>
      <c r="F154" s="85"/>
      <c r="G154" s="86">
        <f>IFERROR(__xludf.DUMMYFUNCTION("LET(
  monthStart,DATE(VALUE(REGEXEXTRACT(G$1,""\d{4}"")),VALUE(REGEXEXTRACT(G$1,""T(\d+)"")),1),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H154" s="86">
        <f>IFERROR(__xludf.DUMMYFUNCTION("LET(
  monthStart,DATE(VALUE(REGEXEXTRACT(H$1,""\d{4}"")),VALUE(REGEXEXTRACT(H$1,""T(\d+)"")),1),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I154" s="86">
        <f>IFERROR(__xludf.DUMMYFUNCTION("LET(
  monthStart,DATE(VALUE(REGEXEXTRACT(I$1,""\d{4}"")),VALUE(REGEXEXTRACT(I$1,""T(\d+)"")),1),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J154" s="86">
        <f>IFERROR(__xludf.DUMMYFUNCTION("LET(
  monthStart,DATE(VALUE(REGEXEXTRACT(J$1,""\d{4}"")),VALUE(REGEXEXTRACT(J$1,""T(\d+)"")),1),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K154" s="86">
        <f>IFERROR(__xludf.DUMMYFUNCTION("LET(
  monthStart,DATE(VALUE(REGEXEXTRACT(K$1,""\d{4}"")),VALUE(REGEXEXTRACT(K$1,""T(\d+)"")),1),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L154" s="86">
        <f>IFERROR(__xludf.DUMMYFUNCTION("LET(
  monthStart,DATE(VALUE(REGEXEXTRACT(L$1,""\d{4}"")),VALUE(REGEXEXTRACT(L$1,""T(\d+)"")),1),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M154" s="86">
        <f>IFERROR(__xludf.DUMMYFUNCTION("LET(
  monthStart,DATE(VALUE(REGEXEXTRACT(M$1,""\d{4}"")),VALUE(REGEXEXTRACT(M$1,""T(\d+)"")),1),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N154" s="86">
        <f>IFERROR(__xludf.DUMMYFUNCTION("LET(
  monthStart,DATE(VALUE(REGEXEXTRACT(N$1,""\d{4}"")),VALUE(REGEXEXTRACT(N$1,""T(\d+)"")),1),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O154" s="86">
        <f>IFERROR(__xludf.DUMMYFUNCTION("LET(
  monthStart,DATE(VALUE(REGEXEXTRACT(O$1,""\d{4}"")),VALUE(REGEXEXTRACT(O$1,""T(\d+)"")),1),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P154" s="86">
        <f>IFERROR(__xludf.DUMMYFUNCTION("LET(
  monthStart,DATE(VALUE(REGEXEXTRACT(P$1,""\d{4}"")),VALUE(REGEXEXTRACT(P$1,""T(\d+)"")),1),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Q154" s="86">
        <f>IFERROR(__xludf.DUMMYFUNCTION("LET(
  monthStart,DATE(VALUE(REGEXEXTRACT(Q$1,""\d{4}"")),VALUE(REGEXEXTRACT(Q$1,""T(\d+)"")),1),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R154" s="86">
        <f>IFERROR(__xludf.DUMMYFUNCTION("LET(
  monthStart,DATE(VALUE(REGEXEXTRACT(R$1,""\d{4}"")),VALUE(REGEXEXTRACT(R$1,""T(\d+)"")),1),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S154" s="86">
        <f>IFERROR(__xludf.DUMMYFUNCTION("LET(
  monthStart,DATE(VALUE(REGEXEXTRACT(S$1,""\d{4}"")),VALUE(REGEXEXTRACT(S$1,""T(\d+)"")),1),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T154" s="86">
        <f>IFERROR(__xludf.DUMMYFUNCTION("LET(
  monthStart,DATE(VALUE(REGEXEXTRACT(T$1,""\d{4}"")),VALUE(REGEXEXTRACT(T$1,""T(\d+)"")),1),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U154" s="86">
        <f>IFERROR(__xludf.DUMMYFUNCTION("LET(
  monthStart,DATE(VALUE(REGEXEXTRACT(U$1,""\d{4}"")),VALUE(REGEXEXTRACT(U$1,""T(\d+)"")),1),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V154" s="86">
        <f>IFERROR(__xludf.DUMMYFUNCTION("LET(
  monthStart,DATE(VALUE(REGEXEXTRACT(V$1,""\d{4}"")),VALUE(REGEXEXTRACT(V$1,""T(\d+)"")),1),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W154" s="86">
        <f>IFERROR(__xludf.DUMMYFUNCTION("LET(
  monthStart,DATE(VALUE(REGEXEXTRACT(W$1,""\d{4}"")),VALUE(REGEXEXTRACT(W$1,""T(\d+)"")),1),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X154" s="86">
        <f>IFERROR(__xludf.DUMMYFUNCTION("LET(
  monthStart,DATE(VALUE(REGEXEXTRACT(X$1,""\d{4}"")),VALUE(REGEXEXTRACT(X$1,""T(\d+)"")),1),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Y154" s="86">
        <f>IFERROR(__xludf.DUMMYFUNCTION("LET(
  monthStart,DATE(VALUE(REGEXEXTRACT(Y$1,""\d{4}"")),VALUE(REGEXEXTRACT(Y$1,""T(\d+)"")),1),
  monthEnd,EOMONTH(monthStart,0),
  actualStart,MAX($D154,monthStart),
  actualEnd,MIN($E154,monthEnd),
  workingDaysInMonth,NETWORKDAYS(monthStart,monthEnd)"&amp;",
  workingDaysOverlap,IF(actualStart&gt;actualEnd,0,NETWORKDAYS(actualStart,actualEnd)),
  IF(workingDaysOverlap=0,"""",$F154*workingDaysOverlap/workingDaysInMonth)
)"),0.0)</f>
        <v>0</v>
      </c>
      <c r="Z154" s="64"/>
      <c r="AA154" s="64"/>
      <c r="AB154" s="64"/>
      <c r="AC154" s="64"/>
      <c r="AD154" s="64"/>
      <c r="AE154" s="64"/>
      <c r="AF154" s="64"/>
      <c r="AG154" s="64"/>
      <c r="AH154" s="64"/>
      <c r="AI154" s="75"/>
      <c r="AJ154" s="64"/>
      <c r="AK154" s="64"/>
      <c r="AO154" s="64"/>
      <c r="AP154" s="64"/>
      <c r="AQ154" s="64"/>
      <c r="AR154" s="64"/>
      <c r="AS154" s="64"/>
      <c r="AT154" s="64"/>
      <c r="AX154" s="64"/>
      <c r="AY154" s="77"/>
      <c r="AZ154" s="78"/>
      <c r="BA154" s="87"/>
      <c r="BB154" s="72"/>
      <c r="BC154" s="72"/>
      <c r="BD154" s="67"/>
      <c r="BH154" s="64"/>
      <c r="BI154" s="64"/>
      <c r="BJ154" s="64"/>
      <c r="BK154" s="64"/>
      <c r="BL154" s="64"/>
      <c r="BM154" s="64"/>
      <c r="BN154" s="64"/>
    </row>
    <row r="155" ht="30.0" customHeight="1">
      <c r="A155" s="81"/>
      <c r="B155" s="82"/>
      <c r="C155" s="83"/>
      <c r="D155" s="84"/>
      <c r="E155" s="84"/>
      <c r="F155" s="85"/>
      <c r="G155" s="86">
        <f>IFERROR(__xludf.DUMMYFUNCTION("LET(
  monthStart,DATE(VALUE(REGEXEXTRACT(G$1,""\d{4}"")),VALUE(REGEXEXTRACT(G$1,""T(\d+)"")),1),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H155" s="86">
        <f>IFERROR(__xludf.DUMMYFUNCTION("LET(
  monthStart,DATE(VALUE(REGEXEXTRACT(H$1,""\d{4}"")),VALUE(REGEXEXTRACT(H$1,""T(\d+)"")),1),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I155" s="86">
        <f>IFERROR(__xludf.DUMMYFUNCTION("LET(
  monthStart,DATE(VALUE(REGEXEXTRACT(I$1,""\d{4}"")),VALUE(REGEXEXTRACT(I$1,""T(\d+)"")),1),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J155" s="86">
        <f>IFERROR(__xludf.DUMMYFUNCTION("LET(
  monthStart,DATE(VALUE(REGEXEXTRACT(J$1,""\d{4}"")),VALUE(REGEXEXTRACT(J$1,""T(\d+)"")),1),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K155" s="86">
        <f>IFERROR(__xludf.DUMMYFUNCTION("LET(
  monthStart,DATE(VALUE(REGEXEXTRACT(K$1,""\d{4}"")),VALUE(REGEXEXTRACT(K$1,""T(\d+)"")),1),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L155" s="86">
        <f>IFERROR(__xludf.DUMMYFUNCTION("LET(
  monthStart,DATE(VALUE(REGEXEXTRACT(L$1,""\d{4}"")),VALUE(REGEXEXTRACT(L$1,""T(\d+)"")),1),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M155" s="86">
        <f>IFERROR(__xludf.DUMMYFUNCTION("LET(
  monthStart,DATE(VALUE(REGEXEXTRACT(M$1,""\d{4}"")),VALUE(REGEXEXTRACT(M$1,""T(\d+)"")),1),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N155" s="86">
        <f>IFERROR(__xludf.DUMMYFUNCTION("LET(
  monthStart,DATE(VALUE(REGEXEXTRACT(N$1,""\d{4}"")),VALUE(REGEXEXTRACT(N$1,""T(\d+)"")),1),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O155" s="86">
        <f>IFERROR(__xludf.DUMMYFUNCTION("LET(
  monthStart,DATE(VALUE(REGEXEXTRACT(O$1,""\d{4}"")),VALUE(REGEXEXTRACT(O$1,""T(\d+)"")),1),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P155" s="86">
        <f>IFERROR(__xludf.DUMMYFUNCTION("LET(
  monthStart,DATE(VALUE(REGEXEXTRACT(P$1,""\d{4}"")),VALUE(REGEXEXTRACT(P$1,""T(\d+)"")),1),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Q155" s="86">
        <f>IFERROR(__xludf.DUMMYFUNCTION("LET(
  monthStart,DATE(VALUE(REGEXEXTRACT(Q$1,""\d{4}"")),VALUE(REGEXEXTRACT(Q$1,""T(\d+)"")),1),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R155" s="86">
        <f>IFERROR(__xludf.DUMMYFUNCTION("LET(
  monthStart,DATE(VALUE(REGEXEXTRACT(R$1,""\d{4}"")),VALUE(REGEXEXTRACT(R$1,""T(\d+)"")),1),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S155" s="86">
        <f>IFERROR(__xludf.DUMMYFUNCTION("LET(
  monthStart,DATE(VALUE(REGEXEXTRACT(S$1,""\d{4}"")),VALUE(REGEXEXTRACT(S$1,""T(\d+)"")),1),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T155" s="86">
        <f>IFERROR(__xludf.DUMMYFUNCTION("LET(
  monthStart,DATE(VALUE(REGEXEXTRACT(T$1,""\d{4}"")),VALUE(REGEXEXTRACT(T$1,""T(\d+)"")),1),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U155" s="86">
        <f>IFERROR(__xludf.DUMMYFUNCTION("LET(
  monthStart,DATE(VALUE(REGEXEXTRACT(U$1,""\d{4}"")),VALUE(REGEXEXTRACT(U$1,""T(\d+)"")),1),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V155" s="86">
        <f>IFERROR(__xludf.DUMMYFUNCTION("LET(
  monthStart,DATE(VALUE(REGEXEXTRACT(V$1,""\d{4}"")),VALUE(REGEXEXTRACT(V$1,""T(\d+)"")),1),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W155" s="86">
        <f>IFERROR(__xludf.DUMMYFUNCTION("LET(
  monthStart,DATE(VALUE(REGEXEXTRACT(W$1,""\d{4}"")),VALUE(REGEXEXTRACT(W$1,""T(\d+)"")),1),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X155" s="86">
        <f>IFERROR(__xludf.DUMMYFUNCTION("LET(
  monthStart,DATE(VALUE(REGEXEXTRACT(X$1,""\d{4}"")),VALUE(REGEXEXTRACT(X$1,""T(\d+)"")),1),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Y155" s="86">
        <f>IFERROR(__xludf.DUMMYFUNCTION("LET(
  monthStart,DATE(VALUE(REGEXEXTRACT(Y$1,""\d{4}"")),VALUE(REGEXEXTRACT(Y$1,""T(\d+)"")),1),
  monthEnd,EOMONTH(monthStart,0),
  actualStart,MAX($D155,monthStart),
  actualEnd,MIN($E155,monthEnd),
  workingDaysInMonth,NETWORKDAYS(monthStart,monthEnd)"&amp;",
  workingDaysOverlap,IF(actualStart&gt;actualEnd,0,NETWORKDAYS(actualStart,actualEnd)),
  IF(workingDaysOverlap=0,"""",$F155*workingDaysOverlap/workingDaysInMonth)
)"),0.0)</f>
        <v>0</v>
      </c>
      <c r="Z155" s="64"/>
      <c r="AA155" s="64"/>
      <c r="AB155" s="64"/>
      <c r="AC155" s="64"/>
      <c r="AD155" s="64"/>
      <c r="AE155" s="64"/>
      <c r="AF155" s="64"/>
      <c r="AG155" s="64"/>
      <c r="AH155" s="64"/>
      <c r="AI155" s="75"/>
      <c r="AJ155" s="64"/>
      <c r="AK155" s="64"/>
      <c r="AO155" s="64"/>
      <c r="AP155" s="64"/>
      <c r="AQ155" s="64"/>
      <c r="AR155" s="64"/>
      <c r="AS155" s="64"/>
      <c r="AT155" s="64"/>
      <c r="AX155" s="64"/>
      <c r="AY155" s="77"/>
      <c r="AZ155" s="77"/>
      <c r="BA155" s="87"/>
      <c r="BB155" s="72"/>
      <c r="BC155" s="72"/>
      <c r="BD155" s="67"/>
      <c r="BH155" s="64"/>
      <c r="BI155" s="64"/>
      <c r="BJ155" s="64"/>
      <c r="BK155" s="64"/>
      <c r="BL155" s="64"/>
      <c r="BM155" s="64"/>
      <c r="BN155" s="64"/>
    </row>
    <row r="156" ht="30.0" customHeight="1">
      <c r="A156" s="81"/>
      <c r="B156" s="82"/>
      <c r="C156" s="83"/>
      <c r="D156" s="84"/>
      <c r="E156" s="84"/>
      <c r="F156" s="85"/>
      <c r="G156" s="86">
        <f>IFERROR(__xludf.DUMMYFUNCTION("LET(
  monthStart,DATE(VALUE(REGEXEXTRACT(G$1,""\d{4}"")),VALUE(REGEXEXTRACT(G$1,""T(\d+)"")),1),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H156" s="86">
        <f>IFERROR(__xludf.DUMMYFUNCTION("LET(
  monthStart,DATE(VALUE(REGEXEXTRACT(H$1,""\d{4}"")),VALUE(REGEXEXTRACT(H$1,""T(\d+)"")),1),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I156" s="86">
        <f>IFERROR(__xludf.DUMMYFUNCTION("LET(
  monthStart,DATE(VALUE(REGEXEXTRACT(I$1,""\d{4}"")),VALUE(REGEXEXTRACT(I$1,""T(\d+)"")),1),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J156" s="86">
        <f>IFERROR(__xludf.DUMMYFUNCTION("LET(
  monthStart,DATE(VALUE(REGEXEXTRACT(J$1,""\d{4}"")),VALUE(REGEXEXTRACT(J$1,""T(\d+)"")),1),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K156" s="86">
        <f>IFERROR(__xludf.DUMMYFUNCTION("LET(
  monthStart,DATE(VALUE(REGEXEXTRACT(K$1,""\d{4}"")),VALUE(REGEXEXTRACT(K$1,""T(\d+)"")),1),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L156" s="86">
        <f>IFERROR(__xludf.DUMMYFUNCTION("LET(
  monthStart,DATE(VALUE(REGEXEXTRACT(L$1,""\d{4}"")),VALUE(REGEXEXTRACT(L$1,""T(\d+)"")),1),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M156" s="86">
        <f>IFERROR(__xludf.DUMMYFUNCTION("LET(
  monthStart,DATE(VALUE(REGEXEXTRACT(M$1,""\d{4}"")),VALUE(REGEXEXTRACT(M$1,""T(\d+)"")),1),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N156" s="86">
        <f>IFERROR(__xludf.DUMMYFUNCTION("LET(
  monthStart,DATE(VALUE(REGEXEXTRACT(N$1,""\d{4}"")),VALUE(REGEXEXTRACT(N$1,""T(\d+)"")),1),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O156" s="86">
        <f>IFERROR(__xludf.DUMMYFUNCTION("LET(
  monthStart,DATE(VALUE(REGEXEXTRACT(O$1,""\d{4}"")),VALUE(REGEXEXTRACT(O$1,""T(\d+)"")),1),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P156" s="86">
        <f>IFERROR(__xludf.DUMMYFUNCTION("LET(
  monthStart,DATE(VALUE(REGEXEXTRACT(P$1,""\d{4}"")),VALUE(REGEXEXTRACT(P$1,""T(\d+)"")),1),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Q156" s="86">
        <f>IFERROR(__xludf.DUMMYFUNCTION("LET(
  monthStart,DATE(VALUE(REGEXEXTRACT(Q$1,""\d{4}"")),VALUE(REGEXEXTRACT(Q$1,""T(\d+)"")),1),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R156" s="86">
        <f>IFERROR(__xludf.DUMMYFUNCTION("LET(
  monthStart,DATE(VALUE(REGEXEXTRACT(R$1,""\d{4}"")),VALUE(REGEXEXTRACT(R$1,""T(\d+)"")),1),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S156" s="86">
        <f>IFERROR(__xludf.DUMMYFUNCTION("LET(
  monthStart,DATE(VALUE(REGEXEXTRACT(S$1,""\d{4}"")),VALUE(REGEXEXTRACT(S$1,""T(\d+)"")),1),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T156" s="86">
        <f>IFERROR(__xludf.DUMMYFUNCTION("LET(
  monthStart,DATE(VALUE(REGEXEXTRACT(T$1,""\d{4}"")),VALUE(REGEXEXTRACT(T$1,""T(\d+)"")),1),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U156" s="86">
        <f>IFERROR(__xludf.DUMMYFUNCTION("LET(
  monthStart,DATE(VALUE(REGEXEXTRACT(U$1,""\d{4}"")),VALUE(REGEXEXTRACT(U$1,""T(\d+)"")),1),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V156" s="86">
        <f>IFERROR(__xludf.DUMMYFUNCTION("LET(
  monthStart,DATE(VALUE(REGEXEXTRACT(V$1,""\d{4}"")),VALUE(REGEXEXTRACT(V$1,""T(\d+)"")),1),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W156" s="86">
        <f>IFERROR(__xludf.DUMMYFUNCTION("LET(
  monthStart,DATE(VALUE(REGEXEXTRACT(W$1,""\d{4}"")),VALUE(REGEXEXTRACT(W$1,""T(\d+)"")),1),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X156" s="86">
        <f>IFERROR(__xludf.DUMMYFUNCTION("LET(
  monthStart,DATE(VALUE(REGEXEXTRACT(X$1,""\d{4}"")),VALUE(REGEXEXTRACT(X$1,""T(\d+)"")),1),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Y156" s="86">
        <f>IFERROR(__xludf.DUMMYFUNCTION("LET(
  monthStart,DATE(VALUE(REGEXEXTRACT(Y$1,""\d{4}"")),VALUE(REGEXEXTRACT(Y$1,""T(\d+)"")),1),
  monthEnd,EOMONTH(monthStart,0),
  actualStart,MAX($D156,monthStart),
  actualEnd,MIN($E156,monthEnd),
  workingDaysInMonth,NETWORKDAYS(monthStart,monthEnd)"&amp;",
  workingDaysOverlap,IF(actualStart&gt;actualEnd,0,NETWORKDAYS(actualStart,actualEnd)),
  IF(workingDaysOverlap=0,"""",$F156*workingDaysOverlap/workingDaysInMonth)
)"),0.0)</f>
        <v>0</v>
      </c>
      <c r="Z156" s="64"/>
      <c r="AA156" s="64"/>
      <c r="AB156" s="64"/>
      <c r="AC156" s="64"/>
      <c r="AD156" s="64"/>
      <c r="AE156" s="64"/>
      <c r="AF156" s="64"/>
      <c r="AG156" s="64"/>
      <c r="AH156" s="64"/>
      <c r="AI156" s="75"/>
      <c r="AJ156" s="64"/>
      <c r="AK156" s="64"/>
      <c r="AO156" s="64"/>
      <c r="AP156" s="64"/>
      <c r="AQ156" s="64"/>
      <c r="AR156" s="64"/>
      <c r="AS156" s="64"/>
      <c r="AT156" s="64"/>
      <c r="AX156" s="64"/>
      <c r="AY156" s="77"/>
      <c r="AZ156" s="77"/>
      <c r="BA156" s="87"/>
      <c r="BB156" s="72"/>
      <c r="BC156" s="72"/>
      <c r="BD156" s="67"/>
      <c r="BH156" s="64"/>
      <c r="BI156" s="64"/>
      <c r="BJ156" s="64"/>
      <c r="BK156" s="64"/>
      <c r="BL156" s="64"/>
      <c r="BM156" s="64"/>
      <c r="BN156" s="64"/>
    </row>
    <row r="157" ht="30.0" customHeight="1">
      <c r="A157" s="81"/>
      <c r="B157" s="82"/>
      <c r="C157" s="83"/>
      <c r="D157" s="84"/>
      <c r="E157" s="84"/>
      <c r="F157" s="85"/>
      <c r="G157" s="86">
        <f>IFERROR(__xludf.DUMMYFUNCTION("LET(
  monthStart,DATE(VALUE(REGEXEXTRACT(G$1,""\d{4}"")),VALUE(REGEXEXTRACT(G$1,""T(\d+)"")),1),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H157" s="86">
        <f>IFERROR(__xludf.DUMMYFUNCTION("LET(
  monthStart,DATE(VALUE(REGEXEXTRACT(H$1,""\d{4}"")),VALUE(REGEXEXTRACT(H$1,""T(\d+)"")),1),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I157" s="86">
        <f>IFERROR(__xludf.DUMMYFUNCTION("LET(
  monthStart,DATE(VALUE(REGEXEXTRACT(I$1,""\d{4}"")),VALUE(REGEXEXTRACT(I$1,""T(\d+)"")),1),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J157" s="86">
        <f>IFERROR(__xludf.DUMMYFUNCTION("LET(
  monthStart,DATE(VALUE(REGEXEXTRACT(J$1,""\d{4}"")),VALUE(REGEXEXTRACT(J$1,""T(\d+)"")),1),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K157" s="86">
        <f>IFERROR(__xludf.DUMMYFUNCTION("LET(
  monthStart,DATE(VALUE(REGEXEXTRACT(K$1,""\d{4}"")),VALUE(REGEXEXTRACT(K$1,""T(\d+)"")),1),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L157" s="86">
        <f>IFERROR(__xludf.DUMMYFUNCTION("LET(
  monthStart,DATE(VALUE(REGEXEXTRACT(L$1,""\d{4}"")),VALUE(REGEXEXTRACT(L$1,""T(\d+)"")),1),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M157" s="86">
        <f>IFERROR(__xludf.DUMMYFUNCTION("LET(
  monthStart,DATE(VALUE(REGEXEXTRACT(M$1,""\d{4}"")),VALUE(REGEXEXTRACT(M$1,""T(\d+)"")),1),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N157" s="86">
        <f>IFERROR(__xludf.DUMMYFUNCTION("LET(
  monthStart,DATE(VALUE(REGEXEXTRACT(N$1,""\d{4}"")),VALUE(REGEXEXTRACT(N$1,""T(\d+)"")),1),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O157" s="86">
        <f>IFERROR(__xludf.DUMMYFUNCTION("LET(
  monthStart,DATE(VALUE(REGEXEXTRACT(O$1,""\d{4}"")),VALUE(REGEXEXTRACT(O$1,""T(\d+)"")),1),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P157" s="86">
        <f>IFERROR(__xludf.DUMMYFUNCTION("LET(
  monthStart,DATE(VALUE(REGEXEXTRACT(P$1,""\d{4}"")),VALUE(REGEXEXTRACT(P$1,""T(\d+)"")),1),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Q157" s="86">
        <f>IFERROR(__xludf.DUMMYFUNCTION("LET(
  monthStart,DATE(VALUE(REGEXEXTRACT(Q$1,""\d{4}"")),VALUE(REGEXEXTRACT(Q$1,""T(\d+)"")),1),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R157" s="86">
        <f>IFERROR(__xludf.DUMMYFUNCTION("LET(
  monthStart,DATE(VALUE(REGEXEXTRACT(R$1,""\d{4}"")),VALUE(REGEXEXTRACT(R$1,""T(\d+)"")),1),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S157" s="86">
        <f>IFERROR(__xludf.DUMMYFUNCTION("LET(
  monthStart,DATE(VALUE(REGEXEXTRACT(S$1,""\d{4}"")),VALUE(REGEXEXTRACT(S$1,""T(\d+)"")),1),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T157" s="86">
        <f>IFERROR(__xludf.DUMMYFUNCTION("LET(
  monthStart,DATE(VALUE(REGEXEXTRACT(T$1,""\d{4}"")),VALUE(REGEXEXTRACT(T$1,""T(\d+)"")),1),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U157" s="86">
        <f>IFERROR(__xludf.DUMMYFUNCTION("LET(
  monthStart,DATE(VALUE(REGEXEXTRACT(U$1,""\d{4}"")),VALUE(REGEXEXTRACT(U$1,""T(\d+)"")),1),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V157" s="86">
        <f>IFERROR(__xludf.DUMMYFUNCTION("LET(
  monthStart,DATE(VALUE(REGEXEXTRACT(V$1,""\d{4}"")),VALUE(REGEXEXTRACT(V$1,""T(\d+)"")),1),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W157" s="86">
        <f>IFERROR(__xludf.DUMMYFUNCTION("LET(
  monthStart,DATE(VALUE(REGEXEXTRACT(W$1,""\d{4}"")),VALUE(REGEXEXTRACT(W$1,""T(\d+)"")),1),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X157" s="86">
        <f>IFERROR(__xludf.DUMMYFUNCTION("LET(
  monthStart,DATE(VALUE(REGEXEXTRACT(X$1,""\d{4}"")),VALUE(REGEXEXTRACT(X$1,""T(\d+)"")),1),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Y157" s="86">
        <f>IFERROR(__xludf.DUMMYFUNCTION("LET(
  monthStart,DATE(VALUE(REGEXEXTRACT(Y$1,""\d{4}"")),VALUE(REGEXEXTRACT(Y$1,""T(\d+)"")),1),
  monthEnd,EOMONTH(monthStart,0),
  actualStart,MAX($D157,monthStart),
  actualEnd,MIN($E157,monthEnd),
  workingDaysInMonth,NETWORKDAYS(monthStart,monthEnd)"&amp;",
  workingDaysOverlap,IF(actualStart&gt;actualEnd,0,NETWORKDAYS(actualStart,actualEnd)),
  IF(workingDaysOverlap=0,"""",$F157*workingDaysOverlap/workingDaysInMonth)
)"),0.0)</f>
        <v>0</v>
      </c>
      <c r="Z157" s="64"/>
      <c r="AA157" s="64"/>
      <c r="AB157" s="64"/>
      <c r="AC157" s="64"/>
      <c r="AD157" s="64"/>
      <c r="AE157" s="64"/>
      <c r="AF157" s="64"/>
      <c r="AG157" s="64"/>
      <c r="AH157" s="64"/>
      <c r="AI157" s="75"/>
      <c r="AJ157" s="64"/>
      <c r="AK157" s="64"/>
      <c r="AO157" s="64"/>
      <c r="AP157" s="64"/>
      <c r="AQ157" s="64"/>
      <c r="AR157" s="64"/>
      <c r="AS157" s="64"/>
      <c r="AT157" s="64"/>
      <c r="AX157" s="64"/>
      <c r="AY157" s="77"/>
      <c r="AZ157" s="77"/>
      <c r="BA157" s="87"/>
      <c r="BB157" s="72"/>
      <c r="BC157" s="72"/>
      <c r="BD157" s="67"/>
      <c r="BH157" s="64"/>
      <c r="BI157" s="64"/>
      <c r="BJ157" s="64"/>
      <c r="BK157" s="64"/>
      <c r="BL157" s="64"/>
      <c r="BM157" s="64"/>
      <c r="BN157" s="64"/>
    </row>
    <row r="158" ht="30.0" customHeight="1">
      <c r="A158" s="81"/>
      <c r="B158" s="82"/>
      <c r="C158" s="83"/>
      <c r="D158" s="84"/>
      <c r="E158" s="84"/>
      <c r="F158" s="85"/>
      <c r="G158" s="86">
        <f>IFERROR(__xludf.DUMMYFUNCTION("LET(
  monthStart,DATE(VALUE(REGEXEXTRACT(G$1,""\d{4}"")),VALUE(REGEXEXTRACT(G$1,""T(\d+)"")),1),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H158" s="86">
        <f>IFERROR(__xludf.DUMMYFUNCTION("LET(
  monthStart,DATE(VALUE(REGEXEXTRACT(H$1,""\d{4}"")),VALUE(REGEXEXTRACT(H$1,""T(\d+)"")),1),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I158" s="86">
        <f>IFERROR(__xludf.DUMMYFUNCTION("LET(
  monthStart,DATE(VALUE(REGEXEXTRACT(I$1,""\d{4}"")),VALUE(REGEXEXTRACT(I$1,""T(\d+)"")),1),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J158" s="86">
        <f>IFERROR(__xludf.DUMMYFUNCTION("LET(
  monthStart,DATE(VALUE(REGEXEXTRACT(J$1,""\d{4}"")),VALUE(REGEXEXTRACT(J$1,""T(\d+)"")),1),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K158" s="86">
        <f>IFERROR(__xludf.DUMMYFUNCTION("LET(
  monthStart,DATE(VALUE(REGEXEXTRACT(K$1,""\d{4}"")),VALUE(REGEXEXTRACT(K$1,""T(\d+)"")),1),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L158" s="86">
        <f>IFERROR(__xludf.DUMMYFUNCTION("LET(
  monthStart,DATE(VALUE(REGEXEXTRACT(L$1,""\d{4}"")),VALUE(REGEXEXTRACT(L$1,""T(\d+)"")),1),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M158" s="86">
        <f>IFERROR(__xludf.DUMMYFUNCTION("LET(
  monthStart,DATE(VALUE(REGEXEXTRACT(M$1,""\d{4}"")),VALUE(REGEXEXTRACT(M$1,""T(\d+)"")),1),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N158" s="86">
        <f>IFERROR(__xludf.DUMMYFUNCTION("LET(
  monthStart,DATE(VALUE(REGEXEXTRACT(N$1,""\d{4}"")),VALUE(REGEXEXTRACT(N$1,""T(\d+)"")),1),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O158" s="86">
        <f>IFERROR(__xludf.DUMMYFUNCTION("LET(
  monthStart,DATE(VALUE(REGEXEXTRACT(O$1,""\d{4}"")),VALUE(REGEXEXTRACT(O$1,""T(\d+)"")),1),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P158" s="86">
        <f>IFERROR(__xludf.DUMMYFUNCTION("LET(
  monthStart,DATE(VALUE(REGEXEXTRACT(P$1,""\d{4}"")),VALUE(REGEXEXTRACT(P$1,""T(\d+)"")),1),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Q158" s="86">
        <f>IFERROR(__xludf.DUMMYFUNCTION("LET(
  monthStart,DATE(VALUE(REGEXEXTRACT(Q$1,""\d{4}"")),VALUE(REGEXEXTRACT(Q$1,""T(\d+)"")),1),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R158" s="86">
        <f>IFERROR(__xludf.DUMMYFUNCTION("LET(
  monthStart,DATE(VALUE(REGEXEXTRACT(R$1,""\d{4}"")),VALUE(REGEXEXTRACT(R$1,""T(\d+)"")),1),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S158" s="86">
        <f>IFERROR(__xludf.DUMMYFUNCTION("LET(
  monthStart,DATE(VALUE(REGEXEXTRACT(S$1,""\d{4}"")),VALUE(REGEXEXTRACT(S$1,""T(\d+)"")),1),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T158" s="86">
        <f>IFERROR(__xludf.DUMMYFUNCTION("LET(
  monthStart,DATE(VALUE(REGEXEXTRACT(T$1,""\d{4}"")),VALUE(REGEXEXTRACT(T$1,""T(\d+)"")),1),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U158" s="86">
        <f>IFERROR(__xludf.DUMMYFUNCTION("LET(
  monthStart,DATE(VALUE(REGEXEXTRACT(U$1,""\d{4}"")),VALUE(REGEXEXTRACT(U$1,""T(\d+)"")),1),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V158" s="86">
        <f>IFERROR(__xludf.DUMMYFUNCTION("LET(
  monthStart,DATE(VALUE(REGEXEXTRACT(V$1,""\d{4}"")),VALUE(REGEXEXTRACT(V$1,""T(\d+)"")),1),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W158" s="86">
        <f>IFERROR(__xludf.DUMMYFUNCTION("LET(
  monthStart,DATE(VALUE(REGEXEXTRACT(W$1,""\d{4}"")),VALUE(REGEXEXTRACT(W$1,""T(\d+)"")),1),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X158" s="86">
        <f>IFERROR(__xludf.DUMMYFUNCTION("LET(
  monthStart,DATE(VALUE(REGEXEXTRACT(X$1,""\d{4}"")),VALUE(REGEXEXTRACT(X$1,""T(\d+)"")),1),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Y158" s="86">
        <f>IFERROR(__xludf.DUMMYFUNCTION("LET(
  monthStart,DATE(VALUE(REGEXEXTRACT(Y$1,""\d{4}"")),VALUE(REGEXEXTRACT(Y$1,""T(\d+)"")),1),
  monthEnd,EOMONTH(monthStart,0),
  actualStart,MAX($D158,monthStart),
  actualEnd,MIN($E158,monthEnd),
  workingDaysInMonth,NETWORKDAYS(monthStart,monthEnd)"&amp;",
  workingDaysOverlap,IF(actualStart&gt;actualEnd,0,NETWORKDAYS(actualStart,actualEnd)),
  IF(workingDaysOverlap=0,"""",$F158*workingDaysOverlap/workingDaysInMonth)
)"),0.0)</f>
        <v>0</v>
      </c>
      <c r="Z158" s="64"/>
      <c r="AA158" s="64"/>
      <c r="AB158" s="64"/>
      <c r="AC158" s="64"/>
      <c r="AD158" s="64"/>
      <c r="AE158" s="64"/>
      <c r="AF158" s="64"/>
      <c r="AG158" s="64"/>
      <c r="AH158" s="64"/>
      <c r="AI158" s="75"/>
      <c r="AJ158" s="64"/>
      <c r="AK158" s="64"/>
      <c r="AO158" s="64"/>
      <c r="AP158" s="64"/>
      <c r="AQ158" s="64"/>
      <c r="AR158" s="64"/>
      <c r="AS158" s="64"/>
      <c r="AT158" s="64"/>
      <c r="AX158" s="64"/>
      <c r="AY158" s="77"/>
      <c r="AZ158" s="77"/>
      <c r="BA158" s="87"/>
      <c r="BB158" s="72"/>
      <c r="BC158" s="72"/>
      <c r="BD158" s="67"/>
      <c r="BH158" s="64"/>
      <c r="BI158" s="64"/>
      <c r="BJ158" s="64"/>
      <c r="BK158" s="64"/>
      <c r="BL158" s="64"/>
      <c r="BM158" s="64"/>
      <c r="BN158" s="64"/>
    </row>
    <row r="159" ht="30.0" customHeight="1">
      <c r="A159" s="81"/>
      <c r="B159" s="82"/>
      <c r="C159" s="83"/>
      <c r="D159" s="84"/>
      <c r="E159" s="84"/>
      <c r="F159" s="85"/>
      <c r="G159" s="86">
        <f>IFERROR(__xludf.DUMMYFUNCTION("LET(
  monthStart,DATE(VALUE(REGEXEXTRACT(G$1,""\d{4}"")),VALUE(REGEXEXTRACT(G$1,""T(\d+)"")),1),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H159" s="86">
        <f>IFERROR(__xludf.DUMMYFUNCTION("LET(
  monthStart,DATE(VALUE(REGEXEXTRACT(H$1,""\d{4}"")),VALUE(REGEXEXTRACT(H$1,""T(\d+)"")),1),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I159" s="86">
        <f>IFERROR(__xludf.DUMMYFUNCTION("LET(
  monthStart,DATE(VALUE(REGEXEXTRACT(I$1,""\d{4}"")),VALUE(REGEXEXTRACT(I$1,""T(\d+)"")),1),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J159" s="86">
        <f>IFERROR(__xludf.DUMMYFUNCTION("LET(
  monthStart,DATE(VALUE(REGEXEXTRACT(J$1,""\d{4}"")),VALUE(REGEXEXTRACT(J$1,""T(\d+)"")),1),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K159" s="86">
        <f>IFERROR(__xludf.DUMMYFUNCTION("LET(
  monthStart,DATE(VALUE(REGEXEXTRACT(K$1,""\d{4}"")),VALUE(REGEXEXTRACT(K$1,""T(\d+)"")),1),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L159" s="86">
        <f>IFERROR(__xludf.DUMMYFUNCTION("LET(
  monthStart,DATE(VALUE(REGEXEXTRACT(L$1,""\d{4}"")),VALUE(REGEXEXTRACT(L$1,""T(\d+)"")),1),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M159" s="86">
        <f>IFERROR(__xludf.DUMMYFUNCTION("LET(
  monthStart,DATE(VALUE(REGEXEXTRACT(M$1,""\d{4}"")),VALUE(REGEXEXTRACT(M$1,""T(\d+)"")),1),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N159" s="86">
        <f>IFERROR(__xludf.DUMMYFUNCTION("LET(
  monthStart,DATE(VALUE(REGEXEXTRACT(N$1,""\d{4}"")),VALUE(REGEXEXTRACT(N$1,""T(\d+)"")),1),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O159" s="86">
        <f>IFERROR(__xludf.DUMMYFUNCTION("LET(
  monthStart,DATE(VALUE(REGEXEXTRACT(O$1,""\d{4}"")),VALUE(REGEXEXTRACT(O$1,""T(\d+)"")),1),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P159" s="86">
        <f>IFERROR(__xludf.DUMMYFUNCTION("LET(
  monthStart,DATE(VALUE(REGEXEXTRACT(P$1,""\d{4}"")),VALUE(REGEXEXTRACT(P$1,""T(\d+)"")),1),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Q159" s="86">
        <f>IFERROR(__xludf.DUMMYFUNCTION("LET(
  monthStart,DATE(VALUE(REGEXEXTRACT(Q$1,""\d{4}"")),VALUE(REGEXEXTRACT(Q$1,""T(\d+)"")),1),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R159" s="86">
        <f>IFERROR(__xludf.DUMMYFUNCTION("LET(
  monthStart,DATE(VALUE(REGEXEXTRACT(R$1,""\d{4}"")),VALUE(REGEXEXTRACT(R$1,""T(\d+)"")),1),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S159" s="86">
        <f>IFERROR(__xludf.DUMMYFUNCTION("LET(
  monthStart,DATE(VALUE(REGEXEXTRACT(S$1,""\d{4}"")),VALUE(REGEXEXTRACT(S$1,""T(\d+)"")),1),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T159" s="86">
        <f>IFERROR(__xludf.DUMMYFUNCTION("LET(
  monthStart,DATE(VALUE(REGEXEXTRACT(T$1,""\d{4}"")),VALUE(REGEXEXTRACT(T$1,""T(\d+)"")),1),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U159" s="86">
        <f>IFERROR(__xludf.DUMMYFUNCTION("LET(
  monthStart,DATE(VALUE(REGEXEXTRACT(U$1,""\d{4}"")),VALUE(REGEXEXTRACT(U$1,""T(\d+)"")),1),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V159" s="86">
        <f>IFERROR(__xludf.DUMMYFUNCTION("LET(
  monthStart,DATE(VALUE(REGEXEXTRACT(V$1,""\d{4}"")),VALUE(REGEXEXTRACT(V$1,""T(\d+)"")),1),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W159" s="86">
        <f>IFERROR(__xludf.DUMMYFUNCTION("LET(
  monthStart,DATE(VALUE(REGEXEXTRACT(W$1,""\d{4}"")),VALUE(REGEXEXTRACT(W$1,""T(\d+)"")),1),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X159" s="86">
        <f>IFERROR(__xludf.DUMMYFUNCTION("LET(
  monthStart,DATE(VALUE(REGEXEXTRACT(X$1,""\d{4}"")),VALUE(REGEXEXTRACT(X$1,""T(\d+)"")),1),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Y159" s="86">
        <f>IFERROR(__xludf.DUMMYFUNCTION("LET(
  monthStart,DATE(VALUE(REGEXEXTRACT(Y$1,""\d{4}"")),VALUE(REGEXEXTRACT(Y$1,""T(\d+)"")),1),
  monthEnd,EOMONTH(monthStart,0),
  actualStart,MAX($D159,monthStart),
  actualEnd,MIN($E159,monthEnd),
  workingDaysInMonth,NETWORKDAYS(monthStart,monthEnd)"&amp;",
  workingDaysOverlap,IF(actualStart&gt;actualEnd,0,NETWORKDAYS(actualStart,actualEnd)),
  IF(workingDaysOverlap=0,"""",$F159*workingDaysOverlap/workingDaysInMonth)
)"),0.0)</f>
        <v>0</v>
      </c>
      <c r="Z159" s="64"/>
      <c r="AA159" s="64"/>
      <c r="AB159" s="64"/>
      <c r="AC159" s="64"/>
      <c r="AD159" s="64"/>
      <c r="AE159" s="64"/>
      <c r="AF159" s="64"/>
      <c r="AG159" s="64"/>
      <c r="AH159" s="64"/>
      <c r="AI159" s="64"/>
      <c r="AJ159" s="64"/>
      <c r="AK159" s="64"/>
      <c r="AO159" s="64"/>
      <c r="AP159" s="64"/>
      <c r="AQ159" s="64"/>
      <c r="AR159" s="64"/>
      <c r="AS159" s="64"/>
      <c r="AT159" s="64"/>
      <c r="AX159" s="64"/>
      <c r="AY159" s="77"/>
      <c r="AZ159" s="78"/>
      <c r="BA159" s="77"/>
      <c r="BB159" s="74"/>
      <c r="BC159" s="74"/>
      <c r="BD159" s="67"/>
      <c r="BH159" s="64"/>
      <c r="BI159" s="64"/>
      <c r="BJ159" s="64"/>
      <c r="BK159" s="64"/>
      <c r="BL159" s="64"/>
      <c r="BM159" s="64"/>
      <c r="BN159" s="64"/>
    </row>
    <row r="160" ht="30.0" customHeight="1">
      <c r="A160" s="81"/>
      <c r="B160" s="82"/>
      <c r="C160" s="83"/>
      <c r="D160" s="84"/>
      <c r="E160" s="84"/>
      <c r="F160" s="85"/>
      <c r="G160" s="86">
        <f>IFERROR(__xludf.DUMMYFUNCTION("LET(
  monthStart,DATE(VALUE(REGEXEXTRACT(G$1,""\d{4}"")),VALUE(REGEXEXTRACT(G$1,""T(\d+)"")),1),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H160" s="86">
        <f>IFERROR(__xludf.DUMMYFUNCTION("LET(
  monthStart,DATE(VALUE(REGEXEXTRACT(H$1,""\d{4}"")),VALUE(REGEXEXTRACT(H$1,""T(\d+)"")),1),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I160" s="86">
        <f>IFERROR(__xludf.DUMMYFUNCTION("LET(
  monthStart,DATE(VALUE(REGEXEXTRACT(I$1,""\d{4}"")),VALUE(REGEXEXTRACT(I$1,""T(\d+)"")),1),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J160" s="86">
        <f>IFERROR(__xludf.DUMMYFUNCTION("LET(
  monthStart,DATE(VALUE(REGEXEXTRACT(J$1,""\d{4}"")),VALUE(REGEXEXTRACT(J$1,""T(\d+)"")),1),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K160" s="86">
        <f>IFERROR(__xludf.DUMMYFUNCTION("LET(
  monthStart,DATE(VALUE(REGEXEXTRACT(K$1,""\d{4}"")),VALUE(REGEXEXTRACT(K$1,""T(\d+)"")),1),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L160" s="86">
        <f>IFERROR(__xludf.DUMMYFUNCTION("LET(
  monthStart,DATE(VALUE(REGEXEXTRACT(L$1,""\d{4}"")),VALUE(REGEXEXTRACT(L$1,""T(\d+)"")),1),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M160" s="86">
        <f>IFERROR(__xludf.DUMMYFUNCTION("LET(
  monthStart,DATE(VALUE(REGEXEXTRACT(M$1,""\d{4}"")),VALUE(REGEXEXTRACT(M$1,""T(\d+)"")),1),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N160" s="86">
        <f>IFERROR(__xludf.DUMMYFUNCTION("LET(
  monthStart,DATE(VALUE(REGEXEXTRACT(N$1,""\d{4}"")),VALUE(REGEXEXTRACT(N$1,""T(\d+)"")),1),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O160" s="86">
        <f>IFERROR(__xludf.DUMMYFUNCTION("LET(
  monthStart,DATE(VALUE(REGEXEXTRACT(O$1,""\d{4}"")),VALUE(REGEXEXTRACT(O$1,""T(\d+)"")),1),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P160" s="86">
        <f>IFERROR(__xludf.DUMMYFUNCTION("LET(
  monthStart,DATE(VALUE(REGEXEXTRACT(P$1,""\d{4}"")),VALUE(REGEXEXTRACT(P$1,""T(\d+)"")),1),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Q160" s="86">
        <f>IFERROR(__xludf.DUMMYFUNCTION("LET(
  monthStart,DATE(VALUE(REGEXEXTRACT(Q$1,""\d{4}"")),VALUE(REGEXEXTRACT(Q$1,""T(\d+)"")),1),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R160" s="86">
        <f>IFERROR(__xludf.DUMMYFUNCTION("LET(
  monthStart,DATE(VALUE(REGEXEXTRACT(R$1,""\d{4}"")),VALUE(REGEXEXTRACT(R$1,""T(\d+)"")),1),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S160" s="86">
        <f>IFERROR(__xludf.DUMMYFUNCTION("LET(
  monthStart,DATE(VALUE(REGEXEXTRACT(S$1,""\d{4}"")),VALUE(REGEXEXTRACT(S$1,""T(\d+)"")),1),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T160" s="86">
        <f>IFERROR(__xludf.DUMMYFUNCTION("LET(
  monthStart,DATE(VALUE(REGEXEXTRACT(T$1,""\d{4}"")),VALUE(REGEXEXTRACT(T$1,""T(\d+)"")),1),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U160" s="86">
        <f>IFERROR(__xludf.DUMMYFUNCTION("LET(
  monthStart,DATE(VALUE(REGEXEXTRACT(U$1,""\d{4}"")),VALUE(REGEXEXTRACT(U$1,""T(\d+)"")),1),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V160" s="86">
        <f>IFERROR(__xludf.DUMMYFUNCTION("LET(
  monthStart,DATE(VALUE(REGEXEXTRACT(V$1,""\d{4}"")),VALUE(REGEXEXTRACT(V$1,""T(\d+)"")),1),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W160" s="86">
        <f>IFERROR(__xludf.DUMMYFUNCTION("LET(
  monthStart,DATE(VALUE(REGEXEXTRACT(W$1,""\d{4}"")),VALUE(REGEXEXTRACT(W$1,""T(\d+)"")),1),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X160" s="86">
        <f>IFERROR(__xludf.DUMMYFUNCTION("LET(
  monthStart,DATE(VALUE(REGEXEXTRACT(X$1,""\d{4}"")),VALUE(REGEXEXTRACT(X$1,""T(\d+)"")),1),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Y160" s="86">
        <f>IFERROR(__xludf.DUMMYFUNCTION("LET(
  monthStart,DATE(VALUE(REGEXEXTRACT(Y$1,""\d{4}"")),VALUE(REGEXEXTRACT(Y$1,""T(\d+)"")),1),
  monthEnd,EOMONTH(monthStart,0),
  actualStart,MAX($D160,monthStart),
  actualEnd,MIN($E160,monthEnd),
  workingDaysInMonth,NETWORKDAYS(monthStart,monthEnd)"&amp;",
  workingDaysOverlap,IF(actualStart&gt;actualEnd,0,NETWORKDAYS(actualStart,actualEnd)),
  IF(workingDaysOverlap=0,"""",$F160*workingDaysOverlap/workingDaysInMonth)
)"),0.0)</f>
        <v>0</v>
      </c>
      <c r="Z160" s="64"/>
      <c r="AA160" s="64"/>
      <c r="AB160" s="64"/>
      <c r="AC160" s="64"/>
      <c r="AD160" s="64"/>
      <c r="AE160" s="64"/>
      <c r="AF160" s="64"/>
      <c r="AG160" s="64"/>
      <c r="AH160" s="64"/>
      <c r="AI160" s="64"/>
      <c r="AJ160" s="64"/>
      <c r="AK160" s="64"/>
      <c r="AO160" s="64"/>
      <c r="AP160" s="64"/>
      <c r="AQ160" s="64"/>
      <c r="AR160" s="64"/>
      <c r="AS160" s="64"/>
      <c r="AT160" s="64"/>
      <c r="AX160" s="64"/>
      <c r="AY160" s="77"/>
      <c r="AZ160" s="77"/>
      <c r="BA160" s="77"/>
      <c r="BB160" s="74"/>
      <c r="BC160" s="74"/>
      <c r="BD160" s="67"/>
      <c r="BH160" s="64"/>
      <c r="BI160" s="64"/>
      <c r="BJ160" s="64"/>
      <c r="BK160" s="64"/>
      <c r="BL160" s="64"/>
      <c r="BM160" s="64"/>
      <c r="BN160" s="64"/>
    </row>
    <row r="161" ht="30.0" customHeight="1">
      <c r="A161" s="81"/>
      <c r="B161" s="82"/>
      <c r="C161" s="83"/>
      <c r="D161" s="84"/>
      <c r="E161" s="84"/>
      <c r="F161" s="85"/>
      <c r="G161" s="86">
        <f>IFERROR(__xludf.DUMMYFUNCTION("LET(
  monthStart,DATE(VALUE(REGEXEXTRACT(G$1,""\d{4}"")),VALUE(REGEXEXTRACT(G$1,""T(\d+)"")),1),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H161" s="86">
        <f>IFERROR(__xludf.DUMMYFUNCTION("LET(
  monthStart,DATE(VALUE(REGEXEXTRACT(H$1,""\d{4}"")),VALUE(REGEXEXTRACT(H$1,""T(\d+)"")),1),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I161" s="86">
        <f>IFERROR(__xludf.DUMMYFUNCTION("LET(
  monthStart,DATE(VALUE(REGEXEXTRACT(I$1,""\d{4}"")),VALUE(REGEXEXTRACT(I$1,""T(\d+)"")),1),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J161" s="86">
        <f>IFERROR(__xludf.DUMMYFUNCTION("LET(
  monthStart,DATE(VALUE(REGEXEXTRACT(J$1,""\d{4}"")),VALUE(REGEXEXTRACT(J$1,""T(\d+)"")),1),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K161" s="86">
        <f>IFERROR(__xludf.DUMMYFUNCTION("LET(
  monthStart,DATE(VALUE(REGEXEXTRACT(K$1,""\d{4}"")),VALUE(REGEXEXTRACT(K$1,""T(\d+)"")),1),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L161" s="86">
        <f>IFERROR(__xludf.DUMMYFUNCTION("LET(
  monthStart,DATE(VALUE(REGEXEXTRACT(L$1,""\d{4}"")),VALUE(REGEXEXTRACT(L$1,""T(\d+)"")),1),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M161" s="86">
        <f>IFERROR(__xludf.DUMMYFUNCTION("LET(
  monthStart,DATE(VALUE(REGEXEXTRACT(M$1,""\d{4}"")),VALUE(REGEXEXTRACT(M$1,""T(\d+)"")),1),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N161" s="86">
        <f>IFERROR(__xludf.DUMMYFUNCTION("LET(
  monthStart,DATE(VALUE(REGEXEXTRACT(N$1,""\d{4}"")),VALUE(REGEXEXTRACT(N$1,""T(\d+)"")),1),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O161" s="86">
        <f>IFERROR(__xludf.DUMMYFUNCTION("LET(
  monthStart,DATE(VALUE(REGEXEXTRACT(O$1,""\d{4}"")),VALUE(REGEXEXTRACT(O$1,""T(\d+)"")),1),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P161" s="86">
        <f>IFERROR(__xludf.DUMMYFUNCTION("LET(
  monthStart,DATE(VALUE(REGEXEXTRACT(P$1,""\d{4}"")),VALUE(REGEXEXTRACT(P$1,""T(\d+)"")),1),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Q161" s="86">
        <f>IFERROR(__xludf.DUMMYFUNCTION("LET(
  monthStart,DATE(VALUE(REGEXEXTRACT(Q$1,""\d{4}"")),VALUE(REGEXEXTRACT(Q$1,""T(\d+)"")),1),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R161" s="86">
        <f>IFERROR(__xludf.DUMMYFUNCTION("LET(
  monthStart,DATE(VALUE(REGEXEXTRACT(R$1,""\d{4}"")),VALUE(REGEXEXTRACT(R$1,""T(\d+)"")),1),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S161" s="86">
        <f>IFERROR(__xludf.DUMMYFUNCTION("LET(
  monthStart,DATE(VALUE(REGEXEXTRACT(S$1,""\d{4}"")),VALUE(REGEXEXTRACT(S$1,""T(\d+)"")),1),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T161" s="86">
        <f>IFERROR(__xludf.DUMMYFUNCTION("LET(
  monthStart,DATE(VALUE(REGEXEXTRACT(T$1,""\d{4}"")),VALUE(REGEXEXTRACT(T$1,""T(\d+)"")),1),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U161" s="86">
        <f>IFERROR(__xludf.DUMMYFUNCTION("LET(
  monthStart,DATE(VALUE(REGEXEXTRACT(U$1,""\d{4}"")),VALUE(REGEXEXTRACT(U$1,""T(\d+)"")),1),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V161" s="86">
        <f>IFERROR(__xludf.DUMMYFUNCTION("LET(
  monthStart,DATE(VALUE(REGEXEXTRACT(V$1,""\d{4}"")),VALUE(REGEXEXTRACT(V$1,""T(\d+)"")),1),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W161" s="86">
        <f>IFERROR(__xludf.DUMMYFUNCTION("LET(
  monthStart,DATE(VALUE(REGEXEXTRACT(W$1,""\d{4}"")),VALUE(REGEXEXTRACT(W$1,""T(\d+)"")),1),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X161" s="86">
        <f>IFERROR(__xludf.DUMMYFUNCTION("LET(
  monthStart,DATE(VALUE(REGEXEXTRACT(X$1,""\d{4}"")),VALUE(REGEXEXTRACT(X$1,""T(\d+)"")),1),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Y161" s="86">
        <f>IFERROR(__xludf.DUMMYFUNCTION("LET(
  monthStart,DATE(VALUE(REGEXEXTRACT(Y$1,""\d{4}"")),VALUE(REGEXEXTRACT(Y$1,""T(\d+)"")),1),
  monthEnd,EOMONTH(monthStart,0),
  actualStart,MAX($D161,monthStart),
  actualEnd,MIN($E161,monthEnd),
  workingDaysInMonth,NETWORKDAYS(monthStart,monthEnd)"&amp;",
  workingDaysOverlap,IF(actualStart&gt;actualEnd,0,NETWORKDAYS(actualStart,actualEnd)),
  IF(workingDaysOverlap=0,"""",$F161*workingDaysOverlap/workingDaysInMonth)
)"),0.0)</f>
        <v>0</v>
      </c>
      <c r="Z161" s="64"/>
      <c r="AA161" s="64"/>
      <c r="AB161" s="64"/>
      <c r="AC161" s="64"/>
      <c r="AD161" s="64"/>
      <c r="AE161" s="64"/>
      <c r="AF161" s="64"/>
      <c r="AG161" s="64"/>
      <c r="AH161" s="64"/>
      <c r="AI161" s="64"/>
      <c r="AJ161" s="64"/>
      <c r="AK161" s="64"/>
      <c r="AO161" s="64"/>
      <c r="AP161" s="64"/>
      <c r="AQ161" s="64"/>
      <c r="AR161" s="64"/>
      <c r="AS161" s="64"/>
      <c r="AT161" s="64"/>
      <c r="AX161" s="64"/>
      <c r="AY161" s="77"/>
      <c r="AZ161" s="77"/>
      <c r="BA161" s="77"/>
      <c r="BB161" s="74"/>
      <c r="BC161" s="74"/>
      <c r="BD161" s="67"/>
      <c r="BH161" s="64"/>
      <c r="BI161" s="64"/>
      <c r="BJ161" s="64"/>
      <c r="BK161" s="64"/>
      <c r="BL161" s="64"/>
      <c r="BM161" s="64"/>
      <c r="BN161" s="64"/>
    </row>
    <row r="162" ht="30.0" customHeight="1">
      <c r="A162" s="81"/>
      <c r="B162" s="82"/>
      <c r="C162" s="83"/>
      <c r="D162" s="84"/>
      <c r="E162" s="84"/>
      <c r="F162" s="85"/>
      <c r="G162" s="86">
        <f>IFERROR(__xludf.DUMMYFUNCTION("LET(
  monthStart,DATE(VALUE(REGEXEXTRACT(G$1,""\d{4}"")),VALUE(REGEXEXTRACT(G$1,""T(\d+)"")),1),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H162" s="86">
        <f>IFERROR(__xludf.DUMMYFUNCTION("LET(
  monthStart,DATE(VALUE(REGEXEXTRACT(H$1,""\d{4}"")),VALUE(REGEXEXTRACT(H$1,""T(\d+)"")),1),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I162" s="86">
        <f>IFERROR(__xludf.DUMMYFUNCTION("LET(
  monthStart,DATE(VALUE(REGEXEXTRACT(I$1,""\d{4}"")),VALUE(REGEXEXTRACT(I$1,""T(\d+)"")),1),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J162" s="86">
        <f>IFERROR(__xludf.DUMMYFUNCTION("LET(
  monthStart,DATE(VALUE(REGEXEXTRACT(J$1,""\d{4}"")),VALUE(REGEXEXTRACT(J$1,""T(\d+)"")),1),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K162" s="86">
        <f>IFERROR(__xludf.DUMMYFUNCTION("LET(
  monthStart,DATE(VALUE(REGEXEXTRACT(K$1,""\d{4}"")),VALUE(REGEXEXTRACT(K$1,""T(\d+)"")),1),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L162" s="86">
        <f>IFERROR(__xludf.DUMMYFUNCTION("LET(
  monthStart,DATE(VALUE(REGEXEXTRACT(L$1,""\d{4}"")),VALUE(REGEXEXTRACT(L$1,""T(\d+)"")),1),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M162" s="86">
        <f>IFERROR(__xludf.DUMMYFUNCTION("LET(
  monthStart,DATE(VALUE(REGEXEXTRACT(M$1,""\d{4}"")),VALUE(REGEXEXTRACT(M$1,""T(\d+)"")),1),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N162" s="86">
        <f>IFERROR(__xludf.DUMMYFUNCTION("LET(
  monthStart,DATE(VALUE(REGEXEXTRACT(N$1,""\d{4}"")),VALUE(REGEXEXTRACT(N$1,""T(\d+)"")),1),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O162" s="86">
        <f>IFERROR(__xludf.DUMMYFUNCTION("LET(
  monthStart,DATE(VALUE(REGEXEXTRACT(O$1,""\d{4}"")),VALUE(REGEXEXTRACT(O$1,""T(\d+)"")),1),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P162" s="86">
        <f>IFERROR(__xludf.DUMMYFUNCTION("LET(
  monthStart,DATE(VALUE(REGEXEXTRACT(P$1,""\d{4}"")),VALUE(REGEXEXTRACT(P$1,""T(\d+)"")),1),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Q162" s="86">
        <f>IFERROR(__xludf.DUMMYFUNCTION("LET(
  monthStart,DATE(VALUE(REGEXEXTRACT(Q$1,""\d{4}"")),VALUE(REGEXEXTRACT(Q$1,""T(\d+)"")),1),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R162" s="86">
        <f>IFERROR(__xludf.DUMMYFUNCTION("LET(
  monthStart,DATE(VALUE(REGEXEXTRACT(R$1,""\d{4}"")),VALUE(REGEXEXTRACT(R$1,""T(\d+)"")),1),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S162" s="86">
        <f>IFERROR(__xludf.DUMMYFUNCTION("LET(
  monthStart,DATE(VALUE(REGEXEXTRACT(S$1,""\d{4}"")),VALUE(REGEXEXTRACT(S$1,""T(\d+)"")),1),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T162" s="86">
        <f>IFERROR(__xludf.DUMMYFUNCTION("LET(
  monthStart,DATE(VALUE(REGEXEXTRACT(T$1,""\d{4}"")),VALUE(REGEXEXTRACT(T$1,""T(\d+)"")),1),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U162" s="86">
        <f>IFERROR(__xludf.DUMMYFUNCTION("LET(
  monthStart,DATE(VALUE(REGEXEXTRACT(U$1,""\d{4}"")),VALUE(REGEXEXTRACT(U$1,""T(\d+)"")),1),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V162" s="86">
        <f>IFERROR(__xludf.DUMMYFUNCTION("LET(
  monthStart,DATE(VALUE(REGEXEXTRACT(V$1,""\d{4}"")),VALUE(REGEXEXTRACT(V$1,""T(\d+)"")),1),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W162" s="86">
        <f>IFERROR(__xludf.DUMMYFUNCTION("LET(
  monthStart,DATE(VALUE(REGEXEXTRACT(W$1,""\d{4}"")),VALUE(REGEXEXTRACT(W$1,""T(\d+)"")),1),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X162" s="86">
        <f>IFERROR(__xludf.DUMMYFUNCTION("LET(
  monthStart,DATE(VALUE(REGEXEXTRACT(X$1,""\d{4}"")),VALUE(REGEXEXTRACT(X$1,""T(\d+)"")),1),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Y162" s="86">
        <f>IFERROR(__xludf.DUMMYFUNCTION("LET(
  monthStart,DATE(VALUE(REGEXEXTRACT(Y$1,""\d{4}"")),VALUE(REGEXEXTRACT(Y$1,""T(\d+)"")),1),
  monthEnd,EOMONTH(monthStart,0),
  actualStart,MAX($D162,monthStart),
  actualEnd,MIN($E162,monthEnd),
  workingDaysInMonth,NETWORKDAYS(monthStart,monthEnd)"&amp;",
  workingDaysOverlap,IF(actualStart&gt;actualEnd,0,NETWORKDAYS(actualStart,actualEnd)),
  IF(workingDaysOverlap=0,"""",$F162*workingDaysOverlap/workingDaysInMonth)
)"),0.0)</f>
        <v>0</v>
      </c>
      <c r="Z162" s="64"/>
      <c r="AA162" s="64"/>
      <c r="AB162" s="64"/>
      <c r="AC162" s="64"/>
      <c r="AD162" s="64"/>
      <c r="AE162" s="64"/>
      <c r="AF162" s="64"/>
      <c r="AG162" s="64"/>
      <c r="AH162" s="64"/>
      <c r="AI162" s="64"/>
      <c r="AJ162" s="64"/>
      <c r="AK162" s="64"/>
      <c r="AO162" s="64"/>
      <c r="AP162" s="64"/>
      <c r="AQ162" s="64"/>
      <c r="AR162" s="64"/>
      <c r="AS162" s="64"/>
      <c r="AT162" s="64"/>
      <c r="AX162" s="64"/>
      <c r="AY162" s="77"/>
      <c r="AZ162" s="77"/>
      <c r="BA162" s="77"/>
      <c r="BB162" s="74"/>
      <c r="BC162" s="74"/>
      <c r="BD162" s="67"/>
      <c r="BH162" s="64"/>
      <c r="BI162" s="64"/>
      <c r="BJ162" s="64"/>
      <c r="BK162" s="64"/>
      <c r="BL162" s="64"/>
      <c r="BM162" s="64"/>
      <c r="BN162" s="64"/>
    </row>
    <row r="163" ht="30.0" customHeight="1">
      <c r="A163" s="81"/>
      <c r="B163" s="82"/>
      <c r="C163" s="83"/>
      <c r="D163" s="84"/>
      <c r="E163" s="84"/>
      <c r="F163" s="85"/>
      <c r="G163" s="86">
        <f>IFERROR(__xludf.DUMMYFUNCTION("LET(
  monthStart,DATE(VALUE(REGEXEXTRACT(G$1,""\d{4}"")),VALUE(REGEXEXTRACT(G$1,""T(\d+)"")),1),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H163" s="86">
        <f>IFERROR(__xludf.DUMMYFUNCTION("LET(
  monthStart,DATE(VALUE(REGEXEXTRACT(H$1,""\d{4}"")),VALUE(REGEXEXTRACT(H$1,""T(\d+)"")),1),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I163" s="86">
        <f>IFERROR(__xludf.DUMMYFUNCTION("LET(
  monthStart,DATE(VALUE(REGEXEXTRACT(I$1,""\d{4}"")),VALUE(REGEXEXTRACT(I$1,""T(\d+)"")),1),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J163" s="86">
        <f>IFERROR(__xludf.DUMMYFUNCTION("LET(
  monthStart,DATE(VALUE(REGEXEXTRACT(J$1,""\d{4}"")),VALUE(REGEXEXTRACT(J$1,""T(\d+)"")),1),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K163" s="86">
        <f>IFERROR(__xludf.DUMMYFUNCTION("LET(
  monthStart,DATE(VALUE(REGEXEXTRACT(K$1,""\d{4}"")),VALUE(REGEXEXTRACT(K$1,""T(\d+)"")),1),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L163" s="86">
        <f>IFERROR(__xludf.DUMMYFUNCTION("LET(
  monthStart,DATE(VALUE(REGEXEXTRACT(L$1,""\d{4}"")),VALUE(REGEXEXTRACT(L$1,""T(\d+)"")),1),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M163" s="86">
        <f>IFERROR(__xludf.DUMMYFUNCTION("LET(
  monthStart,DATE(VALUE(REGEXEXTRACT(M$1,""\d{4}"")),VALUE(REGEXEXTRACT(M$1,""T(\d+)"")),1),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N163" s="86">
        <f>IFERROR(__xludf.DUMMYFUNCTION("LET(
  monthStart,DATE(VALUE(REGEXEXTRACT(N$1,""\d{4}"")),VALUE(REGEXEXTRACT(N$1,""T(\d+)"")),1),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O163" s="86">
        <f>IFERROR(__xludf.DUMMYFUNCTION("LET(
  monthStart,DATE(VALUE(REGEXEXTRACT(O$1,""\d{4}"")),VALUE(REGEXEXTRACT(O$1,""T(\d+)"")),1),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P163" s="86">
        <f>IFERROR(__xludf.DUMMYFUNCTION("LET(
  monthStart,DATE(VALUE(REGEXEXTRACT(P$1,""\d{4}"")),VALUE(REGEXEXTRACT(P$1,""T(\d+)"")),1),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Q163" s="86">
        <f>IFERROR(__xludf.DUMMYFUNCTION("LET(
  monthStart,DATE(VALUE(REGEXEXTRACT(Q$1,""\d{4}"")),VALUE(REGEXEXTRACT(Q$1,""T(\d+)"")),1),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R163" s="86">
        <f>IFERROR(__xludf.DUMMYFUNCTION("LET(
  monthStart,DATE(VALUE(REGEXEXTRACT(R$1,""\d{4}"")),VALUE(REGEXEXTRACT(R$1,""T(\d+)"")),1),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S163" s="86">
        <f>IFERROR(__xludf.DUMMYFUNCTION("LET(
  monthStart,DATE(VALUE(REGEXEXTRACT(S$1,""\d{4}"")),VALUE(REGEXEXTRACT(S$1,""T(\d+)"")),1),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T163" s="86">
        <f>IFERROR(__xludf.DUMMYFUNCTION("LET(
  monthStart,DATE(VALUE(REGEXEXTRACT(T$1,""\d{4}"")),VALUE(REGEXEXTRACT(T$1,""T(\d+)"")),1),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U163" s="86">
        <f>IFERROR(__xludf.DUMMYFUNCTION("LET(
  monthStart,DATE(VALUE(REGEXEXTRACT(U$1,""\d{4}"")),VALUE(REGEXEXTRACT(U$1,""T(\d+)"")),1),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V163" s="86">
        <f>IFERROR(__xludf.DUMMYFUNCTION("LET(
  monthStart,DATE(VALUE(REGEXEXTRACT(V$1,""\d{4}"")),VALUE(REGEXEXTRACT(V$1,""T(\d+)"")),1),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W163" s="86">
        <f>IFERROR(__xludf.DUMMYFUNCTION("LET(
  monthStart,DATE(VALUE(REGEXEXTRACT(W$1,""\d{4}"")),VALUE(REGEXEXTRACT(W$1,""T(\d+)"")),1),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X163" s="86">
        <f>IFERROR(__xludf.DUMMYFUNCTION("LET(
  monthStart,DATE(VALUE(REGEXEXTRACT(X$1,""\d{4}"")),VALUE(REGEXEXTRACT(X$1,""T(\d+)"")),1),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Y163" s="86">
        <f>IFERROR(__xludf.DUMMYFUNCTION("LET(
  monthStart,DATE(VALUE(REGEXEXTRACT(Y$1,""\d{4}"")),VALUE(REGEXEXTRACT(Y$1,""T(\d+)"")),1),
  monthEnd,EOMONTH(monthStart,0),
  actualStart,MAX($D163,monthStart),
  actualEnd,MIN($E163,monthEnd),
  workingDaysInMonth,NETWORKDAYS(monthStart,monthEnd)"&amp;",
  workingDaysOverlap,IF(actualStart&gt;actualEnd,0,NETWORKDAYS(actualStart,actualEnd)),
  IF(workingDaysOverlap=0,"""",$F163*workingDaysOverlap/workingDaysInMonth)
)"),0.0)</f>
        <v>0</v>
      </c>
      <c r="Z163" s="64"/>
      <c r="AA163" s="64"/>
      <c r="AB163" s="64"/>
      <c r="AC163" s="64"/>
      <c r="AD163" s="64"/>
      <c r="AE163" s="64"/>
      <c r="AF163" s="64"/>
      <c r="AG163" s="64"/>
      <c r="AH163" s="64"/>
      <c r="AI163" s="64"/>
      <c r="AJ163" s="64"/>
      <c r="AK163" s="64"/>
      <c r="AO163" s="64"/>
      <c r="AP163" s="64"/>
      <c r="AQ163" s="64"/>
      <c r="AR163" s="64"/>
      <c r="AS163" s="64"/>
      <c r="AT163" s="64"/>
      <c r="AX163" s="64"/>
      <c r="AY163" s="77"/>
      <c r="AZ163" s="77"/>
      <c r="BA163" s="77"/>
      <c r="BB163" s="74"/>
      <c r="BC163" s="74"/>
      <c r="BD163" s="67"/>
      <c r="BH163" s="64"/>
      <c r="BI163" s="64"/>
      <c r="BJ163" s="64"/>
      <c r="BK163" s="64"/>
      <c r="BL163" s="64"/>
      <c r="BM163" s="64"/>
      <c r="BN163" s="64"/>
    </row>
    <row r="164" ht="30.0" customHeight="1">
      <c r="A164" s="81"/>
      <c r="B164" s="82"/>
      <c r="C164" s="83"/>
      <c r="D164" s="84"/>
      <c r="E164" s="84"/>
      <c r="F164" s="85"/>
      <c r="G164" s="86">
        <f>IFERROR(__xludf.DUMMYFUNCTION("LET(
  monthStart,DATE(VALUE(REGEXEXTRACT(G$1,""\d{4}"")),VALUE(REGEXEXTRACT(G$1,""T(\d+)"")),1),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H164" s="86">
        <f>IFERROR(__xludf.DUMMYFUNCTION("LET(
  monthStart,DATE(VALUE(REGEXEXTRACT(H$1,""\d{4}"")),VALUE(REGEXEXTRACT(H$1,""T(\d+)"")),1),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I164" s="86">
        <f>IFERROR(__xludf.DUMMYFUNCTION("LET(
  monthStart,DATE(VALUE(REGEXEXTRACT(I$1,""\d{4}"")),VALUE(REGEXEXTRACT(I$1,""T(\d+)"")),1),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J164" s="86">
        <f>IFERROR(__xludf.DUMMYFUNCTION("LET(
  monthStart,DATE(VALUE(REGEXEXTRACT(J$1,""\d{4}"")),VALUE(REGEXEXTRACT(J$1,""T(\d+)"")),1),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K164" s="86">
        <f>IFERROR(__xludf.DUMMYFUNCTION("LET(
  monthStart,DATE(VALUE(REGEXEXTRACT(K$1,""\d{4}"")),VALUE(REGEXEXTRACT(K$1,""T(\d+)"")),1),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L164" s="86">
        <f>IFERROR(__xludf.DUMMYFUNCTION("LET(
  monthStart,DATE(VALUE(REGEXEXTRACT(L$1,""\d{4}"")),VALUE(REGEXEXTRACT(L$1,""T(\d+)"")),1),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M164" s="86">
        <f>IFERROR(__xludf.DUMMYFUNCTION("LET(
  monthStart,DATE(VALUE(REGEXEXTRACT(M$1,""\d{4}"")),VALUE(REGEXEXTRACT(M$1,""T(\d+)"")),1),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N164" s="86">
        <f>IFERROR(__xludf.DUMMYFUNCTION("LET(
  monthStart,DATE(VALUE(REGEXEXTRACT(N$1,""\d{4}"")),VALUE(REGEXEXTRACT(N$1,""T(\d+)"")),1),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O164" s="86">
        <f>IFERROR(__xludf.DUMMYFUNCTION("LET(
  monthStart,DATE(VALUE(REGEXEXTRACT(O$1,""\d{4}"")),VALUE(REGEXEXTRACT(O$1,""T(\d+)"")),1),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P164" s="86">
        <f>IFERROR(__xludf.DUMMYFUNCTION("LET(
  monthStart,DATE(VALUE(REGEXEXTRACT(P$1,""\d{4}"")),VALUE(REGEXEXTRACT(P$1,""T(\d+)"")),1),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Q164" s="86">
        <f>IFERROR(__xludf.DUMMYFUNCTION("LET(
  monthStart,DATE(VALUE(REGEXEXTRACT(Q$1,""\d{4}"")),VALUE(REGEXEXTRACT(Q$1,""T(\d+)"")),1),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R164" s="86">
        <f>IFERROR(__xludf.DUMMYFUNCTION("LET(
  monthStart,DATE(VALUE(REGEXEXTRACT(R$1,""\d{4}"")),VALUE(REGEXEXTRACT(R$1,""T(\d+)"")),1),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S164" s="86">
        <f>IFERROR(__xludf.DUMMYFUNCTION("LET(
  monthStart,DATE(VALUE(REGEXEXTRACT(S$1,""\d{4}"")),VALUE(REGEXEXTRACT(S$1,""T(\d+)"")),1),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T164" s="86">
        <f>IFERROR(__xludf.DUMMYFUNCTION("LET(
  monthStart,DATE(VALUE(REGEXEXTRACT(T$1,""\d{4}"")),VALUE(REGEXEXTRACT(T$1,""T(\d+)"")),1),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U164" s="86">
        <f>IFERROR(__xludf.DUMMYFUNCTION("LET(
  monthStart,DATE(VALUE(REGEXEXTRACT(U$1,""\d{4}"")),VALUE(REGEXEXTRACT(U$1,""T(\d+)"")),1),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V164" s="86">
        <f>IFERROR(__xludf.DUMMYFUNCTION("LET(
  monthStart,DATE(VALUE(REGEXEXTRACT(V$1,""\d{4}"")),VALUE(REGEXEXTRACT(V$1,""T(\d+)"")),1),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W164" s="86">
        <f>IFERROR(__xludf.DUMMYFUNCTION("LET(
  monthStart,DATE(VALUE(REGEXEXTRACT(W$1,""\d{4}"")),VALUE(REGEXEXTRACT(W$1,""T(\d+)"")),1),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X164" s="86">
        <f>IFERROR(__xludf.DUMMYFUNCTION("LET(
  monthStart,DATE(VALUE(REGEXEXTRACT(X$1,""\d{4}"")),VALUE(REGEXEXTRACT(X$1,""T(\d+)"")),1),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Y164" s="86">
        <f>IFERROR(__xludf.DUMMYFUNCTION("LET(
  monthStart,DATE(VALUE(REGEXEXTRACT(Y$1,""\d{4}"")),VALUE(REGEXEXTRACT(Y$1,""T(\d+)"")),1),
  monthEnd,EOMONTH(monthStart,0),
  actualStart,MAX($D164,monthStart),
  actualEnd,MIN($E164,monthEnd),
  workingDaysInMonth,NETWORKDAYS(monthStart,monthEnd)"&amp;",
  workingDaysOverlap,IF(actualStart&gt;actualEnd,0,NETWORKDAYS(actualStart,actualEnd)),
  IF(workingDaysOverlap=0,"""",$F164*workingDaysOverlap/workingDaysInMonth)
)"),0.0)</f>
        <v>0</v>
      </c>
      <c r="Z164" s="64"/>
      <c r="AA164" s="64"/>
      <c r="AB164" s="64"/>
      <c r="AC164" s="64"/>
      <c r="AD164" s="64"/>
      <c r="AE164" s="64"/>
      <c r="AF164" s="64"/>
      <c r="AG164" s="64"/>
      <c r="AH164" s="64"/>
      <c r="AI164" s="64"/>
      <c r="AJ164" s="64"/>
      <c r="AK164" s="64"/>
      <c r="AO164" s="64"/>
      <c r="AP164" s="64"/>
      <c r="AQ164" s="64"/>
      <c r="AR164" s="64"/>
      <c r="AS164" s="64"/>
      <c r="AT164" s="64"/>
      <c r="AX164" s="64"/>
      <c r="AY164" s="77"/>
      <c r="AZ164" s="78"/>
      <c r="BA164" s="77"/>
      <c r="BB164" s="74"/>
      <c r="BC164" s="74"/>
      <c r="BD164" s="67"/>
      <c r="BH164" s="64"/>
      <c r="BI164" s="64"/>
      <c r="BJ164" s="64"/>
      <c r="BK164" s="64"/>
      <c r="BL164" s="64"/>
      <c r="BM164" s="64"/>
      <c r="BN164" s="64"/>
    </row>
    <row r="165" ht="30.0" customHeight="1">
      <c r="A165" s="81"/>
      <c r="B165" s="82"/>
      <c r="C165" s="83"/>
      <c r="D165" s="84"/>
      <c r="E165" s="84"/>
      <c r="F165" s="85"/>
      <c r="G165" s="86">
        <f>IFERROR(__xludf.DUMMYFUNCTION("LET(
  monthStart,DATE(VALUE(REGEXEXTRACT(G$1,""\d{4}"")),VALUE(REGEXEXTRACT(G$1,""T(\d+)"")),1),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H165" s="86">
        <f>IFERROR(__xludf.DUMMYFUNCTION("LET(
  monthStart,DATE(VALUE(REGEXEXTRACT(H$1,""\d{4}"")),VALUE(REGEXEXTRACT(H$1,""T(\d+)"")),1),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I165" s="86">
        <f>IFERROR(__xludf.DUMMYFUNCTION("LET(
  monthStart,DATE(VALUE(REGEXEXTRACT(I$1,""\d{4}"")),VALUE(REGEXEXTRACT(I$1,""T(\d+)"")),1),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J165" s="86">
        <f>IFERROR(__xludf.DUMMYFUNCTION("LET(
  monthStart,DATE(VALUE(REGEXEXTRACT(J$1,""\d{4}"")),VALUE(REGEXEXTRACT(J$1,""T(\d+)"")),1),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K165" s="86">
        <f>IFERROR(__xludf.DUMMYFUNCTION("LET(
  monthStart,DATE(VALUE(REGEXEXTRACT(K$1,""\d{4}"")),VALUE(REGEXEXTRACT(K$1,""T(\d+)"")),1),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L165" s="86">
        <f>IFERROR(__xludf.DUMMYFUNCTION("LET(
  monthStart,DATE(VALUE(REGEXEXTRACT(L$1,""\d{4}"")),VALUE(REGEXEXTRACT(L$1,""T(\d+)"")),1),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M165" s="86">
        <f>IFERROR(__xludf.DUMMYFUNCTION("LET(
  monthStart,DATE(VALUE(REGEXEXTRACT(M$1,""\d{4}"")),VALUE(REGEXEXTRACT(M$1,""T(\d+)"")),1),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N165" s="86">
        <f>IFERROR(__xludf.DUMMYFUNCTION("LET(
  monthStart,DATE(VALUE(REGEXEXTRACT(N$1,""\d{4}"")),VALUE(REGEXEXTRACT(N$1,""T(\d+)"")),1),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O165" s="86">
        <f>IFERROR(__xludf.DUMMYFUNCTION("LET(
  monthStart,DATE(VALUE(REGEXEXTRACT(O$1,""\d{4}"")),VALUE(REGEXEXTRACT(O$1,""T(\d+)"")),1),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P165" s="86">
        <f>IFERROR(__xludf.DUMMYFUNCTION("LET(
  monthStart,DATE(VALUE(REGEXEXTRACT(P$1,""\d{4}"")),VALUE(REGEXEXTRACT(P$1,""T(\d+)"")),1),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Q165" s="86">
        <f>IFERROR(__xludf.DUMMYFUNCTION("LET(
  monthStart,DATE(VALUE(REGEXEXTRACT(Q$1,""\d{4}"")),VALUE(REGEXEXTRACT(Q$1,""T(\d+)"")),1),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R165" s="86">
        <f>IFERROR(__xludf.DUMMYFUNCTION("LET(
  monthStart,DATE(VALUE(REGEXEXTRACT(R$1,""\d{4}"")),VALUE(REGEXEXTRACT(R$1,""T(\d+)"")),1),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S165" s="86">
        <f>IFERROR(__xludf.DUMMYFUNCTION("LET(
  monthStart,DATE(VALUE(REGEXEXTRACT(S$1,""\d{4}"")),VALUE(REGEXEXTRACT(S$1,""T(\d+)"")),1),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T165" s="86">
        <f>IFERROR(__xludf.DUMMYFUNCTION("LET(
  monthStart,DATE(VALUE(REGEXEXTRACT(T$1,""\d{4}"")),VALUE(REGEXEXTRACT(T$1,""T(\d+)"")),1),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U165" s="86">
        <f>IFERROR(__xludf.DUMMYFUNCTION("LET(
  monthStart,DATE(VALUE(REGEXEXTRACT(U$1,""\d{4}"")),VALUE(REGEXEXTRACT(U$1,""T(\d+)"")),1),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V165" s="86">
        <f>IFERROR(__xludf.DUMMYFUNCTION("LET(
  monthStart,DATE(VALUE(REGEXEXTRACT(V$1,""\d{4}"")),VALUE(REGEXEXTRACT(V$1,""T(\d+)"")),1),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W165" s="86">
        <f>IFERROR(__xludf.DUMMYFUNCTION("LET(
  monthStart,DATE(VALUE(REGEXEXTRACT(W$1,""\d{4}"")),VALUE(REGEXEXTRACT(W$1,""T(\d+)"")),1),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X165" s="86">
        <f>IFERROR(__xludf.DUMMYFUNCTION("LET(
  monthStart,DATE(VALUE(REGEXEXTRACT(X$1,""\d{4}"")),VALUE(REGEXEXTRACT(X$1,""T(\d+)"")),1),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Y165" s="86">
        <f>IFERROR(__xludf.DUMMYFUNCTION("LET(
  monthStart,DATE(VALUE(REGEXEXTRACT(Y$1,""\d{4}"")),VALUE(REGEXEXTRACT(Y$1,""T(\d+)"")),1),
  monthEnd,EOMONTH(monthStart,0),
  actualStart,MAX($D165,monthStart),
  actualEnd,MIN($E165,monthEnd),
  workingDaysInMonth,NETWORKDAYS(monthStart,monthEnd)"&amp;",
  workingDaysOverlap,IF(actualStart&gt;actualEnd,0,NETWORKDAYS(actualStart,actualEnd)),
  IF(workingDaysOverlap=0,"""",$F165*workingDaysOverlap/workingDaysInMonth)
)"),0.0)</f>
        <v>0</v>
      </c>
      <c r="Z165" s="64"/>
      <c r="AA165" s="64"/>
      <c r="AB165" s="64"/>
      <c r="AC165" s="64"/>
      <c r="AD165" s="64"/>
      <c r="AE165" s="64"/>
      <c r="AF165" s="64"/>
      <c r="AG165" s="64"/>
      <c r="AH165" s="64"/>
      <c r="AI165" s="64"/>
      <c r="AJ165" s="64"/>
      <c r="AK165" s="64"/>
      <c r="AO165" s="64"/>
      <c r="AP165" s="64"/>
      <c r="AQ165" s="64"/>
      <c r="AR165" s="64"/>
      <c r="AS165" s="64"/>
      <c r="AT165" s="64"/>
      <c r="AX165" s="64"/>
      <c r="AY165" s="77"/>
      <c r="AZ165" s="77"/>
      <c r="BA165" s="77"/>
      <c r="BB165" s="74"/>
      <c r="BC165" s="74"/>
      <c r="BD165" s="67"/>
      <c r="BH165" s="64"/>
      <c r="BI165" s="64"/>
      <c r="BJ165" s="64"/>
      <c r="BK165" s="64"/>
      <c r="BL165" s="64"/>
      <c r="BM165" s="64"/>
      <c r="BN165" s="64"/>
    </row>
    <row r="166" ht="30.0" customHeight="1">
      <c r="A166" s="81"/>
      <c r="B166" s="82"/>
      <c r="C166" s="83"/>
      <c r="D166" s="84"/>
      <c r="E166" s="84"/>
      <c r="F166" s="85"/>
      <c r="G166" s="86">
        <f>IFERROR(__xludf.DUMMYFUNCTION("LET(
  monthStart,DATE(VALUE(REGEXEXTRACT(G$1,""\d{4}"")),VALUE(REGEXEXTRACT(G$1,""T(\d+)"")),1),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H166" s="86">
        <f>IFERROR(__xludf.DUMMYFUNCTION("LET(
  monthStart,DATE(VALUE(REGEXEXTRACT(H$1,""\d{4}"")),VALUE(REGEXEXTRACT(H$1,""T(\d+)"")),1),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I166" s="86">
        <f>IFERROR(__xludf.DUMMYFUNCTION("LET(
  monthStart,DATE(VALUE(REGEXEXTRACT(I$1,""\d{4}"")),VALUE(REGEXEXTRACT(I$1,""T(\d+)"")),1),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J166" s="86">
        <f>IFERROR(__xludf.DUMMYFUNCTION("LET(
  monthStart,DATE(VALUE(REGEXEXTRACT(J$1,""\d{4}"")),VALUE(REGEXEXTRACT(J$1,""T(\d+)"")),1),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K166" s="86">
        <f>IFERROR(__xludf.DUMMYFUNCTION("LET(
  monthStart,DATE(VALUE(REGEXEXTRACT(K$1,""\d{4}"")),VALUE(REGEXEXTRACT(K$1,""T(\d+)"")),1),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L166" s="86">
        <f>IFERROR(__xludf.DUMMYFUNCTION("LET(
  monthStart,DATE(VALUE(REGEXEXTRACT(L$1,""\d{4}"")),VALUE(REGEXEXTRACT(L$1,""T(\d+)"")),1),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M166" s="86">
        <f>IFERROR(__xludf.DUMMYFUNCTION("LET(
  monthStart,DATE(VALUE(REGEXEXTRACT(M$1,""\d{4}"")),VALUE(REGEXEXTRACT(M$1,""T(\d+)"")),1),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N166" s="86">
        <f>IFERROR(__xludf.DUMMYFUNCTION("LET(
  monthStart,DATE(VALUE(REGEXEXTRACT(N$1,""\d{4}"")),VALUE(REGEXEXTRACT(N$1,""T(\d+)"")),1),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O166" s="86">
        <f>IFERROR(__xludf.DUMMYFUNCTION("LET(
  monthStart,DATE(VALUE(REGEXEXTRACT(O$1,""\d{4}"")),VALUE(REGEXEXTRACT(O$1,""T(\d+)"")),1),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P166" s="86">
        <f>IFERROR(__xludf.DUMMYFUNCTION("LET(
  monthStart,DATE(VALUE(REGEXEXTRACT(P$1,""\d{4}"")),VALUE(REGEXEXTRACT(P$1,""T(\d+)"")),1),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Q166" s="86">
        <f>IFERROR(__xludf.DUMMYFUNCTION("LET(
  monthStart,DATE(VALUE(REGEXEXTRACT(Q$1,""\d{4}"")),VALUE(REGEXEXTRACT(Q$1,""T(\d+)"")),1),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R166" s="86">
        <f>IFERROR(__xludf.DUMMYFUNCTION("LET(
  monthStart,DATE(VALUE(REGEXEXTRACT(R$1,""\d{4}"")),VALUE(REGEXEXTRACT(R$1,""T(\d+)"")),1),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S166" s="86">
        <f>IFERROR(__xludf.DUMMYFUNCTION("LET(
  monthStart,DATE(VALUE(REGEXEXTRACT(S$1,""\d{4}"")),VALUE(REGEXEXTRACT(S$1,""T(\d+)"")),1),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T166" s="86">
        <f>IFERROR(__xludf.DUMMYFUNCTION("LET(
  monthStart,DATE(VALUE(REGEXEXTRACT(T$1,""\d{4}"")),VALUE(REGEXEXTRACT(T$1,""T(\d+)"")),1),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U166" s="86">
        <f>IFERROR(__xludf.DUMMYFUNCTION("LET(
  monthStart,DATE(VALUE(REGEXEXTRACT(U$1,""\d{4}"")),VALUE(REGEXEXTRACT(U$1,""T(\d+)"")),1),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V166" s="86">
        <f>IFERROR(__xludf.DUMMYFUNCTION("LET(
  monthStart,DATE(VALUE(REGEXEXTRACT(V$1,""\d{4}"")),VALUE(REGEXEXTRACT(V$1,""T(\d+)"")),1),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W166" s="86">
        <f>IFERROR(__xludf.DUMMYFUNCTION("LET(
  monthStart,DATE(VALUE(REGEXEXTRACT(W$1,""\d{4}"")),VALUE(REGEXEXTRACT(W$1,""T(\d+)"")),1),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X166" s="86">
        <f>IFERROR(__xludf.DUMMYFUNCTION("LET(
  monthStart,DATE(VALUE(REGEXEXTRACT(X$1,""\d{4}"")),VALUE(REGEXEXTRACT(X$1,""T(\d+)"")),1),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Y166" s="86">
        <f>IFERROR(__xludf.DUMMYFUNCTION("LET(
  monthStart,DATE(VALUE(REGEXEXTRACT(Y$1,""\d{4}"")),VALUE(REGEXEXTRACT(Y$1,""T(\d+)"")),1),
  monthEnd,EOMONTH(monthStart,0),
  actualStart,MAX($D166,monthStart),
  actualEnd,MIN($E166,monthEnd),
  workingDaysInMonth,NETWORKDAYS(monthStart,monthEnd)"&amp;",
  workingDaysOverlap,IF(actualStart&gt;actualEnd,0,NETWORKDAYS(actualStart,actualEnd)),
  IF(workingDaysOverlap=0,"""",$F166*workingDaysOverlap/workingDaysInMonth)
)"),0.0)</f>
        <v>0</v>
      </c>
      <c r="Z166" s="64"/>
      <c r="AA166" s="64"/>
      <c r="AB166" s="64"/>
      <c r="AC166" s="64"/>
      <c r="AD166" s="64"/>
      <c r="AE166" s="64"/>
      <c r="AF166" s="64"/>
      <c r="AG166" s="64"/>
      <c r="AH166" s="64"/>
      <c r="AI166" s="64"/>
      <c r="AJ166" s="64"/>
      <c r="AK166" s="64"/>
      <c r="AO166" s="64"/>
      <c r="AP166" s="64"/>
      <c r="AQ166" s="64"/>
      <c r="AR166" s="64"/>
      <c r="AS166" s="64"/>
      <c r="AT166" s="64"/>
      <c r="AX166" s="64"/>
      <c r="AY166" s="77"/>
      <c r="AZ166" s="78"/>
      <c r="BA166" s="77"/>
      <c r="BB166" s="74"/>
      <c r="BC166" s="74"/>
      <c r="BD166" s="67"/>
      <c r="BH166" s="64"/>
      <c r="BI166" s="64"/>
      <c r="BJ166" s="64"/>
      <c r="BK166" s="64"/>
      <c r="BL166" s="64"/>
      <c r="BM166" s="64"/>
      <c r="BN166" s="64"/>
    </row>
    <row r="167" ht="30.0" customHeight="1">
      <c r="A167" s="81"/>
      <c r="B167" s="82"/>
      <c r="C167" s="83"/>
      <c r="D167" s="84"/>
      <c r="E167" s="84"/>
      <c r="F167" s="85"/>
      <c r="G167" s="86">
        <f>IFERROR(__xludf.DUMMYFUNCTION("LET(
  monthStart,DATE(VALUE(REGEXEXTRACT(G$1,""\d{4}"")),VALUE(REGEXEXTRACT(G$1,""T(\d+)"")),1),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H167" s="86">
        <f>IFERROR(__xludf.DUMMYFUNCTION("LET(
  monthStart,DATE(VALUE(REGEXEXTRACT(H$1,""\d{4}"")),VALUE(REGEXEXTRACT(H$1,""T(\d+)"")),1),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I167" s="86">
        <f>IFERROR(__xludf.DUMMYFUNCTION("LET(
  monthStart,DATE(VALUE(REGEXEXTRACT(I$1,""\d{4}"")),VALUE(REGEXEXTRACT(I$1,""T(\d+)"")),1),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J167" s="86">
        <f>IFERROR(__xludf.DUMMYFUNCTION("LET(
  monthStart,DATE(VALUE(REGEXEXTRACT(J$1,""\d{4}"")),VALUE(REGEXEXTRACT(J$1,""T(\d+)"")),1),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K167" s="86">
        <f>IFERROR(__xludf.DUMMYFUNCTION("LET(
  monthStart,DATE(VALUE(REGEXEXTRACT(K$1,""\d{4}"")),VALUE(REGEXEXTRACT(K$1,""T(\d+)"")),1),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L167" s="86">
        <f>IFERROR(__xludf.DUMMYFUNCTION("LET(
  monthStart,DATE(VALUE(REGEXEXTRACT(L$1,""\d{4}"")),VALUE(REGEXEXTRACT(L$1,""T(\d+)"")),1),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M167" s="86">
        <f>IFERROR(__xludf.DUMMYFUNCTION("LET(
  monthStart,DATE(VALUE(REGEXEXTRACT(M$1,""\d{4}"")),VALUE(REGEXEXTRACT(M$1,""T(\d+)"")),1),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N167" s="86">
        <f>IFERROR(__xludf.DUMMYFUNCTION("LET(
  monthStart,DATE(VALUE(REGEXEXTRACT(N$1,""\d{4}"")),VALUE(REGEXEXTRACT(N$1,""T(\d+)"")),1),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O167" s="86">
        <f>IFERROR(__xludf.DUMMYFUNCTION("LET(
  monthStart,DATE(VALUE(REGEXEXTRACT(O$1,""\d{4}"")),VALUE(REGEXEXTRACT(O$1,""T(\d+)"")),1),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P167" s="86">
        <f>IFERROR(__xludf.DUMMYFUNCTION("LET(
  monthStart,DATE(VALUE(REGEXEXTRACT(P$1,""\d{4}"")),VALUE(REGEXEXTRACT(P$1,""T(\d+)"")),1),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Q167" s="86">
        <f>IFERROR(__xludf.DUMMYFUNCTION("LET(
  monthStart,DATE(VALUE(REGEXEXTRACT(Q$1,""\d{4}"")),VALUE(REGEXEXTRACT(Q$1,""T(\d+)"")),1),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R167" s="86">
        <f>IFERROR(__xludf.DUMMYFUNCTION("LET(
  monthStart,DATE(VALUE(REGEXEXTRACT(R$1,""\d{4}"")),VALUE(REGEXEXTRACT(R$1,""T(\d+)"")),1),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S167" s="86">
        <f>IFERROR(__xludf.DUMMYFUNCTION("LET(
  monthStart,DATE(VALUE(REGEXEXTRACT(S$1,""\d{4}"")),VALUE(REGEXEXTRACT(S$1,""T(\d+)"")),1),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T167" s="86">
        <f>IFERROR(__xludf.DUMMYFUNCTION("LET(
  monthStart,DATE(VALUE(REGEXEXTRACT(T$1,""\d{4}"")),VALUE(REGEXEXTRACT(T$1,""T(\d+)"")),1),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U167" s="86">
        <f>IFERROR(__xludf.DUMMYFUNCTION("LET(
  monthStart,DATE(VALUE(REGEXEXTRACT(U$1,""\d{4}"")),VALUE(REGEXEXTRACT(U$1,""T(\d+)"")),1),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V167" s="86">
        <f>IFERROR(__xludf.DUMMYFUNCTION("LET(
  monthStart,DATE(VALUE(REGEXEXTRACT(V$1,""\d{4}"")),VALUE(REGEXEXTRACT(V$1,""T(\d+)"")),1),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W167" s="86">
        <f>IFERROR(__xludf.DUMMYFUNCTION("LET(
  monthStart,DATE(VALUE(REGEXEXTRACT(W$1,""\d{4}"")),VALUE(REGEXEXTRACT(W$1,""T(\d+)"")),1),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X167" s="86">
        <f>IFERROR(__xludf.DUMMYFUNCTION("LET(
  monthStart,DATE(VALUE(REGEXEXTRACT(X$1,""\d{4}"")),VALUE(REGEXEXTRACT(X$1,""T(\d+)"")),1),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Y167" s="86">
        <f>IFERROR(__xludf.DUMMYFUNCTION("LET(
  monthStart,DATE(VALUE(REGEXEXTRACT(Y$1,""\d{4}"")),VALUE(REGEXEXTRACT(Y$1,""T(\d+)"")),1),
  monthEnd,EOMONTH(monthStart,0),
  actualStart,MAX($D167,monthStart),
  actualEnd,MIN($E167,monthEnd),
  workingDaysInMonth,NETWORKDAYS(monthStart,monthEnd)"&amp;",
  workingDaysOverlap,IF(actualStart&gt;actualEnd,0,NETWORKDAYS(actualStart,actualEnd)),
  IF(workingDaysOverlap=0,"""",$F167*workingDaysOverlap/workingDaysInMonth)
)"),0.0)</f>
        <v>0</v>
      </c>
      <c r="Z167" s="64"/>
      <c r="AA167" s="64"/>
      <c r="AB167" s="64"/>
      <c r="AC167" s="64"/>
      <c r="AD167" s="64"/>
      <c r="AE167" s="64"/>
      <c r="AF167" s="64"/>
      <c r="AG167" s="64"/>
      <c r="AH167" s="64"/>
      <c r="AI167" s="64"/>
      <c r="AJ167" s="64"/>
      <c r="AK167" s="64"/>
      <c r="AO167" s="64"/>
      <c r="AP167" s="64"/>
      <c r="AQ167" s="64"/>
      <c r="AR167" s="64"/>
      <c r="AS167" s="64"/>
      <c r="AT167" s="64"/>
      <c r="AX167" s="64"/>
      <c r="AY167" s="77"/>
      <c r="AZ167" s="77"/>
      <c r="BA167" s="77"/>
      <c r="BB167" s="74"/>
      <c r="BC167" s="74"/>
      <c r="BD167" s="67"/>
      <c r="BH167" s="64"/>
      <c r="BI167" s="64"/>
      <c r="BJ167" s="64"/>
      <c r="BK167" s="64"/>
      <c r="BL167" s="64"/>
      <c r="BM167" s="64"/>
      <c r="BN167" s="64"/>
    </row>
    <row r="168" ht="30.0" customHeight="1">
      <c r="A168" s="81"/>
      <c r="B168" s="82"/>
      <c r="C168" s="83"/>
      <c r="D168" s="84"/>
      <c r="E168" s="84"/>
      <c r="F168" s="85"/>
      <c r="G168" s="86">
        <f>IFERROR(__xludf.DUMMYFUNCTION("LET(
  monthStart,DATE(VALUE(REGEXEXTRACT(G$1,""\d{4}"")),VALUE(REGEXEXTRACT(G$1,""T(\d+)"")),1),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H168" s="86">
        <f>IFERROR(__xludf.DUMMYFUNCTION("LET(
  monthStart,DATE(VALUE(REGEXEXTRACT(H$1,""\d{4}"")),VALUE(REGEXEXTRACT(H$1,""T(\d+)"")),1),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I168" s="86">
        <f>IFERROR(__xludf.DUMMYFUNCTION("LET(
  monthStart,DATE(VALUE(REGEXEXTRACT(I$1,""\d{4}"")),VALUE(REGEXEXTRACT(I$1,""T(\d+)"")),1),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J168" s="86">
        <f>IFERROR(__xludf.DUMMYFUNCTION("LET(
  monthStart,DATE(VALUE(REGEXEXTRACT(J$1,""\d{4}"")),VALUE(REGEXEXTRACT(J$1,""T(\d+)"")),1),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K168" s="86">
        <f>IFERROR(__xludf.DUMMYFUNCTION("LET(
  monthStart,DATE(VALUE(REGEXEXTRACT(K$1,""\d{4}"")),VALUE(REGEXEXTRACT(K$1,""T(\d+)"")),1),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L168" s="86">
        <f>IFERROR(__xludf.DUMMYFUNCTION("LET(
  monthStart,DATE(VALUE(REGEXEXTRACT(L$1,""\d{4}"")),VALUE(REGEXEXTRACT(L$1,""T(\d+)"")),1),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M168" s="86">
        <f>IFERROR(__xludf.DUMMYFUNCTION("LET(
  monthStart,DATE(VALUE(REGEXEXTRACT(M$1,""\d{4}"")),VALUE(REGEXEXTRACT(M$1,""T(\d+)"")),1),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N168" s="86">
        <f>IFERROR(__xludf.DUMMYFUNCTION("LET(
  monthStart,DATE(VALUE(REGEXEXTRACT(N$1,""\d{4}"")),VALUE(REGEXEXTRACT(N$1,""T(\d+)"")),1),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O168" s="86">
        <f>IFERROR(__xludf.DUMMYFUNCTION("LET(
  monthStart,DATE(VALUE(REGEXEXTRACT(O$1,""\d{4}"")),VALUE(REGEXEXTRACT(O$1,""T(\d+)"")),1),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P168" s="86">
        <f>IFERROR(__xludf.DUMMYFUNCTION("LET(
  monthStart,DATE(VALUE(REGEXEXTRACT(P$1,""\d{4}"")),VALUE(REGEXEXTRACT(P$1,""T(\d+)"")),1),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Q168" s="86">
        <f>IFERROR(__xludf.DUMMYFUNCTION("LET(
  monthStart,DATE(VALUE(REGEXEXTRACT(Q$1,""\d{4}"")),VALUE(REGEXEXTRACT(Q$1,""T(\d+)"")),1),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R168" s="86">
        <f>IFERROR(__xludf.DUMMYFUNCTION("LET(
  monthStart,DATE(VALUE(REGEXEXTRACT(R$1,""\d{4}"")),VALUE(REGEXEXTRACT(R$1,""T(\d+)"")),1),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S168" s="86">
        <f>IFERROR(__xludf.DUMMYFUNCTION("LET(
  monthStart,DATE(VALUE(REGEXEXTRACT(S$1,""\d{4}"")),VALUE(REGEXEXTRACT(S$1,""T(\d+)"")),1),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T168" s="86">
        <f>IFERROR(__xludf.DUMMYFUNCTION("LET(
  monthStart,DATE(VALUE(REGEXEXTRACT(T$1,""\d{4}"")),VALUE(REGEXEXTRACT(T$1,""T(\d+)"")),1),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U168" s="86">
        <f>IFERROR(__xludf.DUMMYFUNCTION("LET(
  monthStart,DATE(VALUE(REGEXEXTRACT(U$1,""\d{4}"")),VALUE(REGEXEXTRACT(U$1,""T(\d+)"")),1),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V168" s="86">
        <f>IFERROR(__xludf.DUMMYFUNCTION("LET(
  monthStart,DATE(VALUE(REGEXEXTRACT(V$1,""\d{4}"")),VALUE(REGEXEXTRACT(V$1,""T(\d+)"")),1),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W168" s="86">
        <f>IFERROR(__xludf.DUMMYFUNCTION("LET(
  monthStart,DATE(VALUE(REGEXEXTRACT(W$1,""\d{4}"")),VALUE(REGEXEXTRACT(W$1,""T(\d+)"")),1),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X168" s="86">
        <f>IFERROR(__xludf.DUMMYFUNCTION("LET(
  monthStart,DATE(VALUE(REGEXEXTRACT(X$1,""\d{4}"")),VALUE(REGEXEXTRACT(X$1,""T(\d+)"")),1),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Y168" s="86">
        <f>IFERROR(__xludf.DUMMYFUNCTION("LET(
  monthStart,DATE(VALUE(REGEXEXTRACT(Y$1,""\d{4}"")),VALUE(REGEXEXTRACT(Y$1,""T(\d+)"")),1),
  monthEnd,EOMONTH(monthStart,0),
  actualStart,MAX($D168,monthStart),
  actualEnd,MIN($E168,monthEnd),
  workingDaysInMonth,NETWORKDAYS(monthStart,monthEnd)"&amp;",
  workingDaysOverlap,IF(actualStart&gt;actualEnd,0,NETWORKDAYS(actualStart,actualEnd)),
  IF(workingDaysOverlap=0,"""",$F168*workingDaysOverlap/workingDaysInMonth)
)"),0.0)</f>
        <v>0</v>
      </c>
      <c r="Z168" s="64"/>
      <c r="AA168" s="64"/>
      <c r="AB168" s="64"/>
      <c r="AC168" s="64"/>
      <c r="AD168" s="64"/>
      <c r="AE168" s="64"/>
      <c r="AF168" s="64"/>
      <c r="AG168" s="64"/>
      <c r="AH168" s="64"/>
      <c r="AI168" s="64"/>
      <c r="AJ168" s="64"/>
      <c r="AK168" s="64"/>
      <c r="AO168" s="64"/>
      <c r="AP168" s="64"/>
      <c r="AQ168" s="64"/>
      <c r="AR168" s="64"/>
      <c r="AS168" s="64"/>
      <c r="AT168" s="64"/>
      <c r="AX168" s="64"/>
      <c r="AY168" s="77"/>
      <c r="AZ168" s="77"/>
      <c r="BA168" s="77"/>
      <c r="BB168" s="74"/>
      <c r="BC168" s="74"/>
      <c r="BD168" s="67"/>
      <c r="BH168" s="64"/>
      <c r="BI168" s="64"/>
      <c r="BJ168" s="64"/>
      <c r="BK168" s="64"/>
      <c r="BL168" s="64"/>
      <c r="BM168" s="64"/>
      <c r="BN168" s="64"/>
    </row>
    <row r="169" ht="30.0" customHeight="1">
      <c r="A169" s="81"/>
      <c r="B169" s="82"/>
      <c r="C169" s="83"/>
      <c r="D169" s="84"/>
      <c r="E169" s="84"/>
      <c r="F169" s="85"/>
      <c r="G169" s="86">
        <f>IFERROR(__xludf.DUMMYFUNCTION("LET(
  monthStart,DATE(VALUE(REGEXEXTRACT(G$1,""\d{4}"")),VALUE(REGEXEXTRACT(G$1,""T(\d+)"")),1),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H169" s="86">
        <f>IFERROR(__xludf.DUMMYFUNCTION("LET(
  monthStart,DATE(VALUE(REGEXEXTRACT(H$1,""\d{4}"")),VALUE(REGEXEXTRACT(H$1,""T(\d+)"")),1),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I169" s="86">
        <f>IFERROR(__xludf.DUMMYFUNCTION("LET(
  monthStart,DATE(VALUE(REGEXEXTRACT(I$1,""\d{4}"")),VALUE(REGEXEXTRACT(I$1,""T(\d+)"")),1),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J169" s="86">
        <f>IFERROR(__xludf.DUMMYFUNCTION("LET(
  monthStart,DATE(VALUE(REGEXEXTRACT(J$1,""\d{4}"")),VALUE(REGEXEXTRACT(J$1,""T(\d+)"")),1),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K169" s="86">
        <f>IFERROR(__xludf.DUMMYFUNCTION("LET(
  monthStart,DATE(VALUE(REGEXEXTRACT(K$1,""\d{4}"")),VALUE(REGEXEXTRACT(K$1,""T(\d+)"")),1),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L169" s="86">
        <f>IFERROR(__xludf.DUMMYFUNCTION("LET(
  monthStart,DATE(VALUE(REGEXEXTRACT(L$1,""\d{4}"")),VALUE(REGEXEXTRACT(L$1,""T(\d+)"")),1),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M169" s="86">
        <f>IFERROR(__xludf.DUMMYFUNCTION("LET(
  monthStart,DATE(VALUE(REGEXEXTRACT(M$1,""\d{4}"")),VALUE(REGEXEXTRACT(M$1,""T(\d+)"")),1),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N169" s="86">
        <f>IFERROR(__xludf.DUMMYFUNCTION("LET(
  monthStart,DATE(VALUE(REGEXEXTRACT(N$1,""\d{4}"")),VALUE(REGEXEXTRACT(N$1,""T(\d+)"")),1),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O169" s="86">
        <f>IFERROR(__xludf.DUMMYFUNCTION("LET(
  monthStart,DATE(VALUE(REGEXEXTRACT(O$1,""\d{4}"")),VALUE(REGEXEXTRACT(O$1,""T(\d+)"")),1),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P169" s="86">
        <f>IFERROR(__xludf.DUMMYFUNCTION("LET(
  monthStart,DATE(VALUE(REGEXEXTRACT(P$1,""\d{4}"")),VALUE(REGEXEXTRACT(P$1,""T(\d+)"")),1),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Q169" s="86">
        <f>IFERROR(__xludf.DUMMYFUNCTION("LET(
  monthStart,DATE(VALUE(REGEXEXTRACT(Q$1,""\d{4}"")),VALUE(REGEXEXTRACT(Q$1,""T(\d+)"")),1),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R169" s="86">
        <f>IFERROR(__xludf.DUMMYFUNCTION("LET(
  monthStart,DATE(VALUE(REGEXEXTRACT(R$1,""\d{4}"")),VALUE(REGEXEXTRACT(R$1,""T(\d+)"")),1),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S169" s="86">
        <f>IFERROR(__xludf.DUMMYFUNCTION("LET(
  monthStart,DATE(VALUE(REGEXEXTRACT(S$1,""\d{4}"")),VALUE(REGEXEXTRACT(S$1,""T(\d+)"")),1),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T169" s="86">
        <f>IFERROR(__xludf.DUMMYFUNCTION("LET(
  monthStart,DATE(VALUE(REGEXEXTRACT(T$1,""\d{4}"")),VALUE(REGEXEXTRACT(T$1,""T(\d+)"")),1),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U169" s="86">
        <f>IFERROR(__xludf.DUMMYFUNCTION("LET(
  monthStart,DATE(VALUE(REGEXEXTRACT(U$1,""\d{4}"")),VALUE(REGEXEXTRACT(U$1,""T(\d+)"")),1),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V169" s="86">
        <f>IFERROR(__xludf.DUMMYFUNCTION("LET(
  monthStart,DATE(VALUE(REGEXEXTRACT(V$1,""\d{4}"")),VALUE(REGEXEXTRACT(V$1,""T(\d+)"")),1),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W169" s="86">
        <f>IFERROR(__xludf.DUMMYFUNCTION("LET(
  monthStart,DATE(VALUE(REGEXEXTRACT(W$1,""\d{4}"")),VALUE(REGEXEXTRACT(W$1,""T(\d+)"")),1),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X169" s="86">
        <f>IFERROR(__xludf.DUMMYFUNCTION("LET(
  monthStart,DATE(VALUE(REGEXEXTRACT(X$1,""\d{4}"")),VALUE(REGEXEXTRACT(X$1,""T(\d+)"")),1),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Y169" s="86">
        <f>IFERROR(__xludf.DUMMYFUNCTION("LET(
  monthStart,DATE(VALUE(REGEXEXTRACT(Y$1,""\d{4}"")),VALUE(REGEXEXTRACT(Y$1,""T(\d+)"")),1),
  monthEnd,EOMONTH(monthStart,0),
  actualStart,MAX($D169,monthStart),
  actualEnd,MIN($E169,monthEnd),
  workingDaysInMonth,NETWORKDAYS(monthStart,monthEnd)"&amp;",
  workingDaysOverlap,IF(actualStart&gt;actualEnd,0,NETWORKDAYS(actualStart,actualEnd)),
  IF(workingDaysOverlap=0,"""",$F169*workingDaysOverlap/workingDaysInMonth)
)"),0.0)</f>
        <v>0</v>
      </c>
      <c r="Z169" s="64"/>
      <c r="AA169" s="64"/>
      <c r="AB169" s="64"/>
      <c r="AC169" s="64"/>
      <c r="AD169" s="64"/>
      <c r="AE169" s="64"/>
      <c r="AF169" s="64"/>
      <c r="AG169" s="64"/>
      <c r="AH169" s="64"/>
      <c r="AI169" s="64"/>
      <c r="AJ169" s="64"/>
      <c r="AK169" s="64"/>
      <c r="AO169" s="64"/>
      <c r="AP169" s="64"/>
      <c r="AQ169" s="64"/>
      <c r="AR169" s="64"/>
      <c r="AS169" s="64"/>
      <c r="AT169" s="64"/>
      <c r="AX169" s="64"/>
      <c r="AY169" s="89"/>
      <c r="AZ169" s="89"/>
      <c r="BA169" s="89"/>
      <c r="BB169" s="91"/>
      <c r="BC169" s="74"/>
      <c r="BD169" s="67"/>
      <c r="BH169" s="64"/>
      <c r="BI169" s="64"/>
      <c r="BJ169" s="64"/>
      <c r="BK169" s="64"/>
      <c r="BL169" s="64"/>
      <c r="BM169" s="64"/>
      <c r="BN169" s="64"/>
    </row>
    <row r="170" ht="30.0" customHeight="1">
      <c r="A170" s="64"/>
      <c r="B170" s="64"/>
      <c r="C170" s="66"/>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X170" s="64"/>
      <c r="AY170" s="64"/>
      <c r="AZ170" s="64"/>
      <c r="BA170" s="75"/>
      <c r="BB170" s="64"/>
      <c r="BC170" s="64"/>
      <c r="BD170" s="66"/>
      <c r="BE170" s="64"/>
      <c r="BF170" s="64"/>
      <c r="BG170" s="64"/>
      <c r="BH170" s="64"/>
      <c r="BI170" s="64"/>
      <c r="BJ170" s="64"/>
      <c r="BK170" s="64"/>
      <c r="BL170" s="64"/>
      <c r="BM170" s="64"/>
      <c r="BN170" s="64"/>
    </row>
    <row r="171" ht="30.0" customHeight="1">
      <c r="A171" s="64"/>
      <c r="B171" s="64"/>
      <c r="C171" s="66"/>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X171" s="64"/>
      <c r="AY171" s="64"/>
      <c r="AZ171" s="64"/>
      <c r="BA171" s="75"/>
      <c r="BB171" s="64"/>
      <c r="BC171" s="64"/>
      <c r="BD171" s="66"/>
      <c r="BE171" s="64"/>
      <c r="BF171" s="64"/>
      <c r="BG171" s="64"/>
      <c r="BH171" s="64"/>
      <c r="BI171" s="64"/>
      <c r="BJ171" s="64"/>
      <c r="BK171" s="64"/>
      <c r="BL171" s="64"/>
      <c r="BM171" s="64"/>
      <c r="BN171" s="64"/>
    </row>
    <row r="172" ht="30.0" customHeight="1">
      <c r="A172" s="64"/>
      <c r="B172" s="64"/>
      <c r="C172" s="66"/>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X172" s="64"/>
      <c r="AY172" s="64"/>
      <c r="AZ172" s="64"/>
      <c r="BA172" s="75"/>
      <c r="BB172" s="64"/>
      <c r="BC172" s="64"/>
      <c r="BD172" s="66"/>
      <c r="BE172" s="64"/>
      <c r="BF172" s="64"/>
      <c r="BG172" s="64"/>
      <c r="BH172" s="64"/>
      <c r="BI172" s="64"/>
      <c r="BJ172" s="64"/>
      <c r="BK172" s="64"/>
      <c r="BL172" s="64"/>
      <c r="BM172" s="64"/>
      <c r="BN172" s="64"/>
    </row>
    <row r="173" ht="30.0" customHeight="1">
      <c r="A173" s="64"/>
      <c r="B173" s="64"/>
      <c r="C173" s="66"/>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X173" s="64"/>
      <c r="AY173" s="64"/>
      <c r="AZ173" s="64"/>
      <c r="BA173" s="75"/>
      <c r="BB173" s="64"/>
      <c r="BC173" s="64"/>
      <c r="BD173" s="66"/>
      <c r="BE173" s="64"/>
      <c r="BF173" s="64"/>
      <c r="BG173" s="64"/>
      <c r="BH173" s="64"/>
      <c r="BI173" s="64"/>
      <c r="BJ173" s="64"/>
      <c r="BK173" s="64"/>
      <c r="BL173" s="64"/>
      <c r="BM173" s="64"/>
      <c r="BN173" s="64"/>
    </row>
    <row r="174" ht="30.0" customHeight="1">
      <c r="A174" s="64"/>
      <c r="B174" s="64"/>
      <c r="C174" s="66"/>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75"/>
      <c r="BB174" s="64"/>
      <c r="BC174" s="64"/>
      <c r="BD174" s="66"/>
      <c r="BE174" s="64"/>
      <c r="BF174" s="64"/>
      <c r="BG174" s="64"/>
      <c r="BH174" s="64"/>
      <c r="BI174" s="64"/>
      <c r="BJ174" s="64"/>
      <c r="BK174" s="64"/>
      <c r="BL174" s="64"/>
      <c r="BM174" s="64"/>
      <c r="BN174" s="64"/>
    </row>
    <row r="175" ht="30.0" customHeight="1">
      <c r="A175" s="64"/>
      <c r="B175" s="64"/>
      <c r="C175" s="66"/>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75"/>
      <c r="BB175" s="64"/>
      <c r="BC175" s="64"/>
      <c r="BD175" s="66"/>
      <c r="BE175" s="64"/>
      <c r="BF175" s="64"/>
      <c r="BG175" s="64"/>
      <c r="BH175" s="64"/>
      <c r="BI175" s="64"/>
      <c r="BJ175" s="64"/>
      <c r="BK175" s="64"/>
      <c r="BL175" s="64"/>
      <c r="BM175" s="64"/>
      <c r="BN175" s="64"/>
    </row>
    <row r="176" ht="30.0" customHeight="1">
      <c r="A176" s="64"/>
      <c r="B176" s="64"/>
      <c r="C176" s="66"/>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75"/>
      <c r="BB176" s="64"/>
      <c r="BC176" s="64"/>
      <c r="BD176" s="66"/>
      <c r="BE176" s="64"/>
      <c r="BF176" s="64"/>
      <c r="BG176" s="64"/>
      <c r="BH176" s="64"/>
      <c r="BI176" s="64"/>
      <c r="BJ176" s="64"/>
      <c r="BK176" s="64"/>
      <c r="BL176" s="64"/>
      <c r="BM176" s="64"/>
      <c r="BN176" s="64"/>
    </row>
    <row r="177" ht="30.0" customHeight="1">
      <c r="A177" s="64"/>
      <c r="B177" s="64"/>
      <c r="C177" s="66"/>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75"/>
      <c r="BB177" s="64"/>
      <c r="BC177" s="64"/>
      <c r="BD177" s="66"/>
      <c r="BE177" s="64"/>
      <c r="BF177" s="64"/>
      <c r="BG177" s="64"/>
      <c r="BH177" s="64"/>
      <c r="BI177" s="64"/>
      <c r="BJ177" s="64"/>
      <c r="BK177" s="64"/>
      <c r="BL177" s="64"/>
      <c r="BM177" s="64"/>
      <c r="BN177" s="64"/>
    </row>
    <row r="178" ht="30.0" customHeight="1">
      <c r="A178" s="64"/>
      <c r="B178" s="64"/>
      <c r="C178" s="66"/>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75"/>
      <c r="BB178" s="64"/>
      <c r="BC178" s="64"/>
      <c r="BD178" s="66"/>
      <c r="BE178" s="64"/>
      <c r="BF178" s="64"/>
      <c r="BG178" s="64"/>
      <c r="BH178" s="64"/>
      <c r="BI178" s="64"/>
      <c r="BJ178" s="64"/>
      <c r="BK178" s="64"/>
      <c r="BL178" s="64"/>
      <c r="BM178" s="64"/>
      <c r="BN178" s="64"/>
    </row>
    <row r="179" ht="30.0" customHeight="1">
      <c r="A179" s="64"/>
      <c r="B179" s="64"/>
      <c r="C179" s="66"/>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75"/>
      <c r="BB179" s="64"/>
      <c r="BC179" s="64"/>
      <c r="BD179" s="66"/>
      <c r="BE179" s="64"/>
      <c r="BF179" s="64"/>
      <c r="BG179" s="64"/>
      <c r="BH179" s="64"/>
      <c r="BI179" s="64"/>
      <c r="BJ179" s="64"/>
      <c r="BK179" s="64"/>
      <c r="BL179" s="64"/>
      <c r="BM179" s="64"/>
      <c r="BN179" s="64"/>
    </row>
    <row r="180" ht="30.0" customHeight="1">
      <c r="A180" s="64"/>
      <c r="B180" s="64"/>
      <c r="C180" s="66"/>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75"/>
      <c r="BB180" s="64"/>
      <c r="BC180" s="64"/>
      <c r="BD180" s="66"/>
      <c r="BE180" s="64"/>
      <c r="BF180" s="64"/>
      <c r="BG180" s="64"/>
      <c r="BH180" s="64"/>
      <c r="BI180" s="64"/>
      <c r="BJ180" s="64"/>
      <c r="BK180" s="64"/>
      <c r="BL180" s="64"/>
      <c r="BM180" s="64"/>
      <c r="BN180" s="64"/>
    </row>
    <row r="181" ht="30.0" customHeight="1">
      <c r="A181" s="64"/>
      <c r="B181" s="64"/>
      <c r="C181" s="66"/>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75"/>
      <c r="BB181" s="64"/>
      <c r="BC181" s="64"/>
      <c r="BD181" s="66"/>
      <c r="BE181" s="64"/>
      <c r="BF181" s="64"/>
      <c r="BG181" s="64"/>
      <c r="BH181" s="64"/>
      <c r="BI181" s="64"/>
      <c r="BJ181" s="64"/>
      <c r="BK181" s="64"/>
      <c r="BL181" s="64"/>
      <c r="BM181" s="64"/>
      <c r="BN181" s="64"/>
    </row>
    <row r="182" ht="30.0" customHeight="1">
      <c r="A182" s="64"/>
      <c r="B182" s="64"/>
      <c r="C182" s="66"/>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75"/>
      <c r="BB182" s="64"/>
      <c r="BC182" s="64"/>
      <c r="BD182" s="66"/>
      <c r="BE182" s="64"/>
      <c r="BF182" s="64"/>
      <c r="BG182" s="64"/>
      <c r="BH182" s="64"/>
      <c r="BI182" s="64"/>
      <c r="BJ182" s="64"/>
      <c r="BK182" s="64"/>
      <c r="BL182" s="64"/>
      <c r="BM182" s="64"/>
      <c r="BN182" s="64"/>
    </row>
    <row r="183" ht="30.0" customHeight="1">
      <c r="A183" s="64"/>
      <c r="B183" s="64"/>
      <c r="C183" s="66"/>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75"/>
      <c r="BB183" s="64"/>
      <c r="BC183" s="64"/>
      <c r="BD183" s="66"/>
      <c r="BE183" s="64"/>
      <c r="BF183" s="64"/>
      <c r="BG183" s="64"/>
      <c r="BH183" s="64"/>
      <c r="BI183" s="64"/>
      <c r="BJ183" s="64"/>
      <c r="BK183" s="64"/>
      <c r="BL183" s="64"/>
      <c r="BM183" s="64"/>
      <c r="BN183" s="64"/>
    </row>
    <row r="184" ht="30.0" customHeight="1">
      <c r="A184" s="64"/>
      <c r="B184" s="64"/>
      <c r="C184" s="66"/>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75"/>
      <c r="BB184" s="64"/>
      <c r="BC184" s="64"/>
      <c r="BD184" s="66"/>
      <c r="BE184" s="64"/>
      <c r="BF184" s="64"/>
      <c r="BG184" s="64"/>
      <c r="BH184" s="64"/>
      <c r="BI184" s="64"/>
      <c r="BJ184" s="64"/>
      <c r="BK184" s="64"/>
      <c r="BL184" s="64"/>
      <c r="BM184" s="64"/>
      <c r="BN184" s="64"/>
    </row>
    <row r="185" ht="30.0" customHeight="1">
      <c r="A185" s="64"/>
      <c r="B185" s="64"/>
      <c r="C185" s="66"/>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75"/>
      <c r="BB185" s="64"/>
      <c r="BC185" s="64"/>
      <c r="BD185" s="66"/>
      <c r="BE185" s="64"/>
      <c r="BF185" s="64"/>
      <c r="BG185" s="64"/>
      <c r="BH185" s="64"/>
      <c r="BI185" s="64"/>
      <c r="BJ185" s="64"/>
      <c r="BK185" s="64"/>
      <c r="BL185" s="64"/>
      <c r="BM185" s="64"/>
      <c r="BN185" s="64"/>
    </row>
    <row r="186" ht="30.0" customHeight="1">
      <c r="A186" s="64"/>
      <c r="B186" s="64"/>
      <c r="C186" s="66"/>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75"/>
      <c r="BB186" s="64"/>
      <c r="BC186" s="64"/>
      <c r="BD186" s="66"/>
      <c r="BE186" s="64"/>
      <c r="BF186" s="64"/>
      <c r="BG186" s="64"/>
      <c r="BH186" s="64"/>
      <c r="BI186" s="64"/>
      <c r="BJ186" s="64"/>
      <c r="BK186" s="64"/>
      <c r="BL186" s="64"/>
      <c r="BM186" s="64"/>
      <c r="BN186" s="64"/>
    </row>
    <row r="187" ht="30.0" customHeight="1">
      <c r="A187" s="64"/>
      <c r="B187" s="64"/>
      <c r="C187" s="66"/>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75"/>
      <c r="BB187" s="64"/>
      <c r="BC187" s="64"/>
      <c r="BD187" s="66"/>
      <c r="BE187" s="64"/>
      <c r="BF187" s="64"/>
      <c r="BG187" s="64"/>
      <c r="BH187" s="64"/>
      <c r="BI187" s="64"/>
      <c r="BJ187" s="64"/>
      <c r="BK187" s="64"/>
      <c r="BL187" s="64"/>
      <c r="BM187" s="64"/>
      <c r="BN187" s="64"/>
    </row>
    <row r="188" ht="30.0" customHeight="1">
      <c r="A188" s="64"/>
      <c r="B188" s="64"/>
      <c r="C188" s="66"/>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75"/>
      <c r="BB188" s="64"/>
      <c r="BC188" s="64"/>
      <c r="BD188" s="66"/>
      <c r="BE188" s="64"/>
      <c r="BF188" s="64"/>
      <c r="BG188" s="64"/>
      <c r="BH188" s="64"/>
      <c r="BI188" s="64"/>
      <c r="BJ188" s="64"/>
      <c r="BK188" s="64"/>
      <c r="BL188" s="64"/>
      <c r="BM188" s="64"/>
      <c r="BN188" s="64"/>
    </row>
    <row r="189" ht="30.0" customHeight="1">
      <c r="A189" s="64"/>
      <c r="B189" s="64"/>
      <c r="C189" s="66"/>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75"/>
      <c r="BB189" s="64"/>
      <c r="BC189" s="64"/>
      <c r="BD189" s="66"/>
      <c r="BE189" s="64"/>
      <c r="BF189" s="64"/>
      <c r="BG189" s="64"/>
      <c r="BH189" s="64"/>
      <c r="BI189" s="64"/>
      <c r="BJ189" s="64"/>
      <c r="BK189" s="64"/>
      <c r="BL189" s="64"/>
      <c r="BM189" s="64"/>
      <c r="BN189" s="64"/>
    </row>
    <row r="190" ht="30.0" customHeight="1">
      <c r="A190" s="64"/>
      <c r="B190" s="64"/>
      <c r="C190" s="66"/>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75"/>
      <c r="BB190" s="64"/>
      <c r="BC190" s="64"/>
      <c r="BD190" s="66"/>
      <c r="BE190" s="64"/>
      <c r="BF190" s="64"/>
      <c r="BG190" s="64"/>
      <c r="BH190" s="64"/>
      <c r="BI190" s="64"/>
      <c r="BJ190" s="64"/>
      <c r="BK190" s="64"/>
      <c r="BL190" s="64"/>
      <c r="BM190" s="64"/>
      <c r="BN190" s="64"/>
    </row>
    <row r="191" ht="30.0" customHeight="1">
      <c r="A191" s="64"/>
      <c r="B191" s="64"/>
      <c r="C191" s="66"/>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75"/>
      <c r="BB191" s="64"/>
      <c r="BC191" s="64"/>
      <c r="BD191" s="66"/>
      <c r="BE191" s="64"/>
      <c r="BF191" s="64"/>
      <c r="BG191" s="64"/>
      <c r="BH191" s="64"/>
      <c r="BI191" s="64"/>
      <c r="BJ191" s="64"/>
      <c r="BK191" s="64"/>
      <c r="BL191" s="64"/>
      <c r="BM191" s="64"/>
      <c r="BN191" s="64"/>
    </row>
    <row r="192" ht="30.0" customHeight="1">
      <c r="A192" s="64"/>
      <c r="B192" s="64"/>
      <c r="C192" s="66"/>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75"/>
      <c r="BB192" s="64"/>
      <c r="BC192" s="64"/>
      <c r="BD192" s="66"/>
      <c r="BE192" s="64"/>
      <c r="BF192" s="64"/>
      <c r="BG192" s="64"/>
      <c r="BH192" s="64"/>
      <c r="BI192" s="64"/>
      <c r="BJ192" s="64"/>
      <c r="BK192" s="64"/>
      <c r="BL192" s="64"/>
      <c r="BM192" s="64"/>
      <c r="BN192" s="64"/>
    </row>
    <row r="193" ht="30.0" customHeight="1">
      <c r="A193" s="64"/>
      <c r="B193" s="64"/>
      <c r="C193" s="66"/>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75"/>
      <c r="BB193" s="64"/>
      <c r="BC193" s="64"/>
      <c r="BD193" s="66"/>
      <c r="BE193" s="64"/>
      <c r="BF193" s="64"/>
      <c r="BG193" s="64"/>
      <c r="BH193" s="64"/>
      <c r="BI193" s="64"/>
      <c r="BJ193" s="64"/>
      <c r="BK193" s="64"/>
      <c r="BL193" s="64"/>
      <c r="BM193" s="64"/>
      <c r="BN193" s="64"/>
    </row>
    <row r="194" ht="30.0" customHeight="1">
      <c r="A194" s="64"/>
      <c r="B194" s="64"/>
      <c r="C194" s="66"/>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75"/>
      <c r="BB194" s="64"/>
      <c r="BC194" s="64"/>
      <c r="BD194" s="66"/>
      <c r="BE194" s="64"/>
      <c r="BF194" s="64"/>
      <c r="BG194" s="64"/>
      <c r="BH194" s="64"/>
      <c r="BI194" s="64"/>
      <c r="BJ194" s="64"/>
      <c r="BK194" s="64"/>
      <c r="BL194" s="64"/>
      <c r="BM194" s="64"/>
      <c r="BN194" s="64"/>
    </row>
    <row r="195" ht="30.0" customHeight="1">
      <c r="A195" s="64"/>
      <c r="B195" s="64"/>
      <c r="C195" s="66"/>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75"/>
      <c r="BB195" s="64"/>
      <c r="BC195" s="64"/>
      <c r="BD195" s="66"/>
      <c r="BE195" s="64"/>
      <c r="BF195" s="64"/>
      <c r="BG195" s="64"/>
      <c r="BH195" s="64"/>
      <c r="BI195" s="64"/>
      <c r="BJ195" s="64"/>
      <c r="BK195" s="64"/>
      <c r="BL195" s="64"/>
      <c r="BM195" s="64"/>
      <c r="BN195" s="64"/>
    </row>
    <row r="196" ht="30.0" customHeight="1">
      <c r="A196" s="64"/>
      <c r="B196" s="64"/>
      <c r="C196" s="66"/>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75"/>
      <c r="BB196" s="64"/>
      <c r="BC196" s="64"/>
      <c r="BD196" s="66"/>
      <c r="BE196" s="64"/>
      <c r="BF196" s="64"/>
      <c r="BG196" s="64"/>
      <c r="BH196" s="64"/>
      <c r="BI196" s="64"/>
      <c r="BJ196" s="64"/>
      <c r="BK196" s="64"/>
      <c r="BL196" s="64"/>
      <c r="BM196" s="64"/>
      <c r="BN196" s="64"/>
    </row>
    <row r="197" ht="30.0" customHeight="1">
      <c r="A197" s="64"/>
      <c r="B197" s="64"/>
      <c r="C197" s="66"/>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75"/>
      <c r="BB197" s="64"/>
      <c r="BC197" s="64"/>
      <c r="BD197" s="66"/>
      <c r="BE197" s="64"/>
      <c r="BF197" s="64"/>
      <c r="BG197" s="64"/>
      <c r="BH197" s="64"/>
      <c r="BI197" s="64"/>
      <c r="BJ197" s="64"/>
      <c r="BK197" s="64"/>
      <c r="BL197" s="64"/>
      <c r="BM197" s="64"/>
      <c r="BN197" s="64"/>
    </row>
    <row r="198" ht="30.0" customHeight="1">
      <c r="A198" s="64"/>
      <c r="B198" s="64"/>
      <c r="C198" s="66"/>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75"/>
      <c r="BB198" s="64"/>
      <c r="BC198" s="64"/>
      <c r="BD198" s="66"/>
      <c r="BE198" s="64"/>
      <c r="BF198" s="64"/>
      <c r="BG198" s="64"/>
      <c r="BH198" s="64"/>
      <c r="BI198" s="64"/>
      <c r="BJ198" s="64"/>
      <c r="BK198" s="64"/>
      <c r="BL198" s="64"/>
      <c r="BM198" s="64"/>
      <c r="BN198" s="64"/>
    </row>
    <row r="199" ht="30.0" customHeight="1">
      <c r="A199" s="64"/>
      <c r="B199" s="64"/>
      <c r="C199" s="66"/>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75"/>
      <c r="BB199" s="64"/>
      <c r="BC199" s="64"/>
      <c r="BD199" s="66"/>
      <c r="BE199" s="64"/>
      <c r="BF199" s="64"/>
      <c r="BG199" s="64"/>
      <c r="BH199" s="64"/>
      <c r="BI199" s="64"/>
      <c r="BJ199" s="64"/>
      <c r="BK199" s="64"/>
      <c r="BL199" s="64"/>
      <c r="BM199" s="64"/>
      <c r="BN199" s="64"/>
    </row>
    <row r="200" ht="30.0" customHeight="1">
      <c r="A200" s="64"/>
      <c r="B200" s="64"/>
      <c r="C200" s="66"/>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75"/>
      <c r="BB200" s="64"/>
      <c r="BC200" s="64"/>
      <c r="BD200" s="66"/>
      <c r="BE200" s="64"/>
      <c r="BF200" s="64"/>
      <c r="BG200" s="64"/>
      <c r="BH200" s="64"/>
      <c r="BI200" s="64"/>
      <c r="BJ200" s="64"/>
      <c r="BK200" s="64"/>
      <c r="BL200" s="64"/>
      <c r="BM200" s="64"/>
      <c r="BN200" s="64"/>
    </row>
    <row r="201" ht="30.0" customHeight="1">
      <c r="A201" s="64"/>
      <c r="B201" s="64"/>
      <c r="C201" s="66"/>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75"/>
      <c r="BB201" s="64"/>
      <c r="BC201" s="64"/>
      <c r="BD201" s="66"/>
      <c r="BE201" s="64"/>
      <c r="BF201" s="64"/>
      <c r="BG201" s="64"/>
      <c r="BH201" s="64"/>
      <c r="BI201" s="64"/>
      <c r="BJ201" s="64"/>
      <c r="BK201" s="64"/>
      <c r="BL201" s="64"/>
      <c r="BM201" s="64"/>
      <c r="BN201" s="64"/>
    </row>
    <row r="202" ht="30.0" customHeight="1">
      <c r="A202" s="64"/>
      <c r="B202" s="64"/>
      <c r="C202" s="66"/>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75"/>
      <c r="BB202" s="64"/>
      <c r="BC202" s="64"/>
      <c r="BD202" s="66"/>
      <c r="BE202" s="64"/>
      <c r="BF202" s="64"/>
      <c r="BG202" s="64"/>
      <c r="BH202" s="64"/>
      <c r="BI202" s="64"/>
      <c r="BJ202" s="64"/>
      <c r="BK202" s="64"/>
      <c r="BL202" s="64"/>
      <c r="BM202" s="64"/>
      <c r="BN202" s="64"/>
    </row>
    <row r="203" ht="30.0" customHeight="1">
      <c r="A203" s="64"/>
      <c r="B203" s="64"/>
      <c r="C203" s="66"/>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75"/>
      <c r="BB203" s="64"/>
      <c r="BC203" s="64"/>
      <c r="BD203" s="66"/>
      <c r="BE203" s="64"/>
      <c r="BF203" s="64"/>
      <c r="BG203" s="64"/>
      <c r="BH203" s="64"/>
      <c r="BI203" s="64"/>
      <c r="BJ203" s="64"/>
      <c r="BK203" s="64"/>
      <c r="BL203" s="64"/>
      <c r="BM203" s="64"/>
      <c r="BN203" s="64"/>
    </row>
    <row r="204" ht="30.0" customHeight="1">
      <c r="A204" s="64"/>
      <c r="B204" s="64"/>
      <c r="C204" s="66"/>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75"/>
      <c r="BB204" s="64"/>
      <c r="BC204" s="64"/>
      <c r="BD204" s="66"/>
      <c r="BE204" s="64"/>
      <c r="BF204" s="64"/>
      <c r="BG204" s="64"/>
      <c r="BH204" s="64"/>
      <c r="BI204" s="64"/>
      <c r="BJ204" s="64"/>
      <c r="BK204" s="64"/>
      <c r="BL204" s="64"/>
      <c r="BM204" s="64"/>
      <c r="BN204" s="64"/>
    </row>
    <row r="205" ht="30.0" customHeight="1">
      <c r="A205" s="64"/>
      <c r="B205" s="64"/>
      <c r="C205" s="66"/>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75"/>
      <c r="BB205" s="64"/>
      <c r="BC205" s="64"/>
      <c r="BD205" s="66"/>
      <c r="BE205" s="64"/>
      <c r="BF205" s="64"/>
      <c r="BG205" s="64"/>
      <c r="BH205" s="64"/>
      <c r="BI205" s="64"/>
      <c r="BJ205" s="64"/>
      <c r="BK205" s="64"/>
      <c r="BL205" s="64"/>
      <c r="BM205" s="64"/>
      <c r="BN205" s="64"/>
    </row>
    <row r="206" ht="30.0" customHeight="1">
      <c r="A206" s="64"/>
      <c r="B206" s="64"/>
      <c r="C206" s="66"/>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75"/>
      <c r="BB206" s="64"/>
      <c r="BC206" s="64"/>
      <c r="BD206" s="66"/>
      <c r="BE206" s="64"/>
      <c r="BF206" s="64"/>
      <c r="BG206" s="64"/>
      <c r="BH206" s="64"/>
      <c r="BI206" s="64"/>
      <c r="BJ206" s="64"/>
      <c r="BK206" s="64"/>
      <c r="BL206" s="64"/>
      <c r="BM206" s="64"/>
      <c r="BN206" s="64"/>
    </row>
    <row r="207" ht="30.0" customHeight="1">
      <c r="A207" s="64"/>
      <c r="B207" s="64"/>
      <c r="C207" s="66"/>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75"/>
      <c r="BB207" s="64"/>
      <c r="BC207" s="64"/>
      <c r="BD207" s="66"/>
      <c r="BE207" s="64"/>
      <c r="BF207" s="64"/>
      <c r="BG207" s="64"/>
      <c r="BH207" s="64"/>
      <c r="BI207" s="64"/>
      <c r="BJ207" s="64"/>
      <c r="BK207" s="64"/>
      <c r="BL207" s="64"/>
      <c r="BM207" s="64"/>
      <c r="BN207" s="64"/>
    </row>
    <row r="208" ht="30.0" customHeight="1">
      <c r="A208" s="64"/>
      <c r="B208" s="64"/>
      <c r="C208" s="66"/>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75"/>
      <c r="BB208" s="64"/>
      <c r="BC208" s="64"/>
      <c r="BD208" s="66"/>
      <c r="BE208" s="64"/>
      <c r="BF208" s="64"/>
      <c r="BG208" s="64"/>
      <c r="BH208" s="64"/>
      <c r="BI208" s="64"/>
      <c r="BJ208" s="64"/>
      <c r="BK208" s="64"/>
      <c r="BL208" s="64"/>
      <c r="BM208" s="64"/>
      <c r="BN208" s="64"/>
    </row>
    <row r="209" ht="30.0" customHeight="1">
      <c r="A209" s="64"/>
      <c r="B209" s="64"/>
      <c r="C209" s="66"/>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75"/>
      <c r="BB209" s="64"/>
      <c r="BC209" s="64"/>
      <c r="BD209" s="66"/>
      <c r="BE209" s="64"/>
      <c r="BF209" s="64"/>
      <c r="BG209" s="64"/>
      <c r="BH209" s="64"/>
      <c r="BI209" s="64"/>
      <c r="BJ209" s="64"/>
      <c r="BK209" s="64"/>
      <c r="BL209" s="64"/>
      <c r="BM209" s="64"/>
      <c r="BN209" s="64"/>
    </row>
    <row r="210" ht="30.0" customHeight="1">
      <c r="A210" s="64"/>
      <c r="B210" s="64"/>
      <c r="C210" s="66"/>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75"/>
      <c r="BB210" s="64"/>
      <c r="BC210" s="64"/>
      <c r="BD210" s="66"/>
      <c r="BE210" s="64"/>
      <c r="BF210" s="64"/>
      <c r="BG210" s="64"/>
      <c r="BH210" s="64"/>
      <c r="BI210" s="64"/>
      <c r="BJ210" s="64"/>
      <c r="BK210" s="64"/>
      <c r="BL210" s="64"/>
      <c r="BM210" s="64"/>
      <c r="BN210" s="64"/>
    </row>
    <row r="211" ht="30.0" customHeight="1">
      <c r="A211" s="64"/>
      <c r="B211" s="64"/>
      <c r="C211" s="66"/>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75"/>
      <c r="BB211" s="64"/>
      <c r="BC211" s="64"/>
      <c r="BD211" s="66"/>
      <c r="BE211" s="64"/>
      <c r="BF211" s="64"/>
      <c r="BG211" s="64"/>
      <c r="BH211" s="64"/>
      <c r="BI211" s="64"/>
      <c r="BJ211" s="64"/>
      <c r="BK211" s="64"/>
      <c r="BL211" s="64"/>
      <c r="BM211" s="64"/>
      <c r="BN211" s="64"/>
    </row>
    <row r="212" ht="30.0" customHeight="1">
      <c r="A212" s="64"/>
      <c r="B212" s="64"/>
      <c r="C212" s="66"/>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75"/>
      <c r="BB212" s="64"/>
      <c r="BC212" s="64"/>
      <c r="BD212" s="66"/>
      <c r="BE212" s="64"/>
      <c r="BF212" s="64"/>
      <c r="BG212" s="64"/>
      <c r="BH212" s="64"/>
      <c r="BI212" s="64"/>
      <c r="BJ212" s="64"/>
      <c r="BK212" s="64"/>
      <c r="BL212" s="64"/>
      <c r="BM212" s="64"/>
      <c r="BN212" s="64"/>
    </row>
    <row r="213" ht="30.0" customHeight="1">
      <c r="A213" s="64"/>
      <c r="B213" s="64"/>
      <c r="C213" s="66"/>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75"/>
      <c r="BB213" s="64"/>
      <c r="BC213" s="64"/>
      <c r="BD213" s="66"/>
      <c r="BE213" s="64"/>
      <c r="BF213" s="64"/>
      <c r="BG213" s="64"/>
      <c r="BH213" s="64"/>
      <c r="BI213" s="64"/>
      <c r="BJ213" s="64"/>
      <c r="BK213" s="64"/>
      <c r="BL213" s="64"/>
      <c r="BM213" s="64"/>
      <c r="BN213" s="64"/>
    </row>
    <row r="214" ht="30.0" customHeight="1">
      <c r="A214" s="64"/>
      <c r="B214" s="64"/>
      <c r="C214" s="66"/>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75"/>
      <c r="BB214" s="64"/>
      <c r="BC214" s="64"/>
      <c r="BD214" s="66"/>
      <c r="BE214" s="64"/>
      <c r="BF214" s="64"/>
      <c r="BG214" s="64"/>
      <c r="BH214" s="64"/>
      <c r="BI214" s="64"/>
      <c r="BJ214" s="64"/>
      <c r="BK214" s="64"/>
      <c r="BL214" s="64"/>
      <c r="BM214" s="64"/>
      <c r="BN214" s="64"/>
    </row>
    <row r="215" ht="30.0" customHeight="1">
      <c r="A215" s="64"/>
      <c r="B215" s="64"/>
      <c r="C215" s="66"/>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75"/>
      <c r="BB215" s="64"/>
      <c r="BC215" s="64"/>
      <c r="BD215" s="66"/>
      <c r="BE215" s="64"/>
      <c r="BF215" s="64"/>
      <c r="BG215" s="64"/>
      <c r="BH215" s="64"/>
      <c r="BI215" s="64"/>
      <c r="BJ215" s="64"/>
      <c r="BK215" s="64"/>
      <c r="BL215" s="64"/>
      <c r="BM215" s="64"/>
      <c r="BN215" s="64"/>
    </row>
    <row r="216" ht="30.0" customHeight="1">
      <c r="A216" s="64"/>
      <c r="B216" s="64"/>
      <c r="C216" s="66"/>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75"/>
      <c r="BB216" s="64"/>
      <c r="BC216" s="64"/>
      <c r="BD216" s="66"/>
      <c r="BE216" s="64"/>
      <c r="BF216" s="64"/>
      <c r="BG216" s="64"/>
      <c r="BH216" s="64"/>
      <c r="BI216" s="64"/>
      <c r="BJ216" s="64"/>
      <c r="BK216" s="64"/>
      <c r="BL216" s="64"/>
      <c r="BM216" s="64"/>
      <c r="BN216" s="64"/>
    </row>
    <row r="217" ht="30.0" customHeight="1">
      <c r="A217" s="64"/>
      <c r="B217" s="64"/>
      <c r="C217" s="66"/>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75"/>
      <c r="BB217" s="64"/>
      <c r="BC217" s="64"/>
      <c r="BD217" s="66"/>
      <c r="BE217" s="64"/>
      <c r="BF217" s="64"/>
      <c r="BG217" s="64"/>
      <c r="BH217" s="64"/>
      <c r="BI217" s="64"/>
      <c r="BJ217" s="64"/>
      <c r="BK217" s="64"/>
      <c r="BL217" s="64"/>
      <c r="BM217" s="64"/>
      <c r="BN217" s="64"/>
    </row>
    <row r="218" ht="30.0" customHeight="1">
      <c r="A218" s="64"/>
      <c r="B218" s="64"/>
      <c r="C218" s="66"/>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75"/>
      <c r="BB218" s="64"/>
      <c r="BC218" s="64"/>
      <c r="BD218" s="66"/>
      <c r="BE218" s="64"/>
      <c r="BF218" s="64"/>
      <c r="BG218" s="64"/>
      <c r="BH218" s="64"/>
      <c r="BI218" s="64"/>
      <c r="BJ218" s="64"/>
      <c r="BK218" s="64"/>
      <c r="BL218" s="64"/>
      <c r="BM218" s="64"/>
      <c r="BN218" s="64"/>
    </row>
    <row r="219" ht="30.0" customHeight="1">
      <c r="A219" s="64"/>
      <c r="B219" s="64"/>
      <c r="C219" s="66"/>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75"/>
      <c r="BB219" s="64"/>
      <c r="BC219" s="64"/>
      <c r="BD219" s="66"/>
      <c r="BE219" s="64"/>
      <c r="BF219" s="64"/>
      <c r="BG219" s="64"/>
      <c r="BH219" s="64"/>
      <c r="BI219" s="64"/>
      <c r="BJ219" s="64"/>
      <c r="BK219" s="64"/>
      <c r="BL219" s="64"/>
      <c r="BM219" s="64"/>
      <c r="BN219" s="64"/>
    </row>
    <row r="220" ht="30.0" customHeight="1">
      <c r="A220" s="64"/>
      <c r="B220" s="64"/>
      <c r="C220" s="66"/>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75"/>
      <c r="BB220" s="64"/>
      <c r="BC220" s="64"/>
      <c r="BD220" s="66"/>
      <c r="BE220" s="64"/>
      <c r="BF220" s="64"/>
      <c r="BG220" s="64"/>
      <c r="BH220" s="64"/>
      <c r="BI220" s="64"/>
      <c r="BJ220" s="64"/>
      <c r="BK220" s="64"/>
      <c r="BL220" s="64"/>
      <c r="BM220" s="64"/>
      <c r="BN220" s="64"/>
    </row>
    <row r="221" ht="30.0" customHeight="1">
      <c r="A221" s="64"/>
      <c r="B221" s="64"/>
      <c r="C221" s="66"/>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75"/>
      <c r="BB221" s="64"/>
      <c r="BC221" s="64"/>
      <c r="BD221" s="66"/>
      <c r="BE221" s="64"/>
      <c r="BF221" s="64"/>
      <c r="BG221" s="64"/>
      <c r="BH221" s="64"/>
      <c r="BI221" s="64"/>
      <c r="BJ221" s="64"/>
      <c r="BK221" s="64"/>
      <c r="BL221" s="64"/>
      <c r="BM221" s="64"/>
      <c r="BN221" s="64"/>
    </row>
    <row r="222" ht="30.0" customHeight="1">
      <c r="A222" s="64"/>
      <c r="B222" s="64"/>
      <c r="C222" s="66"/>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75"/>
      <c r="BB222" s="64"/>
      <c r="BC222" s="64"/>
      <c r="BD222" s="66"/>
      <c r="BE222" s="64"/>
      <c r="BF222" s="64"/>
      <c r="BG222" s="64"/>
      <c r="BH222" s="64"/>
      <c r="BI222" s="64"/>
      <c r="BJ222" s="64"/>
      <c r="BK222" s="64"/>
      <c r="BL222" s="64"/>
      <c r="BM222" s="64"/>
      <c r="BN222" s="64"/>
    </row>
    <row r="223" ht="30.0" customHeight="1">
      <c r="A223" s="64"/>
      <c r="B223" s="64"/>
      <c r="C223" s="66"/>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75"/>
      <c r="BB223" s="64"/>
      <c r="BC223" s="64"/>
      <c r="BD223" s="66"/>
      <c r="BE223" s="64"/>
      <c r="BF223" s="64"/>
      <c r="BG223" s="64"/>
      <c r="BH223" s="64"/>
      <c r="BI223" s="64"/>
      <c r="BJ223" s="64"/>
      <c r="BK223" s="64"/>
      <c r="BL223" s="64"/>
      <c r="BM223" s="64"/>
      <c r="BN223" s="64"/>
    </row>
    <row r="224" ht="30.0" customHeight="1">
      <c r="A224" s="64"/>
      <c r="B224" s="64"/>
      <c r="C224" s="66"/>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75"/>
      <c r="BB224" s="64"/>
      <c r="BC224" s="64"/>
      <c r="BD224" s="66"/>
      <c r="BE224" s="64"/>
      <c r="BF224" s="64"/>
      <c r="BG224" s="64"/>
      <c r="BH224" s="64"/>
      <c r="BI224" s="64"/>
      <c r="BJ224" s="64"/>
      <c r="BK224" s="64"/>
      <c r="BL224" s="64"/>
      <c r="BM224" s="64"/>
      <c r="BN224" s="64"/>
    </row>
    <row r="225" ht="30.0" customHeight="1">
      <c r="A225" s="64"/>
      <c r="B225" s="64"/>
      <c r="C225" s="66"/>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75"/>
      <c r="BB225" s="64"/>
      <c r="BC225" s="64"/>
      <c r="BD225" s="66"/>
      <c r="BE225" s="64"/>
      <c r="BF225" s="64"/>
      <c r="BG225" s="64"/>
      <c r="BH225" s="64"/>
      <c r="BI225" s="64"/>
      <c r="BJ225" s="64"/>
      <c r="BK225" s="64"/>
      <c r="BL225" s="64"/>
      <c r="BM225" s="64"/>
      <c r="BN225" s="64"/>
    </row>
    <row r="226" ht="30.0" customHeight="1">
      <c r="A226" s="64"/>
      <c r="B226" s="64"/>
      <c r="C226" s="66"/>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75"/>
      <c r="BB226" s="64"/>
      <c r="BC226" s="64"/>
      <c r="BD226" s="66"/>
      <c r="BE226" s="64"/>
      <c r="BF226" s="64"/>
      <c r="BG226" s="64"/>
      <c r="BH226" s="64"/>
      <c r="BI226" s="64"/>
      <c r="BJ226" s="64"/>
      <c r="BK226" s="64"/>
      <c r="BL226" s="64"/>
      <c r="BM226" s="64"/>
      <c r="BN226" s="64"/>
    </row>
    <row r="227" ht="30.0" customHeight="1">
      <c r="A227" s="64"/>
      <c r="B227" s="64"/>
      <c r="C227" s="66"/>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75"/>
      <c r="BB227" s="64"/>
      <c r="BC227" s="64"/>
      <c r="BD227" s="66"/>
      <c r="BE227" s="64"/>
      <c r="BF227" s="64"/>
      <c r="BG227" s="64"/>
      <c r="BH227" s="64"/>
      <c r="BI227" s="64"/>
      <c r="BJ227" s="64"/>
      <c r="BK227" s="64"/>
      <c r="BL227" s="64"/>
      <c r="BM227" s="64"/>
      <c r="BN227" s="64"/>
    </row>
    <row r="228" ht="30.0" customHeight="1">
      <c r="A228" s="64"/>
      <c r="B228" s="64"/>
      <c r="C228" s="66"/>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75"/>
      <c r="BB228" s="64"/>
      <c r="BC228" s="64"/>
      <c r="BD228" s="66"/>
      <c r="BE228" s="64"/>
      <c r="BF228" s="64"/>
      <c r="BG228" s="64"/>
      <c r="BH228" s="64"/>
      <c r="BI228" s="64"/>
      <c r="BJ228" s="64"/>
      <c r="BK228" s="64"/>
      <c r="BL228" s="64"/>
      <c r="BM228" s="64"/>
      <c r="BN228" s="64"/>
    </row>
    <row r="229" ht="30.0" customHeight="1">
      <c r="A229" s="64"/>
      <c r="B229" s="64"/>
      <c r="C229" s="66"/>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75"/>
      <c r="BB229" s="64"/>
      <c r="BC229" s="64"/>
      <c r="BD229" s="66"/>
      <c r="BE229" s="64"/>
      <c r="BF229" s="64"/>
      <c r="BG229" s="64"/>
      <c r="BH229" s="64"/>
      <c r="BI229" s="64"/>
      <c r="BJ229" s="64"/>
      <c r="BK229" s="64"/>
      <c r="BL229" s="64"/>
      <c r="BM229" s="64"/>
      <c r="BN229" s="64"/>
    </row>
    <row r="230" ht="30.0" customHeight="1">
      <c r="A230" s="64"/>
      <c r="B230" s="64"/>
      <c r="C230" s="66"/>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75"/>
      <c r="BB230" s="64"/>
      <c r="BC230" s="64"/>
      <c r="BD230" s="66"/>
      <c r="BE230" s="64"/>
      <c r="BF230" s="64"/>
      <c r="BG230" s="64"/>
      <c r="BH230" s="64"/>
      <c r="BI230" s="64"/>
      <c r="BJ230" s="64"/>
      <c r="BK230" s="64"/>
      <c r="BL230" s="64"/>
      <c r="BM230" s="64"/>
      <c r="BN230" s="64"/>
    </row>
    <row r="231" ht="30.0" customHeight="1">
      <c r="A231" s="64"/>
      <c r="B231" s="64"/>
      <c r="C231" s="66"/>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75"/>
      <c r="BB231" s="64"/>
      <c r="BC231" s="64"/>
      <c r="BD231" s="66"/>
      <c r="BE231" s="64"/>
      <c r="BF231" s="64"/>
      <c r="BG231" s="64"/>
      <c r="BH231" s="64"/>
      <c r="BI231" s="64"/>
      <c r="BJ231" s="64"/>
      <c r="BK231" s="64"/>
      <c r="BL231" s="64"/>
      <c r="BM231" s="64"/>
      <c r="BN231" s="64"/>
    </row>
    <row r="232" ht="30.0" customHeight="1">
      <c r="A232" s="64"/>
      <c r="B232" s="64"/>
      <c r="C232" s="66"/>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75"/>
      <c r="BB232" s="64"/>
      <c r="BC232" s="64"/>
      <c r="BD232" s="66"/>
      <c r="BE232" s="64"/>
      <c r="BF232" s="64"/>
      <c r="BG232" s="64"/>
      <c r="BH232" s="64"/>
      <c r="BI232" s="64"/>
      <c r="BJ232" s="64"/>
      <c r="BK232" s="64"/>
      <c r="BL232" s="64"/>
      <c r="BM232" s="64"/>
      <c r="BN232" s="64"/>
    </row>
    <row r="233" ht="30.0" customHeight="1">
      <c r="A233" s="64"/>
      <c r="B233" s="64"/>
      <c r="C233" s="66"/>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75"/>
      <c r="BB233" s="64"/>
      <c r="BC233" s="64"/>
      <c r="BD233" s="66"/>
      <c r="BE233" s="64"/>
      <c r="BF233" s="64"/>
      <c r="BG233" s="64"/>
      <c r="BH233" s="64"/>
      <c r="BI233" s="64"/>
      <c r="BJ233" s="64"/>
      <c r="BK233" s="64"/>
      <c r="BL233" s="64"/>
      <c r="BM233" s="64"/>
      <c r="BN233" s="64"/>
    </row>
    <row r="234" ht="30.0" customHeight="1">
      <c r="A234" s="64"/>
      <c r="B234" s="64"/>
      <c r="C234" s="66"/>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75"/>
      <c r="BB234" s="64"/>
      <c r="BC234" s="64"/>
      <c r="BD234" s="66"/>
      <c r="BE234" s="64"/>
      <c r="BF234" s="64"/>
      <c r="BG234" s="64"/>
      <c r="BH234" s="64"/>
      <c r="BI234" s="64"/>
      <c r="BJ234" s="64"/>
      <c r="BK234" s="64"/>
      <c r="BL234" s="64"/>
      <c r="BM234" s="64"/>
      <c r="BN234" s="64"/>
    </row>
    <row r="235" ht="30.0" customHeight="1">
      <c r="A235" s="64"/>
      <c r="B235" s="64"/>
      <c r="C235" s="66"/>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75"/>
      <c r="BB235" s="64"/>
      <c r="BC235" s="64"/>
      <c r="BD235" s="66"/>
      <c r="BE235" s="64"/>
      <c r="BF235" s="64"/>
      <c r="BG235" s="64"/>
      <c r="BH235" s="64"/>
      <c r="BI235" s="64"/>
      <c r="BJ235" s="64"/>
      <c r="BK235" s="64"/>
      <c r="BL235" s="64"/>
      <c r="BM235" s="64"/>
      <c r="BN235" s="64"/>
    </row>
    <row r="236" ht="30.0" customHeight="1">
      <c r="A236" s="64"/>
      <c r="B236" s="64"/>
      <c r="C236" s="66"/>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75"/>
      <c r="BB236" s="64"/>
      <c r="BC236" s="64"/>
      <c r="BD236" s="66"/>
      <c r="BE236" s="64"/>
      <c r="BF236" s="64"/>
      <c r="BG236" s="64"/>
      <c r="BH236" s="64"/>
      <c r="BI236" s="64"/>
      <c r="BJ236" s="64"/>
      <c r="BK236" s="64"/>
      <c r="BL236" s="64"/>
      <c r="BM236" s="64"/>
      <c r="BN236" s="64"/>
    </row>
    <row r="237" ht="30.0" customHeight="1">
      <c r="A237" s="64"/>
      <c r="B237" s="64"/>
      <c r="C237" s="66"/>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75"/>
      <c r="BB237" s="64"/>
      <c r="BC237" s="64"/>
      <c r="BD237" s="66"/>
      <c r="BE237" s="64"/>
      <c r="BF237" s="64"/>
      <c r="BG237" s="64"/>
      <c r="BH237" s="64"/>
      <c r="BI237" s="64"/>
      <c r="BJ237" s="64"/>
      <c r="BK237" s="64"/>
      <c r="BL237" s="64"/>
      <c r="BM237" s="64"/>
      <c r="BN237" s="64"/>
    </row>
    <row r="238" ht="30.0" customHeight="1">
      <c r="A238" s="64"/>
      <c r="B238" s="64"/>
      <c r="C238" s="66"/>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75"/>
      <c r="BB238" s="64"/>
      <c r="BC238" s="64"/>
      <c r="BD238" s="66"/>
      <c r="BE238" s="64"/>
      <c r="BF238" s="64"/>
      <c r="BG238" s="64"/>
      <c r="BH238" s="64"/>
      <c r="BI238" s="64"/>
      <c r="BJ238" s="64"/>
      <c r="BK238" s="64"/>
      <c r="BL238" s="64"/>
      <c r="BM238" s="64"/>
      <c r="BN238" s="64"/>
    </row>
    <row r="239" ht="30.0" customHeight="1">
      <c r="A239" s="64"/>
      <c r="B239" s="64"/>
      <c r="C239" s="66"/>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75"/>
      <c r="BB239" s="64"/>
      <c r="BC239" s="64"/>
      <c r="BD239" s="66"/>
      <c r="BE239" s="64"/>
      <c r="BF239" s="64"/>
      <c r="BG239" s="64"/>
      <c r="BH239" s="64"/>
      <c r="BI239" s="64"/>
      <c r="BJ239" s="64"/>
      <c r="BK239" s="64"/>
      <c r="BL239" s="64"/>
      <c r="BM239" s="64"/>
      <c r="BN239" s="64"/>
    </row>
    <row r="240" ht="30.0" customHeight="1">
      <c r="A240" s="64"/>
      <c r="B240" s="64"/>
      <c r="C240" s="66"/>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75"/>
      <c r="BB240" s="64"/>
      <c r="BC240" s="64"/>
      <c r="BD240" s="66"/>
      <c r="BE240" s="64"/>
      <c r="BF240" s="64"/>
      <c r="BG240" s="64"/>
      <c r="BH240" s="64"/>
      <c r="BI240" s="64"/>
      <c r="BJ240" s="64"/>
      <c r="BK240" s="64"/>
      <c r="BL240" s="64"/>
      <c r="BM240" s="64"/>
      <c r="BN240" s="64"/>
    </row>
    <row r="241" ht="30.0" customHeight="1">
      <c r="A241" s="64"/>
      <c r="B241" s="64"/>
      <c r="C241" s="66"/>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75"/>
      <c r="BB241" s="64"/>
      <c r="BC241" s="64"/>
      <c r="BD241" s="66"/>
      <c r="BE241" s="64"/>
      <c r="BF241" s="64"/>
      <c r="BG241" s="64"/>
      <c r="BH241" s="64"/>
      <c r="BI241" s="64"/>
      <c r="BJ241" s="64"/>
      <c r="BK241" s="64"/>
      <c r="BL241" s="64"/>
      <c r="BM241" s="64"/>
      <c r="BN241" s="64"/>
    </row>
    <row r="242" ht="30.0" customHeight="1">
      <c r="A242" s="64"/>
      <c r="B242" s="64"/>
      <c r="C242" s="66"/>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75"/>
      <c r="BB242" s="64"/>
      <c r="BC242" s="64"/>
      <c r="BD242" s="66"/>
      <c r="BE242" s="64"/>
      <c r="BF242" s="64"/>
      <c r="BG242" s="64"/>
      <c r="BH242" s="64"/>
      <c r="BI242" s="64"/>
      <c r="BJ242" s="64"/>
      <c r="BK242" s="64"/>
      <c r="BL242" s="64"/>
      <c r="BM242" s="64"/>
      <c r="BN242" s="64"/>
    </row>
    <row r="243" ht="30.0" customHeight="1">
      <c r="A243" s="64"/>
      <c r="B243" s="64"/>
      <c r="C243" s="66"/>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75"/>
      <c r="BB243" s="64"/>
      <c r="BC243" s="64"/>
      <c r="BD243" s="66"/>
      <c r="BE243" s="64"/>
      <c r="BF243" s="64"/>
      <c r="BG243" s="64"/>
      <c r="BH243" s="64"/>
      <c r="BI243" s="64"/>
      <c r="BJ243" s="64"/>
      <c r="BK243" s="64"/>
      <c r="BL243" s="64"/>
      <c r="BM243" s="64"/>
      <c r="BN243" s="64"/>
    </row>
    <row r="244" ht="30.0" customHeight="1">
      <c r="A244" s="64"/>
      <c r="B244" s="64"/>
      <c r="C244" s="66"/>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75"/>
      <c r="BB244" s="64"/>
      <c r="BC244" s="64"/>
      <c r="BD244" s="66"/>
      <c r="BE244" s="64"/>
      <c r="BF244" s="64"/>
      <c r="BG244" s="64"/>
      <c r="BH244" s="64"/>
      <c r="BI244" s="64"/>
      <c r="BJ244" s="64"/>
      <c r="BK244" s="64"/>
      <c r="BL244" s="64"/>
      <c r="BM244" s="64"/>
      <c r="BN244" s="64"/>
    </row>
    <row r="245" ht="30.0" customHeight="1">
      <c r="A245" s="64"/>
      <c r="B245" s="64"/>
      <c r="C245" s="66"/>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75"/>
      <c r="BB245" s="64"/>
      <c r="BC245" s="64"/>
      <c r="BD245" s="66"/>
      <c r="BE245" s="64"/>
      <c r="BF245" s="64"/>
      <c r="BG245" s="64"/>
      <c r="BH245" s="64"/>
      <c r="BI245" s="64"/>
      <c r="BJ245" s="64"/>
      <c r="BK245" s="64"/>
      <c r="BL245" s="64"/>
      <c r="BM245" s="64"/>
      <c r="BN245" s="64"/>
    </row>
    <row r="246" ht="30.0" customHeight="1">
      <c r="A246" s="64"/>
      <c r="B246" s="64"/>
      <c r="C246" s="66"/>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75"/>
      <c r="BB246" s="64"/>
      <c r="BC246" s="64"/>
      <c r="BD246" s="66"/>
      <c r="BE246" s="64"/>
      <c r="BF246" s="64"/>
      <c r="BG246" s="64"/>
      <c r="BH246" s="64"/>
      <c r="BI246" s="64"/>
      <c r="BJ246" s="64"/>
      <c r="BK246" s="64"/>
      <c r="BL246" s="64"/>
      <c r="BM246" s="64"/>
      <c r="BN246" s="64"/>
    </row>
    <row r="247" ht="30.0" customHeight="1">
      <c r="A247" s="64"/>
      <c r="B247" s="64"/>
      <c r="C247" s="66"/>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75"/>
      <c r="BB247" s="64"/>
      <c r="BC247" s="64"/>
      <c r="BD247" s="66"/>
      <c r="BE247" s="64"/>
      <c r="BF247" s="64"/>
      <c r="BG247" s="64"/>
      <c r="BH247" s="64"/>
      <c r="BI247" s="64"/>
      <c r="BJ247" s="64"/>
      <c r="BK247" s="64"/>
      <c r="BL247" s="64"/>
      <c r="BM247" s="64"/>
      <c r="BN247" s="64"/>
    </row>
    <row r="248" ht="30.0" customHeight="1">
      <c r="A248" s="64"/>
      <c r="B248" s="64"/>
      <c r="C248" s="66"/>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75"/>
      <c r="BB248" s="64"/>
      <c r="BC248" s="64"/>
      <c r="BD248" s="66"/>
      <c r="BE248" s="64"/>
      <c r="BF248" s="64"/>
      <c r="BG248" s="64"/>
      <c r="BH248" s="64"/>
      <c r="BI248" s="64"/>
      <c r="BJ248" s="64"/>
      <c r="BK248" s="64"/>
      <c r="BL248" s="64"/>
      <c r="BM248" s="64"/>
      <c r="BN248" s="64"/>
    </row>
    <row r="249" ht="30.0" customHeight="1">
      <c r="A249" s="64"/>
      <c r="B249" s="64"/>
      <c r="C249" s="66"/>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75"/>
      <c r="BB249" s="64"/>
      <c r="BC249" s="64"/>
      <c r="BD249" s="66"/>
      <c r="BE249" s="64"/>
      <c r="BF249" s="64"/>
      <c r="BG249" s="64"/>
      <c r="BH249" s="64"/>
      <c r="BI249" s="64"/>
      <c r="BJ249" s="64"/>
      <c r="BK249" s="64"/>
      <c r="BL249" s="64"/>
      <c r="BM249" s="64"/>
      <c r="BN249" s="64"/>
    </row>
    <row r="250" ht="30.0" customHeight="1">
      <c r="A250" s="64"/>
      <c r="B250" s="64"/>
      <c r="C250" s="66"/>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75"/>
      <c r="BB250" s="64"/>
      <c r="BC250" s="64"/>
      <c r="BD250" s="66"/>
      <c r="BE250" s="64"/>
      <c r="BF250" s="64"/>
      <c r="BG250" s="64"/>
      <c r="BH250" s="64"/>
      <c r="BI250" s="64"/>
      <c r="BJ250" s="64"/>
      <c r="BK250" s="64"/>
      <c r="BL250" s="64"/>
      <c r="BM250" s="64"/>
      <c r="BN250" s="64"/>
    </row>
    <row r="251" ht="30.0" customHeight="1">
      <c r="A251" s="64"/>
      <c r="B251" s="64"/>
      <c r="C251" s="66"/>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75"/>
      <c r="BB251" s="64"/>
      <c r="BC251" s="64"/>
      <c r="BD251" s="66"/>
      <c r="BE251" s="64"/>
      <c r="BF251" s="64"/>
      <c r="BG251" s="64"/>
      <c r="BH251" s="64"/>
      <c r="BI251" s="64"/>
      <c r="BJ251" s="64"/>
      <c r="BK251" s="64"/>
      <c r="BL251" s="64"/>
      <c r="BM251" s="64"/>
      <c r="BN251" s="64"/>
    </row>
    <row r="252" ht="30.0" customHeight="1">
      <c r="A252" s="64"/>
      <c r="B252" s="64"/>
      <c r="C252" s="66"/>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75"/>
      <c r="BB252" s="64"/>
      <c r="BC252" s="64"/>
      <c r="BD252" s="66"/>
      <c r="BE252" s="64"/>
      <c r="BF252" s="64"/>
      <c r="BG252" s="64"/>
      <c r="BH252" s="64"/>
      <c r="BI252" s="64"/>
      <c r="BJ252" s="64"/>
      <c r="BK252" s="64"/>
      <c r="BL252" s="64"/>
      <c r="BM252" s="64"/>
      <c r="BN252" s="64"/>
    </row>
    <row r="253" ht="30.0" customHeight="1">
      <c r="A253" s="64"/>
      <c r="B253" s="64"/>
      <c r="C253" s="66"/>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75"/>
      <c r="BB253" s="64"/>
      <c r="BC253" s="64"/>
      <c r="BD253" s="66"/>
      <c r="BE253" s="64"/>
      <c r="BF253" s="64"/>
      <c r="BG253" s="64"/>
      <c r="BH253" s="64"/>
      <c r="BI253" s="64"/>
      <c r="BJ253" s="64"/>
      <c r="BK253" s="64"/>
      <c r="BL253" s="64"/>
      <c r="BM253" s="64"/>
      <c r="BN253" s="64"/>
    </row>
    <row r="254" ht="30.0" customHeight="1">
      <c r="A254" s="64"/>
      <c r="B254" s="64"/>
      <c r="C254" s="66"/>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75"/>
      <c r="BB254" s="64"/>
      <c r="BC254" s="64"/>
      <c r="BD254" s="66"/>
      <c r="BE254" s="64"/>
      <c r="BF254" s="64"/>
      <c r="BG254" s="64"/>
      <c r="BH254" s="64"/>
      <c r="BI254" s="64"/>
      <c r="BJ254" s="64"/>
      <c r="BK254" s="64"/>
      <c r="BL254" s="64"/>
      <c r="BM254" s="64"/>
      <c r="BN254" s="64"/>
    </row>
    <row r="255" ht="30.0" customHeight="1">
      <c r="A255" s="64"/>
      <c r="B255" s="64"/>
      <c r="C255" s="66"/>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75"/>
      <c r="BB255" s="64"/>
      <c r="BC255" s="64"/>
      <c r="BD255" s="66"/>
      <c r="BE255" s="64"/>
      <c r="BF255" s="64"/>
      <c r="BG255" s="64"/>
      <c r="BH255" s="64"/>
      <c r="BI255" s="64"/>
      <c r="BJ255" s="64"/>
      <c r="BK255" s="64"/>
      <c r="BL255" s="64"/>
      <c r="BM255" s="64"/>
      <c r="BN255" s="64"/>
    </row>
    <row r="256" ht="30.0" customHeight="1">
      <c r="A256" s="64"/>
      <c r="B256" s="64"/>
      <c r="C256" s="66"/>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75"/>
      <c r="BB256" s="64"/>
      <c r="BC256" s="64"/>
      <c r="BD256" s="66"/>
      <c r="BE256" s="64"/>
      <c r="BF256" s="64"/>
      <c r="BG256" s="64"/>
      <c r="BH256" s="64"/>
      <c r="BI256" s="64"/>
      <c r="BJ256" s="64"/>
      <c r="BK256" s="64"/>
      <c r="BL256" s="64"/>
      <c r="BM256" s="64"/>
      <c r="BN256" s="64"/>
    </row>
    <row r="257" ht="30.0" customHeight="1">
      <c r="A257" s="64"/>
      <c r="B257" s="64"/>
      <c r="C257" s="66"/>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75"/>
      <c r="BB257" s="64"/>
      <c r="BC257" s="64"/>
      <c r="BD257" s="66"/>
      <c r="BE257" s="64"/>
      <c r="BF257" s="64"/>
      <c r="BG257" s="64"/>
      <c r="BH257" s="64"/>
      <c r="BI257" s="64"/>
      <c r="BJ257" s="64"/>
      <c r="BK257" s="64"/>
      <c r="BL257" s="64"/>
      <c r="BM257" s="64"/>
      <c r="BN257" s="64"/>
    </row>
    <row r="258" ht="30.0" customHeight="1">
      <c r="A258" s="64"/>
      <c r="B258" s="64"/>
      <c r="C258" s="66"/>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75"/>
      <c r="BB258" s="64"/>
      <c r="BC258" s="64"/>
      <c r="BD258" s="66"/>
      <c r="BE258" s="64"/>
      <c r="BF258" s="64"/>
      <c r="BG258" s="64"/>
      <c r="BH258" s="64"/>
      <c r="BI258" s="64"/>
      <c r="BJ258" s="64"/>
      <c r="BK258" s="64"/>
      <c r="BL258" s="64"/>
      <c r="BM258" s="64"/>
      <c r="BN258" s="64"/>
    </row>
    <row r="259" ht="30.0" customHeight="1">
      <c r="A259" s="64"/>
      <c r="B259" s="64"/>
      <c r="C259" s="66"/>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75"/>
      <c r="BB259" s="64"/>
      <c r="BC259" s="64"/>
      <c r="BD259" s="66"/>
      <c r="BE259" s="64"/>
      <c r="BF259" s="64"/>
      <c r="BG259" s="64"/>
      <c r="BH259" s="64"/>
      <c r="BI259" s="64"/>
      <c r="BJ259" s="64"/>
      <c r="BK259" s="64"/>
      <c r="BL259" s="64"/>
      <c r="BM259" s="64"/>
      <c r="BN259" s="64"/>
    </row>
    <row r="260" ht="30.0" customHeight="1">
      <c r="A260" s="64"/>
      <c r="B260" s="64"/>
      <c r="C260" s="66"/>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75"/>
      <c r="BB260" s="64"/>
      <c r="BC260" s="64"/>
      <c r="BD260" s="66"/>
      <c r="BE260" s="64"/>
      <c r="BF260" s="64"/>
      <c r="BG260" s="64"/>
      <c r="BH260" s="64"/>
      <c r="BI260" s="64"/>
      <c r="BJ260" s="64"/>
      <c r="BK260" s="64"/>
      <c r="BL260" s="64"/>
      <c r="BM260" s="64"/>
      <c r="BN260" s="64"/>
    </row>
    <row r="261" ht="30.0" customHeight="1">
      <c r="A261" s="64"/>
      <c r="B261" s="64"/>
      <c r="C261" s="66"/>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75"/>
      <c r="BB261" s="64"/>
      <c r="BC261" s="64"/>
      <c r="BD261" s="66"/>
      <c r="BE261" s="64"/>
      <c r="BF261" s="64"/>
      <c r="BG261" s="64"/>
      <c r="BH261" s="64"/>
      <c r="BI261" s="64"/>
      <c r="BJ261" s="64"/>
      <c r="BK261" s="64"/>
      <c r="BL261" s="64"/>
      <c r="BM261" s="64"/>
      <c r="BN261" s="64"/>
    </row>
    <row r="262" ht="30.0" customHeight="1">
      <c r="A262" s="64"/>
      <c r="B262" s="64"/>
      <c r="C262" s="66"/>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75"/>
      <c r="BB262" s="64"/>
      <c r="BC262" s="64"/>
      <c r="BD262" s="66"/>
      <c r="BE262" s="64"/>
      <c r="BF262" s="64"/>
      <c r="BG262" s="64"/>
      <c r="BH262" s="64"/>
      <c r="BI262" s="64"/>
      <c r="BJ262" s="64"/>
      <c r="BK262" s="64"/>
      <c r="BL262" s="64"/>
      <c r="BM262" s="64"/>
      <c r="BN262" s="64"/>
    </row>
    <row r="263" ht="30.0" customHeight="1">
      <c r="A263" s="64"/>
      <c r="B263" s="64"/>
      <c r="C263" s="66"/>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75"/>
      <c r="BB263" s="64"/>
      <c r="BC263" s="64"/>
      <c r="BD263" s="66"/>
      <c r="BE263" s="64"/>
      <c r="BF263" s="64"/>
      <c r="BG263" s="64"/>
      <c r="BH263" s="64"/>
      <c r="BI263" s="64"/>
      <c r="BJ263" s="64"/>
      <c r="BK263" s="64"/>
      <c r="BL263" s="64"/>
      <c r="BM263" s="64"/>
      <c r="BN263" s="64"/>
    </row>
    <row r="264" ht="30.0" customHeight="1">
      <c r="A264" s="64"/>
      <c r="B264" s="64"/>
      <c r="C264" s="66"/>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75"/>
      <c r="BB264" s="64"/>
      <c r="BC264" s="64"/>
      <c r="BD264" s="66"/>
      <c r="BE264" s="64"/>
      <c r="BF264" s="64"/>
      <c r="BG264" s="64"/>
      <c r="BH264" s="64"/>
      <c r="BI264" s="64"/>
      <c r="BJ264" s="64"/>
      <c r="BK264" s="64"/>
      <c r="BL264" s="64"/>
      <c r="BM264" s="64"/>
      <c r="BN264" s="64"/>
    </row>
    <row r="265" ht="30.0" customHeight="1">
      <c r="A265" s="64"/>
      <c r="B265" s="64"/>
      <c r="C265" s="66"/>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75"/>
      <c r="BB265" s="64"/>
      <c r="BC265" s="64"/>
      <c r="BD265" s="66"/>
      <c r="BE265" s="64"/>
      <c r="BF265" s="64"/>
      <c r="BG265" s="64"/>
      <c r="BH265" s="64"/>
      <c r="BI265" s="64"/>
      <c r="BJ265" s="64"/>
      <c r="BK265" s="64"/>
      <c r="BL265" s="64"/>
      <c r="BM265" s="64"/>
      <c r="BN265" s="64"/>
    </row>
    <row r="266" ht="30.0" customHeight="1">
      <c r="A266" s="64"/>
      <c r="B266" s="64"/>
      <c r="C266" s="66"/>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75"/>
      <c r="BB266" s="64"/>
      <c r="BC266" s="64"/>
      <c r="BD266" s="66"/>
      <c r="BE266" s="64"/>
      <c r="BF266" s="64"/>
      <c r="BG266" s="64"/>
      <c r="BH266" s="64"/>
      <c r="BI266" s="64"/>
      <c r="BJ266" s="64"/>
      <c r="BK266" s="64"/>
      <c r="BL266" s="64"/>
      <c r="BM266" s="64"/>
      <c r="BN266" s="64"/>
    </row>
    <row r="267" ht="30.0" customHeight="1">
      <c r="A267" s="64"/>
      <c r="B267" s="64"/>
      <c r="C267" s="66"/>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75"/>
      <c r="BB267" s="64"/>
      <c r="BC267" s="64"/>
      <c r="BD267" s="66"/>
      <c r="BE267" s="64"/>
      <c r="BF267" s="64"/>
      <c r="BG267" s="64"/>
      <c r="BH267" s="64"/>
      <c r="BI267" s="64"/>
      <c r="BJ267" s="64"/>
      <c r="BK267" s="64"/>
      <c r="BL267" s="64"/>
      <c r="BM267" s="64"/>
      <c r="BN267" s="64"/>
    </row>
    <row r="268" ht="30.0" customHeight="1">
      <c r="A268" s="64"/>
      <c r="B268" s="64"/>
      <c r="C268" s="66"/>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75"/>
      <c r="BB268" s="64"/>
      <c r="BC268" s="64"/>
      <c r="BD268" s="66"/>
      <c r="BE268" s="64"/>
      <c r="BF268" s="64"/>
      <c r="BG268" s="64"/>
      <c r="BH268" s="64"/>
      <c r="BI268" s="64"/>
      <c r="BJ268" s="64"/>
      <c r="BK268" s="64"/>
      <c r="BL268" s="64"/>
      <c r="BM268" s="64"/>
      <c r="BN268" s="64"/>
    </row>
    <row r="269" ht="30.0" customHeight="1">
      <c r="A269" s="64"/>
      <c r="B269" s="64"/>
      <c r="C269" s="66"/>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75"/>
      <c r="BB269" s="64"/>
      <c r="BC269" s="64"/>
      <c r="BD269" s="66"/>
      <c r="BE269" s="64"/>
      <c r="BF269" s="64"/>
      <c r="BG269" s="64"/>
      <c r="BH269" s="64"/>
      <c r="BI269" s="64"/>
      <c r="BJ269" s="64"/>
      <c r="BK269" s="64"/>
      <c r="BL269" s="64"/>
      <c r="BM269" s="64"/>
      <c r="BN269" s="64"/>
    </row>
    <row r="270" ht="30.0" customHeight="1">
      <c r="A270" s="64"/>
      <c r="B270" s="64"/>
      <c r="C270" s="66"/>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75"/>
      <c r="BB270" s="64"/>
      <c r="BC270" s="64"/>
      <c r="BD270" s="66"/>
      <c r="BE270" s="64"/>
      <c r="BF270" s="64"/>
      <c r="BG270" s="64"/>
      <c r="BH270" s="64"/>
      <c r="BI270" s="64"/>
      <c r="BJ270" s="64"/>
      <c r="BK270" s="64"/>
      <c r="BL270" s="64"/>
      <c r="BM270" s="64"/>
      <c r="BN270" s="64"/>
    </row>
    <row r="271" ht="30.0" customHeight="1">
      <c r="A271" s="64"/>
      <c r="B271" s="64"/>
      <c r="C271" s="66"/>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75"/>
      <c r="BB271" s="64"/>
      <c r="BC271" s="64"/>
      <c r="BD271" s="66"/>
      <c r="BE271" s="64"/>
      <c r="BF271" s="64"/>
      <c r="BG271" s="64"/>
      <c r="BH271" s="64"/>
      <c r="BI271" s="64"/>
      <c r="BJ271" s="64"/>
      <c r="BK271" s="64"/>
      <c r="BL271" s="64"/>
      <c r="BM271" s="64"/>
      <c r="BN271" s="64"/>
    </row>
    <row r="272" ht="30.0" customHeight="1">
      <c r="A272" s="64"/>
      <c r="B272" s="64"/>
      <c r="C272" s="66"/>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75"/>
      <c r="BB272" s="64"/>
      <c r="BC272" s="64"/>
      <c r="BD272" s="66"/>
      <c r="BE272" s="64"/>
      <c r="BF272" s="64"/>
      <c r="BG272" s="64"/>
      <c r="BH272" s="64"/>
      <c r="BI272" s="64"/>
      <c r="BJ272" s="64"/>
      <c r="BK272" s="64"/>
      <c r="BL272" s="64"/>
      <c r="BM272" s="64"/>
      <c r="BN272" s="64"/>
    </row>
    <row r="273" ht="30.0" customHeight="1">
      <c r="A273" s="64"/>
      <c r="B273" s="64"/>
      <c r="C273" s="66"/>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75"/>
      <c r="BB273" s="64"/>
      <c r="BC273" s="64"/>
      <c r="BD273" s="66"/>
      <c r="BE273" s="64"/>
      <c r="BF273" s="64"/>
      <c r="BG273" s="64"/>
      <c r="BH273" s="64"/>
      <c r="BI273" s="64"/>
      <c r="BJ273" s="64"/>
      <c r="BK273" s="64"/>
      <c r="BL273" s="64"/>
      <c r="BM273" s="64"/>
      <c r="BN273" s="64"/>
    </row>
    <row r="274" ht="30.0" customHeight="1">
      <c r="A274" s="64"/>
      <c r="B274" s="64"/>
      <c r="C274" s="66"/>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75"/>
      <c r="BB274" s="64"/>
      <c r="BC274" s="64"/>
      <c r="BD274" s="66"/>
      <c r="BE274" s="64"/>
      <c r="BF274" s="64"/>
      <c r="BG274" s="64"/>
      <c r="BH274" s="64"/>
      <c r="BI274" s="64"/>
      <c r="BJ274" s="64"/>
      <c r="BK274" s="64"/>
      <c r="BL274" s="64"/>
      <c r="BM274" s="64"/>
      <c r="BN274" s="64"/>
    </row>
    <row r="275" ht="30.0" customHeight="1">
      <c r="A275" s="64"/>
      <c r="B275" s="64"/>
      <c r="C275" s="66"/>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75"/>
      <c r="BB275" s="64"/>
      <c r="BC275" s="64"/>
      <c r="BD275" s="66"/>
      <c r="BE275" s="64"/>
      <c r="BF275" s="64"/>
      <c r="BG275" s="64"/>
      <c r="BH275" s="64"/>
      <c r="BI275" s="64"/>
      <c r="BJ275" s="64"/>
      <c r="BK275" s="64"/>
      <c r="BL275" s="64"/>
      <c r="BM275" s="64"/>
      <c r="BN275" s="64"/>
    </row>
    <row r="276" ht="30.0" customHeight="1">
      <c r="A276" s="64"/>
      <c r="B276" s="64"/>
      <c r="C276" s="66"/>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75"/>
      <c r="BB276" s="64"/>
      <c r="BC276" s="64"/>
      <c r="BD276" s="66"/>
      <c r="BE276" s="64"/>
      <c r="BF276" s="64"/>
      <c r="BG276" s="64"/>
      <c r="BH276" s="64"/>
      <c r="BI276" s="64"/>
      <c r="BJ276" s="64"/>
      <c r="BK276" s="64"/>
      <c r="BL276" s="64"/>
      <c r="BM276" s="64"/>
      <c r="BN276" s="64"/>
    </row>
    <row r="277" ht="30.0" customHeight="1">
      <c r="A277" s="64"/>
      <c r="B277" s="64"/>
      <c r="C277" s="66"/>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75"/>
      <c r="BB277" s="64"/>
      <c r="BC277" s="64"/>
      <c r="BD277" s="66"/>
      <c r="BE277" s="64"/>
      <c r="BF277" s="64"/>
      <c r="BG277" s="64"/>
      <c r="BH277" s="64"/>
      <c r="BI277" s="64"/>
      <c r="BJ277" s="64"/>
      <c r="BK277" s="64"/>
      <c r="BL277" s="64"/>
      <c r="BM277" s="64"/>
      <c r="BN277" s="64"/>
    </row>
    <row r="278" ht="30.0" customHeight="1">
      <c r="A278" s="64"/>
      <c r="B278" s="64"/>
      <c r="C278" s="66"/>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75"/>
      <c r="BB278" s="64"/>
      <c r="BC278" s="64"/>
      <c r="BD278" s="66"/>
      <c r="BE278" s="64"/>
      <c r="BF278" s="64"/>
      <c r="BG278" s="64"/>
      <c r="BH278" s="64"/>
      <c r="BI278" s="64"/>
      <c r="BJ278" s="64"/>
      <c r="BK278" s="64"/>
      <c r="BL278" s="64"/>
      <c r="BM278" s="64"/>
      <c r="BN278" s="64"/>
    </row>
    <row r="279" ht="30.0" customHeight="1">
      <c r="A279" s="64"/>
      <c r="B279" s="64"/>
      <c r="C279" s="66"/>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75"/>
      <c r="BB279" s="64"/>
      <c r="BC279" s="64"/>
      <c r="BD279" s="66"/>
      <c r="BE279" s="64"/>
      <c r="BF279" s="64"/>
      <c r="BG279" s="64"/>
      <c r="BH279" s="64"/>
      <c r="BI279" s="64"/>
      <c r="BJ279" s="64"/>
      <c r="BK279" s="64"/>
      <c r="BL279" s="64"/>
      <c r="BM279" s="64"/>
      <c r="BN279" s="64"/>
    </row>
    <row r="280" ht="30.0" customHeight="1">
      <c r="A280" s="64"/>
      <c r="B280" s="64"/>
      <c r="C280" s="66"/>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75"/>
      <c r="BB280" s="64"/>
      <c r="BC280" s="64"/>
      <c r="BD280" s="66"/>
      <c r="BE280" s="64"/>
      <c r="BF280" s="64"/>
      <c r="BG280" s="64"/>
      <c r="BH280" s="64"/>
      <c r="BI280" s="64"/>
      <c r="BJ280" s="64"/>
      <c r="BK280" s="64"/>
      <c r="BL280" s="64"/>
      <c r="BM280" s="64"/>
      <c r="BN280" s="64"/>
    </row>
    <row r="281" ht="30.0" customHeight="1">
      <c r="A281" s="64"/>
      <c r="B281" s="64"/>
      <c r="C281" s="66"/>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75"/>
      <c r="BB281" s="64"/>
      <c r="BC281" s="64"/>
      <c r="BD281" s="66"/>
      <c r="BE281" s="64"/>
      <c r="BF281" s="64"/>
      <c r="BG281" s="64"/>
      <c r="BH281" s="64"/>
      <c r="BI281" s="64"/>
      <c r="BJ281" s="64"/>
      <c r="BK281" s="64"/>
      <c r="BL281" s="64"/>
      <c r="BM281" s="64"/>
      <c r="BN281" s="64"/>
    </row>
    <row r="282" ht="30.0" customHeight="1">
      <c r="A282" s="64"/>
      <c r="B282" s="64"/>
      <c r="C282" s="66"/>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75"/>
      <c r="BB282" s="64"/>
      <c r="BC282" s="64"/>
      <c r="BD282" s="66"/>
      <c r="BE282" s="64"/>
      <c r="BF282" s="64"/>
      <c r="BG282" s="64"/>
      <c r="BH282" s="64"/>
      <c r="BI282" s="64"/>
      <c r="BJ282" s="64"/>
      <c r="BK282" s="64"/>
      <c r="BL282" s="64"/>
      <c r="BM282" s="64"/>
      <c r="BN282" s="64"/>
    </row>
    <row r="283" ht="30.0" customHeight="1">
      <c r="A283" s="64"/>
      <c r="B283" s="64"/>
      <c r="C283" s="66"/>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75"/>
      <c r="BB283" s="64"/>
      <c r="BC283" s="64"/>
      <c r="BD283" s="66"/>
      <c r="BE283" s="64"/>
      <c r="BF283" s="64"/>
      <c r="BG283" s="64"/>
      <c r="BH283" s="64"/>
      <c r="BI283" s="64"/>
      <c r="BJ283" s="64"/>
      <c r="BK283" s="64"/>
      <c r="BL283" s="64"/>
      <c r="BM283" s="64"/>
      <c r="BN283" s="64"/>
    </row>
    <row r="284" ht="30.0" customHeight="1">
      <c r="A284" s="64"/>
      <c r="B284" s="64"/>
      <c r="C284" s="66"/>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75"/>
      <c r="BB284" s="64"/>
      <c r="BC284" s="64"/>
      <c r="BD284" s="66"/>
      <c r="BE284" s="64"/>
      <c r="BF284" s="64"/>
      <c r="BG284" s="64"/>
      <c r="BH284" s="64"/>
      <c r="BI284" s="64"/>
      <c r="BJ284" s="64"/>
      <c r="BK284" s="64"/>
      <c r="BL284" s="64"/>
      <c r="BM284" s="64"/>
      <c r="BN284" s="64"/>
    </row>
    <row r="285" ht="30.0" customHeight="1">
      <c r="A285" s="64"/>
      <c r="B285" s="64"/>
      <c r="C285" s="66"/>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75"/>
      <c r="BB285" s="64"/>
      <c r="BC285" s="64"/>
      <c r="BD285" s="66"/>
      <c r="BE285" s="64"/>
      <c r="BF285" s="64"/>
      <c r="BG285" s="64"/>
      <c r="BH285" s="64"/>
      <c r="BI285" s="64"/>
      <c r="BJ285" s="64"/>
      <c r="BK285" s="64"/>
      <c r="BL285" s="64"/>
      <c r="BM285" s="64"/>
      <c r="BN285" s="64"/>
    </row>
    <row r="286" ht="30.0" customHeight="1">
      <c r="A286" s="64"/>
      <c r="B286" s="64"/>
      <c r="C286" s="66"/>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75"/>
      <c r="BB286" s="64"/>
      <c r="BC286" s="64"/>
      <c r="BD286" s="66"/>
      <c r="BE286" s="64"/>
      <c r="BF286" s="64"/>
      <c r="BG286" s="64"/>
      <c r="BH286" s="64"/>
      <c r="BI286" s="64"/>
      <c r="BJ286" s="64"/>
      <c r="BK286" s="64"/>
      <c r="BL286" s="64"/>
      <c r="BM286" s="64"/>
      <c r="BN286" s="64"/>
    </row>
    <row r="287" ht="30.0" customHeight="1">
      <c r="A287" s="64"/>
      <c r="B287" s="64"/>
      <c r="C287" s="66"/>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75"/>
      <c r="BB287" s="64"/>
      <c r="BC287" s="64"/>
      <c r="BD287" s="66"/>
      <c r="BE287" s="64"/>
      <c r="BF287" s="64"/>
      <c r="BG287" s="64"/>
      <c r="BH287" s="64"/>
      <c r="BI287" s="64"/>
      <c r="BJ287" s="64"/>
      <c r="BK287" s="64"/>
      <c r="BL287" s="64"/>
      <c r="BM287" s="64"/>
      <c r="BN287" s="64"/>
    </row>
    <row r="288" ht="30.0" customHeight="1">
      <c r="A288" s="64"/>
      <c r="B288" s="64"/>
      <c r="C288" s="66"/>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75"/>
      <c r="BB288" s="64"/>
      <c r="BC288" s="64"/>
      <c r="BD288" s="66"/>
      <c r="BE288" s="64"/>
      <c r="BF288" s="64"/>
      <c r="BG288" s="64"/>
      <c r="BH288" s="64"/>
      <c r="BI288" s="64"/>
      <c r="BJ288" s="64"/>
      <c r="BK288" s="64"/>
      <c r="BL288" s="64"/>
      <c r="BM288" s="64"/>
      <c r="BN288" s="64"/>
    </row>
    <row r="289" ht="30.0" customHeight="1">
      <c r="A289" s="64"/>
      <c r="B289" s="64"/>
      <c r="C289" s="66"/>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75"/>
      <c r="BB289" s="64"/>
      <c r="BC289" s="64"/>
      <c r="BD289" s="66"/>
      <c r="BE289" s="64"/>
      <c r="BF289" s="64"/>
      <c r="BG289" s="64"/>
      <c r="BH289" s="64"/>
      <c r="BI289" s="64"/>
      <c r="BJ289" s="64"/>
      <c r="BK289" s="64"/>
      <c r="BL289" s="64"/>
      <c r="BM289" s="64"/>
      <c r="BN289" s="64"/>
    </row>
    <row r="290" ht="30.0" customHeight="1">
      <c r="A290" s="64"/>
      <c r="B290" s="64"/>
      <c r="C290" s="66"/>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75"/>
      <c r="BB290" s="64"/>
      <c r="BC290" s="64"/>
      <c r="BD290" s="66"/>
      <c r="BE290" s="64"/>
      <c r="BF290" s="64"/>
      <c r="BG290" s="64"/>
      <c r="BH290" s="64"/>
      <c r="BI290" s="64"/>
      <c r="BJ290" s="64"/>
      <c r="BK290" s="64"/>
      <c r="BL290" s="64"/>
      <c r="BM290" s="64"/>
      <c r="BN290" s="64"/>
    </row>
    <row r="291" ht="30.0" customHeight="1">
      <c r="A291" s="64"/>
      <c r="B291" s="64"/>
      <c r="C291" s="66"/>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75"/>
      <c r="BB291" s="64"/>
      <c r="BC291" s="64"/>
      <c r="BD291" s="66"/>
      <c r="BE291" s="64"/>
      <c r="BF291" s="64"/>
      <c r="BG291" s="64"/>
      <c r="BH291" s="64"/>
      <c r="BI291" s="64"/>
      <c r="BJ291" s="64"/>
      <c r="BK291" s="64"/>
      <c r="BL291" s="64"/>
      <c r="BM291" s="64"/>
      <c r="BN291" s="64"/>
    </row>
    <row r="292" ht="30.0" customHeight="1">
      <c r="A292" s="64"/>
      <c r="B292" s="64"/>
      <c r="C292" s="66"/>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75"/>
      <c r="BB292" s="64"/>
      <c r="BC292" s="64"/>
      <c r="BD292" s="66"/>
      <c r="BE292" s="64"/>
      <c r="BF292" s="64"/>
      <c r="BG292" s="64"/>
      <c r="BH292" s="64"/>
      <c r="BI292" s="64"/>
      <c r="BJ292" s="64"/>
      <c r="BK292" s="64"/>
      <c r="BL292" s="64"/>
      <c r="BM292" s="64"/>
      <c r="BN292" s="64"/>
    </row>
    <row r="293" ht="30.0" customHeight="1">
      <c r="A293" s="64"/>
      <c r="B293" s="64"/>
      <c r="C293" s="66"/>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75"/>
      <c r="BB293" s="64"/>
      <c r="BC293" s="64"/>
      <c r="BD293" s="66"/>
      <c r="BE293" s="64"/>
      <c r="BF293" s="64"/>
      <c r="BG293" s="64"/>
      <c r="BH293" s="64"/>
      <c r="BI293" s="64"/>
      <c r="BJ293" s="64"/>
      <c r="BK293" s="64"/>
      <c r="BL293" s="64"/>
      <c r="BM293" s="64"/>
      <c r="BN293" s="64"/>
    </row>
    <row r="294" ht="30.0" customHeight="1">
      <c r="A294" s="64"/>
      <c r="B294" s="64"/>
      <c r="C294" s="66"/>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75"/>
      <c r="BB294" s="64"/>
      <c r="BC294" s="64"/>
      <c r="BD294" s="66"/>
      <c r="BE294" s="64"/>
      <c r="BF294" s="64"/>
      <c r="BG294" s="64"/>
      <c r="BH294" s="64"/>
      <c r="BI294" s="64"/>
      <c r="BJ294" s="64"/>
      <c r="BK294" s="64"/>
      <c r="BL294" s="64"/>
      <c r="BM294" s="64"/>
      <c r="BN294" s="64"/>
    </row>
    <row r="295" ht="30.0" customHeight="1">
      <c r="A295" s="64"/>
      <c r="B295" s="64"/>
      <c r="C295" s="66"/>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75"/>
      <c r="BB295" s="64"/>
      <c r="BC295" s="64"/>
      <c r="BD295" s="66"/>
      <c r="BE295" s="64"/>
      <c r="BF295" s="64"/>
      <c r="BG295" s="64"/>
      <c r="BH295" s="64"/>
      <c r="BI295" s="64"/>
      <c r="BJ295" s="64"/>
      <c r="BK295" s="64"/>
      <c r="BL295" s="64"/>
      <c r="BM295" s="64"/>
      <c r="BN295" s="64"/>
    </row>
    <row r="296" ht="30.0" customHeight="1">
      <c r="A296" s="64"/>
      <c r="B296" s="64"/>
      <c r="C296" s="66"/>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75"/>
      <c r="BB296" s="64"/>
      <c r="BC296" s="64"/>
      <c r="BD296" s="66"/>
      <c r="BE296" s="64"/>
      <c r="BF296" s="64"/>
      <c r="BG296" s="64"/>
      <c r="BH296" s="64"/>
      <c r="BI296" s="64"/>
      <c r="BJ296" s="64"/>
      <c r="BK296" s="64"/>
      <c r="BL296" s="64"/>
      <c r="BM296" s="64"/>
      <c r="BN296" s="64"/>
    </row>
    <row r="297" ht="30.0" customHeight="1">
      <c r="A297" s="64"/>
      <c r="B297" s="64"/>
      <c r="C297" s="66"/>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75"/>
      <c r="BB297" s="64"/>
      <c r="BC297" s="64"/>
      <c r="BD297" s="66"/>
      <c r="BE297" s="64"/>
      <c r="BF297" s="64"/>
      <c r="BG297" s="64"/>
      <c r="BH297" s="64"/>
      <c r="BI297" s="64"/>
      <c r="BJ297" s="64"/>
      <c r="BK297" s="64"/>
      <c r="BL297" s="64"/>
      <c r="BM297" s="64"/>
      <c r="BN297" s="64"/>
    </row>
    <row r="298" ht="30.0" customHeight="1">
      <c r="A298" s="64"/>
      <c r="B298" s="64"/>
      <c r="C298" s="66"/>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75"/>
      <c r="BB298" s="64"/>
      <c r="BC298" s="64"/>
      <c r="BD298" s="66"/>
      <c r="BE298" s="64"/>
      <c r="BF298" s="64"/>
      <c r="BG298" s="64"/>
      <c r="BH298" s="64"/>
      <c r="BI298" s="64"/>
      <c r="BJ298" s="64"/>
      <c r="BK298" s="64"/>
      <c r="BL298" s="64"/>
      <c r="BM298" s="64"/>
      <c r="BN298" s="64"/>
    </row>
    <row r="299" ht="30.0" customHeight="1">
      <c r="A299" s="64"/>
      <c r="B299" s="64"/>
      <c r="C299" s="66"/>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75"/>
      <c r="BB299" s="64"/>
      <c r="BC299" s="64"/>
      <c r="BD299" s="66"/>
      <c r="BE299" s="64"/>
      <c r="BF299" s="64"/>
      <c r="BG299" s="64"/>
      <c r="BH299" s="64"/>
      <c r="BI299" s="64"/>
      <c r="BJ299" s="64"/>
      <c r="BK299" s="64"/>
      <c r="BL299" s="64"/>
      <c r="BM299" s="64"/>
      <c r="BN299" s="64"/>
    </row>
    <row r="300" ht="30.0" customHeight="1">
      <c r="A300" s="64"/>
      <c r="B300" s="64"/>
      <c r="C300" s="66"/>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75"/>
      <c r="BB300" s="64"/>
      <c r="BC300" s="64"/>
      <c r="BD300" s="66"/>
      <c r="BE300" s="64"/>
      <c r="BF300" s="64"/>
      <c r="BG300" s="64"/>
      <c r="BH300" s="64"/>
      <c r="BI300" s="64"/>
      <c r="BJ300" s="64"/>
      <c r="BK300" s="64"/>
      <c r="BL300" s="64"/>
      <c r="BM300" s="64"/>
      <c r="BN300" s="64"/>
    </row>
    <row r="301" ht="30.0" customHeight="1">
      <c r="A301" s="64"/>
      <c r="B301" s="64"/>
      <c r="C301" s="66"/>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75"/>
      <c r="BB301" s="64"/>
      <c r="BC301" s="64"/>
      <c r="BD301" s="66"/>
      <c r="BE301" s="64"/>
      <c r="BF301" s="64"/>
      <c r="BG301" s="64"/>
      <c r="BH301" s="64"/>
      <c r="BI301" s="64"/>
      <c r="BJ301" s="64"/>
      <c r="BK301" s="64"/>
      <c r="BL301" s="64"/>
      <c r="BM301" s="64"/>
      <c r="BN301" s="64"/>
    </row>
    <row r="302" ht="30.0" customHeight="1">
      <c r="A302" s="64"/>
      <c r="B302" s="64"/>
      <c r="C302" s="66"/>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75"/>
      <c r="BB302" s="64"/>
      <c r="BC302" s="64"/>
      <c r="BD302" s="66"/>
      <c r="BE302" s="64"/>
      <c r="BF302" s="64"/>
      <c r="BG302" s="64"/>
      <c r="BH302" s="64"/>
      <c r="BI302" s="64"/>
      <c r="BJ302" s="64"/>
      <c r="BK302" s="64"/>
      <c r="BL302" s="64"/>
      <c r="BM302" s="64"/>
      <c r="BN302" s="64"/>
    </row>
    <row r="303" ht="30.0" customHeight="1">
      <c r="A303" s="64"/>
      <c r="B303" s="64"/>
      <c r="C303" s="66"/>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75"/>
      <c r="BB303" s="64"/>
      <c r="BC303" s="64"/>
      <c r="BD303" s="66"/>
      <c r="BE303" s="64"/>
      <c r="BF303" s="64"/>
      <c r="BG303" s="64"/>
      <c r="BH303" s="64"/>
      <c r="BI303" s="64"/>
      <c r="BJ303" s="64"/>
      <c r="BK303" s="64"/>
      <c r="BL303" s="64"/>
      <c r="BM303" s="64"/>
      <c r="BN303" s="64"/>
    </row>
    <row r="304" ht="30.0" customHeight="1">
      <c r="A304" s="64"/>
      <c r="B304" s="64"/>
      <c r="C304" s="66"/>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75"/>
      <c r="BB304" s="64"/>
      <c r="BC304" s="64"/>
      <c r="BD304" s="66"/>
      <c r="BE304" s="64"/>
      <c r="BF304" s="64"/>
      <c r="BG304" s="64"/>
      <c r="BH304" s="64"/>
      <c r="BI304" s="64"/>
      <c r="BJ304" s="64"/>
      <c r="BK304" s="64"/>
      <c r="BL304" s="64"/>
      <c r="BM304" s="64"/>
      <c r="BN304" s="64"/>
    </row>
    <row r="305" ht="30.0" customHeight="1">
      <c r="A305" s="64"/>
      <c r="B305" s="64"/>
      <c r="C305" s="66"/>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75"/>
      <c r="BB305" s="64"/>
      <c r="BC305" s="64"/>
      <c r="BD305" s="66"/>
      <c r="BE305" s="64"/>
      <c r="BF305" s="64"/>
      <c r="BG305" s="64"/>
      <c r="BH305" s="64"/>
      <c r="BI305" s="64"/>
      <c r="BJ305" s="64"/>
      <c r="BK305" s="64"/>
      <c r="BL305" s="64"/>
      <c r="BM305" s="64"/>
      <c r="BN305" s="64"/>
    </row>
    <row r="306" ht="30.0" customHeight="1">
      <c r="A306" s="64"/>
      <c r="B306" s="64"/>
      <c r="C306" s="66"/>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75"/>
      <c r="BB306" s="64"/>
      <c r="BC306" s="64"/>
      <c r="BD306" s="66"/>
      <c r="BE306" s="64"/>
      <c r="BF306" s="64"/>
      <c r="BG306" s="64"/>
      <c r="BH306" s="64"/>
      <c r="BI306" s="64"/>
      <c r="BJ306" s="64"/>
      <c r="BK306" s="64"/>
      <c r="BL306" s="64"/>
      <c r="BM306" s="64"/>
      <c r="BN306" s="64"/>
    </row>
    <row r="307" ht="30.0" customHeight="1">
      <c r="A307" s="64"/>
      <c r="B307" s="64"/>
      <c r="C307" s="66"/>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75"/>
      <c r="BB307" s="64"/>
      <c r="BC307" s="64"/>
      <c r="BD307" s="66"/>
      <c r="BE307" s="64"/>
      <c r="BF307" s="64"/>
      <c r="BG307" s="64"/>
      <c r="BH307" s="64"/>
      <c r="BI307" s="64"/>
      <c r="BJ307" s="64"/>
      <c r="BK307" s="64"/>
      <c r="BL307" s="64"/>
      <c r="BM307" s="64"/>
      <c r="BN307" s="64"/>
    </row>
    <row r="308" ht="30.0" customHeight="1">
      <c r="A308" s="64"/>
      <c r="B308" s="64"/>
      <c r="C308" s="66"/>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75"/>
      <c r="BB308" s="64"/>
      <c r="BC308" s="64"/>
      <c r="BD308" s="66"/>
      <c r="BE308" s="64"/>
      <c r="BF308" s="64"/>
      <c r="BG308" s="64"/>
      <c r="BH308" s="64"/>
      <c r="BI308" s="64"/>
      <c r="BJ308" s="64"/>
      <c r="BK308" s="64"/>
      <c r="BL308" s="64"/>
      <c r="BM308" s="64"/>
      <c r="BN308" s="64"/>
    </row>
    <row r="309" ht="30.0" customHeight="1">
      <c r="A309" s="64"/>
      <c r="B309" s="64"/>
      <c r="C309" s="66"/>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75"/>
      <c r="BB309" s="64"/>
      <c r="BC309" s="64"/>
      <c r="BD309" s="66"/>
      <c r="BE309" s="64"/>
      <c r="BF309" s="64"/>
      <c r="BG309" s="64"/>
      <c r="BH309" s="64"/>
      <c r="BI309" s="64"/>
      <c r="BJ309" s="64"/>
      <c r="BK309" s="64"/>
      <c r="BL309" s="64"/>
      <c r="BM309" s="64"/>
      <c r="BN309" s="64"/>
    </row>
    <row r="310" ht="30.0" customHeight="1">
      <c r="A310" s="64"/>
      <c r="B310" s="64"/>
      <c r="C310" s="66"/>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75"/>
      <c r="BB310" s="64"/>
      <c r="BC310" s="64"/>
      <c r="BD310" s="66"/>
      <c r="BE310" s="64"/>
      <c r="BF310" s="64"/>
      <c r="BG310" s="64"/>
      <c r="BH310" s="64"/>
      <c r="BI310" s="64"/>
      <c r="BJ310" s="64"/>
      <c r="BK310" s="64"/>
      <c r="BL310" s="64"/>
      <c r="BM310" s="64"/>
      <c r="BN310" s="64"/>
    </row>
    <row r="311" ht="30.0" customHeight="1">
      <c r="A311" s="64"/>
      <c r="B311" s="64"/>
      <c r="C311" s="66"/>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75"/>
      <c r="BB311" s="64"/>
      <c r="BC311" s="64"/>
      <c r="BD311" s="66"/>
      <c r="BE311" s="64"/>
      <c r="BF311" s="64"/>
      <c r="BG311" s="64"/>
      <c r="BH311" s="64"/>
      <c r="BI311" s="64"/>
      <c r="BJ311" s="64"/>
      <c r="BK311" s="64"/>
      <c r="BL311" s="64"/>
      <c r="BM311" s="64"/>
      <c r="BN311" s="64"/>
    </row>
    <row r="312" ht="30.0" customHeight="1">
      <c r="A312" s="64"/>
      <c r="B312" s="64"/>
      <c r="C312" s="66"/>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75"/>
      <c r="BB312" s="64"/>
      <c r="BC312" s="64"/>
      <c r="BD312" s="66"/>
      <c r="BE312" s="64"/>
      <c r="BF312" s="64"/>
      <c r="BG312" s="64"/>
      <c r="BH312" s="64"/>
      <c r="BI312" s="64"/>
      <c r="BJ312" s="64"/>
      <c r="BK312" s="64"/>
      <c r="BL312" s="64"/>
      <c r="BM312" s="64"/>
      <c r="BN312" s="64"/>
    </row>
    <row r="313" ht="30.0" customHeight="1">
      <c r="A313" s="64"/>
      <c r="B313" s="64"/>
      <c r="C313" s="66"/>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75"/>
      <c r="BB313" s="64"/>
      <c r="BC313" s="64"/>
      <c r="BD313" s="66"/>
      <c r="BE313" s="64"/>
      <c r="BF313" s="64"/>
      <c r="BG313" s="64"/>
      <c r="BH313" s="64"/>
      <c r="BI313" s="64"/>
      <c r="BJ313" s="64"/>
      <c r="BK313" s="64"/>
      <c r="BL313" s="64"/>
      <c r="BM313" s="64"/>
      <c r="BN313" s="64"/>
    </row>
    <row r="314" ht="30.0" customHeight="1">
      <c r="A314" s="64"/>
      <c r="B314" s="64"/>
      <c r="C314" s="66"/>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75"/>
      <c r="BB314" s="64"/>
      <c r="BC314" s="64"/>
      <c r="BD314" s="66"/>
      <c r="BE314" s="64"/>
      <c r="BF314" s="64"/>
      <c r="BG314" s="64"/>
      <c r="BH314" s="64"/>
      <c r="BI314" s="64"/>
      <c r="BJ314" s="64"/>
      <c r="BK314" s="64"/>
      <c r="BL314" s="64"/>
      <c r="BM314" s="64"/>
      <c r="BN314" s="64"/>
    </row>
    <row r="315" ht="30.0" customHeight="1">
      <c r="A315" s="64"/>
      <c r="B315" s="64"/>
      <c r="C315" s="66"/>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75"/>
      <c r="BB315" s="64"/>
      <c r="BC315" s="64"/>
      <c r="BD315" s="66"/>
      <c r="BE315" s="64"/>
      <c r="BF315" s="64"/>
      <c r="BG315" s="64"/>
      <c r="BH315" s="64"/>
      <c r="BI315" s="64"/>
      <c r="BJ315" s="64"/>
      <c r="BK315" s="64"/>
      <c r="BL315" s="64"/>
      <c r="BM315" s="64"/>
      <c r="BN315" s="64"/>
    </row>
    <row r="316" ht="30.0" customHeight="1">
      <c r="A316" s="64"/>
      <c r="B316" s="64"/>
      <c r="C316" s="66"/>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75"/>
      <c r="BB316" s="64"/>
      <c r="BC316" s="64"/>
      <c r="BD316" s="66"/>
      <c r="BE316" s="64"/>
      <c r="BF316" s="64"/>
      <c r="BG316" s="64"/>
      <c r="BH316" s="64"/>
      <c r="BI316" s="64"/>
      <c r="BJ316" s="64"/>
      <c r="BK316" s="64"/>
      <c r="BL316" s="64"/>
      <c r="BM316" s="64"/>
      <c r="BN316" s="64"/>
    </row>
    <row r="317" ht="30.0" customHeight="1">
      <c r="A317" s="64"/>
      <c r="B317" s="64"/>
      <c r="C317" s="66"/>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75"/>
      <c r="BB317" s="64"/>
      <c r="BC317" s="64"/>
      <c r="BD317" s="66"/>
      <c r="BE317" s="64"/>
      <c r="BF317" s="64"/>
      <c r="BG317" s="64"/>
      <c r="BH317" s="64"/>
      <c r="BI317" s="64"/>
      <c r="BJ317" s="64"/>
      <c r="BK317" s="64"/>
      <c r="BL317" s="64"/>
      <c r="BM317" s="64"/>
      <c r="BN317" s="64"/>
    </row>
    <row r="318" ht="30.0" customHeight="1">
      <c r="A318" s="64"/>
      <c r="B318" s="64"/>
      <c r="C318" s="66"/>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75"/>
      <c r="BB318" s="64"/>
      <c r="BC318" s="64"/>
      <c r="BD318" s="66"/>
      <c r="BE318" s="64"/>
      <c r="BF318" s="64"/>
      <c r="BG318" s="64"/>
      <c r="BH318" s="64"/>
      <c r="BI318" s="64"/>
      <c r="BJ318" s="64"/>
      <c r="BK318" s="64"/>
      <c r="BL318" s="64"/>
      <c r="BM318" s="64"/>
      <c r="BN318" s="64"/>
    </row>
    <row r="319" ht="30.0" customHeight="1">
      <c r="A319" s="64"/>
      <c r="B319" s="64"/>
      <c r="C319" s="66"/>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75"/>
      <c r="BB319" s="64"/>
      <c r="BC319" s="64"/>
      <c r="BD319" s="66"/>
      <c r="BE319" s="64"/>
      <c r="BF319" s="64"/>
      <c r="BG319" s="64"/>
      <c r="BH319" s="64"/>
      <c r="BI319" s="64"/>
      <c r="BJ319" s="64"/>
      <c r="BK319" s="64"/>
      <c r="BL319" s="64"/>
      <c r="BM319" s="64"/>
      <c r="BN319" s="64"/>
    </row>
    <row r="320" ht="30.0" customHeight="1">
      <c r="A320" s="64"/>
      <c r="B320" s="64"/>
      <c r="C320" s="66"/>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75"/>
      <c r="BB320" s="64"/>
      <c r="BC320" s="64"/>
      <c r="BD320" s="66"/>
      <c r="BE320" s="64"/>
      <c r="BF320" s="64"/>
      <c r="BG320" s="64"/>
      <c r="BH320" s="64"/>
      <c r="BI320" s="64"/>
      <c r="BJ320" s="64"/>
      <c r="BK320" s="64"/>
      <c r="BL320" s="64"/>
      <c r="BM320" s="64"/>
      <c r="BN320" s="64"/>
    </row>
    <row r="321" ht="30.0" customHeight="1">
      <c r="A321" s="64"/>
      <c r="B321" s="64"/>
      <c r="C321" s="66"/>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75"/>
      <c r="BB321" s="64"/>
      <c r="BC321" s="64"/>
      <c r="BD321" s="66"/>
      <c r="BE321" s="64"/>
      <c r="BF321" s="64"/>
      <c r="BG321" s="64"/>
      <c r="BH321" s="64"/>
      <c r="BI321" s="64"/>
      <c r="BJ321" s="64"/>
      <c r="BK321" s="64"/>
      <c r="BL321" s="64"/>
      <c r="BM321" s="64"/>
      <c r="BN321" s="64"/>
    </row>
    <row r="322" ht="30.0" customHeight="1">
      <c r="A322" s="64"/>
      <c r="B322" s="64"/>
      <c r="C322" s="66"/>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75"/>
      <c r="BB322" s="64"/>
      <c r="BC322" s="64"/>
      <c r="BD322" s="66"/>
      <c r="BE322" s="64"/>
      <c r="BF322" s="64"/>
      <c r="BG322" s="64"/>
      <c r="BH322" s="64"/>
      <c r="BI322" s="64"/>
      <c r="BJ322" s="64"/>
      <c r="BK322" s="64"/>
      <c r="BL322" s="64"/>
      <c r="BM322" s="64"/>
      <c r="BN322" s="64"/>
    </row>
    <row r="323" ht="30.0" customHeight="1">
      <c r="A323" s="64"/>
      <c r="B323" s="64"/>
      <c r="C323" s="66"/>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75"/>
      <c r="BB323" s="64"/>
      <c r="BC323" s="64"/>
      <c r="BD323" s="66"/>
      <c r="BE323" s="64"/>
      <c r="BF323" s="64"/>
      <c r="BG323" s="64"/>
      <c r="BH323" s="64"/>
      <c r="BI323" s="64"/>
      <c r="BJ323" s="64"/>
      <c r="BK323" s="64"/>
      <c r="BL323" s="64"/>
      <c r="BM323" s="64"/>
      <c r="BN323" s="64"/>
    </row>
    <row r="324" ht="30.0" customHeight="1">
      <c r="A324" s="64"/>
      <c r="B324" s="64"/>
      <c r="C324" s="66"/>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75"/>
      <c r="BB324" s="64"/>
      <c r="BC324" s="64"/>
      <c r="BD324" s="66"/>
      <c r="BE324" s="64"/>
      <c r="BF324" s="64"/>
      <c r="BG324" s="64"/>
      <c r="BH324" s="64"/>
      <c r="BI324" s="64"/>
      <c r="BJ324" s="64"/>
      <c r="BK324" s="64"/>
      <c r="BL324" s="64"/>
      <c r="BM324" s="64"/>
      <c r="BN324" s="64"/>
    </row>
    <row r="325" ht="30.0" customHeight="1">
      <c r="A325" s="64"/>
      <c r="B325" s="64"/>
      <c r="C325" s="66"/>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75"/>
      <c r="BB325" s="64"/>
      <c r="BC325" s="64"/>
      <c r="BD325" s="66"/>
      <c r="BE325" s="64"/>
      <c r="BF325" s="64"/>
      <c r="BG325" s="64"/>
      <c r="BH325" s="64"/>
      <c r="BI325" s="64"/>
      <c r="BJ325" s="64"/>
      <c r="BK325" s="64"/>
      <c r="BL325" s="64"/>
      <c r="BM325" s="64"/>
      <c r="BN325" s="64"/>
    </row>
    <row r="326" ht="30.0" customHeight="1">
      <c r="A326" s="64"/>
      <c r="B326" s="64"/>
      <c r="C326" s="66"/>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75"/>
      <c r="BB326" s="64"/>
      <c r="BC326" s="64"/>
      <c r="BD326" s="66"/>
      <c r="BE326" s="64"/>
      <c r="BF326" s="64"/>
      <c r="BG326" s="64"/>
      <c r="BH326" s="64"/>
      <c r="BI326" s="64"/>
      <c r="BJ326" s="64"/>
      <c r="BK326" s="64"/>
      <c r="BL326" s="64"/>
      <c r="BM326" s="64"/>
      <c r="BN326" s="64"/>
    </row>
    <row r="327" ht="30.0" customHeight="1">
      <c r="A327" s="64"/>
      <c r="B327" s="64"/>
      <c r="C327" s="66"/>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75"/>
      <c r="BB327" s="64"/>
      <c r="BC327" s="64"/>
      <c r="BD327" s="66"/>
      <c r="BE327" s="64"/>
      <c r="BF327" s="64"/>
      <c r="BG327" s="64"/>
      <c r="BH327" s="64"/>
      <c r="BI327" s="64"/>
      <c r="BJ327" s="64"/>
      <c r="BK327" s="64"/>
      <c r="BL327" s="64"/>
      <c r="BM327" s="64"/>
      <c r="BN327" s="64"/>
    </row>
    <row r="328" ht="30.0" customHeight="1">
      <c r="A328" s="64"/>
      <c r="B328" s="64"/>
      <c r="C328" s="66"/>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75"/>
      <c r="BB328" s="64"/>
      <c r="BC328" s="64"/>
      <c r="BD328" s="66"/>
      <c r="BE328" s="64"/>
      <c r="BF328" s="64"/>
      <c r="BG328" s="64"/>
      <c r="BH328" s="64"/>
      <c r="BI328" s="64"/>
      <c r="BJ328" s="64"/>
      <c r="BK328" s="64"/>
      <c r="BL328" s="64"/>
      <c r="BM328" s="64"/>
      <c r="BN328" s="64"/>
    </row>
    <row r="329" ht="30.0" customHeight="1">
      <c r="A329" s="64"/>
      <c r="B329" s="64"/>
      <c r="C329" s="66"/>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75"/>
      <c r="BB329" s="64"/>
      <c r="BC329" s="64"/>
      <c r="BD329" s="66"/>
      <c r="BE329" s="64"/>
      <c r="BF329" s="64"/>
      <c r="BG329" s="64"/>
      <c r="BH329" s="64"/>
      <c r="BI329" s="64"/>
      <c r="BJ329" s="64"/>
      <c r="BK329" s="64"/>
      <c r="BL329" s="64"/>
      <c r="BM329" s="64"/>
      <c r="BN329" s="64"/>
    </row>
    <row r="330" ht="30.0" customHeight="1">
      <c r="A330" s="64"/>
      <c r="B330" s="64"/>
      <c r="C330" s="66"/>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75"/>
      <c r="BB330" s="64"/>
      <c r="BC330" s="64"/>
      <c r="BD330" s="66"/>
      <c r="BE330" s="64"/>
      <c r="BF330" s="64"/>
      <c r="BG330" s="64"/>
      <c r="BH330" s="64"/>
      <c r="BI330" s="64"/>
      <c r="BJ330" s="64"/>
      <c r="BK330" s="64"/>
      <c r="BL330" s="64"/>
      <c r="BM330" s="64"/>
      <c r="BN330" s="64"/>
    </row>
    <row r="331" ht="30.0" customHeight="1">
      <c r="A331" s="64"/>
      <c r="B331" s="64"/>
      <c r="C331" s="66"/>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75"/>
      <c r="BB331" s="64"/>
      <c r="BC331" s="64"/>
      <c r="BD331" s="66"/>
      <c r="BE331" s="64"/>
      <c r="BF331" s="64"/>
      <c r="BG331" s="64"/>
      <c r="BH331" s="64"/>
      <c r="BI331" s="64"/>
      <c r="BJ331" s="64"/>
      <c r="BK331" s="64"/>
      <c r="BL331" s="64"/>
      <c r="BM331" s="64"/>
      <c r="BN331" s="64"/>
    </row>
    <row r="332" ht="30.0" customHeight="1">
      <c r="A332" s="64"/>
      <c r="B332" s="64"/>
      <c r="C332" s="66"/>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75"/>
      <c r="BB332" s="64"/>
      <c r="BC332" s="64"/>
      <c r="BD332" s="66"/>
      <c r="BE332" s="64"/>
      <c r="BF332" s="64"/>
      <c r="BG332" s="64"/>
      <c r="BH332" s="64"/>
      <c r="BI332" s="64"/>
      <c r="BJ332" s="64"/>
      <c r="BK332" s="64"/>
      <c r="BL332" s="64"/>
      <c r="BM332" s="64"/>
      <c r="BN332" s="64"/>
    </row>
    <row r="333" ht="30.0" customHeight="1">
      <c r="A333" s="64"/>
      <c r="B333" s="64"/>
      <c r="C333" s="66"/>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75"/>
      <c r="BB333" s="64"/>
      <c r="BC333" s="64"/>
      <c r="BD333" s="66"/>
      <c r="BE333" s="64"/>
      <c r="BF333" s="64"/>
      <c r="BG333" s="64"/>
      <c r="BH333" s="64"/>
      <c r="BI333" s="64"/>
      <c r="BJ333" s="64"/>
      <c r="BK333" s="64"/>
      <c r="BL333" s="64"/>
      <c r="BM333" s="64"/>
      <c r="BN333" s="64"/>
    </row>
    <row r="334" ht="30.0" customHeight="1">
      <c r="A334" s="64"/>
      <c r="B334" s="64"/>
      <c r="C334" s="66"/>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75"/>
      <c r="BB334" s="64"/>
      <c r="BC334" s="64"/>
      <c r="BD334" s="66"/>
      <c r="BE334" s="64"/>
      <c r="BF334" s="64"/>
      <c r="BG334" s="64"/>
      <c r="BH334" s="64"/>
      <c r="BI334" s="64"/>
      <c r="BJ334" s="64"/>
      <c r="BK334" s="64"/>
      <c r="BL334" s="64"/>
      <c r="BM334" s="64"/>
      <c r="BN334" s="64"/>
    </row>
    <row r="335" ht="30.0" customHeight="1">
      <c r="A335" s="64"/>
      <c r="B335" s="64"/>
      <c r="C335" s="66"/>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75"/>
      <c r="BB335" s="64"/>
      <c r="BC335" s="64"/>
      <c r="BD335" s="66"/>
      <c r="BE335" s="64"/>
      <c r="BF335" s="64"/>
      <c r="BG335" s="64"/>
      <c r="BH335" s="64"/>
      <c r="BI335" s="64"/>
      <c r="BJ335" s="64"/>
      <c r="BK335" s="64"/>
      <c r="BL335" s="64"/>
      <c r="BM335" s="64"/>
      <c r="BN335" s="64"/>
    </row>
    <row r="336" ht="30.0" customHeight="1">
      <c r="A336" s="64"/>
      <c r="B336" s="64"/>
      <c r="C336" s="66"/>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75"/>
      <c r="BB336" s="64"/>
      <c r="BC336" s="64"/>
      <c r="BD336" s="66"/>
      <c r="BE336" s="64"/>
      <c r="BF336" s="64"/>
      <c r="BG336" s="64"/>
      <c r="BH336" s="64"/>
      <c r="BI336" s="64"/>
      <c r="BJ336" s="64"/>
      <c r="BK336" s="64"/>
      <c r="BL336" s="64"/>
      <c r="BM336" s="64"/>
      <c r="BN336" s="64"/>
    </row>
    <row r="337" ht="30.0" customHeight="1">
      <c r="A337" s="64"/>
      <c r="B337" s="64"/>
      <c r="C337" s="66"/>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75"/>
      <c r="BB337" s="64"/>
      <c r="BC337" s="64"/>
      <c r="BD337" s="66"/>
      <c r="BE337" s="64"/>
      <c r="BF337" s="64"/>
      <c r="BG337" s="64"/>
      <c r="BH337" s="64"/>
      <c r="BI337" s="64"/>
      <c r="BJ337" s="64"/>
      <c r="BK337" s="64"/>
      <c r="BL337" s="64"/>
      <c r="BM337" s="64"/>
      <c r="BN337" s="64"/>
    </row>
    <row r="338" ht="30.0" customHeight="1">
      <c r="A338" s="64"/>
      <c r="B338" s="64"/>
      <c r="C338" s="66"/>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75"/>
      <c r="BB338" s="64"/>
      <c r="BC338" s="64"/>
      <c r="BD338" s="66"/>
      <c r="BE338" s="64"/>
      <c r="BF338" s="64"/>
      <c r="BG338" s="64"/>
      <c r="BH338" s="64"/>
      <c r="BI338" s="64"/>
      <c r="BJ338" s="64"/>
      <c r="BK338" s="64"/>
      <c r="BL338" s="64"/>
      <c r="BM338" s="64"/>
      <c r="BN338" s="64"/>
    </row>
    <row r="339" ht="30.0" customHeight="1">
      <c r="A339" s="64"/>
      <c r="B339" s="64"/>
      <c r="C339" s="66"/>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75"/>
      <c r="BB339" s="64"/>
      <c r="BC339" s="64"/>
      <c r="BD339" s="66"/>
      <c r="BE339" s="64"/>
      <c r="BF339" s="64"/>
      <c r="BG339" s="64"/>
      <c r="BH339" s="64"/>
      <c r="BI339" s="64"/>
      <c r="BJ339" s="64"/>
      <c r="BK339" s="64"/>
      <c r="BL339" s="64"/>
      <c r="BM339" s="64"/>
      <c r="BN339" s="64"/>
    </row>
    <row r="340" ht="30.0" customHeight="1">
      <c r="A340" s="64"/>
      <c r="B340" s="64"/>
      <c r="C340" s="66"/>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75"/>
      <c r="BB340" s="64"/>
      <c r="BC340" s="64"/>
      <c r="BD340" s="66"/>
      <c r="BE340" s="64"/>
      <c r="BF340" s="64"/>
      <c r="BG340" s="64"/>
      <c r="BH340" s="64"/>
      <c r="BI340" s="64"/>
      <c r="BJ340" s="64"/>
      <c r="BK340" s="64"/>
      <c r="BL340" s="64"/>
      <c r="BM340" s="64"/>
      <c r="BN340" s="64"/>
    </row>
    <row r="341" ht="30.0" customHeight="1">
      <c r="A341" s="64"/>
      <c r="B341" s="64"/>
      <c r="C341" s="66"/>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75"/>
      <c r="BB341" s="64"/>
      <c r="BC341" s="64"/>
      <c r="BD341" s="66"/>
      <c r="BE341" s="64"/>
      <c r="BF341" s="64"/>
      <c r="BG341" s="64"/>
      <c r="BH341" s="64"/>
      <c r="BI341" s="64"/>
      <c r="BJ341" s="64"/>
      <c r="BK341" s="64"/>
      <c r="BL341" s="64"/>
      <c r="BM341" s="64"/>
      <c r="BN341" s="64"/>
    </row>
    <row r="342" ht="30.0" customHeight="1">
      <c r="A342" s="64"/>
      <c r="B342" s="64"/>
      <c r="C342" s="66"/>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75"/>
      <c r="BB342" s="64"/>
      <c r="BC342" s="64"/>
      <c r="BD342" s="66"/>
      <c r="BE342" s="64"/>
      <c r="BF342" s="64"/>
      <c r="BG342" s="64"/>
      <c r="BH342" s="64"/>
      <c r="BI342" s="64"/>
      <c r="BJ342" s="64"/>
      <c r="BK342" s="64"/>
      <c r="BL342" s="64"/>
      <c r="BM342" s="64"/>
      <c r="BN342" s="64"/>
    </row>
    <row r="343" ht="30.0" customHeight="1">
      <c r="A343" s="64"/>
      <c r="B343" s="64"/>
      <c r="C343" s="66"/>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75"/>
      <c r="BB343" s="64"/>
      <c r="BC343" s="64"/>
      <c r="BD343" s="66"/>
      <c r="BE343" s="64"/>
      <c r="BF343" s="64"/>
      <c r="BG343" s="64"/>
      <c r="BH343" s="64"/>
      <c r="BI343" s="64"/>
      <c r="BJ343" s="64"/>
      <c r="BK343" s="64"/>
      <c r="BL343" s="64"/>
      <c r="BM343" s="64"/>
      <c r="BN343" s="64"/>
    </row>
    <row r="344" ht="30.0" customHeight="1">
      <c r="A344" s="64"/>
      <c r="B344" s="64"/>
      <c r="C344" s="66"/>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75"/>
      <c r="BB344" s="64"/>
      <c r="BC344" s="64"/>
      <c r="BD344" s="66"/>
      <c r="BE344" s="64"/>
      <c r="BF344" s="64"/>
      <c r="BG344" s="64"/>
      <c r="BH344" s="64"/>
      <c r="BI344" s="64"/>
      <c r="BJ344" s="64"/>
      <c r="BK344" s="64"/>
      <c r="BL344" s="64"/>
      <c r="BM344" s="64"/>
      <c r="BN344" s="64"/>
    </row>
    <row r="345" ht="30.0" customHeight="1">
      <c r="A345" s="64"/>
      <c r="B345" s="64"/>
      <c r="C345" s="66"/>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75"/>
      <c r="BB345" s="64"/>
      <c r="BC345" s="64"/>
      <c r="BD345" s="66"/>
      <c r="BE345" s="64"/>
      <c r="BF345" s="64"/>
      <c r="BG345" s="64"/>
      <c r="BH345" s="64"/>
      <c r="BI345" s="64"/>
      <c r="BJ345" s="64"/>
      <c r="BK345" s="64"/>
      <c r="BL345" s="64"/>
      <c r="BM345" s="64"/>
      <c r="BN345" s="64"/>
    </row>
    <row r="346" ht="30.0" customHeight="1">
      <c r="A346" s="64"/>
      <c r="B346" s="64"/>
      <c r="C346" s="66"/>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75"/>
      <c r="BB346" s="64"/>
      <c r="BC346" s="64"/>
      <c r="BD346" s="66"/>
      <c r="BE346" s="64"/>
      <c r="BF346" s="64"/>
      <c r="BG346" s="64"/>
      <c r="BH346" s="64"/>
      <c r="BI346" s="64"/>
      <c r="BJ346" s="64"/>
      <c r="BK346" s="64"/>
      <c r="BL346" s="64"/>
      <c r="BM346" s="64"/>
      <c r="BN346" s="64"/>
    </row>
    <row r="347" ht="30.0" customHeight="1">
      <c r="A347" s="64"/>
      <c r="B347" s="64"/>
      <c r="C347" s="66"/>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75"/>
      <c r="BB347" s="64"/>
      <c r="BC347" s="64"/>
      <c r="BD347" s="66"/>
      <c r="BE347" s="64"/>
      <c r="BF347" s="64"/>
      <c r="BG347" s="64"/>
      <c r="BH347" s="64"/>
      <c r="BI347" s="64"/>
      <c r="BJ347" s="64"/>
      <c r="BK347" s="64"/>
      <c r="BL347" s="64"/>
      <c r="BM347" s="64"/>
      <c r="BN347" s="64"/>
    </row>
    <row r="348" ht="30.0" customHeight="1">
      <c r="A348" s="64"/>
      <c r="B348" s="64"/>
      <c r="C348" s="66"/>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75"/>
      <c r="BB348" s="64"/>
      <c r="BC348" s="64"/>
      <c r="BD348" s="66"/>
      <c r="BE348" s="64"/>
      <c r="BF348" s="64"/>
      <c r="BG348" s="64"/>
      <c r="BH348" s="64"/>
      <c r="BI348" s="64"/>
      <c r="BJ348" s="64"/>
      <c r="BK348" s="64"/>
      <c r="BL348" s="64"/>
      <c r="BM348" s="64"/>
      <c r="BN348" s="64"/>
    </row>
    <row r="349" ht="30.0" customHeight="1">
      <c r="A349" s="64"/>
      <c r="B349" s="64"/>
      <c r="C349" s="66"/>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75"/>
      <c r="BB349" s="64"/>
      <c r="BC349" s="64"/>
      <c r="BD349" s="66"/>
      <c r="BE349" s="64"/>
      <c r="BF349" s="64"/>
      <c r="BG349" s="64"/>
      <c r="BH349" s="64"/>
      <c r="BI349" s="64"/>
      <c r="BJ349" s="64"/>
      <c r="BK349" s="64"/>
      <c r="BL349" s="64"/>
      <c r="BM349" s="64"/>
      <c r="BN349" s="64"/>
    </row>
    <row r="350" ht="30.0" customHeight="1">
      <c r="A350" s="64"/>
      <c r="B350" s="64"/>
      <c r="C350" s="66"/>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75"/>
      <c r="BB350" s="64"/>
      <c r="BC350" s="64"/>
      <c r="BD350" s="66"/>
      <c r="BE350" s="64"/>
      <c r="BF350" s="64"/>
      <c r="BG350" s="64"/>
      <c r="BH350" s="64"/>
      <c r="BI350" s="64"/>
      <c r="BJ350" s="64"/>
      <c r="BK350" s="64"/>
      <c r="BL350" s="64"/>
      <c r="BM350" s="64"/>
      <c r="BN350" s="64"/>
    </row>
    <row r="351" ht="30.0" customHeight="1">
      <c r="A351" s="64"/>
      <c r="B351" s="64"/>
      <c r="C351" s="66"/>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75"/>
      <c r="BB351" s="64"/>
      <c r="BC351" s="64"/>
      <c r="BD351" s="66"/>
      <c r="BE351" s="64"/>
      <c r="BF351" s="64"/>
      <c r="BG351" s="64"/>
      <c r="BH351" s="64"/>
      <c r="BI351" s="64"/>
      <c r="BJ351" s="64"/>
      <c r="BK351" s="64"/>
      <c r="BL351" s="64"/>
      <c r="BM351" s="64"/>
      <c r="BN351" s="64"/>
    </row>
    <row r="352" ht="30.0" customHeight="1">
      <c r="A352" s="64"/>
      <c r="B352" s="64"/>
      <c r="C352" s="66"/>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75"/>
      <c r="BB352" s="64"/>
      <c r="BC352" s="64"/>
      <c r="BD352" s="66"/>
      <c r="BE352" s="64"/>
      <c r="BF352" s="64"/>
      <c r="BG352" s="64"/>
      <c r="BH352" s="64"/>
      <c r="BI352" s="64"/>
      <c r="BJ352" s="64"/>
      <c r="BK352" s="64"/>
      <c r="BL352" s="64"/>
      <c r="BM352" s="64"/>
      <c r="BN352" s="64"/>
    </row>
    <row r="353" ht="30.0" customHeight="1">
      <c r="A353" s="64"/>
      <c r="B353" s="64"/>
      <c r="C353" s="66"/>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75"/>
      <c r="BB353" s="64"/>
      <c r="BC353" s="64"/>
      <c r="BD353" s="66"/>
      <c r="BE353" s="64"/>
      <c r="BF353" s="64"/>
      <c r="BG353" s="64"/>
      <c r="BH353" s="64"/>
      <c r="BI353" s="64"/>
      <c r="BJ353" s="64"/>
      <c r="BK353" s="64"/>
      <c r="BL353" s="64"/>
      <c r="BM353" s="64"/>
      <c r="BN353" s="64"/>
    </row>
    <row r="354" ht="30.0" customHeight="1">
      <c r="A354" s="64"/>
      <c r="B354" s="64"/>
      <c r="C354" s="66"/>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75"/>
      <c r="BB354" s="64"/>
      <c r="BC354" s="64"/>
      <c r="BD354" s="66"/>
      <c r="BE354" s="64"/>
      <c r="BF354" s="64"/>
      <c r="BG354" s="64"/>
      <c r="BH354" s="64"/>
      <c r="BI354" s="64"/>
      <c r="BJ354" s="64"/>
      <c r="BK354" s="64"/>
      <c r="BL354" s="64"/>
      <c r="BM354" s="64"/>
      <c r="BN354" s="64"/>
    </row>
    <row r="355" ht="30.0" customHeight="1">
      <c r="A355" s="64"/>
      <c r="B355" s="64"/>
      <c r="C355" s="66"/>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75"/>
      <c r="BB355" s="64"/>
      <c r="BC355" s="64"/>
      <c r="BD355" s="66"/>
      <c r="BE355" s="64"/>
      <c r="BF355" s="64"/>
      <c r="BG355" s="64"/>
      <c r="BH355" s="64"/>
      <c r="BI355" s="64"/>
      <c r="BJ355" s="64"/>
      <c r="BK355" s="64"/>
      <c r="BL355" s="64"/>
      <c r="BM355" s="64"/>
      <c r="BN355" s="64"/>
    </row>
    <row r="356" ht="30.0" customHeight="1">
      <c r="A356" s="64"/>
      <c r="B356" s="64"/>
      <c r="C356" s="66"/>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75"/>
      <c r="BB356" s="64"/>
      <c r="BC356" s="64"/>
      <c r="BD356" s="66"/>
      <c r="BE356" s="64"/>
      <c r="BF356" s="64"/>
      <c r="BG356" s="64"/>
      <c r="BH356" s="64"/>
      <c r="BI356" s="64"/>
      <c r="BJ356" s="64"/>
      <c r="BK356" s="64"/>
      <c r="BL356" s="64"/>
      <c r="BM356" s="64"/>
      <c r="BN356" s="64"/>
    </row>
    <row r="357" ht="30.0" customHeight="1">
      <c r="A357" s="64"/>
      <c r="B357" s="64"/>
      <c r="C357" s="66"/>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75"/>
      <c r="BB357" s="64"/>
      <c r="BC357" s="64"/>
      <c r="BD357" s="66"/>
      <c r="BE357" s="64"/>
      <c r="BF357" s="64"/>
      <c r="BG357" s="64"/>
      <c r="BH357" s="64"/>
      <c r="BI357" s="64"/>
      <c r="BJ357" s="64"/>
      <c r="BK357" s="64"/>
      <c r="BL357" s="64"/>
      <c r="BM357" s="64"/>
      <c r="BN357" s="64"/>
    </row>
    <row r="358" ht="30.0" customHeight="1">
      <c r="A358" s="64"/>
      <c r="B358" s="64"/>
      <c r="C358" s="66"/>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75"/>
      <c r="BB358" s="64"/>
      <c r="BC358" s="64"/>
      <c r="BD358" s="66"/>
      <c r="BE358" s="64"/>
      <c r="BF358" s="64"/>
      <c r="BG358" s="64"/>
      <c r="BH358" s="64"/>
      <c r="BI358" s="64"/>
      <c r="BJ358" s="64"/>
      <c r="BK358" s="64"/>
      <c r="BL358" s="64"/>
      <c r="BM358" s="64"/>
      <c r="BN358" s="64"/>
    </row>
    <row r="359" ht="30.0" customHeight="1">
      <c r="A359" s="64"/>
      <c r="B359" s="64"/>
      <c r="C359" s="66"/>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75"/>
      <c r="BB359" s="64"/>
      <c r="BC359" s="64"/>
      <c r="BD359" s="66"/>
      <c r="BE359" s="64"/>
      <c r="BF359" s="64"/>
      <c r="BG359" s="64"/>
      <c r="BH359" s="64"/>
      <c r="BI359" s="64"/>
      <c r="BJ359" s="64"/>
      <c r="BK359" s="64"/>
      <c r="BL359" s="64"/>
      <c r="BM359" s="64"/>
      <c r="BN359" s="64"/>
    </row>
    <row r="360" ht="30.0" customHeight="1">
      <c r="A360" s="64"/>
      <c r="B360" s="64"/>
      <c r="C360" s="66"/>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75"/>
      <c r="BB360" s="64"/>
      <c r="BC360" s="64"/>
      <c r="BD360" s="66"/>
      <c r="BE360" s="64"/>
      <c r="BF360" s="64"/>
      <c r="BG360" s="64"/>
      <c r="BH360" s="64"/>
      <c r="BI360" s="64"/>
      <c r="BJ360" s="64"/>
      <c r="BK360" s="64"/>
      <c r="BL360" s="64"/>
      <c r="BM360" s="64"/>
      <c r="BN360" s="64"/>
    </row>
    <row r="361" ht="30.0" customHeight="1">
      <c r="A361" s="64"/>
      <c r="B361" s="64"/>
      <c r="C361" s="66"/>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75"/>
      <c r="BB361" s="64"/>
      <c r="BC361" s="64"/>
      <c r="BD361" s="66"/>
      <c r="BE361" s="64"/>
      <c r="BF361" s="64"/>
      <c r="BG361" s="64"/>
      <c r="BH361" s="64"/>
      <c r="BI361" s="64"/>
      <c r="BJ361" s="64"/>
      <c r="BK361" s="64"/>
      <c r="BL361" s="64"/>
      <c r="BM361" s="64"/>
      <c r="BN361" s="64"/>
    </row>
    <row r="362" ht="30.0" customHeight="1">
      <c r="A362" s="64"/>
      <c r="B362" s="64"/>
      <c r="C362" s="66"/>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75"/>
      <c r="BB362" s="64"/>
      <c r="BC362" s="64"/>
      <c r="BD362" s="66"/>
      <c r="BE362" s="64"/>
      <c r="BF362" s="64"/>
      <c r="BG362" s="64"/>
      <c r="BH362" s="64"/>
      <c r="BI362" s="64"/>
      <c r="BJ362" s="64"/>
      <c r="BK362" s="64"/>
      <c r="BL362" s="64"/>
      <c r="BM362" s="64"/>
      <c r="BN362" s="64"/>
    </row>
    <row r="363" ht="30.0" customHeight="1">
      <c r="A363" s="64"/>
      <c r="B363" s="64"/>
      <c r="C363" s="66"/>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75"/>
      <c r="BB363" s="64"/>
      <c r="BC363" s="64"/>
      <c r="BD363" s="66"/>
      <c r="BE363" s="64"/>
      <c r="BF363" s="64"/>
      <c r="BG363" s="64"/>
      <c r="BH363" s="64"/>
      <c r="BI363" s="64"/>
      <c r="BJ363" s="64"/>
      <c r="BK363" s="64"/>
      <c r="BL363" s="64"/>
      <c r="BM363" s="64"/>
      <c r="BN363" s="64"/>
    </row>
    <row r="364" ht="30.0" customHeight="1">
      <c r="A364" s="64"/>
      <c r="B364" s="64"/>
      <c r="C364" s="66"/>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75"/>
      <c r="BB364" s="64"/>
      <c r="BC364" s="64"/>
      <c r="BD364" s="66"/>
      <c r="BE364" s="64"/>
      <c r="BF364" s="64"/>
      <c r="BG364" s="64"/>
      <c r="BH364" s="64"/>
      <c r="BI364" s="64"/>
      <c r="BJ364" s="64"/>
      <c r="BK364" s="64"/>
      <c r="BL364" s="64"/>
      <c r="BM364" s="64"/>
      <c r="BN364" s="64"/>
    </row>
    <row r="365" ht="30.0" customHeight="1">
      <c r="A365" s="64"/>
      <c r="B365" s="64"/>
      <c r="C365" s="66"/>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75"/>
      <c r="BB365" s="64"/>
      <c r="BC365" s="64"/>
      <c r="BD365" s="66"/>
      <c r="BE365" s="64"/>
      <c r="BF365" s="64"/>
      <c r="BG365" s="64"/>
      <c r="BH365" s="64"/>
      <c r="BI365" s="64"/>
      <c r="BJ365" s="64"/>
      <c r="BK365" s="64"/>
      <c r="BL365" s="64"/>
      <c r="BM365" s="64"/>
      <c r="BN365" s="64"/>
    </row>
    <row r="366" ht="30.0" customHeight="1">
      <c r="A366" s="64"/>
      <c r="B366" s="64"/>
      <c r="C366" s="66"/>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75"/>
      <c r="BB366" s="64"/>
      <c r="BC366" s="64"/>
      <c r="BD366" s="66"/>
      <c r="BE366" s="64"/>
      <c r="BF366" s="64"/>
      <c r="BG366" s="64"/>
      <c r="BH366" s="64"/>
      <c r="BI366" s="64"/>
      <c r="BJ366" s="64"/>
      <c r="BK366" s="64"/>
      <c r="BL366" s="64"/>
      <c r="BM366" s="64"/>
      <c r="BN366" s="64"/>
    </row>
    <row r="367" ht="30.0" customHeight="1">
      <c r="A367" s="64"/>
      <c r="B367" s="64"/>
      <c r="C367" s="66"/>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75"/>
      <c r="BB367" s="64"/>
      <c r="BC367" s="64"/>
      <c r="BD367" s="66"/>
      <c r="BE367" s="64"/>
      <c r="BF367" s="64"/>
      <c r="BG367" s="64"/>
      <c r="BH367" s="64"/>
      <c r="BI367" s="64"/>
      <c r="BJ367" s="64"/>
      <c r="BK367" s="64"/>
      <c r="BL367" s="64"/>
      <c r="BM367" s="64"/>
      <c r="BN367" s="64"/>
    </row>
    <row r="368" ht="30.0" customHeight="1">
      <c r="A368" s="64"/>
      <c r="B368" s="64"/>
      <c r="C368" s="66"/>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75"/>
      <c r="BB368" s="64"/>
      <c r="BC368" s="64"/>
      <c r="BD368" s="66"/>
      <c r="BE368" s="64"/>
      <c r="BF368" s="64"/>
      <c r="BG368" s="64"/>
      <c r="BH368" s="64"/>
      <c r="BI368" s="64"/>
      <c r="BJ368" s="64"/>
      <c r="BK368" s="64"/>
      <c r="BL368" s="64"/>
      <c r="BM368" s="64"/>
      <c r="BN368" s="64"/>
    </row>
    <row r="369" ht="30.0" customHeight="1">
      <c r="A369" s="64"/>
      <c r="B369" s="64"/>
      <c r="C369" s="66"/>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75"/>
      <c r="BB369" s="64"/>
      <c r="BC369" s="64"/>
      <c r="BD369" s="66"/>
      <c r="BE369" s="64"/>
      <c r="BF369" s="64"/>
      <c r="BG369" s="64"/>
      <c r="BH369" s="64"/>
      <c r="BI369" s="64"/>
      <c r="BJ369" s="64"/>
      <c r="BK369" s="64"/>
      <c r="BL369" s="64"/>
      <c r="BM369" s="64"/>
      <c r="BN369" s="64"/>
    </row>
    <row r="370" ht="30.0" customHeight="1">
      <c r="A370" s="64"/>
      <c r="B370" s="64"/>
      <c r="C370" s="66"/>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75"/>
      <c r="BB370" s="64"/>
      <c r="BC370" s="64"/>
      <c r="BD370" s="66"/>
      <c r="BE370" s="64"/>
      <c r="BF370" s="64"/>
      <c r="BG370" s="64"/>
      <c r="BH370" s="64"/>
      <c r="BI370" s="64"/>
      <c r="BJ370" s="64"/>
      <c r="BK370" s="64"/>
      <c r="BL370" s="64"/>
      <c r="BM370" s="64"/>
      <c r="BN370" s="64"/>
    </row>
    <row r="371" ht="30.0" customHeight="1">
      <c r="A371" s="64"/>
      <c r="B371" s="64"/>
      <c r="C371" s="66"/>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75"/>
      <c r="BB371" s="64"/>
      <c r="BC371" s="64"/>
      <c r="BD371" s="66"/>
      <c r="BE371" s="64"/>
      <c r="BF371" s="64"/>
      <c r="BG371" s="64"/>
      <c r="BH371" s="64"/>
      <c r="BI371" s="64"/>
      <c r="BJ371" s="64"/>
      <c r="BK371" s="64"/>
      <c r="BL371" s="64"/>
      <c r="BM371" s="64"/>
      <c r="BN371" s="64"/>
    </row>
    <row r="372" ht="30.0" customHeight="1">
      <c r="A372" s="64"/>
      <c r="B372" s="64"/>
      <c r="C372" s="66"/>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75"/>
      <c r="BB372" s="64"/>
      <c r="BC372" s="64"/>
      <c r="BD372" s="66"/>
      <c r="BE372" s="64"/>
      <c r="BF372" s="64"/>
      <c r="BG372" s="64"/>
      <c r="BH372" s="64"/>
      <c r="BI372" s="64"/>
      <c r="BJ372" s="64"/>
      <c r="BK372" s="64"/>
      <c r="BL372" s="64"/>
      <c r="BM372" s="64"/>
      <c r="BN372" s="64"/>
    </row>
    <row r="373" ht="30.0" customHeight="1">
      <c r="A373" s="64"/>
      <c r="B373" s="64"/>
      <c r="C373" s="66"/>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75"/>
      <c r="BB373" s="64"/>
      <c r="BC373" s="64"/>
      <c r="BD373" s="66"/>
      <c r="BE373" s="64"/>
      <c r="BF373" s="64"/>
      <c r="BG373" s="64"/>
      <c r="BH373" s="64"/>
      <c r="BI373" s="64"/>
      <c r="BJ373" s="64"/>
      <c r="BK373" s="64"/>
      <c r="BL373" s="64"/>
      <c r="BM373" s="64"/>
      <c r="BN373" s="64"/>
    </row>
    <row r="374" ht="30.0" customHeight="1">
      <c r="A374" s="64"/>
      <c r="B374" s="64"/>
      <c r="C374" s="66"/>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75"/>
      <c r="BB374" s="64"/>
      <c r="BC374" s="64"/>
      <c r="BD374" s="66"/>
      <c r="BE374" s="64"/>
      <c r="BF374" s="64"/>
      <c r="BG374" s="64"/>
      <c r="BH374" s="64"/>
      <c r="BI374" s="64"/>
      <c r="BJ374" s="64"/>
      <c r="BK374" s="64"/>
      <c r="BL374" s="64"/>
      <c r="BM374" s="64"/>
      <c r="BN374" s="64"/>
    </row>
    <row r="375" ht="30.0" customHeight="1">
      <c r="A375" s="64"/>
      <c r="B375" s="64"/>
      <c r="C375" s="66"/>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75"/>
      <c r="BB375" s="64"/>
      <c r="BC375" s="64"/>
      <c r="BD375" s="66"/>
      <c r="BE375" s="64"/>
      <c r="BF375" s="64"/>
      <c r="BG375" s="64"/>
      <c r="BH375" s="64"/>
      <c r="BI375" s="64"/>
      <c r="BJ375" s="64"/>
      <c r="BK375" s="64"/>
      <c r="BL375" s="64"/>
      <c r="BM375" s="64"/>
      <c r="BN375" s="64"/>
    </row>
    <row r="376" ht="30.0" customHeight="1">
      <c r="A376" s="64"/>
      <c r="B376" s="64"/>
      <c r="C376" s="66"/>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75"/>
      <c r="BB376" s="64"/>
      <c r="BC376" s="64"/>
      <c r="BD376" s="66"/>
      <c r="BE376" s="64"/>
      <c r="BF376" s="64"/>
      <c r="BG376" s="64"/>
      <c r="BH376" s="64"/>
      <c r="BI376" s="64"/>
      <c r="BJ376" s="64"/>
      <c r="BK376" s="64"/>
      <c r="BL376" s="64"/>
      <c r="BM376" s="64"/>
      <c r="BN376" s="64"/>
    </row>
    <row r="377" ht="30.0" customHeight="1">
      <c r="A377" s="64"/>
      <c r="B377" s="64"/>
      <c r="C377" s="66"/>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75"/>
      <c r="BB377" s="64"/>
      <c r="BC377" s="64"/>
      <c r="BD377" s="66"/>
      <c r="BE377" s="64"/>
      <c r="BF377" s="64"/>
      <c r="BG377" s="64"/>
      <c r="BH377" s="64"/>
      <c r="BI377" s="64"/>
      <c r="BJ377" s="64"/>
      <c r="BK377" s="64"/>
      <c r="BL377" s="64"/>
      <c r="BM377" s="64"/>
      <c r="BN377" s="64"/>
    </row>
    <row r="378" ht="30.0" customHeight="1">
      <c r="A378" s="64"/>
      <c r="B378" s="64"/>
      <c r="C378" s="66"/>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75"/>
      <c r="BB378" s="64"/>
      <c r="BC378" s="64"/>
      <c r="BD378" s="66"/>
      <c r="BE378" s="64"/>
      <c r="BF378" s="64"/>
      <c r="BG378" s="64"/>
      <c r="BH378" s="64"/>
      <c r="BI378" s="64"/>
      <c r="BJ378" s="64"/>
      <c r="BK378" s="64"/>
      <c r="BL378" s="64"/>
      <c r="BM378" s="64"/>
      <c r="BN378" s="64"/>
    </row>
    <row r="379" ht="30.0" customHeight="1">
      <c r="A379" s="64"/>
      <c r="B379" s="64"/>
      <c r="C379" s="66"/>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75"/>
      <c r="BB379" s="64"/>
      <c r="BC379" s="64"/>
      <c r="BD379" s="66"/>
      <c r="BE379" s="64"/>
      <c r="BF379" s="64"/>
      <c r="BG379" s="64"/>
      <c r="BH379" s="64"/>
      <c r="BI379" s="64"/>
      <c r="BJ379" s="64"/>
      <c r="BK379" s="64"/>
      <c r="BL379" s="64"/>
      <c r="BM379" s="64"/>
      <c r="BN379" s="64"/>
    </row>
    <row r="380" ht="30.0" customHeight="1">
      <c r="A380" s="64"/>
      <c r="B380" s="64"/>
      <c r="C380" s="66"/>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75"/>
      <c r="BB380" s="64"/>
      <c r="BC380" s="64"/>
      <c r="BD380" s="66"/>
      <c r="BE380" s="64"/>
      <c r="BF380" s="64"/>
      <c r="BG380" s="64"/>
      <c r="BH380" s="64"/>
      <c r="BI380" s="64"/>
      <c r="BJ380" s="64"/>
      <c r="BK380" s="64"/>
      <c r="BL380" s="64"/>
      <c r="BM380" s="64"/>
      <c r="BN380" s="64"/>
    </row>
    <row r="381" ht="30.0" customHeight="1">
      <c r="A381" s="64"/>
      <c r="B381" s="64"/>
      <c r="C381" s="66"/>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75"/>
      <c r="BB381" s="64"/>
      <c r="BC381" s="64"/>
      <c r="BD381" s="66"/>
      <c r="BE381" s="64"/>
      <c r="BF381" s="64"/>
      <c r="BG381" s="64"/>
      <c r="BH381" s="64"/>
      <c r="BI381" s="64"/>
      <c r="BJ381" s="64"/>
      <c r="BK381" s="64"/>
      <c r="BL381" s="64"/>
      <c r="BM381" s="64"/>
      <c r="BN381" s="64"/>
    </row>
    <row r="382" ht="30.0" customHeight="1">
      <c r="A382" s="64"/>
      <c r="B382" s="64"/>
      <c r="C382" s="66"/>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75"/>
      <c r="BB382" s="64"/>
      <c r="BC382" s="64"/>
      <c r="BD382" s="66"/>
      <c r="BE382" s="64"/>
      <c r="BF382" s="64"/>
      <c r="BG382" s="64"/>
      <c r="BH382" s="64"/>
      <c r="BI382" s="64"/>
      <c r="BJ382" s="64"/>
      <c r="BK382" s="64"/>
      <c r="BL382" s="64"/>
      <c r="BM382" s="64"/>
      <c r="BN382" s="64"/>
    </row>
    <row r="383" ht="30.0" customHeight="1">
      <c r="A383" s="64"/>
      <c r="B383" s="64"/>
      <c r="C383" s="66"/>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75"/>
      <c r="BB383" s="64"/>
      <c r="BC383" s="64"/>
      <c r="BD383" s="66"/>
      <c r="BE383" s="64"/>
      <c r="BF383" s="64"/>
      <c r="BG383" s="64"/>
      <c r="BH383" s="64"/>
      <c r="BI383" s="64"/>
      <c r="BJ383" s="64"/>
      <c r="BK383" s="64"/>
      <c r="BL383" s="64"/>
      <c r="BM383" s="64"/>
      <c r="BN383" s="64"/>
    </row>
    <row r="384" ht="30.0" customHeight="1">
      <c r="A384" s="64"/>
      <c r="B384" s="64"/>
      <c r="C384" s="66"/>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75"/>
      <c r="BB384" s="64"/>
      <c r="BC384" s="64"/>
      <c r="BD384" s="66"/>
      <c r="BE384" s="64"/>
      <c r="BF384" s="64"/>
      <c r="BG384" s="64"/>
      <c r="BH384" s="64"/>
      <c r="BI384" s="64"/>
      <c r="BJ384" s="64"/>
      <c r="BK384" s="64"/>
      <c r="BL384" s="64"/>
      <c r="BM384" s="64"/>
      <c r="BN384" s="64"/>
    </row>
    <row r="385" ht="30.0" customHeight="1">
      <c r="A385" s="64"/>
      <c r="B385" s="64"/>
      <c r="C385" s="66"/>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75"/>
      <c r="BB385" s="64"/>
      <c r="BC385" s="64"/>
      <c r="BD385" s="66"/>
      <c r="BE385" s="64"/>
      <c r="BF385" s="64"/>
      <c r="BG385" s="64"/>
      <c r="BH385" s="64"/>
      <c r="BI385" s="64"/>
      <c r="BJ385" s="64"/>
      <c r="BK385" s="64"/>
      <c r="BL385" s="64"/>
      <c r="BM385" s="64"/>
      <c r="BN385" s="64"/>
    </row>
    <row r="386" ht="30.0" customHeight="1">
      <c r="A386" s="64"/>
      <c r="B386" s="64"/>
      <c r="C386" s="66"/>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75"/>
      <c r="BB386" s="64"/>
      <c r="BC386" s="64"/>
      <c r="BD386" s="66"/>
      <c r="BE386" s="64"/>
      <c r="BF386" s="64"/>
      <c r="BG386" s="64"/>
      <c r="BH386" s="64"/>
      <c r="BI386" s="64"/>
      <c r="BJ386" s="64"/>
      <c r="BK386" s="64"/>
      <c r="BL386" s="64"/>
      <c r="BM386" s="64"/>
      <c r="BN386" s="64"/>
    </row>
    <row r="387" ht="30.0" customHeight="1">
      <c r="A387" s="64"/>
      <c r="B387" s="64"/>
      <c r="C387" s="66"/>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75"/>
      <c r="BB387" s="64"/>
      <c r="BC387" s="64"/>
      <c r="BD387" s="66"/>
      <c r="BE387" s="64"/>
      <c r="BF387" s="64"/>
      <c r="BG387" s="64"/>
      <c r="BH387" s="64"/>
      <c r="BI387" s="64"/>
      <c r="BJ387" s="64"/>
      <c r="BK387" s="64"/>
      <c r="BL387" s="64"/>
      <c r="BM387" s="64"/>
      <c r="BN387" s="64"/>
    </row>
    <row r="388" ht="30.0" customHeight="1">
      <c r="A388" s="64"/>
      <c r="B388" s="64"/>
      <c r="C388" s="66"/>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75"/>
      <c r="BB388" s="64"/>
      <c r="BC388" s="64"/>
      <c r="BD388" s="66"/>
      <c r="BE388" s="64"/>
      <c r="BF388" s="64"/>
      <c r="BG388" s="64"/>
      <c r="BH388" s="64"/>
      <c r="BI388" s="64"/>
      <c r="BJ388" s="64"/>
      <c r="BK388" s="64"/>
      <c r="BL388" s="64"/>
      <c r="BM388" s="64"/>
      <c r="BN388" s="64"/>
    </row>
    <row r="389" ht="30.0" customHeight="1">
      <c r="A389" s="64"/>
      <c r="B389" s="64"/>
      <c r="C389" s="66"/>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75"/>
      <c r="BB389" s="64"/>
      <c r="BC389" s="64"/>
      <c r="BD389" s="66"/>
      <c r="BE389" s="64"/>
      <c r="BF389" s="64"/>
      <c r="BG389" s="64"/>
      <c r="BH389" s="64"/>
      <c r="BI389" s="64"/>
      <c r="BJ389" s="64"/>
      <c r="BK389" s="64"/>
      <c r="BL389" s="64"/>
      <c r="BM389" s="64"/>
      <c r="BN389" s="64"/>
    </row>
    <row r="390" ht="30.0" customHeight="1">
      <c r="A390" s="64"/>
      <c r="B390" s="64"/>
      <c r="C390" s="66"/>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75"/>
      <c r="BB390" s="64"/>
      <c r="BC390" s="64"/>
      <c r="BD390" s="66"/>
      <c r="BE390" s="64"/>
      <c r="BF390" s="64"/>
      <c r="BG390" s="64"/>
      <c r="BH390" s="64"/>
      <c r="BI390" s="64"/>
      <c r="BJ390" s="64"/>
      <c r="BK390" s="64"/>
      <c r="BL390" s="64"/>
      <c r="BM390" s="64"/>
      <c r="BN390" s="64"/>
    </row>
    <row r="391" ht="30.0" customHeight="1">
      <c r="A391" s="64"/>
      <c r="B391" s="64"/>
      <c r="C391" s="66"/>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75"/>
      <c r="BB391" s="64"/>
      <c r="BC391" s="64"/>
      <c r="BD391" s="66"/>
      <c r="BE391" s="64"/>
      <c r="BF391" s="64"/>
      <c r="BG391" s="64"/>
      <c r="BH391" s="64"/>
      <c r="BI391" s="64"/>
      <c r="BJ391" s="64"/>
      <c r="BK391" s="64"/>
      <c r="BL391" s="64"/>
      <c r="BM391" s="64"/>
      <c r="BN391" s="64"/>
    </row>
    <row r="392" ht="30.0" customHeight="1">
      <c r="A392" s="64"/>
      <c r="B392" s="64"/>
      <c r="C392" s="66"/>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75"/>
      <c r="BB392" s="64"/>
      <c r="BC392" s="64"/>
      <c r="BD392" s="66"/>
      <c r="BE392" s="64"/>
      <c r="BF392" s="64"/>
      <c r="BG392" s="64"/>
      <c r="BH392" s="64"/>
      <c r="BI392" s="64"/>
      <c r="BJ392" s="64"/>
      <c r="BK392" s="64"/>
      <c r="BL392" s="64"/>
      <c r="BM392" s="64"/>
      <c r="BN392" s="64"/>
    </row>
    <row r="393" ht="30.0" customHeight="1">
      <c r="A393" s="64"/>
      <c r="B393" s="64"/>
      <c r="C393" s="66"/>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75"/>
      <c r="BB393" s="64"/>
      <c r="BC393" s="64"/>
      <c r="BD393" s="66"/>
      <c r="BE393" s="64"/>
      <c r="BF393" s="64"/>
      <c r="BG393" s="64"/>
      <c r="BH393" s="64"/>
      <c r="BI393" s="64"/>
      <c r="BJ393" s="64"/>
      <c r="BK393" s="64"/>
      <c r="BL393" s="64"/>
      <c r="BM393" s="64"/>
      <c r="BN393" s="64"/>
    </row>
    <row r="394" ht="30.0" customHeight="1">
      <c r="A394" s="64"/>
      <c r="B394" s="64"/>
      <c r="C394" s="66"/>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75"/>
      <c r="BB394" s="64"/>
      <c r="BC394" s="64"/>
      <c r="BD394" s="66"/>
      <c r="BE394" s="64"/>
      <c r="BF394" s="64"/>
      <c r="BG394" s="64"/>
      <c r="BH394" s="64"/>
      <c r="BI394" s="64"/>
      <c r="BJ394" s="64"/>
      <c r="BK394" s="64"/>
      <c r="BL394" s="64"/>
      <c r="BM394" s="64"/>
      <c r="BN394" s="64"/>
    </row>
    <row r="395" ht="30.0" customHeight="1">
      <c r="A395" s="64"/>
      <c r="B395" s="64"/>
      <c r="C395" s="66"/>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75"/>
      <c r="BB395" s="64"/>
      <c r="BC395" s="64"/>
      <c r="BD395" s="66"/>
      <c r="BE395" s="64"/>
      <c r="BF395" s="64"/>
      <c r="BG395" s="64"/>
      <c r="BH395" s="64"/>
      <c r="BI395" s="64"/>
      <c r="BJ395" s="64"/>
      <c r="BK395" s="64"/>
      <c r="BL395" s="64"/>
      <c r="BM395" s="64"/>
      <c r="BN395" s="64"/>
    </row>
    <row r="396" ht="30.0" customHeight="1">
      <c r="A396" s="64"/>
      <c r="B396" s="64"/>
      <c r="C396" s="66"/>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75"/>
      <c r="BB396" s="64"/>
      <c r="BC396" s="64"/>
      <c r="BD396" s="66"/>
      <c r="BE396" s="64"/>
      <c r="BF396" s="64"/>
      <c r="BG396" s="64"/>
      <c r="BH396" s="64"/>
      <c r="BI396" s="64"/>
      <c r="BJ396" s="64"/>
      <c r="BK396" s="64"/>
      <c r="BL396" s="64"/>
      <c r="BM396" s="64"/>
      <c r="BN396" s="64"/>
    </row>
    <row r="397" ht="30.0" customHeight="1">
      <c r="A397" s="64"/>
      <c r="B397" s="64"/>
      <c r="C397" s="66"/>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75"/>
      <c r="BB397" s="64"/>
      <c r="BC397" s="64"/>
      <c r="BD397" s="66"/>
      <c r="BE397" s="64"/>
      <c r="BF397" s="64"/>
      <c r="BG397" s="64"/>
      <c r="BH397" s="64"/>
      <c r="BI397" s="64"/>
      <c r="BJ397" s="64"/>
      <c r="BK397" s="64"/>
      <c r="BL397" s="64"/>
      <c r="BM397" s="64"/>
      <c r="BN397" s="64"/>
    </row>
    <row r="398" ht="30.0" customHeight="1">
      <c r="A398" s="64"/>
      <c r="B398" s="64"/>
      <c r="C398" s="66"/>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75"/>
      <c r="BB398" s="64"/>
      <c r="BC398" s="64"/>
      <c r="BD398" s="66"/>
      <c r="BE398" s="64"/>
      <c r="BF398" s="64"/>
      <c r="BG398" s="64"/>
      <c r="BH398" s="64"/>
      <c r="BI398" s="64"/>
      <c r="BJ398" s="64"/>
      <c r="BK398" s="64"/>
      <c r="BL398" s="64"/>
      <c r="BM398" s="64"/>
      <c r="BN398" s="64"/>
    </row>
    <row r="399" ht="30.0" customHeight="1">
      <c r="A399" s="64"/>
      <c r="B399" s="64"/>
      <c r="C399" s="66"/>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75"/>
      <c r="BB399" s="64"/>
      <c r="BC399" s="64"/>
      <c r="BD399" s="66"/>
      <c r="BE399" s="64"/>
      <c r="BF399" s="64"/>
      <c r="BG399" s="64"/>
      <c r="BH399" s="64"/>
      <c r="BI399" s="64"/>
      <c r="BJ399" s="64"/>
      <c r="BK399" s="64"/>
      <c r="BL399" s="64"/>
      <c r="BM399" s="64"/>
      <c r="BN399" s="64"/>
    </row>
    <row r="400" ht="30.0" customHeight="1">
      <c r="A400" s="64"/>
      <c r="B400" s="64"/>
      <c r="C400" s="66"/>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75"/>
      <c r="BB400" s="64"/>
      <c r="BC400" s="64"/>
      <c r="BD400" s="66"/>
      <c r="BE400" s="64"/>
      <c r="BF400" s="64"/>
      <c r="BG400" s="64"/>
      <c r="BH400" s="64"/>
      <c r="BI400" s="64"/>
      <c r="BJ400" s="64"/>
      <c r="BK400" s="64"/>
      <c r="BL400" s="64"/>
      <c r="BM400" s="64"/>
      <c r="BN400" s="64"/>
    </row>
    <row r="401" ht="30.0" customHeight="1">
      <c r="A401" s="64"/>
      <c r="B401" s="64"/>
      <c r="C401" s="66"/>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75"/>
      <c r="BB401" s="64"/>
      <c r="BC401" s="64"/>
      <c r="BD401" s="66"/>
      <c r="BE401" s="64"/>
      <c r="BF401" s="64"/>
      <c r="BG401" s="64"/>
      <c r="BH401" s="64"/>
      <c r="BI401" s="64"/>
      <c r="BJ401" s="64"/>
      <c r="BK401" s="64"/>
      <c r="BL401" s="64"/>
      <c r="BM401" s="64"/>
      <c r="BN401" s="64"/>
    </row>
    <row r="402" ht="30.0" customHeight="1">
      <c r="A402" s="64"/>
      <c r="B402" s="64"/>
      <c r="C402" s="66"/>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75"/>
      <c r="BB402" s="64"/>
      <c r="BC402" s="64"/>
      <c r="BD402" s="66"/>
      <c r="BE402" s="64"/>
      <c r="BF402" s="64"/>
      <c r="BG402" s="64"/>
      <c r="BH402" s="64"/>
      <c r="BI402" s="64"/>
      <c r="BJ402" s="64"/>
      <c r="BK402" s="64"/>
      <c r="BL402" s="64"/>
      <c r="BM402" s="64"/>
      <c r="BN402" s="64"/>
    </row>
    <row r="403" ht="30.0" customHeight="1">
      <c r="A403" s="64"/>
      <c r="B403" s="64"/>
      <c r="C403" s="66"/>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75"/>
      <c r="BB403" s="64"/>
      <c r="BC403" s="64"/>
      <c r="BD403" s="66"/>
      <c r="BE403" s="64"/>
      <c r="BF403" s="64"/>
      <c r="BG403" s="64"/>
      <c r="BH403" s="64"/>
      <c r="BI403" s="64"/>
      <c r="BJ403" s="64"/>
      <c r="BK403" s="64"/>
      <c r="BL403" s="64"/>
      <c r="BM403" s="64"/>
      <c r="BN403" s="64"/>
    </row>
    <row r="404" ht="30.0" customHeight="1">
      <c r="A404" s="64"/>
      <c r="B404" s="64"/>
      <c r="C404" s="66"/>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75"/>
      <c r="BB404" s="64"/>
      <c r="BC404" s="64"/>
      <c r="BD404" s="66"/>
      <c r="BE404" s="64"/>
      <c r="BF404" s="64"/>
      <c r="BG404" s="64"/>
      <c r="BH404" s="64"/>
      <c r="BI404" s="64"/>
      <c r="BJ404" s="64"/>
      <c r="BK404" s="64"/>
      <c r="BL404" s="64"/>
      <c r="BM404" s="64"/>
      <c r="BN404" s="64"/>
    </row>
    <row r="405" ht="30.0" customHeight="1">
      <c r="A405" s="64"/>
      <c r="B405" s="64"/>
      <c r="C405" s="66"/>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75"/>
      <c r="BB405" s="64"/>
      <c r="BC405" s="64"/>
      <c r="BD405" s="66"/>
      <c r="BE405" s="64"/>
      <c r="BF405" s="64"/>
      <c r="BG405" s="64"/>
      <c r="BH405" s="64"/>
      <c r="BI405" s="64"/>
      <c r="BJ405" s="64"/>
      <c r="BK405" s="64"/>
      <c r="BL405" s="64"/>
      <c r="BM405" s="64"/>
      <c r="BN405" s="64"/>
    </row>
    <row r="406" ht="30.0" customHeight="1">
      <c r="A406" s="64"/>
      <c r="B406" s="64"/>
      <c r="C406" s="66"/>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75"/>
      <c r="BB406" s="64"/>
      <c r="BC406" s="64"/>
      <c r="BD406" s="66"/>
      <c r="BE406" s="64"/>
      <c r="BF406" s="64"/>
      <c r="BG406" s="64"/>
      <c r="BH406" s="64"/>
      <c r="BI406" s="64"/>
      <c r="BJ406" s="64"/>
      <c r="BK406" s="64"/>
      <c r="BL406" s="64"/>
      <c r="BM406" s="64"/>
      <c r="BN406" s="64"/>
    </row>
    <row r="407" ht="30.0" customHeight="1">
      <c r="A407" s="64"/>
      <c r="B407" s="64"/>
      <c r="C407" s="66"/>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75"/>
      <c r="BB407" s="64"/>
      <c r="BC407" s="64"/>
      <c r="BD407" s="66"/>
      <c r="BE407" s="64"/>
      <c r="BF407" s="64"/>
      <c r="BG407" s="64"/>
      <c r="BH407" s="64"/>
      <c r="BI407" s="64"/>
      <c r="BJ407" s="64"/>
      <c r="BK407" s="64"/>
      <c r="BL407" s="64"/>
      <c r="BM407" s="64"/>
      <c r="BN407" s="64"/>
    </row>
    <row r="408" ht="30.0" customHeight="1">
      <c r="A408" s="64"/>
      <c r="B408" s="64"/>
      <c r="C408" s="66"/>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75"/>
      <c r="BB408" s="64"/>
      <c r="BC408" s="64"/>
      <c r="BD408" s="66"/>
      <c r="BE408" s="64"/>
      <c r="BF408" s="64"/>
      <c r="BG408" s="64"/>
      <c r="BH408" s="64"/>
      <c r="BI408" s="64"/>
      <c r="BJ408" s="64"/>
      <c r="BK408" s="64"/>
      <c r="BL408" s="64"/>
      <c r="BM408" s="64"/>
      <c r="BN408" s="64"/>
    </row>
    <row r="409" ht="30.0" customHeight="1">
      <c r="A409" s="64"/>
      <c r="B409" s="64"/>
      <c r="C409" s="66"/>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75"/>
      <c r="BB409" s="64"/>
      <c r="BC409" s="64"/>
      <c r="BD409" s="66"/>
      <c r="BE409" s="64"/>
      <c r="BF409" s="64"/>
      <c r="BG409" s="64"/>
      <c r="BH409" s="64"/>
      <c r="BI409" s="64"/>
      <c r="BJ409" s="64"/>
      <c r="BK409" s="64"/>
      <c r="BL409" s="64"/>
      <c r="BM409" s="64"/>
      <c r="BN409" s="64"/>
    </row>
    <row r="410" ht="30.0" customHeight="1">
      <c r="A410" s="64"/>
      <c r="B410" s="64"/>
      <c r="C410" s="66"/>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75"/>
      <c r="BB410" s="64"/>
      <c r="BC410" s="64"/>
      <c r="BD410" s="66"/>
      <c r="BE410" s="64"/>
      <c r="BF410" s="64"/>
      <c r="BG410" s="64"/>
      <c r="BH410" s="64"/>
      <c r="BI410" s="64"/>
      <c r="BJ410" s="64"/>
      <c r="BK410" s="64"/>
      <c r="BL410" s="64"/>
      <c r="BM410" s="64"/>
      <c r="BN410" s="64"/>
    </row>
    <row r="411" ht="30.0" customHeight="1">
      <c r="A411" s="64"/>
      <c r="B411" s="64"/>
      <c r="C411" s="66"/>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75"/>
      <c r="BB411" s="64"/>
      <c r="BC411" s="64"/>
      <c r="BD411" s="66"/>
      <c r="BE411" s="64"/>
      <c r="BF411" s="64"/>
      <c r="BG411" s="64"/>
      <c r="BH411" s="64"/>
      <c r="BI411" s="64"/>
      <c r="BJ411" s="64"/>
      <c r="BK411" s="64"/>
      <c r="BL411" s="64"/>
      <c r="BM411" s="64"/>
      <c r="BN411" s="64"/>
    </row>
    <row r="412" ht="30.0" customHeight="1">
      <c r="A412" s="64"/>
      <c r="B412" s="64"/>
      <c r="C412" s="66"/>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75"/>
      <c r="BB412" s="64"/>
      <c r="BC412" s="64"/>
      <c r="BD412" s="66"/>
      <c r="BE412" s="64"/>
      <c r="BF412" s="64"/>
      <c r="BG412" s="64"/>
      <c r="BH412" s="64"/>
      <c r="BI412" s="64"/>
      <c r="BJ412" s="64"/>
      <c r="BK412" s="64"/>
      <c r="BL412" s="64"/>
      <c r="BM412" s="64"/>
      <c r="BN412" s="64"/>
    </row>
    <row r="413" ht="30.0" customHeight="1">
      <c r="A413" s="64"/>
      <c r="B413" s="64"/>
      <c r="C413" s="66"/>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75"/>
      <c r="BB413" s="64"/>
      <c r="BC413" s="64"/>
      <c r="BD413" s="66"/>
      <c r="BE413" s="64"/>
      <c r="BF413" s="64"/>
      <c r="BG413" s="64"/>
      <c r="BH413" s="64"/>
      <c r="BI413" s="64"/>
      <c r="BJ413" s="64"/>
      <c r="BK413" s="64"/>
      <c r="BL413" s="64"/>
      <c r="BM413" s="64"/>
      <c r="BN413" s="64"/>
    </row>
    <row r="414" ht="30.0" customHeight="1">
      <c r="A414" s="64"/>
      <c r="B414" s="64"/>
      <c r="C414" s="66"/>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75"/>
      <c r="BB414" s="64"/>
      <c r="BC414" s="64"/>
      <c r="BD414" s="66"/>
      <c r="BE414" s="64"/>
      <c r="BF414" s="64"/>
      <c r="BG414" s="64"/>
      <c r="BH414" s="64"/>
      <c r="BI414" s="64"/>
      <c r="BJ414" s="64"/>
      <c r="BK414" s="64"/>
      <c r="BL414" s="64"/>
      <c r="BM414" s="64"/>
      <c r="BN414" s="64"/>
    </row>
    <row r="415" ht="30.0" customHeight="1">
      <c r="A415" s="64"/>
      <c r="B415" s="64"/>
      <c r="C415" s="66"/>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75"/>
      <c r="BB415" s="64"/>
      <c r="BC415" s="64"/>
      <c r="BD415" s="66"/>
      <c r="BE415" s="64"/>
      <c r="BF415" s="64"/>
      <c r="BG415" s="64"/>
      <c r="BH415" s="64"/>
      <c r="BI415" s="64"/>
      <c r="BJ415" s="64"/>
      <c r="BK415" s="64"/>
      <c r="BL415" s="64"/>
      <c r="BM415" s="64"/>
      <c r="BN415" s="64"/>
    </row>
    <row r="416" ht="30.0" customHeight="1">
      <c r="A416" s="64"/>
      <c r="B416" s="64"/>
      <c r="C416" s="66"/>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75"/>
      <c r="BB416" s="64"/>
      <c r="BC416" s="64"/>
      <c r="BD416" s="66"/>
      <c r="BE416" s="64"/>
      <c r="BF416" s="64"/>
      <c r="BG416" s="64"/>
      <c r="BH416" s="64"/>
      <c r="BI416" s="64"/>
      <c r="BJ416" s="64"/>
      <c r="BK416" s="64"/>
      <c r="BL416" s="64"/>
      <c r="BM416" s="64"/>
      <c r="BN416" s="64"/>
    </row>
    <row r="417" ht="30.0" customHeight="1">
      <c r="A417" s="64"/>
      <c r="B417" s="64"/>
      <c r="C417" s="66"/>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75"/>
      <c r="BB417" s="64"/>
      <c r="BC417" s="64"/>
      <c r="BD417" s="66"/>
      <c r="BE417" s="64"/>
      <c r="BF417" s="64"/>
      <c r="BG417" s="64"/>
      <c r="BH417" s="64"/>
      <c r="BI417" s="64"/>
      <c r="BJ417" s="64"/>
      <c r="BK417" s="64"/>
      <c r="BL417" s="64"/>
      <c r="BM417" s="64"/>
      <c r="BN417" s="64"/>
    </row>
    <row r="418" ht="30.0" customHeight="1">
      <c r="A418" s="64"/>
      <c r="B418" s="64"/>
      <c r="C418" s="66"/>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75"/>
      <c r="BB418" s="64"/>
      <c r="BC418" s="64"/>
      <c r="BD418" s="66"/>
      <c r="BE418" s="64"/>
      <c r="BF418" s="64"/>
      <c r="BG418" s="64"/>
      <c r="BH418" s="64"/>
      <c r="BI418" s="64"/>
      <c r="BJ418" s="64"/>
      <c r="BK418" s="64"/>
      <c r="BL418" s="64"/>
      <c r="BM418" s="64"/>
      <c r="BN418" s="64"/>
    </row>
    <row r="419" ht="30.0" customHeight="1">
      <c r="A419" s="64"/>
      <c r="B419" s="64"/>
      <c r="C419" s="66"/>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75"/>
      <c r="BB419" s="64"/>
      <c r="BC419" s="64"/>
      <c r="BD419" s="66"/>
      <c r="BE419" s="64"/>
      <c r="BF419" s="64"/>
      <c r="BG419" s="64"/>
      <c r="BH419" s="64"/>
      <c r="BI419" s="64"/>
      <c r="BJ419" s="64"/>
      <c r="BK419" s="64"/>
      <c r="BL419" s="64"/>
      <c r="BM419" s="64"/>
      <c r="BN419" s="64"/>
    </row>
    <row r="420" ht="30.0" customHeight="1">
      <c r="A420" s="64"/>
      <c r="B420" s="64"/>
      <c r="C420" s="66"/>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75"/>
      <c r="BB420" s="64"/>
      <c r="BC420" s="64"/>
      <c r="BD420" s="66"/>
      <c r="BE420" s="64"/>
      <c r="BF420" s="64"/>
      <c r="BG420" s="64"/>
      <c r="BH420" s="64"/>
      <c r="BI420" s="64"/>
      <c r="BJ420" s="64"/>
      <c r="BK420" s="64"/>
      <c r="BL420" s="64"/>
      <c r="BM420" s="64"/>
      <c r="BN420" s="64"/>
    </row>
    <row r="421" ht="30.0" customHeight="1">
      <c r="A421" s="64"/>
      <c r="B421" s="64"/>
      <c r="C421" s="66"/>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75"/>
      <c r="BB421" s="64"/>
      <c r="BC421" s="64"/>
      <c r="BD421" s="66"/>
      <c r="BE421" s="64"/>
      <c r="BF421" s="64"/>
      <c r="BG421" s="64"/>
      <c r="BH421" s="64"/>
      <c r="BI421" s="64"/>
      <c r="BJ421" s="64"/>
      <c r="BK421" s="64"/>
      <c r="BL421" s="64"/>
      <c r="BM421" s="64"/>
      <c r="BN421" s="64"/>
    </row>
    <row r="422" ht="30.0" customHeight="1">
      <c r="A422" s="64"/>
      <c r="B422" s="64"/>
      <c r="C422" s="66"/>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75"/>
      <c r="BB422" s="64"/>
      <c r="BC422" s="64"/>
      <c r="BD422" s="66"/>
      <c r="BE422" s="64"/>
      <c r="BF422" s="64"/>
      <c r="BG422" s="64"/>
      <c r="BH422" s="64"/>
      <c r="BI422" s="64"/>
      <c r="BJ422" s="64"/>
      <c r="BK422" s="64"/>
      <c r="BL422" s="64"/>
      <c r="BM422" s="64"/>
      <c r="BN422" s="64"/>
    </row>
    <row r="423" ht="30.0" customHeight="1">
      <c r="A423" s="64"/>
      <c r="B423" s="64"/>
      <c r="C423" s="66"/>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75"/>
      <c r="BB423" s="64"/>
      <c r="BC423" s="64"/>
      <c r="BD423" s="66"/>
      <c r="BE423" s="64"/>
      <c r="BF423" s="64"/>
      <c r="BG423" s="64"/>
      <c r="BH423" s="64"/>
      <c r="BI423" s="64"/>
      <c r="BJ423" s="64"/>
      <c r="BK423" s="64"/>
      <c r="BL423" s="64"/>
      <c r="BM423" s="64"/>
      <c r="BN423" s="64"/>
    </row>
    <row r="424" ht="30.0" customHeight="1">
      <c r="A424" s="64"/>
      <c r="B424" s="64"/>
      <c r="C424" s="66"/>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75"/>
      <c r="BB424" s="64"/>
      <c r="BC424" s="64"/>
      <c r="BD424" s="66"/>
      <c r="BE424" s="64"/>
      <c r="BF424" s="64"/>
      <c r="BG424" s="64"/>
      <c r="BH424" s="64"/>
      <c r="BI424" s="64"/>
      <c r="BJ424" s="64"/>
      <c r="BK424" s="64"/>
      <c r="BL424" s="64"/>
      <c r="BM424" s="64"/>
      <c r="BN424" s="64"/>
    </row>
    <row r="425" ht="30.0" customHeight="1">
      <c r="A425" s="64"/>
      <c r="B425" s="64"/>
      <c r="C425" s="66"/>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75"/>
      <c r="BB425" s="64"/>
      <c r="BC425" s="64"/>
      <c r="BD425" s="66"/>
      <c r="BE425" s="64"/>
      <c r="BF425" s="64"/>
      <c r="BG425" s="64"/>
      <c r="BH425" s="64"/>
      <c r="BI425" s="64"/>
      <c r="BJ425" s="64"/>
      <c r="BK425" s="64"/>
      <c r="BL425" s="64"/>
      <c r="BM425" s="64"/>
      <c r="BN425" s="64"/>
    </row>
    <row r="426" ht="30.0" customHeight="1">
      <c r="A426" s="64"/>
      <c r="B426" s="64"/>
      <c r="C426" s="66"/>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75"/>
      <c r="BB426" s="64"/>
      <c r="BC426" s="64"/>
      <c r="BD426" s="66"/>
      <c r="BE426" s="64"/>
      <c r="BF426" s="64"/>
      <c r="BG426" s="64"/>
      <c r="BH426" s="64"/>
      <c r="BI426" s="64"/>
      <c r="BJ426" s="64"/>
      <c r="BK426" s="64"/>
      <c r="BL426" s="64"/>
      <c r="BM426" s="64"/>
      <c r="BN426" s="64"/>
    </row>
    <row r="427" ht="30.0" customHeight="1">
      <c r="A427" s="64"/>
      <c r="B427" s="64"/>
      <c r="C427" s="66"/>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75"/>
      <c r="BB427" s="64"/>
      <c r="BC427" s="64"/>
      <c r="BD427" s="66"/>
      <c r="BE427" s="64"/>
      <c r="BF427" s="64"/>
      <c r="BG427" s="64"/>
      <c r="BH427" s="64"/>
      <c r="BI427" s="64"/>
      <c r="BJ427" s="64"/>
      <c r="BK427" s="64"/>
      <c r="BL427" s="64"/>
      <c r="BM427" s="64"/>
      <c r="BN427" s="64"/>
    </row>
    <row r="428" ht="30.0" customHeight="1">
      <c r="A428" s="64"/>
      <c r="B428" s="64"/>
      <c r="C428" s="66"/>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75"/>
      <c r="BB428" s="64"/>
      <c r="BC428" s="64"/>
      <c r="BD428" s="66"/>
      <c r="BE428" s="64"/>
      <c r="BF428" s="64"/>
      <c r="BG428" s="64"/>
      <c r="BH428" s="64"/>
      <c r="BI428" s="64"/>
      <c r="BJ428" s="64"/>
      <c r="BK428" s="64"/>
      <c r="BL428" s="64"/>
      <c r="BM428" s="64"/>
      <c r="BN428" s="64"/>
    </row>
    <row r="429" ht="30.0" customHeight="1">
      <c r="A429" s="64"/>
      <c r="B429" s="64"/>
      <c r="C429" s="66"/>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75"/>
      <c r="BB429" s="64"/>
      <c r="BC429" s="64"/>
      <c r="BD429" s="66"/>
      <c r="BE429" s="64"/>
      <c r="BF429" s="64"/>
      <c r="BG429" s="64"/>
      <c r="BH429" s="64"/>
      <c r="BI429" s="64"/>
      <c r="BJ429" s="64"/>
      <c r="BK429" s="64"/>
      <c r="BL429" s="64"/>
      <c r="BM429" s="64"/>
      <c r="BN429" s="64"/>
    </row>
    <row r="430" ht="30.0" customHeight="1">
      <c r="A430" s="64"/>
      <c r="B430" s="64"/>
      <c r="C430" s="66"/>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75"/>
      <c r="BB430" s="64"/>
      <c r="BC430" s="64"/>
      <c r="BD430" s="66"/>
      <c r="BE430" s="64"/>
      <c r="BF430" s="64"/>
      <c r="BG430" s="64"/>
      <c r="BH430" s="64"/>
      <c r="BI430" s="64"/>
      <c r="BJ430" s="64"/>
      <c r="BK430" s="64"/>
      <c r="BL430" s="64"/>
      <c r="BM430" s="64"/>
      <c r="BN430" s="64"/>
    </row>
    <row r="431" ht="30.0" customHeight="1">
      <c r="A431" s="64"/>
      <c r="B431" s="64"/>
      <c r="C431" s="66"/>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75"/>
      <c r="BB431" s="64"/>
      <c r="BC431" s="64"/>
      <c r="BD431" s="66"/>
      <c r="BE431" s="64"/>
      <c r="BF431" s="64"/>
      <c r="BG431" s="64"/>
      <c r="BH431" s="64"/>
      <c r="BI431" s="64"/>
      <c r="BJ431" s="64"/>
      <c r="BK431" s="64"/>
      <c r="BL431" s="64"/>
      <c r="BM431" s="64"/>
      <c r="BN431" s="64"/>
    </row>
    <row r="432" ht="30.0" customHeight="1">
      <c r="A432" s="64"/>
      <c r="B432" s="64"/>
      <c r="C432" s="66"/>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75"/>
      <c r="BB432" s="64"/>
      <c r="BC432" s="64"/>
      <c r="BD432" s="66"/>
      <c r="BE432" s="64"/>
      <c r="BF432" s="64"/>
      <c r="BG432" s="64"/>
      <c r="BH432" s="64"/>
      <c r="BI432" s="64"/>
      <c r="BJ432" s="64"/>
      <c r="BK432" s="64"/>
      <c r="BL432" s="64"/>
      <c r="BM432" s="64"/>
      <c r="BN432" s="64"/>
    </row>
    <row r="433" ht="30.0" customHeight="1">
      <c r="A433" s="64"/>
      <c r="B433" s="64"/>
      <c r="C433" s="66"/>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75"/>
      <c r="BB433" s="64"/>
      <c r="BC433" s="64"/>
      <c r="BD433" s="66"/>
      <c r="BE433" s="64"/>
      <c r="BF433" s="64"/>
      <c r="BG433" s="64"/>
      <c r="BH433" s="64"/>
      <c r="BI433" s="64"/>
      <c r="BJ433" s="64"/>
      <c r="BK433" s="64"/>
      <c r="BL433" s="64"/>
      <c r="BM433" s="64"/>
      <c r="BN433" s="64"/>
    </row>
    <row r="434" ht="30.0" customHeight="1">
      <c r="A434" s="64"/>
      <c r="B434" s="64"/>
      <c r="C434" s="66"/>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75"/>
      <c r="BB434" s="64"/>
      <c r="BC434" s="64"/>
      <c r="BD434" s="66"/>
      <c r="BE434" s="64"/>
      <c r="BF434" s="64"/>
      <c r="BG434" s="64"/>
      <c r="BH434" s="64"/>
      <c r="BI434" s="64"/>
      <c r="BJ434" s="64"/>
      <c r="BK434" s="64"/>
      <c r="BL434" s="64"/>
      <c r="BM434" s="64"/>
      <c r="BN434" s="64"/>
    </row>
    <row r="435" ht="30.0" customHeight="1">
      <c r="A435" s="64"/>
      <c r="B435" s="64"/>
      <c r="C435" s="66"/>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75"/>
      <c r="BB435" s="64"/>
      <c r="BC435" s="64"/>
      <c r="BD435" s="66"/>
      <c r="BE435" s="64"/>
      <c r="BF435" s="64"/>
      <c r="BG435" s="64"/>
      <c r="BH435" s="64"/>
      <c r="BI435" s="64"/>
      <c r="BJ435" s="64"/>
      <c r="BK435" s="64"/>
      <c r="BL435" s="64"/>
      <c r="BM435" s="64"/>
      <c r="BN435" s="64"/>
    </row>
    <row r="436" ht="30.0" customHeight="1">
      <c r="A436" s="64"/>
      <c r="B436" s="64"/>
      <c r="C436" s="66"/>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75"/>
      <c r="BB436" s="64"/>
      <c r="BC436" s="64"/>
      <c r="BD436" s="66"/>
      <c r="BE436" s="64"/>
      <c r="BF436" s="64"/>
      <c r="BG436" s="64"/>
      <c r="BH436" s="64"/>
      <c r="BI436" s="64"/>
      <c r="BJ436" s="64"/>
      <c r="BK436" s="64"/>
      <c r="BL436" s="64"/>
      <c r="BM436" s="64"/>
      <c r="BN436" s="64"/>
    </row>
    <row r="437" ht="30.0" customHeight="1">
      <c r="A437" s="64"/>
      <c r="B437" s="64"/>
      <c r="C437" s="66"/>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75"/>
      <c r="BB437" s="64"/>
      <c r="BC437" s="64"/>
      <c r="BD437" s="66"/>
      <c r="BE437" s="64"/>
      <c r="BF437" s="64"/>
      <c r="BG437" s="64"/>
      <c r="BH437" s="64"/>
      <c r="BI437" s="64"/>
      <c r="BJ437" s="64"/>
      <c r="BK437" s="64"/>
      <c r="BL437" s="64"/>
      <c r="BM437" s="64"/>
      <c r="BN437" s="64"/>
    </row>
    <row r="438" ht="30.0" customHeight="1">
      <c r="A438" s="64"/>
      <c r="B438" s="64"/>
      <c r="C438" s="66"/>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75"/>
      <c r="BB438" s="64"/>
      <c r="BC438" s="64"/>
      <c r="BD438" s="66"/>
      <c r="BE438" s="64"/>
      <c r="BF438" s="64"/>
      <c r="BG438" s="64"/>
      <c r="BH438" s="64"/>
      <c r="BI438" s="64"/>
      <c r="BJ438" s="64"/>
      <c r="BK438" s="64"/>
      <c r="BL438" s="64"/>
      <c r="BM438" s="64"/>
      <c r="BN438" s="64"/>
    </row>
    <row r="439" ht="30.0" customHeight="1">
      <c r="A439" s="64"/>
      <c r="B439" s="64"/>
      <c r="C439" s="66"/>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75"/>
      <c r="BB439" s="64"/>
      <c r="BC439" s="64"/>
      <c r="BD439" s="66"/>
      <c r="BE439" s="64"/>
      <c r="BF439" s="64"/>
      <c r="BG439" s="64"/>
      <c r="BH439" s="64"/>
      <c r="BI439" s="64"/>
      <c r="BJ439" s="64"/>
      <c r="BK439" s="64"/>
      <c r="BL439" s="64"/>
      <c r="BM439" s="64"/>
      <c r="BN439" s="64"/>
    </row>
    <row r="440" ht="30.0" customHeight="1">
      <c r="A440" s="64"/>
      <c r="B440" s="64"/>
      <c r="C440" s="66"/>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75"/>
      <c r="BB440" s="64"/>
      <c r="BC440" s="64"/>
      <c r="BD440" s="66"/>
      <c r="BE440" s="64"/>
      <c r="BF440" s="64"/>
      <c r="BG440" s="64"/>
      <c r="BH440" s="64"/>
      <c r="BI440" s="64"/>
      <c r="BJ440" s="64"/>
      <c r="BK440" s="64"/>
      <c r="BL440" s="64"/>
      <c r="BM440" s="64"/>
      <c r="BN440" s="64"/>
    </row>
    <row r="441" ht="30.0" customHeight="1">
      <c r="A441" s="64"/>
      <c r="B441" s="64"/>
      <c r="C441" s="66"/>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75"/>
      <c r="BB441" s="64"/>
      <c r="BC441" s="64"/>
      <c r="BD441" s="66"/>
      <c r="BE441" s="64"/>
      <c r="BF441" s="64"/>
      <c r="BG441" s="64"/>
      <c r="BH441" s="64"/>
      <c r="BI441" s="64"/>
      <c r="BJ441" s="64"/>
      <c r="BK441" s="64"/>
      <c r="BL441" s="64"/>
      <c r="BM441" s="64"/>
      <c r="BN441" s="64"/>
    </row>
    <row r="442" ht="30.0" customHeight="1">
      <c r="A442" s="64"/>
      <c r="B442" s="64"/>
      <c r="C442" s="66"/>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75"/>
      <c r="BB442" s="64"/>
      <c r="BC442" s="64"/>
      <c r="BD442" s="66"/>
      <c r="BE442" s="64"/>
      <c r="BF442" s="64"/>
      <c r="BG442" s="64"/>
      <c r="BH442" s="64"/>
      <c r="BI442" s="64"/>
      <c r="BJ442" s="64"/>
      <c r="BK442" s="64"/>
      <c r="BL442" s="64"/>
      <c r="BM442" s="64"/>
      <c r="BN442" s="64"/>
    </row>
    <row r="443" ht="30.0" customHeight="1">
      <c r="A443" s="64"/>
      <c r="B443" s="64"/>
      <c r="C443" s="66"/>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75"/>
      <c r="BB443" s="64"/>
      <c r="BC443" s="64"/>
      <c r="BD443" s="66"/>
      <c r="BE443" s="64"/>
      <c r="BF443" s="64"/>
      <c r="BG443" s="64"/>
      <c r="BH443" s="64"/>
      <c r="BI443" s="64"/>
      <c r="BJ443" s="64"/>
      <c r="BK443" s="64"/>
      <c r="BL443" s="64"/>
      <c r="BM443" s="64"/>
      <c r="BN443" s="64"/>
    </row>
    <row r="444" ht="30.0" customHeight="1">
      <c r="A444" s="64"/>
      <c r="B444" s="64"/>
      <c r="C444" s="66"/>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75"/>
      <c r="BB444" s="64"/>
      <c r="BC444" s="64"/>
      <c r="BD444" s="66"/>
      <c r="BE444" s="64"/>
      <c r="BF444" s="64"/>
      <c r="BG444" s="64"/>
      <c r="BH444" s="64"/>
      <c r="BI444" s="64"/>
      <c r="BJ444" s="64"/>
      <c r="BK444" s="64"/>
      <c r="BL444" s="64"/>
      <c r="BM444" s="64"/>
      <c r="BN444" s="64"/>
    </row>
    <row r="445" ht="30.0" customHeight="1">
      <c r="A445" s="64"/>
      <c r="B445" s="64"/>
      <c r="C445" s="66"/>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75"/>
      <c r="BB445" s="64"/>
      <c r="BC445" s="64"/>
      <c r="BD445" s="66"/>
      <c r="BE445" s="64"/>
      <c r="BF445" s="64"/>
      <c r="BG445" s="64"/>
      <c r="BH445" s="64"/>
      <c r="BI445" s="64"/>
      <c r="BJ445" s="64"/>
      <c r="BK445" s="64"/>
      <c r="BL445" s="64"/>
      <c r="BM445" s="64"/>
      <c r="BN445" s="64"/>
    </row>
    <row r="446" ht="30.0" customHeight="1">
      <c r="A446" s="64"/>
      <c r="B446" s="64"/>
      <c r="C446" s="66"/>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75"/>
      <c r="BB446" s="64"/>
      <c r="BC446" s="64"/>
      <c r="BD446" s="66"/>
      <c r="BE446" s="64"/>
      <c r="BF446" s="64"/>
      <c r="BG446" s="64"/>
      <c r="BH446" s="64"/>
      <c r="BI446" s="64"/>
      <c r="BJ446" s="64"/>
      <c r="BK446" s="64"/>
      <c r="BL446" s="64"/>
      <c r="BM446" s="64"/>
      <c r="BN446" s="64"/>
    </row>
    <row r="447" ht="30.0" customHeight="1">
      <c r="A447" s="64"/>
      <c r="B447" s="64"/>
      <c r="C447" s="66"/>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75"/>
      <c r="BB447" s="64"/>
      <c r="BC447" s="64"/>
      <c r="BD447" s="66"/>
      <c r="BE447" s="64"/>
      <c r="BF447" s="64"/>
      <c r="BG447" s="64"/>
      <c r="BH447" s="64"/>
      <c r="BI447" s="64"/>
      <c r="BJ447" s="64"/>
      <c r="BK447" s="64"/>
      <c r="BL447" s="64"/>
      <c r="BM447" s="64"/>
      <c r="BN447" s="64"/>
    </row>
    <row r="448" ht="30.0" customHeight="1">
      <c r="A448" s="64"/>
      <c r="B448" s="64"/>
      <c r="C448" s="66"/>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75"/>
      <c r="BB448" s="64"/>
      <c r="BC448" s="64"/>
      <c r="BD448" s="66"/>
      <c r="BE448" s="64"/>
      <c r="BF448" s="64"/>
      <c r="BG448" s="64"/>
      <c r="BH448" s="64"/>
      <c r="BI448" s="64"/>
      <c r="BJ448" s="64"/>
      <c r="BK448" s="64"/>
      <c r="BL448" s="64"/>
      <c r="BM448" s="64"/>
      <c r="BN448" s="64"/>
    </row>
    <row r="449" ht="30.0" customHeight="1">
      <c r="A449" s="64"/>
      <c r="B449" s="64"/>
      <c r="C449" s="66"/>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75"/>
      <c r="BB449" s="64"/>
      <c r="BC449" s="64"/>
      <c r="BD449" s="66"/>
      <c r="BE449" s="64"/>
      <c r="BF449" s="64"/>
      <c r="BG449" s="64"/>
      <c r="BH449" s="64"/>
      <c r="BI449" s="64"/>
      <c r="BJ449" s="64"/>
      <c r="BK449" s="64"/>
      <c r="BL449" s="64"/>
      <c r="BM449" s="64"/>
      <c r="BN449" s="64"/>
    </row>
    <row r="450" ht="30.0" customHeight="1">
      <c r="A450" s="64"/>
      <c r="B450" s="64"/>
      <c r="C450" s="66"/>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75"/>
      <c r="BB450" s="64"/>
      <c r="BC450" s="64"/>
      <c r="BD450" s="66"/>
      <c r="BE450" s="64"/>
      <c r="BF450" s="64"/>
      <c r="BG450" s="64"/>
      <c r="BH450" s="64"/>
      <c r="BI450" s="64"/>
      <c r="BJ450" s="64"/>
      <c r="BK450" s="64"/>
      <c r="BL450" s="64"/>
      <c r="BM450" s="64"/>
      <c r="BN450" s="64"/>
    </row>
    <row r="451" ht="30.0" customHeight="1">
      <c r="A451" s="64"/>
      <c r="B451" s="64"/>
      <c r="C451" s="66"/>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75"/>
      <c r="BB451" s="64"/>
      <c r="BC451" s="64"/>
      <c r="BD451" s="66"/>
      <c r="BE451" s="64"/>
      <c r="BF451" s="64"/>
      <c r="BG451" s="64"/>
      <c r="BH451" s="64"/>
      <c r="BI451" s="64"/>
      <c r="BJ451" s="64"/>
      <c r="BK451" s="64"/>
      <c r="BL451" s="64"/>
      <c r="BM451" s="64"/>
      <c r="BN451" s="64"/>
    </row>
    <row r="452" ht="30.0" customHeight="1">
      <c r="A452" s="64"/>
      <c r="B452" s="64"/>
      <c r="C452" s="66"/>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75"/>
      <c r="BB452" s="64"/>
      <c r="BC452" s="64"/>
      <c r="BD452" s="66"/>
      <c r="BE452" s="64"/>
      <c r="BF452" s="64"/>
      <c r="BG452" s="64"/>
      <c r="BH452" s="64"/>
      <c r="BI452" s="64"/>
      <c r="BJ452" s="64"/>
      <c r="BK452" s="64"/>
      <c r="BL452" s="64"/>
      <c r="BM452" s="64"/>
      <c r="BN452" s="64"/>
    </row>
    <row r="453" ht="30.0" customHeight="1">
      <c r="A453" s="64"/>
      <c r="B453" s="64"/>
      <c r="C453" s="66"/>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75"/>
      <c r="BB453" s="64"/>
      <c r="BC453" s="64"/>
      <c r="BD453" s="66"/>
      <c r="BE453" s="64"/>
      <c r="BF453" s="64"/>
      <c r="BG453" s="64"/>
      <c r="BH453" s="64"/>
      <c r="BI453" s="64"/>
      <c r="BJ453" s="64"/>
      <c r="BK453" s="64"/>
      <c r="BL453" s="64"/>
      <c r="BM453" s="64"/>
      <c r="BN453" s="64"/>
    </row>
    <row r="454" ht="30.0" customHeight="1">
      <c r="A454" s="64"/>
      <c r="B454" s="64"/>
      <c r="C454" s="66"/>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75"/>
      <c r="BB454" s="64"/>
      <c r="BC454" s="64"/>
      <c r="BD454" s="66"/>
      <c r="BE454" s="64"/>
      <c r="BF454" s="64"/>
      <c r="BG454" s="64"/>
      <c r="BH454" s="64"/>
      <c r="BI454" s="64"/>
      <c r="BJ454" s="64"/>
      <c r="BK454" s="64"/>
      <c r="BL454" s="64"/>
      <c r="BM454" s="64"/>
      <c r="BN454" s="64"/>
    </row>
    <row r="455" ht="30.0" customHeight="1">
      <c r="A455" s="64"/>
      <c r="B455" s="64"/>
      <c r="C455" s="66"/>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75"/>
      <c r="BB455" s="64"/>
      <c r="BC455" s="64"/>
      <c r="BD455" s="66"/>
      <c r="BE455" s="64"/>
      <c r="BF455" s="64"/>
      <c r="BG455" s="64"/>
      <c r="BH455" s="64"/>
      <c r="BI455" s="64"/>
      <c r="BJ455" s="64"/>
      <c r="BK455" s="64"/>
      <c r="BL455" s="64"/>
      <c r="BM455" s="64"/>
      <c r="BN455" s="64"/>
    </row>
    <row r="456" ht="30.0" customHeight="1">
      <c r="A456" s="64"/>
      <c r="B456" s="64"/>
      <c r="C456" s="66"/>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75"/>
      <c r="BB456" s="64"/>
      <c r="BC456" s="64"/>
      <c r="BD456" s="66"/>
      <c r="BE456" s="64"/>
      <c r="BF456" s="64"/>
      <c r="BG456" s="64"/>
      <c r="BH456" s="64"/>
      <c r="BI456" s="64"/>
      <c r="BJ456" s="64"/>
      <c r="BK456" s="64"/>
      <c r="BL456" s="64"/>
      <c r="BM456" s="64"/>
      <c r="BN456" s="64"/>
    </row>
    <row r="457" ht="30.0" customHeight="1">
      <c r="A457" s="64"/>
      <c r="B457" s="64"/>
      <c r="C457" s="66"/>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75"/>
      <c r="BB457" s="64"/>
      <c r="BC457" s="64"/>
      <c r="BD457" s="66"/>
      <c r="BE457" s="64"/>
      <c r="BF457" s="64"/>
      <c r="BG457" s="64"/>
      <c r="BH457" s="64"/>
      <c r="BI457" s="64"/>
      <c r="BJ457" s="64"/>
      <c r="BK457" s="64"/>
      <c r="BL457" s="64"/>
      <c r="BM457" s="64"/>
      <c r="BN457" s="64"/>
    </row>
    <row r="458" ht="30.0" customHeight="1">
      <c r="A458" s="64"/>
      <c r="B458" s="64"/>
      <c r="C458" s="66"/>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75"/>
      <c r="BB458" s="64"/>
      <c r="BC458" s="64"/>
      <c r="BD458" s="66"/>
      <c r="BE458" s="64"/>
      <c r="BF458" s="64"/>
      <c r="BG458" s="64"/>
      <c r="BH458" s="64"/>
      <c r="BI458" s="64"/>
      <c r="BJ458" s="64"/>
      <c r="BK458" s="64"/>
      <c r="BL458" s="64"/>
      <c r="BM458" s="64"/>
      <c r="BN458" s="64"/>
    </row>
    <row r="459" ht="30.0" customHeight="1">
      <c r="A459" s="64"/>
      <c r="B459" s="64"/>
      <c r="C459" s="66"/>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75"/>
      <c r="BB459" s="64"/>
      <c r="BC459" s="64"/>
      <c r="BD459" s="66"/>
      <c r="BE459" s="64"/>
      <c r="BF459" s="64"/>
      <c r="BG459" s="64"/>
      <c r="BH459" s="64"/>
      <c r="BI459" s="64"/>
      <c r="BJ459" s="64"/>
      <c r="BK459" s="64"/>
      <c r="BL459" s="64"/>
      <c r="BM459" s="64"/>
      <c r="BN459" s="64"/>
    </row>
    <row r="460" ht="30.0" customHeight="1">
      <c r="A460" s="64"/>
      <c r="B460" s="64"/>
      <c r="C460" s="66"/>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75"/>
      <c r="BB460" s="64"/>
      <c r="BC460" s="64"/>
      <c r="BD460" s="66"/>
      <c r="BE460" s="64"/>
      <c r="BF460" s="64"/>
      <c r="BG460" s="64"/>
      <c r="BH460" s="64"/>
      <c r="BI460" s="64"/>
      <c r="BJ460" s="64"/>
      <c r="BK460" s="64"/>
      <c r="BL460" s="64"/>
      <c r="BM460" s="64"/>
      <c r="BN460" s="64"/>
    </row>
    <row r="461" ht="30.0" customHeight="1">
      <c r="A461" s="64"/>
      <c r="B461" s="64"/>
      <c r="C461" s="66"/>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75"/>
      <c r="BB461" s="64"/>
      <c r="BC461" s="64"/>
      <c r="BD461" s="66"/>
      <c r="BE461" s="64"/>
      <c r="BF461" s="64"/>
      <c r="BG461" s="64"/>
      <c r="BH461" s="64"/>
      <c r="BI461" s="64"/>
      <c r="BJ461" s="64"/>
      <c r="BK461" s="64"/>
      <c r="BL461" s="64"/>
      <c r="BM461" s="64"/>
      <c r="BN461" s="64"/>
    </row>
    <row r="462" ht="30.0" customHeight="1">
      <c r="A462" s="64"/>
      <c r="B462" s="64"/>
      <c r="C462" s="66"/>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75"/>
      <c r="BB462" s="64"/>
      <c r="BC462" s="64"/>
      <c r="BD462" s="66"/>
      <c r="BE462" s="64"/>
      <c r="BF462" s="64"/>
      <c r="BG462" s="64"/>
      <c r="BH462" s="64"/>
      <c r="BI462" s="64"/>
      <c r="BJ462" s="64"/>
      <c r="BK462" s="64"/>
      <c r="BL462" s="64"/>
      <c r="BM462" s="64"/>
      <c r="BN462" s="64"/>
    </row>
    <row r="463" ht="30.0" customHeight="1">
      <c r="A463" s="64"/>
      <c r="B463" s="64"/>
      <c r="C463" s="66"/>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75"/>
      <c r="BB463" s="64"/>
      <c r="BC463" s="64"/>
      <c r="BD463" s="66"/>
      <c r="BE463" s="64"/>
      <c r="BF463" s="64"/>
      <c r="BG463" s="64"/>
      <c r="BH463" s="64"/>
      <c r="BI463" s="64"/>
      <c r="BJ463" s="64"/>
      <c r="BK463" s="64"/>
      <c r="BL463" s="64"/>
      <c r="BM463" s="64"/>
      <c r="BN463" s="64"/>
    </row>
    <row r="464" ht="30.0" customHeight="1">
      <c r="A464" s="64"/>
      <c r="B464" s="64"/>
      <c r="C464" s="66"/>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75"/>
      <c r="BB464" s="64"/>
      <c r="BC464" s="64"/>
      <c r="BD464" s="66"/>
      <c r="BE464" s="64"/>
      <c r="BF464" s="64"/>
      <c r="BG464" s="64"/>
      <c r="BH464" s="64"/>
      <c r="BI464" s="64"/>
      <c r="BJ464" s="64"/>
      <c r="BK464" s="64"/>
      <c r="BL464" s="64"/>
      <c r="BM464" s="64"/>
      <c r="BN464" s="64"/>
    </row>
    <row r="465" ht="30.0" customHeight="1">
      <c r="A465" s="64"/>
      <c r="B465" s="64"/>
      <c r="C465" s="66"/>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75"/>
      <c r="BB465" s="64"/>
      <c r="BC465" s="64"/>
      <c r="BD465" s="66"/>
      <c r="BE465" s="64"/>
      <c r="BF465" s="64"/>
      <c r="BG465" s="64"/>
      <c r="BH465" s="64"/>
      <c r="BI465" s="64"/>
      <c r="BJ465" s="64"/>
      <c r="BK465" s="64"/>
      <c r="BL465" s="64"/>
      <c r="BM465" s="64"/>
      <c r="BN465" s="64"/>
    </row>
    <row r="466" ht="30.0" customHeight="1">
      <c r="A466" s="64"/>
      <c r="B466" s="64"/>
      <c r="C466" s="66"/>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75"/>
      <c r="BB466" s="64"/>
      <c r="BC466" s="64"/>
      <c r="BD466" s="66"/>
      <c r="BE466" s="64"/>
      <c r="BF466" s="64"/>
      <c r="BG466" s="64"/>
      <c r="BH466" s="64"/>
      <c r="BI466" s="64"/>
      <c r="BJ466" s="64"/>
      <c r="BK466" s="64"/>
      <c r="BL466" s="64"/>
      <c r="BM466" s="64"/>
      <c r="BN466" s="64"/>
    </row>
    <row r="467" ht="30.0" customHeight="1">
      <c r="A467" s="64"/>
      <c r="B467" s="64"/>
      <c r="C467" s="66"/>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75"/>
      <c r="BB467" s="64"/>
      <c r="BC467" s="64"/>
      <c r="BD467" s="66"/>
      <c r="BE467" s="64"/>
      <c r="BF467" s="64"/>
      <c r="BG467" s="64"/>
      <c r="BH467" s="64"/>
      <c r="BI467" s="64"/>
      <c r="BJ467" s="64"/>
      <c r="BK467" s="64"/>
      <c r="BL467" s="64"/>
      <c r="BM467" s="64"/>
      <c r="BN467" s="64"/>
    </row>
    <row r="468" ht="30.0" customHeight="1">
      <c r="A468" s="64"/>
      <c r="B468" s="64"/>
      <c r="C468" s="66"/>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75"/>
      <c r="BB468" s="64"/>
      <c r="BC468" s="64"/>
      <c r="BD468" s="66"/>
      <c r="BE468" s="64"/>
      <c r="BF468" s="64"/>
      <c r="BG468" s="64"/>
      <c r="BH468" s="64"/>
      <c r="BI468" s="64"/>
      <c r="BJ468" s="64"/>
      <c r="BK468" s="64"/>
      <c r="BL468" s="64"/>
      <c r="BM468" s="64"/>
      <c r="BN468" s="64"/>
    </row>
    <row r="469" ht="30.0" customHeight="1">
      <c r="A469" s="64"/>
      <c r="B469" s="64"/>
      <c r="C469" s="66"/>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75"/>
      <c r="BB469" s="64"/>
      <c r="BC469" s="64"/>
      <c r="BD469" s="66"/>
      <c r="BE469" s="64"/>
      <c r="BF469" s="64"/>
      <c r="BG469" s="64"/>
      <c r="BH469" s="64"/>
      <c r="BI469" s="64"/>
      <c r="BJ469" s="64"/>
      <c r="BK469" s="64"/>
      <c r="BL469" s="64"/>
      <c r="BM469" s="64"/>
      <c r="BN469" s="64"/>
    </row>
    <row r="470" ht="30.0" customHeight="1">
      <c r="A470" s="64"/>
      <c r="B470" s="64"/>
      <c r="C470" s="66"/>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75"/>
      <c r="BB470" s="64"/>
      <c r="BC470" s="64"/>
      <c r="BD470" s="66"/>
      <c r="BE470" s="64"/>
      <c r="BF470" s="64"/>
      <c r="BG470" s="64"/>
      <c r="BH470" s="64"/>
      <c r="BI470" s="64"/>
      <c r="BJ470" s="64"/>
      <c r="BK470" s="64"/>
      <c r="BL470" s="64"/>
      <c r="BM470" s="64"/>
      <c r="BN470" s="64"/>
    </row>
    <row r="471" ht="30.0" customHeight="1">
      <c r="A471" s="64"/>
      <c r="B471" s="64"/>
      <c r="C471" s="66"/>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75"/>
      <c r="BB471" s="64"/>
      <c r="BC471" s="64"/>
      <c r="BD471" s="66"/>
      <c r="BE471" s="64"/>
      <c r="BF471" s="64"/>
      <c r="BG471" s="64"/>
      <c r="BH471" s="64"/>
      <c r="BI471" s="64"/>
      <c r="BJ471" s="64"/>
      <c r="BK471" s="64"/>
      <c r="BL471" s="64"/>
      <c r="BM471" s="64"/>
      <c r="BN471" s="64"/>
    </row>
    <row r="472" ht="30.0" customHeight="1">
      <c r="A472" s="64"/>
      <c r="B472" s="64"/>
      <c r="C472" s="66"/>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75"/>
      <c r="BB472" s="64"/>
      <c r="BC472" s="64"/>
      <c r="BD472" s="66"/>
      <c r="BE472" s="64"/>
      <c r="BF472" s="64"/>
      <c r="BG472" s="64"/>
      <c r="BH472" s="64"/>
      <c r="BI472" s="64"/>
      <c r="BJ472" s="64"/>
      <c r="BK472" s="64"/>
      <c r="BL472" s="64"/>
      <c r="BM472" s="64"/>
      <c r="BN472" s="64"/>
    </row>
    <row r="473" ht="30.0" customHeight="1">
      <c r="A473" s="64"/>
      <c r="B473" s="64"/>
      <c r="C473" s="66"/>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75"/>
      <c r="BB473" s="64"/>
      <c r="BC473" s="64"/>
      <c r="BD473" s="66"/>
      <c r="BE473" s="64"/>
      <c r="BF473" s="64"/>
      <c r="BG473" s="64"/>
      <c r="BH473" s="64"/>
      <c r="BI473" s="64"/>
      <c r="BJ473" s="64"/>
      <c r="BK473" s="64"/>
      <c r="BL473" s="64"/>
      <c r="BM473" s="64"/>
      <c r="BN473" s="64"/>
    </row>
    <row r="474" ht="30.0" customHeight="1">
      <c r="A474" s="64"/>
      <c r="B474" s="64"/>
      <c r="C474" s="66"/>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75"/>
      <c r="BB474" s="64"/>
      <c r="BC474" s="64"/>
      <c r="BD474" s="66"/>
      <c r="BE474" s="64"/>
      <c r="BF474" s="64"/>
      <c r="BG474" s="64"/>
      <c r="BH474" s="64"/>
      <c r="BI474" s="64"/>
      <c r="BJ474" s="64"/>
      <c r="BK474" s="64"/>
      <c r="BL474" s="64"/>
      <c r="BM474" s="64"/>
      <c r="BN474" s="64"/>
    </row>
    <row r="475" ht="30.0" customHeight="1">
      <c r="A475" s="64"/>
      <c r="B475" s="64"/>
      <c r="C475" s="66"/>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75"/>
      <c r="BB475" s="64"/>
      <c r="BC475" s="64"/>
      <c r="BD475" s="66"/>
      <c r="BE475" s="64"/>
      <c r="BF475" s="64"/>
      <c r="BG475" s="64"/>
      <c r="BH475" s="64"/>
      <c r="BI475" s="64"/>
      <c r="BJ475" s="64"/>
      <c r="BK475" s="64"/>
      <c r="BL475" s="64"/>
      <c r="BM475" s="64"/>
      <c r="BN475" s="64"/>
    </row>
    <row r="476" ht="30.0" customHeight="1">
      <c r="A476" s="64"/>
      <c r="B476" s="64"/>
      <c r="C476" s="66"/>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75"/>
      <c r="BB476" s="64"/>
      <c r="BC476" s="64"/>
      <c r="BD476" s="66"/>
      <c r="BE476" s="64"/>
      <c r="BF476" s="64"/>
      <c r="BG476" s="64"/>
      <c r="BH476" s="64"/>
      <c r="BI476" s="64"/>
      <c r="BJ476" s="64"/>
      <c r="BK476" s="64"/>
      <c r="BL476" s="64"/>
      <c r="BM476" s="64"/>
      <c r="BN476" s="64"/>
    </row>
    <row r="477" ht="30.0" customHeight="1">
      <c r="A477" s="64"/>
      <c r="B477" s="64"/>
      <c r="C477" s="66"/>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75"/>
      <c r="BB477" s="64"/>
      <c r="BC477" s="64"/>
      <c r="BD477" s="66"/>
      <c r="BE477" s="64"/>
      <c r="BF477" s="64"/>
      <c r="BG477" s="64"/>
      <c r="BH477" s="64"/>
      <c r="BI477" s="64"/>
      <c r="BJ477" s="64"/>
      <c r="BK477" s="64"/>
      <c r="BL477" s="64"/>
      <c r="BM477" s="64"/>
      <c r="BN477" s="64"/>
    </row>
    <row r="478" ht="30.0" customHeight="1">
      <c r="A478" s="64"/>
      <c r="B478" s="64"/>
      <c r="C478" s="66"/>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75"/>
      <c r="BB478" s="64"/>
      <c r="BC478" s="64"/>
      <c r="BD478" s="66"/>
      <c r="BE478" s="64"/>
      <c r="BF478" s="64"/>
      <c r="BG478" s="64"/>
      <c r="BH478" s="64"/>
      <c r="BI478" s="64"/>
      <c r="BJ478" s="64"/>
      <c r="BK478" s="64"/>
      <c r="BL478" s="64"/>
      <c r="BM478" s="64"/>
      <c r="BN478" s="64"/>
    </row>
    <row r="479" ht="30.0" customHeight="1">
      <c r="A479" s="64"/>
      <c r="B479" s="64"/>
      <c r="C479" s="66"/>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75"/>
      <c r="BB479" s="64"/>
      <c r="BC479" s="64"/>
      <c r="BD479" s="66"/>
      <c r="BE479" s="64"/>
      <c r="BF479" s="64"/>
      <c r="BG479" s="64"/>
      <c r="BH479" s="64"/>
      <c r="BI479" s="64"/>
      <c r="BJ479" s="64"/>
      <c r="BK479" s="64"/>
      <c r="BL479" s="64"/>
      <c r="BM479" s="64"/>
      <c r="BN479" s="64"/>
    </row>
    <row r="480" ht="30.0" customHeight="1">
      <c r="A480" s="64"/>
      <c r="B480" s="64"/>
      <c r="C480" s="66"/>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75"/>
      <c r="BB480" s="64"/>
      <c r="BC480" s="64"/>
      <c r="BD480" s="66"/>
      <c r="BE480" s="64"/>
      <c r="BF480" s="64"/>
      <c r="BG480" s="64"/>
      <c r="BH480" s="64"/>
      <c r="BI480" s="64"/>
      <c r="BJ480" s="64"/>
      <c r="BK480" s="64"/>
      <c r="BL480" s="64"/>
      <c r="BM480" s="64"/>
      <c r="BN480" s="64"/>
    </row>
    <row r="481" ht="30.0" customHeight="1">
      <c r="A481" s="64"/>
      <c r="B481" s="64"/>
      <c r="C481" s="66"/>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75"/>
      <c r="BB481" s="64"/>
      <c r="BC481" s="64"/>
      <c r="BD481" s="66"/>
      <c r="BE481" s="64"/>
      <c r="BF481" s="64"/>
      <c r="BG481" s="64"/>
      <c r="BH481" s="64"/>
      <c r="BI481" s="64"/>
      <c r="BJ481" s="64"/>
      <c r="BK481" s="64"/>
      <c r="BL481" s="64"/>
      <c r="BM481" s="64"/>
      <c r="BN481" s="64"/>
    </row>
    <row r="482" ht="30.0" customHeight="1">
      <c r="A482" s="64"/>
      <c r="B482" s="64"/>
      <c r="C482" s="66"/>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75"/>
      <c r="BB482" s="64"/>
      <c r="BC482" s="64"/>
      <c r="BD482" s="66"/>
      <c r="BE482" s="64"/>
      <c r="BF482" s="64"/>
      <c r="BG482" s="64"/>
      <c r="BH482" s="64"/>
      <c r="BI482" s="64"/>
      <c r="BJ482" s="64"/>
      <c r="BK482" s="64"/>
      <c r="BL482" s="64"/>
      <c r="BM482" s="64"/>
      <c r="BN482" s="64"/>
    </row>
    <row r="483" ht="30.0" customHeight="1">
      <c r="A483" s="64"/>
      <c r="B483" s="64"/>
      <c r="C483" s="66"/>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75"/>
      <c r="BB483" s="64"/>
      <c r="BC483" s="64"/>
      <c r="BD483" s="66"/>
      <c r="BE483" s="64"/>
      <c r="BF483" s="64"/>
      <c r="BG483" s="64"/>
      <c r="BH483" s="64"/>
      <c r="BI483" s="64"/>
      <c r="BJ483" s="64"/>
      <c r="BK483" s="64"/>
      <c r="BL483" s="64"/>
      <c r="BM483" s="64"/>
      <c r="BN483" s="64"/>
    </row>
    <row r="484" ht="30.0" customHeight="1">
      <c r="A484" s="64"/>
      <c r="B484" s="64"/>
      <c r="C484" s="66"/>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75"/>
      <c r="BB484" s="64"/>
      <c r="BC484" s="64"/>
      <c r="BD484" s="66"/>
      <c r="BE484" s="64"/>
      <c r="BF484" s="64"/>
      <c r="BG484" s="64"/>
      <c r="BH484" s="64"/>
      <c r="BI484" s="64"/>
      <c r="BJ484" s="64"/>
      <c r="BK484" s="64"/>
      <c r="BL484" s="64"/>
      <c r="BM484" s="64"/>
      <c r="BN484" s="64"/>
    </row>
    <row r="485" ht="30.0" customHeight="1">
      <c r="A485" s="64"/>
      <c r="B485" s="64"/>
      <c r="C485" s="66"/>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75"/>
      <c r="BB485" s="64"/>
      <c r="BC485" s="64"/>
      <c r="BD485" s="66"/>
      <c r="BE485" s="64"/>
      <c r="BF485" s="64"/>
      <c r="BG485" s="64"/>
      <c r="BH485" s="64"/>
      <c r="BI485" s="64"/>
      <c r="BJ485" s="64"/>
      <c r="BK485" s="64"/>
      <c r="BL485" s="64"/>
      <c r="BM485" s="64"/>
      <c r="BN485" s="64"/>
    </row>
    <row r="486" ht="30.0" customHeight="1">
      <c r="A486" s="64"/>
      <c r="B486" s="64"/>
      <c r="C486" s="66"/>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75"/>
      <c r="BB486" s="64"/>
      <c r="BC486" s="64"/>
      <c r="BD486" s="66"/>
      <c r="BE486" s="64"/>
      <c r="BF486" s="64"/>
      <c r="BG486" s="64"/>
      <c r="BH486" s="64"/>
      <c r="BI486" s="64"/>
      <c r="BJ486" s="64"/>
      <c r="BK486" s="64"/>
      <c r="BL486" s="64"/>
      <c r="BM486" s="64"/>
      <c r="BN486" s="64"/>
    </row>
    <row r="487" ht="30.0" customHeight="1">
      <c r="A487" s="64"/>
      <c r="B487" s="64"/>
      <c r="C487" s="66"/>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75"/>
      <c r="BB487" s="64"/>
      <c r="BC487" s="64"/>
      <c r="BD487" s="66"/>
      <c r="BE487" s="64"/>
      <c r="BF487" s="64"/>
      <c r="BG487" s="64"/>
      <c r="BH487" s="64"/>
      <c r="BI487" s="64"/>
      <c r="BJ487" s="64"/>
      <c r="BK487" s="64"/>
      <c r="BL487" s="64"/>
      <c r="BM487" s="64"/>
      <c r="BN487" s="64"/>
    </row>
    <row r="488" ht="30.0" customHeight="1">
      <c r="A488" s="64"/>
      <c r="B488" s="64"/>
      <c r="C488" s="66"/>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75"/>
      <c r="BB488" s="64"/>
      <c r="BC488" s="64"/>
      <c r="BD488" s="66"/>
      <c r="BE488" s="64"/>
      <c r="BF488" s="64"/>
      <c r="BG488" s="64"/>
      <c r="BH488" s="64"/>
      <c r="BI488" s="64"/>
      <c r="BJ488" s="64"/>
      <c r="BK488" s="64"/>
      <c r="BL488" s="64"/>
      <c r="BM488" s="64"/>
      <c r="BN488" s="64"/>
    </row>
    <row r="489" ht="30.0" customHeight="1">
      <c r="A489" s="64"/>
      <c r="B489" s="64"/>
      <c r="C489" s="66"/>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75"/>
      <c r="BB489" s="64"/>
      <c r="BC489" s="64"/>
      <c r="BD489" s="66"/>
      <c r="BE489" s="64"/>
      <c r="BF489" s="64"/>
      <c r="BG489" s="64"/>
      <c r="BH489" s="64"/>
      <c r="BI489" s="64"/>
      <c r="BJ489" s="64"/>
      <c r="BK489" s="64"/>
      <c r="BL489" s="64"/>
      <c r="BM489" s="64"/>
      <c r="BN489" s="64"/>
    </row>
    <row r="490" ht="30.0" customHeight="1">
      <c r="A490" s="64"/>
      <c r="B490" s="64"/>
      <c r="C490" s="66"/>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75"/>
      <c r="BB490" s="64"/>
      <c r="BC490" s="64"/>
      <c r="BD490" s="66"/>
      <c r="BE490" s="64"/>
      <c r="BF490" s="64"/>
      <c r="BG490" s="64"/>
      <c r="BH490" s="64"/>
      <c r="BI490" s="64"/>
      <c r="BJ490" s="64"/>
      <c r="BK490" s="64"/>
      <c r="BL490" s="64"/>
      <c r="BM490" s="64"/>
      <c r="BN490" s="64"/>
    </row>
    <row r="491" ht="30.0" customHeight="1">
      <c r="A491" s="64"/>
      <c r="B491" s="64"/>
      <c r="C491" s="66"/>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75"/>
      <c r="BB491" s="64"/>
      <c r="BC491" s="64"/>
      <c r="BD491" s="66"/>
      <c r="BE491" s="64"/>
      <c r="BF491" s="64"/>
      <c r="BG491" s="64"/>
      <c r="BH491" s="64"/>
      <c r="BI491" s="64"/>
      <c r="BJ491" s="64"/>
      <c r="BK491" s="64"/>
      <c r="BL491" s="64"/>
      <c r="BM491" s="64"/>
      <c r="BN491" s="64"/>
    </row>
    <row r="492" ht="30.0" customHeight="1">
      <c r="A492" s="64"/>
      <c r="B492" s="64"/>
      <c r="C492" s="66"/>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75"/>
      <c r="BB492" s="64"/>
      <c r="BC492" s="64"/>
      <c r="BD492" s="66"/>
      <c r="BE492" s="64"/>
      <c r="BF492" s="64"/>
      <c r="BG492" s="64"/>
      <c r="BH492" s="64"/>
      <c r="BI492" s="64"/>
      <c r="BJ492" s="64"/>
      <c r="BK492" s="64"/>
      <c r="BL492" s="64"/>
      <c r="BM492" s="64"/>
      <c r="BN492" s="64"/>
    </row>
    <row r="493" ht="30.0" customHeight="1">
      <c r="A493" s="64"/>
      <c r="B493" s="64"/>
      <c r="C493" s="66"/>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75"/>
      <c r="BB493" s="64"/>
      <c r="BC493" s="64"/>
      <c r="BD493" s="66"/>
      <c r="BE493" s="64"/>
      <c r="BF493" s="64"/>
      <c r="BG493" s="64"/>
      <c r="BH493" s="64"/>
      <c r="BI493" s="64"/>
      <c r="BJ493" s="64"/>
      <c r="BK493" s="64"/>
      <c r="BL493" s="64"/>
      <c r="BM493" s="64"/>
      <c r="BN493" s="64"/>
    </row>
    <row r="494" ht="30.0" customHeight="1">
      <c r="A494" s="64"/>
      <c r="B494" s="64"/>
      <c r="C494" s="66"/>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75"/>
      <c r="BB494" s="64"/>
      <c r="BC494" s="64"/>
      <c r="BD494" s="66"/>
      <c r="BE494" s="64"/>
      <c r="BF494" s="64"/>
      <c r="BG494" s="64"/>
      <c r="BH494" s="64"/>
      <c r="BI494" s="64"/>
      <c r="BJ494" s="64"/>
      <c r="BK494" s="64"/>
      <c r="BL494" s="64"/>
      <c r="BM494" s="64"/>
      <c r="BN494" s="64"/>
    </row>
    <row r="495" ht="30.0" customHeight="1">
      <c r="A495" s="64"/>
      <c r="B495" s="64"/>
      <c r="C495" s="66"/>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75"/>
      <c r="BB495" s="64"/>
      <c r="BC495" s="64"/>
      <c r="BD495" s="66"/>
      <c r="BE495" s="64"/>
      <c r="BF495" s="64"/>
      <c r="BG495" s="64"/>
      <c r="BH495" s="64"/>
      <c r="BI495" s="64"/>
      <c r="BJ495" s="64"/>
      <c r="BK495" s="64"/>
      <c r="BL495" s="64"/>
      <c r="BM495" s="64"/>
      <c r="BN495" s="64"/>
    </row>
    <row r="496" ht="30.0" customHeight="1">
      <c r="A496" s="64"/>
      <c r="B496" s="64"/>
      <c r="C496" s="66"/>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75"/>
      <c r="BB496" s="64"/>
      <c r="BC496" s="64"/>
      <c r="BD496" s="66"/>
      <c r="BE496" s="64"/>
      <c r="BF496" s="64"/>
      <c r="BG496" s="64"/>
      <c r="BH496" s="64"/>
      <c r="BI496" s="64"/>
      <c r="BJ496" s="64"/>
      <c r="BK496" s="64"/>
      <c r="BL496" s="64"/>
      <c r="BM496" s="64"/>
      <c r="BN496" s="64"/>
    </row>
    <row r="497" ht="30.0" customHeight="1">
      <c r="A497" s="64"/>
      <c r="B497" s="64"/>
      <c r="C497" s="66"/>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75"/>
      <c r="BB497" s="64"/>
      <c r="BC497" s="64"/>
      <c r="BD497" s="66"/>
      <c r="BE497" s="64"/>
      <c r="BF497" s="64"/>
      <c r="BG497" s="64"/>
      <c r="BH497" s="64"/>
      <c r="BI497" s="64"/>
      <c r="BJ497" s="64"/>
      <c r="BK497" s="64"/>
      <c r="BL497" s="64"/>
      <c r="BM497" s="64"/>
      <c r="BN497" s="64"/>
    </row>
    <row r="498" ht="30.0" customHeight="1">
      <c r="A498" s="64"/>
      <c r="B498" s="64"/>
      <c r="C498" s="66"/>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75"/>
      <c r="BB498" s="64"/>
      <c r="BC498" s="64"/>
      <c r="BD498" s="66"/>
      <c r="BE498" s="64"/>
      <c r="BF498" s="64"/>
      <c r="BG498" s="64"/>
      <c r="BH498" s="64"/>
      <c r="BI498" s="64"/>
      <c r="BJ498" s="64"/>
      <c r="BK498" s="64"/>
      <c r="BL498" s="64"/>
      <c r="BM498" s="64"/>
      <c r="BN498" s="64"/>
    </row>
    <row r="499" ht="30.0" customHeight="1">
      <c r="A499" s="64"/>
      <c r="B499" s="64"/>
      <c r="C499" s="66"/>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75"/>
      <c r="BB499" s="64"/>
      <c r="BC499" s="64"/>
      <c r="BD499" s="66"/>
      <c r="BE499" s="64"/>
      <c r="BF499" s="64"/>
      <c r="BG499" s="64"/>
      <c r="BH499" s="64"/>
      <c r="BI499" s="64"/>
      <c r="BJ499" s="64"/>
      <c r="BK499" s="64"/>
      <c r="BL499" s="64"/>
      <c r="BM499" s="64"/>
      <c r="BN499" s="64"/>
    </row>
    <row r="500" ht="30.0" customHeight="1">
      <c r="A500" s="64"/>
      <c r="B500" s="64"/>
      <c r="C500" s="66"/>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75"/>
      <c r="BB500" s="64"/>
      <c r="BC500" s="64"/>
      <c r="BD500" s="66"/>
      <c r="BE500" s="64"/>
      <c r="BF500" s="64"/>
      <c r="BG500" s="64"/>
      <c r="BH500" s="64"/>
      <c r="BI500" s="64"/>
      <c r="BJ500" s="64"/>
      <c r="BK500" s="64"/>
      <c r="BL500" s="64"/>
      <c r="BM500" s="64"/>
      <c r="BN500" s="64"/>
    </row>
    <row r="501" ht="30.0" customHeight="1">
      <c r="A501" s="64"/>
      <c r="B501" s="64"/>
      <c r="C501" s="66"/>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75"/>
      <c r="BB501" s="64"/>
      <c r="BC501" s="64"/>
      <c r="BD501" s="66"/>
      <c r="BE501" s="64"/>
      <c r="BF501" s="64"/>
      <c r="BG501" s="64"/>
      <c r="BH501" s="64"/>
      <c r="BI501" s="64"/>
      <c r="BJ501" s="64"/>
      <c r="BK501" s="64"/>
      <c r="BL501" s="64"/>
      <c r="BM501" s="64"/>
      <c r="BN501" s="64"/>
    </row>
    <row r="502" ht="30.0" customHeight="1">
      <c r="A502" s="64"/>
      <c r="B502" s="64"/>
      <c r="C502" s="66"/>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75"/>
      <c r="BB502" s="64"/>
      <c r="BC502" s="64"/>
      <c r="BD502" s="66"/>
      <c r="BE502" s="64"/>
      <c r="BF502" s="64"/>
      <c r="BG502" s="64"/>
      <c r="BH502" s="64"/>
      <c r="BI502" s="64"/>
      <c r="BJ502" s="64"/>
      <c r="BK502" s="64"/>
      <c r="BL502" s="64"/>
      <c r="BM502" s="64"/>
      <c r="BN502" s="64"/>
    </row>
    <row r="503" ht="30.0" customHeight="1">
      <c r="A503" s="64"/>
      <c r="B503" s="64"/>
      <c r="C503" s="66"/>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75"/>
      <c r="BB503" s="64"/>
      <c r="BC503" s="64"/>
      <c r="BD503" s="66"/>
      <c r="BE503" s="64"/>
      <c r="BF503" s="64"/>
      <c r="BG503" s="64"/>
      <c r="BH503" s="64"/>
      <c r="BI503" s="64"/>
      <c r="BJ503" s="64"/>
      <c r="BK503" s="64"/>
      <c r="BL503" s="64"/>
      <c r="BM503" s="64"/>
      <c r="BN503" s="64"/>
    </row>
    <row r="504" ht="30.0" customHeight="1">
      <c r="A504" s="64"/>
      <c r="B504" s="64"/>
      <c r="C504" s="66"/>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75"/>
      <c r="BB504" s="64"/>
      <c r="BC504" s="64"/>
      <c r="BD504" s="66"/>
      <c r="BE504" s="64"/>
      <c r="BF504" s="64"/>
      <c r="BG504" s="64"/>
      <c r="BH504" s="64"/>
      <c r="BI504" s="64"/>
      <c r="BJ504" s="64"/>
      <c r="BK504" s="64"/>
      <c r="BL504" s="64"/>
      <c r="BM504" s="64"/>
      <c r="BN504" s="64"/>
    </row>
    <row r="505" ht="30.0" customHeight="1">
      <c r="A505" s="64"/>
      <c r="B505" s="64"/>
      <c r="C505" s="66"/>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75"/>
      <c r="BB505" s="64"/>
      <c r="BC505" s="64"/>
      <c r="BD505" s="66"/>
      <c r="BE505" s="64"/>
      <c r="BF505" s="64"/>
      <c r="BG505" s="64"/>
      <c r="BH505" s="64"/>
      <c r="BI505" s="64"/>
      <c r="BJ505" s="64"/>
      <c r="BK505" s="64"/>
      <c r="BL505" s="64"/>
      <c r="BM505" s="64"/>
      <c r="BN505" s="64"/>
    </row>
    <row r="506" ht="30.0" customHeight="1">
      <c r="A506" s="64"/>
      <c r="B506" s="64"/>
      <c r="C506" s="66"/>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75"/>
      <c r="BB506" s="64"/>
      <c r="BC506" s="64"/>
      <c r="BD506" s="66"/>
      <c r="BE506" s="64"/>
      <c r="BF506" s="64"/>
      <c r="BG506" s="64"/>
      <c r="BH506" s="64"/>
      <c r="BI506" s="64"/>
      <c r="BJ506" s="64"/>
      <c r="BK506" s="64"/>
      <c r="BL506" s="64"/>
      <c r="BM506" s="64"/>
      <c r="BN506" s="64"/>
    </row>
    <row r="507" ht="30.0" customHeight="1">
      <c r="A507" s="64"/>
      <c r="B507" s="64"/>
      <c r="C507" s="66"/>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75"/>
      <c r="BB507" s="64"/>
      <c r="BC507" s="64"/>
      <c r="BD507" s="66"/>
      <c r="BE507" s="64"/>
      <c r="BF507" s="64"/>
      <c r="BG507" s="64"/>
      <c r="BH507" s="64"/>
      <c r="BI507" s="64"/>
      <c r="BJ507" s="64"/>
      <c r="BK507" s="64"/>
      <c r="BL507" s="64"/>
      <c r="BM507" s="64"/>
      <c r="BN507" s="64"/>
    </row>
    <row r="508" ht="30.0" customHeight="1">
      <c r="A508" s="64"/>
      <c r="B508" s="64"/>
      <c r="C508" s="66"/>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75"/>
      <c r="BB508" s="64"/>
      <c r="BC508" s="64"/>
      <c r="BD508" s="66"/>
      <c r="BE508" s="64"/>
      <c r="BF508" s="64"/>
      <c r="BG508" s="64"/>
      <c r="BH508" s="64"/>
      <c r="BI508" s="64"/>
      <c r="BJ508" s="64"/>
      <c r="BK508" s="64"/>
      <c r="BL508" s="64"/>
      <c r="BM508" s="64"/>
      <c r="BN508" s="64"/>
    </row>
    <row r="509" ht="30.0" customHeight="1">
      <c r="A509" s="64"/>
      <c r="B509" s="64"/>
      <c r="C509" s="66"/>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75"/>
      <c r="BB509" s="64"/>
      <c r="BC509" s="64"/>
      <c r="BD509" s="66"/>
      <c r="BE509" s="64"/>
      <c r="BF509" s="64"/>
      <c r="BG509" s="64"/>
      <c r="BH509" s="64"/>
      <c r="BI509" s="64"/>
      <c r="BJ509" s="64"/>
      <c r="BK509" s="64"/>
      <c r="BL509" s="64"/>
      <c r="BM509" s="64"/>
      <c r="BN509" s="64"/>
    </row>
    <row r="510" ht="30.0" customHeight="1">
      <c r="A510" s="64"/>
      <c r="B510" s="64"/>
      <c r="C510" s="66"/>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75"/>
      <c r="BB510" s="64"/>
      <c r="BC510" s="64"/>
      <c r="BD510" s="66"/>
      <c r="BE510" s="64"/>
      <c r="BF510" s="64"/>
      <c r="BG510" s="64"/>
      <c r="BH510" s="64"/>
      <c r="BI510" s="64"/>
      <c r="BJ510" s="64"/>
      <c r="BK510" s="64"/>
      <c r="BL510" s="64"/>
      <c r="BM510" s="64"/>
      <c r="BN510" s="64"/>
    </row>
    <row r="511" ht="30.0" customHeight="1">
      <c r="A511" s="64"/>
      <c r="B511" s="64"/>
      <c r="C511" s="66"/>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75"/>
      <c r="BB511" s="64"/>
      <c r="BC511" s="64"/>
      <c r="BD511" s="66"/>
      <c r="BE511" s="64"/>
      <c r="BF511" s="64"/>
      <c r="BG511" s="64"/>
      <c r="BH511" s="64"/>
      <c r="BI511" s="64"/>
      <c r="BJ511" s="64"/>
      <c r="BK511" s="64"/>
      <c r="BL511" s="64"/>
      <c r="BM511" s="64"/>
      <c r="BN511" s="64"/>
    </row>
    <row r="512" ht="30.0" customHeight="1">
      <c r="A512" s="64"/>
      <c r="B512" s="64"/>
      <c r="C512" s="66"/>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75"/>
      <c r="BB512" s="64"/>
      <c r="BC512" s="64"/>
      <c r="BD512" s="66"/>
      <c r="BE512" s="64"/>
      <c r="BF512" s="64"/>
      <c r="BG512" s="64"/>
      <c r="BH512" s="64"/>
      <c r="BI512" s="64"/>
      <c r="BJ512" s="64"/>
      <c r="BK512" s="64"/>
      <c r="BL512" s="64"/>
      <c r="BM512" s="64"/>
      <c r="BN512" s="64"/>
    </row>
    <row r="513" ht="30.0" customHeight="1">
      <c r="A513" s="64"/>
      <c r="B513" s="64"/>
      <c r="C513" s="66"/>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75"/>
      <c r="BB513" s="64"/>
      <c r="BC513" s="64"/>
      <c r="BD513" s="66"/>
      <c r="BE513" s="64"/>
      <c r="BF513" s="64"/>
      <c r="BG513" s="64"/>
      <c r="BH513" s="64"/>
      <c r="BI513" s="64"/>
      <c r="BJ513" s="64"/>
      <c r="BK513" s="64"/>
      <c r="BL513" s="64"/>
      <c r="BM513" s="64"/>
      <c r="BN513" s="64"/>
    </row>
    <row r="514" ht="30.0" customHeight="1">
      <c r="A514" s="64"/>
      <c r="B514" s="64"/>
      <c r="C514" s="66"/>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75"/>
      <c r="BB514" s="64"/>
      <c r="BC514" s="64"/>
      <c r="BD514" s="66"/>
      <c r="BE514" s="64"/>
      <c r="BF514" s="64"/>
      <c r="BG514" s="64"/>
      <c r="BH514" s="64"/>
      <c r="BI514" s="64"/>
      <c r="BJ514" s="64"/>
      <c r="BK514" s="64"/>
      <c r="BL514" s="64"/>
      <c r="BM514" s="64"/>
      <c r="BN514" s="64"/>
    </row>
    <row r="515" ht="30.0" customHeight="1">
      <c r="A515" s="64"/>
      <c r="B515" s="64"/>
      <c r="C515" s="66"/>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75"/>
      <c r="BB515" s="64"/>
      <c r="BC515" s="64"/>
      <c r="BD515" s="66"/>
      <c r="BE515" s="64"/>
      <c r="BF515" s="64"/>
      <c r="BG515" s="64"/>
      <c r="BH515" s="64"/>
      <c r="BI515" s="64"/>
      <c r="BJ515" s="64"/>
      <c r="BK515" s="64"/>
      <c r="BL515" s="64"/>
      <c r="BM515" s="64"/>
      <c r="BN515" s="64"/>
    </row>
    <row r="516" ht="30.0" customHeight="1">
      <c r="A516" s="64"/>
      <c r="B516" s="64"/>
      <c r="C516" s="66"/>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75"/>
      <c r="BB516" s="64"/>
      <c r="BC516" s="64"/>
      <c r="BD516" s="66"/>
      <c r="BE516" s="64"/>
      <c r="BF516" s="64"/>
      <c r="BG516" s="64"/>
      <c r="BH516" s="64"/>
      <c r="BI516" s="64"/>
      <c r="BJ516" s="64"/>
      <c r="BK516" s="64"/>
      <c r="BL516" s="64"/>
      <c r="BM516" s="64"/>
      <c r="BN516" s="64"/>
    </row>
    <row r="517" ht="30.0" customHeight="1">
      <c r="A517" s="64"/>
      <c r="B517" s="64"/>
      <c r="C517" s="66"/>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75"/>
      <c r="BB517" s="64"/>
      <c r="BC517" s="64"/>
      <c r="BD517" s="66"/>
      <c r="BE517" s="64"/>
      <c r="BF517" s="64"/>
      <c r="BG517" s="64"/>
      <c r="BH517" s="64"/>
      <c r="BI517" s="64"/>
      <c r="BJ517" s="64"/>
      <c r="BK517" s="64"/>
      <c r="BL517" s="64"/>
      <c r="BM517" s="64"/>
      <c r="BN517" s="64"/>
    </row>
    <row r="518" ht="30.0" customHeight="1">
      <c r="A518" s="64"/>
      <c r="B518" s="64"/>
      <c r="C518" s="66"/>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75"/>
      <c r="BB518" s="64"/>
      <c r="BC518" s="64"/>
      <c r="BD518" s="66"/>
      <c r="BE518" s="64"/>
      <c r="BF518" s="64"/>
      <c r="BG518" s="64"/>
      <c r="BH518" s="64"/>
      <c r="BI518" s="64"/>
      <c r="BJ518" s="64"/>
      <c r="BK518" s="64"/>
      <c r="BL518" s="64"/>
      <c r="BM518" s="64"/>
      <c r="BN518" s="64"/>
    </row>
    <row r="519" ht="30.0" customHeight="1">
      <c r="A519" s="64"/>
      <c r="B519" s="64"/>
      <c r="C519" s="66"/>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75"/>
      <c r="BB519" s="64"/>
      <c r="BC519" s="64"/>
      <c r="BD519" s="66"/>
      <c r="BE519" s="64"/>
      <c r="BF519" s="64"/>
      <c r="BG519" s="64"/>
      <c r="BH519" s="64"/>
      <c r="BI519" s="64"/>
      <c r="BJ519" s="64"/>
      <c r="BK519" s="64"/>
      <c r="BL519" s="64"/>
      <c r="BM519" s="64"/>
      <c r="BN519" s="64"/>
    </row>
    <row r="520" ht="30.0" customHeight="1">
      <c r="A520" s="64"/>
      <c r="B520" s="64"/>
      <c r="C520" s="66"/>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75"/>
      <c r="BB520" s="64"/>
      <c r="BC520" s="64"/>
      <c r="BD520" s="66"/>
      <c r="BE520" s="64"/>
      <c r="BF520" s="64"/>
      <c r="BG520" s="64"/>
      <c r="BH520" s="64"/>
      <c r="BI520" s="64"/>
      <c r="BJ520" s="64"/>
      <c r="BK520" s="64"/>
      <c r="BL520" s="64"/>
      <c r="BM520" s="64"/>
      <c r="BN520" s="64"/>
    </row>
    <row r="521" ht="30.0" customHeight="1">
      <c r="A521" s="64"/>
      <c r="B521" s="64"/>
      <c r="C521" s="66"/>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75"/>
      <c r="BB521" s="64"/>
      <c r="BC521" s="64"/>
      <c r="BD521" s="66"/>
      <c r="BE521" s="64"/>
      <c r="BF521" s="64"/>
      <c r="BG521" s="64"/>
      <c r="BH521" s="64"/>
      <c r="BI521" s="64"/>
      <c r="BJ521" s="64"/>
      <c r="BK521" s="64"/>
      <c r="BL521" s="64"/>
      <c r="BM521" s="64"/>
      <c r="BN521" s="64"/>
    </row>
    <row r="522" ht="30.0" customHeight="1">
      <c r="A522" s="64"/>
      <c r="B522" s="64"/>
      <c r="C522" s="66"/>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75"/>
      <c r="BB522" s="64"/>
      <c r="BC522" s="64"/>
      <c r="BD522" s="66"/>
      <c r="BE522" s="64"/>
      <c r="BF522" s="64"/>
      <c r="BG522" s="64"/>
      <c r="BH522" s="64"/>
      <c r="BI522" s="64"/>
      <c r="BJ522" s="64"/>
      <c r="BK522" s="64"/>
      <c r="BL522" s="64"/>
      <c r="BM522" s="64"/>
      <c r="BN522" s="64"/>
    </row>
    <row r="523" ht="30.0" customHeight="1">
      <c r="A523" s="64"/>
      <c r="B523" s="64"/>
      <c r="C523" s="66"/>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75"/>
      <c r="BB523" s="64"/>
      <c r="BC523" s="64"/>
      <c r="BD523" s="66"/>
      <c r="BE523" s="64"/>
      <c r="BF523" s="64"/>
      <c r="BG523" s="64"/>
      <c r="BH523" s="64"/>
      <c r="BI523" s="64"/>
      <c r="BJ523" s="64"/>
      <c r="BK523" s="64"/>
      <c r="BL523" s="64"/>
      <c r="BM523" s="64"/>
      <c r="BN523" s="64"/>
    </row>
    <row r="524" ht="30.0" customHeight="1">
      <c r="A524" s="64"/>
      <c r="B524" s="64"/>
      <c r="C524" s="66"/>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75"/>
      <c r="BB524" s="64"/>
      <c r="BC524" s="64"/>
      <c r="BD524" s="66"/>
      <c r="BE524" s="64"/>
      <c r="BF524" s="64"/>
      <c r="BG524" s="64"/>
      <c r="BH524" s="64"/>
      <c r="BI524" s="64"/>
      <c r="BJ524" s="64"/>
      <c r="BK524" s="64"/>
      <c r="BL524" s="64"/>
      <c r="BM524" s="64"/>
      <c r="BN524" s="64"/>
    </row>
    <row r="525" ht="30.0" customHeight="1">
      <c r="A525" s="64"/>
      <c r="B525" s="64"/>
      <c r="C525" s="66"/>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75"/>
      <c r="BB525" s="64"/>
      <c r="BC525" s="64"/>
      <c r="BD525" s="66"/>
      <c r="BE525" s="64"/>
      <c r="BF525" s="64"/>
      <c r="BG525" s="64"/>
      <c r="BH525" s="64"/>
      <c r="BI525" s="64"/>
      <c r="BJ525" s="64"/>
      <c r="BK525" s="64"/>
      <c r="BL525" s="64"/>
      <c r="BM525" s="64"/>
      <c r="BN525" s="64"/>
    </row>
    <row r="526" ht="30.0" customHeight="1">
      <c r="A526" s="64"/>
      <c r="B526" s="64"/>
      <c r="C526" s="66"/>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75"/>
      <c r="BB526" s="64"/>
      <c r="BC526" s="64"/>
      <c r="BD526" s="66"/>
      <c r="BE526" s="64"/>
      <c r="BF526" s="64"/>
      <c r="BG526" s="64"/>
      <c r="BH526" s="64"/>
      <c r="BI526" s="64"/>
      <c r="BJ526" s="64"/>
      <c r="BK526" s="64"/>
      <c r="BL526" s="64"/>
      <c r="BM526" s="64"/>
      <c r="BN526" s="64"/>
    </row>
    <row r="527" ht="30.0" customHeight="1">
      <c r="A527" s="64"/>
      <c r="B527" s="64"/>
      <c r="C527" s="66"/>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75"/>
      <c r="BB527" s="64"/>
      <c r="BC527" s="64"/>
      <c r="BD527" s="66"/>
      <c r="BE527" s="64"/>
      <c r="BF527" s="64"/>
      <c r="BG527" s="64"/>
      <c r="BH527" s="64"/>
      <c r="BI527" s="64"/>
      <c r="BJ527" s="64"/>
      <c r="BK527" s="64"/>
      <c r="BL527" s="64"/>
      <c r="BM527" s="64"/>
      <c r="BN527" s="64"/>
    </row>
    <row r="528" ht="30.0" customHeight="1">
      <c r="A528" s="64"/>
      <c r="B528" s="64"/>
      <c r="C528" s="66"/>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75"/>
      <c r="BB528" s="64"/>
      <c r="BC528" s="64"/>
      <c r="BD528" s="66"/>
      <c r="BE528" s="64"/>
      <c r="BF528" s="64"/>
      <c r="BG528" s="64"/>
      <c r="BH528" s="64"/>
      <c r="BI528" s="64"/>
      <c r="BJ528" s="64"/>
      <c r="BK528" s="64"/>
      <c r="BL528" s="64"/>
      <c r="BM528" s="64"/>
      <c r="BN528" s="64"/>
    </row>
    <row r="529" ht="30.0" customHeight="1">
      <c r="A529" s="64"/>
      <c r="B529" s="64"/>
      <c r="C529" s="66"/>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75"/>
      <c r="BB529" s="64"/>
      <c r="BC529" s="64"/>
      <c r="BD529" s="66"/>
      <c r="BE529" s="64"/>
      <c r="BF529" s="64"/>
      <c r="BG529" s="64"/>
      <c r="BH529" s="64"/>
      <c r="BI529" s="64"/>
      <c r="BJ529" s="64"/>
      <c r="BK529" s="64"/>
      <c r="BL529" s="64"/>
      <c r="BM529" s="64"/>
      <c r="BN529" s="64"/>
    </row>
    <row r="530" ht="30.0" customHeight="1">
      <c r="A530" s="64"/>
      <c r="B530" s="64"/>
      <c r="C530" s="66"/>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75"/>
      <c r="BB530" s="64"/>
      <c r="BC530" s="64"/>
      <c r="BD530" s="66"/>
      <c r="BE530" s="64"/>
      <c r="BF530" s="64"/>
      <c r="BG530" s="64"/>
      <c r="BH530" s="64"/>
      <c r="BI530" s="64"/>
      <c r="BJ530" s="64"/>
      <c r="BK530" s="64"/>
      <c r="BL530" s="64"/>
      <c r="BM530" s="64"/>
      <c r="BN530" s="64"/>
    </row>
    <row r="531" ht="30.0" customHeight="1">
      <c r="A531" s="64"/>
      <c r="B531" s="64"/>
      <c r="C531" s="66"/>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75"/>
      <c r="BB531" s="64"/>
      <c r="BC531" s="64"/>
      <c r="BD531" s="66"/>
      <c r="BE531" s="64"/>
      <c r="BF531" s="64"/>
      <c r="BG531" s="64"/>
      <c r="BH531" s="64"/>
      <c r="BI531" s="64"/>
      <c r="BJ531" s="64"/>
      <c r="BK531" s="64"/>
      <c r="BL531" s="64"/>
      <c r="BM531" s="64"/>
      <c r="BN531" s="64"/>
    </row>
    <row r="532" ht="30.0" customHeight="1">
      <c r="A532" s="64"/>
      <c r="B532" s="64"/>
      <c r="C532" s="66"/>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75"/>
      <c r="BB532" s="64"/>
      <c r="BC532" s="64"/>
      <c r="BD532" s="66"/>
      <c r="BE532" s="64"/>
      <c r="BF532" s="64"/>
      <c r="BG532" s="64"/>
      <c r="BH532" s="64"/>
      <c r="BI532" s="64"/>
      <c r="BJ532" s="64"/>
      <c r="BK532" s="64"/>
      <c r="BL532" s="64"/>
      <c r="BM532" s="64"/>
      <c r="BN532" s="64"/>
    </row>
    <row r="533" ht="30.0" customHeight="1">
      <c r="A533" s="64"/>
      <c r="B533" s="64"/>
      <c r="C533" s="66"/>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75"/>
      <c r="BB533" s="64"/>
      <c r="BC533" s="64"/>
      <c r="BD533" s="66"/>
      <c r="BE533" s="64"/>
      <c r="BF533" s="64"/>
      <c r="BG533" s="64"/>
      <c r="BH533" s="64"/>
      <c r="BI533" s="64"/>
      <c r="BJ533" s="64"/>
      <c r="BK533" s="64"/>
      <c r="BL533" s="64"/>
      <c r="BM533" s="64"/>
      <c r="BN533" s="64"/>
    </row>
    <row r="534" ht="30.0" customHeight="1">
      <c r="A534" s="64"/>
      <c r="B534" s="64"/>
      <c r="C534" s="66"/>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75"/>
      <c r="BB534" s="64"/>
      <c r="BC534" s="64"/>
      <c r="BD534" s="66"/>
      <c r="BE534" s="64"/>
      <c r="BF534" s="64"/>
      <c r="BG534" s="64"/>
      <c r="BH534" s="64"/>
      <c r="BI534" s="64"/>
      <c r="BJ534" s="64"/>
      <c r="BK534" s="64"/>
      <c r="BL534" s="64"/>
      <c r="BM534" s="64"/>
      <c r="BN534" s="64"/>
    </row>
    <row r="535" ht="30.0" customHeight="1">
      <c r="A535" s="64"/>
      <c r="B535" s="64"/>
      <c r="C535" s="66"/>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75"/>
      <c r="BB535" s="64"/>
      <c r="BC535" s="64"/>
      <c r="BD535" s="66"/>
      <c r="BE535" s="64"/>
      <c r="BF535" s="64"/>
      <c r="BG535" s="64"/>
      <c r="BH535" s="64"/>
      <c r="BI535" s="64"/>
      <c r="BJ535" s="64"/>
      <c r="BK535" s="64"/>
      <c r="BL535" s="64"/>
      <c r="BM535" s="64"/>
      <c r="BN535" s="64"/>
    </row>
    <row r="536" ht="30.0" customHeight="1">
      <c r="A536" s="64"/>
      <c r="B536" s="64"/>
      <c r="C536" s="66"/>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75"/>
      <c r="BB536" s="64"/>
      <c r="BC536" s="64"/>
      <c r="BD536" s="66"/>
      <c r="BE536" s="64"/>
      <c r="BF536" s="64"/>
      <c r="BG536" s="64"/>
      <c r="BH536" s="64"/>
      <c r="BI536" s="64"/>
      <c r="BJ536" s="64"/>
      <c r="BK536" s="64"/>
      <c r="BL536" s="64"/>
      <c r="BM536" s="64"/>
      <c r="BN536" s="64"/>
    </row>
    <row r="537" ht="30.0" customHeight="1">
      <c r="A537" s="64"/>
      <c r="B537" s="64"/>
      <c r="C537" s="66"/>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75"/>
      <c r="BB537" s="64"/>
      <c r="BC537" s="64"/>
      <c r="BD537" s="66"/>
      <c r="BE537" s="64"/>
      <c r="BF537" s="64"/>
      <c r="BG537" s="64"/>
      <c r="BH537" s="64"/>
      <c r="BI537" s="64"/>
      <c r="BJ537" s="64"/>
      <c r="BK537" s="64"/>
      <c r="BL537" s="64"/>
      <c r="BM537" s="64"/>
      <c r="BN537" s="64"/>
    </row>
    <row r="538" ht="30.0" customHeight="1">
      <c r="A538" s="64"/>
      <c r="B538" s="64"/>
      <c r="C538" s="66"/>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75"/>
      <c r="BB538" s="64"/>
      <c r="BC538" s="64"/>
      <c r="BD538" s="66"/>
      <c r="BE538" s="64"/>
      <c r="BF538" s="64"/>
      <c r="BG538" s="64"/>
      <c r="BH538" s="64"/>
      <c r="BI538" s="64"/>
      <c r="BJ538" s="64"/>
      <c r="BK538" s="64"/>
      <c r="BL538" s="64"/>
      <c r="BM538" s="64"/>
      <c r="BN538" s="64"/>
    </row>
    <row r="539" ht="30.0" customHeight="1">
      <c r="A539" s="64"/>
      <c r="B539" s="64"/>
      <c r="C539" s="66"/>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75"/>
      <c r="BB539" s="64"/>
      <c r="BC539" s="64"/>
      <c r="BD539" s="66"/>
      <c r="BE539" s="64"/>
      <c r="BF539" s="64"/>
      <c r="BG539" s="64"/>
      <c r="BH539" s="64"/>
      <c r="BI539" s="64"/>
      <c r="BJ539" s="64"/>
      <c r="BK539" s="64"/>
      <c r="BL539" s="64"/>
      <c r="BM539" s="64"/>
      <c r="BN539" s="64"/>
    </row>
    <row r="540" ht="30.0" customHeight="1">
      <c r="A540" s="64"/>
      <c r="B540" s="64"/>
      <c r="C540" s="66"/>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75"/>
      <c r="BB540" s="64"/>
      <c r="BC540" s="64"/>
      <c r="BD540" s="66"/>
      <c r="BE540" s="64"/>
      <c r="BF540" s="64"/>
      <c r="BG540" s="64"/>
      <c r="BH540" s="64"/>
      <c r="BI540" s="64"/>
      <c r="BJ540" s="64"/>
      <c r="BK540" s="64"/>
      <c r="BL540" s="64"/>
      <c r="BM540" s="64"/>
      <c r="BN540" s="64"/>
    </row>
    <row r="541" ht="30.0" customHeight="1">
      <c r="A541" s="64"/>
      <c r="B541" s="64"/>
      <c r="C541" s="66"/>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75"/>
      <c r="BB541" s="64"/>
      <c r="BC541" s="64"/>
      <c r="BD541" s="66"/>
      <c r="BE541" s="64"/>
      <c r="BF541" s="64"/>
      <c r="BG541" s="64"/>
      <c r="BH541" s="64"/>
      <c r="BI541" s="64"/>
      <c r="BJ541" s="64"/>
      <c r="BK541" s="64"/>
      <c r="BL541" s="64"/>
      <c r="BM541" s="64"/>
      <c r="BN541" s="64"/>
    </row>
    <row r="542" ht="30.0" customHeight="1">
      <c r="A542" s="64"/>
      <c r="B542" s="64"/>
      <c r="C542" s="66"/>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75"/>
      <c r="BB542" s="64"/>
      <c r="BC542" s="64"/>
      <c r="BD542" s="66"/>
      <c r="BE542" s="64"/>
      <c r="BF542" s="64"/>
      <c r="BG542" s="64"/>
      <c r="BH542" s="64"/>
      <c r="BI542" s="64"/>
      <c r="BJ542" s="64"/>
      <c r="BK542" s="64"/>
      <c r="BL542" s="64"/>
      <c r="BM542" s="64"/>
      <c r="BN542" s="64"/>
    </row>
    <row r="543" ht="30.0" customHeight="1">
      <c r="A543" s="64"/>
      <c r="B543" s="64"/>
      <c r="C543" s="66"/>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75"/>
      <c r="BB543" s="64"/>
      <c r="BC543" s="64"/>
      <c r="BD543" s="66"/>
      <c r="BE543" s="64"/>
      <c r="BF543" s="64"/>
      <c r="BG543" s="64"/>
      <c r="BH543" s="64"/>
      <c r="BI543" s="64"/>
      <c r="BJ543" s="64"/>
      <c r="BK543" s="64"/>
      <c r="BL543" s="64"/>
      <c r="BM543" s="64"/>
      <c r="BN543" s="64"/>
    </row>
    <row r="544" ht="30.0" customHeight="1">
      <c r="A544" s="64"/>
      <c r="B544" s="64"/>
      <c r="C544" s="66"/>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75"/>
      <c r="BB544" s="64"/>
      <c r="BC544" s="64"/>
      <c r="BD544" s="66"/>
      <c r="BE544" s="64"/>
      <c r="BF544" s="64"/>
      <c r="BG544" s="64"/>
      <c r="BH544" s="64"/>
      <c r="BI544" s="64"/>
      <c r="BJ544" s="64"/>
      <c r="BK544" s="64"/>
      <c r="BL544" s="64"/>
      <c r="BM544" s="64"/>
      <c r="BN544" s="64"/>
    </row>
    <row r="545" ht="30.0" customHeight="1">
      <c r="A545" s="64"/>
      <c r="B545" s="64"/>
      <c r="C545" s="66"/>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75"/>
      <c r="BB545" s="64"/>
      <c r="BC545" s="64"/>
      <c r="BD545" s="66"/>
      <c r="BE545" s="64"/>
      <c r="BF545" s="64"/>
      <c r="BG545" s="64"/>
      <c r="BH545" s="64"/>
      <c r="BI545" s="64"/>
      <c r="BJ545" s="64"/>
      <c r="BK545" s="64"/>
      <c r="BL545" s="64"/>
      <c r="BM545" s="64"/>
      <c r="BN545" s="64"/>
    </row>
    <row r="546" ht="30.0" customHeight="1">
      <c r="A546" s="64"/>
      <c r="B546" s="64"/>
      <c r="C546" s="66"/>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75"/>
      <c r="BB546" s="64"/>
      <c r="BC546" s="64"/>
      <c r="BD546" s="66"/>
      <c r="BE546" s="64"/>
      <c r="BF546" s="64"/>
      <c r="BG546" s="64"/>
      <c r="BH546" s="64"/>
      <c r="BI546" s="64"/>
      <c r="BJ546" s="64"/>
      <c r="BK546" s="64"/>
      <c r="BL546" s="64"/>
      <c r="BM546" s="64"/>
      <c r="BN546" s="64"/>
    </row>
    <row r="547" ht="30.0" customHeight="1">
      <c r="A547" s="64"/>
      <c r="B547" s="64"/>
      <c r="C547" s="66"/>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75"/>
      <c r="BB547" s="64"/>
      <c r="BC547" s="64"/>
      <c r="BD547" s="66"/>
      <c r="BE547" s="64"/>
      <c r="BF547" s="64"/>
      <c r="BG547" s="64"/>
      <c r="BH547" s="64"/>
      <c r="BI547" s="64"/>
      <c r="BJ547" s="64"/>
      <c r="BK547" s="64"/>
      <c r="BL547" s="64"/>
      <c r="BM547" s="64"/>
      <c r="BN547" s="64"/>
    </row>
    <row r="548" ht="30.0" customHeight="1">
      <c r="A548" s="64"/>
      <c r="B548" s="64"/>
      <c r="C548" s="66"/>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75"/>
      <c r="BB548" s="64"/>
      <c r="BC548" s="64"/>
      <c r="BD548" s="66"/>
      <c r="BE548" s="64"/>
      <c r="BF548" s="64"/>
      <c r="BG548" s="64"/>
      <c r="BH548" s="64"/>
      <c r="BI548" s="64"/>
      <c r="BJ548" s="64"/>
      <c r="BK548" s="64"/>
      <c r="BL548" s="64"/>
      <c r="BM548" s="64"/>
      <c r="BN548" s="64"/>
    </row>
    <row r="549" ht="30.0" customHeight="1">
      <c r="A549" s="64"/>
      <c r="B549" s="64"/>
      <c r="C549" s="66"/>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75"/>
      <c r="BB549" s="64"/>
      <c r="BC549" s="64"/>
      <c r="BD549" s="66"/>
      <c r="BE549" s="64"/>
      <c r="BF549" s="64"/>
      <c r="BG549" s="64"/>
      <c r="BH549" s="64"/>
      <c r="BI549" s="64"/>
      <c r="BJ549" s="64"/>
      <c r="BK549" s="64"/>
      <c r="BL549" s="64"/>
      <c r="BM549" s="64"/>
      <c r="BN549" s="64"/>
    </row>
    <row r="550" ht="30.0" customHeight="1">
      <c r="A550" s="64"/>
      <c r="B550" s="64"/>
      <c r="C550" s="66"/>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75"/>
      <c r="BB550" s="64"/>
      <c r="BC550" s="64"/>
      <c r="BD550" s="66"/>
      <c r="BE550" s="64"/>
      <c r="BF550" s="64"/>
      <c r="BG550" s="64"/>
      <c r="BH550" s="64"/>
      <c r="BI550" s="64"/>
      <c r="BJ550" s="64"/>
      <c r="BK550" s="64"/>
      <c r="BL550" s="64"/>
      <c r="BM550" s="64"/>
      <c r="BN550" s="64"/>
    </row>
    <row r="551" ht="30.0" customHeight="1">
      <c r="A551" s="64"/>
      <c r="B551" s="64"/>
      <c r="C551" s="66"/>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75"/>
      <c r="BB551" s="64"/>
      <c r="BC551" s="64"/>
      <c r="BD551" s="66"/>
      <c r="BE551" s="64"/>
      <c r="BF551" s="64"/>
      <c r="BG551" s="64"/>
      <c r="BH551" s="64"/>
      <c r="BI551" s="64"/>
      <c r="BJ551" s="64"/>
      <c r="BK551" s="64"/>
      <c r="BL551" s="64"/>
      <c r="BM551" s="64"/>
      <c r="BN551" s="64"/>
    </row>
    <row r="552" ht="30.0" customHeight="1">
      <c r="A552" s="64"/>
      <c r="B552" s="64"/>
      <c r="C552" s="66"/>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75"/>
      <c r="BB552" s="64"/>
      <c r="BC552" s="64"/>
      <c r="BD552" s="66"/>
      <c r="BE552" s="64"/>
      <c r="BF552" s="64"/>
      <c r="BG552" s="64"/>
      <c r="BH552" s="64"/>
      <c r="BI552" s="64"/>
      <c r="BJ552" s="64"/>
      <c r="BK552" s="64"/>
      <c r="BL552" s="64"/>
      <c r="BM552" s="64"/>
      <c r="BN552" s="64"/>
    </row>
    <row r="553" ht="30.0" customHeight="1">
      <c r="A553" s="64"/>
      <c r="B553" s="64"/>
      <c r="C553" s="66"/>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75"/>
      <c r="BB553" s="64"/>
      <c r="BC553" s="64"/>
      <c r="BD553" s="66"/>
      <c r="BE553" s="64"/>
      <c r="BF553" s="64"/>
      <c r="BG553" s="64"/>
      <c r="BH553" s="64"/>
      <c r="BI553" s="64"/>
      <c r="BJ553" s="64"/>
      <c r="BK553" s="64"/>
      <c r="BL553" s="64"/>
      <c r="BM553" s="64"/>
      <c r="BN553" s="64"/>
    </row>
    <row r="554" ht="30.0" customHeight="1">
      <c r="A554" s="64"/>
      <c r="B554" s="64"/>
      <c r="C554" s="66"/>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75"/>
      <c r="BB554" s="64"/>
      <c r="BC554" s="64"/>
      <c r="BD554" s="66"/>
      <c r="BE554" s="64"/>
      <c r="BF554" s="64"/>
      <c r="BG554" s="64"/>
      <c r="BH554" s="64"/>
      <c r="BI554" s="64"/>
      <c r="BJ554" s="64"/>
      <c r="BK554" s="64"/>
      <c r="BL554" s="64"/>
      <c r="BM554" s="64"/>
      <c r="BN554" s="64"/>
    </row>
    <row r="555" ht="30.0" customHeight="1">
      <c r="A555" s="64"/>
      <c r="B555" s="64"/>
      <c r="C555" s="66"/>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75"/>
      <c r="BB555" s="64"/>
      <c r="BC555" s="64"/>
      <c r="BD555" s="66"/>
      <c r="BE555" s="64"/>
      <c r="BF555" s="64"/>
      <c r="BG555" s="64"/>
      <c r="BH555" s="64"/>
      <c r="BI555" s="64"/>
      <c r="BJ555" s="64"/>
      <c r="BK555" s="64"/>
      <c r="BL555" s="64"/>
      <c r="BM555" s="64"/>
      <c r="BN555" s="64"/>
    </row>
    <row r="556" ht="30.0" customHeight="1">
      <c r="A556" s="64"/>
      <c r="B556" s="64"/>
      <c r="C556" s="66"/>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75"/>
      <c r="BB556" s="64"/>
      <c r="BC556" s="64"/>
      <c r="BD556" s="66"/>
      <c r="BE556" s="64"/>
      <c r="BF556" s="64"/>
      <c r="BG556" s="64"/>
      <c r="BH556" s="64"/>
      <c r="BI556" s="64"/>
      <c r="BJ556" s="64"/>
      <c r="BK556" s="64"/>
      <c r="BL556" s="64"/>
      <c r="BM556" s="64"/>
      <c r="BN556" s="64"/>
    </row>
    <row r="557" ht="30.0" customHeight="1">
      <c r="A557" s="64"/>
      <c r="B557" s="64"/>
      <c r="C557" s="66"/>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75"/>
      <c r="BB557" s="64"/>
      <c r="BC557" s="64"/>
      <c r="BD557" s="66"/>
      <c r="BE557" s="64"/>
      <c r="BF557" s="64"/>
      <c r="BG557" s="64"/>
      <c r="BH557" s="64"/>
      <c r="BI557" s="64"/>
      <c r="BJ557" s="64"/>
      <c r="BK557" s="64"/>
      <c r="BL557" s="64"/>
      <c r="BM557" s="64"/>
      <c r="BN557" s="64"/>
    </row>
    <row r="558" ht="30.0" customHeight="1">
      <c r="A558" s="64"/>
      <c r="B558" s="64"/>
      <c r="C558" s="66"/>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75"/>
      <c r="BB558" s="64"/>
      <c r="BC558" s="64"/>
      <c r="BD558" s="66"/>
      <c r="BE558" s="64"/>
      <c r="BF558" s="64"/>
      <c r="BG558" s="64"/>
      <c r="BH558" s="64"/>
      <c r="BI558" s="64"/>
      <c r="BJ558" s="64"/>
      <c r="BK558" s="64"/>
      <c r="BL558" s="64"/>
      <c r="BM558" s="64"/>
      <c r="BN558" s="64"/>
    </row>
    <row r="559" ht="30.0" customHeight="1">
      <c r="A559" s="64"/>
      <c r="B559" s="64"/>
      <c r="C559" s="66"/>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75"/>
      <c r="BB559" s="64"/>
      <c r="BC559" s="64"/>
      <c r="BD559" s="66"/>
      <c r="BE559" s="64"/>
      <c r="BF559" s="64"/>
      <c r="BG559" s="64"/>
      <c r="BH559" s="64"/>
      <c r="BI559" s="64"/>
      <c r="BJ559" s="64"/>
      <c r="BK559" s="64"/>
      <c r="BL559" s="64"/>
      <c r="BM559" s="64"/>
      <c r="BN559" s="64"/>
    </row>
    <row r="560" ht="30.0" customHeight="1">
      <c r="A560" s="64"/>
      <c r="B560" s="64"/>
      <c r="C560" s="66"/>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75"/>
      <c r="BB560" s="64"/>
      <c r="BC560" s="64"/>
      <c r="BD560" s="66"/>
      <c r="BE560" s="64"/>
      <c r="BF560" s="64"/>
      <c r="BG560" s="64"/>
      <c r="BH560" s="64"/>
      <c r="BI560" s="64"/>
      <c r="BJ560" s="64"/>
      <c r="BK560" s="64"/>
      <c r="BL560" s="64"/>
      <c r="BM560" s="64"/>
      <c r="BN560" s="64"/>
    </row>
    <row r="561" ht="30.0" customHeight="1">
      <c r="A561" s="64"/>
      <c r="B561" s="64"/>
      <c r="C561" s="66"/>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75"/>
      <c r="BB561" s="64"/>
      <c r="BC561" s="64"/>
      <c r="BD561" s="66"/>
      <c r="BE561" s="64"/>
      <c r="BF561" s="64"/>
      <c r="BG561" s="64"/>
      <c r="BH561" s="64"/>
      <c r="BI561" s="64"/>
      <c r="BJ561" s="64"/>
      <c r="BK561" s="64"/>
      <c r="BL561" s="64"/>
      <c r="BM561" s="64"/>
      <c r="BN561" s="64"/>
    </row>
    <row r="562" ht="30.0" customHeight="1">
      <c r="A562" s="64"/>
      <c r="B562" s="64"/>
      <c r="C562" s="66"/>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75"/>
      <c r="BB562" s="64"/>
      <c r="BC562" s="64"/>
      <c r="BD562" s="66"/>
      <c r="BE562" s="64"/>
      <c r="BF562" s="64"/>
      <c r="BG562" s="64"/>
      <c r="BH562" s="64"/>
      <c r="BI562" s="64"/>
      <c r="BJ562" s="64"/>
      <c r="BK562" s="64"/>
      <c r="BL562" s="64"/>
      <c r="BM562" s="64"/>
      <c r="BN562" s="64"/>
    </row>
    <row r="563" ht="30.0" customHeight="1">
      <c r="A563" s="64"/>
      <c r="B563" s="64"/>
      <c r="C563" s="66"/>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75"/>
      <c r="BB563" s="64"/>
      <c r="BC563" s="64"/>
      <c r="BD563" s="66"/>
      <c r="BE563" s="64"/>
      <c r="BF563" s="64"/>
      <c r="BG563" s="64"/>
      <c r="BH563" s="64"/>
      <c r="BI563" s="64"/>
      <c r="BJ563" s="64"/>
      <c r="BK563" s="64"/>
      <c r="BL563" s="64"/>
      <c r="BM563" s="64"/>
      <c r="BN563" s="64"/>
    </row>
    <row r="564" ht="30.0" customHeight="1">
      <c r="A564" s="64"/>
      <c r="B564" s="64"/>
      <c r="C564" s="66"/>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75"/>
      <c r="BB564" s="64"/>
      <c r="BC564" s="64"/>
      <c r="BD564" s="66"/>
      <c r="BE564" s="64"/>
      <c r="BF564" s="64"/>
      <c r="BG564" s="64"/>
      <c r="BH564" s="64"/>
      <c r="BI564" s="64"/>
      <c r="BJ564" s="64"/>
      <c r="BK564" s="64"/>
      <c r="BL564" s="64"/>
      <c r="BM564" s="64"/>
      <c r="BN564" s="64"/>
    </row>
    <row r="565" ht="30.0" customHeight="1">
      <c r="A565" s="64"/>
      <c r="B565" s="64"/>
      <c r="C565" s="66"/>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75"/>
      <c r="BB565" s="64"/>
      <c r="BC565" s="64"/>
      <c r="BD565" s="66"/>
      <c r="BE565" s="64"/>
      <c r="BF565" s="64"/>
      <c r="BG565" s="64"/>
      <c r="BH565" s="64"/>
      <c r="BI565" s="64"/>
      <c r="BJ565" s="64"/>
      <c r="BK565" s="64"/>
      <c r="BL565" s="64"/>
      <c r="BM565" s="64"/>
      <c r="BN565" s="64"/>
    </row>
    <row r="566" ht="30.0" customHeight="1">
      <c r="A566" s="64"/>
      <c r="B566" s="64"/>
      <c r="C566" s="66"/>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75"/>
      <c r="BB566" s="64"/>
      <c r="BC566" s="64"/>
      <c r="BD566" s="66"/>
      <c r="BE566" s="64"/>
      <c r="BF566" s="64"/>
      <c r="BG566" s="64"/>
      <c r="BH566" s="64"/>
      <c r="BI566" s="64"/>
      <c r="BJ566" s="64"/>
      <c r="BK566" s="64"/>
      <c r="BL566" s="64"/>
      <c r="BM566" s="64"/>
      <c r="BN566" s="64"/>
    </row>
    <row r="567" ht="30.0" customHeight="1">
      <c r="A567" s="64"/>
      <c r="B567" s="64"/>
      <c r="C567" s="66"/>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75"/>
      <c r="BB567" s="64"/>
      <c r="BC567" s="64"/>
      <c r="BD567" s="66"/>
      <c r="BE567" s="64"/>
      <c r="BF567" s="64"/>
      <c r="BG567" s="64"/>
      <c r="BH567" s="64"/>
      <c r="BI567" s="64"/>
      <c r="BJ567" s="64"/>
      <c r="BK567" s="64"/>
      <c r="BL567" s="64"/>
      <c r="BM567" s="64"/>
      <c r="BN567" s="64"/>
    </row>
    <row r="568" ht="30.0" customHeight="1">
      <c r="A568" s="64"/>
      <c r="B568" s="64"/>
      <c r="C568" s="66"/>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75"/>
      <c r="BB568" s="64"/>
      <c r="BC568" s="64"/>
      <c r="BD568" s="66"/>
      <c r="BE568" s="64"/>
      <c r="BF568" s="64"/>
      <c r="BG568" s="64"/>
      <c r="BH568" s="64"/>
      <c r="BI568" s="64"/>
      <c r="BJ568" s="64"/>
      <c r="BK568" s="64"/>
      <c r="BL568" s="64"/>
      <c r="BM568" s="64"/>
      <c r="BN568" s="64"/>
    </row>
    <row r="569" ht="30.0" customHeight="1">
      <c r="A569" s="64"/>
      <c r="B569" s="64"/>
      <c r="C569" s="66"/>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75"/>
      <c r="BB569" s="64"/>
      <c r="BC569" s="64"/>
      <c r="BD569" s="66"/>
      <c r="BE569" s="64"/>
      <c r="BF569" s="64"/>
      <c r="BG569" s="64"/>
      <c r="BH569" s="64"/>
      <c r="BI569" s="64"/>
      <c r="BJ569" s="64"/>
      <c r="BK569" s="64"/>
      <c r="BL569" s="64"/>
      <c r="BM569" s="64"/>
      <c r="BN569" s="64"/>
    </row>
    <row r="570" ht="30.0" customHeight="1">
      <c r="A570" s="64"/>
      <c r="B570" s="64"/>
      <c r="C570" s="66"/>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75"/>
      <c r="BB570" s="64"/>
      <c r="BC570" s="64"/>
      <c r="BD570" s="66"/>
      <c r="BE570" s="64"/>
      <c r="BF570" s="64"/>
      <c r="BG570" s="64"/>
      <c r="BH570" s="64"/>
      <c r="BI570" s="64"/>
      <c r="BJ570" s="64"/>
      <c r="BK570" s="64"/>
      <c r="BL570" s="64"/>
      <c r="BM570" s="64"/>
      <c r="BN570" s="64"/>
    </row>
    <row r="571" ht="30.0" customHeight="1">
      <c r="A571" s="64"/>
      <c r="B571" s="64"/>
      <c r="C571" s="66"/>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75"/>
      <c r="BB571" s="64"/>
      <c r="BC571" s="64"/>
      <c r="BD571" s="66"/>
      <c r="BE571" s="64"/>
      <c r="BF571" s="64"/>
      <c r="BG571" s="64"/>
      <c r="BH571" s="64"/>
      <c r="BI571" s="64"/>
      <c r="BJ571" s="64"/>
      <c r="BK571" s="64"/>
      <c r="BL571" s="64"/>
      <c r="BM571" s="64"/>
      <c r="BN571" s="64"/>
    </row>
    <row r="572" ht="30.0" customHeight="1">
      <c r="A572" s="64"/>
      <c r="B572" s="64"/>
      <c r="C572" s="66"/>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75"/>
      <c r="BB572" s="64"/>
      <c r="BC572" s="64"/>
      <c r="BD572" s="66"/>
      <c r="BE572" s="64"/>
      <c r="BF572" s="64"/>
      <c r="BG572" s="64"/>
      <c r="BH572" s="64"/>
      <c r="BI572" s="64"/>
      <c r="BJ572" s="64"/>
      <c r="BK572" s="64"/>
      <c r="BL572" s="64"/>
      <c r="BM572" s="64"/>
      <c r="BN572" s="64"/>
    </row>
    <row r="573" ht="30.0" customHeight="1">
      <c r="A573" s="64"/>
      <c r="B573" s="64"/>
      <c r="C573" s="66"/>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75"/>
      <c r="BB573" s="64"/>
      <c r="BC573" s="64"/>
      <c r="BD573" s="66"/>
      <c r="BE573" s="64"/>
      <c r="BF573" s="64"/>
      <c r="BG573" s="64"/>
      <c r="BH573" s="64"/>
      <c r="BI573" s="64"/>
      <c r="BJ573" s="64"/>
      <c r="BK573" s="64"/>
      <c r="BL573" s="64"/>
      <c r="BM573" s="64"/>
      <c r="BN573" s="64"/>
    </row>
    <row r="574" ht="30.0" customHeight="1">
      <c r="A574" s="64"/>
      <c r="B574" s="64"/>
      <c r="C574" s="66"/>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75"/>
      <c r="BB574" s="64"/>
      <c r="BC574" s="64"/>
      <c r="BD574" s="66"/>
      <c r="BE574" s="64"/>
      <c r="BF574" s="64"/>
      <c r="BG574" s="64"/>
      <c r="BH574" s="64"/>
      <c r="BI574" s="64"/>
      <c r="BJ574" s="64"/>
      <c r="BK574" s="64"/>
      <c r="BL574" s="64"/>
      <c r="BM574" s="64"/>
      <c r="BN574" s="64"/>
    </row>
    <row r="575" ht="30.0" customHeight="1">
      <c r="A575" s="64"/>
      <c r="B575" s="64"/>
      <c r="C575" s="66"/>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75"/>
      <c r="BB575" s="64"/>
      <c r="BC575" s="64"/>
      <c r="BD575" s="66"/>
      <c r="BE575" s="64"/>
      <c r="BF575" s="64"/>
      <c r="BG575" s="64"/>
      <c r="BH575" s="64"/>
      <c r="BI575" s="64"/>
      <c r="BJ575" s="64"/>
      <c r="BK575" s="64"/>
      <c r="BL575" s="64"/>
      <c r="BM575" s="64"/>
      <c r="BN575" s="64"/>
    </row>
    <row r="576" ht="30.0" customHeight="1">
      <c r="A576" s="64"/>
      <c r="B576" s="64"/>
      <c r="C576" s="66"/>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75"/>
      <c r="BB576" s="64"/>
      <c r="BC576" s="64"/>
      <c r="BD576" s="66"/>
      <c r="BE576" s="64"/>
      <c r="BF576" s="64"/>
      <c r="BG576" s="64"/>
      <c r="BH576" s="64"/>
      <c r="BI576" s="64"/>
      <c r="BJ576" s="64"/>
      <c r="BK576" s="64"/>
      <c r="BL576" s="64"/>
      <c r="BM576" s="64"/>
      <c r="BN576" s="64"/>
    </row>
    <row r="577" ht="30.0" customHeight="1">
      <c r="A577" s="64"/>
      <c r="B577" s="64"/>
      <c r="C577" s="66"/>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75"/>
      <c r="BB577" s="64"/>
      <c r="BC577" s="64"/>
      <c r="BD577" s="66"/>
      <c r="BE577" s="64"/>
      <c r="BF577" s="64"/>
      <c r="BG577" s="64"/>
      <c r="BH577" s="64"/>
      <c r="BI577" s="64"/>
      <c r="BJ577" s="64"/>
      <c r="BK577" s="64"/>
      <c r="BL577" s="64"/>
      <c r="BM577" s="64"/>
      <c r="BN577" s="64"/>
    </row>
    <row r="578" ht="30.0" customHeight="1">
      <c r="A578" s="64"/>
      <c r="B578" s="64"/>
      <c r="C578" s="66"/>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75"/>
      <c r="BB578" s="64"/>
      <c r="BC578" s="64"/>
      <c r="BD578" s="66"/>
      <c r="BE578" s="64"/>
      <c r="BF578" s="64"/>
      <c r="BG578" s="64"/>
      <c r="BH578" s="64"/>
      <c r="BI578" s="64"/>
      <c r="BJ578" s="64"/>
      <c r="BK578" s="64"/>
      <c r="BL578" s="64"/>
      <c r="BM578" s="64"/>
      <c r="BN578" s="64"/>
    </row>
    <row r="579" ht="30.0" customHeight="1">
      <c r="A579" s="64"/>
      <c r="B579" s="64"/>
      <c r="C579" s="66"/>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75"/>
      <c r="BB579" s="64"/>
      <c r="BC579" s="64"/>
      <c r="BD579" s="66"/>
      <c r="BE579" s="64"/>
      <c r="BF579" s="64"/>
      <c r="BG579" s="64"/>
      <c r="BH579" s="64"/>
      <c r="BI579" s="64"/>
      <c r="BJ579" s="64"/>
      <c r="BK579" s="64"/>
      <c r="BL579" s="64"/>
      <c r="BM579" s="64"/>
      <c r="BN579" s="64"/>
    </row>
    <row r="580" ht="30.0" customHeight="1">
      <c r="A580" s="64"/>
      <c r="B580" s="64"/>
      <c r="C580" s="66"/>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75"/>
      <c r="BB580" s="64"/>
      <c r="BC580" s="64"/>
      <c r="BD580" s="66"/>
      <c r="BE580" s="64"/>
      <c r="BF580" s="64"/>
      <c r="BG580" s="64"/>
      <c r="BH580" s="64"/>
      <c r="BI580" s="64"/>
      <c r="BJ580" s="64"/>
      <c r="BK580" s="64"/>
      <c r="BL580" s="64"/>
      <c r="BM580" s="64"/>
      <c r="BN580" s="64"/>
    </row>
    <row r="581" ht="30.0" customHeight="1">
      <c r="A581" s="64"/>
      <c r="B581" s="64"/>
      <c r="C581" s="66"/>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75"/>
      <c r="BB581" s="64"/>
      <c r="BC581" s="64"/>
      <c r="BD581" s="66"/>
      <c r="BE581" s="64"/>
      <c r="BF581" s="64"/>
      <c r="BG581" s="64"/>
      <c r="BH581" s="64"/>
      <c r="BI581" s="64"/>
      <c r="BJ581" s="64"/>
      <c r="BK581" s="64"/>
      <c r="BL581" s="64"/>
      <c r="BM581" s="64"/>
      <c r="BN581" s="64"/>
    </row>
    <row r="582" ht="30.0" customHeight="1">
      <c r="A582" s="64"/>
      <c r="B582" s="64"/>
      <c r="C582" s="66"/>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75"/>
      <c r="BB582" s="64"/>
      <c r="BC582" s="64"/>
      <c r="BD582" s="66"/>
      <c r="BE582" s="64"/>
      <c r="BF582" s="64"/>
      <c r="BG582" s="64"/>
      <c r="BH582" s="64"/>
      <c r="BI582" s="64"/>
      <c r="BJ582" s="64"/>
      <c r="BK582" s="64"/>
      <c r="BL582" s="64"/>
      <c r="BM582" s="64"/>
      <c r="BN582" s="64"/>
    </row>
    <row r="583" ht="30.0" customHeight="1">
      <c r="A583" s="64"/>
      <c r="B583" s="64"/>
      <c r="C583" s="66"/>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75"/>
      <c r="BB583" s="64"/>
      <c r="BC583" s="64"/>
      <c r="BD583" s="66"/>
      <c r="BE583" s="64"/>
      <c r="BF583" s="64"/>
      <c r="BG583" s="64"/>
      <c r="BH583" s="64"/>
      <c r="BI583" s="64"/>
      <c r="BJ583" s="64"/>
      <c r="BK583" s="64"/>
      <c r="BL583" s="64"/>
      <c r="BM583" s="64"/>
      <c r="BN583" s="64"/>
    </row>
    <row r="584" ht="30.0" customHeight="1">
      <c r="A584" s="64"/>
      <c r="B584" s="64"/>
      <c r="C584" s="66"/>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75"/>
      <c r="BB584" s="64"/>
      <c r="BC584" s="64"/>
      <c r="BD584" s="66"/>
      <c r="BE584" s="64"/>
      <c r="BF584" s="64"/>
      <c r="BG584" s="64"/>
      <c r="BH584" s="64"/>
      <c r="BI584" s="64"/>
      <c r="BJ584" s="64"/>
      <c r="BK584" s="64"/>
      <c r="BL584" s="64"/>
      <c r="BM584" s="64"/>
      <c r="BN584" s="64"/>
    </row>
    <row r="585" ht="30.0" customHeight="1">
      <c r="A585" s="64"/>
      <c r="B585" s="64"/>
      <c r="C585" s="66"/>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75"/>
      <c r="BB585" s="64"/>
      <c r="BC585" s="64"/>
      <c r="BD585" s="66"/>
      <c r="BE585" s="64"/>
      <c r="BF585" s="64"/>
      <c r="BG585" s="64"/>
      <c r="BH585" s="64"/>
      <c r="BI585" s="64"/>
      <c r="BJ585" s="64"/>
      <c r="BK585" s="64"/>
      <c r="BL585" s="64"/>
      <c r="BM585" s="64"/>
      <c r="BN585" s="64"/>
    </row>
    <row r="586" ht="30.0" customHeight="1">
      <c r="A586" s="64"/>
      <c r="B586" s="64"/>
      <c r="C586" s="66"/>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75"/>
      <c r="BB586" s="64"/>
      <c r="BC586" s="64"/>
      <c r="BD586" s="66"/>
      <c r="BE586" s="64"/>
      <c r="BF586" s="64"/>
      <c r="BG586" s="64"/>
      <c r="BH586" s="64"/>
      <c r="BI586" s="64"/>
      <c r="BJ586" s="64"/>
      <c r="BK586" s="64"/>
      <c r="BL586" s="64"/>
      <c r="BM586" s="64"/>
      <c r="BN586" s="64"/>
    </row>
    <row r="587" ht="30.0" customHeight="1">
      <c r="A587" s="64"/>
      <c r="B587" s="64"/>
      <c r="C587" s="66"/>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75"/>
      <c r="BB587" s="64"/>
      <c r="BC587" s="64"/>
      <c r="BD587" s="66"/>
      <c r="BE587" s="64"/>
      <c r="BF587" s="64"/>
      <c r="BG587" s="64"/>
      <c r="BH587" s="64"/>
      <c r="BI587" s="64"/>
      <c r="BJ587" s="64"/>
      <c r="BK587" s="64"/>
      <c r="BL587" s="64"/>
      <c r="BM587" s="64"/>
      <c r="BN587" s="64"/>
    </row>
    <row r="588" ht="30.0" customHeight="1">
      <c r="A588" s="64"/>
      <c r="B588" s="64"/>
      <c r="C588" s="66"/>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75"/>
      <c r="BB588" s="64"/>
      <c r="BC588" s="64"/>
      <c r="BD588" s="66"/>
      <c r="BE588" s="64"/>
      <c r="BF588" s="64"/>
      <c r="BG588" s="64"/>
      <c r="BH588" s="64"/>
      <c r="BI588" s="64"/>
      <c r="BJ588" s="64"/>
      <c r="BK588" s="64"/>
      <c r="BL588" s="64"/>
      <c r="BM588" s="64"/>
      <c r="BN588" s="64"/>
    </row>
    <row r="589" ht="30.0" customHeight="1">
      <c r="A589" s="64"/>
      <c r="B589" s="64"/>
      <c r="C589" s="66"/>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75"/>
      <c r="BB589" s="64"/>
      <c r="BC589" s="64"/>
      <c r="BD589" s="66"/>
      <c r="BE589" s="64"/>
      <c r="BF589" s="64"/>
      <c r="BG589" s="64"/>
      <c r="BH589" s="64"/>
      <c r="BI589" s="64"/>
      <c r="BJ589" s="64"/>
      <c r="BK589" s="64"/>
      <c r="BL589" s="64"/>
      <c r="BM589" s="64"/>
      <c r="BN589" s="64"/>
    </row>
    <row r="590" ht="30.0" customHeight="1">
      <c r="A590" s="64"/>
      <c r="B590" s="64"/>
      <c r="C590" s="66"/>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75"/>
      <c r="BB590" s="64"/>
      <c r="BC590" s="64"/>
      <c r="BD590" s="66"/>
      <c r="BE590" s="64"/>
      <c r="BF590" s="64"/>
      <c r="BG590" s="64"/>
      <c r="BH590" s="64"/>
      <c r="BI590" s="64"/>
      <c r="BJ590" s="64"/>
      <c r="BK590" s="64"/>
      <c r="BL590" s="64"/>
      <c r="BM590" s="64"/>
      <c r="BN590" s="64"/>
    </row>
    <row r="591" ht="30.0" customHeight="1">
      <c r="A591" s="64"/>
      <c r="B591" s="64"/>
      <c r="C591" s="66"/>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75"/>
      <c r="BB591" s="64"/>
      <c r="BC591" s="64"/>
      <c r="BD591" s="66"/>
      <c r="BE591" s="64"/>
      <c r="BF591" s="64"/>
      <c r="BG591" s="64"/>
      <c r="BH591" s="64"/>
      <c r="BI591" s="64"/>
      <c r="BJ591" s="64"/>
      <c r="BK591" s="64"/>
      <c r="BL591" s="64"/>
      <c r="BM591" s="64"/>
      <c r="BN591" s="64"/>
    </row>
    <row r="592" ht="30.0" customHeight="1">
      <c r="A592" s="64"/>
      <c r="B592" s="64"/>
      <c r="C592" s="66"/>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75"/>
      <c r="BB592" s="64"/>
      <c r="BC592" s="64"/>
      <c r="BD592" s="66"/>
      <c r="BE592" s="64"/>
      <c r="BF592" s="64"/>
      <c r="BG592" s="64"/>
      <c r="BH592" s="64"/>
      <c r="BI592" s="64"/>
      <c r="BJ592" s="64"/>
      <c r="BK592" s="64"/>
      <c r="BL592" s="64"/>
      <c r="BM592" s="64"/>
      <c r="BN592" s="64"/>
    </row>
    <row r="593" ht="30.0" customHeight="1">
      <c r="A593" s="64"/>
      <c r="B593" s="64"/>
      <c r="C593" s="66"/>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75"/>
      <c r="BB593" s="64"/>
      <c r="BC593" s="64"/>
      <c r="BD593" s="66"/>
      <c r="BE593" s="64"/>
      <c r="BF593" s="64"/>
      <c r="BG593" s="64"/>
      <c r="BH593" s="64"/>
      <c r="BI593" s="64"/>
      <c r="BJ593" s="64"/>
      <c r="BK593" s="64"/>
      <c r="BL593" s="64"/>
      <c r="BM593" s="64"/>
      <c r="BN593" s="64"/>
    </row>
    <row r="594" ht="30.0" customHeight="1">
      <c r="A594" s="64"/>
      <c r="B594" s="64"/>
      <c r="C594" s="66"/>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75"/>
      <c r="BB594" s="64"/>
      <c r="BC594" s="64"/>
      <c r="BD594" s="66"/>
      <c r="BE594" s="64"/>
      <c r="BF594" s="64"/>
      <c r="BG594" s="64"/>
      <c r="BH594" s="64"/>
      <c r="BI594" s="64"/>
      <c r="BJ594" s="64"/>
      <c r="BK594" s="64"/>
      <c r="BL594" s="64"/>
      <c r="BM594" s="64"/>
      <c r="BN594" s="64"/>
    </row>
    <row r="595" ht="30.0" customHeight="1">
      <c r="A595" s="64"/>
      <c r="B595" s="64"/>
      <c r="C595" s="66"/>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75"/>
      <c r="BB595" s="64"/>
      <c r="BC595" s="64"/>
      <c r="BD595" s="66"/>
      <c r="BE595" s="64"/>
      <c r="BF595" s="64"/>
      <c r="BG595" s="64"/>
      <c r="BH595" s="64"/>
      <c r="BI595" s="64"/>
      <c r="BJ595" s="64"/>
      <c r="BK595" s="64"/>
      <c r="BL595" s="64"/>
      <c r="BM595" s="64"/>
      <c r="BN595" s="64"/>
    </row>
    <row r="596" ht="30.0" customHeight="1">
      <c r="A596" s="64"/>
      <c r="B596" s="64"/>
      <c r="C596" s="66"/>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75"/>
      <c r="BB596" s="64"/>
      <c r="BC596" s="64"/>
      <c r="BD596" s="66"/>
      <c r="BE596" s="64"/>
      <c r="BF596" s="64"/>
      <c r="BG596" s="64"/>
      <c r="BH596" s="64"/>
      <c r="BI596" s="64"/>
      <c r="BJ596" s="64"/>
      <c r="BK596" s="64"/>
      <c r="BL596" s="64"/>
      <c r="BM596" s="64"/>
      <c r="BN596" s="64"/>
    </row>
    <row r="597" ht="30.0" customHeight="1">
      <c r="A597" s="64"/>
      <c r="B597" s="64"/>
      <c r="C597" s="66"/>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75"/>
      <c r="BB597" s="64"/>
      <c r="BC597" s="64"/>
      <c r="BD597" s="66"/>
      <c r="BE597" s="64"/>
      <c r="BF597" s="64"/>
      <c r="BG597" s="64"/>
      <c r="BH597" s="64"/>
      <c r="BI597" s="64"/>
      <c r="BJ597" s="64"/>
      <c r="BK597" s="64"/>
      <c r="BL597" s="64"/>
      <c r="BM597" s="64"/>
      <c r="BN597" s="64"/>
    </row>
    <row r="598" ht="30.0" customHeight="1">
      <c r="A598" s="64"/>
      <c r="B598" s="64"/>
      <c r="C598" s="66"/>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75"/>
      <c r="BB598" s="64"/>
      <c r="BC598" s="64"/>
      <c r="BD598" s="66"/>
      <c r="BE598" s="64"/>
      <c r="BF598" s="64"/>
      <c r="BG598" s="64"/>
      <c r="BH598" s="64"/>
      <c r="BI598" s="64"/>
      <c r="BJ598" s="64"/>
      <c r="BK598" s="64"/>
      <c r="BL598" s="64"/>
      <c r="BM598" s="64"/>
      <c r="BN598" s="64"/>
    </row>
    <row r="599" ht="30.0" customHeight="1">
      <c r="A599" s="64"/>
      <c r="B599" s="64"/>
      <c r="C599" s="66"/>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75"/>
      <c r="BB599" s="64"/>
      <c r="BC599" s="64"/>
      <c r="BD599" s="66"/>
      <c r="BE599" s="64"/>
      <c r="BF599" s="64"/>
      <c r="BG599" s="64"/>
      <c r="BH599" s="64"/>
      <c r="BI599" s="64"/>
      <c r="BJ599" s="64"/>
      <c r="BK599" s="64"/>
      <c r="BL599" s="64"/>
      <c r="BM599" s="64"/>
      <c r="BN599" s="64"/>
    </row>
    <row r="600" ht="30.0" customHeight="1">
      <c r="A600" s="64"/>
      <c r="B600" s="64"/>
      <c r="C600" s="66"/>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75"/>
      <c r="BB600" s="64"/>
      <c r="BC600" s="64"/>
      <c r="BD600" s="66"/>
      <c r="BE600" s="64"/>
      <c r="BF600" s="64"/>
      <c r="BG600" s="64"/>
      <c r="BH600" s="64"/>
      <c r="BI600" s="64"/>
      <c r="BJ600" s="64"/>
      <c r="BK600" s="64"/>
      <c r="BL600" s="64"/>
      <c r="BM600" s="64"/>
      <c r="BN600" s="64"/>
    </row>
    <row r="601" ht="30.0" customHeight="1">
      <c r="A601" s="64"/>
      <c r="B601" s="64"/>
      <c r="C601" s="66"/>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75"/>
      <c r="BB601" s="64"/>
      <c r="BC601" s="64"/>
      <c r="BD601" s="66"/>
      <c r="BE601" s="64"/>
      <c r="BF601" s="64"/>
      <c r="BG601" s="64"/>
      <c r="BH601" s="64"/>
      <c r="BI601" s="64"/>
      <c r="BJ601" s="64"/>
      <c r="BK601" s="64"/>
      <c r="BL601" s="64"/>
      <c r="BM601" s="64"/>
      <c r="BN601" s="64"/>
    </row>
    <row r="602" ht="30.0" customHeight="1">
      <c r="A602" s="64"/>
      <c r="B602" s="64"/>
      <c r="C602" s="66"/>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75"/>
      <c r="BB602" s="64"/>
      <c r="BC602" s="64"/>
      <c r="BD602" s="66"/>
      <c r="BE602" s="64"/>
      <c r="BF602" s="64"/>
      <c r="BG602" s="64"/>
      <c r="BH602" s="64"/>
      <c r="BI602" s="64"/>
      <c r="BJ602" s="64"/>
      <c r="BK602" s="64"/>
      <c r="BL602" s="64"/>
      <c r="BM602" s="64"/>
      <c r="BN602" s="64"/>
    </row>
    <row r="603" ht="30.0" customHeight="1">
      <c r="A603" s="64"/>
      <c r="B603" s="64"/>
      <c r="C603" s="66"/>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75"/>
      <c r="BB603" s="64"/>
      <c r="BC603" s="64"/>
      <c r="BD603" s="66"/>
      <c r="BE603" s="64"/>
      <c r="BF603" s="64"/>
      <c r="BG603" s="64"/>
      <c r="BH603" s="64"/>
      <c r="BI603" s="64"/>
      <c r="BJ603" s="64"/>
      <c r="BK603" s="64"/>
      <c r="BL603" s="64"/>
      <c r="BM603" s="64"/>
      <c r="BN603" s="64"/>
    </row>
    <row r="604" ht="30.0" customHeight="1">
      <c r="A604" s="64"/>
      <c r="B604" s="64"/>
      <c r="C604" s="66"/>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75"/>
      <c r="BB604" s="64"/>
      <c r="BC604" s="64"/>
      <c r="BD604" s="66"/>
      <c r="BE604" s="64"/>
      <c r="BF604" s="64"/>
      <c r="BG604" s="64"/>
      <c r="BH604" s="64"/>
      <c r="BI604" s="64"/>
      <c r="BJ604" s="64"/>
      <c r="BK604" s="64"/>
      <c r="BL604" s="64"/>
      <c r="BM604" s="64"/>
      <c r="BN604" s="64"/>
    </row>
    <row r="605" ht="30.0" customHeight="1">
      <c r="A605" s="64"/>
      <c r="B605" s="64"/>
      <c r="C605" s="66"/>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75"/>
      <c r="BB605" s="64"/>
      <c r="BC605" s="64"/>
      <c r="BD605" s="66"/>
      <c r="BE605" s="64"/>
      <c r="BF605" s="64"/>
      <c r="BG605" s="64"/>
      <c r="BH605" s="64"/>
      <c r="BI605" s="64"/>
      <c r="BJ605" s="64"/>
      <c r="BK605" s="64"/>
      <c r="BL605" s="64"/>
      <c r="BM605" s="64"/>
      <c r="BN605" s="64"/>
    </row>
    <row r="606" ht="30.0" customHeight="1">
      <c r="A606" s="64"/>
      <c r="B606" s="64"/>
      <c r="C606" s="66"/>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75"/>
      <c r="BB606" s="64"/>
      <c r="BC606" s="64"/>
      <c r="BD606" s="66"/>
      <c r="BE606" s="64"/>
      <c r="BF606" s="64"/>
      <c r="BG606" s="64"/>
      <c r="BH606" s="64"/>
      <c r="BI606" s="64"/>
      <c r="BJ606" s="64"/>
      <c r="BK606" s="64"/>
      <c r="BL606" s="64"/>
      <c r="BM606" s="64"/>
      <c r="BN606" s="64"/>
    </row>
    <row r="607" ht="30.0" customHeight="1">
      <c r="A607" s="64"/>
      <c r="B607" s="64"/>
      <c r="C607" s="66"/>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75"/>
      <c r="BB607" s="64"/>
      <c r="BC607" s="64"/>
      <c r="BD607" s="66"/>
      <c r="BE607" s="64"/>
      <c r="BF607" s="64"/>
      <c r="BG607" s="64"/>
      <c r="BH607" s="64"/>
      <c r="BI607" s="64"/>
      <c r="BJ607" s="64"/>
      <c r="BK607" s="64"/>
      <c r="BL607" s="64"/>
      <c r="BM607" s="64"/>
      <c r="BN607" s="64"/>
    </row>
    <row r="608" ht="30.0" customHeight="1">
      <c r="A608" s="64"/>
      <c r="B608" s="64"/>
      <c r="C608" s="66"/>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75"/>
      <c r="BB608" s="64"/>
      <c r="BC608" s="64"/>
      <c r="BD608" s="66"/>
      <c r="BE608" s="64"/>
      <c r="BF608" s="64"/>
      <c r="BG608" s="64"/>
      <c r="BH608" s="64"/>
      <c r="BI608" s="64"/>
      <c r="BJ608" s="64"/>
      <c r="BK608" s="64"/>
      <c r="BL608" s="64"/>
      <c r="BM608" s="64"/>
      <c r="BN608" s="64"/>
    </row>
    <row r="609" ht="30.0" customHeight="1">
      <c r="A609" s="64"/>
      <c r="B609" s="64"/>
      <c r="C609" s="66"/>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75"/>
      <c r="BB609" s="64"/>
      <c r="BC609" s="64"/>
      <c r="BD609" s="66"/>
      <c r="BE609" s="64"/>
      <c r="BF609" s="64"/>
      <c r="BG609" s="64"/>
      <c r="BH609" s="64"/>
      <c r="BI609" s="64"/>
      <c r="BJ609" s="64"/>
      <c r="BK609" s="64"/>
      <c r="BL609" s="64"/>
      <c r="BM609" s="64"/>
      <c r="BN609" s="64"/>
    </row>
    <row r="610" ht="30.0" customHeight="1">
      <c r="A610" s="64"/>
      <c r="B610" s="64"/>
      <c r="C610" s="66"/>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75"/>
      <c r="BB610" s="64"/>
      <c r="BC610" s="64"/>
      <c r="BD610" s="66"/>
      <c r="BE610" s="64"/>
      <c r="BF610" s="64"/>
      <c r="BG610" s="64"/>
      <c r="BH610" s="64"/>
      <c r="BI610" s="64"/>
      <c r="BJ610" s="64"/>
      <c r="BK610" s="64"/>
      <c r="BL610" s="64"/>
      <c r="BM610" s="64"/>
      <c r="BN610" s="64"/>
    </row>
    <row r="611" ht="30.0" customHeight="1">
      <c r="A611" s="64"/>
      <c r="B611" s="64"/>
      <c r="C611" s="66"/>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75"/>
      <c r="BB611" s="64"/>
      <c r="BC611" s="64"/>
      <c r="BD611" s="66"/>
      <c r="BE611" s="64"/>
      <c r="BF611" s="64"/>
      <c r="BG611" s="64"/>
      <c r="BH611" s="64"/>
      <c r="BI611" s="64"/>
      <c r="BJ611" s="64"/>
      <c r="BK611" s="64"/>
      <c r="BL611" s="64"/>
      <c r="BM611" s="64"/>
      <c r="BN611" s="64"/>
    </row>
    <row r="612" ht="30.0" customHeight="1">
      <c r="A612" s="64"/>
      <c r="B612" s="64"/>
      <c r="C612" s="66"/>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75"/>
      <c r="BB612" s="64"/>
      <c r="BC612" s="64"/>
      <c r="BD612" s="66"/>
      <c r="BE612" s="64"/>
      <c r="BF612" s="64"/>
      <c r="BG612" s="64"/>
      <c r="BH612" s="64"/>
      <c r="BI612" s="64"/>
      <c r="BJ612" s="64"/>
      <c r="BK612" s="64"/>
      <c r="BL612" s="64"/>
      <c r="BM612" s="64"/>
      <c r="BN612" s="64"/>
    </row>
    <row r="613" ht="30.0" customHeight="1">
      <c r="A613" s="64"/>
      <c r="B613" s="64"/>
      <c r="C613" s="66"/>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75"/>
      <c r="BB613" s="64"/>
      <c r="BC613" s="64"/>
      <c r="BD613" s="66"/>
      <c r="BE613" s="64"/>
      <c r="BF613" s="64"/>
      <c r="BG613" s="64"/>
      <c r="BH613" s="64"/>
      <c r="BI613" s="64"/>
      <c r="BJ613" s="64"/>
      <c r="BK613" s="64"/>
      <c r="BL613" s="64"/>
      <c r="BM613" s="64"/>
      <c r="BN613" s="64"/>
    </row>
    <row r="614" ht="30.0" customHeight="1">
      <c r="A614" s="64"/>
      <c r="B614" s="64"/>
      <c r="C614" s="66"/>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75"/>
      <c r="BB614" s="64"/>
      <c r="BC614" s="64"/>
      <c r="BD614" s="66"/>
      <c r="BE614" s="64"/>
      <c r="BF614" s="64"/>
      <c r="BG614" s="64"/>
      <c r="BH614" s="64"/>
      <c r="BI614" s="64"/>
      <c r="BJ614" s="64"/>
      <c r="BK614" s="64"/>
      <c r="BL614" s="64"/>
      <c r="BM614" s="64"/>
      <c r="BN614" s="64"/>
    </row>
    <row r="615" ht="30.0" customHeight="1">
      <c r="A615" s="64"/>
      <c r="B615" s="64"/>
      <c r="C615" s="66"/>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75"/>
      <c r="BB615" s="64"/>
      <c r="BC615" s="64"/>
      <c r="BD615" s="66"/>
      <c r="BE615" s="64"/>
      <c r="BF615" s="64"/>
      <c r="BG615" s="64"/>
      <c r="BH615" s="64"/>
      <c r="BI615" s="64"/>
      <c r="BJ615" s="64"/>
      <c r="BK615" s="64"/>
      <c r="BL615" s="64"/>
      <c r="BM615" s="64"/>
      <c r="BN615" s="64"/>
    </row>
    <row r="616" ht="30.0" customHeight="1">
      <c r="A616" s="64"/>
      <c r="B616" s="64"/>
      <c r="C616" s="66"/>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75"/>
      <c r="BB616" s="64"/>
      <c r="BC616" s="64"/>
      <c r="BD616" s="66"/>
      <c r="BE616" s="64"/>
      <c r="BF616" s="64"/>
      <c r="BG616" s="64"/>
      <c r="BH616" s="64"/>
      <c r="BI616" s="64"/>
      <c r="BJ616" s="64"/>
      <c r="BK616" s="64"/>
      <c r="BL616" s="64"/>
      <c r="BM616" s="64"/>
      <c r="BN616" s="64"/>
    </row>
    <row r="617" ht="30.0" customHeight="1">
      <c r="A617" s="64"/>
      <c r="B617" s="64"/>
      <c r="C617" s="66"/>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75"/>
      <c r="BB617" s="64"/>
      <c r="BC617" s="64"/>
      <c r="BD617" s="66"/>
      <c r="BE617" s="64"/>
      <c r="BF617" s="64"/>
      <c r="BG617" s="64"/>
      <c r="BH617" s="64"/>
      <c r="BI617" s="64"/>
      <c r="BJ617" s="64"/>
      <c r="BK617" s="64"/>
      <c r="BL617" s="64"/>
      <c r="BM617" s="64"/>
      <c r="BN617" s="64"/>
    </row>
    <row r="618" ht="30.0" customHeight="1">
      <c r="A618" s="64"/>
      <c r="B618" s="64"/>
      <c r="C618" s="66"/>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75"/>
      <c r="BB618" s="64"/>
      <c r="BC618" s="64"/>
      <c r="BD618" s="66"/>
      <c r="BE618" s="64"/>
      <c r="BF618" s="64"/>
      <c r="BG618" s="64"/>
      <c r="BH618" s="64"/>
      <c r="BI618" s="64"/>
      <c r="BJ618" s="64"/>
      <c r="BK618" s="64"/>
      <c r="BL618" s="64"/>
      <c r="BM618" s="64"/>
      <c r="BN618" s="64"/>
    </row>
    <row r="619" ht="30.0" customHeight="1">
      <c r="A619" s="64"/>
      <c r="B619" s="64"/>
      <c r="C619" s="66"/>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75"/>
      <c r="BB619" s="64"/>
      <c r="BC619" s="64"/>
      <c r="BD619" s="66"/>
      <c r="BE619" s="64"/>
      <c r="BF619" s="64"/>
      <c r="BG619" s="64"/>
      <c r="BH619" s="64"/>
      <c r="BI619" s="64"/>
      <c r="BJ619" s="64"/>
      <c r="BK619" s="64"/>
      <c r="BL619" s="64"/>
      <c r="BM619" s="64"/>
      <c r="BN619" s="64"/>
    </row>
    <row r="620" ht="30.0" customHeight="1">
      <c r="A620" s="64"/>
      <c r="B620" s="64"/>
      <c r="C620" s="66"/>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75"/>
      <c r="BB620" s="64"/>
      <c r="BC620" s="64"/>
      <c r="BD620" s="66"/>
      <c r="BE620" s="64"/>
      <c r="BF620" s="64"/>
      <c r="BG620" s="64"/>
      <c r="BH620" s="64"/>
      <c r="BI620" s="64"/>
      <c r="BJ620" s="64"/>
      <c r="BK620" s="64"/>
      <c r="BL620" s="64"/>
      <c r="BM620" s="64"/>
      <c r="BN620" s="64"/>
    </row>
    <row r="621" ht="30.0" customHeight="1">
      <c r="A621" s="64"/>
      <c r="B621" s="64"/>
      <c r="C621" s="66"/>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75"/>
      <c r="BB621" s="64"/>
      <c r="BC621" s="64"/>
      <c r="BD621" s="66"/>
      <c r="BE621" s="64"/>
      <c r="BF621" s="64"/>
      <c r="BG621" s="64"/>
      <c r="BH621" s="64"/>
      <c r="BI621" s="64"/>
      <c r="BJ621" s="64"/>
      <c r="BK621" s="64"/>
      <c r="BL621" s="64"/>
      <c r="BM621" s="64"/>
      <c r="BN621" s="64"/>
    </row>
    <row r="622" ht="30.0" customHeight="1">
      <c r="A622" s="64"/>
      <c r="B622" s="64"/>
      <c r="C622" s="66"/>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75"/>
      <c r="BB622" s="64"/>
      <c r="BC622" s="64"/>
      <c r="BD622" s="66"/>
      <c r="BE622" s="64"/>
      <c r="BF622" s="64"/>
      <c r="BG622" s="64"/>
      <c r="BH622" s="64"/>
      <c r="BI622" s="64"/>
      <c r="BJ622" s="64"/>
      <c r="BK622" s="64"/>
      <c r="BL622" s="64"/>
      <c r="BM622" s="64"/>
      <c r="BN622" s="64"/>
    </row>
    <row r="623" ht="30.0" customHeight="1">
      <c r="A623" s="64"/>
      <c r="B623" s="64"/>
      <c r="C623" s="66"/>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75"/>
      <c r="BB623" s="64"/>
      <c r="BC623" s="64"/>
      <c r="BD623" s="66"/>
      <c r="BE623" s="64"/>
      <c r="BF623" s="64"/>
      <c r="BG623" s="64"/>
      <c r="BH623" s="64"/>
      <c r="BI623" s="64"/>
      <c r="BJ623" s="64"/>
      <c r="BK623" s="64"/>
      <c r="BL623" s="64"/>
      <c r="BM623" s="64"/>
      <c r="BN623" s="64"/>
    </row>
    <row r="624" ht="30.0" customHeight="1">
      <c r="A624" s="64"/>
      <c r="B624" s="64"/>
      <c r="C624" s="66"/>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75"/>
      <c r="BB624" s="64"/>
      <c r="BC624" s="64"/>
      <c r="BD624" s="66"/>
      <c r="BE624" s="64"/>
      <c r="BF624" s="64"/>
      <c r="BG624" s="64"/>
      <c r="BH624" s="64"/>
      <c r="BI624" s="64"/>
      <c r="BJ624" s="64"/>
      <c r="BK624" s="64"/>
      <c r="BL624" s="64"/>
      <c r="BM624" s="64"/>
      <c r="BN624" s="64"/>
    </row>
    <row r="625" ht="30.0" customHeight="1">
      <c r="A625" s="64"/>
      <c r="B625" s="64"/>
      <c r="C625" s="66"/>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75"/>
      <c r="BB625" s="64"/>
      <c r="BC625" s="64"/>
      <c r="BD625" s="66"/>
      <c r="BE625" s="64"/>
      <c r="BF625" s="64"/>
      <c r="BG625" s="64"/>
      <c r="BH625" s="64"/>
      <c r="BI625" s="64"/>
      <c r="BJ625" s="64"/>
      <c r="BK625" s="64"/>
      <c r="BL625" s="64"/>
      <c r="BM625" s="64"/>
      <c r="BN625" s="64"/>
    </row>
    <row r="626" ht="30.0" customHeight="1">
      <c r="A626" s="64"/>
      <c r="B626" s="64"/>
      <c r="C626" s="66"/>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75"/>
      <c r="BB626" s="64"/>
      <c r="BC626" s="64"/>
      <c r="BD626" s="66"/>
      <c r="BE626" s="64"/>
      <c r="BF626" s="64"/>
      <c r="BG626" s="64"/>
      <c r="BH626" s="64"/>
      <c r="BI626" s="64"/>
      <c r="BJ626" s="64"/>
      <c r="BK626" s="64"/>
      <c r="BL626" s="64"/>
      <c r="BM626" s="64"/>
      <c r="BN626" s="64"/>
    </row>
    <row r="627" ht="30.0" customHeight="1">
      <c r="A627" s="64"/>
      <c r="B627" s="64"/>
      <c r="C627" s="66"/>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75"/>
      <c r="BB627" s="64"/>
      <c r="BC627" s="64"/>
      <c r="BD627" s="66"/>
      <c r="BE627" s="64"/>
      <c r="BF627" s="64"/>
      <c r="BG627" s="64"/>
      <c r="BH627" s="64"/>
      <c r="BI627" s="64"/>
      <c r="BJ627" s="64"/>
      <c r="BK627" s="64"/>
      <c r="BL627" s="64"/>
      <c r="BM627" s="64"/>
      <c r="BN627" s="64"/>
    </row>
    <row r="628" ht="30.0" customHeight="1">
      <c r="A628" s="64"/>
      <c r="B628" s="64"/>
      <c r="C628" s="66"/>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75"/>
      <c r="BB628" s="64"/>
      <c r="BC628" s="64"/>
      <c r="BD628" s="66"/>
      <c r="BE628" s="64"/>
      <c r="BF628" s="64"/>
      <c r="BG628" s="64"/>
      <c r="BH628" s="64"/>
      <c r="BI628" s="64"/>
      <c r="BJ628" s="64"/>
      <c r="BK628" s="64"/>
      <c r="BL628" s="64"/>
      <c r="BM628" s="64"/>
      <c r="BN628" s="64"/>
    </row>
    <row r="629" ht="30.0" customHeight="1">
      <c r="A629" s="64"/>
      <c r="B629" s="64"/>
      <c r="C629" s="66"/>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75"/>
      <c r="BB629" s="64"/>
      <c r="BC629" s="64"/>
      <c r="BD629" s="66"/>
      <c r="BE629" s="64"/>
      <c r="BF629" s="64"/>
      <c r="BG629" s="64"/>
      <c r="BH629" s="64"/>
      <c r="BI629" s="64"/>
      <c r="BJ629" s="64"/>
      <c r="BK629" s="64"/>
      <c r="BL629" s="64"/>
      <c r="BM629" s="64"/>
      <c r="BN629" s="64"/>
    </row>
    <row r="630" ht="30.0" customHeight="1">
      <c r="A630" s="64"/>
      <c r="B630" s="64"/>
      <c r="C630" s="66"/>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75"/>
      <c r="BB630" s="64"/>
      <c r="BC630" s="64"/>
      <c r="BD630" s="66"/>
      <c r="BE630" s="64"/>
      <c r="BF630" s="64"/>
      <c r="BG630" s="64"/>
      <c r="BH630" s="64"/>
      <c r="BI630" s="64"/>
      <c r="BJ630" s="64"/>
      <c r="BK630" s="64"/>
      <c r="BL630" s="64"/>
      <c r="BM630" s="64"/>
      <c r="BN630" s="64"/>
    </row>
    <row r="631" ht="30.0" customHeight="1">
      <c r="A631" s="64"/>
      <c r="B631" s="64"/>
      <c r="C631" s="66"/>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75"/>
      <c r="BB631" s="64"/>
      <c r="BC631" s="64"/>
      <c r="BD631" s="66"/>
      <c r="BE631" s="64"/>
      <c r="BF631" s="64"/>
      <c r="BG631" s="64"/>
      <c r="BH631" s="64"/>
      <c r="BI631" s="64"/>
      <c r="BJ631" s="64"/>
      <c r="BK631" s="64"/>
      <c r="BL631" s="64"/>
      <c r="BM631" s="64"/>
      <c r="BN631" s="64"/>
    </row>
    <row r="632" ht="30.0" customHeight="1">
      <c r="A632" s="64"/>
      <c r="B632" s="64"/>
      <c r="C632" s="66"/>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75"/>
      <c r="BB632" s="64"/>
      <c r="BC632" s="64"/>
      <c r="BD632" s="66"/>
      <c r="BE632" s="64"/>
      <c r="BF632" s="64"/>
      <c r="BG632" s="64"/>
      <c r="BH632" s="64"/>
      <c r="BI632" s="64"/>
      <c r="BJ632" s="64"/>
      <c r="BK632" s="64"/>
      <c r="BL632" s="64"/>
      <c r="BM632" s="64"/>
      <c r="BN632" s="64"/>
    </row>
    <row r="633" ht="30.0" customHeight="1">
      <c r="A633" s="64"/>
      <c r="B633" s="64"/>
      <c r="C633" s="66"/>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75"/>
      <c r="BB633" s="64"/>
      <c r="BC633" s="64"/>
      <c r="BD633" s="66"/>
      <c r="BE633" s="64"/>
      <c r="BF633" s="64"/>
      <c r="BG633" s="64"/>
      <c r="BH633" s="64"/>
      <c r="BI633" s="64"/>
      <c r="BJ633" s="64"/>
      <c r="BK633" s="64"/>
      <c r="BL633" s="64"/>
      <c r="BM633" s="64"/>
      <c r="BN633" s="64"/>
    </row>
    <row r="634" ht="30.0" customHeight="1">
      <c r="A634" s="64"/>
      <c r="B634" s="64"/>
      <c r="C634" s="66"/>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75"/>
      <c r="BB634" s="64"/>
      <c r="BC634" s="64"/>
      <c r="BD634" s="66"/>
      <c r="BE634" s="64"/>
      <c r="BF634" s="64"/>
      <c r="BG634" s="64"/>
      <c r="BH634" s="64"/>
      <c r="BI634" s="64"/>
      <c r="BJ634" s="64"/>
      <c r="BK634" s="64"/>
      <c r="BL634" s="64"/>
      <c r="BM634" s="64"/>
      <c r="BN634" s="64"/>
    </row>
    <row r="635" ht="30.0" customHeight="1">
      <c r="A635" s="64"/>
      <c r="B635" s="64"/>
      <c r="C635" s="66"/>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75"/>
      <c r="BB635" s="64"/>
      <c r="BC635" s="64"/>
      <c r="BD635" s="66"/>
      <c r="BE635" s="64"/>
      <c r="BF635" s="64"/>
      <c r="BG635" s="64"/>
      <c r="BH635" s="64"/>
      <c r="BI635" s="64"/>
      <c r="BJ635" s="64"/>
      <c r="BK635" s="64"/>
      <c r="BL635" s="64"/>
      <c r="BM635" s="64"/>
      <c r="BN635" s="64"/>
    </row>
    <row r="636" ht="30.0" customHeight="1">
      <c r="A636" s="64"/>
      <c r="B636" s="64"/>
      <c r="C636" s="66"/>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75"/>
      <c r="BB636" s="64"/>
      <c r="BC636" s="64"/>
      <c r="BD636" s="66"/>
      <c r="BE636" s="64"/>
      <c r="BF636" s="64"/>
      <c r="BG636" s="64"/>
      <c r="BH636" s="64"/>
      <c r="BI636" s="64"/>
      <c r="BJ636" s="64"/>
      <c r="BK636" s="64"/>
      <c r="BL636" s="64"/>
      <c r="BM636" s="64"/>
      <c r="BN636" s="64"/>
    </row>
    <row r="637" ht="30.0" customHeight="1">
      <c r="A637" s="64"/>
      <c r="B637" s="64"/>
      <c r="C637" s="66"/>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75"/>
      <c r="BB637" s="64"/>
      <c r="BC637" s="64"/>
      <c r="BD637" s="66"/>
      <c r="BE637" s="64"/>
      <c r="BF637" s="64"/>
      <c r="BG637" s="64"/>
      <c r="BH637" s="64"/>
      <c r="BI637" s="64"/>
      <c r="BJ637" s="64"/>
      <c r="BK637" s="64"/>
      <c r="BL637" s="64"/>
      <c r="BM637" s="64"/>
      <c r="BN637" s="64"/>
    </row>
    <row r="638" ht="30.0" customHeight="1">
      <c r="A638" s="64"/>
      <c r="B638" s="64"/>
      <c r="C638" s="66"/>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75"/>
      <c r="BB638" s="64"/>
      <c r="BC638" s="64"/>
      <c r="BD638" s="66"/>
      <c r="BE638" s="64"/>
      <c r="BF638" s="64"/>
      <c r="BG638" s="64"/>
      <c r="BH638" s="64"/>
      <c r="BI638" s="64"/>
      <c r="BJ638" s="64"/>
      <c r="BK638" s="64"/>
      <c r="BL638" s="64"/>
      <c r="BM638" s="64"/>
      <c r="BN638" s="64"/>
    </row>
    <row r="639" ht="30.0" customHeight="1">
      <c r="A639" s="64"/>
      <c r="B639" s="64"/>
      <c r="C639" s="66"/>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75"/>
      <c r="BB639" s="64"/>
      <c r="BC639" s="64"/>
      <c r="BD639" s="66"/>
      <c r="BE639" s="64"/>
      <c r="BF639" s="64"/>
      <c r="BG639" s="64"/>
      <c r="BH639" s="64"/>
      <c r="BI639" s="64"/>
      <c r="BJ639" s="64"/>
      <c r="BK639" s="64"/>
      <c r="BL639" s="64"/>
      <c r="BM639" s="64"/>
      <c r="BN639" s="64"/>
    </row>
    <row r="640" ht="30.0" customHeight="1">
      <c r="A640" s="64"/>
      <c r="B640" s="64"/>
      <c r="C640" s="66"/>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75"/>
      <c r="BB640" s="64"/>
      <c r="BC640" s="64"/>
      <c r="BD640" s="66"/>
      <c r="BE640" s="64"/>
      <c r="BF640" s="64"/>
      <c r="BG640" s="64"/>
      <c r="BH640" s="64"/>
      <c r="BI640" s="64"/>
      <c r="BJ640" s="64"/>
      <c r="BK640" s="64"/>
      <c r="BL640" s="64"/>
      <c r="BM640" s="64"/>
      <c r="BN640" s="64"/>
    </row>
    <row r="641" ht="30.0" customHeight="1">
      <c r="A641" s="64"/>
      <c r="B641" s="64"/>
      <c r="C641" s="66"/>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75"/>
      <c r="BB641" s="64"/>
      <c r="BC641" s="64"/>
      <c r="BD641" s="66"/>
      <c r="BE641" s="64"/>
      <c r="BF641" s="64"/>
      <c r="BG641" s="64"/>
      <c r="BH641" s="64"/>
      <c r="BI641" s="64"/>
      <c r="BJ641" s="64"/>
      <c r="BK641" s="64"/>
      <c r="BL641" s="64"/>
      <c r="BM641" s="64"/>
      <c r="BN641" s="64"/>
    </row>
    <row r="642" ht="30.0" customHeight="1">
      <c r="A642" s="64"/>
      <c r="B642" s="64"/>
      <c r="C642" s="66"/>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75"/>
      <c r="BB642" s="64"/>
      <c r="BC642" s="64"/>
      <c r="BD642" s="66"/>
      <c r="BE642" s="64"/>
      <c r="BF642" s="64"/>
      <c r="BG642" s="64"/>
      <c r="BH642" s="64"/>
      <c r="BI642" s="64"/>
      <c r="BJ642" s="64"/>
      <c r="BK642" s="64"/>
      <c r="BL642" s="64"/>
      <c r="BM642" s="64"/>
      <c r="BN642" s="64"/>
    </row>
    <row r="643" ht="30.0" customHeight="1">
      <c r="A643" s="64"/>
      <c r="B643" s="64"/>
      <c r="C643" s="66"/>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75"/>
      <c r="BB643" s="64"/>
      <c r="BC643" s="64"/>
      <c r="BD643" s="66"/>
      <c r="BE643" s="64"/>
      <c r="BF643" s="64"/>
      <c r="BG643" s="64"/>
      <c r="BH643" s="64"/>
      <c r="BI643" s="64"/>
      <c r="BJ643" s="64"/>
      <c r="BK643" s="64"/>
      <c r="BL643" s="64"/>
      <c r="BM643" s="64"/>
      <c r="BN643" s="64"/>
    </row>
    <row r="644" ht="30.0" customHeight="1">
      <c r="A644" s="64"/>
      <c r="B644" s="64"/>
      <c r="C644" s="66"/>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75"/>
      <c r="BB644" s="64"/>
      <c r="BC644" s="64"/>
      <c r="BD644" s="66"/>
      <c r="BE644" s="64"/>
      <c r="BF644" s="64"/>
      <c r="BG644" s="64"/>
      <c r="BH644" s="64"/>
      <c r="BI644" s="64"/>
      <c r="BJ644" s="64"/>
      <c r="BK644" s="64"/>
      <c r="BL644" s="64"/>
      <c r="BM644" s="64"/>
      <c r="BN644" s="64"/>
    </row>
    <row r="645" ht="30.0" customHeight="1">
      <c r="A645" s="64"/>
      <c r="B645" s="64"/>
      <c r="C645" s="66"/>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75"/>
      <c r="BB645" s="64"/>
      <c r="BC645" s="64"/>
      <c r="BD645" s="66"/>
      <c r="BE645" s="64"/>
      <c r="BF645" s="64"/>
      <c r="BG645" s="64"/>
      <c r="BH645" s="64"/>
      <c r="BI645" s="64"/>
      <c r="BJ645" s="64"/>
      <c r="BK645" s="64"/>
      <c r="BL645" s="64"/>
      <c r="BM645" s="64"/>
      <c r="BN645" s="64"/>
    </row>
    <row r="646" ht="30.0" customHeight="1">
      <c r="A646" s="64"/>
      <c r="B646" s="64"/>
      <c r="C646" s="66"/>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75"/>
      <c r="BB646" s="64"/>
      <c r="BC646" s="64"/>
      <c r="BD646" s="66"/>
      <c r="BE646" s="64"/>
      <c r="BF646" s="64"/>
      <c r="BG646" s="64"/>
      <c r="BH646" s="64"/>
      <c r="BI646" s="64"/>
      <c r="BJ646" s="64"/>
      <c r="BK646" s="64"/>
      <c r="BL646" s="64"/>
      <c r="BM646" s="64"/>
      <c r="BN646" s="64"/>
    </row>
    <row r="647" ht="30.0" customHeight="1">
      <c r="A647" s="64"/>
      <c r="B647" s="64"/>
      <c r="C647" s="66"/>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75"/>
      <c r="BB647" s="64"/>
      <c r="BC647" s="64"/>
      <c r="BD647" s="66"/>
      <c r="BE647" s="64"/>
      <c r="BF647" s="64"/>
      <c r="BG647" s="64"/>
      <c r="BH647" s="64"/>
      <c r="BI647" s="64"/>
      <c r="BJ647" s="64"/>
      <c r="BK647" s="64"/>
      <c r="BL647" s="64"/>
      <c r="BM647" s="64"/>
      <c r="BN647" s="64"/>
    </row>
    <row r="648" ht="30.0" customHeight="1">
      <c r="A648" s="64"/>
      <c r="B648" s="64"/>
      <c r="C648" s="66"/>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75"/>
      <c r="BB648" s="64"/>
      <c r="BC648" s="64"/>
      <c r="BD648" s="66"/>
      <c r="BE648" s="64"/>
      <c r="BF648" s="64"/>
      <c r="BG648" s="64"/>
      <c r="BH648" s="64"/>
      <c r="BI648" s="64"/>
      <c r="BJ648" s="64"/>
      <c r="BK648" s="64"/>
      <c r="BL648" s="64"/>
      <c r="BM648" s="64"/>
      <c r="BN648" s="64"/>
    </row>
    <row r="649" ht="30.0" customHeight="1">
      <c r="A649" s="64"/>
      <c r="B649" s="64"/>
      <c r="C649" s="66"/>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75"/>
      <c r="BB649" s="64"/>
      <c r="BC649" s="64"/>
      <c r="BD649" s="66"/>
      <c r="BE649" s="64"/>
      <c r="BF649" s="64"/>
      <c r="BG649" s="64"/>
      <c r="BH649" s="64"/>
      <c r="BI649" s="64"/>
      <c r="BJ649" s="64"/>
      <c r="BK649" s="64"/>
      <c r="BL649" s="64"/>
      <c r="BM649" s="64"/>
      <c r="BN649" s="64"/>
    </row>
    <row r="650" ht="30.0" customHeight="1">
      <c r="A650" s="64"/>
      <c r="B650" s="64"/>
      <c r="C650" s="66"/>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75"/>
      <c r="BB650" s="64"/>
      <c r="BC650" s="64"/>
      <c r="BD650" s="66"/>
      <c r="BE650" s="64"/>
      <c r="BF650" s="64"/>
      <c r="BG650" s="64"/>
      <c r="BH650" s="64"/>
      <c r="BI650" s="64"/>
      <c r="BJ650" s="64"/>
      <c r="BK650" s="64"/>
      <c r="BL650" s="64"/>
      <c r="BM650" s="64"/>
      <c r="BN650" s="64"/>
    </row>
    <row r="651" ht="30.0" customHeight="1">
      <c r="A651" s="64"/>
      <c r="B651" s="64"/>
      <c r="C651" s="66"/>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75"/>
      <c r="BB651" s="64"/>
      <c r="BC651" s="64"/>
      <c r="BD651" s="66"/>
      <c r="BE651" s="64"/>
      <c r="BF651" s="64"/>
      <c r="BG651" s="64"/>
      <c r="BH651" s="64"/>
      <c r="BI651" s="64"/>
      <c r="BJ651" s="64"/>
      <c r="BK651" s="64"/>
      <c r="BL651" s="64"/>
      <c r="BM651" s="64"/>
      <c r="BN651" s="64"/>
    </row>
    <row r="652" ht="30.0" customHeight="1">
      <c r="A652" s="64"/>
      <c r="B652" s="64"/>
      <c r="C652" s="66"/>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75"/>
      <c r="BB652" s="64"/>
      <c r="BC652" s="64"/>
      <c r="BD652" s="66"/>
      <c r="BE652" s="64"/>
      <c r="BF652" s="64"/>
      <c r="BG652" s="64"/>
      <c r="BH652" s="64"/>
      <c r="BI652" s="64"/>
      <c r="BJ652" s="64"/>
      <c r="BK652" s="64"/>
      <c r="BL652" s="64"/>
      <c r="BM652" s="64"/>
      <c r="BN652" s="64"/>
    </row>
    <row r="653" ht="30.0" customHeight="1">
      <c r="A653" s="64"/>
      <c r="B653" s="64"/>
      <c r="C653" s="66"/>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75"/>
      <c r="BB653" s="64"/>
      <c r="BC653" s="64"/>
      <c r="BD653" s="66"/>
      <c r="BE653" s="64"/>
      <c r="BF653" s="64"/>
      <c r="BG653" s="64"/>
      <c r="BH653" s="64"/>
      <c r="BI653" s="64"/>
      <c r="BJ653" s="64"/>
      <c r="BK653" s="64"/>
      <c r="BL653" s="64"/>
      <c r="BM653" s="64"/>
      <c r="BN653" s="64"/>
    </row>
    <row r="654" ht="30.0" customHeight="1">
      <c r="A654" s="64"/>
      <c r="B654" s="64"/>
      <c r="C654" s="66"/>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75"/>
      <c r="BB654" s="64"/>
      <c r="BC654" s="64"/>
      <c r="BD654" s="66"/>
      <c r="BE654" s="64"/>
      <c r="BF654" s="64"/>
      <c r="BG654" s="64"/>
      <c r="BH654" s="64"/>
      <c r="BI654" s="64"/>
      <c r="BJ654" s="64"/>
      <c r="BK654" s="64"/>
      <c r="BL654" s="64"/>
      <c r="BM654" s="64"/>
      <c r="BN654" s="64"/>
    </row>
    <row r="655" ht="30.0" customHeight="1">
      <c r="A655" s="64"/>
      <c r="B655" s="64"/>
      <c r="C655" s="66"/>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75"/>
      <c r="BB655" s="64"/>
      <c r="BC655" s="64"/>
      <c r="BD655" s="66"/>
      <c r="BE655" s="64"/>
      <c r="BF655" s="64"/>
      <c r="BG655" s="64"/>
      <c r="BH655" s="64"/>
      <c r="BI655" s="64"/>
      <c r="BJ655" s="64"/>
      <c r="BK655" s="64"/>
      <c r="BL655" s="64"/>
      <c r="BM655" s="64"/>
      <c r="BN655" s="64"/>
    </row>
    <row r="656" ht="30.0" customHeight="1">
      <c r="A656" s="64"/>
      <c r="B656" s="64"/>
      <c r="C656" s="66"/>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75"/>
      <c r="BB656" s="64"/>
      <c r="BC656" s="64"/>
      <c r="BD656" s="66"/>
      <c r="BE656" s="64"/>
      <c r="BF656" s="64"/>
      <c r="BG656" s="64"/>
      <c r="BH656" s="64"/>
      <c r="BI656" s="64"/>
      <c r="BJ656" s="64"/>
      <c r="BK656" s="64"/>
      <c r="BL656" s="64"/>
      <c r="BM656" s="64"/>
      <c r="BN656" s="64"/>
    </row>
    <row r="657" ht="30.0" customHeight="1">
      <c r="A657" s="64"/>
      <c r="B657" s="64"/>
      <c r="C657" s="66"/>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75"/>
      <c r="BB657" s="64"/>
      <c r="BC657" s="64"/>
      <c r="BD657" s="66"/>
      <c r="BE657" s="64"/>
      <c r="BF657" s="64"/>
      <c r="BG657" s="64"/>
      <c r="BH657" s="64"/>
      <c r="BI657" s="64"/>
      <c r="BJ657" s="64"/>
      <c r="BK657" s="64"/>
      <c r="BL657" s="64"/>
      <c r="BM657" s="64"/>
      <c r="BN657" s="64"/>
    </row>
    <row r="658" ht="30.0" customHeight="1">
      <c r="A658" s="64"/>
      <c r="B658" s="64"/>
      <c r="C658" s="66"/>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75"/>
      <c r="BB658" s="64"/>
      <c r="BC658" s="64"/>
      <c r="BD658" s="66"/>
      <c r="BE658" s="64"/>
      <c r="BF658" s="64"/>
      <c r="BG658" s="64"/>
      <c r="BH658" s="64"/>
      <c r="BI658" s="64"/>
      <c r="BJ658" s="64"/>
      <c r="BK658" s="64"/>
      <c r="BL658" s="64"/>
      <c r="BM658" s="64"/>
      <c r="BN658" s="64"/>
    </row>
    <row r="659" ht="30.0" customHeight="1">
      <c r="A659" s="64"/>
      <c r="B659" s="64"/>
      <c r="C659" s="66"/>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75"/>
      <c r="BB659" s="64"/>
      <c r="BC659" s="64"/>
      <c r="BD659" s="66"/>
      <c r="BE659" s="64"/>
      <c r="BF659" s="64"/>
      <c r="BG659" s="64"/>
      <c r="BH659" s="64"/>
      <c r="BI659" s="64"/>
      <c r="BJ659" s="64"/>
      <c r="BK659" s="64"/>
      <c r="BL659" s="64"/>
      <c r="BM659" s="64"/>
      <c r="BN659" s="64"/>
    </row>
    <row r="660" ht="30.0" customHeight="1">
      <c r="A660" s="64"/>
      <c r="B660" s="64"/>
      <c r="C660" s="66"/>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75"/>
      <c r="BB660" s="64"/>
      <c r="BC660" s="64"/>
      <c r="BD660" s="66"/>
      <c r="BE660" s="64"/>
      <c r="BF660" s="64"/>
      <c r="BG660" s="64"/>
      <c r="BH660" s="64"/>
      <c r="BI660" s="64"/>
      <c r="BJ660" s="64"/>
      <c r="BK660" s="64"/>
      <c r="BL660" s="64"/>
      <c r="BM660" s="64"/>
      <c r="BN660" s="64"/>
    </row>
    <row r="661" ht="30.0" customHeight="1">
      <c r="A661" s="64"/>
      <c r="B661" s="64"/>
      <c r="C661" s="66"/>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75"/>
      <c r="BB661" s="64"/>
      <c r="BC661" s="64"/>
      <c r="BD661" s="66"/>
      <c r="BE661" s="64"/>
      <c r="BF661" s="64"/>
      <c r="BG661" s="64"/>
      <c r="BH661" s="64"/>
      <c r="BI661" s="64"/>
      <c r="BJ661" s="64"/>
      <c r="BK661" s="64"/>
      <c r="BL661" s="64"/>
      <c r="BM661" s="64"/>
      <c r="BN661" s="64"/>
    </row>
    <row r="662" ht="30.0" customHeight="1">
      <c r="A662" s="64"/>
      <c r="B662" s="64"/>
      <c r="C662" s="66"/>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75"/>
      <c r="BB662" s="64"/>
      <c r="BC662" s="64"/>
      <c r="BD662" s="66"/>
      <c r="BE662" s="64"/>
      <c r="BF662" s="64"/>
      <c r="BG662" s="64"/>
      <c r="BH662" s="64"/>
      <c r="BI662" s="64"/>
      <c r="BJ662" s="64"/>
      <c r="BK662" s="64"/>
      <c r="BL662" s="64"/>
      <c r="BM662" s="64"/>
      <c r="BN662" s="64"/>
    </row>
    <row r="663" ht="30.0" customHeight="1">
      <c r="A663" s="64"/>
      <c r="B663" s="64"/>
      <c r="C663" s="66"/>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75"/>
      <c r="BB663" s="64"/>
      <c r="BC663" s="64"/>
      <c r="BD663" s="66"/>
      <c r="BE663" s="64"/>
      <c r="BF663" s="64"/>
      <c r="BG663" s="64"/>
      <c r="BH663" s="64"/>
      <c r="BI663" s="64"/>
      <c r="BJ663" s="64"/>
      <c r="BK663" s="64"/>
      <c r="BL663" s="64"/>
      <c r="BM663" s="64"/>
      <c r="BN663" s="64"/>
    </row>
    <row r="664" ht="30.0" customHeight="1">
      <c r="A664" s="64"/>
      <c r="B664" s="64"/>
      <c r="C664" s="66"/>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75"/>
      <c r="BB664" s="64"/>
      <c r="BC664" s="64"/>
      <c r="BD664" s="66"/>
      <c r="BE664" s="64"/>
      <c r="BF664" s="64"/>
      <c r="BG664" s="64"/>
      <c r="BH664" s="64"/>
      <c r="BI664" s="64"/>
      <c r="BJ664" s="64"/>
      <c r="BK664" s="64"/>
      <c r="BL664" s="64"/>
      <c r="BM664" s="64"/>
      <c r="BN664" s="64"/>
    </row>
    <row r="665" ht="30.0" customHeight="1">
      <c r="A665" s="64"/>
      <c r="B665" s="64"/>
      <c r="C665" s="66"/>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75"/>
      <c r="BB665" s="64"/>
      <c r="BC665" s="64"/>
      <c r="BD665" s="66"/>
      <c r="BE665" s="64"/>
      <c r="BF665" s="64"/>
      <c r="BG665" s="64"/>
      <c r="BH665" s="64"/>
      <c r="BI665" s="64"/>
      <c r="BJ665" s="64"/>
      <c r="BK665" s="64"/>
      <c r="BL665" s="64"/>
      <c r="BM665" s="64"/>
      <c r="BN665" s="64"/>
    </row>
    <row r="666" ht="30.0" customHeight="1">
      <c r="A666" s="64"/>
      <c r="B666" s="64"/>
      <c r="C666" s="66"/>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75"/>
      <c r="BB666" s="64"/>
      <c r="BC666" s="64"/>
      <c r="BD666" s="66"/>
      <c r="BE666" s="64"/>
      <c r="BF666" s="64"/>
      <c r="BG666" s="64"/>
      <c r="BH666" s="64"/>
      <c r="BI666" s="64"/>
      <c r="BJ666" s="64"/>
      <c r="BK666" s="64"/>
      <c r="BL666" s="64"/>
      <c r="BM666" s="64"/>
      <c r="BN666" s="64"/>
    </row>
    <row r="667" ht="30.0" customHeight="1">
      <c r="A667" s="64"/>
      <c r="B667" s="64"/>
      <c r="C667" s="66"/>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75"/>
      <c r="BB667" s="64"/>
      <c r="BC667" s="64"/>
      <c r="BD667" s="66"/>
      <c r="BE667" s="64"/>
      <c r="BF667" s="64"/>
      <c r="BG667" s="64"/>
      <c r="BH667" s="64"/>
      <c r="BI667" s="64"/>
      <c r="BJ667" s="64"/>
      <c r="BK667" s="64"/>
      <c r="BL667" s="64"/>
      <c r="BM667" s="64"/>
      <c r="BN667" s="64"/>
    </row>
    <row r="668" ht="30.0" customHeight="1">
      <c r="A668" s="64"/>
      <c r="B668" s="64"/>
      <c r="C668" s="66"/>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75"/>
      <c r="BB668" s="64"/>
      <c r="BC668" s="64"/>
      <c r="BD668" s="66"/>
      <c r="BE668" s="64"/>
      <c r="BF668" s="64"/>
      <c r="BG668" s="64"/>
      <c r="BH668" s="64"/>
      <c r="BI668" s="64"/>
      <c r="BJ668" s="64"/>
      <c r="BK668" s="64"/>
      <c r="BL668" s="64"/>
      <c r="BM668" s="64"/>
      <c r="BN668" s="64"/>
    </row>
    <row r="669" ht="30.0" customHeight="1">
      <c r="A669" s="64"/>
      <c r="B669" s="64"/>
      <c r="C669" s="66"/>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75"/>
      <c r="BB669" s="64"/>
      <c r="BC669" s="64"/>
      <c r="BD669" s="66"/>
      <c r="BE669" s="64"/>
      <c r="BF669" s="64"/>
      <c r="BG669" s="64"/>
      <c r="BH669" s="64"/>
      <c r="BI669" s="64"/>
      <c r="BJ669" s="64"/>
      <c r="BK669" s="64"/>
      <c r="BL669" s="64"/>
      <c r="BM669" s="64"/>
      <c r="BN669" s="64"/>
    </row>
    <row r="670" ht="30.0" customHeight="1">
      <c r="A670" s="64"/>
      <c r="B670" s="64"/>
      <c r="C670" s="66"/>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75"/>
      <c r="BB670" s="64"/>
      <c r="BC670" s="64"/>
      <c r="BD670" s="66"/>
      <c r="BE670" s="64"/>
      <c r="BF670" s="64"/>
      <c r="BG670" s="64"/>
      <c r="BH670" s="64"/>
      <c r="BI670" s="64"/>
      <c r="BJ670" s="64"/>
      <c r="BK670" s="64"/>
      <c r="BL670" s="64"/>
      <c r="BM670" s="64"/>
      <c r="BN670" s="64"/>
    </row>
    <row r="671" ht="30.0" customHeight="1">
      <c r="A671" s="64"/>
      <c r="B671" s="64"/>
      <c r="C671" s="66"/>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75"/>
      <c r="BB671" s="64"/>
      <c r="BC671" s="64"/>
      <c r="BD671" s="66"/>
      <c r="BE671" s="64"/>
      <c r="BF671" s="64"/>
      <c r="BG671" s="64"/>
      <c r="BH671" s="64"/>
      <c r="BI671" s="64"/>
      <c r="BJ671" s="64"/>
      <c r="BK671" s="64"/>
      <c r="BL671" s="64"/>
      <c r="BM671" s="64"/>
      <c r="BN671" s="64"/>
    </row>
    <row r="672" ht="30.0" customHeight="1">
      <c r="A672" s="64"/>
      <c r="B672" s="64"/>
      <c r="C672" s="66"/>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75"/>
      <c r="BB672" s="64"/>
      <c r="BC672" s="64"/>
      <c r="BD672" s="66"/>
      <c r="BE672" s="64"/>
      <c r="BF672" s="64"/>
      <c r="BG672" s="64"/>
      <c r="BH672" s="64"/>
      <c r="BI672" s="64"/>
      <c r="BJ672" s="64"/>
      <c r="BK672" s="64"/>
      <c r="BL672" s="64"/>
      <c r="BM672" s="64"/>
      <c r="BN672" s="64"/>
    </row>
    <row r="673" ht="30.0" customHeight="1">
      <c r="A673" s="64"/>
      <c r="B673" s="64"/>
      <c r="C673" s="66"/>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75"/>
      <c r="BB673" s="64"/>
      <c r="BC673" s="64"/>
      <c r="BD673" s="66"/>
      <c r="BE673" s="64"/>
      <c r="BF673" s="64"/>
      <c r="BG673" s="64"/>
      <c r="BH673" s="64"/>
      <c r="BI673" s="64"/>
      <c r="BJ673" s="64"/>
      <c r="BK673" s="64"/>
      <c r="BL673" s="64"/>
      <c r="BM673" s="64"/>
      <c r="BN673" s="64"/>
    </row>
    <row r="674" ht="30.0" customHeight="1">
      <c r="A674" s="64"/>
      <c r="B674" s="64"/>
      <c r="C674" s="66"/>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75"/>
      <c r="BB674" s="64"/>
      <c r="BC674" s="64"/>
      <c r="BD674" s="66"/>
      <c r="BE674" s="64"/>
      <c r="BF674" s="64"/>
      <c r="BG674" s="64"/>
      <c r="BH674" s="64"/>
      <c r="BI674" s="64"/>
      <c r="BJ674" s="64"/>
      <c r="BK674" s="64"/>
      <c r="BL674" s="64"/>
      <c r="BM674" s="64"/>
      <c r="BN674" s="64"/>
    </row>
    <row r="675" ht="30.0" customHeight="1">
      <c r="A675" s="64"/>
      <c r="B675" s="64"/>
      <c r="C675" s="66"/>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75"/>
      <c r="BB675" s="64"/>
      <c r="BC675" s="64"/>
      <c r="BD675" s="66"/>
      <c r="BE675" s="64"/>
      <c r="BF675" s="64"/>
      <c r="BG675" s="64"/>
      <c r="BH675" s="64"/>
      <c r="BI675" s="64"/>
      <c r="BJ675" s="64"/>
      <c r="BK675" s="64"/>
      <c r="BL675" s="64"/>
      <c r="BM675" s="64"/>
      <c r="BN675" s="64"/>
    </row>
    <row r="676" ht="30.0" customHeight="1">
      <c r="A676" s="64"/>
      <c r="B676" s="64"/>
      <c r="C676" s="66"/>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75"/>
      <c r="BB676" s="64"/>
      <c r="BC676" s="64"/>
      <c r="BD676" s="66"/>
      <c r="BE676" s="64"/>
      <c r="BF676" s="64"/>
      <c r="BG676" s="64"/>
      <c r="BH676" s="64"/>
      <c r="BI676" s="64"/>
      <c r="BJ676" s="64"/>
      <c r="BK676" s="64"/>
      <c r="BL676" s="64"/>
      <c r="BM676" s="64"/>
      <c r="BN676" s="64"/>
    </row>
    <row r="677" ht="30.0" customHeight="1">
      <c r="A677" s="64"/>
      <c r="B677" s="64"/>
      <c r="C677" s="66"/>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75"/>
      <c r="BB677" s="64"/>
      <c r="BC677" s="64"/>
      <c r="BD677" s="66"/>
      <c r="BE677" s="64"/>
      <c r="BF677" s="64"/>
      <c r="BG677" s="64"/>
      <c r="BH677" s="64"/>
      <c r="BI677" s="64"/>
      <c r="BJ677" s="64"/>
      <c r="BK677" s="64"/>
      <c r="BL677" s="64"/>
      <c r="BM677" s="64"/>
      <c r="BN677" s="64"/>
    </row>
    <row r="678" ht="30.0" customHeight="1">
      <c r="A678" s="64"/>
      <c r="B678" s="64"/>
      <c r="C678" s="66"/>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75"/>
      <c r="BB678" s="64"/>
      <c r="BC678" s="64"/>
      <c r="BD678" s="66"/>
      <c r="BE678" s="64"/>
      <c r="BF678" s="64"/>
      <c r="BG678" s="64"/>
      <c r="BH678" s="64"/>
      <c r="BI678" s="64"/>
      <c r="BJ678" s="64"/>
      <c r="BK678" s="64"/>
      <c r="BL678" s="64"/>
      <c r="BM678" s="64"/>
      <c r="BN678" s="64"/>
    </row>
    <row r="679" ht="30.0" customHeight="1">
      <c r="A679" s="64"/>
      <c r="B679" s="64"/>
      <c r="C679" s="66"/>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75"/>
      <c r="BB679" s="64"/>
      <c r="BC679" s="64"/>
      <c r="BD679" s="66"/>
      <c r="BE679" s="64"/>
      <c r="BF679" s="64"/>
      <c r="BG679" s="64"/>
      <c r="BH679" s="64"/>
      <c r="BI679" s="64"/>
      <c r="BJ679" s="64"/>
      <c r="BK679" s="64"/>
      <c r="BL679" s="64"/>
      <c r="BM679" s="64"/>
      <c r="BN679" s="64"/>
    </row>
    <row r="680" ht="30.0" customHeight="1">
      <c r="A680" s="64"/>
      <c r="B680" s="64"/>
      <c r="C680" s="66"/>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75"/>
      <c r="BB680" s="64"/>
      <c r="BC680" s="64"/>
      <c r="BD680" s="66"/>
      <c r="BE680" s="64"/>
      <c r="BF680" s="64"/>
      <c r="BG680" s="64"/>
      <c r="BH680" s="64"/>
      <c r="BI680" s="64"/>
      <c r="BJ680" s="64"/>
      <c r="BK680" s="64"/>
      <c r="BL680" s="64"/>
      <c r="BM680" s="64"/>
      <c r="BN680" s="64"/>
    </row>
    <row r="681" ht="30.0" customHeight="1">
      <c r="A681" s="64"/>
      <c r="B681" s="64"/>
      <c r="C681" s="66"/>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75"/>
      <c r="BB681" s="64"/>
      <c r="BC681" s="64"/>
      <c r="BD681" s="66"/>
      <c r="BE681" s="64"/>
      <c r="BF681" s="64"/>
      <c r="BG681" s="64"/>
      <c r="BH681" s="64"/>
      <c r="BI681" s="64"/>
      <c r="BJ681" s="64"/>
      <c r="BK681" s="64"/>
      <c r="BL681" s="64"/>
      <c r="BM681" s="64"/>
      <c r="BN681" s="64"/>
    </row>
    <row r="682" ht="30.0" customHeight="1">
      <c r="A682" s="64"/>
      <c r="B682" s="64"/>
      <c r="C682" s="66"/>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75"/>
      <c r="BB682" s="64"/>
      <c r="BC682" s="64"/>
      <c r="BD682" s="66"/>
      <c r="BE682" s="64"/>
      <c r="BF682" s="64"/>
      <c r="BG682" s="64"/>
      <c r="BH682" s="64"/>
      <c r="BI682" s="64"/>
      <c r="BJ682" s="64"/>
      <c r="BK682" s="64"/>
      <c r="BL682" s="64"/>
      <c r="BM682" s="64"/>
      <c r="BN682" s="64"/>
    </row>
    <row r="683" ht="30.0" customHeight="1">
      <c r="A683" s="64"/>
      <c r="B683" s="64"/>
      <c r="C683" s="66"/>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75"/>
      <c r="BB683" s="64"/>
      <c r="BC683" s="64"/>
      <c r="BD683" s="66"/>
      <c r="BE683" s="64"/>
      <c r="BF683" s="64"/>
      <c r="BG683" s="64"/>
      <c r="BH683" s="64"/>
      <c r="BI683" s="64"/>
      <c r="BJ683" s="64"/>
      <c r="BK683" s="64"/>
      <c r="BL683" s="64"/>
      <c r="BM683" s="64"/>
      <c r="BN683" s="64"/>
    </row>
    <row r="684" ht="30.0" customHeight="1">
      <c r="A684" s="64"/>
      <c r="B684" s="64"/>
      <c r="C684" s="66"/>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75"/>
      <c r="BB684" s="64"/>
      <c r="BC684" s="64"/>
      <c r="BD684" s="66"/>
      <c r="BE684" s="64"/>
      <c r="BF684" s="64"/>
      <c r="BG684" s="64"/>
      <c r="BH684" s="64"/>
      <c r="BI684" s="64"/>
      <c r="BJ684" s="64"/>
      <c r="BK684" s="64"/>
      <c r="BL684" s="64"/>
      <c r="BM684" s="64"/>
      <c r="BN684" s="64"/>
    </row>
    <row r="685" ht="30.0" customHeight="1">
      <c r="A685" s="64"/>
      <c r="B685" s="64"/>
      <c r="C685" s="66"/>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75"/>
      <c r="BB685" s="64"/>
      <c r="BC685" s="64"/>
      <c r="BD685" s="66"/>
      <c r="BE685" s="64"/>
      <c r="BF685" s="64"/>
      <c r="BG685" s="64"/>
      <c r="BH685" s="64"/>
      <c r="BI685" s="64"/>
      <c r="BJ685" s="64"/>
      <c r="BK685" s="64"/>
      <c r="BL685" s="64"/>
      <c r="BM685" s="64"/>
      <c r="BN685" s="64"/>
    </row>
    <row r="686" ht="30.0" customHeight="1">
      <c r="A686" s="64"/>
      <c r="B686" s="64"/>
      <c r="C686" s="66"/>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75"/>
      <c r="BB686" s="64"/>
      <c r="BC686" s="64"/>
      <c r="BD686" s="66"/>
      <c r="BE686" s="64"/>
      <c r="BF686" s="64"/>
      <c r="BG686" s="64"/>
      <c r="BH686" s="64"/>
      <c r="BI686" s="64"/>
      <c r="BJ686" s="64"/>
      <c r="BK686" s="64"/>
      <c r="BL686" s="64"/>
      <c r="BM686" s="64"/>
      <c r="BN686" s="64"/>
    </row>
    <row r="687" ht="30.0" customHeight="1">
      <c r="A687" s="64"/>
      <c r="B687" s="64"/>
      <c r="C687" s="66"/>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75"/>
      <c r="BB687" s="64"/>
      <c r="BC687" s="64"/>
      <c r="BD687" s="66"/>
      <c r="BE687" s="64"/>
      <c r="BF687" s="64"/>
      <c r="BG687" s="64"/>
      <c r="BH687" s="64"/>
      <c r="BI687" s="64"/>
      <c r="BJ687" s="64"/>
      <c r="BK687" s="64"/>
      <c r="BL687" s="64"/>
      <c r="BM687" s="64"/>
      <c r="BN687" s="64"/>
    </row>
    <row r="688" ht="30.0" customHeight="1">
      <c r="A688" s="64"/>
      <c r="B688" s="64"/>
      <c r="C688" s="66"/>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75"/>
      <c r="BB688" s="64"/>
      <c r="BC688" s="64"/>
      <c r="BD688" s="66"/>
      <c r="BE688" s="64"/>
      <c r="BF688" s="64"/>
      <c r="BG688" s="64"/>
      <c r="BH688" s="64"/>
      <c r="BI688" s="64"/>
      <c r="BJ688" s="64"/>
      <c r="BK688" s="64"/>
      <c r="BL688" s="64"/>
      <c r="BM688" s="64"/>
      <c r="BN688" s="64"/>
    </row>
    <row r="689" ht="30.0" customHeight="1">
      <c r="A689" s="64"/>
      <c r="B689" s="64"/>
      <c r="C689" s="66"/>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75"/>
      <c r="BB689" s="64"/>
      <c r="BC689" s="64"/>
      <c r="BD689" s="66"/>
      <c r="BE689" s="64"/>
      <c r="BF689" s="64"/>
      <c r="BG689" s="64"/>
      <c r="BH689" s="64"/>
      <c r="BI689" s="64"/>
      <c r="BJ689" s="64"/>
      <c r="BK689" s="64"/>
      <c r="BL689" s="64"/>
      <c r="BM689" s="64"/>
      <c r="BN689" s="64"/>
    </row>
    <row r="690" ht="30.0" customHeight="1">
      <c r="A690" s="64"/>
      <c r="B690" s="64"/>
      <c r="C690" s="66"/>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75"/>
      <c r="BB690" s="64"/>
      <c r="BC690" s="64"/>
      <c r="BD690" s="66"/>
      <c r="BE690" s="64"/>
      <c r="BF690" s="64"/>
      <c r="BG690" s="64"/>
      <c r="BH690" s="64"/>
      <c r="BI690" s="64"/>
      <c r="BJ690" s="64"/>
      <c r="BK690" s="64"/>
      <c r="BL690" s="64"/>
      <c r="BM690" s="64"/>
      <c r="BN690" s="64"/>
    </row>
    <row r="691" ht="30.0" customHeight="1">
      <c r="A691" s="64"/>
      <c r="B691" s="64"/>
      <c r="C691" s="66"/>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75"/>
      <c r="BB691" s="64"/>
      <c r="BC691" s="64"/>
      <c r="BD691" s="66"/>
      <c r="BE691" s="64"/>
      <c r="BF691" s="64"/>
      <c r="BG691" s="64"/>
      <c r="BH691" s="64"/>
      <c r="BI691" s="64"/>
      <c r="BJ691" s="64"/>
      <c r="BK691" s="64"/>
      <c r="BL691" s="64"/>
      <c r="BM691" s="64"/>
      <c r="BN691" s="64"/>
    </row>
    <row r="692" ht="30.0" customHeight="1">
      <c r="A692" s="64"/>
      <c r="B692" s="64"/>
      <c r="C692" s="66"/>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75"/>
      <c r="BB692" s="64"/>
      <c r="BC692" s="64"/>
      <c r="BD692" s="66"/>
      <c r="BE692" s="64"/>
      <c r="BF692" s="64"/>
      <c r="BG692" s="64"/>
      <c r="BH692" s="64"/>
      <c r="BI692" s="64"/>
      <c r="BJ692" s="64"/>
      <c r="BK692" s="64"/>
      <c r="BL692" s="64"/>
      <c r="BM692" s="64"/>
      <c r="BN692" s="64"/>
    </row>
    <row r="693" ht="30.0" customHeight="1">
      <c r="A693" s="64"/>
      <c r="B693" s="64"/>
      <c r="C693" s="66"/>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75"/>
      <c r="BB693" s="64"/>
      <c r="BC693" s="64"/>
      <c r="BD693" s="66"/>
      <c r="BE693" s="64"/>
      <c r="BF693" s="64"/>
      <c r="BG693" s="64"/>
      <c r="BH693" s="64"/>
      <c r="BI693" s="64"/>
      <c r="BJ693" s="64"/>
      <c r="BK693" s="64"/>
      <c r="BL693" s="64"/>
      <c r="BM693" s="64"/>
      <c r="BN693" s="64"/>
    </row>
    <row r="694" ht="30.0" customHeight="1">
      <c r="A694" s="64"/>
      <c r="B694" s="64"/>
      <c r="C694" s="66"/>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75"/>
      <c r="BB694" s="64"/>
      <c r="BC694" s="64"/>
      <c r="BD694" s="66"/>
      <c r="BE694" s="64"/>
      <c r="BF694" s="64"/>
      <c r="BG694" s="64"/>
      <c r="BH694" s="64"/>
      <c r="BI694" s="64"/>
      <c r="BJ694" s="64"/>
      <c r="BK694" s="64"/>
      <c r="BL694" s="64"/>
      <c r="BM694" s="64"/>
      <c r="BN694" s="64"/>
    </row>
    <row r="695" ht="30.0" customHeight="1">
      <c r="A695" s="64"/>
      <c r="B695" s="64"/>
      <c r="C695" s="66"/>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75"/>
      <c r="BB695" s="64"/>
      <c r="BC695" s="64"/>
      <c r="BD695" s="66"/>
      <c r="BE695" s="64"/>
      <c r="BF695" s="64"/>
      <c r="BG695" s="64"/>
      <c r="BH695" s="64"/>
      <c r="BI695" s="64"/>
      <c r="BJ695" s="64"/>
      <c r="BK695" s="64"/>
      <c r="BL695" s="64"/>
      <c r="BM695" s="64"/>
      <c r="BN695" s="64"/>
    </row>
    <row r="696" ht="30.0" customHeight="1">
      <c r="A696" s="64"/>
      <c r="B696" s="64"/>
      <c r="C696" s="66"/>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75"/>
      <c r="BB696" s="64"/>
      <c r="BC696" s="64"/>
      <c r="BD696" s="66"/>
      <c r="BE696" s="64"/>
      <c r="BF696" s="64"/>
      <c r="BG696" s="64"/>
      <c r="BH696" s="64"/>
      <c r="BI696" s="64"/>
      <c r="BJ696" s="64"/>
      <c r="BK696" s="64"/>
      <c r="BL696" s="64"/>
      <c r="BM696" s="64"/>
      <c r="BN696" s="64"/>
    </row>
    <row r="697" ht="30.0" customHeight="1">
      <c r="A697" s="64"/>
      <c r="B697" s="64"/>
      <c r="C697" s="66"/>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75"/>
      <c r="BB697" s="64"/>
      <c r="BC697" s="64"/>
      <c r="BD697" s="66"/>
      <c r="BE697" s="64"/>
      <c r="BF697" s="64"/>
      <c r="BG697" s="64"/>
      <c r="BH697" s="64"/>
      <c r="BI697" s="64"/>
      <c r="BJ697" s="64"/>
      <c r="BK697" s="64"/>
      <c r="BL697" s="64"/>
      <c r="BM697" s="64"/>
      <c r="BN697" s="64"/>
    </row>
    <row r="698" ht="30.0" customHeight="1">
      <c r="A698" s="64"/>
      <c r="B698" s="64"/>
      <c r="C698" s="66"/>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75"/>
      <c r="BB698" s="64"/>
      <c r="BC698" s="64"/>
      <c r="BD698" s="66"/>
      <c r="BE698" s="64"/>
      <c r="BF698" s="64"/>
      <c r="BG698" s="64"/>
      <c r="BH698" s="64"/>
      <c r="BI698" s="64"/>
      <c r="BJ698" s="64"/>
      <c r="BK698" s="64"/>
      <c r="BL698" s="64"/>
      <c r="BM698" s="64"/>
      <c r="BN698" s="64"/>
    </row>
    <row r="699" ht="30.0" customHeight="1">
      <c r="A699" s="64"/>
      <c r="B699" s="64"/>
      <c r="C699" s="66"/>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75"/>
      <c r="BB699" s="64"/>
      <c r="BC699" s="64"/>
      <c r="BD699" s="66"/>
      <c r="BE699" s="64"/>
      <c r="BF699" s="64"/>
      <c r="BG699" s="64"/>
      <c r="BH699" s="64"/>
      <c r="BI699" s="64"/>
      <c r="BJ699" s="64"/>
      <c r="BK699" s="64"/>
      <c r="BL699" s="64"/>
      <c r="BM699" s="64"/>
      <c r="BN699" s="64"/>
    </row>
    <row r="700" ht="30.0" customHeight="1">
      <c r="A700" s="64"/>
      <c r="B700" s="64"/>
      <c r="C700" s="66"/>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75"/>
      <c r="BB700" s="64"/>
      <c r="BC700" s="64"/>
      <c r="BD700" s="66"/>
      <c r="BE700" s="64"/>
      <c r="BF700" s="64"/>
      <c r="BG700" s="64"/>
      <c r="BH700" s="64"/>
      <c r="BI700" s="64"/>
      <c r="BJ700" s="64"/>
      <c r="BK700" s="64"/>
      <c r="BL700" s="64"/>
      <c r="BM700" s="64"/>
      <c r="BN700" s="64"/>
    </row>
    <row r="701" ht="30.0" customHeight="1">
      <c r="A701" s="64"/>
      <c r="B701" s="64"/>
      <c r="C701" s="66"/>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75"/>
      <c r="BB701" s="64"/>
      <c r="BC701" s="64"/>
      <c r="BD701" s="66"/>
      <c r="BE701" s="64"/>
      <c r="BF701" s="64"/>
      <c r="BG701" s="64"/>
      <c r="BH701" s="64"/>
      <c r="BI701" s="64"/>
      <c r="BJ701" s="64"/>
      <c r="BK701" s="64"/>
      <c r="BL701" s="64"/>
      <c r="BM701" s="64"/>
      <c r="BN701" s="64"/>
    </row>
    <row r="702" ht="30.0" customHeight="1">
      <c r="A702" s="64"/>
      <c r="B702" s="64"/>
      <c r="C702" s="66"/>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75"/>
      <c r="BB702" s="64"/>
      <c r="BC702" s="64"/>
      <c r="BD702" s="66"/>
      <c r="BE702" s="64"/>
      <c r="BF702" s="64"/>
      <c r="BG702" s="64"/>
      <c r="BH702" s="64"/>
      <c r="BI702" s="64"/>
      <c r="BJ702" s="64"/>
      <c r="BK702" s="64"/>
      <c r="BL702" s="64"/>
      <c r="BM702" s="64"/>
      <c r="BN702" s="64"/>
    </row>
    <row r="703" ht="30.0" customHeight="1">
      <c r="A703" s="64"/>
      <c r="B703" s="64"/>
      <c r="C703" s="66"/>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75"/>
      <c r="BB703" s="64"/>
      <c r="BC703" s="64"/>
      <c r="BD703" s="66"/>
      <c r="BE703" s="64"/>
      <c r="BF703" s="64"/>
      <c r="BG703" s="64"/>
      <c r="BH703" s="64"/>
      <c r="BI703" s="64"/>
      <c r="BJ703" s="64"/>
      <c r="BK703" s="64"/>
      <c r="BL703" s="64"/>
      <c r="BM703" s="64"/>
      <c r="BN703" s="64"/>
    </row>
    <row r="704" ht="30.0" customHeight="1">
      <c r="A704" s="64"/>
      <c r="B704" s="64"/>
      <c r="C704" s="66"/>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75"/>
      <c r="BB704" s="64"/>
      <c r="BC704" s="64"/>
      <c r="BD704" s="66"/>
      <c r="BE704" s="64"/>
      <c r="BF704" s="64"/>
      <c r="BG704" s="64"/>
      <c r="BH704" s="64"/>
      <c r="BI704" s="64"/>
      <c r="BJ704" s="64"/>
      <c r="BK704" s="64"/>
      <c r="BL704" s="64"/>
      <c r="BM704" s="64"/>
      <c r="BN704" s="64"/>
    </row>
    <row r="705" ht="30.0" customHeight="1">
      <c r="A705" s="64"/>
      <c r="B705" s="64"/>
      <c r="C705" s="66"/>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75"/>
      <c r="BB705" s="64"/>
      <c r="BC705" s="64"/>
      <c r="BD705" s="66"/>
      <c r="BE705" s="64"/>
      <c r="BF705" s="64"/>
      <c r="BG705" s="64"/>
      <c r="BH705" s="64"/>
      <c r="BI705" s="64"/>
      <c r="BJ705" s="64"/>
      <c r="BK705" s="64"/>
      <c r="BL705" s="64"/>
      <c r="BM705" s="64"/>
      <c r="BN705" s="64"/>
    </row>
    <row r="706" ht="30.0" customHeight="1">
      <c r="A706" s="64"/>
      <c r="B706" s="64"/>
      <c r="C706" s="66"/>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75"/>
      <c r="BB706" s="64"/>
      <c r="BC706" s="64"/>
      <c r="BD706" s="66"/>
      <c r="BE706" s="64"/>
      <c r="BF706" s="64"/>
      <c r="BG706" s="64"/>
      <c r="BH706" s="64"/>
      <c r="BI706" s="64"/>
      <c r="BJ706" s="64"/>
      <c r="BK706" s="64"/>
      <c r="BL706" s="64"/>
      <c r="BM706" s="64"/>
      <c r="BN706" s="64"/>
    </row>
    <row r="707" ht="30.0" customHeight="1">
      <c r="A707" s="64"/>
      <c r="B707" s="64"/>
      <c r="C707" s="66"/>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75"/>
      <c r="BB707" s="64"/>
      <c r="BC707" s="64"/>
      <c r="BD707" s="66"/>
      <c r="BE707" s="64"/>
      <c r="BF707" s="64"/>
      <c r="BG707" s="64"/>
      <c r="BH707" s="64"/>
      <c r="BI707" s="64"/>
      <c r="BJ707" s="64"/>
      <c r="BK707" s="64"/>
      <c r="BL707" s="64"/>
      <c r="BM707" s="64"/>
      <c r="BN707" s="64"/>
    </row>
    <row r="708" ht="30.0" customHeight="1">
      <c r="A708" s="64"/>
      <c r="B708" s="64"/>
      <c r="C708" s="66"/>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75"/>
      <c r="BB708" s="64"/>
      <c r="BC708" s="64"/>
      <c r="BD708" s="66"/>
      <c r="BE708" s="64"/>
      <c r="BF708" s="64"/>
      <c r="BG708" s="64"/>
      <c r="BH708" s="64"/>
      <c r="BI708" s="64"/>
      <c r="BJ708" s="64"/>
      <c r="BK708" s="64"/>
      <c r="BL708" s="64"/>
      <c r="BM708" s="64"/>
      <c r="BN708" s="64"/>
    </row>
    <row r="709" ht="30.0" customHeight="1">
      <c r="A709" s="64"/>
      <c r="B709" s="64"/>
      <c r="C709" s="66"/>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75"/>
      <c r="BB709" s="64"/>
      <c r="BC709" s="64"/>
      <c r="BD709" s="66"/>
      <c r="BE709" s="64"/>
      <c r="BF709" s="64"/>
      <c r="BG709" s="64"/>
      <c r="BH709" s="64"/>
      <c r="BI709" s="64"/>
      <c r="BJ709" s="64"/>
      <c r="BK709" s="64"/>
      <c r="BL709" s="64"/>
      <c r="BM709" s="64"/>
      <c r="BN709" s="64"/>
    </row>
    <row r="710" ht="30.0" customHeight="1">
      <c r="A710" s="64"/>
      <c r="B710" s="64"/>
      <c r="C710" s="66"/>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75"/>
      <c r="BB710" s="64"/>
      <c r="BC710" s="64"/>
      <c r="BD710" s="66"/>
      <c r="BE710" s="64"/>
      <c r="BF710" s="64"/>
      <c r="BG710" s="64"/>
      <c r="BH710" s="64"/>
      <c r="BI710" s="64"/>
      <c r="BJ710" s="64"/>
      <c r="BK710" s="64"/>
      <c r="BL710" s="64"/>
      <c r="BM710" s="64"/>
      <c r="BN710" s="64"/>
    </row>
    <row r="711" ht="30.0" customHeight="1">
      <c r="A711" s="64"/>
      <c r="B711" s="64"/>
      <c r="C711" s="66"/>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75"/>
      <c r="BB711" s="64"/>
      <c r="BC711" s="64"/>
      <c r="BD711" s="66"/>
      <c r="BE711" s="64"/>
      <c r="BF711" s="64"/>
      <c r="BG711" s="64"/>
      <c r="BH711" s="64"/>
      <c r="BI711" s="64"/>
      <c r="BJ711" s="64"/>
      <c r="BK711" s="64"/>
      <c r="BL711" s="64"/>
      <c r="BM711" s="64"/>
      <c r="BN711" s="64"/>
    </row>
    <row r="712" ht="30.0" customHeight="1">
      <c r="A712" s="64"/>
      <c r="B712" s="64"/>
      <c r="C712" s="66"/>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75"/>
      <c r="BB712" s="64"/>
      <c r="BC712" s="64"/>
      <c r="BD712" s="66"/>
      <c r="BE712" s="64"/>
      <c r="BF712" s="64"/>
      <c r="BG712" s="64"/>
      <c r="BH712" s="64"/>
      <c r="BI712" s="64"/>
      <c r="BJ712" s="64"/>
      <c r="BK712" s="64"/>
      <c r="BL712" s="64"/>
      <c r="BM712" s="64"/>
      <c r="BN712" s="64"/>
    </row>
    <row r="713" ht="30.0" customHeight="1">
      <c r="A713" s="64"/>
      <c r="B713" s="64"/>
      <c r="C713" s="66"/>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75"/>
      <c r="BB713" s="64"/>
      <c r="BC713" s="64"/>
      <c r="BD713" s="66"/>
      <c r="BE713" s="64"/>
      <c r="BF713" s="64"/>
      <c r="BG713" s="64"/>
      <c r="BH713" s="64"/>
      <c r="BI713" s="64"/>
      <c r="BJ713" s="64"/>
      <c r="BK713" s="64"/>
      <c r="BL713" s="64"/>
      <c r="BM713" s="64"/>
      <c r="BN713" s="64"/>
    </row>
    <row r="714" ht="30.0" customHeight="1">
      <c r="A714" s="64"/>
      <c r="B714" s="64"/>
      <c r="C714" s="66"/>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75"/>
      <c r="BB714" s="64"/>
      <c r="BC714" s="64"/>
      <c r="BD714" s="66"/>
      <c r="BE714" s="64"/>
      <c r="BF714" s="64"/>
      <c r="BG714" s="64"/>
      <c r="BH714" s="64"/>
      <c r="BI714" s="64"/>
      <c r="BJ714" s="64"/>
      <c r="BK714" s="64"/>
      <c r="BL714" s="64"/>
      <c r="BM714" s="64"/>
      <c r="BN714" s="64"/>
    </row>
    <row r="715" ht="30.0" customHeight="1">
      <c r="A715" s="64"/>
      <c r="B715" s="64"/>
      <c r="C715" s="66"/>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75"/>
      <c r="BB715" s="64"/>
      <c r="BC715" s="64"/>
      <c r="BD715" s="66"/>
      <c r="BE715" s="64"/>
      <c r="BF715" s="64"/>
      <c r="BG715" s="64"/>
      <c r="BH715" s="64"/>
      <c r="BI715" s="64"/>
      <c r="BJ715" s="64"/>
      <c r="BK715" s="64"/>
      <c r="BL715" s="64"/>
      <c r="BM715" s="64"/>
      <c r="BN715" s="64"/>
    </row>
    <row r="716" ht="30.0" customHeight="1">
      <c r="A716" s="64"/>
      <c r="B716" s="64"/>
      <c r="C716" s="66"/>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75"/>
      <c r="BB716" s="64"/>
      <c r="BC716" s="64"/>
      <c r="BD716" s="66"/>
      <c r="BE716" s="64"/>
      <c r="BF716" s="64"/>
      <c r="BG716" s="64"/>
      <c r="BH716" s="64"/>
      <c r="BI716" s="64"/>
      <c r="BJ716" s="64"/>
      <c r="BK716" s="64"/>
      <c r="BL716" s="64"/>
      <c r="BM716" s="64"/>
      <c r="BN716" s="64"/>
    </row>
    <row r="717" ht="30.0" customHeight="1">
      <c r="A717" s="64"/>
      <c r="B717" s="64"/>
      <c r="C717" s="66"/>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75"/>
      <c r="BB717" s="64"/>
      <c r="BC717" s="64"/>
      <c r="BD717" s="66"/>
      <c r="BE717" s="64"/>
      <c r="BF717" s="64"/>
      <c r="BG717" s="64"/>
      <c r="BH717" s="64"/>
      <c r="BI717" s="64"/>
      <c r="BJ717" s="64"/>
      <c r="BK717" s="64"/>
      <c r="BL717" s="64"/>
      <c r="BM717" s="64"/>
      <c r="BN717" s="64"/>
    </row>
    <row r="718" ht="30.0" customHeight="1">
      <c r="A718" s="64"/>
      <c r="B718" s="64"/>
      <c r="C718" s="66"/>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75"/>
      <c r="BB718" s="64"/>
      <c r="BC718" s="64"/>
      <c r="BD718" s="66"/>
      <c r="BE718" s="64"/>
      <c r="BF718" s="64"/>
      <c r="BG718" s="64"/>
      <c r="BH718" s="64"/>
      <c r="BI718" s="64"/>
      <c r="BJ718" s="64"/>
      <c r="BK718" s="64"/>
      <c r="BL718" s="64"/>
      <c r="BM718" s="64"/>
      <c r="BN718" s="64"/>
    </row>
    <row r="719" ht="30.0" customHeight="1">
      <c r="A719" s="64"/>
      <c r="B719" s="64"/>
      <c r="C719" s="66"/>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75"/>
      <c r="BB719" s="64"/>
      <c r="BC719" s="64"/>
      <c r="BD719" s="66"/>
      <c r="BE719" s="64"/>
      <c r="BF719" s="64"/>
      <c r="BG719" s="64"/>
      <c r="BH719" s="64"/>
      <c r="BI719" s="64"/>
      <c r="BJ719" s="64"/>
      <c r="BK719" s="64"/>
      <c r="BL719" s="64"/>
      <c r="BM719" s="64"/>
      <c r="BN719" s="64"/>
    </row>
    <row r="720" ht="30.0" customHeight="1">
      <c r="A720" s="64"/>
      <c r="B720" s="64"/>
      <c r="C720" s="66"/>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75"/>
      <c r="BB720" s="64"/>
      <c r="BC720" s="64"/>
      <c r="BD720" s="66"/>
      <c r="BE720" s="64"/>
      <c r="BF720" s="64"/>
      <c r="BG720" s="64"/>
      <c r="BH720" s="64"/>
      <c r="BI720" s="64"/>
      <c r="BJ720" s="64"/>
      <c r="BK720" s="64"/>
      <c r="BL720" s="64"/>
      <c r="BM720" s="64"/>
      <c r="BN720" s="64"/>
    </row>
    <row r="721" ht="30.0" customHeight="1">
      <c r="A721" s="64"/>
      <c r="B721" s="64"/>
      <c r="C721" s="66"/>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75"/>
      <c r="BB721" s="64"/>
      <c r="BC721" s="64"/>
      <c r="BD721" s="66"/>
      <c r="BE721" s="64"/>
      <c r="BF721" s="64"/>
      <c r="BG721" s="64"/>
      <c r="BH721" s="64"/>
      <c r="BI721" s="64"/>
      <c r="BJ721" s="64"/>
      <c r="BK721" s="64"/>
      <c r="BL721" s="64"/>
      <c r="BM721" s="64"/>
      <c r="BN721" s="64"/>
    </row>
    <row r="722" ht="30.0" customHeight="1">
      <c r="A722" s="64"/>
      <c r="B722" s="64"/>
      <c r="C722" s="66"/>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75"/>
      <c r="BB722" s="64"/>
      <c r="BC722" s="64"/>
      <c r="BD722" s="66"/>
      <c r="BE722" s="64"/>
      <c r="BF722" s="64"/>
      <c r="BG722" s="64"/>
      <c r="BH722" s="64"/>
      <c r="BI722" s="64"/>
      <c r="BJ722" s="64"/>
      <c r="BK722" s="64"/>
      <c r="BL722" s="64"/>
      <c r="BM722" s="64"/>
      <c r="BN722" s="64"/>
    </row>
    <row r="723" ht="30.0" customHeight="1">
      <c r="A723" s="64"/>
      <c r="B723" s="64"/>
      <c r="C723" s="66"/>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75"/>
      <c r="BB723" s="64"/>
      <c r="BC723" s="64"/>
      <c r="BD723" s="66"/>
      <c r="BE723" s="64"/>
      <c r="BF723" s="64"/>
      <c r="BG723" s="64"/>
      <c r="BH723" s="64"/>
      <c r="BI723" s="64"/>
      <c r="BJ723" s="64"/>
      <c r="BK723" s="64"/>
      <c r="BL723" s="64"/>
      <c r="BM723" s="64"/>
      <c r="BN723" s="64"/>
    </row>
    <row r="724" ht="30.0" customHeight="1">
      <c r="A724" s="64"/>
      <c r="B724" s="64"/>
      <c r="C724" s="66"/>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75"/>
      <c r="BB724" s="64"/>
      <c r="BC724" s="64"/>
      <c r="BD724" s="66"/>
      <c r="BE724" s="64"/>
      <c r="BF724" s="64"/>
      <c r="BG724" s="64"/>
      <c r="BH724" s="64"/>
      <c r="BI724" s="64"/>
      <c r="BJ724" s="64"/>
      <c r="BK724" s="64"/>
      <c r="BL724" s="64"/>
      <c r="BM724" s="64"/>
      <c r="BN724" s="64"/>
    </row>
    <row r="725" ht="30.0" customHeight="1">
      <c r="A725" s="64"/>
      <c r="B725" s="64"/>
      <c r="C725" s="66"/>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75"/>
      <c r="BB725" s="64"/>
      <c r="BC725" s="64"/>
      <c r="BD725" s="66"/>
      <c r="BE725" s="64"/>
      <c r="BF725" s="64"/>
      <c r="BG725" s="64"/>
      <c r="BH725" s="64"/>
      <c r="BI725" s="64"/>
      <c r="BJ725" s="64"/>
      <c r="BK725" s="64"/>
      <c r="BL725" s="64"/>
      <c r="BM725" s="64"/>
      <c r="BN725" s="64"/>
    </row>
    <row r="726" ht="30.0" customHeight="1">
      <c r="A726" s="64"/>
      <c r="B726" s="64"/>
      <c r="C726" s="66"/>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75"/>
      <c r="BB726" s="64"/>
      <c r="BC726" s="64"/>
      <c r="BD726" s="66"/>
      <c r="BE726" s="64"/>
      <c r="BF726" s="64"/>
      <c r="BG726" s="64"/>
      <c r="BH726" s="64"/>
      <c r="BI726" s="64"/>
      <c r="BJ726" s="64"/>
      <c r="BK726" s="64"/>
      <c r="BL726" s="64"/>
      <c r="BM726" s="64"/>
      <c r="BN726" s="64"/>
    </row>
    <row r="727" ht="30.0" customHeight="1">
      <c r="A727" s="64"/>
      <c r="B727" s="64"/>
      <c r="C727" s="66"/>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75"/>
      <c r="BB727" s="64"/>
      <c r="BC727" s="64"/>
      <c r="BD727" s="66"/>
      <c r="BE727" s="64"/>
      <c r="BF727" s="64"/>
      <c r="BG727" s="64"/>
      <c r="BH727" s="64"/>
      <c r="BI727" s="64"/>
      <c r="BJ727" s="64"/>
      <c r="BK727" s="64"/>
      <c r="BL727" s="64"/>
      <c r="BM727" s="64"/>
      <c r="BN727" s="64"/>
    </row>
    <row r="728" ht="30.0" customHeight="1">
      <c r="A728" s="64"/>
      <c r="B728" s="64"/>
      <c r="C728" s="66"/>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75"/>
      <c r="BB728" s="64"/>
      <c r="BC728" s="64"/>
      <c r="BD728" s="66"/>
      <c r="BE728" s="64"/>
      <c r="BF728" s="64"/>
      <c r="BG728" s="64"/>
      <c r="BH728" s="64"/>
      <c r="BI728" s="64"/>
      <c r="BJ728" s="64"/>
      <c r="BK728" s="64"/>
      <c r="BL728" s="64"/>
      <c r="BM728" s="64"/>
      <c r="BN728" s="64"/>
    </row>
    <row r="729" ht="30.0" customHeight="1">
      <c r="A729" s="64"/>
      <c r="B729" s="64"/>
      <c r="C729" s="66"/>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75"/>
      <c r="BB729" s="64"/>
      <c r="BC729" s="64"/>
      <c r="BD729" s="66"/>
      <c r="BE729" s="64"/>
      <c r="BF729" s="64"/>
      <c r="BG729" s="64"/>
      <c r="BH729" s="64"/>
      <c r="BI729" s="64"/>
      <c r="BJ729" s="64"/>
      <c r="BK729" s="64"/>
      <c r="BL729" s="64"/>
      <c r="BM729" s="64"/>
      <c r="BN729" s="64"/>
    </row>
    <row r="730" ht="30.0" customHeight="1">
      <c r="A730" s="64"/>
      <c r="B730" s="64"/>
      <c r="C730" s="66"/>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75"/>
      <c r="BB730" s="64"/>
      <c r="BC730" s="64"/>
      <c r="BD730" s="66"/>
      <c r="BE730" s="64"/>
      <c r="BF730" s="64"/>
      <c r="BG730" s="64"/>
      <c r="BH730" s="64"/>
      <c r="BI730" s="64"/>
      <c r="BJ730" s="64"/>
      <c r="BK730" s="64"/>
      <c r="BL730" s="64"/>
      <c r="BM730" s="64"/>
      <c r="BN730" s="64"/>
    </row>
    <row r="731" ht="30.0" customHeight="1">
      <c r="A731" s="64"/>
      <c r="B731" s="64"/>
      <c r="C731" s="66"/>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75"/>
      <c r="BB731" s="64"/>
      <c r="BC731" s="64"/>
      <c r="BD731" s="66"/>
      <c r="BE731" s="64"/>
      <c r="BF731" s="64"/>
      <c r="BG731" s="64"/>
      <c r="BH731" s="64"/>
      <c r="BI731" s="64"/>
      <c r="BJ731" s="64"/>
      <c r="BK731" s="64"/>
      <c r="BL731" s="64"/>
      <c r="BM731" s="64"/>
      <c r="BN731" s="64"/>
    </row>
    <row r="732" ht="30.0" customHeight="1">
      <c r="A732" s="64"/>
      <c r="B732" s="64"/>
      <c r="C732" s="66"/>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75"/>
      <c r="BB732" s="64"/>
      <c r="BC732" s="64"/>
      <c r="BD732" s="66"/>
      <c r="BE732" s="64"/>
      <c r="BF732" s="64"/>
      <c r="BG732" s="64"/>
      <c r="BH732" s="64"/>
      <c r="BI732" s="64"/>
      <c r="BJ732" s="64"/>
      <c r="BK732" s="64"/>
      <c r="BL732" s="64"/>
      <c r="BM732" s="64"/>
      <c r="BN732" s="64"/>
    </row>
    <row r="733" ht="30.0" customHeight="1">
      <c r="A733" s="64"/>
      <c r="B733" s="64"/>
      <c r="C733" s="66"/>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75"/>
      <c r="BB733" s="64"/>
      <c r="BC733" s="64"/>
      <c r="BD733" s="66"/>
      <c r="BE733" s="64"/>
      <c r="BF733" s="64"/>
      <c r="BG733" s="64"/>
      <c r="BH733" s="64"/>
      <c r="BI733" s="64"/>
      <c r="BJ733" s="64"/>
      <c r="BK733" s="64"/>
      <c r="BL733" s="64"/>
      <c r="BM733" s="64"/>
      <c r="BN733" s="64"/>
    </row>
    <row r="734" ht="30.0" customHeight="1">
      <c r="A734" s="64"/>
      <c r="B734" s="64"/>
      <c r="C734" s="66"/>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75"/>
      <c r="BB734" s="64"/>
      <c r="BC734" s="64"/>
      <c r="BD734" s="66"/>
      <c r="BE734" s="64"/>
      <c r="BF734" s="64"/>
      <c r="BG734" s="64"/>
      <c r="BH734" s="64"/>
      <c r="BI734" s="64"/>
      <c r="BJ734" s="64"/>
      <c r="BK734" s="64"/>
      <c r="BL734" s="64"/>
      <c r="BM734" s="64"/>
      <c r="BN734" s="64"/>
    </row>
    <row r="735" ht="30.0" customHeight="1">
      <c r="A735" s="64"/>
      <c r="B735" s="64"/>
      <c r="C735" s="66"/>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75"/>
      <c r="BB735" s="64"/>
      <c r="BC735" s="64"/>
      <c r="BD735" s="66"/>
      <c r="BE735" s="64"/>
      <c r="BF735" s="64"/>
      <c r="BG735" s="64"/>
      <c r="BH735" s="64"/>
      <c r="BI735" s="64"/>
      <c r="BJ735" s="64"/>
      <c r="BK735" s="64"/>
      <c r="BL735" s="64"/>
      <c r="BM735" s="64"/>
      <c r="BN735" s="64"/>
    </row>
    <row r="736" ht="30.0" customHeight="1">
      <c r="A736" s="64"/>
      <c r="B736" s="64"/>
      <c r="C736" s="66"/>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75"/>
      <c r="BB736" s="64"/>
      <c r="BC736" s="64"/>
      <c r="BD736" s="66"/>
      <c r="BE736" s="64"/>
      <c r="BF736" s="64"/>
      <c r="BG736" s="64"/>
      <c r="BH736" s="64"/>
      <c r="BI736" s="64"/>
      <c r="BJ736" s="64"/>
      <c r="BK736" s="64"/>
      <c r="BL736" s="64"/>
      <c r="BM736" s="64"/>
      <c r="BN736" s="64"/>
    </row>
    <row r="737" ht="30.0" customHeight="1">
      <c r="A737" s="64"/>
      <c r="B737" s="64"/>
      <c r="C737" s="66"/>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75"/>
      <c r="BB737" s="64"/>
      <c r="BC737" s="64"/>
      <c r="BD737" s="66"/>
      <c r="BE737" s="64"/>
      <c r="BF737" s="64"/>
      <c r="BG737" s="64"/>
      <c r="BH737" s="64"/>
      <c r="BI737" s="64"/>
      <c r="BJ737" s="64"/>
      <c r="BK737" s="64"/>
      <c r="BL737" s="64"/>
      <c r="BM737" s="64"/>
      <c r="BN737" s="64"/>
    </row>
    <row r="738" ht="30.0" customHeight="1">
      <c r="A738" s="64"/>
      <c r="B738" s="64"/>
      <c r="C738" s="66"/>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75"/>
      <c r="BB738" s="64"/>
      <c r="BC738" s="64"/>
      <c r="BD738" s="66"/>
      <c r="BE738" s="64"/>
      <c r="BF738" s="64"/>
      <c r="BG738" s="64"/>
      <c r="BH738" s="64"/>
      <c r="BI738" s="64"/>
      <c r="BJ738" s="64"/>
      <c r="BK738" s="64"/>
      <c r="BL738" s="64"/>
      <c r="BM738" s="64"/>
      <c r="BN738" s="64"/>
    </row>
    <row r="739" ht="30.0" customHeight="1">
      <c r="A739" s="64"/>
      <c r="B739" s="64"/>
      <c r="C739" s="66"/>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75"/>
      <c r="BB739" s="64"/>
      <c r="BC739" s="64"/>
      <c r="BD739" s="66"/>
      <c r="BE739" s="64"/>
      <c r="BF739" s="64"/>
      <c r="BG739" s="64"/>
      <c r="BH739" s="64"/>
      <c r="BI739" s="64"/>
      <c r="BJ739" s="64"/>
      <c r="BK739" s="64"/>
      <c r="BL739" s="64"/>
      <c r="BM739" s="64"/>
      <c r="BN739" s="64"/>
    </row>
    <row r="740" ht="30.0" customHeight="1">
      <c r="A740" s="64"/>
      <c r="B740" s="64"/>
      <c r="C740" s="66"/>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75"/>
      <c r="BB740" s="64"/>
      <c r="BC740" s="64"/>
      <c r="BD740" s="66"/>
      <c r="BE740" s="64"/>
      <c r="BF740" s="64"/>
      <c r="BG740" s="64"/>
      <c r="BH740" s="64"/>
      <c r="BI740" s="64"/>
      <c r="BJ740" s="64"/>
      <c r="BK740" s="64"/>
      <c r="BL740" s="64"/>
      <c r="BM740" s="64"/>
      <c r="BN740" s="64"/>
    </row>
    <row r="741" ht="30.0" customHeight="1">
      <c r="A741" s="64"/>
      <c r="B741" s="64"/>
      <c r="C741" s="66"/>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75"/>
      <c r="BB741" s="64"/>
      <c r="BC741" s="64"/>
      <c r="BD741" s="66"/>
      <c r="BE741" s="64"/>
      <c r="BF741" s="64"/>
      <c r="BG741" s="64"/>
      <c r="BH741" s="64"/>
      <c r="BI741" s="64"/>
      <c r="BJ741" s="64"/>
      <c r="BK741" s="64"/>
      <c r="BL741" s="64"/>
      <c r="BM741" s="64"/>
      <c r="BN741" s="64"/>
    </row>
    <row r="742" ht="30.0" customHeight="1">
      <c r="A742" s="64"/>
      <c r="B742" s="64"/>
      <c r="C742" s="66"/>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75"/>
      <c r="BB742" s="64"/>
      <c r="BC742" s="64"/>
      <c r="BD742" s="66"/>
      <c r="BE742" s="64"/>
      <c r="BF742" s="64"/>
      <c r="BG742" s="64"/>
      <c r="BH742" s="64"/>
      <c r="BI742" s="64"/>
      <c r="BJ742" s="64"/>
      <c r="BK742" s="64"/>
      <c r="BL742" s="64"/>
      <c r="BM742" s="64"/>
      <c r="BN742" s="64"/>
    </row>
    <row r="743" ht="30.0" customHeight="1">
      <c r="A743" s="64"/>
      <c r="B743" s="64"/>
      <c r="C743" s="66"/>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75"/>
      <c r="BB743" s="64"/>
      <c r="BC743" s="64"/>
      <c r="BD743" s="66"/>
      <c r="BE743" s="64"/>
      <c r="BF743" s="64"/>
      <c r="BG743" s="64"/>
      <c r="BH743" s="64"/>
      <c r="BI743" s="64"/>
      <c r="BJ743" s="64"/>
      <c r="BK743" s="64"/>
      <c r="BL743" s="64"/>
      <c r="BM743" s="64"/>
      <c r="BN743" s="64"/>
    </row>
    <row r="744" ht="30.0" customHeight="1">
      <c r="A744" s="64"/>
      <c r="B744" s="64"/>
      <c r="C744" s="66"/>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75"/>
      <c r="BB744" s="64"/>
      <c r="BC744" s="64"/>
      <c r="BD744" s="66"/>
      <c r="BE744" s="64"/>
      <c r="BF744" s="64"/>
      <c r="BG744" s="64"/>
      <c r="BH744" s="64"/>
      <c r="BI744" s="64"/>
      <c r="BJ744" s="64"/>
      <c r="BK744" s="64"/>
      <c r="BL744" s="64"/>
      <c r="BM744" s="64"/>
      <c r="BN744" s="64"/>
    </row>
    <row r="745" ht="30.0" customHeight="1">
      <c r="A745" s="64"/>
      <c r="B745" s="64"/>
      <c r="C745" s="66"/>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75"/>
      <c r="BB745" s="64"/>
      <c r="BC745" s="64"/>
      <c r="BD745" s="66"/>
      <c r="BE745" s="64"/>
      <c r="BF745" s="64"/>
      <c r="BG745" s="64"/>
      <c r="BH745" s="64"/>
      <c r="BI745" s="64"/>
      <c r="BJ745" s="64"/>
      <c r="BK745" s="64"/>
      <c r="BL745" s="64"/>
      <c r="BM745" s="64"/>
      <c r="BN745" s="64"/>
    </row>
    <row r="746" ht="30.0" customHeight="1">
      <c r="A746" s="64"/>
      <c r="B746" s="64"/>
      <c r="C746" s="66"/>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75"/>
      <c r="BB746" s="64"/>
      <c r="BC746" s="64"/>
      <c r="BD746" s="66"/>
      <c r="BE746" s="64"/>
      <c r="BF746" s="64"/>
      <c r="BG746" s="64"/>
      <c r="BH746" s="64"/>
      <c r="BI746" s="64"/>
      <c r="BJ746" s="64"/>
      <c r="BK746" s="64"/>
      <c r="BL746" s="64"/>
      <c r="BM746" s="64"/>
      <c r="BN746" s="64"/>
    </row>
    <row r="747" ht="30.0" customHeight="1">
      <c r="A747" s="64"/>
      <c r="B747" s="64"/>
      <c r="C747" s="66"/>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75"/>
      <c r="BB747" s="64"/>
      <c r="BC747" s="64"/>
      <c r="BD747" s="66"/>
      <c r="BE747" s="64"/>
      <c r="BF747" s="64"/>
      <c r="BG747" s="64"/>
      <c r="BH747" s="64"/>
      <c r="BI747" s="64"/>
      <c r="BJ747" s="64"/>
      <c r="BK747" s="64"/>
      <c r="BL747" s="64"/>
      <c r="BM747" s="64"/>
      <c r="BN747" s="64"/>
    </row>
    <row r="748" ht="30.0" customHeight="1">
      <c r="A748" s="64"/>
      <c r="B748" s="64"/>
      <c r="C748" s="66"/>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75"/>
      <c r="BB748" s="64"/>
      <c r="BC748" s="64"/>
      <c r="BD748" s="66"/>
      <c r="BE748" s="64"/>
      <c r="BF748" s="64"/>
      <c r="BG748" s="64"/>
      <c r="BH748" s="64"/>
      <c r="BI748" s="64"/>
      <c r="BJ748" s="64"/>
      <c r="BK748" s="64"/>
      <c r="BL748" s="64"/>
      <c r="BM748" s="64"/>
      <c r="BN748" s="64"/>
    </row>
    <row r="749" ht="30.0" customHeight="1">
      <c r="A749" s="64"/>
      <c r="B749" s="64"/>
      <c r="C749" s="66"/>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75"/>
      <c r="BB749" s="64"/>
      <c r="BC749" s="64"/>
      <c r="BD749" s="66"/>
      <c r="BE749" s="64"/>
      <c r="BF749" s="64"/>
      <c r="BG749" s="64"/>
      <c r="BH749" s="64"/>
      <c r="BI749" s="64"/>
      <c r="BJ749" s="64"/>
      <c r="BK749" s="64"/>
      <c r="BL749" s="64"/>
      <c r="BM749" s="64"/>
      <c r="BN749" s="64"/>
    </row>
    <row r="750" ht="30.0" customHeight="1">
      <c r="A750" s="64"/>
      <c r="B750" s="64"/>
      <c r="C750" s="66"/>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75"/>
      <c r="BB750" s="64"/>
      <c r="BC750" s="64"/>
      <c r="BD750" s="66"/>
      <c r="BE750" s="64"/>
      <c r="BF750" s="64"/>
      <c r="BG750" s="64"/>
      <c r="BH750" s="64"/>
      <c r="BI750" s="64"/>
      <c r="BJ750" s="64"/>
      <c r="BK750" s="64"/>
      <c r="BL750" s="64"/>
      <c r="BM750" s="64"/>
      <c r="BN750" s="64"/>
    </row>
    <row r="751" ht="30.0" customHeight="1">
      <c r="A751" s="64"/>
      <c r="B751" s="64"/>
      <c r="C751" s="66"/>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75"/>
      <c r="BB751" s="64"/>
      <c r="BC751" s="64"/>
      <c r="BD751" s="66"/>
      <c r="BE751" s="64"/>
      <c r="BF751" s="64"/>
      <c r="BG751" s="64"/>
      <c r="BH751" s="64"/>
      <c r="BI751" s="64"/>
      <c r="BJ751" s="64"/>
      <c r="BK751" s="64"/>
      <c r="BL751" s="64"/>
      <c r="BM751" s="64"/>
      <c r="BN751" s="64"/>
    </row>
    <row r="752" ht="30.0" customHeight="1">
      <c r="A752" s="64"/>
      <c r="B752" s="64"/>
      <c r="C752" s="66"/>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75"/>
      <c r="BB752" s="64"/>
      <c r="BC752" s="64"/>
      <c r="BD752" s="66"/>
      <c r="BE752" s="64"/>
      <c r="BF752" s="64"/>
      <c r="BG752" s="64"/>
      <c r="BH752" s="64"/>
      <c r="BI752" s="64"/>
      <c r="BJ752" s="64"/>
      <c r="BK752" s="64"/>
      <c r="BL752" s="64"/>
      <c r="BM752" s="64"/>
      <c r="BN752" s="64"/>
    </row>
    <row r="753" ht="30.0" customHeight="1">
      <c r="A753" s="64"/>
      <c r="B753" s="64"/>
      <c r="C753" s="66"/>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75"/>
      <c r="BB753" s="64"/>
      <c r="BC753" s="64"/>
      <c r="BD753" s="66"/>
      <c r="BE753" s="64"/>
      <c r="BF753" s="64"/>
      <c r="BG753" s="64"/>
      <c r="BH753" s="64"/>
      <c r="BI753" s="64"/>
      <c r="BJ753" s="64"/>
      <c r="BK753" s="64"/>
      <c r="BL753" s="64"/>
      <c r="BM753" s="64"/>
      <c r="BN753" s="64"/>
    </row>
    <row r="754" ht="30.0" customHeight="1">
      <c r="A754" s="64"/>
      <c r="B754" s="64"/>
      <c r="C754" s="66"/>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75"/>
      <c r="BB754" s="64"/>
      <c r="BC754" s="64"/>
      <c r="BD754" s="66"/>
      <c r="BE754" s="64"/>
      <c r="BF754" s="64"/>
      <c r="BG754" s="64"/>
      <c r="BH754" s="64"/>
      <c r="BI754" s="64"/>
      <c r="BJ754" s="64"/>
      <c r="BK754" s="64"/>
      <c r="BL754" s="64"/>
      <c r="BM754" s="64"/>
      <c r="BN754" s="64"/>
    </row>
    <row r="755" ht="30.0" customHeight="1">
      <c r="A755" s="64"/>
      <c r="B755" s="64"/>
      <c r="C755" s="66"/>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75"/>
      <c r="BB755" s="64"/>
      <c r="BC755" s="64"/>
      <c r="BD755" s="66"/>
      <c r="BE755" s="64"/>
      <c r="BF755" s="64"/>
      <c r="BG755" s="64"/>
      <c r="BH755" s="64"/>
      <c r="BI755" s="64"/>
      <c r="BJ755" s="64"/>
      <c r="BK755" s="64"/>
      <c r="BL755" s="64"/>
      <c r="BM755" s="64"/>
      <c r="BN755" s="64"/>
    </row>
    <row r="756" ht="30.0" customHeight="1">
      <c r="A756" s="64"/>
      <c r="B756" s="64"/>
      <c r="C756" s="66"/>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75"/>
      <c r="BB756" s="64"/>
      <c r="BC756" s="64"/>
      <c r="BD756" s="66"/>
      <c r="BE756" s="64"/>
      <c r="BF756" s="64"/>
      <c r="BG756" s="64"/>
      <c r="BH756" s="64"/>
      <c r="BI756" s="64"/>
      <c r="BJ756" s="64"/>
      <c r="BK756" s="64"/>
      <c r="BL756" s="64"/>
      <c r="BM756" s="64"/>
      <c r="BN756" s="64"/>
    </row>
    <row r="757" ht="30.0" customHeight="1">
      <c r="A757" s="64"/>
      <c r="B757" s="64"/>
      <c r="C757" s="66"/>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75"/>
      <c r="BB757" s="64"/>
      <c r="BC757" s="64"/>
      <c r="BD757" s="66"/>
      <c r="BE757" s="64"/>
      <c r="BF757" s="64"/>
      <c r="BG757" s="64"/>
      <c r="BH757" s="64"/>
      <c r="BI757" s="64"/>
      <c r="BJ757" s="64"/>
      <c r="BK757" s="64"/>
      <c r="BL757" s="64"/>
      <c r="BM757" s="64"/>
      <c r="BN757" s="64"/>
    </row>
    <row r="758" ht="30.0" customHeight="1">
      <c r="A758" s="64"/>
      <c r="B758" s="64"/>
      <c r="C758" s="66"/>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75"/>
      <c r="BB758" s="64"/>
      <c r="BC758" s="64"/>
      <c r="BD758" s="66"/>
      <c r="BE758" s="64"/>
      <c r="BF758" s="64"/>
      <c r="BG758" s="64"/>
      <c r="BH758" s="64"/>
      <c r="BI758" s="64"/>
      <c r="BJ758" s="64"/>
      <c r="BK758" s="64"/>
      <c r="BL758" s="64"/>
      <c r="BM758" s="64"/>
      <c r="BN758" s="64"/>
    </row>
    <row r="759" ht="30.0" customHeight="1">
      <c r="A759" s="64"/>
      <c r="B759" s="64"/>
      <c r="C759" s="66"/>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75"/>
      <c r="BB759" s="64"/>
      <c r="BC759" s="64"/>
      <c r="BD759" s="66"/>
      <c r="BE759" s="64"/>
      <c r="BF759" s="64"/>
      <c r="BG759" s="64"/>
      <c r="BH759" s="64"/>
      <c r="BI759" s="64"/>
      <c r="BJ759" s="64"/>
      <c r="BK759" s="64"/>
      <c r="BL759" s="64"/>
      <c r="BM759" s="64"/>
      <c r="BN759" s="64"/>
    </row>
    <row r="760" ht="30.0" customHeight="1">
      <c r="A760" s="64"/>
      <c r="B760" s="64"/>
      <c r="C760" s="66"/>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75"/>
      <c r="BB760" s="64"/>
      <c r="BC760" s="64"/>
      <c r="BD760" s="66"/>
      <c r="BE760" s="64"/>
      <c r="BF760" s="64"/>
      <c r="BG760" s="64"/>
      <c r="BH760" s="64"/>
      <c r="BI760" s="64"/>
      <c r="BJ760" s="64"/>
      <c r="BK760" s="64"/>
      <c r="BL760" s="64"/>
      <c r="BM760" s="64"/>
      <c r="BN760" s="64"/>
    </row>
    <row r="761" ht="30.0" customHeight="1">
      <c r="A761" s="64"/>
      <c r="B761" s="64"/>
      <c r="C761" s="66"/>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75"/>
      <c r="BB761" s="64"/>
      <c r="BC761" s="64"/>
      <c r="BD761" s="66"/>
      <c r="BE761" s="64"/>
      <c r="BF761" s="64"/>
      <c r="BG761" s="64"/>
      <c r="BH761" s="64"/>
      <c r="BI761" s="64"/>
      <c r="BJ761" s="64"/>
      <c r="BK761" s="64"/>
      <c r="BL761" s="64"/>
      <c r="BM761" s="64"/>
      <c r="BN761" s="64"/>
    </row>
    <row r="762" ht="30.0" customHeight="1">
      <c r="A762" s="64"/>
      <c r="B762" s="64"/>
      <c r="C762" s="66"/>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75"/>
      <c r="BB762" s="64"/>
      <c r="BC762" s="64"/>
      <c r="BD762" s="66"/>
      <c r="BE762" s="64"/>
      <c r="BF762" s="64"/>
      <c r="BG762" s="64"/>
      <c r="BH762" s="64"/>
      <c r="BI762" s="64"/>
      <c r="BJ762" s="64"/>
      <c r="BK762" s="64"/>
      <c r="BL762" s="64"/>
      <c r="BM762" s="64"/>
      <c r="BN762" s="64"/>
    </row>
    <row r="763" ht="30.0" customHeight="1">
      <c r="A763" s="64"/>
      <c r="B763" s="64"/>
      <c r="C763" s="66"/>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75"/>
      <c r="BB763" s="64"/>
      <c r="BC763" s="64"/>
      <c r="BD763" s="66"/>
      <c r="BE763" s="64"/>
      <c r="BF763" s="64"/>
      <c r="BG763" s="64"/>
      <c r="BH763" s="64"/>
      <c r="BI763" s="64"/>
      <c r="BJ763" s="64"/>
      <c r="BK763" s="64"/>
      <c r="BL763" s="64"/>
      <c r="BM763" s="64"/>
      <c r="BN763" s="64"/>
    </row>
    <row r="764" ht="30.0" customHeight="1">
      <c r="A764" s="64"/>
      <c r="B764" s="64"/>
      <c r="C764" s="66"/>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75"/>
      <c r="BB764" s="64"/>
      <c r="BC764" s="64"/>
      <c r="BD764" s="66"/>
      <c r="BE764" s="64"/>
      <c r="BF764" s="64"/>
      <c r="BG764" s="64"/>
      <c r="BH764" s="64"/>
      <c r="BI764" s="64"/>
      <c r="BJ764" s="64"/>
      <c r="BK764" s="64"/>
      <c r="BL764" s="64"/>
      <c r="BM764" s="64"/>
      <c r="BN764" s="64"/>
    </row>
    <row r="765" ht="30.0" customHeight="1">
      <c r="A765" s="64"/>
      <c r="B765" s="64"/>
      <c r="C765" s="66"/>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75"/>
      <c r="BB765" s="64"/>
      <c r="BC765" s="64"/>
      <c r="BD765" s="66"/>
      <c r="BE765" s="64"/>
      <c r="BF765" s="64"/>
      <c r="BG765" s="64"/>
      <c r="BH765" s="64"/>
      <c r="BI765" s="64"/>
      <c r="BJ765" s="64"/>
      <c r="BK765" s="64"/>
      <c r="BL765" s="64"/>
      <c r="BM765" s="64"/>
      <c r="BN765" s="64"/>
    </row>
    <row r="766" ht="30.0" customHeight="1">
      <c r="A766" s="64"/>
      <c r="B766" s="64"/>
      <c r="C766" s="66"/>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75"/>
      <c r="BB766" s="64"/>
      <c r="BC766" s="64"/>
      <c r="BD766" s="66"/>
      <c r="BE766" s="64"/>
      <c r="BF766" s="64"/>
      <c r="BG766" s="64"/>
      <c r="BH766" s="64"/>
      <c r="BI766" s="64"/>
      <c r="BJ766" s="64"/>
      <c r="BK766" s="64"/>
      <c r="BL766" s="64"/>
      <c r="BM766" s="64"/>
      <c r="BN766" s="64"/>
    </row>
    <row r="767" ht="30.0" customHeight="1">
      <c r="A767" s="64"/>
      <c r="B767" s="64"/>
      <c r="C767" s="66"/>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75"/>
      <c r="BB767" s="64"/>
      <c r="BC767" s="64"/>
      <c r="BD767" s="66"/>
      <c r="BE767" s="64"/>
      <c r="BF767" s="64"/>
      <c r="BG767" s="64"/>
      <c r="BH767" s="64"/>
      <c r="BI767" s="64"/>
      <c r="BJ767" s="64"/>
      <c r="BK767" s="64"/>
      <c r="BL767" s="64"/>
      <c r="BM767" s="64"/>
      <c r="BN767" s="64"/>
    </row>
    <row r="768" ht="30.0" customHeight="1">
      <c r="A768" s="64"/>
      <c r="B768" s="64"/>
      <c r="C768" s="66"/>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75"/>
      <c r="BB768" s="64"/>
      <c r="BC768" s="64"/>
      <c r="BD768" s="66"/>
      <c r="BE768" s="64"/>
      <c r="BF768" s="64"/>
      <c r="BG768" s="64"/>
      <c r="BH768" s="64"/>
      <c r="BI768" s="64"/>
      <c r="BJ768" s="64"/>
      <c r="BK768" s="64"/>
      <c r="BL768" s="64"/>
      <c r="BM768" s="64"/>
      <c r="BN768" s="64"/>
    </row>
    <row r="769" ht="30.0" customHeight="1">
      <c r="A769" s="64"/>
      <c r="B769" s="64"/>
      <c r="C769" s="66"/>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75"/>
      <c r="BB769" s="64"/>
      <c r="BC769" s="64"/>
      <c r="BD769" s="66"/>
      <c r="BE769" s="64"/>
      <c r="BF769" s="64"/>
      <c r="BG769" s="64"/>
      <c r="BH769" s="64"/>
      <c r="BI769" s="64"/>
      <c r="BJ769" s="64"/>
      <c r="BK769" s="64"/>
      <c r="BL769" s="64"/>
      <c r="BM769" s="64"/>
      <c r="BN769" s="64"/>
    </row>
    <row r="770" ht="30.0" customHeight="1">
      <c r="A770" s="64"/>
      <c r="B770" s="64"/>
      <c r="C770" s="66"/>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75"/>
      <c r="BB770" s="64"/>
      <c r="BC770" s="64"/>
      <c r="BD770" s="66"/>
      <c r="BE770" s="64"/>
      <c r="BF770" s="64"/>
      <c r="BG770" s="64"/>
      <c r="BH770" s="64"/>
      <c r="BI770" s="64"/>
      <c r="BJ770" s="64"/>
      <c r="BK770" s="64"/>
      <c r="BL770" s="64"/>
      <c r="BM770" s="64"/>
      <c r="BN770" s="64"/>
    </row>
    <row r="771" ht="30.0" customHeight="1">
      <c r="A771" s="64"/>
      <c r="B771" s="64"/>
      <c r="C771" s="66"/>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75"/>
      <c r="BB771" s="64"/>
      <c r="BC771" s="64"/>
      <c r="BD771" s="66"/>
      <c r="BE771" s="64"/>
      <c r="BF771" s="64"/>
      <c r="BG771" s="64"/>
      <c r="BH771" s="64"/>
      <c r="BI771" s="64"/>
      <c r="BJ771" s="64"/>
      <c r="BK771" s="64"/>
      <c r="BL771" s="64"/>
      <c r="BM771" s="64"/>
      <c r="BN771" s="64"/>
    </row>
    <row r="772" ht="30.0" customHeight="1">
      <c r="A772" s="64"/>
      <c r="B772" s="64"/>
      <c r="C772" s="66"/>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75"/>
      <c r="BB772" s="64"/>
      <c r="BC772" s="64"/>
      <c r="BD772" s="66"/>
      <c r="BE772" s="64"/>
      <c r="BF772" s="64"/>
      <c r="BG772" s="64"/>
      <c r="BH772" s="64"/>
      <c r="BI772" s="64"/>
      <c r="BJ772" s="64"/>
      <c r="BK772" s="64"/>
      <c r="BL772" s="64"/>
      <c r="BM772" s="64"/>
      <c r="BN772" s="64"/>
    </row>
    <row r="773" ht="30.0" customHeight="1">
      <c r="A773" s="64"/>
      <c r="B773" s="64"/>
      <c r="C773" s="66"/>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75"/>
      <c r="BB773" s="64"/>
      <c r="BC773" s="64"/>
      <c r="BD773" s="66"/>
      <c r="BE773" s="64"/>
      <c r="BF773" s="64"/>
      <c r="BG773" s="64"/>
      <c r="BH773" s="64"/>
      <c r="BI773" s="64"/>
      <c r="BJ773" s="64"/>
      <c r="BK773" s="64"/>
      <c r="BL773" s="64"/>
      <c r="BM773" s="64"/>
      <c r="BN773" s="64"/>
    </row>
    <row r="774" ht="30.0" customHeight="1">
      <c r="A774" s="64"/>
      <c r="B774" s="64"/>
      <c r="C774" s="66"/>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75"/>
      <c r="BB774" s="64"/>
      <c r="BC774" s="64"/>
      <c r="BD774" s="66"/>
      <c r="BE774" s="64"/>
      <c r="BF774" s="64"/>
      <c r="BG774" s="64"/>
      <c r="BH774" s="64"/>
      <c r="BI774" s="64"/>
      <c r="BJ774" s="64"/>
      <c r="BK774" s="64"/>
      <c r="BL774" s="64"/>
      <c r="BM774" s="64"/>
      <c r="BN774" s="64"/>
    </row>
    <row r="775" ht="30.0" customHeight="1">
      <c r="A775" s="64"/>
      <c r="B775" s="64"/>
      <c r="C775" s="66"/>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75"/>
      <c r="BB775" s="64"/>
      <c r="BC775" s="64"/>
      <c r="BD775" s="66"/>
      <c r="BE775" s="64"/>
      <c r="BF775" s="64"/>
      <c r="BG775" s="64"/>
      <c r="BH775" s="64"/>
      <c r="BI775" s="64"/>
      <c r="BJ775" s="64"/>
      <c r="BK775" s="64"/>
      <c r="BL775" s="64"/>
      <c r="BM775" s="64"/>
      <c r="BN775" s="64"/>
    </row>
    <row r="776" ht="30.0" customHeight="1">
      <c r="A776" s="64"/>
      <c r="B776" s="64"/>
      <c r="C776" s="66"/>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75"/>
      <c r="BB776" s="64"/>
      <c r="BC776" s="64"/>
      <c r="BD776" s="66"/>
      <c r="BE776" s="64"/>
      <c r="BF776" s="64"/>
      <c r="BG776" s="64"/>
      <c r="BH776" s="64"/>
      <c r="BI776" s="64"/>
      <c r="BJ776" s="64"/>
      <c r="BK776" s="64"/>
      <c r="BL776" s="64"/>
      <c r="BM776" s="64"/>
      <c r="BN776" s="64"/>
    </row>
    <row r="777" ht="30.0" customHeight="1">
      <c r="A777" s="64"/>
      <c r="B777" s="64"/>
      <c r="C777" s="66"/>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75"/>
      <c r="BB777" s="64"/>
      <c r="BC777" s="64"/>
      <c r="BD777" s="66"/>
      <c r="BE777" s="64"/>
      <c r="BF777" s="64"/>
      <c r="BG777" s="64"/>
      <c r="BH777" s="64"/>
      <c r="BI777" s="64"/>
      <c r="BJ777" s="64"/>
      <c r="BK777" s="64"/>
      <c r="BL777" s="64"/>
      <c r="BM777" s="64"/>
      <c r="BN777" s="64"/>
    </row>
    <row r="778" ht="30.0" customHeight="1">
      <c r="A778" s="64"/>
      <c r="B778" s="64"/>
      <c r="C778" s="66"/>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75"/>
      <c r="BB778" s="64"/>
      <c r="BC778" s="64"/>
      <c r="BD778" s="66"/>
      <c r="BE778" s="64"/>
      <c r="BF778" s="64"/>
      <c r="BG778" s="64"/>
      <c r="BH778" s="64"/>
      <c r="BI778" s="64"/>
      <c r="BJ778" s="64"/>
      <c r="BK778" s="64"/>
      <c r="BL778" s="64"/>
      <c r="BM778" s="64"/>
      <c r="BN778" s="64"/>
    </row>
    <row r="779" ht="30.0" customHeight="1">
      <c r="A779" s="64"/>
      <c r="B779" s="64"/>
      <c r="C779" s="66"/>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75"/>
      <c r="BB779" s="64"/>
      <c r="BC779" s="64"/>
      <c r="BD779" s="66"/>
      <c r="BE779" s="64"/>
      <c r="BF779" s="64"/>
      <c r="BG779" s="64"/>
      <c r="BH779" s="64"/>
      <c r="BI779" s="64"/>
      <c r="BJ779" s="64"/>
      <c r="BK779" s="64"/>
      <c r="BL779" s="64"/>
      <c r="BM779" s="64"/>
      <c r="BN779" s="64"/>
    </row>
    <row r="780" ht="30.0" customHeight="1">
      <c r="A780" s="64"/>
      <c r="B780" s="64"/>
      <c r="C780" s="66"/>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75"/>
      <c r="BB780" s="64"/>
      <c r="BC780" s="64"/>
      <c r="BD780" s="66"/>
      <c r="BE780" s="64"/>
      <c r="BF780" s="64"/>
      <c r="BG780" s="64"/>
      <c r="BH780" s="64"/>
      <c r="BI780" s="64"/>
      <c r="BJ780" s="64"/>
      <c r="BK780" s="64"/>
      <c r="BL780" s="64"/>
      <c r="BM780" s="64"/>
      <c r="BN780" s="64"/>
    </row>
    <row r="781" ht="30.0" customHeight="1">
      <c r="A781" s="64"/>
      <c r="B781" s="64"/>
      <c r="C781" s="66"/>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75"/>
      <c r="BB781" s="64"/>
      <c r="BC781" s="64"/>
      <c r="BD781" s="66"/>
      <c r="BE781" s="64"/>
      <c r="BF781" s="64"/>
      <c r="BG781" s="64"/>
      <c r="BH781" s="64"/>
      <c r="BI781" s="64"/>
      <c r="BJ781" s="64"/>
      <c r="BK781" s="64"/>
      <c r="BL781" s="64"/>
      <c r="BM781" s="64"/>
      <c r="BN781" s="64"/>
    </row>
    <row r="782" ht="30.0" customHeight="1">
      <c r="A782" s="64"/>
      <c r="B782" s="64"/>
      <c r="C782" s="66"/>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75"/>
      <c r="BB782" s="64"/>
      <c r="BC782" s="64"/>
      <c r="BD782" s="66"/>
      <c r="BE782" s="64"/>
      <c r="BF782" s="64"/>
      <c r="BG782" s="64"/>
      <c r="BH782" s="64"/>
      <c r="BI782" s="64"/>
      <c r="BJ782" s="64"/>
      <c r="BK782" s="64"/>
      <c r="BL782" s="64"/>
      <c r="BM782" s="64"/>
      <c r="BN782" s="64"/>
    </row>
    <row r="783" ht="30.0" customHeight="1">
      <c r="A783" s="64"/>
      <c r="B783" s="64"/>
      <c r="C783" s="66"/>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75"/>
      <c r="BB783" s="64"/>
      <c r="BC783" s="64"/>
      <c r="BD783" s="66"/>
      <c r="BE783" s="64"/>
      <c r="BF783" s="64"/>
      <c r="BG783" s="64"/>
      <c r="BH783" s="64"/>
      <c r="BI783" s="64"/>
      <c r="BJ783" s="64"/>
      <c r="BK783" s="64"/>
      <c r="BL783" s="64"/>
      <c r="BM783" s="64"/>
      <c r="BN783" s="64"/>
    </row>
    <row r="784" ht="30.0" customHeight="1">
      <c r="A784" s="64"/>
      <c r="B784" s="64"/>
      <c r="C784" s="66"/>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75"/>
      <c r="BB784" s="64"/>
      <c r="BC784" s="64"/>
      <c r="BD784" s="66"/>
      <c r="BE784" s="64"/>
      <c r="BF784" s="64"/>
      <c r="BG784" s="64"/>
      <c r="BH784" s="64"/>
      <c r="BI784" s="64"/>
      <c r="BJ784" s="64"/>
      <c r="BK784" s="64"/>
      <c r="BL784" s="64"/>
      <c r="BM784" s="64"/>
      <c r="BN784" s="64"/>
    </row>
    <row r="785" ht="30.0" customHeight="1">
      <c r="A785" s="64"/>
      <c r="B785" s="64"/>
      <c r="C785" s="66"/>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75"/>
      <c r="BB785" s="64"/>
      <c r="BC785" s="64"/>
      <c r="BD785" s="66"/>
      <c r="BE785" s="64"/>
      <c r="BF785" s="64"/>
      <c r="BG785" s="64"/>
      <c r="BH785" s="64"/>
      <c r="BI785" s="64"/>
      <c r="BJ785" s="64"/>
      <c r="BK785" s="64"/>
      <c r="BL785" s="64"/>
      <c r="BM785" s="64"/>
      <c r="BN785" s="64"/>
    </row>
    <row r="786" ht="30.0" customHeight="1">
      <c r="A786" s="64"/>
      <c r="B786" s="64"/>
      <c r="C786" s="66"/>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75"/>
      <c r="BB786" s="64"/>
      <c r="BC786" s="64"/>
      <c r="BD786" s="66"/>
      <c r="BE786" s="64"/>
      <c r="BF786" s="64"/>
      <c r="BG786" s="64"/>
      <c r="BH786" s="64"/>
      <c r="BI786" s="64"/>
      <c r="BJ786" s="64"/>
      <c r="BK786" s="64"/>
      <c r="BL786" s="64"/>
      <c r="BM786" s="64"/>
      <c r="BN786" s="64"/>
    </row>
    <row r="787" ht="30.0" customHeight="1">
      <c r="A787" s="64"/>
      <c r="B787" s="64"/>
      <c r="C787" s="66"/>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75"/>
      <c r="BB787" s="64"/>
      <c r="BC787" s="64"/>
      <c r="BD787" s="66"/>
      <c r="BE787" s="64"/>
      <c r="BF787" s="64"/>
      <c r="BG787" s="64"/>
      <c r="BH787" s="64"/>
      <c r="BI787" s="64"/>
      <c r="BJ787" s="64"/>
      <c r="BK787" s="64"/>
      <c r="BL787" s="64"/>
      <c r="BM787" s="64"/>
      <c r="BN787" s="64"/>
    </row>
    <row r="788" ht="30.0" customHeight="1">
      <c r="A788" s="64"/>
      <c r="B788" s="64"/>
      <c r="C788" s="66"/>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75"/>
      <c r="BB788" s="64"/>
      <c r="BC788" s="64"/>
      <c r="BD788" s="66"/>
      <c r="BE788" s="64"/>
      <c r="BF788" s="64"/>
      <c r="BG788" s="64"/>
      <c r="BH788" s="64"/>
      <c r="BI788" s="64"/>
      <c r="BJ788" s="64"/>
      <c r="BK788" s="64"/>
      <c r="BL788" s="64"/>
      <c r="BM788" s="64"/>
      <c r="BN788" s="64"/>
    </row>
    <row r="789" ht="30.0" customHeight="1">
      <c r="A789" s="64"/>
      <c r="B789" s="64"/>
      <c r="C789" s="66"/>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75"/>
      <c r="BB789" s="64"/>
      <c r="BC789" s="64"/>
      <c r="BD789" s="66"/>
      <c r="BE789" s="64"/>
      <c r="BF789" s="64"/>
      <c r="BG789" s="64"/>
      <c r="BH789" s="64"/>
      <c r="BI789" s="64"/>
      <c r="BJ789" s="64"/>
      <c r="BK789" s="64"/>
      <c r="BL789" s="64"/>
      <c r="BM789" s="64"/>
      <c r="BN789" s="64"/>
    </row>
    <row r="790" ht="30.0" customHeight="1">
      <c r="A790" s="64"/>
      <c r="B790" s="64"/>
      <c r="C790" s="66"/>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75"/>
      <c r="BB790" s="64"/>
      <c r="BC790" s="64"/>
      <c r="BD790" s="66"/>
      <c r="BE790" s="64"/>
      <c r="BF790" s="64"/>
      <c r="BG790" s="64"/>
      <c r="BH790" s="64"/>
      <c r="BI790" s="64"/>
      <c r="BJ790" s="64"/>
      <c r="BK790" s="64"/>
      <c r="BL790" s="64"/>
      <c r="BM790" s="64"/>
      <c r="BN790" s="64"/>
    </row>
    <row r="791" ht="30.0" customHeight="1">
      <c r="A791" s="64"/>
      <c r="B791" s="64"/>
      <c r="C791" s="66"/>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75"/>
      <c r="BB791" s="64"/>
      <c r="BC791" s="64"/>
      <c r="BD791" s="66"/>
      <c r="BE791" s="64"/>
      <c r="BF791" s="64"/>
      <c r="BG791" s="64"/>
      <c r="BH791" s="64"/>
      <c r="BI791" s="64"/>
      <c r="BJ791" s="64"/>
      <c r="BK791" s="64"/>
      <c r="BL791" s="64"/>
      <c r="BM791" s="64"/>
      <c r="BN791" s="64"/>
    </row>
    <row r="792" ht="30.0" customHeight="1">
      <c r="A792" s="64"/>
      <c r="B792" s="64"/>
      <c r="C792" s="66"/>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75"/>
      <c r="BB792" s="64"/>
      <c r="BC792" s="64"/>
      <c r="BD792" s="66"/>
      <c r="BE792" s="64"/>
      <c r="BF792" s="64"/>
      <c r="BG792" s="64"/>
      <c r="BH792" s="64"/>
      <c r="BI792" s="64"/>
      <c r="BJ792" s="64"/>
      <c r="BK792" s="64"/>
      <c r="BL792" s="64"/>
      <c r="BM792" s="64"/>
      <c r="BN792" s="64"/>
    </row>
    <row r="793" ht="30.0" customHeight="1">
      <c r="A793" s="64"/>
      <c r="B793" s="64"/>
      <c r="C793" s="66"/>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75"/>
      <c r="BB793" s="64"/>
      <c r="BC793" s="64"/>
      <c r="BD793" s="66"/>
      <c r="BE793" s="64"/>
      <c r="BF793" s="64"/>
      <c r="BG793" s="64"/>
      <c r="BH793" s="64"/>
      <c r="BI793" s="64"/>
      <c r="BJ793" s="64"/>
      <c r="BK793" s="64"/>
      <c r="BL793" s="64"/>
      <c r="BM793" s="64"/>
      <c r="BN793" s="64"/>
    </row>
    <row r="794" ht="30.0" customHeight="1">
      <c r="A794" s="64"/>
      <c r="B794" s="64"/>
      <c r="C794" s="66"/>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75"/>
      <c r="BB794" s="64"/>
      <c r="BC794" s="64"/>
      <c r="BD794" s="66"/>
      <c r="BE794" s="64"/>
      <c r="BF794" s="64"/>
      <c r="BG794" s="64"/>
      <c r="BH794" s="64"/>
      <c r="BI794" s="64"/>
      <c r="BJ794" s="64"/>
      <c r="BK794" s="64"/>
      <c r="BL794" s="64"/>
      <c r="BM794" s="64"/>
      <c r="BN794" s="64"/>
    </row>
    <row r="795" ht="30.0" customHeight="1">
      <c r="A795" s="64"/>
      <c r="B795" s="64"/>
      <c r="C795" s="66"/>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75"/>
      <c r="BB795" s="64"/>
      <c r="BC795" s="64"/>
      <c r="BD795" s="66"/>
      <c r="BE795" s="64"/>
      <c r="BF795" s="64"/>
      <c r="BG795" s="64"/>
      <c r="BH795" s="64"/>
      <c r="BI795" s="64"/>
      <c r="BJ795" s="64"/>
      <c r="BK795" s="64"/>
      <c r="BL795" s="64"/>
      <c r="BM795" s="64"/>
      <c r="BN795" s="64"/>
    </row>
    <row r="796" ht="30.0" customHeight="1">
      <c r="A796" s="64"/>
      <c r="B796" s="64"/>
      <c r="C796" s="66"/>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75"/>
      <c r="BB796" s="64"/>
      <c r="BC796" s="64"/>
      <c r="BD796" s="66"/>
      <c r="BE796" s="64"/>
      <c r="BF796" s="64"/>
      <c r="BG796" s="64"/>
      <c r="BH796" s="64"/>
      <c r="BI796" s="64"/>
      <c r="BJ796" s="64"/>
      <c r="BK796" s="64"/>
      <c r="BL796" s="64"/>
      <c r="BM796" s="64"/>
      <c r="BN796" s="64"/>
    </row>
    <row r="797" ht="30.0" customHeight="1">
      <c r="A797" s="64"/>
      <c r="B797" s="64"/>
      <c r="C797" s="66"/>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75"/>
      <c r="BB797" s="64"/>
      <c r="BC797" s="64"/>
      <c r="BD797" s="66"/>
      <c r="BE797" s="64"/>
      <c r="BF797" s="64"/>
      <c r="BG797" s="64"/>
      <c r="BH797" s="64"/>
      <c r="BI797" s="64"/>
      <c r="BJ797" s="64"/>
      <c r="BK797" s="64"/>
      <c r="BL797" s="64"/>
      <c r="BM797" s="64"/>
      <c r="BN797" s="64"/>
    </row>
    <row r="798" ht="30.0" customHeight="1">
      <c r="A798" s="64"/>
      <c r="B798" s="64"/>
      <c r="C798" s="66"/>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75"/>
      <c r="BB798" s="64"/>
      <c r="BC798" s="64"/>
      <c r="BD798" s="66"/>
      <c r="BE798" s="64"/>
      <c r="BF798" s="64"/>
      <c r="BG798" s="64"/>
      <c r="BH798" s="64"/>
      <c r="BI798" s="64"/>
      <c r="BJ798" s="64"/>
      <c r="BK798" s="64"/>
      <c r="BL798" s="64"/>
      <c r="BM798" s="64"/>
      <c r="BN798" s="64"/>
    </row>
    <row r="799" ht="30.0" customHeight="1">
      <c r="A799" s="64"/>
      <c r="B799" s="64"/>
      <c r="C799" s="66"/>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75"/>
      <c r="BB799" s="64"/>
      <c r="BC799" s="64"/>
      <c r="BD799" s="66"/>
      <c r="BE799" s="64"/>
      <c r="BF799" s="64"/>
      <c r="BG799" s="64"/>
      <c r="BH799" s="64"/>
      <c r="BI799" s="64"/>
      <c r="BJ799" s="64"/>
      <c r="BK799" s="64"/>
      <c r="BL799" s="64"/>
      <c r="BM799" s="64"/>
      <c r="BN799" s="64"/>
    </row>
    <row r="800" ht="30.0" customHeight="1">
      <c r="A800" s="64"/>
      <c r="B800" s="64"/>
      <c r="C800" s="66"/>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75"/>
      <c r="BB800" s="64"/>
      <c r="BC800" s="64"/>
      <c r="BD800" s="66"/>
      <c r="BE800" s="64"/>
      <c r="BF800" s="64"/>
      <c r="BG800" s="64"/>
      <c r="BH800" s="64"/>
      <c r="BI800" s="64"/>
      <c r="BJ800" s="64"/>
      <c r="BK800" s="64"/>
      <c r="BL800" s="64"/>
      <c r="BM800" s="64"/>
      <c r="BN800" s="64"/>
    </row>
    <row r="801" ht="30.0" customHeight="1">
      <c r="A801" s="64"/>
      <c r="B801" s="64"/>
      <c r="C801" s="66"/>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75"/>
      <c r="BB801" s="64"/>
      <c r="BC801" s="64"/>
      <c r="BD801" s="66"/>
      <c r="BE801" s="64"/>
      <c r="BF801" s="64"/>
      <c r="BG801" s="64"/>
      <c r="BH801" s="64"/>
      <c r="BI801" s="64"/>
      <c r="BJ801" s="64"/>
      <c r="BK801" s="64"/>
      <c r="BL801" s="64"/>
      <c r="BM801" s="64"/>
      <c r="BN801" s="64"/>
    </row>
    <row r="802" ht="30.0" customHeight="1">
      <c r="A802" s="64"/>
      <c r="B802" s="64"/>
      <c r="C802" s="66"/>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75"/>
      <c r="BB802" s="64"/>
      <c r="BC802" s="64"/>
      <c r="BD802" s="66"/>
      <c r="BE802" s="64"/>
      <c r="BF802" s="64"/>
      <c r="BG802" s="64"/>
      <c r="BH802" s="64"/>
      <c r="BI802" s="64"/>
      <c r="BJ802" s="64"/>
      <c r="BK802" s="64"/>
      <c r="BL802" s="64"/>
      <c r="BM802" s="64"/>
      <c r="BN802" s="64"/>
    </row>
    <row r="803" ht="30.0" customHeight="1">
      <c r="A803" s="64"/>
      <c r="B803" s="64"/>
      <c r="C803" s="66"/>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75"/>
      <c r="BB803" s="64"/>
      <c r="BC803" s="64"/>
      <c r="BD803" s="66"/>
      <c r="BE803" s="64"/>
      <c r="BF803" s="64"/>
      <c r="BG803" s="64"/>
      <c r="BH803" s="64"/>
      <c r="BI803" s="64"/>
      <c r="BJ803" s="64"/>
      <c r="BK803" s="64"/>
      <c r="BL803" s="64"/>
      <c r="BM803" s="64"/>
      <c r="BN803" s="64"/>
    </row>
    <row r="804" ht="30.0" customHeight="1">
      <c r="A804" s="64"/>
      <c r="B804" s="64"/>
      <c r="C804" s="66"/>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75"/>
      <c r="BB804" s="64"/>
      <c r="BC804" s="64"/>
      <c r="BD804" s="66"/>
      <c r="BE804" s="64"/>
      <c r="BF804" s="64"/>
      <c r="BG804" s="64"/>
      <c r="BH804" s="64"/>
      <c r="BI804" s="64"/>
      <c r="BJ804" s="64"/>
      <c r="BK804" s="64"/>
      <c r="BL804" s="64"/>
      <c r="BM804" s="64"/>
      <c r="BN804" s="64"/>
    </row>
    <row r="805" ht="30.0" customHeight="1">
      <c r="A805" s="64"/>
      <c r="B805" s="64"/>
      <c r="C805" s="66"/>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75"/>
      <c r="BB805" s="64"/>
      <c r="BC805" s="64"/>
      <c r="BD805" s="66"/>
      <c r="BE805" s="64"/>
      <c r="BF805" s="64"/>
      <c r="BG805" s="64"/>
      <c r="BH805" s="64"/>
      <c r="BI805" s="64"/>
      <c r="BJ805" s="64"/>
      <c r="BK805" s="64"/>
      <c r="BL805" s="64"/>
      <c r="BM805" s="64"/>
      <c r="BN805" s="64"/>
    </row>
    <row r="806" ht="30.0" customHeight="1">
      <c r="A806" s="64"/>
      <c r="B806" s="64"/>
      <c r="C806" s="66"/>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75"/>
      <c r="BB806" s="64"/>
      <c r="BC806" s="64"/>
      <c r="BD806" s="66"/>
      <c r="BE806" s="64"/>
      <c r="BF806" s="64"/>
      <c r="BG806" s="64"/>
      <c r="BH806" s="64"/>
      <c r="BI806" s="64"/>
      <c r="BJ806" s="64"/>
      <c r="BK806" s="64"/>
      <c r="BL806" s="64"/>
      <c r="BM806" s="64"/>
      <c r="BN806" s="64"/>
    </row>
    <row r="807" ht="30.0" customHeight="1">
      <c r="A807" s="64"/>
      <c r="B807" s="64"/>
      <c r="C807" s="66"/>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75"/>
      <c r="BB807" s="64"/>
      <c r="BC807" s="64"/>
      <c r="BD807" s="66"/>
      <c r="BE807" s="64"/>
      <c r="BF807" s="64"/>
      <c r="BG807" s="64"/>
      <c r="BH807" s="64"/>
      <c r="BI807" s="64"/>
      <c r="BJ807" s="64"/>
      <c r="BK807" s="64"/>
      <c r="BL807" s="64"/>
      <c r="BM807" s="64"/>
      <c r="BN807" s="64"/>
    </row>
    <row r="808" ht="30.0" customHeight="1">
      <c r="A808" s="64"/>
      <c r="B808" s="64"/>
      <c r="C808" s="66"/>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75"/>
      <c r="BB808" s="64"/>
      <c r="BC808" s="64"/>
      <c r="BD808" s="66"/>
      <c r="BE808" s="64"/>
      <c r="BF808" s="64"/>
      <c r="BG808" s="64"/>
      <c r="BH808" s="64"/>
      <c r="BI808" s="64"/>
      <c r="BJ808" s="64"/>
      <c r="BK808" s="64"/>
      <c r="BL808" s="64"/>
      <c r="BM808" s="64"/>
      <c r="BN808" s="64"/>
    </row>
    <row r="809" ht="30.0" customHeight="1">
      <c r="A809" s="64"/>
      <c r="B809" s="64"/>
      <c r="C809" s="66"/>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75"/>
      <c r="BB809" s="64"/>
      <c r="BC809" s="64"/>
      <c r="BD809" s="66"/>
      <c r="BE809" s="64"/>
      <c r="BF809" s="64"/>
      <c r="BG809" s="64"/>
      <c r="BH809" s="64"/>
      <c r="BI809" s="64"/>
      <c r="BJ809" s="64"/>
      <c r="BK809" s="64"/>
      <c r="BL809" s="64"/>
      <c r="BM809" s="64"/>
      <c r="BN809" s="64"/>
    </row>
    <row r="810" ht="30.0" customHeight="1">
      <c r="A810" s="64"/>
      <c r="B810" s="64"/>
      <c r="C810" s="66"/>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75"/>
      <c r="BB810" s="64"/>
      <c r="BC810" s="64"/>
      <c r="BD810" s="66"/>
      <c r="BE810" s="64"/>
      <c r="BF810" s="64"/>
      <c r="BG810" s="64"/>
      <c r="BH810" s="64"/>
      <c r="BI810" s="64"/>
      <c r="BJ810" s="64"/>
      <c r="BK810" s="64"/>
      <c r="BL810" s="64"/>
      <c r="BM810" s="64"/>
      <c r="BN810" s="64"/>
    </row>
    <row r="811" ht="30.0" customHeight="1">
      <c r="A811" s="64"/>
      <c r="B811" s="64"/>
      <c r="C811" s="66"/>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75"/>
      <c r="BB811" s="64"/>
      <c r="BC811" s="64"/>
      <c r="BD811" s="66"/>
      <c r="BE811" s="64"/>
      <c r="BF811" s="64"/>
      <c r="BG811" s="64"/>
      <c r="BH811" s="64"/>
      <c r="BI811" s="64"/>
      <c r="BJ811" s="64"/>
      <c r="BK811" s="64"/>
      <c r="BL811" s="64"/>
      <c r="BM811" s="64"/>
      <c r="BN811" s="64"/>
    </row>
    <row r="812" ht="30.0" customHeight="1">
      <c r="A812" s="64"/>
      <c r="B812" s="64"/>
      <c r="C812" s="66"/>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75"/>
      <c r="BB812" s="64"/>
      <c r="BC812" s="64"/>
      <c r="BD812" s="66"/>
      <c r="BE812" s="64"/>
      <c r="BF812" s="64"/>
      <c r="BG812" s="64"/>
      <c r="BH812" s="64"/>
      <c r="BI812" s="64"/>
      <c r="BJ812" s="64"/>
      <c r="BK812" s="64"/>
      <c r="BL812" s="64"/>
      <c r="BM812" s="64"/>
      <c r="BN812" s="64"/>
    </row>
    <row r="813" ht="30.0" customHeight="1">
      <c r="A813" s="64"/>
      <c r="B813" s="64"/>
      <c r="C813" s="66"/>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75"/>
      <c r="BB813" s="64"/>
      <c r="BC813" s="64"/>
      <c r="BD813" s="66"/>
      <c r="BE813" s="64"/>
      <c r="BF813" s="64"/>
      <c r="BG813" s="64"/>
      <c r="BH813" s="64"/>
      <c r="BI813" s="64"/>
      <c r="BJ813" s="64"/>
      <c r="BK813" s="64"/>
      <c r="BL813" s="64"/>
      <c r="BM813" s="64"/>
      <c r="BN813" s="64"/>
    </row>
    <row r="814" ht="30.0" customHeight="1">
      <c r="A814" s="64"/>
      <c r="B814" s="64"/>
      <c r="C814" s="66"/>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75"/>
      <c r="BB814" s="64"/>
      <c r="BC814" s="64"/>
      <c r="BD814" s="66"/>
      <c r="BE814" s="64"/>
      <c r="BF814" s="64"/>
      <c r="BG814" s="64"/>
      <c r="BH814" s="64"/>
      <c r="BI814" s="64"/>
      <c r="BJ814" s="64"/>
      <c r="BK814" s="64"/>
      <c r="BL814" s="64"/>
      <c r="BM814" s="64"/>
      <c r="BN814" s="64"/>
    </row>
    <row r="815" ht="30.0" customHeight="1">
      <c r="A815" s="64"/>
      <c r="B815" s="64"/>
      <c r="C815" s="66"/>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75"/>
      <c r="BB815" s="64"/>
      <c r="BC815" s="64"/>
      <c r="BD815" s="66"/>
      <c r="BE815" s="64"/>
      <c r="BF815" s="64"/>
      <c r="BG815" s="64"/>
      <c r="BH815" s="64"/>
      <c r="BI815" s="64"/>
      <c r="BJ815" s="64"/>
      <c r="BK815" s="64"/>
      <c r="BL815" s="64"/>
      <c r="BM815" s="64"/>
      <c r="BN815" s="64"/>
    </row>
    <row r="816" ht="30.0" customHeight="1">
      <c r="A816" s="64"/>
      <c r="B816" s="64"/>
      <c r="C816" s="66"/>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75"/>
      <c r="BB816" s="64"/>
      <c r="BC816" s="64"/>
      <c r="BD816" s="66"/>
      <c r="BE816" s="64"/>
      <c r="BF816" s="64"/>
      <c r="BG816" s="64"/>
      <c r="BH816" s="64"/>
      <c r="BI816" s="64"/>
      <c r="BJ816" s="64"/>
      <c r="BK816" s="64"/>
      <c r="BL816" s="64"/>
      <c r="BM816" s="64"/>
      <c r="BN816" s="64"/>
    </row>
    <row r="817" ht="30.0" customHeight="1">
      <c r="A817" s="64"/>
      <c r="B817" s="64"/>
      <c r="C817" s="66"/>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75"/>
      <c r="BB817" s="64"/>
      <c r="BC817" s="64"/>
      <c r="BD817" s="66"/>
      <c r="BE817" s="64"/>
      <c r="BF817" s="64"/>
      <c r="BG817" s="64"/>
      <c r="BH817" s="64"/>
      <c r="BI817" s="64"/>
      <c r="BJ817" s="64"/>
      <c r="BK817" s="64"/>
      <c r="BL817" s="64"/>
      <c r="BM817" s="64"/>
      <c r="BN817" s="64"/>
    </row>
    <row r="818" ht="30.0" customHeight="1">
      <c r="A818" s="64"/>
      <c r="B818" s="64"/>
      <c r="C818" s="66"/>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75"/>
      <c r="BB818" s="64"/>
      <c r="BC818" s="64"/>
      <c r="BD818" s="66"/>
      <c r="BE818" s="64"/>
      <c r="BF818" s="64"/>
      <c r="BG818" s="64"/>
      <c r="BH818" s="64"/>
      <c r="BI818" s="64"/>
      <c r="BJ818" s="64"/>
      <c r="BK818" s="64"/>
      <c r="BL818" s="64"/>
      <c r="BM818" s="64"/>
      <c r="BN818" s="64"/>
    </row>
    <row r="819" ht="30.0" customHeight="1">
      <c r="A819" s="64"/>
      <c r="B819" s="64"/>
      <c r="C819" s="66"/>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75"/>
      <c r="BB819" s="64"/>
      <c r="BC819" s="64"/>
      <c r="BD819" s="66"/>
      <c r="BE819" s="64"/>
      <c r="BF819" s="64"/>
      <c r="BG819" s="64"/>
      <c r="BH819" s="64"/>
      <c r="BI819" s="64"/>
      <c r="BJ819" s="64"/>
      <c r="BK819" s="64"/>
      <c r="BL819" s="64"/>
      <c r="BM819" s="64"/>
      <c r="BN819" s="64"/>
    </row>
    <row r="820" ht="30.0" customHeight="1">
      <c r="A820" s="64"/>
      <c r="B820" s="64"/>
      <c r="C820" s="66"/>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75"/>
      <c r="BB820" s="64"/>
      <c r="BC820" s="64"/>
      <c r="BD820" s="66"/>
      <c r="BE820" s="64"/>
      <c r="BF820" s="64"/>
      <c r="BG820" s="64"/>
      <c r="BH820" s="64"/>
      <c r="BI820" s="64"/>
      <c r="BJ820" s="64"/>
      <c r="BK820" s="64"/>
      <c r="BL820" s="64"/>
      <c r="BM820" s="64"/>
      <c r="BN820" s="64"/>
    </row>
    <row r="821" ht="30.0" customHeight="1">
      <c r="A821" s="64"/>
      <c r="B821" s="64"/>
      <c r="C821" s="66"/>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75"/>
      <c r="BB821" s="64"/>
      <c r="BC821" s="64"/>
      <c r="BD821" s="66"/>
      <c r="BE821" s="64"/>
      <c r="BF821" s="64"/>
      <c r="BG821" s="64"/>
      <c r="BH821" s="64"/>
      <c r="BI821" s="64"/>
      <c r="BJ821" s="64"/>
      <c r="BK821" s="64"/>
      <c r="BL821" s="64"/>
      <c r="BM821" s="64"/>
      <c r="BN821" s="64"/>
    </row>
    <row r="822" ht="30.0" customHeight="1">
      <c r="A822" s="64"/>
      <c r="B822" s="64"/>
      <c r="C822" s="66"/>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75"/>
      <c r="BB822" s="64"/>
      <c r="BC822" s="64"/>
      <c r="BD822" s="66"/>
      <c r="BE822" s="64"/>
      <c r="BF822" s="64"/>
      <c r="BG822" s="64"/>
      <c r="BH822" s="64"/>
      <c r="BI822" s="64"/>
      <c r="BJ822" s="64"/>
      <c r="BK822" s="64"/>
      <c r="BL822" s="64"/>
      <c r="BM822" s="64"/>
      <c r="BN822" s="64"/>
    </row>
    <row r="823" ht="30.0" customHeight="1">
      <c r="A823" s="64"/>
      <c r="B823" s="64"/>
      <c r="C823" s="66"/>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75"/>
      <c r="BB823" s="64"/>
      <c r="BC823" s="64"/>
      <c r="BD823" s="66"/>
      <c r="BE823" s="64"/>
      <c r="BF823" s="64"/>
      <c r="BG823" s="64"/>
      <c r="BH823" s="64"/>
      <c r="BI823" s="64"/>
      <c r="BJ823" s="64"/>
      <c r="BK823" s="64"/>
      <c r="BL823" s="64"/>
      <c r="BM823" s="64"/>
      <c r="BN823" s="64"/>
    </row>
    <row r="824" ht="30.0" customHeight="1">
      <c r="A824" s="64"/>
      <c r="B824" s="64"/>
      <c r="C824" s="66"/>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c r="BA824" s="75"/>
      <c r="BB824" s="64"/>
      <c r="BC824" s="64"/>
      <c r="BD824" s="66"/>
      <c r="BE824" s="64"/>
      <c r="BF824" s="64"/>
      <c r="BG824" s="64"/>
      <c r="BH824" s="64"/>
      <c r="BI824" s="64"/>
      <c r="BJ824" s="64"/>
      <c r="BK824" s="64"/>
      <c r="BL824" s="64"/>
      <c r="BM824" s="64"/>
      <c r="BN824" s="64"/>
    </row>
    <row r="825" ht="30.0" customHeight="1">
      <c r="A825" s="64"/>
      <c r="B825" s="64"/>
      <c r="C825" s="66"/>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c r="BA825" s="75"/>
      <c r="BB825" s="64"/>
      <c r="BC825" s="64"/>
      <c r="BD825" s="66"/>
      <c r="BE825" s="64"/>
      <c r="BF825" s="64"/>
      <c r="BG825" s="64"/>
      <c r="BH825" s="64"/>
      <c r="BI825" s="64"/>
      <c r="BJ825" s="64"/>
      <c r="BK825" s="64"/>
      <c r="BL825" s="64"/>
      <c r="BM825" s="64"/>
      <c r="BN825" s="64"/>
    </row>
    <row r="826" ht="30.0" customHeight="1">
      <c r="A826" s="64"/>
      <c r="B826" s="64"/>
      <c r="C826" s="66"/>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c r="BA826" s="75"/>
      <c r="BB826" s="64"/>
      <c r="BC826" s="64"/>
      <c r="BD826" s="66"/>
      <c r="BE826" s="64"/>
      <c r="BF826" s="64"/>
      <c r="BG826" s="64"/>
      <c r="BH826" s="64"/>
      <c r="BI826" s="64"/>
      <c r="BJ826" s="64"/>
      <c r="BK826" s="64"/>
      <c r="BL826" s="64"/>
      <c r="BM826" s="64"/>
      <c r="BN826" s="64"/>
    </row>
    <row r="827" ht="30.0" customHeight="1">
      <c r="A827" s="64"/>
      <c r="B827" s="64"/>
      <c r="C827" s="66"/>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c r="BA827" s="75"/>
      <c r="BB827" s="64"/>
      <c r="BC827" s="64"/>
      <c r="BD827" s="66"/>
      <c r="BE827" s="64"/>
      <c r="BF827" s="64"/>
      <c r="BG827" s="64"/>
      <c r="BH827" s="64"/>
      <c r="BI827" s="64"/>
      <c r="BJ827" s="64"/>
      <c r="BK827" s="64"/>
      <c r="BL827" s="64"/>
      <c r="BM827" s="64"/>
      <c r="BN827" s="64"/>
    </row>
    <row r="828" ht="30.0" customHeight="1">
      <c r="A828" s="64"/>
      <c r="B828" s="64"/>
      <c r="C828" s="66"/>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c r="BA828" s="75"/>
      <c r="BB828" s="64"/>
      <c r="BC828" s="64"/>
      <c r="BD828" s="66"/>
      <c r="BE828" s="64"/>
      <c r="BF828" s="64"/>
      <c r="BG828" s="64"/>
      <c r="BH828" s="64"/>
      <c r="BI828" s="64"/>
      <c r="BJ828" s="64"/>
      <c r="BK828" s="64"/>
      <c r="BL828" s="64"/>
      <c r="BM828" s="64"/>
      <c r="BN828" s="64"/>
    </row>
    <row r="829" ht="30.0" customHeight="1">
      <c r="A829" s="64"/>
      <c r="B829" s="64"/>
      <c r="C829" s="66"/>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c r="BA829" s="75"/>
      <c r="BB829" s="64"/>
      <c r="BC829" s="64"/>
      <c r="BD829" s="66"/>
      <c r="BE829" s="64"/>
      <c r="BF829" s="64"/>
      <c r="BG829" s="64"/>
      <c r="BH829" s="64"/>
      <c r="BI829" s="64"/>
      <c r="BJ829" s="64"/>
      <c r="BK829" s="64"/>
      <c r="BL829" s="64"/>
      <c r="BM829" s="64"/>
      <c r="BN829" s="64"/>
    </row>
    <row r="830" ht="30.0" customHeight="1">
      <c r="A830" s="64"/>
      <c r="B830" s="64"/>
      <c r="C830" s="66"/>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75"/>
      <c r="BB830" s="64"/>
      <c r="BC830" s="64"/>
      <c r="BD830" s="66"/>
      <c r="BE830" s="64"/>
      <c r="BF830" s="64"/>
      <c r="BG830" s="64"/>
      <c r="BH830" s="64"/>
      <c r="BI830" s="64"/>
      <c r="BJ830" s="64"/>
      <c r="BK830" s="64"/>
      <c r="BL830" s="64"/>
      <c r="BM830" s="64"/>
      <c r="BN830" s="64"/>
    </row>
    <row r="831" ht="30.0" customHeight="1">
      <c r="A831" s="64"/>
      <c r="B831" s="64"/>
      <c r="C831" s="66"/>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75"/>
      <c r="BB831" s="64"/>
      <c r="BC831" s="64"/>
      <c r="BD831" s="66"/>
      <c r="BE831" s="64"/>
      <c r="BF831" s="64"/>
      <c r="BG831" s="64"/>
      <c r="BH831" s="64"/>
      <c r="BI831" s="64"/>
      <c r="BJ831" s="64"/>
      <c r="BK831" s="64"/>
      <c r="BL831" s="64"/>
      <c r="BM831" s="64"/>
      <c r="BN831" s="64"/>
    </row>
    <row r="832" ht="30.0" customHeight="1">
      <c r="A832" s="64"/>
      <c r="B832" s="64"/>
      <c r="C832" s="66"/>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75"/>
      <c r="BB832" s="64"/>
      <c r="BC832" s="64"/>
      <c r="BD832" s="66"/>
      <c r="BE832" s="64"/>
      <c r="BF832" s="64"/>
      <c r="BG832" s="64"/>
      <c r="BH832" s="64"/>
      <c r="BI832" s="64"/>
      <c r="BJ832" s="64"/>
      <c r="BK832" s="64"/>
      <c r="BL832" s="64"/>
      <c r="BM832" s="64"/>
      <c r="BN832" s="64"/>
    </row>
    <row r="833" ht="30.0" customHeight="1">
      <c r="A833" s="64"/>
      <c r="B833" s="64"/>
      <c r="C833" s="66"/>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75"/>
      <c r="BB833" s="64"/>
      <c r="BC833" s="64"/>
      <c r="BD833" s="66"/>
      <c r="BE833" s="64"/>
      <c r="BF833" s="64"/>
      <c r="BG833" s="64"/>
      <c r="BH833" s="64"/>
      <c r="BI833" s="64"/>
      <c r="BJ833" s="64"/>
      <c r="BK833" s="64"/>
      <c r="BL833" s="64"/>
      <c r="BM833" s="64"/>
      <c r="BN833" s="64"/>
    </row>
    <row r="834" ht="30.0" customHeight="1">
      <c r="A834" s="64"/>
      <c r="B834" s="64"/>
      <c r="C834" s="66"/>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75"/>
      <c r="BB834" s="64"/>
      <c r="BC834" s="64"/>
      <c r="BD834" s="66"/>
      <c r="BE834" s="64"/>
      <c r="BF834" s="64"/>
      <c r="BG834" s="64"/>
      <c r="BH834" s="64"/>
      <c r="BI834" s="64"/>
      <c r="BJ834" s="64"/>
      <c r="BK834" s="64"/>
      <c r="BL834" s="64"/>
      <c r="BM834" s="64"/>
      <c r="BN834" s="64"/>
    </row>
    <row r="835" ht="30.0" customHeight="1">
      <c r="A835" s="64"/>
      <c r="B835" s="64"/>
      <c r="C835" s="66"/>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75"/>
      <c r="BB835" s="64"/>
      <c r="BC835" s="64"/>
      <c r="BD835" s="66"/>
      <c r="BE835" s="64"/>
      <c r="BF835" s="64"/>
      <c r="BG835" s="64"/>
      <c r="BH835" s="64"/>
      <c r="BI835" s="64"/>
      <c r="BJ835" s="64"/>
      <c r="BK835" s="64"/>
      <c r="BL835" s="64"/>
      <c r="BM835" s="64"/>
      <c r="BN835" s="64"/>
    </row>
    <row r="836" ht="30.0" customHeight="1">
      <c r="A836" s="64"/>
      <c r="B836" s="64"/>
      <c r="C836" s="66"/>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75"/>
      <c r="BB836" s="64"/>
      <c r="BC836" s="64"/>
      <c r="BD836" s="66"/>
      <c r="BE836" s="64"/>
      <c r="BF836" s="64"/>
      <c r="BG836" s="64"/>
      <c r="BH836" s="64"/>
      <c r="BI836" s="64"/>
      <c r="BJ836" s="64"/>
      <c r="BK836" s="64"/>
      <c r="BL836" s="64"/>
      <c r="BM836" s="64"/>
      <c r="BN836" s="64"/>
    </row>
    <row r="837" ht="30.0" customHeight="1">
      <c r="A837" s="64"/>
      <c r="B837" s="64"/>
      <c r="C837" s="66"/>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75"/>
      <c r="BB837" s="64"/>
      <c r="BC837" s="64"/>
      <c r="BD837" s="66"/>
      <c r="BE837" s="64"/>
      <c r="BF837" s="64"/>
      <c r="BG837" s="64"/>
      <c r="BH837" s="64"/>
      <c r="BI837" s="64"/>
      <c r="BJ837" s="64"/>
      <c r="BK837" s="64"/>
      <c r="BL837" s="64"/>
      <c r="BM837" s="64"/>
      <c r="BN837" s="64"/>
    </row>
    <row r="838" ht="30.0" customHeight="1">
      <c r="A838" s="64"/>
      <c r="B838" s="64"/>
      <c r="C838" s="66"/>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75"/>
      <c r="BB838" s="64"/>
      <c r="BC838" s="64"/>
      <c r="BD838" s="66"/>
      <c r="BE838" s="64"/>
      <c r="BF838" s="64"/>
      <c r="BG838" s="64"/>
      <c r="BH838" s="64"/>
      <c r="BI838" s="64"/>
      <c r="BJ838" s="64"/>
      <c r="BK838" s="64"/>
      <c r="BL838" s="64"/>
      <c r="BM838" s="64"/>
      <c r="BN838" s="64"/>
    </row>
    <row r="839" ht="30.0" customHeight="1">
      <c r="A839" s="64"/>
      <c r="B839" s="64"/>
      <c r="C839" s="66"/>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75"/>
      <c r="BB839" s="64"/>
      <c r="BC839" s="64"/>
      <c r="BD839" s="66"/>
      <c r="BE839" s="64"/>
      <c r="BF839" s="64"/>
      <c r="BG839" s="64"/>
      <c r="BH839" s="64"/>
      <c r="BI839" s="64"/>
      <c r="BJ839" s="64"/>
      <c r="BK839" s="64"/>
      <c r="BL839" s="64"/>
      <c r="BM839" s="64"/>
      <c r="BN839" s="64"/>
    </row>
    <row r="840" ht="30.0" customHeight="1">
      <c r="A840" s="64"/>
      <c r="B840" s="64"/>
      <c r="C840" s="66"/>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75"/>
      <c r="BB840" s="64"/>
      <c r="BC840" s="64"/>
      <c r="BD840" s="66"/>
      <c r="BE840" s="64"/>
      <c r="BF840" s="64"/>
      <c r="BG840" s="64"/>
      <c r="BH840" s="64"/>
      <c r="BI840" s="64"/>
      <c r="BJ840" s="64"/>
      <c r="BK840" s="64"/>
      <c r="BL840" s="64"/>
      <c r="BM840" s="64"/>
      <c r="BN840" s="64"/>
    </row>
    <row r="841" ht="30.0" customHeight="1">
      <c r="A841" s="64"/>
      <c r="B841" s="64"/>
      <c r="C841" s="66"/>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75"/>
      <c r="BB841" s="64"/>
      <c r="BC841" s="64"/>
      <c r="BD841" s="66"/>
      <c r="BE841" s="64"/>
      <c r="BF841" s="64"/>
      <c r="BG841" s="64"/>
      <c r="BH841" s="64"/>
      <c r="BI841" s="64"/>
      <c r="BJ841" s="64"/>
      <c r="BK841" s="64"/>
      <c r="BL841" s="64"/>
      <c r="BM841" s="64"/>
      <c r="BN841" s="64"/>
    </row>
    <row r="842" ht="30.0" customHeight="1">
      <c r="A842" s="64"/>
      <c r="B842" s="64"/>
      <c r="C842" s="66"/>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75"/>
      <c r="BB842" s="64"/>
      <c r="BC842" s="64"/>
      <c r="BD842" s="66"/>
      <c r="BE842" s="64"/>
      <c r="BF842" s="64"/>
      <c r="BG842" s="64"/>
      <c r="BH842" s="64"/>
      <c r="BI842" s="64"/>
      <c r="BJ842" s="64"/>
      <c r="BK842" s="64"/>
      <c r="BL842" s="64"/>
      <c r="BM842" s="64"/>
      <c r="BN842" s="64"/>
    </row>
    <row r="843" ht="30.0" customHeight="1">
      <c r="A843" s="64"/>
      <c r="B843" s="64"/>
      <c r="C843" s="66"/>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75"/>
      <c r="BB843" s="64"/>
      <c r="BC843" s="64"/>
      <c r="BD843" s="66"/>
      <c r="BE843" s="64"/>
      <c r="BF843" s="64"/>
      <c r="BG843" s="64"/>
      <c r="BH843" s="64"/>
      <c r="BI843" s="64"/>
      <c r="BJ843" s="64"/>
      <c r="BK843" s="64"/>
      <c r="BL843" s="64"/>
      <c r="BM843" s="64"/>
      <c r="BN843" s="64"/>
    </row>
    <row r="844" ht="30.0" customHeight="1">
      <c r="A844" s="64"/>
      <c r="B844" s="64"/>
      <c r="C844" s="66"/>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75"/>
      <c r="BB844" s="64"/>
      <c r="BC844" s="64"/>
      <c r="BD844" s="66"/>
      <c r="BE844" s="64"/>
      <c r="BF844" s="64"/>
      <c r="BG844" s="64"/>
      <c r="BH844" s="64"/>
      <c r="BI844" s="64"/>
      <c r="BJ844" s="64"/>
      <c r="BK844" s="64"/>
      <c r="BL844" s="64"/>
      <c r="BM844" s="64"/>
      <c r="BN844" s="64"/>
    </row>
    <row r="845" ht="30.0" customHeight="1">
      <c r="A845" s="64"/>
      <c r="B845" s="64"/>
      <c r="C845" s="66"/>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75"/>
      <c r="BB845" s="64"/>
      <c r="BC845" s="64"/>
      <c r="BD845" s="66"/>
      <c r="BE845" s="64"/>
      <c r="BF845" s="64"/>
      <c r="BG845" s="64"/>
      <c r="BH845" s="64"/>
      <c r="BI845" s="64"/>
      <c r="BJ845" s="64"/>
      <c r="BK845" s="64"/>
      <c r="BL845" s="64"/>
      <c r="BM845" s="64"/>
      <c r="BN845" s="64"/>
    </row>
    <row r="846" ht="30.0" customHeight="1">
      <c r="A846" s="64"/>
      <c r="B846" s="64"/>
      <c r="C846" s="66"/>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75"/>
      <c r="BB846" s="64"/>
      <c r="BC846" s="64"/>
      <c r="BD846" s="66"/>
      <c r="BE846" s="64"/>
      <c r="BF846" s="64"/>
      <c r="BG846" s="64"/>
      <c r="BH846" s="64"/>
      <c r="BI846" s="64"/>
      <c r="BJ846" s="64"/>
      <c r="BK846" s="64"/>
      <c r="BL846" s="64"/>
      <c r="BM846" s="64"/>
      <c r="BN846" s="64"/>
    </row>
    <row r="847" ht="30.0" customHeight="1">
      <c r="A847" s="64"/>
      <c r="B847" s="64"/>
      <c r="C847" s="66"/>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75"/>
      <c r="BB847" s="64"/>
      <c r="BC847" s="64"/>
      <c r="BD847" s="66"/>
      <c r="BE847" s="64"/>
      <c r="BF847" s="64"/>
      <c r="BG847" s="64"/>
      <c r="BH847" s="64"/>
      <c r="BI847" s="64"/>
      <c r="BJ847" s="64"/>
      <c r="BK847" s="64"/>
      <c r="BL847" s="64"/>
      <c r="BM847" s="64"/>
      <c r="BN847" s="64"/>
    </row>
    <row r="848" ht="30.0" customHeight="1">
      <c r="A848" s="64"/>
      <c r="B848" s="64"/>
      <c r="C848" s="66"/>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75"/>
      <c r="BB848" s="64"/>
      <c r="BC848" s="64"/>
      <c r="BD848" s="66"/>
      <c r="BE848" s="64"/>
      <c r="BF848" s="64"/>
      <c r="BG848" s="64"/>
      <c r="BH848" s="64"/>
      <c r="BI848" s="64"/>
      <c r="BJ848" s="64"/>
      <c r="BK848" s="64"/>
      <c r="BL848" s="64"/>
      <c r="BM848" s="64"/>
      <c r="BN848" s="64"/>
    </row>
    <row r="849" ht="30.0" customHeight="1">
      <c r="A849" s="64"/>
      <c r="B849" s="64"/>
      <c r="C849" s="66"/>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75"/>
      <c r="BB849" s="64"/>
      <c r="BC849" s="64"/>
      <c r="BD849" s="66"/>
      <c r="BE849" s="64"/>
      <c r="BF849" s="64"/>
      <c r="BG849" s="64"/>
      <c r="BH849" s="64"/>
      <c r="BI849" s="64"/>
      <c r="BJ849" s="64"/>
      <c r="BK849" s="64"/>
      <c r="BL849" s="64"/>
      <c r="BM849" s="64"/>
      <c r="BN849" s="64"/>
    </row>
    <row r="850" ht="30.0" customHeight="1">
      <c r="A850" s="64"/>
      <c r="B850" s="64"/>
      <c r="C850" s="66"/>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75"/>
      <c r="BB850" s="64"/>
      <c r="BC850" s="64"/>
      <c r="BD850" s="66"/>
      <c r="BE850" s="64"/>
      <c r="BF850" s="64"/>
      <c r="BG850" s="64"/>
      <c r="BH850" s="64"/>
      <c r="BI850" s="64"/>
      <c r="BJ850" s="64"/>
      <c r="BK850" s="64"/>
      <c r="BL850" s="64"/>
      <c r="BM850" s="64"/>
      <c r="BN850" s="64"/>
    </row>
    <row r="851" ht="30.0" customHeight="1">
      <c r="A851" s="64"/>
      <c r="B851" s="64"/>
      <c r="C851" s="66"/>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75"/>
      <c r="BB851" s="64"/>
      <c r="BC851" s="64"/>
      <c r="BD851" s="66"/>
      <c r="BE851" s="64"/>
      <c r="BF851" s="64"/>
      <c r="BG851" s="64"/>
      <c r="BH851" s="64"/>
      <c r="BI851" s="64"/>
      <c r="BJ851" s="64"/>
      <c r="BK851" s="64"/>
      <c r="BL851" s="64"/>
      <c r="BM851" s="64"/>
      <c r="BN851" s="64"/>
    </row>
    <row r="852" ht="30.0" customHeight="1">
      <c r="A852" s="64"/>
      <c r="B852" s="64"/>
      <c r="C852" s="66"/>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75"/>
      <c r="BB852" s="64"/>
      <c r="BC852" s="64"/>
      <c r="BD852" s="66"/>
      <c r="BE852" s="64"/>
      <c r="BF852" s="64"/>
      <c r="BG852" s="64"/>
      <c r="BH852" s="64"/>
      <c r="BI852" s="64"/>
      <c r="BJ852" s="64"/>
      <c r="BK852" s="64"/>
      <c r="BL852" s="64"/>
      <c r="BM852" s="64"/>
      <c r="BN852" s="64"/>
    </row>
    <row r="853" ht="30.0" customHeight="1">
      <c r="A853" s="64"/>
      <c r="B853" s="64"/>
      <c r="C853" s="66"/>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75"/>
      <c r="BB853" s="64"/>
      <c r="BC853" s="64"/>
      <c r="BD853" s="66"/>
      <c r="BE853" s="64"/>
      <c r="BF853" s="64"/>
      <c r="BG853" s="64"/>
      <c r="BH853" s="64"/>
      <c r="BI853" s="64"/>
      <c r="BJ853" s="64"/>
      <c r="BK853" s="64"/>
      <c r="BL853" s="64"/>
      <c r="BM853" s="64"/>
      <c r="BN853" s="64"/>
    </row>
    <row r="854" ht="30.0" customHeight="1">
      <c r="A854" s="64"/>
      <c r="B854" s="64"/>
      <c r="C854" s="66"/>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75"/>
      <c r="BB854" s="64"/>
      <c r="BC854" s="64"/>
      <c r="BD854" s="66"/>
      <c r="BE854" s="64"/>
      <c r="BF854" s="64"/>
      <c r="BG854" s="64"/>
      <c r="BH854" s="64"/>
      <c r="BI854" s="64"/>
      <c r="BJ854" s="64"/>
      <c r="BK854" s="64"/>
      <c r="BL854" s="64"/>
      <c r="BM854" s="64"/>
      <c r="BN854" s="64"/>
    </row>
    <row r="855" ht="30.0" customHeight="1">
      <c r="A855" s="64"/>
      <c r="B855" s="64"/>
      <c r="C855" s="66"/>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75"/>
      <c r="BB855" s="64"/>
      <c r="BC855" s="64"/>
      <c r="BD855" s="66"/>
      <c r="BE855" s="64"/>
      <c r="BF855" s="64"/>
      <c r="BG855" s="64"/>
      <c r="BH855" s="64"/>
      <c r="BI855" s="64"/>
      <c r="BJ855" s="64"/>
      <c r="BK855" s="64"/>
      <c r="BL855" s="64"/>
      <c r="BM855" s="64"/>
      <c r="BN855" s="64"/>
    </row>
    <row r="856" ht="30.0" customHeight="1">
      <c r="A856" s="64"/>
      <c r="B856" s="64"/>
      <c r="C856" s="66"/>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75"/>
      <c r="BB856" s="64"/>
      <c r="BC856" s="64"/>
      <c r="BD856" s="66"/>
      <c r="BE856" s="64"/>
      <c r="BF856" s="64"/>
      <c r="BG856" s="64"/>
      <c r="BH856" s="64"/>
      <c r="BI856" s="64"/>
      <c r="BJ856" s="64"/>
      <c r="BK856" s="64"/>
      <c r="BL856" s="64"/>
      <c r="BM856" s="64"/>
      <c r="BN856" s="64"/>
    </row>
    <row r="857" ht="30.0" customHeight="1">
      <c r="A857" s="64"/>
      <c r="B857" s="64"/>
      <c r="C857" s="66"/>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75"/>
      <c r="BB857" s="64"/>
      <c r="BC857" s="64"/>
      <c r="BD857" s="66"/>
      <c r="BE857" s="64"/>
      <c r="BF857" s="64"/>
      <c r="BG857" s="64"/>
      <c r="BH857" s="64"/>
      <c r="BI857" s="64"/>
      <c r="BJ857" s="64"/>
      <c r="BK857" s="64"/>
      <c r="BL857" s="64"/>
      <c r="BM857" s="64"/>
      <c r="BN857" s="64"/>
    </row>
    <row r="858" ht="30.0" customHeight="1">
      <c r="A858" s="64"/>
      <c r="B858" s="64"/>
      <c r="C858" s="66"/>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75"/>
      <c r="BB858" s="64"/>
      <c r="BC858" s="64"/>
      <c r="BD858" s="66"/>
      <c r="BE858" s="64"/>
      <c r="BF858" s="64"/>
      <c r="BG858" s="64"/>
      <c r="BH858" s="64"/>
      <c r="BI858" s="64"/>
      <c r="BJ858" s="64"/>
      <c r="BK858" s="64"/>
      <c r="BL858" s="64"/>
      <c r="BM858" s="64"/>
      <c r="BN858" s="64"/>
    </row>
    <row r="859" ht="30.0" customHeight="1">
      <c r="A859" s="64"/>
      <c r="B859" s="64"/>
      <c r="C859" s="66"/>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75"/>
      <c r="BB859" s="64"/>
      <c r="BC859" s="64"/>
      <c r="BD859" s="66"/>
      <c r="BE859" s="64"/>
      <c r="BF859" s="64"/>
      <c r="BG859" s="64"/>
      <c r="BH859" s="64"/>
      <c r="BI859" s="64"/>
      <c r="BJ859" s="64"/>
      <c r="BK859" s="64"/>
      <c r="BL859" s="64"/>
      <c r="BM859" s="64"/>
      <c r="BN859" s="64"/>
    </row>
    <row r="860" ht="30.0" customHeight="1">
      <c r="A860" s="64"/>
      <c r="B860" s="64"/>
      <c r="C860" s="66"/>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75"/>
      <c r="BB860" s="64"/>
      <c r="BC860" s="64"/>
      <c r="BD860" s="66"/>
      <c r="BE860" s="64"/>
      <c r="BF860" s="64"/>
      <c r="BG860" s="64"/>
      <c r="BH860" s="64"/>
      <c r="BI860" s="64"/>
      <c r="BJ860" s="64"/>
      <c r="BK860" s="64"/>
      <c r="BL860" s="64"/>
      <c r="BM860" s="64"/>
      <c r="BN860" s="64"/>
    </row>
    <row r="861" ht="30.0" customHeight="1">
      <c r="A861" s="64"/>
      <c r="B861" s="64"/>
      <c r="C861" s="66"/>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75"/>
      <c r="BB861" s="64"/>
      <c r="BC861" s="64"/>
      <c r="BD861" s="66"/>
      <c r="BE861" s="64"/>
      <c r="BF861" s="64"/>
      <c r="BG861" s="64"/>
      <c r="BH861" s="64"/>
      <c r="BI861" s="64"/>
      <c r="BJ861" s="64"/>
      <c r="BK861" s="64"/>
      <c r="BL861" s="64"/>
      <c r="BM861" s="64"/>
      <c r="BN861" s="64"/>
    </row>
    <row r="862" ht="30.0" customHeight="1">
      <c r="A862" s="64"/>
      <c r="B862" s="64"/>
      <c r="C862" s="66"/>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75"/>
      <c r="BB862" s="64"/>
      <c r="BC862" s="64"/>
      <c r="BD862" s="66"/>
      <c r="BE862" s="64"/>
      <c r="BF862" s="64"/>
      <c r="BG862" s="64"/>
      <c r="BH862" s="64"/>
      <c r="BI862" s="64"/>
      <c r="BJ862" s="64"/>
      <c r="BK862" s="64"/>
      <c r="BL862" s="64"/>
      <c r="BM862" s="64"/>
      <c r="BN862" s="64"/>
    </row>
    <row r="863" ht="30.0" customHeight="1">
      <c r="A863" s="64"/>
      <c r="B863" s="64"/>
      <c r="C863" s="66"/>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75"/>
      <c r="BB863" s="64"/>
      <c r="BC863" s="64"/>
      <c r="BD863" s="66"/>
      <c r="BE863" s="64"/>
      <c r="BF863" s="64"/>
      <c r="BG863" s="64"/>
      <c r="BH863" s="64"/>
      <c r="BI863" s="64"/>
      <c r="BJ863" s="64"/>
      <c r="BK863" s="64"/>
      <c r="BL863" s="64"/>
      <c r="BM863" s="64"/>
      <c r="BN863" s="64"/>
    </row>
    <row r="864" ht="30.0" customHeight="1">
      <c r="A864" s="64"/>
      <c r="B864" s="64"/>
      <c r="C864" s="66"/>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75"/>
      <c r="BB864" s="64"/>
      <c r="BC864" s="64"/>
      <c r="BD864" s="66"/>
      <c r="BE864" s="64"/>
      <c r="BF864" s="64"/>
      <c r="BG864" s="64"/>
      <c r="BH864" s="64"/>
      <c r="BI864" s="64"/>
      <c r="BJ864" s="64"/>
      <c r="BK864" s="64"/>
      <c r="BL864" s="64"/>
      <c r="BM864" s="64"/>
      <c r="BN864" s="64"/>
    </row>
    <row r="865" ht="30.0" customHeight="1">
      <c r="A865" s="64"/>
      <c r="B865" s="64"/>
      <c r="C865" s="66"/>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75"/>
      <c r="BB865" s="64"/>
      <c r="BC865" s="64"/>
      <c r="BD865" s="66"/>
      <c r="BE865" s="64"/>
      <c r="BF865" s="64"/>
      <c r="BG865" s="64"/>
      <c r="BH865" s="64"/>
      <c r="BI865" s="64"/>
      <c r="BJ865" s="64"/>
      <c r="BK865" s="64"/>
      <c r="BL865" s="64"/>
      <c r="BM865" s="64"/>
      <c r="BN865" s="64"/>
    </row>
    <row r="866" ht="30.0" customHeight="1">
      <c r="A866" s="64"/>
      <c r="B866" s="64"/>
      <c r="C866" s="66"/>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75"/>
      <c r="BB866" s="64"/>
      <c r="BC866" s="64"/>
      <c r="BD866" s="66"/>
      <c r="BE866" s="64"/>
      <c r="BF866" s="64"/>
      <c r="BG866" s="64"/>
      <c r="BH866" s="64"/>
      <c r="BI866" s="64"/>
      <c r="BJ866" s="64"/>
      <c r="BK866" s="64"/>
      <c r="BL866" s="64"/>
      <c r="BM866" s="64"/>
      <c r="BN866" s="64"/>
    </row>
    <row r="867" ht="30.0" customHeight="1">
      <c r="A867" s="64"/>
      <c r="B867" s="64"/>
      <c r="C867" s="66"/>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75"/>
      <c r="BB867" s="64"/>
      <c r="BC867" s="64"/>
      <c r="BD867" s="66"/>
      <c r="BE867" s="64"/>
      <c r="BF867" s="64"/>
      <c r="BG867" s="64"/>
      <c r="BH867" s="64"/>
      <c r="BI867" s="64"/>
      <c r="BJ867" s="64"/>
      <c r="BK867" s="64"/>
      <c r="BL867" s="64"/>
      <c r="BM867" s="64"/>
      <c r="BN867" s="64"/>
    </row>
    <row r="868" ht="30.0" customHeight="1">
      <c r="A868" s="64"/>
      <c r="B868" s="64"/>
      <c r="C868" s="66"/>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75"/>
      <c r="BB868" s="64"/>
      <c r="BC868" s="64"/>
      <c r="BD868" s="66"/>
      <c r="BE868" s="64"/>
      <c r="BF868" s="64"/>
      <c r="BG868" s="64"/>
      <c r="BH868" s="64"/>
      <c r="BI868" s="64"/>
      <c r="BJ868" s="64"/>
      <c r="BK868" s="64"/>
      <c r="BL868" s="64"/>
      <c r="BM868" s="64"/>
      <c r="BN868" s="64"/>
    </row>
    <row r="869" ht="30.0" customHeight="1">
      <c r="A869" s="64"/>
      <c r="B869" s="64"/>
      <c r="C869" s="66"/>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c r="BA869" s="75"/>
      <c r="BB869" s="64"/>
      <c r="BC869" s="64"/>
      <c r="BD869" s="66"/>
      <c r="BE869" s="64"/>
      <c r="BF869" s="64"/>
      <c r="BG869" s="64"/>
      <c r="BH869" s="64"/>
      <c r="BI869" s="64"/>
      <c r="BJ869" s="64"/>
      <c r="BK869" s="64"/>
      <c r="BL869" s="64"/>
      <c r="BM869" s="64"/>
      <c r="BN869" s="64"/>
    </row>
    <row r="870" ht="30.0" customHeight="1">
      <c r="A870" s="64"/>
      <c r="B870" s="64"/>
      <c r="C870" s="66"/>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c r="BA870" s="75"/>
      <c r="BB870" s="64"/>
      <c r="BC870" s="64"/>
      <c r="BD870" s="66"/>
      <c r="BE870" s="64"/>
      <c r="BF870" s="64"/>
      <c r="BG870" s="64"/>
      <c r="BH870" s="64"/>
      <c r="BI870" s="64"/>
      <c r="BJ870" s="64"/>
      <c r="BK870" s="64"/>
      <c r="BL870" s="64"/>
      <c r="BM870" s="64"/>
      <c r="BN870" s="64"/>
    </row>
    <row r="871" ht="30.0" customHeight="1">
      <c r="A871" s="64"/>
      <c r="B871" s="64"/>
      <c r="C871" s="66"/>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c r="BA871" s="75"/>
      <c r="BB871" s="64"/>
      <c r="BC871" s="64"/>
      <c r="BD871" s="66"/>
      <c r="BE871" s="64"/>
      <c r="BF871" s="64"/>
      <c r="BG871" s="64"/>
      <c r="BH871" s="64"/>
      <c r="BI871" s="64"/>
      <c r="BJ871" s="64"/>
      <c r="BK871" s="64"/>
      <c r="BL871" s="64"/>
      <c r="BM871" s="64"/>
      <c r="BN871" s="64"/>
    </row>
    <row r="872" ht="30.0" customHeight="1">
      <c r="A872" s="64"/>
      <c r="B872" s="64"/>
      <c r="C872" s="66"/>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c r="BA872" s="75"/>
      <c r="BB872" s="64"/>
      <c r="BC872" s="64"/>
      <c r="BD872" s="66"/>
      <c r="BE872" s="64"/>
      <c r="BF872" s="64"/>
      <c r="BG872" s="64"/>
      <c r="BH872" s="64"/>
      <c r="BI872" s="64"/>
      <c r="BJ872" s="64"/>
      <c r="BK872" s="64"/>
      <c r="BL872" s="64"/>
      <c r="BM872" s="64"/>
      <c r="BN872" s="64"/>
    </row>
    <row r="873" ht="30.0" customHeight="1">
      <c r="A873" s="64"/>
      <c r="B873" s="64"/>
      <c r="C873" s="66"/>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c r="BA873" s="75"/>
      <c r="BB873" s="64"/>
      <c r="BC873" s="64"/>
      <c r="BD873" s="66"/>
      <c r="BE873" s="64"/>
      <c r="BF873" s="64"/>
      <c r="BG873" s="64"/>
      <c r="BH873" s="64"/>
      <c r="BI873" s="64"/>
      <c r="BJ873" s="64"/>
      <c r="BK873" s="64"/>
      <c r="BL873" s="64"/>
      <c r="BM873" s="64"/>
      <c r="BN873" s="64"/>
    </row>
    <row r="874" ht="30.0" customHeight="1">
      <c r="A874" s="64"/>
      <c r="B874" s="64"/>
      <c r="C874" s="66"/>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c r="BA874" s="75"/>
      <c r="BB874" s="64"/>
      <c r="BC874" s="64"/>
      <c r="BD874" s="66"/>
      <c r="BE874" s="64"/>
      <c r="BF874" s="64"/>
      <c r="BG874" s="64"/>
      <c r="BH874" s="64"/>
      <c r="BI874" s="64"/>
      <c r="BJ874" s="64"/>
      <c r="BK874" s="64"/>
      <c r="BL874" s="64"/>
      <c r="BM874" s="64"/>
      <c r="BN874" s="64"/>
    </row>
    <row r="875" ht="30.0" customHeight="1">
      <c r="A875" s="64"/>
      <c r="B875" s="64"/>
      <c r="C875" s="66"/>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c r="BA875" s="75"/>
      <c r="BB875" s="64"/>
      <c r="BC875" s="64"/>
      <c r="BD875" s="66"/>
      <c r="BE875" s="64"/>
      <c r="BF875" s="64"/>
      <c r="BG875" s="64"/>
      <c r="BH875" s="64"/>
      <c r="BI875" s="64"/>
      <c r="BJ875" s="64"/>
      <c r="BK875" s="64"/>
      <c r="BL875" s="64"/>
      <c r="BM875" s="64"/>
      <c r="BN875" s="64"/>
    </row>
    <row r="876" ht="30.0" customHeight="1">
      <c r="A876" s="64"/>
      <c r="B876" s="64"/>
      <c r="C876" s="66"/>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c r="BA876" s="75"/>
      <c r="BB876" s="64"/>
      <c r="BC876" s="64"/>
      <c r="BD876" s="66"/>
      <c r="BE876" s="64"/>
      <c r="BF876" s="64"/>
      <c r="BG876" s="64"/>
      <c r="BH876" s="64"/>
      <c r="BI876" s="64"/>
      <c r="BJ876" s="64"/>
      <c r="BK876" s="64"/>
      <c r="BL876" s="64"/>
      <c r="BM876" s="64"/>
      <c r="BN876" s="64"/>
    </row>
    <row r="877" ht="30.0" customHeight="1">
      <c r="A877" s="64"/>
      <c r="B877" s="64"/>
      <c r="C877" s="66"/>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c r="BA877" s="75"/>
      <c r="BB877" s="64"/>
      <c r="BC877" s="64"/>
      <c r="BD877" s="66"/>
      <c r="BE877" s="64"/>
      <c r="BF877" s="64"/>
      <c r="BG877" s="64"/>
      <c r="BH877" s="64"/>
      <c r="BI877" s="64"/>
      <c r="BJ877" s="64"/>
      <c r="BK877" s="64"/>
      <c r="BL877" s="64"/>
      <c r="BM877" s="64"/>
      <c r="BN877" s="64"/>
    </row>
    <row r="878" ht="30.0" customHeight="1">
      <c r="A878" s="64"/>
      <c r="B878" s="64"/>
      <c r="C878" s="66"/>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c r="BA878" s="75"/>
      <c r="BB878" s="64"/>
      <c r="BC878" s="64"/>
      <c r="BD878" s="66"/>
      <c r="BE878" s="64"/>
      <c r="BF878" s="64"/>
      <c r="BG878" s="64"/>
      <c r="BH878" s="64"/>
      <c r="BI878" s="64"/>
      <c r="BJ878" s="64"/>
      <c r="BK878" s="64"/>
      <c r="BL878" s="64"/>
      <c r="BM878" s="64"/>
      <c r="BN878" s="64"/>
    </row>
    <row r="879" ht="30.0" customHeight="1">
      <c r="A879" s="64"/>
      <c r="B879" s="64"/>
      <c r="C879" s="66"/>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c r="BA879" s="75"/>
      <c r="BB879" s="64"/>
      <c r="BC879" s="64"/>
      <c r="BD879" s="66"/>
      <c r="BE879" s="64"/>
      <c r="BF879" s="64"/>
      <c r="BG879" s="64"/>
      <c r="BH879" s="64"/>
      <c r="BI879" s="64"/>
      <c r="BJ879" s="64"/>
      <c r="BK879" s="64"/>
      <c r="BL879" s="64"/>
      <c r="BM879" s="64"/>
      <c r="BN879" s="64"/>
    </row>
    <row r="880" ht="30.0" customHeight="1">
      <c r="A880" s="64"/>
      <c r="B880" s="64"/>
      <c r="C880" s="66"/>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c r="BA880" s="75"/>
      <c r="BB880" s="64"/>
      <c r="BC880" s="64"/>
      <c r="BD880" s="66"/>
      <c r="BE880" s="64"/>
      <c r="BF880" s="64"/>
      <c r="BG880" s="64"/>
      <c r="BH880" s="64"/>
      <c r="BI880" s="64"/>
      <c r="BJ880" s="64"/>
      <c r="BK880" s="64"/>
      <c r="BL880" s="64"/>
      <c r="BM880" s="64"/>
      <c r="BN880" s="64"/>
    </row>
    <row r="881" ht="30.0" customHeight="1">
      <c r="A881" s="64"/>
      <c r="B881" s="64"/>
      <c r="C881" s="66"/>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c r="BA881" s="75"/>
      <c r="BB881" s="64"/>
      <c r="BC881" s="64"/>
      <c r="BD881" s="66"/>
      <c r="BE881" s="64"/>
      <c r="BF881" s="64"/>
      <c r="BG881" s="64"/>
      <c r="BH881" s="64"/>
      <c r="BI881" s="64"/>
      <c r="BJ881" s="64"/>
      <c r="BK881" s="64"/>
      <c r="BL881" s="64"/>
      <c r="BM881" s="64"/>
      <c r="BN881" s="64"/>
    </row>
    <row r="882" ht="30.0" customHeight="1">
      <c r="A882" s="64"/>
      <c r="B882" s="64"/>
      <c r="C882" s="66"/>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c r="BA882" s="75"/>
      <c r="BB882" s="64"/>
      <c r="BC882" s="64"/>
      <c r="BD882" s="66"/>
      <c r="BE882" s="64"/>
      <c r="BF882" s="64"/>
      <c r="BG882" s="64"/>
      <c r="BH882" s="64"/>
      <c r="BI882" s="64"/>
      <c r="BJ882" s="64"/>
      <c r="BK882" s="64"/>
      <c r="BL882" s="64"/>
      <c r="BM882" s="64"/>
      <c r="BN882" s="64"/>
    </row>
    <row r="883" ht="30.0" customHeight="1">
      <c r="A883" s="64"/>
      <c r="B883" s="64"/>
      <c r="C883" s="66"/>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c r="BA883" s="75"/>
      <c r="BB883" s="64"/>
      <c r="BC883" s="64"/>
      <c r="BD883" s="66"/>
      <c r="BE883" s="64"/>
      <c r="BF883" s="64"/>
      <c r="BG883" s="64"/>
      <c r="BH883" s="64"/>
      <c r="BI883" s="64"/>
      <c r="BJ883" s="64"/>
      <c r="BK883" s="64"/>
      <c r="BL883" s="64"/>
      <c r="BM883" s="64"/>
      <c r="BN883" s="64"/>
    </row>
    <row r="884" ht="30.0" customHeight="1">
      <c r="A884" s="64"/>
      <c r="B884" s="64"/>
      <c r="C884" s="66"/>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c r="BA884" s="75"/>
      <c r="BB884" s="64"/>
      <c r="BC884" s="64"/>
      <c r="BD884" s="66"/>
      <c r="BE884" s="64"/>
      <c r="BF884" s="64"/>
      <c r="BG884" s="64"/>
      <c r="BH884" s="64"/>
      <c r="BI884" s="64"/>
      <c r="BJ884" s="64"/>
      <c r="BK884" s="64"/>
      <c r="BL884" s="64"/>
      <c r="BM884" s="64"/>
      <c r="BN884" s="64"/>
    </row>
    <row r="885" ht="30.0" customHeight="1">
      <c r="A885" s="64"/>
      <c r="B885" s="64"/>
      <c r="C885" s="66"/>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c r="BA885" s="75"/>
      <c r="BB885" s="64"/>
      <c r="BC885" s="64"/>
      <c r="BD885" s="66"/>
      <c r="BE885" s="64"/>
      <c r="BF885" s="64"/>
      <c r="BG885" s="64"/>
      <c r="BH885" s="64"/>
      <c r="BI885" s="64"/>
      <c r="BJ885" s="64"/>
      <c r="BK885" s="64"/>
      <c r="BL885" s="64"/>
      <c r="BM885" s="64"/>
      <c r="BN885" s="64"/>
    </row>
    <row r="886" ht="30.0" customHeight="1">
      <c r="A886" s="64"/>
      <c r="B886" s="64"/>
      <c r="C886" s="66"/>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c r="BA886" s="75"/>
      <c r="BB886" s="64"/>
      <c r="BC886" s="64"/>
      <c r="BD886" s="66"/>
      <c r="BE886" s="64"/>
      <c r="BF886" s="64"/>
      <c r="BG886" s="64"/>
      <c r="BH886" s="64"/>
      <c r="BI886" s="64"/>
      <c r="BJ886" s="64"/>
      <c r="BK886" s="64"/>
      <c r="BL886" s="64"/>
      <c r="BM886" s="64"/>
      <c r="BN886" s="64"/>
    </row>
    <row r="887" ht="30.0" customHeight="1">
      <c r="A887" s="64"/>
      <c r="B887" s="64"/>
      <c r="C887" s="66"/>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c r="BA887" s="75"/>
      <c r="BB887" s="64"/>
      <c r="BC887" s="64"/>
      <c r="BD887" s="66"/>
      <c r="BE887" s="64"/>
      <c r="BF887" s="64"/>
      <c r="BG887" s="64"/>
      <c r="BH887" s="64"/>
      <c r="BI887" s="64"/>
      <c r="BJ887" s="64"/>
      <c r="BK887" s="64"/>
      <c r="BL887" s="64"/>
      <c r="BM887" s="64"/>
      <c r="BN887" s="64"/>
    </row>
    <row r="888" ht="30.0" customHeight="1">
      <c r="A888" s="64"/>
      <c r="B888" s="64"/>
      <c r="C888" s="66"/>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c r="BA888" s="75"/>
      <c r="BB888" s="64"/>
      <c r="BC888" s="64"/>
      <c r="BD888" s="66"/>
      <c r="BE888" s="64"/>
      <c r="BF888" s="64"/>
      <c r="BG888" s="64"/>
      <c r="BH888" s="64"/>
      <c r="BI888" s="64"/>
      <c r="BJ888" s="64"/>
      <c r="BK888" s="64"/>
      <c r="BL888" s="64"/>
      <c r="BM888" s="64"/>
      <c r="BN888" s="64"/>
    </row>
    <row r="889" ht="30.0" customHeight="1">
      <c r="A889" s="64"/>
      <c r="B889" s="64"/>
      <c r="C889" s="66"/>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c r="BA889" s="75"/>
      <c r="BB889" s="64"/>
      <c r="BC889" s="64"/>
      <c r="BD889" s="66"/>
      <c r="BE889" s="64"/>
      <c r="BF889" s="64"/>
      <c r="BG889" s="64"/>
      <c r="BH889" s="64"/>
      <c r="BI889" s="64"/>
      <c r="BJ889" s="64"/>
      <c r="BK889" s="64"/>
      <c r="BL889" s="64"/>
      <c r="BM889" s="64"/>
      <c r="BN889" s="64"/>
    </row>
    <row r="890" ht="30.0" customHeight="1">
      <c r="A890" s="64"/>
      <c r="B890" s="64"/>
      <c r="C890" s="66"/>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c r="BA890" s="75"/>
      <c r="BB890" s="64"/>
      <c r="BC890" s="64"/>
      <c r="BD890" s="66"/>
      <c r="BE890" s="64"/>
      <c r="BF890" s="64"/>
      <c r="BG890" s="64"/>
      <c r="BH890" s="64"/>
      <c r="BI890" s="64"/>
      <c r="BJ890" s="64"/>
      <c r="BK890" s="64"/>
      <c r="BL890" s="64"/>
      <c r="BM890" s="64"/>
      <c r="BN890" s="64"/>
    </row>
    <row r="891" ht="30.0" customHeight="1">
      <c r="A891" s="64"/>
      <c r="B891" s="64"/>
      <c r="C891" s="66"/>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c r="BA891" s="75"/>
      <c r="BB891" s="64"/>
      <c r="BC891" s="64"/>
      <c r="BD891" s="66"/>
      <c r="BE891" s="64"/>
      <c r="BF891" s="64"/>
      <c r="BG891" s="64"/>
      <c r="BH891" s="64"/>
      <c r="BI891" s="64"/>
      <c r="BJ891" s="64"/>
      <c r="BK891" s="64"/>
      <c r="BL891" s="64"/>
      <c r="BM891" s="64"/>
      <c r="BN891" s="64"/>
    </row>
    <row r="892" ht="30.0" customHeight="1">
      <c r="A892" s="64"/>
      <c r="B892" s="64"/>
      <c r="C892" s="66"/>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75"/>
      <c r="BB892" s="64"/>
      <c r="BC892" s="64"/>
      <c r="BD892" s="66"/>
      <c r="BE892" s="64"/>
      <c r="BF892" s="64"/>
      <c r="BG892" s="64"/>
      <c r="BH892" s="64"/>
      <c r="BI892" s="64"/>
      <c r="BJ892" s="64"/>
      <c r="BK892" s="64"/>
      <c r="BL892" s="64"/>
      <c r="BM892" s="64"/>
      <c r="BN892" s="64"/>
    </row>
    <row r="893" ht="30.0" customHeight="1">
      <c r="A893" s="64"/>
      <c r="B893" s="64"/>
      <c r="C893" s="66"/>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c r="BA893" s="75"/>
      <c r="BB893" s="64"/>
      <c r="BC893" s="64"/>
      <c r="BD893" s="66"/>
      <c r="BE893" s="64"/>
      <c r="BF893" s="64"/>
      <c r="BG893" s="64"/>
      <c r="BH893" s="64"/>
      <c r="BI893" s="64"/>
      <c r="BJ893" s="64"/>
      <c r="BK893" s="64"/>
      <c r="BL893" s="64"/>
      <c r="BM893" s="64"/>
      <c r="BN893" s="64"/>
    </row>
    <row r="894" ht="30.0" customHeight="1">
      <c r="A894" s="64"/>
      <c r="B894" s="64"/>
      <c r="C894" s="66"/>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c r="BA894" s="75"/>
      <c r="BB894" s="64"/>
      <c r="BC894" s="64"/>
      <c r="BD894" s="66"/>
      <c r="BE894" s="64"/>
      <c r="BF894" s="64"/>
      <c r="BG894" s="64"/>
      <c r="BH894" s="64"/>
      <c r="BI894" s="64"/>
      <c r="BJ894" s="64"/>
      <c r="BK894" s="64"/>
      <c r="BL894" s="64"/>
      <c r="BM894" s="64"/>
      <c r="BN894" s="64"/>
    </row>
    <row r="895" ht="30.0" customHeight="1">
      <c r="A895" s="64"/>
      <c r="B895" s="64"/>
      <c r="C895" s="66"/>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c r="BA895" s="75"/>
      <c r="BB895" s="64"/>
      <c r="BC895" s="64"/>
      <c r="BD895" s="66"/>
      <c r="BE895" s="64"/>
      <c r="BF895" s="64"/>
      <c r="BG895" s="64"/>
      <c r="BH895" s="64"/>
      <c r="BI895" s="64"/>
      <c r="BJ895" s="64"/>
      <c r="BK895" s="64"/>
      <c r="BL895" s="64"/>
      <c r="BM895" s="64"/>
      <c r="BN895" s="64"/>
    </row>
    <row r="896" ht="30.0" customHeight="1">
      <c r="A896" s="64"/>
      <c r="B896" s="64"/>
      <c r="C896" s="66"/>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c r="BA896" s="75"/>
      <c r="BB896" s="64"/>
      <c r="BC896" s="64"/>
      <c r="BD896" s="66"/>
      <c r="BE896" s="64"/>
      <c r="BF896" s="64"/>
      <c r="BG896" s="64"/>
      <c r="BH896" s="64"/>
      <c r="BI896" s="64"/>
      <c r="BJ896" s="64"/>
      <c r="BK896" s="64"/>
      <c r="BL896" s="64"/>
      <c r="BM896" s="64"/>
      <c r="BN896" s="64"/>
    </row>
    <row r="897" ht="30.0" customHeight="1">
      <c r="A897" s="64"/>
      <c r="B897" s="64"/>
      <c r="C897" s="66"/>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c r="BA897" s="75"/>
      <c r="BB897" s="64"/>
      <c r="BC897" s="64"/>
      <c r="BD897" s="66"/>
      <c r="BE897" s="64"/>
      <c r="BF897" s="64"/>
      <c r="BG897" s="64"/>
      <c r="BH897" s="64"/>
      <c r="BI897" s="64"/>
      <c r="BJ897" s="64"/>
      <c r="BK897" s="64"/>
      <c r="BL897" s="64"/>
      <c r="BM897" s="64"/>
      <c r="BN897" s="64"/>
    </row>
    <row r="898" ht="30.0" customHeight="1">
      <c r="A898" s="64"/>
      <c r="B898" s="64"/>
      <c r="C898" s="66"/>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c r="BA898" s="75"/>
      <c r="BB898" s="64"/>
      <c r="BC898" s="64"/>
      <c r="BD898" s="66"/>
      <c r="BE898" s="64"/>
      <c r="BF898" s="64"/>
      <c r="BG898" s="64"/>
      <c r="BH898" s="64"/>
      <c r="BI898" s="64"/>
      <c r="BJ898" s="64"/>
      <c r="BK898" s="64"/>
      <c r="BL898" s="64"/>
      <c r="BM898" s="64"/>
      <c r="BN898" s="64"/>
    </row>
    <row r="899" ht="30.0" customHeight="1">
      <c r="A899" s="64"/>
      <c r="B899" s="64"/>
      <c r="C899" s="66"/>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c r="BA899" s="75"/>
      <c r="BB899" s="64"/>
      <c r="BC899" s="64"/>
      <c r="BD899" s="66"/>
      <c r="BE899" s="64"/>
      <c r="BF899" s="64"/>
      <c r="BG899" s="64"/>
      <c r="BH899" s="64"/>
      <c r="BI899" s="64"/>
      <c r="BJ899" s="64"/>
      <c r="BK899" s="64"/>
      <c r="BL899" s="64"/>
      <c r="BM899" s="64"/>
      <c r="BN899" s="64"/>
    </row>
    <row r="900" ht="30.0" customHeight="1">
      <c r="A900" s="64"/>
      <c r="B900" s="64"/>
      <c r="C900" s="66"/>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c r="BA900" s="75"/>
      <c r="BB900" s="64"/>
      <c r="BC900" s="64"/>
      <c r="BD900" s="66"/>
      <c r="BE900" s="64"/>
      <c r="BF900" s="64"/>
      <c r="BG900" s="64"/>
      <c r="BH900" s="64"/>
      <c r="BI900" s="64"/>
      <c r="BJ900" s="64"/>
      <c r="BK900" s="64"/>
      <c r="BL900" s="64"/>
      <c r="BM900" s="64"/>
      <c r="BN900" s="64"/>
    </row>
    <row r="901" ht="30.0" customHeight="1">
      <c r="A901" s="64"/>
      <c r="B901" s="64"/>
      <c r="C901" s="66"/>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c r="BA901" s="75"/>
      <c r="BB901" s="64"/>
      <c r="BC901" s="64"/>
      <c r="BD901" s="66"/>
      <c r="BE901" s="64"/>
      <c r="BF901" s="64"/>
      <c r="BG901" s="64"/>
      <c r="BH901" s="64"/>
      <c r="BI901" s="64"/>
      <c r="BJ901" s="64"/>
      <c r="BK901" s="64"/>
      <c r="BL901" s="64"/>
      <c r="BM901" s="64"/>
      <c r="BN901" s="64"/>
    </row>
  </sheetData>
  <dataValidations>
    <dataValidation type="list" allowBlank="1" showErrorMessage="1" sqref="A2:A169">
      <formula1>'1.DS Dự án'!$D$2:$D$16</formula1>
    </dataValidation>
    <dataValidation type="list" allowBlank="1" showErrorMessage="1" sqref="C2:C169">
      <formula1>"1. PO,2. PM,3. SA,4. BA,5. DE,6. Dev FE,7. Dev BE,8. Tester,9. QA,Devops"</formula1>
    </dataValidation>
    <dataValidation type="list" allowBlank="1" showErrorMessage="1" sqref="B2:B169">
      <formula1>'2.Tổ chức nhân sự'!$B$2:$B$811</formula1>
    </dataValidation>
  </dataValidations>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0202"/>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outlineLevelRow="3"/>
  <cols>
    <col customWidth="1" min="1" max="1" width="14.44"/>
    <col customWidth="1" min="2" max="2" width="28.67"/>
    <col customWidth="1" min="3" max="3" width="27.78"/>
    <col customWidth="1" min="4" max="4" width="19.11"/>
    <col customWidth="1" min="5" max="5" width="33.56"/>
    <col customWidth="1" min="6" max="6" width="23.11"/>
    <col customWidth="1" min="7" max="10" width="14.33"/>
    <col customWidth="1" min="11" max="13" width="12.11"/>
    <col customWidth="1" min="14" max="15" width="12.33"/>
    <col customWidth="1" min="16" max="17" width="17.89"/>
    <col customWidth="1" min="18" max="19" width="28.11"/>
  </cols>
  <sheetData>
    <row r="1" ht="25.5" customHeight="1">
      <c r="A1" s="45"/>
      <c r="B1" s="45"/>
      <c r="C1" s="45"/>
      <c r="D1" s="45" t="s">
        <v>78</v>
      </c>
      <c r="E1" s="45"/>
      <c r="F1" s="92" t="s">
        <v>79</v>
      </c>
      <c r="G1" s="45" t="s">
        <v>80</v>
      </c>
      <c r="H1" s="45"/>
      <c r="I1" s="45"/>
      <c r="J1" s="45"/>
      <c r="K1" s="45" t="s">
        <v>81</v>
      </c>
      <c r="L1" s="45"/>
      <c r="M1" s="45"/>
      <c r="N1" s="92" t="s">
        <v>82</v>
      </c>
      <c r="R1" s="93"/>
      <c r="S1" s="93"/>
    </row>
    <row r="2" ht="25.5" customHeight="1">
      <c r="A2" s="45" t="s">
        <v>83</v>
      </c>
      <c r="B2" s="45" t="s">
        <v>84</v>
      </c>
      <c r="C2" s="45" t="s">
        <v>53</v>
      </c>
      <c r="D2" s="45" t="s">
        <v>85</v>
      </c>
      <c r="E2" s="45" t="s">
        <v>86</v>
      </c>
      <c r="F2" s="94" t="s">
        <v>86</v>
      </c>
      <c r="G2" s="45" t="s">
        <v>87</v>
      </c>
      <c r="H2" s="45"/>
      <c r="I2" s="45"/>
      <c r="J2" s="45" t="s">
        <v>88</v>
      </c>
      <c r="K2" s="45" t="s">
        <v>13</v>
      </c>
      <c r="L2" s="45" t="s">
        <v>14</v>
      </c>
      <c r="M2" s="45" t="s">
        <v>89</v>
      </c>
      <c r="N2" s="94" t="s">
        <v>13</v>
      </c>
      <c r="O2" s="94" t="s">
        <v>14</v>
      </c>
      <c r="P2" s="94" t="s">
        <v>16</v>
      </c>
      <c r="Q2" s="94" t="s">
        <v>90</v>
      </c>
      <c r="R2" s="93"/>
      <c r="S2" s="93"/>
    </row>
    <row r="3" ht="32.25" customHeight="1">
      <c r="A3" s="45"/>
      <c r="B3" s="45"/>
      <c r="C3" s="45"/>
      <c r="D3" s="45"/>
      <c r="E3" s="45"/>
      <c r="F3" s="94"/>
      <c r="G3" s="45" t="s">
        <v>87</v>
      </c>
      <c r="H3" s="45" t="s">
        <v>91</v>
      </c>
      <c r="I3" s="45" t="s">
        <v>92</v>
      </c>
      <c r="J3" s="45"/>
      <c r="K3" s="45"/>
      <c r="L3" s="45"/>
      <c r="M3" s="45"/>
      <c r="N3" s="94"/>
      <c r="O3" s="94"/>
      <c r="P3" s="94"/>
      <c r="Q3" s="94"/>
      <c r="R3" s="93"/>
      <c r="S3" s="93"/>
    </row>
    <row r="4">
      <c r="A4" s="95"/>
      <c r="B4" s="22"/>
      <c r="C4" s="96"/>
      <c r="D4" s="97"/>
      <c r="E4" s="97"/>
      <c r="F4" s="97"/>
      <c r="G4" s="98"/>
      <c r="H4" s="98"/>
      <c r="I4" s="98"/>
      <c r="J4" s="98"/>
      <c r="K4" s="99"/>
      <c r="L4" s="99"/>
      <c r="M4" s="99" t="str">
        <f t="shared" ref="M4:M905" si="1">IF(L4="","Chưa có kế hoạch",IF(K4&gt;TODAY(),"Chưa bắt đầu",IF(L4=TODAY(),"Đến hạn",IF(L4&lt;TODAY(),"Quá hạn",IF(L4&lt;=TODAY()+7,"Sắp đến hạn","Chưa đến hạn")))))</f>
        <v>Chưa có kế hoạch</v>
      </c>
      <c r="N4" s="99"/>
      <c r="O4" s="99"/>
      <c r="P4" s="22"/>
      <c r="Q4" s="22"/>
      <c r="R4" s="93"/>
      <c r="S4" s="93"/>
    </row>
    <row r="5" ht="32.25" customHeight="1" outlineLevel="1">
      <c r="A5" s="95"/>
      <c r="B5" s="22"/>
      <c r="C5" s="97"/>
      <c r="D5" s="22"/>
      <c r="E5" s="22"/>
      <c r="F5" s="22"/>
      <c r="G5" s="100"/>
      <c r="H5" s="100"/>
      <c r="I5" s="100"/>
      <c r="J5" s="100"/>
      <c r="K5" s="99"/>
      <c r="L5" s="99"/>
      <c r="M5" s="99" t="str">
        <f t="shared" si="1"/>
        <v>Chưa có kế hoạch</v>
      </c>
      <c r="N5" s="22"/>
      <c r="O5" s="22"/>
      <c r="P5" s="22"/>
      <c r="Q5" s="22"/>
      <c r="R5" s="93"/>
      <c r="S5" s="93"/>
    </row>
    <row r="6" outlineLevel="2">
      <c r="A6" s="95"/>
      <c r="B6" s="22"/>
      <c r="C6" s="97"/>
      <c r="D6" s="97"/>
      <c r="E6" s="97"/>
      <c r="F6" s="97"/>
      <c r="G6" s="98"/>
      <c r="H6" s="98"/>
      <c r="I6" s="98"/>
      <c r="J6" s="98"/>
      <c r="K6" s="99"/>
      <c r="L6" s="99"/>
      <c r="M6" s="99" t="str">
        <f t="shared" si="1"/>
        <v>Chưa có kế hoạch</v>
      </c>
      <c r="N6" s="99"/>
      <c r="O6" s="99"/>
      <c r="P6" s="22"/>
      <c r="Q6" s="22"/>
      <c r="R6" s="93"/>
      <c r="S6" s="93"/>
    </row>
    <row r="7" outlineLevel="3">
      <c r="A7" s="95"/>
      <c r="B7" s="22"/>
      <c r="C7" s="97"/>
      <c r="D7" s="97"/>
      <c r="E7" s="97"/>
      <c r="F7" s="97"/>
      <c r="G7" s="98"/>
      <c r="H7" s="98"/>
      <c r="I7" s="98"/>
      <c r="J7" s="98"/>
      <c r="K7" s="99"/>
      <c r="L7" s="99"/>
      <c r="M7" s="99" t="str">
        <f t="shared" si="1"/>
        <v>Chưa có kế hoạch</v>
      </c>
      <c r="N7" s="99"/>
      <c r="O7" s="99"/>
      <c r="P7" s="22"/>
      <c r="Q7" s="22"/>
      <c r="R7" s="93"/>
      <c r="S7" s="93"/>
    </row>
    <row r="8" outlineLevel="3">
      <c r="A8" s="95"/>
      <c r="B8" s="22"/>
      <c r="C8" s="97"/>
      <c r="D8" s="97"/>
      <c r="E8" s="97"/>
      <c r="F8" s="97"/>
      <c r="G8" s="98"/>
      <c r="H8" s="98"/>
      <c r="I8" s="98"/>
      <c r="J8" s="98"/>
      <c r="K8" s="99"/>
      <c r="L8" s="99"/>
      <c r="M8" s="99" t="str">
        <f t="shared" si="1"/>
        <v>Chưa có kế hoạch</v>
      </c>
      <c r="N8" s="99"/>
      <c r="O8" s="99"/>
      <c r="P8" s="22"/>
      <c r="Q8" s="22"/>
      <c r="R8" s="93"/>
      <c r="S8" s="93"/>
    </row>
    <row r="9" outlineLevel="3">
      <c r="A9" s="95"/>
      <c r="B9" s="22"/>
      <c r="C9" s="97"/>
      <c r="D9" s="97"/>
      <c r="E9" s="97"/>
      <c r="F9" s="97"/>
      <c r="G9" s="98"/>
      <c r="H9" s="98"/>
      <c r="I9" s="98"/>
      <c r="J9" s="98"/>
      <c r="K9" s="99"/>
      <c r="L9" s="99"/>
      <c r="M9" s="99" t="str">
        <f t="shared" si="1"/>
        <v>Chưa có kế hoạch</v>
      </c>
      <c r="N9" s="99"/>
      <c r="O9" s="99"/>
      <c r="P9" s="22"/>
      <c r="Q9" s="22"/>
      <c r="R9" s="93"/>
      <c r="S9" s="93"/>
    </row>
    <row r="10" outlineLevel="3">
      <c r="A10" s="95"/>
      <c r="B10" s="22"/>
      <c r="C10" s="97"/>
      <c r="D10" s="97"/>
      <c r="E10" s="97"/>
      <c r="F10" s="97"/>
      <c r="G10" s="98"/>
      <c r="H10" s="98"/>
      <c r="I10" s="98"/>
      <c r="J10" s="98"/>
      <c r="K10" s="99"/>
      <c r="L10" s="99"/>
      <c r="M10" s="99" t="str">
        <f t="shared" si="1"/>
        <v>Chưa có kế hoạch</v>
      </c>
      <c r="N10" s="99"/>
      <c r="O10" s="99"/>
      <c r="P10" s="22"/>
      <c r="Q10" s="22"/>
      <c r="R10" s="93"/>
      <c r="S10" s="93"/>
    </row>
    <row r="11" outlineLevel="3">
      <c r="A11" s="95"/>
      <c r="B11" s="22"/>
      <c r="C11" s="97"/>
      <c r="D11" s="97"/>
      <c r="E11" s="97"/>
      <c r="F11" s="97"/>
      <c r="G11" s="98"/>
      <c r="H11" s="98"/>
      <c r="I11" s="98"/>
      <c r="J11" s="98"/>
      <c r="K11" s="99"/>
      <c r="L11" s="99"/>
      <c r="M11" s="99" t="str">
        <f t="shared" si="1"/>
        <v>Chưa có kế hoạch</v>
      </c>
      <c r="N11" s="99"/>
      <c r="O11" s="99"/>
      <c r="P11" s="22"/>
      <c r="Q11" s="22"/>
      <c r="R11" s="93"/>
      <c r="S11" s="93"/>
    </row>
    <row r="12" outlineLevel="3">
      <c r="A12" s="95"/>
      <c r="B12" s="22"/>
      <c r="C12" s="97"/>
      <c r="D12" s="97"/>
      <c r="E12" s="97"/>
      <c r="F12" s="97"/>
      <c r="G12" s="98"/>
      <c r="H12" s="98"/>
      <c r="I12" s="98"/>
      <c r="J12" s="98"/>
      <c r="K12" s="99"/>
      <c r="L12" s="99"/>
      <c r="M12" s="99" t="str">
        <f t="shared" si="1"/>
        <v>Chưa có kế hoạch</v>
      </c>
      <c r="N12" s="99"/>
      <c r="O12" s="99"/>
      <c r="P12" s="22"/>
      <c r="Q12" s="22"/>
      <c r="R12" s="93"/>
      <c r="S12" s="93"/>
    </row>
    <row r="13" outlineLevel="3">
      <c r="A13" s="95"/>
      <c r="B13" s="22"/>
      <c r="C13" s="97"/>
      <c r="D13" s="97"/>
      <c r="E13" s="97"/>
      <c r="F13" s="97"/>
      <c r="G13" s="98"/>
      <c r="H13" s="98"/>
      <c r="I13" s="98"/>
      <c r="J13" s="98"/>
      <c r="K13" s="99"/>
      <c r="L13" s="99"/>
      <c r="M13" s="99" t="str">
        <f t="shared" si="1"/>
        <v>Chưa có kế hoạch</v>
      </c>
      <c r="N13" s="99"/>
      <c r="O13" s="99"/>
      <c r="P13" s="22"/>
      <c r="Q13" s="22"/>
      <c r="R13" s="93"/>
      <c r="S13" s="93"/>
    </row>
    <row r="14" outlineLevel="3">
      <c r="A14" s="95"/>
      <c r="B14" s="22"/>
      <c r="C14" s="97"/>
      <c r="D14" s="97"/>
      <c r="E14" s="97"/>
      <c r="F14" s="97"/>
      <c r="G14" s="98"/>
      <c r="H14" s="98"/>
      <c r="I14" s="98"/>
      <c r="J14" s="98"/>
      <c r="K14" s="99"/>
      <c r="L14" s="99"/>
      <c r="M14" s="99" t="str">
        <f t="shared" si="1"/>
        <v>Chưa có kế hoạch</v>
      </c>
      <c r="N14" s="99"/>
      <c r="O14" s="99"/>
      <c r="P14" s="22"/>
      <c r="Q14" s="22"/>
      <c r="R14" s="93"/>
      <c r="S14" s="93"/>
    </row>
    <row r="15" outlineLevel="2">
      <c r="A15" s="95"/>
      <c r="B15" s="22"/>
      <c r="C15" s="97"/>
      <c r="D15" s="101"/>
      <c r="E15" s="102"/>
      <c r="F15" s="97"/>
      <c r="G15" s="98"/>
      <c r="H15" s="98"/>
      <c r="I15" s="98"/>
      <c r="J15" s="98"/>
      <c r="K15" s="99"/>
      <c r="L15" s="99"/>
      <c r="M15" s="99" t="str">
        <f t="shared" si="1"/>
        <v>Chưa có kế hoạch</v>
      </c>
      <c r="N15" s="22"/>
      <c r="O15" s="22"/>
      <c r="P15" s="22"/>
      <c r="Q15" s="22"/>
      <c r="R15" s="93"/>
      <c r="S15" s="93"/>
    </row>
    <row r="16" outlineLevel="3">
      <c r="A16" s="95"/>
      <c r="B16" s="22"/>
      <c r="C16" s="97"/>
      <c r="D16" s="101"/>
      <c r="E16" s="102"/>
      <c r="F16" s="97"/>
      <c r="G16" s="98"/>
      <c r="H16" s="98"/>
      <c r="I16" s="98"/>
      <c r="J16" s="98"/>
      <c r="K16" s="99"/>
      <c r="L16" s="99"/>
      <c r="M16" s="99" t="str">
        <f t="shared" si="1"/>
        <v>Chưa có kế hoạch</v>
      </c>
      <c r="N16" s="22"/>
      <c r="O16" s="22"/>
      <c r="P16" s="22"/>
      <c r="Q16" s="22"/>
      <c r="R16" s="93"/>
      <c r="S16" s="93"/>
    </row>
    <row r="17" outlineLevel="3">
      <c r="A17" s="95"/>
      <c r="B17" s="22"/>
      <c r="C17" s="97"/>
      <c r="D17" s="101"/>
      <c r="E17" s="103"/>
      <c r="F17" s="97"/>
      <c r="G17" s="98"/>
      <c r="H17" s="98"/>
      <c r="I17" s="98"/>
      <c r="J17" s="98"/>
      <c r="K17" s="99"/>
      <c r="L17" s="99"/>
      <c r="M17" s="99" t="str">
        <f t="shared" si="1"/>
        <v>Chưa có kế hoạch</v>
      </c>
      <c r="N17" s="22"/>
      <c r="O17" s="22"/>
      <c r="P17" s="22"/>
      <c r="Q17" s="22"/>
      <c r="R17" s="93"/>
      <c r="S17" s="93"/>
    </row>
    <row r="18" outlineLevel="3">
      <c r="A18" s="95"/>
      <c r="B18" s="22"/>
      <c r="C18" s="97"/>
      <c r="D18" s="101"/>
      <c r="E18" s="103"/>
      <c r="F18" s="97"/>
      <c r="G18" s="98"/>
      <c r="H18" s="98"/>
      <c r="I18" s="98"/>
      <c r="J18" s="98"/>
      <c r="K18" s="99"/>
      <c r="L18" s="99"/>
      <c r="M18" s="99" t="str">
        <f t="shared" si="1"/>
        <v>Chưa có kế hoạch</v>
      </c>
      <c r="N18" s="22"/>
      <c r="O18" s="22"/>
      <c r="P18" s="22"/>
      <c r="Q18" s="22"/>
      <c r="R18" s="93"/>
      <c r="S18" s="93"/>
    </row>
    <row r="19" outlineLevel="3">
      <c r="A19" s="95"/>
      <c r="B19" s="22"/>
      <c r="C19" s="97"/>
      <c r="D19" s="101"/>
      <c r="E19" s="102"/>
      <c r="F19" s="97"/>
      <c r="G19" s="98"/>
      <c r="H19" s="98"/>
      <c r="I19" s="98"/>
      <c r="J19" s="98"/>
      <c r="K19" s="99"/>
      <c r="L19" s="99"/>
      <c r="M19" s="99" t="str">
        <f t="shared" si="1"/>
        <v>Chưa có kế hoạch</v>
      </c>
      <c r="N19" s="22"/>
      <c r="O19" s="22"/>
      <c r="P19" s="22"/>
      <c r="Q19" s="22"/>
      <c r="R19" s="93"/>
      <c r="S19" s="93"/>
    </row>
    <row r="20" outlineLevel="3">
      <c r="A20" s="95"/>
      <c r="B20" s="22"/>
      <c r="C20" s="97"/>
      <c r="D20" s="101"/>
      <c r="E20" s="103"/>
      <c r="F20" s="97"/>
      <c r="G20" s="98"/>
      <c r="H20" s="98"/>
      <c r="I20" s="98"/>
      <c r="J20" s="98"/>
      <c r="K20" s="99"/>
      <c r="L20" s="99"/>
      <c r="M20" s="99" t="str">
        <f t="shared" si="1"/>
        <v>Chưa có kế hoạch</v>
      </c>
      <c r="N20" s="22"/>
      <c r="O20" s="22"/>
      <c r="P20" s="22"/>
      <c r="Q20" s="22"/>
      <c r="R20" s="93"/>
      <c r="S20" s="93"/>
    </row>
    <row r="21" outlineLevel="3">
      <c r="A21" s="95"/>
      <c r="B21" s="22"/>
      <c r="C21" s="97"/>
      <c r="D21" s="101"/>
      <c r="E21" s="103"/>
      <c r="F21" s="97"/>
      <c r="G21" s="98"/>
      <c r="H21" s="98"/>
      <c r="I21" s="98"/>
      <c r="J21" s="98"/>
      <c r="K21" s="99"/>
      <c r="L21" s="99"/>
      <c r="M21" s="99" t="str">
        <f t="shared" si="1"/>
        <v>Chưa có kế hoạch</v>
      </c>
      <c r="N21" s="22"/>
      <c r="O21" s="22"/>
      <c r="P21" s="22"/>
      <c r="Q21" s="22"/>
      <c r="R21" s="93"/>
      <c r="S21" s="93"/>
    </row>
    <row r="22" outlineLevel="3">
      <c r="A22" s="95"/>
      <c r="B22" s="22"/>
      <c r="C22" s="97"/>
      <c r="D22" s="101"/>
      <c r="E22" s="103"/>
      <c r="F22" s="97"/>
      <c r="G22" s="98"/>
      <c r="H22" s="98"/>
      <c r="I22" s="98"/>
      <c r="J22" s="98"/>
      <c r="K22" s="99"/>
      <c r="L22" s="99"/>
      <c r="M22" s="99" t="str">
        <f t="shared" si="1"/>
        <v>Chưa có kế hoạch</v>
      </c>
      <c r="N22" s="22"/>
      <c r="O22" s="22"/>
      <c r="P22" s="22"/>
      <c r="Q22" s="22"/>
      <c r="R22" s="93"/>
      <c r="S22" s="93"/>
    </row>
    <row r="23" outlineLevel="3">
      <c r="A23" s="95"/>
      <c r="B23" s="22"/>
      <c r="C23" s="97"/>
      <c r="D23" s="101"/>
      <c r="E23" s="103"/>
      <c r="F23" s="97"/>
      <c r="G23" s="98"/>
      <c r="H23" s="98"/>
      <c r="I23" s="98"/>
      <c r="J23" s="98"/>
      <c r="K23" s="99"/>
      <c r="L23" s="99"/>
      <c r="M23" s="99" t="str">
        <f t="shared" si="1"/>
        <v>Chưa có kế hoạch</v>
      </c>
      <c r="N23" s="22"/>
      <c r="O23" s="22"/>
      <c r="P23" s="22"/>
      <c r="Q23" s="22"/>
      <c r="R23" s="93"/>
      <c r="S23" s="93"/>
    </row>
    <row r="24" outlineLevel="3">
      <c r="A24" s="95"/>
      <c r="B24" s="22"/>
      <c r="C24" s="97"/>
      <c r="D24" s="101"/>
      <c r="E24" s="103"/>
      <c r="F24" s="97"/>
      <c r="G24" s="98"/>
      <c r="H24" s="98"/>
      <c r="I24" s="98"/>
      <c r="J24" s="98"/>
      <c r="K24" s="99"/>
      <c r="L24" s="99"/>
      <c r="M24" s="99" t="str">
        <f t="shared" si="1"/>
        <v>Chưa có kế hoạch</v>
      </c>
      <c r="N24" s="22"/>
      <c r="O24" s="22"/>
      <c r="P24" s="22"/>
      <c r="Q24" s="22"/>
      <c r="R24" s="93"/>
      <c r="S24" s="93"/>
    </row>
    <row r="25" outlineLevel="3">
      <c r="A25" s="95"/>
      <c r="B25" s="22"/>
      <c r="C25" s="97"/>
      <c r="D25" s="101"/>
      <c r="E25" s="103"/>
      <c r="F25" s="97"/>
      <c r="G25" s="98"/>
      <c r="H25" s="98"/>
      <c r="I25" s="98"/>
      <c r="J25" s="98"/>
      <c r="K25" s="99"/>
      <c r="L25" s="99"/>
      <c r="M25" s="99" t="str">
        <f t="shared" si="1"/>
        <v>Chưa có kế hoạch</v>
      </c>
      <c r="N25" s="22"/>
      <c r="O25" s="22"/>
      <c r="P25" s="22"/>
      <c r="Q25" s="22"/>
      <c r="R25" s="93"/>
      <c r="S25" s="93"/>
    </row>
    <row r="26" outlineLevel="3">
      <c r="A26" s="95"/>
      <c r="B26" s="22"/>
      <c r="C26" s="97"/>
      <c r="D26" s="101"/>
      <c r="E26" s="103"/>
      <c r="F26" s="97"/>
      <c r="G26" s="98"/>
      <c r="H26" s="98"/>
      <c r="I26" s="98"/>
      <c r="J26" s="98"/>
      <c r="K26" s="99"/>
      <c r="L26" s="99"/>
      <c r="M26" s="99" t="str">
        <f t="shared" si="1"/>
        <v>Chưa có kế hoạch</v>
      </c>
      <c r="N26" s="22"/>
      <c r="O26" s="22"/>
      <c r="P26" s="22"/>
      <c r="Q26" s="22"/>
      <c r="R26" s="93"/>
      <c r="S26" s="93"/>
    </row>
    <row r="27" outlineLevel="2">
      <c r="A27" s="95"/>
      <c r="B27" s="22"/>
      <c r="C27" s="97"/>
      <c r="D27" s="97"/>
      <c r="E27" s="102"/>
      <c r="F27" s="97"/>
      <c r="G27" s="98"/>
      <c r="H27" s="98"/>
      <c r="I27" s="98"/>
      <c r="J27" s="98"/>
      <c r="K27" s="99"/>
      <c r="L27" s="99"/>
      <c r="M27" s="99" t="str">
        <f t="shared" si="1"/>
        <v>Chưa có kế hoạch</v>
      </c>
      <c r="N27" s="22"/>
      <c r="O27" s="22"/>
      <c r="P27" s="22"/>
      <c r="Q27" s="22"/>
      <c r="R27" s="93"/>
      <c r="S27" s="93"/>
    </row>
    <row r="28" outlineLevel="3">
      <c r="A28" s="95"/>
      <c r="B28" s="22"/>
      <c r="C28" s="97"/>
      <c r="D28" s="97"/>
      <c r="E28" s="97"/>
      <c r="F28" s="97"/>
      <c r="G28" s="98"/>
      <c r="H28" s="98"/>
      <c r="I28" s="98"/>
      <c r="J28" s="98"/>
      <c r="K28" s="99"/>
      <c r="L28" s="99"/>
      <c r="M28" s="99" t="str">
        <f t="shared" si="1"/>
        <v>Chưa có kế hoạch</v>
      </c>
      <c r="N28" s="22"/>
      <c r="O28" s="22"/>
      <c r="P28" s="22"/>
      <c r="Q28" s="22"/>
      <c r="R28" s="93"/>
      <c r="S28" s="93"/>
    </row>
    <row r="29" outlineLevel="3">
      <c r="A29" s="95"/>
      <c r="B29" s="22"/>
      <c r="C29" s="97"/>
      <c r="D29" s="97"/>
      <c r="E29" s="97"/>
      <c r="F29" s="97"/>
      <c r="G29" s="98"/>
      <c r="H29" s="98"/>
      <c r="I29" s="98"/>
      <c r="J29" s="98"/>
      <c r="K29" s="99"/>
      <c r="L29" s="99"/>
      <c r="M29" s="99" t="str">
        <f t="shared" si="1"/>
        <v>Chưa có kế hoạch</v>
      </c>
      <c r="N29" s="22"/>
      <c r="O29" s="22"/>
      <c r="P29" s="22"/>
      <c r="Q29" s="22"/>
      <c r="R29" s="93"/>
      <c r="S29" s="93"/>
    </row>
    <row r="30" outlineLevel="2">
      <c r="A30" s="95"/>
      <c r="B30" s="22"/>
      <c r="C30" s="97"/>
      <c r="D30" s="97"/>
      <c r="E30" s="102"/>
      <c r="F30" s="97"/>
      <c r="G30" s="98"/>
      <c r="H30" s="98"/>
      <c r="I30" s="98"/>
      <c r="J30" s="98"/>
      <c r="K30" s="99"/>
      <c r="L30" s="22"/>
      <c r="M30" s="99" t="str">
        <f t="shared" si="1"/>
        <v>Chưa có kế hoạch</v>
      </c>
      <c r="N30" s="22"/>
      <c r="O30" s="22"/>
      <c r="P30" s="22"/>
      <c r="Q30" s="22"/>
      <c r="R30" s="93"/>
      <c r="S30" s="93"/>
    </row>
    <row r="31" outlineLevel="3">
      <c r="A31" s="95"/>
      <c r="B31" s="22"/>
      <c r="C31" s="97"/>
      <c r="D31" s="97"/>
      <c r="E31" s="97"/>
      <c r="F31" s="97"/>
      <c r="G31" s="98"/>
      <c r="H31" s="98"/>
      <c r="I31" s="98"/>
      <c r="J31" s="98"/>
      <c r="K31" s="99"/>
      <c r="L31" s="99"/>
      <c r="M31" s="99" t="str">
        <f t="shared" si="1"/>
        <v>Chưa có kế hoạch</v>
      </c>
      <c r="N31" s="22"/>
      <c r="O31" s="22"/>
      <c r="P31" s="22"/>
      <c r="Q31" s="22"/>
      <c r="R31" s="93"/>
      <c r="S31" s="93"/>
    </row>
    <row r="32" outlineLevel="3">
      <c r="A32" s="95"/>
      <c r="B32" s="22"/>
      <c r="C32" s="97"/>
      <c r="D32" s="97"/>
      <c r="E32" s="97"/>
      <c r="F32" s="97"/>
      <c r="G32" s="98"/>
      <c r="H32" s="98"/>
      <c r="I32" s="98"/>
      <c r="J32" s="98"/>
      <c r="K32" s="99"/>
      <c r="L32" s="22"/>
      <c r="M32" s="99" t="str">
        <f t="shared" si="1"/>
        <v>Chưa có kế hoạch</v>
      </c>
      <c r="N32" s="22"/>
      <c r="O32" s="22"/>
      <c r="P32" s="22"/>
      <c r="Q32" s="22"/>
      <c r="R32" s="93"/>
      <c r="S32" s="93"/>
    </row>
    <row r="33" outlineLevel="3">
      <c r="A33" s="95"/>
      <c r="B33" s="22"/>
      <c r="C33" s="97"/>
      <c r="D33" s="97"/>
      <c r="E33" s="97"/>
      <c r="F33" s="97"/>
      <c r="G33" s="98"/>
      <c r="H33" s="98"/>
      <c r="I33" s="98"/>
      <c r="J33" s="98"/>
      <c r="K33" s="99"/>
      <c r="L33" s="99"/>
      <c r="M33" s="99" t="str">
        <f t="shared" si="1"/>
        <v>Chưa có kế hoạch</v>
      </c>
      <c r="N33" s="22"/>
      <c r="O33" s="22"/>
      <c r="P33" s="22"/>
      <c r="Q33" s="22"/>
      <c r="R33" s="93"/>
      <c r="S33" s="93"/>
    </row>
    <row r="34" outlineLevel="3">
      <c r="A34" s="95"/>
      <c r="B34" s="22"/>
      <c r="C34" s="97"/>
      <c r="D34" s="97"/>
      <c r="E34" s="97"/>
      <c r="F34" s="97"/>
      <c r="G34" s="98"/>
      <c r="H34" s="98"/>
      <c r="I34" s="98"/>
      <c r="J34" s="98"/>
      <c r="K34" s="99"/>
      <c r="L34" s="22"/>
      <c r="M34" s="99" t="str">
        <f t="shared" si="1"/>
        <v>Chưa có kế hoạch</v>
      </c>
      <c r="N34" s="22"/>
      <c r="O34" s="22"/>
      <c r="P34" s="22"/>
      <c r="Q34" s="22"/>
      <c r="R34" s="93"/>
      <c r="S34" s="93"/>
    </row>
    <row r="35" outlineLevel="3">
      <c r="A35" s="95"/>
      <c r="B35" s="22"/>
      <c r="C35" s="97"/>
      <c r="D35" s="97"/>
      <c r="E35" s="97"/>
      <c r="F35" s="97"/>
      <c r="G35" s="98"/>
      <c r="H35" s="98"/>
      <c r="I35" s="98"/>
      <c r="J35" s="98"/>
      <c r="K35" s="99"/>
      <c r="L35" s="22"/>
      <c r="M35" s="99" t="str">
        <f t="shared" si="1"/>
        <v>Chưa có kế hoạch</v>
      </c>
      <c r="N35" s="22"/>
      <c r="O35" s="22"/>
      <c r="P35" s="22"/>
      <c r="Q35" s="22"/>
      <c r="R35" s="93"/>
      <c r="S35" s="93"/>
    </row>
    <row r="36" outlineLevel="2">
      <c r="A36" s="95"/>
      <c r="B36" s="22"/>
      <c r="C36" s="97"/>
      <c r="D36" s="97"/>
      <c r="E36" s="97"/>
      <c r="F36" s="97"/>
      <c r="G36" s="98"/>
      <c r="H36" s="98"/>
      <c r="I36" s="98"/>
      <c r="J36" s="98"/>
      <c r="K36" s="99"/>
      <c r="L36" s="99"/>
      <c r="M36" s="99" t="str">
        <f t="shared" si="1"/>
        <v>Chưa có kế hoạch</v>
      </c>
      <c r="N36" s="22"/>
      <c r="O36" s="22"/>
      <c r="P36" s="22"/>
      <c r="Q36" s="22"/>
      <c r="R36" s="93"/>
      <c r="S36" s="93"/>
    </row>
    <row r="37" outlineLevel="3">
      <c r="A37" s="95"/>
      <c r="B37" s="22"/>
      <c r="C37" s="97"/>
      <c r="D37" s="97"/>
      <c r="E37" s="97"/>
      <c r="F37" s="97"/>
      <c r="G37" s="98"/>
      <c r="H37" s="98"/>
      <c r="I37" s="98"/>
      <c r="J37" s="98"/>
      <c r="K37" s="99"/>
      <c r="L37" s="99"/>
      <c r="M37" s="99" t="str">
        <f t="shared" si="1"/>
        <v>Chưa có kế hoạch</v>
      </c>
      <c r="N37" s="22"/>
      <c r="O37" s="22"/>
      <c r="P37" s="22"/>
      <c r="Q37" s="22"/>
      <c r="R37" s="93"/>
      <c r="S37" s="93"/>
    </row>
    <row r="38" outlineLevel="3">
      <c r="A38" s="95"/>
      <c r="B38" s="22"/>
      <c r="C38" s="97"/>
      <c r="D38" s="97"/>
      <c r="E38" s="97"/>
      <c r="F38" s="97"/>
      <c r="G38" s="98"/>
      <c r="H38" s="98"/>
      <c r="I38" s="98"/>
      <c r="J38" s="98"/>
      <c r="K38" s="99"/>
      <c r="L38" s="99"/>
      <c r="M38" s="99" t="str">
        <f t="shared" si="1"/>
        <v>Chưa có kế hoạch</v>
      </c>
      <c r="N38" s="22"/>
      <c r="O38" s="22"/>
      <c r="P38" s="22"/>
      <c r="Q38" s="22"/>
      <c r="R38" s="93"/>
      <c r="S38" s="93"/>
    </row>
    <row r="39" outlineLevel="3">
      <c r="A39" s="95"/>
      <c r="B39" s="22"/>
      <c r="C39" s="97"/>
      <c r="D39" s="97"/>
      <c r="E39" s="97"/>
      <c r="F39" s="97"/>
      <c r="G39" s="98"/>
      <c r="H39" s="98"/>
      <c r="I39" s="98"/>
      <c r="J39" s="98"/>
      <c r="K39" s="99"/>
      <c r="L39" s="99"/>
      <c r="M39" s="99" t="str">
        <f t="shared" si="1"/>
        <v>Chưa có kế hoạch</v>
      </c>
      <c r="N39" s="22"/>
      <c r="O39" s="22"/>
      <c r="P39" s="22"/>
      <c r="Q39" s="22"/>
      <c r="R39" s="93"/>
      <c r="S39" s="93"/>
    </row>
    <row r="40" outlineLevel="3">
      <c r="A40" s="95"/>
      <c r="B40" s="22"/>
      <c r="C40" s="97"/>
      <c r="D40" s="97"/>
      <c r="E40" s="97"/>
      <c r="F40" s="97"/>
      <c r="G40" s="98"/>
      <c r="H40" s="98"/>
      <c r="I40" s="98"/>
      <c r="J40" s="98"/>
      <c r="K40" s="99"/>
      <c r="L40" s="99"/>
      <c r="M40" s="99" t="str">
        <f t="shared" si="1"/>
        <v>Chưa có kế hoạch</v>
      </c>
      <c r="N40" s="22"/>
      <c r="O40" s="22"/>
      <c r="P40" s="22"/>
      <c r="Q40" s="22"/>
      <c r="R40" s="93"/>
      <c r="S40" s="93"/>
    </row>
    <row r="41" outlineLevel="3">
      <c r="A41" s="95"/>
      <c r="B41" s="22"/>
      <c r="C41" s="97"/>
      <c r="D41" s="97"/>
      <c r="E41" s="97"/>
      <c r="F41" s="97"/>
      <c r="G41" s="98"/>
      <c r="H41" s="98"/>
      <c r="I41" s="98"/>
      <c r="J41" s="98"/>
      <c r="K41" s="99"/>
      <c r="L41" s="99"/>
      <c r="M41" s="99" t="str">
        <f t="shared" si="1"/>
        <v>Chưa có kế hoạch</v>
      </c>
      <c r="N41" s="22"/>
      <c r="O41" s="22"/>
      <c r="P41" s="22"/>
      <c r="Q41" s="22"/>
      <c r="R41" s="93"/>
      <c r="S41" s="93"/>
    </row>
    <row r="42" outlineLevel="3">
      <c r="A42" s="95"/>
      <c r="B42" s="22"/>
      <c r="C42" s="97"/>
      <c r="D42" s="97"/>
      <c r="E42" s="97"/>
      <c r="F42" s="97"/>
      <c r="G42" s="98"/>
      <c r="H42" s="98"/>
      <c r="I42" s="98"/>
      <c r="J42" s="98"/>
      <c r="K42" s="99"/>
      <c r="L42" s="99"/>
      <c r="M42" s="99" t="str">
        <f t="shared" si="1"/>
        <v>Chưa có kế hoạch</v>
      </c>
      <c r="N42" s="22"/>
      <c r="O42" s="22"/>
      <c r="P42" s="22"/>
      <c r="Q42" s="22"/>
      <c r="R42" s="93"/>
      <c r="S42" s="93"/>
    </row>
    <row r="43" outlineLevel="3">
      <c r="A43" s="95"/>
      <c r="B43" s="22"/>
      <c r="C43" s="97"/>
      <c r="D43" s="97"/>
      <c r="E43" s="97"/>
      <c r="F43" s="97"/>
      <c r="G43" s="98"/>
      <c r="H43" s="98"/>
      <c r="I43" s="98"/>
      <c r="J43" s="98"/>
      <c r="K43" s="99"/>
      <c r="L43" s="99"/>
      <c r="M43" s="99" t="str">
        <f t="shared" si="1"/>
        <v>Chưa có kế hoạch</v>
      </c>
      <c r="N43" s="22"/>
      <c r="O43" s="22"/>
      <c r="P43" s="22"/>
      <c r="Q43" s="22"/>
      <c r="R43" s="93"/>
      <c r="S43" s="93"/>
    </row>
    <row r="44" outlineLevel="3">
      <c r="A44" s="95"/>
      <c r="B44" s="22"/>
      <c r="C44" s="97"/>
      <c r="D44" s="97"/>
      <c r="E44" s="97"/>
      <c r="F44" s="97"/>
      <c r="G44" s="98"/>
      <c r="H44" s="98"/>
      <c r="I44" s="98"/>
      <c r="J44" s="98"/>
      <c r="K44" s="99"/>
      <c r="L44" s="99"/>
      <c r="M44" s="99" t="str">
        <f t="shared" si="1"/>
        <v>Chưa có kế hoạch</v>
      </c>
      <c r="N44" s="22"/>
      <c r="O44" s="22"/>
      <c r="P44" s="22"/>
      <c r="Q44" s="22"/>
      <c r="R44" s="93"/>
      <c r="S44" s="93"/>
    </row>
    <row r="45" outlineLevel="3">
      <c r="A45" s="95"/>
      <c r="B45" s="22"/>
      <c r="C45" s="97"/>
      <c r="D45" s="97"/>
      <c r="E45" s="97"/>
      <c r="F45" s="97"/>
      <c r="G45" s="98"/>
      <c r="H45" s="98"/>
      <c r="I45" s="98"/>
      <c r="J45" s="98"/>
      <c r="K45" s="99"/>
      <c r="L45" s="99"/>
      <c r="M45" s="99" t="str">
        <f t="shared" si="1"/>
        <v>Chưa có kế hoạch</v>
      </c>
      <c r="N45" s="22"/>
      <c r="O45" s="22"/>
      <c r="P45" s="22"/>
      <c r="Q45" s="22"/>
      <c r="R45" s="93"/>
      <c r="S45" s="93"/>
    </row>
    <row r="46" outlineLevel="3">
      <c r="A46" s="95"/>
      <c r="B46" s="22"/>
      <c r="C46" s="97"/>
      <c r="D46" s="97"/>
      <c r="E46" s="97"/>
      <c r="F46" s="97"/>
      <c r="G46" s="98"/>
      <c r="H46" s="98"/>
      <c r="I46" s="98"/>
      <c r="J46" s="98"/>
      <c r="K46" s="99"/>
      <c r="L46" s="99"/>
      <c r="M46" s="99" t="str">
        <f t="shared" si="1"/>
        <v>Chưa có kế hoạch</v>
      </c>
      <c r="N46" s="22"/>
      <c r="O46" s="22"/>
      <c r="P46" s="22"/>
      <c r="Q46" s="22"/>
      <c r="R46" s="93"/>
      <c r="S46" s="93"/>
    </row>
    <row r="47" outlineLevel="3">
      <c r="A47" s="95"/>
      <c r="B47" s="22"/>
      <c r="C47" s="97"/>
      <c r="D47" s="97"/>
      <c r="E47" s="97"/>
      <c r="F47" s="97"/>
      <c r="G47" s="98"/>
      <c r="H47" s="98"/>
      <c r="I47" s="98"/>
      <c r="J47" s="98"/>
      <c r="K47" s="99"/>
      <c r="L47" s="99"/>
      <c r="M47" s="99" t="str">
        <f t="shared" si="1"/>
        <v>Chưa có kế hoạch</v>
      </c>
      <c r="N47" s="22"/>
      <c r="O47" s="22"/>
      <c r="P47" s="22"/>
      <c r="Q47" s="22"/>
      <c r="R47" s="93"/>
      <c r="S47" s="93"/>
    </row>
    <row r="48" outlineLevel="3">
      <c r="A48" s="95"/>
      <c r="B48" s="22"/>
      <c r="C48" s="97"/>
      <c r="D48" s="97"/>
      <c r="E48" s="97"/>
      <c r="F48" s="97"/>
      <c r="G48" s="98"/>
      <c r="H48" s="98"/>
      <c r="I48" s="98"/>
      <c r="J48" s="98"/>
      <c r="K48" s="99"/>
      <c r="L48" s="99"/>
      <c r="M48" s="99" t="str">
        <f t="shared" si="1"/>
        <v>Chưa có kế hoạch</v>
      </c>
      <c r="N48" s="22"/>
      <c r="O48" s="22"/>
      <c r="P48" s="22"/>
      <c r="Q48" s="22"/>
      <c r="R48" s="93"/>
      <c r="S48" s="93"/>
    </row>
    <row r="49" outlineLevel="3">
      <c r="A49" s="95"/>
      <c r="B49" s="22"/>
      <c r="C49" s="97"/>
      <c r="D49" s="97"/>
      <c r="E49" s="97"/>
      <c r="F49" s="97"/>
      <c r="G49" s="98"/>
      <c r="H49" s="98"/>
      <c r="I49" s="98"/>
      <c r="J49" s="98"/>
      <c r="K49" s="99"/>
      <c r="L49" s="99"/>
      <c r="M49" s="99" t="str">
        <f t="shared" si="1"/>
        <v>Chưa có kế hoạch</v>
      </c>
      <c r="N49" s="22"/>
      <c r="O49" s="22"/>
      <c r="P49" s="22"/>
      <c r="Q49" s="22"/>
      <c r="R49" s="93"/>
      <c r="S49" s="93"/>
    </row>
    <row r="50" outlineLevel="3">
      <c r="A50" s="95"/>
      <c r="B50" s="22"/>
      <c r="C50" s="97"/>
      <c r="D50" s="97"/>
      <c r="E50" s="97"/>
      <c r="F50" s="97"/>
      <c r="G50" s="98"/>
      <c r="H50" s="98"/>
      <c r="I50" s="98"/>
      <c r="J50" s="98"/>
      <c r="K50" s="99"/>
      <c r="L50" s="99"/>
      <c r="M50" s="99" t="str">
        <f t="shared" si="1"/>
        <v>Chưa có kế hoạch</v>
      </c>
      <c r="N50" s="22"/>
      <c r="O50" s="22"/>
      <c r="P50" s="22"/>
      <c r="Q50" s="22"/>
      <c r="R50" s="93"/>
      <c r="S50" s="93"/>
    </row>
    <row r="51" outlineLevel="3">
      <c r="A51" s="95"/>
      <c r="B51" s="22"/>
      <c r="C51" s="97"/>
      <c r="D51" s="97"/>
      <c r="E51" s="97"/>
      <c r="F51" s="97"/>
      <c r="G51" s="98"/>
      <c r="H51" s="98"/>
      <c r="I51" s="98"/>
      <c r="J51" s="98"/>
      <c r="K51" s="99"/>
      <c r="L51" s="99"/>
      <c r="M51" s="99" t="str">
        <f t="shared" si="1"/>
        <v>Chưa có kế hoạch</v>
      </c>
      <c r="N51" s="22"/>
      <c r="O51" s="22"/>
      <c r="P51" s="22"/>
      <c r="Q51" s="22"/>
      <c r="R51" s="93"/>
      <c r="S51" s="93"/>
    </row>
    <row r="52" outlineLevel="3">
      <c r="A52" s="95"/>
      <c r="B52" s="22"/>
      <c r="C52" s="97"/>
      <c r="D52" s="97"/>
      <c r="E52" s="97"/>
      <c r="F52" s="97"/>
      <c r="G52" s="98"/>
      <c r="H52" s="98"/>
      <c r="I52" s="98"/>
      <c r="J52" s="98"/>
      <c r="K52" s="99"/>
      <c r="L52" s="99"/>
      <c r="M52" s="99" t="str">
        <f t="shared" si="1"/>
        <v>Chưa có kế hoạch</v>
      </c>
      <c r="N52" s="22"/>
      <c r="O52" s="22"/>
      <c r="P52" s="22"/>
      <c r="Q52" s="22"/>
      <c r="R52" s="93"/>
      <c r="S52" s="93"/>
    </row>
    <row r="53" outlineLevel="3">
      <c r="A53" s="95"/>
      <c r="B53" s="22"/>
      <c r="C53" s="97"/>
      <c r="D53" s="97"/>
      <c r="E53" s="97"/>
      <c r="F53" s="97"/>
      <c r="G53" s="98"/>
      <c r="H53" s="98"/>
      <c r="I53" s="98"/>
      <c r="J53" s="98"/>
      <c r="K53" s="99"/>
      <c r="L53" s="99"/>
      <c r="M53" s="99" t="str">
        <f t="shared" si="1"/>
        <v>Chưa có kế hoạch</v>
      </c>
      <c r="N53" s="22"/>
      <c r="O53" s="22"/>
      <c r="P53" s="22"/>
      <c r="Q53" s="22"/>
      <c r="R53" s="93"/>
      <c r="S53" s="93"/>
    </row>
    <row r="54" outlineLevel="3">
      <c r="A54" s="95"/>
      <c r="B54" s="22"/>
      <c r="C54" s="97"/>
      <c r="D54" s="97"/>
      <c r="E54" s="97"/>
      <c r="F54" s="97"/>
      <c r="G54" s="98"/>
      <c r="H54" s="98"/>
      <c r="I54" s="98"/>
      <c r="J54" s="98"/>
      <c r="K54" s="99"/>
      <c r="L54" s="99"/>
      <c r="M54" s="99" t="str">
        <f t="shared" si="1"/>
        <v>Chưa có kế hoạch</v>
      </c>
      <c r="N54" s="22"/>
      <c r="O54" s="22"/>
      <c r="P54" s="22"/>
      <c r="Q54" s="22"/>
      <c r="R54" s="93"/>
      <c r="S54" s="93"/>
    </row>
    <row r="55" outlineLevel="2">
      <c r="A55" s="95"/>
      <c r="B55" s="22"/>
      <c r="C55" s="97"/>
      <c r="D55" s="97"/>
      <c r="E55" s="97"/>
      <c r="F55" s="97"/>
      <c r="G55" s="98"/>
      <c r="H55" s="98"/>
      <c r="I55" s="98"/>
      <c r="J55" s="98"/>
      <c r="K55" s="99"/>
      <c r="L55" s="99"/>
      <c r="M55" s="99" t="str">
        <f t="shared" si="1"/>
        <v>Chưa có kế hoạch</v>
      </c>
      <c r="N55" s="22"/>
      <c r="O55" s="22"/>
      <c r="P55" s="22"/>
      <c r="Q55" s="22"/>
      <c r="R55" s="93"/>
      <c r="S55" s="93"/>
    </row>
    <row r="56" outlineLevel="3">
      <c r="A56" s="95"/>
      <c r="B56" s="22"/>
      <c r="C56" s="97"/>
      <c r="D56" s="97"/>
      <c r="E56" s="97"/>
      <c r="F56" s="97"/>
      <c r="G56" s="98"/>
      <c r="H56" s="98"/>
      <c r="I56" s="98"/>
      <c r="J56" s="98"/>
      <c r="K56" s="99"/>
      <c r="L56" s="99"/>
      <c r="M56" s="99" t="str">
        <f t="shared" si="1"/>
        <v>Chưa có kế hoạch</v>
      </c>
      <c r="N56" s="22"/>
      <c r="O56" s="22"/>
      <c r="P56" s="22"/>
      <c r="Q56" s="22"/>
      <c r="R56" s="93"/>
      <c r="S56" s="93"/>
    </row>
    <row r="57" outlineLevel="3">
      <c r="A57" s="95"/>
      <c r="B57" s="22"/>
      <c r="C57" s="97"/>
      <c r="D57" s="97"/>
      <c r="E57" s="97"/>
      <c r="F57" s="97"/>
      <c r="G57" s="98"/>
      <c r="H57" s="98"/>
      <c r="I57" s="98"/>
      <c r="J57" s="98"/>
      <c r="K57" s="99"/>
      <c r="L57" s="99"/>
      <c r="M57" s="99" t="str">
        <f t="shared" si="1"/>
        <v>Chưa có kế hoạch</v>
      </c>
      <c r="N57" s="22"/>
      <c r="O57" s="22"/>
      <c r="P57" s="22"/>
      <c r="Q57" s="22"/>
      <c r="R57" s="93"/>
      <c r="S57" s="93"/>
    </row>
    <row r="58" outlineLevel="3">
      <c r="A58" s="95"/>
      <c r="B58" s="22"/>
      <c r="C58" s="97"/>
      <c r="D58" s="97"/>
      <c r="E58" s="97"/>
      <c r="F58" s="97"/>
      <c r="G58" s="98"/>
      <c r="H58" s="98"/>
      <c r="I58" s="98"/>
      <c r="J58" s="98"/>
      <c r="K58" s="99"/>
      <c r="L58" s="99"/>
      <c r="M58" s="99" t="str">
        <f t="shared" si="1"/>
        <v>Chưa có kế hoạch</v>
      </c>
      <c r="N58" s="22"/>
      <c r="O58" s="22"/>
      <c r="P58" s="22"/>
      <c r="Q58" s="22"/>
      <c r="R58" s="93"/>
      <c r="S58" s="93"/>
    </row>
    <row r="59" outlineLevel="3">
      <c r="A59" s="95"/>
      <c r="B59" s="22"/>
      <c r="C59" s="97"/>
      <c r="D59" s="97"/>
      <c r="E59" s="97"/>
      <c r="F59" s="97"/>
      <c r="G59" s="98"/>
      <c r="H59" s="98"/>
      <c r="I59" s="98"/>
      <c r="J59" s="98"/>
      <c r="K59" s="99"/>
      <c r="L59" s="99"/>
      <c r="M59" s="99" t="str">
        <f t="shared" si="1"/>
        <v>Chưa có kế hoạch</v>
      </c>
      <c r="N59" s="22"/>
      <c r="O59" s="22"/>
      <c r="P59" s="22"/>
      <c r="Q59" s="22"/>
      <c r="R59" s="93"/>
      <c r="S59" s="93"/>
    </row>
    <row r="60" outlineLevel="3">
      <c r="A60" s="95"/>
      <c r="B60" s="22"/>
      <c r="C60" s="97"/>
      <c r="D60" s="97"/>
      <c r="E60" s="97"/>
      <c r="F60" s="97"/>
      <c r="G60" s="98"/>
      <c r="H60" s="98"/>
      <c r="I60" s="98"/>
      <c r="J60" s="98"/>
      <c r="K60" s="99"/>
      <c r="L60" s="99"/>
      <c r="M60" s="99" t="str">
        <f t="shared" si="1"/>
        <v>Chưa có kế hoạch</v>
      </c>
      <c r="N60" s="22"/>
      <c r="O60" s="22"/>
      <c r="P60" s="22"/>
      <c r="Q60" s="22"/>
      <c r="R60" s="93"/>
      <c r="S60" s="93"/>
    </row>
    <row r="61" outlineLevel="3">
      <c r="A61" s="95"/>
      <c r="B61" s="22"/>
      <c r="C61" s="97"/>
      <c r="D61" s="97"/>
      <c r="E61" s="97"/>
      <c r="F61" s="97"/>
      <c r="G61" s="98"/>
      <c r="H61" s="98"/>
      <c r="I61" s="98"/>
      <c r="J61" s="98"/>
      <c r="K61" s="99"/>
      <c r="L61" s="99"/>
      <c r="M61" s="99" t="str">
        <f t="shared" si="1"/>
        <v>Chưa có kế hoạch</v>
      </c>
      <c r="N61" s="22"/>
      <c r="O61" s="22"/>
      <c r="P61" s="22"/>
      <c r="Q61" s="22"/>
      <c r="R61" s="93"/>
      <c r="S61" s="93"/>
    </row>
    <row r="62" outlineLevel="3">
      <c r="A62" s="95"/>
      <c r="B62" s="22"/>
      <c r="C62" s="97"/>
      <c r="D62" s="97"/>
      <c r="E62" s="97"/>
      <c r="F62" s="97"/>
      <c r="G62" s="98"/>
      <c r="H62" s="98"/>
      <c r="I62" s="98"/>
      <c r="J62" s="98"/>
      <c r="K62" s="99"/>
      <c r="L62" s="99"/>
      <c r="M62" s="99" t="str">
        <f t="shared" si="1"/>
        <v>Chưa có kế hoạch</v>
      </c>
      <c r="N62" s="22"/>
      <c r="O62" s="22"/>
      <c r="P62" s="22"/>
      <c r="Q62" s="22"/>
      <c r="R62" s="93"/>
      <c r="S62" s="93"/>
    </row>
    <row r="63" outlineLevel="3">
      <c r="A63" s="95"/>
      <c r="B63" s="22"/>
      <c r="C63" s="97"/>
      <c r="D63" s="97"/>
      <c r="E63" s="97"/>
      <c r="F63" s="97"/>
      <c r="G63" s="98"/>
      <c r="H63" s="98"/>
      <c r="I63" s="98"/>
      <c r="J63" s="98"/>
      <c r="K63" s="99"/>
      <c r="L63" s="99"/>
      <c r="M63" s="99" t="str">
        <f t="shared" si="1"/>
        <v>Chưa có kế hoạch</v>
      </c>
      <c r="N63" s="22"/>
      <c r="O63" s="22"/>
      <c r="P63" s="22"/>
      <c r="Q63" s="22"/>
      <c r="R63" s="93"/>
      <c r="S63" s="93"/>
    </row>
    <row r="64" outlineLevel="3">
      <c r="A64" s="95"/>
      <c r="B64" s="22"/>
      <c r="C64" s="97"/>
      <c r="D64" s="97"/>
      <c r="E64" s="97"/>
      <c r="F64" s="97"/>
      <c r="G64" s="98"/>
      <c r="H64" s="98"/>
      <c r="I64" s="98"/>
      <c r="J64" s="98"/>
      <c r="K64" s="99"/>
      <c r="L64" s="99"/>
      <c r="M64" s="99" t="str">
        <f t="shared" si="1"/>
        <v>Chưa có kế hoạch</v>
      </c>
      <c r="N64" s="22"/>
      <c r="O64" s="22"/>
      <c r="P64" s="22"/>
      <c r="Q64" s="22"/>
      <c r="R64" s="93"/>
      <c r="S64" s="93"/>
    </row>
    <row r="65" outlineLevel="2">
      <c r="A65" s="95"/>
      <c r="B65" s="22"/>
      <c r="C65" s="97"/>
      <c r="D65" s="97"/>
      <c r="E65" s="102"/>
      <c r="F65" s="97"/>
      <c r="G65" s="98"/>
      <c r="H65" s="98"/>
      <c r="I65" s="98"/>
      <c r="J65" s="98"/>
      <c r="K65" s="99"/>
      <c r="L65" s="99"/>
      <c r="M65" s="99" t="str">
        <f t="shared" si="1"/>
        <v>Chưa có kế hoạch</v>
      </c>
      <c r="N65" s="22"/>
      <c r="O65" s="22"/>
      <c r="P65" s="22"/>
      <c r="Q65" s="22"/>
      <c r="R65" s="93"/>
      <c r="S65" s="93"/>
    </row>
    <row r="66" outlineLevel="3">
      <c r="A66" s="95"/>
      <c r="B66" s="22"/>
      <c r="C66" s="97"/>
      <c r="D66" s="97"/>
      <c r="E66" s="97"/>
      <c r="F66" s="97"/>
      <c r="G66" s="98"/>
      <c r="H66" s="98"/>
      <c r="I66" s="98"/>
      <c r="J66" s="98"/>
      <c r="K66" s="99"/>
      <c r="L66" s="99"/>
      <c r="M66" s="99" t="str">
        <f t="shared" si="1"/>
        <v>Chưa có kế hoạch</v>
      </c>
      <c r="N66" s="22"/>
      <c r="O66" s="22"/>
      <c r="P66" s="22"/>
      <c r="Q66" s="22"/>
      <c r="R66" s="93"/>
      <c r="S66" s="93"/>
    </row>
    <row r="67" outlineLevel="3">
      <c r="A67" s="95"/>
      <c r="B67" s="22"/>
      <c r="C67" s="97"/>
      <c r="D67" s="97"/>
      <c r="E67" s="97"/>
      <c r="F67" s="97"/>
      <c r="G67" s="98"/>
      <c r="H67" s="98"/>
      <c r="I67" s="98"/>
      <c r="J67" s="98"/>
      <c r="K67" s="99"/>
      <c r="L67" s="99"/>
      <c r="M67" s="99" t="str">
        <f t="shared" si="1"/>
        <v>Chưa có kế hoạch</v>
      </c>
      <c r="N67" s="22"/>
      <c r="O67" s="22"/>
      <c r="P67" s="22"/>
      <c r="Q67" s="22"/>
      <c r="R67" s="93"/>
      <c r="S67" s="93"/>
    </row>
    <row r="68" outlineLevel="3">
      <c r="A68" s="95"/>
      <c r="B68" s="22"/>
      <c r="C68" s="97"/>
      <c r="D68" s="97"/>
      <c r="E68" s="97"/>
      <c r="F68" s="97"/>
      <c r="G68" s="98"/>
      <c r="H68" s="98"/>
      <c r="I68" s="98"/>
      <c r="J68" s="98"/>
      <c r="K68" s="99"/>
      <c r="L68" s="99"/>
      <c r="M68" s="99" t="str">
        <f t="shared" si="1"/>
        <v>Chưa có kế hoạch</v>
      </c>
      <c r="N68" s="22"/>
      <c r="O68" s="22"/>
      <c r="P68" s="22"/>
      <c r="Q68" s="22"/>
      <c r="R68" s="93"/>
      <c r="S68" s="93"/>
    </row>
    <row r="69" outlineLevel="3">
      <c r="A69" s="95"/>
      <c r="B69" s="22"/>
      <c r="C69" s="97"/>
      <c r="D69" s="97"/>
      <c r="E69" s="97"/>
      <c r="F69" s="97"/>
      <c r="G69" s="98"/>
      <c r="H69" s="98"/>
      <c r="I69" s="98"/>
      <c r="J69" s="98"/>
      <c r="K69" s="99"/>
      <c r="L69" s="99"/>
      <c r="M69" s="99" t="str">
        <f t="shared" si="1"/>
        <v>Chưa có kế hoạch</v>
      </c>
      <c r="N69" s="22"/>
      <c r="O69" s="22"/>
      <c r="P69" s="22"/>
      <c r="Q69" s="22"/>
      <c r="R69" s="93"/>
      <c r="S69" s="93"/>
    </row>
    <row r="70" outlineLevel="3">
      <c r="A70" s="95"/>
      <c r="B70" s="22"/>
      <c r="C70" s="97"/>
      <c r="D70" s="97"/>
      <c r="E70" s="97"/>
      <c r="F70" s="97"/>
      <c r="G70" s="98"/>
      <c r="H70" s="98"/>
      <c r="I70" s="98"/>
      <c r="J70" s="98"/>
      <c r="K70" s="99"/>
      <c r="L70" s="99"/>
      <c r="M70" s="99" t="str">
        <f t="shared" si="1"/>
        <v>Chưa có kế hoạch</v>
      </c>
      <c r="N70" s="22"/>
      <c r="O70" s="22"/>
      <c r="P70" s="22"/>
      <c r="Q70" s="22"/>
      <c r="R70" s="93"/>
      <c r="S70" s="93"/>
    </row>
    <row r="71" outlineLevel="3">
      <c r="A71" s="95"/>
      <c r="B71" s="22"/>
      <c r="C71" s="97"/>
      <c r="D71" s="97"/>
      <c r="E71" s="97"/>
      <c r="F71" s="97"/>
      <c r="G71" s="98"/>
      <c r="H71" s="98"/>
      <c r="I71" s="98"/>
      <c r="J71" s="98"/>
      <c r="K71" s="99"/>
      <c r="L71" s="99"/>
      <c r="M71" s="99" t="str">
        <f t="shared" si="1"/>
        <v>Chưa có kế hoạch</v>
      </c>
      <c r="N71" s="22"/>
      <c r="O71" s="22"/>
      <c r="P71" s="22"/>
      <c r="Q71" s="22"/>
      <c r="R71" s="93"/>
      <c r="S71" s="93"/>
    </row>
    <row r="72" outlineLevel="2">
      <c r="A72" s="95"/>
      <c r="B72" s="22"/>
      <c r="C72" s="97"/>
      <c r="D72" s="97"/>
      <c r="E72" s="102"/>
      <c r="F72" s="97"/>
      <c r="G72" s="98"/>
      <c r="H72" s="98"/>
      <c r="I72" s="98"/>
      <c r="J72" s="98"/>
      <c r="K72" s="99"/>
      <c r="L72" s="99"/>
      <c r="M72" s="99" t="str">
        <f t="shared" si="1"/>
        <v>Chưa có kế hoạch</v>
      </c>
      <c r="N72" s="22"/>
      <c r="O72" s="22"/>
      <c r="P72" s="22"/>
      <c r="Q72" s="22"/>
      <c r="R72" s="93"/>
      <c r="S72" s="93"/>
    </row>
    <row r="73" outlineLevel="3">
      <c r="A73" s="95"/>
      <c r="B73" s="22"/>
      <c r="C73" s="97"/>
      <c r="D73" s="97"/>
      <c r="E73" s="97"/>
      <c r="F73" s="97"/>
      <c r="G73" s="98"/>
      <c r="H73" s="98"/>
      <c r="I73" s="98"/>
      <c r="J73" s="98"/>
      <c r="K73" s="99"/>
      <c r="L73" s="99"/>
      <c r="M73" s="99" t="str">
        <f t="shared" si="1"/>
        <v>Chưa có kế hoạch</v>
      </c>
      <c r="N73" s="22"/>
      <c r="O73" s="22"/>
      <c r="P73" s="22"/>
      <c r="Q73" s="22"/>
      <c r="R73" s="93"/>
      <c r="S73" s="93"/>
    </row>
    <row r="74" outlineLevel="3">
      <c r="A74" s="95"/>
      <c r="B74" s="22"/>
      <c r="C74" s="97"/>
      <c r="D74" s="97"/>
      <c r="E74" s="97"/>
      <c r="F74" s="97"/>
      <c r="G74" s="98"/>
      <c r="H74" s="98"/>
      <c r="I74" s="98"/>
      <c r="J74" s="98"/>
      <c r="K74" s="99"/>
      <c r="L74" s="99"/>
      <c r="M74" s="99" t="str">
        <f t="shared" si="1"/>
        <v>Chưa có kế hoạch</v>
      </c>
      <c r="N74" s="22"/>
      <c r="O74" s="22"/>
      <c r="P74" s="22"/>
      <c r="Q74" s="22"/>
      <c r="R74" s="93"/>
      <c r="S74" s="93"/>
    </row>
    <row r="75" outlineLevel="3">
      <c r="A75" s="95"/>
      <c r="B75" s="22"/>
      <c r="C75" s="97"/>
      <c r="D75" s="97"/>
      <c r="E75" s="97"/>
      <c r="F75" s="97"/>
      <c r="G75" s="98"/>
      <c r="H75" s="98"/>
      <c r="I75" s="98"/>
      <c r="J75" s="98"/>
      <c r="K75" s="99"/>
      <c r="L75" s="99"/>
      <c r="M75" s="99" t="str">
        <f t="shared" si="1"/>
        <v>Chưa có kế hoạch</v>
      </c>
      <c r="N75" s="22"/>
      <c r="O75" s="22"/>
      <c r="P75" s="22"/>
      <c r="Q75" s="22"/>
      <c r="R75" s="93"/>
      <c r="S75" s="93"/>
    </row>
    <row r="76" outlineLevel="3">
      <c r="A76" s="95"/>
      <c r="B76" s="22"/>
      <c r="C76" s="97"/>
      <c r="D76" s="97"/>
      <c r="E76" s="97"/>
      <c r="F76" s="97"/>
      <c r="G76" s="98"/>
      <c r="H76" s="98"/>
      <c r="I76" s="98"/>
      <c r="J76" s="98"/>
      <c r="K76" s="99"/>
      <c r="L76" s="99"/>
      <c r="M76" s="99" t="str">
        <f t="shared" si="1"/>
        <v>Chưa có kế hoạch</v>
      </c>
      <c r="N76" s="22"/>
      <c r="O76" s="22"/>
      <c r="P76" s="22"/>
      <c r="Q76" s="22"/>
      <c r="R76" s="93"/>
      <c r="S76" s="93"/>
    </row>
    <row r="77" outlineLevel="3">
      <c r="A77" s="95"/>
      <c r="B77" s="22"/>
      <c r="C77" s="97"/>
      <c r="D77" s="97"/>
      <c r="E77" s="97"/>
      <c r="F77" s="97"/>
      <c r="G77" s="98"/>
      <c r="H77" s="98"/>
      <c r="I77" s="98"/>
      <c r="J77" s="98"/>
      <c r="K77" s="99"/>
      <c r="L77" s="99"/>
      <c r="M77" s="99" t="str">
        <f t="shared" si="1"/>
        <v>Chưa có kế hoạch</v>
      </c>
      <c r="N77" s="22"/>
      <c r="O77" s="22"/>
      <c r="P77" s="22"/>
      <c r="Q77" s="22"/>
      <c r="R77" s="93"/>
      <c r="S77" s="93"/>
    </row>
    <row r="78" outlineLevel="3">
      <c r="A78" s="95"/>
      <c r="B78" s="22"/>
      <c r="C78" s="97"/>
      <c r="D78" s="97"/>
      <c r="E78" s="97"/>
      <c r="F78" s="97"/>
      <c r="G78" s="98"/>
      <c r="H78" s="98"/>
      <c r="I78" s="98"/>
      <c r="J78" s="98"/>
      <c r="K78" s="99"/>
      <c r="L78" s="99"/>
      <c r="M78" s="99" t="str">
        <f t="shared" si="1"/>
        <v>Chưa có kế hoạch</v>
      </c>
      <c r="N78" s="22"/>
      <c r="O78" s="22"/>
      <c r="P78" s="22"/>
      <c r="Q78" s="22"/>
      <c r="R78" s="93"/>
      <c r="S78" s="93"/>
    </row>
    <row r="79" outlineLevel="3">
      <c r="A79" s="95"/>
      <c r="B79" s="22"/>
      <c r="C79" s="97"/>
      <c r="D79" s="97"/>
      <c r="E79" s="97"/>
      <c r="F79" s="97"/>
      <c r="G79" s="98"/>
      <c r="H79" s="98"/>
      <c r="I79" s="98"/>
      <c r="J79" s="98"/>
      <c r="K79" s="99"/>
      <c r="L79" s="99"/>
      <c r="M79" s="99" t="str">
        <f t="shared" si="1"/>
        <v>Chưa có kế hoạch</v>
      </c>
      <c r="N79" s="22"/>
      <c r="O79" s="22"/>
      <c r="P79" s="22"/>
      <c r="Q79" s="22"/>
      <c r="R79" s="93"/>
      <c r="S79" s="93"/>
    </row>
    <row r="80" outlineLevel="3">
      <c r="A80" s="95"/>
      <c r="B80" s="22"/>
      <c r="C80" s="97"/>
      <c r="D80" s="97"/>
      <c r="E80" s="97"/>
      <c r="F80" s="97"/>
      <c r="G80" s="98"/>
      <c r="H80" s="98"/>
      <c r="I80" s="98"/>
      <c r="J80" s="98"/>
      <c r="K80" s="99"/>
      <c r="L80" s="99"/>
      <c r="M80" s="99" t="str">
        <f t="shared" si="1"/>
        <v>Chưa có kế hoạch</v>
      </c>
      <c r="N80" s="22"/>
      <c r="O80" s="22"/>
      <c r="P80" s="22"/>
      <c r="Q80" s="22"/>
      <c r="R80" s="93"/>
      <c r="S80" s="93"/>
    </row>
    <row r="81" outlineLevel="3">
      <c r="A81" s="95"/>
      <c r="B81" s="22"/>
      <c r="C81" s="97"/>
      <c r="D81" s="97"/>
      <c r="E81" s="97"/>
      <c r="F81" s="97"/>
      <c r="G81" s="98"/>
      <c r="H81" s="98"/>
      <c r="I81" s="98"/>
      <c r="J81" s="98"/>
      <c r="K81" s="99"/>
      <c r="L81" s="99"/>
      <c r="M81" s="99" t="str">
        <f t="shared" si="1"/>
        <v>Chưa có kế hoạch</v>
      </c>
      <c r="N81" s="22"/>
      <c r="O81" s="22"/>
      <c r="P81" s="22"/>
      <c r="Q81" s="22"/>
      <c r="R81" s="93"/>
      <c r="S81" s="93"/>
    </row>
    <row r="82" outlineLevel="3">
      <c r="A82" s="95"/>
      <c r="B82" s="22"/>
      <c r="C82" s="97"/>
      <c r="D82" s="97"/>
      <c r="E82" s="97"/>
      <c r="F82" s="97"/>
      <c r="G82" s="98"/>
      <c r="H82" s="98"/>
      <c r="I82" s="98"/>
      <c r="J82" s="98"/>
      <c r="K82" s="99"/>
      <c r="L82" s="99"/>
      <c r="M82" s="99" t="str">
        <f t="shared" si="1"/>
        <v>Chưa có kế hoạch</v>
      </c>
      <c r="N82" s="22"/>
      <c r="O82" s="22"/>
      <c r="P82" s="22"/>
      <c r="Q82" s="22"/>
      <c r="R82" s="93"/>
      <c r="S82" s="93"/>
    </row>
    <row r="83" outlineLevel="3">
      <c r="A83" s="95"/>
      <c r="B83" s="22"/>
      <c r="C83" s="97"/>
      <c r="D83" s="97"/>
      <c r="E83" s="97"/>
      <c r="F83" s="97"/>
      <c r="G83" s="98"/>
      <c r="H83" s="98"/>
      <c r="I83" s="98"/>
      <c r="J83" s="98"/>
      <c r="K83" s="99"/>
      <c r="L83" s="99"/>
      <c r="M83" s="99" t="str">
        <f t="shared" si="1"/>
        <v>Chưa có kế hoạch</v>
      </c>
      <c r="N83" s="22"/>
      <c r="O83" s="22"/>
      <c r="P83" s="22"/>
      <c r="Q83" s="22"/>
      <c r="R83" s="93"/>
      <c r="S83" s="93"/>
    </row>
    <row r="84" outlineLevel="3">
      <c r="A84" s="95"/>
      <c r="B84" s="22"/>
      <c r="C84" s="97"/>
      <c r="D84" s="97"/>
      <c r="E84" s="97"/>
      <c r="F84" s="97"/>
      <c r="G84" s="98"/>
      <c r="H84" s="98"/>
      <c r="I84" s="98"/>
      <c r="J84" s="98"/>
      <c r="K84" s="99"/>
      <c r="L84" s="99"/>
      <c r="M84" s="99" t="str">
        <f t="shared" si="1"/>
        <v>Chưa có kế hoạch</v>
      </c>
      <c r="N84" s="22"/>
      <c r="O84" s="22"/>
      <c r="P84" s="22"/>
      <c r="Q84" s="22"/>
      <c r="R84" s="93"/>
      <c r="S84" s="93"/>
    </row>
    <row r="85" outlineLevel="3">
      <c r="A85" s="95"/>
      <c r="B85" s="22"/>
      <c r="C85" s="97"/>
      <c r="D85" s="97"/>
      <c r="E85" s="97"/>
      <c r="F85" s="97"/>
      <c r="G85" s="98"/>
      <c r="H85" s="98"/>
      <c r="I85" s="98"/>
      <c r="J85" s="98"/>
      <c r="K85" s="99"/>
      <c r="L85" s="99"/>
      <c r="M85" s="99" t="str">
        <f t="shared" si="1"/>
        <v>Chưa có kế hoạch</v>
      </c>
      <c r="N85" s="22"/>
      <c r="O85" s="22"/>
      <c r="P85" s="22"/>
      <c r="Q85" s="22"/>
      <c r="R85" s="93"/>
      <c r="S85" s="93"/>
    </row>
    <row r="86" outlineLevel="3">
      <c r="A86" s="95"/>
      <c r="B86" s="22"/>
      <c r="C86" s="97"/>
      <c r="D86" s="97"/>
      <c r="E86" s="97"/>
      <c r="F86" s="97"/>
      <c r="G86" s="98"/>
      <c r="H86" s="98"/>
      <c r="I86" s="98"/>
      <c r="J86" s="98"/>
      <c r="K86" s="99"/>
      <c r="L86" s="99"/>
      <c r="M86" s="99" t="str">
        <f t="shared" si="1"/>
        <v>Chưa có kế hoạch</v>
      </c>
      <c r="N86" s="22"/>
      <c r="O86" s="22"/>
      <c r="P86" s="22"/>
      <c r="Q86" s="22"/>
      <c r="R86" s="93"/>
      <c r="S86" s="93"/>
    </row>
    <row r="87" outlineLevel="3">
      <c r="A87" s="95"/>
      <c r="B87" s="22"/>
      <c r="C87" s="97"/>
      <c r="D87" s="97"/>
      <c r="E87" s="97"/>
      <c r="F87" s="97"/>
      <c r="G87" s="98"/>
      <c r="H87" s="98"/>
      <c r="I87" s="98"/>
      <c r="J87" s="98"/>
      <c r="K87" s="99"/>
      <c r="L87" s="99"/>
      <c r="M87" s="99" t="str">
        <f t="shared" si="1"/>
        <v>Chưa có kế hoạch</v>
      </c>
      <c r="N87" s="22"/>
      <c r="O87" s="22"/>
      <c r="P87" s="22"/>
      <c r="Q87" s="22"/>
      <c r="R87" s="93"/>
      <c r="S87" s="93"/>
    </row>
    <row r="88" outlineLevel="3">
      <c r="A88" s="95"/>
      <c r="B88" s="22"/>
      <c r="C88" s="97"/>
      <c r="D88" s="97"/>
      <c r="E88" s="97"/>
      <c r="F88" s="97"/>
      <c r="G88" s="98"/>
      <c r="H88" s="98"/>
      <c r="I88" s="98"/>
      <c r="J88" s="98"/>
      <c r="K88" s="99"/>
      <c r="L88" s="99"/>
      <c r="M88" s="99" t="str">
        <f t="shared" si="1"/>
        <v>Chưa có kế hoạch</v>
      </c>
      <c r="N88" s="22"/>
      <c r="O88" s="22"/>
      <c r="P88" s="22"/>
      <c r="Q88" s="22"/>
      <c r="R88" s="93"/>
      <c r="S88" s="93"/>
    </row>
    <row r="89" outlineLevel="3">
      <c r="A89" s="95"/>
      <c r="B89" s="22"/>
      <c r="C89" s="97"/>
      <c r="D89" s="97"/>
      <c r="E89" s="97"/>
      <c r="F89" s="97"/>
      <c r="G89" s="98"/>
      <c r="H89" s="98"/>
      <c r="I89" s="98"/>
      <c r="J89" s="98"/>
      <c r="K89" s="99"/>
      <c r="L89" s="99"/>
      <c r="M89" s="99" t="str">
        <f t="shared" si="1"/>
        <v>Chưa có kế hoạch</v>
      </c>
      <c r="N89" s="22"/>
      <c r="O89" s="22"/>
      <c r="P89" s="22"/>
      <c r="Q89" s="22"/>
      <c r="R89" s="93"/>
      <c r="S89" s="93"/>
    </row>
    <row r="90" outlineLevel="3">
      <c r="A90" s="95"/>
      <c r="B90" s="22"/>
      <c r="C90" s="97"/>
      <c r="D90" s="97"/>
      <c r="E90" s="97"/>
      <c r="F90" s="97"/>
      <c r="G90" s="98"/>
      <c r="H90" s="98"/>
      <c r="I90" s="98"/>
      <c r="J90" s="98"/>
      <c r="K90" s="99"/>
      <c r="L90" s="99"/>
      <c r="M90" s="99" t="str">
        <f t="shared" si="1"/>
        <v>Chưa có kế hoạch</v>
      </c>
      <c r="N90" s="22"/>
      <c r="O90" s="22"/>
      <c r="P90" s="22"/>
      <c r="Q90" s="22"/>
      <c r="R90" s="93"/>
      <c r="S90" s="93"/>
    </row>
    <row r="91" outlineLevel="3">
      <c r="A91" s="95"/>
      <c r="B91" s="22"/>
      <c r="C91" s="97"/>
      <c r="D91" s="97"/>
      <c r="E91" s="97"/>
      <c r="F91" s="97"/>
      <c r="G91" s="98"/>
      <c r="H91" s="98"/>
      <c r="I91" s="98"/>
      <c r="J91" s="98"/>
      <c r="K91" s="99"/>
      <c r="L91" s="99"/>
      <c r="M91" s="99" t="str">
        <f t="shared" si="1"/>
        <v>Chưa có kế hoạch</v>
      </c>
      <c r="N91" s="22"/>
      <c r="O91" s="22"/>
      <c r="P91" s="22"/>
      <c r="Q91" s="22"/>
      <c r="R91" s="93"/>
      <c r="S91" s="93"/>
    </row>
    <row r="92" outlineLevel="3">
      <c r="A92" s="95"/>
      <c r="B92" s="22"/>
      <c r="C92" s="97"/>
      <c r="D92" s="97"/>
      <c r="E92" s="97"/>
      <c r="F92" s="97"/>
      <c r="G92" s="98"/>
      <c r="H92" s="98"/>
      <c r="I92" s="98"/>
      <c r="J92" s="98"/>
      <c r="K92" s="99"/>
      <c r="L92" s="99"/>
      <c r="M92" s="99" t="str">
        <f t="shared" si="1"/>
        <v>Chưa có kế hoạch</v>
      </c>
      <c r="N92" s="22"/>
      <c r="O92" s="22"/>
      <c r="P92" s="22"/>
      <c r="Q92" s="22"/>
      <c r="R92" s="93"/>
      <c r="S92" s="93"/>
    </row>
    <row r="93" outlineLevel="3">
      <c r="A93" s="95"/>
      <c r="B93" s="22"/>
      <c r="C93" s="97"/>
      <c r="D93" s="97"/>
      <c r="E93" s="97"/>
      <c r="F93" s="97"/>
      <c r="G93" s="98"/>
      <c r="H93" s="98"/>
      <c r="I93" s="98"/>
      <c r="J93" s="98"/>
      <c r="K93" s="99"/>
      <c r="L93" s="99"/>
      <c r="M93" s="99" t="str">
        <f t="shared" si="1"/>
        <v>Chưa có kế hoạch</v>
      </c>
      <c r="N93" s="22"/>
      <c r="O93" s="22"/>
      <c r="P93" s="22"/>
      <c r="Q93" s="22"/>
      <c r="R93" s="93"/>
      <c r="S93" s="93"/>
    </row>
    <row r="94" outlineLevel="3">
      <c r="A94" s="95"/>
      <c r="B94" s="22"/>
      <c r="C94" s="97"/>
      <c r="D94" s="97"/>
      <c r="E94" s="97"/>
      <c r="F94" s="97"/>
      <c r="G94" s="98"/>
      <c r="H94" s="98"/>
      <c r="I94" s="98"/>
      <c r="J94" s="98"/>
      <c r="K94" s="99"/>
      <c r="L94" s="99"/>
      <c r="M94" s="99" t="str">
        <f t="shared" si="1"/>
        <v>Chưa có kế hoạch</v>
      </c>
      <c r="N94" s="22"/>
      <c r="O94" s="22"/>
      <c r="P94" s="22"/>
      <c r="Q94" s="22"/>
      <c r="R94" s="93"/>
      <c r="S94" s="93"/>
    </row>
    <row r="95" outlineLevel="3">
      <c r="A95" s="95"/>
      <c r="B95" s="22"/>
      <c r="C95" s="97"/>
      <c r="D95" s="97"/>
      <c r="E95" s="97"/>
      <c r="F95" s="97"/>
      <c r="G95" s="98"/>
      <c r="H95" s="98"/>
      <c r="I95" s="98"/>
      <c r="J95" s="98"/>
      <c r="K95" s="99"/>
      <c r="L95" s="99"/>
      <c r="M95" s="99" t="str">
        <f t="shared" si="1"/>
        <v>Chưa có kế hoạch</v>
      </c>
      <c r="N95" s="22"/>
      <c r="O95" s="22"/>
      <c r="P95" s="22"/>
      <c r="Q95" s="22"/>
      <c r="R95" s="93"/>
      <c r="S95" s="93"/>
    </row>
    <row r="96" outlineLevel="3">
      <c r="A96" s="95"/>
      <c r="B96" s="22"/>
      <c r="C96" s="97"/>
      <c r="D96" s="97"/>
      <c r="E96" s="97"/>
      <c r="F96" s="97"/>
      <c r="G96" s="98"/>
      <c r="H96" s="98"/>
      <c r="I96" s="98"/>
      <c r="J96" s="98"/>
      <c r="K96" s="99"/>
      <c r="L96" s="99"/>
      <c r="M96" s="99" t="str">
        <f t="shared" si="1"/>
        <v>Chưa có kế hoạch</v>
      </c>
      <c r="N96" s="22"/>
      <c r="O96" s="22"/>
      <c r="P96" s="22"/>
      <c r="Q96" s="22"/>
      <c r="R96" s="93"/>
      <c r="S96" s="93"/>
    </row>
    <row r="97" outlineLevel="3">
      <c r="A97" s="95"/>
      <c r="B97" s="22"/>
      <c r="C97" s="97"/>
      <c r="D97" s="97"/>
      <c r="E97" s="97"/>
      <c r="F97" s="97"/>
      <c r="G97" s="98"/>
      <c r="H97" s="98"/>
      <c r="I97" s="98"/>
      <c r="J97" s="98"/>
      <c r="K97" s="99"/>
      <c r="L97" s="99"/>
      <c r="M97" s="99" t="str">
        <f t="shared" si="1"/>
        <v>Chưa có kế hoạch</v>
      </c>
      <c r="N97" s="22"/>
      <c r="O97" s="22"/>
      <c r="P97" s="22"/>
      <c r="Q97" s="22"/>
      <c r="R97" s="93"/>
      <c r="S97" s="93"/>
    </row>
    <row r="98" outlineLevel="3">
      <c r="A98" s="95"/>
      <c r="B98" s="22"/>
      <c r="C98" s="97"/>
      <c r="D98" s="97"/>
      <c r="E98" s="97"/>
      <c r="F98" s="97"/>
      <c r="G98" s="98"/>
      <c r="H98" s="98"/>
      <c r="I98" s="98"/>
      <c r="J98" s="98"/>
      <c r="K98" s="99"/>
      <c r="L98" s="99"/>
      <c r="M98" s="99" t="str">
        <f t="shared" si="1"/>
        <v>Chưa có kế hoạch</v>
      </c>
      <c r="N98" s="22"/>
      <c r="O98" s="22"/>
      <c r="P98" s="22"/>
      <c r="Q98" s="22"/>
      <c r="R98" s="93"/>
      <c r="S98" s="93"/>
    </row>
    <row r="99" outlineLevel="3">
      <c r="A99" s="95"/>
      <c r="B99" s="22"/>
      <c r="C99" s="97"/>
      <c r="D99" s="97"/>
      <c r="E99" s="97"/>
      <c r="F99" s="97"/>
      <c r="G99" s="98"/>
      <c r="H99" s="98"/>
      <c r="I99" s="98"/>
      <c r="J99" s="98"/>
      <c r="K99" s="99"/>
      <c r="L99" s="99"/>
      <c r="M99" s="99" t="str">
        <f t="shared" si="1"/>
        <v>Chưa có kế hoạch</v>
      </c>
      <c r="N99" s="22"/>
      <c r="O99" s="22"/>
      <c r="P99" s="22"/>
      <c r="Q99" s="22"/>
      <c r="R99" s="93"/>
      <c r="S99" s="93"/>
    </row>
    <row r="100" outlineLevel="3">
      <c r="A100" s="95"/>
      <c r="B100" s="22"/>
      <c r="C100" s="97"/>
      <c r="D100" s="97"/>
      <c r="E100" s="97"/>
      <c r="F100" s="97"/>
      <c r="G100" s="98"/>
      <c r="H100" s="98"/>
      <c r="I100" s="98"/>
      <c r="J100" s="98"/>
      <c r="K100" s="99"/>
      <c r="L100" s="99"/>
      <c r="M100" s="99" t="str">
        <f t="shared" si="1"/>
        <v>Chưa có kế hoạch</v>
      </c>
      <c r="N100" s="22"/>
      <c r="O100" s="22"/>
      <c r="P100" s="22"/>
      <c r="Q100" s="22"/>
      <c r="R100" s="93"/>
      <c r="S100" s="93"/>
    </row>
    <row r="101" outlineLevel="2">
      <c r="A101" s="95"/>
      <c r="B101" s="22"/>
      <c r="C101" s="97"/>
      <c r="D101" s="97"/>
      <c r="E101" s="102"/>
      <c r="F101" s="97"/>
      <c r="G101" s="98"/>
      <c r="H101" s="98"/>
      <c r="I101" s="98"/>
      <c r="J101" s="98"/>
      <c r="K101" s="99"/>
      <c r="L101" s="99"/>
      <c r="M101" s="99" t="str">
        <f t="shared" si="1"/>
        <v>Chưa có kế hoạch</v>
      </c>
      <c r="N101" s="22"/>
      <c r="O101" s="22"/>
      <c r="P101" s="22"/>
      <c r="Q101" s="22"/>
      <c r="R101" s="93"/>
      <c r="S101" s="93"/>
    </row>
    <row r="102" outlineLevel="3">
      <c r="A102" s="95"/>
      <c r="B102" s="22"/>
      <c r="C102" s="97"/>
      <c r="D102" s="97"/>
      <c r="E102" s="97"/>
      <c r="F102" s="97"/>
      <c r="G102" s="98"/>
      <c r="H102" s="98"/>
      <c r="I102" s="98"/>
      <c r="J102" s="98"/>
      <c r="K102" s="99"/>
      <c r="L102" s="99"/>
      <c r="M102" s="99" t="str">
        <f t="shared" si="1"/>
        <v>Chưa có kế hoạch</v>
      </c>
      <c r="N102" s="22"/>
      <c r="O102" s="22"/>
      <c r="P102" s="22"/>
      <c r="Q102" s="22"/>
      <c r="R102" s="93"/>
      <c r="S102" s="93"/>
    </row>
    <row r="103" outlineLevel="3">
      <c r="A103" s="95"/>
      <c r="B103" s="22"/>
      <c r="C103" s="97"/>
      <c r="D103" s="97"/>
      <c r="E103" s="97"/>
      <c r="F103" s="97"/>
      <c r="G103" s="98"/>
      <c r="H103" s="98"/>
      <c r="I103" s="98"/>
      <c r="J103" s="98"/>
      <c r="K103" s="99"/>
      <c r="L103" s="99"/>
      <c r="M103" s="99" t="str">
        <f t="shared" si="1"/>
        <v>Chưa có kế hoạch</v>
      </c>
      <c r="N103" s="22"/>
      <c r="O103" s="22"/>
      <c r="P103" s="22"/>
      <c r="Q103" s="22"/>
      <c r="R103" s="93"/>
      <c r="S103" s="93"/>
    </row>
    <row r="104" outlineLevel="3">
      <c r="A104" s="95"/>
      <c r="B104" s="22"/>
      <c r="C104" s="97"/>
      <c r="D104" s="97"/>
      <c r="E104" s="97"/>
      <c r="F104" s="97"/>
      <c r="G104" s="98"/>
      <c r="H104" s="98"/>
      <c r="I104" s="98"/>
      <c r="J104" s="98"/>
      <c r="K104" s="99"/>
      <c r="L104" s="99"/>
      <c r="M104" s="99" t="str">
        <f t="shared" si="1"/>
        <v>Chưa có kế hoạch</v>
      </c>
      <c r="N104" s="22"/>
      <c r="O104" s="22"/>
      <c r="P104" s="22"/>
      <c r="Q104" s="22"/>
      <c r="R104" s="93"/>
      <c r="S104" s="93"/>
    </row>
    <row r="105" outlineLevel="3">
      <c r="A105" s="95"/>
      <c r="B105" s="22"/>
      <c r="C105" s="97"/>
      <c r="D105" s="97"/>
      <c r="E105" s="97"/>
      <c r="F105" s="97"/>
      <c r="G105" s="98"/>
      <c r="H105" s="98"/>
      <c r="I105" s="98"/>
      <c r="J105" s="98"/>
      <c r="K105" s="99"/>
      <c r="L105" s="99"/>
      <c r="M105" s="99" t="str">
        <f t="shared" si="1"/>
        <v>Chưa có kế hoạch</v>
      </c>
      <c r="N105" s="22"/>
      <c r="O105" s="22"/>
      <c r="P105" s="22"/>
      <c r="Q105" s="22"/>
      <c r="R105" s="93"/>
      <c r="S105" s="93"/>
    </row>
    <row r="106" outlineLevel="3">
      <c r="A106" s="95"/>
      <c r="B106" s="22"/>
      <c r="C106" s="97"/>
      <c r="D106" s="97"/>
      <c r="E106" s="97"/>
      <c r="F106" s="97"/>
      <c r="G106" s="98"/>
      <c r="H106" s="98"/>
      <c r="I106" s="98"/>
      <c r="J106" s="98"/>
      <c r="K106" s="99"/>
      <c r="L106" s="99"/>
      <c r="M106" s="99" t="str">
        <f t="shared" si="1"/>
        <v>Chưa có kế hoạch</v>
      </c>
      <c r="N106" s="22"/>
      <c r="O106" s="22"/>
      <c r="P106" s="22"/>
      <c r="Q106" s="22"/>
      <c r="R106" s="93"/>
      <c r="S106" s="93"/>
    </row>
    <row r="107" outlineLevel="3">
      <c r="A107" s="95"/>
      <c r="B107" s="22"/>
      <c r="C107" s="97"/>
      <c r="D107" s="97"/>
      <c r="E107" s="97"/>
      <c r="F107" s="97"/>
      <c r="G107" s="98"/>
      <c r="H107" s="98"/>
      <c r="I107" s="98"/>
      <c r="J107" s="98"/>
      <c r="K107" s="99"/>
      <c r="L107" s="99"/>
      <c r="M107" s="99" t="str">
        <f t="shared" si="1"/>
        <v>Chưa có kế hoạch</v>
      </c>
      <c r="N107" s="22"/>
      <c r="O107" s="22"/>
      <c r="P107" s="22"/>
      <c r="Q107" s="22"/>
      <c r="R107" s="93"/>
      <c r="S107" s="93"/>
    </row>
    <row r="108" outlineLevel="3">
      <c r="A108" s="95"/>
      <c r="B108" s="22"/>
      <c r="C108" s="97"/>
      <c r="D108" s="97"/>
      <c r="E108" s="97"/>
      <c r="F108" s="97"/>
      <c r="G108" s="98"/>
      <c r="H108" s="98"/>
      <c r="I108" s="98"/>
      <c r="J108" s="98"/>
      <c r="K108" s="99"/>
      <c r="L108" s="99"/>
      <c r="M108" s="99" t="str">
        <f t="shared" si="1"/>
        <v>Chưa có kế hoạch</v>
      </c>
      <c r="N108" s="22"/>
      <c r="O108" s="22"/>
      <c r="P108" s="22"/>
      <c r="Q108" s="22"/>
      <c r="R108" s="93"/>
      <c r="S108" s="93"/>
    </row>
    <row r="109" outlineLevel="3">
      <c r="A109" s="95"/>
      <c r="B109" s="22"/>
      <c r="C109" s="97"/>
      <c r="D109" s="97"/>
      <c r="E109" s="97"/>
      <c r="F109" s="97"/>
      <c r="G109" s="98"/>
      <c r="H109" s="98"/>
      <c r="I109" s="98"/>
      <c r="J109" s="98"/>
      <c r="K109" s="99"/>
      <c r="L109" s="99"/>
      <c r="M109" s="99" t="str">
        <f t="shared" si="1"/>
        <v>Chưa có kế hoạch</v>
      </c>
      <c r="N109" s="22"/>
      <c r="O109" s="22"/>
      <c r="P109" s="22"/>
      <c r="Q109" s="22"/>
      <c r="R109" s="93"/>
      <c r="S109" s="93"/>
    </row>
    <row r="110" outlineLevel="3">
      <c r="A110" s="95"/>
      <c r="B110" s="22"/>
      <c r="C110" s="97"/>
      <c r="D110" s="97"/>
      <c r="E110" s="97"/>
      <c r="F110" s="97"/>
      <c r="G110" s="98"/>
      <c r="H110" s="98"/>
      <c r="I110" s="98"/>
      <c r="J110" s="98"/>
      <c r="K110" s="99"/>
      <c r="L110" s="99"/>
      <c r="M110" s="99" t="str">
        <f t="shared" si="1"/>
        <v>Chưa có kế hoạch</v>
      </c>
      <c r="N110" s="22"/>
      <c r="O110" s="22"/>
      <c r="P110" s="22"/>
      <c r="Q110" s="22"/>
      <c r="R110" s="93"/>
      <c r="S110" s="93"/>
    </row>
    <row r="111" outlineLevel="3">
      <c r="A111" s="95"/>
      <c r="B111" s="22"/>
      <c r="C111" s="97"/>
      <c r="D111" s="97"/>
      <c r="E111" s="97"/>
      <c r="F111" s="97"/>
      <c r="G111" s="98"/>
      <c r="H111" s="98"/>
      <c r="I111" s="98"/>
      <c r="J111" s="98"/>
      <c r="K111" s="99"/>
      <c r="L111" s="99"/>
      <c r="M111" s="99" t="str">
        <f t="shared" si="1"/>
        <v>Chưa có kế hoạch</v>
      </c>
      <c r="N111" s="22"/>
      <c r="O111" s="22"/>
      <c r="P111" s="22"/>
      <c r="Q111" s="22"/>
      <c r="R111" s="93"/>
      <c r="S111" s="93"/>
    </row>
    <row r="112" outlineLevel="3">
      <c r="A112" s="95"/>
      <c r="B112" s="22"/>
      <c r="C112" s="97"/>
      <c r="D112" s="97"/>
      <c r="E112" s="97"/>
      <c r="F112" s="97"/>
      <c r="G112" s="98"/>
      <c r="H112" s="98"/>
      <c r="I112" s="98"/>
      <c r="J112" s="98"/>
      <c r="K112" s="99"/>
      <c r="L112" s="99"/>
      <c r="M112" s="99" t="str">
        <f t="shared" si="1"/>
        <v>Chưa có kế hoạch</v>
      </c>
      <c r="N112" s="22"/>
      <c r="O112" s="22"/>
      <c r="P112" s="22"/>
      <c r="Q112" s="22"/>
      <c r="R112" s="93"/>
      <c r="S112" s="93"/>
    </row>
    <row r="113" outlineLevel="3">
      <c r="A113" s="95"/>
      <c r="B113" s="22"/>
      <c r="C113" s="97"/>
      <c r="D113" s="97"/>
      <c r="E113" s="97"/>
      <c r="F113" s="97"/>
      <c r="G113" s="98"/>
      <c r="H113" s="98"/>
      <c r="I113" s="98"/>
      <c r="J113" s="98"/>
      <c r="K113" s="99"/>
      <c r="L113" s="99"/>
      <c r="M113" s="99" t="str">
        <f t="shared" si="1"/>
        <v>Chưa có kế hoạch</v>
      </c>
      <c r="N113" s="22"/>
      <c r="O113" s="22"/>
      <c r="P113" s="22"/>
      <c r="Q113" s="22"/>
      <c r="R113" s="93"/>
      <c r="S113" s="93"/>
    </row>
    <row r="114" outlineLevel="3">
      <c r="A114" s="95"/>
      <c r="B114" s="22"/>
      <c r="C114" s="97"/>
      <c r="D114" s="97"/>
      <c r="E114" s="97"/>
      <c r="F114" s="97"/>
      <c r="G114" s="98"/>
      <c r="H114" s="98"/>
      <c r="I114" s="98"/>
      <c r="J114" s="98"/>
      <c r="K114" s="99"/>
      <c r="L114" s="99"/>
      <c r="M114" s="99" t="str">
        <f t="shared" si="1"/>
        <v>Chưa có kế hoạch</v>
      </c>
      <c r="N114" s="22"/>
      <c r="O114" s="22"/>
      <c r="P114" s="22"/>
      <c r="Q114" s="22"/>
      <c r="R114" s="93"/>
      <c r="S114" s="93"/>
    </row>
    <row r="115" outlineLevel="3">
      <c r="A115" s="95"/>
      <c r="B115" s="22"/>
      <c r="C115" s="97"/>
      <c r="D115" s="97"/>
      <c r="E115" s="97"/>
      <c r="F115" s="97"/>
      <c r="G115" s="98"/>
      <c r="H115" s="98"/>
      <c r="I115" s="98"/>
      <c r="J115" s="98"/>
      <c r="K115" s="99"/>
      <c r="L115" s="99"/>
      <c r="M115" s="99" t="str">
        <f t="shared" si="1"/>
        <v>Chưa có kế hoạch</v>
      </c>
      <c r="N115" s="22"/>
      <c r="O115" s="22"/>
      <c r="P115" s="22"/>
      <c r="Q115" s="22"/>
      <c r="R115" s="93"/>
      <c r="S115" s="93"/>
    </row>
    <row r="116" outlineLevel="3">
      <c r="A116" s="95"/>
      <c r="B116" s="22"/>
      <c r="C116" s="97"/>
      <c r="D116" s="97"/>
      <c r="E116" s="97"/>
      <c r="F116" s="97"/>
      <c r="G116" s="98"/>
      <c r="H116" s="98"/>
      <c r="I116" s="98"/>
      <c r="J116" s="98"/>
      <c r="K116" s="99"/>
      <c r="L116" s="99"/>
      <c r="M116" s="99" t="str">
        <f t="shared" si="1"/>
        <v>Chưa có kế hoạch</v>
      </c>
      <c r="N116" s="22"/>
      <c r="O116" s="22"/>
      <c r="P116" s="22"/>
      <c r="Q116" s="22"/>
      <c r="R116" s="93"/>
      <c r="S116" s="93"/>
    </row>
    <row r="117" outlineLevel="3">
      <c r="A117" s="95"/>
      <c r="B117" s="22"/>
      <c r="C117" s="97"/>
      <c r="D117" s="97"/>
      <c r="E117" s="97"/>
      <c r="F117" s="97"/>
      <c r="G117" s="98"/>
      <c r="H117" s="98"/>
      <c r="I117" s="98"/>
      <c r="J117" s="98"/>
      <c r="K117" s="99"/>
      <c r="L117" s="99"/>
      <c r="M117" s="99" t="str">
        <f t="shared" si="1"/>
        <v>Chưa có kế hoạch</v>
      </c>
      <c r="N117" s="22"/>
      <c r="O117" s="22"/>
      <c r="P117" s="22"/>
      <c r="Q117" s="22"/>
      <c r="R117" s="93"/>
      <c r="S117" s="93"/>
    </row>
    <row r="118" outlineLevel="3">
      <c r="A118" s="95"/>
      <c r="B118" s="22"/>
      <c r="C118" s="97"/>
      <c r="D118" s="97"/>
      <c r="E118" s="97"/>
      <c r="F118" s="97"/>
      <c r="G118" s="98"/>
      <c r="H118" s="98"/>
      <c r="I118" s="98"/>
      <c r="J118" s="98"/>
      <c r="K118" s="99"/>
      <c r="L118" s="99"/>
      <c r="M118" s="99" t="str">
        <f t="shared" si="1"/>
        <v>Chưa có kế hoạch</v>
      </c>
      <c r="N118" s="22"/>
      <c r="O118" s="22"/>
      <c r="P118" s="22"/>
      <c r="Q118" s="22"/>
      <c r="R118" s="93"/>
      <c r="S118" s="93"/>
    </row>
    <row r="119" outlineLevel="3">
      <c r="A119" s="95"/>
      <c r="B119" s="22"/>
      <c r="C119" s="97"/>
      <c r="D119" s="97"/>
      <c r="E119" s="97"/>
      <c r="F119" s="97"/>
      <c r="G119" s="98"/>
      <c r="H119" s="98"/>
      <c r="I119" s="98"/>
      <c r="J119" s="98"/>
      <c r="K119" s="99"/>
      <c r="L119" s="99"/>
      <c r="M119" s="99" t="str">
        <f t="shared" si="1"/>
        <v>Chưa có kế hoạch</v>
      </c>
      <c r="N119" s="22"/>
      <c r="O119" s="22"/>
      <c r="P119" s="22"/>
      <c r="Q119" s="22"/>
      <c r="R119" s="93"/>
      <c r="S119" s="93"/>
    </row>
    <row r="120" outlineLevel="3">
      <c r="A120" s="95"/>
      <c r="B120" s="22"/>
      <c r="C120" s="97"/>
      <c r="D120" s="97"/>
      <c r="E120" s="97"/>
      <c r="F120" s="97"/>
      <c r="G120" s="98"/>
      <c r="H120" s="98"/>
      <c r="I120" s="98"/>
      <c r="J120" s="98"/>
      <c r="K120" s="99"/>
      <c r="L120" s="99"/>
      <c r="M120" s="99" t="str">
        <f t="shared" si="1"/>
        <v>Chưa có kế hoạch</v>
      </c>
      <c r="N120" s="22"/>
      <c r="O120" s="22"/>
      <c r="P120" s="22"/>
      <c r="Q120" s="22"/>
      <c r="R120" s="93"/>
      <c r="S120" s="93"/>
    </row>
    <row r="121" outlineLevel="3">
      <c r="A121" s="95"/>
      <c r="B121" s="22"/>
      <c r="C121" s="97"/>
      <c r="D121" s="97"/>
      <c r="E121" s="97"/>
      <c r="F121" s="97"/>
      <c r="G121" s="98"/>
      <c r="H121" s="98"/>
      <c r="I121" s="98"/>
      <c r="J121" s="98"/>
      <c r="K121" s="99"/>
      <c r="L121" s="99"/>
      <c r="M121" s="99" t="str">
        <f t="shared" si="1"/>
        <v>Chưa có kế hoạch</v>
      </c>
      <c r="N121" s="22"/>
      <c r="O121" s="22"/>
      <c r="P121" s="22"/>
      <c r="Q121" s="22"/>
      <c r="R121" s="93"/>
      <c r="S121" s="93"/>
    </row>
    <row r="122" outlineLevel="3">
      <c r="A122" s="95"/>
      <c r="B122" s="22"/>
      <c r="C122" s="97"/>
      <c r="D122" s="97"/>
      <c r="E122" s="97"/>
      <c r="F122" s="97"/>
      <c r="G122" s="98"/>
      <c r="H122" s="98"/>
      <c r="I122" s="98"/>
      <c r="J122" s="98"/>
      <c r="K122" s="99"/>
      <c r="L122" s="99"/>
      <c r="M122" s="99" t="str">
        <f t="shared" si="1"/>
        <v>Chưa có kế hoạch</v>
      </c>
      <c r="N122" s="22"/>
      <c r="O122" s="22"/>
      <c r="P122" s="22"/>
      <c r="Q122" s="22"/>
      <c r="R122" s="93"/>
      <c r="S122" s="93"/>
    </row>
    <row r="123" outlineLevel="3">
      <c r="A123" s="95"/>
      <c r="B123" s="22"/>
      <c r="C123" s="97"/>
      <c r="D123" s="97"/>
      <c r="E123" s="97"/>
      <c r="F123" s="97"/>
      <c r="G123" s="98"/>
      <c r="H123" s="98"/>
      <c r="I123" s="98"/>
      <c r="J123" s="98"/>
      <c r="K123" s="99"/>
      <c r="L123" s="99"/>
      <c r="M123" s="99" t="str">
        <f t="shared" si="1"/>
        <v>Chưa có kế hoạch</v>
      </c>
      <c r="N123" s="22"/>
      <c r="O123" s="22"/>
      <c r="P123" s="22"/>
      <c r="Q123" s="22"/>
      <c r="R123" s="93"/>
      <c r="S123" s="93"/>
    </row>
    <row r="124" outlineLevel="3">
      <c r="A124" s="95"/>
      <c r="B124" s="22"/>
      <c r="C124" s="97"/>
      <c r="D124" s="97"/>
      <c r="E124" s="97"/>
      <c r="F124" s="97"/>
      <c r="G124" s="98"/>
      <c r="H124" s="98"/>
      <c r="I124" s="98"/>
      <c r="J124" s="98"/>
      <c r="K124" s="99"/>
      <c r="L124" s="99"/>
      <c r="M124" s="99" t="str">
        <f t="shared" si="1"/>
        <v>Chưa có kế hoạch</v>
      </c>
      <c r="N124" s="22"/>
      <c r="O124" s="22"/>
      <c r="P124" s="22"/>
      <c r="Q124" s="22"/>
      <c r="R124" s="93"/>
      <c r="S124" s="93"/>
    </row>
    <row r="125" outlineLevel="3">
      <c r="A125" s="95"/>
      <c r="B125" s="22"/>
      <c r="C125" s="97"/>
      <c r="D125" s="97"/>
      <c r="E125" s="97"/>
      <c r="F125" s="97"/>
      <c r="G125" s="98"/>
      <c r="H125" s="98"/>
      <c r="I125" s="98"/>
      <c r="J125" s="98"/>
      <c r="K125" s="99"/>
      <c r="L125" s="99"/>
      <c r="M125" s="99" t="str">
        <f t="shared" si="1"/>
        <v>Chưa có kế hoạch</v>
      </c>
      <c r="N125" s="22"/>
      <c r="O125" s="22"/>
      <c r="P125" s="22"/>
      <c r="Q125" s="22"/>
      <c r="R125" s="93"/>
      <c r="S125" s="93"/>
    </row>
    <row r="126" outlineLevel="3">
      <c r="A126" s="95"/>
      <c r="B126" s="22"/>
      <c r="C126" s="97"/>
      <c r="D126" s="97"/>
      <c r="E126" s="97"/>
      <c r="F126" s="97"/>
      <c r="G126" s="98"/>
      <c r="H126" s="98"/>
      <c r="I126" s="98"/>
      <c r="J126" s="98"/>
      <c r="K126" s="99"/>
      <c r="L126" s="99"/>
      <c r="M126" s="99" t="str">
        <f t="shared" si="1"/>
        <v>Chưa có kế hoạch</v>
      </c>
      <c r="N126" s="22"/>
      <c r="O126" s="22"/>
      <c r="P126" s="22"/>
      <c r="Q126" s="22"/>
      <c r="R126" s="93"/>
      <c r="S126" s="93"/>
    </row>
    <row r="127" outlineLevel="3">
      <c r="A127" s="95"/>
      <c r="B127" s="22"/>
      <c r="C127" s="97"/>
      <c r="D127" s="97"/>
      <c r="E127" s="97"/>
      <c r="F127" s="97"/>
      <c r="G127" s="98"/>
      <c r="H127" s="98"/>
      <c r="I127" s="98"/>
      <c r="J127" s="98"/>
      <c r="K127" s="99"/>
      <c r="L127" s="99"/>
      <c r="M127" s="99" t="str">
        <f t="shared" si="1"/>
        <v>Chưa có kế hoạch</v>
      </c>
      <c r="N127" s="22"/>
      <c r="O127" s="22"/>
      <c r="P127" s="22"/>
      <c r="Q127" s="22"/>
      <c r="R127" s="93"/>
      <c r="S127" s="93"/>
    </row>
    <row r="128" outlineLevel="3">
      <c r="A128" s="95"/>
      <c r="B128" s="22"/>
      <c r="C128" s="97"/>
      <c r="D128" s="97"/>
      <c r="E128" s="97"/>
      <c r="F128" s="97"/>
      <c r="G128" s="98"/>
      <c r="H128" s="98"/>
      <c r="I128" s="98"/>
      <c r="J128" s="98"/>
      <c r="K128" s="99"/>
      <c r="L128" s="99"/>
      <c r="M128" s="99" t="str">
        <f t="shared" si="1"/>
        <v>Chưa có kế hoạch</v>
      </c>
      <c r="N128" s="22"/>
      <c r="O128" s="22"/>
      <c r="P128" s="22"/>
      <c r="Q128" s="22"/>
      <c r="R128" s="93"/>
      <c r="S128" s="93"/>
    </row>
    <row r="129" outlineLevel="3">
      <c r="A129" s="95"/>
      <c r="B129" s="22"/>
      <c r="C129" s="97"/>
      <c r="D129" s="97"/>
      <c r="E129" s="97"/>
      <c r="F129" s="97"/>
      <c r="G129" s="98"/>
      <c r="H129" s="98"/>
      <c r="I129" s="98"/>
      <c r="J129" s="98"/>
      <c r="K129" s="99"/>
      <c r="L129" s="99"/>
      <c r="M129" s="99" t="str">
        <f t="shared" si="1"/>
        <v>Chưa có kế hoạch</v>
      </c>
      <c r="N129" s="22"/>
      <c r="O129" s="22"/>
      <c r="P129" s="22"/>
      <c r="Q129" s="22"/>
      <c r="R129" s="93"/>
      <c r="S129" s="93"/>
    </row>
    <row r="130" outlineLevel="3">
      <c r="A130" s="95"/>
      <c r="B130" s="22"/>
      <c r="C130" s="97"/>
      <c r="D130" s="97"/>
      <c r="E130" s="97"/>
      <c r="F130" s="97"/>
      <c r="G130" s="98"/>
      <c r="H130" s="98"/>
      <c r="I130" s="98"/>
      <c r="J130" s="98"/>
      <c r="K130" s="99"/>
      <c r="L130" s="99"/>
      <c r="M130" s="99" t="str">
        <f t="shared" si="1"/>
        <v>Chưa có kế hoạch</v>
      </c>
      <c r="N130" s="22"/>
      <c r="O130" s="22"/>
      <c r="P130" s="22"/>
      <c r="Q130" s="22"/>
      <c r="R130" s="93"/>
      <c r="S130" s="93"/>
    </row>
    <row r="131" outlineLevel="3">
      <c r="A131" s="95"/>
      <c r="B131" s="22"/>
      <c r="C131" s="97"/>
      <c r="D131" s="97"/>
      <c r="E131" s="97"/>
      <c r="F131" s="97"/>
      <c r="G131" s="98"/>
      <c r="H131" s="98"/>
      <c r="I131" s="98"/>
      <c r="J131" s="98"/>
      <c r="K131" s="99"/>
      <c r="L131" s="99"/>
      <c r="M131" s="99" t="str">
        <f t="shared" si="1"/>
        <v>Chưa có kế hoạch</v>
      </c>
      <c r="N131" s="22"/>
      <c r="O131" s="22"/>
      <c r="P131" s="22"/>
      <c r="Q131" s="22"/>
      <c r="R131" s="93"/>
      <c r="S131" s="93"/>
    </row>
    <row r="132" outlineLevel="3">
      <c r="A132" s="95"/>
      <c r="B132" s="22"/>
      <c r="C132" s="97"/>
      <c r="D132" s="97"/>
      <c r="E132" s="97"/>
      <c r="F132" s="97"/>
      <c r="G132" s="98"/>
      <c r="H132" s="98"/>
      <c r="I132" s="98"/>
      <c r="J132" s="98"/>
      <c r="K132" s="99"/>
      <c r="L132" s="99"/>
      <c r="M132" s="99" t="str">
        <f t="shared" si="1"/>
        <v>Chưa có kế hoạch</v>
      </c>
      <c r="N132" s="22"/>
      <c r="O132" s="22"/>
      <c r="P132" s="22"/>
      <c r="Q132" s="22"/>
      <c r="R132" s="93"/>
      <c r="S132" s="93"/>
    </row>
    <row r="133" outlineLevel="3">
      <c r="A133" s="95"/>
      <c r="B133" s="22"/>
      <c r="C133" s="97"/>
      <c r="D133" s="97"/>
      <c r="E133" s="97"/>
      <c r="F133" s="97"/>
      <c r="G133" s="98"/>
      <c r="H133" s="98"/>
      <c r="I133" s="98"/>
      <c r="J133" s="98"/>
      <c r="K133" s="99"/>
      <c r="L133" s="99"/>
      <c r="M133" s="99" t="str">
        <f t="shared" si="1"/>
        <v>Chưa có kế hoạch</v>
      </c>
      <c r="N133" s="22"/>
      <c r="O133" s="22"/>
      <c r="P133" s="22"/>
      <c r="Q133" s="22"/>
      <c r="R133" s="93"/>
      <c r="S133" s="93"/>
    </row>
    <row r="134" outlineLevel="3">
      <c r="A134" s="95"/>
      <c r="B134" s="22"/>
      <c r="C134" s="97"/>
      <c r="D134" s="97"/>
      <c r="E134" s="97"/>
      <c r="F134" s="97"/>
      <c r="G134" s="98"/>
      <c r="H134" s="98"/>
      <c r="I134" s="98"/>
      <c r="J134" s="98"/>
      <c r="K134" s="99"/>
      <c r="L134" s="99"/>
      <c r="M134" s="99" t="str">
        <f t="shared" si="1"/>
        <v>Chưa có kế hoạch</v>
      </c>
      <c r="N134" s="22"/>
      <c r="O134" s="22"/>
      <c r="P134" s="22"/>
      <c r="Q134" s="22"/>
      <c r="R134" s="93"/>
      <c r="S134" s="93"/>
    </row>
    <row r="135" outlineLevel="3">
      <c r="A135" s="95"/>
      <c r="B135" s="22"/>
      <c r="C135" s="97"/>
      <c r="D135" s="97"/>
      <c r="E135" s="97"/>
      <c r="F135" s="97"/>
      <c r="G135" s="98"/>
      <c r="H135" s="98"/>
      <c r="I135" s="98"/>
      <c r="J135" s="98"/>
      <c r="K135" s="99"/>
      <c r="L135" s="99"/>
      <c r="M135" s="99" t="str">
        <f t="shared" si="1"/>
        <v>Chưa có kế hoạch</v>
      </c>
      <c r="N135" s="22"/>
      <c r="O135" s="22"/>
      <c r="P135" s="22"/>
      <c r="Q135" s="22"/>
      <c r="R135" s="93"/>
      <c r="S135" s="93"/>
    </row>
    <row r="136" outlineLevel="3">
      <c r="A136" s="95"/>
      <c r="B136" s="22"/>
      <c r="C136" s="97"/>
      <c r="D136" s="97"/>
      <c r="E136" s="97"/>
      <c r="F136" s="97"/>
      <c r="G136" s="98"/>
      <c r="H136" s="98"/>
      <c r="I136" s="98"/>
      <c r="J136" s="98"/>
      <c r="K136" s="99"/>
      <c r="L136" s="99"/>
      <c r="M136" s="99" t="str">
        <f t="shared" si="1"/>
        <v>Chưa có kế hoạch</v>
      </c>
      <c r="N136" s="22"/>
      <c r="O136" s="22"/>
      <c r="P136" s="22"/>
      <c r="Q136" s="22"/>
      <c r="R136" s="93"/>
      <c r="S136" s="93"/>
    </row>
    <row r="137" outlineLevel="3">
      <c r="A137" s="95"/>
      <c r="B137" s="22"/>
      <c r="C137" s="97"/>
      <c r="D137" s="97"/>
      <c r="E137" s="97"/>
      <c r="F137" s="97"/>
      <c r="G137" s="98"/>
      <c r="H137" s="98"/>
      <c r="I137" s="98"/>
      <c r="J137" s="98"/>
      <c r="K137" s="99"/>
      <c r="L137" s="99"/>
      <c r="M137" s="99" t="str">
        <f t="shared" si="1"/>
        <v>Chưa có kế hoạch</v>
      </c>
      <c r="N137" s="22"/>
      <c r="O137" s="22"/>
      <c r="P137" s="22"/>
      <c r="Q137" s="22"/>
      <c r="R137" s="93"/>
      <c r="S137" s="93"/>
    </row>
    <row r="138" outlineLevel="3">
      <c r="A138" s="95"/>
      <c r="B138" s="22"/>
      <c r="C138" s="97"/>
      <c r="D138" s="97"/>
      <c r="E138" s="97"/>
      <c r="F138" s="97"/>
      <c r="G138" s="98"/>
      <c r="H138" s="98"/>
      <c r="I138" s="98"/>
      <c r="J138" s="98"/>
      <c r="K138" s="99"/>
      <c r="L138" s="99"/>
      <c r="M138" s="99" t="str">
        <f t="shared" si="1"/>
        <v>Chưa có kế hoạch</v>
      </c>
      <c r="N138" s="22"/>
      <c r="O138" s="22"/>
      <c r="P138" s="22"/>
      <c r="Q138" s="22"/>
      <c r="R138" s="93"/>
      <c r="S138" s="93"/>
    </row>
    <row r="139" outlineLevel="3">
      <c r="A139" s="95"/>
      <c r="B139" s="22"/>
      <c r="C139" s="97"/>
      <c r="D139" s="97"/>
      <c r="E139" s="97"/>
      <c r="F139" s="97"/>
      <c r="G139" s="98"/>
      <c r="H139" s="98"/>
      <c r="I139" s="98"/>
      <c r="J139" s="98"/>
      <c r="K139" s="99"/>
      <c r="L139" s="99"/>
      <c r="M139" s="99" t="str">
        <f t="shared" si="1"/>
        <v>Chưa có kế hoạch</v>
      </c>
      <c r="N139" s="22"/>
      <c r="O139" s="22"/>
      <c r="P139" s="22"/>
      <c r="Q139" s="22"/>
      <c r="R139" s="93"/>
      <c r="S139" s="93"/>
    </row>
    <row r="140" outlineLevel="3">
      <c r="A140" s="95"/>
      <c r="B140" s="22"/>
      <c r="C140" s="97"/>
      <c r="D140" s="97"/>
      <c r="E140" s="97"/>
      <c r="F140" s="97"/>
      <c r="G140" s="98"/>
      <c r="H140" s="98"/>
      <c r="I140" s="98"/>
      <c r="J140" s="98"/>
      <c r="K140" s="99"/>
      <c r="L140" s="99"/>
      <c r="M140" s="99" t="str">
        <f t="shared" si="1"/>
        <v>Chưa có kế hoạch</v>
      </c>
      <c r="N140" s="22"/>
      <c r="O140" s="22"/>
      <c r="P140" s="22"/>
      <c r="Q140" s="22"/>
      <c r="R140" s="93"/>
      <c r="S140" s="93"/>
    </row>
    <row r="141" outlineLevel="3">
      <c r="A141" s="95"/>
      <c r="B141" s="22"/>
      <c r="C141" s="97"/>
      <c r="D141" s="97"/>
      <c r="E141" s="97"/>
      <c r="F141" s="97"/>
      <c r="G141" s="98"/>
      <c r="H141" s="98"/>
      <c r="I141" s="98"/>
      <c r="J141" s="98"/>
      <c r="K141" s="99"/>
      <c r="L141" s="99"/>
      <c r="M141" s="99" t="str">
        <f t="shared" si="1"/>
        <v>Chưa có kế hoạch</v>
      </c>
      <c r="N141" s="22"/>
      <c r="O141" s="22"/>
      <c r="P141" s="22"/>
      <c r="Q141" s="22"/>
      <c r="R141" s="93"/>
      <c r="S141" s="93"/>
    </row>
    <row r="142" outlineLevel="3">
      <c r="A142" s="95"/>
      <c r="B142" s="22"/>
      <c r="C142" s="97"/>
      <c r="D142" s="97"/>
      <c r="E142" s="97"/>
      <c r="F142" s="97"/>
      <c r="G142" s="98"/>
      <c r="H142" s="98"/>
      <c r="I142" s="98"/>
      <c r="J142" s="98"/>
      <c r="K142" s="99"/>
      <c r="L142" s="99"/>
      <c r="M142" s="99" t="str">
        <f t="shared" si="1"/>
        <v>Chưa có kế hoạch</v>
      </c>
      <c r="N142" s="22"/>
      <c r="O142" s="22"/>
      <c r="P142" s="22"/>
      <c r="Q142" s="22"/>
      <c r="R142" s="93"/>
      <c r="S142" s="93"/>
    </row>
    <row r="143" outlineLevel="3">
      <c r="A143" s="95"/>
      <c r="B143" s="22"/>
      <c r="C143" s="97"/>
      <c r="D143" s="97"/>
      <c r="E143" s="97"/>
      <c r="F143" s="97"/>
      <c r="G143" s="98"/>
      <c r="H143" s="98"/>
      <c r="I143" s="98"/>
      <c r="J143" s="98"/>
      <c r="K143" s="99"/>
      <c r="L143" s="99"/>
      <c r="M143" s="99" t="str">
        <f t="shared" si="1"/>
        <v>Chưa có kế hoạch</v>
      </c>
      <c r="N143" s="22"/>
      <c r="O143" s="22"/>
      <c r="P143" s="22"/>
      <c r="Q143" s="22"/>
      <c r="R143" s="93"/>
      <c r="S143" s="93"/>
    </row>
    <row r="144" outlineLevel="3">
      <c r="A144" s="95"/>
      <c r="B144" s="22"/>
      <c r="C144" s="97"/>
      <c r="D144" s="97"/>
      <c r="E144" s="97"/>
      <c r="F144" s="97"/>
      <c r="G144" s="98"/>
      <c r="H144" s="98"/>
      <c r="I144" s="98"/>
      <c r="J144" s="98"/>
      <c r="K144" s="99"/>
      <c r="L144" s="99"/>
      <c r="M144" s="99" t="str">
        <f t="shared" si="1"/>
        <v>Chưa có kế hoạch</v>
      </c>
      <c r="N144" s="22"/>
      <c r="O144" s="22"/>
      <c r="P144" s="22"/>
      <c r="Q144" s="22"/>
      <c r="R144" s="93"/>
      <c r="S144" s="93"/>
    </row>
    <row r="145" outlineLevel="3">
      <c r="A145" s="95"/>
      <c r="B145" s="22"/>
      <c r="C145" s="97"/>
      <c r="D145" s="97"/>
      <c r="E145" s="97"/>
      <c r="F145" s="97"/>
      <c r="G145" s="98"/>
      <c r="H145" s="98"/>
      <c r="I145" s="98"/>
      <c r="J145" s="98"/>
      <c r="K145" s="99"/>
      <c r="L145" s="99"/>
      <c r="M145" s="99" t="str">
        <f t="shared" si="1"/>
        <v>Chưa có kế hoạch</v>
      </c>
      <c r="N145" s="22"/>
      <c r="O145" s="22"/>
      <c r="P145" s="22"/>
      <c r="Q145" s="22"/>
      <c r="R145" s="93"/>
      <c r="S145" s="93"/>
    </row>
    <row r="146" outlineLevel="3">
      <c r="A146" s="95"/>
      <c r="B146" s="22"/>
      <c r="C146" s="97"/>
      <c r="D146" s="97"/>
      <c r="E146" s="97"/>
      <c r="F146" s="97"/>
      <c r="G146" s="98"/>
      <c r="H146" s="98"/>
      <c r="I146" s="98"/>
      <c r="J146" s="98"/>
      <c r="K146" s="99"/>
      <c r="L146" s="99"/>
      <c r="M146" s="99" t="str">
        <f t="shared" si="1"/>
        <v>Chưa có kế hoạch</v>
      </c>
      <c r="N146" s="22"/>
      <c r="O146" s="22"/>
      <c r="P146" s="22"/>
      <c r="Q146" s="22"/>
      <c r="R146" s="93"/>
      <c r="S146" s="93"/>
    </row>
    <row r="147" outlineLevel="3">
      <c r="A147" s="95"/>
      <c r="B147" s="22"/>
      <c r="C147" s="97"/>
      <c r="D147" s="97"/>
      <c r="E147" s="97"/>
      <c r="F147" s="97"/>
      <c r="G147" s="98"/>
      <c r="H147" s="98"/>
      <c r="I147" s="98"/>
      <c r="J147" s="98"/>
      <c r="K147" s="99"/>
      <c r="L147" s="99"/>
      <c r="M147" s="99" t="str">
        <f t="shared" si="1"/>
        <v>Chưa có kế hoạch</v>
      </c>
      <c r="N147" s="22"/>
      <c r="O147" s="22"/>
      <c r="P147" s="22"/>
      <c r="Q147" s="22"/>
      <c r="R147" s="93"/>
      <c r="S147" s="93"/>
    </row>
    <row r="148" outlineLevel="3">
      <c r="A148" s="95"/>
      <c r="B148" s="22"/>
      <c r="C148" s="97"/>
      <c r="D148" s="97"/>
      <c r="E148" s="97"/>
      <c r="F148" s="97"/>
      <c r="G148" s="98"/>
      <c r="H148" s="98"/>
      <c r="I148" s="98"/>
      <c r="J148" s="98"/>
      <c r="K148" s="99"/>
      <c r="L148" s="99"/>
      <c r="M148" s="99" t="str">
        <f t="shared" si="1"/>
        <v>Chưa có kế hoạch</v>
      </c>
      <c r="N148" s="22"/>
      <c r="O148" s="22"/>
      <c r="P148" s="22"/>
      <c r="Q148" s="22"/>
      <c r="R148" s="93"/>
      <c r="S148" s="93"/>
    </row>
    <row r="149" outlineLevel="3">
      <c r="A149" s="95"/>
      <c r="B149" s="22"/>
      <c r="C149" s="97"/>
      <c r="D149" s="97"/>
      <c r="E149" s="97"/>
      <c r="F149" s="97"/>
      <c r="G149" s="98"/>
      <c r="H149" s="98"/>
      <c r="I149" s="98"/>
      <c r="J149" s="98"/>
      <c r="K149" s="99"/>
      <c r="L149" s="99"/>
      <c r="M149" s="99" t="str">
        <f t="shared" si="1"/>
        <v>Chưa có kế hoạch</v>
      </c>
      <c r="N149" s="22"/>
      <c r="O149" s="22"/>
      <c r="P149" s="22"/>
      <c r="Q149" s="22"/>
      <c r="R149" s="93"/>
      <c r="S149" s="93"/>
    </row>
    <row r="150" outlineLevel="3">
      <c r="A150" s="95"/>
      <c r="B150" s="22"/>
      <c r="C150" s="97"/>
      <c r="D150" s="97"/>
      <c r="E150" s="97"/>
      <c r="F150" s="97"/>
      <c r="G150" s="98"/>
      <c r="H150" s="98"/>
      <c r="I150" s="98"/>
      <c r="J150" s="98"/>
      <c r="K150" s="99"/>
      <c r="L150" s="99"/>
      <c r="M150" s="99" t="str">
        <f t="shared" si="1"/>
        <v>Chưa có kế hoạch</v>
      </c>
      <c r="N150" s="22"/>
      <c r="O150" s="22"/>
      <c r="P150" s="22"/>
      <c r="Q150" s="22"/>
      <c r="R150" s="93"/>
      <c r="S150" s="93"/>
    </row>
    <row r="151" outlineLevel="3">
      <c r="A151" s="95"/>
      <c r="B151" s="22"/>
      <c r="C151" s="97"/>
      <c r="D151" s="97"/>
      <c r="E151" s="97"/>
      <c r="F151" s="97"/>
      <c r="G151" s="98"/>
      <c r="H151" s="98"/>
      <c r="I151" s="98"/>
      <c r="J151" s="98"/>
      <c r="K151" s="99"/>
      <c r="L151" s="99"/>
      <c r="M151" s="99" t="str">
        <f t="shared" si="1"/>
        <v>Chưa có kế hoạch</v>
      </c>
      <c r="N151" s="22"/>
      <c r="O151" s="22"/>
      <c r="P151" s="22"/>
      <c r="Q151" s="22"/>
      <c r="R151" s="93"/>
      <c r="S151" s="93"/>
    </row>
    <row r="152" outlineLevel="3">
      <c r="A152" s="95"/>
      <c r="B152" s="22"/>
      <c r="C152" s="97"/>
      <c r="D152" s="97"/>
      <c r="E152" s="97"/>
      <c r="F152" s="97"/>
      <c r="G152" s="98"/>
      <c r="H152" s="98"/>
      <c r="I152" s="98"/>
      <c r="J152" s="98"/>
      <c r="K152" s="99"/>
      <c r="L152" s="99"/>
      <c r="M152" s="99" t="str">
        <f t="shared" si="1"/>
        <v>Chưa có kế hoạch</v>
      </c>
      <c r="N152" s="22"/>
      <c r="O152" s="22"/>
      <c r="P152" s="22"/>
      <c r="Q152" s="22"/>
      <c r="R152" s="93"/>
      <c r="S152" s="93"/>
    </row>
    <row r="153" outlineLevel="3">
      <c r="A153" s="95"/>
      <c r="B153" s="22"/>
      <c r="C153" s="97"/>
      <c r="D153" s="97"/>
      <c r="E153" s="97"/>
      <c r="F153" s="97"/>
      <c r="G153" s="98"/>
      <c r="H153" s="98"/>
      <c r="I153" s="98"/>
      <c r="J153" s="98"/>
      <c r="K153" s="99"/>
      <c r="L153" s="99"/>
      <c r="M153" s="99" t="str">
        <f t="shared" si="1"/>
        <v>Chưa có kế hoạch</v>
      </c>
      <c r="N153" s="22"/>
      <c r="O153" s="22"/>
      <c r="P153" s="22"/>
      <c r="Q153" s="22"/>
      <c r="R153" s="93"/>
      <c r="S153" s="93"/>
    </row>
    <row r="154" outlineLevel="3">
      <c r="A154" s="95"/>
      <c r="B154" s="22"/>
      <c r="C154" s="97"/>
      <c r="D154" s="97"/>
      <c r="E154" s="97"/>
      <c r="F154" s="97"/>
      <c r="G154" s="98"/>
      <c r="H154" s="98"/>
      <c r="I154" s="98"/>
      <c r="J154" s="98"/>
      <c r="K154" s="99"/>
      <c r="L154" s="99"/>
      <c r="M154" s="99" t="str">
        <f t="shared" si="1"/>
        <v>Chưa có kế hoạch</v>
      </c>
      <c r="N154" s="22"/>
      <c r="O154" s="22"/>
      <c r="P154" s="22"/>
      <c r="Q154" s="22"/>
      <c r="R154" s="93"/>
      <c r="S154" s="93"/>
    </row>
    <row r="155" outlineLevel="3">
      <c r="A155" s="95"/>
      <c r="B155" s="22"/>
      <c r="C155" s="97"/>
      <c r="D155" s="97"/>
      <c r="E155" s="97"/>
      <c r="F155" s="97"/>
      <c r="G155" s="98"/>
      <c r="H155" s="98"/>
      <c r="I155" s="98"/>
      <c r="J155" s="98"/>
      <c r="K155" s="99"/>
      <c r="L155" s="99"/>
      <c r="M155" s="99" t="str">
        <f t="shared" si="1"/>
        <v>Chưa có kế hoạch</v>
      </c>
      <c r="N155" s="22"/>
      <c r="O155" s="22"/>
      <c r="P155" s="22"/>
      <c r="Q155" s="22"/>
      <c r="R155" s="93"/>
      <c r="S155" s="93"/>
    </row>
    <row r="156" outlineLevel="3">
      <c r="A156" s="95"/>
      <c r="B156" s="22"/>
      <c r="C156" s="97"/>
      <c r="D156" s="97"/>
      <c r="E156" s="97"/>
      <c r="F156" s="97"/>
      <c r="G156" s="98"/>
      <c r="H156" s="98"/>
      <c r="I156" s="98"/>
      <c r="J156" s="98"/>
      <c r="K156" s="99"/>
      <c r="L156" s="99"/>
      <c r="M156" s="99" t="str">
        <f t="shared" si="1"/>
        <v>Chưa có kế hoạch</v>
      </c>
      <c r="N156" s="22"/>
      <c r="O156" s="22"/>
      <c r="P156" s="22"/>
      <c r="Q156" s="22"/>
      <c r="R156" s="93"/>
      <c r="S156" s="93"/>
    </row>
    <row r="157" outlineLevel="3">
      <c r="A157" s="95"/>
      <c r="B157" s="22"/>
      <c r="C157" s="97"/>
      <c r="D157" s="97"/>
      <c r="E157" s="97"/>
      <c r="F157" s="97"/>
      <c r="G157" s="98"/>
      <c r="H157" s="98"/>
      <c r="I157" s="98"/>
      <c r="J157" s="98"/>
      <c r="K157" s="99"/>
      <c r="L157" s="99"/>
      <c r="M157" s="99" t="str">
        <f t="shared" si="1"/>
        <v>Chưa có kế hoạch</v>
      </c>
      <c r="N157" s="22"/>
      <c r="O157" s="22"/>
      <c r="P157" s="22"/>
      <c r="Q157" s="22"/>
      <c r="R157" s="93"/>
      <c r="S157" s="93"/>
    </row>
    <row r="158" outlineLevel="3">
      <c r="A158" s="95"/>
      <c r="B158" s="22"/>
      <c r="C158" s="97"/>
      <c r="D158" s="97"/>
      <c r="E158" s="97"/>
      <c r="F158" s="97"/>
      <c r="G158" s="98"/>
      <c r="H158" s="98"/>
      <c r="I158" s="98"/>
      <c r="J158" s="98"/>
      <c r="K158" s="99"/>
      <c r="L158" s="99"/>
      <c r="M158" s="99" t="str">
        <f t="shared" si="1"/>
        <v>Chưa có kế hoạch</v>
      </c>
      <c r="N158" s="22"/>
      <c r="O158" s="22"/>
      <c r="P158" s="22"/>
      <c r="Q158" s="22"/>
      <c r="R158" s="93"/>
      <c r="S158" s="93"/>
    </row>
    <row r="159" outlineLevel="3">
      <c r="A159" s="95"/>
      <c r="B159" s="22"/>
      <c r="C159" s="97"/>
      <c r="D159" s="97"/>
      <c r="E159" s="97"/>
      <c r="F159" s="97"/>
      <c r="G159" s="98"/>
      <c r="H159" s="98"/>
      <c r="I159" s="98"/>
      <c r="J159" s="98"/>
      <c r="K159" s="99"/>
      <c r="L159" s="99"/>
      <c r="M159" s="99" t="str">
        <f t="shared" si="1"/>
        <v>Chưa có kế hoạch</v>
      </c>
      <c r="N159" s="22"/>
      <c r="O159" s="22"/>
      <c r="P159" s="22"/>
      <c r="Q159" s="22"/>
      <c r="R159" s="93"/>
      <c r="S159" s="93"/>
    </row>
    <row r="160" outlineLevel="3">
      <c r="A160" s="95"/>
      <c r="B160" s="22"/>
      <c r="C160" s="97"/>
      <c r="D160" s="97"/>
      <c r="E160" s="97"/>
      <c r="F160" s="97"/>
      <c r="G160" s="98"/>
      <c r="H160" s="98"/>
      <c r="I160" s="98"/>
      <c r="J160" s="98"/>
      <c r="K160" s="99"/>
      <c r="L160" s="99"/>
      <c r="M160" s="99" t="str">
        <f t="shared" si="1"/>
        <v>Chưa có kế hoạch</v>
      </c>
      <c r="N160" s="22"/>
      <c r="O160" s="22"/>
      <c r="P160" s="22"/>
      <c r="Q160" s="22"/>
      <c r="R160" s="93"/>
      <c r="S160" s="93"/>
    </row>
    <row r="161" outlineLevel="3">
      <c r="A161" s="95"/>
      <c r="B161" s="22"/>
      <c r="C161" s="97"/>
      <c r="D161" s="97"/>
      <c r="E161" s="97"/>
      <c r="F161" s="97"/>
      <c r="G161" s="98"/>
      <c r="H161" s="98"/>
      <c r="I161" s="98"/>
      <c r="J161" s="98"/>
      <c r="K161" s="99"/>
      <c r="L161" s="99"/>
      <c r="M161" s="99" t="str">
        <f t="shared" si="1"/>
        <v>Chưa có kế hoạch</v>
      </c>
      <c r="N161" s="22"/>
      <c r="O161" s="22"/>
      <c r="P161" s="22"/>
      <c r="Q161" s="22"/>
      <c r="R161" s="93"/>
      <c r="S161" s="93"/>
    </row>
    <row r="162" outlineLevel="3">
      <c r="A162" s="95"/>
      <c r="B162" s="22"/>
      <c r="C162" s="97"/>
      <c r="D162" s="97"/>
      <c r="E162" s="97"/>
      <c r="F162" s="97"/>
      <c r="G162" s="98"/>
      <c r="H162" s="98"/>
      <c r="I162" s="98"/>
      <c r="J162" s="98"/>
      <c r="K162" s="99"/>
      <c r="L162" s="99"/>
      <c r="M162" s="99" t="str">
        <f t="shared" si="1"/>
        <v>Chưa có kế hoạch</v>
      </c>
      <c r="N162" s="22"/>
      <c r="O162" s="22"/>
      <c r="P162" s="22"/>
      <c r="Q162" s="22"/>
      <c r="R162" s="93"/>
      <c r="S162" s="93"/>
    </row>
    <row r="163" outlineLevel="3">
      <c r="A163" s="95"/>
      <c r="B163" s="22"/>
      <c r="C163" s="97"/>
      <c r="D163" s="97"/>
      <c r="E163" s="97"/>
      <c r="F163" s="97"/>
      <c r="G163" s="98"/>
      <c r="H163" s="98"/>
      <c r="I163" s="98"/>
      <c r="J163" s="98"/>
      <c r="K163" s="99"/>
      <c r="L163" s="99"/>
      <c r="M163" s="99" t="str">
        <f t="shared" si="1"/>
        <v>Chưa có kế hoạch</v>
      </c>
      <c r="N163" s="22"/>
      <c r="O163" s="22"/>
      <c r="P163" s="22"/>
      <c r="Q163" s="22"/>
      <c r="R163" s="93"/>
      <c r="S163" s="93"/>
    </row>
    <row r="164" outlineLevel="3">
      <c r="A164" s="95"/>
      <c r="B164" s="22"/>
      <c r="C164" s="97"/>
      <c r="D164" s="97"/>
      <c r="E164" s="97"/>
      <c r="F164" s="97"/>
      <c r="G164" s="98"/>
      <c r="H164" s="98"/>
      <c r="I164" s="98"/>
      <c r="J164" s="98"/>
      <c r="K164" s="99"/>
      <c r="L164" s="99"/>
      <c r="M164" s="99" t="str">
        <f t="shared" si="1"/>
        <v>Chưa có kế hoạch</v>
      </c>
      <c r="N164" s="22"/>
      <c r="O164" s="22"/>
      <c r="P164" s="22"/>
      <c r="Q164" s="22"/>
      <c r="R164" s="93"/>
      <c r="S164" s="93"/>
    </row>
    <row r="165" outlineLevel="3">
      <c r="A165" s="95"/>
      <c r="B165" s="22"/>
      <c r="C165" s="97"/>
      <c r="D165" s="97"/>
      <c r="E165" s="97"/>
      <c r="F165" s="97"/>
      <c r="G165" s="98"/>
      <c r="H165" s="98"/>
      <c r="I165" s="98"/>
      <c r="J165" s="98"/>
      <c r="K165" s="99"/>
      <c r="L165" s="99"/>
      <c r="M165" s="99" t="str">
        <f t="shared" si="1"/>
        <v>Chưa có kế hoạch</v>
      </c>
      <c r="N165" s="22"/>
      <c r="O165" s="22"/>
      <c r="P165" s="22"/>
      <c r="Q165" s="22"/>
      <c r="R165" s="93"/>
      <c r="S165" s="93"/>
    </row>
    <row r="166" outlineLevel="3">
      <c r="A166" s="95"/>
      <c r="B166" s="22"/>
      <c r="C166" s="97"/>
      <c r="D166" s="97"/>
      <c r="E166" s="97"/>
      <c r="F166" s="97"/>
      <c r="G166" s="98"/>
      <c r="H166" s="98"/>
      <c r="I166" s="98"/>
      <c r="J166" s="98"/>
      <c r="K166" s="99"/>
      <c r="L166" s="99"/>
      <c r="M166" s="99" t="str">
        <f t="shared" si="1"/>
        <v>Chưa có kế hoạch</v>
      </c>
      <c r="N166" s="22"/>
      <c r="O166" s="22"/>
      <c r="P166" s="22"/>
      <c r="Q166" s="22"/>
      <c r="R166" s="93"/>
      <c r="S166" s="93"/>
    </row>
    <row r="167" outlineLevel="3">
      <c r="A167" s="95"/>
      <c r="B167" s="22"/>
      <c r="C167" s="97"/>
      <c r="D167" s="97"/>
      <c r="E167" s="97"/>
      <c r="F167" s="97"/>
      <c r="G167" s="98"/>
      <c r="H167" s="98"/>
      <c r="I167" s="98"/>
      <c r="J167" s="98"/>
      <c r="K167" s="99"/>
      <c r="L167" s="99"/>
      <c r="M167" s="99" t="str">
        <f t="shared" si="1"/>
        <v>Chưa có kế hoạch</v>
      </c>
      <c r="N167" s="22"/>
      <c r="O167" s="22"/>
      <c r="P167" s="22"/>
      <c r="Q167" s="22"/>
      <c r="R167" s="93"/>
      <c r="S167" s="93"/>
    </row>
    <row r="168" outlineLevel="3">
      <c r="A168" s="95"/>
      <c r="B168" s="22"/>
      <c r="C168" s="97"/>
      <c r="D168" s="97"/>
      <c r="E168" s="97"/>
      <c r="F168" s="97"/>
      <c r="G168" s="98"/>
      <c r="H168" s="98"/>
      <c r="I168" s="98"/>
      <c r="J168" s="98"/>
      <c r="K168" s="99"/>
      <c r="L168" s="99"/>
      <c r="M168" s="99" t="str">
        <f t="shared" si="1"/>
        <v>Chưa có kế hoạch</v>
      </c>
      <c r="N168" s="22"/>
      <c r="O168" s="22"/>
      <c r="P168" s="22"/>
      <c r="Q168" s="22"/>
      <c r="R168" s="93"/>
      <c r="S168" s="93"/>
    </row>
    <row r="169" outlineLevel="3">
      <c r="A169" s="95"/>
      <c r="B169" s="22"/>
      <c r="C169" s="97"/>
      <c r="D169" s="97"/>
      <c r="E169" s="97"/>
      <c r="F169" s="97"/>
      <c r="G169" s="98"/>
      <c r="H169" s="98"/>
      <c r="I169" s="98"/>
      <c r="J169" s="98"/>
      <c r="K169" s="99"/>
      <c r="L169" s="99"/>
      <c r="M169" s="99" t="str">
        <f t="shared" si="1"/>
        <v>Chưa có kế hoạch</v>
      </c>
      <c r="N169" s="22"/>
      <c r="O169" s="22"/>
      <c r="P169" s="22"/>
      <c r="Q169" s="22"/>
      <c r="R169" s="93"/>
      <c r="S169" s="93"/>
    </row>
    <row r="170" outlineLevel="3">
      <c r="A170" s="95"/>
      <c r="B170" s="22"/>
      <c r="C170" s="97"/>
      <c r="D170" s="97"/>
      <c r="E170" s="97"/>
      <c r="F170" s="97"/>
      <c r="G170" s="98"/>
      <c r="H170" s="98"/>
      <c r="I170" s="98"/>
      <c r="J170" s="98"/>
      <c r="K170" s="99"/>
      <c r="L170" s="99"/>
      <c r="M170" s="99" t="str">
        <f t="shared" si="1"/>
        <v>Chưa có kế hoạch</v>
      </c>
      <c r="N170" s="22"/>
      <c r="O170" s="22"/>
      <c r="P170" s="22"/>
      <c r="Q170" s="22"/>
      <c r="R170" s="93"/>
      <c r="S170" s="93"/>
    </row>
    <row r="171" outlineLevel="3">
      <c r="A171" s="95"/>
      <c r="B171" s="22"/>
      <c r="C171" s="97"/>
      <c r="D171" s="97"/>
      <c r="E171" s="97"/>
      <c r="F171" s="97"/>
      <c r="G171" s="98"/>
      <c r="H171" s="98"/>
      <c r="I171" s="98"/>
      <c r="J171" s="98"/>
      <c r="K171" s="99"/>
      <c r="L171" s="99"/>
      <c r="M171" s="99" t="str">
        <f t="shared" si="1"/>
        <v>Chưa có kế hoạch</v>
      </c>
      <c r="N171" s="22"/>
      <c r="O171" s="22"/>
      <c r="P171" s="22"/>
      <c r="Q171" s="22"/>
      <c r="R171" s="93"/>
      <c r="S171" s="93"/>
    </row>
    <row r="172" outlineLevel="3">
      <c r="A172" s="95"/>
      <c r="B172" s="22"/>
      <c r="C172" s="97"/>
      <c r="D172" s="97"/>
      <c r="E172" s="97"/>
      <c r="F172" s="97"/>
      <c r="G172" s="98"/>
      <c r="H172" s="98"/>
      <c r="I172" s="98"/>
      <c r="J172" s="98"/>
      <c r="K172" s="99"/>
      <c r="L172" s="99"/>
      <c r="M172" s="99" t="str">
        <f t="shared" si="1"/>
        <v>Chưa có kế hoạch</v>
      </c>
      <c r="N172" s="22"/>
      <c r="O172" s="22"/>
      <c r="P172" s="22"/>
      <c r="Q172" s="22"/>
      <c r="R172" s="93"/>
      <c r="S172" s="93"/>
    </row>
    <row r="173" outlineLevel="3">
      <c r="A173" s="95"/>
      <c r="B173" s="22"/>
      <c r="C173" s="97"/>
      <c r="D173" s="97"/>
      <c r="E173" s="97"/>
      <c r="F173" s="97"/>
      <c r="G173" s="98"/>
      <c r="H173" s="98"/>
      <c r="I173" s="98"/>
      <c r="J173" s="98"/>
      <c r="K173" s="99"/>
      <c r="L173" s="99"/>
      <c r="M173" s="99" t="str">
        <f t="shared" si="1"/>
        <v>Chưa có kế hoạch</v>
      </c>
      <c r="N173" s="22"/>
      <c r="O173" s="22"/>
      <c r="P173" s="22"/>
      <c r="Q173" s="22"/>
      <c r="R173" s="93"/>
      <c r="S173" s="93"/>
    </row>
    <row r="174" outlineLevel="3">
      <c r="A174" s="95"/>
      <c r="B174" s="22"/>
      <c r="C174" s="97"/>
      <c r="D174" s="97"/>
      <c r="E174" s="97"/>
      <c r="F174" s="97"/>
      <c r="G174" s="98"/>
      <c r="H174" s="98"/>
      <c r="I174" s="98"/>
      <c r="J174" s="98"/>
      <c r="K174" s="99"/>
      <c r="L174" s="99"/>
      <c r="M174" s="99" t="str">
        <f t="shared" si="1"/>
        <v>Chưa có kế hoạch</v>
      </c>
      <c r="N174" s="22"/>
      <c r="O174" s="22"/>
      <c r="P174" s="22"/>
      <c r="Q174" s="22"/>
      <c r="R174" s="93"/>
      <c r="S174" s="93"/>
    </row>
    <row r="175" outlineLevel="3">
      <c r="A175" s="95"/>
      <c r="B175" s="22"/>
      <c r="C175" s="97"/>
      <c r="D175" s="97"/>
      <c r="E175" s="97"/>
      <c r="F175" s="97"/>
      <c r="G175" s="98"/>
      <c r="H175" s="98"/>
      <c r="I175" s="98"/>
      <c r="J175" s="98"/>
      <c r="K175" s="99"/>
      <c r="L175" s="99"/>
      <c r="M175" s="99" t="str">
        <f t="shared" si="1"/>
        <v>Chưa có kế hoạch</v>
      </c>
      <c r="N175" s="22"/>
      <c r="O175" s="22"/>
      <c r="P175" s="22"/>
      <c r="Q175" s="22"/>
      <c r="R175" s="93"/>
      <c r="S175" s="93"/>
    </row>
    <row r="176" outlineLevel="3">
      <c r="A176" s="95"/>
      <c r="B176" s="22"/>
      <c r="C176" s="97"/>
      <c r="D176" s="97"/>
      <c r="E176" s="97"/>
      <c r="F176" s="97"/>
      <c r="G176" s="98"/>
      <c r="H176" s="98"/>
      <c r="I176" s="98"/>
      <c r="J176" s="98"/>
      <c r="K176" s="99"/>
      <c r="L176" s="99"/>
      <c r="M176" s="99" t="str">
        <f t="shared" si="1"/>
        <v>Chưa có kế hoạch</v>
      </c>
      <c r="N176" s="22"/>
      <c r="O176" s="22"/>
      <c r="P176" s="22"/>
      <c r="Q176" s="22"/>
      <c r="R176" s="93"/>
      <c r="S176" s="93"/>
    </row>
    <row r="177" outlineLevel="3">
      <c r="A177" s="95"/>
      <c r="B177" s="22"/>
      <c r="C177" s="97"/>
      <c r="D177" s="97"/>
      <c r="E177" s="97"/>
      <c r="F177" s="97"/>
      <c r="G177" s="98"/>
      <c r="H177" s="98"/>
      <c r="I177" s="98"/>
      <c r="J177" s="98"/>
      <c r="K177" s="99"/>
      <c r="L177" s="99"/>
      <c r="M177" s="99" t="str">
        <f t="shared" si="1"/>
        <v>Chưa có kế hoạch</v>
      </c>
      <c r="N177" s="22"/>
      <c r="O177" s="22"/>
      <c r="P177" s="22"/>
      <c r="Q177" s="22"/>
      <c r="R177" s="93"/>
      <c r="S177" s="93"/>
    </row>
    <row r="178" outlineLevel="3">
      <c r="A178" s="95"/>
      <c r="B178" s="22"/>
      <c r="C178" s="97"/>
      <c r="D178" s="97"/>
      <c r="E178" s="97"/>
      <c r="F178" s="97"/>
      <c r="G178" s="98"/>
      <c r="H178" s="98"/>
      <c r="I178" s="98"/>
      <c r="J178" s="98"/>
      <c r="K178" s="99"/>
      <c r="L178" s="99"/>
      <c r="M178" s="99" t="str">
        <f t="shared" si="1"/>
        <v>Chưa có kế hoạch</v>
      </c>
      <c r="N178" s="22"/>
      <c r="O178" s="22"/>
      <c r="P178" s="22"/>
      <c r="Q178" s="22"/>
      <c r="R178" s="93"/>
      <c r="S178" s="93"/>
    </row>
    <row r="179" outlineLevel="3">
      <c r="A179" s="95"/>
      <c r="B179" s="22"/>
      <c r="C179" s="97"/>
      <c r="D179" s="97"/>
      <c r="E179" s="97"/>
      <c r="F179" s="97"/>
      <c r="G179" s="98"/>
      <c r="H179" s="98"/>
      <c r="I179" s="98"/>
      <c r="J179" s="98"/>
      <c r="K179" s="99"/>
      <c r="L179" s="99"/>
      <c r="M179" s="99" t="str">
        <f t="shared" si="1"/>
        <v>Chưa có kế hoạch</v>
      </c>
      <c r="N179" s="22"/>
      <c r="O179" s="22"/>
      <c r="P179" s="22"/>
      <c r="Q179" s="22"/>
      <c r="R179" s="93"/>
      <c r="S179" s="93"/>
    </row>
    <row r="180" outlineLevel="3">
      <c r="A180" s="95"/>
      <c r="B180" s="22"/>
      <c r="C180" s="97"/>
      <c r="D180" s="97"/>
      <c r="E180" s="97"/>
      <c r="F180" s="97"/>
      <c r="G180" s="98"/>
      <c r="H180" s="98"/>
      <c r="I180" s="98"/>
      <c r="J180" s="98"/>
      <c r="K180" s="99"/>
      <c r="L180" s="99"/>
      <c r="M180" s="99" t="str">
        <f t="shared" si="1"/>
        <v>Chưa có kế hoạch</v>
      </c>
      <c r="N180" s="22"/>
      <c r="O180" s="22"/>
      <c r="P180" s="22"/>
      <c r="Q180" s="22"/>
      <c r="R180" s="93"/>
      <c r="S180" s="93"/>
    </row>
    <row r="181" outlineLevel="3">
      <c r="A181" s="95"/>
      <c r="B181" s="22"/>
      <c r="C181" s="97"/>
      <c r="D181" s="97"/>
      <c r="E181" s="97"/>
      <c r="F181" s="97"/>
      <c r="G181" s="98"/>
      <c r="H181" s="98"/>
      <c r="I181" s="98"/>
      <c r="J181" s="98"/>
      <c r="K181" s="99"/>
      <c r="L181" s="99"/>
      <c r="M181" s="99" t="str">
        <f t="shared" si="1"/>
        <v>Chưa có kế hoạch</v>
      </c>
      <c r="N181" s="22"/>
      <c r="O181" s="22"/>
      <c r="P181" s="22"/>
      <c r="Q181" s="22"/>
      <c r="R181" s="93"/>
      <c r="S181" s="93"/>
    </row>
    <row r="182" outlineLevel="3">
      <c r="A182" s="95"/>
      <c r="B182" s="22"/>
      <c r="C182" s="97"/>
      <c r="D182" s="97"/>
      <c r="E182" s="97"/>
      <c r="F182" s="97"/>
      <c r="G182" s="98"/>
      <c r="H182" s="98"/>
      <c r="I182" s="98"/>
      <c r="J182" s="98"/>
      <c r="K182" s="99"/>
      <c r="L182" s="99"/>
      <c r="M182" s="99" t="str">
        <f t="shared" si="1"/>
        <v>Chưa có kế hoạch</v>
      </c>
      <c r="N182" s="22"/>
      <c r="O182" s="22"/>
      <c r="P182" s="22"/>
      <c r="Q182" s="22"/>
      <c r="R182" s="93"/>
      <c r="S182" s="93"/>
    </row>
    <row r="183" outlineLevel="3">
      <c r="A183" s="95"/>
      <c r="B183" s="22"/>
      <c r="C183" s="97"/>
      <c r="D183" s="97"/>
      <c r="E183" s="97"/>
      <c r="F183" s="97"/>
      <c r="G183" s="98"/>
      <c r="H183" s="98"/>
      <c r="I183" s="98"/>
      <c r="J183" s="98"/>
      <c r="K183" s="99"/>
      <c r="L183" s="99"/>
      <c r="M183" s="99" t="str">
        <f t="shared" si="1"/>
        <v>Chưa có kế hoạch</v>
      </c>
      <c r="N183" s="22"/>
      <c r="O183" s="22"/>
      <c r="P183" s="22"/>
      <c r="Q183" s="22"/>
      <c r="R183" s="93"/>
      <c r="S183" s="93"/>
    </row>
    <row r="184" outlineLevel="3">
      <c r="A184" s="95"/>
      <c r="B184" s="22"/>
      <c r="C184" s="97"/>
      <c r="D184" s="97"/>
      <c r="E184" s="97"/>
      <c r="F184" s="97"/>
      <c r="G184" s="98"/>
      <c r="H184" s="98"/>
      <c r="I184" s="98"/>
      <c r="J184" s="98"/>
      <c r="K184" s="99"/>
      <c r="L184" s="99"/>
      <c r="M184" s="99" t="str">
        <f t="shared" si="1"/>
        <v>Chưa có kế hoạch</v>
      </c>
      <c r="N184" s="22"/>
      <c r="O184" s="22"/>
      <c r="P184" s="22"/>
      <c r="Q184" s="22"/>
      <c r="R184" s="93"/>
      <c r="S184" s="93"/>
    </row>
    <row r="185" outlineLevel="3">
      <c r="A185" s="95"/>
      <c r="B185" s="22"/>
      <c r="C185" s="97"/>
      <c r="D185" s="97"/>
      <c r="E185" s="97"/>
      <c r="F185" s="97"/>
      <c r="G185" s="98"/>
      <c r="H185" s="98"/>
      <c r="I185" s="98"/>
      <c r="J185" s="98"/>
      <c r="K185" s="99"/>
      <c r="L185" s="99"/>
      <c r="M185" s="99" t="str">
        <f t="shared" si="1"/>
        <v>Chưa có kế hoạch</v>
      </c>
      <c r="N185" s="22"/>
      <c r="O185" s="22"/>
      <c r="P185" s="22"/>
      <c r="Q185" s="22"/>
      <c r="R185" s="93"/>
      <c r="S185" s="93"/>
    </row>
    <row r="186" outlineLevel="3">
      <c r="A186" s="95"/>
      <c r="B186" s="22"/>
      <c r="C186" s="97"/>
      <c r="D186" s="97"/>
      <c r="E186" s="97"/>
      <c r="F186" s="97"/>
      <c r="G186" s="98"/>
      <c r="H186" s="98"/>
      <c r="I186" s="98"/>
      <c r="J186" s="98"/>
      <c r="K186" s="99"/>
      <c r="L186" s="99"/>
      <c r="M186" s="99" t="str">
        <f t="shared" si="1"/>
        <v>Chưa có kế hoạch</v>
      </c>
      <c r="N186" s="22"/>
      <c r="O186" s="22"/>
      <c r="P186" s="22"/>
      <c r="Q186" s="22"/>
      <c r="R186" s="93"/>
      <c r="S186" s="93"/>
    </row>
    <row r="187" outlineLevel="3">
      <c r="A187" s="95"/>
      <c r="B187" s="22"/>
      <c r="C187" s="97"/>
      <c r="D187" s="97"/>
      <c r="E187" s="97"/>
      <c r="F187" s="97"/>
      <c r="G187" s="98"/>
      <c r="H187" s="98"/>
      <c r="I187" s="98"/>
      <c r="J187" s="98"/>
      <c r="K187" s="99"/>
      <c r="L187" s="99"/>
      <c r="M187" s="99" t="str">
        <f t="shared" si="1"/>
        <v>Chưa có kế hoạch</v>
      </c>
      <c r="N187" s="22"/>
      <c r="O187" s="22"/>
      <c r="P187" s="22"/>
      <c r="Q187" s="22"/>
      <c r="R187" s="93"/>
      <c r="S187" s="93"/>
    </row>
    <row r="188" outlineLevel="3">
      <c r="A188" s="95"/>
      <c r="B188" s="22"/>
      <c r="C188" s="97"/>
      <c r="D188" s="97"/>
      <c r="E188" s="97"/>
      <c r="F188" s="97"/>
      <c r="G188" s="98"/>
      <c r="H188" s="98"/>
      <c r="I188" s="98"/>
      <c r="J188" s="98"/>
      <c r="K188" s="99"/>
      <c r="L188" s="99"/>
      <c r="M188" s="99" t="str">
        <f t="shared" si="1"/>
        <v>Chưa có kế hoạch</v>
      </c>
      <c r="N188" s="22"/>
      <c r="O188" s="22"/>
      <c r="P188" s="22"/>
      <c r="Q188" s="22"/>
      <c r="R188" s="93"/>
      <c r="S188" s="93"/>
    </row>
    <row r="189" outlineLevel="2">
      <c r="A189" s="95"/>
      <c r="B189" s="22"/>
      <c r="C189" s="97"/>
      <c r="D189" s="97"/>
      <c r="E189" s="102"/>
      <c r="F189" s="97"/>
      <c r="G189" s="98"/>
      <c r="H189" s="98"/>
      <c r="I189" s="98"/>
      <c r="J189" s="98"/>
      <c r="K189" s="99"/>
      <c r="L189" s="22"/>
      <c r="M189" s="99" t="str">
        <f t="shared" si="1"/>
        <v>Chưa có kế hoạch</v>
      </c>
      <c r="N189" s="22"/>
      <c r="O189" s="22"/>
      <c r="P189" s="22"/>
      <c r="Q189" s="22"/>
      <c r="R189" s="93"/>
      <c r="S189" s="93"/>
    </row>
    <row r="190" outlineLevel="3">
      <c r="A190" s="95"/>
      <c r="B190" s="22"/>
      <c r="C190" s="97"/>
      <c r="D190" s="97"/>
      <c r="E190" s="97"/>
      <c r="F190" s="97"/>
      <c r="G190" s="98"/>
      <c r="H190" s="98"/>
      <c r="I190" s="98"/>
      <c r="J190" s="98"/>
      <c r="K190" s="99"/>
      <c r="L190" s="99"/>
      <c r="M190" s="99" t="str">
        <f t="shared" si="1"/>
        <v>Chưa có kế hoạch</v>
      </c>
      <c r="N190" s="22"/>
      <c r="O190" s="22"/>
      <c r="P190" s="22"/>
      <c r="Q190" s="22"/>
      <c r="R190" s="93"/>
      <c r="S190" s="93"/>
    </row>
    <row r="191" outlineLevel="3">
      <c r="A191" s="95"/>
      <c r="B191" s="22"/>
      <c r="C191" s="97"/>
      <c r="D191" s="97"/>
      <c r="E191" s="97"/>
      <c r="F191" s="97"/>
      <c r="G191" s="98"/>
      <c r="H191" s="98"/>
      <c r="I191" s="98"/>
      <c r="J191" s="98"/>
      <c r="K191" s="99"/>
      <c r="L191" s="99"/>
      <c r="M191" s="99" t="str">
        <f t="shared" si="1"/>
        <v>Chưa có kế hoạch</v>
      </c>
      <c r="N191" s="22"/>
      <c r="O191" s="22"/>
      <c r="P191" s="22"/>
      <c r="Q191" s="22"/>
      <c r="R191" s="93"/>
      <c r="S191" s="93"/>
    </row>
    <row r="192" outlineLevel="3">
      <c r="A192" s="95"/>
      <c r="B192" s="22"/>
      <c r="C192" s="97"/>
      <c r="D192" s="97"/>
      <c r="E192" s="97"/>
      <c r="F192" s="97"/>
      <c r="G192" s="98"/>
      <c r="H192" s="98"/>
      <c r="I192" s="98"/>
      <c r="J192" s="98"/>
      <c r="K192" s="99"/>
      <c r="L192" s="99"/>
      <c r="M192" s="99" t="str">
        <f t="shared" si="1"/>
        <v>Chưa có kế hoạch</v>
      </c>
      <c r="N192" s="22"/>
      <c r="O192" s="22"/>
      <c r="P192" s="22"/>
      <c r="Q192" s="22"/>
      <c r="R192" s="93"/>
      <c r="S192" s="93"/>
    </row>
    <row r="193" outlineLevel="3">
      <c r="A193" s="95"/>
      <c r="B193" s="22"/>
      <c r="C193" s="97"/>
      <c r="D193" s="97"/>
      <c r="E193" s="97"/>
      <c r="F193" s="97"/>
      <c r="G193" s="98"/>
      <c r="H193" s="98"/>
      <c r="I193" s="98"/>
      <c r="J193" s="98"/>
      <c r="K193" s="99"/>
      <c r="L193" s="99"/>
      <c r="M193" s="99" t="str">
        <f t="shared" si="1"/>
        <v>Chưa có kế hoạch</v>
      </c>
      <c r="N193" s="22"/>
      <c r="O193" s="22"/>
      <c r="P193" s="22"/>
      <c r="Q193" s="22"/>
      <c r="R193" s="93"/>
      <c r="S193" s="93"/>
    </row>
    <row r="194" outlineLevel="3">
      <c r="A194" s="95"/>
      <c r="B194" s="22"/>
      <c r="C194" s="97"/>
      <c r="D194" s="97"/>
      <c r="E194" s="97"/>
      <c r="F194" s="97"/>
      <c r="G194" s="98"/>
      <c r="H194" s="98"/>
      <c r="I194" s="98"/>
      <c r="J194" s="98"/>
      <c r="K194" s="99"/>
      <c r="L194" s="99"/>
      <c r="M194" s="99" t="str">
        <f t="shared" si="1"/>
        <v>Chưa có kế hoạch</v>
      </c>
      <c r="N194" s="22"/>
      <c r="O194" s="22"/>
      <c r="P194" s="22"/>
      <c r="Q194" s="22"/>
      <c r="R194" s="93"/>
      <c r="S194" s="93"/>
    </row>
    <row r="195" outlineLevel="3">
      <c r="A195" s="95"/>
      <c r="B195" s="22"/>
      <c r="C195" s="97"/>
      <c r="D195" s="97"/>
      <c r="E195" s="97"/>
      <c r="F195" s="97"/>
      <c r="G195" s="98"/>
      <c r="H195" s="98"/>
      <c r="I195" s="98"/>
      <c r="J195" s="98"/>
      <c r="K195" s="99"/>
      <c r="L195" s="99"/>
      <c r="M195" s="99" t="str">
        <f t="shared" si="1"/>
        <v>Chưa có kế hoạch</v>
      </c>
      <c r="N195" s="22"/>
      <c r="O195" s="22"/>
      <c r="P195" s="22"/>
      <c r="Q195" s="22"/>
      <c r="R195" s="93"/>
      <c r="S195" s="93"/>
    </row>
    <row r="196" outlineLevel="3">
      <c r="A196" s="95"/>
      <c r="B196" s="22"/>
      <c r="C196" s="97"/>
      <c r="D196" s="97"/>
      <c r="E196" s="97"/>
      <c r="F196" s="97"/>
      <c r="G196" s="98"/>
      <c r="H196" s="98"/>
      <c r="I196" s="98"/>
      <c r="J196" s="98"/>
      <c r="K196" s="99"/>
      <c r="L196" s="99"/>
      <c r="M196" s="99" t="str">
        <f t="shared" si="1"/>
        <v>Chưa có kế hoạch</v>
      </c>
      <c r="N196" s="22"/>
      <c r="O196" s="22"/>
      <c r="P196" s="22"/>
      <c r="Q196" s="22"/>
      <c r="R196" s="93"/>
      <c r="S196" s="93"/>
    </row>
    <row r="197" outlineLevel="3">
      <c r="A197" s="95"/>
      <c r="B197" s="22"/>
      <c r="C197" s="97"/>
      <c r="D197" s="97"/>
      <c r="E197" s="97"/>
      <c r="F197" s="97"/>
      <c r="G197" s="98"/>
      <c r="H197" s="98"/>
      <c r="I197" s="98"/>
      <c r="J197" s="98"/>
      <c r="K197" s="99"/>
      <c r="L197" s="99"/>
      <c r="M197" s="99" t="str">
        <f t="shared" si="1"/>
        <v>Chưa có kế hoạch</v>
      </c>
      <c r="N197" s="22"/>
      <c r="O197" s="22"/>
      <c r="P197" s="22"/>
      <c r="Q197" s="22"/>
      <c r="R197" s="93"/>
      <c r="S197" s="93"/>
    </row>
    <row r="198" outlineLevel="3">
      <c r="A198" s="95"/>
      <c r="B198" s="22"/>
      <c r="C198" s="97"/>
      <c r="D198" s="97"/>
      <c r="E198" s="97"/>
      <c r="F198" s="97"/>
      <c r="G198" s="98"/>
      <c r="H198" s="98"/>
      <c r="I198" s="98"/>
      <c r="J198" s="98"/>
      <c r="K198" s="99"/>
      <c r="L198" s="99"/>
      <c r="M198" s="99" t="str">
        <f t="shared" si="1"/>
        <v>Chưa có kế hoạch</v>
      </c>
      <c r="N198" s="22"/>
      <c r="O198" s="22"/>
      <c r="P198" s="22"/>
      <c r="Q198" s="22"/>
      <c r="R198" s="93"/>
      <c r="S198" s="93"/>
    </row>
    <row r="199" outlineLevel="3">
      <c r="A199" s="95"/>
      <c r="B199" s="22"/>
      <c r="C199" s="97"/>
      <c r="D199" s="97"/>
      <c r="E199" s="97"/>
      <c r="F199" s="97"/>
      <c r="G199" s="98"/>
      <c r="H199" s="98"/>
      <c r="I199" s="98"/>
      <c r="J199" s="98"/>
      <c r="K199" s="99"/>
      <c r="L199" s="99"/>
      <c r="M199" s="99" t="str">
        <f t="shared" si="1"/>
        <v>Chưa có kế hoạch</v>
      </c>
      <c r="N199" s="22"/>
      <c r="O199" s="22"/>
      <c r="P199" s="22"/>
      <c r="Q199" s="22"/>
      <c r="R199" s="93"/>
      <c r="S199" s="93"/>
    </row>
    <row r="200" outlineLevel="3">
      <c r="A200" s="95"/>
      <c r="B200" s="22"/>
      <c r="C200" s="97"/>
      <c r="D200" s="97"/>
      <c r="E200" s="97"/>
      <c r="F200" s="97"/>
      <c r="G200" s="98"/>
      <c r="H200" s="98"/>
      <c r="I200" s="98"/>
      <c r="J200" s="98"/>
      <c r="K200" s="99"/>
      <c r="L200" s="99"/>
      <c r="M200" s="99" t="str">
        <f t="shared" si="1"/>
        <v>Chưa có kế hoạch</v>
      </c>
      <c r="N200" s="22"/>
      <c r="O200" s="22"/>
      <c r="P200" s="22"/>
      <c r="Q200" s="22"/>
      <c r="R200" s="93"/>
      <c r="S200" s="93"/>
    </row>
    <row r="201" outlineLevel="3">
      <c r="A201" s="95"/>
      <c r="B201" s="22"/>
      <c r="C201" s="97"/>
      <c r="D201" s="97"/>
      <c r="E201" s="97"/>
      <c r="F201" s="97"/>
      <c r="G201" s="98"/>
      <c r="H201" s="98"/>
      <c r="I201" s="98"/>
      <c r="J201" s="98"/>
      <c r="K201" s="99"/>
      <c r="L201" s="99"/>
      <c r="M201" s="99" t="str">
        <f t="shared" si="1"/>
        <v>Chưa có kế hoạch</v>
      </c>
      <c r="N201" s="22"/>
      <c r="O201" s="22"/>
      <c r="P201" s="22"/>
      <c r="Q201" s="22"/>
      <c r="R201" s="93"/>
      <c r="S201" s="93"/>
    </row>
    <row r="202" outlineLevel="3">
      <c r="A202" s="95"/>
      <c r="B202" s="22"/>
      <c r="C202" s="97"/>
      <c r="D202" s="97"/>
      <c r="E202" s="97"/>
      <c r="F202" s="97"/>
      <c r="G202" s="98"/>
      <c r="H202" s="98"/>
      <c r="I202" s="98"/>
      <c r="J202" s="98"/>
      <c r="K202" s="99"/>
      <c r="L202" s="99"/>
      <c r="M202" s="99" t="str">
        <f t="shared" si="1"/>
        <v>Chưa có kế hoạch</v>
      </c>
      <c r="N202" s="22"/>
      <c r="O202" s="22"/>
      <c r="P202" s="22"/>
      <c r="Q202" s="22"/>
      <c r="R202" s="93"/>
      <c r="S202" s="93"/>
    </row>
    <row r="203" outlineLevel="3">
      <c r="A203" s="95"/>
      <c r="B203" s="22"/>
      <c r="C203" s="97"/>
      <c r="D203" s="97"/>
      <c r="E203" s="97"/>
      <c r="F203" s="97"/>
      <c r="G203" s="98"/>
      <c r="H203" s="98"/>
      <c r="I203" s="98"/>
      <c r="J203" s="98"/>
      <c r="K203" s="99"/>
      <c r="L203" s="99"/>
      <c r="M203" s="99" t="str">
        <f t="shared" si="1"/>
        <v>Chưa có kế hoạch</v>
      </c>
      <c r="N203" s="22"/>
      <c r="O203" s="22"/>
      <c r="P203" s="22"/>
      <c r="Q203" s="22"/>
      <c r="R203" s="93"/>
      <c r="S203" s="93"/>
    </row>
    <row r="204" outlineLevel="3">
      <c r="A204" s="95"/>
      <c r="B204" s="22"/>
      <c r="C204" s="97"/>
      <c r="D204" s="97"/>
      <c r="E204" s="97"/>
      <c r="F204" s="97"/>
      <c r="G204" s="98"/>
      <c r="H204" s="98"/>
      <c r="I204" s="98"/>
      <c r="J204" s="98"/>
      <c r="K204" s="99"/>
      <c r="L204" s="99"/>
      <c r="M204" s="99" t="str">
        <f t="shared" si="1"/>
        <v>Chưa có kế hoạch</v>
      </c>
      <c r="N204" s="22"/>
      <c r="O204" s="22"/>
      <c r="P204" s="22"/>
      <c r="Q204" s="22"/>
      <c r="R204" s="93"/>
      <c r="S204" s="93"/>
    </row>
    <row r="205" outlineLevel="3">
      <c r="A205" s="95"/>
      <c r="B205" s="22"/>
      <c r="C205" s="97"/>
      <c r="D205" s="97"/>
      <c r="E205" s="97"/>
      <c r="F205" s="97"/>
      <c r="G205" s="98"/>
      <c r="H205" s="98"/>
      <c r="I205" s="98"/>
      <c r="J205" s="98"/>
      <c r="K205" s="99"/>
      <c r="L205" s="99"/>
      <c r="M205" s="99" t="str">
        <f t="shared" si="1"/>
        <v>Chưa có kế hoạch</v>
      </c>
      <c r="N205" s="22"/>
      <c r="O205" s="22"/>
      <c r="P205" s="22"/>
      <c r="Q205" s="22"/>
      <c r="R205" s="93"/>
      <c r="S205" s="93"/>
    </row>
    <row r="206" outlineLevel="3">
      <c r="A206" s="95"/>
      <c r="B206" s="22"/>
      <c r="C206" s="97"/>
      <c r="D206" s="97"/>
      <c r="E206" s="97"/>
      <c r="F206" s="97"/>
      <c r="G206" s="98"/>
      <c r="H206" s="98"/>
      <c r="I206" s="98"/>
      <c r="J206" s="98"/>
      <c r="K206" s="99"/>
      <c r="L206" s="99"/>
      <c r="M206" s="99" t="str">
        <f t="shared" si="1"/>
        <v>Chưa có kế hoạch</v>
      </c>
      <c r="N206" s="22"/>
      <c r="O206" s="22"/>
      <c r="P206" s="22"/>
      <c r="Q206" s="22"/>
      <c r="R206" s="93"/>
      <c r="S206" s="93"/>
    </row>
    <row r="207" outlineLevel="3">
      <c r="A207" s="95"/>
      <c r="B207" s="22"/>
      <c r="C207" s="97"/>
      <c r="D207" s="97"/>
      <c r="E207" s="97"/>
      <c r="F207" s="97"/>
      <c r="G207" s="98"/>
      <c r="H207" s="98"/>
      <c r="I207" s="98"/>
      <c r="J207" s="98"/>
      <c r="K207" s="99"/>
      <c r="L207" s="99"/>
      <c r="M207" s="99" t="str">
        <f t="shared" si="1"/>
        <v>Chưa có kế hoạch</v>
      </c>
      <c r="N207" s="22"/>
      <c r="O207" s="22"/>
      <c r="P207" s="22"/>
      <c r="Q207" s="22"/>
      <c r="R207" s="93"/>
      <c r="S207" s="93"/>
    </row>
    <row r="208" outlineLevel="3">
      <c r="A208" s="95"/>
      <c r="B208" s="22"/>
      <c r="C208" s="97"/>
      <c r="D208" s="97"/>
      <c r="E208" s="97"/>
      <c r="F208" s="97"/>
      <c r="G208" s="98"/>
      <c r="H208" s="98"/>
      <c r="I208" s="98"/>
      <c r="J208" s="98"/>
      <c r="K208" s="99"/>
      <c r="L208" s="99"/>
      <c r="M208" s="99" t="str">
        <f t="shared" si="1"/>
        <v>Chưa có kế hoạch</v>
      </c>
      <c r="N208" s="22"/>
      <c r="O208" s="22"/>
      <c r="P208" s="22"/>
      <c r="Q208" s="22"/>
      <c r="R208" s="93"/>
      <c r="S208" s="93"/>
    </row>
    <row r="209" outlineLevel="3">
      <c r="A209" s="95"/>
      <c r="B209" s="22"/>
      <c r="C209" s="97"/>
      <c r="D209" s="97"/>
      <c r="E209" s="97"/>
      <c r="F209" s="97"/>
      <c r="G209" s="98"/>
      <c r="H209" s="98"/>
      <c r="I209" s="98"/>
      <c r="J209" s="98"/>
      <c r="K209" s="99"/>
      <c r="L209" s="99"/>
      <c r="M209" s="99" t="str">
        <f t="shared" si="1"/>
        <v>Chưa có kế hoạch</v>
      </c>
      <c r="N209" s="22"/>
      <c r="O209" s="22"/>
      <c r="P209" s="22"/>
      <c r="Q209" s="22"/>
      <c r="R209" s="93"/>
      <c r="S209" s="93"/>
    </row>
    <row r="210" outlineLevel="3">
      <c r="A210" s="95"/>
      <c r="B210" s="22"/>
      <c r="C210" s="97"/>
      <c r="D210" s="97"/>
      <c r="E210" s="97"/>
      <c r="F210" s="97"/>
      <c r="G210" s="98"/>
      <c r="H210" s="98"/>
      <c r="I210" s="98"/>
      <c r="J210" s="98"/>
      <c r="K210" s="99"/>
      <c r="L210" s="99"/>
      <c r="M210" s="99" t="str">
        <f t="shared" si="1"/>
        <v>Chưa có kế hoạch</v>
      </c>
      <c r="N210" s="22"/>
      <c r="O210" s="22"/>
      <c r="P210" s="22"/>
      <c r="Q210" s="22"/>
      <c r="R210" s="93"/>
      <c r="S210" s="93"/>
    </row>
    <row r="211" outlineLevel="3">
      <c r="A211" s="95"/>
      <c r="B211" s="22"/>
      <c r="C211" s="97"/>
      <c r="D211" s="97"/>
      <c r="E211" s="97"/>
      <c r="F211" s="97"/>
      <c r="G211" s="98"/>
      <c r="H211" s="98"/>
      <c r="I211" s="98"/>
      <c r="J211" s="98"/>
      <c r="K211" s="99"/>
      <c r="L211" s="99"/>
      <c r="M211" s="99" t="str">
        <f t="shared" si="1"/>
        <v>Chưa có kế hoạch</v>
      </c>
      <c r="N211" s="22"/>
      <c r="O211" s="22"/>
      <c r="P211" s="22"/>
      <c r="Q211" s="22"/>
      <c r="R211" s="93"/>
      <c r="S211" s="93"/>
    </row>
    <row r="212" outlineLevel="3">
      <c r="A212" s="95"/>
      <c r="B212" s="22"/>
      <c r="C212" s="97"/>
      <c r="D212" s="97"/>
      <c r="E212" s="97"/>
      <c r="F212" s="97"/>
      <c r="G212" s="98"/>
      <c r="H212" s="98"/>
      <c r="I212" s="98"/>
      <c r="J212" s="98"/>
      <c r="K212" s="99"/>
      <c r="L212" s="99"/>
      <c r="M212" s="99" t="str">
        <f t="shared" si="1"/>
        <v>Chưa có kế hoạch</v>
      </c>
      <c r="N212" s="22"/>
      <c r="O212" s="22"/>
      <c r="P212" s="22"/>
      <c r="Q212" s="22"/>
      <c r="R212" s="93"/>
      <c r="S212" s="93"/>
    </row>
    <row r="213" outlineLevel="3">
      <c r="A213" s="95"/>
      <c r="B213" s="22"/>
      <c r="C213" s="97"/>
      <c r="D213" s="97"/>
      <c r="E213" s="97"/>
      <c r="F213" s="97"/>
      <c r="G213" s="98"/>
      <c r="H213" s="98"/>
      <c r="I213" s="98"/>
      <c r="J213" s="98"/>
      <c r="K213" s="99"/>
      <c r="L213" s="99"/>
      <c r="M213" s="99" t="str">
        <f t="shared" si="1"/>
        <v>Chưa có kế hoạch</v>
      </c>
      <c r="N213" s="22"/>
      <c r="O213" s="22"/>
      <c r="P213" s="22"/>
      <c r="Q213" s="22"/>
      <c r="R213" s="93"/>
      <c r="S213" s="93"/>
    </row>
    <row r="214" outlineLevel="2">
      <c r="A214" s="95"/>
      <c r="B214" s="22"/>
      <c r="C214" s="97"/>
      <c r="D214" s="97"/>
      <c r="E214" s="102"/>
      <c r="F214" s="97"/>
      <c r="G214" s="98"/>
      <c r="H214" s="98"/>
      <c r="I214" s="98"/>
      <c r="J214" s="98"/>
      <c r="K214" s="99"/>
      <c r="L214" s="99"/>
      <c r="M214" s="99" t="str">
        <f t="shared" si="1"/>
        <v>Chưa có kế hoạch</v>
      </c>
      <c r="N214" s="22"/>
      <c r="O214" s="22"/>
      <c r="P214" s="22"/>
      <c r="Q214" s="22"/>
      <c r="R214" s="93"/>
      <c r="S214" s="93"/>
    </row>
    <row r="215" outlineLevel="3">
      <c r="A215" s="95"/>
      <c r="B215" s="22"/>
      <c r="C215" s="97"/>
      <c r="D215" s="97"/>
      <c r="E215" s="97"/>
      <c r="F215" s="97"/>
      <c r="G215" s="98"/>
      <c r="H215" s="98"/>
      <c r="I215" s="98"/>
      <c r="J215" s="98"/>
      <c r="K215" s="99"/>
      <c r="L215" s="99"/>
      <c r="M215" s="99" t="str">
        <f t="shared" si="1"/>
        <v>Chưa có kế hoạch</v>
      </c>
      <c r="N215" s="22"/>
      <c r="O215" s="22"/>
      <c r="P215" s="22"/>
      <c r="Q215" s="22"/>
      <c r="R215" s="93"/>
      <c r="S215" s="93"/>
    </row>
    <row r="216" outlineLevel="3">
      <c r="A216" s="95"/>
      <c r="B216" s="22"/>
      <c r="C216" s="97"/>
      <c r="D216" s="97"/>
      <c r="E216" s="97"/>
      <c r="F216" s="97"/>
      <c r="G216" s="98"/>
      <c r="H216" s="98"/>
      <c r="I216" s="98"/>
      <c r="J216" s="98"/>
      <c r="K216" s="99"/>
      <c r="L216" s="99"/>
      <c r="M216" s="99" t="str">
        <f t="shared" si="1"/>
        <v>Chưa có kế hoạch</v>
      </c>
      <c r="N216" s="22"/>
      <c r="O216" s="22"/>
      <c r="P216" s="22"/>
      <c r="Q216" s="22"/>
      <c r="R216" s="93"/>
      <c r="S216" s="93"/>
    </row>
    <row r="217" outlineLevel="3">
      <c r="A217" s="95"/>
      <c r="B217" s="22"/>
      <c r="C217" s="97"/>
      <c r="D217" s="97"/>
      <c r="E217" s="97"/>
      <c r="F217" s="97"/>
      <c r="G217" s="98"/>
      <c r="H217" s="98"/>
      <c r="I217" s="98"/>
      <c r="J217" s="98"/>
      <c r="K217" s="99"/>
      <c r="L217" s="99"/>
      <c r="M217" s="99" t="str">
        <f t="shared" si="1"/>
        <v>Chưa có kế hoạch</v>
      </c>
      <c r="N217" s="22"/>
      <c r="O217" s="22"/>
      <c r="P217" s="22"/>
      <c r="Q217" s="22"/>
      <c r="R217" s="93"/>
      <c r="S217" s="93"/>
    </row>
    <row r="218" outlineLevel="2">
      <c r="A218" s="95"/>
      <c r="B218" s="22"/>
      <c r="C218" s="97"/>
      <c r="D218" s="97"/>
      <c r="E218" s="97"/>
      <c r="F218" s="97"/>
      <c r="G218" s="98"/>
      <c r="H218" s="98"/>
      <c r="I218" s="98"/>
      <c r="J218" s="98"/>
      <c r="K218" s="99"/>
      <c r="L218" s="22"/>
      <c r="M218" s="99" t="str">
        <f t="shared" si="1"/>
        <v>Chưa có kế hoạch</v>
      </c>
      <c r="N218" s="22"/>
      <c r="O218" s="22"/>
      <c r="P218" s="22"/>
      <c r="Q218" s="22"/>
      <c r="R218" s="93"/>
      <c r="S218" s="93"/>
    </row>
    <row r="219" outlineLevel="3">
      <c r="A219" s="95"/>
      <c r="B219" s="22"/>
      <c r="C219" s="97"/>
      <c r="D219" s="97"/>
      <c r="E219" s="97"/>
      <c r="F219" s="97"/>
      <c r="G219" s="98"/>
      <c r="H219" s="98"/>
      <c r="I219" s="98"/>
      <c r="J219" s="98"/>
      <c r="K219" s="99"/>
      <c r="L219" s="99"/>
      <c r="M219" s="99" t="str">
        <f t="shared" si="1"/>
        <v>Chưa có kế hoạch</v>
      </c>
      <c r="N219" s="22"/>
      <c r="O219" s="22"/>
      <c r="P219" s="22"/>
      <c r="Q219" s="22"/>
      <c r="R219" s="93"/>
      <c r="S219" s="93"/>
    </row>
    <row r="220" outlineLevel="3">
      <c r="A220" s="95"/>
      <c r="B220" s="22"/>
      <c r="C220" s="97"/>
      <c r="D220" s="97"/>
      <c r="E220" s="97"/>
      <c r="F220" s="97"/>
      <c r="G220" s="98"/>
      <c r="H220" s="98"/>
      <c r="I220" s="98"/>
      <c r="J220" s="98"/>
      <c r="K220" s="99"/>
      <c r="L220" s="99"/>
      <c r="M220" s="99" t="str">
        <f t="shared" si="1"/>
        <v>Chưa có kế hoạch</v>
      </c>
      <c r="N220" s="22"/>
      <c r="O220" s="22"/>
      <c r="P220" s="22"/>
      <c r="Q220" s="22"/>
      <c r="R220" s="93"/>
      <c r="S220" s="93"/>
    </row>
    <row r="221" outlineLevel="3">
      <c r="A221" s="95"/>
      <c r="B221" s="22"/>
      <c r="C221" s="97"/>
      <c r="D221" s="97"/>
      <c r="E221" s="97"/>
      <c r="F221" s="97"/>
      <c r="G221" s="98"/>
      <c r="H221" s="98"/>
      <c r="I221" s="98"/>
      <c r="J221" s="98"/>
      <c r="K221" s="99"/>
      <c r="L221" s="99"/>
      <c r="M221" s="99" t="str">
        <f t="shared" si="1"/>
        <v>Chưa có kế hoạch</v>
      </c>
      <c r="N221" s="22"/>
      <c r="O221" s="22"/>
      <c r="P221" s="22"/>
      <c r="Q221" s="22"/>
      <c r="R221" s="93"/>
      <c r="S221" s="93"/>
    </row>
    <row r="222" outlineLevel="3">
      <c r="A222" s="95"/>
      <c r="B222" s="22"/>
      <c r="C222" s="97"/>
      <c r="D222" s="97"/>
      <c r="E222" s="97"/>
      <c r="F222" s="97"/>
      <c r="G222" s="98"/>
      <c r="H222" s="98"/>
      <c r="I222" s="98"/>
      <c r="J222" s="98"/>
      <c r="K222" s="99"/>
      <c r="L222" s="99"/>
      <c r="M222" s="99" t="str">
        <f t="shared" si="1"/>
        <v>Chưa có kế hoạch</v>
      </c>
      <c r="N222" s="22"/>
      <c r="O222" s="22"/>
      <c r="P222" s="22"/>
      <c r="Q222" s="22"/>
      <c r="R222" s="93"/>
      <c r="S222" s="93"/>
    </row>
    <row r="223" outlineLevel="3">
      <c r="A223" s="95"/>
      <c r="B223" s="22"/>
      <c r="C223" s="97"/>
      <c r="D223" s="97"/>
      <c r="E223" s="97"/>
      <c r="F223" s="97"/>
      <c r="G223" s="98"/>
      <c r="H223" s="98"/>
      <c r="I223" s="98"/>
      <c r="J223" s="98"/>
      <c r="K223" s="99"/>
      <c r="L223" s="99"/>
      <c r="M223" s="99" t="str">
        <f t="shared" si="1"/>
        <v>Chưa có kế hoạch</v>
      </c>
      <c r="N223" s="22"/>
      <c r="O223" s="22"/>
      <c r="P223" s="22"/>
      <c r="Q223" s="22"/>
      <c r="R223" s="93"/>
      <c r="S223" s="93"/>
    </row>
    <row r="224" outlineLevel="3">
      <c r="A224" s="95"/>
      <c r="B224" s="22"/>
      <c r="C224" s="97"/>
      <c r="D224" s="97"/>
      <c r="E224" s="97"/>
      <c r="F224" s="97"/>
      <c r="G224" s="98"/>
      <c r="H224" s="98"/>
      <c r="I224" s="98"/>
      <c r="J224" s="98"/>
      <c r="K224" s="99"/>
      <c r="L224" s="99"/>
      <c r="M224" s="99" t="str">
        <f t="shared" si="1"/>
        <v>Chưa có kế hoạch</v>
      </c>
      <c r="N224" s="22"/>
      <c r="O224" s="22"/>
      <c r="P224" s="22"/>
      <c r="Q224" s="22"/>
      <c r="R224" s="93"/>
      <c r="S224" s="93"/>
    </row>
    <row r="225" outlineLevel="3">
      <c r="A225" s="95"/>
      <c r="B225" s="22"/>
      <c r="C225" s="97"/>
      <c r="D225" s="97"/>
      <c r="E225" s="97"/>
      <c r="F225" s="97"/>
      <c r="G225" s="98"/>
      <c r="H225" s="98"/>
      <c r="I225" s="98"/>
      <c r="J225" s="98"/>
      <c r="K225" s="99"/>
      <c r="L225" s="99"/>
      <c r="M225" s="99" t="str">
        <f t="shared" si="1"/>
        <v>Chưa có kế hoạch</v>
      </c>
      <c r="N225" s="22"/>
      <c r="O225" s="22"/>
      <c r="P225" s="22"/>
      <c r="Q225" s="22"/>
      <c r="R225" s="93"/>
      <c r="S225" s="93"/>
    </row>
    <row r="226" outlineLevel="3">
      <c r="A226" s="95"/>
      <c r="B226" s="22"/>
      <c r="C226" s="97"/>
      <c r="D226" s="97"/>
      <c r="E226" s="97"/>
      <c r="F226" s="97"/>
      <c r="G226" s="98"/>
      <c r="H226" s="98"/>
      <c r="I226" s="98"/>
      <c r="J226" s="98"/>
      <c r="K226" s="99"/>
      <c r="L226" s="99"/>
      <c r="M226" s="99" t="str">
        <f t="shared" si="1"/>
        <v>Chưa có kế hoạch</v>
      </c>
      <c r="N226" s="22"/>
      <c r="O226" s="22"/>
      <c r="P226" s="22"/>
      <c r="Q226" s="22"/>
      <c r="R226" s="93"/>
      <c r="S226" s="93"/>
    </row>
    <row r="227" outlineLevel="3">
      <c r="A227" s="95"/>
      <c r="B227" s="22"/>
      <c r="C227" s="97"/>
      <c r="D227" s="97"/>
      <c r="E227" s="97"/>
      <c r="F227" s="97"/>
      <c r="G227" s="98"/>
      <c r="H227" s="98"/>
      <c r="I227" s="98"/>
      <c r="J227" s="98"/>
      <c r="K227" s="99"/>
      <c r="L227" s="99"/>
      <c r="M227" s="99" t="str">
        <f t="shared" si="1"/>
        <v>Chưa có kế hoạch</v>
      </c>
      <c r="N227" s="22"/>
      <c r="O227" s="22"/>
      <c r="P227" s="22"/>
      <c r="Q227" s="22"/>
      <c r="R227" s="93"/>
      <c r="S227" s="93"/>
    </row>
    <row r="228" outlineLevel="3">
      <c r="A228" s="95"/>
      <c r="B228" s="22"/>
      <c r="C228" s="97"/>
      <c r="D228" s="97"/>
      <c r="E228" s="97"/>
      <c r="F228" s="97"/>
      <c r="G228" s="98"/>
      <c r="H228" s="98"/>
      <c r="I228" s="98"/>
      <c r="J228" s="98"/>
      <c r="K228" s="99"/>
      <c r="L228" s="99"/>
      <c r="M228" s="99" t="str">
        <f t="shared" si="1"/>
        <v>Chưa có kế hoạch</v>
      </c>
      <c r="N228" s="22"/>
      <c r="O228" s="22"/>
      <c r="P228" s="22"/>
      <c r="Q228" s="22"/>
      <c r="R228" s="93"/>
      <c r="S228" s="93"/>
    </row>
    <row r="229" outlineLevel="2">
      <c r="A229" s="95"/>
      <c r="B229" s="22"/>
      <c r="C229" s="97"/>
      <c r="D229" s="97"/>
      <c r="E229" s="97"/>
      <c r="F229" s="97"/>
      <c r="G229" s="98"/>
      <c r="H229" s="98"/>
      <c r="I229" s="98"/>
      <c r="J229" s="98"/>
      <c r="K229" s="99"/>
      <c r="L229" s="99"/>
      <c r="M229" s="99" t="str">
        <f t="shared" si="1"/>
        <v>Chưa có kế hoạch</v>
      </c>
      <c r="N229" s="22"/>
      <c r="O229" s="22"/>
      <c r="P229" s="22"/>
      <c r="Q229" s="22"/>
      <c r="R229" s="93"/>
      <c r="S229" s="93"/>
    </row>
    <row r="230" outlineLevel="3">
      <c r="A230" s="95"/>
      <c r="B230" s="22"/>
      <c r="C230" s="97"/>
      <c r="D230" s="97"/>
      <c r="E230" s="97"/>
      <c r="F230" s="97"/>
      <c r="G230" s="98"/>
      <c r="H230" s="98"/>
      <c r="I230" s="98"/>
      <c r="J230" s="98"/>
      <c r="K230" s="99"/>
      <c r="L230" s="99"/>
      <c r="M230" s="99" t="str">
        <f t="shared" si="1"/>
        <v>Chưa có kế hoạch</v>
      </c>
      <c r="N230" s="104" t="s">
        <v>93</v>
      </c>
      <c r="O230" s="104" t="s">
        <v>94</v>
      </c>
      <c r="P230" s="104" t="s">
        <v>35</v>
      </c>
      <c r="Q230" s="22"/>
      <c r="R230" s="93"/>
      <c r="S230" s="93"/>
    </row>
    <row r="231" outlineLevel="3">
      <c r="A231" s="95"/>
      <c r="B231" s="22"/>
      <c r="C231" s="97"/>
      <c r="D231" s="97"/>
      <c r="E231" s="97"/>
      <c r="F231" s="97"/>
      <c r="G231" s="98"/>
      <c r="H231" s="98"/>
      <c r="I231" s="98"/>
      <c r="J231" s="98"/>
      <c r="K231" s="99"/>
      <c r="L231" s="99"/>
      <c r="M231" s="99" t="str">
        <f t="shared" si="1"/>
        <v>Chưa có kế hoạch</v>
      </c>
      <c r="N231" s="104" t="s">
        <v>93</v>
      </c>
      <c r="O231" s="104" t="s">
        <v>94</v>
      </c>
      <c r="P231" s="104" t="s">
        <v>35</v>
      </c>
      <c r="Q231" s="22"/>
      <c r="R231" s="93"/>
      <c r="S231" s="93"/>
    </row>
    <row r="232" outlineLevel="3">
      <c r="A232" s="95"/>
      <c r="B232" s="22"/>
      <c r="C232" s="97"/>
      <c r="D232" s="97"/>
      <c r="E232" s="97"/>
      <c r="F232" s="97"/>
      <c r="G232" s="98"/>
      <c r="H232" s="98"/>
      <c r="I232" s="98"/>
      <c r="J232" s="98"/>
      <c r="K232" s="99"/>
      <c r="L232" s="99"/>
      <c r="M232" s="99" t="str">
        <f t="shared" si="1"/>
        <v>Chưa có kế hoạch</v>
      </c>
      <c r="N232" s="104" t="s">
        <v>93</v>
      </c>
      <c r="O232" s="104" t="s">
        <v>94</v>
      </c>
      <c r="P232" s="104" t="s">
        <v>35</v>
      </c>
      <c r="Q232" s="22"/>
      <c r="R232" s="93"/>
      <c r="S232" s="93"/>
    </row>
    <row r="233" outlineLevel="3">
      <c r="A233" s="95"/>
      <c r="B233" s="22"/>
      <c r="C233" s="97"/>
      <c r="D233" s="97"/>
      <c r="E233" s="97"/>
      <c r="F233" s="97"/>
      <c r="G233" s="98"/>
      <c r="H233" s="98"/>
      <c r="I233" s="98"/>
      <c r="J233" s="98"/>
      <c r="K233" s="99"/>
      <c r="L233" s="99"/>
      <c r="M233" s="99" t="str">
        <f t="shared" si="1"/>
        <v>Chưa có kế hoạch</v>
      </c>
      <c r="N233" s="38"/>
      <c r="O233" s="38"/>
      <c r="P233" s="104" t="s">
        <v>32</v>
      </c>
      <c r="Q233" s="22"/>
      <c r="R233" s="93"/>
      <c r="S233" s="93"/>
    </row>
    <row r="234" outlineLevel="3">
      <c r="A234" s="95"/>
      <c r="B234" s="22"/>
      <c r="C234" s="97"/>
      <c r="D234" s="97"/>
      <c r="E234" s="97"/>
      <c r="F234" s="97"/>
      <c r="G234" s="98"/>
      <c r="H234" s="98"/>
      <c r="I234" s="98"/>
      <c r="J234" s="98"/>
      <c r="K234" s="99"/>
      <c r="L234" s="99"/>
      <c r="M234" s="99" t="str">
        <f t="shared" si="1"/>
        <v>Chưa có kế hoạch</v>
      </c>
      <c r="N234" s="104" t="s">
        <v>95</v>
      </c>
      <c r="O234" s="38"/>
      <c r="P234" s="104" t="s">
        <v>34</v>
      </c>
      <c r="Q234" s="22"/>
      <c r="R234" s="93"/>
      <c r="S234" s="93"/>
    </row>
    <row r="235" outlineLevel="3">
      <c r="A235" s="95"/>
      <c r="B235" s="22"/>
      <c r="C235" s="97"/>
      <c r="D235" s="97"/>
      <c r="E235" s="97"/>
      <c r="F235" s="97"/>
      <c r="G235" s="98"/>
      <c r="H235" s="98"/>
      <c r="I235" s="98"/>
      <c r="J235" s="98"/>
      <c r="K235" s="99"/>
      <c r="L235" s="99"/>
      <c r="M235" s="99" t="str">
        <f t="shared" si="1"/>
        <v>Chưa có kế hoạch</v>
      </c>
      <c r="N235" s="104" t="s">
        <v>93</v>
      </c>
      <c r="O235" s="104" t="s">
        <v>96</v>
      </c>
      <c r="P235" s="104" t="s">
        <v>35</v>
      </c>
      <c r="Q235" s="22"/>
      <c r="R235" s="93"/>
      <c r="S235" s="93"/>
    </row>
    <row r="236" outlineLevel="3">
      <c r="A236" s="95"/>
      <c r="B236" s="22"/>
      <c r="C236" s="97"/>
      <c r="D236" s="97"/>
      <c r="E236" s="97"/>
      <c r="F236" s="97"/>
      <c r="G236" s="98"/>
      <c r="H236" s="98"/>
      <c r="I236" s="98"/>
      <c r="J236" s="98"/>
      <c r="K236" s="99"/>
      <c r="L236" s="99"/>
      <c r="M236" s="99" t="str">
        <f t="shared" si="1"/>
        <v>Chưa có kế hoạch</v>
      </c>
      <c r="N236" s="104" t="s">
        <v>93</v>
      </c>
      <c r="O236" s="38"/>
      <c r="P236" s="104" t="s">
        <v>34</v>
      </c>
      <c r="Q236" s="22"/>
      <c r="R236" s="93"/>
      <c r="S236" s="93"/>
    </row>
    <row r="237" outlineLevel="3">
      <c r="A237" s="95"/>
      <c r="B237" s="22"/>
      <c r="C237" s="97"/>
      <c r="D237" s="97"/>
      <c r="E237" s="97"/>
      <c r="F237" s="97"/>
      <c r="G237" s="98"/>
      <c r="H237" s="98"/>
      <c r="I237" s="98"/>
      <c r="J237" s="98"/>
      <c r="K237" s="99"/>
      <c r="L237" s="99"/>
      <c r="M237" s="99" t="str">
        <f t="shared" si="1"/>
        <v>Chưa có kế hoạch</v>
      </c>
      <c r="N237" s="104" t="s">
        <v>93</v>
      </c>
      <c r="O237" s="38"/>
      <c r="P237" s="104" t="s">
        <v>34</v>
      </c>
      <c r="Q237" s="22"/>
      <c r="R237" s="93"/>
      <c r="S237" s="93"/>
    </row>
    <row r="238" outlineLevel="3">
      <c r="A238" s="95"/>
      <c r="B238" s="22"/>
      <c r="C238" s="97"/>
      <c r="D238" s="97"/>
      <c r="E238" s="97"/>
      <c r="F238" s="97"/>
      <c r="G238" s="98"/>
      <c r="H238" s="98"/>
      <c r="I238" s="98"/>
      <c r="J238" s="98"/>
      <c r="K238" s="99"/>
      <c r="L238" s="99"/>
      <c r="M238" s="99" t="str">
        <f t="shared" si="1"/>
        <v>Chưa có kế hoạch</v>
      </c>
      <c r="N238" s="104" t="s">
        <v>93</v>
      </c>
      <c r="O238" s="104" t="s">
        <v>94</v>
      </c>
      <c r="P238" s="104" t="s">
        <v>35</v>
      </c>
      <c r="Q238" s="22"/>
      <c r="R238" s="93"/>
      <c r="S238" s="93"/>
    </row>
    <row r="239" outlineLevel="3">
      <c r="A239" s="95"/>
      <c r="B239" s="22"/>
      <c r="C239" s="97"/>
      <c r="D239" s="97"/>
      <c r="E239" s="97"/>
      <c r="F239" s="97"/>
      <c r="G239" s="98"/>
      <c r="H239" s="98"/>
      <c r="I239" s="98"/>
      <c r="J239" s="98"/>
      <c r="K239" s="99"/>
      <c r="L239" s="99"/>
      <c r="M239" s="99" t="str">
        <f t="shared" si="1"/>
        <v>Chưa có kế hoạch</v>
      </c>
      <c r="N239" s="104" t="s">
        <v>93</v>
      </c>
      <c r="O239" s="104" t="s">
        <v>94</v>
      </c>
      <c r="P239" s="104" t="s">
        <v>35</v>
      </c>
      <c r="Q239" s="22"/>
      <c r="R239" s="93"/>
      <c r="S239" s="93"/>
    </row>
    <row r="240" outlineLevel="3">
      <c r="A240" s="95"/>
      <c r="B240" s="22"/>
      <c r="C240" s="97"/>
      <c r="D240" s="97"/>
      <c r="E240" s="97"/>
      <c r="F240" s="97"/>
      <c r="G240" s="98"/>
      <c r="H240" s="98"/>
      <c r="I240" s="98"/>
      <c r="J240" s="98"/>
      <c r="K240" s="99"/>
      <c r="L240" s="99"/>
      <c r="M240" s="99" t="str">
        <f t="shared" si="1"/>
        <v>Chưa có kế hoạch</v>
      </c>
      <c r="N240" s="104" t="s">
        <v>97</v>
      </c>
      <c r="O240" s="38"/>
      <c r="P240" s="104" t="s">
        <v>33</v>
      </c>
      <c r="Q240" s="22"/>
      <c r="R240" s="93"/>
      <c r="S240" s="93"/>
    </row>
    <row r="241" outlineLevel="3">
      <c r="A241" s="95"/>
      <c r="B241" s="22"/>
      <c r="C241" s="97"/>
      <c r="D241" s="97"/>
      <c r="E241" s="97"/>
      <c r="F241" s="97"/>
      <c r="G241" s="98"/>
      <c r="H241" s="98"/>
      <c r="I241" s="98"/>
      <c r="J241" s="98"/>
      <c r="K241" s="99"/>
      <c r="L241" s="99"/>
      <c r="M241" s="99" t="str">
        <f t="shared" si="1"/>
        <v>Chưa có kế hoạch</v>
      </c>
      <c r="N241" s="104" t="s">
        <v>97</v>
      </c>
      <c r="O241" s="38"/>
      <c r="P241" s="104" t="s">
        <v>33</v>
      </c>
      <c r="Q241" s="22"/>
      <c r="R241" s="93"/>
      <c r="S241" s="93"/>
    </row>
    <row r="242" outlineLevel="3">
      <c r="A242" s="95"/>
      <c r="B242" s="22"/>
      <c r="C242" s="97"/>
      <c r="D242" s="97"/>
      <c r="E242" s="97"/>
      <c r="F242" s="97"/>
      <c r="G242" s="98"/>
      <c r="H242" s="98"/>
      <c r="I242" s="98"/>
      <c r="J242" s="98"/>
      <c r="K242" s="99"/>
      <c r="L242" s="99"/>
      <c r="M242" s="99" t="str">
        <f t="shared" si="1"/>
        <v>Chưa có kế hoạch</v>
      </c>
      <c r="N242" s="104" t="s">
        <v>97</v>
      </c>
      <c r="O242" s="38"/>
      <c r="P242" s="104" t="s">
        <v>33</v>
      </c>
      <c r="Q242" s="22"/>
      <c r="R242" s="93"/>
      <c r="S242" s="93"/>
    </row>
    <row r="243" outlineLevel="3">
      <c r="A243" s="95"/>
      <c r="B243" s="22"/>
      <c r="C243" s="97"/>
      <c r="D243" s="97"/>
      <c r="E243" s="97"/>
      <c r="F243" s="97"/>
      <c r="G243" s="98"/>
      <c r="H243" s="98"/>
      <c r="I243" s="98"/>
      <c r="J243" s="98"/>
      <c r="K243" s="99"/>
      <c r="L243" s="99"/>
      <c r="M243" s="99" t="str">
        <f t="shared" si="1"/>
        <v>Chưa có kế hoạch</v>
      </c>
      <c r="N243" s="104" t="s">
        <v>98</v>
      </c>
      <c r="O243" s="38"/>
      <c r="P243" s="104" t="s">
        <v>33</v>
      </c>
      <c r="Q243" s="22"/>
      <c r="R243" s="93"/>
      <c r="S243" s="93"/>
    </row>
    <row r="244" outlineLevel="2">
      <c r="A244" s="95"/>
      <c r="B244" s="22"/>
      <c r="C244" s="97"/>
      <c r="D244" s="97"/>
      <c r="E244" s="97"/>
      <c r="F244" s="97"/>
      <c r="G244" s="98"/>
      <c r="H244" s="98"/>
      <c r="I244" s="98"/>
      <c r="J244" s="98"/>
      <c r="K244" s="99"/>
      <c r="L244" s="99"/>
      <c r="M244" s="99" t="str">
        <f t="shared" si="1"/>
        <v>Chưa có kế hoạch</v>
      </c>
      <c r="N244" s="22"/>
      <c r="O244" s="22"/>
      <c r="P244" s="22"/>
      <c r="Q244" s="22"/>
      <c r="R244" s="93"/>
      <c r="S244" s="93"/>
    </row>
    <row r="245" outlineLevel="3">
      <c r="A245" s="95"/>
      <c r="B245" s="22"/>
      <c r="C245" s="97"/>
      <c r="D245" s="97"/>
      <c r="E245" s="97"/>
      <c r="F245" s="97"/>
      <c r="G245" s="98"/>
      <c r="H245" s="98"/>
      <c r="I245" s="98"/>
      <c r="J245" s="98"/>
      <c r="K245" s="99"/>
      <c r="L245" s="99"/>
      <c r="M245" s="99" t="str">
        <f t="shared" si="1"/>
        <v>Chưa có kế hoạch</v>
      </c>
      <c r="N245" s="22"/>
      <c r="O245" s="22"/>
      <c r="P245" s="22"/>
      <c r="Q245" s="22"/>
      <c r="R245" s="93"/>
      <c r="S245" s="93"/>
    </row>
    <row r="246" outlineLevel="3">
      <c r="A246" s="95"/>
      <c r="B246" s="22"/>
      <c r="C246" s="97"/>
      <c r="D246" s="97"/>
      <c r="E246" s="97"/>
      <c r="F246" s="97"/>
      <c r="G246" s="98"/>
      <c r="H246" s="98"/>
      <c r="I246" s="98"/>
      <c r="J246" s="98"/>
      <c r="K246" s="99"/>
      <c r="L246" s="99"/>
      <c r="M246" s="99" t="str">
        <f t="shared" si="1"/>
        <v>Chưa có kế hoạch</v>
      </c>
      <c r="N246" s="22"/>
      <c r="O246" s="22"/>
      <c r="P246" s="22"/>
      <c r="Q246" s="22"/>
      <c r="R246" s="93"/>
      <c r="S246" s="93"/>
    </row>
    <row r="247" outlineLevel="3">
      <c r="A247" s="95"/>
      <c r="B247" s="22"/>
      <c r="C247" s="97"/>
      <c r="D247" s="97"/>
      <c r="E247" s="97"/>
      <c r="F247" s="97"/>
      <c r="G247" s="98"/>
      <c r="H247" s="98"/>
      <c r="I247" s="98"/>
      <c r="J247" s="98"/>
      <c r="K247" s="99"/>
      <c r="L247" s="99"/>
      <c r="M247" s="99" t="str">
        <f t="shared" si="1"/>
        <v>Chưa có kế hoạch</v>
      </c>
      <c r="N247" s="22"/>
      <c r="O247" s="22"/>
      <c r="P247" s="22"/>
      <c r="Q247" s="22"/>
      <c r="R247" s="93"/>
      <c r="S247" s="93"/>
    </row>
    <row r="248" outlineLevel="3">
      <c r="A248" s="95"/>
      <c r="B248" s="22"/>
      <c r="C248" s="97"/>
      <c r="D248" s="97"/>
      <c r="E248" s="97"/>
      <c r="F248" s="97"/>
      <c r="G248" s="98"/>
      <c r="H248" s="98"/>
      <c r="I248" s="98"/>
      <c r="J248" s="98"/>
      <c r="K248" s="99"/>
      <c r="L248" s="99"/>
      <c r="M248" s="99" t="str">
        <f t="shared" si="1"/>
        <v>Chưa có kế hoạch</v>
      </c>
      <c r="N248" s="22"/>
      <c r="O248" s="22"/>
      <c r="P248" s="22"/>
      <c r="Q248" s="22"/>
      <c r="R248" s="93"/>
      <c r="S248" s="93"/>
    </row>
    <row r="249" outlineLevel="3">
      <c r="A249" s="95"/>
      <c r="B249" s="22"/>
      <c r="C249" s="97"/>
      <c r="D249" s="97"/>
      <c r="E249" s="97"/>
      <c r="F249" s="97"/>
      <c r="G249" s="98"/>
      <c r="H249" s="98"/>
      <c r="I249" s="98"/>
      <c r="J249" s="98"/>
      <c r="K249" s="99"/>
      <c r="L249" s="99"/>
      <c r="M249" s="99" t="str">
        <f t="shared" si="1"/>
        <v>Chưa có kế hoạch</v>
      </c>
      <c r="N249" s="22"/>
      <c r="O249" s="22"/>
      <c r="P249" s="22"/>
      <c r="Q249" s="22"/>
      <c r="R249" s="93"/>
      <c r="S249" s="93"/>
    </row>
    <row r="250" outlineLevel="3">
      <c r="A250" s="95"/>
      <c r="B250" s="22"/>
      <c r="C250" s="97"/>
      <c r="D250" s="97"/>
      <c r="E250" s="97"/>
      <c r="F250" s="97"/>
      <c r="G250" s="98"/>
      <c r="H250" s="98"/>
      <c r="I250" s="98"/>
      <c r="J250" s="98"/>
      <c r="K250" s="99"/>
      <c r="L250" s="99"/>
      <c r="M250" s="99" t="str">
        <f t="shared" si="1"/>
        <v>Chưa có kế hoạch</v>
      </c>
      <c r="N250" s="22"/>
      <c r="O250" s="22"/>
      <c r="P250" s="22"/>
      <c r="Q250" s="22"/>
      <c r="R250" s="93"/>
      <c r="S250" s="93"/>
    </row>
    <row r="251" outlineLevel="3">
      <c r="A251" s="95"/>
      <c r="B251" s="22"/>
      <c r="C251" s="97"/>
      <c r="D251" s="97"/>
      <c r="E251" s="97"/>
      <c r="F251" s="97"/>
      <c r="G251" s="98"/>
      <c r="H251" s="98"/>
      <c r="I251" s="98"/>
      <c r="J251" s="98"/>
      <c r="K251" s="99"/>
      <c r="L251" s="99"/>
      <c r="M251" s="99" t="str">
        <f t="shared" si="1"/>
        <v>Chưa có kế hoạch</v>
      </c>
      <c r="N251" s="22"/>
      <c r="O251" s="22"/>
      <c r="P251" s="22"/>
      <c r="Q251" s="22"/>
      <c r="R251" s="93"/>
      <c r="S251" s="93"/>
    </row>
    <row r="252" outlineLevel="3">
      <c r="A252" s="95"/>
      <c r="B252" s="22"/>
      <c r="C252" s="97"/>
      <c r="D252" s="97"/>
      <c r="E252" s="97"/>
      <c r="F252" s="97"/>
      <c r="G252" s="98"/>
      <c r="H252" s="98"/>
      <c r="I252" s="98"/>
      <c r="J252" s="98"/>
      <c r="K252" s="99"/>
      <c r="L252" s="99"/>
      <c r="M252" s="99" t="str">
        <f t="shared" si="1"/>
        <v>Chưa có kế hoạch</v>
      </c>
      <c r="N252" s="22"/>
      <c r="O252" s="22"/>
      <c r="P252" s="22"/>
      <c r="Q252" s="22"/>
      <c r="R252" s="93"/>
      <c r="S252" s="93"/>
    </row>
    <row r="253" outlineLevel="3">
      <c r="A253" s="95"/>
      <c r="B253" s="22"/>
      <c r="C253" s="97"/>
      <c r="D253" s="97"/>
      <c r="E253" s="97"/>
      <c r="F253" s="97"/>
      <c r="G253" s="98"/>
      <c r="H253" s="98"/>
      <c r="I253" s="98"/>
      <c r="J253" s="98"/>
      <c r="K253" s="99"/>
      <c r="L253" s="99"/>
      <c r="M253" s="99" t="str">
        <f t="shared" si="1"/>
        <v>Chưa có kế hoạch</v>
      </c>
      <c r="N253" s="22"/>
      <c r="O253" s="22"/>
      <c r="P253" s="22"/>
      <c r="Q253" s="22"/>
      <c r="R253" s="93"/>
      <c r="S253" s="93"/>
    </row>
    <row r="254" outlineLevel="3">
      <c r="A254" s="95"/>
      <c r="B254" s="22"/>
      <c r="C254" s="97"/>
      <c r="D254" s="97"/>
      <c r="E254" s="97"/>
      <c r="F254" s="97"/>
      <c r="G254" s="98"/>
      <c r="H254" s="98"/>
      <c r="I254" s="98"/>
      <c r="J254" s="98"/>
      <c r="K254" s="99"/>
      <c r="L254" s="99"/>
      <c r="M254" s="99" t="str">
        <f t="shared" si="1"/>
        <v>Chưa có kế hoạch</v>
      </c>
      <c r="N254" s="22"/>
      <c r="O254" s="22"/>
      <c r="P254" s="22"/>
      <c r="Q254" s="22"/>
      <c r="R254" s="93"/>
      <c r="S254" s="93"/>
    </row>
    <row r="255" outlineLevel="3">
      <c r="A255" s="95"/>
      <c r="B255" s="22"/>
      <c r="C255" s="97"/>
      <c r="D255" s="97"/>
      <c r="E255" s="97"/>
      <c r="F255" s="97"/>
      <c r="G255" s="98"/>
      <c r="H255" s="98"/>
      <c r="I255" s="98"/>
      <c r="J255" s="98"/>
      <c r="K255" s="99"/>
      <c r="L255" s="99"/>
      <c r="M255" s="99" t="str">
        <f t="shared" si="1"/>
        <v>Chưa có kế hoạch</v>
      </c>
      <c r="N255" s="22"/>
      <c r="O255" s="22"/>
      <c r="P255" s="22"/>
      <c r="Q255" s="22"/>
      <c r="R255" s="93"/>
      <c r="S255" s="93"/>
    </row>
    <row r="256" outlineLevel="3">
      <c r="A256" s="95"/>
      <c r="B256" s="22"/>
      <c r="C256" s="97"/>
      <c r="D256" s="97"/>
      <c r="E256" s="97"/>
      <c r="F256" s="97"/>
      <c r="G256" s="98"/>
      <c r="H256" s="98"/>
      <c r="I256" s="98"/>
      <c r="J256" s="98"/>
      <c r="K256" s="99"/>
      <c r="L256" s="99"/>
      <c r="M256" s="99" t="str">
        <f t="shared" si="1"/>
        <v>Chưa có kế hoạch</v>
      </c>
      <c r="N256" s="22"/>
      <c r="O256" s="22"/>
      <c r="P256" s="22"/>
      <c r="Q256" s="22"/>
      <c r="R256" s="93"/>
      <c r="S256" s="93"/>
    </row>
    <row r="257" outlineLevel="3">
      <c r="A257" s="95"/>
      <c r="B257" s="22"/>
      <c r="C257" s="97"/>
      <c r="D257" s="97"/>
      <c r="E257" s="97"/>
      <c r="F257" s="97"/>
      <c r="G257" s="98"/>
      <c r="H257" s="98"/>
      <c r="I257" s="98"/>
      <c r="J257" s="98"/>
      <c r="K257" s="99"/>
      <c r="L257" s="99"/>
      <c r="M257" s="99" t="str">
        <f t="shared" si="1"/>
        <v>Chưa có kế hoạch</v>
      </c>
      <c r="N257" s="22"/>
      <c r="O257" s="22"/>
      <c r="P257" s="22"/>
      <c r="Q257" s="22"/>
      <c r="R257" s="93"/>
      <c r="S257" s="93"/>
    </row>
    <row r="258" outlineLevel="3">
      <c r="A258" s="95"/>
      <c r="B258" s="22"/>
      <c r="C258" s="97"/>
      <c r="D258" s="97"/>
      <c r="E258" s="97"/>
      <c r="F258" s="97"/>
      <c r="G258" s="98"/>
      <c r="H258" s="98"/>
      <c r="I258" s="98"/>
      <c r="J258" s="98"/>
      <c r="K258" s="99"/>
      <c r="L258" s="99"/>
      <c r="M258" s="99" t="str">
        <f t="shared" si="1"/>
        <v>Chưa có kế hoạch</v>
      </c>
      <c r="N258" s="22"/>
      <c r="O258" s="22"/>
      <c r="P258" s="22"/>
      <c r="Q258" s="22"/>
      <c r="R258" s="93"/>
      <c r="S258" s="93"/>
    </row>
    <row r="259" outlineLevel="3">
      <c r="A259" s="95"/>
      <c r="B259" s="22"/>
      <c r="C259" s="97"/>
      <c r="D259" s="97"/>
      <c r="E259" s="97"/>
      <c r="F259" s="97"/>
      <c r="G259" s="98"/>
      <c r="H259" s="98"/>
      <c r="I259" s="98"/>
      <c r="J259" s="98"/>
      <c r="K259" s="99"/>
      <c r="L259" s="99"/>
      <c r="M259" s="99" t="str">
        <f t="shared" si="1"/>
        <v>Chưa có kế hoạch</v>
      </c>
      <c r="N259" s="22"/>
      <c r="O259" s="22"/>
      <c r="P259" s="22"/>
      <c r="Q259" s="22"/>
      <c r="R259" s="93"/>
      <c r="S259" s="93"/>
    </row>
    <row r="260" outlineLevel="1">
      <c r="A260" s="95"/>
      <c r="B260" s="22"/>
      <c r="C260" s="105"/>
      <c r="D260" s="97"/>
      <c r="E260" s="97"/>
      <c r="F260" s="22"/>
      <c r="G260" s="100"/>
      <c r="H260" s="100"/>
      <c r="I260" s="100"/>
      <c r="J260" s="100"/>
      <c r="K260" s="99"/>
      <c r="L260" s="99"/>
      <c r="M260" s="99" t="str">
        <f t="shared" si="1"/>
        <v>Chưa có kế hoạch</v>
      </c>
      <c r="N260" s="22"/>
      <c r="O260" s="22"/>
      <c r="P260" s="22"/>
      <c r="Q260" s="22"/>
      <c r="R260" s="93"/>
      <c r="S260" s="93"/>
    </row>
    <row r="261" ht="28.5" customHeight="1" outlineLevel="2">
      <c r="A261" s="95"/>
      <c r="B261" s="22"/>
      <c r="C261" s="105"/>
      <c r="D261" s="97"/>
      <c r="E261" s="97"/>
      <c r="F261" s="97"/>
      <c r="G261" s="100"/>
      <c r="H261" s="100"/>
      <c r="I261" s="100"/>
      <c r="J261" s="100"/>
      <c r="K261" s="99"/>
      <c r="L261" s="99"/>
      <c r="M261" s="99" t="str">
        <f t="shared" si="1"/>
        <v>Chưa có kế hoạch</v>
      </c>
      <c r="N261" s="22"/>
      <c r="O261" s="22"/>
      <c r="P261" s="22"/>
      <c r="Q261" s="22"/>
      <c r="R261" s="93"/>
      <c r="S261" s="93"/>
    </row>
    <row r="262" ht="28.5" customHeight="1" outlineLevel="3">
      <c r="A262" s="95"/>
      <c r="B262" s="22"/>
      <c r="C262" s="105"/>
      <c r="D262" s="97"/>
      <c r="E262" s="97"/>
      <c r="F262" s="97"/>
      <c r="G262" s="100"/>
      <c r="H262" s="100"/>
      <c r="I262" s="100"/>
      <c r="J262" s="100"/>
      <c r="K262" s="99"/>
      <c r="L262" s="99"/>
      <c r="M262" s="99" t="str">
        <f t="shared" si="1"/>
        <v>Chưa có kế hoạch</v>
      </c>
      <c r="N262" s="22"/>
      <c r="O262" s="22"/>
      <c r="P262" s="22"/>
      <c r="Q262" s="22"/>
      <c r="R262" s="93"/>
      <c r="S262" s="93"/>
    </row>
    <row r="263" ht="28.5" customHeight="1" outlineLevel="3">
      <c r="A263" s="95"/>
      <c r="B263" s="22"/>
      <c r="C263" s="105"/>
      <c r="D263" s="97"/>
      <c r="E263" s="97"/>
      <c r="F263" s="97"/>
      <c r="G263" s="100"/>
      <c r="H263" s="100"/>
      <c r="I263" s="100"/>
      <c r="J263" s="100"/>
      <c r="K263" s="99"/>
      <c r="L263" s="99"/>
      <c r="M263" s="99" t="str">
        <f t="shared" si="1"/>
        <v>Chưa có kế hoạch</v>
      </c>
      <c r="N263" s="22"/>
      <c r="O263" s="22"/>
      <c r="P263" s="22"/>
      <c r="Q263" s="22"/>
      <c r="R263" s="93"/>
      <c r="S263" s="93"/>
    </row>
    <row r="264" ht="28.5" customHeight="1" outlineLevel="3">
      <c r="A264" s="95"/>
      <c r="B264" s="22"/>
      <c r="C264" s="105"/>
      <c r="D264" s="97"/>
      <c r="E264" s="97"/>
      <c r="F264" s="97"/>
      <c r="G264" s="100"/>
      <c r="H264" s="100"/>
      <c r="I264" s="100"/>
      <c r="J264" s="100"/>
      <c r="K264" s="99"/>
      <c r="L264" s="99"/>
      <c r="M264" s="99" t="str">
        <f t="shared" si="1"/>
        <v>Chưa có kế hoạch</v>
      </c>
      <c r="N264" s="22"/>
      <c r="O264" s="22"/>
      <c r="P264" s="22"/>
      <c r="Q264" s="22"/>
      <c r="R264" s="93"/>
      <c r="S264" s="93"/>
    </row>
    <row r="265" ht="28.5" customHeight="1" outlineLevel="3">
      <c r="A265" s="95"/>
      <c r="B265" s="22"/>
      <c r="C265" s="105"/>
      <c r="D265" s="97"/>
      <c r="E265" s="97"/>
      <c r="F265" s="97"/>
      <c r="G265" s="100"/>
      <c r="H265" s="100"/>
      <c r="I265" s="100"/>
      <c r="J265" s="100"/>
      <c r="K265" s="99"/>
      <c r="L265" s="99"/>
      <c r="M265" s="99" t="str">
        <f t="shared" si="1"/>
        <v>Chưa có kế hoạch</v>
      </c>
      <c r="N265" s="22"/>
      <c r="O265" s="22"/>
      <c r="P265" s="22"/>
      <c r="Q265" s="22"/>
      <c r="R265" s="93"/>
      <c r="S265" s="93"/>
    </row>
    <row r="266" ht="28.5" customHeight="1" outlineLevel="3">
      <c r="A266" s="95"/>
      <c r="B266" s="22"/>
      <c r="C266" s="105"/>
      <c r="D266" s="97"/>
      <c r="E266" s="97"/>
      <c r="F266" s="97"/>
      <c r="G266" s="100"/>
      <c r="H266" s="100"/>
      <c r="I266" s="100"/>
      <c r="J266" s="100"/>
      <c r="K266" s="99"/>
      <c r="L266" s="99"/>
      <c r="M266" s="99" t="str">
        <f t="shared" si="1"/>
        <v>Chưa có kế hoạch</v>
      </c>
      <c r="N266" s="22"/>
      <c r="O266" s="22"/>
      <c r="P266" s="22"/>
      <c r="Q266" s="22"/>
      <c r="R266" s="93"/>
      <c r="S266" s="93"/>
    </row>
    <row r="267" ht="28.5" customHeight="1" outlineLevel="3">
      <c r="A267" s="95"/>
      <c r="B267" s="22"/>
      <c r="C267" s="105"/>
      <c r="D267" s="97"/>
      <c r="E267" s="97"/>
      <c r="F267" s="97"/>
      <c r="G267" s="100"/>
      <c r="H267" s="100"/>
      <c r="I267" s="100"/>
      <c r="J267" s="100"/>
      <c r="K267" s="99"/>
      <c r="L267" s="99"/>
      <c r="M267" s="99" t="str">
        <f t="shared" si="1"/>
        <v>Chưa có kế hoạch</v>
      </c>
      <c r="N267" s="22"/>
      <c r="O267" s="22"/>
      <c r="P267" s="22"/>
      <c r="Q267" s="22"/>
      <c r="R267" s="93"/>
      <c r="S267" s="93"/>
    </row>
    <row r="268" ht="28.5" customHeight="1" outlineLevel="3">
      <c r="A268" s="95"/>
      <c r="B268" s="22"/>
      <c r="C268" s="105"/>
      <c r="D268" s="97"/>
      <c r="E268" s="97"/>
      <c r="F268" s="97"/>
      <c r="G268" s="100"/>
      <c r="H268" s="100"/>
      <c r="I268" s="100"/>
      <c r="J268" s="100"/>
      <c r="K268" s="99"/>
      <c r="L268" s="99"/>
      <c r="M268" s="99" t="str">
        <f t="shared" si="1"/>
        <v>Chưa có kế hoạch</v>
      </c>
      <c r="N268" s="22"/>
      <c r="O268" s="22"/>
      <c r="P268" s="22"/>
      <c r="Q268" s="22"/>
      <c r="R268" s="93"/>
      <c r="S268" s="93"/>
    </row>
    <row r="269" ht="28.5" customHeight="1" outlineLevel="3">
      <c r="A269" s="95"/>
      <c r="B269" s="22"/>
      <c r="C269" s="105"/>
      <c r="D269" s="97"/>
      <c r="E269" s="97"/>
      <c r="F269" s="97"/>
      <c r="G269" s="100"/>
      <c r="H269" s="100"/>
      <c r="I269" s="100"/>
      <c r="J269" s="100"/>
      <c r="K269" s="99"/>
      <c r="L269" s="99"/>
      <c r="M269" s="99" t="str">
        <f t="shared" si="1"/>
        <v>Chưa có kế hoạch</v>
      </c>
      <c r="N269" s="22"/>
      <c r="O269" s="22"/>
      <c r="P269" s="22"/>
      <c r="Q269" s="22"/>
      <c r="R269" s="93"/>
      <c r="S269" s="93"/>
    </row>
    <row r="270" ht="28.5" customHeight="1" outlineLevel="3">
      <c r="A270" s="95"/>
      <c r="B270" s="22"/>
      <c r="C270" s="105"/>
      <c r="D270" s="97"/>
      <c r="E270" s="97"/>
      <c r="F270" s="97"/>
      <c r="G270" s="100"/>
      <c r="H270" s="100"/>
      <c r="I270" s="100"/>
      <c r="J270" s="100"/>
      <c r="K270" s="99"/>
      <c r="L270" s="99"/>
      <c r="M270" s="99" t="str">
        <f t="shared" si="1"/>
        <v>Chưa có kế hoạch</v>
      </c>
      <c r="N270" s="22"/>
      <c r="O270" s="22"/>
      <c r="P270" s="22"/>
      <c r="Q270" s="22"/>
      <c r="R270" s="93"/>
      <c r="S270" s="93"/>
    </row>
    <row r="271" ht="28.5" customHeight="1" outlineLevel="3">
      <c r="A271" s="95"/>
      <c r="B271" s="22"/>
      <c r="C271" s="105"/>
      <c r="D271" s="97"/>
      <c r="E271" s="97"/>
      <c r="F271" s="97"/>
      <c r="G271" s="100"/>
      <c r="H271" s="100"/>
      <c r="I271" s="100"/>
      <c r="J271" s="100"/>
      <c r="K271" s="99"/>
      <c r="L271" s="99"/>
      <c r="M271" s="99" t="str">
        <f t="shared" si="1"/>
        <v>Chưa có kế hoạch</v>
      </c>
      <c r="N271" s="22"/>
      <c r="O271" s="22"/>
      <c r="P271" s="22"/>
      <c r="Q271" s="22"/>
      <c r="R271" s="93"/>
      <c r="S271" s="93"/>
    </row>
    <row r="272" ht="28.5" customHeight="1" outlineLevel="3">
      <c r="A272" s="95"/>
      <c r="B272" s="22"/>
      <c r="C272" s="105"/>
      <c r="D272" s="97"/>
      <c r="E272" s="97"/>
      <c r="F272" s="97"/>
      <c r="G272" s="100"/>
      <c r="H272" s="100"/>
      <c r="I272" s="100"/>
      <c r="J272" s="100"/>
      <c r="K272" s="99"/>
      <c r="L272" s="99"/>
      <c r="M272" s="99" t="str">
        <f t="shared" si="1"/>
        <v>Chưa có kế hoạch</v>
      </c>
      <c r="N272" s="22"/>
      <c r="O272" s="22"/>
      <c r="P272" s="22"/>
      <c r="Q272" s="22"/>
      <c r="R272" s="93"/>
      <c r="S272" s="93"/>
    </row>
    <row r="273" ht="28.5" customHeight="1" outlineLevel="2">
      <c r="A273" s="95"/>
      <c r="B273" s="22"/>
      <c r="C273" s="105"/>
      <c r="D273" s="97"/>
      <c r="E273" s="97"/>
      <c r="F273" s="97"/>
      <c r="G273" s="100"/>
      <c r="H273" s="100"/>
      <c r="I273" s="100"/>
      <c r="J273" s="100"/>
      <c r="K273" s="99"/>
      <c r="L273" s="99"/>
      <c r="M273" s="99" t="str">
        <f t="shared" si="1"/>
        <v>Chưa có kế hoạch</v>
      </c>
      <c r="N273" s="22"/>
      <c r="O273" s="22"/>
      <c r="P273" s="22"/>
      <c r="Q273" s="22"/>
      <c r="R273" s="93"/>
      <c r="S273" s="93"/>
    </row>
    <row r="274" outlineLevel="3">
      <c r="A274" s="95"/>
      <c r="B274" s="22"/>
      <c r="C274" s="105"/>
      <c r="D274" s="97"/>
      <c r="E274" s="97"/>
      <c r="F274" s="22"/>
      <c r="G274" s="100"/>
      <c r="H274" s="100"/>
      <c r="I274" s="100"/>
      <c r="J274" s="100"/>
      <c r="K274" s="99"/>
      <c r="L274" s="99"/>
      <c r="M274" s="99" t="str">
        <f t="shared" si="1"/>
        <v>Chưa có kế hoạch</v>
      </c>
      <c r="N274" s="22"/>
      <c r="O274" s="22"/>
      <c r="P274" s="22"/>
      <c r="Q274" s="22"/>
      <c r="R274" s="93"/>
      <c r="S274" s="93"/>
    </row>
    <row r="275" outlineLevel="3">
      <c r="A275" s="95"/>
      <c r="B275" s="22"/>
      <c r="C275" s="105"/>
      <c r="D275" s="97"/>
      <c r="E275" s="97"/>
      <c r="F275" s="22"/>
      <c r="G275" s="100"/>
      <c r="H275" s="100"/>
      <c r="I275" s="100"/>
      <c r="J275" s="100"/>
      <c r="K275" s="99"/>
      <c r="L275" s="99"/>
      <c r="M275" s="99" t="str">
        <f t="shared" si="1"/>
        <v>Chưa có kế hoạch</v>
      </c>
      <c r="N275" s="22"/>
      <c r="O275" s="22"/>
      <c r="P275" s="22"/>
      <c r="Q275" s="22"/>
      <c r="R275" s="93"/>
      <c r="S275" s="93"/>
    </row>
    <row r="276" outlineLevel="3">
      <c r="A276" s="95"/>
      <c r="B276" s="22"/>
      <c r="C276" s="105"/>
      <c r="D276" s="97"/>
      <c r="E276" s="97"/>
      <c r="F276" s="22"/>
      <c r="G276" s="100"/>
      <c r="H276" s="100"/>
      <c r="I276" s="100"/>
      <c r="J276" s="100"/>
      <c r="K276" s="99"/>
      <c r="L276" s="99"/>
      <c r="M276" s="99" t="str">
        <f t="shared" si="1"/>
        <v>Chưa có kế hoạch</v>
      </c>
      <c r="N276" s="22"/>
      <c r="O276" s="22"/>
      <c r="P276" s="22"/>
      <c r="Q276" s="22"/>
      <c r="R276" s="93"/>
      <c r="S276" s="93"/>
    </row>
    <row r="277" outlineLevel="3">
      <c r="A277" s="95"/>
      <c r="B277" s="22"/>
      <c r="C277" s="105"/>
      <c r="D277" s="97"/>
      <c r="E277" s="97"/>
      <c r="F277" s="22"/>
      <c r="G277" s="100"/>
      <c r="H277" s="100"/>
      <c r="I277" s="100"/>
      <c r="J277" s="100"/>
      <c r="K277" s="99"/>
      <c r="L277" s="99"/>
      <c r="M277" s="99" t="str">
        <f t="shared" si="1"/>
        <v>Chưa có kế hoạch</v>
      </c>
      <c r="N277" s="22"/>
      <c r="O277" s="22"/>
      <c r="P277" s="22"/>
      <c r="Q277" s="22"/>
      <c r="R277" s="93"/>
      <c r="S277" s="93"/>
    </row>
    <row r="278" outlineLevel="3">
      <c r="A278" s="95"/>
      <c r="B278" s="22"/>
      <c r="C278" s="105"/>
      <c r="D278" s="97"/>
      <c r="E278" s="97"/>
      <c r="F278" s="22"/>
      <c r="G278" s="100"/>
      <c r="H278" s="100"/>
      <c r="I278" s="100"/>
      <c r="J278" s="100"/>
      <c r="K278" s="99"/>
      <c r="L278" s="99"/>
      <c r="M278" s="99" t="str">
        <f t="shared" si="1"/>
        <v>Chưa có kế hoạch</v>
      </c>
      <c r="N278" s="22"/>
      <c r="O278" s="22"/>
      <c r="P278" s="22"/>
      <c r="Q278" s="22"/>
      <c r="R278" s="93"/>
      <c r="S278" s="93"/>
    </row>
    <row r="279" outlineLevel="3">
      <c r="A279" s="95"/>
      <c r="B279" s="22"/>
      <c r="C279" s="105"/>
      <c r="D279" s="97"/>
      <c r="E279" s="97"/>
      <c r="F279" s="22"/>
      <c r="G279" s="100"/>
      <c r="H279" s="100"/>
      <c r="I279" s="100"/>
      <c r="J279" s="100"/>
      <c r="K279" s="99"/>
      <c r="L279" s="99"/>
      <c r="M279" s="99" t="str">
        <f t="shared" si="1"/>
        <v>Chưa có kế hoạch</v>
      </c>
      <c r="N279" s="22"/>
      <c r="O279" s="22"/>
      <c r="P279" s="22"/>
      <c r="Q279" s="22"/>
      <c r="R279" s="93"/>
      <c r="S279" s="93"/>
    </row>
    <row r="280" outlineLevel="1">
      <c r="A280" s="95"/>
      <c r="B280" s="22"/>
      <c r="C280" s="96"/>
      <c r="D280" s="81"/>
      <c r="E280" s="102"/>
      <c r="F280" s="22"/>
      <c r="G280" s="100"/>
      <c r="H280" s="100"/>
      <c r="I280" s="100"/>
      <c r="J280" s="100"/>
      <c r="K280" s="99"/>
      <c r="L280" s="99"/>
      <c r="M280" s="99" t="str">
        <f t="shared" si="1"/>
        <v>Chưa có kế hoạch</v>
      </c>
      <c r="N280" s="22"/>
      <c r="O280" s="22"/>
      <c r="P280" s="22"/>
      <c r="Q280" s="22"/>
      <c r="R280" s="93"/>
      <c r="S280" s="93"/>
    </row>
    <row r="281" ht="28.5" customHeight="1" outlineLevel="2">
      <c r="A281" s="95"/>
      <c r="B281" s="22"/>
      <c r="C281" s="96"/>
      <c r="D281" s="81"/>
      <c r="E281" s="97"/>
      <c r="F281" s="97"/>
      <c r="G281" s="100"/>
      <c r="H281" s="100"/>
      <c r="I281" s="100"/>
      <c r="J281" s="100"/>
      <c r="K281" s="99"/>
      <c r="L281" s="99"/>
      <c r="M281" s="99" t="str">
        <f t="shared" si="1"/>
        <v>Chưa có kế hoạch</v>
      </c>
      <c r="N281" s="99"/>
      <c r="O281" s="99"/>
      <c r="P281" s="22"/>
      <c r="Q281" s="22"/>
      <c r="R281" s="93"/>
      <c r="S281" s="93"/>
    </row>
    <row r="282" ht="28.5" customHeight="1" outlineLevel="2">
      <c r="A282" s="95"/>
      <c r="B282" s="22"/>
      <c r="C282" s="96"/>
      <c r="D282" s="81"/>
      <c r="E282" s="97"/>
      <c r="F282" s="97"/>
      <c r="G282" s="100"/>
      <c r="H282" s="100"/>
      <c r="I282" s="100"/>
      <c r="J282" s="100"/>
      <c r="K282" s="99"/>
      <c r="L282" s="99"/>
      <c r="M282" s="99" t="str">
        <f t="shared" si="1"/>
        <v>Chưa có kế hoạch</v>
      </c>
      <c r="N282" s="99"/>
      <c r="O282" s="99"/>
      <c r="P282" s="22"/>
      <c r="Q282" s="22"/>
      <c r="R282" s="93"/>
      <c r="S282" s="93"/>
    </row>
    <row r="283" ht="28.5" customHeight="1" outlineLevel="2">
      <c r="A283" s="95"/>
      <c r="B283" s="22"/>
      <c r="C283" s="96"/>
      <c r="D283" s="81"/>
      <c r="E283" s="97"/>
      <c r="F283" s="97"/>
      <c r="G283" s="100"/>
      <c r="H283" s="100"/>
      <c r="I283" s="100"/>
      <c r="J283" s="100"/>
      <c r="K283" s="99"/>
      <c r="L283" s="99"/>
      <c r="M283" s="99" t="str">
        <f t="shared" si="1"/>
        <v>Chưa có kế hoạch</v>
      </c>
      <c r="N283" s="99"/>
      <c r="O283" s="99"/>
      <c r="P283" s="22"/>
      <c r="Q283" s="22"/>
      <c r="R283" s="93"/>
      <c r="S283" s="93"/>
    </row>
    <row r="284" ht="28.5" customHeight="1" outlineLevel="2">
      <c r="A284" s="95"/>
      <c r="B284" s="22"/>
      <c r="C284" s="96"/>
      <c r="D284" s="81"/>
      <c r="E284" s="97"/>
      <c r="F284" s="97"/>
      <c r="G284" s="100"/>
      <c r="H284" s="100"/>
      <c r="I284" s="100"/>
      <c r="J284" s="100"/>
      <c r="K284" s="99"/>
      <c r="L284" s="99"/>
      <c r="M284" s="99" t="str">
        <f t="shared" si="1"/>
        <v>Chưa có kế hoạch</v>
      </c>
      <c r="N284" s="99"/>
      <c r="O284" s="99"/>
      <c r="P284" s="22"/>
      <c r="Q284" s="22"/>
      <c r="R284" s="93"/>
      <c r="S284" s="93"/>
    </row>
    <row r="285" ht="28.5" customHeight="1" outlineLevel="2">
      <c r="A285" s="95"/>
      <c r="B285" s="22"/>
      <c r="C285" s="96"/>
      <c r="D285" s="81"/>
      <c r="E285" s="97"/>
      <c r="F285" s="97"/>
      <c r="G285" s="100"/>
      <c r="H285" s="100"/>
      <c r="I285" s="100"/>
      <c r="J285" s="100"/>
      <c r="K285" s="99"/>
      <c r="L285" s="99"/>
      <c r="M285" s="99" t="str">
        <f t="shared" si="1"/>
        <v>Chưa có kế hoạch</v>
      </c>
      <c r="N285" s="99"/>
      <c r="O285" s="99"/>
      <c r="P285" s="22"/>
      <c r="Q285" s="22"/>
      <c r="R285" s="93"/>
      <c r="S285" s="93"/>
    </row>
    <row r="286" ht="28.5" customHeight="1" outlineLevel="2">
      <c r="A286" s="95"/>
      <c r="B286" s="22"/>
      <c r="C286" s="96"/>
      <c r="D286" s="81"/>
      <c r="E286" s="97"/>
      <c r="F286" s="97"/>
      <c r="G286" s="100"/>
      <c r="H286" s="100"/>
      <c r="I286" s="100"/>
      <c r="J286" s="100"/>
      <c r="K286" s="99"/>
      <c r="L286" s="99"/>
      <c r="M286" s="99" t="str">
        <f t="shared" si="1"/>
        <v>Chưa có kế hoạch</v>
      </c>
      <c r="N286" s="99"/>
      <c r="O286" s="99"/>
      <c r="P286" s="22"/>
      <c r="Q286" s="22"/>
      <c r="R286" s="93"/>
      <c r="S286" s="93"/>
    </row>
    <row r="287" ht="28.5" customHeight="1" collapsed="1">
      <c r="A287" s="106"/>
      <c r="B287" s="81"/>
      <c r="C287" s="101"/>
      <c r="D287" s="101"/>
      <c r="E287" s="97"/>
      <c r="F287" s="97"/>
      <c r="G287" s="100"/>
      <c r="H287" s="100"/>
      <c r="I287" s="100"/>
      <c r="J287" s="100"/>
      <c r="K287" s="99"/>
      <c r="L287" s="99"/>
      <c r="M287" s="99" t="str">
        <f t="shared" si="1"/>
        <v>Chưa có kế hoạch</v>
      </c>
      <c r="N287" s="99"/>
      <c r="O287" s="99"/>
      <c r="P287" s="22"/>
      <c r="Q287" s="22"/>
      <c r="R287" s="93"/>
      <c r="S287" s="93"/>
    </row>
    <row r="288" hidden="1" outlineLevel="1">
      <c r="A288" s="106" t="s">
        <v>99</v>
      </c>
      <c r="B288" s="101" t="s">
        <v>100</v>
      </c>
      <c r="C288" s="101" t="s">
        <v>100</v>
      </c>
      <c r="D288" s="101" t="s">
        <v>100</v>
      </c>
      <c r="E288" s="81"/>
      <c r="F288" s="22"/>
      <c r="G288" s="100"/>
      <c r="H288" s="100"/>
      <c r="I288" s="100"/>
      <c r="J288" s="100"/>
      <c r="K288" s="99">
        <v>46174.0</v>
      </c>
      <c r="L288" s="99">
        <v>46295.0</v>
      </c>
      <c r="M288" s="99" t="str">
        <f t="shared" si="1"/>
        <v>Chưa đến hạn</v>
      </c>
      <c r="N288" s="22"/>
      <c r="O288" s="22"/>
      <c r="P288" s="22"/>
      <c r="Q288" s="22"/>
      <c r="R288" s="93"/>
      <c r="S288" s="93"/>
    </row>
    <row r="289" hidden="1" outlineLevel="2">
      <c r="A289" s="106" t="s">
        <v>99</v>
      </c>
      <c r="B289" s="101" t="s">
        <v>100</v>
      </c>
      <c r="C289" s="101" t="s">
        <v>100</v>
      </c>
      <c r="D289" s="101" t="s">
        <v>100</v>
      </c>
      <c r="E289" s="81" t="s">
        <v>101</v>
      </c>
      <c r="F289" s="22"/>
      <c r="G289" s="100"/>
      <c r="H289" s="100"/>
      <c r="I289" s="100"/>
      <c r="J289" s="100"/>
      <c r="K289" s="99">
        <v>46174.0</v>
      </c>
      <c r="L289" s="99">
        <v>46295.0</v>
      </c>
      <c r="M289" s="99" t="str">
        <f t="shared" si="1"/>
        <v>Chưa đến hạn</v>
      </c>
      <c r="N289" s="22"/>
      <c r="O289" s="22"/>
      <c r="P289" s="22"/>
      <c r="Q289" s="22"/>
      <c r="R289" s="93"/>
      <c r="S289" s="93"/>
    </row>
    <row r="290" hidden="1" outlineLevel="2">
      <c r="A290" s="106" t="s">
        <v>99</v>
      </c>
      <c r="B290" s="101" t="s">
        <v>100</v>
      </c>
      <c r="C290" s="101" t="s">
        <v>100</v>
      </c>
      <c r="D290" s="101" t="s">
        <v>100</v>
      </c>
      <c r="E290" s="81" t="s">
        <v>102</v>
      </c>
      <c r="F290" s="22"/>
      <c r="G290" s="100"/>
      <c r="H290" s="100"/>
      <c r="I290" s="100"/>
      <c r="J290" s="100"/>
      <c r="K290" s="99">
        <v>46174.0</v>
      </c>
      <c r="L290" s="99">
        <v>46295.0</v>
      </c>
      <c r="M290" s="99" t="str">
        <f t="shared" si="1"/>
        <v>Chưa đến hạn</v>
      </c>
      <c r="N290" s="22"/>
      <c r="O290" s="22"/>
      <c r="P290" s="22"/>
      <c r="Q290" s="22"/>
      <c r="R290" s="93"/>
      <c r="S290" s="93"/>
    </row>
    <row r="291" hidden="1" outlineLevel="2">
      <c r="A291" s="106" t="s">
        <v>99</v>
      </c>
      <c r="B291" s="101" t="s">
        <v>100</v>
      </c>
      <c r="C291" s="101" t="s">
        <v>100</v>
      </c>
      <c r="D291" s="101" t="s">
        <v>100</v>
      </c>
      <c r="E291" s="81" t="s">
        <v>103</v>
      </c>
      <c r="F291" s="22"/>
      <c r="G291" s="100"/>
      <c r="H291" s="100"/>
      <c r="I291" s="100"/>
      <c r="J291" s="100"/>
      <c r="K291" s="99">
        <v>46174.0</v>
      </c>
      <c r="L291" s="99">
        <v>46295.0</v>
      </c>
      <c r="M291" s="99" t="str">
        <f t="shared" si="1"/>
        <v>Chưa đến hạn</v>
      </c>
      <c r="N291" s="22"/>
      <c r="O291" s="22"/>
      <c r="P291" s="22"/>
      <c r="Q291" s="22"/>
      <c r="R291" s="93"/>
      <c r="S291" s="93"/>
    </row>
    <row r="292" hidden="1" outlineLevel="1">
      <c r="A292" s="106" t="s">
        <v>99</v>
      </c>
      <c r="B292" s="81" t="s">
        <v>104</v>
      </c>
      <c r="C292" s="81"/>
      <c r="D292" s="107"/>
      <c r="E292" s="81"/>
      <c r="F292" s="22"/>
      <c r="G292" s="100"/>
      <c r="H292" s="100"/>
      <c r="I292" s="100"/>
      <c r="J292" s="100"/>
      <c r="K292" s="99">
        <f>min(K293,K461)</f>
        <v>46174</v>
      </c>
      <c r="L292" s="99">
        <f>max(L293:L461)</f>
        <v>46280</v>
      </c>
      <c r="M292" s="99" t="str">
        <f t="shared" si="1"/>
        <v>Chưa đến hạn</v>
      </c>
      <c r="N292" s="22"/>
      <c r="O292" s="22"/>
      <c r="P292" s="22"/>
      <c r="Q292" s="22"/>
      <c r="R292" s="93"/>
      <c r="S292" s="93"/>
    </row>
    <row r="293" hidden="1" outlineLevel="2">
      <c r="A293" s="106" t="s">
        <v>99</v>
      </c>
      <c r="B293" s="81" t="s">
        <v>104</v>
      </c>
      <c r="C293" s="81" t="s">
        <v>105</v>
      </c>
      <c r="D293" s="107"/>
      <c r="E293" s="81"/>
      <c r="F293" s="22"/>
      <c r="G293" s="100"/>
      <c r="H293" s="100"/>
      <c r="I293" s="100"/>
      <c r="J293" s="100"/>
      <c r="K293" s="99">
        <v>46174.0</v>
      </c>
      <c r="L293" s="99">
        <v>46203.0</v>
      </c>
      <c r="M293" s="99" t="str">
        <f t="shared" si="1"/>
        <v>Chưa đến hạn</v>
      </c>
      <c r="N293" s="22"/>
      <c r="O293" s="22"/>
      <c r="P293" s="22"/>
      <c r="Q293" s="22"/>
      <c r="R293" s="93"/>
      <c r="S293" s="93"/>
    </row>
    <row r="294" hidden="1" outlineLevel="3">
      <c r="A294" s="106" t="s">
        <v>99</v>
      </c>
      <c r="B294" s="81" t="s">
        <v>104</v>
      </c>
      <c r="C294" s="81" t="s">
        <v>105</v>
      </c>
      <c r="D294" s="107" t="s">
        <v>106</v>
      </c>
      <c r="E294" s="81" t="s">
        <v>107</v>
      </c>
      <c r="F294" s="22"/>
      <c r="G294" s="100"/>
      <c r="H294" s="100"/>
      <c r="I294" s="100"/>
      <c r="J294" s="100"/>
      <c r="K294" s="99">
        <v>46174.0</v>
      </c>
      <c r="L294" s="99">
        <v>46203.0</v>
      </c>
      <c r="M294" s="99" t="str">
        <f t="shared" si="1"/>
        <v>Chưa đến hạn</v>
      </c>
      <c r="N294" s="22"/>
      <c r="O294" s="22"/>
      <c r="P294" s="22"/>
      <c r="Q294" s="22"/>
      <c r="R294" s="93"/>
      <c r="S294" s="93"/>
    </row>
    <row r="295" hidden="1" outlineLevel="3">
      <c r="A295" s="106" t="s">
        <v>99</v>
      </c>
      <c r="B295" s="81" t="s">
        <v>104</v>
      </c>
      <c r="C295" s="81" t="s">
        <v>105</v>
      </c>
      <c r="D295" s="107" t="s">
        <v>106</v>
      </c>
      <c r="E295" s="81" t="s">
        <v>108</v>
      </c>
      <c r="F295" s="22"/>
      <c r="G295" s="100"/>
      <c r="H295" s="100"/>
      <c r="I295" s="100"/>
      <c r="J295" s="100"/>
      <c r="K295" s="99">
        <v>46174.0</v>
      </c>
      <c r="L295" s="99">
        <v>46203.0</v>
      </c>
      <c r="M295" s="99" t="str">
        <f t="shared" si="1"/>
        <v>Chưa đến hạn</v>
      </c>
      <c r="N295" s="22"/>
      <c r="O295" s="22"/>
      <c r="P295" s="22"/>
      <c r="Q295" s="22"/>
      <c r="R295" s="93"/>
      <c r="S295" s="93"/>
    </row>
    <row r="296" hidden="1" outlineLevel="3">
      <c r="A296" s="106" t="s">
        <v>99</v>
      </c>
      <c r="B296" s="81" t="s">
        <v>104</v>
      </c>
      <c r="C296" s="81" t="s">
        <v>105</v>
      </c>
      <c r="D296" s="107" t="s">
        <v>106</v>
      </c>
      <c r="E296" s="81" t="s">
        <v>109</v>
      </c>
      <c r="F296" s="22"/>
      <c r="G296" s="100"/>
      <c r="H296" s="100"/>
      <c r="I296" s="100"/>
      <c r="J296" s="100"/>
      <c r="K296" s="99">
        <v>46174.0</v>
      </c>
      <c r="L296" s="99">
        <v>46203.0</v>
      </c>
      <c r="M296" s="99" t="str">
        <f t="shared" si="1"/>
        <v>Chưa đến hạn</v>
      </c>
      <c r="N296" s="22"/>
      <c r="O296" s="22"/>
      <c r="P296" s="22"/>
      <c r="Q296" s="22"/>
      <c r="R296" s="93"/>
      <c r="S296" s="93"/>
    </row>
    <row r="297" hidden="1" outlineLevel="2">
      <c r="A297" s="106" t="s">
        <v>99</v>
      </c>
      <c r="B297" s="81" t="s">
        <v>104</v>
      </c>
      <c r="C297" s="81" t="s">
        <v>110</v>
      </c>
      <c r="D297" s="101"/>
      <c r="E297" s="81"/>
      <c r="F297" s="22"/>
      <c r="G297" s="100"/>
      <c r="H297" s="100"/>
      <c r="I297" s="100"/>
      <c r="J297" s="100"/>
      <c r="K297" s="99">
        <v>46174.0</v>
      </c>
      <c r="L297" s="99">
        <v>46203.0</v>
      </c>
      <c r="M297" s="99" t="str">
        <f t="shared" si="1"/>
        <v>Chưa đến hạn</v>
      </c>
      <c r="N297" s="22"/>
      <c r="O297" s="22"/>
      <c r="P297" s="22"/>
      <c r="Q297" s="22"/>
      <c r="R297" s="93"/>
      <c r="S297" s="93"/>
    </row>
    <row r="298" hidden="1" outlineLevel="3">
      <c r="A298" s="106" t="s">
        <v>99</v>
      </c>
      <c r="B298" s="81" t="s">
        <v>104</v>
      </c>
      <c r="C298" s="81" t="s">
        <v>110</v>
      </c>
      <c r="D298" s="101" t="s">
        <v>111</v>
      </c>
      <c r="E298" s="81"/>
      <c r="F298" s="22"/>
      <c r="G298" s="100"/>
      <c r="H298" s="100"/>
      <c r="I298" s="100"/>
      <c r="J298" s="100"/>
      <c r="K298" s="99">
        <v>46174.0</v>
      </c>
      <c r="L298" s="99">
        <v>46203.0</v>
      </c>
      <c r="M298" s="99" t="str">
        <f t="shared" si="1"/>
        <v>Chưa đến hạn</v>
      </c>
      <c r="N298" s="22"/>
      <c r="O298" s="22"/>
      <c r="P298" s="22"/>
      <c r="Q298" s="22"/>
      <c r="R298" s="93"/>
      <c r="S298" s="93"/>
    </row>
    <row r="299" hidden="1" outlineLevel="3">
      <c r="A299" s="106" t="s">
        <v>99</v>
      </c>
      <c r="B299" s="81" t="s">
        <v>104</v>
      </c>
      <c r="C299" s="81" t="s">
        <v>110</v>
      </c>
      <c r="D299" s="101" t="s">
        <v>111</v>
      </c>
      <c r="E299" s="81" t="s">
        <v>112</v>
      </c>
      <c r="F299" s="22"/>
      <c r="G299" s="100"/>
      <c r="H299" s="100"/>
      <c r="I299" s="100"/>
      <c r="J299" s="100"/>
      <c r="K299" s="99">
        <v>46174.0</v>
      </c>
      <c r="L299" s="99">
        <v>46203.0</v>
      </c>
      <c r="M299" s="99" t="str">
        <f t="shared" si="1"/>
        <v>Chưa đến hạn</v>
      </c>
      <c r="N299" s="22"/>
      <c r="O299" s="22"/>
      <c r="P299" s="22"/>
      <c r="Q299" s="22"/>
      <c r="R299" s="93"/>
      <c r="S299" s="93"/>
    </row>
    <row r="300" hidden="1" outlineLevel="3">
      <c r="A300" s="106" t="s">
        <v>99</v>
      </c>
      <c r="B300" s="81" t="s">
        <v>104</v>
      </c>
      <c r="C300" s="81" t="s">
        <v>110</v>
      </c>
      <c r="D300" s="101" t="s">
        <v>111</v>
      </c>
      <c r="E300" s="81" t="s">
        <v>113</v>
      </c>
      <c r="F300" s="22"/>
      <c r="G300" s="100"/>
      <c r="H300" s="100"/>
      <c r="I300" s="100"/>
      <c r="J300" s="100"/>
      <c r="K300" s="99">
        <v>46174.0</v>
      </c>
      <c r="L300" s="99">
        <v>46203.0</v>
      </c>
      <c r="M300" s="99" t="str">
        <f t="shared" si="1"/>
        <v>Chưa đến hạn</v>
      </c>
      <c r="N300" s="22"/>
      <c r="O300" s="22"/>
      <c r="P300" s="22"/>
      <c r="Q300" s="22"/>
      <c r="R300" s="93"/>
      <c r="S300" s="93"/>
    </row>
    <row r="301" hidden="1" outlineLevel="3">
      <c r="A301" s="106" t="s">
        <v>99</v>
      </c>
      <c r="B301" s="81" t="s">
        <v>104</v>
      </c>
      <c r="C301" s="81" t="s">
        <v>110</v>
      </c>
      <c r="D301" s="101" t="s">
        <v>111</v>
      </c>
      <c r="E301" s="81" t="s">
        <v>114</v>
      </c>
      <c r="F301" s="22"/>
      <c r="G301" s="100"/>
      <c r="H301" s="100"/>
      <c r="I301" s="100"/>
      <c r="J301" s="100"/>
      <c r="K301" s="99">
        <v>46174.0</v>
      </c>
      <c r="L301" s="99">
        <v>46203.0</v>
      </c>
      <c r="M301" s="99" t="str">
        <f t="shared" si="1"/>
        <v>Chưa đến hạn</v>
      </c>
      <c r="N301" s="22"/>
      <c r="O301" s="22"/>
      <c r="P301" s="22"/>
      <c r="Q301" s="22"/>
      <c r="R301" s="93"/>
      <c r="S301" s="93"/>
    </row>
    <row r="302" hidden="1" outlineLevel="3">
      <c r="A302" s="106" t="s">
        <v>99</v>
      </c>
      <c r="B302" s="81" t="s">
        <v>104</v>
      </c>
      <c r="C302" s="81" t="s">
        <v>110</v>
      </c>
      <c r="D302" s="101" t="s">
        <v>111</v>
      </c>
      <c r="E302" s="81" t="s">
        <v>115</v>
      </c>
      <c r="F302" s="22"/>
      <c r="G302" s="100"/>
      <c r="H302" s="100"/>
      <c r="I302" s="100"/>
      <c r="J302" s="100"/>
      <c r="K302" s="99">
        <v>46174.0</v>
      </c>
      <c r="L302" s="99">
        <v>46203.0</v>
      </c>
      <c r="M302" s="99" t="str">
        <f t="shared" si="1"/>
        <v>Chưa đến hạn</v>
      </c>
      <c r="N302" s="22"/>
      <c r="O302" s="22"/>
      <c r="P302" s="22"/>
      <c r="Q302" s="22"/>
      <c r="R302" s="93"/>
      <c r="S302" s="93"/>
    </row>
    <row r="303" hidden="1" outlineLevel="3">
      <c r="A303" s="106" t="s">
        <v>99</v>
      </c>
      <c r="B303" s="81" t="s">
        <v>104</v>
      </c>
      <c r="C303" s="81" t="s">
        <v>110</v>
      </c>
      <c r="D303" s="101" t="s">
        <v>111</v>
      </c>
      <c r="E303" s="81" t="s">
        <v>116</v>
      </c>
      <c r="F303" s="22"/>
      <c r="G303" s="100"/>
      <c r="H303" s="100"/>
      <c r="I303" s="100"/>
      <c r="J303" s="100"/>
      <c r="K303" s="99">
        <v>46174.0</v>
      </c>
      <c r="L303" s="99">
        <v>46203.0</v>
      </c>
      <c r="M303" s="99" t="str">
        <f t="shared" si="1"/>
        <v>Chưa đến hạn</v>
      </c>
      <c r="N303" s="22"/>
      <c r="O303" s="22"/>
      <c r="P303" s="22"/>
      <c r="Q303" s="22"/>
      <c r="R303" s="93"/>
      <c r="S303" s="93"/>
    </row>
    <row r="304" hidden="1" outlineLevel="3">
      <c r="A304" s="106" t="s">
        <v>99</v>
      </c>
      <c r="B304" s="81" t="s">
        <v>104</v>
      </c>
      <c r="C304" s="81" t="s">
        <v>110</v>
      </c>
      <c r="D304" s="101" t="s">
        <v>111</v>
      </c>
      <c r="E304" s="81" t="s">
        <v>117</v>
      </c>
      <c r="F304" s="22"/>
      <c r="G304" s="100"/>
      <c r="H304" s="100"/>
      <c r="I304" s="100"/>
      <c r="J304" s="100"/>
      <c r="K304" s="99">
        <v>46174.0</v>
      </c>
      <c r="L304" s="99">
        <v>46203.0</v>
      </c>
      <c r="M304" s="99" t="str">
        <f t="shared" si="1"/>
        <v>Chưa đến hạn</v>
      </c>
      <c r="N304" s="22"/>
      <c r="O304" s="22"/>
      <c r="P304" s="22"/>
      <c r="Q304" s="22"/>
      <c r="R304" s="93"/>
      <c r="S304" s="93"/>
    </row>
    <row r="305" hidden="1" outlineLevel="3">
      <c r="A305" s="106" t="s">
        <v>99</v>
      </c>
      <c r="B305" s="81" t="s">
        <v>104</v>
      </c>
      <c r="C305" s="81" t="s">
        <v>110</v>
      </c>
      <c r="D305" s="101" t="s">
        <v>111</v>
      </c>
      <c r="E305" s="81" t="s">
        <v>118</v>
      </c>
      <c r="F305" s="22"/>
      <c r="G305" s="100"/>
      <c r="H305" s="100"/>
      <c r="I305" s="100"/>
      <c r="J305" s="100"/>
      <c r="K305" s="99">
        <v>46174.0</v>
      </c>
      <c r="L305" s="99">
        <v>46203.0</v>
      </c>
      <c r="M305" s="99" t="str">
        <f t="shared" si="1"/>
        <v>Chưa đến hạn</v>
      </c>
      <c r="N305" s="22"/>
      <c r="O305" s="22"/>
      <c r="P305" s="22"/>
      <c r="Q305" s="22"/>
      <c r="R305" s="93"/>
      <c r="S305" s="93"/>
    </row>
    <row r="306" hidden="1" outlineLevel="3">
      <c r="A306" s="106" t="s">
        <v>99</v>
      </c>
      <c r="B306" s="81" t="s">
        <v>104</v>
      </c>
      <c r="C306" s="81" t="s">
        <v>110</v>
      </c>
      <c r="D306" s="101" t="s">
        <v>119</v>
      </c>
      <c r="E306" s="81"/>
      <c r="F306" s="22"/>
      <c r="G306" s="100"/>
      <c r="H306" s="100"/>
      <c r="I306" s="100"/>
      <c r="J306" s="100"/>
      <c r="K306" s="99">
        <v>46174.0</v>
      </c>
      <c r="L306" s="99">
        <v>46203.0</v>
      </c>
      <c r="M306" s="99" t="str">
        <f t="shared" si="1"/>
        <v>Chưa đến hạn</v>
      </c>
      <c r="N306" s="22"/>
      <c r="O306" s="22"/>
      <c r="P306" s="22"/>
      <c r="Q306" s="22"/>
      <c r="R306" s="93"/>
      <c r="S306" s="93"/>
    </row>
    <row r="307" hidden="1" outlineLevel="3">
      <c r="A307" s="106" t="s">
        <v>99</v>
      </c>
      <c r="B307" s="81" t="s">
        <v>104</v>
      </c>
      <c r="C307" s="81" t="s">
        <v>110</v>
      </c>
      <c r="D307" s="101" t="s">
        <v>119</v>
      </c>
      <c r="E307" s="81" t="s">
        <v>120</v>
      </c>
      <c r="F307" s="22"/>
      <c r="G307" s="100"/>
      <c r="H307" s="100"/>
      <c r="I307" s="100"/>
      <c r="J307" s="100"/>
      <c r="K307" s="99">
        <v>46174.0</v>
      </c>
      <c r="L307" s="99">
        <v>46203.0</v>
      </c>
      <c r="M307" s="99" t="str">
        <f t="shared" si="1"/>
        <v>Chưa đến hạn</v>
      </c>
      <c r="N307" s="22"/>
      <c r="O307" s="22"/>
      <c r="P307" s="22"/>
      <c r="Q307" s="22"/>
      <c r="R307" s="93"/>
      <c r="S307" s="93"/>
    </row>
    <row r="308" hidden="1" outlineLevel="2">
      <c r="A308" s="106" t="s">
        <v>99</v>
      </c>
      <c r="B308" s="81" t="s">
        <v>104</v>
      </c>
      <c r="C308" s="81" t="s">
        <v>121</v>
      </c>
      <c r="D308" s="101"/>
      <c r="E308" s="81"/>
      <c r="F308" s="22"/>
      <c r="G308" s="100"/>
      <c r="H308" s="100"/>
      <c r="I308" s="100"/>
      <c r="J308" s="100"/>
      <c r="K308" s="99">
        <v>46174.0</v>
      </c>
      <c r="L308" s="99">
        <v>46203.0</v>
      </c>
      <c r="M308" s="99" t="str">
        <f t="shared" si="1"/>
        <v>Chưa đến hạn</v>
      </c>
      <c r="N308" s="22"/>
      <c r="O308" s="22"/>
      <c r="P308" s="22"/>
      <c r="Q308" s="22"/>
      <c r="R308" s="93"/>
      <c r="S308" s="93"/>
    </row>
    <row r="309" hidden="1" outlineLevel="3">
      <c r="A309" s="106" t="s">
        <v>99</v>
      </c>
      <c r="B309" s="81" t="s">
        <v>104</v>
      </c>
      <c r="C309" s="81" t="s">
        <v>121</v>
      </c>
      <c r="D309" s="101" t="s">
        <v>122</v>
      </c>
      <c r="E309" s="81" t="s">
        <v>122</v>
      </c>
      <c r="F309" s="22"/>
      <c r="G309" s="100"/>
      <c r="H309" s="100"/>
      <c r="I309" s="100"/>
      <c r="J309" s="100"/>
      <c r="K309" s="99">
        <v>46174.0</v>
      </c>
      <c r="L309" s="99">
        <v>46203.0</v>
      </c>
      <c r="M309" s="99" t="str">
        <f t="shared" si="1"/>
        <v>Chưa đến hạn</v>
      </c>
      <c r="N309" s="22"/>
      <c r="O309" s="22"/>
      <c r="P309" s="22"/>
      <c r="Q309" s="22"/>
      <c r="R309" s="93"/>
      <c r="S309" s="93"/>
    </row>
    <row r="310" hidden="1" outlineLevel="2">
      <c r="A310" s="106" t="s">
        <v>99</v>
      </c>
      <c r="B310" s="81" t="s">
        <v>104</v>
      </c>
      <c r="C310" s="81" t="s">
        <v>123</v>
      </c>
      <c r="D310" s="101"/>
      <c r="E310" s="81"/>
      <c r="F310" s="22"/>
      <c r="G310" s="100"/>
      <c r="H310" s="100"/>
      <c r="I310" s="100"/>
      <c r="J310" s="100"/>
      <c r="K310" s="99">
        <v>46174.0</v>
      </c>
      <c r="L310" s="99">
        <v>46203.0</v>
      </c>
      <c r="M310" s="99" t="str">
        <f t="shared" si="1"/>
        <v>Chưa đến hạn</v>
      </c>
      <c r="N310" s="22"/>
      <c r="O310" s="22"/>
      <c r="P310" s="22"/>
      <c r="Q310" s="22"/>
      <c r="R310" s="93"/>
      <c r="S310" s="93"/>
    </row>
    <row r="311" hidden="1" outlineLevel="3">
      <c r="A311" s="106" t="s">
        <v>99</v>
      </c>
      <c r="B311" s="81" t="s">
        <v>104</v>
      </c>
      <c r="C311" s="81" t="s">
        <v>123</v>
      </c>
      <c r="D311" s="101" t="s">
        <v>124</v>
      </c>
      <c r="E311" s="81"/>
      <c r="F311" s="22"/>
      <c r="G311" s="100"/>
      <c r="H311" s="100"/>
      <c r="I311" s="100"/>
      <c r="J311" s="100"/>
      <c r="K311" s="99">
        <v>46174.0</v>
      </c>
      <c r="L311" s="99">
        <v>46203.0</v>
      </c>
      <c r="M311" s="99" t="str">
        <f t="shared" si="1"/>
        <v>Chưa đến hạn</v>
      </c>
      <c r="N311" s="22"/>
      <c r="O311" s="22"/>
      <c r="P311" s="22"/>
      <c r="Q311" s="22"/>
      <c r="R311" s="93"/>
      <c r="S311" s="93"/>
    </row>
    <row r="312" hidden="1" outlineLevel="3">
      <c r="A312" s="106" t="s">
        <v>99</v>
      </c>
      <c r="B312" s="81" t="s">
        <v>104</v>
      </c>
      <c r="C312" s="81" t="s">
        <v>123</v>
      </c>
      <c r="D312" s="101" t="s">
        <v>124</v>
      </c>
      <c r="E312" s="81" t="s">
        <v>125</v>
      </c>
      <c r="F312" s="22"/>
      <c r="G312" s="100"/>
      <c r="H312" s="100"/>
      <c r="I312" s="100"/>
      <c r="J312" s="100"/>
      <c r="K312" s="99">
        <v>46174.0</v>
      </c>
      <c r="L312" s="99">
        <v>46203.0</v>
      </c>
      <c r="M312" s="99" t="str">
        <f t="shared" si="1"/>
        <v>Chưa đến hạn</v>
      </c>
      <c r="N312" s="22"/>
      <c r="O312" s="22"/>
      <c r="P312" s="22"/>
      <c r="Q312" s="22"/>
      <c r="R312" s="93"/>
      <c r="S312" s="93"/>
    </row>
    <row r="313" hidden="1" outlineLevel="3">
      <c r="A313" s="106" t="s">
        <v>99</v>
      </c>
      <c r="B313" s="81" t="s">
        <v>104</v>
      </c>
      <c r="C313" s="81" t="s">
        <v>123</v>
      </c>
      <c r="D313" s="101" t="s">
        <v>126</v>
      </c>
      <c r="E313" s="81"/>
      <c r="F313" s="22"/>
      <c r="G313" s="100"/>
      <c r="H313" s="100"/>
      <c r="I313" s="100"/>
      <c r="J313" s="100"/>
      <c r="K313" s="99">
        <v>46174.0</v>
      </c>
      <c r="L313" s="99">
        <v>46203.0</v>
      </c>
      <c r="M313" s="99" t="str">
        <f t="shared" si="1"/>
        <v>Chưa đến hạn</v>
      </c>
      <c r="N313" s="22"/>
      <c r="O313" s="22"/>
      <c r="P313" s="22"/>
      <c r="Q313" s="22"/>
      <c r="R313" s="93"/>
      <c r="S313" s="93"/>
    </row>
    <row r="314" hidden="1" outlineLevel="3">
      <c r="A314" s="106" t="s">
        <v>99</v>
      </c>
      <c r="B314" s="81" t="s">
        <v>104</v>
      </c>
      <c r="C314" s="81" t="s">
        <v>123</v>
      </c>
      <c r="D314" s="101" t="s">
        <v>126</v>
      </c>
      <c r="E314" s="81" t="s">
        <v>127</v>
      </c>
      <c r="F314" s="22"/>
      <c r="G314" s="100"/>
      <c r="H314" s="100"/>
      <c r="I314" s="100"/>
      <c r="J314" s="100"/>
      <c r="K314" s="99">
        <v>46174.0</v>
      </c>
      <c r="L314" s="99">
        <v>46203.0</v>
      </c>
      <c r="M314" s="99" t="str">
        <f t="shared" si="1"/>
        <v>Chưa đến hạn</v>
      </c>
      <c r="N314" s="22"/>
      <c r="O314" s="22"/>
      <c r="P314" s="22"/>
      <c r="Q314" s="22"/>
      <c r="R314" s="93"/>
      <c r="S314" s="93"/>
    </row>
    <row r="315" hidden="1" outlineLevel="3">
      <c r="A315" s="106" t="s">
        <v>99</v>
      </c>
      <c r="B315" s="81" t="s">
        <v>104</v>
      </c>
      <c r="C315" s="81" t="s">
        <v>123</v>
      </c>
      <c r="D315" s="101" t="s">
        <v>128</v>
      </c>
      <c r="E315" s="81"/>
      <c r="F315" s="22"/>
      <c r="G315" s="100"/>
      <c r="H315" s="100"/>
      <c r="I315" s="100"/>
      <c r="J315" s="100"/>
      <c r="K315" s="99">
        <v>46174.0</v>
      </c>
      <c r="L315" s="99">
        <v>46203.0</v>
      </c>
      <c r="M315" s="99" t="str">
        <f t="shared" si="1"/>
        <v>Chưa đến hạn</v>
      </c>
      <c r="N315" s="22"/>
      <c r="O315" s="22"/>
      <c r="P315" s="22"/>
      <c r="Q315" s="22"/>
      <c r="R315" s="93"/>
      <c r="S315" s="93"/>
    </row>
    <row r="316" hidden="1" outlineLevel="3">
      <c r="A316" s="106" t="s">
        <v>99</v>
      </c>
      <c r="B316" s="81" t="s">
        <v>104</v>
      </c>
      <c r="C316" s="81" t="s">
        <v>123</v>
      </c>
      <c r="D316" s="101" t="s">
        <v>128</v>
      </c>
      <c r="E316" s="81" t="s">
        <v>129</v>
      </c>
      <c r="F316" s="22"/>
      <c r="G316" s="100"/>
      <c r="H316" s="100"/>
      <c r="I316" s="100"/>
      <c r="J316" s="100"/>
      <c r="K316" s="99">
        <v>46174.0</v>
      </c>
      <c r="L316" s="99">
        <v>46203.0</v>
      </c>
      <c r="M316" s="99" t="str">
        <f t="shared" si="1"/>
        <v>Chưa đến hạn</v>
      </c>
      <c r="N316" s="22"/>
      <c r="O316" s="22"/>
      <c r="P316" s="22"/>
      <c r="Q316" s="22"/>
      <c r="R316" s="93"/>
      <c r="S316" s="93"/>
    </row>
    <row r="317" hidden="1" outlineLevel="3">
      <c r="A317" s="106" t="s">
        <v>99</v>
      </c>
      <c r="B317" s="81" t="s">
        <v>104</v>
      </c>
      <c r="C317" s="81" t="s">
        <v>123</v>
      </c>
      <c r="D317" s="101" t="s">
        <v>128</v>
      </c>
      <c r="E317" s="81" t="s">
        <v>130</v>
      </c>
      <c r="F317" s="22"/>
      <c r="G317" s="100"/>
      <c r="H317" s="100"/>
      <c r="I317" s="100"/>
      <c r="J317" s="100"/>
      <c r="K317" s="99">
        <v>46174.0</v>
      </c>
      <c r="L317" s="99">
        <v>46203.0</v>
      </c>
      <c r="M317" s="99" t="str">
        <f t="shared" si="1"/>
        <v>Chưa đến hạn</v>
      </c>
      <c r="N317" s="22"/>
      <c r="O317" s="22"/>
      <c r="P317" s="22"/>
      <c r="Q317" s="22"/>
      <c r="R317" s="93"/>
      <c r="S317" s="93"/>
    </row>
    <row r="318" hidden="1" outlineLevel="2">
      <c r="A318" s="106" t="s">
        <v>99</v>
      </c>
      <c r="B318" s="81" t="s">
        <v>104</v>
      </c>
      <c r="C318" s="81" t="s">
        <v>131</v>
      </c>
      <c r="D318" s="101" t="s">
        <v>128</v>
      </c>
      <c r="E318" s="102"/>
      <c r="F318" s="22"/>
      <c r="G318" s="100"/>
      <c r="H318" s="100"/>
      <c r="I318" s="100"/>
      <c r="J318" s="100"/>
      <c r="K318" s="99">
        <v>46174.0</v>
      </c>
      <c r="L318" s="99">
        <v>46234.0</v>
      </c>
      <c r="M318" s="99" t="str">
        <f t="shared" si="1"/>
        <v>Chưa đến hạn</v>
      </c>
      <c r="N318" s="22"/>
      <c r="O318" s="22"/>
      <c r="P318" s="22"/>
      <c r="Q318" s="22"/>
      <c r="R318" s="93"/>
      <c r="S318" s="93"/>
    </row>
    <row r="319" hidden="1" outlineLevel="3">
      <c r="A319" s="106" t="s">
        <v>99</v>
      </c>
      <c r="B319" s="81" t="s">
        <v>104</v>
      </c>
      <c r="C319" s="81" t="s">
        <v>131</v>
      </c>
      <c r="D319" s="101" t="s">
        <v>128</v>
      </c>
      <c r="E319" s="81" t="s">
        <v>132</v>
      </c>
      <c r="F319" s="22"/>
      <c r="G319" s="100"/>
      <c r="H319" s="100"/>
      <c r="I319" s="100"/>
      <c r="J319" s="100"/>
      <c r="K319" s="99">
        <v>46174.0</v>
      </c>
      <c r="L319" s="99">
        <v>46234.0</v>
      </c>
      <c r="M319" s="99" t="str">
        <f t="shared" si="1"/>
        <v>Chưa đến hạn</v>
      </c>
      <c r="N319" s="22"/>
      <c r="O319" s="22"/>
      <c r="P319" s="22"/>
      <c r="Q319" s="22"/>
      <c r="R319" s="93"/>
      <c r="S319" s="93"/>
    </row>
    <row r="320" hidden="1" outlineLevel="2">
      <c r="A320" s="106" t="s">
        <v>99</v>
      </c>
      <c r="B320" s="81" t="s">
        <v>104</v>
      </c>
      <c r="C320" s="101" t="s">
        <v>133</v>
      </c>
      <c r="D320" s="101"/>
      <c r="E320" s="81"/>
      <c r="F320" s="22"/>
      <c r="G320" s="100"/>
      <c r="H320" s="100"/>
      <c r="I320" s="100"/>
      <c r="J320" s="100"/>
      <c r="K320" s="99">
        <v>46188.0</v>
      </c>
      <c r="L320" s="99">
        <v>46249.0</v>
      </c>
      <c r="M320" s="99" t="str">
        <f t="shared" si="1"/>
        <v>Chưa bắt đầu</v>
      </c>
      <c r="N320" s="22"/>
      <c r="O320" s="22"/>
      <c r="P320" s="22"/>
      <c r="Q320" s="22"/>
      <c r="R320" s="93"/>
      <c r="S320" s="93"/>
    </row>
    <row r="321" hidden="1" outlineLevel="3">
      <c r="A321" s="106" t="s">
        <v>99</v>
      </c>
      <c r="B321" s="81" t="s">
        <v>104</v>
      </c>
      <c r="C321" s="101" t="s">
        <v>133</v>
      </c>
      <c r="D321" s="101" t="s">
        <v>133</v>
      </c>
      <c r="E321" s="81"/>
      <c r="F321" s="22"/>
      <c r="G321" s="100"/>
      <c r="H321" s="100"/>
      <c r="I321" s="100"/>
      <c r="J321" s="100"/>
      <c r="K321" s="99">
        <v>46188.0</v>
      </c>
      <c r="L321" s="99">
        <v>46249.0</v>
      </c>
      <c r="M321" s="99" t="str">
        <f t="shared" si="1"/>
        <v>Chưa bắt đầu</v>
      </c>
      <c r="N321" s="22"/>
      <c r="O321" s="22"/>
      <c r="P321" s="22"/>
      <c r="Q321" s="22"/>
      <c r="R321" s="93"/>
      <c r="S321" s="93"/>
    </row>
    <row r="322" hidden="1" outlineLevel="3">
      <c r="A322" s="106" t="s">
        <v>99</v>
      </c>
      <c r="B322" s="81" t="s">
        <v>104</v>
      </c>
      <c r="C322" s="101" t="s">
        <v>133</v>
      </c>
      <c r="D322" s="101" t="s">
        <v>133</v>
      </c>
      <c r="E322" s="81" t="s">
        <v>134</v>
      </c>
      <c r="F322" s="22"/>
      <c r="G322" s="100"/>
      <c r="H322" s="100"/>
      <c r="I322" s="100"/>
      <c r="J322" s="100"/>
      <c r="K322" s="99">
        <v>46188.0</v>
      </c>
      <c r="L322" s="99">
        <v>46249.0</v>
      </c>
      <c r="M322" s="99" t="str">
        <f t="shared" si="1"/>
        <v>Chưa bắt đầu</v>
      </c>
      <c r="N322" s="22"/>
      <c r="O322" s="22"/>
      <c r="P322" s="22"/>
      <c r="Q322" s="22"/>
      <c r="R322" s="93"/>
      <c r="S322" s="93"/>
    </row>
    <row r="323" hidden="1" outlineLevel="3">
      <c r="A323" s="106" t="s">
        <v>99</v>
      </c>
      <c r="B323" s="81" t="s">
        <v>104</v>
      </c>
      <c r="C323" s="101" t="s">
        <v>133</v>
      </c>
      <c r="D323" s="101" t="s">
        <v>133</v>
      </c>
      <c r="E323" s="81" t="s">
        <v>135</v>
      </c>
      <c r="F323" s="22"/>
      <c r="G323" s="100"/>
      <c r="H323" s="100"/>
      <c r="I323" s="100"/>
      <c r="J323" s="100"/>
      <c r="K323" s="99">
        <v>46188.0</v>
      </c>
      <c r="L323" s="99">
        <v>46249.0</v>
      </c>
      <c r="M323" s="99" t="str">
        <f t="shared" si="1"/>
        <v>Chưa bắt đầu</v>
      </c>
      <c r="N323" s="22"/>
      <c r="O323" s="22"/>
      <c r="P323" s="22"/>
      <c r="Q323" s="22"/>
      <c r="R323" s="93"/>
      <c r="S323" s="93"/>
    </row>
    <row r="324" hidden="1" outlineLevel="3">
      <c r="A324" s="106" t="s">
        <v>99</v>
      </c>
      <c r="B324" s="81" t="s">
        <v>104</v>
      </c>
      <c r="C324" s="101" t="s">
        <v>133</v>
      </c>
      <c r="D324" s="101" t="s">
        <v>133</v>
      </c>
      <c r="E324" s="81" t="s">
        <v>136</v>
      </c>
      <c r="F324" s="22"/>
      <c r="G324" s="100"/>
      <c r="H324" s="100"/>
      <c r="I324" s="100"/>
      <c r="J324" s="100"/>
      <c r="K324" s="99">
        <v>46188.0</v>
      </c>
      <c r="L324" s="99">
        <v>46249.0</v>
      </c>
      <c r="M324" s="99" t="str">
        <f t="shared" si="1"/>
        <v>Chưa bắt đầu</v>
      </c>
      <c r="N324" s="22"/>
      <c r="O324" s="22"/>
      <c r="P324" s="22"/>
      <c r="Q324" s="22"/>
      <c r="R324" s="93"/>
      <c r="S324" s="93"/>
    </row>
    <row r="325" hidden="1" outlineLevel="3">
      <c r="A325" s="106" t="s">
        <v>99</v>
      </c>
      <c r="B325" s="81" t="s">
        <v>104</v>
      </c>
      <c r="C325" s="101" t="s">
        <v>133</v>
      </c>
      <c r="D325" s="101" t="s">
        <v>133</v>
      </c>
      <c r="E325" s="81" t="s">
        <v>137</v>
      </c>
      <c r="F325" s="22"/>
      <c r="G325" s="100"/>
      <c r="H325" s="100"/>
      <c r="I325" s="100"/>
      <c r="J325" s="100"/>
      <c r="K325" s="99">
        <v>46188.0</v>
      </c>
      <c r="L325" s="99">
        <v>46249.0</v>
      </c>
      <c r="M325" s="99" t="str">
        <f t="shared" si="1"/>
        <v>Chưa bắt đầu</v>
      </c>
      <c r="N325" s="22"/>
      <c r="O325" s="22"/>
      <c r="P325" s="22"/>
      <c r="Q325" s="22"/>
      <c r="R325" s="93"/>
      <c r="S325" s="93"/>
    </row>
    <row r="326" hidden="1" outlineLevel="3">
      <c r="A326" s="106" t="s">
        <v>99</v>
      </c>
      <c r="B326" s="81" t="s">
        <v>104</v>
      </c>
      <c r="C326" s="101" t="s">
        <v>133</v>
      </c>
      <c r="D326" s="101" t="s">
        <v>133</v>
      </c>
      <c r="E326" s="81" t="s">
        <v>138</v>
      </c>
      <c r="F326" s="22"/>
      <c r="G326" s="100"/>
      <c r="H326" s="100"/>
      <c r="I326" s="100"/>
      <c r="J326" s="100"/>
      <c r="K326" s="99">
        <v>46188.0</v>
      </c>
      <c r="L326" s="99">
        <v>46249.0</v>
      </c>
      <c r="M326" s="99" t="str">
        <f t="shared" si="1"/>
        <v>Chưa bắt đầu</v>
      </c>
      <c r="N326" s="22"/>
      <c r="O326" s="22"/>
      <c r="P326" s="22"/>
      <c r="Q326" s="22"/>
      <c r="R326" s="93"/>
      <c r="S326" s="93"/>
    </row>
    <row r="327" hidden="1" outlineLevel="3">
      <c r="A327" s="106" t="s">
        <v>99</v>
      </c>
      <c r="B327" s="81" t="s">
        <v>104</v>
      </c>
      <c r="C327" s="101" t="s">
        <v>133</v>
      </c>
      <c r="D327" s="101" t="s">
        <v>133</v>
      </c>
      <c r="E327" s="81" t="s">
        <v>139</v>
      </c>
      <c r="F327" s="22"/>
      <c r="G327" s="100"/>
      <c r="H327" s="100"/>
      <c r="I327" s="100"/>
      <c r="J327" s="100"/>
      <c r="K327" s="99">
        <v>46188.0</v>
      </c>
      <c r="L327" s="99">
        <v>46249.0</v>
      </c>
      <c r="M327" s="99" t="str">
        <f t="shared" si="1"/>
        <v>Chưa bắt đầu</v>
      </c>
      <c r="N327" s="22"/>
      <c r="O327" s="22"/>
      <c r="P327" s="22"/>
      <c r="Q327" s="22"/>
      <c r="R327" s="93"/>
      <c r="S327" s="93"/>
    </row>
    <row r="328" hidden="1" outlineLevel="3">
      <c r="A328" s="106" t="s">
        <v>99</v>
      </c>
      <c r="B328" s="81" t="s">
        <v>104</v>
      </c>
      <c r="C328" s="101" t="s">
        <v>133</v>
      </c>
      <c r="D328" s="101" t="s">
        <v>133</v>
      </c>
      <c r="E328" s="81" t="s">
        <v>140</v>
      </c>
      <c r="F328" s="22"/>
      <c r="G328" s="100"/>
      <c r="H328" s="100"/>
      <c r="I328" s="100"/>
      <c r="J328" s="100"/>
      <c r="K328" s="99">
        <v>46188.0</v>
      </c>
      <c r="L328" s="99">
        <v>46249.0</v>
      </c>
      <c r="M328" s="99" t="str">
        <f t="shared" si="1"/>
        <v>Chưa bắt đầu</v>
      </c>
      <c r="N328" s="22"/>
      <c r="O328" s="22"/>
      <c r="P328" s="22"/>
      <c r="Q328" s="22"/>
      <c r="R328" s="93"/>
      <c r="S328" s="93"/>
    </row>
    <row r="329" hidden="1" outlineLevel="3">
      <c r="A329" s="106" t="s">
        <v>99</v>
      </c>
      <c r="B329" s="81" t="s">
        <v>104</v>
      </c>
      <c r="C329" s="101" t="s">
        <v>133</v>
      </c>
      <c r="D329" s="101" t="s">
        <v>133</v>
      </c>
      <c r="E329" s="81" t="s">
        <v>141</v>
      </c>
      <c r="F329" s="22"/>
      <c r="G329" s="100"/>
      <c r="H329" s="100"/>
      <c r="I329" s="100"/>
      <c r="J329" s="100"/>
      <c r="K329" s="99">
        <v>46188.0</v>
      </c>
      <c r="L329" s="99">
        <v>46249.0</v>
      </c>
      <c r="M329" s="99" t="str">
        <f t="shared" si="1"/>
        <v>Chưa bắt đầu</v>
      </c>
      <c r="N329" s="22"/>
      <c r="O329" s="22"/>
      <c r="P329" s="22"/>
      <c r="Q329" s="22"/>
      <c r="R329" s="93"/>
      <c r="S329" s="93"/>
    </row>
    <row r="330" hidden="1" outlineLevel="2">
      <c r="A330" s="106" t="s">
        <v>99</v>
      </c>
      <c r="B330" s="81" t="s">
        <v>104</v>
      </c>
      <c r="C330" s="101" t="s">
        <v>142</v>
      </c>
      <c r="D330" s="101"/>
      <c r="E330" s="81"/>
      <c r="F330" s="22"/>
      <c r="G330" s="100"/>
      <c r="H330" s="100"/>
      <c r="I330" s="100"/>
      <c r="J330" s="100"/>
      <c r="K330" s="99">
        <v>46188.0</v>
      </c>
      <c r="L330" s="99">
        <v>46249.0</v>
      </c>
      <c r="M330" s="99" t="str">
        <f t="shared" si="1"/>
        <v>Chưa bắt đầu</v>
      </c>
      <c r="N330" s="22"/>
      <c r="O330" s="22"/>
      <c r="P330" s="22"/>
      <c r="Q330" s="22"/>
      <c r="R330" s="93"/>
      <c r="S330" s="93"/>
    </row>
    <row r="331" hidden="1" outlineLevel="3">
      <c r="A331" s="106" t="s">
        <v>99</v>
      </c>
      <c r="B331" s="81" t="s">
        <v>104</v>
      </c>
      <c r="C331" s="101" t="s">
        <v>142</v>
      </c>
      <c r="D331" s="101" t="s">
        <v>142</v>
      </c>
      <c r="E331" s="81"/>
      <c r="F331" s="22"/>
      <c r="G331" s="100"/>
      <c r="H331" s="100"/>
      <c r="I331" s="100"/>
      <c r="J331" s="100"/>
      <c r="K331" s="99">
        <v>46188.0</v>
      </c>
      <c r="L331" s="99">
        <v>46249.0</v>
      </c>
      <c r="M331" s="99" t="str">
        <f t="shared" si="1"/>
        <v>Chưa bắt đầu</v>
      </c>
      <c r="N331" s="22"/>
      <c r="O331" s="22"/>
      <c r="P331" s="22"/>
      <c r="Q331" s="22"/>
      <c r="R331" s="93"/>
      <c r="S331" s="93"/>
    </row>
    <row r="332" hidden="1" outlineLevel="3">
      <c r="A332" s="106" t="s">
        <v>99</v>
      </c>
      <c r="B332" s="81" t="s">
        <v>104</v>
      </c>
      <c r="C332" s="101" t="s">
        <v>142</v>
      </c>
      <c r="D332" s="101" t="s">
        <v>142</v>
      </c>
      <c r="E332" s="81" t="s">
        <v>134</v>
      </c>
      <c r="F332" s="22"/>
      <c r="G332" s="100"/>
      <c r="H332" s="100"/>
      <c r="I332" s="100"/>
      <c r="J332" s="100"/>
      <c r="K332" s="99">
        <v>46188.0</v>
      </c>
      <c r="L332" s="99">
        <v>46249.0</v>
      </c>
      <c r="M332" s="99" t="str">
        <f t="shared" si="1"/>
        <v>Chưa bắt đầu</v>
      </c>
      <c r="N332" s="22"/>
      <c r="O332" s="22"/>
      <c r="P332" s="22"/>
      <c r="Q332" s="22"/>
      <c r="R332" s="93"/>
      <c r="S332" s="93"/>
    </row>
    <row r="333" hidden="1" outlineLevel="3">
      <c r="A333" s="106" t="s">
        <v>99</v>
      </c>
      <c r="B333" s="81" t="s">
        <v>104</v>
      </c>
      <c r="C333" s="101" t="s">
        <v>142</v>
      </c>
      <c r="D333" s="101" t="s">
        <v>142</v>
      </c>
      <c r="E333" s="81" t="s">
        <v>135</v>
      </c>
      <c r="F333" s="22"/>
      <c r="G333" s="100"/>
      <c r="H333" s="100"/>
      <c r="I333" s="100"/>
      <c r="J333" s="100"/>
      <c r="K333" s="99">
        <v>46188.0</v>
      </c>
      <c r="L333" s="99">
        <v>46249.0</v>
      </c>
      <c r="M333" s="99" t="str">
        <f t="shared" si="1"/>
        <v>Chưa bắt đầu</v>
      </c>
      <c r="N333" s="22"/>
      <c r="O333" s="22"/>
      <c r="P333" s="22"/>
      <c r="Q333" s="22"/>
      <c r="R333" s="93"/>
      <c r="S333" s="93"/>
    </row>
    <row r="334" hidden="1" outlineLevel="3">
      <c r="A334" s="106" t="s">
        <v>99</v>
      </c>
      <c r="B334" s="81" t="s">
        <v>104</v>
      </c>
      <c r="C334" s="101" t="s">
        <v>142</v>
      </c>
      <c r="D334" s="101" t="s">
        <v>142</v>
      </c>
      <c r="E334" s="81" t="s">
        <v>136</v>
      </c>
      <c r="F334" s="22"/>
      <c r="G334" s="100"/>
      <c r="H334" s="100"/>
      <c r="I334" s="100"/>
      <c r="J334" s="100"/>
      <c r="K334" s="99">
        <v>46188.0</v>
      </c>
      <c r="L334" s="99">
        <v>46249.0</v>
      </c>
      <c r="M334" s="99" t="str">
        <f t="shared" si="1"/>
        <v>Chưa bắt đầu</v>
      </c>
      <c r="N334" s="22"/>
      <c r="O334" s="22"/>
      <c r="P334" s="22"/>
      <c r="Q334" s="22"/>
      <c r="R334" s="93"/>
      <c r="S334" s="93"/>
    </row>
    <row r="335" hidden="1" outlineLevel="3">
      <c r="A335" s="106" t="s">
        <v>99</v>
      </c>
      <c r="B335" s="81" t="s">
        <v>104</v>
      </c>
      <c r="C335" s="101" t="s">
        <v>142</v>
      </c>
      <c r="D335" s="101" t="s">
        <v>142</v>
      </c>
      <c r="E335" s="81" t="s">
        <v>137</v>
      </c>
      <c r="F335" s="22"/>
      <c r="G335" s="100"/>
      <c r="H335" s="100"/>
      <c r="I335" s="100"/>
      <c r="J335" s="100"/>
      <c r="K335" s="99">
        <v>46188.0</v>
      </c>
      <c r="L335" s="99">
        <v>46249.0</v>
      </c>
      <c r="M335" s="99" t="str">
        <f t="shared" si="1"/>
        <v>Chưa bắt đầu</v>
      </c>
      <c r="N335" s="22"/>
      <c r="O335" s="22"/>
      <c r="P335" s="22"/>
      <c r="Q335" s="22"/>
      <c r="R335" s="93"/>
      <c r="S335" s="93"/>
    </row>
    <row r="336" hidden="1" outlineLevel="3">
      <c r="A336" s="106" t="s">
        <v>99</v>
      </c>
      <c r="B336" s="81" t="s">
        <v>104</v>
      </c>
      <c r="C336" s="101" t="s">
        <v>142</v>
      </c>
      <c r="D336" s="101" t="s">
        <v>142</v>
      </c>
      <c r="E336" s="81" t="s">
        <v>138</v>
      </c>
      <c r="F336" s="22"/>
      <c r="G336" s="100"/>
      <c r="H336" s="100"/>
      <c r="I336" s="100"/>
      <c r="J336" s="100"/>
      <c r="K336" s="99">
        <v>46188.0</v>
      </c>
      <c r="L336" s="99">
        <v>46249.0</v>
      </c>
      <c r="M336" s="99" t="str">
        <f t="shared" si="1"/>
        <v>Chưa bắt đầu</v>
      </c>
      <c r="N336" s="22"/>
      <c r="O336" s="22"/>
      <c r="P336" s="22"/>
      <c r="Q336" s="22"/>
      <c r="R336" s="93"/>
      <c r="S336" s="93"/>
    </row>
    <row r="337" hidden="1" outlineLevel="3">
      <c r="A337" s="106" t="s">
        <v>99</v>
      </c>
      <c r="B337" s="81" t="s">
        <v>104</v>
      </c>
      <c r="C337" s="101" t="s">
        <v>142</v>
      </c>
      <c r="D337" s="101" t="s">
        <v>142</v>
      </c>
      <c r="E337" s="81" t="s">
        <v>139</v>
      </c>
      <c r="F337" s="22"/>
      <c r="G337" s="100"/>
      <c r="H337" s="100"/>
      <c r="I337" s="100"/>
      <c r="J337" s="100"/>
      <c r="K337" s="99">
        <v>46188.0</v>
      </c>
      <c r="L337" s="99">
        <v>46249.0</v>
      </c>
      <c r="M337" s="99" t="str">
        <f t="shared" si="1"/>
        <v>Chưa bắt đầu</v>
      </c>
      <c r="N337" s="22"/>
      <c r="O337" s="22"/>
      <c r="P337" s="22"/>
      <c r="Q337" s="22"/>
      <c r="R337" s="93"/>
      <c r="S337" s="93"/>
    </row>
    <row r="338" hidden="1" outlineLevel="3">
      <c r="A338" s="106" t="s">
        <v>99</v>
      </c>
      <c r="B338" s="81" t="s">
        <v>104</v>
      </c>
      <c r="C338" s="101" t="s">
        <v>142</v>
      </c>
      <c r="D338" s="101" t="s">
        <v>142</v>
      </c>
      <c r="E338" s="81" t="s">
        <v>143</v>
      </c>
      <c r="F338" s="22"/>
      <c r="G338" s="100"/>
      <c r="H338" s="100"/>
      <c r="I338" s="100"/>
      <c r="J338" s="100"/>
      <c r="K338" s="99">
        <v>46188.0</v>
      </c>
      <c r="L338" s="99">
        <v>46249.0</v>
      </c>
      <c r="M338" s="99" t="str">
        <f t="shared" si="1"/>
        <v>Chưa bắt đầu</v>
      </c>
      <c r="N338" s="22"/>
      <c r="O338" s="22"/>
      <c r="P338" s="22"/>
      <c r="Q338" s="22"/>
      <c r="R338" s="93"/>
      <c r="S338" s="93"/>
    </row>
    <row r="339" hidden="1" outlineLevel="3">
      <c r="A339" s="106" t="s">
        <v>99</v>
      </c>
      <c r="B339" s="81" t="s">
        <v>104</v>
      </c>
      <c r="C339" s="101" t="s">
        <v>142</v>
      </c>
      <c r="D339" s="101" t="s">
        <v>142</v>
      </c>
      <c r="E339" s="81" t="s">
        <v>141</v>
      </c>
      <c r="F339" s="22"/>
      <c r="G339" s="100"/>
      <c r="H339" s="100"/>
      <c r="I339" s="100"/>
      <c r="J339" s="100"/>
      <c r="K339" s="99">
        <v>46188.0</v>
      </c>
      <c r="L339" s="99">
        <v>46249.0</v>
      </c>
      <c r="M339" s="99" t="str">
        <f t="shared" si="1"/>
        <v>Chưa bắt đầu</v>
      </c>
      <c r="N339" s="22"/>
      <c r="O339" s="22"/>
      <c r="P339" s="22"/>
      <c r="Q339" s="22"/>
      <c r="R339" s="93"/>
      <c r="S339" s="93"/>
    </row>
    <row r="340" hidden="1" outlineLevel="2">
      <c r="A340" s="106" t="s">
        <v>99</v>
      </c>
      <c r="B340" s="81" t="s">
        <v>104</v>
      </c>
      <c r="C340" s="81" t="s">
        <v>144</v>
      </c>
      <c r="D340" s="101"/>
      <c r="E340" s="81"/>
      <c r="F340" s="22"/>
      <c r="G340" s="100"/>
      <c r="H340" s="100"/>
      <c r="I340" s="100"/>
      <c r="J340" s="100"/>
      <c r="K340" s="99">
        <v>46174.0</v>
      </c>
      <c r="L340" s="99">
        <v>46203.0</v>
      </c>
      <c r="M340" s="99" t="str">
        <f t="shared" si="1"/>
        <v>Chưa đến hạn</v>
      </c>
      <c r="N340" s="22"/>
      <c r="O340" s="22"/>
      <c r="P340" s="22"/>
      <c r="Q340" s="22"/>
      <c r="R340" s="93"/>
      <c r="S340" s="93"/>
    </row>
    <row r="341" hidden="1" outlineLevel="3">
      <c r="A341" s="106" t="s">
        <v>99</v>
      </c>
      <c r="B341" s="81" t="s">
        <v>104</v>
      </c>
      <c r="C341" s="81" t="s">
        <v>144</v>
      </c>
      <c r="D341" s="101" t="s">
        <v>145</v>
      </c>
      <c r="E341" s="81"/>
      <c r="F341" s="22"/>
      <c r="G341" s="100"/>
      <c r="H341" s="100"/>
      <c r="I341" s="100"/>
      <c r="J341" s="100"/>
      <c r="K341" s="99">
        <v>46174.0</v>
      </c>
      <c r="L341" s="99">
        <v>46203.0</v>
      </c>
      <c r="M341" s="99" t="str">
        <f t="shared" si="1"/>
        <v>Chưa đến hạn</v>
      </c>
      <c r="N341" s="22"/>
      <c r="O341" s="22"/>
      <c r="P341" s="22"/>
      <c r="Q341" s="22"/>
      <c r="R341" s="93"/>
      <c r="S341" s="93"/>
    </row>
    <row r="342" hidden="1" outlineLevel="3">
      <c r="A342" s="106" t="s">
        <v>99</v>
      </c>
      <c r="B342" s="81" t="s">
        <v>104</v>
      </c>
      <c r="C342" s="81" t="s">
        <v>144</v>
      </c>
      <c r="D342" s="101" t="s">
        <v>145</v>
      </c>
      <c r="E342" s="81" t="s">
        <v>146</v>
      </c>
      <c r="F342" s="22"/>
      <c r="G342" s="100"/>
      <c r="H342" s="100"/>
      <c r="I342" s="100"/>
      <c r="J342" s="100"/>
      <c r="K342" s="99">
        <v>46174.0</v>
      </c>
      <c r="L342" s="99">
        <v>46203.0</v>
      </c>
      <c r="M342" s="99" t="str">
        <f t="shared" si="1"/>
        <v>Chưa đến hạn</v>
      </c>
      <c r="N342" s="22"/>
      <c r="O342" s="22"/>
      <c r="P342" s="22"/>
      <c r="Q342" s="22"/>
      <c r="R342" s="93"/>
      <c r="S342" s="93"/>
    </row>
    <row r="343" hidden="1" outlineLevel="3">
      <c r="A343" s="106" t="s">
        <v>99</v>
      </c>
      <c r="B343" s="81" t="s">
        <v>104</v>
      </c>
      <c r="C343" s="81" t="s">
        <v>144</v>
      </c>
      <c r="D343" s="101" t="s">
        <v>145</v>
      </c>
      <c r="E343" s="81" t="s">
        <v>147</v>
      </c>
      <c r="F343" s="22"/>
      <c r="G343" s="100"/>
      <c r="H343" s="100"/>
      <c r="I343" s="100"/>
      <c r="J343" s="100"/>
      <c r="K343" s="99">
        <v>46174.0</v>
      </c>
      <c r="L343" s="99">
        <v>46203.0</v>
      </c>
      <c r="M343" s="99" t="str">
        <f t="shared" si="1"/>
        <v>Chưa đến hạn</v>
      </c>
      <c r="N343" s="22"/>
      <c r="O343" s="22"/>
      <c r="P343" s="22"/>
      <c r="Q343" s="22"/>
      <c r="R343" s="93"/>
      <c r="S343" s="93"/>
    </row>
    <row r="344" hidden="1" outlineLevel="3">
      <c r="A344" s="106" t="s">
        <v>99</v>
      </c>
      <c r="B344" s="81" t="s">
        <v>104</v>
      </c>
      <c r="C344" s="81" t="s">
        <v>144</v>
      </c>
      <c r="D344" s="101" t="s">
        <v>145</v>
      </c>
      <c r="E344" s="81" t="s">
        <v>148</v>
      </c>
      <c r="F344" s="22"/>
      <c r="G344" s="100"/>
      <c r="H344" s="100"/>
      <c r="I344" s="100"/>
      <c r="J344" s="100"/>
      <c r="K344" s="99">
        <v>46174.0</v>
      </c>
      <c r="L344" s="99">
        <v>46203.0</v>
      </c>
      <c r="M344" s="99" t="str">
        <f t="shared" si="1"/>
        <v>Chưa đến hạn</v>
      </c>
      <c r="N344" s="22"/>
      <c r="O344" s="22"/>
      <c r="P344" s="22"/>
      <c r="Q344" s="22"/>
      <c r="R344" s="93"/>
      <c r="S344" s="93"/>
    </row>
    <row r="345" hidden="1" outlineLevel="3">
      <c r="A345" s="106" t="s">
        <v>99</v>
      </c>
      <c r="B345" s="81" t="s">
        <v>104</v>
      </c>
      <c r="C345" s="81" t="s">
        <v>144</v>
      </c>
      <c r="D345" s="101" t="s">
        <v>145</v>
      </c>
      <c r="E345" s="81" t="s">
        <v>149</v>
      </c>
      <c r="F345" s="22"/>
      <c r="G345" s="100"/>
      <c r="H345" s="100"/>
      <c r="I345" s="100"/>
      <c r="J345" s="100"/>
      <c r="K345" s="99">
        <v>46174.0</v>
      </c>
      <c r="L345" s="99">
        <v>46203.0</v>
      </c>
      <c r="M345" s="99" t="str">
        <f t="shared" si="1"/>
        <v>Chưa đến hạn</v>
      </c>
      <c r="N345" s="22"/>
      <c r="O345" s="22"/>
      <c r="P345" s="22"/>
      <c r="Q345" s="22"/>
      <c r="R345" s="93"/>
      <c r="S345" s="93"/>
    </row>
    <row r="346" hidden="1" outlineLevel="3">
      <c r="A346" s="106" t="s">
        <v>99</v>
      </c>
      <c r="B346" s="81" t="s">
        <v>104</v>
      </c>
      <c r="C346" s="81" t="s">
        <v>144</v>
      </c>
      <c r="D346" s="101" t="s">
        <v>145</v>
      </c>
      <c r="E346" s="81" t="s">
        <v>150</v>
      </c>
      <c r="F346" s="22"/>
      <c r="G346" s="100"/>
      <c r="H346" s="100"/>
      <c r="I346" s="100"/>
      <c r="J346" s="100"/>
      <c r="K346" s="99">
        <v>46174.0</v>
      </c>
      <c r="L346" s="99">
        <v>46203.0</v>
      </c>
      <c r="M346" s="99" t="str">
        <f t="shared" si="1"/>
        <v>Chưa đến hạn</v>
      </c>
      <c r="N346" s="22"/>
      <c r="O346" s="22"/>
      <c r="P346" s="22"/>
      <c r="Q346" s="22"/>
      <c r="R346" s="93"/>
      <c r="S346" s="93"/>
    </row>
    <row r="347" hidden="1" outlineLevel="3">
      <c r="A347" s="106" t="s">
        <v>99</v>
      </c>
      <c r="B347" s="81" t="s">
        <v>104</v>
      </c>
      <c r="C347" s="81" t="s">
        <v>144</v>
      </c>
      <c r="D347" s="101" t="s">
        <v>145</v>
      </c>
      <c r="E347" s="81" t="s">
        <v>151</v>
      </c>
      <c r="F347" s="22"/>
      <c r="G347" s="100"/>
      <c r="H347" s="100"/>
      <c r="I347" s="100"/>
      <c r="J347" s="100"/>
      <c r="K347" s="99">
        <v>46174.0</v>
      </c>
      <c r="L347" s="99">
        <v>46203.0</v>
      </c>
      <c r="M347" s="99" t="str">
        <f t="shared" si="1"/>
        <v>Chưa đến hạn</v>
      </c>
      <c r="N347" s="22"/>
      <c r="O347" s="22"/>
      <c r="P347" s="22"/>
      <c r="Q347" s="22"/>
      <c r="R347" s="93"/>
      <c r="S347" s="93"/>
    </row>
    <row r="348" hidden="1" outlineLevel="3">
      <c r="A348" s="106" t="s">
        <v>99</v>
      </c>
      <c r="B348" s="81" t="s">
        <v>104</v>
      </c>
      <c r="C348" s="81" t="s">
        <v>144</v>
      </c>
      <c r="D348" s="101" t="s">
        <v>145</v>
      </c>
      <c r="E348" s="81" t="s">
        <v>152</v>
      </c>
      <c r="F348" s="22"/>
      <c r="G348" s="100"/>
      <c r="H348" s="100"/>
      <c r="I348" s="100"/>
      <c r="J348" s="100"/>
      <c r="K348" s="99">
        <v>46174.0</v>
      </c>
      <c r="L348" s="99">
        <v>46203.0</v>
      </c>
      <c r="M348" s="99" t="str">
        <f t="shared" si="1"/>
        <v>Chưa đến hạn</v>
      </c>
      <c r="N348" s="22"/>
      <c r="O348" s="22"/>
      <c r="P348" s="22"/>
      <c r="Q348" s="22"/>
      <c r="R348" s="93"/>
      <c r="S348" s="93"/>
    </row>
    <row r="349" hidden="1" outlineLevel="3">
      <c r="A349" s="106" t="s">
        <v>99</v>
      </c>
      <c r="B349" s="81" t="s">
        <v>104</v>
      </c>
      <c r="C349" s="81" t="s">
        <v>144</v>
      </c>
      <c r="D349" s="101" t="s">
        <v>145</v>
      </c>
      <c r="E349" s="81" t="s">
        <v>153</v>
      </c>
      <c r="F349" s="22"/>
      <c r="G349" s="100"/>
      <c r="H349" s="100"/>
      <c r="I349" s="100"/>
      <c r="J349" s="100"/>
      <c r="K349" s="99">
        <v>46174.0</v>
      </c>
      <c r="L349" s="99">
        <v>46203.0</v>
      </c>
      <c r="M349" s="99" t="str">
        <f t="shared" si="1"/>
        <v>Chưa đến hạn</v>
      </c>
      <c r="N349" s="22"/>
      <c r="O349" s="22"/>
      <c r="P349" s="22"/>
      <c r="Q349" s="22"/>
      <c r="R349" s="93"/>
      <c r="S349" s="93"/>
    </row>
    <row r="350" hidden="1" outlineLevel="2">
      <c r="A350" s="106" t="s">
        <v>99</v>
      </c>
      <c r="B350" s="81" t="s">
        <v>104</v>
      </c>
      <c r="C350" s="81" t="s">
        <v>154</v>
      </c>
      <c r="D350" s="81"/>
      <c r="E350" s="81"/>
      <c r="F350" s="22"/>
      <c r="G350" s="100"/>
      <c r="H350" s="100"/>
      <c r="I350" s="100"/>
      <c r="J350" s="100"/>
      <c r="K350" s="99">
        <v>46188.0</v>
      </c>
      <c r="L350" s="99">
        <v>46249.0</v>
      </c>
      <c r="M350" s="99" t="str">
        <f t="shared" si="1"/>
        <v>Chưa bắt đầu</v>
      </c>
      <c r="N350" s="22"/>
      <c r="O350" s="22"/>
      <c r="P350" s="22"/>
      <c r="Q350" s="22"/>
      <c r="R350" s="93"/>
      <c r="S350" s="93"/>
    </row>
    <row r="351" hidden="1" outlineLevel="3">
      <c r="A351" s="106" t="s">
        <v>99</v>
      </c>
      <c r="B351" s="81" t="s">
        <v>104</v>
      </c>
      <c r="C351" s="81" t="s">
        <v>154</v>
      </c>
      <c r="D351" s="81" t="s">
        <v>155</v>
      </c>
      <c r="E351" s="81"/>
      <c r="F351" s="22"/>
      <c r="G351" s="100"/>
      <c r="H351" s="100"/>
      <c r="I351" s="100"/>
      <c r="J351" s="100"/>
      <c r="K351" s="99">
        <v>46188.0</v>
      </c>
      <c r="L351" s="99">
        <v>46249.0</v>
      </c>
      <c r="M351" s="99" t="str">
        <f t="shared" si="1"/>
        <v>Chưa bắt đầu</v>
      </c>
      <c r="N351" s="22"/>
      <c r="O351" s="22"/>
      <c r="P351" s="22"/>
      <c r="Q351" s="22"/>
      <c r="R351" s="93"/>
      <c r="S351" s="93"/>
    </row>
    <row r="352" hidden="1" outlineLevel="3">
      <c r="A352" s="106" t="s">
        <v>99</v>
      </c>
      <c r="B352" s="81" t="s">
        <v>104</v>
      </c>
      <c r="C352" s="81" t="s">
        <v>154</v>
      </c>
      <c r="D352" s="81" t="s">
        <v>155</v>
      </c>
      <c r="E352" s="81" t="s">
        <v>156</v>
      </c>
      <c r="F352" s="22"/>
      <c r="G352" s="100"/>
      <c r="H352" s="100"/>
      <c r="I352" s="100"/>
      <c r="J352" s="100"/>
      <c r="K352" s="99">
        <v>46188.0</v>
      </c>
      <c r="L352" s="99">
        <v>46249.0</v>
      </c>
      <c r="M352" s="99" t="str">
        <f t="shared" si="1"/>
        <v>Chưa bắt đầu</v>
      </c>
      <c r="N352" s="22"/>
      <c r="O352" s="22"/>
      <c r="P352" s="22"/>
      <c r="Q352" s="22"/>
      <c r="R352" s="93"/>
      <c r="S352" s="93"/>
    </row>
    <row r="353" hidden="1" outlineLevel="3">
      <c r="A353" s="106" t="s">
        <v>99</v>
      </c>
      <c r="B353" s="81" t="s">
        <v>104</v>
      </c>
      <c r="C353" s="81" t="s">
        <v>154</v>
      </c>
      <c r="D353" s="81" t="s">
        <v>155</v>
      </c>
      <c r="E353" s="81" t="s">
        <v>157</v>
      </c>
      <c r="F353" s="22"/>
      <c r="G353" s="100"/>
      <c r="H353" s="100"/>
      <c r="I353" s="100"/>
      <c r="J353" s="100"/>
      <c r="K353" s="99">
        <v>46188.0</v>
      </c>
      <c r="L353" s="99">
        <v>46249.0</v>
      </c>
      <c r="M353" s="99" t="str">
        <f t="shared" si="1"/>
        <v>Chưa bắt đầu</v>
      </c>
      <c r="N353" s="22"/>
      <c r="O353" s="22"/>
      <c r="P353" s="22"/>
      <c r="Q353" s="22"/>
      <c r="R353" s="93"/>
      <c r="S353" s="93"/>
    </row>
    <row r="354" hidden="1" outlineLevel="3">
      <c r="A354" s="106" t="s">
        <v>99</v>
      </c>
      <c r="B354" s="81" t="s">
        <v>104</v>
      </c>
      <c r="C354" s="81" t="s">
        <v>154</v>
      </c>
      <c r="D354" s="81" t="s">
        <v>155</v>
      </c>
      <c r="E354" s="81" t="s">
        <v>158</v>
      </c>
      <c r="F354" s="22"/>
      <c r="G354" s="100"/>
      <c r="H354" s="100"/>
      <c r="I354" s="100"/>
      <c r="J354" s="100"/>
      <c r="K354" s="99">
        <v>46188.0</v>
      </c>
      <c r="L354" s="99">
        <v>46249.0</v>
      </c>
      <c r="M354" s="99" t="str">
        <f t="shared" si="1"/>
        <v>Chưa bắt đầu</v>
      </c>
      <c r="N354" s="22"/>
      <c r="O354" s="22"/>
      <c r="P354" s="22"/>
      <c r="Q354" s="22"/>
      <c r="R354" s="93"/>
      <c r="S354" s="93"/>
    </row>
    <row r="355" hidden="1" outlineLevel="3">
      <c r="A355" s="106" t="s">
        <v>99</v>
      </c>
      <c r="B355" s="81" t="s">
        <v>104</v>
      </c>
      <c r="C355" s="81" t="s">
        <v>154</v>
      </c>
      <c r="D355" s="81" t="s">
        <v>155</v>
      </c>
      <c r="E355" s="108" t="s">
        <v>159</v>
      </c>
      <c r="F355" s="109"/>
      <c r="G355" s="110"/>
      <c r="H355" s="110"/>
      <c r="I355" s="110"/>
      <c r="J355" s="110"/>
      <c r="K355" s="99">
        <v>46188.0</v>
      </c>
      <c r="L355" s="99">
        <v>46249.0</v>
      </c>
      <c r="M355" s="99" t="str">
        <f t="shared" si="1"/>
        <v>Chưa bắt đầu</v>
      </c>
      <c r="N355" s="109"/>
      <c r="O355" s="109"/>
      <c r="P355" s="22"/>
      <c r="Q355" s="109"/>
      <c r="R355" s="93"/>
      <c r="S355" s="93"/>
    </row>
    <row r="356" hidden="1" outlineLevel="3">
      <c r="A356" s="106" t="s">
        <v>99</v>
      </c>
      <c r="B356" s="81" t="s">
        <v>104</v>
      </c>
      <c r="C356" s="81" t="s">
        <v>154</v>
      </c>
      <c r="D356" s="81" t="s">
        <v>155</v>
      </c>
      <c r="E356" s="81" t="s">
        <v>160</v>
      </c>
      <c r="F356" s="22"/>
      <c r="G356" s="100"/>
      <c r="H356" s="100"/>
      <c r="I356" s="100"/>
      <c r="J356" s="100"/>
      <c r="K356" s="99">
        <v>46188.0</v>
      </c>
      <c r="L356" s="99">
        <v>46249.0</v>
      </c>
      <c r="M356" s="99" t="str">
        <f t="shared" si="1"/>
        <v>Chưa bắt đầu</v>
      </c>
      <c r="N356" s="22"/>
      <c r="O356" s="22"/>
      <c r="P356" s="22"/>
      <c r="Q356" s="22"/>
      <c r="R356" s="93"/>
      <c r="S356" s="93"/>
    </row>
    <row r="357" hidden="1" outlineLevel="3">
      <c r="A357" s="106" t="s">
        <v>99</v>
      </c>
      <c r="B357" s="81" t="s">
        <v>104</v>
      </c>
      <c r="C357" s="81" t="s">
        <v>154</v>
      </c>
      <c r="D357" s="81" t="s">
        <v>155</v>
      </c>
      <c r="E357" s="108" t="s">
        <v>161</v>
      </c>
      <c r="F357" s="109"/>
      <c r="G357" s="110"/>
      <c r="H357" s="110"/>
      <c r="I357" s="110"/>
      <c r="J357" s="110"/>
      <c r="K357" s="99">
        <v>46188.0</v>
      </c>
      <c r="L357" s="99">
        <v>46249.0</v>
      </c>
      <c r="M357" s="99" t="str">
        <f t="shared" si="1"/>
        <v>Chưa bắt đầu</v>
      </c>
      <c r="N357" s="109"/>
      <c r="O357" s="109"/>
      <c r="P357" s="22"/>
      <c r="Q357" s="109"/>
      <c r="R357" s="93"/>
      <c r="S357" s="93"/>
    </row>
    <row r="358" hidden="1" outlineLevel="3">
      <c r="A358" s="106" t="s">
        <v>99</v>
      </c>
      <c r="B358" s="81" t="s">
        <v>104</v>
      </c>
      <c r="C358" s="81" t="s">
        <v>154</v>
      </c>
      <c r="D358" s="81" t="s">
        <v>155</v>
      </c>
      <c r="E358" s="81" t="s">
        <v>162</v>
      </c>
      <c r="F358" s="22"/>
      <c r="G358" s="100"/>
      <c r="H358" s="100"/>
      <c r="I358" s="100"/>
      <c r="J358" s="100"/>
      <c r="K358" s="99">
        <v>46188.0</v>
      </c>
      <c r="L358" s="99">
        <v>46249.0</v>
      </c>
      <c r="M358" s="99" t="str">
        <f t="shared" si="1"/>
        <v>Chưa bắt đầu</v>
      </c>
      <c r="N358" s="22"/>
      <c r="O358" s="22"/>
      <c r="P358" s="22"/>
      <c r="Q358" s="22"/>
      <c r="R358" s="93"/>
      <c r="S358" s="93"/>
    </row>
    <row r="359" hidden="1" outlineLevel="3">
      <c r="A359" s="106" t="s">
        <v>99</v>
      </c>
      <c r="B359" s="81" t="s">
        <v>104</v>
      </c>
      <c r="C359" s="81" t="s">
        <v>154</v>
      </c>
      <c r="D359" s="81" t="s">
        <v>155</v>
      </c>
      <c r="E359" s="81" t="s">
        <v>163</v>
      </c>
      <c r="F359" s="22"/>
      <c r="G359" s="100"/>
      <c r="H359" s="100"/>
      <c r="I359" s="100"/>
      <c r="J359" s="100"/>
      <c r="K359" s="99">
        <v>46188.0</v>
      </c>
      <c r="L359" s="99">
        <v>46249.0</v>
      </c>
      <c r="M359" s="99" t="str">
        <f t="shared" si="1"/>
        <v>Chưa bắt đầu</v>
      </c>
      <c r="N359" s="22"/>
      <c r="O359" s="22"/>
      <c r="P359" s="22"/>
      <c r="Q359" s="22"/>
      <c r="R359" s="93"/>
      <c r="S359" s="93"/>
    </row>
    <row r="360" hidden="1" outlineLevel="3">
      <c r="A360" s="106" t="s">
        <v>99</v>
      </c>
      <c r="B360" s="81" t="s">
        <v>104</v>
      </c>
      <c r="C360" s="81" t="s">
        <v>154</v>
      </c>
      <c r="D360" s="81" t="s">
        <v>155</v>
      </c>
      <c r="E360" s="81" t="s">
        <v>164</v>
      </c>
      <c r="F360" s="22"/>
      <c r="G360" s="100"/>
      <c r="H360" s="100"/>
      <c r="I360" s="100"/>
      <c r="J360" s="100"/>
      <c r="K360" s="99">
        <v>46188.0</v>
      </c>
      <c r="L360" s="99">
        <v>46249.0</v>
      </c>
      <c r="M360" s="99" t="str">
        <f t="shared" si="1"/>
        <v>Chưa bắt đầu</v>
      </c>
      <c r="N360" s="22"/>
      <c r="O360" s="22"/>
      <c r="P360" s="22"/>
      <c r="Q360" s="22"/>
      <c r="R360" s="93"/>
      <c r="S360" s="93"/>
    </row>
    <row r="361" hidden="1" outlineLevel="3">
      <c r="A361" s="106" t="s">
        <v>99</v>
      </c>
      <c r="B361" s="81" t="s">
        <v>104</v>
      </c>
      <c r="C361" s="81" t="s">
        <v>154</v>
      </c>
      <c r="D361" s="81" t="s">
        <v>155</v>
      </c>
      <c r="E361" s="81" t="s">
        <v>165</v>
      </c>
      <c r="F361" s="22"/>
      <c r="G361" s="100"/>
      <c r="H361" s="100"/>
      <c r="I361" s="100"/>
      <c r="J361" s="100"/>
      <c r="K361" s="99">
        <v>46188.0</v>
      </c>
      <c r="L361" s="99">
        <v>46249.0</v>
      </c>
      <c r="M361" s="99" t="str">
        <f t="shared" si="1"/>
        <v>Chưa bắt đầu</v>
      </c>
      <c r="N361" s="22"/>
      <c r="O361" s="22"/>
      <c r="P361" s="22"/>
      <c r="Q361" s="22"/>
      <c r="R361" s="93"/>
      <c r="S361" s="93"/>
    </row>
    <row r="362" hidden="1" outlineLevel="2">
      <c r="A362" s="106" t="s">
        <v>99</v>
      </c>
      <c r="B362" s="81" t="s">
        <v>104</v>
      </c>
      <c r="C362" s="81" t="s">
        <v>166</v>
      </c>
      <c r="D362" s="81"/>
      <c r="E362" s="81"/>
      <c r="F362" s="22"/>
      <c r="G362" s="100"/>
      <c r="H362" s="100"/>
      <c r="I362" s="100"/>
      <c r="J362" s="100"/>
      <c r="K362" s="99">
        <v>46188.0</v>
      </c>
      <c r="L362" s="99">
        <v>46249.0</v>
      </c>
      <c r="M362" s="99" t="str">
        <f t="shared" si="1"/>
        <v>Chưa bắt đầu</v>
      </c>
      <c r="N362" s="22"/>
      <c r="O362" s="22"/>
      <c r="P362" s="22"/>
      <c r="Q362" s="22"/>
      <c r="R362" s="93"/>
      <c r="S362" s="93"/>
    </row>
    <row r="363" hidden="1" outlineLevel="3">
      <c r="A363" s="106" t="s">
        <v>99</v>
      </c>
      <c r="B363" s="81" t="s">
        <v>104</v>
      </c>
      <c r="C363" s="81" t="s">
        <v>166</v>
      </c>
      <c r="D363" s="81" t="s">
        <v>167</v>
      </c>
      <c r="E363" s="81"/>
      <c r="F363" s="22"/>
      <c r="G363" s="100"/>
      <c r="H363" s="100"/>
      <c r="I363" s="100"/>
      <c r="J363" s="100"/>
      <c r="K363" s="99">
        <v>46188.0</v>
      </c>
      <c r="L363" s="99">
        <v>46249.0</v>
      </c>
      <c r="M363" s="99" t="str">
        <f t="shared" si="1"/>
        <v>Chưa bắt đầu</v>
      </c>
      <c r="N363" s="22"/>
      <c r="O363" s="22"/>
      <c r="P363" s="22"/>
      <c r="Q363" s="22"/>
      <c r="R363" s="93"/>
      <c r="S363" s="93"/>
    </row>
    <row r="364" hidden="1" outlineLevel="3">
      <c r="A364" s="106" t="s">
        <v>99</v>
      </c>
      <c r="B364" s="81" t="s">
        <v>104</v>
      </c>
      <c r="C364" s="81" t="s">
        <v>166</v>
      </c>
      <c r="D364" s="81" t="s">
        <v>167</v>
      </c>
      <c r="E364" s="81" t="s">
        <v>168</v>
      </c>
      <c r="F364" s="22"/>
      <c r="G364" s="100"/>
      <c r="H364" s="100"/>
      <c r="I364" s="100"/>
      <c r="J364" s="100"/>
      <c r="K364" s="99">
        <v>46188.0</v>
      </c>
      <c r="L364" s="99">
        <v>46249.0</v>
      </c>
      <c r="M364" s="99" t="str">
        <f t="shared" si="1"/>
        <v>Chưa bắt đầu</v>
      </c>
      <c r="N364" s="22"/>
      <c r="O364" s="22"/>
      <c r="P364" s="22"/>
      <c r="Q364" s="22"/>
      <c r="R364" s="93"/>
      <c r="S364" s="93"/>
    </row>
    <row r="365" ht="15.75" hidden="1" customHeight="1" outlineLevel="3">
      <c r="A365" s="106" t="s">
        <v>99</v>
      </c>
      <c r="B365" s="81" t="s">
        <v>104</v>
      </c>
      <c r="C365" s="81" t="s">
        <v>166</v>
      </c>
      <c r="D365" s="81" t="s">
        <v>167</v>
      </c>
      <c r="E365" s="81" t="s">
        <v>169</v>
      </c>
      <c r="F365" s="22"/>
      <c r="G365" s="100"/>
      <c r="H365" s="100"/>
      <c r="I365" s="100"/>
      <c r="J365" s="100"/>
      <c r="K365" s="99">
        <v>46188.0</v>
      </c>
      <c r="L365" s="99">
        <v>46249.0</v>
      </c>
      <c r="M365" s="99" t="str">
        <f t="shared" si="1"/>
        <v>Chưa bắt đầu</v>
      </c>
      <c r="N365" s="22"/>
      <c r="O365" s="22"/>
      <c r="P365" s="22"/>
      <c r="Q365" s="22"/>
      <c r="R365" s="93"/>
      <c r="S365" s="93"/>
    </row>
    <row r="366" ht="15.75" hidden="1" customHeight="1" outlineLevel="3">
      <c r="A366" s="106" t="s">
        <v>99</v>
      </c>
      <c r="B366" s="81" t="s">
        <v>104</v>
      </c>
      <c r="C366" s="81" t="s">
        <v>166</v>
      </c>
      <c r="D366" s="81" t="s">
        <v>167</v>
      </c>
      <c r="E366" s="81" t="s">
        <v>170</v>
      </c>
      <c r="F366" s="22"/>
      <c r="G366" s="100"/>
      <c r="H366" s="100"/>
      <c r="I366" s="100"/>
      <c r="J366" s="100"/>
      <c r="K366" s="99">
        <v>46188.0</v>
      </c>
      <c r="L366" s="99">
        <v>46249.0</v>
      </c>
      <c r="M366" s="99" t="str">
        <f t="shared" si="1"/>
        <v>Chưa bắt đầu</v>
      </c>
      <c r="N366" s="22"/>
      <c r="O366" s="22"/>
      <c r="P366" s="22"/>
      <c r="Q366" s="22"/>
      <c r="R366" s="93"/>
      <c r="S366" s="93"/>
    </row>
    <row r="367" ht="15.75" hidden="1" customHeight="1" outlineLevel="3">
      <c r="A367" s="106" t="s">
        <v>99</v>
      </c>
      <c r="B367" s="81" t="s">
        <v>104</v>
      </c>
      <c r="C367" s="81" t="s">
        <v>166</v>
      </c>
      <c r="D367" s="81" t="s">
        <v>167</v>
      </c>
      <c r="E367" s="81" t="s">
        <v>171</v>
      </c>
      <c r="F367" s="22"/>
      <c r="G367" s="100"/>
      <c r="H367" s="100"/>
      <c r="I367" s="100"/>
      <c r="J367" s="100"/>
      <c r="K367" s="99">
        <v>46188.0</v>
      </c>
      <c r="L367" s="99">
        <v>46249.0</v>
      </c>
      <c r="M367" s="99" t="str">
        <f t="shared" si="1"/>
        <v>Chưa bắt đầu</v>
      </c>
      <c r="N367" s="22"/>
      <c r="O367" s="22"/>
      <c r="P367" s="22"/>
      <c r="Q367" s="22"/>
      <c r="R367" s="93"/>
      <c r="S367" s="93"/>
    </row>
    <row r="368" ht="15.75" hidden="1" customHeight="1" outlineLevel="3">
      <c r="A368" s="106" t="s">
        <v>99</v>
      </c>
      <c r="B368" s="81" t="s">
        <v>104</v>
      </c>
      <c r="C368" s="81" t="s">
        <v>166</v>
      </c>
      <c r="D368" s="81" t="s">
        <v>167</v>
      </c>
      <c r="E368" s="81" t="s">
        <v>172</v>
      </c>
      <c r="F368" s="22"/>
      <c r="G368" s="100"/>
      <c r="H368" s="100"/>
      <c r="I368" s="100"/>
      <c r="J368" s="100"/>
      <c r="K368" s="99">
        <v>46188.0</v>
      </c>
      <c r="L368" s="99">
        <v>46249.0</v>
      </c>
      <c r="M368" s="99" t="str">
        <f t="shared" si="1"/>
        <v>Chưa bắt đầu</v>
      </c>
      <c r="N368" s="22"/>
      <c r="O368" s="22"/>
      <c r="P368" s="22"/>
      <c r="Q368" s="22"/>
      <c r="R368" s="93"/>
      <c r="S368" s="93"/>
    </row>
    <row r="369" ht="15.75" hidden="1" customHeight="1" outlineLevel="3">
      <c r="A369" s="106" t="s">
        <v>99</v>
      </c>
      <c r="B369" s="81" t="s">
        <v>104</v>
      </c>
      <c r="C369" s="81" t="s">
        <v>166</v>
      </c>
      <c r="D369" s="81" t="s">
        <v>167</v>
      </c>
      <c r="E369" s="81" t="s">
        <v>173</v>
      </c>
      <c r="F369" s="22"/>
      <c r="G369" s="100"/>
      <c r="H369" s="100"/>
      <c r="I369" s="100"/>
      <c r="J369" s="100"/>
      <c r="K369" s="99">
        <v>46188.0</v>
      </c>
      <c r="L369" s="99">
        <v>46249.0</v>
      </c>
      <c r="M369" s="99" t="str">
        <f t="shared" si="1"/>
        <v>Chưa bắt đầu</v>
      </c>
      <c r="N369" s="22"/>
      <c r="O369" s="22"/>
      <c r="P369" s="22"/>
      <c r="Q369" s="22"/>
      <c r="R369" s="93"/>
      <c r="S369" s="93"/>
    </row>
    <row r="370" ht="15.75" hidden="1" customHeight="1" outlineLevel="3">
      <c r="A370" s="106" t="s">
        <v>99</v>
      </c>
      <c r="B370" s="81" t="s">
        <v>104</v>
      </c>
      <c r="C370" s="81" t="s">
        <v>166</v>
      </c>
      <c r="D370" s="81" t="s">
        <v>167</v>
      </c>
      <c r="E370" s="81" t="s">
        <v>174</v>
      </c>
      <c r="F370" s="22"/>
      <c r="G370" s="100"/>
      <c r="H370" s="100"/>
      <c r="I370" s="100"/>
      <c r="J370" s="100"/>
      <c r="K370" s="99">
        <v>46188.0</v>
      </c>
      <c r="L370" s="99">
        <v>46249.0</v>
      </c>
      <c r="M370" s="99" t="str">
        <f t="shared" si="1"/>
        <v>Chưa bắt đầu</v>
      </c>
      <c r="N370" s="22"/>
      <c r="O370" s="22"/>
      <c r="P370" s="22"/>
      <c r="Q370" s="22"/>
      <c r="R370" s="93"/>
      <c r="S370" s="93"/>
    </row>
    <row r="371" ht="15.75" hidden="1" customHeight="1" outlineLevel="3">
      <c r="A371" s="106" t="s">
        <v>99</v>
      </c>
      <c r="B371" s="81" t="s">
        <v>104</v>
      </c>
      <c r="C371" s="81" t="s">
        <v>166</v>
      </c>
      <c r="D371" s="81" t="s">
        <v>167</v>
      </c>
      <c r="E371" s="81" t="s">
        <v>175</v>
      </c>
      <c r="F371" s="22"/>
      <c r="G371" s="100"/>
      <c r="H371" s="100"/>
      <c r="I371" s="100"/>
      <c r="J371" s="100"/>
      <c r="K371" s="99">
        <v>46188.0</v>
      </c>
      <c r="L371" s="99">
        <v>46249.0</v>
      </c>
      <c r="M371" s="99" t="str">
        <f t="shared" si="1"/>
        <v>Chưa bắt đầu</v>
      </c>
      <c r="N371" s="22"/>
      <c r="O371" s="22"/>
      <c r="P371" s="22"/>
      <c r="Q371" s="22"/>
      <c r="R371" s="93"/>
      <c r="S371" s="93"/>
    </row>
    <row r="372" ht="15.75" hidden="1" customHeight="1" outlineLevel="3">
      <c r="A372" s="106" t="s">
        <v>99</v>
      </c>
      <c r="B372" s="81" t="s">
        <v>104</v>
      </c>
      <c r="C372" s="81" t="s">
        <v>166</v>
      </c>
      <c r="D372" s="81" t="s">
        <v>167</v>
      </c>
      <c r="E372" s="81" t="s">
        <v>176</v>
      </c>
      <c r="F372" s="22"/>
      <c r="G372" s="100"/>
      <c r="H372" s="100"/>
      <c r="I372" s="100"/>
      <c r="J372" s="100"/>
      <c r="K372" s="99">
        <v>46188.0</v>
      </c>
      <c r="L372" s="99">
        <v>46249.0</v>
      </c>
      <c r="M372" s="99" t="str">
        <f t="shared" si="1"/>
        <v>Chưa bắt đầu</v>
      </c>
      <c r="N372" s="22"/>
      <c r="O372" s="22"/>
      <c r="P372" s="22"/>
      <c r="Q372" s="22"/>
      <c r="R372" s="93"/>
      <c r="S372" s="93"/>
    </row>
    <row r="373" ht="15.75" hidden="1" customHeight="1" outlineLevel="3">
      <c r="A373" s="106" t="s">
        <v>99</v>
      </c>
      <c r="B373" s="81" t="s">
        <v>104</v>
      </c>
      <c r="C373" s="81" t="s">
        <v>166</v>
      </c>
      <c r="D373" s="81" t="s">
        <v>167</v>
      </c>
      <c r="E373" s="81" t="s">
        <v>177</v>
      </c>
      <c r="F373" s="22"/>
      <c r="G373" s="100"/>
      <c r="H373" s="100"/>
      <c r="I373" s="100"/>
      <c r="J373" s="100"/>
      <c r="K373" s="99">
        <v>46188.0</v>
      </c>
      <c r="L373" s="99">
        <v>46249.0</v>
      </c>
      <c r="M373" s="99" t="str">
        <f t="shared" si="1"/>
        <v>Chưa bắt đầu</v>
      </c>
      <c r="N373" s="22"/>
      <c r="O373" s="22"/>
      <c r="P373" s="22"/>
      <c r="Q373" s="22"/>
      <c r="R373" s="93"/>
      <c r="S373" s="93"/>
    </row>
    <row r="374" ht="15.75" hidden="1" customHeight="1" outlineLevel="3">
      <c r="A374" s="106" t="s">
        <v>99</v>
      </c>
      <c r="B374" s="81" t="s">
        <v>104</v>
      </c>
      <c r="C374" s="81" t="s">
        <v>166</v>
      </c>
      <c r="D374" s="81" t="s">
        <v>167</v>
      </c>
      <c r="E374" s="81" t="s">
        <v>178</v>
      </c>
      <c r="F374" s="22"/>
      <c r="G374" s="100"/>
      <c r="H374" s="100"/>
      <c r="I374" s="100"/>
      <c r="J374" s="100"/>
      <c r="K374" s="99">
        <v>46188.0</v>
      </c>
      <c r="L374" s="99">
        <v>46249.0</v>
      </c>
      <c r="M374" s="99" t="str">
        <f t="shared" si="1"/>
        <v>Chưa bắt đầu</v>
      </c>
      <c r="N374" s="22"/>
      <c r="O374" s="22"/>
      <c r="P374" s="22"/>
      <c r="Q374" s="22"/>
      <c r="R374" s="93"/>
      <c r="S374" s="93"/>
    </row>
    <row r="375" ht="15.75" hidden="1" customHeight="1" outlineLevel="3">
      <c r="A375" s="106" t="s">
        <v>99</v>
      </c>
      <c r="B375" s="81" t="s">
        <v>104</v>
      </c>
      <c r="C375" s="81" t="s">
        <v>166</v>
      </c>
      <c r="D375" s="81" t="s">
        <v>167</v>
      </c>
      <c r="E375" s="81" t="s">
        <v>179</v>
      </c>
      <c r="F375" s="22"/>
      <c r="G375" s="100"/>
      <c r="H375" s="100"/>
      <c r="I375" s="100"/>
      <c r="J375" s="100"/>
      <c r="K375" s="99">
        <v>46188.0</v>
      </c>
      <c r="L375" s="99">
        <v>46249.0</v>
      </c>
      <c r="M375" s="99" t="str">
        <f t="shared" si="1"/>
        <v>Chưa bắt đầu</v>
      </c>
      <c r="N375" s="22"/>
      <c r="O375" s="22"/>
      <c r="P375" s="22"/>
      <c r="Q375" s="22"/>
      <c r="R375" s="93"/>
      <c r="S375" s="93"/>
    </row>
    <row r="376" ht="15.75" hidden="1" customHeight="1" outlineLevel="3">
      <c r="A376" s="106" t="s">
        <v>99</v>
      </c>
      <c r="B376" s="81" t="s">
        <v>104</v>
      </c>
      <c r="C376" s="81" t="s">
        <v>166</v>
      </c>
      <c r="D376" s="81" t="s">
        <v>167</v>
      </c>
      <c r="E376" s="81" t="s">
        <v>180</v>
      </c>
      <c r="F376" s="22"/>
      <c r="G376" s="100"/>
      <c r="H376" s="100"/>
      <c r="I376" s="100"/>
      <c r="J376" s="100"/>
      <c r="K376" s="99">
        <v>46188.0</v>
      </c>
      <c r="L376" s="99">
        <v>46249.0</v>
      </c>
      <c r="M376" s="99" t="str">
        <f t="shared" si="1"/>
        <v>Chưa bắt đầu</v>
      </c>
      <c r="N376" s="22"/>
      <c r="O376" s="22"/>
      <c r="P376" s="22"/>
      <c r="Q376" s="22"/>
      <c r="R376" s="93"/>
      <c r="S376" s="93"/>
    </row>
    <row r="377" ht="15.75" hidden="1" customHeight="1" outlineLevel="3">
      <c r="A377" s="106" t="s">
        <v>99</v>
      </c>
      <c r="B377" s="81" t="s">
        <v>104</v>
      </c>
      <c r="C377" s="81" t="s">
        <v>166</v>
      </c>
      <c r="D377" s="81" t="s">
        <v>167</v>
      </c>
      <c r="E377" s="81" t="s">
        <v>181</v>
      </c>
      <c r="F377" s="22"/>
      <c r="G377" s="100"/>
      <c r="H377" s="100"/>
      <c r="I377" s="100"/>
      <c r="J377" s="100"/>
      <c r="K377" s="99">
        <v>46188.0</v>
      </c>
      <c r="L377" s="99">
        <v>46249.0</v>
      </c>
      <c r="M377" s="99" t="str">
        <f t="shared" si="1"/>
        <v>Chưa bắt đầu</v>
      </c>
      <c r="N377" s="22"/>
      <c r="O377" s="22"/>
      <c r="P377" s="22"/>
      <c r="Q377" s="22"/>
      <c r="R377" s="93"/>
      <c r="S377" s="93"/>
    </row>
    <row r="378" ht="15.75" hidden="1" customHeight="1" outlineLevel="3">
      <c r="A378" s="106" t="s">
        <v>99</v>
      </c>
      <c r="B378" s="81" t="s">
        <v>104</v>
      </c>
      <c r="C378" s="81" t="s">
        <v>166</v>
      </c>
      <c r="D378" s="81" t="s">
        <v>167</v>
      </c>
      <c r="E378" s="81" t="s">
        <v>182</v>
      </c>
      <c r="F378" s="22"/>
      <c r="G378" s="100"/>
      <c r="H378" s="100"/>
      <c r="I378" s="100"/>
      <c r="J378" s="100"/>
      <c r="K378" s="99">
        <v>46188.0</v>
      </c>
      <c r="L378" s="99">
        <v>46249.0</v>
      </c>
      <c r="M378" s="99" t="str">
        <f t="shared" si="1"/>
        <v>Chưa bắt đầu</v>
      </c>
      <c r="N378" s="22"/>
      <c r="O378" s="22"/>
      <c r="P378" s="22"/>
      <c r="Q378" s="22"/>
      <c r="R378" s="93"/>
      <c r="S378" s="93"/>
    </row>
    <row r="379" ht="15.75" hidden="1" customHeight="1" outlineLevel="3">
      <c r="A379" s="106" t="s">
        <v>99</v>
      </c>
      <c r="B379" s="81" t="s">
        <v>104</v>
      </c>
      <c r="C379" s="81" t="s">
        <v>166</v>
      </c>
      <c r="D379" s="81" t="s">
        <v>167</v>
      </c>
      <c r="E379" s="81" t="s">
        <v>183</v>
      </c>
      <c r="F379" s="22"/>
      <c r="G379" s="100"/>
      <c r="H379" s="100"/>
      <c r="I379" s="100"/>
      <c r="J379" s="100"/>
      <c r="K379" s="99">
        <v>46188.0</v>
      </c>
      <c r="L379" s="99">
        <v>46249.0</v>
      </c>
      <c r="M379" s="99" t="str">
        <f t="shared" si="1"/>
        <v>Chưa bắt đầu</v>
      </c>
      <c r="N379" s="22"/>
      <c r="O379" s="22"/>
      <c r="P379" s="22"/>
      <c r="Q379" s="22"/>
      <c r="R379" s="93"/>
      <c r="S379" s="93"/>
    </row>
    <row r="380" ht="15.75" hidden="1" customHeight="1" outlineLevel="3">
      <c r="A380" s="106" t="s">
        <v>99</v>
      </c>
      <c r="B380" s="81" t="s">
        <v>104</v>
      </c>
      <c r="C380" s="81" t="s">
        <v>166</v>
      </c>
      <c r="D380" s="81" t="s">
        <v>167</v>
      </c>
      <c r="E380" s="81" t="s">
        <v>184</v>
      </c>
      <c r="F380" s="22"/>
      <c r="G380" s="100"/>
      <c r="H380" s="100"/>
      <c r="I380" s="100"/>
      <c r="J380" s="100"/>
      <c r="K380" s="99">
        <v>46188.0</v>
      </c>
      <c r="L380" s="99">
        <v>46249.0</v>
      </c>
      <c r="M380" s="99" t="str">
        <f t="shared" si="1"/>
        <v>Chưa bắt đầu</v>
      </c>
      <c r="N380" s="22"/>
      <c r="O380" s="22"/>
      <c r="P380" s="22"/>
      <c r="Q380" s="22"/>
      <c r="R380" s="93"/>
      <c r="S380" s="93"/>
    </row>
    <row r="381" ht="15.75" hidden="1" customHeight="1" outlineLevel="3">
      <c r="A381" s="106" t="s">
        <v>99</v>
      </c>
      <c r="B381" s="81" t="s">
        <v>104</v>
      </c>
      <c r="C381" s="81" t="s">
        <v>166</v>
      </c>
      <c r="D381" s="81" t="s">
        <v>167</v>
      </c>
      <c r="E381" s="81" t="s">
        <v>185</v>
      </c>
      <c r="F381" s="22"/>
      <c r="G381" s="100"/>
      <c r="H381" s="100"/>
      <c r="I381" s="100"/>
      <c r="J381" s="100"/>
      <c r="K381" s="99">
        <v>46188.0</v>
      </c>
      <c r="L381" s="99">
        <v>46249.0</v>
      </c>
      <c r="M381" s="99" t="str">
        <f t="shared" si="1"/>
        <v>Chưa bắt đầu</v>
      </c>
      <c r="N381" s="22"/>
      <c r="O381" s="22"/>
      <c r="P381" s="22"/>
      <c r="Q381" s="22"/>
      <c r="R381" s="93"/>
      <c r="S381" s="93"/>
    </row>
    <row r="382" ht="15.75" hidden="1" customHeight="1" outlineLevel="2">
      <c r="A382" s="106" t="s">
        <v>99</v>
      </c>
      <c r="B382" s="81" t="s">
        <v>104</v>
      </c>
      <c r="C382" s="81" t="s">
        <v>186</v>
      </c>
      <c r="D382" s="81"/>
      <c r="E382" s="81"/>
      <c r="F382" s="22"/>
      <c r="G382" s="100"/>
      <c r="H382" s="100"/>
      <c r="I382" s="100"/>
      <c r="J382" s="100"/>
      <c r="K382" s="99">
        <v>46204.0</v>
      </c>
      <c r="L382" s="99">
        <v>46249.0</v>
      </c>
      <c r="M382" s="99" t="str">
        <f t="shared" si="1"/>
        <v>Chưa bắt đầu</v>
      </c>
      <c r="N382" s="22"/>
      <c r="O382" s="22"/>
      <c r="P382" s="22"/>
      <c r="Q382" s="22"/>
      <c r="R382" s="93"/>
      <c r="S382" s="93"/>
    </row>
    <row r="383" ht="15.75" hidden="1" customHeight="1" outlineLevel="3">
      <c r="A383" s="106" t="s">
        <v>99</v>
      </c>
      <c r="B383" s="81" t="s">
        <v>104</v>
      </c>
      <c r="C383" s="81" t="s">
        <v>186</v>
      </c>
      <c r="D383" s="81" t="s">
        <v>187</v>
      </c>
      <c r="E383" s="81"/>
      <c r="F383" s="22"/>
      <c r="G383" s="100"/>
      <c r="H383" s="100"/>
      <c r="I383" s="100"/>
      <c r="J383" s="100"/>
      <c r="K383" s="99">
        <v>46204.0</v>
      </c>
      <c r="L383" s="99">
        <v>46249.0</v>
      </c>
      <c r="M383" s="99" t="str">
        <f t="shared" si="1"/>
        <v>Chưa bắt đầu</v>
      </c>
      <c r="N383" s="22"/>
      <c r="O383" s="22"/>
      <c r="P383" s="22"/>
      <c r="Q383" s="22"/>
      <c r="R383" s="93"/>
      <c r="S383" s="93"/>
    </row>
    <row r="384" ht="15.75" hidden="1" customHeight="1" outlineLevel="3">
      <c r="A384" s="106" t="s">
        <v>99</v>
      </c>
      <c r="B384" s="81" t="s">
        <v>104</v>
      </c>
      <c r="C384" s="81" t="s">
        <v>186</v>
      </c>
      <c r="D384" s="81" t="s">
        <v>187</v>
      </c>
      <c r="E384" s="81" t="s">
        <v>188</v>
      </c>
      <c r="F384" s="22"/>
      <c r="G384" s="100"/>
      <c r="H384" s="100"/>
      <c r="I384" s="100"/>
      <c r="J384" s="100"/>
      <c r="K384" s="99">
        <v>46204.0</v>
      </c>
      <c r="L384" s="99">
        <v>46249.0</v>
      </c>
      <c r="M384" s="99" t="str">
        <f t="shared" si="1"/>
        <v>Chưa bắt đầu</v>
      </c>
      <c r="N384" s="22"/>
      <c r="O384" s="22"/>
      <c r="P384" s="22"/>
      <c r="Q384" s="22"/>
      <c r="R384" s="93"/>
      <c r="S384" s="93"/>
    </row>
    <row r="385" ht="15.75" hidden="1" customHeight="1" outlineLevel="3">
      <c r="A385" s="106" t="s">
        <v>99</v>
      </c>
      <c r="B385" s="81" t="s">
        <v>104</v>
      </c>
      <c r="C385" s="81" t="s">
        <v>186</v>
      </c>
      <c r="D385" s="81" t="s">
        <v>187</v>
      </c>
      <c r="E385" s="81" t="s">
        <v>189</v>
      </c>
      <c r="F385" s="22"/>
      <c r="G385" s="100"/>
      <c r="H385" s="100"/>
      <c r="I385" s="100"/>
      <c r="J385" s="100"/>
      <c r="K385" s="99">
        <v>46204.0</v>
      </c>
      <c r="L385" s="99">
        <v>46249.0</v>
      </c>
      <c r="M385" s="99" t="str">
        <f t="shared" si="1"/>
        <v>Chưa bắt đầu</v>
      </c>
      <c r="N385" s="22"/>
      <c r="O385" s="22"/>
      <c r="P385" s="22"/>
      <c r="Q385" s="22"/>
      <c r="R385" s="93"/>
      <c r="S385" s="93"/>
    </row>
    <row r="386" ht="15.75" hidden="1" customHeight="1" outlineLevel="3">
      <c r="A386" s="106" t="s">
        <v>99</v>
      </c>
      <c r="B386" s="81" t="s">
        <v>104</v>
      </c>
      <c r="C386" s="81" t="s">
        <v>186</v>
      </c>
      <c r="D386" s="81" t="s">
        <v>187</v>
      </c>
      <c r="E386" s="81" t="s">
        <v>190</v>
      </c>
      <c r="F386" s="22"/>
      <c r="G386" s="100"/>
      <c r="H386" s="100"/>
      <c r="I386" s="100"/>
      <c r="J386" s="100"/>
      <c r="K386" s="99">
        <v>46204.0</v>
      </c>
      <c r="L386" s="99">
        <v>46249.0</v>
      </c>
      <c r="M386" s="99" t="str">
        <f t="shared" si="1"/>
        <v>Chưa bắt đầu</v>
      </c>
      <c r="N386" s="22"/>
      <c r="O386" s="22"/>
      <c r="P386" s="22"/>
      <c r="Q386" s="22"/>
      <c r="R386" s="93"/>
      <c r="S386" s="93"/>
    </row>
    <row r="387" ht="15.75" hidden="1" customHeight="1" outlineLevel="3">
      <c r="A387" s="106" t="s">
        <v>99</v>
      </c>
      <c r="B387" s="81" t="s">
        <v>104</v>
      </c>
      <c r="C387" s="81" t="s">
        <v>186</v>
      </c>
      <c r="D387" s="81" t="s">
        <v>187</v>
      </c>
      <c r="E387" s="81" t="s">
        <v>191</v>
      </c>
      <c r="F387" s="22"/>
      <c r="G387" s="100"/>
      <c r="H387" s="100"/>
      <c r="I387" s="100"/>
      <c r="J387" s="100"/>
      <c r="K387" s="99">
        <v>46204.0</v>
      </c>
      <c r="L387" s="99">
        <v>46249.0</v>
      </c>
      <c r="M387" s="99" t="str">
        <f t="shared" si="1"/>
        <v>Chưa bắt đầu</v>
      </c>
      <c r="N387" s="22"/>
      <c r="O387" s="22"/>
      <c r="P387" s="22"/>
      <c r="Q387" s="22"/>
      <c r="R387" s="93"/>
      <c r="S387" s="93"/>
    </row>
    <row r="388" ht="15.75" hidden="1" customHeight="1" outlineLevel="3">
      <c r="A388" s="106" t="s">
        <v>99</v>
      </c>
      <c r="B388" s="81" t="s">
        <v>104</v>
      </c>
      <c r="C388" s="81" t="s">
        <v>186</v>
      </c>
      <c r="D388" s="81" t="s">
        <v>187</v>
      </c>
      <c r="E388" s="81" t="s">
        <v>192</v>
      </c>
      <c r="F388" s="22"/>
      <c r="G388" s="100"/>
      <c r="H388" s="100"/>
      <c r="I388" s="100"/>
      <c r="J388" s="100"/>
      <c r="K388" s="99">
        <v>46204.0</v>
      </c>
      <c r="L388" s="99">
        <v>46249.0</v>
      </c>
      <c r="M388" s="99" t="str">
        <f t="shared" si="1"/>
        <v>Chưa bắt đầu</v>
      </c>
      <c r="N388" s="22"/>
      <c r="O388" s="22"/>
      <c r="P388" s="22"/>
      <c r="Q388" s="22"/>
      <c r="R388" s="93"/>
      <c r="S388" s="93"/>
    </row>
    <row r="389" ht="15.75" hidden="1" customHeight="1" outlineLevel="3">
      <c r="A389" s="106" t="s">
        <v>99</v>
      </c>
      <c r="B389" s="81" t="s">
        <v>104</v>
      </c>
      <c r="C389" s="81" t="s">
        <v>186</v>
      </c>
      <c r="D389" s="81" t="s">
        <v>187</v>
      </c>
      <c r="E389" s="81" t="s">
        <v>193</v>
      </c>
      <c r="F389" s="22"/>
      <c r="G389" s="100"/>
      <c r="H389" s="100"/>
      <c r="I389" s="100"/>
      <c r="J389" s="100"/>
      <c r="K389" s="99">
        <v>46204.0</v>
      </c>
      <c r="L389" s="99">
        <v>46249.0</v>
      </c>
      <c r="M389" s="99" t="str">
        <f t="shared" si="1"/>
        <v>Chưa bắt đầu</v>
      </c>
      <c r="N389" s="22"/>
      <c r="O389" s="22"/>
      <c r="P389" s="22"/>
      <c r="Q389" s="22"/>
      <c r="R389" s="93"/>
      <c r="S389" s="93"/>
    </row>
    <row r="390" ht="15.75" hidden="1" customHeight="1" outlineLevel="3">
      <c r="A390" s="106" t="s">
        <v>99</v>
      </c>
      <c r="B390" s="81" t="s">
        <v>104</v>
      </c>
      <c r="C390" s="81" t="s">
        <v>186</v>
      </c>
      <c r="D390" s="81" t="s">
        <v>187</v>
      </c>
      <c r="E390" s="81" t="s">
        <v>194</v>
      </c>
      <c r="F390" s="22"/>
      <c r="G390" s="100"/>
      <c r="H390" s="100"/>
      <c r="I390" s="100"/>
      <c r="J390" s="100"/>
      <c r="K390" s="99">
        <v>46204.0</v>
      </c>
      <c r="L390" s="99">
        <v>46249.0</v>
      </c>
      <c r="M390" s="99" t="str">
        <f t="shared" si="1"/>
        <v>Chưa bắt đầu</v>
      </c>
      <c r="N390" s="22"/>
      <c r="O390" s="22"/>
      <c r="P390" s="22"/>
      <c r="Q390" s="22"/>
      <c r="R390" s="93"/>
      <c r="S390" s="93"/>
    </row>
    <row r="391" ht="15.75" hidden="1" customHeight="1" outlineLevel="3">
      <c r="A391" s="106" t="s">
        <v>99</v>
      </c>
      <c r="B391" s="81" t="s">
        <v>104</v>
      </c>
      <c r="C391" s="81" t="s">
        <v>186</v>
      </c>
      <c r="D391" s="81" t="s">
        <v>187</v>
      </c>
      <c r="E391" s="81" t="s">
        <v>195</v>
      </c>
      <c r="F391" s="22"/>
      <c r="G391" s="100"/>
      <c r="H391" s="100"/>
      <c r="I391" s="100"/>
      <c r="J391" s="100"/>
      <c r="K391" s="99">
        <v>46204.0</v>
      </c>
      <c r="L391" s="99">
        <v>46249.0</v>
      </c>
      <c r="M391" s="99" t="str">
        <f t="shared" si="1"/>
        <v>Chưa bắt đầu</v>
      </c>
      <c r="N391" s="22"/>
      <c r="O391" s="22"/>
      <c r="P391" s="22"/>
      <c r="Q391" s="22"/>
      <c r="R391" s="93"/>
      <c r="S391" s="93"/>
    </row>
    <row r="392" ht="15.75" hidden="1" customHeight="1" outlineLevel="3">
      <c r="A392" s="106" t="s">
        <v>99</v>
      </c>
      <c r="B392" s="81" t="s">
        <v>104</v>
      </c>
      <c r="C392" s="81" t="s">
        <v>186</v>
      </c>
      <c r="D392" s="81" t="s">
        <v>187</v>
      </c>
      <c r="E392" s="81" t="s">
        <v>196</v>
      </c>
      <c r="F392" s="22"/>
      <c r="G392" s="100"/>
      <c r="H392" s="100"/>
      <c r="I392" s="100"/>
      <c r="J392" s="100"/>
      <c r="K392" s="99">
        <v>46204.0</v>
      </c>
      <c r="L392" s="99">
        <v>46249.0</v>
      </c>
      <c r="M392" s="99" t="str">
        <f t="shared" si="1"/>
        <v>Chưa bắt đầu</v>
      </c>
      <c r="N392" s="22"/>
      <c r="O392" s="22"/>
      <c r="P392" s="22"/>
      <c r="Q392" s="22"/>
      <c r="R392" s="93"/>
      <c r="S392" s="93"/>
    </row>
    <row r="393" ht="15.75" hidden="1" customHeight="1" outlineLevel="3">
      <c r="A393" s="106" t="s">
        <v>99</v>
      </c>
      <c r="B393" s="81" t="s">
        <v>104</v>
      </c>
      <c r="C393" s="81" t="s">
        <v>186</v>
      </c>
      <c r="D393" s="81" t="s">
        <v>187</v>
      </c>
      <c r="E393" s="81" t="s">
        <v>197</v>
      </c>
      <c r="F393" s="22"/>
      <c r="G393" s="100"/>
      <c r="H393" s="100"/>
      <c r="I393" s="100"/>
      <c r="J393" s="100"/>
      <c r="K393" s="99">
        <v>46204.0</v>
      </c>
      <c r="L393" s="99">
        <v>46249.0</v>
      </c>
      <c r="M393" s="99" t="str">
        <f t="shared" si="1"/>
        <v>Chưa bắt đầu</v>
      </c>
      <c r="N393" s="22"/>
      <c r="O393" s="22"/>
      <c r="P393" s="22"/>
      <c r="Q393" s="22"/>
      <c r="R393" s="93"/>
      <c r="S393" s="93"/>
    </row>
    <row r="394" ht="15.75" hidden="1" customHeight="1" outlineLevel="2">
      <c r="A394" s="106" t="s">
        <v>99</v>
      </c>
      <c r="B394" s="81" t="s">
        <v>104</v>
      </c>
      <c r="C394" s="81" t="s">
        <v>198</v>
      </c>
      <c r="D394" s="81"/>
      <c r="E394" s="81"/>
      <c r="F394" s="22"/>
      <c r="G394" s="100"/>
      <c r="H394" s="100"/>
      <c r="I394" s="100"/>
      <c r="J394" s="100"/>
      <c r="K394" s="99">
        <v>46204.0</v>
      </c>
      <c r="L394" s="99">
        <v>46249.0</v>
      </c>
      <c r="M394" s="99" t="str">
        <f t="shared" si="1"/>
        <v>Chưa bắt đầu</v>
      </c>
      <c r="N394" s="22"/>
      <c r="O394" s="22"/>
      <c r="P394" s="22"/>
      <c r="Q394" s="22"/>
      <c r="R394" s="93"/>
      <c r="S394" s="93"/>
    </row>
    <row r="395" ht="15.75" hidden="1" customHeight="1" outlineLevel="3">
      <c r="A395" s="106" t="s">
        <v>99</v>
      </c>
      <c r="B395" s="81" t="s">
        <v>104</v>
      </c>
      <c r="C395" s="81" t="s">
        <v>198</v>
      </c>
      <c r="D395" s="81" t="s">
        <v>199</v>
      </c>
      <c r="E395" s="81"/>
      <c r="F395" s="22"/>
      <c r="G395" s="100"/>
      <c r="H395" s="100"/>
      <c r="I395" s="100"/>
      <c r="J395" s="100"/>
      <c r="K395" s="99">
        <v>46204.0</v>
      </c>
      <c r="L395" s="99">
        <v>46249.0</v>
      </c>
      <c r="M395" s="99" t="str">
        <f t="shared" si="1"/>
        <v>Chưa bắt đầu</v>
      </c>
      <c r="N395" s="22"/>
      <c r="O395" s="22"/>
      <c r="P395" s="22"/>
      <c r="Q395" s="22"/>
      <c r="R395" s="93"/>
      <c r="S395" s="93"/>
    </row>
    <row r="396" ht="15.75" hidden="1" customHeight="1" outlineLevel="3">
      <c r="A396" s="106" t="s">
        <v>99</v>
      </c>
      <c r="B396" s="81" t="s">
        <v>104</v>
      </c>
      <c r="C396" s="81" t="s">
        <v>198</v>
      </c>
      <c r="D396" s="81" t="s">
        <v>199</v>
      </c>
      <c r="E396" s="81" t="s">
        <v>200</v>
      </c>
      <c r="F396" s="22"/>
      <c r="G396" s="100"/>
      <c r="H396" s="100"/>
      <c r="I396" s="100"/>
      <c r="J396" s="100"/>
      <c r="K396" s="99">
        <v>46204.0</v>
      </c>
      <c r="L396" s="99">
        <v>46249.0</v>
      </c>
      <c r="M396" s="99" t="str">
        <f t="shared" si="1"/>
        <v>Chưa bắt đầu</v>
      </c>
      <c r="N396" s="22"/>
      <c r="O396" s="22"/>
      <c r="P396" s="22"/>
      <c r="Q396" s="22"/>
      <c r="R396" s="93"/>
      <c r="S396" s="93"/>
    </row>
    <row r="397" ht="15.75" hidden="1" customHeight="1" outlineLevel="3">
      <c r="A397" s="106" t="s">
        <v>99</v>
      </c>
      <c r="B397" s="81" t="s">
        <v>104</v>
      </c>
      <c r="C397" s="81" t="s">
        <v>198</v>
      </c>
      <c r="D397" s="81" t="s">
        <v>199</v>
      </c>
      <c r="E397" s="81" t="s">
        <v>201</v>
      </c>
      <c r="F397" s="22"/>
      <c r="G397" s="22"/>
      <c r="H397" s="22"/>
      <c r="I397" s="22"/>
      <c r="J397" s="22"/>
      <c r="K397" s="99">
        <v>46204.0</v>
      </c>
      <c r="L397" s="99">
        <v>46249.0</v>
      </c>
      <c r="M397" s="99" t="str">
        <f t="shared" si="1"/>
        <v>Chưa bắt đầu</v>
      </c>
      <c r="N397" s="22"/>
      <c r="O397" s="22"/>
      <c r="P397" s="22"/>
      <c r="Q397" s="22"/>
      <c r="R397" s="93"/>
      <c r="S397" s="93"/>
    </row>
    <row r="398" ht="15.75" hidden="1" customHeight="1" outlineLevel="3">
      <c r="A398" s="106" t="s">
        <v>99</v>
      </c>
      <c r="B398" s="81" t="s">
        <v>104</v>
      </c>
      <c r="C398" s="81" t="s">
        <v>198</v>
      </c>
      <c r="D398" s="81" t="s">
        <v>199</v>
      </c>
      <c r="E398" s="81" t="s">
        <v>202</v>
      </c>
      <c r="F398" s="22"/>
      <c r="G398" s="22"/>
      <c r="H398" s="22"/>
      <c r="I398" s="22"/>
      <c r="J398" s="22"/>
      <c r="K398" s="99">
        <v>46204.0</v>
      </c>
      <c r="L398" s="99">
        <v>46249.0</v>
      </c>
      <c r="M398" s="99" t="str">
        <f t="shared" si="1"/>
        <v>Chưa bắt đầu</v>
      </c>
      <c r="N398" s="22"/>
      <c r="O398" s="22"/>
      <c r="P398" s="22"/>
      <c r="Q398" s="22"/>
      <c r="R398" s="93"/>
      <c r="S398" s="93"/>
    </row>
    <row r="399" ht="15.75" hidden="1" customHeight="1" outlineLevel="3">
      <c r="A399" s="106" t="s">
        <v>99</v>
      </c>
      <c r="B399" s="81" t="s">
        <v>104</v>
      </c>
      <c r="C399" s="81" t="s">
        <v>198</v>
      </c>
      <c r="D399" s="81" t="s">
        <v>199</v>
      </c>
      <c r="E399" s="81" t="s">
        <v>203</v>
      </c>
      <c r="F399" s="22"/>
      <c r="G399" s="22"/>
      <c r="H399" s="22"/>
      <c r="I399" s="22"/>
      <c r="J399" s="22"/>
      <c r="K399" s="99">
        <v>46204.0</v>
      </c>
      <c r="L399" s="99">
        <v>46249.0</v>
      </c>
      <c r="M399" s="99" t="str">
        <f t="shared" si="1"/>
        <v>Chưa bắt đầu</v>
      </c>
      <c r="N399" s="22"/>
      <c r="O399" s="22"/>
      <c r="P399" s="22"/>
      <c r="Q399" s="22"/>
      <c r="R399" s="93"/>
      <c r="S399" s="93"/>
    </row>
    <row r="400" ht="15.75" hidden="1" customHeight="1" outlineLevel="3">
      <c r="A400" s="106" t="s">
        <v>99</v>
      </c>
      <c r="B400" s="81" t="s">
        <v>104</v>
      </c>
      <c r="C400" s="81" t="s">
        <v>198</v>
      </c>
      <c r="D400" s="81" t="s">
        <v>199</v>
      </c>
      <c r="E400" s="81" t="s">
        <v>204</v>
      </c>
      <c r="F400" s="22"/>
      <c r="G400" s="22"/>
      <c r="H400" s="22"/>
      <c r="I400" s="22"/>
      <c r="J400" s="22"/>
      <c r="K400" s="99">
        <v>46204.0</v>
      </c>
      <c r="L400" s="99">
        <v>46249.0</v>
      </c>
      <c r="M400" s="99" t="str">
        <f t="shared" si="1"/>
        <v>Chưa bắt đầu</v>
      </c>
      <c r="N400" s="22"/>
      <c r="O400" s="22"/>
      <c r="P400" s="22"/>
      <c r="Q400" s="22"/>
      <c r="R400" s="93"/>
      <c r="S400" s="93"/>
    </row>
    <row r="401" ht="15.75" hidden="1" customHeight="1" outlineLevel="3">
      <c r="A401" s="106" t="s">
        <v>99</v>
      </c>
      <c r="B401" s="81" t="s">
        <v>104</v>
      </c>
      <c r="C401" s="81" t="s">
        <v>198</v>
      </c>
      <c r="D401" s="81" t="s">
        <v>199</v>
      </c>
      <c r="E401" s="81" t="s">
        <v>205</v>
      </c>
      <c r="F401" s="22"/>
      <c r="G401" s="22"/>
      <c r="H401" s="22"/>
      <c r="I401" s="22"/>
      <c r="J401" s="22"/>
      <c r="K401" s="99">
        <v>46204.0</v>
      </c>
      <c r="L401" s="99">
        <v>46249.0</v>
      </c>
      <c r="M401" s="99" t="str">
        <f t="shared" si="1"/>
        <v>Chưa bắt đầu</v>
      </c>
      <c r="N401" s="22"/>
      <c r="O401" s="22"/>
      <c r="P401" s="22"/>
      <c r="Q401" s="22"/>
      <c r="R401" s="93"/>
      <c r="S401" s="93"/>
    </row>
    <row r="402" ht="15.75" hidden="1" customHeight="1" outlineLevel="3">
      <c r="A402" s="106" t="s">
        <v>99</v>
      </c>
      <c r="B402" s="81" t="s">
        <v>104</v>
      </c>
      <c r="C402" s="81" t="s">
        <v>198</v>
      </c>
      <c r="D402" s="81" t="s">
        <v>199</v>
      </c>
      <c r="E402" s="81" t="s">
        <v>206</v>
      </c>
      <c r="F402" s="22"/>
      <c r="G402" s="22"/>
      <c r="H402" s="22"/>
      <c r="I402" s="22"/>
      <c r="J402" s="22"/>
      <c r="K402" s="99">
        <v>46204.0</v>
      </c>
      <c r="L402" s="99">
        <v>46249.0</v>
      </c>
      <c r="M402" s="99" t="str">
        <f t="shared" si="1"/>
        <v>Chưa bắt đầu</v>
      </c>
      <c r="N402" s="22"/>
      <c r="O402" s="22"/>
      <c r="P402" s="22"/>
      <c r="Q402" s="22"/>
      <c r="R402" s="93"/>
      <c r="S402" s="93"/>
    </row>
    <row r="403" ht="15.75" hidden="1" customHeight="1" outlineLevel="3">
      <c r="A403" s="106" t="s">
        <v>99</v>
      </c>
      <c r="B403" s="81" t="s">
        <v>104</v>
      </c>
      <c r="C403" s="81" t="s">
        <v>198</v>
      </c>
      <c r="D403" s="81" t="s">
        <v>199</v>
      </c>
      <c r="E403" s="81" t="s">
        <v>207</v>
      </c>
      <c r="F403" s="81"/>
      <c r="G403" s="81"/>
      <c r="H403" s="81"/>
      <c r="I403" s="81"/>
      <c r="J403" s="81"/>
      <c r="K403" s="99">
        <v>46204.0</v>
      </c>
      <c r="L403" s="99">
        <v>46249.0</v>
      </c>
      <c r="M403" s="99" t="str">
        <f t="shared" si="1"/>
        <v>Chưa bắt đầu</v>
      </c>
      <c r="N403" s="81"/>
      <c r="O403" s="81"/>
      <c r="P403" s="22"/>
      <c r="Q403" s="81"/>
      <c r="R403" s="66"/>
      <c r="S403" s="66"/>
    </row>
    <row r="404" ht="15.75" hidden="1" customHeight="1" outlineLevel="3">
      <c r="A404" s="106" t="s">
        <v>99</v>
      </c>
      <c r="B404" s="81" t="s">
        <v>104</v>
      </c>
      <c r="C404" s="81" t="s">
        <v>198</v>
      </c>
      <c r="D404" s="81" t="s">
        <v>199</v>
      </c>
      <c r="E404" s="81" t="s">
        <v>208</v>
      </c>
      <c r="F404" s="81"/>
      <c r="G404" s="81"/>
      <c r="H404" s="81"/>
      <c r="I404" s="81"/>
      <c r="J404" s="81"/>
      <c r="K404" s="99">
        <v>46204.0</v>
      </c>
      <c r="L404" s="99">
        <v>46249.0</v>
      </c>
      <c r="M404" s="99" t="str">
        <f t="shared" si="1"/>
        <v>Chưa bắt đầu</v>
      </c>
      <c r="N404" s="81"/>
      <c r="O404" s="81"/>
      <c r="P404" s="22"/>
      <c r="Q404" s="81"/>
      <c r="R404" s="66"/>
      <c r="S404" s="66"/>
    </row>
    <row r="405" ht="15.75" hidden="1" customHeight="1" outlineLevel="3">
      <c r="A405" s="106" t="s">
        <v>99</v>
      </c>
      <c r="B405" s="81" t="s">
        <v>104</v>
      </c>
      <c r="C405" s="81" t="s">
        <v>198</v>
      </c>
      <c r="D405" s="81" t="s">
        <v>199</v>
      </c>
      <c r="E405" s="81" t="s">
        <v>209</v>
      </c>
      <c r="F405" s="81"/>
      <c r="G405" s="81"/>
      <c r="H405" s="81"/>
      <c r="I405" s="81"/>
      <c r="J405" s="81"/>
      <c r="K405" s="99">
        <v>46204.0</v>
      </c>
      <c r="L405" s="99">
        <v>46249.0</v>
      </c>
      <c r="M405" s="99" t="str">
        <f t="shared" si="1"/>
        <v>Chưa bắt đầu</v>
      </c>
      <c r="N405" s="81"/>
      <c r="O405" s="81"/>
      <c r="P405" s="22"/>
      <c r="Q405" s="81"/>
      <c r="R405" s="66"/>
      <c r="S405" s="66"/>
    </row>
    <row r="406" ht="15.75" hidden="1" customHeight="1" outlineLevel="3">
      <c r="A406" s="106" t="s">
        <v>99</v>
      </c>
      <c r="B406" s="81" t="s">
        <v>104</v>
      </c>
      <c r="C406" s="81" t="s">
        <v>198</v>
      </c>
      <c r="D406" s="81" t="s">
        <v>199</v>
      </c>
      <c r="E406" s="81" t="s">
        <v>210</v>
      </c>
      <c r="F406" s="81"/>
      <c r="G406" s="81"/>
      <c r="H406" s="81"/>
      <c r="I406" s="81"/>
      <c r="J406" s="81"/>
      <c r="K406" s="99">
        <v>46204.0</v>
      </c>
      <c r="L406" s="99">
        <v>46249.0</v>
      </c>
      <c r="M406" s="99" t="str">
        <f t="shared" si="1"/>
        <v>Chưa bắt đầu</v>
      </c>
      <c r="N406" s="81"/>
      <c r="O406" s="81"/>
      <c r="P406" s="22"/>
      <c r="Q406" s="81"/>
      <c r="R406" s="66"/>
      <c r="S406" s="66"/>
    </row>
    <row r="407" ht="15.75" hidden="1" customHeight="1" outlineLevel="2">
      <c r="A407" s="106" t="s">
        <v>99</v>
      </c>
      <c r="B407" s="81" t="s">
        <v>104</v>
      </c>
      <c r="C407" s="81" t="s">
        <v>211</v>
      </c>
      <c r="D407" s="81"/>
      <c r="E407" s="81"/>
      <c r="F407" s="81"/>
      <c r="G407" s="81"/>
      <c r="H407" s="81"/>
      <c r="I407" s="81"/>
      <c r="J407" s="81"/>
      <c r="K407" s="99">
        <v>46235.0</v>
      </c>
      <c r="L407" s="99">
        <v>46280.0</v>
      </c>
      <c r="M407" s="99" t="str">
        <f t="shared" si="1"/>
        <v>Chưa bắt đầu</v>
      </c>
      <c r="N407" s="81"/>
      <c r="O407" s="81"/>
      <c r="P407" s="22"/>
      <c r="Q407" s="81"/>
      <c r="R407" s="66"/>
      <c r="S407" s="66"/>
    </row>
    <row r="408" ht="15.75" hidden="1" customHeight="1" outlineLevel="3">
      <c r="A408" s="106" t="s">
        <v>99</v>
      </c>
      <c r="B408" s="81" t="s">
        <v>104</v>
      </c>
      <c r="C408" s="81" t="s">
        <v>211</v>
      </c>
      <c r="D408" s="81" t="s">
        <v>212</v>
      </c>
      <c r="E408" s="81"/>
      <c r="F408" s="81"/>
      <c r="G408" s="81"/>
      <c r="H408" s="81"/>
      <c r="I408" s="81"/>
      <c r="J408" s="81"/>
      <c r="K408" s="99">
        <v>46235.0</v>
      </c>
      <c r="L408" s="99">
        <v>46280.0</v>
      </c>
      <c r="M408" s="99" t="str">
        <f t="shared" si="1"/>
        <v>Chưa bắt đầu</v>
      </c>
      <c r="N408" s="81"/>
      <c r="O408" s="81"/>
      <c r="P408" s="22"/>
      <c r="Q408" s="81"/>
      <c r="R408" s="66"/>
      <c r="S408" s="66"/>
    </row>
    <row r="409" ht="15.75" hidden="1" customHeight="1" outlineLevel="3">
      <c r="A409" s="106" t="s">
        <v>99</v>
      </c>
      <c r="B409" s="81" t="s">
        <v>104</v>
      </c>
      <c r="C409" s="81" t="s">
        <v>211</v>
      </c>
      <c r="D409" s="81" t="s">
        <v>212</v>
      </c>
      <c r="E409" s="81" t="s">
        <v>213</v>
      </c>
      <c r="F409" s="81"/>
      <c r="G409" s="81"/>
      <c r="H409" s="81"/>
      <c r="I409" s="81"/>
      <c r="J409" s="81"/>
      <c r="K409" s="99">
        <v>46235.0</v>
      </c>
      <c r="L409" s="99">
        <v>46280.0</v>
      </c>
      <c r="M409" s="99" t="str">
        <f t="shared" si="1"/>
        <v>Chưa bắt đầu</v>
      </c>
      <c r="N409" s="81"/>
      <c r="O409" s="81"/>
      <c r="P409" s="22"/>
      <c r="Q409" s="81"/>
      <c r="R409" s="66"/>
      <c r="S409" s="66"/>
    </row>
    <row r="410" ht="15.75" hidden="1" customHeight="1" outlineLevel="3">
      <c r="A410" s="106" t="s">
        <v>99</v>
      </c>
      <c r="B410" s="81" t="s">
        <v>104</v>
      </c>
      <c r="C410" s="81" t="s">
        <v>211</v>
      </c>
      <c r="D410" s="81" t="s">
        <v>212</v>
      </c>
      <c r="E410" s="81" t="s">
        <v>214</v>
      </c>
      <c r="F410" s="81"/>
      <c r="G410" s="81"/>
      <c r="H410" s="81"/>
      <c r="I410" s="81"/>
      <c r="J410" s="81"/>
      <c r="K410" s="99">
        <v>46235.0</v>
      </c>
      <c r="L410" s="99">
        <v>46280.0</v>
      </c>
      <c r="M410" s="99" t="str">
        <f t="shared" si="1"/>
        <v>Chưa bắt đầu</v>
      </c>
      <c r="N410" s="81"/>
      <c r="O410" s="81"/>
      <c r="P410" s="22"/>
      <c r="Q410" s="81"/>
      <c r="R410" s="66"/>
      <c r="S410" s="66"/>
    </row>
    <row r="411" ht="15.75" hidden="1" customHeight="1" outlineLevel="3">
      <c r="A411" s="106" t="s">
        <v>99</v>
      </c>
      <c r="B411" s="81" t="s">
        <v>104</v>
      </c>
      <c r="C411" s="81" t="s">
        <v>211</v>
      </c>
      <c r="D411" s="81" t="s">
        <v>212</v>
      </c>
      <c r="E411" s="81" t="s">
        <v>215</v>
      </c>
      <c r="F411" s="81"/>
      <c r="G411" s="81"/>
      <c r="H411" s="81"/>
      <c r="I411" s="81"/>
      <c r="J411" s="81"/>
      <c r="K411" s="99">
        <v>46235.0</v>
      </c>
      <c r="L411" s="99">
        <v>46280.0</v>
      </c>
      <c r="M411" s="99" t="str">
        <f t="shared" si="1"/>
        <v>Chưa bắt đầu</v>
      </c>
      <c r="N411" s="81"/>
      <c r="O411" s="81"/>
      <c r="P411" s="22"/>
      <c r="Q411" s="81"/>
      <c r="R411" s="66"/>
      <c r="S411" s="66"/>
    </row>
    <row r="412" ht="15.75" hidden="1" customHeight="1" outlineLevel="3">
      <c r="A412" s="106" t="s">
        <v>99</v>
      </c>
      <c r="B412" s="81" t="s">
        <v>104</v>
      </c>
      <c r="C412" s="81" t="s">
        <v>211</v>
      </c>
      <c r="D412" s="81" t="s">
        <v>212</v>
      </c>
      <c r="E412" s="81" t="s">
        <v>216</v>
      </c>
      <c r="F412" s="81"/>
      <c r="G412" s="81"/>
      <c r="H412" s="81"/>
      <c r="I412" s="81"/>
      <c r="J412" s="81"/>
      <c r="K412" s="99">
        <v>46235.0</v>
      </c>
      <c r="L412" s="99">
        <v>46280.0</v>
      </c>
      <c r="M412" s="99" t="str">
        <f t="shared" si="1"/>
        <v>Chưa bắt đầu</v>
      </c>
      <c r="N412" s="81"/>
      <c r="O412" s="81"/>
      <c r="P412" s="22"/>
      <c r="Q412" s="81"/>
      <c r="R412" s="66"/>
      <c r="S412" s="66"/>
    </row>
    <row r="413" ht="15.75" hidden="1" customHeight="1" outlineLevel="3">
      <c r="A413" s="106" t="s">
        <v>99</v>
      </c>
      <c r="B413" s="81" t="s">
        <v>104</v>
      </c>
      <c r="C413" s="81" t="s">
        <v>211</v>
      </c>
      <c r="D413" s="81" t="s">
        <v>212</v>
      </c>
      <c r="E413" s="81" t="s">
        <v>217</v>
      </c>
      <c r="F413" s="81"/>
      <c r="G413" s="81"/>
      <c r="H413" s="81"/>
      <c r="I413" s="81"/>
      <c r="J413" s="81"/>
      <c r="K413" s="99">
        <v>46235.0</v>
      </c>
      <c r="L413" s="99">
        <v>46280.0</v>
      </c>
      <c r="M413" s="99" t="str">
        <f t="shared" si="1"/>
        <v>Chưa bắt đầu</v>
      </c>
      <c r="N413" s="81"/>
      <c r="O413" s="81"/>
      <c r="P413" s="22"/>
      <c r="Q413" s="81"/>
      <c r="R413" s="66"/>
      <c r="S413" s="66"/>
    </row>
    <row r="414" ht="15.75" hidden="1" customHeight="1" outlineLevel="3">
      <c r="A414" s="106" t="s">
        <v>99</v>
      </c>
      <c r="B414" s="81" t="s">
        <v>104</v>
      </c>
      <c r="C414" s="81" t="s">
        <v>211</v>
      </c>
      <c r="D414" s="81" t="s">
        <v>212</v>
      </c>
      <c r="E414" s="81" t="s">
        <v>218</v>
      </c>
      <c r="F414" s="81"/>
      <c r="G414" s="81"/>
      <c r="H414" s="81"/>
      <c r="I414" s="81"/>
      <c r="J414" s="81"/>
      <c r="K414" s="99">
        <v>46235.0</v>
      </c>
      <c r="L414" s="99">
        <v>46280.0</v>
      </c>
      <c r="M414" s="99" t="str">
        <f t="shared" si="1"/>
        <v>Chưa bắt đầu</v>
      </c>
      <c r="N414" s="81"/>
      <c r="O414" s="81"/>
      <c r="P414" s="22"/>
      <c r="Q414" s="81"/>
      <c r="R414" s="66"/>
      <c r="S414" s="66"/>
    </row>
    <row r="415" ht="15.75" hidden="1" customHeight="1" outlineLevel="3">
      <c r="A415" s="106" t="s">
        <v>99</v>
      </c>
      <c r="B415" s="81" t="s">
        <v>104</v>
      </c>
      <c r="C415" s="81" t="s">
        <v>211</v>
      </c>
      <c r="D415" s="81" t="s">
        <v>212</v>
      </c>
      <c r="E415" s="81" t="s">
        <v>219</v>
      </c>
      <c r="F415" s="81"/>
      <c r="G415" s="81"/>
      <c r="H415" s="81"/>
      <c r="I415" s="81"/>
      <c r="J415" s="81"/>
      <c r="K415" s="99">
        <v>46235.0</v>
      </c>
      <c r="L415" s="99">
        <v>46280.0</v>
      </c>
      <c r="M415" s="99" t="str">
        <f t="shared" si="1"/>
        <v>Chưa bắt đầu</v>
      </c>
      <c r="N415" s="81"/>
      <c r="O415" s="81"/>
      <c r="P415" s="22"/>
      <c r="Q415" s="81"/>
      <c r="R415" s="66"/>
      <c r="S415" s="66"/>
    </row>
    <row r="416" ht="15.75" hidden="1" customHeight="1" outlineLevel="2">
      <c r="A416" s="106" t="s">
        <v>99</v>
      </c>
      <c r="B416" s="81" t="s">
        <v>104</v>
      </c>
      <c r="C416" s="81" t="s">
        <v>220</v>
      </c>
      <c r="D416" s="81"/>
      <c r="E416" s="81"/>
      <c r="F416" s="81"/>
      <c r="G416" s="81"/>
      <c r="H416" s="81"/>
      <c r="I416" s="81"/>
      <c r="J416" s="81"/>
      <c r="K416" s="99">
        <v>46218.0</v>
      </c>
      <c r="L416" s="99">
        <v>46265.0</v>
      </c>
      <c r="M416" s="99" t="str">
        <f t="shared" si="1"/>
        <v>Chưa bắt đầu</v>
      </c>
      <c r="N416" s="81"/>
      <c r="O416" s="81"/>
      <c r="P416" s="22"/>
      <c r="Q416" s="81"/>
      <c r="R416" s="66"/>
      <c r="S416" s="66"/>
    </row>
    <row r="417" ht="15.75" hidden="1" customHeight="1" outlineLevel="3">
      <c r="A417" s="106" t="s">
        <v>99</v>
      </c>
      <c r="B417" s="81" t="s">
        <v>104</v>
      </c>
      <c r="C417" s="81"/>
      <c r="D417" s="81" t="s">
        <v>221</v>
      </c>
      <c r="E417" s="81" t="s">
        <v>221</v>
      </c>
      <c r="F417" s="81"/>
      <c r="G417" s="81"/>
      <c r="H417" s="81"/>
      <c r="I417" s="81"/>
      <c r="J417" s="81"/>
      <c r="K417" s="99">
        <v>46218.0</v>
      </c>
      <c r="L417" s="99">
        <v>46265.0</v>
      </c>
      <c r="M417" s="99" t="str">
        <f t="shared" si="1"/>
        <v>Chưa bắt đầu</v>
      </c>
      <c r="N417" s="81"/>
      <c r="O417" s="81"/>
      <c r="P417" s="22"/>
      <c r="Q417" s="81"/>
      <c r="R417" s="66"/>
      <c r="S417" s="66"/>
    </row>
    <row r="418" ht="15.75" hidden="1" customHeight="1" outlineLevel="3">
      <c r="A418" s="106" t="s">
        <v>99</v>
      </c>
      <c r="B418" s="81" t="s">
        <v>104</v>
      </c>
      <c r="C418" s="81"/>
      <c r="D418" s="81" t="s">
        <v>222</v>
      </c>
      <c r="E418" s="81" t="s">
        <v>222</v>
      </c>
      <c r="F418" s="81"/>
      <c r="G418" s="81"/>
      <c r="H418" s="81"/>
      <c r="I418" s="81"/>
      <c r="J418" s="81"/>
      <c r="K418" s="99">
        <v>46218.0</v>
      </c>
      <c r="L418" s="99">
        <v>46265.0</v>
      </c>
      <c r="M418" s="99" t="str">
        <f t="shared" si="1"/>
        <v>Chưa bắt đầu</v>
      </c>
      <c r="N418" s="81"/>
      <c r="O418" s="81"/>
      <c r="P418" s="22"/>
      <c r="Q418" s="81"/>
      <c r="R418" s="66"/>
      <c r="S418" s="66"/>
    </row>
    <row r="419" ht="15.75" hidden="1" customHeight="1" outlineLevel="3">
      <c r="A419" s="106" t="s">
        <v>99</v>
      </c>
      <c r="B419" s="81" t="s">
        <v>104</v>
      </c>
      <c r="C419" s="81"/>
      <c r="D419" s="81" t="s">
        <v>223</v>
      </c>
      <c r="E419" s="81" t="s">
        <v>223</v>
      </c>
      <c r="F419" s="81"/>
      <c r="G419" s="81"/>
      <c r="H419" s="81"/>
      <c r="I419" s="81"/>
      <c r="J419" s="81"/>
      <c r="K419" s="99">
        <v>46218.0</v>
      </c>
      <c r="L419" s="99">
        <v>46265.0</v>
      </c>
      <c r="M419" s="99" t="str">
        <f t="shared" si="1"/>
        <v>Chưa bắt đầu</v>
      </c>
      <c r="N419" s="81"/>
      <c r="O419" s="81"/>
      <c r="P419" s="22"/>
      <c r="Q419" s="81"/>
      <c r="R419" s="66"/>
      <c r="S419" s="66"/>
    </row>
    <row r="420" ht="15.75" hidden="1" customHeight="1" outlineLevel="2">
      <c r="A420" s="106" t="s">
        <v>99</v>
      </c>
      <c r="B420" s="81" t="s">
        <v>104</v>
      </c>
      <c r="C420" s="81" t="s">
        <v>224</v>
      </c>
      <c r="D420" s="81"/>
      <c r="E420" s="81"/>
      <c r="F420" s="81"/>
      <c r="G420" s="81"/>
      <c r="H420" s="81"/>
      <c r="I420" s="81"/>
      <c r="J420" s="81"/>
      <c r="K420" s="99">
        <v>46188.0</v>
      </c>
      <c r="L420" s="99">
        <v>46249.0</v>
      </c>
      <c r="M420" s="99" t="str">
        <f t="shared" si="1"/>
        <v>Chưa bắt đầu</v>
      </c>
      <c r="N420" s="81"/>
      <c r="O420" s="81"/>
      <c r="P420" s="22"/>
      <c r="Q420" s="81"/>
      <c r="R420" s="66"/>
      <c r="S420" s="66"/>
    </row>
    <row r="421" ht="15.75" hidden="1" customHeight="1" outlineLevel="3">
      <c r="A421" s="106" t="s">
        <v>99</v>
      </c>
      <c r="B421" s="81" t="s">
        <v>104</v>
      </c>
      <c r="C421" s="81"/>
      <c r="D421" s="81" t="s">
        <v>225</v>
      </c>
      <c r="E421" s="81"/>
      <c r="F421" s="81"/>
      <c r="G421" s="81"/>
      <c r="H421" s="81"/>
      <c r="I421" s="81"/>
      <c r="J421" s="81"/>
      <c r="K421" s="99">
        <v>46188.0</v>
      </c>
      <c r="L421" s="99">
        <v>46249.0</v>
      </c>
      <c r="M421" s="99" t="str">
        <f t="shared" si="1"/>
        <v>Chưa bắt đầu</v>
      </c>
      <c r="N421" s="81"/>
      <c r="O421" s="81"/>
      <c r="P421" s="22"/>
      <c r="Q421" s="81"/>
      <c r="R421" s="66"/>
      <c r="S421" s="66"/>
    </row>
    <row r="422" ht="15.75" hidden="1" customHeight="1" outlineLevel="3">
      <c r="A422" s="106" t="s">
        <v>99</v>
      </c>
      <c r="B422" s="81" t="s">
        <v>104</v>
      </c>
      <c r="C422" s="81"/>
      <c r="D422" s="81" t="s">
        <v>225</v>
      </c>
      <c r="E422" s="81" t="s">
        <v>226</v>
      </c>
      <c r="F422" s="81"/>
      <c r="G422" s="81"/>
      <c r="H422" s="81"/>
      <c r="I422" s="81"/>
      <c r="J422" s="81"/>
      <c r="K422" s="99">
        <v>46188.0</v>
      </c>
      <c r="L422" s="99">
        <v>46249.0</v>
      </c>
      <c r="M422" s="99" t="str">
        <f t="shared" si="1"/>
        <v>Chưa bắt đầu</v>
      </c>
      <c r="N422" s="81"/>
      <c r="O422" s="81"/>
      <c r="P422" s="22"/>
      <c r="Q422" s="81"/>
      <c r="R422" s="66"/>
      <c r="S422" s="66"/>
    </row>
    <row r="423" ht="15.75" hidden="1" customHeight="1" outlineLevel="3">
      <c r="A423" s="106" t="s">
        <v>99</v>
      </c>
      <c r="B423" s="81" t="s">
        <v>104</v>
      </c>
      <c r="C423" s="81"/>
      <c r="D423" s="81" t="s">
        <v>227</v>
      </c>
      <c r="E423" s="81"/>
      <c r="F423" s="81"/>
      <c r="G423" s="81"/>
      <c r="H423" s="81"/>
      <c r="I423" s="81"/>
      <c r="J423" s="81"/>
      <c r="K423" s="99">
        <v>46188.0</v>
      </c>
      <c r="L423" s="99">
        <v>46249.0</v>
      </c>
      <c r="M423" s="99" t="str">
        <f t="shared" si="1"/>
        <v>Chưa bắt đầu</v>
      </c>
      <c r="N423" s="81"/>
      <c r="O423" s="81"/>
      <c r="P423" s="22"/>
      <c r="Q423" s="81"/>
      <c r="R423" s="66"/>
      <c r="S423" s="66"/>
    </row>
    <row r="424" ht="15.75" hidden="1" customHeight="1" outlineLevel="3">
      <c r="A424" s="106" t="s">
        <v>99</v>
      </c>
      <c r="B424" s="81" t="s">
        <v>104</v>
      </c>
      <c r="C424" s="81"/>
      <c r="D424" s="81" t="s">
        <v>227</v>
      </c>
      <c r="E424" s="81" t="s">
        <v>228</v>
      </c>
      <c r="F424" s="81"/>
      <c r="G424" s="81"/>
      <c r="H424" s="81"/>
      <c r="I424" s="81"/>
      <c r="J424" s="81"/>
      <c r="K424" s="99">
        <v>46188.0</v>
      </c>
      <c r="L424" s="99">
        <v>46249.0</v>
      </c>
      <c r="M424" s="99" t="str">
        <f t="shared" si="1"/>
        <v>Chưa bắt đầu</v>
      </c>
      <c r="N424" s="81"/>
      <c r="O424" s="81"/>
      <c r="P424" s="22"/>
      <c r="Q424" s="81"/>
      <c r="R424" s="66"/>
      <c r="S424" s="66"/>
    </row>
    <row r="425" ht="15.75" hidden="1" customHeight="1" outlineLevel="3">
      <c r="A425" s="106" t="s">
        <v>99</v>
      </c>
      <c r="B425" s="81" t="s">
        <v>104</v>
      </c>
      <c r="C425" s="81"/>
      <c r="D425" s="81" t="s">
        <v>229</v>
      </c>
      <c r="E425" s="81"/>
      <c r="F425" s="81"/>
      <c r="G425" s="81"/>
      <c r="H425" s="81"/>
      <c r="I425" s="81"/>
      <c r="J425" s="81"/>
      <c r="K425" s="99">
        <v>46188.0</v>
      </c>
      <c r="L425" s="99">
        <v>46249.0</v>
      </c>
      <c r="M425" s="99" t="str">
        <f t="shared" si="1"/>
        <v>Chưa bắt đầu</v>
      </c>
      <c r="N425" s="81"/>
      <c r="O425" s="81"/>
      <c r="P425" s="22"/>
      <c r="Q425" s="81"/>
      <c r="R425" s="66"/>
      <c r="S425" s="66"/>
    </row>
    <row r="426" ht="15.75" hidden="1" customHeight="1" outlineLevel="3">
      <c r="A426" s="106" t="s">
        <v>99</v>
      </c>
      <c r="B426" s="81" t="s">
        <v>104</v>
      </c>
      <c r="C426" s="81"/>
      <c r="D426" s="81" t="s">
        <v>229</v>
      </c>
      <c r="E426" s="81" t="s">
        <v>230</v>
      </c>
      <c r="F426" s="81"/>
      <c r="G426" s="81"/>
      <c r="H426" s="81"/>
      <c r="I426" s="81"/>
      <c r="J426" s="81"/>
      <c r="K426" s="99">
        <v>46188.0</v>
      </c>
      <c r="L426" s="99">
        <v>46249.0</v>
      </c>
      <c r="M426" s="99" t="str">
        <f t="shared" si="1"/>
        <v>Chưa bắt đầu</v>
      </c>
      <c r="N426" s="81"/>
      <c r="O426" s="81"/>
      <c r="P426" s="22"/>
      <c r="Q426" s="81"/>
      <c r="R426" s="66"/>
      <c r="S426" s="66"/>
    </row>
    <row r="427" ht="15.75" hidden="1" customHeight="1" outlineLevel="3">
      <c r="A427" s="106" t="s">
        <v>99</v>
      </c>
      <c r="B427" s="81" t="s">
        <v>104</v>
      </c>
      <c r="C427" s="81"/>
      <c r="D427" s="81" t="s">
        <v>231</v>
      </c>
      <c r="E427" s="81"/>
      <c r="F427" s="81"/>
      <c r="G427" s="81"/>
      <c r="H427" s="81"/>
      <c r="I427" s="81"/>
      <c r="J427" s="81"/>
      <c r="K427" s="99">
        <v>46188.0</v>
      </c>
      <c r="L427" s="99">
        <v>46249.0</v>
      </c>
      <c r="M427" s="99" t="str">
        <f t="shared" si="1"/>
        <v>Chưa bắt đầu</v>
      </c>
      <c r="N427" s="81"/>
      <c r="O427" s="81"/>
      <c r="P427" s="22"/>
      <c r="Q427" s="81"/>
      <c r="R427" s="66"/>
      <c r="S427" s="66"/>
    </row>
    <row r="428" ht="15.75" hidden="1" customHeight="1" outlineLevel="3">
      <c r="A428" s="106" t="s">
        <v>99</v>
      </c>
      <c r="B428" s="81" t="s">
        <v>104</v>
      </c>
      <c r="C428" s="81"/>
      <c r="D428" s="81" t="s">
        <v>231</v>
      </c>
      <c r="E428" s="81" t="s">
        <v>232</v>
      </c>
      <c r="F428" s="81"/>
      <c r="G428" s="81"/>
      <c r="H428" s="81"/>
      <c r="I428" s="81"/>
      <c r="J428" s="81"/>
      <c r="K428" s="99">
        <v>46188.0</v>
      </c>
      <c r="L428" s="99">
        <v>46249.0</v>
      </c>
      <c r="M428" s="99" t="str">
        <f t="shared" si="1"/>
        <v>Chưa bắt đầu</v>
      </c>
      <c r="N428" s="81"/>
      <c r="O428" s="81"/>
      <c r="P428" s="22"/>
      <c r="Q428" s="81"/>
      <c r="R428" s="66"/>
      <c r="S428" s="66"/>
    </row>
    <row r="429" ht="15.75" hidden="1" customHeight="1" outlineLevel="3">
      <c r="A429" s="106" t="s">
        <v>99</v>
      </c>
      <c r="B429" s="81" t="s">
        <v>104</v>
      </c>
      <c r="C429" s="81"/>
      <c r="D429" s="81" t="s">
        <v>233</v>
      </c>
      <c r="E429" s="81"/>
      <c r="F429" s="81"/>
      <c r="G429" s="81"/>
      <c r="H429" s="81"/>
      <c r="I429" s="81"/>
      <c r="J429" s="81"/>
      <c r="K429" s="99">
        <v>46188.0</v>
      </c>
      <c r="L429" s="99">
        <v>46249.0</v>
      </c>
      <c r="M429" s="99" t="str">
        <f t="shared" si="1"/>
        <v>Chưa bắt đầu</v>
      </c>
      <c r="N429" s="81"/>
      <c r="O429" s="81"/>
      <c r="P429" s="22"/>
      <c r="Q429" s="81"/>
      <c r="R429" s="66"/>
      <c r="S429" s="66"/>
    </row>
    <row r="430" ht="15.75" hidden="1" customHeight="1" outlineLevel="3">
      <c r="A430" s="106" t="s">
        <v>99</v>
      </c>
      <c r="B430" s="81" t="s">
        <v>104</v>
      </c>
      <c r="C430" s="81"/>
      <c r="D430" s="81" t="s">
        <v>233</v>
      </c>
      <c r="E430" s="81" t="s">
        <v>234</v>
      </c>
      <c r="F430" s="81"/>
      <c r="G430" s="81"/>
      <c r="H430" s="81"/>
      <c r="I430" s="81"/>
      <c r="J430" s="81"/>
      <c r="K430" s="99">
        <v>46188.0</v>
      </c>
      <c r="L430" s="99">
        <v>46249.0</v>
      </c>
      <c r="M430" s="99" t="str">
        <f t="shared" si="1"/>
        <v>Chưa bắt đầu</v>
      </c>
      <c r="N430" s="81"/>
      <c r="O430" s="81"/>
      <c r="P430" s="22"/>
      <c r="Q430" s="81"/>
      <c r="R430" s="66"/>
      <c r="S430" s="66"/>
    </row>
    <row r="431" ht="15.75" hidden="1" customHeight="1" outlineLevel="3">
      <c r="A431" s="106" t="s">
        <v>99</v>
      </c>
      <c r="B431" s="81" t="s">
        <v>104</v>
      </c>
      <c r="C431" s="81"/>
      <c r="D431" s="81" t="s">
        <v>235</v>
      </c>
      <c r="E431" s="81"/>
      <c r="F431" s="22"/>
      <c r="G431" s="22"/>
      <c r="H431" s="22"/>
      <c r="I431" s="22"/>
      <c r="J431" s="22"/>
      <c r="K431" s="99">
        <v>46188.0</v>
      </c>
      <c r="L431" s="99">
        <v>46249.0</v>
      </c>
      <c r="M431" s="99" t="str">
        <f t="shared" si="1"/>
        <v>Chưa bắt đầu</v>
      </c>
      <c r="N431" s="22"/>
      <c r="O431" s="22"/>
      <c r="P431" s="22"/>
      <c r="Q431" s="22"/>
      <c r="R431" s="93"/>
      <c r="S431" s="93"/>
    </row>
    <row r="432" ht="15.75" hidden="1" customHeight="1" outlineLevel="3">
      <c r="A432" s="106" t="s">
        <v>99</v>
      </c>
      <c r="B432" s="81" t="s">
        <v>104</v>
      </c>
      <c r="C432" s="81"/>
      <c r="D432" s="81" t="s">
        <v>235</v>
      </c>
      <c r="E432" s="81" t="s">
        <v>236</v>
      </c>
      <c r="F432" s="22"/>
      <c r="G432" s="22"/>
      <c r="H432" s="22"/>
      <c r="I432" s="22"/>
      <c r="J432" s="22"/>
      <c r="K432" s="99">
        <v>46188.0</v>
      </c>
      <c r="L432" s="99">
        <v>46249.0</v>
      </c>
      <c r="M432" s="99" t="str">
        <f t="shared" si="1"/>
        <v>Chưa bắt đầu</v>
      </c>
      <c r="N432" s="22"/>
      <c r="O432" s="22"/>
      <c r="P432" s="22"/>
      <c r="Q432" s="22"/>
      <c r="R432" s="93"/>
      <c r="S432" s="93"/>
    </row>
    <row r="433" ht="15.75" hidden="1" customHeight="1" outlineLevel="3">
      <c r="A433" s="106" t="s">
        <v>99</v>
      </c>
      <c r="B433" s="81" t="s">
        <v>104</v>
      </c>
      <c r="C433" s="81"/>
      <c r="D433" s="81" t="s">
        <v>237</v>
      </c>
      <c r="E433" s="81"/>
      <c r="F433" s="22"/>
      <c r="G433" s="22"/>
      <c r="H433" s="22"/>
      <c r="I433" s="22"/>
      <c r="J433" s="22"/>
      <c r="K433" s="99">
        <v>46188.0</v>
      </c>
      <c r="L433" s="99">
        <v>46249.0</v>
      </c>
      <c r="M433" s="99" t="str">
        <f t="shared" si="1"/>
        <v>Chưa bắt đầu</v>
      </c>
      <c r="N433" s="22"/>
      <c r="O433" s="22"/>
      <c r="P433" s="22"/>
      <c r="Q433" s="22"/>
      <c r="R433" s="93"/>
      <c r="S433" s="93"/>
    </row>
    <row r="434" ht="15.75" hidden="1" customHeight="1" outlineLevel="3">
      <c r="A434" s="106" t="s">
        <v>99</v>
      </c>
      <c r="B434" s="81" t="s">
        <v>104</v>
      </c>
      <c r="C434" s="81"/>
      <c r="D434" s="81" t="s">
        <v>237</v>
      </c>
      <c r="E434" s="81" t="s">
        <v>238</v>
      </c>
      <c r="F434" s="22"/>
      <c r="G434" s="22"/>
      <c r="H434" s="22"/>
      <c r="I434" s="22"/>
      <c r="J434" s="22"/>
      <c r="K434" s="99">
        <v>46188.0</v>
      </c>
      <c r="L434" s="99">
        <v>46249.0</v>
      </c>
      <c r="M434" s="99" t="str">
        <f t="shared" si="1"/>
        <v>Chưa bắt đầu</v>
      </c>
      <c r="N434" s="22"/>
      <c r="O434" s="22"/>
      <c r="P434" s="22"/>
      <c r="Q434" s="22"/>
      <c r="R434" s="93"/>
      <c r="S434" s="93"/>
    </row>
    <row r="435" ht="15.75" hidden="1" customHeight="1" outlineLevel="2">
      <c r="A435" s="106" t="s">
        <v>99</v>
      </c>
      <c r="B435" s="81" t="s">
        <v>104</v>
      </c>
      <c r="C435" s="81" t="s">
        <v>239</v>
      </c>
      <c r="D435" s="81"/>
      <c r="E435" s="81"/>
      <c r="F435" s="22"/>
      <c r="G435" s="22"/>
      <c r="H435" s="22"/>
      <c r="I435" s="22"/>
      <c r="J435" s="22"/>
      <c r="K435" s="99">
        <v>46174.0</v>
      </c>
      <c r="L435" s="99">
        <v>46218.0</v>
      </c>
      <c r="M435" s="99" t="str">
        <f t="shared" si="1"/>
        <v>Chưa đến hạn</v>
      </c>
      <c r="N435" s="22"/>
      <c r="O435" s="22"/>
      <c r="P435" s="22"/>
      <c r="Q435" s="22"/>
      <c r="R435" s="93"/>
      <c r="S435" s="93"/>
    </row>
    <row r="436" ht="15.75" hidden="1" customHeight="1" outlineLevel="3">
      <c r="A436" s="106" t="s">
        <v>99</v>
      </c>
      <c r="B436" s="81" t="s">
        <v>104</v>
      </c>
      <c r="C436" s="81"/>
      <c r="D436" s="81" t="s">
        <v>240</v>
      </c>
      <c r="E436" s="81"/>
      <c r="F436" s="22"/>
      <c r="G436" s="22"/>
      <c r="H436" s="22"/>
      <c r="I436" s="22"/>
      <c r="J436" s="22"/>
      <c r="K436" s="99">
        <v>46174.0</v>
      </c>
      <c r="L436" s="99">
        <v>46218.0</v>
      </c>
      <c r="M436" s="99" t="str">
        <f t="shared" si="1"/>
        <v>Chưa đến hạn</v>
      </c>
      <c r="N436" s="22"/>
      <c r="O436" s="22"/>
      <c r="P436" s="22"/>
      <c r="Q436" s="22"/>
      <c r="R436" s="93"/>
      <c r="S436" s="93"/>
    </row>
    <row r="437" ht="15.75" hidden="1" customHeight="1" outlineLevel="3">
      <c r="A437" s="106" t="s">
        <v>99</v>
      </c>
      <c r="B437" s="81" t="s">
        <v>104</v>
      </c>
      <c r="C437" s="81"/>
      <c r="D437" s="81" t="s">
        <v>241</v>
      </c>
      <c r="E437" s="81"/>
      <c r="F437" s="22"/>
      <c r="G437" s="22"/>
      <c r="H437" s="22"/>
      <c r="I437" s="22"/>
      <c r="J437" s="22"/>
      <c r="K437" s="99">
        <v>46174.0</v>
      </c>
      <c r="L437" s="99">
        <v>46218.0</v>
      </c>
      <c r="M437" s="99" t="str">
        <f t="shared" si="1"/>
        <v>Chưa đến hạn</v>
      </c>
      <c r="N437" s="22"/>
      <c r="O437" s="22"/>
      <c r="P437" s="22"/>
      <c r="Q437" s="22"/>
      <c r="R437" s="93"/>
      <c r="S437" s="93"/>
    </row>
    <row r="438" ht="15.75" hidden="1" customHeight="1" outlineLevel="3">
      <c r="A438" s="106" t="s">
        <v>99</v>
      </c>
      <c r="B438" s="81" t="s">
        <v>104</v>
      </c>
      <c r="C438" s="81"/>
      <c r="D438" s="81" t="s">
        <v>242</v>
      </c>
      <c r="E438" s="81"/>
      <c r="F438" s="22"/>
      <c r="G438" s="22"/>
      <c r="H438" s="22"/>
      <c r="I438" s="22"/>
      <c r="J438" s="22"/>
      <c r="K438" s="99">
        <v>46174.0</v>
      </c>
      <c r="L438" s="99">
        <v>46218.0</v>
      </c>
      <c r="M438" s="99" t="str">
        <f t="shared" si="1"/>
        <v>Chưa đến hạn</v>
      </c>
      <c r="N438" s="22"/>
      <c r="O438" s="22"/>
      <c r="P438" s="22"/>
      <c r="Q438" s="22"/>
      <c r="R438" s="93"/>
      <c r="S438" s="93"/>
    </row>
    <row r="439" ht="15.75" hidden="1" customHeight="1" outlineLevel="3">
      <c r="A439" s="106" t="s">
        <v>99</v>
      </c>
      <c r="B439" s="81" t="s">
        <v>104</v>
      </c>
      <c r="C439" s="81"/>
      <c r="D439" s="81" t="s">
        <v>243</v>
      </c>
      <c r="E439" s="81"/>
      <c r="F439" s="22"/>
      <c r="G439" s="22"/>
      <c r="H439" s="22"/>
      <c r="I439" s="22"/>
      <c r="J439" s="22"/>
      <c r="K439" s="99">
        <v>46174.0</v>
      </c>
      <c r="L439" s="99">
        <v>46218.0</v>
      </c>
      <c r="M439" s="99" t="str">
        <f t="shared" si="1"/>
        <v>Chưa đến hạn</v>
      </c>
      <c r="N439" s="22"/>
      <c r="O439" s="22"/>
      <c r="P439" s="22"/>
      <c r="Q439" s="22"/>
      <c r="R439" s="93"/>
      <c r="S439" s="93"/>
    </row>
    <row r="440" ht="15.75" hidden="1" customHeight="1" outlineLevel="3">
      <c r="A440" s="106" t="s">
        <v>99</v>
      </c>
      <c r="B440" s="81" t="s">
        <v>104</v>
      </c>
      <c r="C440" s="81"/>
      <c r="D440" s="81" t="s">
        <v>244</v>
      </c>
      <c r="E440" s="81"/>
      <c r="F440" s="22"/>
      <c r="G440" s="22"/>
      <c r="H440" s="22"/>
      <c r="I440" s="22"/>
      <c r="J440" s="22"/>
      <c r="K440" s="99">
        <v>46174.0</v>
      </c>
      <c r="L440" s="99">
        <v>46218.0</v>
      </c>
      <c r="M440" s="99" t="str">
        <f t="shared" si="1"/>
        <v>Chưa đến hạn</v>
      </c>
      <c r="N440" s="22"/>
      <c r="O440" s="22"/>
      <c r="P440" s="22"/>
      <c r="Q440" s="22"/>
      <c r="R440" s="93"/>
      <c r="S440" s="93"/>
    </row>
    <row r="441" ht="15.75" hidden="1" customHeight="1" outlineLevel="3">
      <c r="A441" s="106" t="s">
        <v>99</v>
      </c>
      <c r="B441" s="81" t="s">
        <v>104</v>
      </c>
      <c r="C441" s="81"/>
      <c r="D441" s="81" t="s">
        <v>245</v>
      </c>
      <c r="E441" s="81"/>
      <c r="F441" s="22"/>
      <c r="G441" s="22"/>
      <c r="H441" s="22"/>
      <c r="I441" s="22"/>
      <c r="J441" s="22"/>
      <c r="K441" s="99">
        <v>46174.0</v>
      </c>
      <c r="L441" s="99">
        <v>46218.0</v>
      </c>
      <c r="M441" s="99" t="str">
        <f t="shared" si="1"/>
        <v>Chưa đến hạn</v>
      </c>
      <c r="N441" s="22"/>
      <c r="O441" s="22"/>
      <c r="P441" s="22"/>
      <c r="Q441" s="22"/>
      <c r="R441" s="93"/>
      <c r="S441" s="93"/>
    </row>
    <row r="442" ht="15.75" hidden="1" customHeight="1" outlineLevel="3">
      <c r="A442" s="106" t="s">
        <v>99</v>
      </c>
      <c r="B442" s="81" t="s">
        <v>104</v>
      </c>
      <c r="C442" s="81"/>
      <c r="D442" s="102"/>
      <c r="E442" s="81" t="s">
        <v>246</v>
      </c>
      <c r="F442" s="22"/>
      <c r="G442" s="22"/>
      <c r="H442" s="22"/>
      <c r="I442" s="22"/>
      <c r="J442" s="22"/>
      <c r="K442" s="99">
        <v>46174.0</v>
      </c>
      <c r="L442" s="99">
        <v>46218.0</v>
      </c>
      <c r="M442" s="99" t="str">
        <f t="shared" si="1"/>
        <v>Chưa đến hạn</v>
      </c>
      <c r="N442" s="22"/>
      <c r="O442" s="22"/>
      <c r="P442" s="22"/>
      <c r="Q442" s="22"/>
      <c r="R442" s="93"/>
      <c r="S442" s="93"/>
    </row>
    <row r="443" ht="15.75" hidden="1" customHeight="1" outlineLevel="3">
      <c r="A443" s="106" t="s">
        <v>99</v>
      </c>
      <c r="B443" s="81" t="s">
        <v>104</v>
      </c>
      <c r="C443" s="81"/>
      <c r="D443" s="81" t="s">
        <v>247</v>
      </c>
      <c r="E443" s="81"/>
      <c r="F443" s="22"/>
      <c r="G443" s="22"/>
      <c r="H443" s="22"/>
      <c r="I443" s="22"/>
      <c r="J443" s="22"/>
      <c r="K443" s="99">
        <v>46174.0</v>
      </c>
      <c r="L443" s="99">
        <v>46218.0</v>
      </c>
      <c r="M443" s="99" t="str">
        <f t="shared" si="1"/>
        <v>Chưa đến hạn</v>
      </c>
      <c r="N443" s="22"/>
      <c r="O443" s="22"/>
      <c r="P443" s="22"/>
      <c r="Q443" s="22"/>
      <c r="R443" s="93"/>
      <c r="S443" s="93"/>
    </row>
    <row r="444" ht="15.75" hidden="1" customHeight="1" outlineLevel="3">
      <c r="A444" s="106" t="s">
        <v>99</v>
      </c>
      <c r="B444" s="81" t="s">
        <v>104</v>
      </c>
      <c r="C444" s="81"/>
      <c r="D444" s="102"/>
      <c r="E444" s="81" t="s">
        <v>248</v>
      </c>
      <c r="F444" s="22"/>
      <c r="G444" s="22"/>
      <c r="H444" s="22"/>
      <c r="I444" s="22"/>
      <c r="J444" s="22"/>
      <c r="K444" s="99">
        <v>46174.0</v>
      </c>
      <c r="L444" s="99">
        <v>46218.0</v>
      </c>
      <c r="M444" s="99" t="str">
        <f t="shared" si="1"/>
        <v>Chưa đến hạn</v>
      </c>
      <c r="N444" s="22"/>
      <c r="O444" s="22"/>
      <c r="P444" s="22"/>
      <c r="Q444" s="22"/>
      <c r="R444" s="93"/>
      <c r="S444" s="93"/>
    </row>
    <row r="445" ht="15.75" hidden="1" customHeight="1" outlineLevel="3">
      <c r="A445" s="106" t="s">
        <v>99</v>
      </c>
      <c r="B445" s="81" t="s">
        <v>104</v>
      </c>
      <c r="C445" s="81"/>
      <c r="D445" s="81" t="s">
        <v>249</v>
      </c>
      <c r="E445" s="81"/>
      <c r="F445" s="22"/>
      <c r="G445" s="22"/>
      <c r="H445" s="22"/>
      <c r="I445" s="22"/>
      <c r="J445" s="22"/>
      <c r="K445" s="99">
        <v>46174.0</v>
      </c>
      <c r="L445" s="99">
        <v>46218.0</v>
      </c>
      <c r="M445" s="99" t="str">
        <f t="shared" si="1"/>
        <v>Chưa đến hạn</v>
      </c>
      <c r="N445" s="22"/>
      <c r="O445" s="22"/>
      <c r="P445" s="22"/>
      <c r="Q445" s="22"/>
      <c r="R445" s="93"/>
      <c r="S445" s="93"/>
    </row>
    <row r="446" ht="15.75" hidden="1" customHeight="1" outlineLevel="3">
      <c r="A446" s="106" t="s">
        <v>99</v>
      </c>
      <c r="B446" s="81" t="s">
        <v>104</v>
      </c>
      <c r="C446" s="81"/>
      <c r="D446" s="102"/>
      <c r="E446" s="81" t="s">
        <v>250</v>
      </c>
      <c r="F446" s="22"/>
      <c r="G446" s="22"/>
      <c r="H446" s="22"/>
      <c r="I446" s="22"/>
      <c r="J446" s="22"/>
      <c r="K446" s="99">
        <v>46174.0</v>
      </c>
      <c r="L446" s="99">
        <v>46218.0</v>
      </c>
      <c r="M446" s="99" t="str">
        <f t="shared" si="1"/>
        <v>Chưa đến hạn</v>
      </c>
      <c r="N446" s="22"/>
      <c r="O446" s="22"/>
      <c r="P446" s="22"/>
      <c r="Q446" s="22"/>
      <c r="R446" s="93"/>
      <c r="S446" s="93"/>
    </row>
    <row r="447" ht="15.75" hidden="1" customHeight="1" outlineLevel="3">
      <c r="A447" s="106" t="s">
        <v>99</v>
      </c>
      <c r="B447" s="81" t="s">
        <v>104</v>
      </c>
      <c r="C447" s="81"/>
      <c r="D447" s="81" t="s">
        <v>251</v>
      </c>
      <c r="E447" s="81"/>
      <c r="F447" s="22"/>
      <c r="G447" s="22"/>
      <c r="H447" s="22"/>
      <c r="I447" s="22"/>
      <c r="J447" s="22"/>
      <c r="K447" s="99">
        <v>46174.0</v>
      </c>
      <c r="L447" s="99">
        <v>46218.0</v>
      </c>
      <c r="M447" s="99" t="str">
        <f t="shared" si="1"/>
        <v>Chưa đến hạn</v>
      </c>
      <c r="N447" s="22"/>
      <c r="O447" s="22"/>
      <c r="P447" s="22"/>
      <c r="Q447" s="22"/>
      <c r="R447" s="93"/>
      <c r="S447" s="93"/>
    </row>
    <row r="448" ht="15.75" hidden="1" customHeight="1" outlineLevel="3">
      <c r="A448" s="106" t="s">
        <v>99</v>
      </c>
      <c r="B448" s="81" t="s">
        <v>104</v>
      </c>
      <c r="C448" s="81"/>
      <c r="D448" s="102"/>
      <c r="E448" s="81" t="s">
        <v>252</v>
      </c>
      <c r="F448" s="22"/>
      <c r="G448" s="22"/>
      <c r="H448" s="22"/>
      <c r="I448" s="22"/>
      <c r="J448" s="22"/>
      <c r="K448" s="99">
        <v>46174.0</v>
      </c>
      <c r="L448" s="99">
        <v>46218.0</v>
      </c>
      <c r="M448" s="99" t="str">
        <f t="shared" si="1"/>
        <v>Chưa đến hạn</v>
      </c>
      <c r="N448" s="22"/>
      <c r="O448" s="22"/>
      <c r="P448" s="22"/>
      <c r="Q448" s="22"/>
      <c r="R448" s="93"/>
      <c r="S448" s="93"/>
    </row>
    <row r="449" ht="15.75" hidden="1" customHeight="1" outlineLevel="3">
      <c r="A449" s="106" t="s">
        <v>99</v>
      </c>
      <c r="B449" s="81" t="s">
        <v>104</v>
      </c>
      <c r="C449" s="81"/>
      <c r="D449" s="81" t="s">
        <v>253</v>
      </c>
      <c r="E449" s="81"/>
      <c r="F449" s="22"/>
      <c r="G449" s="22"/>
      <c r="H449" s="22"/>
      <c r="I449" s="22"/>
      <c r="J449" s="22"/>
      <c r="K449" s="99">
        <v>46174.0</v>
      </c>
      <c r="L449" s="99">
        <v>46218.0</v>
      </c>
      <c r="M449" s="99" t="str">
        <f t="shared" si="1"/>
        <v>Chưa đến hạn</v>
      </c>
      <c r="N449" s="22"/>
      <c r="O449" s="22"/>
      <c r="P449" s="22"/>
      <c r="Q449" s="22"/>
      <c r="R449" s="93"/>
      <c r="S449" s="93"/>
    </row>
    <row r="450" ht="15.75" hidden="1" customHeight="1" outlineLevel="3">
      <c r="A450" s="106" t="s">
        <v>99</v>
      </c>
      <c r="B450" s="81" t="s">
        <v>104</v>
      </c>
      <c r="C450" s="81"/>
      <c r="D450" s="102"/>
      <c r="E450" s="81" t="s">
        <v>254</v>
      </c>
      <c r="F450" s="22"/>
      <c r="G450" s="22"/>
      <c r="H450" s="22"/>
      <c r="I450" s="22"/>
      <c r="J450" s="22"/>
      <c r="K450" s="99">
        <v>46174.0</v>
      </c>
      <c r="L450" s="99">
        <v>46218.0</v>
      </c>
      <c r="M450" s="99" t="str">
        <f t="shared" si="1"/>
        <v>Chưa đến hạn</v>
      </c>
      <c r="N450" s="22"/>
      <c r="O450" s="22"/>
      <c r="P450" s="22"/>
      <c r="Q450" s="22"/>
      <c r="R450" s="93"/>
      <c r="S450" s="93"/>
    </row>
    <row r="451" ht="15.75" hidden="1" customHeight="1" outlineLevel="3">
      <c r="A451" s="106" t="s">
        <v>99</v>
      </c>
      <c r="B451" s="81" t="s">
        <v>104</v>
      </c>
      <c r="C451" s="81"/>
      <c r="D451" s="81" t="s">
        <v>255</v>
      </c>
      <c r="E451" s="81"/>
      <c r="F451" s="22"/>
      <c r="G451" s="22"/>
      <c r="H451" s="22"/>
      <c r="I451" s="22"/>
      <c r="J451" s="22"/>
      <c r="K451" s="99">
        <v>46174.0</v>
      </c>
      <c r="L451" s="99">
        <v>46218.0</v>
      </c>
      <c r="M451" s="99" t="str">
        <f t="shared" si="1"/>
        <v>Chưa đến hạn</v>
      </c>
      <c r="N451" s="22"/>
      <c r="O451" s="22"/>
      <c r="P451" s="22"/>
      <c r="Q451" s="22"/>
      <c r="R451" s="93"/>
      <c r="S451" s="93"/>
    </row>
    <row r="452" ht="15.75" hidden="1" customHeight="1" outlineLevel="3">
      <c r="A452" s="106" t="s">
        <v>99</v>
      </c>
      <c r="B452" s="81" t="s">
        <v>104</v>
      </c>
      <c r="C452" s="81"/>
      <c r="D452" s="102"/>
      <c r="E452" s="81" t="s">
        <v>256</v>
      </c>
      <c r="F452" s="22"/>
      <c r="G452" s="22"/>
      <c r="H452" s="22"/>
      <c r="I452" s="22"/>
      <c r="J452" s="22"/>
      <c r="K452" s="99">
        <v>46174.0</v>
      </c>
      <c r="L452" s="99">
        <v>46218.0</v>
      </c>
      <c r="M452" s="99" t="str">
        <f t="shared" si="1"/>
        <v>Chưa đến hạn</v>
      </c>
      <c r="N452" s="22"/>
      <c r="O452" s="22"/>
      <c r="P452" s="22"/>
      <c r="Q452" s="22"/>
      <c r="R452" s="93"/>
      <c r="S452" s="93"/>
    </row>
    <row r="453" ht="15.75" hidden="1" customHeight="1" outlineLevel="3">
      <c r="A453" s="106" t="s">
        <v>99</v>
      </c>
      <c r="B453" s="81" t="s">
        <v>104</v>
      </c>
      <c r="C453" s="81"/>
      <c r="D453" s="81" t="s">
        <v>257</v>
      </c>
      <c r="E453" s="81"/>
      <c r="F453" s="22"/>
      <c r="G453" s="22"/>
      <c r="H453" s="22"/>
      <c r="I453" s="22"/>
      <c r="J453" s="22"/>
      <c r="K453" s="99">
        <v>46174.0</v>
      </c>
      <c r="L453" s="99">
        <v>46218.0</v>
      </c>
      <c r="M453" s="99" t="str">
        <f t="shared" si="1"/>
        <v>Chưa đến hạn</v>
      </c>
      <c r="N453" s="22"/>
      <c r="O453" s="22"/>
      <c r="P453" s="22"/>
      <c r="Q453" s="22"/>
      <c r="R453" s="93"/>
      <c r="S453" s="93"/>
    </row>
    <row r="454" ht="15.75" hidden="1" customHeight="1" outlineLevel="3">
      <c r="A454" s="106" t="s">
        <v>99</v>
      </c>
      <c r="B454" s="81" t="s">
        <v>104</v>
      </c>
      <c r="C454" s="81"/>
      <c r="D454" s="102"/>
      <c r="E454" s="81" t="s">
        <v>250</v>
      </c>
      <c r="F454" s="22"/>
      <c r="G454" s="22"/>
      <c r="H454" s="22"/>
      <c r="I454" s="22"/>
      <c r="J454" s="22"/>
      <c r="K454" s="99">
        <v>46174.0</v>
      </c>
      <c r="L454" s="99">
        <v>46218.0</v>
      </c>
      <c r="M454" s="99" t="str">
        <f t="shared" si="1"/>
        <v>Chưa đến hạn</v>
      </c>
      <c r="N454" s="22"/>
      <c r="O454" s="22"/>
      <c r="P454" s="22"/>
      <c r="Q454" s="22"/>
      <c r="R454" s="93"/>
      <c r="S454" s="93"/>
    </row>
    <row r="455" ht="15.75" hidden="1" customHeight="1" outlineLevel="3">
      <c r="A455" s="106" t="s">
        <v>99</v>
      </c>
      <c r="B455" s="81" t="s">
        <v>104</v>
      </c>
      <c r="C455" s="81"/>
      <c r="D455" s="81" t="s">
        <v>258</v>
      </c>
      <c r="E455" s="81"/>
      <c r="F455" s="22"/>
      <c r="G455" s="22"/>
      <c r="H455" s="22"/>
      <c r="I455" s="22"/>
      <c r="J455" s="22"/>
      <c r="K455" s="99">
        <v>46174.0</v>
      </c>
      <c r="L455" s="99">
        <v>46218.0</v>
      </c>
      <c r="M455" s="99" t="str">
        <f t="shared" si="1"/>
        <v>Chưa đến hạn</v>
      </c>
      <c r="N455" s="22"/>
      <c r="O455" s="22"/>
      <c r="P455" s="22"/>
      <c r="Q455" s="22"/>
      <c r="R455" s="93"/>
      <c r="S455" s="93"/>
    </row>
    <row r="456" ht="15.75" hidden="1" customHeight="1" outlineLevel="3">
      <c r="A456" s="106" t="s">
        <v>99</v>
      </c>
      <c r="B456" s="81" t="s">
        <v>104</v>
      </c>
      <c r="C456" s="81"/>
      <c r="D456" s="102"/>
      <c r="E456" s="81" t="s">
        <v>259</v>
      </c>
      <c r="F456" s="22"/>
      <c r="G456" s="22"/>
      <c r="H456" s="22"/>
      <c r="I456" s="22"/>
      <c r="J456" s="22"/>
      <c r="K456" s="99">
        <v>46174.0</v>
      </c>
      <c r="L456" s="99">
        <v>46218.0</v>
      </c>
      <c r="M456" s="99" t="str">
        <f t="shared" si="1"/>
        <v>Chưa đến hạn</v>
      </c>
      <c r="N456" s="22"/>
      <c r="O456" s="22"/>
      <c r="P456" s="22"/>
      <c r="Q456" s="22"/>
      <c r="R456" s="93"/>
      <c r="S456" s="93"/>
    </row>
    <row r="457" ht="15.75" hidden="1" customHeight="1" outlineLevel="3">
      <c r="A457" s="106" t="s">
        <v>99</v>
      </c>
      <c r="B457" s="81" t="s">
        <v>104</v>
      </c>
      <c r="C457" s="81"/>
      <c r="D457" s="81" t="s">
        <v>260</v>
      </c>
      <c r="E457" s="81"/>
      <c r="F457" s="22"/>
      <c r="G457" s="22"/>
      <c r="H457" s="22"/>
      <c r="I457" s="22"/>
      <c r="J457" s="22"/>
      <c r="K457" s="99">
        <v>46174.0</v>
      </c>
      <c r="L457" s="99">
        <v>46218.0</v>
      </c>
      <c r="M457" s="99" t="str">
        <f t="shared" si="1"/>
        <v>Chưa đến hạn</v>
      </c>
      <c r="N457" s="22"/>
      <c r="O457" s="22"/>
      <c r="P457" s="22"/>
      <c r="Q457" s="22"/>
      <c r="R457" s="93"/>
      <c r="S457" s="93"/>
    </row>
    <row r="458" ht="15.75" hidden="1" customHeight="1" outlineLevel="3">
      <c r="A458" s="106" t="s">
        <v>99</v>
      </c>
      <c r="B458" s="81" t="s">
        <v>104</v>
      </c>
      <c r="C458" s="81"/>
      <c r="D458" s="81" t="s">
        <v>260</v>
      </c>
      <c r="E458" s="81" t="s">
        <v>261</v>
      </c>
      <c r="F458" s="22"/>
      <c r="G458" s="22"/>
      <c r="H458" s="22"/>
      <c r="I458" s="22"/>
      <c r="J458" s="22"/>
      <c r="K458" s="99">
        <v>46174.0</v>
      </c>
      <c r="L458" s="99">
        <v>46218.0</v>
      </c>
      <c r="M458" s="99" t="str">
        <f t="shared" si="1"/>
        <v>Chưa đến hạn</v>
      </c>
      <c r="N458" s="22"/>
      <c r="O458" s="22"/>
      <c r="P458" s="22"/>
      <c r="Q458" s="22"/>
      <c r="R458" s="93"/>
      <c r="S458" s="93"/>
    </row>
    <row r="459" ht="15.75" hidden="1" customHeight="1" outlineLevel="3">
      <c r="A459" s="106" t="s">
        <v>99</v>
      </c>
      <c r="B459" s="81" t="s">
        <v>104</v>
      </c>
      <c r="C459" s="81"/>
      <c r="D459" s="81" t="s">
        <v>260</v>
      </c>
      <c r="E459" s="81" t="s">
        <v>262</v>
      </c>
      <c r="F459" s="22"/>
      <c r="G459" s="22"/>
      <c r="H459" s="22"/>
      <c r="I459" s="22"/>
      <c r="J459" s="22"/>
      <c r="K459" s="99">
        <v>46174.0</v>
      </c>
      <c r="L459" s="99">
        <v>46218.0</v>
      </c>
      <c r="M459" s="99" t="str">
        <f t="shared" si="1"/>
        <v>Chưa đến hạn</v>
      </c>
      <c r="N459" s="22"/>
      <c r="O459" s="22"/>
      <c r="P459" s="22"/>
      <c r="Q459" s="22"/>
      <c r="R459" s="93"/>
      <c r="S459" s="93"/>
    </row>
    <row r="460" ht="15.75" hidden="1" customHeight="1" outlineLevel="3">
      <c r="A460" s="106" t="s">
        <v>99</v>
      </c>
      <c r="B460" s="81" t="s">
        <v>104</v>
      </c>
      <c r="C460" s="81"/>
      <c r="D460" s="81" t="s">
        <v>260</v>
      </c>
      <c r="E460" s="81" t="s">
        <v>263</v>
      </c>
      <c r="F460" s="22"/>
      <c r="G460" s="22"/>
      <c r="H460" s="22"/>
      <c r="I460" s="22"/>
      <c r="J460" s="22"/>
      <c r="K460" s="99">
        <v>46174.0</v>
      </c>
      <c r="L460" s="99">
        <v>46218.0</v>
      </c>
      <c r="M460" s="99" t="str">
        <f t="shared" si="1"/>
        <v>Chưa đến hạn</v>
      </c>
      <c r="N460" s="22"/>
      <c r="O460" s="22"/>
      <c r="P460" s="22"/>
      <c r="Q460" s="22"/>
      <c r="R460" s="93"/>
      <c r="S460" s="93"/>
    </row>
    <row r="461" ht="15.75" hidden="1" customHeight="1" outlineLevel="3">
      <c r="A461" s="106" t="s">
        <v>99</v>
      </c>
      <c r="B461" s="81" t="s">
        <v>104</v>
      </c>
      <c r="C461" s="81"/>
      <c r="D461" s="81" t="s">
        <v>260</v>
      </c>
      <c r="E461" s="81" t="s">
        <v>264</v>
      </c>
      <c r="F461" s="22"/>
      <c r="G461" s="22"/>
      <c r="H461" s="22"/>
      <c r="I461" s="22"/>
      <c r="J461" s="22"/>
      <c r="K461" s="99">
        <v>46174.0</v>
      </c>
      <c r="L461" s="99">
        <v>46218.0</v>
      </c>
      <c r="M461" s="99" t="str">
        <f t="shared" si="1"/>
        <v>Chưa đến hạn</v>
      </c>
      <c r="N461" s="22"/>
      <c r="O461" s="22"/>
      <c r="P461" s="22"/>
      <c r="Q461" s="22"/>
      <c r="R461" s="93"/>
      <c r="S461" s="93"/>
    </row>
    <row r="462" ht="15.75" hidden="1" customHeight="1" outlineLevel="1">
      <c r="A462" s="106" t="s">
        <v>99</v>
      </c>
      <c r="B462" s="81" t="s">
        <v>265</v>
      </c>
      <c r="C462" s="81"/>
      <c r="D462" s="81"/>
      <c r="E462" s="81"/>
      <c r="F462" s="22"/>
      <c r="G462" s="22"/>
      <c r="H462" s="22"/>
      <c r="I462" s="22"/>
      <c r="J462" s="22"/>
      <c r="K462" s="99">
        <v>46174.0</v>
      </c>
      <c r="L462" s="99">
        <v>46218.0</v>
      </c>
      <c r="M462" s="99" t="str">
        <f t="shared" si="1"/>
        <v>Chưa đến hạn</v>
      </c>
      <c r="N462" s="22"/>
      <c r="O462" s="22"/>
      <c r="P462" s="22"/>
      <c r="Q462" s="22"/>
      <c r="R462" s="93"/>
      <c r="S462" s="93"/>
    </row>
    <row r="463" ht="15.75" hidden="1" customHeight="1" outlineLevel="2">
      <c r="A463" s="106" t="s">
        <v>99</v>
      </c>
      <c r="B463" s="81" t="s">
        <v>265</v>
      </c>
      <c r="C463" s="81"/>
      <c r="D463" s="81" t="s">
        <v>266</v>
      </c>
      <c r="E463" s="81" t="s">
        <v>266</v>
      </c>
      <c r="F463" s="22"/>
      <c r="G463" s="22"/>
      <c r="H463" s="22"/>
      <c r="I463" s="22"/>
      <c r="J463" s="22"/>
      <c r="K463" s="99">
        <v>46174.0</v>
      </c>
      <c r="L463" s="99">
        <v>46218.0</v>
      </c>
      <c r="M463" s="99" t="str">
        <f t="shared" si="1"/>
        <v>Chưa đến hạn</v>
      </c>
      <c r="N463" s="22"/>
      <c r="O463" s="22"/>
      <c r="P463" s="22"/>
      <c r="Q463" s="22"/>
      <c r="R463" s="93"/>
      <c r="S463" s="93"/>
    </row>
    <row r="464" ht="15.75" hidden="1" customHeight="1" outlineLevel="2">
      <c r="A464" s="106" t="s">
        <v>99</v>
      </c>
      <c r="B464" s="81" t="s">
        <v>265</v>
      </c>
      <c r="C464" s="81"/>
      <c r="D464" s="81" t="s">
        <v>267</v>
      </c>
      <c r="E464" s="81" t="s">
        <v>267</v>
      </c>
      <c r="F464" s="22"/>
      <c r="G464" s="22"/>
      <c r="H464" s="22"/>
      <c r="I464" s="22"/>
      <c r="J464" s="22"/>
      <c r="K464" s="99">
        <v>46174.0</v>
      </c>
      <c r="L464" s="99">
        <v>46218.0</v>
      </c>
      <c r="M464" s="99" t="str">
        <f t="shared" si="1"/>
        <v>Chưa đến hạn</v>
      </c>
      <c r="N464" s="22"/>
      <c r="O464" s="22"/>
      <c r="P464" s="22"/>
      <c r="Q464" s="22"/>
      <c r="R464" s="93"/>
      <c r="S464" s="93"/>
    </row>
    <row r="465" ht="15.75" hidden="1" customHeight="1" outlineLevel="2">
      <c r="A465" s="106" t="s">
        <v>99</v>
      </c>
      <c r="B465" s="81" t="s">
        <v>265</v>
      </c>
      <c r="C465" s="81"/>
      <c r="D465" s="81" t="s">
        <v>268</v>
      </c>
      <c r="E465" s="81" t="s">
        <v>268</v>
      </c>
      <c r="F465" s="22"/>
      <c r="G465" s="22"/>
      <c r="H465" s="22"/>
      <c r="I465" s="22"/>
      <c r="J465" s="22"/>
      <c r="K465" s="99">
        <v>46174.0</v>
      </c>
      <c r="L465" s="99">
        <v>46218.0</v>
      </c>
      <c r="M465" s="99" t="str">
        <f t="shared" si="1"/>
        <v>Chưa đến hạn</v>
      </c>
      <c r="N465" s="22"/>
      <c r="O465" s="22"/>
      <c r="P465" s="22"/>
      <c r="Q465" s="22"/>
      <c r="R465" s="93"/>
      <c r="S465" s="93"/>
    </row>
    <row r="466" ht="15.75" hidden="1" customHeight="1" outlineLevel="2">
      <c r="A466" s="106" t="s">
        <v>99</v>
      </c>
      <c r="B466" s="81" t="s">
        <v>265</v>
      </c>
      <c r="C466" s="81"/>
      <c r="D466" s="81" t="s">
        <v>269</v>
      </c>
      <c r="E466" s="81" t="s">
        <v>269</v>
      </c>
      <c r="F466" s="22"/>
      <c r="G466" s="22"/>
      <c r="H466" s="22"/>
      <c r="I466" s="22"/>
      <c r="J466" s="22"/>
      <c r="K466" s="99">
        <v>46174.0</v>
      </c>
      <c r="L466" s="99">
        <v>46218.0</v>
      </c>
      <c r="M466" s="99" t="str">
        <f t="shared" si="1"/>
        <v>Chưa đến hạn</v>
      </c>
      <c r="N466" s="22"/>
      <c r="O466" s="22"/>
      <c r="P466" s="22"/>
      <c r="Q466" s="22"/>
      <c r="R466" s="93"/>
      <c r="S466" s="93"/>
    </row>
    <row r="467" ht="15.75" hidden="1" customHeight="1" outlineLevel="2">
      <c r="A467" s="106" t="s">
        <v>99</v>
      </c>
      <c r="B467" s="81" t="s">
        <v>265</v>
      </c>
      <c r="C467" s="81"/>
      <c r="D467" s="81" t="s">
        <v>270</v>
      </c>
      <c r="E467" s="81" t="s">
        <v>270</v>
      </c>
      <c r="F467" s="22"/>
      <c r="G467" s="22"/>
      <c r="H467" s="22"/>
      <c r="I467" s="22"/>
      <c r="J467" s="22"/>
      <c r="K467" s="99">
        <v>46174.0</v>
      </c>
      <c r="L467" s="99">
        <v>46218.0</v>
      </c>
      <c r="M467" s="99" t="str">
        <f t="shared" si="1"/>
        <v>Chưa đến hạn</v>
      </c>
      <c r="N467" s="22"/>
      <c r="O467" s="22"/>
      <c r="P467" s="22"/>
      <c r="Q467" s="22"/>
      <c r="R467" s="93"/>
      <c r="S467" s="93"/>
    </row>
    <row r="468" ht="15.75" hidden="1" customHeight="1" outlineLevel="2">
      <c r="A468" s="106" t="s">
        <v>99</v>
      </c>
      <c r="B468" s="81" t="s">
        <v>265</v>
      </c>
      <c r="C468" s="81"/>
      <c r="D468" s="81" t="s">
        <v>271</v>
      </c>
      <c r="E468" s="81" t="s">
        <v>271</v>
      </c>
      <c r="F468" s="22"/>
      <c r="G468" s="22"/>
      <c r="H468" s="22"/>
      <c r="I468" s="22"/>
      <c r="J468" s="22"/>
      <c r="K468" s="99">
        <v>46174.0</v>
      </c>
      <c r="L468" s="99">
        <v>46218.0</v>
      </c>
      <c r="M468" s="99" t="str">
        <f t="shared" si="1"/>
        <v>Chưa đến hạn</v>
      </c>
      <c r="N468" s="22"/>
      <c r="O468" s="22"/>
      <c r="P468" s="22"/>
      <c r="Q468" s="22"/>
      <c r="R468" s="93"/>
      <c r="S468" s="93"/>
    </row>
    <row r="469" ht="15.75" hidden="1" customHeight="1" outlineLevel="2">
      <c r="A469" s="106" t="s">
        <v>99</v>
      </c>
      <c r="B469" s="81" t="s">
        <v>265</v>
      </c>
      <c r="C469" s="81"/>
      <c r="D469" s="81" t="s">
        <v>272</v>
      </c>
      <c r="E469" s="81" t="s">
        <v>272</v>
      </c>
      <c r="F469" s="22"/>
      <c r="G469" s="22"/>
      <c r="H469" s="22"/>
      <c r="I469" s="22"/>
      <c r="J469" s="22"/>
      <c r="K469" s="99">
        <v>46174.0</v>
      </c>
      <c r="L469" s="99">
        <v>46218.0</v>
      </c>
      <c r="M469" s="99" t="str">
        <f t="shared" si="1"/>
        <v>Chưa đến hạn</v>
      </c>
      <c r="N469" s="22"/>
      <c r="O469" s="22"/>
      <c r="P469" s="22"/>
      <c r="Q469" s="22"/>
      <c r="R469" s="93"/>
      <c r="S469" s="93"/>
    </row>
    <row r="470" ht="15.75" hidden="1" customHeight="1" outlineLevel="2">
      <c r="A470" s="106" t="s">
        <v>99</v>
      </c>
      <c r="B470" s="81" t="s">
        <v>265</v>
      </c>
      <c r="C470" s="81"/>
      <c r="D470" s="81" t="s">
        <v>273</v>
      </c>
      <c r="E470" s="81" t="s">
        <v>273</v>
      </c>
      <c r="F470" s="22"/>
      <c r="G470" s="22"/>
      <c r="H470" s="22"/>
      <c r="I470" s="22"/>
      <c r="J470" s="22"/>
      <c r="K470" s="99">
        <v>46174.0</v>
      </c>
      <c r="L470" s="99">
        <v>46218.0</v>
      </c>
      <c r="M470" s="99" t="str">
        <f t="shared" si="1"/>
        <v>Chưa đến hạn</v>
      </c>
      <c r="N470" s="22"/>
      <c r="O470" s="22"/>
      <c r="P470" s="22"/>
      <c r="Q470" s="22"/>
      <c r="R470" s="93"/>
      <c r="S470" s="93"/>
    </row>
    <row r="471" ht="15.75" hidden="1" customHeight="1" outlineLevel="2">
      <c r="A471" s="106" t="s">
        <v>99</v>
      </c>
      <c r="B471" s="81" t="s">
        <v>265</v>
      </c>
      <c r="C471" s="81"/>
      <c r="D471" s="81" t="s">
        <v>274</v>
      </c>
      <c r="E471" s="81" t="s">
        <v>274</v>
      </c>
      <c r="F471" s="22"/>
      <c r="G471" s="22"/>
      <c r="H471" s="22"/>
      <c r="I471" s="22"/>
      <c r="J471" s="22"/>
      <c r="K471" s="99">
        <v>46174.0</v>
      </c>
      <c r="L471" s="99">
        <v>46218.0</v>
      </c>
      <c r="M471" s="99" t="str">
        <f t="shared" si="1"/>
        <v>Chưa đến hạn</v>
      </c>
      <c r="N471" s="22"/>
      <c r="O471" s="22"/>
      <c r="P471" s="22"/>
      <c r="Q471" s="22"/>
      <c r="R471" s="93"/>
      <c r="S471" s="93"/>
    </row>
    <row r="472" ht="15.75" hidden="1" customHeight="1" outlineLevel="2">
      <c r="A472" s="106" t="s">
        <v>99</v>
      </c>
      <c r="B472" s="81" t="s">
        <v>265</v>
      </c>
      <c r="C472" s="81"/>
      <c r="D472" s="81" t="s">
        <v>275</v>
      </c>
      <c r="E472" s="81" t="s">
        <v>275</v>
      </c>
      <c r="F472" s="22"/>
      <c r="G472" s="22"/>
      <c r="H472" s="22"/>
      <c r="I472" s="22"/>
      <c r="J472" s="22"/>
      <c r="K472" s="99">
        <v>46174.0</v>
      </c>
      <c r="L472" s="99">
        <v>46218.0</v>
      </c>
      <c r="M472" s="99" t="str">
        <f t="shared" si="1"/>
        <v>Chưa đến hạn</v>
      </c>
      <c r="N472" s="22"/>
      <c r="O472" s="22"/>
      <c r="P472" s="22"/>
      <c r="Q472" s="22"/>
      <c r="R472" s="93"/>
      <c r="S472" s="93"/>
    </row>
    <row r="473" ht="15.75" hidden="1" customHeight="1" outlineLevel="2">
      <c r="A473" s="106" t="s">
        <v>99</v>
      </c>
      <c r="B473" s="81" t="s">
        <v>265</v>
      </c>
      <c r="C473" s="81"/>
      <c r="D473" s="81" t="s">
        <v>276</v>
      </c>
      <c r="E473" s="81" t="s">
        <v>276</v>
      </c>
      <c r="F473" s="22"/>
      <c r="G473" s="22"/>
      <c r="H473" s="22"/>
      <c r="I473" s="22"/>
      <c r="J473" s="22"/>
      <c r="K473" s="99">
        <v>46174.0</v>
      </c>
      <c r="L473" s="99">
        <v>46218.0</v>
      </c>
      <c r="M473" s="99" t="str">
        <f t="shared" si="1"/>
        <v>Chưa đến hạn</v>
      </c>
      <c r="N473" s="22"/>
      <c r="O473" s="22"/>
      <c r="P473" s="22"/>
      <c r="Q473" s="22"/>
      <c r="R473" s="93"/>
      <c r="S473" s="93"/>
    </row>
    <row r="474" ht="15.75" hidden="1" customHeight="1" outlineLevel="2">
      <c r="A474" s="106" t="s">
        <v>99</v>
      </c>
      <c r="B474" s="81" t="s">
        <v>265</v>
      </c>
      <c r="C474" s="81"/>
      <c r="D474" s="81" t="s">
        <v>277</v>
      </c>
      <c r="E474" s="81" t="s">
        <v>277</v>
      </c>
      <c r="F474" s="22"/>
      <c r="G474" s="22"/>
      <c r="H474" s="22"/>
      <c r="I474" s="22"/>
      <c r="J474" s="22"/>
      <c r="K474" s="99"/>
      <c r="L474" s="99"/>
      <c r="M474" s="99" t="str">
        <f t="shared" si="1"/>
        <v>Chưa có kế hoạch</v>
      </c>
      <c r="N474" s="22"/>
      <c r="O474" s="22"/>
      <c r="P474" s="22"/>
      <c r="Q474" s="22"/>
      <c r="R474" s="93"/>
      <c r="S474" s="93"/>
    </row>
    <row r="475" ht="15.75" hidden="1" customHeight="1" outlineLevel="2">
      <c r="A475" s="106" t="s">
        <v>99</v>
      </c>
      <c r="B475" s="81" t="s">
        <v>265</v>
      </c>
      <c r="C475" s="81"/>
      <c r="D475" s="81" t="s">
        <v>278</v>
      </c>
      <c r="E475" s="81" t="s">
        <v>278</v>
      </c>
      <c r="F475" s="22"/>
      <c r="G475" s="22"/>
      <c r="H475" s="22"/>
      <c r="I475" s="22"/>
      <c r="J475" s="22"/>
      <c r="K475" s="99"/>
      <c r="L475" s="99"/>
      <c r="M475" s="99" t="str">
        <f t="shared" si="1"/>
        <v>Chưa có kế hoạch</v>
      </c>
      <c r="N475" s="22"/>
      <c r="O475" s="22"/>
      <c r="P475" s="22"/>
      <c r="Q475" s="22"/>
      <c r="R475" s="93"/>
      <c r="S475" s="93"/>
    </row>
    <row r="476" ht="15.75" hidden="1" customHeight="1" outlineLevel="1">
      <c r="A476" s="106" t="s">
        <v>99</v>
      </c>
      <c r="B476" s="81" t="s">
        <v>279</v>
      </c>
      <c r="C476" s="81"/>
      <c r="D476" s="81"/>
      <c r="E476" s="81"/>
      <c r="F476" s="22"/>
      <c r="G476" s="22"/>
      <c r="H476" s="22"/>
      <c r="I476" s="22"/>
      <c r="J476" s="22"/>
      <c r="K476" s="99">
        <v>46174.0</v>
      </c>
      <c r="L476" s="99">
        <v>46218.0</v>
      </c>
      <c r="M476" s="99" t="str">
        <f t="shared" si="1"/>
        <v>Chưa đến hạn</v>
      </c>
      <c r="N476" s="22"/>
      <c r="O476" s="22"/>
      <c r="P476" s="22"/>
      <c r="Q476" s="22"/>
      <c r="R476" s="93"/>
      <c r="S476" s="93"/>
    </row>
    <row r="477" ht="15.75" hidden="1" customHeight="1" outlineLevel="2">
      <c r="A477" s="106" t="s">
        <v>99</v>
      </c>
      <c r="B477" s="81" t="s">
        <v>279</v>
      </c>
      <c r="C477" s="81"/>
      <c r="D477" s="81" t="s">
        <v>280</v>
      </c>
      <c r="E477" s="81" t="s">
        <v>280</v>
      </c>
      <c r="F477" s="22"/>
      <c r="G477" s="22"/>
      <c r="H477" s="22"/>
      <c r="I477" s="22"/>
      <c r="J477" s="22"/>
      <c r="K477" s="99">
        <v>46174.0</v>
      </c>
      <c r="L477" s="99">
        <v>46218.0</v>
      </c>
      <c r="M477" s="99" t="str">
        <f t="shared" si="1"/>
        <v>Chưa đến hạn</v>
      </c>
      <c r="N477" s="22"/>
      <c r="O477" s="22"/>
      <c r="P477" s="22"/>
      <c r="Q477" s="22"/>
      <c r="R477" s="93"/>
      <c r="S477" s="93"/>
    </row>
    <row r="478" ht="15.75" hidden="1" customHeight="1" outlineLevel="2">
      <c r="A478" s="106" t="s">
        <v>99</v>
      </c>
      <c r="B478" s="81" t="s">
        <v>279</v>
      </c>
      <c r="C478" s="81"/>
      <c r="D478" s="81" t="s">
        <v>281</v>
      </c>
      <c r="E478" s="81" t="s">
        <v>281</v>
      </c>
      <c r="F478" s="22"/>
      <c r="G478" s="22"/>
      <c r="H478" s="22"/>
      <c r="I478" s="22"/>
      <c r="J478" s="22"/>
      <c r="K478" s="99">
        <v>46174.0</v>
      </c>
      <c r="L478" s="99">
        <v>46218.0</v>
      </c>
      <c r="M478" s="99" t="str">
        <f t="shared" si="1"/>
        <v>Chưa đến hạn</v>
      </c>
      <c r="N478" s="22"/>
      <c r="O478" s="22"/>
      <c r="P478" s="22"/>
      <c r="Q478" s="22"/>
      <c r="R478" s="93"/>
      <c r="S478" s="93"/>
    </row>
    <row r="479" ht="15.75" hidden="1" customHeight="1" outlineLevel="2">
      <c r="A479" s="106" t="s">
        <v>99</v>
      </c>
      <c r="B479" s="81" t="s">
        <v>279</v>
      </c>
      <c r="C479" s="81"/>
      <c r="D479" s="81" t="s">
        <v>282</v>
      </c>
      <c r="E479" s="81" t="s">
        <v>282</v>
      </c>
      <c r="F479" s="22"/>
      <c r="G479" s="22"/>
      <c r="H479" s="22"/>
      <c r="I479" s="22"/>
      <c r="J479" s="22"/>
      <c r="K479" s="99">
        <v>46174.0</v>
      </c>
      <c r="L479" s="99">
        <v>46218.0</v>
      </c>
      <c r="M479" s="99" t="str">
        <f t="shared" si="1"/>
        <v>Chưa đến hạn</v>
      </c>
      <c r="N479" s="22"/>
      <c r="O479" s="22"/>
      <c r="P479" s="22"/>
      <c r="Q479" s="22"/>
      <c r="R479" s="93"/>
      <c r="S479" s="93"/>
    </row>
    <row r="480" ht="15.75" hidden="1" customHeight="1" outlineLevel="2">
      <c r="A480" s="106" t="s">
        <v>99</v>
      </c>
      <c r="B480" s="81" t="s">
        <v>279</v>
      </c>
      <c r="C480" s="81"/>
      <c r="D480" s="81" t="s">
        <v>283</v>
      </c>
      <c r="E480" s="81" t="s">
        <v>283</v>
      </c>
      <c r="F480" s="22"/>
      <c r="G480" s="22"/>
      <c r="H480" s="22"/>
      <c r="I480" s="22"/>
      <c r="J480" s="22"/>
      <c r="K480" s="99">
        <v>46174.0</v>
      </c>
      <c r="L480" s="99">
        <v>46218.0</v>
      </c>
      <c r="M480" s="99" t="str">
        <f t="shared" si="1"/>
        <v>Chưa đến hạn</v>
      </c>
      <c r="N480" s="22"/>
      <c r="O480" s="22"/>
      <c r="P480" s="22"/>
      <c r="Q480" s="22"/>
      <c r="R480" s="93"/>
      <c r="S480" s="93"/>
    </row>
    <row r="481" ht="15.75" hidden="1" customHeight="1" outlineLevel="2">
      <c r="A481" s="106" t="s">
        <v>99</v>
      </c>
      <c r="B481" s="81" t="s">
        <v>279</v>
      </c>
      <c r="C481" s="81"/>
      <c r="D481" s="81" t="s">
        <v>284</v>
      </c>
      <c r="E481" s="81" t="s">
        <v>284</v>
      </c>
      <c r="F481" s="22"/>
      <c r="G481" s="22"/>
      <c r="H481" s="22"/>
      <c r="I481" s="22"/>
      <c r="J481" s="22"/>
      <c r="K481" s="99">
        <v>46174.0</v>
      </c>
      <c r="L481" s="99">
        <v>46218.0</v>
      </c>
      <c r="M481" s="99" t="str">
        <f t="shared" si="1"/>
        <v>Chưa đến hạn</v>
      </c>
      <c r="N481" s="22"/>
      <c r="O481" s="22"/>
      <c r="P481" s="22"/>
      <c r="Q481" s="22"/>
      <c r="R481" s="93"/>
      <c r="S481" s="93"/>
    </row>
    <row r="482" ht="15.75" hidden="1" customHeight="1" outlineLevel="2">
      <c r="A482" s="106" t="s">
        <v>99</v>
      </c>
      <c r="B482" s="81" t="s">
        <v>279</v>
      </c>
      <c r="C482" s="81"/>
      <c r="D482" s="81" t="s">
        <v>285</v>
      </c>
      <c r="E482" s="81" t="s">
        <v>285</v>
      </c>
      <c r="F482" s="81"/>
      <c r="G482" s="81"/>
      <c r="H482" s="81"/>
      <c r="I482" s="81"/>
      <c r="J482" s="81"/>
      <c r="K482" s="99">
        <v>46174.0</v>
      </c>
      <c r="L482" s="99">
        <v>46218.0</v>
      </c>
      <c r="M482" s="99" t="str">
        <f t="shared" si="1"/>
        <v>Chưa đến hạn</v>
      </c>
      <c r="N482" s="81"/>
      <c r="O482" s="81"/>
      <c r="P482" s="22"/>
      <c r="Q482" s="81"/>
      <c r="R482" s="66"/>
      <c r="S482" s="66"/>
    </row>
    <row r="483" ht="15.75" hidden="1" customHeight="1" outlineLevel="2">
      <c r="A483" s="106" t="s">
        <v>99</v>
      </c>
      <c r="B483" s="81" t="s">
        <v>279</v>
      </c>
      <c r="C483" s="81"/>
      <c r="D483" s="81" t="s">
        <v>286</v>
      </c>
      <c r="E483" s="81" t="s">
        <v>286</v>
      </c>
      <c r="F483" s="81"/>
      <c r="G483" s="81"/>
      <c r="H483" s="81"/>
      <c r="I483" s="81"/>
      <c r="J483" s="81"/>
      <c r="K483" s="99">
        <v>46174.0</v>
      </c>
      <c r="L483" s="99">
        <v>46218.0</v>
      </c>
      <c r="M483" s="99" t="str">
        <f t="shared" si="1"/>
        <v>Chưa đến hạn</v>
      </c>
      <c r="N483" s="81"/>
      <c r="O483" s="81"/>
      <c r="P483" s="22"/>
      <c r="Q483" s="81"/>
      <c r="R483" s="66"/>
      <c r="S483" s="66"/>
    </row>
    <row r="484" ht="15.75" hidden="1" customHeight="1" outlineLevel="2">
      <c r="A484" s="106" t="s">
        <v>99</v>
      </c>
      <c r="B484" s="81" t="s">
        <v>279</v>
      </c>
      <c r="C484" s="81"/>
      <c r="D484" s="81" t="s">
        <v>287</v>
      </c>
      <c r="E484" s="81" t="s">
        <v>287</v>
      </c>
      <c r="F484" s="81"/>
      <c r="G484" s="81"/>
      <c r="H484" s="81"/>
      <c r="I484" s="81"/>
      <c r="J484" s="81"/>
      <c r="K484" s="99">
        <v>46174.0</v>
      </c>
      <c r="L484" s="99">
        <v>46218.0</v>
      </c>
      <c r="M484" s="99" t="str">
        <f t="shared" si="1"/>
        <v>Chưa đến hạn</v>
      </c>
      <c r="N484" s="81"/>
      <c r="O484" s="81"/>
      <c r="P484" s="22"/>
      <c r="Q484" s="81"/>
      <c r="R484" s="66"/>
      <c r="S484" s="66"/>
    </row>
    <row r="485" ht="15.75" hidden="1" customHeight="1" outlineLevel="2">
      <c r="A485" s="106" t="s">
        <v>99</v>
      </c>
      <c r="B485" s="81" t="s">
        <v>279</v>
      </c>
      <c r="C485" s="81"/>
      <c r="D485" s="81" t="s">
        <v>288</v>
      </c>
      <c r="E485" s="81" t="s">
        <v>288</v>
      </c>
      <c r="F485" s="81"/>
      <c r="G485" s="81"/>
      <c r="H485" s="81"/>
      <c r="I485" s="81"/>
      <c r="J485" s="81"/>
      <c r="K485" s="99">
        <v>46174.0</v>
      </c>
      <c r="L485" s="99">
        <v>46218.0</v>
      </c>
      <c r="M485" s="99" t="str">
        <f t="shared" si="1"/>
        <v>Chưa đến hạn</v>
      </c>
      <c r="N485" s="81"/>
      <c r="O485" s="81"/>
      <c r="P485" s="22"/>
      <c r="Q485" s="81"/>
      <c r="R485" s="66"/>
      <c r="S485" s="66"/>
    </row>
    <row r="486" ht="15.75" hidden="1" customHeight="1" outlineLevel="2">
      <c r="A486" s="106" t="s">
        <v>99</v>
      </c>
      <c r="B486" s="81" t="s">
        <v>279</v>
      </c>
      <c r="C486" s="81"/>
      <c r="D486" s="81" t="s">
        <v>289</v>
      </c>
      <c r="E486" s="81" t="s">
        <v>289</v>
      </c>
      <c r="F486" s="81"/>
      <c r="G486" s="81"/>
      <c r="H486" s="81"/>
      <c r="I486" s="81"/>
      <c r="J486" s="81"/>
      <c r="K486" s="99">
        <v>46174.0</v>
      </c>
      <c r="L486" s="99">
        <v>46218.0</v>
      </c>
      <c r="M486" s="99" t="str">
        <f t="shared" si="1"/>
        <v>Chưa đến hạn</v>
      </c>
      <c r="N486" s="81"/>
      <c r="O486" s="81"/>
      <c r="P486" s="22"/>
      <c r="Q486" s="81"/>
      <c r="R486" s="66"/>
      <c r="S486" s="66"/>
    </row>
    <row r="487" ht="15.75" hidden="1" customHeight="1" outlineLevel="2">
      <c r="A487" s="106" t="s">
        <v>99</v>
      </c>
      <c r="B487" s="81" t="s">
        <v>279</v>
      </c>
      <c r="C487" s="81"/>
      <c r="D487" s="81" t="s">
        <v>290</v>
      </c>
      <c r="E487" s="81" t="s">
        <v>290</v>
      </c>
      <c r="F487" s="81"/>
      <c r="G487" s="81"/>
      <c r="H487" s="81"/>
      <c r="I487" s="81"/>
      <c r="J487" s="81"/>
      <c r="K487" s="99">
        <v>46174.0</v>
      </c>
      <c r="L487" s="99">
        <v>46218.0</v>
      </c>
      <c r="M487" s="99" t="str">
        <f t="shared" si="1"/>
        <v>Chưa đến hạn</v>
      </c>
      <c r="N487" s="81"/>
      <c r="O487" s="81"/>
      <c r="P487" s="22"/>
      <c r="Q487" s="81"/>
      <c r="R487" s="66"/>
      <c r="S487" s="66"/>
    </row>
    <row r="488" ht="15.75" hidden="1" customHeight="1" outlineLevel="2">
      <c r="A488" s="106" t="s">
        <v>99</v>
      </c>
      <c r="B488" s="81" t="s">
        <v>279</v>
      </c>
      <c r="C488" s="81"/>
      <c r="D488" s="81" t="s">
        <v>291</v>
      </c>
      <c r="E488" s="81" t="s">
        <v>291</v>
      </c>
      <c r="F488" s="81"/>
      <c r="G488" s="81"/>
      <c r="H488" s="81"/>
      <c r="I488" s="81"/>
      <c r="J488" s="81"/>
      <c r="K488" s="99">
        <v>46174.0</v>
      </c>
      <c r="L488" s="99">
        <v>46218.0</v>
      </c>
      <c r="M488" s="99" t="str">
        <f t="shared" si="1"/>
        <v>Chưa đến hạn</v>
      </c>
      <c r="N488" s="81"/>
      <c r="O488" s="81"/>
      <c r="P488" s="22"/>
      <c r="Q488" s="81"/>
      <c r="R488" s="66"/>
      <c r="S488" s="66"/>
    </row>
    <row r="489" ht="15.75" hidden="1" customHeight="1" outlineLevel="2">
      <c r="A489" s="106" t="s">
        <v>99</v>
      </c>
      <c r="B489" s="81" t="s">
        <v>279</v>
      </c>
      <c r="C489" s="81"/>
      <c r="D489" s="81" t="s">
        <v>292</v>
      </c>
      <c r="E489" s="81" t="s">
        <v>292</v>
      </c>
      <c r="F489" s="81"/>
      <c r="G489" s="81"/>
      <c r="H489" s="81"/>
      <c r="I489" s="81"/>
      <c r="J489" s="81"/>
      <c r="K489" s="99">
        <v>46174.0</v>
      </c>
      <c r="L489" s="99">
        <v>46218.0</v>
      </c>
      <c r="M489" s="99" t="str">
        <f t="shared" si="1"/>
        <v>Chưa đến hạn</v>
      </c>
      <c r="N489" s="81"/>
      <c r="O489" s="81"/>
      <c r="P489" s="22"/>
      <c r="Q489" s="81"/>
      <c r="R489" s="66"/>
      <c r="S489" s="66"/>
    </row>
    <row r="490" ht="15.75" hidden="1" customHeight="1" outlineLevel="2">
      <c r="A490" s="106" t="s">
        <v>99</v>
      </c>
      <c r="B490" s="81" t="s">
        <v>279</v>
      </c>
      <c r="C490" s="81"/>
      <c r="D490" s="81" t="s">
        <v>293</v>
      </c>
      <c r="E490" s="81" t="s">
        <v>293</v>
      </c>
      <c r="F490" s="81"/>
      <c r="G490" s="81"/>
      <c r="H490" s="81"/>
      <c r="I490" s="81"/>
      <c r="J490" s="81"/>
      <c r="K490" s="99">
        <v>46174.0</v>
      </c>
      <c r="L490" s="99">
        <v>46218.0</v>
      </c>
      <c r="M490" s="99" t="str">
        <f t="shared" si="1"/>
        <v>Chưa đến hạn</v>
      </c>
      <c r="N490" s="81"/>
      <c r="O490" s="81"/>
      <c r="P490" s="22"/>
      <c r="Q490" s="81"/>
      <c r="R490" s="66"/>
      <c r="S490" s="66"/>
    </row>
    <row r="491" ht="15.75" hidden="1" customHeight="1" outlineLevel="2">
      <c r="A491" s="106" t="s">
        <v>99</v>
      </c>
      <c r="B491" s="81" t="s">
        <v>279</v>
      </c>
      <c r="C491" s="81"/>
      <c r="D491" s="81" t="s">
        <v>294</v>
      </c>
      <c r="E491" s="81" t="s">
        <v>294</v>
      </c>
      <c r="F491" s="81"/>
      <c r="G491" s="81"/>
      <c r="H491" s="81"/>
      <c r="I491" s="81"/>
      <c r="J491" s="81"/>
      <c r="K491" s="99">
        <v>46174.0</v>
      </c>
      <c r="L491" s="99">
        <v>46218.0</v>
      </c>
      <c r="M491" s="99" t="str">
        <f t="shared" si="1"/>
        <v>Chưa đến hạn</v>
      </c>
      <c r="N491" s="81"/>
      <c r="O491" s="81"/>
      <c r="P491" s="22"/>
      <c r="Q491" s="81"/>
      <c r="R491" s="66"/>
      <c r="S491" s="66"/>
    </row>
    <row r="492" ht="15.75" hidden="1" customHeight="1" outlineLevel="2">
      <c r="A492" s="106" t="s">
        <v>99</v>
      </c>
      <c r="B492" s="81" t="s">
        <v>279</v>
      </c>
      <c r="C492" s="81"/>
      <c r="D492" s="81" t="s">
        <v>295</v>
      </c>
      <c r="E492" s="81" t="s">
        <v>295</v>
      </c>
      <c r="F492" s="22"/>
      <c r="G492" s="22"/>
      <c r="H492" s="22"/>
      <c r="I492" s="22"/>
      <c r="J492" s="22"/>
      <c r="K492" s="99">
        <v>46174.0</v>
      </c>
      <c r="L492" s="99">
        <v>46218.0</v>
      </c>
      <c r="M492" s="99" t="str">
        <f t="shared" si="1"/>
        <v>Chưa đến hạn</v>
      </c>
      <c r="N492" s="22"/>
      <c r="O492" s="22"/>
      <c r="P492" s="22"/>
      <c r="Q492" s="22"/>
      <c r="R492" s="93"/>
      <c r="S492" s="93"/>
    </row>
    <row r="493" ht="15.75" hidden="1" customHeight="1" outlineLevel="2">
      <c r="A493" s="106" t="s">
        <v>99</v>
      </c>
      <c r="B493" s="81" t="s">
        <v>279</v>
      </c>
      <c r="C493" s="81"/>
      <c r="D493" s="81" t="s">
        <v>296</v>
      </c>
      <c r="E493" s="81" t="s">
        <v>296</v>
      </c>
      <c r="F493" s="22"/>
      <c r="G493" s="22"/>
      <c r="H493" s="22"/>
      <c r="I493" s="22"/>
      <c r="J493" s="22"/>
      <c r="K493" s="99">
        <v>46174.0</v>
      </c>
      <c r="L493" s="99">
        <v>46218.0</v>
      </c>
      <c r="M493" s="99" t="str">
        <f t="shared" si="1"/>
        <v>Chưa đến hạn</v>
      </c>
      <c r="N493" s="22"/>
      <c r="O493" s="22"/>
      <c r="P493" s="22"/>
      <c r="Q493" s="22"/>
      <c r="R493" s="93"/>
      <c r="S493" s="93"/>
    </row>
    <row r="494" ht="15.75" hidden="1" customHeight="1" outlineLevel="2">
      <c r="A494" s="106" t="s">
        <v>99</v>
      </c>
      <c r="B494" s="81" t="s">
        <v>279</v>
      </c>
      <c r="C494" s="81"/>
      <c r="D494" s="81" t="s">
        <v>297</v>
      </c>
      <c r="E494" s="81" t="s">
        <v>297</v>
      </c>
      <c r="F494" s="81"/>
      <c r="G494" s="81"/>
      <c r="H494" s="81"/>
      <c r="I494" s="81"/>
      <c r="J494" s="81"/>
      <c r="K494" s="99">
        <v>46174.0</v>
      </c>
      <c r="L494" s="99">
        <v>46218.0</v>
      </c>
      <c r="M494" s="99" t="str">
        <f t="shared" si="1"/>
        <v>Chưa đến hạn</v>
      </c>
      <c r="N494" s="81"/>
      <c r="O494" s="81"/>
      <c r="P494" s="22"/>
      <c r="Q494" s="81"/>
      <c r="R494" s="66"/>
      <c r="S494" s="66"/>
    </row>
    <row r="495" ht="15.75" hidden="1" customHeight="1" outlineLevel="2">
      <c r="A495" s="106" t="s">
        <v>99</v>
      </c>
      <c r="B495" s="81" t="s">
        <v>279</v>
      </c>
      <c r="C495" s="81"/>
      <c r="D495" s="81" t="s">
        <v>298</v>
      </c>
      <c r="E495" s="81" t="s">
        <v>298</v>
      </c>
      <c r="F495" s="81"/>
      <c r="G495" s="81"/>
      <c r="H495" s="81"/>
      <c r="I495" s="81"/>
      <c r="J495" s="81"/>
      <c r="K495" s="99">
        <v>46174.0</v>
      </c>
      <c r="L495" s="99">
        <v>46218.0</v>
      </c>
      <c r="M495" s="99" t="str">
        <f t="shared" si="1"/>
        <v>Chưa đến hạn</v>
      </c>
      <c r="N495" s="81"/>
      <c r="O495" s="81"/>
      <c r="P495" s="22"/>
      <c r="Q495" s="81"/>
      <c r="R495" s="66"/>
      <c r="S495" s="66"/>
    </row>
    <row r="496" ht="15.75" hidden="1" customHeight="1" outlineLevel="2">
      <c r="A496" s="106" t="s">
        <v>99</v>
      </c>
      <c r="B496" s="81" t="s">
        <v>279</v>
      </c>
      <c r="C496" s="81"/>
      <c r="D496" s="81" t="s">
        <v>299</v>
      </c>
      <c r="E496" s="81" t="s">
        <v>299</v>
      </c>
      <c r="F496" s="22"/>
      <c r="G496" s="22"/>
      <c r="H496" s="22"/>
      <c r="I496" s="22"/>
      <c r="J496" s="22"/>
      <c r="K496" s="99">
        <v>46174.0</v>
      </c>
      <c r="L496" s="99">
        <v>46218.0</v>
      </c>
      <c r="M496" s="99" t="str">
        <f t="shared" si="1"/>
        <v>Chưa đến hạn</v>
      </c>
      <c r="N496" s="22"/>
      <c r="O496" s="22"/>
      <c r="P496" s="22"/>
      <c r="Q496" s="22"/>
      <c r="R496" s="93"/>
      <c r="S496" s="93"/>
    </row>
    <row r="497" ht="15.75" hidden="1" customHeight="1" outlineLevel="2">
      <c r="A497" s="106" t="s">
        <v>99</v>
      </c>
      <c r="B497" s="81" t="s">
        <v>279</v>
      </c>
      <c r="C497" s="81"/>
      <c r="D497" s="81" t="s">
        <v>300</v>
      </c>
      <c r="E497" s="81" t="s">
        <v>300</v>
      </c>
      <c r="F497" s="22"/>
      <c r="G497" s="22"/>
      <c r="H497" s="22"/>
      <c r="I497" s="22"/>
      <c r="J497" s="22"/>
      <c r="K497" s="99">
        <v>46174.0</v>
      </c>
      <c r="L497" s="99">
        <v>46218.0</v>
      </c>
      <c r="M497" s="99" t="str">
        <f t="shared" si="1"/>
        <v>Chưa đến hạn</v>
      </c>
      <c r="N497" s="22"/>
      <c r="O497" s="22"/>
      <c r="P497" s="22"/>
      <c r="Q497" s="22"/>
      <c r="R497" s="93"/>
      <c r="S497" s="93"/>
    </row>
    <row r="498" ht="15.75" hidden="1" customHeight="1" outlineLevel="2">
      <c r="A498" s="106" t="s">
        <v>99</v>
      </c>
      <c r="B498" s="81" t="s">
        <v>279</v>
      </c>
      <c r="C498" s="81"/>
      <c r="D498" s="81" t="s">
        <v>301</v>
      </c>
      <c r="E498" s="81" t="s">
        <v>301</v>
      </c>
      <c r="F498" s="22"/>
      <c r="G498" s="22"/>
      <c r="H498" s="22"/>
      <c r="I498" s="22"/>
      <c r="J498" s="22"/>
      <c r="K498" s="99">
        <v>46174.0</v>
      </c>
      <c r="L498" s="99">
        <v>46218.0</v>
      </c>
      <c r="M498" s="99" t="str">
        <f t="shared" si="1"/>
        <v>Chưa đến hạn</v>
      </c>
      <c r="N498" s="22"/>
      <c r="O498" s="22"/>
      <c r="P498" s="22"/>
      <c r="Q498" s="22"/>
      <c r="R498" s="93"/>
      <c r="S498" s="93"/>
    </row>
    <row r="499" ht="15.75" hidden="1" customHeight="1" outlineLevel="2">
      <c r="A499" s="106" t="s">
        <v>99</v>
      </c>
      <c r="B499" s="81" t="s">
        <v>279</v>
      </c>
      <c r="C499" s="81"/>
      <c r="D499" s="81" t="s">
        <v>302</v>
      </c>
      <c r="E499" s="81" t="s">
        <v>302</v>
      </c>
      <c r="F499" s="22"/>
      <c r="G499" s="22"/>
      <c r="H499" s="22"/>
      <c r="I499" s="22"/>
      <c r="J499" s="22"/>
      <c r="K499" s="99">
        <v>46174.0</v>
      </c>
      <c r="L499" s="99">
        <v>46218.0</v>
      </c>
      <c r="M499" s="99" t="str">
        <f t="shared" si="1"/>
        <v>Chưa đến hạn</v>
      </c>
      <c r="N499" s="22"/>
      <c r="O499" s="22"/>
      <c r="P499" s="22"/>
      <c r="Q499" s="22"/>
      <c r="R499" s="93"/>
      <c r="S499" s="93"/>
    </row>
    <row r="500" ht="15.75" hidden="1" customHeight="1" outlineLevel="2">
      <c r="A500" s="106" t="s">
        <v>99</v>
      </c>
      <c r="B500" s="81" t="s">
        <v>279</v>
      </c>
      <c r="C500" s="81"/>
      <c r="D500" s="81" t="s">
        <v>303</v>
      </c>
      <c r="E500" s="81" t="s">
        <v>303</v>
      </c>
      <c r="F500" s="22"/>
      <c r="G500" s="22"/>
      <c r="H500" s="22"/>
      <c r="I500" s="22"/>
      <c r="J500" s="22"/>
      <c r="K500" s="99">
        <v>46174.0</v>
      </c>
      <c r="L500" s="99">
        <v>46218.0</v>
      </c>
      <c r="M500" s="99" t="str">
        <f t="shared" si="1"/>
        <v>Chưa đến hạn</v>
      </c>
      <c r="N500" s="22"/>
      <c r="O500" s="22"/>
      <c r="P500" s="22"/>
      <c r="Q500" s="22"/>
      <c r="R500" s="93"/>
      <c r="S500" s="93"/>
    </row>
    <row r="501" ht="15.75" hidden="1" customHeight="1" outlineLevel="2">
      <c r="A501" s="106" t="s">
        <v>99</v>
      </c>
      <c r="B501" s="81" t="s">
        <v>279</v>
      </c>
      <c r="C501" s="81"/>
      <c r="D501" s="81" t="s">
        <v>304</v>
      </c>
      <c r="E501" s="81" t="s">
        <v>304</v>
      </c>
      <c r="F501" s="22"/>
      <c r="G501" s="22"/>
      <c r="H501" s="22"/>
      <c r="I501" s="22"/>
      <c r="J501" s="22"/>
      <c r="K501" s="99">
        <v>46174.0</v>
      </c>
      <c r="L501" s="99">
        <v>46218.0</v>
      </c>
      <c r="M501" s="99" t="str">
        <f t="shared" si="1"/>
        <v>Chưa đến hạn</v>
      </c>
      <c r="N501" s="22"/>
      <c r="O501" s="22"/>
      <c r="P501" s="22"/>
      <c r="Q501" s="22"/>
      <c r="R501" s="93"/>
      <c r="S501" s="93"/>
    </row>
    <row r="502" ht="15.75" hidden="1" customHeight="1" outlineLevel="2">
      <c r="A502" s="106" t="s">
        <v>99</v>
      </c>
      <c r="B502" s="81" t="s">
        <v>279</v>
      </c>
      <c r="C502" s="81"/>
      <c r="D502" s="81" t="s">
        <v>305</v>
      </c>
      <c r="E502" s="81" t="s">
        <v>305</v>
      </c>
      <c r="F502" s="22"/>
      <c r="G502" s="22"/>
      <c r="H502" s="22"/>
      <c r="I502" s="22"/>
      <c r="J502" s="22"/>
      <c r="K502" s="99">
        <v>46174.0</v>
      </c>
      <c r="L502" s="99">
        <v>46218.0</v>
      </c>
      <c r="M502" s="99" t="str">
        <f t="shared" si="1"/>
        <v>Chưa đến hạn</v>
      </c>
      <c r="N502" s="22"/>
      <c r="O502" s="22"/>
      <c r="P502" s="22"/>
      <c r="Q502" s="22"/>
      <c r="R502" s="93"/>
      <c r="S502" s="93"/>
    </row>
    <row r="503" ht="15.75" hidden="1" customHeight="1" outlineLevel="1">
      <c r="A503" s="106" t="s">
        <v>99</v>
      </c>
      <c r="B503" s="81" t="s">
        <v>306</v>
      </c>
      <c r="C503" s="81"/>
      <c r="D503" s="81"/>
      <c r="E503" s="81"/>
      <c r="F503" s="22"/>
      <c r="G503" s="22"/>
      <c r="H503" s="22"/>
      <c r="I503" s="22"/>
      <c r="J503" s="22"/>
      <c r="K503" s="99">
        <v>46174.0</v>
      </c>
      <c r="L503" s="99">
        <v>46280.0</v>
      </c>
      <c r="M503" s="99" t="str">
        <f t="shared" si="1"/>
        <v>Chưa đến hạn</v>
      </c>
      <c r="N503" s="22"/>
      <c r="O503" s="22"/>
      <c r="P503" s="22"/>
      <c r="Q503" s="22"/>
      <c r="R503" s="93"/>
      <c r="S503" s="93"/>
    </row>
    <row r="504" ht="15.75" hidden="1" customHeight="1" outlineLevel="2">
      <c r="A504" s="106" t="s">
        <v>99</v>
      </c>
      <c r="B504" s="81" t="s">
        <v>306</v>
      </c>
      <c r="C504" s="81" t="s">
        <v>307</v>
      </c>
      <c r="D504" s="81" t="s">
        <v>307</v>
      </c>
      <c r="E504" s="81"/>
      <c r="F504" s="22"/>
      <c r="G504" s="22"/>
      <c r="H504" s="22"/>
      <c r="I504" s="22"/>
      <c r="J504" s="22"/>
      <c r="K504" s="99">
        <v>46174.0</v>
      </c>
      <c r="L504" s="99">
        <v>46280.0</v>
      </c>
      <c r="M504" s="99" t="str">
        <f t="shared" si="1"/>
        <v>Chưa đến hạn</v>
      </c>
      <c r="N504" s="22"/>
      <c r="O504" s="22"/>
      <c r="P504" s="22"/>
      <c r="Q504" s="22"/>
      <c r="R504" s="93"/>
      <c r="S504" s="93"/>
    </row>
    <row r="505" ht="15.75" hidden="1" customHeight="1" outlineLevel="3">
      <c r="A505" s="106" t="s">
        <v>99</v>
      </c>
      <c r="B505" s="81" t="s">
        <v>306</v>
      </c>
      <c r="C505" s="102"/>
      <c r="D505" s="81" t="s">
        <v>307</v>
      </c>
      <c r="E505" s="81" t="s">
        <v>308</v>
      </c>
      <c r="F505" s="22"/>
      <c r="G505" s="22"/>
      <c r="H505" s="22"/>
      <c r="I505" s="22"/>
      <c r="J505" s="22"/>
      <c r="K505" s="99">
        <v>46174.0</v>
      </c>
      <c r="L505" s="99">
        <v>46280.0</v>
      </c>
      <c r="M505" s="99" t="str">
        <f t="shared" si="1"/>
        <v>Chưa đến hạn</v>
      </c>
      <c r="N505" s="22"/>
      <c r="O505" s="22"/>
      <c r="P505" s="22"/>
      <c r="Q505" s="22"/>
      <c r="R505" s="93"/>
      <c r="S505" s="93"/>
    </row>
    <row r="506" ht="15.75" hidden="1" customHeight="1" outlineLevel="3">
      <c r="A506" s="106" t="s">
        <v>99</v>
      </c>
      <c r="B506" s="81" t="s">
        <v>306</v>
      </c>
      <c r="C506" s="81"/>
      <c r="D506" s="81" t="s">
        <v>307</v>
      </c>
      <c r="E506" s="81" t="s">
        <v>309</v>
      </c>
      <c r="F506" s="22"/>
      <c r="G506" s="22"/>
      <c r="H506" s="22"/>
      <c r="I506" s="22"/>
      <c r="J506" s="22"/>
      <c r="K506" s="99">
        <v>46174.0</v>
      </c>
      <c r="L506" s="99">
        <v>46280.0</v>
      </c>
      <c r="M506" s="99" t="str">
        <f t="shared" si="1"/>
        <v>Chưa đến hạn</v>
      </c>
      <c r="N506" s="22"/>
      <c r="O506" s="22"/>
      <c r="P506" s="22"/>
      <c r="Q506" s="22"/>
      <c r="R506" s="93"/>
      <c r="S506" s="93"/>
    </row>
    <row r="507" ht="15.75" hidden="1" customHeight="1" outlineLevel="2">
      <c r="A507" s="106" t="s">
        <v>99</v>
      </c>
      <c r="B507" s="81" t="s">
        <v>306</v>
      </c>
      <c r="C507" s="81" t="s">
        <v>310</v>
      </c>
      <c r="D507" s="81" t="s">
        <v>310</v>
      </c>
      <c r="E507" s="81"/>
      <c r="F507" s="22"/>
      <c r="G507" s="22"/>
      <c r="H507" s="22"/>
      <c r="I507" s="22"/>
      <c r="J507" s="22"/>
      <c r="K507" s="99">
        <v>46174.0</v>
      </c>
      <c r="L507" s="99">
        <v>46280.0</v>
      </c>
      <c r="M507" s="99" t="str">
        <f t="shared" si="1"/>
        <v>Chưa đến hạn</v>
      </c>
      <c r="N507" s="22"/>
      <c r="O507" s="22"/>
      <c r="P507" s="22"/>
      <c r="Q507" s="22"/>
      <c r="R507" s="93"/>
      <c r="S507" s="93"/>
    </row>
    <row r="508" ht="15.75" hidden="1" customHeight="1" outlineLevel="3">
      <c r="A508" s="106" t="s">
        <v>99</v>
      </c>
      <c r="B508" s="81" t="s">
        <v>306</v>
      </c>
      <c r="C508" s="102"/>
      <c r="D508" s="81" t="s">
        <v>310</v>
      </c>
      <c r="E508" s="81" t="s">
        <v>311</v>
      </c>
      <c r="F508" s="22"/>
      <c r="G508" s="22"/>
      <c r="H508" s="22"/>
      <c r="I508" s="22"/>
      <c r="J508" s="22"/>
      <c r="K508" s="99">
        <v>46174.0</v>
      </c>
      <c r="L508" s="99">
        <v>46280.0</v>
      </c>
      <c r="M508" s="99" t="str">
        <f t="shared" si="1"/>
        <v>Chưa đến hạn</v>
      </c>
      <c r="N508" s="22"/>
      <c r="O508" s="22"/>
      <c r="P508" s="22"/>
      <c r="Q508" s="22"/>
      <c r="R508" s="93"/>
      <c r="S508" s="93"/>
    </row>
    <row r="509" ht="15.75" hidden="1" customHeight="1" outlineLevel="3">
      <c r="A509" s="106" t="s">
        <v>99</v>
      </c>
      <c r="B509" s="81" t="s">
        <v>306</v>
      </c>
      <c r="C509" s="81"/>
      <c r="D509" s="81" t="s">
        <v>310</v>
      </c>
      <c r="E509" s="81" t="s">
        <v>312</v>
      </c>
      <c r="F509" s="22"/>
      <c r="G509" s="22"/>
      <c r="H509" s="22"/>
      <c r="I509" s="22"/>
      <c r="J509" s="22"/>
      <c r="K509" s="99">
        <v>46174.0</v>
      </c>
      <c r="L509" s="99">
        <v>46280.0</v>
      </c>
      <c r="M509" s="99" t="str">
        <f t="shared" si="1"/>
        <v>Chưa đến hạn</v>
      </c>
      <c r="N509" s="22"/>
      <c r="O509" s="22"/>
      <c r="P509" s="22"/>
      <c r="Q509" s="22"/>
      <c r="R509" s="93"/>
      <c r="S509" s="93"/>
    </row>
    <row r="510" ht="15.75" hidden="1" customHeight="1" outlineLevel="3">
      <c r="A510" s="106" t="s">
        <v>99</v>
      </c>
      <c r="B510" s="81" t="s">
        <v>306</v>
      </c>
      <c r="C510" s="81"/>
      <c r="D510" s="81" t="s">
        <v>310</v>
      </c>
      <c r="E510" s="81" t="s">
        <v>313</v>
      </c>
      <c r="F510" s="22"/>
      <c r="G510" s="22"/>
      <c r="H510" s="22"/>
      <c r="I510" s="22"/>
      <c r="J510" s="22"/>
      <c r="K510" s="99">
        <v>46174.0</v>
      </c>
      <c r="L510" s="99">
        <v>46280.0</v>
      </c>
      <c r="M510" s="99" t="str">
        <f t="shared" si="1"/>
        <v>Chưa đến hạn</v>
      </c>
      <c r="N510" s="22"/>
      <c r="O510" s="22"/>
      <c r="P510" s="22"/>
      <c r="Q510" s="22"/>
      <c r="R510" s="93"/>
      <c r="S510" s="93"/>
    </row>
    <row r="511" ht="15.75" hidden="1" customHeight="1" outlineLevel="3">
      <c r="A511" s="106" t="s">
        <v>99</v>
      </c>
      <c r="B511" s="81" t="s">
        <v>306</v>
      </c>
      <c r="C511" s="81"/>
      <c r="D511" s="81" t="s">
        <v>310</v>
      </c>
      <c r="E511" s="81" t="s">
        <v>310</v>
      </c>
      <c r="F511" s="22"/>
      <c r="G511" s="22"/>
      <c r="H511" s="22"/>
      <c r="I511" s="22"/>
      <c r="J511" s="22"/>
      <c r="K511" s="99">
        <v>46174.0</v>
      </c>
      <c r="L511" s="99">
        <v>46280.0</v>
      </c>
      <c r="M511" s="99" t="str">
        <f t="shared" si="1"/>
        <v>Chưa đến hạn</v>
      </c>
      <c r="N511" s="22"/>
      <c r="O511" s="22"/>
      <c r="P511" s="22"/>
      <c r="Q511" s="22"/>
      <c r="R511" s="93"/>
      <c r="S511" s="93"/>
    </row>
    <row r="512" ht="15.75" hidden="1" customHeight="1" outlineLevel="2">
      <c r="A512" s="106" t="s">
        <v>99</v>
      </c>
      <c r="B512" s="81" t="s">
        <v>306</v>
      </c>
      <c r="C512" s="81" t="s">
        <v>314</v>
      </c>
      <c r="D512" s="81" t="s">
        <v>314</v>
      </c>
      <c r="E512" s="81"/>
      <c r="F512" s="22"/>
      <c r="G512" s="22"/>
      <c r="H512" s="22"/>
      <c r="I512" s="22"/>
      <c r="J512" s="22"/>
      <c r="K512" s="99">
        <v>46174.0</v>
      </c>
      <c r="L512" s="99">
        <v>46280.0</v>
      </c>
      <c r="M512" s="99" t="str">
        <f t="shared" si="1"/>
        <v>Chưa đến hạn</v>
      </c>
      <c r="N512" s="22"/>
      <c r="O512" s="22"/>
      <c r="P512" s="22"/>
      <c r="Q512" s="22"/>
      <c r="R512" s="93"/>
      <c r="S512" s="93"/>
    </row>
    <row r="513" ht="15.75" hidden="1" customHeight="1" outlineLevel="3">
      <c r="A513" s="106" t="s">
        <v>99</v>
      </c>
      <c r="B513" s="81" t="s">
        <v>306</v>
      </c>
      <c r="C513" s="102"/>
      <c r="D513" s="81" t="s">
        <v>314</v>
      </c>
      <c r="E513" s="81" t="s">
        <v>315</v>
      </c>
      <c r="F513" s="22"/>
      <c r="G513" s="22"/>
      <c r="H513" s="22"/>
      <c r="I513" s="22"/>
      <c r="J513" s="22"/>
      <c r="K513" s="99">
        <v>46174.0</v>
      </c>
      <c r="L513" s="99">
        <v>46280.0</v>
      </c>
      <c r="M513" s="99" t="str">
        <f t="shared" si="1"/>
        <v>Chưa đến hạn</v>
      </c>
      <c r="N513" s="22"/>
      <c r="O513" s="22"/>
      <c r="P513" s="22"/>
      <c r="Q513" s="22"/>
      <c r="R513" s="93"/>
      <c r="S513" s="93"/>
    </row>
    <row r="514" ht="15.75" hidden="1" customHeight="1" outlineLevel="3">
      <c r="A514" s="106" t="s">
        <v>99</v>
      </c>
      <c r="B514" s="81" t="s">
        <v>306</v>
      </c>
      <c r="C514" s="81"/>
      <c r="D514" s="81" t="s">
        <v>314</v>
      </c>
      <c r="E514" s="81" t="s">
        <v>316</v>
      </c>
      <c r="F514" s="22"/>
      <c r="G514" s="22"/>
      <c r="H514" s="22"/>
      <c r="I514" s="22"/>
      <c r="J514" s="22"/>
      <c r="K514" s="99">
        <v>46174.0</v>
      </c>
      <c r="L514" s="99">
        <v>46280.0</v>
      </c>
      <c r="M514" s="99" t="str">
        <f t="shared" si="1"/>
        <v>Chưa đến hạn</v>
      </c>
      <c r="N514" s="22"/>
      <c r="O514" s="22"/>
      <c r="P514" s="22"/>
      <c r="Q514" s="22"/>
      <c r="R514" s="93"/>
      <c r="S514" s="93"/>
    </row>
    <row r="515" ht="15.75" hidden="1" customHeight="1" outlineLevel="3">
      <c r="A515" s="106" t="s">
        <v>99</v>
      </c>
      <c r="B515" s="81" t="s">
        <v>306</v>
      </c>
      <c r="C515" s="81"/>
      <c r="D515" s="81" t="s">
        <v>314</v>
      </c>
      <c r="E515" s="81" t="s">
        <v>317</v>
      </c>
      <c r="F515" s="22"/>
      <c r="G515" s="22"/>
      <c r="H515" s="22"/>
      <c r="I515" s="22"/>
      <c r="J515" s="22"/>
      <c r="K515" s="99">
        <v>46174.0</v>
      </c>
      <c r="L515" s="99">
        <v>46280.0</v>
      </c>
      <c r="M515" s="99" t="str">
        <f t="shared" si="1"/>
        <v>Chưa đến hạn</v>
      </c>
      <c r="N515" s="22"/>
      <c r="O515" s="22"/>
      <c r="P515" s="22"/>
      <c r="Q515" s="22"/>
      <c r="R515" s="93"/>
      <c r="S515" s="93"/>
    </row>
    <row r="516" ht="15.75" hidden="1" customHeight="1" outlineLevel="2">
      <c r="A516" s="106" t="s">
        <v>99</v>
      </c>
      <c r="B516" s="81" t="s">
        <v>306</v>
      </c>
      <c r="C516" s="81" t="s">
        <v>318</v>
      </c>
      <c r="D516" s="81" t="s">
        <v>318</v>
      </c>
      <c r="E516" s="81"/>
      <c r="F516" s="22"/>
      <c r="G516" s="22"/>
      <c r="H516" s="22"/>
      <c r="I516" s="22"/>
      <c r="J516" s="22"/>
      <c r="K516" s="99">
        <v>46174.0</v>
      </c>
      <c r="L516" s="99">
        <v>46280.0</v>
      </c>
      <c r="M516" s="99" t="str">
        <f t="shared" si="1"/>
        <v>Chưa đến hạn</v>
      </c>
      <c r="N516" s="22"/>
      <c r="O516" s="22"/>
      <c r="P516" s="22"/>
      <c r="Q516" s="22"/>
      <c r="R516" s="93"/>
      <c r="S516" s="93"/>
    </row>
    <row r="517" ht="15.75" hidden="1" customHeight="1" outlineLevel="3">
      <c r="A517" s="106" t="s">
        <v>99</v>
      </c>
      <c r="B517" s="81" t="s">
        <v>306</v>
      </c>
      <c r="C517" s="102"/>
      <c r="D517" s="81" t="s">
        <v>318</v>
      </c>
      <c r="E517" s="81" t="s">
        <v>319</v>
      </c>
      <c r="F517" s="22"/>
      <c r="G517" s="22"/>
      <c r="H517" s="22"/>
      <c r="I517" s="22"/>
      <c r="J517" s="22"/>
      <c r="K517" s="99">
        <v>46174.0</v>
      </c>
      <c r="L517" s="99">
        <v>46280.0</v>
      </c>
      <c r="M517" s="99" t="str">
        <f t="shared" si="1"/>
        <v>Chưa đến hạn</v>
      </c>
      <c r="N517" s="22"/>
      <c r="O517" s="22"/>
      <c r="P517" s="22"/>
      <c r="Q517" s="22"/>
      <c r="R517" s="93"/>
      <c r="S517" s="93"/>
    </row>
    <row r="518" ht="15.75" hidden="1" customHeight="1" outlineLevel="3">
      <c r="A518" s="106" t="s">
        <v>99</v>
      </c>
      <c r="B518" s="81" t="s">
        <v>306</v>
      </c>
      <c r="C518" s="81"/>
      <c r="D518" s="81" t="s">
        <v>318</v>
      </c>
      <c r="E518" s="81" t="s">
        <v>320</v>
      </c>
      <c r="F518" s="22"/>
      <c r="G518" s="22"/>
      <c r="H518" s="22"/>
      <c r="I518" s="22"/>
      <c r="J518" s="22"/>
      <c r="K518" s="99">
        <v>46174.0</v>
      </c>
      <c r="L518" s="99">
        <v>46280.0</v>
      </c>
      <c r="M518" s="99" t="str">
        <f t="shared" si="1"/>
        <v>Chưa đến hạn</v>
      </c>
      <c r="N518" s="22"/>
      <c r="O518" s="22"/>
      <c r="P518" s="22"/>
      <c r="Q518" s="22"/>
      <c r="R518" s="93"/>
      <c r="S518" s="93"/>
    </row>
    <row r="519" ht="15.75" hidden="1" customHeight="1" outlineLevel="3">
      <c r="A519" s="106" t="s">
        <v>99</v>
      </c>
      <c r="B519" s="81" t="s">
        <v>306</v>
      </c>
      <c r="C519" s="81"/>
      <c r="D519" s="81" t="s">
        <v>318</v>
      </c>
      <c r="E519" s="81" t="s">
        <v>321</v>
      </c>
      <c r="F519" s="22"/>
      <c r="G519" s="22"/>
      <c r="H519" s="22"/>
      <c r="I519" s="22"/>
      <c r="J519" s="22"/>
      <c r="K519" s="99">
        <v>46174.0</v>
      </c>
      <c r="L519" s="99">
        <v>46280.0</v>
      </c>
      <c r="M519" s="99" t="str">
        <f t="shared" si="1"/>
        <v>Chưa đến hạn</v>
      </c>
      <c r="N519" s="22"/>
      <c r="O519" s="22"/>
      <c r="P519" s="22"/>
      <c r="Q519" s="22"/>
      <c r="R519" s="93"/>
      <c r="S519" s="93"/>
    </row>
    <row r="520" ht="15.75" hidden="1" customHeight="1" outlineLevel="2">
      <c r="A520" s="106" t="s">
        <v>99</v>
      </c>
      <c r="B520" s="81" t="s">
        <v>306</v>
      </c>
      <c r="C520" s="81" t="s">
        <v>322</v>
      </c>
      <c r="D520" s="81" t="s">
        <v>322</v>
      </c>
      <c r="E520" s="81"/>
      <c r="F520" s="22"/>
      <c r="G520" s="22"/>
      <c r="H520" s="22"/>
      <c r="I520" s="22"/>
      <c r="J520" s="22"/>
      <c r="K520" s="99">
        <v>46174.0</v>
      </c>
      <c r="L520" s="99">
        <v>46280.0</v>
      </c>
      <c r="M520" s="99" t="str">
        <f t="shared" si="1"/>
        <v>Chưa đến hạn</v>
      </c>
      <c r="N520" s="22"/>
      <c r="O520" s="22"/>
      <c r="P520" s="22"/>
      <c r="Q520" s="22"/>
      <c r="R520" s="93"/>
      <c r="S520" s="93"/>
    </row>
    <row r="521" ht="15.75" hidden="1" customHeight="1" outlineLevel="3">
      <c r="A521" s="106" t="s">
        <v>99</v>
      </c>
      <c r="B521" s="81" t="s">
        <v>306</v>
      </c>
      <c r="C521" s="102"/>
      <c r="D521" s="81" t="s">
        <v>322</v>
      </c>
      <c r="E521" s="81" t="s">
        <v>323</v>
      </c>
      <c r="F521" s="22"/>
      <c r="G521" s="22"/>
      <c r="H521" s="22"/>
      <c r="I521" s="22"/>
      <c r="J521" s="22"/>
      <c r="K521" s="99">
        <v>46174.0</v>
      </c>
      <c r="L521" s="99">
        <v>46280.0</v>
      </c>
      <c r="M521" s="99" t="str">
        <f t="shared" si="1"/>
        <v>Chưa đến hạn</v>
      </c>
      <c r="N521" s="22"/>
      <c r="O521" s="22"/>
      <c r="P521" s="22"/>
      <c r="Q521" s="22"/>
      <c r="R521" s="93"/>
      <c r="S521" s="93"/>
    </row>
    <row r="522" ht="15.75" hidden="1" customHeight="1" outlineLevel="3">
      <c r="A522" s="106" t="s">
        <v>99</v>
      </c>
      <c r="B522" s="81" t="s">
        <v>306</v>
      </c>
      <c r="C522" s="81"/>
      <c r="D522" s="81" t="s">
        <v>322</v>
      </c>
      <c r="E522" s="81" t="s">
        <v>324</v>
      </c>
      <c r="F522" s="22"/>
      <c r="G522" s="22"/>
      <c r="H522" s="22"/>
      <c r="I522" s="22"/>
      <c r="J522" s="22"/>
      <c r="K522" s="99">
        <v>46174.0</v>
      </c>
      <c r="L522" s="99">
        <v>46280.0</v>
      </c>
      <c r="M522" s="99" t="str">
        <f t="shared" si="1"/>
        <v>Chưa đến hạn</v>
      </c>
      <c r="N522" s="22"/>
      <c r="O522" s="22"/>
      <c r="P522" s="22"/>
      <c r="Q522" s="22"/>
      <c r="R522" s="93"/>
      <c r="S522" s="93"/>
    </row>
    <row r="523" ht="15.75" hidden="1" customHeight="1" outlineLevel="3">
      <c r="A523" s="106" t="s">
        <v>99</v>
      </c>
      <c r="B523" s="81" t="s">
        <v>306</v>
      </c>
      <c r="C523" s="81"/>
      <c r="D523" s="81" t="s">
        <v>322</v>
      </c>
      <c r="E523" s="81" t="s">
        <v>325</v>
      </c>
      <c r="F523" s="81"/>
      <c r="G523" s="81"/>
      <c r="H523" s="81"/>
      <c r="I523" s="81"/>
      <c r="J523" s="81"/>
      <c r="K523" s="99">
        <v>46174.0</v>
      </c>
      <c r="L523" s="99">
        <v>46280.0</v>
      </c>
      <c r="M523" s="99" t="str">
        <f t="shared" si="1"/>
        <v>Chưa đến hạn</v>
      </c>
      <c r="N523" s="81"/>
      <c r="O523" s="81"/>
      <c r="P523" s="22"/>
      <c r="Q523" s="81"/>
      <c r="R523" s="66"/>
      <c r="S523" s="66"/>
    </row>
    <row r="524" ht="15.75" hidden="1" customHeight="1" outlineLevel="2">
      <c r="A524" s="106" t="s">
        <v>99</v>
      </c>
      <c r="B524" s="81" t="s">
        <v>306</v>
      </c>
      <c r="C524" s="81" t="s">
        <v>326</v>
      </c>
      <c r="D524" s="81" t="s">
        <v>326</v>
      </c>
      <c r="E524" s="81"/>
      <c r="F524" s="22"/>
      <c r="G524" s="22"/>
      <c r="H524" s="22"/>
      <c r="I524" s="22"/>
      <c r="J524" s="22"/>
      <c r="K524" s="99">
        <v>46174.0</v>
      </c>
      <c r="L524" s="99">
        <v>46280.0</v>
      </c>
      <c r="M524" s="99" t="str">
        <f t="shared" si="1"/>
        <v>Chưa đến hạn</v>
      </c>
      <c r="N524" s="22"/>
      <c r="O524" s="22"/>
      <c r="P524" s="22"/>
      <c r="Q524" s="22"/>
      <c r="R524" s="93"/>
      <c r="S524" s="93"/>
    </row>
    <row r="525" ht="15.75" hidden="1" customHeight="1" outlineLevel="3">
      <c r="A525" s="106" t="s">
        <v>99</v>
      </c>
      <c r="B525" s="81" t="s">
        <v>306</v>
      </c>
      <c r="C525" s="102"/>
      <c r="D525" s="81" t="s">
        <v>326</v>
      </c>
      <c r="E525" s="81" t="s">
        <v>327</v>
      </c>
      <c r="F525" s="22"/>
      <c r="G525" s="22"/>
      <c r="H525" s="22"/>
      <c r="I525" s="22"/>
      <c r="J525" s="22"/>
      <c r="K525" s="99">
        <v>46174.0</v>
      </c>
      <c r="L525" s="99">
        <v>46280.0</v>
      </c>
      <c r="M525" s="99" t="str">
        <f t="shared" si="1"/>
        <v>Chưa đến hạn</v>
      </c>
      <c r="N525" s="22"/>
      <c r="O525" s="22"/>
      <c r="P525" s="22"/>
      <c r="Q525" s="22"/>
      <c r="R525" s="93"/>
      <c r="S525" s="93"/>
    </row>
    <row r="526" ht="15.75" hidden="1" customHeight="1" outlineLevel="3">
      <c r="A526" s="106" t="s">
        <v>99</v>
      </c>
      <c r="B526" s="81" t="s">
        <v>306</v>
      </c>
      <c r="C526" s="81"/>
      <c r="D526" s="81" t="s">
        <v>326</v>
      </c>
      <c r="E526" s="81" t="s">
        <v>328</v>
      </c>
      <c r="F526" s="81"/>
      <c r="G526" s="81"/>
      <c r="H526" s="81"/>
      <c r="I526" s="81"/>
      <c r="J526" s="81"/>
      <c r="K526" s="99">
        <v>46174.0</v>
      </c>
      <c r="L526" s="99">
        <v>46280.0</v>
      </c>
      <c r="M526" s="99" t="str">
        <f t="shared" si="1"/>
        <v>Chưa đến hạn</v>
      </c>
      <c r="N526" s="81"/>
      <c r="O526" s="81"/>
      <c r="P526" s="22"/>
      <c r="Q526" s="81"/>
      <c r="R526" s="66"/>
      <c r="S526" s="66"/>
    </row>
    <row r="527" ht="15.75" hidden="1" customHeight="1" outlineLevel="2">
      <c r="A527" s="106" t="s">
        <v>99</v>
      </c>
      <c r="B527" s="81" t="s">
        <v>306</v>
      </c>
      <c r="C527" s="81" t="s">
        <v>329</v>
      </c>
      <c r="D527" s="81" t="s">
        <v>329</v>
      </c>
      <c r="E527" s="81"/>
      <c r="F527" s="81"/>
      <c r="G527" s="81"/>
      <c r="H527" s="81"/>
      <c r="I527" s="81"/>
      <c r="J527" s="81"/>
      <c r="K527" s="99">
        <v>46174.0</v>
      </c>
      <c r="L527" s="99">
        <v>46280.0</v>
      </c>
      <c r="M527" s="99" t="str">
        <f t="shared" si="1"/>
        <v>Chưa đến hạn</v>
      </c>
      <c r="N527" s="81"/>
      <c r="O527" s="81"/>
      <c r="P527" s="22"/>
      <c r="Q527" s="81"/>
      <c r="R527" s="66"/>
      <c r="S527" s="66"/>
    </row>
    <row r="528" ht="15.75" hidden="1" customHeight="1" outlineLevel="3">
      <c r="A528" s="106" t="s">
        <v>99</v>
      </c>
      <c r="B528" s="81" t="s">
        <v>306</v>
      </c>
      <c r="C528" s="102"/>
      <c r="D528" s="81" t="s">
        <v>329</v>
      </c>
      <c r="E528" s="81" t="s">
        <v>330</v>
      </c>
      <c r="F528" s="81"/>
      <c r="G528" s="81"/>
      <c r="H528" s="81"/>
      <c r="I528" s="81"/>
      <c r="J528" s="81"/>
      <c r="K528" s="99">
        <v>46174.0</v>
      </c>
      <c r="L528" s="99">
        <v>46280.0</v>
      </c>
      <c r="M528" s="99" t="str">
        <f t="shared" si="1"/>
        <v>Chưa đến hạn</v>
      </c>
      <c r="N528" s="81"/>
      <c r="O528" s="81"/>
      <c r="P528" s="22"/>
      <c r="Q528" s="81"/>
      <c r="R528" s="66"/>
      <c r="S528" s="66"/>
    </row>
    <row r="529" ht="15.75" hidden="1" customHeight="1" outlineLevel="3">
      <c r="A529" s="106" t="s">
        <v>99</v>
      </c>
      <c r="B529" s="81" t="s">
        <v>306</v>
      </c>
      <c r="C529" s="81"/>
      <c r="D529" s="81" t="s">
        <v>329</v>
      </c>
      <c r="E529" s="81" t="s">
        <v>331</v>
      </c>
      <c r="F529" s="81"/>
      <c r="G529" s="81"/>
      <c r="H529" s="81"/>
      <c r="I529" s="81"/>
      <c r="J529" s="81"/>
      <c r="K529" s="99">
        <v>46174.0</v>
      </c>
      <c r="L529" s="99">
        <v>46280.0</v>
      </c>
      <c r="M529" s="99" t="str">
        <f t="shared" si="1"/>
        <v>Chưa đến hạn</v>
      </c>
      <c r="N529" s="81"/>
      <c r="O529" s="81"/>
      <c r="P529" s="22"/>
      <c r="Q529" s="81"/>
      <c r="R529" s="66"/>
      <c r="S529" s="66"/>
    </row>
    <row r="530" ht="15.75" hidden="1" customHeight="1" outlineLevel="2">
      <c r="A530" s="106" t="s">
        <v>99</v>
      </c>
      <c r="B530" s="81" t="s">
        <v>306</v>
      </c>
      <c r="C530" s="81" t="s">
        <v>332</v>
      </c>
      <c r="D530" s="81" t="s">
        <v>332</v>
      </c>
      <c r="E530" s="81"/>
      <c r="F530" s="81"/>
      <c r="G530" s="81"/>
      <c r="H530" s="81"/>
      <c r="I530" s="81"/>
      <c r="J530" s="81"/>
      <c r="K530" s="99">
        <v>46174.0</v>
      </c>
      <c r="L530" s="99">
        <v>46280.0</v>
      </c>
      <c r="M530" s="99" t="str">
        <f t="shared" si="1"/>
        <v>Chưa đến hạn</v>
      </c>
      <c r="N530" s="81"/>
      <c r="O530" s="81"/>
      <c r="P530" s="22"/>
      <c r="Q530" s="81"/>
      <c r="R530" s="66"/>
      <c r="S530" s="66"/>
    </row>
    <row r="531" ht="15.75" hidden="1" customHeight="1" outlineLevel="3">
      <c r="A531" s="106" t="s">
        <v>99</v>
      </c>
      <c r="B531" s="81" t="s">
        <v>306</v>
      </c>
      <c r="C531" s="102"/>
      <c r="D531" s="81" t="s">
        <v>332</v>
      </c>
      <c r="E531" s="81" t="s">
        <v>333</v>
      </c>
      <c r="F531" s="81"/>
      <c r="G531" s="81"/>
      <c r="H531" s="81"/>
      <c r="I531" s="81"/>
      <c r="J531" s="81"/>
      <c r="K531" s="99">
        <v>46174.0</v>
      </c>
      <c r="L531" s="99">
        <v>46280.0</v>
      </c>
      <c r="M531" s="99" t="str">
        <f t="shared" si="1"/>
        <v>Chưa đến hạn</v>
      </c>
      <c r="N531" s="81"/>
      <c r="O531" s="81"/>
      <c r="P531" s="22"/>
      <c r="Q531" s="81"/>
      <c r="R531" s="66"/>
      <c r="S531" s="66"/>
    </row>
    <row r="532" ht="15.75" hidden="1" customHeight="1" outlineLevel="3">
      <c r="A532" s="106" t="s">
        <v>99</v>
      </c>
      <c r="B532" s="81" t="s">
        <v>306</v>
      </c>
      <c r="C532" s="81"/>
      <c r="D532" s="81" t="s">
        <v>332</v>
      </c>
      <c r="E532" s="81" t="s">
        <v>334</v>
      </c>
      <c r="F532" s="81"/>
      <c r="G532" s="81"/>
      <c r="H532" s="81"/>
      <c r="I532" s="81"/>
      <c r="J532" s="81"/>
      <c r="K532" s="99">
        <v>46174.0</v>
      </c>
      <c r="L532" s="99">
        <v>46280.0</v>
      </c>
      <c r="M532" s="99" t="str">
        <f t="shared" si="1"/>
        <v>Chưa đến hạn</v>
      </c>
      <c r="N532" s="81"/>
      <c r="O532" s="81"/>
      <c r="P532" s="22"/>
      <c r="Q532" s="81"/>
      <c r="R532" s="66"/>
      <c r="S532" s="66"/>
    </row>
    <row r="533" ht="15.75" hidden="1" customHeight="1" outlineLevel="3">
      <c r="A533" s="106" t="s">
        <v>99</v>
      </c>
      <c r="B533" s="81" t="s">
        <v>306</v>
      </c>
      <c r="C533" s="81"/>
      <c r="D533" s="81" t="s">
        <v>332</v>
      </c>
      <c r="E533" s="81" t="s">
        <v>335</v>
      </c>
      <c r="F533" s="81"/>
      <c r="G533" s="81"/>
      <c r="H533" s="81"/>
      <c r="I533" s="81"/>
      <c r="J533" s="81"/>
      <c r="K533" s="99">
        <v>46174.0</v>
      </c>
      <c r="L533" s="99">
        <v>46280.0</v>
      </c>
      <c r="M533" s="99" t="str">
        <f t="shared" si="1"/>
        <v>Chưa đến hạn</v>
      </c>
      <c r="N533" s="81"/>
      <c r="O533" s="81"/>
      <c r="P533" s="22"/>
      <c r="Q533" s="81"/>
      <c r="R533" s="66"/>
      <c r="S533" s="66"/>
    </row>
    <row r="534" ht="15.75" hidden="1" customHeight="1" outlineLevel="2">
      <c r="A534" s="106" t="s">
        <v>99</v>
      </c>
      <c r="B534" s="81" t="s">
        <v>306</v>
      </c>
      <c r="C534" s="81" t="s">
        <v>336</v>
      </c>
      <c r="D534" s="81" t="s">
        <v>336</v>
      </c>
      <c r="E534" s="81"/>
      <c r="F534" s="81"/>
      <c r="G534" s="81"/>
      <c r="H534" s="81"/>
      <c r="I534" s="81"/>
      <c r="J534" s="81"/>
      <c r="K534" s="99">
        <v>46174.0</v>
      </c>
      <c r="L534" s="99">
        <v>46280.0</v>
      </c>
      <c r="M534" s="99" t="str">
        <f t="shared" si="1"/>
        <v>Chưa đến hạn</v>
      </c>
      <c r="N534" s="81"/>
      <c r="O534" s="81"/>
      <c r="P534" s="22"/>
      <c r="Q534" s="81"/>
      <c r="R534" s="66"/>
      <c r="S534" s="66"/>
    </row>
    <row r="535" ht="15.75" hidden="1" customHeight="1" outlineLevel="3">
      <c r="A535" s="106" t="s">
        <v>99</v>
      </c>
      <c r="B535" s="81" t="s">
        <v>306</v>
      </c>
      <c r="C535" s="102"/>
      <c r="D535" s="81" t="s">
        <v>336</v>
      </c>
      <c r="E535" s="81" t="s">
        <v>337</v>
      </c>
      <c r="F535" s="81"/>
      <c r="G535" s="81"/>
      <c r="H535" s="81"/>
      <c r="I535" s="81"/>
      <c r="J535" s="81"/>
      <c r="K535" s="99">
        <v>46174.0</v>
      </c>
      <c r="L535" s="99">
        <v>46280.0</v>
      </c>
      <c r="M535" s="99" t="str">
        <f t="shared" si="1"/>
        <v>Chưa đến hạn</v>
      </c>
      <c r="N535" s="81"/>
      <c r="O535" s="81"/>
      <c r="P535" s="22"/>
      <c r="Q535" s="81"/>
      <c r="R535" s="66"/>
      <c r="S535" s="66"/>
    </row>
    <row r="536" ht="15.75" hidden="1" customHeight="1" outlineLevel="3">
      <c r="A536" s="106" t="s">
        <v>99</v>
      </c>
      <c r="B536" s="81" t="s">
        <v>306</v>
      </c>
      <c r="C536" s="81"/>
      <c r="D536" s="81" t="s">
        <v>336</v>
      </c>
      <c r="E536" s="81" t="s">
        <v>338</v>
      </c>
      <c r="F536" s="81"/>
      <c r="G536" s="81"/>
      <c r="H536" s="81"/>
      <c r="I536" s="81"/>
      <c r="J536" s="81"/>
      <c r="K536" s="99">
        <v>46174.0</v>
      </c>
      <c r="L536" s="99">
        <v>46280.0</v>
      </c>
      <c r="M536" s="99" t="str">
        <f t="shared" si="1"/>
        <v>Chưa đến hạn</v>
      </c>
      <c r="N536" s="81"/>
      <c r="O536" s="81"/>
      <c r="P536" s="22"/>
      <c r="Q536" s="81"/>
      <c r="R536" s="66"/>
      <c r="S536" s="66"/>
    </row>
    <row r="537" ht="15.75" hidden="1" customHeight="1" outlineLevel="2">
      <c r="A537" s="106" t="s">
        <v>99</v>
      </c>
      <c r="B537" s="81" t="s">
        <v>306</v>
      </c>
      <c r="C537" s="81" t="s">
        <v>339</v>
      </c>
      <c r="D537" s="81" t="s">
        <v>339</v>
      </c>
      <c r="E537" s="81"/>
      <c r="F537" s="81"/>
      <c r="G537" s="81"/>
      <c r="H537" s="81"/>
      <c r="I537" s="81"/>
      <c r="J537" s="81"/>
      <c r="K537" s="99">
        <v>46174.0</v>
      </c>
      <c r="L537" s="99">
        <v>46280.0</v>
      </c>
      <c r="M537" s="99" t="str">
        <f t="shared" si="1"/>
        <v>Chưa đến hạn</v>
      </c>
      <c r="N537" s="81"/>
      <c r="O537" s="81"/>
      <c r="P537" s="22"/>
      <c r="Q537" s="81"/>
      <c r="R537" s="66"/>
      <c r="S537" s="66"/>
    </row>
    <row r="538" ht="15.75" hidden="1" customHeight="1" outlineLevel="3">
      <c r="A538" s="106" t="s">
        <v>99</v>
      </c>
      <c r="B538" s="81" t="s">
        <v>306</v>
      </c>
      <c r="C538" s="102"/>
      <c r="D538" s="102"/>
      <c r="E538" s="81" t="s">
        <v>340</v>
      </c>
      <c r="F538" s="81"/>
      <c r="G538" s="81"/>
      <c r="H538" s="81"/>
      <c r="I538" s="81"/>
      <c r="J538" s="81"/>
      <c r="K538" s="99">
        <v>46174.0</v>
      </c>
      <c r="L538" s="99">
        <v>46280.0</v>
      </c>
      <c r="M538" s="99" t="str">
        <f t="shared" si="1"/>
        <v>Chưa đến hạn</v>
      </c>
      <c r="N538" s="81"/>
      <c r="O538" s="81"/>
      <c r="P538" s="22"/>
      <c r="Q538" s="81"/>
      <c r="R538" s="66"/>
      <c r="S538" s="66"/>
    </row>
    <row r="539" ht="15.75" hidden="1" customHeight="1" outlineLevel="3">
      <c r="A539" s="106" t="s">
        <v>99</v>
      </c>
      <c r="B539" s="81" t="s">
        <v>306</v>
      </c>
      <c r="C539" s="81"/>
      <c r="D539" s="81"/>
      <c r="E539" s="81" t="s">
        <v>341</v>
      </c>
      <c r="F539" s="81"/>
      <c r="G539" s="81"/>
      <c r="H539" s="81"/>
      <c r="I539" s="81"/>
      <c r="J539" s="81"/>
      <c r="K539" s="99">
        <v>46174.0</v>
      </c>
      <c r="L539" s="99">
        <v>46280.0</v>
      </c>
      <c r="M539" s="99" t="str">
        <f t="shared" si="1"/>
        <v>Chưa đến hạn</v>
      </c>
      <c r="N539" s="81"/>
      <c r="O539" s="81"/>
      <c r="P539" s="22"/>
      <c r="Q539" s="81"/>
      <c r="R539" s="66"/>
      <c r="S539" s="66"/>
    </row>
    <row r="540" ht="15.75" hidden="1" customHeight="1" outlineLevel="2">
      <c r="A540" s="106" t="s">
        <v>99</v>
      </c>
      <c r="B540" s="81" t="s">
        <v>306</v>
      </c>
      <c r="C540" s="81" t="s">
        <v>342</v>
      </c>
      <c r="D540" s="81" t="s">
        <v>342</v>
      </c>
      <c r="E540" s="81"/>
      <c r="F540" s="81"/>
      <c r="G540" s="81"/>
      <c r="H540" s="81"/>
      <c r="I540" s="81"/>
      <c r="J540" s="81"/>
      <c r="K540" s="99">
        <v>46174.0</v>
      </c>
      <c r="L540" s="99">
        <v>46280.0</v>
      </c>
      <c r="M540" s="99" t="str">
        <f t="shared" si="1"/>
        <v>Chưa đến hạn</v>
      </c>
      <c r="N540" s="81"/>
      <c r="O540" s="81"/>
      <c r="P540" s="22"/>
      <c r="Q540" s="81"/>
      <c r="R540" s="66"/>
      <c r="S540" s="66"/>
    </row>
    <row r="541" ht="15.75" hidden="1" customHeight="1" outlineLevel="3">
      <c r="A541" s="106" t="s">
        <v>99</v>
      </c>
      <c r="B541" s="81" t="s">
        <v>306</v>
      </c>
      <c r="C541" s="102"/>
      <c r="D541" s="102"/>
      <c r="E541" s="81" t="s">
        <v>343</v>
      </c>
      <c r="F541" s="81"/>
      <c r="G541" s="81"/>
      <c r="H541" s="81"/>
      <c r="I541" s="81"/>
      <c r="J541" s="81"/>
      <c r="K541" s="99">
        <v>46174.0</v>
      </c>
      <c r="L541" s="99">
        <v>46280.0</v>
      </c>
      <c r="M541" s="99" t="str">
        <f t="shared" si="1"/>
        <v>Chưa đến hạn</v>
      </c>
      <c r="N541" s="81"/>
      <c r="O541" s="81"/>
      <c r="P541" s="22"/>
      <c r="Q541" s="81"/>
      <c r="R541" s="66"/>
      <c r="S541" s="66"/>
    </row>
    <row r="542" ht="15.75" hidden="1" customHeight="1" outlineLevel="3">
      <c r="A542" s="106" t="s">
        <v>99</v>
      </c>
      <c r="B542" s="81" t="s">
        <v>306</v>
      </c>
      <c r="C542" s="81"/>
      <c r="D542" s="81"/>
      <c r="E542" s="81" t="s">
        <v>344</v>
      </c>
      <c r="F542" s="81"/>
      <c r="G542" s="81"/>
      <c r="H542" s="81"/>
      <c r="I542" s="81"/>
      <c r="J542" s="81"/>
      <c r="K542" s="99">
        <v>46174.0</v>
      </c>
      <c r="L542" s="99">
        <v>46280.0</v>
      </c>
      <c r="M542" s="99" t="str">
        <f t="shared" si="1"/>
        <v>Chưa đến hạn</v>
      </c>
      <c r="N542" s="81"/>
      <c r="O542" s="81"/>
      <c r="P542" s="22"/>
      <c r="Q542" s="81"/>
      <c r="R542" s="66"/>
      <c r="S542" s="66"/>
    </row>
    <row r="543" ht="15.75" hidden="1" customHeight="1" outlineLevel="2">
      <c r="A543" s="106" t="s">
        <v>99</v>
      </c>
      <c r="B543" s="81" t="s">
        <v>306</v>
      </c>
      <c r="C543" s="81" t="s">
        <v>345</v>
      </c>
      <c r="D543" s="81" t="s">
        <v>345</v>
      </c>
      <c r="E543" s="81"/>
      <c r="F543" s="81"/>
      <c r="G543" s="81"/>
      <c r="H543" s="81"/>
      <c r="I543" s="81"/>
      <c r="J543" s="81"/>
      <c r="K543" s="99">
        <v>46174.0</v>
      </c>
      <c r="L543" s="99">
        <v>46280.0</v>
      </c>
      <c r="M543" s="99" t="str">
        <f t="shared" si="1"/>
        <v>Chưa đến hạn</v>
      </c>
      <c r="N543" s="81"/>
      <c r="O543" s="81"/>
      <c r="P543" s="22"/>
      <c r="Q543" s="81"/>
      <c r="R543" s="66"/>
      <c r="S543" s="66"/>
    </row>
    <row r="544" ht="15.75" hidden="1" customHeight="1" outlineLevel="3">
      <c r="A544" s="106" t="s">
        <v>99</v>
      </c>
      <c r="B544" s="81" t="s">
        <v>306</v>
      </c>
      <c r="C544" s="102"/>
      <c r="D544" s="102"/>
      <c r="E544" s="81" t="s">
        <v>346</v>
      </c>
      <c r="F544" s="81"/>
      <c r="G544" s="81"/>
      <c r="H544" s="81"/>
      <c r="I544" s="81"/>
      <c r="J544" s="81"/>
      <c r="K544" s="99">
        <v>46174.0</v>
      </c>
      <c r="L544" s="99">
        <v>46280.0</v>
      </c>
      <c r="M544" s="99" t="str">
        <f t="shared" si="1"/>
        <v>Chưa đến hạn</v>
      </c>
      <c r="N544" s="81"/>
      <c r="O544" s="81"/>
      <c r="P544" s="22"/>
      <c r="Q544" s="81"/>
      <c r="R544" s="66"/>
      <c r="S544" s="66"/>
    </row>
    <row r="545" ht="15.75" hidden="1" customHeight="1" outlineLevel="3">
      <c r="A545" s="106" t="s">
        <v>99</v>
      </c>
      <c r="B545" s="81" t="s">
        <v>306</v>
      </c>
      <c r="C545" s="81"/>
      <c r="D545" s="81"/>
      <c r="E545" s="81" t="s">
        <v>347</v>
      </c>
      <c r="F545" s="81"/>
      <c r="G545" s="81"/>
      <c r="H545" s="81"/>
      <c r="I545" s="81"/>
      <c r="J545" s="81"/>
      <c r="K545" s="99">
        <v>46174.0</v>
      </c>
      <c r="L545" s="99">
        <v>46280.0</v>
      </c>
      <c r="M545" s="99" t="str">
        <f t="shared" si="1"/>
        <v>Chưa đến hạn</v>
      </c>
      <c r="N545" s="81"/>
      <c r="O545" s="81"/>
      <c r="P545" s="22"/>
      <c r="Q545" s="81"/>
      <c r="R545" s="66"/>
      <c r="S545" s="66"/>
    </row>
    <row r="546" ht="15.75" hidden="1" customHeight="1" outlineLevel="2">
      <c r="A546" s="106" t="s">
        <v>99</v>
      </c>
      <c r="B546" s="81" t="s">
        <v>306</v>
      </c>
      <c r="C546" s="81" t="s">
        <v>348</v>
      </c>
      <c r="D546" s="81" t="s">
        <v>348</v>
      </c>
      <c r="E546" s="81"/>
      <c r="F546" s="81"/>
      <c r="G546" s="81"/>
      <c r="H546" s="81"/>
      <c r="I546" s="81"/>
      <c r="J546" s="81"/>
      <c r="K546" s="99">
        <v>46174.0</v>
      </c>
      <c r="L546" s="99">
        <v>46280.0</v>
      </c>
      <c r="M546" s="99" t="str">
        <f t="shared" si="1"/>
        <v>Chưa đến hạn</v>
      </c>
      <c r="N546" s="81"/>
      <c r="O546" s="81"/>
      <c r="P546" s="22"/>
      <c r="Q546" s="81"/>
      <c r="R546" s="66"/>
      <c r="S546" s="66"/>
    </row>
    <row r="547" ht="15.75" hidden="1" customHeight="1" outlineLevel="3">
      <c r="A547" s="106" t="s">
        <v>99</v>
      </c>
      <c r="B547" s="81" t="s">
        <v>306</v>
      </c>
      <c r="C547" s="102"/>
      <c r="D547" s="102"/>
      <c r="E547" s="81" t="s">
        <v>349</v>
      </c>
      <c r="F547" s="81"/>
      <c r="G547" s="81"/>
      <c r="H547" s="81"/>
      <c r="I547" s="81"/>
      <c r="J547" s="81"/>
      <c r="K547" s="99">
        <v>46174.0</v>
      </c>
      <c r="L547" s="99">
        <v>46280.0</v>
      </c>
      <c r="M547" s="99" t="str">
        <f t="shared" si="1"/>
        <v>Chưa đến hạn</v>
      </c>
      <c r="N547" s="81"/>
      <c r="O547" s="81"/>
      <c r="P547" s="22"/>
      <c r="Q547" s="81"/>
      <c r="R547" s="66"/>
      <c r="S547" s="66"/>
    </row>
    <row r="548" ht="15.75" hidden="1" customHeight="1" outlineLevel="3">
      <c r="A548" s="106" t="s">
        <v>99</v>
      </c>
      <c r="B548" s="81" t="s">
        <v>306</v>
      </c>
      <c r="C548" s="81"/>
      <c r="D548" s="81"/>
      <c r="E548" s="81" t="s">
        <v>350</v>
      </c>
      <c r="F548" s="81"/>
      <c r="G548" s="81"/>
      <c r="H548" s="81"/>
      <c r="I548" s="81"/>
      <c r="J548" s="81"/>
      <c r="K548" s="99">
        <v>46174.0</v>
      </c>
      <c r="L548" s="99">
        <v>46280.0</v>
      </c>
      <c r="M548" s="99" t="str">
        <f t="shared" si="1"/>
        <v>Chưa đến hạn</v>
      </c>
      <c r="N548" s="81"/>
      <c r="O548" s="81"/>
      <c r="P548" s="22"/>
      <c r="Q548" s="81"/>
      <c r="R548" s="66"/>
      <c r="S548" s="66"/>
    </row>
    <row r="549" ht="15.75" hidden="1" customHeight="1" outlineLevel="2">
      <c r="A549" s="106" t="s">
        <v>99</v>
      </c>
      <c r="B549" s="81" t="s">
        <v>306</v>
      </c>
      <c r="C549" s="81" t="s">
        <v>351</v>
      </c>
      <c r="D549" s="81" t="s">
        <v>351</v>
      </c>
      <c r="E549" s="81"/>
      <c r="F549" s="81"/>
      <c r="G549" s="81"/>
      <c r="H549" s="81"/>
      <c r="I549" s="81"/>
      <c r="J549" s="81"/>
      <c r="K549" s="99">
        <v>46174.0</v>
      </c>
      <c r="L549" s="99">
        <v>46280.0</v>
      </c>
      <c r="M549" s="99" t="str">
        <f t="shared" si="1"/>
        <v>Chưa đến hạn</v>
      </c>
      <c r="N549" s="81"/>
      <c r="O549" s="81"/>
      <c r="P549" s="22"/>
      <c r="Q549" s="81"/>
      <c r="R549" s="66"/>
      <c r="S549" s="66"/>
    </row>
    <row r="550" ht="15.75" hidden="1" customHeight="1" outlineLevel="3">
      <c r="A550" s="106" t="s">
        <v>99</v>
      </c>
      <c r="B550" s="81" t="s">
        <v>306</v>
      </c>
      <c r="C550" s="102"/>
      <c r="D550" s="102"/>
      <c r="E550" s="81" t="s">
        <v>352</v>
      </c>
      <c r="F550" s="81"/>
      <c r="G550" s="81"/>
      <c r="H550" s="81"/>
      <c r="I550" s="81"/>
      <c r="J550" s="81"/>
      <c r="K550" s="99">
        <v>46174.0</v>
      </c>
      <c r="L550" s="99">
        <v>46280.0</v>
      </c>
      <c r="M550" s="99" t="str">
        <f t="shared" si="1"/>
        <v>Chưa đến hạn</v>
      </c>
      <c r="N550" s="81"/>
      <c r="O550" s="81"/>
      <c r="P550" s="22"/>
      <c r="Q550" s="81"/>
      <c r="R550" s="66"/>
      <c r="S550" s="66"/>
    </row>
    <row r="551" ht="15.75" hidden="1" customHeight="1" outlineLevel="3">
      <c r="A551" s="106" t="s">
        <v>99</v>
      </c>
      <c r="B551" s="81" t="s">
        <v>306</v>
      </c>
      <c r="C551" s="81"/>
      <c r="D551" s="81"/>
      <c r="E551" s="81" t="s">
        <v>353</v>
      </c>
      <c r="F551" s="81"/>
      <c r="G551" s="81"/>
      <c r="H551" s="81"/>
      <c r="I551" s="81"/>
      <c r="J551" s="81"/>
      <c r="K551" s="99">
        <v>46174.0</v>
      </c>
      <c r="L551" s="99">
        <v>46280.0</v>
      </c>
      <c r="M551" s="99" t="str">
        <f t="shared" si="1"/>
        <v>Chưa đến hạn</v>
      </c>
      <c r="N551" s="81"/>
      <c r="O551" s="81"/>
      <c r="P551" s="22"/>
      <c r="Q551" s="81"/>
      <c r="R551" s="66"/>
      <c r="S551" s="66"/>
    </row>
    <row r="552" ht="15.75" hidden="1" customHeight="1" outlineLevel="2">
      <c r="A552" s="106" t="s">
        <v>99</v>
      </c>
      <c r="B552" s="81" t="s">
        <v>306</v>
      </c>
      <c r="C552" s="81" t="s">
        <v>354</v>
      </c>
      <c r="D552" s="81" t="s">
        <v>354</v>
      </c>
      <c r="E552" s="81"/>
      <c r="F552" s="81"/>
      <c r="G552" s="81"/>
      <c r="H552" s="81"/>
      <c r="I552" s="81"/>
      <c r="J552" s="81"/>
      <c r="K552" s="99">
        <v>46174.0</v>
      </c>
      <c r="L552" s="99">
        <v>46280.0</v>
      </c>
      <c r="M552" s="99" t="str">
        <f t="shared" si="1"/>
        <v>Chưa đến hạn</v>
      </c>
      <c r="N552" s="81"/>
      <c r="O552" s="81"/>
      <c r="P552" s="22"/>
      <c r="Q552" s="81"/>
      <c r="R552" s="66"/>
      <c r="S552" s="66"/>
    </row>
    <row r="553" ht="15.75" hidden="1" customHeight="1" outlineLevel="3">
      <c r="A553" s="106" t="s">
        <v>99</v>
      </c>
      <c r="B553" s="81" t="s">
        <v>306</v>
      </c>
      <c r="C553" s="102"/>
      <c r="D553" s="102"/>
      <c r="E553" s="81" t="s">
        <v>355</v>
      </c>
      <c r="F553" s="81"/>
      <c r="G553" s="81"/>
      <c r="H553" s="81"/>
      <c r="I553" s="81"/>
      <c r="J553" s="81"/>
      <c r="K553" s="99">
        <v>46174.0</v>
      </c>
      <c r="L553" s="99">
        <v>46280.0</v>
      </c>
      <c r="M553" s="99" t="str">
        <f t="shared" si="1"/>
        <v>Chưa đến hạn</v>
      </c>
      <c r="N553" s="81"/>
      <c r="O553" s="81"/>
      <c r="P553" s="22"/>
      <c r="Q553" s="81"/>
      <c r="R553" s="66"/>
      <c r="S553" s="66"/>
    </row>
    <row r="554" ht="15.75" hidden="1" customHeight="1" outlineLevel="3">
      <c r="A554" s="106" t="s">
        <v>99</v>
      </c>
      <c r="B554" s="81" t="s">
        <v>306</v>
      </c>
      <c r="C554" s="81"/>
      <c r="D554" s="81"/>
      <c r="E554" s="81" t="s">
        <v>356</v>
      </c>
      <c r="F554" s="81"/>
      <c r="G554" s="81"/>
      <c r="H554" s="81"/>
      <c r="I554" s="81"/>
      <c r="J554" s="81"/>
      <c r="K554" s="99">
        <v>46174.0</v>
      </c>
      <c r="L554" s="99">
        <v>46280.0</v>
      </c>
      <c r="M554" s="99" t="str">
        <f t="shared" si="1"/>
        <v>Chưa đến hạn</v>
      </c>
      <c r="N554" s="81"/>
      <c r="O554" s="81"/>
      <c r="P554" s="22"/>
      <c r="Q554" s="81"/>
      <c r="R554" s="66"/>
      <c r="S554" s="66"/>
    </row>
    <row r="555" ht="15.75" hidden="1" customHeight="1" outlineLevel="2">
      <c r="A555" s="106" t="s">
        <v>99</v>
      </c>
      <c r="B555" s="81" t="s">
        <v>306</v>
      </c>
      <c r="C555" s="81" t="s">
        <v>357</v>
      </c>
      <c r="D555" s="81" t="s">
        <v>357</v>
      </c>
      <c r="E555" s="81"/>
      <c r="F555" s="81"/>
      <c r="G555" s="81"/>
      <c r="H555" s="81"/>
      <c r="I555" s="81"/>
      <c r="J555" s="81"/>
      <c r="K555" s="99">
        <v>46174.0</v>
      </c>
      <c r="L555" s="99">
        <v>46280.0</v>
      </c>
      <c r="M555" s="99" t="str">
        <f t="shared" si="1"/>
        <v>Chưa đến hạn</v>
      </c>
      <c r="N555" s="81"/>
      <c r="O555" s="81"/>
      <c r="P555" s="22"/>
      <c r="Q555" s="81"/>
      <c r="R555" s="66"/>
      <c r="S555" s="66"/>
    </row>
    <row r="556" ht="15.75" hidden="1" customHeight="1" outlineLevel="3">
      <c r="A556" s="106" t="s">
        <v>99</v>
      </c>
      <c r="B556" s="81" t="s">
        <v>306</v>
      </c>
      <c r="C556" s="102"/>
      <c r="D556" s="102"/>
      <c r="E556" s="81" t="s">
        <v>358</v>
      </c>
      <c r="F556" s="81"/>
      <c r="G556" s="81"/>
      <c r="H556" s="81"/>
      <c r="I556" s="81"/>
      <c r="J556" s="81"/>
      <c r="K556" s="99">
        <v>46174.0</v>
      </c>
      <c r="L556" s="99">
        <v>46280.0</v>
      </c>
      <c r="M556" s="99" t="str">
        <f t="shared" si="1"/>
        <v>Chưa đến hạn</v>
      </c>
      <c r="N556" s="81"/>
      <c r="O556" s="81"/>
      <c r="P556" s="22"/>
      <c r="Q556" s="81"/>
      <c r="R556" s="66"/>
      <c r="S556" s="66"/>
    </row>
    <row r="557" ht="15.75" hidden="1" customHeight="1" outlineLevel="3">
      <c r="A557" s="106" t="s">
        <v>99</v>
      </c>
      <c r="B557" s="81" t="s">
        <v>306</v>
      </c>
      <c r="C557" s="81"/>
      <c r="D557" s="81"/>
      <c r="E557" s="81" t="s">
        <v>359</v>
      </c>
      <c r="F557" s="81"/>
      <c r="G557" s="81"/>
      <c r="H557" s="81"/>
      <c r="I557" s="81"/>
      <c r="J557" s="81"/>
      <c r="K557" s="99">
        <v>46174.0</v>
      </c>
      <c r="L557" s="99">
        <v>46280.0</v>
      </c>
      <c r="M557" s="99" t="str">
        <f t="shared" si="1"/>
        <v>Chưa đến hạn</v>
      </c>
      <c r="N557" s="81"/>
      <c r="O557" s="81"/>
      <c r="P557" s="22"/>
      <c r="Q557" s="81"/>
      <c r="R557" s="66"/>
      <c r="S557" s="66"/>
    </row>
    <row r="558" ht="15.75" hidden="1" customHeight="1" outlineLevel="3">
      <c r="A558" s="106" t="s">
        <v>99</v>
      </c>
      <c r="B558" s="81" t="s">
        <v>306</v>
      </c>
      <c r="C558" s="81"/>
      <c r="D558" s="81"/>
      <c r="E558" s="81" t="s">
        <v>360</v>
      </c>
      <c r="F558" s="81"/>
      <c r="G558" s="81"/>
      <c r="H558" s="81"/>
      <c r="I558" s="81"/>
      <c r="J558" s="81"/>
      <c r="K558" s="99">
        <v>46174.0</v>
      </c>
      <c r="L558" s="99">
        <v>46280.0</v>
      </c>
      <c r="M558" s="99" t="str">
        <f t="shared" si="1"/>
        <v>Chưa đến hạn</v>
      </c>
      <c r="N558" s="81"/>
      <c r="O558" s="81"/>
      <c r="P558" s="22"/>
      <c r="Q558" s="81"/>
      <c r="R558" s="66"/>
      <c r="S558" s="66"/>
    </row>
    <row r="559" ht="15.75" hidden="1" customHeight="1" outlineLevel="3">
      <c r="A559" s="106" t="s">
        <v>99</v>
      </c>
      <c r="B559" s="81" t="s">
        <v>306</v>
      </c>
      <c r="C559" s="81"/>
      <c r="D559" s="81"/>
      <c r="E559" s="81" t="s">
        <v>361</v>
      </c>
      <c r="F559" s="81"/>
      <c r="G559" s="81"/>
      <c r="H559" s="81"/>
      <c r="I559" s="81"/>
      <c r="J559" s="81"/>
      <c r="K559" s="99">
        <v>46174.0</v>
      </c>
      <c r="L559" s="99">
        <v>46280.0</v>
      </c>
      <c r="M559" s="99" t="str">
        <f t="shared" si="1"/>
        <v>Chưa đến hạn</v>
      </c>
      <c r="N559" s="81"/>
      <c r="O559" s="81"/>
      <c r="P559" s="22"/>
      <c r="Q559" s="81"/>
      <c r="R559" s="66"/>
      <c r="S559" s="66"/>
    </row>
    <row r="560" ht="15.75" hidden="1" customHeight="1" outlineLevel="3">
      <c r="A560" s="106" t="s">
        <v>99</v>
      </c>
      <c r="B560" s="81" t="s">
        <v>306</v>
      </c>
      <c r="C560" s="81"/>
      <c r="D560" s="81"/>
      <c r="E560" s="81" t="s">
        <v>362</v>
      </c>
      <c r="F560" s="22"/>
      <c r="G560" s="22"/>
      <c r="H560" s="22"/>
      <c r="I560" s="22"/>
      <c r="J560" s="22"/>
      <c r="K560" s="99">
        <v>46174.0</v>
      </c>
      <c r="L560" s="99">
        <v>46280.0</v>
      </c>
      <c r="M560" s="99" t="str">
        <f t="shared" si="1"/>
        <v>Chưa đến hạn</v>
      </c>
      <c r="N560" s="22"/>
      <c r="O560" s="22"/>
      <c r="P560" s="22"/>
      <c r="Q560" s="22"/>
      <c r="R560" s="93"/>
      <c r="S560" s="93"/>
    </row>
    <row r="561" ht="15.75" hidden="1" customHeight="1" outlineLevel="2">
      <c r="A561" s="106" t="s">
        <v>99</v>
      </c>
      <c r="B561" s="81" t="s">
        <v>306</v>
      </c>
      <c r="C561" s="81" t="s">
        <v>363</v>
      </c>
      <c r="D561" s="81" t="s">
        <v>363</v>
      </c>
      <c r="E561" s="81"/>
      <c r="F561" s="22"/>
      <c r="G561" s="22"/>
      <c r="H561" s="22"/>
      <c r="I561" s="22"/>
      <c r="J561" s="22"/>
      <c r="K561" s="99">
        <v>46174.0</v>
      </c>
      <c r="L561" s="99">
        <v>46280.0</v>
      </c>
      <c r="M561" s="99" t="str">
        <f t="shared" si="1"/>
        <v>Chưa đến hạn</v>
      </c>
      <c r="N561" s="22"/>
      <c r="O561" s="22"/>
      <c r="P561" s="22"/>
      <c r="Q561" s="22"/>
      <c r="R561" s="93"/>
      <c r="S561" s="93"/>
    </row>
    <row r="562" ht="15.75" hidden="1" customHeight="1" outlineLevel="3">
      <c r="A562" s="106" t="s">
        <v>99</v>
      </c>
      <c r="B562" s="81" t="s">
        <v>306</v>
      </c>
      <c r="C562" s="102"/>
      <c r="D562" s="102"/>
      <c r="E562" s="81" t="s">
        <v>364</v>
      </c>
      <c r="F562" s="22"/>
      <c r="G562" s="22"/>
      <c r="H562" s="22"/>
      <c r="I562" s="22"/>
      <c r="J562" s="22"/>
      <c r="K562" s="99">
        <v>46174.0</v>
      </c>
      <c r="L562" s="99">
        <v>46280.0</v>
      </c>
      <c r="M562" s="99" t="str">
        <f t="shared" si="1"/>
        <v>Chưa đến hạn</v>
      </c>
      <c r="N562" s="22"/>
      <c r="O562" s="22"/>
      <c r="P562" s="22"/>
      <c r="Q562" s="22"/>
      <c r="R562" s="93"/>
      <c r="S562" s="93"/>
    </row>
    <row r="563" ht="15.75" hidden="1" customHeight="1" outlineLevel="3">
      <c r="A563" s="106" t="s">
        <v>99</v>
      </c>
      <c r="B563" s="81" t="s">
        <v>306</v>
      </c>
      <c r="C563" s="81"/>
      <c r="D563" s="81"/>
      <c r="E563" s="81" t="s">
        <v>365</v>
      </c>
      <c r="F563" s="81"/>
      <c r="G563" s="81"/>
      <c r="H563" s="81"/>
      <c r="I563" s="81"/>
      <c r="J563" s="81"/>
      <c r="K563" s="99">
        <v>46174.0</v>
      </c>
      <c r="L563" s="99">
        <v>46280.0</v>
      </c>
      <c r="M563" s="99" t="str">
        <f t="shared" si="1"/>
        <v>Chưa đến hạn</v>
      </c>
      <c r="N563" s="81"/>
      <c r="O563" s="81"/>
      <c r="P563" s="22"/>
      <c r="Q563" s="81"/>
      <c r="R563" s="66"/>
      <c r="S563" s="66"/>
    </row>
    <row r="564" ht="15.75" hidden="1" customHeight="1" outlineLevel="3">
      <c r="A564" s="106" t="s">
        <v>99</v>
      </c>
      <c r="B564" s="81" t="s">
        <v>306</v>
      </c>
      <c r="C564" s="81"/>
      <c r="D564" s="81"/>
      <c r="E564" s="81" t="s">
        <v>366</v>
      </c>
      <c r="F564" s="81"/>
      <c r="G564" s="81"/>
      <c r="H564" s="81"/>
      <c r="I564" s="81"/>
      <c r="J564" s="81"/>
      <c r="K564" s="99">
        <v>46174.0</v>
      </c>
      <c r="L564" s="99">
        <v>46280.0</v>
      </c>
      <c r="M564" s="99" t="str">
        <f t="shared" si="1"/>
        <v>Chưa đến hạn</v>
      </c>
      <c r="N564" s="81"/>
      <c r="O564" s="81"/>
      <c r="P564" s="22"/>
      <c r="Q564" s="81"/>
      <c r="R564" s="66"/>
      <c r="S564" s="66"/>
    </row>
    <row r="565" ht="15.75" hidden="1" customHeight="1" outlineLevel="3">
      <c r="A565" s="106" t="s">
        <v>99</v>
      </c>
      <c r="B565" s="81" t="s">
        <v>306</v>
      </c>
      <c r="C565" s="81"/>
      <c r="D565" s="81"/>
      <c r="E565" s="81" t="s">
        <v>367</v>
      </c>
      <c r="F565" s="22"/>
      <c r="G565" s="22"/>
      <c r="H565" s="22"/>
      <c r="I565" s="22"/>
      <c r="J565" s="22"/>
      <c r="K565" s="99">
        <v>46174.0</v>
      </c>
      <c r="L565" s="99">
        <v>46280.0</v>
      </c>
      <c r="M565" s="99" t="str">
        <f t="shared" si="1"/>
        <v>Chưa đến hạn</v>
      </c>
      <c r="N565" s="22"/>
      <c r="O565" s="22"/>
      <c r="P565" s="22"/>
      <c r="Q565" s="22"/>
      <c r="R565" s="93"/>
      <c r="S565" s="93"/>
    </row>
    <row r="566" ht="15.75" hidden="1" customHeight="1" outlineLevel="2">
      <c r="A566" s="106" t="s">
        <v>99</v>
      </c>
      <c r="B566" s="81" t="s">
        <v>306</v>
      </c>
      <c r="C566" s="81" t="s">
        <v>368</v>
      </c>
      <c r="D566" s="81" t="s">
        <v>368</v>
      </c>
      <c r="E566" s="81"/>
      <c r="F566" s="22"/>
      <c r="G566" s="22"/>
      <c r="H566" s="22"/>
      <c r="I566" s="22"/>
      <c r="J566" s="22"/>
      <c r="K566" s="99">
        <v>46174.0</v>
      </c>
      <c r="L566" s="99">
        <v>46280.0</v>
      </c>
      <c r="M566" s="99" t="str">
        <f t="shared" si="1"/>
        <v>Chưa đến hạn</v>
      </c>
      <c r="N566" s="22"/>
      <c r="O566" s="22"/>
      <c r="P566" s="22"/>
      <c r="Q566" s="22"/>
      <c r="R566" s="93"/>
      <c r="S566" s="93"/>
    </row>
    <row r="567" ht="15.75" hidden="1" customHeight="1" outlineLevel="3">
      <c r="A567" s="106" t="s">
        <v>99</v>
      </c>
      <c r="B567" s="81" t="s">
        <v>306</v>
      </c>
      <c r="C567" s="102"/>
      <c r="D567" s="102"/>
      <c r="E567" s="81" t="s">
        <v>369</v>
      </c>
      <c r="F567" s="22"/>
      <c r="G567" s="22"/>
      <c r="H567" s="22"/>
      <c r="I567" s="22"/>
      <c r="J567" s="22"/>
      <c r="K567" s="99">
        <v>46174.0</v>
      </c>
      <c r="L567" s="99">
        <v>46280.0</v>
      </c>
      <c r="M567" s="99" t="str">
        <f t="shared" si="1"/>
        <v>Chưa đến hạn</v>
      </c>
      <c r="N567" s="22"/>
      <c r="O567" s="22"/>
      <c r="P567" s="22"/>
      <c r="Q567" s="22"/>
      <c r="R567" s="93"/>
      <c r="S567" s="93"/>
    </row>
    <row r="568" ht="15.75" hidden="1" customHeight="1" outlineLevel="3">
      <c r="A568" s="106" t="s">
        <v>99</v>
      </c>
      <c r="B568" s="81" t="s">
        <v>306</v>
      </c>
      <c r="C568" s="81"/>
      <c r="D568" s="81"/>
      <c r="E568" s="81" t="s">
        <v>370</v>
      </c>
      <c r="F568" s="81"/>
      <c r="G568" s="81"/>
      <c r="H568" s="81"/>
      <c r="I568" s="81"/>
      <c r="J568" s="81"/>
      <c r="K568" s="99">
        <v>46174.0</v>
      </c>
      <c r="L568" s="99">
        <v>46280.0</v>
      </c>
      <c r="M568" s="99" t="str">
        <f t="shared" si="1"/>
        <v>Chưa đến hạn</v>
      </c>
      <c r="N568" s="81"/>
      <c r="O568" s="81"/>
      <c r="P568" s="22"/>
      <c r="Q568" s="81"/>
      <c r="R568" s="66"/>
      <c r="S568" s="66"/>
    </row>
    <row r="569" ht="15.75" hidden="1" customHeight="1" outlineLevel="3">
      <c r="A569" s="106" t="s">
        <v>99</v>
      </c>
      <c r="B569" s="81" t="s">
        <v>306</v>
      </c>
      <c r="C569" s="81"/>
      <c r="D569" s="81"/>
      <c r="E569" s="81" t="s">
        <v>371</v>
      </c>
      <c r="F569" s="81"/>
      <c r="G569" s="81"/>
      <c r="H569" s="81"/>
      <c r="I569" s="81"/>
      <c r="J569" s="81"/>
      <c r="K569" s="99">
        <v>46174.0</v>
      </c>
      <c r="L569" s="99">
        <v>46280.0</v>
      </c>
      <c r="M569" s="99" t="str">
        <f t="shared" si="1"/>
        <v>Chưa đến hạn</v>
      </c>
      <c r="N569" s="81"/>
      <c r="O569" s="81"/>
      <c r="P569" s="22"/>
      <c r="Q569" s="81"/>
      <c r="R569" s="66"/>
      <c r="S569" s="66"/>
    </row>
    <row r="570" ht="15.75" hidden="1" customHeight="1" outlineLevel="3">
      <c r="A570" s="106" t="s">
        <v>99</v>
      </c>
      <c r="B570" s="81" t="s">
        <v>306</v>
      </c>
      <c r="C570" s="81"/>
      <c r="D570" s="81"/>
      <c r="E570" s="81" t="s">
        <v>372</v>
      </c>
      <c r="F570" s="81"/>
      <c r="G570" s="81"/>
      <c r="H570" s="81"/>
      <c r="I570" s="81"/>
      <c r="J570" s="81"/>
      <c r="K570" s="99">
        <v>46174.0</v>
      </c>
      <c r="L570" s="99">
        <v>46280.0</v>
      </c>
      <c r="M570" s="99" t="str">
        <f t="shared" si="1"/>
        <v>Chưa đến hạn</v>
      </c>
      <c r="N570" s="81"/>
      <c r="O570" s="81"/>
      <c r="P570" s="22"/>
      <c r="Q570" s="81"/>
      <c r="R570" s="66"/>
      <c r="S570" s="66"/>
    </row>
    <row r="571" ht="15.75" hidden="1" customHeight="1" outlineLevel="2">
      <c r="A571" s="106" t="s">
        <v>99</v>
      </c>
      <c r="B571" s="81" t="s">
        <v>306</v>
      </c>
      <c r="C571" s="81" t="s">
        <v>373</v>
      </c>
      <c r="D571" s="81" t="s">
        <v>373</v>
      </c>
      <c r="E571" s="81"/>
      <c r="F571" s="22"/>
      <c r="G571" s="22"/>
      <c r="H571" s="22"/>
      <c r="I571" s="22"/>
      <c r="J571" s="22"/>
      <c r="K571" s="99">
        <v>46174.0</v>
      </c>
      <c r="L571" s="99">
        <v>46280.0</v>
      </c>
      <c r="M571" s="99" t="str">
        <f t="shared" si="1"/>
        <v>Chưa đến hạn</v>
      </c>
      <c r="N571" s="22"/>
      <c r="O571" s="22"/>
      <c r="P571" s="22"/>
      <c r="Q571" s="22"/>
      <c r="R571" s="93"/>
      <c r="S571" s="93"/>
    </row>
    <row r="572" ht="15.75" hidden="1" customHeight="1" outlineLevel="3">
      <c r="A572" s="106" t="s">
        <v>99</v>
      </c>
      <c r="B572" s="81" t="s">
        <v>306</v>
      </c>
      <c r="C572" s="102"/>
      <c r="D572" s="102"/>
      <c r="E572" s="81" t="s">
        <v>374</v>
      </c>
      <c r="F572" s="22"/>
      <c r="G572" s="22"/>
      <c r="H572" s="22"/>
      <c r="I572" s="22"/>
      <c r="J572" s="22"/>
      <c r="K572" s="99">
        <v>46174.0</v>
      </c>
      <c r="L572" s="99">
        <v>46280.0</v>
      </c>
      <c r="M572" s="99" t="str">
        <f t="shared" si="1"/>
        <v>Chưa đến hạn</v>
      </c>
      <c r="N572" s="22"/>
      <c r="O572" s="22"/>
      <c r="P572" s="22"/>
      <c r="Q572" s="22"/>
      <c r="R572" s="93"/>
      <c r="S572" s="93"/>
    </row>
    <row r="573" ht="15.75" hidden="1" customHeight="1" outlineLevel="3">
      <c r="A573" s="106" t="s">
        <v>99</v>
      </c>
      <c r="B573" s="81" t="s">
        <v>306</v>
      </c>
      <c r="C573" s="81"/>
      <c r="D573" s="81"/>
      <c r="E573" s="81" t="s">
        <v>375</v>
      </c>
      <c r="F573" s="22"/>
      <c r="G573" s="22"/>
      <c r="H573" s="22"/>
      <c r="I573" s="22"/>
      <c r="J573" s="22"/>
      <c r="K573" s="99">
        <v>46174.0</v>
      </c>
      <c r="L573" s="99">
        <v>46280.0</v>
      </c>
      <c r="M573" s="99" t="str">
        <f t="shared" si="1"/>
        <v>Chưa đến hạn</v>
      </c>
      <c r="N573" s="22"/>
      <c r="O573" s="22"/>
      <c r="P573" s="22"/>
      <c r="Q573" s="22"/>
      <c r="R573" s="93"/>
      <c r="S573" s="93"/>
    </row>
    <row r="574" ht="15.75" hidden="1" customHeight="1" outlineLevel="3">
      <c r="A574" s="106" t="s">
        <v>99</v>
      </c>
      <c r="B574" s="81" t="s">
        <v>306</v>
      </c>
      <c r="C574" s="81"/>
      <c r="D574" s="81"/>
      <c r="E574" s="81" t="s">
        <v>376</v>
      </c>
      <c r="F574" s="81"/>
      <c r="G574" s="81"/>
      <c r="H574" s="81"/>
      <c r="I574" s="81"/>
      <c r="J574" s="81"/>
      <c r="K574" s="99">
        <v>46174.0</v>
      </c>
      <c r="L574" s="99">
        <v>46280.0</v>
      </c>
      <c r="M574" s="99" t="str">
        <f t="shared" si="1"/>
        <v>Chưa đến hạn</v>
      </c>
      <c r="N574" s="81"/>
      <c r="O574" s="81"/>
      <c r="P574" s="22"/>
      <c r="Q574" s="81"/>
      <c r="R574" s="66"/>
      <c r="S574" s="66"/>
    </row>
    <row r="575" ht="15.75" hidden="1" customHeight="1" outlineLevel="3">
      <c r="A575" s="106" t="s">
        <v>99</v>
      </c>
      <c r="B575" s="81" t="s">
        <v>306</v>
      </c>
      <c r="C575" s="81"/>
      <c r="D575" s="81"/>
      <c r="E575" s="81" t="s">
        <v>377</v>
      </c>
      <c r="F575" s="81"/>
      <c r="G575" s="81"/>
      <c r="H575" s="81"/>
      <c r="I575" s="81"/>
      <c r="J575" s="81"/>
      <c r="K575" s="99">
        <v>46174.0</v>
      </c>
      <c r="L575" s="99">
        <v>46280.0</v>
      </c>
      <c r="M575" s="99" t="str">
        <f t="shared" si="1"/>
        <v>Chưa đến hạn</v>
      </c>
      <c r="N575" s="81"/>
      <c r="O575" s="81"/>
      <c r="P575" s="22"/>
      <c r="Q575" s="81"/>
      <c r="R575" s="66"/>
      <c r="S575" s="66"/>
    </row>
    <row r="576" ht="15.75" hidden="1" customHeight="1" outlineLevel="2">
      <c r="A576" s="106" t="s">
        <v>99</v>
      </c>
      <c r="B576" s="81" t="s">
        <v>306</v>
      </c>
      <c r="C576" s="81" t="s">
        <v>378</v>
      </c>
      <c r="D576" s="81" t="s">
        <v>378</v>
      </c>
      <c r="E576" s="81"/>
      <c r="F576" s="81"/>
      <c r="G576" s="81"/>
      <c r="H576" s="81"/>
      <c r="I576" s="81"/>
      <c r="J576" s="81"/>
      <c r="K576" s="99">
        <v>46174.0</v>
      </c>
      <c r="L576" s="99">
        <v>46280.0</v>
      </c>
      <c r="M576" s="99" t="str">
        <f t="shared" si="1"/>
        <v>Chưa đến hạn</v>
      </c>
      <c r="N576" s="81"/>
      <c r="O576" s="81"/>
      <c r="P576" s="22"/>
      <c r="Q576" s="81"/>
      <c r="R576" s="66"/>
      <c r="S576" s="66"/>
    </row>
    <row r="577" ht="15.75" hidden="1" customHeight="1" outlineLevel="3">
      <c r="A577" s="106" t="s">
        <v>99</v>
      </c>
      <c r="B577" s="81" t="s">
        <v>306</v>
      </c>
      <c r="C577" s="102"/>
      <c r="D577" s="102"/>
      <c r="E577" s="81" t="s">
        <v>379</v>
      </c>
      <c r="F577" s="81"/>
      <c r="G577" s="81"/>
      <c r="H577" s="81"/>
      <c r="I577" s="81"/>
      <c r="J577" s="81"/>
      <c r="K577" s="99">
        <v>46174.0</v>
      </c>
      <c r="L577" s="99">
        <v>46280.0</v>
      </c>
      <c r="M577" s="99" t="str">
        <f t="shared" si="1"/>
        <v>Chưa đến hạn</v>
      </c>
      <c r="N577" s="81"/>
      <c r="O577" s="81"/>
      <c r="P577" s="22"/>
      <c r="Q577" s="81"/>
      <c r="R577" s="66"/>
      <c r="S577" s="66"/>
    </row>
    <row r="578" ht="15.75" hidden="1" customHeight="1" outlineLevel="3">
      <c r="A578" s="106" t="s">
        <v>99</v>
      </c>
      <c r="B578" s="81" t="s">
        <v>306</v>
      </c>
      <c r="C578" s="81"/>
      <c r="D578" s="81"/>
      <c r="E578" s="81" t="s">
        <v>375</v>
      </c>
      <c r="F578" s="81"/>
      <c r="G578" s="81"/>
      <c r="H578" s="81"/>
      <c r="I578" s="81"/>
      <c r="J578" s="81"/>
      <c r="K578" s="99">
        <v>46174.0</v>
      </c>
      <c r="L578" s="99">
        <v>46280.0</v>
      </c>
      <c r="M578" s="99" t="str">
        <f t="shared" si="1"/>
        <v>Chưa đến hạn</v>
      </c>
      <c r="N578" s="81"/>
      <c r="O578" s="81"/>
      <c r="P578" s="22"/>
      <c r="Q578" s="81"/>
      <c r="R578" s="66"/>
      <c r="S578" s="66"/>
    </row>
    <row r="579" ht="15.75" hidden="1" customHeight="1" outlineLevel="3">
      <c r="A579" s="106" t="s">
        <v>99</v>
      </c>
      <c r="B579" s="81" t="s">
        <v>306</v>
      </c>
      <c r="C579" s="81"/>
      <c r="D579" s="81"/>
      <c r="E579" s="81" t="s">
        <v>380</v>
      </c>
      <c r="F579" s="81"/>
      <c r="G579" s="81"/>
      <c r="H579" s="81"/>
      <c r="I579" s="81"/>
      <c r="J579" s="81"/>
      <c r="K579" s="99">
        <v>46174.0</v>
      </c>
      <c r="L579" s="99">
        <v>46280.0</v>
      </c>
      <c r="M579" s="99" t="str">
        <f t="shared" si="1"/>
        <v>Chưa đến hạn</v>
      </c>
      <c r="N579" s="81"/>
      <c r="O579" s="81"/>
      <c r="P579" s="22"/>
      <c r="Q579" s="81"/>
      <c r="R579" s="66"/>
      <c r="S579" s="66"/>
    </row>
    <row r="580" ht="15.75" hidden="1" customHeight="1" outlineLevel="3">
      <c r="A580" s="106" t="s">
        <v>99</v>
      </c>
      <c r="B580" s="81" t="s">
        <v>306</v>
      </c>
      <c r="C580" s="81"/>
      <c r="D580" s="81"/>
      <c r="E580" s="81" t="s">
        <v>381</v>
      </c>
      <c r="F580" s="81"/>
      <c r="G580" s="81"/>
      <c r="H580" s="81"/>
      <c r="I580" s="81"/>
      <c r="J580" s="81"/>
      <c r="K580" s="99">
        <v>46174.0</v>
      </c>
      <c r="L580" s="99">
        <v>46280.0</v>
      </c>
      <c r="M580" s="99" t="str">
        <f t="shared" si="1"/>
        <v>Chưa đến hạn</v>
      </c>
      <c r="N580" s="81"/>
      <c r="O580" s="81"/>
      <c r="P580" s="22"/>
      <c r="Q580" s="81"/>
      <c r="R580" s="66"/>
      <c r="S580" s="66"/>
    </row>
    <row r="581" ht="15.75" hidden="1" customHeight="1" outlineLevel="2">
      <c r="A581" s="106" t="s">
        <v>99</v>
      </c>
      <c r="B581" s="81" t="s">
        <v>306</v>
      </c>
      <c r="C581" s="81" t="s">
        <v>382</v>
      </c>
      <c r="D581" s="81" t="s">
        <v>382</v>
      </c>
      <c r="E581" s="81"/>
      <c r="F581" s="81"/>
      <c r="G581" s="81"/>
      <c r="H581" s="81"/>
      <c r="I581" s="81"/>
      <c r="J581" s="81"/>
      <c r="K581" s="99">
        <v>46174.0</v>
      </c>
      <c r="L581" s="99">
        <v>46280.0</v>
      </c>
      <c r="M581" s="99" t="str">
        <f t="shared" si="1"/>
        <v>Chưa đến hạn</v>
      </c>
      <c r="N581" s="81"/>
      <c r="O581" s="81"/>
      <c r="P581" s="22"/>
      <c r="Q581" s="81"/>
      <c r="R581" s="66"/>
      <c r="S581" s="66"/>
    </row>
    <row r="582" ht="15.75" hidden="1" customHeight="1" outlineLevel="3">
      <c r="A582" s="106" t="s">
        <v>99</v>
      </c>
      <c r="B582" s="81" t="s">
        <v>306</v>
      </c>
      <c r="C582" s="102"/>
      <c r="D582" s="102"/>
      <c r="E582" s="81" t="s">
        <v>383</v>
      </c>
      <c r="F582" s="81"/>
      <c r="G582" s="81"/>
      <c r="H582" s="81"/>
      <c r="I582" s="81"/>
      <c r="J582" s="81"/>
      <c r="K582" s="99">
        <v>46174.0</v>
      </c>
      <c r="L582" s="99">
        <v>46280.0</v>
      </c>
      <c r="M582" s="99" t="str">
        <f t="shared" si="1"/>
        <v>Chưa đến hạn</v>
      </c>
      <c r="N582" s="81"/>
      <c r="O582" s="81"/>
      <c r="P582" s="22"/>
      <c r="Q582" s="81"/>
      <c r="R582" s="66"/>
      <c r="S582" s="66"/>
    </row>
    <row r="583" ht="15.75" hidden="1" customHeight="1" outlineLevel="3">
      <c r="A583" s="106" t="s">
        <v>99</v>
      </c>
      <c r="B583" s="81" t="s">
        <v>306</v>
      </c>
      <c r="C583" s="81"/>
      <c r="D583" s="81"/>
      <c r="E583" s="81" t="s">
        <v>375</v>
      </c>
      <c r="F583" s="81"/>
      <c r="G583" s="81"/>
      <c r="H583" s="81"/>
      <c r="I583" s="81"/>
      <c r="J583" s="81"/>
      <c r="K583" s="99">
        <v>46174.0</v>
      </c>
      <c r="L583" s="99">
        <v>46280.0</v>
      </c>
      <c r="M583" s="99" t="str">
        <f t="shared" si="1"/>
        <v>Chưa đến hạn</v>
      </c>
      <c r="N583" s="81"/>
      <c r="O583" s="81"/>
      <c r="P583" s="22"/>
      <c r="Q583" s="81"/>
      <c r="R583" s="66"/>
      <c r="S583" s="66"/>
    </row>
    <row r="584" ht="15.75" hidden="1" customHeight="1" outlineLevel="3">
      <c r="A584" s="106" t="s">
        <v>99</v>
      </c>
      <c r="B584" s="81" t="s">
        <v>306</v>
      </c>
      <c r="C584" s="81"/>
      <c r="D584" s="81"/>
      <c r="E584" s="81" t="s">
        <v>384</v>
      </c>
      <c r="F584" s="81"/>
      <c r="G584" s="81"/>
      <c r="H584" s="81"/>
      <c r="I584" s="81"/>
      <c r="J584" s="81"/>
      <c r="K584" s="99">
        <v>46174.0</v>
      </c>
      <c r="L584" s="99">
        <v>46280.0</v>
      </c>
      <c r="M584" s="99" t="str">
        <f t="shared" si="1"/>
        <v>Chưa đến hạn</v>
      </c>
      <c r="N584" s="81"/>
      <c r="O584" s="81"/>
      <c r="P584" s="22"/>
      <c r="Q584" s="81"/>
      <c r="R584" s="66"/>
      <c r="S584" s="66"/>
    </row>
    <row r="585" ht="15.75" hidden="1" customHeight="1" outlineLevel="3">
      <c r="A585" s="106" t="s">
        <v>99</v>
      </c>
      <c r="B585" s="81" t="s">
        <v>306</v>
      </c>
      <c r="C585" s="81"/>
      <c r="D585" s="81"/>
      <c r="E585" s="81" t="s">
        <v>385</v>
      </c>
      <c r="F585" s="81"/>
      <c r="G585" s="81"/>
      <c r="H585" s="81"/>
      <c r="I585" s="81"/>
      <c r="J585" s="81"/>
      <c r="K585" s="99">
        <v>46174.0</v>
      </c>
      <c r="L585" s="99">
        <v>46280.0</v>
      </c>
      <c r="M585" s="99" t="str">
        <f t="shared" si="1"/>
        <v>Chưa đến hạn</v>
      </c>
      <c r="N585" s="81"/>
      <c r="O585" s="81"/>
      <c r="P585" s="22"/>
      <c r="Q585" s="81"/>
      <c r="R585" s="66"/>
      <c r="S585" s="66"/>
    </row>
    <row r="586" ht="15.75" hidden="1" customHeight="1" outlineLevel="2">
      <c r="A586" s="106" t="s">
        <v>99</v>
      </c>
      <c r="B586" s="81" t="s">
        <v>306</v>
      </c>
      <c r="C586" s="81" t="s">
        <v>386</v>
      </c>
      <c r="D586" s="81" t="s">
        <v>386</v>
      </c>
      <c r="E586" s="81"/>
      <c r="F586" s="81"/>
      <c r="G586" s="81"/>
      <c r="H586" s="81"/>
      <c r="I586" s="81"/>
      <c r="J586" s="81"/>
      <c r="K586" s="99">
        <v>46174.0</v>
      </c>
      <c r="L586" s="99">
        <v>46280.0</v>
      </c>
      <c r="M586" s="99" t="str">
        <f t="shared" si="1"/>
        <v>Chưa đến hạn</v>
      </c>
      <c r="N586" s="81"/>
      <c r="O586" s="81"/>
      <c r="P586" s="22"/>
      <c r="Q586" s="81"/>
      <c r="R586" s="66"/>
      <c r="S586" s="66"/>
    </row>
    <row r="587" ht="15.75" hidden="1" customHeight="1" outlineLevel="3">
      <c r="A587" s="106" t="s">
        <v>99</v>
      </c>
      <c r="B587" s="81" t="s">
        <v>306</v>
      </c>
      <c r="C587" s="102"/>
      <c r="D587" s="102"/>
      <c r="E587" s="81" t="s">
        <v>387</v>
      </c>
      <c r="F587" s="81"/>
      <c r="G587" s="81"/>
      <c r="H587" s="81"/>
      <c r="I587" s="81"/>
      <c r="J587" s="81"/>
      <c r="K587" s="99">
        <v>46174.0</v>
      </c>
      <c r="L587" s="99">
        <v>46280.0</v>
      </c>
      <c r="M587" s="99" t="str">
        <f t="shared" si="1"/>
        <v>Chưa đến hạn</v>
      </c>
      <c r="N587" s="81"/>
      <c r="O587" s="81"/>
      <c r="P587" s="22"/>
      <c r="Q587" s="81"/>
      <c r="R587" s="66"/>
      <c r="S587" s="66"/>
    </row>
    <row r="588" ht="15.75" hidden="1" customHeight="1" outlineLevel="3">
      <c r="A588" s="106" t="s">
        <v>99</v>
      </c>
      <c r="B588" s="81" t="s">
        <v>306</v>
      </c>
      <c r="C588" s="81"/>
      <c r="D588" s="81"/>
      <c r="E588" s="81" t="s">
        <v>375</v>
      </c>
      <c r="F588" s="81"/>
      <c r="G588" s="81"/>
      <c r="H588" s="81"/>
      <c r="I588" s="81"/>
      <c r="J588" s="81"/>
      <c r="K588" s="99">
        <v>46174.0</v>
      </c>
      <c r="L588" s="99">
        <v>46280.0</v>
      </c>
      <c r="M588" s="99" t="str">
        <f t="shared" si="1"/>
        <v>Chưa đến hạn</v>
      </c>
      <c r="N588" s="81"/>
      <c r="O588" s="81"/>
      <c r="P588" s="22"/>
      <c r="Q588" s="81"/>
      <c r="R588" s="66"/>
      <c r="S588" s="66"/>
    </row>
    <row r="589" ht="15.75" hidden="1" customHeight="1" outlineLevel="3">
      <c r="A589" s="106" t="s">
        <v>99</v>
      </c>
      <c r="B589" s="81" t="s">
        <v>306</v>
      </c>
      <c r="C589" s="81"/>
      <c r="D589" s="81"/>
      <c r="E589" s="81" t="s">
        <v>388</v>
      </c>
      <c r="F589" s="81"/>
      <c r="G589" s="81"/>
      <c r="H589" s="81"/>
      <c r="I589" s="81"/>
      <c r="J589" s="81"/>
      <c r="K589" s="99">
        <v>46174.0</v>
      </c>
      <c r="L589" s="99">
        <v>46280.0</v>
      </c>
      <c r="M589" s="99" t="str">
        <f t="shared" si="1"/>
        <v>Chưa đến hạn</v>
      </c>
      <c r="N589" s="81"/>
      <c r="O589" s="81"/>
      <c r="P589" s="22"/>
      <c r="Q589" s="81"/>
      <c r="R589" s="66"/>
      <c r="S589" s="66"/>
    </row>
    <row r="590" ht="15.75" hidden="1" customHeight="1" outlineLevel="3">
      <c r="A590" s="106" t="s">
        <v>99</v>
      </c>
      <c r="B590" s="81" t="s">
        <v>306</v>
      </c>
      <c r="C590" s="81"/>
      <c r="D590" s="81"/>
      <c r="E590" s="81" t="s">
        <v>389</v>
      </c>
      <c r="F590" s="81"/>
      <c r="G590" s="81"/>
      <c r="H590" s="81"/>
      <c r="I590" s="81"/>
      <c r="J590" s="81"/>
      <c r="K590" s="99">
        <v>46174.0</v>
      </c>
      <c r="L590" s="99">
        <v>46280.0</v>
      </c>
      <c r="M590" s="99" t="str">
        <f t="shared" si="1"/>
        <v>Chưa đến hạn</v>
      </c>
      <c r="N590" s="81"/>
      <c r="O590" s="81"/>
      <c r="P590" s="22"/>
      <c r="Q590" s="81"/>
      <c r="R590" s="66"/>
      <c r="S590" s="66"/>
    </row>
    <row r="591" ht="15.75" hidden="1" customHeight="1" outlineLevel="3">
      <c r="A591" s="106" t="s">
        <v>99</v>
      </c>
      <c r="B591" s="81" t="s">
        <v>306</v>
      </c>
      <c r="C591" s="81"/>
      <c r="D591" s="81"/>
      <c r="E591" s="81" t="s">
        <v>390</v>
      </c>
      <c r="F591" s="81"/>
      <c r="G591" s="81"/>
      <c r="H591" s="81"/>
      <c r="I591" s="81"/>
      <c r="J591" s="81"/>
      <c r="K591" s="99">
        <v>46174.0</v>
      </c>
      <c r="L591" s="99">
        <v>46280.0</v>
      </c>
      <c r="M591" s="99" t="str">
        <f t="shared" si="1"/>
        <v>Chưa đến hạn</v>
      </c>
      <c r="N591" s="81"/>
      <c r="O591" s="81"/>
      <c r="P591" s="22"/>
      <c r="Q591" s="81"/>
      <c r="R591" s="66"/>
      <c r="S591" s="66"/>
    </row>
    <row r="592" ht="15.75" hidden="1" customHeight="1" outlineLevel="3">
      <c r="A592" s="106" t="s">
        <v>99</v>
      </c>
      <c r="B592" s="81" t="s">
        <v>306</v>
      </c>
      <c r="C592" s="81"/>
      <c r="D592" s="81"/>
      <c r="E592" s="81" t="s">
        <v>391</v>
      </c>
      <c r="F592" s="81"/>
      <c r="G592" s="81"/>
      <c r="H592" s="81"/>
      <c r="I592" s="81"/>
      <c r="J592" s="81"/>
      <c r="K592" s="99">
        <v>46174.0</v>
      </c>
      <c r="L592" s="99">
        <v>46280.0</v>
      </c>
      <c r="M592" s="99" t="str">
        <f t="shared" si="1"/>
        <v>Chưa đến hạn</v>
      </c>
      <c r="N592" s="81"/>
      <c r="O592" s="81"/>
      <c r="P592" s="22"/>
      <c r="Q592" s="81"/>
      <c r="R592" s="66"/>
      <c r="S592" s="66"/>
    </row>
    <row r="593" ht="15.75" hidden="1" customHeight="1" outlineLevel="3">
      <c r="A593" s="106" t="s">
        <v>99</v>
      </c>
      <c r="B593" s="81" t="s">
        <v>306</v>
      </c>
      <c r="C593" s="81"/>
      <c r="D593" s="81"/>
      <c r="E593" s="81" t="s">
        <v>392</v>
      </c>
      <c r="F593" s="81"/>
      <c r="G593" s="81"/>
      <c r="H593" s="81"/>
      <c r="I593" s="81"/>
      <c r="J593" s="81"/>
      <c r="K593" s="99">
        <v>46174.0</v>
      </c>
      <c r="L593" s="99">
        <v>46280.0</v>
      </c>
      <c r="M593" s="99" t="str">
        <f t="shared" si="1"/>
        <v>Chưa đến hạn</v>
      </c>
      <c r="N593" s="81"/>
      <c r="O593" s="81"/>
      <c r="P593" s="22"/>
      <c r="Q593" s="81"/>
      <c r="R593" s="66"/>
      <c r="S593" s="66"/>
    </row>
    <row r="594" ht="15.75" hidden="1" customHeight="1" outlineLevel="2">
      <c r="A594" s="106" t="s">
        <v>99</v>
      </c>
      <c r="B594" s="81" t="s">
        <v>306</v>
      </c>
      <c r="C594" s="81" t="s">
        <v>393</v>
      </c>
      <c r="D594" s="81" t="s">
        <v>393</v>
      </c>
      <c r="E594" s="81"/>
      <c r="F594" s="81"/>
      <c r="G594" s="81"/>
      <c r="H594" s="81"/>
      <c r="I594" s="81"/>
      <c r="J594" s="81"/>
      <c r="K594" s="99">
        <v>46174.0</v>
      </c>
      <c r="L594" s="99">
        <v>46280.0</v>
      </c>
      <c r="M594" s="99" t="str">
        <f t="shared" si="1"/>
        <v>Chưa đến hạn</v>
      </c>
      <c r="N594" s="81"/>
      <c r="O594" s="81"/>
      <c r="P594" s="22"/>
      <c r="Q594" s="81"/>
      <c r="R594" s="66"/>
      <c r="S594" s="66"/>
    </row>
    <row r="595" ht="15.75" hidden="1" customHeight="1" outlineLevel="3">
      <c r="A595" s="106" t="s">
        <v>99</v>
      </c>
      <c r="B595" s="81" t="s">
        <v>306</v>
      </c>
      <c r="C595" s="102"/>
      <c r="D595" s="102"/>
      <c r="E595" s="81" t="s">
        <v>394</v>
      </c>
      <c r="F595" s="81"/>
      <c r="G595" s="81"/>
      <c r="H595" s="81"/>
      <c r="I595" s="81"/>
      <c r="J595" s="81"/>
      <c r="K595" s="99">
        <v>46174.0</v>
      </c>
      <c r="L595" s="99">
        <v>46280.0</v>
      </c>
      <c r="M595" s="99" t="str">
        <f t="shared" si="1"/>
        <v>Chưa đến hạn</v>
      </c>
      <c r="N595" s="81"/>
      <c r="O595" s="81"/>
      <c r="P595" s="22"/>
      <c r="Q595" s="81"/>
      <c r="R595" s="66"/>
      <c r="S595" s="66"/>
    </row>
    <row r="596" ht="15.75" hidden="1" customHeight="1" outlineLevel="3">
      <c r="A596" s="106" t="s">
        <v>99</v>
      </c>
      <c r="B596" s="81" t="s">
        <v>306</v>
      </c>
      <c r="C596" s="81"/>
      <c r="D596" s="81"/>
      <c r="E596" s="81" t="s">
        <v>375</v>
      </c>
      <c r="F596" s="81"/>
      <c r="G596" s="81"/>
      <c r="H596" s="81"/>
      <c r="I596" s="81"/>
      <c r="J596" s="81"/>
      <c r="K596" s="99">
        <v>46174.0</v>
      </c>
      <c r="L596" s="99">
        <v>46280.0</v>
      </c>
      <c r="M596" s="99" t="str">
        <f t="shared" si="1"/>
        <v>Chưa đến hạn</v>
      </c>
      <c r="N596" s="81"/>
      <c r="O596" s="81"/>
      <c r="P596" s="22"/>
      <c r="Q596" s="81"/>
      <c r="R596" s="66"/>
      <c r="S596" s="66"/>
    </row>
    <row r="597" ht="15.75" hidden="1" customHeight="1" outlineLevel="3">
      <c r="A597" s="106" t="s">
        <v>99</v>
      </c>
      <c r="B597" s="81" t="s">
        <v>306</v>
      </c>
      <c r="C597" s="81"/>
      <c r="D597" s="81"/>
      <c r="E597" s="81" t="s">
        <v>395</v>
      </c>
      <c r="F597" s="81"/>
      <c r="G597" s="81"/>
      <c r="H597" s="81"/>
      <c r="I597" s="81"/>
      <c r="J597" s="81"/>
      <c r="K597" s="99">
        <v>46174.0</v>
      </c>
      <c r="L597" s="99">
        <v>46280.0</v>
      </c>
      <c r="M597" s="99" t="str">
        <f t="shared" si="1"/>
        <v>Chưa đến hạn</v>
      </c>
      <c r="N597" s="81"/>
      <c r="O597" s="81"/>
      <c r="P597" s="22"/>
      <c r="Q597" s="81"/>
      <c r="R597" s="66"/>
      <c r="S597" s="66"/>
    </row>
    <row r="598" ht="15.75" hidden="1" customHeight="1" outlineLevel="3">
      <c r="A598" s="106" t="s">
        <v>99</v>
      </c>
      <c r="B598" s="81" t="s">
        <v>306</v>
      </c>
      <c r="C598" s="81"/>
      <c r="D598" s="81"/>
      <c r="E598" s="81" t="s">
        <v>396</v>
      </c>
      <c r="F598" s="81"/>
      <c r="G598" s="81"/>
      <c r="H598" s="81"/>
      <c r="I598" s="81"/>
      <c r="J598" s="81"/>
      <c r="K598" s="99">
        <v>46174.0</v>
      </c>
      <c r="L598" s="99">
        <v>46280.0</v>
      </c>
      <c r="M598" s="99" t="str">
        <f t="shared" si="1"/>
        <v>Chưa đến hạn</v>
      </c>
      <c r="N598" s="81"/>
      <c r="O598" s="81"/>
      <c r="P598" s="22"/>
      <c r="Q598" s="81"/>
      <c r="R598" s="66"/>
      <c r="S598" s="66"/>
    </row>
    <row r="599" ht="15.75" hidden="1" customHeight="1" outlineLevel="3">
      <c r="A599" s="106" t="s">
        <v>99</v>
      </c>
      <c r="B599" s="81" t="s">
        <v>306</v>
      </c>
      <c r="C599" s="81"/>
      <c r="D599" s="81"/>
      <c r="E599" s="81" t="s">
        <v>397</v>
      </c>
      <c r="F599" s="81"/>
      <c r="G599" s="81"/>
      <c r="H599" s="81"/>
      <c r="I599" s="81"/>
      <c r="J599" s="81"/>
      <c r="K599" s="99">
        <v>46174.0</v>
      </c>
      <c r="L599" s="99">
        <v>46280.0</v>
      </c>
      <c r="M599" s="99" t="str">
        <f t="shared" si="1"/>
        <v>Chưa đến hạn</v>
      </c>
      <c r="N599" s="81"/>
      <c r="O599" s="81"/>
      <c r="P599" s="22"/>
      <c r="Q599" s="81"/>
      <c r="R599" s="66"/>
      <c r="S599" s="66"/>
    </row>
    <row r="600" ht="15.75" hidden="1" customHeight="1" outlineLevel="3">
      <c r="A600" s="106" t="s">
        <v>99</v>
      </c>
      <c r="B600" s="81" t="s">
        <v>306</v>
      </c>
      <c r="C600" s="81"/>
      <c r="D600" s="81"/>
      <c r="E600" s="81" t="s">
        <v>398</v>
      </c>
      <c r="F600" s="81"/>
      <c r="G600" s="81"/>
      <c r="H600" s="81"/>
      <c r="I600" s="81"/>
      <c r="J600" s="81"/>
      <c r="K600" s="99">
        <v>46174.0</v>
      </c>
      <c r="L600" s="99">
        <v>46280.0</v>
      </c>
      <c r="M600" s="99" t="str">
        <f t="shared" si="1"/>
        <v>Chưa đến hạn</v>
      </c>
      <c r="N600" s="81"/>
      <c r="O600" s="81"/>
      <c r="P600" s="22"/>
      <c r="Q600" s="81"/>
      <c r="R600" s="66"/>
      <c r="S600" s="66"/>
    </row>
    <row r="601" ht="15.75" hidden="1" customHeight="1" outlineLevel="3">
      <c r="A601" s="106" t="s">
        <v>99</v>
      </c>
      <c r="B601" s="81" t="s">
        <v>306</v>
      </c>
      <c r="C601" s="81"/>
      <c r="D601" s="81"/>
      <c r="E601" s="81" t="s">
        <v>399</v>
      </c>
      <c r="F601" s="81"/>
      <c r="G601" s="81"/>
      <c r="H601" s="81"/>
      <c r="I601" s="81"/>
      <c r="J601" s="81"/>
      <c r="K601" s="99">
        <v>46174.0</v>
      </c>
      <c r="L601" s="99">
        <v>46280.0</v>
      </c>
      <c r="M601" s="99" t="str">
        <f t="shared" si="1"/>
        <v>Chưa đến hạn</v>
      </c>
      <c r="N601" s="81"/>
      <c r="O601" s="81"/>
      <c r="P601" s="22"/>
      <c r="Q601" s="81"/>
      <c r="R601" s="66"/>
      <c r="S601" s="66"/>
    </row>
    <row r="602" ht="15.75" hidden="1" customHeight="1" outlineLevel="2">
      <c r="A602" s="106" t="s">
        <v>99</v>
      </c>
      <c r="B602" s="81" t="s">
        <v>306</v>
      </c>
      <c r="C602" s="81" t="s">
        <v>400</v>
      </c>
      <c r="D602" s="81" t="s">
        <v>400</v>
      </c>
      <c r="E602" s="81"/>
      <c r="F602" s="81"/>
      <c r="G602" s="81"/>
      <c r="H602" s="81"/>
      <c r="I602" s="81"/>
      <c r="J602" s="81"/>
      <c r="K602" s="99">
        <v>46174.0</v>
      </c>
      <c r="L602" s="99">
        <v>46280.0</v>
      </c>
      <c r="M602" s="99" t="str">
        <f t="shared" si="1"/>
        <v>Chưa đến hạn</v>
      </c>
      <c r="N602" s="81"/>
      <c r="O602" s="81"/>
      <c r="P602" s="22"/>
      <c r="Q602" s="81"/>
      <c r="R602" s="66"/>
      <c r="S602" s="66"/>
    </row>
    <row r="603" ht="15.75" hidden="1" customHeight="1" outlineLevel="3">
      <c r="A603" s="106" t="s">
        <v>99</v>
      </c>
      <c r="B603" s="81" t="s">
        <v>306</v>
      </c>
      <c r="C603" s="102"/>
      <c r="D603" s="102"/>
      <c r="E603" s="81" t="s">
        <v>401</v>
      </c>
      <c r="F603" s="81"/>
      <c r="G603" s="81"/>
      <c r="H603" s="81"/>
      <c r="I603" s="81"/>
      <c r="J603" s="81"/>
      <c r="K603" s="99">
        <v>46174.0</v>
      </c>
      <c r="L603" s="99">
        <v>46280.0</v>
      </c>
      <c r="M603" s="99" t="str">
        <f t="shared" si="1"/>
        <v>Chưa đến hạn</v>
      </c>
      <c r="N603" s="81"/>
      <c r="O603" s="81"/>
      <c r="P603" s="22"/>
      <c r="Q603" s="81"/>
      <c r="R603" s="66"/>
      <c r="S603" s="66"/>
    </row>
    <row r="604" ht="15.75" hidden="1" customHeight="1" outlineLevel="3">
      <c r="A604" s="106" t="s">
        <v>99</v>
      </c>
      <c r="B604" s="81" t="s">
        <v>306</v>
      </c>
      <c r="C604" s="81"/>
      <c r="D604" s="81"/>
      <c r="E604" s="81" t="s">
        <v>375</v>
      </c>
      <c r="F604" s="81"/>
      <c r="G604" s="81"/>
      <c r="H604" s="81"/>
      <c r="I604" s="81"/>
      <c r="J604" s="81"/>
      <c r="K604" s="99">
        <v>46174.0</v>
      </c>
      <c r="L604" s="99">
        <v>46280.0</v>
      </c>
      <c r="M604" s="99" t="str">
        <f t="shared" si="1"/>
        <v>Chưa đến hạn</v>
      </c>
      <c r="N604" s="81"/>
      <c r="O604" s="81"/>
      <c r="P604" s="22"/>
      <c r="Q604" s="81"/>
      <c r="R604" s="66"/>
      <c r="S604" s="66"/>
    </row>
    <row r="605" ht="15.75" hidden="1" customHeight="1" outlineLevel="3">
      <c r="A605" s="106" t="s">
        <v>99</v>
      </c>
      <c r="B605" s="81" t="s">
        <v>306</v>
      </c>
      <c r="C605" s="81"/>
      <c r="D605" s="81"/>
      <c r="E605" s="81" t="s">
        <v>402</v>
      </c>
      <c r="F605" s="81"/>
      <c r="G605" s="81"/>
      <c r="H605" s="81"/>
      <c r="I605" s="81"/>
      <c r="J605" s="81"/>
      <c r="K605" s="99">
        <v>46174.0</v>
      </c>
      <c r="L605" s="99">
        <v>46280.0</v>
      </c>
      <c r="M605" s="99" t="str">
        <f t="shared" si="1"/>
        <v>Chưa đến hạn</v>
      </c>
      <c r="N605" s="81"/>
      <c r="O605" s="81"/>
      <c r="P605" s="22"/>
      <c r="Q605" s="81"/>
      <c r="R605" s="66"/>
      <c r="S605" s="66"/>
    </row>
    <row r="606" ht="15.75" hidden="1" customHeight="1" outlineLevel="3">
      <c r="A606" s="106" t="s">
        <v>99</v>
      </c>
      <c r="B606" s="81" t="s">
        <v>306</v>
      </c>
      <c r="C606" s="81"/>
      <c r="D606" s="81"/>
      <c r="E606" s="81" t="s">
        <v>403</v>
      </c>
      <c r="F606" s="81"/>
      <c r="G606" s="81"/>
      <c r="H606" s="81"/>
      <c r="I606" s="81"/>
      <c r="J606" s="81"/>
      <c r="K606" s="99">
        <v>46174.0</v>
      </c>
      <c r="L606" s="99">
        <v>46280.0</v>
      </c>
      <c r="M606" s="99" t="str">
        <f t="shared" si="1"/>
        <v>Chưa đến hạn</v>
      </c>
      <c r="N606" s="81"/>
      <c r="O606" s="81"/>
      <c r="P606" s="22"/>
      <c r="Q606" s="81"/>
      <c r="R606" s="66"/>
      <c r="S606" s="66"/>
    </row>
    <row r="607" ht="15.75" hidden="1" customHeight="1" outlineLevel="3">
      <c r="A607" s="106" t="s">
        <v>99</v>
      </c>
      <c r="B607" s="81" t="s">
        <v>306</v>
      </c>
      <c r="C607" s="81"/>
      <c r="D607" s="81"/>
      <c r="E607" s="81" t="s">
        <v>404</v>
      </c>
      <c r="F607" s="81"/>
      <c r="G607" s="81"/>
      <c r="H607" s="81"/>
      <c r="I607" s="81"/>
      <c r="J607" s="81"/>
      <c r="K607" s="99">
        <v>46174.0</v>
      </c>
      <c r="L607" s="99">
        <v>46280.0</v>
      </c>
      <c r="M607" s="99" t="str">
        <f t="shared" si="1"/>
        <v>Chưa đến hạn</v>
      </c>
      <c r="N607" s="81"/>
      <c r="O607" s="81"/>
      <c r="P607" s="22"/>
      <c r="Q607" s="81"/>
      <c r="R607" s="66"/>
      <c r="S607" s="66"/>
    </row>
    <row r="608" ht="15.75" hidden="1" customHeight="1" outlineLevel="3">
      <c r="A608" s="106" t="s">
        <v>99</v>
      </c>
      <c r="B608" s="81" t="s">
        <v>306</v>
      </c>
      <c r="C608" s="81"/>
      <c r="D608" s="81"/>
      <c r="E608" s="81" t="s">
        <v>405</v>
      </c>
      <c r="F608" s="81"/>
      <c r="G608" s="81"/>
      <c r="H608" s="81"/>
      <c r="I608" s="81"/>
      <c r="J608" s="81"/>
      <c r="K608" s="99">
        <v>46174.0</v>
      </c>
      <c r="L608" s="99">
        <v>46280.0</v>
      </c>
      <c r="M608" s="99" t="str">
        <f t="shared" si="1"/>
        <v>Chưa đến hạn</v>
      </c>
      <c r="N608" s="81"/>
      <c r="O608" s="81"/>
      <c r="P608" s="22"/>
      <c r="Q608" s="81"/>
      <c r="R608" s="66"/>
      <c r="S608" s="66"/>
    </row>
    <row r="609" ht="15.75" hidden="1" customHeight="1" outlineLevel="3">
      <c r="A609" s="106" t="s">
        <v>99</v>
      </c>
      <c r="B609" s="81" t="s">
        <v>306</v>
      </c>
      <c r="C609" s="81"/>
      <c r="D609" s="81"/>
      <c r="E609" s="81" t="s">
        <v>406</v>
      </c>
      <c r="F609" s="81"/>
      <c r="G609" s="81"/>
      <c r="H609" s="81"/>
      <c r="I609" s="81"/>
      <c r="J609" s="81"/>
      <c r="K609" s="99">
        <v>46174.0</v>
      </c>
      <c r="L609" s="99">
        <v>46280.0</v>
      </c>
      <c r="M609" s="99" t="str">
        <f t="shared" si="1"/>
        <v>Chưa đến hạn</v>
      </c>
      <c r="N609" s="81"/>
      <c r="O609" s="81"/>
      <c r="P609" s="22"/>
      <c r="Q609" s="81"/>
      <c r="R609" s="66"/>
      <c r="S609" s="66"/>
    </row>
    <row r="610" ht="15.75" hidden="1" customHeight="1" outlineLevel="2">
      <c r="A610" s="106" t="s">
        <v>99</v>
      </c>
      <c r="B610" s="81" t="s">
        <v>306</v>
      </c>
      <c r="C610" s="81" t="s">
        <v>407</v>
      </c>
      <c r="D610" s="81" t="s">
        <v>407</v>
      </c>
      <c r="E610" s="81"/>
      <c r="F610" s="81"/>
      <c r="G610" s="81"/>
      <c r="H610" s="81"/>
      <c r="I610" s="81"/>
      <c r="J610" s="81"/>
      <c r="K610" s="99">
        <v>46174.0</v>
      </c>
      <c r="L610" s="99">
        <v>46280.0</v>
      </c>
      <c r="M610" s="99" t="str">
        <f t="shared" si="1"/>
        <v>Chưa đến hạn</v>
      </c>
      <c r="N610" s="81"/>
      <c r="O610" s="81"/>
      <c r="P610" s="22"/>
      <c r="Q610" s="81"/>
      <c r="R610" s="66"/>
      <c r="S610" s="66"/>
    </row>
    <row r="611" ht="15.75" hidden="1" customHeight="1" outlineLevel="3">
      <c r="A611" s="106" t="s">
        <v>99</v>
      </c>
      <c r="B611" s="81" t="s">
        <v>306</v>
      </c>
      <c r="C611" s="102"/>
      <c r="D611" s="102"/>
      <c r="E611" s="81" t="s">
        <v>408</v>
      </c>
      <c r="F611" s="81"/>
      <c r="G611" s="81"/>
      <c r="H611" s="81"/>
      <c r="I611" s="81"/>
      <c r="J611" s="81"/>
      <c r="K611" s="99">
        <v>46174.0</v>
      </c>
      <c r="L611" s="99">
        <v>46280.0</v>
      </c>
      <c r="M611" s="99" t="str">
        <f t="shared" si="1"/>
        <v>Chưa đến hạn</v>
      </c>
      <c r="N611" s="81"/>
      <c r="O611" s="81"/>
      <c r="P611" s="22"/>
      <c r="Q611" s="81"/>
      <c r="R611" s="66"/>
      <c r="S611" s="66"/>
    </row>
    <row r="612" ht="15.75" hidden="1" customHeight="1" outlineLevel="3">
      <c r="A612" s="106" t="s">
        <v>99</v>
      </c>
      <c r="B612" s="81" t="s">
        <v>306</v>
      </c>
      <c r="C612" s="81"/>
      <c r="D612" s="81"/>
      <c r="E612" s="81" t="s">
        <v>375</v>
      </c>
      <c r="F612" s="81"/>
      <c r="G612" s="81"/>
      <c r="H612" s="81"/>
      <c r="I612" s="81"/>
      <c r="J612" s="81"/>
      <c r="K612" s="99">
        <v>46174.0</v>
      </c>
      <c r="L612" s="99">
        <v>46280.0</v>
      </c>
      <c r="M612" s="99" t="str">
        <f t="shared" si="1"/>
        <v>Chưa đến hạn</v>
      </c>
      <c r="N612" s="81"/>
      <c r="O612" s="81"/>
      <c r="P612" s="22"/>
      <c r="Q612" s="81"/>
      <c r="R612" s="66"/>
      <c r="S612" s="66"/>
    </row>
    <row r="613" ht="15.75" hidden="1" customHeight="1" outlineLevel="3">
      <c r="A613" s="106" t="s">
        <v>99</v>
      </c>
      <c r="B613" s="81" t="s">
        <v>306</v>
      </c>
      <c r="C613" s="81"/>
      <c r="D613" s="81"/>
      <c r="E613" s="81" t="s">
        <v>409</v>
      </c>
      <c r="F613" s="81"/>
      <c r="G613" s="81"/>
      <c r="H613" s="81"/>
      <c r="I613" s="81"/>
      <c r="J613" s="81"/>
      <c r="K613" s="99">
        <v>46174.0</v>
      </c>
      <c r="L613" s="99">
        <v>46280.0</v>
      </c>
      <c r="M613" s="99" t="str">
        <f t="shared" si="1"/>
        <v>Chưa đến hạn</v>
      </c>
      <c r="N613" s="81"/>
      <c r="O613" s="81"/>
      <c r="P613" s="22"/>
      <c r="Q613" s="81"/>
      <c r="R613" s="66"/>
      <c r="S613" s="66"/>
    </row>
    <row r="614" ht="15.75" hidden="1" customHeight="1" outlineLevel="3">
      <c r="A614" s="106" t="s">
        <v>99</v>
      </c>
      <c r="B614" s="81" t="s">
        <v>306</v>
      </c>
      <c r="C614" s="81"/>
      <c r="D614" s="81"/>
      <c r="E614" s="81" t="s">
        <v>410</v>
      </c>
      <c r="F614" s="81"/>
      <c r="G614" s="81"/>
      <c r="H614" s="81"/>
      <c r="I614" s="81"/>
      <c r="J614" s="81"/>
      <c r="K614" s="99">
        <v>46174.0</v>
      </c>
      <c r="L614" s="99">
        <v>46280.0</v>
      </c>
      <c r="M614" s="99" t="str">
        <f t="shared" si="1"/>
        <v>Chưa đến hạn</v>
      </c>
      <c r="N614" s="81"/>
      <c r="O614" s="81"/>
      <c r="P614" s="22"/>
      <c r="Q614" s="81"/>
      <c r="R614" s="66"/>
      <c r="S614" s="66"/>
    </row>
    <row r="615" ht="15.75" hidden="1" customHeight="1" outlineLevel="3">
      <c r="A615" s="106" t="s">
        <v>99</v>
      </c>
      <c r="B615" s="81" t="s">
        <v>306</v>
      </c>
      <c r="C615" s="81"/>
      <c r="D615" s="81"/>
      <c r="E615" s="81" t="s">
        <v>411</v>
      </c>
      <c r="F615" s="81"/>
      <c r="G615" s="81"/>
      <c r="H615" s="81"/>
      <c r="I615" s="81"/>
      <c r="J615" s="81"/>
      <c r="K615" s="99">
        <v>46174.0</v>
      </c>
      <c r="L615" s="99">
        <v>46280.0</v>
      </c>
      <c r="M615" s="99" t="str">
        <f t="shared" si="1"/>
        <v>Chưa đến hạn</v>
      </c>
      <c r="N615" s="81"/>
      <c r="O615" s="81"/>
      <c r="P615" s="22"/>
      <c r="Q615" s="81"/>
      <c r="R615" s="66"/>
      <c r="S615" s="66"/>
    </row>
    <row r="616" ht="15.75" hidden="1" customHeight="1" outlineLevel="3">
      <c r="A616" s="106" t="s">
        <v>99</v>
      </c>
      <c r="B616" s="81" t="s">
        <v>306</v>
      </c>
      <c r="C616" s="81"/>
      <c r="D616" s="81"/>
      <c r="E616" s="81" t="s">
        <v>412</v>
      </c>
      <c r="F616" s="81"/>
      <c r="G616" s="81"/>
      <c r="H616" s="81"/>
      <c r="I616" s="81"/>
      <c r="J616" s="81"/>
      <c r="K616" s="99">
        <v>46174.0</v>
      </c>
      <c r="L616" s="99">
        <v>46280.0</v>
      </c>
      <c r="M616" s="99" t="str">
        <f t="shared" si="1"/>
        <v>Chưa đến hạn</v>
      </c>
      <c r="N616" s="81"/>
      <c r="O616" s="81"/>
      <c r="P616" s="22"/>
      <c r="Q616" s="81"/>
      <c r="R616" s="66"/>
      <c r="S616" s="66"/>
    </row>
    <row r="617" ht="15.75" hidden="1" customHeight="1" outlineLevel="3">
      <c r="A617" s="106" t="s">
        <v>99</v>
      </c>
      <c r="B617" s="81" t="s">
        <v>306</v>
      </c>
      <c r="C617" s="81"/>
      <c r="D617" s="81"/>
      <c r="E617" s="81" t="s">
        <v>413</v>
      </c>
      <c r="F617" s="81"/>
      <c r="G617" s="81"/>
      <c r="H617" s="81"/>
      <c r="I617" s="81"/>
      <c r="J617" s="81"/>
      <c r="K617" s="99">
        <v>46174.0</v>
      </c>
      <c r="L617" s="99">
        <v>46280.0</v>
      </c>
      <c r="M617" s="99" t="str">
        <f t="shared" si="1"/>
        <v>Chưa đến hạn</v>
      </c>
      <c r="N617" s="81"/>
      <c r="O617" s="81"/>
      <c r="P617" s="22"/>
      <c r="Q617" s="81"/>
      <c r="R617" s="66"/>
      <c r="S617" s="66"/>
    </row>
    <row r="618" ht="15.75" hidden="1" customHeight="1" outlineLevel="2">
      <c r="A618" s="106" t="s">
        <v>99</v>
      </c>
      <c r="B618" s="81" t="s">
        <v>306</v>
      </c>
      <c r="C618" s="81" t="s">
        <v>414</v>
      </c>
      <c r="D618" s="81" t="s">
        <v>414</v>
      </c>
      <c r="E618" s="81"/>
      <c r="F618" s="81"/>
      <c r="G618" s="81"/>
      <c r="H618" s="81"/>
      <c r="I618" s="81"/>
      <c r="J618" s="81"/>
      <c r="K618" s="99">
        <v>46174.0</v>
      </c>
      <c r="L618" s="99">
        <v>46280.0</v>
      </c>
      <c r="M618" s="99" t="str">
        <f t="shared" si="1"/>
        <v>Chưa đến hạn</v>
      </c>
      <c r="N618" s="81"/>
      <c r="O618" s="81"/>
      <c r="P618" s="22"/>
      <c r="Q618" s="81"/>
      <c r="R618" s="66"/>
      <c r="S618" s="66"/>
    </row>
    <row r="619" ht="15.75" hidden="1" customHeight="1" outlineLevel="3">
      <c r="A619" s="106" t="s">
        <v>99</v>
      </c>
      <c r="B619" s="81" t="s">
        <v>306</v>
      </c>
      <c r="C619" s="102"/>
      <c r="D619" s="102"/>
      <c r="E619" s="81" t="s">
        <v>415</v>
      </c>
      <c r="F619" s="81"/>
      <c r="G619" s="81"/>
      <c r="H619" s="81"/>
      <c r="I619" s="81"/>
      <c r="J619" s="81"/>
      <c r="K619" s="99">
        <v>46174.0</v>
      </c>
      <c r="L619" s="99">
        <v>46280.0</v>
      </c>
      <c r="M619" s="99" t="str">
        <f t="shared" si="1"/>
        <v>Chưa đến hạn</v>
      </c>
      <c r="N619" s="81"/>
      <c r="O619" s="81"/>
      <c r="P619" s="22"/>
      <c r="Q619" s="81"/>
      <c r="R619" s="66"/>
      <c r="S619" s="66"/>
    </row>
    <row r="620" ht="15.75" hidden="1" customHeight="1" outlineLevel="3">
      <c r="A620" s="106" t="s">
        <v>99</v>
      </c>
      <c r="B620" s="81" t="s">
        <v>306</v>
      </c>
      <c r="C620" s="81"/>
      <c r="D620" s="81"/>
      <c r="E620" s="81" t="s">
        <v>416</v>
      </c>
      <c r="F620" s="81"/>
      <c r="G620" s="81"/>
      <c r="H620" s="81"/>
      <c r="I620" s="81"/>
      <c r="J620" s="81"/>
      <c r="K620" s="99">
        <v>46174.0</v>
      </c>
      <c r="L620" s="99">
        <v>46280.0</v>
      </c>
      <c r="M620" s="99" t="str">
        <f t="shared" si="1"/>
        <v>Chưa đến hạn</v>
      </c>
      <c r="N620" s="81"/>
      <c r="O620" s="81"/>
      <c r="P620" s="22"/>
      <c r="Q620" s="81"/>
      <c r="R620" s="66"/>
      <c r="S620" s="66"/>
    </row>
    <row r="621" ht="15.75" hidden="1" customHeight="1" outlineLevel="3">
      <c r="A621" s="106" t="s">
        <v>99</v>
      </c>
      <c r="B621" s="81" t="s">
        <v>306</v>
      </c>
      <c r="C621" s="81"/>
      <c r="D621" s="81"/>
      <c r="E621" s="81" t="s">
        <v>375</v>
      </c>
      <c r="F621" s="81"/>
      <c r="G621" s="81"/>
      <c r="H621" s="81"/>
      <c r="I621" s="81"/>
      <c r="J621" s="81"/>
      <c r="K621" s="99">
        <v>46174.0</v>
      </c>
      <c r="L621" s="99">
        <v>46280.0</v>
      </c>
      <c r="M621" s="99" t="str">
        <f t="shared" si="1"/>
        <v>Chưa đến hạn</v>
      </c>
      <c r="N621" s="81"/>
      <c r="O621" s="81"/>
      <c r="P621" s="22"/>
      <c r="Q621" s="81"/>
      <c r="R621" s="66"/>
      <c r="S621" s="66"/>
    </row>
    <row r="622" ht="15.75" hidden="1" customHeight="1" outlineLevel="3">
      <c r="A622" s="106" t="s">
        <v>99</v>
      </c>
      <c r="B622" s="81" t="s">
        <v>306</v>
      </c>
      <c r="C622" s="81"/>
      <c r="D622" s="81"/>
      <c r="E622" s="81" t="s">
        <v>417</v>
      </c>
      <c r="F622" s="81"/>
      <c r="G622" s="81"/>
      <c r="H622" s="81"/>
      <c r="I622" s="81"/>
      <c r="J622" s="81"/>
      <c r="K622" s="99">
        <v>46174.0</v>
      </c>
      <c r="L622" s="99">
        <v>46280.0</v>
      </c>
      <c r="M622" s="99" t="str">
        <f t="shared" si="1"/>
        <v>Chưa đến hạn</v>
      </c>
      <c r="N622" s="81"/>
      <c r="O622" s="81"/>
      <c r="P622" s="22"/>
      <c r="Q622" s="81"/>
      <c r="R622" s="66"/>
      <c r="S622" s="66"/>
    </row>
    <row r="623" ht="15.75" hidden="1" customHeight="1" outlineLevel="3">
      <c r="A623" s="106" t="s">
        <v>99</v>
      </c>
      <c r="B623" s="81" t="s">
        <v>306</v>
      </c>
      <c r="C623" s="81"/>
      <c r="D623" s="81"/>
      <c r="E623" s="81" t="s">
        <v>418</v>
      </c>
      <c r="F623" s="81"/>
      <c r="G623" s="81"/>
      <c r="H623" s="81"/>
      <c r="I623" s="81"/>
      <c r="J623" s="81"/>
      <c r="K623" s="99">
        <v>46174.0</v>
      </c>
      <c r="L623" s="99">
        <v>46280.0</v>
      </c>
      <c r="M623" s="99" t="str">
        <f t="shared" si="1"/>
        <v>Chưa đến hạn</v>
      </c>
      <c r="N623" s="81"/>
      <c r="O623" s="81"/>
      <c r="P623" s="22"/>
      <c r="Q623" s="81"/>
      <c r="R623" s="66"/>
      <c r="S623" s="66"/>
    </row>
    <row r="624" ht="15.75" hidden="1" customHeight="1" outlineLevel="3">
      <c r="A624" s="106" t="s">
        <v>99</v>
      </c>
      <c r="B624" s="81" t="s">
        <v>306</v>
      </c>
      <c r="C624" s="81"/>
      <c r="D624" s="81"/>
      <c r="E624" s="81" t="s">
        <v>419</v>
      </c>
      <c r="F624" s="81"/>
      <c r="G624" s="81"/>
      <c r="H624" s="81"/>
      <c r="I624" s="81"/>
      <c r="J624" s="81"/>
      <c r="K624" s="99">
        <v>46174.0</v>
      </c>
      <c r="L624" s="99">
        <v>46280.0</v>
      </c>
      <c r="M624" s="99" t="str">
        <f t="shared" si="1"/>
        <v>Chưa đến hạn</v>
      </c>
      <c r="N624" s="81"/>
      <c r="O624" s="81"/>
      <c r="P624" s="22"/>
      <c r="Q624" s="81"/>
      <c r="R624" s="66"/>
      <c r="S624" s="66"/>
    </row>
    <row r="625" ht="15.75" hidden="1" customHeight="1" outlineLevel="3">
      <c r="A625" s="106" t="s">
        <v>99</v>
      </c>
      <c r="B625" s="81" t="s">
        <v>306</v>
      </c>
      <c r="C625" s="81"/>
      <c r="D625" s="81"/>
      <c r="E625" s="81" t="s">
        <v>420</v>
      </c>
      <c r="F625" s="81"/>
      <c r="G625" s="81"/>
      <c r="H625" s="81"/>
      <c r="I625" s="81"/>
      <c r="J625" s="81"/>
      <c r="K625" s="99">
        <v>46174.0</v>
      </c>
      <c r="L625" s="99">
        <v>46280.0</v>
      </c>
      <c r="M625" s="99" t="str">
        <f t="shared" si="1"/>
        <v>Chưa đến hạn</v>
      </c>
      <c r="N625" s="81"/>
      <c r="O625" s="81"/>
      <c r="P625" s="22"/>
      <c r="Q625" s="81"/>
      <c r="R625" s="66"/>
      <c r="S625" s="66"/>
    </row>
    <row r="626" ht="15.75" hidden="1" customHeight="1" outlineLevel="2">
      <c r="A626" s="106" t="s">
        <v>99</v>
      </c>
      <c r="B626" s="81" t="s">
        <v>306</v>
      </c>
      <c r="C626" s="81" t="s">
        <v>421</v>
      </c>
      <c r="D626" s="81" t="s">
        <v>421</v>
      </c>
      <c r="E626" s="81"/>
      <c r="F626" s="81"/>
      <c r="G626" s="81"/>
      <c r="H626" s="81"/>
      <c r="I626" s="81"/>
      <c r="J626" s="81"/>
      <c r="K626" s="99">
        <v>46174.0</v>
      </c>
      <c r="L626" s="99">
        <v>46280.0</v>
      </c>
      <c r="M626" s="99" t="str">
        <f t="shared" si="1"/>
        <v>Chưa đến hạn</v>
      </c>
      <c r="N626" s="81"/>
      <c r="O626" s="81"/>
      <c r="P626" s="22"/>
      <c r="Q626" s="81"/>
      <c r="R626" s="66"/>
      <c r="S626" s="66"/>
    </row>
    <row r="627" ht="15.75" hidden="1" customHeight="1" outlineLevel="3">
      <c r="A627" s="106" t="s">
        <v>99</v>
      </c>
      <c r="B627" s="81" t="s">
        <v>306</v>
      </c>
      <c r="C627" s="102"/>
      <c r="D627" s="102"/>
      <c r="E627" s="81" t="s">
        <v>422</v>
      </c>
      <c r="F627" s="81"/>
      <c r="G627" s="81"/>
      <c r="H627" s="81"/>
      <c r="I627" s="81"/>
      <c r="J627" s="81"/>
      <c r="K627" s="99">
        <v>46174.0</v>
      </c>
      <c r="L627" s="99">
        <v>46280.0</v>
      </c>
      <c r="M627" s="99" t="str">
        <f t="shared" si="1"/>
        <v>Chưa đến hạn</v>
      </c>
      <c r="N627" s="81"/>
      <c r="O627" s="81"/>
      <c r="P627" s="22"/>
      <c r="Q627" s="81"/>
      <c r="R627" s="66"/>
      <c r="S627" s="66"/>
    </row>
    <row r="628" ht="15.75" hidden="1" customHeight="1" outlineLevel="3">
      <c r="A628" s="106" t="s">
        <v>99</v>
      </c>
      <c r="B628" s="81" t="s">
        <v>306</v>
      </c>
      <c r="C628" s="81"/>
      <c r="D628" s="81"/>
      <c r="E628" s="81" t="s">
        <v>375</v>
      </c>
      <c r="F628" s="81"/>
      <c r="G628" s="81"/>
      <c r="H628" s="81"/>
      <c r="I628" s="81"/>
      <c r="J628" s="81"/>
      <c r="K628" s="99">
        <v>46174.0</v>
      </c>
      <c r="L628" s="99">
        <v>46280.0</v>
      </c>
      <c r="M628" s="99" t="str">
        <f t="shared" si="1"/>
        <v>Chưa đến hạn</v>
      </c>
      <c r="N628" s="81"/>
      <c r="O628" s="81"/>
      <c r="P628" s="22"/>
      <c r="Q628" s="81"/>
      <c r="R628" s="66"/>
      <c r="S628" s="66"/>
    </row>
    <row r="629" ht="15.75" hidden="1" customHeight="1" outlineLevel="3">
      <c r="A629" s="106" t="s">
        <v>99</v>
      </c>
      <c r="B629" s="81" t="s">
        <v>306</v>
      </c>
      <c r="C629" s="81"/>
      <c r="D629" s="81"/>
      <c r="E629" s="81" t="s">
        <v>423</v>
      </c>
      <c r="F629" s="81"/>
      <c r="G629" s="81"/>
      <c r="H629" s="81"/>
      <c r="I629" s="81"/>
      <c r="J629" s="81"/>
      <c r="K629" s="99">
        <v>46174.0</v>
      </c>
      <c r="L629" s="99">
        <v>46280.0</v>
      </c>
      <c r="M629" s="99" t="str">
        <f t="shared" si="1"/>
        <v>Chưa đến hạn</v>
      </c>
      <c r="N629" s="81"/>
      <c r="O629" s="81"/>
      <c r="P629" s="22"/>
      <c r="Q629" s="81"/>
      <c r="R629" s="66"/>
      <c r="S629" s="66"/>
    </row>
    <row r="630" ht="15.75" hidden="1" customHeight="1" outlineLevel="3">
      <c r="A630" s="106" t="s">
        <v>99</v>
      </c>
      <c r="B630" s="81" t="s">
        <v>306</v>
      </c>
      <c r="C630" s="81"/>
      <c r="D630" s="81"/>
      <c r="E630" s="81" t="s">
        <v>424</v>
      </c>
      <c r="F630" s="81"/>
      <c r="G630" s="81"/>
      <c r="H630" s="81"/>
      <c r="I630" s="81"/>
      <c r="J630" s="81"/>
      <c r="K630" s="99">
        <v>46174.0</v>
      </c>
      <c r="L630" s="99">
        <v>46280.0</v>
      </c>
      <c r="M630" s="99" t="str">
        <f t="shared" si="1"/>
        <v>Chưa đến hạn</v>
      </c>
      <c r="N630" s="81"/>
      <c r="O630" s="81"/>
      <c r="P630" s="22"/>
      <c r="Q630" s="81"/>
      <c r="R630" s="66"/>
      <c r="S630" s="66"/>
    </row>
    <row r="631" ht="15.75" hidden="1" customHeight="1" outlineLevel="3">
      <c r="A631" s="106" t="s">
        <v>99</v>
      </c>
      <c r="B631" s="81" t="s">
        <v>306</v>
      </c>
      <c r="C631" s="81"/>
      <c r="D631" s="81"/>
      <c r="E631" s="81" t="s">
        <v>425</v>
      </c>
      <c r="F631" s="81"/>
      <c r="G631" s="81"/>
      <c r="H631" s="81"/>
      <c r="I631" s="81"/>
      <c r="J631" s="81"/>
      <c r="K631" s="99">
        <v>46174.0</v>
      </c>
      <c r="L631" s="99">
        <v>46280.0</v>
      </c>
      <c r="M631" s="99" t="str">
        <f t="shared" si="1"/>
        <v>Chưa đến hạn</v>
      </c>
      <c r="N631" s="81"/>
      <c r="O631" s="81"/>
      <c r="P631" s="22"/>
      <c r="Q631" s="81"/>
      <c r="R631" s="66"/>
      <c r="S631" s="66"/>
    </row>
    <row r="632" ht="15.75" hidden="1" customHeight="1" outlineLevel="3">
      <c r="A632" s="106" t="s">
        <v>99</v>
      </c>
      <c r="B632" s="81" t="s">
        <v>306</v>
      </c>
      <c r="C632" s="81"/>
      <c r="D632" s="81"/>
      <c r="E632" s="81" t="s">
        <v>426</v>
      </c>
      <c r="F632" s="81"/>
      <c r="G632" s="81"/>
      <c r="H632" s="81"/>
      <c r="I632" s="81"/>
      <c r="J632" s="81"/>
      <c r="K632" s="99">
        <v>46174.0</v>
      </c>
      <c r="L632" s="99">
        <v>46280.0</v>
      </c>
      <c r="M632" s="99" t="str">
        <f t="shared" si="1"/>
        <v>Chưa đến hạn</v>
      </c>
      <c r="N632" s="81"/>
      <c r="O632" s="81"/>
      <c r="P632" s="22"/>
      <c r="Q632" s="81"/>
      <c r="R632" s="66"/>
      <c r="S632" s="66"/>
    </row>
    <row r="633" ht="15.75" hidden="1" customHeight="1" outlineLevel="3">
      <c r="A633" s="106" t="s">
        <v>99</v>
      </c>
      <c r="B633" s="81" t="s">
        <v>306</v>
      </c>
      <c r="C633" s="81"/>
      <c r="D633" s="81"/>
      <c r="E633" s="81" t="s">
        <v>427</v>
      </c>
      <c r="F633" s="81"/>
      <c r="G633" s="81"/>
      <c r="H633" s="81"/>
      <c r="I633" s="81"/>
      <c r="J633" s="81"/>
      <c r="K633" s="99">
        <v>46174.0</v>
      </c>
      <c r="L633" s="99">
        <v>46280.0</v>
      </c>
      <c r="M633" s="99" t="str">
        <f t="shared" si="1"/>
        <v>Chưa đến hạn</v>
      </c>
      <c r="N633" s="81"/>
      <c r="O633" s="81"/>
      <c r="P633" s="22"/>
      <c r="Q633" s="81"/>
      <c r="R633" s="66"/>
      <c r="S633" s="66"/>
    </row>
    <row r="634" ht="15.75" hidden="1" customHeight="1" outlineLevel="2">
      <c r="A634" s="106" t="s">
        <v>99</v>
      </c>
      <c r="B634" s="81" t="s">
        <v>306</v>
      </c>
      <c r="C634" s="81" t="s">
        <v>428</v>
      </c>
      <c r="D634" s="81" t="s">
        <v>428</v>
      </c>
      <c r="E634" s="81"/>
      <c r="F634" s="81"/>
      <c r="G634" s="81"/>
      <c r="H634" s="81"/>
      <c r="I634" s="81"/>
      <c r="J634" s="81"/>
      <c r="K634" s="99">
        <v>46174.0</v>
      </c>
      <c r="L634" s="99">
        <v>46280.0</v>
      </c>
      <c r="M634" s="99" t="str">
        <f t="shared" si="1"/>
        <v>Chưa đến hạn</v>
      </c>
      <c r="N634" s="81"/>
      <c r="O634" s="81"/>
      <c r="P634" s="22"/>
      <c r="Q634" s="81"/>
      <c r="R634" s="66"/>
      <c r="S634" s="66"/>
    </row>
    <row r="635" ht="15.75" hidden="1" customHeight="1" outlineLevel="3">
      <c r="A635" s="106" t="s">
        <v>99</v>
      </c>
      <c r="B635" s="81" t="s">
        <v>306</v>
      </c>
      <c r="C635" s="102"/>
      <c r="D635" s="102"/>
      <c r="E635" s="81" t="s">
        <v>429</v>
      </c>
      <c r="F635" s="81"/>
      <c r="G635" s="81"/>
      <c r="H635" s="81"/>
      <c r="I635" s="81"/>
      <c r="J635" s="81"/>
      <c r="K635" s="99">
        <v>46174.0</v>
      </c>
      <c r="L635" s="99">
        <v>46280.0</v>
      </c>
      <c r="M635" s="99" t="str">
        <f t="shared" si="1"/>
        <v>Chưa đến hạn</v>
      </c>
      <c r="N635" s="81"/>
      <c r="O635" s="81"/>
      <c r="P635" s="22"/>
      <c r="Q635" s="81"/>
      <c r="R635" s="66"/>
      <c r="S635" s="66"/>
    </row>
    <row r="636" ht="15.75" hidden="1" customHeight="1" outlineLevel="3">
      <c r="A636" s="106" t="s">
        <v>99</v>
      </c>
      <c r="B636" s="81" t="s">
        <v>306</v>
      </c>
      <c r="C636" s="81"/>
      <c r="D636" s="81"/>
      <c r="E636" s="81" t="s">
        <v>375</v>
      </c>
      <c r="F636" s="81"/>
      <c r="G636" s="81"/>
      <c r="H636" s="81"/>
      <c r="I636" s="81"/>
      <c r="J636" s="81"/>
      <c r="K636" s="99">
        <v>46174.0</v>
      </c>
      <c r="L636" s="99">
        <v>46280.0</v>
      </c>
      <c r="M636" s="99" t="str">
        <f t="shared" si="1"/>
        <v>Chưa đến hạn</v>
      </c>
      <c r="N636" s="81"/>
      <c r="O636" s="81"/>
      <c r="P636" s="22"/>
      <c r="Q636" s="81"/>
      <c r="R636" s="66"/>
      <c r="S636" s="66"/>
    </row>
    <row r="637" ht="15.75" hidden="1" customHeight="1" outlineLevel="3">
      <c r="A637" s="106" t="s">
        <v>99</v>
      </c>
      <c r="B637" s="81" t="s">
        <v>306</v>
      </c>
      <c r="C637" s="81"/>
      <c r="D637" s="81"/>
      <c r="E637" s="81" t="s">
        <v>430</v>
      </c>
      <c r="F637" s="81"/>
      <c r="G637" s="81"/>
      <c r="H637" s="81"/>
      <c r="I637" s="81"/>
      <c r="J637" s="81"/>
      <c r="K637" s="99">
        <v>46174.0</v>
      </c>
      <c r="L637" s="99">
        <v>46280.0</v>
      </c>
      <c r="M637" s="99" t="str">
        <f t="shared" si="1"/>
        <v>Chưa đến hạn</v>
      </c>
      <c r="N637" s="81"/>
      <c r="O637" s="81"/>
      <c r="P637" s="22"/>
      <c r="Q637" s="81"/>
      <c r="R637" s="66"/>
      <c r="S637" s="66"/>
    </row>
    <row r="638" ht="15.75" hidden="1" customHeight="1" outlineLevel="3">
      <c r="A638" s="106" t="s">
        <v>99</v>
      </c>
      <c r="B638" s="81" t="s">
        <v>306</v>
      </c>
      <c r="C638" s="81"/>
      <c r="D638" s="81"/>
      <c r="E638" s="81" t="s">
        <v>431</v>
      </c>
      <c r="F638" s="81"/>
      <c r="G638" s="81"/>
      <c r="H638" s="81"/>
      <c r="I638" s="81"/>
      <c r="J638" s="81"/>
      <c r="K638" s="99">
        <v>46174.0</v>
      </c>
      <c r="L638" s="99">
        <v>46280.0</v>
      </c>
      <c r="M638" s="99" t="str">
        <f t="shared" si="1"/>
        <v>Chưa đến hạn</v>
      </c>
      <c r="N638" s="81"/>
      <c r="O638" s="81"/>
      <c r="P638" s="22"/>
      <c r="Q638" s="81"/>
      <c r="R638" s="66"/>
      <c r="S638" s="66"/>
    </row>
    <row r="639" ht="15.75" hidden="1" customHeight="1" outlineLevel="3">
      <c r="A639" s="106" t="s">
        <v>99</v>
      </c>
      <c r="B639" s="81" t="s">
        <v>306</v>
      </c>
      <c r="C639" s="81"/>
      <c r="D639" s="81"/>
      <c r="E639" s="81" t="s">
        <v>432</v>
      </c>
      <c r="F639" s="81"/>
      <c r="G639" s="81"/>
      <c r="H639" s="81"/>
      <c r="I639" s="81"/>
      <c r="J639" s="81"/>
      <c r="K639" s="99">
        <v>46174.0</v>
      </c>
      <c r="L639" s="99">
        <v>46280.0</v>
      </c>
      <c r="M639" s="99" t="str">
        <f t="shared" si="1"/>
        <v>Chưa đến hạn</v>
      </c>
      <c r="N639" s="81"/>
      <c r="O639" s="81"/>
      <c r="P639" s="22"/>
      <c r="Q639" s="81"/>
      <c r="R639" s="66"/>
      <c r="S639" s="66"/>
    </row>
    <row r="640" ht="15.75" hidden="1" customHeight="1" outlineLevel="3">
      <c r="A640" s="106" t="s">
        <v>99</v>
      </c>
      <c r="B640" s="81" t="s">
        <v>306</v>
      </c>
      <c r="C640" s="81"/>
      <c r="D640" s="81"/>
      <c r="E640" s="81" t="s">
        <v>433</v>
      </c>
      <c r="F640" s="81"/>
      <c r="G640" s="81"/>
      <c r="H640" s="81"/>
      <c r="I640" s="81"/>
      <c r="J640" s="81"/>
      <c r="K640" s="99">
        <v>46174.0</v>
      </c>
      <c r="L640" s="99">
        <v>46280.0</v>
      </c>
      <c r="M640" s="99" t="str">
        <f t="shared" si="1"/>
        <v>Chưa đến hạn</v>
      </c>
      <c r="N640" s="81"/>
      <c r="O640" s="81"/>
      <c r="P640" s="22"/>
      <c r="Q640" s="81"/>
      <c r="R640" s="66"/>
      <c r="S640" s="66"/>
    </row>
    <row r="641" ht="15.75" hidden="1" customHeight="1" outlineLevel="3">
      <c r="A641" s="106" t="s">
        <v>99</v>
      </c>
      <c r="B641" s="81" t="s">
        <v>306</v>
      </c>
      <c r="C641" s="81"/>
      <c r="D641" s="81"/>
      <c r="E641" s="81" t="s">
        <v>434</v>
      </c>
      <c r="F641" s="81"/>
      <c r="G641" s="81"/>
      <c r="H641" s="81"/>
      <c r="I641" s="81"/>
      <c r="J641" s="81"/>
      <c r="K641" s="99">
        <v>46174.0</v>
      </c>
      <c r="L641" s="99">
        <v>46280.0</v>
      </c>
      <c r="M641" s="99" t="str">
        <f t="shared" si="1"/>
        <v>Chưa đến hạn</v>
      </c>
      <c r="N641" s="81"/>
      <c r="O641" s="81"/>
      <c r="P641" s="22"/>
      <c r="Q641" s="81"/>
      <c r="R641" s="66"/>
      <c r="S641" s="66"/>
    </row>
    <row r="642" ht="15.75" hidden="1" customHeight="1" outlineLevel="2">
      <c r="A642" s="106" t="s">
        <v>99</v>
      </c>
      <c r="B642" s="81" t="s">
        <v>306</v>
      </c>
      <c r="C642" s="81" t="s">
        <v>435</v>
      </c>
      <c r="D642" s="81" t="s">
        <v>435</v>
      </c>
      <c r="E642" s="81"/>
      <c r="F642" s="81"/>
      <c r="G642" s="81"/>
      <c r="H642" s="81"/>
      <c r="I642" s="81"/>
      <c r="J642" s="81"/>
      <c r="K642" s="99">
        <v>46174.0</v>
      </c>
      <c r="L642" s="99">
        <v>46280.0</v>
      </c>
      <c r="M642" s="99" t="str">
        <f t="shared" si="1"/>
        <v>Chưa đến hạn</v>
      </c>
      <c r="N642" s="81"/>
      <c r="O642" s="81"/>
      <c r="P642" s="22"/>
      <c r="Q642" s="81"/>
      <c r="R642" s="66"/>
      <c r="S642" s="66"/>
    </row>
    <row r="643" ht="15.75" hidden="1" customHeight="1" outlineLevel="3">
      <c r="A643" s="106" t="s">
        <v>99</v>
      </c>
      <c r="B643" s="81" t="s">
        <v>306</v>
      </c>
      <c r="C643" s="102"/>
      <c r="D643" s="102"/>
      <c r="E643" s="81" t="s">
        <v>436</v>
      </c>
      <c r="F643" s="81"/>
      <c r="G643" s="81"/>
      <c r="H643" s="81"/>
      <c r="I643" s="81"/>
      <c r="J643" s="81"/>
      <c r="K643" s="99">
        <v>46174.0</v>
      </c>
      <c r="L643" s="99">
        <v>46280.0</v>
      </c>
      <c r="M643" s="99" t="str">
        <f t="shared" si="1"/>
        <v>Chưa đến hạn</v>
      </c>
      <c r="N643" s="81"/>
      <c r="O643" s="81"/>
      <c r="P643" s="22"/>
      <c r="Q643" s="81"/>
      <c r="R643" s="66"/>
      <c r="S643" s="66"/>
    </row>
    <row r="644" ht="15.75" hidden="1" customHeight="1" outlineLevel="3">
      <c r="A644" s="106" t="s">
        <v>99</v>
      </c>
      <c r="B644" s="81" t="s">
        <v>306</v>
      </c>
      <c r="C644" s="81"/>
      <c r="D644" s="81"/>
      <c r="E644" s="81" t="s">
        <v>375</v>
      </c>
      <c r="F644" s="81"/>
      <c r="G644" s="81"/>
      <c r="H644" s="81"/>
      <c r="I644" s="81"/>
      <c r="J644" s="81"/>
      <c r="K644" s="99">
        <v>46174.0</v>
      </c>
      <c r="L644" s="99">
        <v>46280.0</v>
      </c>
      <c r="M644" s="99" t="str">
        <f t="shared" si="1"/>
        <v>Chưa đến hạn</v>
      </c>
      <c r="N644" s="81"/>
      <c r="O644" s="81"/>
      <c r="P644" s="22"/>
      <c r="Q644" s="81"/>
      <c r="R644" s="66"/>
      <c r="S644" s="66"/>
    </row>
    <row r="645" ht="15.75" hidden="1" customHeight="1" outlineLevel="3">
      <c r="A645" s="106" t="s">
        <v>99</v>
      </c>
      <c r="B645" s="81" t="s">
        <v>306</v>
      </c>
      <c r="C645" s="81"/>
      <c r="D645" s="81"/>
      <c r="E645" s="81" t="s">
        <v>437</v>
      </c>
      <c r="F645" s="81"/>
      <c r="G645" s="81"/>
      <c r="H645" s="81"/>
      <c r="I645" s="81"/>
      <c r="J645" s="81"/>
      <c r="K645" s="99">
        <v>46174.0</v>
      </c>
      <c r="L645" s="99">
        <v>46280.0</v>
      </c>
      <c r="M645" s="99" t="str">
        <f t="shared" si="1"/>
        <v>Chưa đến hạn</v>
      </c>
      <c r="N645" s="81"/>
      <c r="O645" s="81"/>
      <c r="P645" s="22"/>
      <c r="Q645" s="81"/>
      <c r="R645" s="66"/>
      <c r="S645" s="66"/>
    </row>
    <row r="646" ht="15.75" hidden="1" customHeight="1" outlineLevel="3">
      <c r="A646" s="106" t="s">
        <v>99</v>
      </c>
      <c r="B646" s="81" t="s">
        <v>306</v>
      </c>
      <c r="C646" s="81"/>
      <c r="D646" s="81"/>
      <c r="E646" s="81" t="s">
        <v>438</v>
      </c>
      <c r="F646" s="81"/>
      <c r="G646" s="81"/>
      <c r="H646" s="81"/>
      <c r="I646" s="81"/>
      <c r="J646" s="81"/>
      <c r="K646" s="99">
        <v>46174.0</v>
      </c>
      <c r="L646" s="99">
        <v>46280.0</v>
      </c>
      <c r="M646" s="99" t="str">
        <f t="shared" si="1"/>
        <v>Chưa đến hạn</v>
      </c>
      <c r="N646" s="81"/>
      <c r="O646" s="81"/>
      <c r="P646" s="22"/>
      <c r="Q646" s="81"/>
      <c r="R646" s="66"/>
      <c r="S646" s="66"/>
    </row>
    <row r="647" ht="15.75" hidden="1" customHeight="1" outlineLevel="3">
      <c r="A647" s="106" t="s">
        <v>99</v>
      </c>
      <c r="B647" s="81" t="s">
        <v>306</v>
      </c>
      <c r="C647" s="81"/>
      <c r="D647" s="81"/>
      <c r="E647" s="81" t="s">
        <v>439</v>
      </c>
      <c r="F647" s="81"/>
      <c r="G647" s="81"/>
      <c r="H647" s="81"/>
      <c r="I647" s="81"/>
      <c r="J647" s="81"/>
      <c r="K647" s="99">
        <v>46174.0</v>
      </c>
      <c r="L647" s="99">
        <v>46280.0</v>
      </c>
      <c r="M647" s="99" t="str">
        <f t="shared" si="1"/>
        <v>Chưa đến hạn</v>
      </c>
      <c r="N647" s="81"/>
      <c r="O647" s="81"/>
      <c r="P647" s="22"/>
      <c r="Q647" s="81"/>
      <c r="R647" s="66"/>
      <c r="S647" s="66"/>
    </row>
    <row r="648" ht="15.75" hidden="1" customHeight="1" outlineLevel="3">
      <c r="A648" s="106" t="s">
        <v>99</v>
      </c>
      <c r="B648" s="81" t="s">
        <v>306</v>
      </c>
      <c r="C648" s="81"/>
      <c r="D648" s="81"/>
      <c r="E648" s="81" t="s">
        <v>440</v>
      </c>
      <c r="F648" s="81"/>
      <c r="G648" s="81"/>
      <c r="H648" s="81"/>
      <c r="I648" s="81"/>
      <c r="J648" s="81"/>
      <c r="K648" s="99">
        <v>46174.0</v>
      </c>
      <c r="L648" s="99">
        <v>46280.0</v>
      </c>
      <c r="M648" s="99" t="str">
        <f t="shared" si="1"/>
        <v>Chưa đến hạn</v>
      </c>
      <c r="N648" s="81"/>
      <c r="O648" s="81"/>
      <c r="P648" s="22"/>
      <c r="Q648" s="81"/>
      <c r="R648" s="66"/>
      <c r="S648" s="66"/>
    </row>
    <row r="649" ht="15.75" hidden="1" customHeight="1" outlineLevel="3">
      <c r="A649" s="106" t="s">
        <v>99</v>
      </c>
      <c r="B649" s="81" t="s">
        <v>306</v>
      </c>
      <c r="C649" s="81"/>
      <c r="D649" s="81"/>
      <c r="E649" s="81" t="s">
        <v>441</v>
      </c>
      <c r="F649" s="81"/>
      <c r="G649" s="81"/>
      <c r="H649" s="81"/>
      <c r="I649" s="81"/>
      <c r="J649" s="81"/>
      <c r="K649" s="99">
        <v>46174.0</v>
      </c>
      <c r="L649" s="99">
        <v>46280.0</v>
      </c>
      <c r="M649" s="99" t="str">
        <f t="shared" si="1"/>
        <v>Chưa đến hạn</v>
      </c>
      <c r="N649" s="81"/>
      <c r="O649" s="81"/>
      <c r="P649" s="22"/>
      <c r="Q649" s="81"/>
      <c r="R649" s="66"/>
      <c r="S649" s="66"/>
    </row>
    <row r="650" ht="15.75" hidden="1" customHeight="1" outlineLevel="2">
      <c r="A650" s="106" t="s">
        <v>99</v>
      </c>
      <c r="B650" s="81" t="s">
        <v>306</v>
      </c>
      <c r="C650" s="81" t="s">
        <v>442</v>
      </c>
      <c r="D650" s="81" t="s">
        <v>442</v>
      </c>
      <c r="E650" s="81"/>
      <c r="F650" s="81"/>
      <c r="G650" s="81"/>
      <c r="H650" s="81"/>
      <c r="I650" s="81"/>
      <c r="J650" s="81"/>
      <c r="K650" s="99">
        <v>46174.0</v>
      </c>
      <c r="L650" s="99">
        <v>46280.0</v>
      </c>
      <c r="M650" s="99" t="str">
        <f t="shared" si="1"/>
        <v>Chưa đến hạn</v>
      </c>
      <c r="N650" s="81"/>
      <c r="O650" s="81"/>
      <c r="P650" s="22"/>
      <c r="Q650" s="81"/>
      <c r="R650" s="66"/>
      <c r="S650" s="66"/>
    </row>
    <row r="651" ht="15.75" hidden="1" customHeight="1" outlineLevel="3">
      <c r="A651" s="106" t="s">
        <v>99</v>
      </c>
      <c r="B651" s="81" t="s">
        <v>306</v>
      </c>
      <c r="C651" s="81" t="s">
        <v>442</v>
      </c>
      <c r="D651" s="81" t="s">
        <v>442</v>
      </c>
      <c r="E651" s="81" t="s">
        <v>443</v>
      </c>
      <c r="F651" s="81"/>
      <c r="G651" s="81"/>
      <c r="H651" s="81"/>
      <c r="I651" s="81"/>
      <c r="J651" s="81"/>
      <c r="K651" s="99">
        <v>46174.0</v>
      </c>
      <c r="L651" s="99">
        <v>46280.0</v>
      </c>
      <c r="M651" s="99" t="str">
        <f t="shared" si="1"/>
        <v>Chưa đến hạn</v>
      </c>
      <c r="N651" s="81"/>
      <c r="O651" s="81"/>
      <c r="P651" s="22"/>
      <c r="Q651" s="81"/>
      <c r="R651" s="66"/>
      <c r="S651" s="66"/>
    </row>
    <row r="652" ht="15.75" hidden="1" customHeight="1" outlineLevel="3">
      <c r="A652" s="106" t="s">
        <v>99</v>
      </c>
      <c r="B652" s="81" t="s">
        <v>306</v>
      </c>
      <c r="C652" s="81" t="s">
        <v>442</v>
      </c>
      <c r="D652" s="81" t="s">
        <v>442</v>
      </c>
      <c r="E652" s="81" t="s">
        <v>375</v>
      </c>
      <c r="F652" s="81"/>
      <c r="G652" s="81"/>
      <c r="H652" s="81"/>
      <c r="I652" s="81"/>
      <c r="J652" s="81"/>
      <c r="K652" s="99">
        <v>46174.0</v>
      </c>
      <c r="L652" s="99">
        <v>46280.0</v>
      </c>
      <c r="M652" s="99" t="str">
        <f t="shared" si="1"/>
        <v>Chưa đến hạn</v>
      </c>
      <c r="N652" s="81"/>
      <c r="O652" s="81"/>
      <c r="P652" s="22"/>
      <c r="Q652" s="81"/>
      <c r="R652" s="66"/>
      <c r="S652" s="66"/>
    </row>
    <row r="653" ht="15.75" hidden="1" customHeight="1" outlineLevel="3">
      <c r="A653" s="106" t="s">
        <v>99</v>
      </c>
      <c r="B653" s="81" t="s">
        <v>306</v>
      </c>
      <c r="C653" s="81" t="s">
        <v>442</v>
      </c>
      <c r="D653" s="81" t="s">
        <v>442</v>
      </c>
      <c r="E653" s="81" t="s">
        <v>444</v>
      </c>
      <c r="F653" s="81"/>
      <c r="G653" s="81"/>
      <c r="H653" s="81"/>
      <c r="I653" s="81"/>
      <c r="J653" s="81"/>
      <c r="K653" s="99">
        <v>46174.0</v>
      </c>
      <c r="L653" s="99">
        <v>46280.0</v>
      </c>
      <c r="M653" s="99" t="str">
        <f t="shared" si="1"/>
        <v>Chưa đến hạn</v>
      </c>
      <c r="N653" s="81"/>
      <c r="O653" s="81"/>
      <c r="P653" s="22"/>
      <c r="Q653" s="81"/>
      <c r="R653" s="66"/>
      <c r="S653" s="66"/>
    </row>
    <row r="654" ht="15.75" hidden="1" customHeight="1" outlineLevel="3">
      <c r="A654" s="106" t="s">
        <v>99</v>
      </c>
      <c r="B654" s="81" t="s">
        <v>306</v>
      </c>
      <c r="C654" s="81" t="s">
        <v>442</v>
      </c>
      <c r="D654" s="81" t="s">
        <v>442</v>
      </c>
      <c r="E654" s="81" t="s">
        <v>445</v>
      </c>
      <c r="F654" s="81"/>
      <c r="G654" s="81"/>
      <c r="H654" s="81"/>
      <c r="I654" s="81"/>
      <c r="J654" s="81"/>
      <c r="K654" s="99">
        <v>46174.0</v>
      </c>
      <c r="L654" s="99">
        <v>46280.0</v>
      </c>
      <c r="M654" s="99" t="str">
        <f t="shared" si="1"/>
        <v>Chưa đến hạn</v>
      </c>
      <c r="N654" s="81"/>
      <c r="O654" s="81"/>
      <c r="P654" s="22"/>
      <c r="Q654" s="81"/>
      <c r="R654" s="66"/>
      <c r="S654" s="66"/>
    </row>
    <row r="655" ht="15.75" hidden="1" customHeight="1" outlineLevel="3">
      <c r="A655" s="106" t="s">
        <v>99</v>
      </c>
      <c r="B655" s="81" t="s">
        <v>306</v>
      </c>
      <c r="C655" s="81" t="s">
        <v>442</v>
      </c>
      <c r="D655" s="81" t="s">
        <v>442</v>
      </c>
      <c r="E655" s="81" t="s">
        <v>446</v>
      </c>
      <c r="F655" s="81"/>
      <c r="G655" s="81"/>
      <c r="H655" s="81"/>
      <c r="I655" s="81"/>
      <c r="J655" s="81"/>
      <c r="K655" s="99">
        <v>46174.0</v>
      </c>
      <c r="L655" s="99">
        <v>46280.0</v>
      </c>
      <c r="M655" s="99" t="str">
        <f t="shared" si="1"/>
        <v>Chưa đến hạn</v>
      </c>
      <c r="N655" s="81"/>
      <c r="O655" s="81"/>
      <c r="P655" s="22"/>
      <c r="Q655" s="81"/>
      <c r="R655" s="66"/>
      <c r="S655" s="66"/>
    </row>
    <row r="656" ht="15.75" hidden="1" customHeight="1" outlineLevel="3">
      <c r="A656" s="106" t="s">
        <v>99</v>
      </c>
      <c r="B656" s="81" t="s">
        <v>306</v>
      </c>
      <c r="C656" s="81" t="s">
        <v>442</v>
      </c>
      <c r="D656" s="81" t="s">
        <v>442</v>
      </c>
      <c r="E656" s="81" t="s">
        <v>447</v>
      </c>
      <c r="F656" s="81"/>
      <c r="G656" s="81"/>
      <c r="H656" s="81"/>
      <c r="I656" s="81"/>
      <c r="J656" s="81"/>
      <c r="K656" s="99">
        <v>46174.0</v>
      </c>
      <c r="L656" s="99">
        <v>46280.0</v>
      </c>
      <c r="M656" s="99" t="str">
        <f t="shared" si="1"/>
        <v>Chưa đến hạn</v>
      </c>
      <c r="N656" s="81"/>
      <c r="O656" s="81"/>
      <c r="P656" s="22"/>
      <c r="Q656" s="81"/>
      <c r="R656" s="66"/>
      <c r="S656" s="66"/>
    </row>
    <row r="657" ht="15.75" hidden="1" customHeight="1" outlineLevel="3">
      <c r="A657" s="106" t="s">
        <v>99</v>
      </c>
      <c r="B657" s="81" t="s">
        <v>306</v>
      </c>
      <c r="C657" s="81" t="s">
        <v>442</v>
      </c>
      <c r="D657" s="81" t="s">
        <v>442</v>
      </c>
      <c r="E657" s="81" t="s">
        <v>448</v>
      </c>
      <c r="F657" s="81"/>
      <c r="G657" s="81"/>
      <c r="H657" s="81"/>
      <c r="I657" s="81"/>
      <c r="J657" s="81"/>
      <c r="K657" s="99">
        <v>46174.0</v>
      </c>
      <c r="L657" s="99">
        <v>46280.0</v>
      </c>
      <c r="M657" s="99" t="str">
        <f t="shared" si="1"/>
        <v>Chưa đến hạn</v>
      </c>
      <c r="N657" s="81"/>
      <c r="O657" s="81"/>
      <c r="P657" s="22"/>
      <c r="Q657" s="81"/>
      <c r="R657" s="66"/>
      <c r="S657" s="66"/>
    </row>
    <row r="658" ht="15.75" hidden="1" customHeight="1" outlineLevel="2">
      <c r="A658" s="106" t="s">
        <v>99</v>
      </c>
      <c r="B658" s="81" t="s">
        <v>306</v>
      </c>
      <c r="C658" s="81" t="s">
        <v>449</v>
      </c>
      <c r="D658" s="81" t="s">
        <v>449</v>
      </c>
      <c r="E658" s="81"/>
      <c r="F658" s="81"/>
      <c r="G658" s="81"/>
      <c r="H658" s="81"/>
      <c r="I658" s="81"/>
      <c r="J658" s="81"/>
      <c r="K658" s="99">
        <v>46174.0</v>
      </c>
      <c r="L658" s="99">
        <v>46280.0</v>
      </c>
      <c r="M658" s="99" t="str">
        <f t="shared" si="1"/>
        <v>Chưa đến hạn</v>
      </c>
      <c r="N658" s="81"/>
      <c r="O658" s="81"/>
      <c r="P658" s="22"/>
      <c r="Q658" s="81"/>
      <c r="R658" s="66"/>
      <c r="S658" s="66"/>
    </row>
    <row r="659" ht="15.75" hidden="1" customHeight="1" outlineLevel="3">
      <c r="A659" s="106" t="s">
        <v>99</v>
      </c>
      <c r="B659" s="81" t="s">
        <v>306</v>
      </c>
      <c r="C659" s="81" t="s">
        <v>449</v>
      </c>
      <c r="D659" s="81" t="s">
        <v>449</v>
      </c>
      <c r="E659" s="81" t="s">
        <v>450</v>
      </c>
      <c r="F659" s="81"/>
      <c r="G659" s="81"/>
      <c r="H659" s="81"/>
      <c r="I659" s="81"/>
      <c r="J659" s="81"/>
      <c r="K659" s="99">
        <v>46174.0</v>
      </c>
      <c r="L659" s="99">
        <v>46280.0</v>
      </c>
      <c r="M659" s="99" t="str">
        <f t="shared" si="1"/>
        <v>Chưa đến hạn</v>
      </c>
      <c r="N659" s="81"/>
      <c r="O659" s="81"/>
      <c r="P659" s="22"/>
      <c r="Q659" s="81"/>
      <c r="R659" s="66"/>
      <c r="S659" s="66"/>
    </row>
    <row r="660" ht="15.75" hidden="1" customHeight="1" outlineLevel="3">
      <c r="A660" s="106" t="s">
        <v>99</v>
      </c>
      <c r="B660" s="81" t="s">
        <v>306</v>
      </c>
      <c r="C660" s="81" t="s">
        <v>449</v>
      </c>
      <c r="D660" s="81" t="s">
        <v>449</v>
      </c>
      <c r="E660" s="81" t="s">
        <v>375</v>
      </c>
      <c r="F660" s="81"/>
      <c r="G660" s="81"/>
      <c r="H660" s="81"/>
      <c r="I660" s="81"/>
      <c r="J660" s="81"/>
      <c r="K660" s="99">
        <v>46174.0</v>
      </c>
      <c r="L660" s="99">
        <v>46280.0</v>
      </c>
      <c r="M660" s="99" t="str">
        <f t="shared" si="1"/>
        <v>Chưa đến hạn</v>
      </c>
      <c r="N660" s="81"/>
      <c r="O660" s="81"/>
      <c r="P660" s="22"/>
      <c r="Q660" s="81"/>
      <c r="R660" s="66"/>
      <c r="S660" s="66"/>
    </row>
    <row r="661" ht="15.75" hidden="1" customHeight="1" outlineLevel="3">
      <c r="A661" s="106" t="s">
        <v>99</v>
      </c>
      <c r="B661" s="81" t="s">
        <v>306</v>
      </c>
      <c r="C661" s="81" t="s">
        <v>449</v>
      </c>
      <c r="D661" s="81" t="s">
        <v>449</v>
      </c>
      <c r="E661" s="81" t="s">
        <v>451</v>
      </c>
      <c r="F661" s="81"/>
      <c r="G661" s="81"/>
      <c r="H661" s="81"/>
      <c r="I661" s="81"/>
      <c r="J661" s="81"/>
      <c r="K661" s="99">
        <v>46174.0</v>
      </c>
      <c r="L661" s="99">
        <v>46280.0</v>
      </c>
      <c r="M661" s="99" t="str">
        <f t="shared" si="1"/>
        <v>Chưa đến hạn</v>
      </c>
      <c r="N661" s="81"/>
      <c r="O661" s="81"/>
      <c r="P661" s="22"/>
      <c r="Q661" s="81"/>
      <c r="R661" s="66"/>
      <c r="S661" s="66"/>
    </row>
    <row r="662" ht="15.75" hidden="1" customHeight="1" outlineLevel="3">
      <c r="A662" s="106" t="s">
        <v>99</v>
      </c>
      <c r="B662" s="81" t="s">
        <v>306</v>
      </c>
      <c r="C662" s="81" t="s">
        <v>449</v>
      </c>
      <c r="D662" s="81" t="s">
        <v>449</v>
      </c>
      <c r="E662" s="81" t="s">
        <v>452</v>
      </c>
      <c r="F662" s="81"/>
      <c r="G662" s="81"/>
      <c r="H662" s="81"/>
      <c r="I662" s="81"/>
      <c r="J662" s="81"/>
      <c r="K662" s="99">
        <v>46174.0</v>
      </c>
      <c r="L662" s="99">
        <v>46280.0</v>
      </c>
      <c r="M662" s="99" t="str">
        <f t="shared" si="1"/>
        <v>Chưa đến hạn</v>
      </c>
      <c r="N662" s="81"/>
      <c r="O662" s="81"/>
      <c r="P662" s="22"/>
      <c r="Q662" s="81"/>
      <c r="R662" s="66"/>
      <c r="S662" s="66"/>
    </row>
    <row r="663" ht="15.75" hidden="1" customHeight="1" outlineLevel="3">
      <c r="A663" s="106" t="s">
        <v>99</v>
      </c>
      <c r="B663" s="81" t="s">
        <v>306</v>
      </c>
      <c r="C663" s="81" t="s">
        <v>449</v>
      </c>
      <c r="D663" s="81" t="s">
        <v>449</v>
      </c>
      <c r="E663" s="81" t="s">
        <v>453</v>
      </c>
      <c r="F663" s="81"/>
      <c r="G663" s="81"/>
      <c r="H663" s="81"/>
      <c r="I663" s="81"/>
      <c r="J663" s="81"/>
      <c r="K663" s="99">
        <v>46174.0</v>
      </c>
      <c r="L663" s="99">
        <v>46280.0</v>
      </c>
      <c r="M663" s="99" t="str">
        <f t="shared" si="1"/>
        <v>Chưa đến hạn</v>
      </c>
      <c r="N663" s="81"/>
      <c r="O663" s="81"/>
      <c r="P663" s="22"/>
      <c r="Q663" s="81"/>
      <c r="R663" s="66"/>
      <c r="S663" s="66"/>
    </row>
    <row r="664" ht="15.75" hidden="1" customHeight="1" outlineLevel="3">
      <c r="A664" s="106" t="s">
        <v>99</v>
      </c>
      <c r="B664" s="81" t="s">
        <v>306</v>
      </c>
      <c r="C664" s="81" t="s">
        <v>449</v>
      </c>
      <c r="D664" s="81" t="s">
        <v>449</v>
      </c>
      <c r="E664" s="81" t="s">
        <v>454</v>
      </c>
      <c r="F664" s="81"/>
      <c r="G664" s="81"/>
      <c r="H664" s="81"/>
      <c r="I664" s="81"/>
      <c r="J664" s="81"/>
      <c r="K664" s="99">
        <v>46174.0</v>
      </c>
      <c r="L664" s="99">
        <v>46280.0</v>
      </c>
      <c r="M664" s="99" t="str">
        <f t="shared" si="1"/>
        <v>Chưa đến hạn</v>
      </c>
      <c r="N664" s="81"/>
      <c r="O664" s="81"/>
      <c r="P664" s="22"/>
      <c r="Q664" s="81"/>
      <c r="R664" s="66"/>
      <c r="S664" s="66"/>
    </row>
    <row r="665" ht="15.75" hidden="1" customHeight="1" outlineLevel="3">
      <c r="A665" s="106" t="s">
        <v>99</v>
      </c>
      <c r="B665" s="81" t="s">
        <v>306</v>
      </c>
      <c r="C665" s="81" t="s">
        <v>449</v>
      </c>
      <c r="D665" s="81" t="s">
        <v>449</v>
      </c>
      <c r="E665" s="81" t="s">
        <v>455</v>
      </c>
      <c r="F665" s="81"/>
      <c r="G665" s="81"/>
      <c r="H665" s="81"/>
      <c r="I665" s="81"/>
      <c r="J665" s="81"/>
      <c r="K665" s="99">
        <v>46174.0</v>
      </c>
      <c r="L665" s="99">
        <v>46280.0</v>
      </c>
      <c r="M665" s="99" t="str">
        <f t="shared" si="1"/>
        <v>Chưa đến hạn</v>
      </c>
      <c r="N665" s="81"/>
      <c r="O665" s="81"/>
      <c r="P665" s="22"/>
      <c r="Q665" s="81"/>
      <c r="R665" s="66"/>
      <c r="S665" s="66"/>
    </row>
    <row r="666" ht="15.75" hidden="1" customHeight="1" outlineLevel="2">
      <c r="A666" s="106" t="s">
        <v>99</v>
      </c>
      <c r="B666" s="81" t="s">
        <v>306</v>
      </c>
      <c r="C666" s="81" t="s">
        <v>456</v>
      </c>
      <c r="D666" s="81" t="s">
        <v>456</v>
      </c>
      <c r="E666" s="81"/>
      <c r="F666" s="81"/>
      <c r="G666" s="81"/>
      <c r="H666" s="81"/>
      <c r="I666" s="81"/>
      <c r="J666" s="81"/>
      <c r="K666" s="99">
        <v>46174.0</v>
      </c>
      <c r="L666" s="99">
        <v>46280.0</v>
      </c>
      <c r="M666" s="99" t="str">
        <f t="shared" si="1"/>
        <v>Chưa đến hạn</v>
      </c>
      <c r="N666" s="81"/>
      <c r="O666" s="81"/>
      <c r="P666" s="22"/>
      <c r="Q666" s="81"/>
      <c r="R666" s="66"/>
      <c r="S666" s="66"/>
    </row>
    <row r="667" ht="15.75" hidden="1" customHeight="1" outlineLevel="3">
      <c r="A667" s="106" t="s">
        <v>99</v>
      </c>
      <c r="B667" s="81" t="s">
        <v>306</v>
      </c>
      <c r="C667" s="81" t="s">
        <v>456</v>
      </c>
      <c r="D667" s="81" t="s">
        <v>456</v>
      </c>
      <c r="E667" s="81" t="s">
        <v>457</v>
      </c>
      <c r="F667" s="81"/>
      <c r="G667" s="81"/>
      <c r="H667" s="81"/>
      <c r="I667" s="81"/>
      <c r="J667" s="81"/>
      <c r="K667" s="99">
        <v>46174.0</v>
      </c>
      <c r="L667" s="99">
        <v>46280.0</v>
      </c>
      <c r="M667" s="99" t="str">
        <f t="shared" si="1"/>
        <v>Chưa đến hạn</v>
      </c>
      <c r="N667" s="81"/>
      <c r="O667" s="81"/>
      <c r="P667" s="22"/>
      <c r="Q667" s="81"/>
      <c r="R667" s="66"/>
      <c r="S667" s="66"/>
    </row>
    <row r="668" ht="15.75" hidden="1" customHeight="1" outlineLevel="3">
      <c r="A668" s="106" t="s">
        <v>99</v>
      </c>
      <c r="B668" s="81" t="s">
        <v>306</v>
      </c>
      <c r="C668" s="81" t="s">
        <v>456</v>
      </c>
      <c r="D668" s="81" t="s">
        <v>456</v>
      </c>
      <c r="E668" s="81" t="s">
        <v>375</v>
      </c>
      <c r="F668" s="81"/>
      <c r="G668" s="81"/>
      <c r="H668" s="81"/>
      <c r="I668" s="81"/>
      <c r="J668" s="81"/>
      <c r="K668" s="99">
        <v>46174.0</v>
      </c>
      <c r="L668" s="99">
        <v>46280.0</v>
      </c>
      <c r="M668" s="99" t="str">
        <f t="shared" si="1"/>
        <v>Chưa đến hạn</v>
      </c>
      <c r="N668" s="81"/>
      <c r="O668" s="81"/>
      <c r="P668" s="22"/>
      <c r="Q668" s="81"/>
      <c r="R668" s="66"/>
      <c r="S668" s="66"/>
    </row>
    <row r="669" ht="15.75" hidden="1" customHeight="1" outlineLevel="3">
      <c r="A669" s="106" t="s">
        <v>99</v>
      </c>
      <c r="B669" s="81" t="s">
        <v>306</v>
      </c>
      <c r="C669" s="81" t="s">
        <v>456</v>
      </c>
      <c r="D669" s="81" t="s">
        <v>456</v>
      </c>
      <c r="E669" s="81" t="s">
        <v>458</v>
      </c>
      <c r="F669" s="81"/>
      <c r="G669" s="81"/>
      <c r="H669" s="81"/>
      <c r="I669" s="81"/>
      <c r="J669" s="81"/>
      <c r="K669" s="99">
        <v>46174.0</v>
      </c>
      <c r="L669" s="99">
        <v>46280.0</v>
      </c>
      <c r="M669" s="99" t="str">
        <f t="shared" si="1"/>
        <v>Chưa đến hạn</v>
      </c>
      <c r="N669" s="81"/>
      <c r="O669" s="81"/>
      <c r="P669" s="22"/>
      <c r="Q669" s="81"/>
      <c r="R669" s="66"/>
      <c r="S669" s="66"/>
    </row>
    <row r="670" ht="15.75" hidden="1" customHeight="1" outlineLevel="3">
      <c r="A670" s="106" t="s">
        <v>99</v>
      </c>
      <c r="B670" s="81" t="s">
        <v>306</v>
      </c>
      <c r="C670" s="81" t="s">
        <v>456</v>
      </c>
      <c r="D670" s="81" t="s">
        <v>456</v>
      </c>
      <c r="E670" s="81" t="s">
        <v>459</v>
      </c>
      <c r="F670" s="81"/>
      <c r="G670" s="81"/>
      <c r="H670" s="81"/>
      <c r="I670" s="81"/>
      <c r="J670" s="81"/>
      <c r="K670" s="99">
        <v>46174.0</v>
      </c>
      <c r="L670" s="99">
        <v>46280.0</v>
      </c>
      <c r="M670" s="99" t="str">
        <f t="shared" si="1"/>
        <v>Chưa đến hạn</v>
      </c>
      <c r="N670" s="81"/>
      <c r="O670" s="81"/>
      <c r="P670" s="22"/>
      <c r="Q670" s="81"/>
      <c r="R670" s="66"/>
      <c r="S670" s="66"/>
    </row>
    <row r="671" ht="15.75" hidden="1" customHeight="1" outlineLevel="3">
      <c r="A671" s="106" t="s">
        <v>99</v>
      </c>
      <c r="B671" s="81" t="s">
        <v>306</v>
      </c>
      <c r="C671" s="81" t="s">
        <v>456</v>
      </c>
      <c r="D671" s="81" t="s">
        <v>456</v>
      </c>
      <c r="E671" s="81" t="s">
        <v>460</v>
      </c>
      <c r="F671" s="81"/>
      <c r="G671" s="81"/>
      <c r="H671" s="81"/>
      <c r="I671" s="81"/>
      <c r="J671" s="81"/>
      <c r="K671" s="99">
        <v>46174.0</v>
      </c>
      <c r="L671" s="99">
        <v>46280.0</v>
      </c>
      <c r="M671" s="99" t="str">
        <f t="shared" si="1"/>
        <v>Chưa đến hạn</v>
      </c>
      <c r="N671" s="81"/>
      <c r="O671" s="81"/>
      <c r="P671" s="22"/>
      <c r="Q671" s="81"/>
      <c r="R671" s="66"/>
      <c r="S671" s="66"/>
    </row>
    <row r="672" ht="15.75" hidden="1" customHeight="1" outlineLevel="3">
      <c r="A672" s="106" t="s">
        <v>99</v>
      </c>
      <c r="B672" s="81" t="s">
        <v>306</v>
      </c>
      <c r="C672" s="81" t="s">
        <v>456</v>
      </c>
      <c r="D672" s="81" t="s">
        <v>456</v>
      </c>
      <c r="E672" s="81" t="s">
        <v>461</v>
      </c>
      <c r="F672" s="81"/>
      <c r="G672" s="81"/>
      <c r="H672" s="81"/>
      <c r="I672" s="81"/>
      <c r="J672" s="81"/>
      <c r="K672" s="99">
        <v>46174.0</v>
      </c>
      <c r="L672" s="99">
        <v>46280.0</v>
      </c>
      <c r="M672" s="99" t="str">
        <f t="shared" si="1"/>
        <v>Chưa đến hạn</v>
      </c>
      <c r="N672" s="81"/>
      <c r="O672" s="81"/>
      <c r="P672" s="22"/>
      <c r="Q672" s="81"/>
      <c r="R672" s="66"/>
      <c r="S672" s="66"/>
    </row>
    <row r="673" ht="15.75" hidden="1" customHeight="1" outlineLevel="3">
      <c r="A673" s="106" t="s">
        <v>99</v>
      </c>
      <c r="B673" s="81" t="s">
        <v>306</v>
      </c>
      <c r="C673" s="81" t="s">
        <v>456</v>
      </c>
      <c r="D673" s="81" t="s">
        <v>456</v>
      </c>
      <c r="E673" s="81" t="s">
        <v>462</v>
      </c>
      <c r="F673" s="81"/>
      <c r="G673" s="81"/>
      <c r="H673" s="81"/>
      <c r="I673" s="81"/>
      <c r="J673" s="81"/>
      <c r="K673" s="99">
        <v>46174.0</v>
      </c>
      <c r="L673" s="99">
        <v>46280.0</v>
      </c>
      <c r="M673" s="99" t="str">
        <f t="shared" si="1"/>
        <v>Chưa đến hạn</v>
      </c>
      <c r="N673" s="81"/>
      <c r="O673" s="81"/>
      <c r="P673" s="22"/>
      <c r="Q673" s="81"/>
      <c r="R673" s="66"/>
      <c r="S673" s="66"/>
    </row>
    <row r="674" ht="15.75" hidden="1" customHeight="1" outlineLevel="3">
      <c r="A674" s="106" t="s">
        <v>99</v>
      </c>
      <c r="B674" s="81" t="s">
        <v>306</v>
      </c>
      <c r="C674" s="81" t="s">
        <v>456</v>
      </c>
      <c r="D674" s="81" t="s">
        <v>456</v>
      </c>
      <c r="E674" s="81" t="s">
        <v>463</v>
      </c>
      <c r="F674" s="81"/>
      <c r="G674" s="81"/>
      <c r="H674" s="81"/>
      <c r="I674" s="81"/>
      <c r="J674" s="81"/>
      <c r="K674" s="99">
        <v>46174.0</v>
      </c>
      <c r="L674" s="99">
        <v>46280.0</v>
      </c>
      <c r="M674" s="99" t="str">
        <f t="shared" si="1"/>
        <v>Chưa đến hạn</v>
      </c>
      <c r="N674" s="81"/>
      <c r="O674" s="81"/>
      <c r="P674" s="22"/>
      <c r="Q674" s="81"/>
      <c r="R674" s="66"/>
      <c r="S674" s="66"/>
    </row>
    <row r="675" ht="15.75" hidden="1" customHeight="1" outlineLevel="2">
      <c r="A675" s="106" t="s">
        <v>99</v>
      </c>
      <c r="B675" s="81" t="s">
        <v>306</v>
      </c>
      <c r="C675" s="81" t="s">
        <v>464</v>
      </c>
      <c r="D675" s="81" t="s">
        <v>464</v>
      </c>
      <c r="E675" s="81"/>
      <c r="F675" s="81"/>
      <c r="G675" s="81"/>
      <c r="H675" s="81"/>
      <c r="I675" s="81"/>
      <c r="J675" s="81"/>
      <c r="K675" s="99">
        <v>46174.0</v>
      </c>
      <c r="L675" s="99">
        <v>46280.0</v>
      </c>
      <c r="M675" s="99" t="str">
        <f t="shared" si="1"/>
        <v>Chưa đến hạn</v>
      </c>
      <c r="N675" s="81"/>
      <c r="O675" s="81"/>
      <c r="P675" s="22"/>
      <c r="Q675" s="81"/>
      <c r="R675" s="66"/>
      <c r="S675" s="66"/>
    </row>
    <row r="676" ht="15.75" hidden="1" customHeight="1" outlineLevel="3">
      <c r="A676" s="106" t="s">
        <v>99</v>
      </c>
      <c r="B676" s="81" t="s">
        <v>306</v>
      </c>
      <c r="C676" s="81" t="s">
        <v>464</v>
      </c>
      <c r="D676" s="81" t="s">
        <v>464</v>
      </c>
      <c r="E676" s="81" t="s">
        <v>465</v>
      </c>
      <c r="F676" s="81"/>
      <c r="G676" s="81"/>
      <c r="H676" s="81"/>
      <c r="I676" s="81"/>
      <c r="J676" s="81"/>
      <c r="K676" s="99">
        <v>46174.0</v>
      </c>
      <c r="L676" s="99">
        <v>46280.0</v>
      </c>
      <c r="M676" s="99" t="str">
        <f t="shared" si="1"/>
        <v>Chưa đến hạn</v>
      </c>
      <c r="N676" s="81"/>
      <c r="O676" s="81"/>
      <c r="P676" s="22"/>
      <c r="Q676" s="81"/>
      <c r="R676" s="66"/>
      <c r="S676" s="66"/>
    </row>
    <row r="677" ht="15.75" hidden="1" customHeight="1" outlineLevel="3">
      <c r="A677" s="106" t="s">
        <v>99</v>
      </c>
      <c r="B677" s="81" t="s">
        <v>306</v>
      </c>
      <c r="C677" s="81" t="s">
        <v>464</v>
      </c>
      <c r="D677" s="81" t="s">
        <v>464</v>
      </c>
      <c r="E677" s="81" t="s">
        <v>375</v>
      </c>
      <c r="F677" s="81"/>
      <c r="G677" s="81"/>
      <c r="H677" s="81"/>
      <c r="I677" s="81"/>
      <c r="J677" s="81"/>
      <c r="K677" s="99">
        <v>46174.0</v>
      </c>
      <c r="L677" s="99">
        <v>46280.0</v>
      </c>
      <c r="M677" s="99" t="str">
        <f t="shared" si="1"/>
        <v>Chưa đến hạn</v>
      </c>
      <c r="N677" s="81"/>
      <c r="O677" s="81"/>
      <c r="P677" s="22"/>
      <c r="Q677" s="81"/>
      <c r="R677" s="66"/>
      <c r="S677" s="66"/>
    </row>
    <row r="678" ht="15.75" hidden="1" customHeight="1" outlineLevel="3">
      <c r="A678" s="106" t="s">
        <v>99</v>
      </c>
      <c r="B678" s="81" t="s">
        <v>306</v>
      </c>
      <c r="C678" s="81" t="s">
        <v>464</v>
      </c>
      <c r="D678" s="81" t="s">
        <v>464</v>
      </c>
      <c r="E678" s="81" t="s">
        <v>466</v>
      </c>
      <c r="F678" s="81"/>
      <c r="G678" s="81"/>
      <c r="H678" s="81"/>
      <c r="I678" s="81"/>
      <c r="J678" s="81"/>
      <c r="K678" s="99">
        <v>46174.0</v>
      </c>
      <c r="L678" s="99">
        <v>46280.0</v>
      </c>
      <c r="M678" s="99" t="str">
        <f t="shared" si="1"/>
        <v>Chưa đến hạn</v>
      </c>
      <c r="N678" s="81"/>
      <c r="O678" s="81"/>
      <c r="P678" s="22"/>
      <c r="Q678" s="81"/>
      <c r="R678" s="66"/>
      <c r="S678" s="66"/>
    </row>
    <row r="679" ht="15.75" hidden="1" customHeight="1" outlineLevel="3">
      <c r="A679" s="106" t="s">
        <v>99</v>
      </c>
      <c r="B679" s="81" t="s">
        <v>306</v>
      </c>
      <c r="C679" s="81" t="s">
        <v>464</v>
      </c>
      <c r="D679" s="81" t="s">
        <v>464</v>
      </c>
      <c r="E679" s="81" t="s">
        <v>467</v>
      </c>
      <c r="F679" s="81"/>
      <c r="G679" s="81"/>
      <c r="H679" s="81"/>
      <c r="I679" s="81"/>
      <c r="J679" s="81"/>
      <c r="K679" s="99">
        <v>46174.0</v>
      </c>
      <c r="L679" s="99">
        <v>46280.0</v>
      </c>
      <c r="M679" s="99" t="str">
        <f t="shared" si="1"/>
        <v>Chưa đến hạn</v>
      </c>
      <c r="N679" s="81"/>
      <c r="O679" s="81"/>
      <c r="P679" s="22"/>
      <c r="Q679" s="81"/>
      <c r="R679" s="66"/>
      <c r="S679" s="66"/>
    </row>
    <row r="680" ht="15.75" hidden="1" customHeight="1" outlineLevel="3">
      <c r="A680" s="106" t="s">
        <v>99</v>
      </c>
      <c r="B680" s="81" t="s">
        <v>306</v>
      </c>
      <c r="C680" s="81" t="s">
        <v>464</v>
      </c>
      <c r="D680" s="81" t="s">
        <v>464</v>
      </c>
      <c r="E680" s="81" t="s">
        <v>468</v>
      </c>
      <c r="F680" s="81"/>
      <c r="G680" s="81"/>
      <c r="H680" s="81"/>
      <c r="I680" s="81"/>
      <c r="J680" s="81"/>
      <c r="K680" s="99">
        <v>46174.0</v>
      </c>
      <c r="L680" s="99">
        <v>46280.0</v>
      </c>
      <c r="M680" s="99" t="str">
        <f t="shared" si="1"/>
        <v>Chưa đến hạn</v>
      </c>
      <c r="N680" s="81"/>
      <c r="O680" s="81"/>
      <c r="P680" s="22"/>
      <c r="Q680" s="81"/>
      <c r="R680" s="66"/>
      <c r="S680" s="66"/>
    </row>
    <row r="681" ht="15.75" hidden="1" customHeight="1" outlineLevel="3">
      <c r="A681" s="106" t="s">
        <v>99</v>
      </c>
      <c r="B681" s="81" t="s">
        <v>306</v>
      </c>
      <c r="C681" s="81" t="s">
        <v>464</v>
      </c>
      <c r="D681" s="81" t="s">
        <v>464</v>
      </c>
      <c r="E681" s="81" t="s">
        <v>469</v>
      </c>
      <c r="F681" s="81"/>
      <c r="G681" s="81"/>
      <c r="H681" s="81"/>
      <c r="I681" s="81"/>
      <c r="J681" s="81"/>
      <c r="K681" s="99">
        <v>46174.0</v>
      </c>
      <c r="L681" s="99">
        <v>46280.0</v>
      </c>
      <c r="M681" s="99" t="str">
        <f t="shared" si="1"/>
        <v>Chưa đến hạn</v>
      </c>
      <c r="N681" s="81"/>
      <c r="O681" s="81"/>
      <c r="P681" s="22"/>
      <c r="Q681" s="81"/>
      <c r="R681" s="66"/>
      <c r="S681" s="66"/>
    </row>
    <row r="682" ht="15.75" hidden="1" customHeight="1" outlineLevel="3">
      <c r="A682" s="106" t="s">
        <v>99</v>
      </c>
      <c r="B682" s="81" t="s">
        <v>306</v>
      </c>
      <c r="C682" s="81" t="s">
        <v>464</v>
      </c>
      <c r="D682" s="81" t="s">
        <v>464</v>
      </c>
      <c r="E682" s="81" t="s">
        <v>470</v>
      </c>
      <c r="F682" s="81"/>
      <c r="G682" s="81"/>
      <c r="H682" s="81"/>
      <c r="I682" s="81"/>
      <c r="J682" s="81"/>
      <c r="K682" s="99">
        <v>46174.0</v>
      </c>
      <c r="L682" s="99">
        <v>46280.0</v>
      </c>
      <c r="M682" s="99" t="str">
        <f t="shared" si="1"/>
        <v>Chưa đến hạn</v>
      </c>
      <c r="N682" s="81"/>
      <c r="O682" s="81"/>
      <c r="P682" s="22"/>
      <c r="Q682" s="81"/>
      <c r="R682" s="66"/>
      <c r="S682" s="66"/>
    </row>
    <row r="683" ht="15.75" hidden="1" customHeight="1" outlineLevel="2">
      <c r="A683" s="106" t="s">
        <v>99</v>
      </c>
      <c r="B683" s="81" t="s">
        <v>306</v>
      </c>
      <c r="C683" s="81" t="s">
        <v>471</v>
      </c>
      <c r="D683" s="81" t="s">
        <v>471</v>
      </c>
      <c r="E683" s="81"/>
      <c r="F683" s="81"/>
      <c r="G683" s="81"/>
      <c r="H683" s="81"/>
      <c r="I683" s="81"/>
      <c r="J683" s="81"/>
      <c r="K683" s="99">
        <v>46174.0</v>
      </c>
      <c r="L683" s="99">
        <v>46280.0</v>
      </c>
      <c r="M683" s="99" t="str">
        <f t="shared" si="1"/>
        <v>Chưa đến hạn</v>
      </c>
      <c r="N683" s="81"/>
      <c r="O683" s="81"/>
      <c r="P683" s="22"/>
      <c r="Q683" s="81"/>
      <c r="R683" s="66"/>
      <c r="S683" s="66"/>
    </row>
    <row r="684" ht="15.75" hidden="1" customHeight="1" outlineLevel="3">
      <c r="A684" s="106" t="s">
        <v>99</v>
      </c>
      <c r="B684" s="81" t="s">
        <v>306</v>
      </c>
      <c r="C684" s="81" t="s">
        <v>471</v>
      </c>
      <c r="D684" s="81" t="s">
        <v>471</v>
      </c>
      <c r="E684" s="81" t="s">
        <v>472</v>
      </c>
      <c r="F684" s="81"/>
      <c r="G684" s="81"/>
      <c r="H684" s="81"/>
      <c r="I684" s="81"/>
      <c r="J684" s="81"/>
      <c r="K684" s="99">
        <v>46174.0</v>
      </c>
      <c r="L684" s="99">
        <v>46280.0</v>
      </c>
      <c r="M684" s="99" t="str">
        <f t="shared" si="1"/>
        <v>Chưa đến hạn</v>
      </c>
      <c r="N684" s="81"/>
      <c r="O684" s="81"/>
      <c r="P684" s="22"/>
      <c r="Q684" s="81"/>
      <c r="R684" s="66"/>
      <c r="S684" s="66"/>
    </row>
    <row r="685" ht="15.75" hidden="1" customHeight="1" outlineLevel="3">
      <c r="A685" s="106" t="s">
        <v>99</v>
      </c>
      <c r="B685" s="81" t="s">
        <v>306</v>
      </c>
      <c r="C685" s="81" t="s">
        <v>471</v>
      </c>
      <c r="D685" s="81" t="s">
        <v>471</v>
      </c>
      <c r="E685" s="81" t="s">
        <v>473</v>
      </c>
      <c r="F685" s="81"/>
      <c r="G685" s="81"/>
      <c r="H685" s="81"/>
      <c r="I685" s="81"/>
      <c r="J685" s="81"/>
      <c r="K685" s="99">
        <v>46174.0</v>
      </c>
      <c r="L685" s="99">
        <v>46280.0</v>
      </c>
      <c r="M685" s="99" t="str">
        <f t="shared" si="1"/>
        <v>Chưa đến hạn</v>
      </c>
      <c r="N685" s="81"/>
      <c r="O685" s="81"/>
      <c r="P685" s="22"/>
      <c r="Q685" s="81"/>
      <c r="R685" s="66"/>
      <c r="S685" s="66"/>
    </row>
    <row r="686" ht="15.75" hidden="1" customHeight="1" outlineLevel="3">
      <c r="A686" s="106" t="s">
        <v>99</v>
      </c>
      <c r="B686" s="81" t="s">
        <v>306</v>
      </c>
      <c r="C686" s="81" t="s">
        <v>471</v>
      </c>
      <c r="D686" s="81" t="s">
        <v>471</v>
      </c>
      <c r="E686" s="81" t="s">
        <v>474</v>
      </c>
      <c r="F686" s="81"/>
      <c r="G686" s="81"/>
      <c r="H686" s="81"/>
      <c r="I686" s="81"/>
      <c r="J686" s="81"/>
      <c r="K686" s="99">
        <v>46174.0</v>
      </c>
      <c r="L686" s="99">
        <v>46280.0</v>
      </c>
      <c r="M686" s="99" t="str">
        <f t="shared" si="1"/>
        <v>Chưa đến hạn</v>
      </c>
      <c r="N686" s="81"/>
      <c r="O686" s="81"/>
      <c r="P686" s="22"/>
      <c r="Q686" s="81"/>
      <c r="R686" s="66"/>
      <c r="S686" s="66"/>
    </row>
    <row r="687" ht="15.75" hidden="1" customHeight="1" outlineLevel="3">
      <c r="A687" s="106" t="s">
        <v>99</v>
      </c>
      <c r="B687" s="81" t="s">
        <v>306</v>
      </c>
      <c r="C687" s="81" t="s">
        <v>471</v>
      </c>
      <c r="D687" s="81" t="s">
        <v>471</v>
      </c>
      <c r="E687" s="81" t="s">
        <v>475</v>
      </c>
      <c r="F687" s="81"/>
      <c r="G687" s="81"/>
      <c r="H687" s="81"/>
      <c r="I687" s="81"/>
      <c r="J687" s="81"/>
      <c r="K687" s="99">
        <v>46174.0</v>
      </c>
      <c r="L687" s="99">
        <v>46280.0</v>
      </c>
      <c r="M687" s="99" t="str">
        <f t="shared" si="1"/>
        <v>Chưa đến hạn</v>
      </c>
      <c r="N687" s="81"/>
      <c r="O687" s="81"/>
      <c r="P687" s="22"/>
      <c r="Q687" s="81"/>
      <c r="R687" s="66"/>
      <c r="S687" s="66"/>
    </row>
    <row r="688" ht="15.75" hidden="1" customHeight="1" outlineLevel="3">
      <c r="A688" s="106" t="s">
        <v>99</v>
      </c>
      <c r="B688" s="81" t="s">
        <v>306</v>
      </c>
      <c r="C688" s="81" t="s">
        <v>471</v>
      </c>
      <c r="D688" s="81" t="s">
        <v>471</v>
      </c>
      <c r="E688" s="81" t="s">
        <v>476</v>
      </c>
      <c r="F688" s="81"/>
      <c r="G688" s="81"/>
      <c r="H688" s="81"/>
      <c r="I688" s="81"/>
      <c r="J688" s="81"/>
      <c r="K688" s="99">
        <v>46174.0</v>
      </c>
      <c r="L688" s="99">
        <v>46280.0</v>
      </c>
      <c r="M688" s="99" t="str">
        <f t="shared" si="1"/>
        <v>Chưa đến hạn</v>
      </c>
      <c r="N688" s="81"/>
      <c r="O688" s="81"/>
      <c r="P688" s="22"/>
      <c r="Q688" s="81"/>
      <c r="R688" s="66"/>
      <c r="S688" s="66"/>
    </row>
    <row r="689" ht="15.75" hidden="1" customHeight="1" outlineLevel="2">
      <c r="A689" s="106" t="s">
        <v>99</v>
      </c>
      <c r="B689" s="81" t="s">
        <v>306</v>
      </c>
      <c r="C689" s="81" t="s">
        <v>477</v>
      </c>
      <c r="D689" s="81" t="s">
        <v>477</v>
      </c>
      <c r="E689" s="81"/>
      <c r="F689" s="81"/>
      <c r="G689" s="81"/>
      <c r="H689" s="81"/>
      <c r="I689" s="81"/>
      <c r="J689" s="81"/>
      <c r="K689" s="99">
        <v>46174.0</v>
      </c>
      <c r="L689" s="99">
        <v>46280.0</v>
      </c>
      <c r="M689" s="99" t="str">
        <f t="shared" si="1"/>
        <v>Chưa đến hạn</v>
      </c>
      <c r="N689" s="81"/>
      <c r="O689" s="81"/>
      <c r="P689" s="22"/>
      <c r="Q689" s="81"/>
      <c r="R689" s="66"/>
      <c r="S689" s="66"/>
    </row>
    <row r="690" ht="15.75" hidden="1" customHeight="1" outlineLevel="3">
      <c r="A690" s="106" t="s">
        <v>99</v>
      </c>
      <c r="B690" s="81" t="s">
        <v>306</v>
      </c>
      <c r="C690" s="81" t="s">
        <v>477</v>
      </c>
      <c r="D690" s="81" t="s">
        <v>477</v>
      </c>
      <c r="E690" s="81" t="s">
        <v>478</v>
      </c>
      <c r="F690" s="81"/>
      <c r="G690" s="81"/>
      <c r="H690" s="81"/>
      <c r="I690" s="81"/>
      <c r="J690" s="81"/>
      <c r="K690" s="99">
        <v>46174.0</v>
      </c>
      <c r="L690" s="99">
        <v>46280.0</v>
      </c>
      <c r="M690" s="99" t="str">
        <f t="shared" si="1"/>
        <v>Chưa đến hạn</v>
      </c>
      <c r="N690" s="81"/>
      <c r="O690" s="81"/>
      <c r="P690" s="22"/>
      <c r="Q690" s="81"/>
      <c r="R690" s="66"/>
      <c r="S690" s="66"/>
    </row>
    <row r="691" ht="15.75" hidden="1" customHeight="1" outlineLevel="3">
      <c r="A691" s="106" t="s">
        <v>99</v>
      </c>
      <c r="B691" s="81" t="s">
        <v>306</v>
      </c>
      <c r="C691" s="81" t="s">
        <v>477</v>
      </c>
      <c r="D691" s="81" t="s">
        <v>477</v>
      </c>
      <c r="E691" s="81" t="s">
        <v>375</v>
      </c>
      <c r="F691" s="81"/>
      <c r="G691" s="81"/>
      <c r="H691" s="81"/>
      <c r="I691" s="81"/>
      <c r="J691" s="81"/>
      <c r="K691" s="99">
        <v>46174.0</v>
      </c>
      <c r="L691" s="99">
        <v>46280.0</v>
      </c>
      <c r="M691" s="99" t="str">
        <f t="shared" si="1"/>
        <v>Chưa đến hạn</v>
      </c>
      <c r="N691" s="81"/>
      <c r="O691" s="81"/>
      <c r="P691" s="22"/>
      <c r="Q691" s="81"/>
      <c r="R691" s="66"/>
      <c r="S691" s="66"/>
    </row>
    <row r="692" ht="15.75" hidden="1" customHeight="1" outlineLevel="3">
      <c r="A692" s="106" t="s">
        <v>99</v>
      </c>
      <c r="B692" s="81" t="s">
        <v>306</v>
      </c>
      <c r="C692" s="81" t="s">
        <v>477</v>
      </c>
      <c r="D692" s="81" t="s">
        <v>477</v>
      </c>
      <c r="E692" s="81" t="s">
        <v>479</v>
      </c>
      <c r="F692" s="81"/>
      <c r="G692" s="81"/>
      <c r="H692" s="81"/>
      <c r="I692" s="81"/>
      <c r="J692" s="81"/>
      <c r="K692" s="99">
        <v>46174.0</v>
      </c>
      <c r="L692" s="99">
        <v>46280.0</v>
      </c>
      <c r="M692" s="99" t="str">
        <f t="shared" si="1"/>
        <v>Chưa đến hạn</v>
      </c>
      <c r="N692" s="81"/>
      <c r="O692" s="81"/>
      <c r="P692" s="22"/>
      <c r="Q692" s="81"/>
      <c r="R692" s="66"/>
      <c r="S692" s="66"/>
    </row>
    <row r="693" ht="15.75" hidden="1" customHeight="1" outlineLevel="3">
      <c r="A693" s="106" t="s">
        <v>99</v>
      </c>
      <c r="B693" s="81" t="s">
        <v>306</v>
      </c>
      <c r="C693" s="81" t="s">
        <v>477</v>
      </c>
      <c r="D693" s="81" t="s">
        <v>477</v>
      </c>
      <c r="E693" s="81" t="s">
        <v>480</v>
      </c>
      <c r="F693" s="81"/>
      <c r="G693" s="81"/>
      <c r="H693" s="81"/>
      <c r="I693" s="81"/>
      <c r="J693" s="81"/>
      <c r="K693" s="99">
        <v>46174.0</v>
      </c>
      <c r="L693" s="99">
        <v>46280.0</v>
      </c>
      <c r="M693" s="99" t="str">
        <f t="shared" si="1"/>
        <v>Chưa đến hạn</v>
      </c>
      <c r="N693" s="81"/>
      <c r="O693" s="81"/>
      <c r="P693" s="22"/>
      <c r="Q693" s="81"/>
      <c r="R693" s="66"/>
      <c r="S693" s="66"/>
    </row>
    <row r="694" ht="15.75" hidden="1" customHeight="1" outlineLevel="2">
      <c r="A694" s="106" t="s">
        <v>99</v>
      </c>
      <c r="B694" s="81" t="s">
        <v>306</v>
      </c>
      <c r="C694" s="81" t="s">
        <v>481</v>
      </c>
      <c r="D694" s="81" t="s">
        <v>481</v>
      </c>
      <c r="E694" s="81"/>
      <c r="F694" s="81"/>
      <c r="G694" s="81"/>
      <c r="H694" s="81"/>
      <c r="I694" s="81"/>
      <c r="J694" s="81"/>
      <c r="K694" s="99">
        <v>46174.0</v>
      </c>
      <c r="L694" s="99">
        <v>46280.0</v>
      </c>
      <c r="M694" s="99" t="str">
        <f t="shared" si="1"/>
        <v>Chưa đến hạn</v>
      </c>
      <c r="N694" s="81"/>
      <c r="O694" s="81"/>
      <c r="P694" s="22"/>
      <c r="Q694" s="81"/>
      <c r="R694" s="66"/>
      <c r="S694" s="66"/>
    </row>
    <row r="695" ht="15.75" hidden="1" customHeight="1" outlineLevel="3">
      <c r="A695" s="106" t="s">
        <v>99</v>
      </c>
      <c r="B695" s="81" t="s">
        <v>306</v>
      </c>
      <c r="C695" s="81" t="s">
        <v>481</v>
      </c>
      <c r="D695" s="81" t="s">
        <v>481</v>
      </c>
      <c r="E695" s="81" t="s">
        <v>482</v>
      </c>
      <c r="F695" s="81"/>
      <c r="G695" s="81"/>
      <c r="H695" s="81"/>
      <c r="I695" s="81"/>
      <c r="J695" s="81"/>
      <c r="K695" s="99">
        <v>46174.0</v>
      </c>
      <c r="L695" s="99">
        <v>46280.0</v>
      </c>
      <c r="M695" s="99" t="str">
        <f t="shared" si="1"/>
        <v>Chưa đến hạn</v>
      </c>
      <c r="N695" s="81"/>
      <c r="O695" s="81"/>
      <c r="P695" s="22"/>
      <c r="Q695" s="81"/>
      <c r="R695" s="66"/>
      <c r="S695" s="66"/>
    </row>
    <row r="696" ht="15.75" hidden="1" customHeight="1" outlineLevel="3">
      <c r="A696" s="106" t="s">
        <v>99</v>
      </c>
      <c r="B696" s="81" t="s">
        <v>306</v>
      </c>
      <c r="C696" s="81" t="s">
        <v>481</v>
      </c>
      <c r="D696" s="81" t="s">
        <v>481</v>
      </c>
      <c r="E696" s="81" t="s">
        <v>375</v>
      </c>
      <c r="F696" s="81"/>
      <c r="G696" s="81"/>
      <c r="H696" s="81"/>
      <c r="I696" s="81"/>
      <c r="J696" s="81"/>
      <c r="K696" s="99">
        <v>46174.0</v>
      </c>
      <c r="L696" s="99">
        <v>46280.0</v>
      </c>
      <c r="M696" s="99" t="str">
        <f t="shared" si="1"/>
        <v>Chưa đến hạn</v>
      </c>
      <c r="N696" s="81"/>
      <c r="O696" s="81"/>
      <c r="P696" s="22"/>
      <c r="Q696" s="81"/>
      <c r="R696" s="66"/>
      <c r="S696" s="66"/>
    </row>
    <row r="697" ht="15.75" hidden="1" customHeight="1" outlineLevel="3">
      <c r="A697" s="106" t="s">
        <v>99</v>
      </c>
      <c r="B697" s="81" t="s">
        <v>306</v>
      </c>
      <c r="C697" s="81" t="s">
        <v>481</v>
      </c>
      <c r="D697" s="81" t="s">
        <v>481</v>
      </c>
      <c r="E697" s="81" t="s">
        <v>483</v>
      </c>
      <c r="F697" s="81"/>
      <c r="G697" s="81"/>
      <c r="H697" s="81"/>
      <c r="I697" s="81"/>
      <c r="J697" s="81"/>
      <c r="K697" s="99">
        <v>46174.0</v>
      </c>
      <c r="L697" s="99">
        <v>46280.0</v>
      </c>
      <c r="M697" s="99" t="str">
        <f t="shared" si="1"/>
        <v>Chưa đến hạn</v>
      </c>
      <c r="N697" s="81"/>
      <c r="O697" s="81"/>
      <c r="P697" s="22"/>
      <c r="Q697" s="81"/>
      <c r="R697" s="66"/>
      <c r="S697" s="66"/>
    </row>
    <row r="698" ht="15.75" hidden="1" customHeight="1" outlineLevel="3">
      <c r="A698" s="106" t="s">
        <v>99</v>
      </c>
      <c r="B698" s="81" t="s">
        <v>306</v>
      </c>
      <c r="C698" s="81" t="s">
        <v>481</v>
      </c>
      <c r="D698" s="81" t="s">
        <v>481</v>
      </c>
      <c r="E698" s="81" t="s">
        <v>484</v>
      </c>
      <c r="F698" s="81"/>
      <c r="G698" s="81"/>
      <c r="H698" s="81"/>
      <c r="I698" s="81"/>
      <c r="J698" s="81"/>
      <c r="K698" s="99">
        <v>46174.0</v>
      </c>
      <c r="L698" s="99">
        <v>46280.0</v>
      </c>
      <c r="M698" s="99" t="str">
        <f t="shared" si="1"/>
        <v>Chưa đến hạn</v>
      </c>
      <c r="N698" s="81"/>
      <c r="O698" s="81"/>
      <c r="P698" s="22"/>
      <c r="Q698" s="81"/>
      <c r="R698" s="66"/>
      <c r="S698" s="66"/>
    </row>
    <row r="699" ht="15.75" hidden="1" customHeight="1" outlineLevel="2">
      <c r="A699" s="106" t="s">
        <v>99</v>
      </c>
      <c r="B699" s="81" t="s">
        <v>306</v>
      </c>
      <c r="C699" s="81" t="s">
        <v>485</v>
      </c>
      <c r="D699" s="81" t="s">
        <v>485</v>
      </c>
      <c r="E699" s="81"/>
      <c r="F699" s="81"/>
      <c r="G699" s="81"/>
      <c r="H699" s="81"/>
      <c r="I699" s="81"/>
      <c r="J699" s="81"/>
      <c r="K699" s="99">
        <v>46174.0</v>
      </c>
      <c r="L699" s="99">
        <v>46280.0</v>
      </c>
      <c r="M699" s="99" t="str">
        <f t="shared" si="1"/>
        <v>Chưa đến hạn</v>
      </c>
      <c r="N699" s="81"/>
      <c r="O699" s="81"/>
      <c r="P699" s="22"/>
      <c r="Q699" s="81"/>
      <c r="R699" s="66"/>
      <c r="S699" s="66"/>
    </row>
    <row r="700" ht="15.75" hidden="1" customHeight="1" outlineLevel="3">
      <c r="A700" s="106" t="s">
        <v>99</v>
      </c>
      <c r="B700" s="81" t="s">
        <v>306</v>
      </c>
      <c r="C700" s="81" t="s">
        <v>485</v>
      </c>
      <c r="D700" s="81" t="s">
        <v>485</v>
      </c>
      <c r="E700" s="81" t="s">
        <v>375</v>
      </c>
      <c r="F700" s="81"/>
      <c r="G700" s="81"/>
      <c r="H700" s="81"/>
      <c r="I700" s="81"/>
      <c r="J700" s="81"/>
      <c r="K700" s="99">
        <v>46174.0</v>
      </c>
      <c r="L700" s="99">
        <v>46280.0</v>
      </c>
      <c r="M700" s="99" t="str">
        <f t="shared" si="1"/>
        <v>Chưa đến hạn</v>
      </c>
      <c r="N700" s="81"/>
      <c r="O700" s="81"/>
      <c r="P700" s="22"/>
      <c r="Q700" s="81"/>
      <c r="R700" s="66"/>
      <c r="S700" s="66"/>
    </row>
    <row r="701" ht="15.75" hidden="1" customHeight="1" outlineLevel="3">
      <c r="A701" s="106" t="s">
        <v>99</v>
      </c>
      <c r="B701" s="81" t="s">
        <v>306</v>
      </c>
      <c r="C701" s="81" t="s">
        <v>485</v>
      </c>
      <c r="D701" s="81" t="s">
        <v>485</v>
      </c>
      <c r="E701" s="81" t="s">
        <v>486</v>
      </c>
      <c r="F701" s="81"/>
      <c r="G701" s="81"/>
      <c r="H701" s="81"/>
      <c r="I701" s="81"/>
      <c r="J701" s="81"/>
      <c r="K701" s="99">
        <v>46174.0</v>
      </c>
      <c r="L701" s="99">
        <v>46280.0</v>
      </c>
      <c r="M701" s="99" t="str">
        <f t="shared" si="1"/>
        <v>Chưa đến hạn</v>
      </c>
      <c r="N701" s="81"/>
      <c r="O701" s="81"/>
      <c r="P701" s="22"/>
      <c r="Q701" s="81"/>
      <c r="R701" s="66"/>
      <c r="S701" s="66"/>
    </row>
    <row r="702" ht="15.75" hidden="1" customHeight="1" outlineLevel="3">
      <c r="A702" s="106" t="s">
        <v>99</v>
      </c>
      <c r="B702" s="81" t="s">
        <v>306</v>
      </c>
      <c r="C702" s="81" t="s">
        <v>485</v>
      </c>
      <c r="D702" s="81" t="s">
        <v>485</v>
      </c>
      <c r="E702" s="81" t="s">
        <v>487</v>
      </c>
      <c r="F702" s="81"/>
      <c r="G702" s="81"/>
      <c r="H702" s="81"/>
      <c r="I702" s="81"/>
      <c r="J702" s="81"/>
      <c r="K702" s="99">
        <v>46174.0</v>
      </c>
      <c r="L702" s="99">
        <v>46280.0</v>
      </c>
      <c r="M702" s="99" t="str">
        <f t="shared" si="1"/>
        <v>Chưa đến hạn</v>
      </c>
      <c r="N702" s="81"/>
      <c r="O702" s="81"/>
      <c r="P702" s="22"/>
      <c r="Q702" s="81"/>
      <c r="R702" s="66"/>
      <c r="S702" s="66"/>
    </row>
    <row r="703" ht="15.75" hidden="1" customHeight="1" outlineLevel="3">
      <c r="A703" s="106" t="s">
        <v>99</v>
      </c>
      <c r="B703" s="81" t="s">
        <v>306</v>
      </c>
      <c r="C703" s="81" t="s">
        <v>485</v>
      </c>
      <c r="D703" s="81" t="s">
        <v>485</v>
      </c>
      <c r="E703" s="81" t="s">
        <v>488</v>
      </c>
      <c r="F703" s="81"/>
      <c r="G703" s="81"/>
      <c r="H703" s="81"/>
      <c r="I703" s="81"/>
      <c r="J703" s="81"/>
      <c r="K703" s="99">
        <v>46174.0</v>
      </c>
      <c r="L703" s="99">
        <v>46280.0</v>
      </c>
      <c r="M703" s="99" t="str">
        <f t="shared" si="1"/>
        <v>Chưa đến hạn</v>
      </c>
      <c r="N703" s="81"/>
      <c r="O703" s="81"/>
      <c r="P703" s="22"/>
      <c r="Q703" s="81"/>
      <c r="R703" s="66"/>
      <c r="S703" s="66"/>
    </row>
    <row r="704" ht="15.75" hidden="1" customHeight="1" outlineLevel="2">
      <c r="A704" s="106" t="s">
        <v>99</v>
      </c>
      <c r="B704" s="81" t="s">
        <v>306</v>
      </c>
      <c r="C704" s="81" t="s">
        <v>489</v>
      </c>
      <c r="D704" s="81" t="s">
        <v>489</v>
      </c>
      <c r="E704" s="81"/>
      <c r="F704" s="81"/>
      <c r="G704" s="81"/>
      <c r="H704" s="81"/>
      <c r="I704" s="81"/>
      <c r="J704" s="81"/>
      <c r="K704" s="99">
        <v>46174.0</v>
      </c>
      <c r="L704" s="99">
        <v>46280.0</v>
      </c>
      <c r="M704" s="99" t="str">
        <f t="shared" si="1"/>
        <v>Chưa đến hạn</v>
      </c>
      <c r="N704" s="81"/>
      <c r="O704" s="81"/>
      <c r="P704" s="22"/>
      <c r="Q704" s="81"/>
      <c r="R704" s="66"/>
      <c r="S704" s="66"/>
    </row>
    <row r="705" ht="15.75" hidden="1" customHeight="1" outlineLevel="3">
      <c r="A705" s="106" t="s">
        <v>99</v>
      </c>
      <c r="B705" s="81" t="s">
        <v>306</v>
      </c>
      <c r="C705" s="102"/>
      <c r="D705" s="102"/>
      <c r="E705" s="81" t="s">
        <v>489</v>
      </c>
      <c r="F705" s="81"/>
      <c r="G705" s="81"/>
      <c r="H705" s="81"/>
      <c r="I705" s="81"/>
      <c r="J705" s="81"/>
      <c r="K705" s="99">
        <v>46174.0</v>
      </c>
      <c r="L705" s="99">
        <v>46280.0</v>
      </c>
      <c r="M705" s="99" t="str">
        <f t="shared" si="1"/>
        <v>Chưa đến hạn</v>
      </c>
      <c r="N705" s="81"/>
      <c r="O705" s="81"/>
      <c r="P705" s="22"/>
      <c r="Q705" s="81"/>
      <c r="R705" s="66"/>
      <c r="S705" s="66"/>
    </row>
    <row r="706" ht="15.75" hidden="1" customHeight="1" outlineLevel="2">
      <c r="A706" s="106" t="s">
        <v>99</v>
      </c>
      <c r="B706" s="81" t="s">
        <v>306</v>
      </c>
      <c r="C706" s="81" t="s">
        <v>490</v>
      </c>
      <c r="D706" s="81" t="s">
        <v>490</v>
      </c>
      <c r="E706" s="81"/>
      <c r="F706" s="81"/>
      <c r="G706" s="81"/>
      <c r="H706" s="81"/>
      <c r="I706" s="81"/>
      <c r="J706" s="81"/>
      <c r="K706" s="99">
        <v>46174.0</v>
      </c>
      <c r="L706" s="99">
        <v>46280.0</v>
      </c>
      <c r="M706" s="99" t="str">
        <f t="shared" si="1"/>
        <v>Chưa đến hạn</v>
      </c>
      <c r="N706" s="81"/>
      <c r="O706" s="81"/>
      <c r="P706" s="22"/>
      <c r="Q706" s="81"/>
      <c r="R706" s="66"/>
      <c r="S706" s="66"/>
    </row>
    <row r="707" ht="15.75" hidden="1" customHeight="1" outlineLevel="3">
      <c r="A707" s="106" t="s">
        <v>99</v>
      </c>
      <c r="B707" s="81" t="s">
        <v>306</v>
      </c>
      <c r="C707" s="81" t="s">
        <v>490</v>
      </c>
      <c r="D707" s="81" t="s">
        <v>490</v>
      </c>
      <c r="E707" s="81" t="s">
        <v>491</v>
      </c>
      <c r="F707" s="81"/>
      <c r="G707" s="81"/>
      <c r="H707" s="81"/>
      <c r="I707" s="81"/>
      <c r="J707" s="81"/>
      <c r="K707" s="99">
        <v>46174.0</v>
      </c>
      <c r="L707" s="99">
        <v>46280.0</v>
      </c>
      <c r="M707" s="99" t="str">
        <f t="shared" si="1"/>
        <v>Chưa đến hạn</v>
      </c>
      <c r="N707" s="81"/>
      <c r="O707" s="81"/>
      <c r="P707" s="22"/>
      <c r="Q707" s="81"/>
      <c r="R707" s="66"/>
      <c r="S707" s="66"/>
    </row>
    <row r="708" ht="15.75" hidden="1" customHeight="1" outlineLevel="3">
      <c r="A708" s="106" t="s">
        <v>99</v>
      </c>
      <c r="B708" s="81" t="s">
        <v>306</v>
      </c>
      <c r="C708" s="81" t="s">
        <v>490</v>
      </c>
      <c r="D708" s="81" t="s">
        <v>490</v>
      </c>
      <c r="E708" s="81" t="s">
        <v>492</v>
      </c>
      <c r="F708" s="81"/>
      <c r="G708" s="81"/>
      <c r="H708" s="81"/>
      <c r="I708" s="81"/>
      <c r="J708" s="81"/>
      <c r="K708" s="99">
        <v>46174.0</v>
      </c>
      <c r="L708" s="99">
        <v>46280.0</v>
      </c>
      <c r="M708" s="99" t="str">
        <f t="shared" si="1"/>
        <v>Chưa đến hạn</v>
      </c>
      <c r="N708" s="81"/>
      <c r="O708" s="81"/>
      <c r="P708" s="22"/>
      <c r="Q708" s="81"/>
      <c r="R708" s="66"/>
      <c r="S708" s="66"/>
    </row>
    <row r="709" ht="15.75" hidden="1" customHeight="1" outlineLevel="2">
      <c r="A709" s="106" t="s">
        <v>99</v>
      </c>
      <c r="B709" s="81" t="s">
        <v>306</v>
      </c>
      <c r="C709" s="81" t="s">
        <v>493</v>
      </c>
      <c r="D709" s="81" t="s">
        <v>493</v>
      </c>
      <c r="E709" s="81"/>
      <c r="F709" s="81"/>
      <c r="G709" s="81"/>
      <c r="H709" s="81"/>
      <c r="I709" s="81"/>
      <c r="J709" s="81"/>
      <c r="K709" s="99">
        <v>46174.0</v>
      </c>
      <c r="L709" s="99">
        <v>46280.0</v>
      </c>
      <c r="M709" s="99" t="str">
        <f t="shared" si="1"/>
        <v>Chưa đến hạn</v>
      </c>
      <c r="N709" s="81"/>
      <c r="O709" s="81"/>
      <c r="P709" s="22"/>
      <c r="Q709" s="81"/>
      <c r="R709" s="66"/>
      <c r="S709" s="66"/>
    </row>
    <row r="710" ht="15.75" hidden="1" customHeight="1" outlineLevel="3">
      <c r="A710" s="106" t="s">
        <v>99</v>
      </c>
      <c r="B710" s="81" t="s">
        <v>306</v>
      </c>
      <c r="C710" s="81" t="s">
        <v>493</v>
      </c>
      <c r="D710" s="81" t="s">
        <v>493</v>
      </c>
      <c r="E710" s="81" t="s">
        <v>494</v>
      </c>
      <c r="F710" s="81"/>
      <c r="G710" s="81"/>
      <c r="H710" s="81"/>
      <c r="I710" s="81"/>
      <c r="J710" s="81"/>
      <c r="K710" s="99">
        <v>46174.0</v>
      </c>
      <c r="L710" s="99">
        <v>46280.0</v>
      </c>
      <c r="M710" s="99" t="str">
        <f t="shared" si="1"/>
        <v>Chưa đến hạn</v>
      </c>
      <c r="N710" s="81"/>
      <c r="O710" s="81"/>
      <c r="P710" s="22"/>
      <c r="Q710" s="81"/>
      <c r="R710" s="66"/>
      <c r="S710" s="66"/>
    </row>
    <row r="711" ht="15.75" hidden="1" customHeight="1" outlineLevel="2">
      <c r="A711" s="106" t="s">
        <v>99</v>
      </c>
      <c r="B711" s="81" t="s">
        <v>306</v>
      </c>
      <c r="C711" s="81" t="s">
        <v>495</v>
      </c>
      <c r="D711" s="81" t="s">
        <v>495</v>
      </c>
      <c r="E711" s="81"/>
      <c r="F711" s="81"/>
      <c r="G711" s="81"/>
      <c r="H711" s="81"/>
      <c r="I711" s="81"/>
      <c r="J711" s="81"/>
      <c r="K711" s="99">
        <v>46174.0</v>
      </c>
      <c r="L711" s="99">
        <v>46280.0</v>
      </c>
      <c r="M711" s="99" t="str">
        <f t="shared" si="1"/>
        <v>Chưa đến hạn</v>
      </c>
      <c r="N711" s="81"/>
      <c r="O711" s="81"/>
      <c r="P711" s="22"/>
      <c r="Q711" s="81"/>
      <c r="R711" s="66"/>
      <c r="S711" s="66"/>
    </row>
    <row r="712" ht="15.75" hidden="1" customHeight="1" outlineLevel="3">
      <c r="A712" s="106" t="s">
        <v>99</v>
      </c>
      <c r="B712" s="81" t="s">
        <v>306</v>
      </c>
      <c r="C712" s="81" t="s">
        <v>495</v>
      </c>
      <c r="D712" s="81" t="s">
        <v>495</v>
      </c>
      <c r="E712" s="81" t="s">
        <v>496</v>
      </c>
      <c r="F712" s="81"/>
      <c r="G712" s="81"/>
      <c r="H712" s="81"/>
      <c r="I712" s="81"/>
      <c r="J712" s="81"/>
      <c r="K712" s="99">
        <v>46174.0</v>
      </c>
      <c r="L712" s="99">
        <v>46280.0</v>
      </c>
      <c r="M712" s="99" t="str">
        <f t="shared" si="1"/>
        <v>Chưa đến hạn</v>
      </c>
      <c r="N712" s="81"/>
      <c r="O712" s="81"/>
      <c r="P712" s="22"/>
      <c r="Q712" s="81"/>
      <c r="R712" s="66"/>
      <c r="S712" s="66"/>
    </row>
    <row r="713" ht="15.75" hidden="1" customHeight="1" outlineLevel="3">
      <c r="A713" s="106" t="s">
        <v>99</v>
      </c>
      <c r="B713" s="81" t="s">
        <v>306</v>
      </c>
      <c r="C713" s="81" t="s">
        <v>495</v>
      </c>
      <c r="D713" s="81" t="s">
        <v>495</v>
      </c>
      <c r="E713" s="81" t="s">
        <v>497</v>
      </c>
      <c r="F713" s="81"/>
      <c r="G713" s="81"/>
      <c r="H713" s="81"/>
      <c r="I713" s="81"/>
      <c r="J713" s="81"/>
      <c r="K713" s="99">
        <v>46174.0</v>
      </c>
      <c r="L713" s="99">
        <v>46280.0</v>
      </c>
      <c r="M713" s="99" t="str">
        <f t="shared" si="1"/>
        <v>Chưa đến hạn</v>
      </c>
      <c r="N713" s="81"/>
      <c r="O713" s="81"/>
      <c r="P713" s="22"/>
      <c r="Q713" s="81"/>
      <c r="R713" s="66"/>
      <c r="S713" s="66"/>
    </row>
    <row r="714" ht="15.75" hidden="1" customHeight="1" outlineLevel="3">
      <c r="A714" s="106" t="s">
        <v>99</v>
      </c>
      <c r="B714" s="81" t="s">
        <v>306</v>
      </c>
      <c r="C714" s="81" t="s">
        <v>495</v>
      </c>
      <c r="D714" s="81" t="s">
        <v>495</v>
      </c>
      <c r="E714" s="81" t="s">
        <v>498</v>
      </c>
      <c r="F714" s="81"/>
      <c r="G714" s="81"/>
      <c r="H714" s="81"/>
      <c r="I714" s="81"/>
      <c r="J714" s="81"/>
      <c r="K714" s="99">
        <v>46174.0</v>
      </c>
      <c r="L714" s="99">
        <v>46280.0</v>
      </c>
      <c r="M714" s="99" t="str">
        <f t="shared" si="1"/>
        <v>Chưa đến hạn</v>
      </c>
      <c r="N714" s="81"/>
      <c r="O714" s="81"/>
      <c r="P714" s="22"/>
      <c r="Q714" s="81"/>
      <c r="R714" s="66"/>
      <c r="S714" s="66"/>
    </row>
    <row r="715" ht="15.75" hidden="1" customHeight="1" outlineLevel="3">
      <c r="A715" s="106" t="s">
        <v>99</v>
      </c>
      <c r="B715" s="81" t="s">
        <v>306</v>
      </c>
      <c r="C715" s="81" t="s">
        <v>495</v>
      </c>
      <c r="D715" s="81" t="s">
        <v>495</v>
      </c>
      <c r="E715" s="81" t="s">
        <v>499</v>
      </c>
      <c r="F715" s="81"/>
      <c r="G715" s="81"/>
      <c r="H715" s="81"/>
      <c r="I715" s="81"/>
      <c r="J715" s="81"/>
      <c r="K715" s="99">
        <v>46174.0</v>
      </c>
      <c r="L715" s="99">
        <v>46280.0</v>
      </c>
      <c r="M715" s="99" t="str">
        <f t="shared" si="1"/>
        <v>Chưa đến hạn</v>
      </c>
      <c r="N715" s="81"/>
      <c r="O715" s="81"/>
      <c r="P715" s="22"/>
      <c r="Q715" s="81"/>
      <c r="R715" s="66"/>
      <c r="S715" s="66"/>
    </row>
    <row r="716" ht="15.75" hidden="1" customHeight="1" outlineLevel="3">
      <c r="A716" s="106" t="s">
        <v>99</v>
      </c>
      <c r="B716" s="81" t="s">
        <v>306</v>
      </c>
      <c r="C716" s="81" t="s">
        <v>495</v>
      </c>
      <c r="D716" s="81" t="s">
        <v>495</v>
      </c>
      <c r="E716" s="81" t="s">
        <v>500</v>
      </c>
      <c r="F716" s="81"/>
      <c r="G716" s="81"/>
      <c r="H716" s="81"/>
      <c r="I716" s="81"/>
      <c r="J716" s="81"/>
      <c r="K716" s="99">
        <v>46174.0</v>
      </c>
      <c r="L716" s="99">
        <v>46280.0</v>
      </c>
      <c r="M716" s="99" t="str">
        <f t="shared" si="1"/>
        <v>Chưa đến hạn</v>
      </c>
      <c r="N716" s="81"/>
      <c r="O716" s="81"/>
      <c r="P716" s="22"/>
      <c r="Q716" s="81"/>
      <c r="R716" s="66"/>
      <c r="S716" s="66"/>
    </row>
    <row r="717" ht="15.75" hidden="1" customHeight="1" outlineLevel="3">
      <c r="A717" s="106" t="s">
        <v>99</v>
      </c>
      <c r="B717" s="81" t="s">
        <v>306</v>
      </c>
      <c r="C717" s="81" t="s">
        <v>495</v>
      </c>
      <c r="D717" s="81" t="s">
        <v>495</v>
      </c>
      <c r="E717" s="81" t="s">
        <v>501</v>
      </c>
      <c r="F717" s="81"/>
      <c r="G717" s="81"/>
      <c r="H717" s="81"/>
      <c r="I717" s="81"/>
      <c r="J717" s="81"/>
      <c r="K717" s="99">
        <v>46174.0</v>
      </c>
      <c r="L717" s="99">
        <v>46280.0</v>
      </c>
      <c r="M717" s="99" t="str">
        <f t="shared" si="1"/>
        <v>Chưa đến hạn</v>
      </c>
      <c r="N717" s="81"/>
      <c r="O717" s="81"/>
      <c r="P717" s="22"/>
      <c r="Q717" s="81"/>
      <c r="R717" s="66"/>
      <c r="S717" s="66"/>
    </row>
    <row r="718" ht="15.75" hidden="1" customHeight="1" outlineLevel="3">
      <c r="A718" s="106" t="s">
        <v>99</v>
      </c>
      <c r="B718" s="81" t="s">
        <v>306</v>
      </c>
      <c r="C718" s="81" t="s">
        <v>495</v>
      </c>
      <c r="D718" s="81" t="s">
        <v>495</v>
      </c>
      <c r="E718" s="81" t="s">
        <v>502</v>
      </c>
      <c r="F718" s="81"/>
      <c r="G718" s="81"/>
      <c r="H718" s="81"/>
      <c r="I718" s="81"/>
      <c r="J718" s="81"/>
      <c r="K718" s="99">
        <v>46174.0</v>
      </c>
      <c r="L718" s="99">
        <v>46280.0</v>
      </c>
      <c r="M718" s="99" t="str">
        <f t="shared" si="1"/>
        <v>Chưa đến hạn</v>
      </c>
      <c r="N718" s="81"/>
      <c r="O718" s="81"/>
      <c r="P718" s="22"/>
      <c r="Q718" s="81"/>
      <c r="R718" s="66"/>
      <c r="S718" s="66"/>
    </row>
    <row r="719" ht="15.75" hidden="1" customHeight="1" outlineLevel="3">
      <c r="A719" s="106" t="s">
        <v>99</v>
      </c>
      <c r="B719" s="81" t="s">
        <v>306</v>
      </c>
      <c r="C719" s="81" t="s">
        <v>495</v>
      </c>
      <c r="D719" s="81" t="s">
        <v>495</v>
      </c>
      <c r="E719" s="81" t="s">
        <v>503</v>
      </c>
      <c r="F719" s="81"/>
      <c r="G719" s="81"/>
      <c r="H719" s="81"/>
      <c r="I719" s="81"/>
      <c r="J719" s="81"/>
      <c r="K719" s="99">
        <v>46174.0</v>
      </c>
      <c r="L719" s="99">
        <v>46280.0</v>
      </c>
      <c r="M719" s="99" t="str">
        <f t="shared" si="1"/>
        <v>Chưa đến hạn</v>
      </c>
      <c r="N719" s="81"/>
      <c r="O719" s="81"/>
      <c r="P719" s="22"/>
      <c r="Q719" s="81"/>
      <c r="R719" s="66"/>
      <c r="S719" s="66"/>
    </row>
    <row r="720" ht="15.75" hidden="1" customHeight="1" outlineLevel="3">
      <c r="A720" s="106" t="s">
        <v>99</v>
      </c>
      <c r="B720" s="81" t="s">
        <v>306</v>
      </c>
      <c r="C720" s="81" t="s">
        <v>495</v>
      </c>
      <c r="D720" s="81" t="s">
        <v>495</v>
      </c>
      <c r="E720" s="81" t="s">
        <v>504</v>
      </c>
      <c r="F720" s="81"/>
      <c r="G720" s="81"/>
      <c r="H720" s="81"/>
      <c r="I720" s="81"/>
      <c r="J720" s="81"/>
      <c r="K720" s="99">
        <v>46174.0</v>
      </c>
      <c r="L720" s="99">
        <v>46280.0</v>
      </c>
      <c r="M720" s="99" t="str">
        <f t="shared" si="1"/>
        <v>Chưa đến hạn</v>
      </c>
      <c r="N720" s="81"/>
      <c r="O720" s="81"/>
      <c r="P720" s="22"/>
      <c r="Q720" s="81"/>
      <c r="R720" s="66"/>
      <c r="S720" s="66"/>
    </row>
    <row r="721" ht="15.75" hidden="1" customHeight="1" outlineLevel="3">
      <c r="A721" s="106" t="s">
        <v>99</v>
      </c>
      <c r="B721" s="81" t="s">
        <v>306</v>
      </c>
      <c r="C721" s="81" t="s">
        <v>495</v>
      </c>
      <c r="D721" s="81" t="s">
        <v>495</v>
      </c>
      <c r="E721" s="81" t="s">
        <v>505</v>
      </c>
      <c r="F721" s="81"/>
      <c r="G721" s="81"/>
      <c r="H721" s="81"/>
      <c r="I721" s="81"/>
      <c r="J721" s="81"/>
      <c r="K721" s="99">
        <v>46174.0</v>
      </c>
      <c r="L721" s="99">
        <v>46280.0</v>
      </c>
      <c r="M721" s="99" t="str">
        <f t="shared" si="1"/>
        <v>Chưa đến hạn</v>
      </c>
      <c r="N721" s="81"/>
      <c r="O721" s="81"/>
      <c r="P721" s="22"/>
      <c r="Q721" s="81"/>
      <c r="R721" s="66"/>
      <c r="S721" s="66"/>
    </row>
    <row r="722" ht="15.75" hidden="1" customHeight="1" outlineLevel="3">
      <c r="A722" s="106" t="s">
        <v>99</v>
      </c>
      <c r="B722" s="81" t="s">
        <v>306</v>
      </c>
      <c r="C722" s="81" t="s">
        <v>495</v>
      </c>
      <c r="D722" s="81" t="s">
        <v>495</v>
      </c>
      <c r="E722" s="81" t="s">
        <v>506</v>
      </c>
      <c r="F722" s="81"/>
      <c r="G722" s="81"/>
      <c r="H722" s="81"/>
      <c r="I722" s="81"/>
      <c r="J722" s="81"/>
      <c r="K722" s="99">
        <v>46174.0</v>
      </c>
      <c r="L722" s="99">
        <v>46280.0</v>
      </c>
      <c r="M722" s="99" t="str">
        <f t="shared" si="1"/>
        <v>Chưa đến hạn</v>
      </c>
      <c r="N722" s="81"/>
      <c r="O722" s="81"/>
      <c r="P722" s="22"/>
      <c r="Q722" s="81"/>
      <c r="R722" s="66"/>
      <c r="S722" s="66"/>
    </row>
    <row r="723" ht="15.75" hidden="1" customHeight="1" outlineLevel="3">
      <c r="A723" s="106" t="s">
        <v>99</v>
      </c>
      <c r="B723" s="81" t="s">
        <v>306</v>
      </c>
      <c r="C723" s="81" t="s">
        <v>495</v>
      </c>
      <c r="D723" s="81" t="s">
        <v>495</v>
      </c>
      <c r="E723" s="81" t="s">
        <v>507</v>
      </c>
      <c r="F723" s="81"/>
      <c r="G723" s="81"/>
      <c r="H723" s="81"/>
      <c r="I723" s="81"/>
      <c r="J723" s="81"/>
      <c r="K723" s="99">
        <v>46174.0</v>
      </c>
      <c r="L723" s="99">
        <v>46280.0</v>
      </c>
      <c r="M723" s="99" t="str">
        <f t="shared" si="1"/>
        <v>Chưa đến hạn</v>
      </c>
      <c r="N723" s="81"/>
      <c r="O723" s="81"/>
      <c r="P723" s="22"/>
      <c r="Q723" s="81"/>
      <c r="R723" s="66"/>
      <c r="S723" s="66"/>
    </row>
    <row r="724" ht="15.75" hidden="1" customHeight="1" outlineLevel="3">
      <c r="A724" s="106" t="s">
        <v>99</v>
      </c>
      <c r="B724" s="81" t="s">
        <v>306</v>
      </c>
      <c r="C724" s="81" t="s">
        <v>495</v>
      </c>
      <c r="D724" s="81" t="s">
        <v>495</v>
      </c>
      <c r="E724" s="81" t="s">
        <v>508</v>
      </c>
      <c r="F724" s="81"/>
      <c r="G724" s="81"/>
      <c r="H724" s="81"/>
      <c r="I724" s="81"/>
      <c r="J724" s="81"/>
      <c r="K724" s="99">
        <v>46174.0</v>
      </c>
      <c r="L724" s="99">
        <v>46280.0</v>
      </c>
      <c r="M724" s="99" t="str">
        <f t="shared" si="1"/>
        <v>Chưa đến hạn</v>
      </c>
      <c r="N724" s="81"/>
      <c r="O724" s="81"/>
      <c r="P724" s="22"/>
      <c r="Q724" s="81"/>
      <c r="R724" s="66"/>
      <c r="S724" s="66"/>
    </row>
    <row r="725" ht="15.75" hidden="1" customHeight="1" outlineLevel="2">
      <c r="A725" s="106" t="s">
        <v>99</v>
      </c>
      <c r="B725" s="81" t="s">
        <v>306</v>
      </c>
      <c r="C725" s="81" t="s">
        <v>509</v>
      </c>
      <c r="D725" s="81" t="s">
        <v>509</v>
      </c>
      <c r="E725" s="81"/>
      <c r="F725" s="81"/>
      <c r="G725" s="81"/>
      <c r="H725" s="81"/>
      <c r="I725" s="81"/>
      <c r="J725" s="81"/>
      <c r="K725" s="99">
        <v>46174.0</v>
      </c>
      <c r="L725" s="99">
        <v>46280.0</v>
      </c>
      <c r="M725" s="99" t="str">
        <f t="shared" si="1"/>
        <v>Chưa đến hạn</v>
      </c>
      <c r="N725" s="81"/>
      <c r="O725" s="81"/>
      <c r="P725" s="22"/>
      <c r="Q725" s="81"/>
      <c r="R725" s="66"/>
      <c r="S725" s="66"/>
    </row>
    <row r="726" ht="15.75" hidden="1" customHeight="1" outlineLevel="3">
      <c r="A726" s="106" t="s">
        <v>99</v>
      </c>
      <c r="B726" s="81" t="s">
        <v>306</v>
      </c>
      <c r="C726" s="81" t="s">
        <v>509</v>
      </c>
      <c r="D726" s="81" t="s">
        <v>509</v>
      </c>
      <c r="E726" s="81" t="s">
        <v>510</v>
      </c>
      <c r="F726" s="81"/>
      <c r="G726" s="81"/>
      <c r="H726" s="81"/>
      <c r="I726" s="81"/>
      <c r="J726" s="81"/>
      <c r="K726" s="99">
        <v>46174.0</v>
      </c>
      <c r="L726" s="99">
        <v>46280.0</v>
      </c>
      <c r="M726" s="99" t="str">
        <f t="shared" si="1"/>
        <v>Chưa đến hạn</v>
      </c>
      <c r="N726" s="81"/>
      <c r="O726" s="81"/>
      <c r="P726" s="22"/>
      <c r="Q726" s="81"/>
      <c r="R726" s="66"/>
      <c r="S726" s="66"/>
    </row>
    <row r="727" ht="15.75" hidden="1" customHeight="1" outlineLevel="1">
      <c r="A727" s="106" t="s">
        <v>99</v>
      </c>
      <c r="B727" s="81" t="s">
        <v>511</v>
      </c>
      <c r="C727" s="81" t="s">
        <v>511</v>
      </c>
      <c r="D727" s="81"/>
      <c r="E727" s="81"/>
      <c r="F727" s="81"/>
      <c r="G727" s="81"/>
      <c r="H727" s="81"/>
      <c r="I727" s="81"/>
      <c r="J727" s="81"/>
      <c r="K727" s="99">
        <v>46113.0</v>
      </c>
      <c r="L727" s="99">
        <v>46157.0</v>
      </c>
      <c r="M727" s="99" t="str">
        <f t="shared" si="1"/>
        <v>Quá hạn</v>
      </c>
      <c r="N727" s="81"/>
      <c r="O727" s="81"/>
      <c r="P727" s="22"/>
      <c r="Q727" s="81"/>
      <c r="R727" s="66"/>
      <c r="S727" s="66"/>
    </row>
    <row r="728" ht="15.75" hidden="1" customHeight="1" outlineLevel="2">
      <c r="A728" s="106" t="s">
        <v>99</v>
      </c>
      <c r="B728" s="81" t="s">
        <v>511</v>
      </c>
      <c r="C728" s="81" t="s">
        <v>511</v>
      </c>
      <c r="D728" s="81" t="s">
        <v>512</v>
      </c>
      <c r="E728" s="81"/>
      <c r="F728" s="81"/>
      <c r="G728" s="81"/>
      <c r="H728" s="81"/>
      <c r="I728" s="81"/>
      <c r="J728" s="81"/>
      <c r="K728" s="99">
        <v>46113.0</v>
      </c>
      <c r="L728" s="99">
        <v>46157.0</v>
      </c>
      <c r="M728" s="99" t="str">
        <f t="shared" si="1"/>
        <v>Quá hạn</v>
      </c>
      <c r="N728" s="81"/>
      <c r="O728" s="81"/>
      <c r="P728" s="22"/>
      <c r="Q728" s="81"/>
      <c r="R728" s="66"/>
      <c r="S728" s="66"/>
    </row>
    <row r="729" ht="15.75" hidden="1" customHeight="1" outlineLevel="3">
      <c r="A729" s="106" t="s">
        <v>99</v>
      </c>
      <c r="B729" s="81" t="s">
        <v>511</v>
      </c>
      <c r="C729" s="81" t="s">
        <v>511</v>
      </c>
      <c r="D729" s="81" t="s">
        <v>512</v>
      </c>
      <c r="E729" s="81" t="s">
        <v>513</v>
      </c>
      <c r="F729" s="81"/>
      <c r="G729" s="81"/>
      <c r="H729" s="81"/>
      <c r="I729" s="81"/>
      <c r="J729" s="81"/>
      <c r="K729" s="99">
        <v>46113.0</v>
      </c>
      <c r="L729" s="99">
        <v>46157.0</v>
      </c>
      <c r="M729" s="99" t="str">
        <f t="shared" si="1"/>
        <v>Quá hạn</v>
      </c>
      <c r="N729" s="81"/>
      <c r="O729" s="81"/>
      <c r="P729" s="22"/>
      <c r="Q729" s="81"/>
      <c r="R729" s="66"/>
      <c r="S729" s="66"/>
    </row>
    <row r="730" ht="15.75" hidden="1" customHeight="1" outlineLevel="3">
      <c r="A730" s="106" t="s">
        <v>99</v>
      </c>
      <c r="B730" s="81" t="s">
        <v>511</v>
      </c>
      <c r="C730" s="81" t="s">
        <v>511</v>
      </c>
      <c r="D730" s="81" t="s">
        <v>512</v>
      </c>
      <c r="E730" s="81" t="s">
        <v>514</v>
      </c>
      <c r="F730" s="81"/>
      <c r="G730" s="81"/>
      <c r="H730" s="81"/>
      <c r="I730" s="81"/>
      <c r="J730" s="81"/>
      <c r="K730" s="99">
        <v>46113.0</v>
      </c>
      <c r="L730" s="99">
        <v>46157.0</v>
      </c>
      <c r="M730" s="99" t="str">
        <f t="shared" si="1"/>
        <v>Quá hạn</v>
      </c>
      <c r="N730" s="81"/>
      <c r="O730" s="81"/>
      <c r="P730" s="22"/>
      <c r="Q730" s="81"/>
      <c r="R730" s="66"/>
      <c r="S730" s="66"/>
    </row>
    <row r="731" ht="15.75" hidden="1" customHeight="1" outlineLevel="3">
      <c r="A731" s="106" t="s">
        <v>99</v>
      </c>
      <c r="B731" s="81" t="s">
        <v>511</v>
      </c>
      <c r="C731" s="81" t="s">
        <v>511</v>
      </c>
      <c r="D731" s="81" t="s">
        <v>512</v>
      </c>
      <c r="E731" s="81" t="s">
        <v>515</v>
      </c>
      <c r="F731" s="81"/>
      <c r="G731" s="81"/>
      <c r="H731" s="81"/>
      <c r="I731" s="81"/>
      <c r="J731" s="81"/>
      <c r="K731" s="99">
        <v>46113.0</v>
      </c>
      <c r="L731" s="99">
        <v>46157.0</v>
      </c>
      <c r="M731" s="99" t="str">
        <f t="shared" si="1"/>
        <v>Quá hạn</v>
      </c>
      <c r="N731" s="81"/>
      <c r="O731" s="81"/>
      <c r="P731" s="22"/>
      <c r="Q731" s="81"/>
      <c r="R731" s="66"/>
      <c r="S731" s="66"/>
    </row>
    <row r="732" ht="15.75" hidden="1" customHeight="1" outlineLevel="2">
      <c r="A732" s="106" t="s">
        <v>99</v>
      </c>
      <c r="B732" s="81" t="s">
        <v>511</v>
      </c>
      <c r="C732" s="81" t="s">
        <v>511</v>
      </c>
      <c r="D732" s="81" t="s">
        <v>516</v>
      </c>
      <c r="E732" s="81"/>
      <c r="F732" s="81"/>
      <c r="G732" s="81"/>
      <c r="H732" s="81"/>
      <c r="I732" s="81"/>
      <c r="J732" s="81"/>
      <c r="K732" s="99">
        <v>46113.0</v>
      </c>
      <c r="L732" s="99">
        <v>46157.0</v>
      </c>
      <c r="M732" s="99" t="str">
        <f t="shared" si="1"/>
        <v>Quá hạn</v>
      </c>
      <c r="N732" s="81"/>
      <c r="O732" s="81"/>
      <c r="P732" s="22"/>
      <c r="Q732" s="81"/>
      <c r="R732" s="66"/>
      <c r="S732" s="66"/>
    </row>
    <row r="733" ht="15.75" hidden="1" customHeight="1" outlineLevel="3">
      <c r="A733" s="106" t="s">
        <v>99</v>
      </c>
      <c r="B733" s="81" t="s">
        <v>511</v>
      </c>
      <c r="C733" s="81" t="s">
        <v>511</v>
      </c>
      <c r="D733" s="81" t="s">
        <v>516</v>
      </c>
      <c r="E733" s="81" t="s">
        <v>517</v>
      </c>
      <c r="F733" s="81"/>
      <c r="G733" s="81"/>
      <c r="H733" s="81"/>
      <c r="I733" s="81"/>
      <c r="J733" s="81"/>
      <c r="K733" s="99">
        <v>46113.0</v>
      </c>
      <c r="L733" s="99">
        <v>46157.0</v>
      </c>
      <c r="M733" s="99" t="str">
        <f t="shared" si="1"/>
        <v>Quá hạn</v>
      </c>
      <c r="N733" s="81"/>
      <c r="O733" s="81"/>
      <c r="P733" s="22"/>
      <c r="Q733" s="81"/>
      <c r="R733" s="66"/>
      <c r="S733" s="66"/>
    </row>
    <row r="734" ht="15.75" hidden="1" customHeight="1" outlineLevel="3">
      <c r="A734" s="106" t="s">
        <v>99</v>
      </c>
      <c r="B734" s="81" t="s">
        <v>511</v>
      </c>
      <c r="C734" s="81" t="s">
        <v>511</v>
      </c>
      <c r="D734" s="81" t="s">
        <v>516</v>
      </c>
      <c r="E734" s="81" t="s">
        <v>518</v>
      </c>
      <c r="F734" s="81"/>
      <c r="G734" s="81"/>
      <c r="H734" s="81"/>
      <c r="I734" s="81"/>
      <c r="J734" s="81"/>
      <c r="K734" s="99">
        <v>46113.0</v>
      </c>
      <c r="L734" s="99">
        <v>46157.0</v>
      </c>
      <c r="M734" s="99" t="str">
        <f t="shared" si="1"/>
        <v>Quá hạn</v>
      </c>
      <c r="N734" s="81"/>
      <c r="O734" s="81"/>
      <c r="P734" s="22"/>
      <c r="Q734" s="81"/>
      <c r="R734" s="66"/>
      <c r="S734" s="66"/>
    </row>
    <row r="735" ht="15.75" hidden="1" customHeight="1" outlineLevel="3">
      <c r="A735" s="106" t="s">
        <v>99</v>
      </c>
      <c r="B735" s="81" t="s">
        <v>511</v>
      </c>
      <c r="C735" s="81" t="s">
        <v>511</v>
      </c>
      <c r="D735" s="81" t="s">
        <v>516</v>
      </c>
      <c r="E735" s="81" t="s">
        <v>519</v>
      </c>
      <c r="F735" s="81"/>
      <c r="G735" s="81"/>
      <c r="H735" s="81"/>
      <c r="I735" s="81"/>
      <c r="J735" s="81"/>
      <c r="K735" s="99">
        <v>46113.0</v>
      </c>
      <c r="L735" s="99">
        <v>46157.0</v>
      </c>
      <c r="M735" s="99" t="str">
        <f t="shared" si="1"/>
        <v>Quá hạn</v>
      </c>
      <c r="N735" s="81"/>
      <c r="O735" s="81"/>
      <c r="P735" s="22"/>
      <c r="Q735" s="81"/>
      <c r="R735" s="66"/>
      <c r="S735" s="66"/>
    </row>
    <row r="736" ht="15.75" hidden="1" customHeight="1" outlineLevel="3">
      <c r="A736" s="106" t="s">
        <v>99</v>
      </c>
      <c r="B736" s="81" t="s">
        <v>511</v>
      </c>
      <c r="C736" s="81" t="s">
        <v>511</v>
      </c>
      <c r="D736" s="81" t="s">
        <v>516</v>
      </c>
      <c r="E736" s="81" t="s">
        <v>520</v>
      </c>
      <c r="F736" s="81"/>
      <c r="G736" s="81"/>
      <c r="H736" s="81"/>
      <c r="I736" s="81"/>
      <c r="J736" s="81"/>
      <c r="K736" s="99">
        <v>46113.0</v>
      </c>
      <c r="L736" s="99">
        <v>46157.0</v>
      </c>
      <c r="M736" s="99" t="str">
        <f t="shared" si="1"/>
        <v>Quá hạn</v>
      </c>
      <c r="N736" s="81"/>
      <c r="O736" s="81"/>
      <c r="P736" s="22"/>
      <c r="Q736" s="81"/>
      <c r="R736" s="66"/>
      <c r="S736" s="66"/>
    </row>
    <row r="737" ht="15.75" hidden="1" customHeight="1" outlineLevel="3">
      <c r="A737" s="106" t="s">
        <v>99</v>
      </c>
      <c r="B737" s="81" t="s">
        <v>511</v>
      </c>
      <c r="C737" s="81" t="s">
        <v>511</v>
      </c>
      <c r="D737" s="81" t="s">
        <v>516</v>
      </c>
      <c r="E737" s="81" t="s">
        <v>521</v>
      </c>
      <c r="F737" s="81"/>
      <c r="G737" s="81"/>
      <c r="H737" s="81"/>
      <c r="I737" s="81"/>
      <c r="J737" s="81"/>
      <c r="K737" s="99">
        <v>46113.0</v>
      </c>
      <c r="L737" s="99">
        <v>46157.0</v>
      </c>
      <c r="M737" s="99" t="str">
        <f t="shared" si="1"/>
        <v>Quá hạn</v>
      </c>
      <c r="N737" s="81"/>
      <c r="O737" s="81"/>
      <c r="P737" s="22"/>
      <c r="Q737" s="81"/>
      <c r="R737" s="66"/>
      <c r="S737" s="66"/>
    </row>
    <row r="738" ht="15.75" hidden="1" customHeight="1" outlineLevel="3">
      <c r="A738" s="106" t="s">
        <v>99</v>
      </c>
      <c r="B738" s="81" t="s">
        <v>511</v>
      </c>
      <c r="C738" s="81" t="s">
        <v>511</v>
      </c>
      <c r="D738" s="81" t="s">
        <v>516</v>
      </c>
      <c r="E738" s="81" t="s">
        <v>522</v>
      </c>
      <c r="F738" s="81"/>
      <c r="G738" s="81"/>
      <c r="H738" s="81"/>
      <c r="I738" s="81"/>
      <c r="J738" s="81"/>
      <c r="K738" s="99">
        <v>46113.0</v>
      </c>
      <c r="L738" s="99">
        <v>46157.0</v>
      </c>
      <c r="M738" s="99" t="str">
        <f t="shared" si="1"/>
        <v>Quá hạn</v>
      </c>
      <c r="N738" s="81"/>
      <c r="O738" s="81"/>
      <c r="P738" s="22"/>
      <c r="Q738" s="81"/>
      <c r="R738" s="66"/>
      <c r="S738" s="66"/>
    </row>
    <row r="739" ht="15.75" hidden="1" customHeight="1" outlineLevel="3">
      <c r="A739" s="106" t="s">
        <v>99</v>
      </c>
      <c r="B739" s="81" t="s">
        <v>511</v>
      </c>
      <c r="C739" s="81" t="s">
        <v>511</v>
      </c>
      <c r="D739" s="81" t="s">
        <v>516</v>
      </c>
      <c r="E739" s="81" t="s">
        <v>523</v>
      </c>
      <c r="F739" s="81"/>
      <c r="G739" s="81"/>
      <c r="H739" s="81"/>
      <c r="I739" s="81"/>
      <c r="J739" s="81"/>
      <c r="K739" s="99">
        <v>46113.0</v>
      </c>
      <c r="L739" s="99">
        <v>46157.0</v>
      </c>
      <c r="M739" s="99" t="str">
        <f t="shared" si="1"/>
        <v>Quá hạn</v>
      </c>
      <c r="N739" s="81"/>
      <c r="O739" s="81"/>
      <c r="P739" s="22"/>
      <c r="Q739" s="81"/>
      <c r="R739" s="66"/>
      <c r="S739" s="66"/>
    </row>
    <row r="740" ht="15.75" hidden="1" customHeight="1" outlineLevel="3">
      <c r="A740" s="106" t="s">
        <v>99</v>
      </c>
      <c r="B740" s="81" t="s">
        <v>511</v>
      </c>
      <c r="C740" s="81" t="s">
        <v>511</v>
      </c>
      <c r="D740" s="81" t="s">
        <v>516</v>
      </c>
      <c r="E740" s="81" t="s">
        <v>524</v>
      </c>
      <c r="F740" s="81"/>
      <c r="G740" s="81"/>
      <c r="H740" s="81"/>
      <c r="I740" s="81"/>
      <c r="J740" s="81"/>
      <c r="K740" s="99">
        <v>46113.0</v>
      </c>
      <c r="L740" s="99">
        <v>46157.0</v>
      </c>
      <c r="M740" s="99" t="str">
        <f t="shared" si="1"/>
        <v>Quá hạn</v>
      </c>
      <c r="N740" s="81"/>
      <c r="O740" s="81"/>
      <c r="P740" s="22"/>
      <c r="Q740" s="81"/>
      <c r="R740" s="66"/>
      <c r="S740" s="66"/>
    </row>
    <row r="741" ht="15.75" hidden="1" customHeight="1" outlineLevel="2">
      <c r="A741" s="106" t="s">
        <v>99</v>
      </c>
      <c r="B741" s="81" t="s">
        <v>511</v>
      </c>
      <c r="C741" s="81" t="s">
        <v>511</v>
      </c>
      <c r="D741" s="81" t="s">
        <v>525</v>
      </c>
      <c r="E741" s="81"/>
      <c r="F741" s="81"/>
      <c r="G741" s="81"/>
      <c r="H741" s="81"/>
      <c r="I741" s="81"/>
      <c r="J741" s="81"/>
      <c r="K741" s="99">
        <v>46113.0</v>
      </c>
      <c r="L741" s="99">
        <v>46157.0</v>
      </c>
      <c r="M741" s="99" t="str">
        <f t="shared" si="1"/>
        <v>Quá hạn</v>
      </c>
      <c r="N741" s="81"/>
      <c r="O741" s="81"/>
      <c r="P741" s="22"/>
      <c r="Q741" s="81"/>
      <c r="R741" s="66"/>
      <c r="S741" s="66"/>
    </row>
    <row r="742" ht="15.75" hidden="1" customHeight="1" outlineLevel="3">
      <c r="A742" s="106" t="s">
        <v>99</v>
      </c>
      <c r="B742" s="81" t="s">
        <v>511</v>
      </c>
      <c r="C742" s="81" t="s">
        <v>511</v>
      </c>
      <c r="D742" s="81" t="s">
        <v>525</v>
      </c>
      <c r="E742" s="81" t="s">
        <v>526</v>
      </c>
      <c r="F742" s="81"/>
      <c r="G742" s="81"/>
      <c r="H742" s="81"/>
      <c r="I742" s="81"/>
      <c r="J742" s="81"/>
      <c r="K742" s="99">
        <v>46113.0</v>
      </c>
      <c r="L742" s="99">
        <v>46157.0</v>
      </c>
      <c r="M742" s="99" t="str">
        <f t="shared" si="1"/>
        <v>Quá hạn</v>
      </c>
      <c r="N742" s="81"/>
      <c r="O742" s="81"/>
      <c r="P742" s="22"/>
      <c r="Q742" s="81"/>
      <c r="R742" s="66"/>
      <c r="S742" s="66"/>
    </row>
    <row r="743" ht="15.75" hidden="1" customHeight="1" outlineLevel="3">
      <c r="A743" s="106" t="s">
        <v>99</v>
      </c>
      <c r="B743" s="81" t="s">
        <v>511</v>
      </c>
      <c r="C743" s="81" t="s">
        <v>511</v>
      </c>
      <c r="D743" s="81" t="s">
        <v>525</v>
      </c>
      <c r="E743" s="81" t="s">
        <v>527</v>
      </c>
      <c r="F743" s="81"/>
      <c r="G743" s="81"/>
      <c r="H743" s="81"/>
      <c r="I743" s="81"/>
      <c r="J743" s="81"/>
      <c r="K743" s="99">
        <v>46113.0</v>
      </c>
      <c r="L743" s="99">
        <v>46157.0</v>
      </c>
      <c r="M743" s="99" t="str">
        <f t="shared" si="1"/>
        <v>Quá hạn</v>
      </c>
      <c r="N743" s="81"/>
      <c r="O743" s="81"/>
      <c r="P743" s="22"/>
      <c r="Q743" s="81"/>
      <c r="R743" s="66"/>
      <c r="S743" s="66"/>
    </row>
    <row r="744" ht="15.75" hidden="1" customHeight="1" outlineLevel="3">
      <c r="A744" s="106" t="s">
        <v>99</v>
      </c>
      <c r="B744" s="81" t="s">
        <v>511</v>
      </c>
      <c r="C744" s="81" t="s">
        <v>511</v>
      </c>
      <c r="D744" s="81" t="s">
        <v>525</v>
      </c>
      <c r="E744" s="81" t="s">
        <v>528</v>
      </c>
      <c r="F744" s="81"/>
      <c r="G744" s="81"/>
      <c r="H744" s="81"/>
      <c r="I744" s="81"/>
      <c r="J744" s="81"/>
      <c r="K744" s="99">
        <v>46113.0</v>
      </c>
      <c r="L744" s="99">
        <v>46157.0</v>
      </c>
      <c r="M744" s="99" t="str">
        <f t="shared" si="1"/>
        <v>Quá hạn</v>
      </c>
      <c r="N744" s="81"/>
      <c r="O744" s="81"/>
      <c r="P744" s="22"/>
      <c r="Q744" s="81"/>
      <c r="R744" s="66"/>
      <c r="S744" s="66"/>
    </row>
    <row r="745" ht="15.75" hidden="1" customHeight="1" outlineLevel="3">
      <c r="A745" s="106" t="s">
        <v>99</v>
      </c>
      <c r="B745" s="81" t="s">
        <v>511</v>
      </c>
      <c r="C745" s="81" t="s">
        <v>511</v>
      </c>
      <c r="D745" s="81" t="s">
        <v>525</v>
      </c>
      <c r="E745" s="81" t="s">
        <v>529</v>
      </c>
      <c r="F745" s="81"/>
      <c r="G745" s="81"/>
      <c r="H745" s="81"/>
      <c r="I745" s="81"/>
      <c r="J745" s="81"/>
      <c r="K745" s="99">
        <v>46113.0</v>
      </c>
      <c r="L745" s="99">
        <v>46157.0</v>
      </c>
      <c r="M745" s="99" t="str">
        <f t="shared" si="1"/>
        <v>Quá hạn</v>
      </c>
      <c r="N745" s="81"/>
      <c r="O745" s="81"/>
      <c r="P745" s="22"/>
      <c r="Q745" s="81"/>
      <c r="R745" s="66"/>
      <c r="S745" s="66"/>
    </row>
    <row r="746" ht="15.75" hidden="1" customHeight="1" outlineLevel="3">
      <c r="A746" s="106" t="s">
        <v>99</v>
      </c>
      <c r="B746" s="81" t="s">
        <v>511</v>
      </c>
      <c r="C746" s="81" t="s">
        <v>511</v>
      </c>
      <c r="D746" s="81" t="s">
        <v>525</v>
      </c>
      <c r="E746" s="81" t="s">
        <v>530</v>
      </c>
      <c r="F746" s="81"/>
      <c r="G746" s="81"/>
      <c r="H746" s="81"/>
      <c r="I746" s="81"/>
      <c r="J746" s="81"/>
      <c r="K746" s="99">
        <v>46113.0</v>
      </c>
      <c r="L746" s="99">
        <v>46157.0</v>
      </c>
      <c r="M746" s="99" t="str">
        <f t="shared" si="1"/>
        <v>Quá hạn</v>
      </c>
      <c r="N746" s="81"/>
      <c r="O746" s="81"/>
      <c r="P746" s="22"/>
      <c r="Q746" s="81"/>
      <c r="R746" s="66"/>
      <c r="S746" s="66"/>
    </row>
    <row r="747" ht="15.75" hidden="1" customHeight="1" outlineLevel="3">
      <c r="A747" s="106" t="s">
        <v>99</v>
      </c>
      <c r="B747" s="81" t="s">
        <v>511</v>
      </c>
      <c r="C747" s="81" t="s">
        <v>511</v>
      </c>
      <c r="D747" s="81" t="s">
        <v>525</v>
      </c>
      <c r="E747" s="81" t="s">
        <v>531</v>
      </c>
      <c r="F747" s="81"/>
      <c r="G747" s="81"/>
      <c r="H747" s="81"/>
      <c r="I747" s="81"/>
      <c r="J747" s="81"/>
      <c r="K747" s="99">
        <v>46113.0</v>
      </c>
      <c r="L747" s="99">
        <v>46157.0</v>
      </c>
      <c r="M747" s="99" t="str">
        <f t="shared" si="1"/>
        <v>Quá hạn</v>
      </c>
      <c r="N747" s="81"/>
      <c r="O747" s="81"/>
      <c r="P747" s="22"/>
      <c r="Q747" s="81"/>
      <c r="R747" s="66"/>
      <c r="S747" s="66"/>
    </row>
    <row r="748" ht="15.75" hidden="1" customHeight="1" outlineLevel="1">
      <c r="A748" s="106" t="s">
        <v>99</v>
      </c>
      <c r="B748" s="81" t="s">
        <v>532</v>
      </c>
      <c r="C748" s="81" t="s">
        <v>532</v>
      </c>
      <c r="D748" s="81"/>
      <c r="E748" s="81"/>
      <c r="F748" s="81"/>
      <c r="G748" s="81"/>
      <c r="H748" s="81"/>
      <c r="I748" s="81"/>
      <c r="J748" s="81"/>
      <c r="K748" s="99">
        <v>46157.0</v>
      </c>
      <c r="L748" s="111">
        <v>46203.0</v>
      </c>
      <c r="M748" s="99" t="str">
        <f t="shared" si="1"/>
        <v>Chưa đến hạn</v>
      </c>
      <c r="N748" s="81"/>
      <c r="O748" s="81"/>
      <c r="P748" s="22"/>
      <c r="Q748" s="81"/>
      <c r="R748" s="66"/>
      <c r="S748" s="66"/>
    </row>
    <row r="749" ht="15.75" hidden="1" customHeight="1" outlineLevel="2">
      <c r="A749" s="106" t="s">
        <v>99</v>
      </c>
      <c r="B749" s="81" t="s">
        <v>532</v>
      </c>
      <c r="C749" s="81" t="s">
        <v>532</v>
      </c>
      <c r="D749" s="81" t="s">
        <v>533</v>
      </c>
      <c r="E749" s="81" t="s">
        <v>533</v>
      </c>
      <c r="F749" s="81"/>
      <c r="G749" s="81"/>
      <c r="H749" s="81"/>
      <c r="I749" s="81"/>
      <c r="J749" s="81"/>
      <c r="K749" s="99">
        <v>46157.0</v>
      </c>
      <c r="L749" s="111">
        <v>46203.0</v>
      </c>
      <c r="M749" s="99" t="str">
        <f t="shared" si="1"/>
        <v>Chưa đến hạn</v>
      </c>
      <c r="N749" s="81"/>
      <c r="O749" s="81"/>
      <c r="P749" s="22"/>
      <c r="Q749" s="81"/>
      <c r="R749" s="66"/>
      <c r="S749" s="66"/>
    </row>
    <row r="750" ht="15.75" hidden="1" customHeight="1" outlineLevel="2">
      <c r="A750" s="106" t="s">
        <v>99</v>
      </c>
      <c r="B750" s="81" t="s">
        <v>532</v>
      </c>
      <c r="C750" s="81" t="s">
        <v>532</v>
      </c>
      <c r="D750" s="81" t="s">
        <v>534</v>
      </c>
      <c r="E750" s="81" t="s">
        <v>534</v>
      </c>
      <c r="F750" s="81"/>
      <c r="G750" s="81"/>
      <c r="H750" s="81"/>
      <c r="I750" s="81"/>
      <c r="J750" s="81"/>
      <c r="K750" s="99">
        <v>46157.0</v>
      </c>
      <c r="L750" s="111">
        <v>46203.0</v>
      </c>
      <c r="M750" s="99" t="str">
        <f t="shared" si="1"/>
        <v>Chưa đến hạn</v>
      </c>
      <c r="N750" s="81"/>
      <c r="O750" s="81"/>
      <c r="P750" s="22"/>
      <c r="Q750" s="81"/>
      <c r="R750" s="66"/>
      <c r="S750" s="66"/>
    </row>
    <row r="751" ht="15.75" hidden="1" customHeight="1" outlineLevel="2">
      <c r="A751" s="106" t="s">
        <v>99</v>
      </c>
      <c r="B751" s="81" t="s">
        <v>532</v>
      </c>
      <c r="C751" s="81" t="s">
        <v>532</v>
      </c>
      <c r="D751" s="81" t="s">
        <v>535</v>
      </c>
      <c r="E751" s="81" t="s">
        <v>535</v>
      </c>
      <c r="F751" s="81"/>
      <c r="G751" s="81"/>
      <c r="H751" s="81"/>
      <c r="I751" s="81"/>
      <c r="J751" s="81"/>
      <c r="K751" s="99">
        <v>46157.0</v>
      </c>
      <c r="L751" s="111">
        <v>46203.0</v>
      </c>
      <c r="M751" s="99" t="str">
        <f t="shared" si="1"/>
        <v>Chưa đến hạn</v>
      </c>
      <c r="N751" s="81"/>
      <c r="O751" s="81"/>
      <c r="P751" s="22"/>
      <c r="Q751" s="81"/>
      <c r="R751" s="66"/>
      <c r="S751" s="66"/>
    </row>
    <row r="752" ht="15.75" hidden="1" customHeight="1" outlineLevel="2">
      <c r="A752" s="106" t="s">
        <v>99</v>
      </c>
      <c r="B752" s="81" t="s">
        <v>532</v>
      </c>
      <c r="C752" s="81" t="s">
        <v>532</v>
      </c>
      <c r="D752" s="81" t="s">
        <v>536</v>
      </c>
      <c r="E752" s="81" t="s">
        <v>536</v>
      </c>
      <c r="F752" s="81"/>
      <c r="G752" s="81"/>
      <c r="H752" s="81"/>
      <c r="I752" s="81"/>
      <c r="J752" s="81"/>
      <c r="K752" s="99">
        <v>46157.0</v>
      </c>
      <c r="L752" s="111">
        <v>46203.0</v>
      </c>
      <c r="M752" s="99" t="str">
        <f t="shared" si="1"/>
        <v>Chưa đến hạn</v>
      </c>
      <c r="N752" s="81"/>
      <c r="O752" s="81"/>
      <c r="P752" s="22"/>
      <c r="Q752" s="81"/>
      <c r="R752" s="66"/>
      <c r="S752" s="66"/>
    </row>
    <row r="753" ht="15.75" hidden="1" customHeight="1" outlineLevel="2">
      <c r="A753" s="106" t="s">
        <v>99</v>
      </c>
      <c r="B753" s="81" t="s">
        <v>532</v>
      </c>
      <c r="C753" s="81" t="s">
        <v>532</v>
      </c>
      <c r="D753" s="81" t="s">
        <v>537</v>
      </c>
      <c r="E753" s="81" t="s">
        <v>537</v>
      </c>
      <c r="F753" s="81"/>
      <c r="G753" s="81"/>
      <c r="H753" s="81"/>
      <c r="I753" s="81"/>
      <c r="J753" s="81"/>
      <c r="K753" s="99">
        <v>46157.0</v>
      </c>
      <c r="L753" s="111">
        <v>46203.0</v>
      </c>
      <c r="M753" s="99" t="str">
        <f t="shared" si="1"/>
        <v>Chưa đến hạn</v>
      </c>
      <c r="N753" s="81"/>
      <c r="O753" s="81"/>
      <c r="P753" s="22"/>
      <c r="Q753" s="81"/>
      <c r="R753" s="66"/>
      <c r="S753" s="66"/>
    </row>
    <row r="754" ht="15.75" hidden="1" customHeight="1" outlineLevel="2">
      <c r="A754" s="106" t="s">
        <v>99</v>
      </c>
      <c r="B754" s="81" t="s">
        <v>532</v>
      </c>
      <c r="C754" s="81" t="s">
        <v>532</v>
      </c>
      <c r="D754" s="81" t="s">
        <v>538</v>
      </c>
      <c r="E754" s="81" t="s">
        <v>538</v>
      </c>
      <c r="F754" s="81"/>
      <c r="G754" s="81"/>
      <c r="H754" s="81"/>
      <c r="I754" s="81"/>
      <c r="J754" s="81"/>
      <c r="K754" s="99">
        <v>46157.0</v>
      </c>
      <c r="L754" s="111">
        <v>46203.0</v>
      </c>
      <c r="M754" s="99" t="str">
        <f t="shared" si="1"/>
        <v>Chưa đến hạn</v>
      </c>
      <c r="N754" s="81"/>
      <c r="O754" s="81"/>
      <c r="P754" s="22"/>
      <c r="Q754" s="81"/>
      <c r="R754" s="66"/>
      <c r="S754" s="66"/>
    </row>
    <row r="755" ht="15.75" hidden="1" customHeight="1" outlineLevel="2">
      <c r="A755" s="106" t="s">
        <v>99</v>
      </c>
      <c r="B755" s="81" t="s">
        <v>532</v>
      </c>
      <c r="C755" s="81" t="s">
        <v>532</v>
      </c>
      <c r="D755" s="81" t="s">
        <v>539</v>
      </c>
      <c r="E755" s="81" t="s">
        <v>539</v>
      </c>
      <c r="F755" s="81"/>
      <c r="G755" s="81"/>
      <c r="H755" s="81"/>
      <c r="I755" s="81"/>
      <c r="J755" s="81"/>
      <c r="K755" s="99">
        <v>46157.0</v>
      </c>
      <c r="L755" s="111">
        <v>46203.0</v>
      </c>
      <c r="M755" s="99" t="str">
        <f t="shared" si="1"/>
        <v>Chưa đến hạn</v>
      </c>
      <c r="N755" s="81"/>
      <c r="O755" s="81"/>
      <c r="P755" s="22"/>
      <c r="Q755" s="81"/>
      <c r="R755" s="66"/>
      <c r="S755" s="66"/>
    </row>
    <row r="756" ht="15.75" hidden="1" customHeight="1" outlineLevel="2">
      <c r="A756" s="106" t="s">
        <v>99</v>
      </c>
      <c r="B756" s="81" t="s">
        <v>532</v>
      </c>
      <c r="C756" s="81" t="s">
        <v>532</v>
      </c>
      <c r="D756" s="81" t="s">
        <v>540</v>
      </c>
      <c r="E756" s="81" t="s">
        <v>540</v>
      </c>
      <c r="F756" s="81"/>
      <c r="G756" s="81"/>
      <c r="H756" s="81"/>
      <c r="I756" s="81"/>
      <c r="J756" s="81"/>
      <c r="K756" s="99">
        <v>46157.0</v>
      </c>
      <c r="L756" s="111">
        <v>46203.0</v>
      </c>
      <c r="M756" s="99" t="str">
        <f t="shared" si="1"/>
        <v>Chưa đến hạn</v>
      </c>
      <c r="N756" s="81"/>
      <c r="O756" s="81"/>
      <c r="P756" s="22"/>
      <c r="Q756" s="81"/>
      <c r="R756" s="66"/>
      <c r="S756" s="66"/>
    </row>
    <row r="757" ht="15.75" hidden="1" customHeight="1" outlineLevel="2">
      <c r="A757" s="106" t="s">
        <v>99</v>
      </c>
      <c r="B757" s="81" t="s">
        <v>532</v>
      </c>
      <c r="C757" s="81" t="s">
        <v>532</v>
      </c>
      <c r="D757" s="81" t="s">
        <v>541</v>
      </c>
      <c r="E757" s="81" t="s">
        <v>541</v>
      </c>
      <c r="F757" s="81"/>
      <c r="G757" s="81"/>
      <c r="H757" s="81"/>
      <c r="I757" s="81"/>
      <c r="J757" s="81"/>
      <c r="K757" s="99">
        <v>46157.0</v>
      </c>
      <c r="L757" s="111">
        <v>46203.0</v>
      </c>
      <c r="M757" s="99" t="str">
        <f t="shared" si="1"/>
        <v>Chưa đến hạn</v>
      </c>
      <c r="N757" s="81"/>
      <c r="O757" s="81"/>
      <c r="P757" s="22"/>
      <c r="Q757" s="81"/>
      <c r="R757" s="66"/>
      <c r="S757" s="66"/>
    </row>
    <row r="758" ht="15.75" hidden="1" customHeight="1" outlineLevel="2">
      <c r="A758" s="106" t="s">
        <v>99</v>
      </c>
      <c r="B758" s="81" t="s">
        <v>532</v>
      </c>
      <c r="C758" s="81" t="s">
        <v>532</v>
      </c>
      <c r="D758" s="81" t="s">
        <v>542</v>
      </c>
      <c r="E758" s="81" t="s">
        <v>542</v>
      </c>
      <c r="F758" s="81"/>
      <c r="G758" s="81"/>
      <c r="H758" s="81"/>
      <c r="I758" s="81"/>
      <c r="J758" s="81"/>
      <c r="K758" s="99">
        <v>46157.0</v>
      </c>
      <c r="L758" s="111">
        <v>46203.0</v>
      </c>
      <c r="M758" s="99" t="str">
        <f t="shared" si="1"/>
        <v>Chưa đến hạn</v>
      </c>
      <c r="N758" s="81"/>
      <c r="O758" s="81"/>
      <c r="P758" s="22"/>
      <c r="Q758" s="81"/>
      <c r="R758" s="66"/>
      <c r="S758" s="66"/>
    </row>
    <row r="759" ht="15.75" hidden="1" customHeight="1" outlineLevel="2">
      <c r="A759" s="106" t="s">
        <v>99</v>
      </c>
      <c r="B759" s="81" t="s">
        <v>532</v>
      </c>
      <c r="C759" s="81" t="s">
        <v>532</v>
      </c>
      <c r="D759" s="81" t="s">
        <v>543</v>
      </c>
      <c r="E759" s="81" t="s">
        <v>543</v>
      </c>
      <c r="F759" s="81"/>
      <c r="G759" s="81"/>
      <c r="H759" s="81"/>
      <c r="I759" s="81"/>
      <c r="J759" s="81"/>
      <c r="K759" s="99">
        <v>46157.0</v>
      </c>
      <c r="L759" s="111">
        <v>46203.0</v>
      </c>
      <c r="M759" s="99" t="str">
        <f t="shared" si="1"/>
        <v>Chưa đến hạn</v>
      </c>
      <c r="N759" s="81"/>
      <c r="O759" s="81"/>
      <c r="P759" s="22"/>
      <c r="Q759" s="81"/>
      <c r="R759" s="66"/>
      <c r="S759" s="66"/>
    </row>
    <row r="760" ht="15.75" hidden="1" customHeight="1" outlineLevel="2">
      <c r="A760" s="106" t="s">
        <v>99</v>
      </c>
      <c r="B760" s="81" t="s">
        <v>532</v>
      </c>
      <c r="C760" s="81" t="s">
        <v>532</v>
      </c>
      <c r="D760" s="81" t="s">
        <v>544</v>
      </c>
      <c r="E760" s="81" t="s">
        <v>544</v>
      </c>
      <c r="F760" s="81"/>
      <c r="G760" s="81"/>
      <c r="H760" s="81"/>
      <c r="I760" s="81"/>
      <c r="J760" s="81"/>
      <c r="K760" s="99">
        <v>46157.0</v>
      </c>
      <c r="L760" s="111">
        <v>46203.0</v>
      </c>
      <c r="M760" s="99" t="str">
        <f t="shared" si="1"/>
        <v>Chưa đến hạn</v>
      </c>
      <c r="N760" s="81"/>
      <c r="O760" s="81"/>
      <c r="P760" s="22"/>
      <c r="Q760" s="81"/>
      <c r="R760" s="66"/>
      <c r="S760" s="66"/>
    </row>
    <row r="761" ht="15.75" hidden="1" customHeight="1" outlineLevel="2">
      <c r="A761" s="106" t="s">
        <v>99</v>
      </c>
      <c r="B761" s="81" t="s">
        <v>532</v>
      </c>
      <c r="C761" s="81" t="s">
        <v>532</v>
      </c>
      <c r="D761" s="81" t="s">
        <v>545</v>
      </c>
      <c r="E761" s="81" t="s">
        <v>545</v>
      </c>
      <c r="F761" s="81"/>
      <c r="G761" s="81"/>
      <c r="H761" s="81"/>
      <c r="I761" s="81"/>
      <c r="J761" s="81"/>
      <c r="K761" s="99">
        <v>46157.0</v>
      </c>
      <c r="L761" s="111">
        <v>46203.0</v>
      </c>
      <c r="M761" s="99" t="str">
        <f t="shared" si="1"/>
        <v>Chưa đến hạn</v>
      </c>
      <c r="N761" s="81"/>
      <c r="O761" s="81"/>
      <c r="P761" s="22"/>
      <c r="Q761" s="81"/>
      <c r="R761" s="66"/>
      <c r="S761" s="66"/>
    </row>
    <row r="762" ht="15.75" hidden="1" customHeight="1" outlineLevel="2">
      <c r="A762" s="106" t="s">
        <v>99</v>
      </c>
      <c r="B762" s="81" t="s">
        <v>532</v>
      </c>
      <c r="C762" s="81" t="s">
        <v>532</v>
      </c>
      <c r="D762" s="81" t="s">
        <v>546</v>
      </c>
      <c r="E762" s="81" t="s">
        <v>546</v>
      </c>
      <c r="F762" s="81"/>
      <c r="G762" s="81"/>
      <c r="H762" s="81"/>
      <c r="I762" s="81"/>
      <c r="J762" s="81"/>
      <c r="K762" s="99">
        <v>46157.0</v>
      </c>
      <c r="L762" s="111">
        <v>46203.0</v>
      </c>
      <c r="M762" s="99" t="str">
        <f t="shared" si="1"/>
        <v>Chưa đến hạn</v>
      </c>
      <c r="N762" s="81"/>
      <c r="O762" s="81"/>
      <c r="P762" s="22"/>
      <c r="Q762" s="81"/>
      <c r="R762" s="66"/>
      <c r="S762" s="66"/>
    </row>
    <row r="763" ht="15.75" hidden="1" customHeight="1" outlineLevel="2">
      <c r="A763" s="106" t="s">
        <v>99</v>
      </c>
      <c r="B763" s="81" t="s">
        <v>532</v>
      </c>
      <c r="C763" s="81" t="s">
        <v>532</v>
      </c>
      <c r="D763" s="81" t="s">
        <v>547</v>
      </c>
      <c r="E763" s="81" t="s">
        <v>547</v>
      </c>
      <c r="F763" s="81"/>
      <c r="G763" s="81"/>
      <c r="H763" s="81"/>
      <c r="I763" s="81"/>
      <c r="J763" s="81"/>
      <c r="K763" s="99">
        <v>46157.0</v>
      </c>
      <c r="L763" s="111">
        <v>46203.0</v>
      </c>
      <c r="M763" s="99" t="str">
        <f t="shared" si="1"/>
        <v>Chưa đến hạn</v>
      </c>
      <c r="N763" s="81"/>
      <c r="O763" s="81"/>
      <c r="P763" s="22"/>
      <c r="Q763" s="81"/>
      <c r="R763" s="66"/>
      <c r="S763" s="66"/>
    </row>
    <row r="764" ht="15.75" hidden="1" customHeight="1" outlineLevel="2">
      <c r="A764" s="106" t="s">
        <v>99</v>
      </c>
      <c r="B764" s="81" t="s">
        <v>532</v>
      </c>
      <c r="C764" s="81" t="s">
        <v>532</v>
      </c>
      <c r="D764" s="81" t="s">
        <v>548</v>
      </c>
      <c r="E764" s="81" t="s">
        <v>548</v>
      </c>
      <c r="F764" s="81"/>
      <c r="G764" s="81"/>
      <c r="H764" s="81"/>
      <c r="I764" s="81"/>
      <c r="J764" s="81"/>
      <c r="K764" s="99">
        <v>46157.0</v>
      </c>
      <c r="L764" s="111">
        <v>46203.0</v>
      </c>
      <c r="M764" s="99" t="str">
        <f t="shared" si="1"/>
        <v>Chưa đến hạn</v>
      </c>
      <c r="N764" s="81"/>
      <c r="O764" s="81"/>
      <c r="P764" s="22"/>
      <c r="Q764" s="81"/>
      <c r="R764" s="66"/>
      <c r="S764" s="66"/>
    </row>
    <row r="765" ht="15.75" hidden="1" customHeight="1" outlineLevel="2">
      <c r="A765" s="106" t="s">
        <v>99</v>
      </c>
      <c r="B765" s="81" t="s">
        <v>532</v>
      </c>
      <c r="C765" s="81" t="s">
        <v>532</v>
      </c>
      <c r="D765" s="81" t="s">
        <v>549</v>
      </c>
      <c r="E765" s="81" t="s">
        <v>549</v>
      </c>
      <c r="F765" s="81"/>
      <c r="G765" s="81"/>
      <c r="H765" s="81"/>
      <c r="I765" s="81"/>
      <c r="J765" s="81"/>
      <c r="K765" s="99">
        <v>46157.0</v>
      </c>
      <c r="L765" s="111">
        <v>46203.0</v>
      </c>
      <c r="M765" s="99" t="str">
        <f t="shared" si="1"/>
        <v>Chưa đến hạn</v>
      </c>
      <c r="N765" s="81"/>
      <c r="O765" s="81"/>
      <c r="P765" s="22"/>
      <c r="Q765" s="81"/>
      <c r="R765" s="66"/>
      <c r="S765" s="66"/>
    </row>
    <row r="766" ht="15.75" hidden="1" customHeight="1" outlineLevel="2">
      <c r="A766" s="106" t="s">
        <v>99</v>
      </c>
      <c r="B766" s="81" t="s">
        <v>532</v>
      </c>
      <c r="C766" s="81" t="s">
        <v>532</v>
      </c>
      <c r="D766" s="81" t="s">
        <v>550</v>
      </c>
      <c r="E766" s="81" t="s">
        <v>550</v>
      </c>
      <c r="F766" s="81"/>
      <c r="G766" s="81"/>
      <c r="H766" s="81"/>
      <c r="I766" s="81"/>
      <c r="J766" s="81"/>
      <c r="K766" s="99">
        <v>46157.0</v>
      </c>
      <c r="L766" s="111">
        <v>46203.0</v>
      </c>
      <c r="M766" s="99" t="str">
        <f t="shared" si="1"/>
        <v>Chưa đến hạn</v>
      </c>
      <c r="N766" s="81"/>
      <c r="O766" s="81"/>
      <c r="P766" s="22"/>
      <c r="Q766" s="81"/>
      <c r="R766" s="66"/>
      <c r="S766" s="66"/>
    </row>
    <row r="767" ht="15.75" hidden="1" customHeight="1" outlineLevel="2">
      <c r="A767" s="106" t="s">
        <v>99</v>
      </c>
      <c r="B767" s="81" t="s">
        <v>532</v>
      </c>
      <c r="C767" s="81" t="s">
        <v>532</v>
      </c>
      <c r="D767" s="81" t="s">
        <v>551</v>
      </c>
      <c r="E767" s="81" t="s">
        <v>551</v>
      </c>
      <c r="F767" s="81"/>
      <c r="G767" s="81"/>
      <c r="H767" s="81"/>
      <c r="I767" s="81"/>
      <c r="J767" s="81"/>
      <c r="K767" s="99">
        <v>46157.0</v>
      </c>
      <c r="L767" s="111">
        <v>46203.0</v>
      </c>
      <c r="M767" s="99" t="str">
        <f t="shared" si="1"/>
        <v>Chưa đến hạn</v>
      </c>
      <c r="N767" s="81"/>
      <c r="O767" s="81"/>
      <c r="P767" s="22"/>
      <c r="Q767" s="81"/>
      <c r="R767" s="66"/>
      <c r="S767" s="66"/>
    </row>
    <row r="768" ht="15.75" hidden="1" customHeight="1" outlineLevel="2">
      <c r="A768" s="106" t="s">
        <v>99</v>
      </c>
      <c r="B768" s="81" t="s">
        <v>532</v>
      </c>
      <c r="C768" s="81" t="s">
        <v>532</v>
      </c>
      <c r="D768" s="81" t="s">
        <v>552</v>
      </c>
      <c r="E768" s="81" t="s">
        <v>552</v>
      </c>
      <c r="F768" s="81"/>
      <c r="G768" s="81"/>
      <c r="H768" s="81"/>
      <c r="I768" s="81"/>
      <c r="J768" s="81"/>
      <c r="K768" s="99">
        <v>46157.0</v>
      </c>
      <c r="L768" s="111">
        <v>46203.0</v>
      </c>
      <c r="M768" s="99" t="str">
        <f t="shared" si="1"/>
        <v>Chưa đến hạn</v>
      </c>
      <c r="N768" s="81"/>
      <c r="O768" s="81"/>
      <c r="P768" s="22"/>
      <c r="Q768" s="81"/>
      <c r="R768" s="66"/>
      <c r="S768" s="66"/>
    </row>
    <row r="769" ht="15.75" hidden="1" customHeight="1" outlineLevel="2">
      <c r="A769" s="106" t="s">
        <v>99</v>
      </c>
      <c r="B769" s="81" t="s">
        <v>532</v>
      </c>
      <c r="C769" s="81" t="s">
        <v>532</v>
      </c>
      <c r="D769" s="81" t="s">
        <v>553</v>
      </c>
      <c r="E769" s="81" t="s">
        <v>553</v>
      </c>
      <c r="F769" s="81"/>
      <c r="G769" s="81"/>
      <c r="H769" s="81"/>
      <c r="I769" s="81"/>
      <c r="J769" s="81"/>
      <c r="K769" s="99">
        <v>46157.0</v>
      </c>
      <c r="L769" s="111">
        <v>46203.0</v>
      </c>
      <c r="M769" s="99" t="str">
        <f t="shared" si="1"/>
        <v>Chưa đến hạn</v>
      </c>
      <c r="N769" s="81"/>
      <c r="O769" s="81"/>
      <c r="P769" s="22"/>
      <c r="Q769" s="81"/>
      <c r="R769" s="66"/>
      <c r="S769" s="66"/>
    </row>
    <row r="770" ht="15.75" hidden="1" customHeight="1" outlineLevel="2">
      <c r="A770" s="106" t="s">
        <v>99</v>
      </c>
      <c r="B770" s="81" t="s">
        <v>532</v>
      </c>
      <c r="C770" s="81" t="s">
        <v>532</v>
      </c>
      <c r="D770" s="81" t="s">
        <v>554</v>
      </c>
      <c r="E770" s="81" t="s">
        <v>554</v>
      </c>
      <c r="F770" s="81"/>
      <c r="G770" s="81"/>
      <c r="H770" s="81"/>
      <c r="I770" s="81"/>
      <c r="J770" s="81"/>
      <c r="K770" s="99">
        <v>46157.0</v>
      </c>
      <c r="L770" s="111">
        <v>46203.0</v>
      </c>
      <c r="M770" s="99" t="str">
        <f t="shared" si="1"/>
        <v>Chưa đến hạn</v>
      </c>
      <c r="N770" s="81"/>
      <c r="O770" s="81"/>
      <c r="P770" s="22"/>
      <c r="Q770" s="81"/>
      <c r="R770" s="66"/>
      <c r="S770" s="66"/>
    </row>
    <row r="771" ht="15.75" hidden="1" customHeight="1" outlineLevel="2">
      <c r="A771" s="106" t="s">
        <v>99</v>
      </c>
      <c r="B771" s="81" t="s">
        <v>532</v>
      </c>
      <c r="C771" s="81" t="s">
        <v>532</v>
      </c>
      <c r="D771" s="81" t="s">
        <v>555</v>
      </c>
      <c r="E771" s="81" t="s">
        <v>555</v>
      </c>
      <c r="F771" s="81"/>
      <c r="G771" s="81"/>
      <c r="H771" s="81"/>
      <c r="I771" s="81"/>
      <c r="J771" s="81"/>
      <c r="K771" s="99">
        <v>46157.0</v>
      </c>
      <c r="L771" s="111">
        <v>46203.0</v>
      </c>
      <c r="M771" s="99" t="str">
        <f t="shared" si="1"/>
        <v>Chưa đến hạn</v>
      </c>
      <c r="N771" s="81"/>
      <c r="O771" s="81"/>
      <c r="P771" s="22"/>
      <c r="Q771" s="81"/>
      <c r="R771" s="66"/>
      <c r="S771" s="66"/>
    </row>
    <row r="772" ht="15.75" hidden="1" customHeight="1" outlineLevel="2">
      <c r="A772" s="106" t="s">
        <v>99</v>
      </c>
      <c r="B772" s="81" t="s">
        <v>532</v>
      </c>
      <c r="C772" s="81" t="s">
        <v>532</v>
      </c>
      <c r="D772" s="81" t="s">
        <v>556</v>
      </c>
      <c r="E772" s="81" t="s">
        <v>556</v>
      </c>
      <c r="F772" s="81"/>
      <c r="G772" s="81"/>
      <c r="H772" s="81"/>
      <c r="I772" s="81"/>
      <c r="J772" s="81"/>
      <c r="K772" s="99">
        <v>46157.0</v>
      </c>
      <c r="L772" s="111">
        <v>46203.0</v>
      </c>
      <c r="M772" s="99" t="str">
        <f t="shared" si="1"/>
        <v>Chưa đến hạn</v>
      </c>
      <c r="N772" s="81"/>
      <c r="O772" s="81"/>
      <c r="P772" s="22"/>
      <c r="Q772" s="81"/>
      <c r="R772" s="66"/>
      <c r="S772" s="66"/>
    </row>
    <row r="773" ht="15.75" hidden="1" customHeight="1" outlineLevel="2">
      <c r="A773" s="106" t="s">
        <v>99</v>
      </c>
      <c r="B773" s="81" t="s">
        <v>532</v>
      </c>
      <c r="C773" s="81" t="s">
        <v>532</v>
      </c>
      <c r="D773" s="81" t="s">
        <v>557</v>
      </c>
      <c r="E773" s="81" t="s">
        <v>557</v>
      </c>
      <c r="F773" s="81"/>
      <c r="G773" s="81"/>
      <c r="H773" s="81"/>
      <c r="I773" s="81"/>
      <c r="J773" s="81"/>
      <c r="K773" s="99">
        <v>46157.0</v>
      </c>
      <c r="L773" s="111">
        <v>46203.0</v>
      </c>
      <c r="M773" s="99" t="str">
        <f t="shared" si="1"/>
        <v>Chưa đến hạn</v>
      </c>
      <c r="N773" s="81"/>
      <c r="O773" s="81"/>
      <c r="P773" s="22"/>
      <c r="Q773" s="81"/>
      <c r="R773" s="66"/>
      <c r="S773" s="66"/>
    </row>
    <row r="774" ht="15.75" hidden="1" customHeight="1" outlineLevel="2">
      <c r="A774" s="106" t="s">
        <v>99</v>
      </c>
      <c r="B774" s="81" t="s">
        <v>532</v>
      </c>
      <c r="C774" s="81" t="s">
        <v>532</v>
      </c>
      <c r="D774" s="81" t="s">
        <v>558</v>
      </c>
      <c r="E774" s="81" t="s">
        <v>558</v>
      </c>
      <c r="F774" s="81"/>
      <c r="G774" s="81"/>
      <c r="H774" s="81"/>
      <c r="I774" s="81"/>
      <c r="J774" s="81"/>
      <c r="K774" s="99">
        <v>46157.0</v>
      </c>
      <c r="L774" s="111">
        <v>46203.0</v>
      </c>
      <c r="M774" s="99" t="str">
        <f t="shared" si="1"/>
        <v>Chưa đến hạn</v>
      </c>
      <c r="N774" s="81"/>
      <c r="O774" s="81"/>
      <c r="P774" s="22"/>
      <c r="Q774" s="81"/>
      <c r="R774" s="66"/>
      <c r="S774" s="66"/>
    </row>
    <row r="775" ht="15.75" hidden="1" customHeight="1" outlineLevel="2">
      <c r="A775" s="106" t="s">
        <v>99</v>
      </c>
      <c r="B775" s="81" t="s">
        <v>532</v>
      </c>
      <c r="C775" s="81" t="s">
        <v>532</v>
      </c>
      <c r="D775" s="81" t="s">
        <v>559</v>
      </c>
      <c r="E775" s="81" t="s">
        <v>559</v>
      </c>
      <c r="F775" s="81"/>
      <c r="G775" s="81"/>
      <c r="H775" s="81"/>
      <c r="I775" s="81"/>
      <c r="J775" s="81"/>
      <c r="K775" s="99">
        <v>46157.0</v>
      </c>
      <c r="L775" s="111">
        <v>46203.0</v>
      </c>
      <c r="M775" s="99" t="str">
        <f t="shared" si="1"/>
        <v>Chưa đến hạn</v>
      </c>
      <c r="N775" s="81"/>
      <c r="O775" s="81"/>
      <c r="P775" s="22"/>
      <c r="Q775" s="81"/>
      <c r="R775" s="66"/>
      <c r="S775" s="66"/>
    </row>
    <row r="776" ht="15.75" hidden="1" customHeight="1" outlineLevel="2">
      <c r="A776" s="106" t="s">
        <v>99</v>
      </c>
      <c r="B776" s="81" t="s">
        <v>532</v>
      </c>
      <c r="C776" s="81" t="s">
        <v>532</v>
      </c>
      <c r="D776" s="81" t="s">
        <v>560</v>
      </c>
      <c r="E776" s="81" t="s">
        <v>560</v>
      </c>
      <c r="F776" s="81"/>
      <c r="G776" s="81"/>
      <c r="H776" s="81"/>
      <c r="I776" s="81"/>
      <c r="J776" s="81"/>
      <c r="K776" s="99">
        <v>46157.0</v>
      </c>
      <c r="L776" s="111">
        <v>46203.0</v>
      </c>
      <c r="M776" s="99" t="str">
        <f t="shared" si="1"/>
        <v>Chưa đến hạn</v>
      </c>
      <c r="N776" s="81"/>
      <c r="O776" s="81"/>
      <c r="P776" s="22"/>
      <c r="Q776" s="81"/>
      <c r="R776" s="66"/>
      <c r="S776" s="66"/>
    </row>
    <row r="777" ht="15.75" hidden="1" customHeight="1" outlineLevel="2">
      <c r="A777" s="106" t="s">
        <v>99</v>
      </c>
      <c r="B777" s="81" t="s">
        <v>532</v>
      </c>
      <c r="C777" s="81" t="s">
        <v>532</v>
      </c>
      <c r="D777" s="81" t="s">
        <v>561</v>
      </c>
      <c r="E777" s="81" t="s">
        <v>561</v>
      </c>
      <c r="F777" s="81"/>
      <c r="G777" s="81"/>
      <c r="H777" s="81"/>
      <c r="I777" s="81"/>
      <c r="J777" s="81"/>
      <c r="K777" s="99">
        <v>46157.0</v>
      </c>
      <c r="L777" s="111">
        <v>46203.0</v>
      </c>
      <c r="M777" s="99" t="str">
        <f t="shared" si="1"/>
        <v>Chưa đến hạn</v>
      </c>
      <c r="N777" s="81"/>
      <c r="O777" s="81"/>
      <c r="P777" s="22"/>
      <c r="Q777" s="81"/>
      <c r="R777" s="66"/>
      <c r="S777" s="66"/>
    </row>
    <row r="778" ht="15.75" hidden="1" customHeight="1" outlineLevel="2">
      <c r="A778" s="106" t="s">
        <v>99</v>
      </c>
      <c r="B778" s="81" t="s">
        <v>532</v>
      </c>
      <c r="C778" s="81" t="s">
        <v>532</v>
      </c>
      <c r="D778" s="81" t="s">
        <v>562</v>
      </c>
      <c r="E778" s="81" t="s">
        <v>562</v>
      </c>
      <c r="F778" s="81"/>
      <c r="G778" s="81"/>
      <c r="H778" s="81"/>
      <c r="I778" s="81"/>
      <c r="J778" s="81"/>
      <c r="K778" s="99">
        <v>46157.0</v>
      </c>
      <c r="L778" s="111">
        <v>46203.0</v>
      </c>
      <c r="M778" s="99" t="str">
        <f t="shared" si="1"/>
        <v>Chưa đến hạn</v>
      </c>
      <c r="N778" s="81"/>
      <c r="O778" s="81"/>
      <c r="P778" s="22"/>
      <c r="Q778" s="81"/>
      <c r="R778" s="66"/>
      <c r="S778" s="66"/>
    </row>
    <row r="779" ht="15.75" hidden="1" customHeight="1" outlineLevel="2">
      <c r="A779" s="106" t="s">
        <v>99</v>
      </c>
      <c r="B779" s="81" t="s">
        <v>532</v>
      </c>
      <c r="C779" s="81" t="s">
        <v>532</v>
      </c>
      <c r="D779" s="81" t="s">
        <v>563</v>
      </c>
      <c r="E779" s="81" t="s">
        <v>563</v>
      </c>
      <c r="F779" s="81"/>
      <c r="G779" s="81"/>
      <c r="H779" s="81"/>
      <c r="I779" s="81"/>
      <c r="J779" s="81"/>
      <c r="K779" s="99">
        <v>46157.0</v>
      </c>
      <c r="L779" s="111">
        <v>46203.0</v>
      </c>
      <c r="M779" s="99" t="str">
        <f t="shared" si="1"/>
        <v>Chưa đến hạn</v>
      </c>
      <c r="N779" s="81"/>
      <c r="O779" s="81"/>
      <c r="P779" s="22"/>
      <c r="Q779" s="81"/>
      <c r="R779" s="66"/>
      <c r="S779" s="66"/>
    </row>
    <row r="780" ht="15.75" hidden="1" customHeight="1" outlineLevel="2">
      <c r="A780" s="106" t="s">
        <v>99</v>
      </c>
      <c r="B780" s="81" t="s">
        <v>532</v>
      </c>
      <c r="C780" s="81" t="s">
        <v>532</v>
      </c>
      <c r="D780" s="81" t="s">
        <v>564</v>
      </c>
      <c r="E780" s="81" t="s">
        <v>564</v>
      </c>
      <c r="F780" s="81"/>
      <c r="G780" s="81"/>
      <c r="H780" s="81"/>
      <c r="I780" s="81"/>
      <c r="J780" s="81"/>
      <c r="K780" s="99">
        <v>46157.0</v>
      </c>
      <c r="L780" s="111">
        <v>46203.0</v>
      </c>
      <c r="M780" s="99" t="str">
        <f t="shared" si="1"/>
        <v>Chưa đến hạn</v>
      </c>
      <c r="N780" s="81"/>
      <c r="O780" s="81"/>
      <c r="P780" s="22"/>
      <c r="Q780" s="81"/>
      <c r="R780" s="66"/>
      <c r="S780" s="66"/>
    </row>
    <row r="781" ht="15.75" hidden="1" customHeight="1" outlineLevel="2">
      <c r="A781" s="106" t="s">
        <v>99</v>
      </c>
      <c r="B781" s="81" t="s">
        <v>532</v>
      </c>
      <c r="C781" s="81" t="s">
        <v>532</v>
      </c>
      <c r="D781" s="81" t="s">
        <v>565</v>
      </c>
      <c r="E781" s="81" t="s">
        <v>565</v>
      </c>
      <c r="F781" s="81"/>
      <c r="G781" s="81"/>
      <c r="H781" s="81"/>
      <c r="I781" s="81"/>
      <c r="J781" s="81"/>
      <c r="K781" s="99">
        <v>46157.0</v>
      </c>
      <c r="L781" s="111">
        <v>46203.0</v>
      </c>
      <c r="M781" s="99" t="str">
        <f t="shared" si="1"/>
        <v>Chưa đến hạn</v>
      </c>
      <c r="N781" s="81"/>
      <c r="O781" s="81"/>
      <c r="P781" s="22"/>
      <c r="Q781" s="81"/>
      <c r="R781" s="66"/>
      <c r="S781" s="66"/>
    </row>
    <row r="782" ht="15.75" hidden="1" customHeight="1" outlineLevel="2">
      <c r="A782" s="106" t="s">
        <v>99</v>
      </c>
      <c r="B782" s="81" t="s">
        <v>532</v>
      </c>
      <c r="C782" s="81" t="s">
        <v>532</v>
      </c>
      <c r="D782" s="81" t="s">
        <v>566</v>
      </c>
      <c r="E782" s="81" t="s">
        <v>566</v>
      </c>
      <c r="F782" s="81"/>
      <c r="G782" s="81"/>
      <c r="H782" s="81"/>
      <c r="I782" s="81"/>
      <c r="J782" s="81"/>
      <c r="K782" s="99">
        <v>46157.0</v>
      </c>
      <c r="L782" s="111">
        <v>46203.0</v>
      </c>
      <c r="M782" s="99" t="str">
        <f t="shared" si="1"/>
        <v>Chưa đến hạn</v>
      </c>
      <c r="N782" s="81"/>
      <c r="O782" s="81"/>
      <c r="P782" s="22"/>
      <c r="Q782" s="81"/>
      <c r="R782" s="66"/>
      <c r="S782" s="66"/>
    </row>
    <row r="783" ht="15.75" hidden="1" customHeight="1" outlineLevel="2">
      <c r="A783" s="106" t="s">
        <v>99</v>
      </c>
      <c r="B783" s="81" t="s">
        <v>532</v>
      </c>
      <c r="C783" s="81" t="s">
        <v>532</v>
      </c>
      <c r="D783" s="81" t="s">
        <v>567</v>
      </c>
      <c r="E783" s="81" t="s">
        <v>567</v>
      </c>
      <c r="F783" s="81"/>
      <c r="G783" s="81"/>
      <c r="H783" s="81"/>
      <c r="I783" s="81"/>
      <c r="J783" s="81"/>
      <c r="K783" s="99">
        <v>46157.0</v>
      </c>
      <c r="L783" s="111">
        <v>46203.0</v>
      </c>
      <c r="M783" s="99" t="str">
        <f t="shared" si="1"/>
        <v>Chưa đến hạn</v>
      </c>
      <c r="N783" s="81"/>
      <c r="O783" s="81"/>
      <c r="P783" s="22"/>
      <c r="Q783" s="81"/>
      <c r="R783" s="66"/>
      <c r="S783" s="66"/>
    </row>
    <row r="784" ht="15.75" hidden="1" customHeight="1" outlineLevel="1">
      <c r="A784" s="106" t="s">
        <v>99</v>
      </c>
      <c r="B784" s="81" t="s">
        <v>568</v>
      </c>
      <c r="C784" s="81" t="s">
        <v>568</v>
      </c>
      <c r="D784" s="81"/>
      <c r="E784" s="81"/>
      <c r="F784" s="81"/>
      <c r="G784" s="81"/>
      <c r="H784" s="81"/>
      <c r="I784" s="81"/>
      <c r="J784" s="81"/>
      <c r="K784" s="99">
        <v>46174.0</v>
      </c>
      <c r="L784" s="99">
        <v>46218.0</v>
      </c>
      <c r="M784" s="99" t="str">
        <f t="shared" si="1"/>
        <v>Chưa đến hạn</v>
      </c>
      <c r="N784" s="81"/>
      <c r="O784" s="81"/>
      <c r="P784" s="22"/>
      <c r="Q784" s="81"/>
      <c r="R784" s="66"/>
      <c r="S784" s="66"/>
    </row>
    <row r="785" ht="15.75" hidden="1" customHeight="1" outlineLevel="2">
      <c r="A785" s="106" t="s">
        <v>99</v>
      </c>
      <c r="B785" s="81" t="s">
        <v>568</v>
      </c>
      <c r="C785" s="81" t="s">
        <v>568</v>
      </c>
      <c r="D785" s="81" t="s">
        <v>569</v>
      </c>
      <c r="E785" s="81" t="s">
        <v>569</v>
      </c>
      <c r="F785" s="81"/>
      <c r="G785" s="81"/>
      <c r="H785" s="81"/>
      <c r="I785" s="81"/>
      <c r="J785" s="81"/>
      <c r="K785" s="99">
        <v>46174.0</v>
      </c>
      <c r="L785" s="99">
        <v>46218.0</v>
      </c>
      <c r="M785" s="99" t="str">
        <f t="shared" si="1"/>
        <v>Chưa đến hạn</v>
      </c>
      <c r="N785" s="81"/>
      <c r="O785" s="81"/>
      <c r="P785" s="22"/>
      <c r="Q785" s="81"/>
      <c r="R785" s="66"/>
      <c r="S785" s="66"/>
    </row>
    <row r="786" ht="15.75" hidden="1" customHeight="1" outlineLevel="2">
      <c r="A786" s="106" t="s">
        <v>99</v>
      </c>
      <c r="B786" s="81" t="s">
        <v>568</v>
      </c>
      <c r="C786" s="81" t="s">
        <v>568</v>
      </c>
      <c r="D786" s="81" t="s">
        <v>570</v>
      </c>
      <c r="E786" s="81" t="s">
        <v>570</v>
      </c>
      <c r="F786" s="81"/>
      <c r="G786" s="81"/>
      <c r="H786" s="81"/>
      <c r="I786" s="81"/>
      <c r="J786" s="81"/>
      <c r="K786" s="99">
        <v>46174.0</v>
      </c>
      <c r="L786" s="99">
        <v>46218.0</v>
      </c>
      <c r="M786" s="99" t="str">
        <f t="shared" si="1"/>
        <v>Chưa đến hạn</v>
      </c>
      <c r="N786" s="81"/>
      <c r="O786" s="81"/>
      <c r="P786" s="22"/>
      <c r="Q786" s="81"/>
      <c r="R786" s="66"/>
      <c r="S786" s="66"/>
    </row>
    <row r="787" ht="15.75" hidden="1" customHeight="1" outlineLevel="2">
      <c r="A787" s="106" t="s">
        <v>99</v>
      </c>
      <c r="B787" s="81" t="s">
        <v>568</v>
      </c>
      <c r="C787" s="81" t="s">
        <v>568</v>
      </c>
      <c r="D787" s="81" t="s">
        <v>571</v>
      </c>
      <c r="E787" s="81" t="s">
        <v>571</v>
      </c>
      <c r="F787" s="81"/>
      <c r="G787" s="81"/>
      <c r="H787" s="81"/>
      <c r="I787" s="81"/>
      <c r="J787" s="81"/>
      <c r="K787" s="99">
        <v>46174.0</v>
      </c>
      <c r="L787" s="99">
        <v>46218.0</v>
      </c>
      <c r="M787" s="99" t="str">
        <f t="shared" si="1"/>
        <v>Chưa đến hạn</v>
      </c>
      <c r="N787" s="81"/>
      <c r="O787" s="81"/>
      <c r="P787" s="22"/>
      <c r="Q787" s="81"/>
      <c r="R787" s="66"/>
      <c r="S787" s="66"/>
    </row>
    <row r="788" ht="15.75" hidden="1" customHeight="1" outlineLevel="2">
      <c r="A788" s="106" t="s">
        <v>99</v>
      </c>
      <c r="B788" s="81" t="s">
        <v>568</v>
      </c>
      <c r="C788" s="81" t="s">
        <v>568</v>
      </c>
      <c r="D788" s="81" t="s">
        <v>572</v>
      </c>
      <c r="E788" s="81" t="s">
        <v>572</v>
      </c>
      <c r="F788" s="81"/>
      <c r="G788" s="81"/>
      <c r="H788" s="81"/>
      <c r="I788" s="81"/>
      <c r="J788" s="81"/>
      <c r="K788" s="99">
        <v>46174.0</v>
      </c>
      <c r="L788" s="99">
        <v>46218.0</v>
      </c>
      <c r="M788" s="99" t="str">
        <f t="shared" si="1"/>
        <v>Chưa đến hạn</v>
      </c>
      <c r="N788" s="81"/>
      <c r="O788" s="81"/>
      <c r="P788" s="22"/>
      <c r="Q788" s="81"/>
      <c r="R788" s="66"/>
      <c r="S788" s="66"/>
    </row>
    <row r="789" ht="15.75" hidden="1" customHeight="1" outlineLevel="2">
      <c r="A789" s="106" t="s">
        <v>99</v>
      </c>
      <c r="B789" s="81" t="s">
        <v>568</v>
      </c>
      <c r="C789" s="81" t="s">
        <v>568</v>
      </c>
      <c r="D789" s="81" t="s">
        <v>573</v>
      </c>
      <c r="E789" s="81" t="s">
        <v>573</v>
      </c>
      <c r="F789" s="81"/>
      <c r="G789" s="81"/>
      <c r="H789" s="81"/>
      <c r="I789" s="81"/>
      <c r="J789" s="81"/>
      <c r="K789" s="99">
        <v>46174.0</v>
      </c>
      <c r="L789" s="99">
        <v>46218.0</v>
      </c>
      <c r="M789" s="99" t="str">
        <f t="shared" si="1"/>
        <v>Chưa đến hạn</v>
      </c>
      <c r="N789" s="81"/>
      <c r="O789" s="81"/>
      <c r="P789" s="22"/>
      <c r="Q789" s="81"/>
      <c r="R789" s="66"/>
      <c r="S789" s="66"/>
    </row>
    <row r="790" ht="15.75" hidden="1" customHeight="1" outlineLevel="2">
      <c r="A790" s="106" t="s">
        <v>99</v>
      </c>
      <c r="B790" s="81" t="s">
        <v>568</v>
      </c>
      <c r="C790" s="81" t="s">
        <v>568</v>
      </c>
      <c r="D790" s="81" t="s">
        <v>574</v>
      </c>
      <c r="E790" s="81" t="s">
        <v>574</v>
      </c>
      <c r="F790" s="81"/>
      <c r="G790" s="81"/>
      <c r="H790" s="81"/>
      <c r="I790" s="81"/>
      <c r="J790" s="81"/>
      <c r="K790" s="99">
        <v>46174.0</v>
      </c>
      <c r="L790" s="99">
        <v>46218.0</v>
      </c>
      <c r="M790" s="99" t="str">
        <f t="shared" si="1"/>
        <v>Chưa đến hạn</v>
      </c>
      <c r="N790" s="81"/>
      <c r="O790" s="81"/>
      <c r="P790" s="22"/>
      <c r="Q790" s="81"/>
      <c r="R790" s="66"/>
      <c r="S790" s="66"/>
    </row>
    <row r="791" ht="15.75" hidden="1" customHeight="1" outlineLevel="2">
      <c r="A791" s="106" t="s">
        <v>99</v>
      </c>
      <c r="B791" s="81" t="s">
        <v>568</v>
      </c>
      <c r="C791" s="81" t="s">
        <v>568</v>
      </c>
      <c r="D791" s="81" t="s">
        <v>575</v>
      </c>
      <c r="E791" s="81" t="s">
        <v>575</v>
      </c>
      <c r="F791" s="81"/>
      <c r="G791" s="81"/>
      <c r="H791" s="81"/>
      <c r="I791" s="81"/>
      <c r="J791" s="81"/>
      <c r="K791" s="99">
        <v>46174.0</v>
      </c>
      <c r="L791" s="99">
        <v>46218.0</v>
      </c>
      <c r="M791" s="99" t="str">
        <f t="shared" si="1"/>
        <v>Chưa đến hạn</v>
      </c>
      <c r="N791" s="81"/>
      <c r="O791" s="81"/>
      <c r="P791" s="22"/>
      <c r="Q791" s="81"/>
      <c r="R791" s="66"/>
      <c r="S791" s="66"/>
    </row>
    <row r="792" ht="15.75" hidden="1" customHeight="1" outlineLevel="2">
      <c r="A792" s="106" t="s">
        <v>99</v>
      </c>
      <c r="B792" s="81" t="s">
        <v>568</v>
      </c>
      <c r="C792" s="81" t="s">
        <v>568</v>
      </c>
      <c r="D792" s="81" t="s">
        <v>576</v>
      </c>
      <c r="E792" s="81" t="s">
        <v>576</v>
      </c>
      <c r="F792" s="81"/>
      <c r="G792" s="81"/>
      <c r="H792" s="81"/>
      <c r="I792" s="81"/>
      <c r="J792" s="81"/>
      <c r="K792" s="99">
        <v>46174.0</v>
      </c>
      <c r="L792" s="99">
        <v>46218.0</v>
      </c>
      <c r="M792" s="99" t="str">
        <f t="shared" si="1"/>
        <v>Chưa đến hạn</v>
      </c>
      <c r="N792" s="81"/>
      <c r="O792" s="81"/>
      <c r="P792" s="22"/>
      <c r="Q792" s="81"/>
      <c r="R792" s="66"/>
      <c r="S792" s="66"/>
    </row>
    <row r="793" ht="15.75" hidden="1" customHeight="1" outlineLevel="2">
      <c r="A793" s="106" t="s">
        <v>99</v>
      </c>
      <c r="B793" s="81" t="s">
        <v>568</v>
      </c>
      <c r="C793" s="81" t="s">
        <v>568</v>
      </c>
      <c r="D793" s="81" t="s">
        <v>577</v>
      </c>
      <c r="E793" s="81" t="s">
        <v>577</v>
      </c>
      <c r="F793" s="81"/>
      <c r="G793" s="81"/>
      <c r="H793" s="81"/>
      <c r="I793" s="81"/>
      <c r="J793" s="81"/>
      <c r="K793" s="99">
        <v>46174.0</v>
      </c>
      <c r="L793" s="99">
        <v>46218.0</v>
      </c>
      <c r="M793" s="99" t="str">
        <f t="shared" si="1"/>
        <v>Chưa đến hạn</v>
      </c>
      <c r="N793" s="81"/>
      <c r="O793" s="81"/>
      <c r="P793" s="22"/>
      <c r="Q793" s="81"/>
      <c r="R793" s="66"/>
      <c r="S793" s="66"/>
    </row>
    <row r="794" ht="15.75" hidden="1" customHeight="1" outlineLevel="2">
      <c r="A794" s="106" t="s">
        <v>99</v>
      </c>
      <c r="B794" s="81" t="s">
        <v>568</v>
      </c>
      <c r="C794" s="81" t="s">
        <v>568</v>
      </c>
      <c r="D794" s="81" t="s">
        <v>578</v>
      </c>
      <c r="E794" s="81" t="s">
        <v>578</v>
      </c>
      <c r="F794" s="81"/>
      <c r="G794" s="81"/>
      <c r="H794" s="81"/>
      <c r="I794" s="81"/>
      <c r="J794" s="81"/>
      <c r="K794" s="99">
        <v>46174.0</v>
      </c>
      <c r="L794" s="99">
        <v>46218.0</v>
      </c>
      <c r="M794" s="99" t="str">
        <f t="shared" si="1"/>
        <v>Chưa đến hạn</v>
      </c>
      <c r="N794" s="81"/>
      <c r="O794" s="81"/>
      <c r="P794" s="22"/>
      <c r="Q794" s="81"/>
      <c r="R794" s="66"/>
      <c r="S794" s="66"/>
    </row>
    <row r="795" ht="15.75" hidden="1" customHeight="1" outlineLevel="2">
      <c r="A795" s="106" t="s">
        <v>99</v>
      </c>
      <c r="B795" s="81" t="s">
        <v>568</v>
      </c>
      <c r="C795" s="81" t="s">
        <v>568</v>
      </c>
      <c r="D795" s="81" t="s">
        <v>579</v>
      </c>
      <c r="E795" s="81" t="s">
        <v>579</v>
      </c>
      <c r="F795" s="81"/>
      <c r="G795" s="81"/>
      <c r="H795" s="81"/>
      <c r="I795" s="81"/>
      <c r="J795" s="81"/>
      <c r="K795" s="99">
        <v>46174.0</v>
      </c>
      <c r="L795" s="99">
        <v>46218.0</v>
      </c>
      <c r="M795" s="99" t="str">
        <f t="shared" si="1"/>
        <v>Chưa đến hạn</v>
      </c>
      <c r="N795" s="81"/>
      <c r="O795" s="81"/>
      <c r="P795" s="22"/>
      <c r="Q795" s="81"/>
      <c r="R795" s="66"/>
      <c r="S795" s="66"/>
    </row>
    <row r="796" ht="15.75" hidden="1" customHeight="1" outlineLevel="2">
      <c r="A796" s="106" t="s">
        <v>99</v>
      </c>
      <c r="B796" s="81" t="s">
        <v>568</v>
      </c>
      <c r="C796" s="81" t="s">
        <v>568</v>
      </c>
      <c r="D796" s="81" t="s">
        <v>580</v>
      </c>
      <c r="E796" s="81" t="s">
        <v>580</v>
      </c>
      <c r="F796" s="81"/>
      <c r="G796" s="81"/>
      <c r="H796" s="81"/>
      <c r="I796" s="81"/>
      <c r="J796" s="81"/>
      <c r="K796" s="99">
        <v>46174.0</v>
      </c>
      <c r="L796" s="99">
        <v>46218.0</v>
      </c>
      <c r="M796" s="99" t="str">
        <f t="shared" si="1"/>
        <v>Chưa đến hạn</v>
      </c>
      <c r="N796" s="81"/>
      <c r="O796" s="81"/>
      <c r="P796" s="22"/>
      <c r="Q796" s="81"/>
      <c r="R796" s="66"/>
      <c r="S796" s="66"/>
    </row>
    <row r="797" ht="15.75" hidden="1" customHeight="1" outlineLevel="2">
      <c r="A797" s="106" t="s">
        <v>99</v>
      </c>
      <c r="B797" s="81" t="s">
        <v>568</v>
      </c>
      <c r="C797" s="81" t="s">
        <v>568</v>
      </c>
      <c r="D797" s="81" t="s">
        <v>581</v>
      </c>
      <c r="E797" s="81" t="s">
        <v>581</v>
      </c>
      <c r="F797" s="81"/>
      <c r="G797" s="81"/>
      <c r="H797" s="81"/>
      <c r="I797" s="81"/>
      <c r="J797" s="81"/>
      <c r="K797" s="99">
        <v>46174.0</v>
      </c>
      <c r="L797" s="99">
        <v>46218.0</v>
      </c>
      <c r="M797" s="99" t="str">
        <f t="shared" si="1"/>
        <v>Chưa đến hạn</v>
      </c>
      <c r="N797" s="81"/>
      <c r="O797" s="81"/>
      <c r="P797" s="22"/>
      <c r="Q797" s="81"/>
      <c r="R797" s="66"/>
      <c r="S797" s="66"/>
    </row>
    <row r="798" ht="15.75" hidden="1" customHeight="1" outlineLevel="2">
      <c r="A798" s="106" t="s">
        <v>99</v>
      </c>
      <c r="B798" s="81" t="s">
        <v>568</v>
      </c>
      <c r="C798" s="81" t="s">
        <v>568</v>
      </c>
      <c r="D798" s="81" t="s">
        <v>582</v>
      </c>
      <c r="E798" s="81" t="s">
        <v>582</v>
      </c>
      <c r="F798" s="81"/>
      <c r="G798" s="81"/>
      <c r="H798" s="81"/>
      <c r="I798" s="81"/>
      <c r="J798" s="81"/>
      <c r="K798" s="99">
        <v>46174.0</v>
      </c>
      <c r="L798" s="99">
        <v>46218.0</v>
      </c>
      <c r="M798" s="99" t="str">
        <f t="shared" si="1"/>
        <v>Chưa đến hạn</v>
      </c>
      <c r="N798" s="81"/>
      <c r="O798" s="81"/>
      <c r="P798" s="22"/>
      <c r="Q798" s="81"/>
      <c r="R798" s="66"/>
      <c r="S798" s="66"/>
    </row>
    <row r="799" ht="15.75" hidden="1" customHeight="1" outlineLevel="2">
      <c r="A799" s="106" t="s">
        <v>99</v>
      </c>
      <c r="B799" s="81" t="s">
        <v>568</v>
      </c>
      <c r="C799" s="81" t="s">
        <v>568</v>
      </c>
      <c r="D799" s="81" t="s">
        <v>583</v>
      </c>
      <c r="E799" s="81" t="s">
        <v>583</v>
      </c>
      <c r="F799" s="81"/>
      <c r="G799" s="81"/>
      <c r="H799" s="81"/>
      <c r="I799" s="81"/>
      <c r="J799" s="81"/>
      <c r="K799" s="99">
        <v>46174.0</v>
      </c>
      <c r="L799" s="99">
        <v>46218.0</v>
      </c>
      <c r="M799" s="99" t="str">
        <f t="shared" si="1"/>
        <v>Chưa đến hạn</v>
      </c>
      <c r="N799" s="81"/>
      <c r="O799" s="81"/>
      <c r="P799" s="22"/>
      <c r="Q799" s="81"/>
      <c r="R799" s="66"/>
      <c r="S799" s="66"/>
    </row>
    <row r="800" ht="15.75" hidden="1" customHeight="1" outlineLevel="2">
      <c r="A800" s="106" t="s">
        <v>99</v>
      </c>
      <c r="B800" s="81" t="s">
        <v>568</v>
      </c>
      <c r="C800" s="81" t="s">
        <v>568</v>
      </c>
      <c r="D800" s="81" t="s">
        <v>584</v>
      </c>
      <c r="E800" s="81" t="s">
        <v>584</v>
      </c>
      <c r="F800" s="81"/>
      <c r="G800" s="81"/>
      <c r="H800" s="81"/>
      <c r="I800" s="81"/>
      <c r="J800" s="81"/>
      <c r="K800" s="99">
        <v>46174.0</v>
      </c>
      <c r="L800" s="99">
        <v>46218.0</v>
      </c>
      <c r="M800" s="99" t="str">
        <f t="shared" si="1"/>
        <v>Chưa đến hạn</v>
      </c>
      <c r="N800" s="81"/>
      <c r="O800" s="81"/>
      <c r="P800" s="22"/>
      <c r="Q800" s="81"/>
      <c r="R800" s="66"/>
      <c r="S800" s="66"/>
    </row>
    <row r="801" ht="15.75" hidden="1" customHeight="1" outlineLevel="2">
      <c r="A801" s="106" t="s">
        <v>99</v>
      </c>
      <c r="B801" s="81" t="s">
        <v>568</v>
      </c>
      <c r="C801" s="81" t="s">
        <v>568</v>
      </c>
      <c r="D801" s="81" t="s">
        <v>585</v>
      </c>
      <c r="E801" s="81" t="s">
        <v>585</v>
      </c>
      <c r="F801" s="81"/>
      <c r="G801" s="81"/>
      <c r="H801" s="81"/>
      <c r="I801" s="81"/>
      <c r="J801" s="81"/>
      <c r="K801" s="99">
        <v>46174.0</v>
      </c>
      <c r="L801" s="99">
        <v>46218.0</v>
      </c>
      <c r="M801" s="99" t="str">
        <f t="shared" si="1"/>
        <v>Chưa đến hạn</v>
      </c>
      <c r="N801" s="81"/>
      <c r="O801" s="81"/>
      <c r="P801" s="22"/>
      <c r="Q801" s="81"/>
      <c r="R801" s="66"/>
      <c r="S801" s="66"/>
    </row>
    <row r="802" ht="15.75" hidden="1" customHeight="1" outlineLevel="2">
      <c r="A802" s="106" t="s">
        <v>99</v>
      </c>
      <c r="B802" s="81" t="s">
        <v>568</v>
      </c>
      <c r="C802" s="81" t="s">
        <v>568</v>
      </c>
      <c r="D802" s="81" t="s">
        <v>586</v>
      </c>
      <c r="E802" s="81" t="s">
        <v>586</v>
      </c>
      <c r="F802" s="81"/>
      <c r="G802" s="81"/>
      <c r="H802" s="81"/>
      <c r="I802" s="81"/>
      <c r="J802" s="81"/>
      <c r="K802" s="99">
        <v>46174.0</v>
      </c>
      <c r="L802" s="99">
        <v>46218.0</v>
      </c>
      <c r="M802" s="99" t="str">
        <f t="shared" si="1"/>
        <v>Chưa đến hạn</v>
      </c>
      <c r="N802" s="81"/>
      <c r="O802" s="81"/>
      <c r="P802" s="22"/>
      <c r="Q802" s="81"/>
      <c r="R802" s="66"/>
      <c r="S802" s="66"/>
    </row>
    <row r="803" ht="15.75" hidden="1" customHeight="1" outlineLevel="2">
      <c r="A803" s="106" t="s">
        <v>99</v>
      </c>
      <c r="B803" s="81" t="s">
        <v>568</v>
      </c>
      <c r="C803" s="81" t="s">
        <v>568</v>
      </c>
      <c r="D803" s="81" t="s">
        <v>587</v>
      </c>
      <c r="E803" s="81" t="s">
        <v>587</v>
      </c>
      <c r="F803" s="81"/>
      <c r="G803" s="81"/>
      <c r="H803" s="81"/>
      <c r="I803" s="81"/>
      <c r="J803" s="81"/>
      <c r="K803" s="99">
        <v>46174.0</v>
      </c>
      <c r="L803" s="99">
        <v>46218.0</v>
      </c>
      <c r="M803" s="99" t="str">
        <f t="shared" si="1"/>
        <v>Chưa đến hạn</v>
      </c>
      <c r="N803" s="81"/>
      <c r="O803" s="81"/>
      <c r="P803" s="22"/>
      <c r="Q803" s="81"/>
      <c r="R803" s="66"/>
      <c r="S803" s="66"/>
    </row>
    <row r="804" ht="15.75" hidden="1" customHeight="1" outlineLevel="2">
      <c r="A804" s="106" t="s">
        <v>99</v>
      </c>
      <c r="B804" s="81" t="s">
        <v>568</v>
      </c>
      <c r="C804" s="81" t="s">
        <v>568</v>
      </c>
      <c r="D804" s="81" t="s">
        <v>588</v>
      </c>
      <c r="E804" s="81" t="s">
        <v>588</v>
      </c>
      <c r="F804" s="81"/>
      <c r="G804" s="81"/>
      <c r="H804" s="81"/>
      <c r="I804" s="81"/>
      <c r="J804" s="81"/>
      <c r="K804" s="99">
        <v>46174.0</v>
      </c>
      <c r="L804" s="99">
        <v>46218.0</v>
      </c>
      <c r="M804" s="99" t="str">
        <f t="shared" si="1"/>
        <v>Chưa đến hạn</v>
      </c>
      <c r="N804" s="81"/>
      <c r="O804" s="81"/>
      <c r="P804" s="22"/>
      <c r="Q804" s="81"/>
      <c r="R804" s="66"/>
      <c r="S804" s="66"/>
    </row>
    <row r="805" ht="15.75" hidden="1" customHeight="1" outlineLevel="2">
      <c r="A805" s="106" t="s">
        <v>99</v>
      </c>
      <c r="B805" s="81" t="s">
        <v>568</v>
      </c>
      <c r="C805" s="81" t="s">
        <v>568</v>
      </c>
      <c r="D805" s="81" t="s">
        <v>589</v>
      </c>
      <c r="E805" s="81" t="s">
        <v>589</v>
      </c>
      <c r="F805" s="81"/>
      <c r="G805" s="81"/>
      <c r="H805" s="81"/>
      <c r="I805" s="81"/>
      <c r="J805" s="81"/>
      <c r="K805" s="99">
        <v>46174.0</v>
      </c>
      <c r="L805" s="99">
        <v>46218.0</v>
      </c>
      <c r="M805" s="99" t="str">
        <f t="shared" si="1"/>
        <v>Chưa đến hạn</v>
      </c>
      <c r="N805" s="81"/>
      <c r="O805" s="81"/>
      <c r="P805" s="22"/>
      <c r="Q805" s="81"/>
      <c r="R805" s="66"/>
      <c r="S805" s="66"/>
    </row>
    <row r="806" ht="15.75" hidden="1" customHeight="1" outlineLevel="2">
      <c r="A806" s="106" t="s">
        <v>99</v>
      </c>
      <c r="B806" s="81" t="s">
        <v>568</v>
      </c>
      <c r="C806" s="81" t="s">
        <v>568</v>
      </c>
      <c r="D806" s="81" t="s">
        <v>590</v>
      </c>
      <c r="E806" s="81" t="s">
        <v>590</v>
      </c>
      <c r="F806" s="81"/>
      <c r="G806" s="81"/>
      <c r="H806" s="81"/>
      <c r="I806" s="81"/>
      <c r="J806" s="81"/>
      <c r="K806" s="99">
        <v>46174.0</v>
      </c>
      <c r="L806" s="99">
        <v>46218.0</v>
      </c>
      <c r="M806" s="99" t="str">
        <f t="shared" si="1"/>
        <v>Chưa đến hạn</v>
      </c>
      <c r="N806" s="81"/>
      <c r="O806" s="81"/>
      <c r="P806" s="22"/>
      <c r="Q806" s="81"/>
      <c r="R806" s="66"/>
      <c r="S806" s="66"/>
    </row>
    <row r="807" ht="15.75" hidden="1" customHeight="1" outlineLevel="2">
      <c r="A807" s="106" t="s">
        <v>99</v>
      </c>
      <c r="B807" s="81" t="s">
        <v>568</v>
      </c>
      <c r="C807" s="81" t="s">
        <v>568</v>
      </c>
      <c r="D807" s="81" t="s">
        <v>591</v>
      </c>
      <c r="E807" s="81" t="s">
        <v>591</v>
      </c>
      <c r="F807" s="81"/>
      <c r="G807" s="81"/>
      <c r="H807" s="81"/>
      <c r="I807" s="81"/>
      <c r="J807" s="81"/>
      <c r="K807" s="99">
        <v>46174.0</v>
      </c>
      <c r="L807" s="99">
        <v>46218.0</v>
      </c>
      <c r="M807" s="99" t="str">
        <f t="shared" si="1"/>
        <v>Chưa đến hạn</v>
      </c>
      <c r="N807" s="81"/>
      <c r="O807" s="81"/>
      <c r="P807" s="22"/>
      <c r="Q807" s="81"/>
      <c r="R807" s="66"/>
      <c r="S807" s="66"/>
    </row>
    <row r="808" ht="15.75" hidden="1" customHeight="1" outlineLevel="2">
      <c r="A808" s="106" t="s">
        <v>99</v>
      </c>
      <c r="B808" s="81" t="s">
        <v>568</v>
      </c>
      <c r="C808" s="81" t="s">
        <v>568</v>
      </c>
      <c r="D808" s="81" t="s">
        <v>592</v>
      </c>
      <c r="E808" s="81" t="s">
        <v>592</v>
      </c>
      <c r="F808" s="81"/>
      <c r="G808" s="81"/>
      <c r="H808" s="81"/>
      <c r="I808" s="81"/>
      <c r="J808" s="81"/>
      <c r="K808" s="99">
        <v>46174.0</v>
      </c>
      <c r="L808" s="99">
        <v>46218.0</v>
      </c>
      <c r="M808" s="99" t="str">
        <f t="shared" si="1"/>
        <v>Chưa đến hạn</v>
      </c>
      <c r="N808" s="81"/>
      <c r="O808" s="81"/>
      <c r="P808" s="22"/>
      <c r="Q808" s="81"/>
      <c r="R808" s="66"/>
      <c r="S808" s="66"/>
    </row>
    <row r="809" ht="15.75" hidden="1" customHeight="1" outlineLevel="2">
      <c r="A809" s="106" t="s">
        <v>99</v>
      </c>
      <c r="B809" s="81" t="s">
        <v>568</v>
      </c>
      <c r="C809" s="81" t="s">
        <v>568</v>
      </c>
      <c r="D809" s="81" t="s">
        <v>593</v>
      </c>
      <c r="E809" s="81" t="s">
        <v>593</v>
      </c>
      <c r="F809" s="81"/>
      <c r="G809" s="81"/>
      <c r="H809" s="81"/>
      <c r="I809" s="81"/>
      <c r="J809" s="81"/>
      <c r="K809" s="99">
        <v>46174.0</v>
      </c>
      <c r="L809" s="99">
        <v>46218.0</v>
      </c>
      <c r="M809" s="99" t="str">
        <f t="shared" si="1"/>
        <v>Chưa đến hạn</v>
      </c>
      <c r="N809" s="81"/>
      <c r="O809" s="81"/>
      <c r="P809" s="22"/>
      <c r="Q809" s="81"/>
      <c r="R809" s="66"/>
      <c r="S809" s="66"/>
    </row>
    <row r="810" ht="15.75" hidden="1" customHeight="1" outlineLevel="2">
      <c r="A810" s="106" t="s">
        <v>99</v>
      </c>
      <c r="B810" s="81" t="s">
        <v>568</v>
      </c>
      <c r="C810" s="81" t="s">
        <v>568</v>
      </c>
      <c r="D810" s="81" t="s">
        <v>594</v>
      </c>
      <c r="E810" s="81" t="s">
        <v>594</v>
      </c>
      <c r="F810" s="81"/>
      <c r="G810" s="81"/>
      <c r="H810" s="81"/>
      <c r="I810" s="81"/>
      <c r="J810" s="81"/>
      <c r="K810" s="99">
        <v>46174.0</v>
      </c>
      <c r="L810" s="99">
        <v>46218.0</v>
      </c>
      <c r="M810" s="99" t="str">
        <f t="shared" si="1"/>
        <v>Chưa đến hạn</v>
      </c>
      <c r="N810" s="81"/>
      <c r="O810" s="81"/>
      <c r="P810" s="22"/>
      <c r="Q810" s="81"/>
      <c r="R810" s="66"/>
      <c r="S810" s="66"/>
    </row>
    <row r="811" ht="15.75" hidden="1" customHeight="1" outlineLevel="2">
      <c r="A811" s="106" t="s">
        <v>99</v>
      </c>
      <c r="B811" s="81" t="s">
        <v>568</v>
      </c>
      <c r="C811" s="81" t="s">
        <v>568</v>
      </c>
      <c r="D811" s="81" t="s">
        <v>595</v>
      </c>
      <c r="E811" s="81" t="s">
        <v>595</v>
      </c>
      <c r="F811" s="81"/>
      <c r="G811" s="81"/>
      <c r="H811" s="81"/>
      <c r="I811" s="81"/>
      <c r="J811" s="81"/>
      <c r="K811" s="99">
        <v>46174.0</v>
      </c>
      <c r="L811" s="99">
        <v>46218.0</v>
      </c>
      <c r="M811" s="99" t="str">
        <f t="shared" si="1"/>
        <v>Chưa đến hạn</v>
      </c>
      <c r="N811" s="81"/>
      <c r="O811" s="81"/>
      <c r="P811" s="22"/>
      <c r="Q811" s="81"/>
      <c r="R811" s="66"/>
      <c r="S811" s="66"/>
    </row>
    <row r="812" ht="15.75" hidden="1" customHeight="1" outlineLevel="2">
      <c r="A812" s="106" t="s">
        <v>99</v>
      </c>
      <c r="B812" s="81" t="s">
        <v>568</v>
      </c>
      <c r="C812" s="81" t="s">
        <v>568</v>
      </c>
      <c r="D812" s="81" t="s">
        <v>596</v>
      </c>
      <c r="E812" s="81" t="s">
        <v>596</v>
      </c>
      <c r="F812" s="81"/>
      <c r="G812" s="81"/>
      <c r="H812" s="81"/>
      <c r="I812" s="81"/>
      <c r="J812" s="81"/>
      <c r="K812" s="99">
        <v>46174.0</v>
      </c>
      <c r="L812" s="99">
        <v>46218.0</v>
      </c>
      <c r="M812" s="99" t="str">
        <f t="shared" si="1"/>
        <v>Chưa đến hạn</v>
      </c>
      <c r="N812" s="81"/>
      <c r="O812" s="81"/>
      <c r="P812" s="22"/>
      <c r="Q812" s="81"/>
      <c r="R812" s="66"/>
      <c r="S812" s="66"/>
    </row>
    <row r="813" ht="15.75" hidden="1" customHeight="1" outlineLevel="2">
      <c r="A813" s="106" t="s">
        <v>99</v>
      </c>
      <c r="B813" s="81" t="s">
        <v>568</v>
      </c>
      <c r="C813" s="81" t="s">
        <v>568</v>
      </c>
      <c r="D813" s="81" t="s">
        <v>597</v>
      </c>
      <c r="E813" s="81" t="s">
        <v>597</v>
      </c>
      <c r="F813" s="81"/>
      <c r="G813" s="81"/>
      <c r="H813" s="81"/>
      <c r="I813" s="81"/>
      <c r="J813" s="81"/>
      <c r="K813" s="99">
        <v>46174.0</v>
      </c>
      <c r="L813" s="99">
        <v>46218.0</v>
      </c>
      <c r="M813" s="99" t="str">
        <f t="shared" si="1"/>
        <v>Chưa đến hạn</v>
      </c>
      <c r="N813" s="81"/>
      <c r="O813" s="81"/>
      <c r="P813" s="22"/>
      <c r="Q813" s="81"/>
      <c r="R813" s="66"/>
      <c r="S813" s="66"/>
    </row>
    <row r="814" ht="15.75" hidden="1" customHeight="1" outlineLevel="2">
      <c r="A814" s="106" t="s">
        <v>99</v>
      </c>
      <c r="B814" s="81" t="s">
        <v>568</v>
      </c>
      <c r="C814" s="81" t="s">
        <v>568</v>
      </c>
      <c r="D814" s="81" t="s">
        <v>598</v>
      </c>
      <c r="E814" s="81" t="s">
        <v>598</v>
      </c>
      <c r="F814" s="81"/>
      <c r="G814" s="81"/>
      <c r="H814" s="81"/>
      <c r="I814" s="81"/>
      <c r="J814" s="81"/>
      <c r="K814" s="99">
        <v>46174.0</v>
      </c>
      <c r="L814" s="99">
        <v>46218.0</v>
      </c>
      <c r="M814" s="99" t="str">
        <f t="shared" si="1"/>
        <v>Chưa đến hạn</v>
      </c>
      <c r="N814" s="81"/>
      <c r="O814" s="81"/>
      <c r="P814" s="22"/>
      <c r="Q814" s="81"/>
      <c r="R814" s="66"/>
      <c r="S814" s="66"/>
    </row>
    <row r="815" ht="15.75" hidden="1" customHeight="1" outlineLevel="2">
      <c r="A815" s="106" t="s">
        <v>99</v>
      </c>
      <c r="B815" s="81" t="s">
        <v>568</v>
      </c>
      <c r="C815" s="81" t="s">
        <v>568</v>
      </c>
      <c r="D815" s="81" t="s">
        <v>599</v>
      </c>
      <c r="E815" s="81" t="s">
        <v>599</v>
      </c>
      <c r="F815" s="81"/>
      <c r="G815" s="81"/>
      <c r="H815" s="81"/>
      <c r="I815" s="81"/>
      <c r="J815" s="81"/>
      <c r="K815" s="99">
        <v>46174.0</v>
      </c>
      <c r="L815" s="99">
        <v>46218.0</v>
      </c>
      <c r="M815" s="99" t="str">
        <f t="shared" si="1"/>
        <v>Chưa đến hạn</v>
      </c>
      <c r="N815" s="81"/>
      <c r="O815" s="81"/>
      <c r="P815" s="22"/>
      <c r="Q815" s="81"/>
      <c r="R815" s="66"/>
      <c r="S815" s="66"/>
    </row>
    <row r="816" ht="15.75" hidden="1" customHeight="1" outlineLevel="2">
      <c r="A816" s="106" t="s">
        <v>99</v>
      </c>
      <c r="B816" s="81" t="s">
        <v>568</v>
      </c>
      <c r="C816" s="81" t="s">
        <v>568</v>
      </c>
      <c r="D816" s="81" t="s">
        <v>600</v>
      </c>
      <c r="E816" s="81" t="s">
        <v>600</v>
      </c>
      <c r="F816" s="81"/>
      <c r="G816" s="81"/>
      <c r="H816" s="81"/>
      <c r="I816" s="81"/>
      <c r="J816" s="81"/>
      <c r="K816" s="99">
        <v>46174.0</v>
      </c>
      <c r="L816" s="99">
        <v>46218.0</v>
      </c>
      <c r="M816" s="99" t="str">
        <f t="shared" si="1"/>
        <v>Chưa đến hạn</v>
      </c>
      <c r="N816" s="81"/>
      <c r="O816" s="81"/>
      <c r="P816" s="22"/>
      <c r="Q816" s="81"/>
      <c r="R816" s="66"/>
      <c r="S816" s="66"/>
    </row>
    <row r="817" ht="15.75" hidden="1" customHeight="1" outlineLevel="2">
      <c r="A817" s="106" t="s">
        <v>99</v>
      </c>
      <c r="B817" s="81" t="s">
        <v>568</v>
      </c>
      <c r="C817" s="81" t="s">
        <v>568</v>
      </c>
      <c r="D817" s="81" t="s">
        <v>601</v>
      </c>
      <c r="E817" s="81" t="s">
        <v>601</v>
      </c>
      <c r="F817" s="81"/>
      <c r="G817" s="81"/>
      <c r="H817" s="81"/>
      <c r="I817" s="81"/>
      <c r="J817" s="81"/>
      <c r="K817" s="99">
        <v>46174.0</v>
      </c>
      <c r="L817" s="99">
        <v>46218.0</v>
      </c>
      <c r="M817" s="99" t="str">
        <f t="shared" si="1"/>
        <v>Chưa đến hạn</v>
      </c>
      <c r="N817" s="81"/>
      <c r="O817" s="81"/>
      <c r="P817" s="22"/>
      <c r="Q817" s="81"/>
      <c r="R817" s="66"/>
      <c r="S817" s="66"/>
    </row>
    <row r="818" ht="15.75" hidden="1" customHeight="1" outlineLevel="2">
      <c r="A818" s="106" t="s">
        <v>99</v>
      </c>
      <c r="B818" s="81" t="s">
        <v>568</v>
      </c>
      <c r="C818" s="81" t="s">
        <v>568</v>
      </c>
      <c r="D818" s="81" t="s">
        <v>602</v>
      </c>
      <c r="E818" s="81" t="s">
        <v>602</v>
      </c>
      <c r="F818" s="81"/>
      <c r="G818" s="81"/>
      <c r="H818" s="81"/>
      <c r="I818" s="81"/>
      <c r="J818" s="81"/>
      <c r="K818" s="99">
        <v>46174.0</v>
      </c>
      <c r="L818" s="99">
        <v>46218.0</v>
      </c>
      <c r="M818" s="99" t="str">
        <f t="shared" si="1"/>
        <v>Chưa đến hạn</v>
      </c>
      <c r="N818" s="81"/>
      <c r="O818" s="81"/>
      <c r="P818" s="22"/>
      <c r="Q818" s="81"/>
      <c r="R818" s="66"/>
      <c r="S818" s="66"/>
    </row>
    <row r="819" ht="15.75" hidden="1" customHeight="1" outlineLevel="2">
      <c r="A819" s="106" t="s">
        <v>99</v>
      </c>
      <c r="B819" s="81" t="s">
        <v>568</v>
      </c>
      <c r="C819" s="81" t="s">
        <v>568</v>
      </c>
      <c r="D819" s="81" t="s">
        <v>603</v>
      </c>
      <c r="E819" s="81" t="s">
        <v>603</v>
      </c>
      <c r="F819" s="81"/>
      <c r="G819" s="81"/>
      <c r="H819" s="81"/>
      <c r="I819" s="81"/>
      <c r="J819" s="81"/>
      <c r="K819" s="99">
        <v>46174.0</v>
      </c>
      <c r="L819" s="99">
        <v>46218.0</v>
      </c>
      <c r="M819" s="99" t="str">
        <f t="shared" si="1"/>
        <v>Chưa đến hạn</v>
      </c>
      <c r="N819" s="81"/>
      <c r="O819" s="81"/>
      <c r="P819" s="22"/>
      <c r="Q819" s="81"/>
      <c r="R819" s="66"/>
      <c r="S819" s="66"/>
    </row>
    <row r="820" ht="15.75" hidden="1" customHeight="1" outlineLevel="2">
      <c r="A820" s="106" t="s">
        <v>99</v>
      </c>
      <c r="B820" s="81" t="s">
        <v>568</v>
      </c>
      <c r="C820" s="81" t="s">
        <v>568</v>
      </c>
      <c r="D820" s="81" t="s">
        <v>604</v>
      </c>
      <c r="E820" s="81" t="s">
        <v>604</v>
      </c>
      <c r="F820" s="81"/>
      <c r="G820" s="81"/>
      <c r="H820" s="81"/>
      <c r="I820" s="81"/>
      <c r="J820" s="81"/>
      <c r="K820" s="99">
        <v>46174.0</v>
      </c>
      <c r="L820" s="99">
        <v>46218.0</v>
      </c>
      <c r="M820" s="99" t="str">
        <f t="shared" si="1"/>
        <v>Chưa đến hạn</v>
      </c>
      <c r="N820" s="81"/>
      <c r="O820" s="81"/>
      <c r="P820" s="22"/>
      <c r="Q820" s="81"/>
      <c r="R820" s="66"/>
      <c r="S820" s="66"/>
    </row>
    <row r="821" ht="15.75" hidden="1" customHeight="1" outlineLevel="2">
      <c r="A821" s="106" t="s">
        <v>99</v>
      </c>
      <c r="B821" s="81" t="s">
        <v>568</v>
      </c>
      <c r="C821" s="81" t="s">
        <v>568</v>
      </c>
      <c r="D821" s="81" t="s">
        <v>605</v>
      </c>
      <c r="E821" s="81" t="s">
        <v>605</v>
      </c>
      <c r="F821" s="81"/>
      <c r="G821" s="81"/>
      <c r="H821" s="81"/>
      <c r="I821" s="81"/>
      <c r="J821" s="81"/>
      <c r="K821" s="99">
        <v>46174.0</v>
      </c>
      <c r="L821" s="99">
        <v>46218.0</v>
      </c>
      <c r="M821" s="99" t="str">
        <f t="shared" si="1"/>
        <v>Chưa đến hạn</v>
      </c>
      <c r="N821" s="81"/>
      <c r="O821" s="81"/>
      <c r="P821" s="22"/>
      <c r="Q821" s="81"/>
      <c r="R821" s="66"/>
      <c r="S821" s="66"/>
    </row>
    <row r="822" ht="15.75" hidden="1" customHeight="1" outlineLevel="2">
      <c r="A822" s="106" t="s">
        <v>99</v>
      </c>
      <c r="B822" s="81" t="s">
        <v>568</v>
      </c>
      <c r="C822" s="81" t="s">
        <v>568</v>
      </c>
      <c r="D822" s="81" t="s">
        <v>606</v>
      </c>
      <c r="E822" s="81" t="s">
        <v>606</v>
      </c>
      <c r="F822" s="81"/>
      <c r="G822" s="81"/>
      <c r="H822" s="81"/>
      <c r="I822" s="81"/>
      <c r="J822" s="81"/>
      <c r="K822" s="99">
        <v>46174.0</v>
      </c>
      <c r="L822" s="99">
        <v>46218.0</v>
      </c>
      <c r="M822" s="99" t="str">
        <f t="shared" si="1"/>
        <v>Chưa đến hạn</v>
      </c>
      <c r="N822" s="81"/>
      <c r="O822" s="81"/>
      <c r="P822" s="22"/>
      <c r="Q822" s="81"/>
      <c r="R822" s="66"/>
      <c r="S822" s="66"/>
    </row>
    <row r="823" ht="15.75" hidden="1" customHeight="1" outlineLevel="2">
      <c r="A823" s="106" t="s">
        <v>99</v>
      </c>
      <c r="B823" s="81" t="s">
        <v>568</v>
      </c>
      <c r="C823" s="81" t="s">
        <v>568</v>
      </c>
      <c r="D823" s="81" t="s">
        <v>607</v>
      </c>
      <c r="E823" s="81" t="s">
        <v>607</v>
      </c>
      <c r="F823" s="81"/>
      <c r="G823" s="81"/>
      <c r="H823" s="81"/>
      <c r="I823" s="81"/>
      <c r="J823" s="81"/>
      <c r="K823" s="99">
        <v>46174.0</v>
      </c>
      <c r="L823" s="99">
        <v>46218.0</v>
      </c>
      <c r="M823" s="99" t="str">
        <f t="shared" si="1"/>
        <v>Chưa đến hạn</v>
      </c>
      <c r="N823" s="81"/>
      <c r="O823" s="81"/>
      <c r="P823" s="22"/>
      <c r="Q823" s="81"/>
      <c r="R823" s="66"/>
      <c r="S823" s="66"/>
    </row>
    <row r="824" ht="15.75" hidden="1" customHeight="1" outlineLevel="2">
      <c r="A824" s="106" t="s">
        <v>99</v>
      </c>
      <c r="B824" s="81" t="s">
        <v>568</v>
      </c>
      <c r="C824" s="81" t="s">
        <v>568</v>
      </c>
      <c r="D824" s="81" t="s">
        <v>608</v>
      </c>
      <c r="E824" s="81" t="s">
        <v>608</v>
      </c>
      <c r="F824" s="81"/>
      <c r="G824" s="81"/>
      <c r="H824" s="81"/>
      <c r="I824" s="81"/>
      <c r="J824" s="81"/>
      <c r="K824" s="99">
        <v>46174.0</v>
      </c>
      <c r="L824" s="99">
        <v>46218.0</v>
      </c>
      <c r="M824" s="99" t="str">
        <f t="shared" si="1"/>
        <v>Chưa đến hạn</v>
      </c>
      <c r="N824" s="81"/>
      <c r="O824" s="81"/>
      <c r="P824" s="22"/>
      <c r="Q824" s="81"/>
      <c r="R824" s="66"/>
      <c r="S824" s="66"/>
    </row>
    <row r="825" ht="15.75" hidden="1" customHeight="1" outlineLevel="2">
      <c r="A825" s="106" t="s">
        <v>99</v>
      </c>
      <c r="B825" s="81" t="s">
        <v>568</v>
      </c>
      <c r="C825" s="81" t="s">
        <v>568</v>
      </c>
      <c r="D825" s="81" t="s">
        <v>609</v>
      </c>
      <c r="E825" s="81" t="s">
        <v>609</v>
      </c>
      <c r="F825" s="81"/>
      <c r="G825" s="81"/>
      <c r="H825" s="81"/>
      <c r="I825" s="81"/>
      <c r="J825" s="81"/>
      <c r="K825" s="99">
        <v>46174.0</v>
      </c>
      <c r="L825" s="99">
        <v>46218.0</v>
      </c>
      <c r="M825" s="99" t="str">
        <f t="shared" si="1"/>
        <v>Chưa đến hạn</v>
      </c>
      <c r="N825" s="81"/>
      <c r="O825" s="81"/>
      <c r="P825" s="22"/>
      <c r="Q825" s="81"/>
      <c r="R825" s="66"/>
      <c r="S825" s="66"/>
    </row>
    <row r="826" ht="15.75" hidden="1" customHeight="1" outlineLevel="2">
      <c r="A826" s="106" t="s">
        <v>99</v>
      </c>
      <c r="B826" s="81" t="s">
        <v>568</v>
      </c>
      <c r="C826" s="81" t="s">
        <v>568</v>
      </c>
      <c r="D826" s="81" t="s">
        <v>610</v>
      </c>
      <c r="E826" s="81" t="s">
        <v>610</v>
      </c>
      <c r="F826" s="81"/>
      <c r="G826" s="81"/>
      <c r="H826" s="81"/>
      <c r="I826" s="81"/>
      <c r="J826" s="81"/>
      <c r="K826" s="99">
        <v>46174.0</v>
      </c>
      <c r="L826" s="99">
        <v>46218.0</v>
      </c>
      <c r="M826" s="99" t="str">
        <f t="shared" si="1"/>
        <v>Chưa đến hạn</v>
      </c>
      <c r="N826" s="81"/>
      <c r="O826" s="81"/>
      <c r="P826" s="22"/>
      <c r="Q826" s="81"/>
      <c r="R826" s="66"/>
      <c r="S826" s="66"/>
    </row>
    <row r="827" ht="15.75" hidden="1" customHeight="1" outlineLevel="2">
      <c r="A827" s="106" t="s">
        <v>99</v>
      </c>
      <c r="B827" s="81" t="s">
        <v>568</v>
      </c>
      <c r="C827" s="81" t="s">
        <v>568</v>
      </c>
      <c r="D827" s="81" t="s">
        <v>610</v>
      </c>
      <c r="E827" s="81" t="s">
        <v>610</v>
      </c>
      <c r="F827" s="81"/>
      <c r="G827" s="81"/>
      <c r="H827" s="81"/>
      <c r="I827" s="81"/>
      <c r="J827" s="81"/>
      <c r="K827" s="99">
        <v>46174.0</v>
      </c>
      <c r="L827" s="99">
        <v>46218.0</v>
      </c>
      <c r="M827" s="99" t="str">
        <f t="shared" si="1"/>
        <v>Chưa đến hạn</v>
      </c>
      <c r="N827" s="81"/>
      <c r="O827" s="81"/>
      <c r="P827" s="22"/>
      <c r="Q827" s="81"/>
      <c r="R827" s="66"/>
      <c r="S827" s="66"/>
    </row>
    <row r="828" ht="15.75" hidden="1" customHeight="1" outlineLevel="2">
      <c r="A828" s="106" t="s">
        <v>99</v>
      </c>
      <c r="B828" s="81" t="s">
        <v>568</v>
      </c>
      <c r="C828" s="81" t="s">
        <v>568</v>
      </c>
      <c r="D828" s="81" t="s">
        <v>611</v>
      </c>
      <c r="E828" s="81" t="s">
        <v>611</v>
      </c>
      <c r="F828" s="81"/>
      <c r="G828" s="81"/>
      <c r="H828" s="81"/>
      <c r="I828" s="81"/>
      <c r="J828" s="81"/>
      <c r="K828" s="99">
        <v>46174.0</v>
      </c>
      <c r="L828" s="99">
        <v>46218.0</v>
      </c>
      <c r="M828" s="99" t="str">
        <f t="shared" si="1"/>
        <v>Chưa đến hạn</v>
      </c>
      <c r="N828" s="81"/>
      <c r="O828" s="81"/>
      <c r="P828" s="22"/>
      <c r="Q828" s="81"/>
      <c r="R828" s="66"/>
      <c r="S828" s="66"/>
    </row>
    <row r="829" ht="15.75" hidden="1" customHeight="1" outlineLevel="2">
      <c r="A829" s="106" t="s">
        <v>99</v>
      </c>
      <c r="B829" s="81" t="s">
        <v>568</v>
      </c>
      <c r="C829" s="81" t="s">
        <v>568</v>
      </c>
      <c r="D829" s="81" t="s">
        <v>612</v>
      </c>
      <c r="E829" s="81" t="s">
        <v>612</v>
      </c>
      <c r="F829" s="81"/>
      <c r="G829" s="81"/>
      <c r="H829" s="81"/>
      <c r="I829" s="81"/>
      <c r="J829" s="81"/>
      <c r="K829" s="99">
        <v>46174.0</v>
      </c>
      <c r="L829" s="99">
        <v>46218.0</v>
      </c>
      <c r="M829" s="99" t="str">
        <f t="shared" si="1"/>
        <v>Chưa đến hạn</v>
      </c>
      <c r="N829" s="81"/>
      <c r="O829" s="81"/>
      <c r="P829" s="22"/>
      <c r="Q829" s="81"/>
      <c r="R829" s="66"/>
      <c r="S829" s="66"/>
    </row>
    <row r="830" ht="15.75" hidden="1" customHeight="1" outlineLevel="2">
      <c r="A830" s="106" t="s">
        <v>99</v>
      </c>
      <c r="B830" s="81" t="s">
        <v>568</v>
      </c>
      <c r="C830" s="81" t="s">
        <v>568</v>
      </c>
      <c r="D830" s="81" t="s">
        <v>613</v>
      </c>
      <c r="E830" s="81" t="s">
        <v>613</v>
      </c>
      <c r="F830" s="81"/>
      <c r="G830" s="81"/>
      <c r="H830" s="81"/>
      <c r="I830" s="81"/>
      <c r="J830" s="81"/>
      <c r="K830" s="99">
        <v>46174.0</v>
      </c>
      <c r="L830" s="99">
        <v>46218.0</v>
      </c>
      <c r="M830" s="99" t="str">
        <f t="shared" si="1"/>
        <v>Chưa đến hạn</v>
      </c>
      <c r="N830" s="81"/>
      <c r="O830" s="81"/>
      <c r="P830" s="22"/>
      <c r="Q830" s="81"/>
      <c r="R830" s="66"/>
      <c r="S830" s="66"/>
    </row>
    <row r="831" ht="15.75" hidden="1" customHeight="1" outlineLevel="2">
      <c r="A831" s="106" t="s">
        <v>99</v>
      </c>
      <c r="B831" s="81" t="s">
        <v>568</v>
      </c>
      <c r="C831" s="81" t="s">
        <v>568</v>
      </c>
      <c r="D831" s="81" t="s">
        <v>614</v>
      </c>
      <c r="E831" s="81" t="s">
        <v>614</v>
      </c>
      <c r="F831" s="81"/>
      <c r="G831" s="81"/>
      <c r="H831" s="81"/>
      <c r="I831" s="81"/>
      <c r="J831" s="81"/>
      <c r="K831" s="99">
        <v>46174.0</v>
      </c>
      <c r="L831" s="99">
        <v>46218.0</v>
      </c>
      <c r="M831" s="99" t="str">
        <f t="shared" si="1"/>
        <v>Chưa đến hạn</v>
      </c>
      <c r="N831" s="81"/>
      <c r="O831" s="81"/>
      <c r="P831" s="22"/>
      <c r="Q831" s="81"/>
      <c r="R831" s="66"/>
      <c r="S831" s="66"/>
    </row>
    <row r="832" ht="15.75" hidden="1" customHeight="1" outlineLevel="2">
      <c r="A832" s="106" t="s">
        <v>99</v>
      </c>
      <c r="B832" s="81" t="s">
        <v>568</v>
      </c>
      <c r="C832" s="81" t="s">
        <v>568</v>
      </c>
      <c r="D832" s="81" t="s">
        <v>615</v>
      </c>
      <c r="E832" s="81" t="s">
        <v>615</v>
      </c>
      <c r="F832" s="81"/>
      <c r="G832" s="81"/>
      <c r="H832" s="81"/>
      <c r="I832" s="81"/>
      <c r="J832" s="81"/>
      <c r="K832" s="99">
        <v>46174.0</v>
      </c>
      <c r="L832" s="99">
        <v>46218.0</v>
      </c>
      <c r="M832" s="99" t="str">
        <f t="shared" si="1"/>
        <v>Chưa đến hạn</v>
      </c>
      <c r="N832" s="81"/>
      <c r="O832" s="81"/>
      <c r="P832" s="22"/>
      <c r="Q832" s="81"/>
      <c r="R832" s="66"/>
      <c r="S832" s="66"/>
    </row>
    <row r="833" ht="15.75" hidden="1" customHeight="1" outlineLevel="2">
      <c r="A833" s="106" t="s">
        <v>99</v>
      </c>
      <c r="B833" s="81" t="s">
        <v>568</v>
      </c>
      <c r="C833" s="81" t="s">
        <v>568</v>
      </c>
      <c r="D833" s="81" t="s">
        <v>616</v>
      </c>
      <c r="E833" s="81" t="s">
        <v>616</v>
      </c>
      <c r="F833" s="81"/>
      <c r="G833" s="81"/>
      <c r="H833" s="81"/>
      <c r="I833" s="81"/>
      <c r="J833" s="81"/>
      <c r="K833" s="99">
        <v>46174.0</v>
      </c>
      <c r="L833" s="99">
        <v>46218.0</v>
      </c>
      <c r="M833" s="99" t="str">
        <f t="shared" si="1"/>
        <v>Chưa đến hạn</v>
      </c>
      <c r="N833" s="81"/>
      <c r="O833" s="81"/>
      <c r="P833" s="22"/>
      <c r="Q833" s="81"/>
      <c r="R833" s="66"/>
      <c r="S833" s="66"/>
    </row>
    <row r="834" ht="15.75" hidden="1" customHeight="1" outlineLevel="2">
      <c r="A834" s="106" t="s">
        <v>99</v>
      </c>
      <c r="B834" s="81" t="s">
        <v>568</v>
      </c>
      <c r="C834" s="81" t="s">
        <v>568</v>
      </c>
      <c r="D834" s="81" t="s">
        <v>617</v>
      </c>
      <c r="E834" s="81" t="s">
        <v>617</v>
      </c>
      <c r="F834" s="81"/>
      <c r="G834" s="81"/>
      <c r="H834" s="81"/>
      <c r="I834" s="81"/>
      <c r="J834" s="81"/>
      <c r="K834" s="99">
        <v>46174.0</v>
      </c>
      <c r="L834" s="99">
        <v>46218.0</v>
      </c>
      <c r="M834" s="99" t="str">
        <f t="shared" si="1"/>
        <v>Chưa đến hạn</v>
      </c>
      <c r="N834" s="81"/>
      <c r="O834" s="81"/>
      <c r="P834" s="22"/>
      <c r="Q834" s="81"/>
      <c r="R834" s="66"/>
      <c r="S834" s="66"/>
    </row>
    <row r="835" ht="15.75" hidden="1" customHeight="1" outlineLevel="2">
      <c r="A835" s="106" t="s">
        <v>99</v>
      </c>
      <c r="B835" s="81" t="s">
        <v>568</v>
      </c>
      <c r="C835" s="81" t="s">
        <v>568</v>
      </c>
      <c r="D835" s="81" t="s">
        <v>618</v>
      </c>
      <c r="E835" s="81" t="s">
        <v>618</v>
      </c>
      <c r="F835" s="81"/>
      <c r="G835" s="81"/>
      <c r="H835" s="81"/>
      <c r="I835" s="81"/>
      <c r="J835" s="81"/>
      <c r="K835" s="99">
        <v>46174.0</v>
      </c>
      <c r="L835" s="99">
        <v>46218.0</v>
      </c>
      <c r="M835" s="99" t="str">
        <f t="shared" si="1"/>
        <v>Chưa đến hạn</v>
      </c>
      <c r="N835" s="81"/>
      <c r="O835" s="81"/>
      <c r="P835" s="22"/>
      <c r="Q835" s="81"/>
      <c r="R835" s="66"/>
      <c r="S835" s="66"/>
    </row>
    <row r="836" ht="15.75" hidden="1" customHeight="1" outlineLevel="2">
      <c r="A836" s="106" t="s">
        <v>99</v>
      </c>
      <c r="B836" s="81" t="s">
        <v>568</v>
      </c>
      <c r="C836" s="81" t="s">
        <v>568</v>
      </c>
      <c r="D836" s="81" t="s">
        <v>619</v>
      </c>
      <c r="E836" s="81" t="s">
        <v>619</v>
      </c>
      <c r="F836" s="81"/>
      <c r="G836" s="81"/>
      <c r="H836" s="81"/>
      <c r="I836" s="81"/>
      <c r="J836" s="81"/>
      <c r="K836" s="99">
        <v>46174.0</v>
      </c>
      <c r="L836" s="99">
        <v>46218.0</v>
      </c>
      <c r="M836" s="99" t="str">
        <f t="shared" si="1"/>
        <v>Chưa đến hạn</v>
      </c>
      <c r="N836" s="81"/>
      <c r="O836" s="81"/>
      <c r="P836" s="22"/>
      <c r="Q836" s="81"/>
      <c r="R836" s="66"/>
      <c r="S836" s="66"/>
    </row>
    <row r="837" ht="15.75" hidden="1" customHeight="1" outlineLevel="2">
      <c r="A837" s="106" t="s">
        <v>99</v>
      </c>
      <c r="B837" s="81" t="s">
        <v>568</v>
      </c>
      <c r="C837" s="81" t="s">
        <v>568</v>
      </c>
      <c r="D837" s="81" t="s">
        <v>620</v>
      </c>
      <c r="E837" s="81" t="s">
        <v>620</v>
      </c>
      <c r="F837" s="81"/>
      <c r="G837" s="81"/>
      <c r="H837" s="81"/>
      <c r="I837" s="81"/>
      <c r="J837" s="81"/>
      <c r="K837" s="99">
        <v>46174.0</v>
      </c>
      <c r="L837" s="99">
        <v>46218.0</v>
      </c>
      <c r="M837" s="99" t="str">
        <f t="shared" si="1"/>
        <v>Chưa đến hạn</v>
      </c>
      <c r="N837" s="81"/>
      <c r="O837" s="81"/>
      <c r="P837" s="22"/>
      <c r="Q837" s="81"/>
      <c r="R837" s="66"/>
      <c r="S837" s="66"/>
    </row>
    <row r="838" ht="15.75" hidden="1" customHeight="1" outlineLevel="2">
      <c r="A838" s="106" t="s">
        <v>99</v>
      </c>
      <c r="B838" s="81" t="s">
        <v>568</v>
      </c>
      <c r="C838" s="81" t="s">
        <v>568</v>
      </c>
      <c r="D838" s="81" t="s">
        <v>621</v>
      </c>
      <c r="E838" s="81" t="s">
        <v>621</v>
      </c>
      <c r="F838" s="81"/>
      <c r="G838" s="81"/>
      <c r="H838" s="81"/>
      <c r="I838" s="81"/>
      <c r="J838" s="81"/>
      <c r="K838" s="99">
        <v>46174.0</v>
      </c>
      <c r="L838" s="99">
        <v>46218.0</v>
      </c>
      <c r="M838" s="99" t="str">
        <f t="shared" si="1"/>
        <v>Chưa đến hạn</v>
      </c>
      <c r="N838" s="81"/>
      <c r="O838" s="81"/>
      <c r="P838" s="22"/>
      <c r="Q838" s="81"/>
      <c r="R838" s="66"/>
      <c r="S838" s="66"/>
    </row>
    <row r="839" ht="15.75" hidden="1" customHeight="1" outlineLevel="2">
      <c r="A839" s="106" t="s">
        <v>99</v>
      </c>
      <c r="B839" s="81" t="s">
        <v>568</v>
      </c>
      <c r="C839" s="81" t="s">
        <v>568</v>
      </c>
      <c r="D839" s="81" t="s">
        <v>622</v>
      </c>
      <c r="E839" s="81" t="s">
        <v>622</v>
      </c>
      <c r="F839" s="81"/>
      <c r="G839" s="81"/>
      <c r="H839" s="81"/>
      <c r="I839" s="81"/>
      <c r="J839" s="81"/>
      <c r="K839" s="99">
        <v>46174.0</v>
      </c>
      <c r="L839" s="99">
        <v>46218.0</v>
      </c>
      <c r="M839" s="99" t="str">
        <f t="shared" si="1"/>
        <v>Chưa đến hạn</v>
      </c>
      <c r="N839" s="81"/>
      <c r="O839" s="81"/>
      <c r="P839" s="22"/>
      <c r="Q839" s="81"/>
      <c r="R839" s="66"/>
      <c r="S839" s="66"/>
    </row>
    <row r="840" ht="15.75" hidden="1" customHeight="1" outlineLevel="2">
      <c r="A840" s="106" t="s">
        <v>99</v>
      </c>
      <c r="B840" s="81" t="s">
        <v>568</v>
      </c>
      <c r="C840" s="81" t="s">
        <v>568</v>
      </c>
      <c r="D840" s="81" t="s">
        <v>623</v>
      </c>
      <c r="E840" s="81" t="s">
        <v>623</v>
      </c>
      <c r="F840" s="81"/>
      <c r="G840" s="81"/>
      <c r="H840" s="81"/>
      <c r="I840" s="81"/>
      <c r="J840" s="81"/>
      <c r="K840" s="99">
        <v>46174.0</v>
      </c>
      <c r="L840" s="99">
        <v>46218.0</v>
      </c>
      <c r="M840" s="99" t="str">
        <f t="shared" si="1"/>
        <v>Chưa đến hạn</v>
      </c>
      <c r="N840" s="81"/>
      <c r="O840" s="81"/>
      <c r="P840" s="22"/>
      <c r="Q840" s="81"/>
      <c r="R840" s="66"/>
      <c r="S840" s="66"/>
    </row>
    <row r="841" ht="15.75" hidden="1" customHeight="1" outlineLevel="2">
      <c r="A841" s="106" t="s">
        <v>99</v>
      </c>
      <c r="B841" s="81" t="s">
        <v>568</v>
      </c>
      <c r="C841" s="81" t="s">
        <v>568</v>
      </c>
      <c r="D841" s="81" t="s">
        <v>624</v>
      </c>
      <c r="E841" s="81" t="s">
        <v>624</v>
      </c>
      <c r="F841" s="81"/>
      <c r="G841" s="81"/>
      <c r="H841" s="81"/>
      <c r="I841" s="81"/>
      <c r="J841" s="81"/>
      <c r="K841" s="99">
        <v>46174.0</v>
      </c>
      <c r="L841" s="99">
        <v>46218.0</v>
      </c>
      <c r="M841" s="99" t="str">
        <f t="shared" si="1"/>
        <v>Chưa đến hạn</v>
      </c>
      <c r="N841" s="81"/>
      <c r="O841" s="81"/>
      <c r="P841" s="22"/>
      <c r="Q841" s="81"/>
      <c r="R841" s="66"/>
      <c r="S841" s="66"/>
    </row>
    <row r="842" ht="15.75" hidden="1" customHeight="1" outlineLevel="2">
      <c r="A842" s="106" t="s">
        <v>99</v>
      </c>
      <c r="B842" s="81" t="s">
        <v>568</v>
      </c>
      <c r="C842" s="81" t="s">
        <v>568</v>
      </c>
      <c r="D842" s="81" t="s">
        <v>625</v>
      </c>
      <c r="E842" s="81" t="s">
        <v>625</v>
      </c>
      <c r="F842" s="81"/>
      <c r="G842" s="81"/>
      <c r="H842" s="81"/>
      <c r="I842" s="81"/>
      <c r="J842" s="81"/>
      <c r="K842" s="99">
        <v>46174.0</v>
      </c>
      <c r="L842" s="99">
        <v>46218.0</v>
      </c>
      <c r="M842" s="99" t="str">
        <f t="shared" si="1"/>
        <v>Chưa đến hạn</v>
      </c>
      <c r="N842" s="81"/>
      <c r="O842" s="81"/>
      <c r="P842" s="22"/>
      <c r="Q842" s="81"/>
      <c r="R842" s="66"/>
      <c r="S842" s="66"/>
    </row>
    <row r="843" ht="15.75" hidden="1" customHeight="1" outlineLevel="2">
      <c r="A843" s="106" t="s">
        <v>99</v>
      </c>
      <c r="B843" s="81" t="s">
        <v>568</v>
      </c>
      <c r="C843" s="81" t="s">
        <v>568</v>
      </c>
      <c r="D843" s="81" t="s">
        <v>626</v>
      </c>
      <c r="E843" s="81" t="s">
        <v>626</v>
      </c>
      <c r="F843" s="81"/>
      <c r="G843" s="81"/>
      <c r="H843" s="81"/>
      <c r="I843" s="81"/>
      <c r="J843" s="81"/>
      <c r="K843" s="99">
        <v>46174.0</v>
      </c>
      <c r="L843" s="99">
        <v>46218.0</v>
      </c>
      <c r="M843" s="99" t="str">
        <f t="shared" si="1"/>
        <v>Chưa đến hạn</v>
      </c>
      <c r="N843" s="81"/>
      <c r="O843" s="81"/>
      <c r="P843" s="22"/>
      <c r="Q843" s="81"/>
      <c r="R843" s="66"/>
      <c r="S843" s="66"/>
    </row>
    <row r="844" ht="15.75" hidden="1" customHeight="1" outlineLevel="2">
      <c r="A844" s="106" t="s">
        <v>99</v>
      </c>
      <c r="B844" s="81" t="s">
        <v>568</v>
      </c>
      <c r="C844" s="81" t="s">
        <v>568</v>
      </c>
      <c r="D844" s="81" t="s">
        <v>627</v>
      </c>
      <c r="E844" s="81" t="s">
        <v>627</v>
      </c>
      <c r="F844" s="81"/>
      <c r="G844" s="81"/>
      <c r="H844" s="81"/>
      <c r="I844" s="81"/>
      <c r="J844" s="81"/>
      <c r="K844" s="99">
        <v>46174.0</v>
      </c>
      <c r="L844" s="99">
        <v>46218.0</v>
      </c>
      <c r="M844" s="99" t="str">
        <f t="shared" si="1"/>
        <v>Chưa đến hạn</v>
      </c>
      <c r="N844" s="81"/>
      <c r="O844" s="81"/>
      <c r="P844" s="22"/>
      <c r="Q844" s="81"/>
      <c r="R844" s="66"/>
      <c r="S844" s="66"/>
    </row>
    <row r="845" ht="15.75" hidden="1" customHeight="1" outlineLevel="2">
      <c r="A845" s="106" t="s">
        <v>99</v>
      </c>
      <c r="B845" s="81" t="s">
        <v>568</v>
      </c>
      <c r="C845" s="81" t="s">
        <v>568</v>
      </c>
      <c r="D845" s="81" t="s">
        <v>628</v>
      </c>
      <c r="E845" s="81" t="s">
        <v>628</v>
      </c>
      <c r="F845" s="81"/>
      <c r="G845" s="81"/>
      <c r="H845" s="81"/>
      <c r="I845" s="81"/>
      <c r="J845" s="81"/>
      <c r="K845" s="99">
        <v>46174.0</v>
      </c>
      <c r="L845" s="99">
        <v>46218.0</v>
      </c>
      <c r="M845" s="99" t="str">
        <f t="shared" si="1"/>
        <v>Chưa đến hạn</v>
      </c>
      <c r="N845" s="81"/>
      <c r="O845" s="81"/>
      <c r="P845" s="22"/>
      <c r="Q845" s="81"/>
      <c r="R845" s="66"/>
      <c r="S845" s="66"/>
    </row>
    <row r="846" ht="15.75" hidden="1" customHeight="1" outlineLevel="2">
      <c r="A846" s="106" t="s">
        <v>99</v>
      </c>
      <c r="B846" s="81" t="s">
        <v>568</v>
      </c>
      <c r="C846" s="81" t="s">
        <v>568</v>
      </c>
      <c r="D846" s="81" t="s">
        <v>629</v>
      </c>
      <c r="E846" s="81" t="s">
        <v>629</v>
      </c>
      <c r="F846" s="81"/>
      <c r="G846" s="81"/>
      <c r="H846" s="81"/>
      <c r="I846" s="81"/>
      <c r="J846" s="81"/>
      <c r="K846" s="99">
        <v>46174.0</v>
      </c>
      <c r="L846" s="99">
        <v>46218.0</v>
      </c>
      <c r="M846" s="99" t="str">
        <f t="shared" si="1"/>
        <v>Chưa đến hạn</v>
      </c>
      <c r="N846" s="81"/>
      <c r="O846" s="81"/>
      <c r="P846" s="22"/>
      <c r="Q846" s="81"/>
      <c r="R846" s="66"/>
      <c r="S846" s="66"/>
    </row>
    <row r="847" ht="15.75" hidden="1" customHeight="1" outlineLevel="2">
      <c r="A847" s="106" t="s">
        <v>99</v>
      </c>
      <c r="B847" s="81" t="s">
        <v>568</v>
      </c>
      <c r="C847" s="81" t="s">
        <v>568</v>
      </c>
      <c r="D847" s="81" t="s">
        <v>630</v>
      </c>
      <c r="E847" s="81" t="s">
        <v>630</v>
      </c>
      <c r="F847" s="81"/>
      <c r="G847" s="81"/>
      <c r="H847" s="81"/>
      <c r="I847" s="81"/>
      <c r="J847" s="81"/>
      <c r="K847" s="99">
        <v>46174.0</v>
      </c>
      <c r="L847" s="99">
        <v>46218.0</v>
      </c>
      <c r="M847" s="99" t="str">
        <f t="shared" si="1"/>
        <v>Chưa đến hạn</v>
      </c>
      <c r="N847" s="81"/>
      <c r="O847" s="81"/>
      <c r="P847" s="22"/>
      <c r="Q847" s="81"/>
      <c r="R847" s="66"/>
      <c r="S847" s="66"/>
    </row>
    <row r="848" ht="15.75" hidden="1" customHeight="1" outlineLevel="2">
      <c r="A848" s="106" t="s">
        <v>99</v>
      </c>
      <c r="B848" s="81" t="s">
        <v>568</v>
      </c>
      <c r="C848" s="81" t="s">
        <v>568</v>
      </c>
      <c r="D848" s="81" t="s">
        <v>631</v>
      </c>
      <c r="E848" s="81" t="s">
        <v>631</v>
      </c>
      <c r="F848" s="81"/>
      <c r="G848" s="81"/>
      <c r="H848" s="81"/>
      <c r="I848" s="81"/>
      <c r="J848" s="81"/>
      <c r="K848" s="99">
        <v>46174.0</v>
      </c>
      <c r="L848" s="99">
        <v>46218.0</v>
      </c>
      <c r="M848" s="99" t="str">
        <f t="shared" si="1"/>
        <v>Chưa đến hạn</v>
      </c>
      <c r="N848" s="81"/>
      <c r="O848" s="81"/>
      <c r="P848" s="22"/>
      <c r="Q848" s="81"/>
      <c r="R848" s="66"/>
      <c r="S848" s="66"/>
    </row>
    <row r="849" ht="15.75" hidden="1" customHeight="1" outlineLevel="2">
      <c r="A849" s="106" t="s">
        <v>99</v>
      </c>
      <c r="B849" s="81" t="s">
        <v>568</v>
      </c>
      <c r="C849" s="81" t="s">
        <v>568</v>
      </c>
      <c r="D849" s="81" t="s">
        <v>632</v>
      </c>
      <c r="E849" s="81" t="s">
        <v>632</v>
      </c>
      <c r="F849" s="81"/>
      <c r="G849" s="81"/>
      <c r="H849" s="81"/>
      <c r="I849" s="81"/>
      <c r="J849" s="81"/>
      <c r="K849" s="99">
        <v>46174.0</v>
      </c>
      <c r="L849" s="99">
        <v>46218.0</v>
      </c>
      <c r="M849" s="99" t="str">
        <f t="shared" si="1"/>
        <v>Chưa đến hạn</v>
      </c>
      <c r="N849" s="81"/>
      <c r="O849" s="81"/>
      <c r="P849" s="22"/>
      <c r="Q849" s="81"/>
      <c r="R849" s="66"/>
      <c r="S849" s="66"/>
    </row>
    <row r="850" ht="15.75" hidden="1" customHeight="1" outlineLevel="2">
      <c r="A850" s="106" t="s">
        <v>99</v>
      </c>
      <c r="B850" s="81" t="s">
        <v>568</v>
      </c>
      <c r="C850" s="81" t="s">
        <v>568</v>
      </c>
      <c r="D850" s="81" t="s">
        <v>633</v>
      </c>
      <c r="E850" s="81" t="s">
        <v>633</v>
      </c>
      <c r="F850" s="81"/>
      <c r="G850" s="81"/>
      <c r="H850" s="81"/>
      <c r="I850" s="81"/>
      <c r="J850" s="81"/>
      <c r="K850" s="99">
        <v>46174.0</v>
      </c>
      <c r="L850" s="99">
        <v>46218.0</v>
      </c>
      <c r="M850" s="99" t="str">
        <f t="shared" si="1"/>
        <v>Chưa đến hạn</v>
      </c>
      <c r="N850" s="81"/>
      <c r="O850" s="81"/>
      <c r="P850" s="22"/>
      <c r="Q850" s="81"/>
      <c r="R850" s="66"/>
      <c r="S850" s="66"/>
    </row>
    <row r="851" ht="15.75" hidden="1" customHeight="1" outlineLevel="2">
      <c r="A851" s="106" t="s">
        <v>99</v>
      </c>
      <c r="B851" s="81" t="s">
        <v>568</v>
      </c>
      <c r="C851" s="81" t="s">
        <v>568</v>
      </c>
      <c r="D851" s="81" t="s">
        <v>634</v>
      </c>
      <c r="E851" s="81" t="s">
        <v>634</v>
      </c>
      <c r="F851" s="81"/>
      <c r="G851" s="81"/>
      <c r="H851" s="81"/>
      <c r="I851" s="81"/>
      <c r="J851" s="81"/>
      <c r="K851" s="99">
        <v>46174.0</v>
      </c>
      <c r="L851" s="99">
        <v>46218.0</v>
      </c>
      <c r="M851" s="99" t="str">
        <f t="shared" si="1"/>
        <v>Chưa đến hạn</v>
      </c>
      <c r="N851" s="81"/>
      <c r="O851" s="81"/>
      <c r="P851" s="22"/>
      <c r="Q851" s="81"/>
      <c r="R851" s="66"/>
      <c r="S851" s="66"/>
    </row>
    <row r="852" ht="15.75" hidden="1" customHeight="1" outlineLevel="2">
      <c r="A852" s="106" t="s">
        <v>99</v>
      </c>
      <c r="B852" s="81" t="s">
        <v>568</v>
      </c>
      <c r="C852" s="81" t="s">
        <v>568</v>
      </c>
      <c r="D852" s="81" t="s">
        <v>635</v>
      </c>
      <c r="E852" s="81" t="s">
        <v>635</v>
      </c>
      <c r="F852" s="81"/>
      <c r="G852" s="81"/>
      <c r="H852" s="81"/>
      <c r="I852" s="81"/>
      <c r="J852" s="81"/>
      <c r="K852" s="99">
        <v>46174.0</v>
      </c>
      <c r="L852" s="99">
        <v>46218.0</v>
      </c>
      <c r="M852" s="99" t="str">
        <f t="shared" si="1"/>
        <v>Chưa đến hạn</v>
      </c>
      <c r="N852" s="81"/>
      <c r="O852" s="81"/>
      <c r="P852" s="22"/>
      <c r="Q852" s="81"/>
      <c r="R852" s="66"/>
      <c r="S852" s="66"/>
    </row>
    <row r="853" ht="15.75" hidden="1" customHeight="1" outlineLevel="2">
      <c r="A853" s="106" t="s">
        <v>99</v>
      </c>
      <c r="B853" s="81" t="s">
        <v>568</v>
      </c>
      <c r="C853" s="81" t="s">
        <v>568</v>
      </c>
      <c r="D853" s="81" t="s">
        <v>636</v>
      </c>
      <c r="E853" s="81" t="s">
        <v>636</v>
      </c>
      <c r="F853" s="81"/>
      <c r="G853" s="81"/>
      <c r="H853" s="81"/>
      <c r="I853" s="81"/>
      <c r="J853" s="81"/>
      <c r="K853" s="99">
        <v>46174.0</v>
      </c>
      <c r="L853" s="99">
        <v>46218.0</v>
      </c>
      <c r="M853" s="99" t="str">
        <f t="shared" si="1"/>
        <v>Chưa đến hạn</v>
      </c>
      <c r="N853" s="81"/>
      <c r="O853" s="81"/>
      <c r="P853" s="22"/>
      <c r="Q853" s="81"/>
      <c r="R853" s="66"/>
      <c r="S853" s="66"/>
    </row>
    <row r="854" ht="15.75" hidden="1" customHeight="1" outlineLevel="2">
      <c r="A854" s="106" t="s">
        <v>99</v>
      </c>
      <c r="B854" s="81" t="s">
        <v>568</v>
      </c>
      <c r="C854" s="81" t="s">
        <v>568</v>
      </c>
      <c r="D854" s="81" t="s">
        <v>637</v>
      </c>
      <c r="E854" s="81" t="s">
        <v>637</v>
      </c>
      <c r="F854" s="81"/>
      <c r="G854" s="81"/>
      <c r="H854" s="81"/>
      <c r="I854" s="81"/>
      <c r="J854" s="81"/>
      <c r="K854" s="99">
        <v>46174.0</v>
      </c>
      <c r="L854" s="99">
        <v>46218.0</v>
      </c>
      <c r="M854" s="99" t="str">
        <f t="shared" si="1"/>
        <v>Chưa đến hạn</v>
      </c>
      <c r="N854" s="81"/>
      <c r="O854" s="81"/>
      <c r="P854" s="22"/>
      <c r="Q854" s="81"/>
      <c r="R854" s="66"/>
      <c r="S854" s="66"/>
    </row>
    <row r="855" ht="15.75" hidden="1" customHeight="1" outlineLevel="2">
      <c r="A855" s="106" t="s">
        <v>99</v>
      </c>
      <c r="B855" s="81" t="s">
        <v>568</v>
      </c>
      <c r="C855" s="81" t="s">
        <v>568</v>
      </c>
      <c r="D855" s="81" t="s">
        <v>638</v>
      </c>
      <c r="E855" s="81" t="s">
        <v>638</v>
      </c>
      <c r="F855" s="81"/>
      <c r="G855" s="81"/>
      <c r="H855" s="81"/>
      <c r="I855" s="81"/>
      <c r="J855" s="81"/>
      <c r="K855" s="99">
        <v>46174.0</v>
      </c>
      <c r="L855" s="99">
        <v>46218.0</v>
      </c>
      <c r="M855" s="99" t="str">
        <f t="shared" si="1"/>
        <v>Chưa đến hạn</v>
      </c>
      <c r="N855" s="81"/>
      <c r="O855" s="81"/>
      <c r="P855" s="22"/>
      <c r="Q855" s="81"/>
      <c r="R855" s="66"/>
      <c r="S855" s="66"/>
    </row>
    <row r="856" ht="15.75" hidden="1" customHeight="1" outlineLevel="2">
      <c r="A856" s="106" t="s">
        <v>99</v>
      </c>
      <c r="B856" s="81" t="s">
        <v>568</v>
      </c>
      <c r="C856" s="81" t="s">
        <v>568</v>
      </c>
      <c r="D856" s="81" t="s">
        <v>639</v>
      </c>
      <c r="E856" s="81" t="s">
        <v>639</v>
      </c>
      <c r="F856" s="81"/>
      <c r="G856" s="81"/>
      <c r="H856" s="81"/>
      <c r="I856" s="81"/>
      <c r="J856" s="81"/>
      <c r="K856" s="99">
        <v>46174.0</v>
      </c>
      <c r="L856" s="99">
        <v>46218.0</v>
      </c>
      <c r="M856" s="99" t="str">
        <f t="shared" si="1"/>
        <v>Chưa đến hạn</v>
      </c>
      <c r="N856" s="81"/>
      <c r="O856" s="81"/>
      <c r="P856" s="22"/>
      <c r="Q856" s="81"/>
      <c r="R856" s="66"/>
      <c r="S856" s="66"/>
    </row>
    <row r="857" ht="15.75" hidden="1" customHeight="1" outlineLevel="2">
      <c r="A857" s="106" t="s">
        <v>99</v>
      </c>
      <c r="B857" s="81" t="s">
        <v>568</v>
      </c>
      <c r="C857" s="81" t="s">
        <v>568</v>
      </c>
      <c r="D857" s="81" t="s">
        <v>640</v>
      </c>
      <c r="E857" s="81" t="s">
        <v>640</v>
      </c>
      <c r="F857" s="81"/>
      <c r="G857" s="81"/>
      <c r="H857" s="81"/>
      <c r="I857" s="81"/>
      <c r="J857" s="81"/>
      <c r="K857" s="99">
        <v>46174.0</v>
      </c>
      <c r="L857" s="99">
        <v>46218.0</v>
      </c>
      <c r="M857" s="99" t="str">
        <f t="shared" si="1"/>
        <v>Chưa đến hạn</v>
      </c>
      <c r="N857" s="81"/>
      <c r="O857" s="81"/>
      <c r="P857" s="22"/>
      <c r="Q857" s="81"/>
      <c r="R857" s="66"/>
      <c r="S857" s="66"/>
    </row>
    <row r="858" ht="15.75" hidden="1" customHeight="1" outlineLevel="2">
      <c r="A858" s="106" t="s">
        <v>99</v>
      </c>
      <c r="B858" s="81" t="s">
        <v>568</v>
      </c>
      <c r="C858" s="81" t="s">
        <v>568</v>
      </c>
      <c r="D858" s="81" t="s">
        <v>641</v>
      </c>
      <c r="E858" s="81" t="s">
        <v>641</v>
      </c>
      <c r="F858" s="81"/>
      <c r="G858" s="81"/>
      <c r="H858" s="81"/>
      <c r="I858" s="81"/>
      <c r="J858" s="81"/>
      <c r="K858" s="99">
        <v>46174.0</v>
      </c>
      <c r="L858" s="99">
        <v>46218.0</v>
      </c>
      <c r="M858" s="99" t="str">
        <f t="shared" si="1"/>
        <v>Chưa đến hạn</v>
      </c>
      <c r="N858" s="81"/>
      <c r="O858" s="81"/>
      <c r="P858" s="22"/>
      <c r="Q858" s="81"/>
      <c r="R858" s="66"/>
      <c r="S858" s="66"/>
    </row>
    <row r="859" ht="15.75" hidden="1" customHeight="1" outlineLevel="2">
      <c r="A859" s="106" t="s">
        <v>99</v>
      </c>
      <c r="B859" s="81" t="s">
        <v>568</v>
      </c>
      <c r="C859" s="81" t="s">
        <v>568</v>
      </c>
      <c r="D859" s="81" t="s">
        <v>642</v>
      </c>
      <c r="E859" s="81" t="s">
        <v>642</v>
      </c>
      <c r="F859" s="81"/>
      <c r="G859" s="81"/>
      <c r="H859" s="81"/>
      <c r="I859" s="81"/>
      <c r="J859" s="81"/>
      <c r="K859" s="99">
        <v>46174.0</v>
      </c>
      <c r="L859" s="99">
        <v>46218.0</v>
      </c>
      <c r="M859" s="99" t="str">
        <f t="shared" si="1"/>
        <v>Chưa đến hạn</v>
      </c>
      <c r="N859" s="81"/>
      <c r="O859" s="81"/>
      <c r="P859" s="22"/>
      <c r="Q859" s="81"/>
      <c r="R859" s="66"/>
      <c r="S859" s="66"/>
    </row>
    <row r="860" ht="15.75" hidden="1" customHeight="1" outlineLevel="2">
      <c r="A860" s="106" t="s">
        <v>99</v>
      </c>
      <c r="B860" s="81" t="s">
        <v>568</v>
      </c>
      <c r="C860" s="81" t="s">
        <v>568</v>
      </c>
      <c r="D860" s="81" t="s">
        <v>643</v>
      </c>
      <c r="E860" s="81" t="s">
        <v>643</v>
      </c>
      <c r="F860" s="81"/>
      <c r="G860" s="81"/>
      <c r="H860" s="81"/>
      <c r="I860" s="81"/>
      <c r="J860" s="81"/>
      <c r="K860" s="99">
        <v>46174.0</v>
      </c>
      <c r="L860" s="99">
        <v>46218.0</v>
      </c>
      <c r="M860" s="99" t="str">
        <f t="shared" si="1"/>
        <v>Chưa đến hạn</v>
      </c>
      <c r="N860" s="81"/>
      <c r="O860" s="81"/>
      <c r="P860" s="22"/>
      <c r="Q860" s="81"/>
      <c r="R860" s="66"/>
      <c r="S860" s="66"/>
    </row>
    <row r="861" ht="15.75" hidden="1" customHeight="1" outlineLevel="2">
      <c r="A861" s="106" t="s">
        <v>99</v>
      </c>
      <c r="B861" s="81" t="s">
        <v>568</v>
      </c>
      <c r="C861" s="81" t="s">
        <v>568</v>
      </c>
      <c r="D861" s="81" t="s">
        <v>644</v>
      </c>
      <c r="E861" s="81" t="s">
        <v>644</v>
      </c>
      <c r="F861" s="81"/>
      <c r="G861" s="81"/>
      <c r="H861" s="81"/>
      <c r="I861" s="81"/>
      <c r="J861" s="81"/>
      <c r="K861" s="99">
        <v>46174.0</v>
      </c>
      <c r="L861" s="99">
        <v>46218.0</v>
      </c>
      <c r="M861" s="99" t="str">
        <f t="shared" si="1"/>
        <v>Chưa đến hạn</v>
      </c>
      <c r="N861" s="81"/>
      <c r="O861" s="81"/>
      <c r="P861" s="22"/>
      <c r="Q861" s="81"/>
      <c r="R861" s="66"/>
      <c r="S861" s="66"/>
    </row>
    <row r="862" ht="15.75" hidden="1" customHeight="1" outlineLevel="2">
      <c r="A862" s="106" t="s">
        <v>99</v>
      </c>
      <c r="B862" s="81" t="s">
        <v>568</v>
      </c>
      <c r="C862" s="81" t="s">
        <v>568</v>
      </c>
      <c r="D862" s="81" t="s">
        <v>645</v>
      </c>
      <c r="E862" s="81" t="s">
        <v>645</v>
      </c>
      <c r="F862" s="81"/>
      <c r="G862" s="81"/>
      <c r="H862" s="81"/>
      <c r="I862" s="81"/>
      <c r="J862" s="81"/>
      <c r="K862" s="99">
        <v>46174.0</v>
      </c>
      <c r="L862" s="99">
        <v>46218.0</v>
      </c>
      <c r="M862" s="99" t="str">
        <f t="shared" si="1"/>
        <v>Chưa đến hạn</v>
      </c>
      <c r="N862" s="81"/>
      <c r="O862" s="81"/>
      <c r="P862" s="22"/>
      <c r="Q862" s="81"/>
      <c r="R862" s="66"/>
      <c r="S862" s="66"/>
    </row>
    <row r="863" ht="15.75" hidden="1" customHeight="1" outlineLevel="2">
      <c r="A863" s="106" t="s">
        <v>99</v>
      </c>
      <c r="B863" s="81" t="s">
        <v>568</v>
      </c>
      <c r="C863" s="81" t="s">
        <v>568</v>
      </c>
      <c r="D863" s="81" t="s">
        <v>646</v>
      </c>
      <c r="E863" s="81" t="s">
        <v>646</v>
      </c>
      <c r="F863" s="81"/>
      <c r="G863" s="81"/>
      <c r="H863" s="81"/>
      <c r="I863" s="81"/>
      <c r="J863" s="81"/>
      <c r="K863" s="99">
        <v>46174.0</v>
      </c>
      <c r="L863" s="99">
        <v>46218.0</v>
      </c>
      <c r="M863" s="99" t="str">
        <f t="shared" si="1"/>
        <v>Chưa đến hạn</v>
      </c>
      <c r="N863" s="81"/>
      <c r="O863" s="81"/>
      <c r="P863" s="22"/>
      <c r="Q863" s="81"/>
      <c r="R863" s="66"/>
      <c r="S863" s="66"/>
    </row>
    <row r="864" ht="15.75" hidden="1" customHeight="1" outlineLevel="2">
      <c r="A864" s="106" t="s">
        <v>99</v>
      </c>
      <c r="B864" s="81" t="s">
        <v>568</v>
      </c>
      <c r="C864" s="81" t="s">
        <v>568</v>
      </c>
      <c r="D864" s="81" t="s">
        <v>647</v>
      </c>
      <c r="E864" s="81" t="s">
        <v>647</v>
      </c>
      <c r="F864" s="81"/>
      <c r="G864" s="81"/>
      <c r="H864" s="81"/>
      <c r="I864" s="81"/>
      <c r="J864" s="81"/>
      <c r="K864" s="99">
        <v>46174.0</v>
      </c>
      <c r="L864" s="99">
        <v>46218.0</v>
      </c>
      <c r="M864" s="99" t="str">
        <f t="shared" si="1"/>
        <v>Chưa đến hạn</v>
      </c>
      <c r="N864" s="81"/>
      <c r="O864" s="81"/>
      <c r="P864" s="22"/>
      <c r="Q864" s="81"/>
      <c r="R864" s="66"/>
      <c r="S864" s="66"/>
    </row>
    <row r="865" ht="15.75" hidden="1" customHeight="1" outlineLevel="2">
      <c r="A865" s="106" t="s">
        <v>99</v>
      </c>
      <c r="B865" s="81" t="s">
        <v>568</v>
      </c>
      <c r="C865" s="81" t="s">
        <v>568</v>
      </c>
      <c r="D865" s="81" t="s">
        <v>648</v>
      </c>
      <c r="E865" s="81" t="s">
        <v>648</v>
      </c>
      <c r="F865" s="81"/>
      <c r="G865" s="81"/>
      <c r="H865" s="81"/>
      <c r="I865" s="81"/>
      <c r="J865" s="81"/>
      <c r="K865" s="99">
        <v>46174.0</v>
      </c>
      <c r="L865" s="99">
        <v>46218.0</v>
      </c>
      <c r="M865" s="99" t="str">
        <f t="shared" si="1"/>
        <v>Chưa đến hạn</v>
      </c>
      <c r="N865" s="81"/>
      <c r="O865" s="81"/>
      <c r="P865" s="22"/>
      <c r="Q865" s="81"/>
      <c r="R865" s="66"/>
      <c r="S865" s="66"/>
    </row>
    <row r="866" ht="15.75" hidden="1" customHeight="1" outlineLevel="2">
      <c r="A866" s="106" t="s">
        <v>99</v>
      </c>
      <c r="B866" s="81" t="s">
        <v>568</v>
      </c>
      <c r="C866" s="81" t="s">
        <v>568</v>
      </c>
      <c r="D866" s="81" t="s">
        <v>649</v>
      </c>
      <c r="E866" s="81" t="s">
        <v>649</v>
      </c>
      <c r="F866" s="81"/>
      <c r="G866" s="81"/>
      <c r="H866" s="81"/>
      <c r="I866" s="81"/>
      <c r="J866" s="81"/>
      <c r="K866" s="99">
        <v>46174.0</v>
      </c>
      <c r="L866" s="99">
        <v>46218.0</v>
      </c>
      <c r="M866" s="99" t="str">
        <f t="shared" si="1"/>
        <v>Chưa đến hạn</v>
      </c>
      <c r="N866" s="81"/>
      <c r="O866" s="81"/>
      <c r="P866" s="22"/>
      <c r="Q866" s="81"/>
      <c r="R866" s="66"/>
      <c r="S866" s="66"/>
    </row>
    <row r="867" ht="15.75" hidden="1" customHeight="1" outlineLevel="2">
      <c r="A867" s="106" t="s">
        <v>99</v>
      </c>
      <c r="B867" s="81" t="s">
        <v>568</v>
      </c>
      <c r="C867" s="81" t="s">
        <v>568</v>
      </c>
      <c r="D867" s="81" t="s">
        <v>650</v>
      </c>
      <c r="E867" s="81" t="s">
        <v>650</v>
      </c>
      <c r="F867" s="81"/>
      <c r="G867" s="81"/>
      <c r="H867" s="81"/>
      <c r="I867" s="81"/>
      <c r="J867" s="81"/>
      <c r="K867" s="99">
        <v>46174.0</v>
      </c>
      <c r="L867" s="99">
        <v>46218.0</v>
      </c>
      <c r="M867" s="99" t="str">
        <f t="shared" si="1"/>
        <v>Chưa đến hạn</v>
      </c>
      <c r="N867" s="81"/>
      <c r="O867" s="81"/>
      <c r="P867" s="22"/>
      <c r="Q867" s="81"/>
      <c r="R867" s="66"/>
      <c r="S867" s="66"/>
    </row>
    <row r="868" ht="15.75" hidden="1" customHeight="1" outlineLevel="2">
      <c r="A868" s="106" t="s">
        <v>99</v>
      </c>
      <c r="B868" s="81" t="s">
        <v>568</v>
      </c>
      <c r="C868" s="81" t="s">
        <v>568</v>
      </c>
      <c r="D868" s="81" t="s">
        <v>651</v>
      </c>
      <c r="E868" s="81" t="s">
        <v>651</v>
      </c>
      <c r="F868" s="81"/>
      <c r="G868" s="81"/>
      <c r="H868" s="81"/>
      <c r="I868" s="81"/>
      <c r="J868" s="81"/>
      <c r="K868" s="99">
        <v>46174.0</v>
      </c>
      <c r="L868" s="99">
        <v>46218.0</v>
      </c>
      <c r="M868" s="99" t="str">
        <f t="shared" si="1"/>
        <v>Chưa đến hạn</v>
      </c>
      <c r="N868" s="81"/>
      <c r="O868" s="81"/>
      <c r="P868" s="22"/>
      <c r="Q868" s="81"/>
      <c r="R868" s="66"/>
      <c r="S868" s="66"/>
    </row>
    <row r="869" ht="15.75" hidden="1" customHeight="1" outlineLevel="2">
      <c r="A869" s="106" t="s">
        <v>99</v>
      </c>
      <c r="B869" s="81" t="s">
        <v>568</v>
      </c>
      <c r="C869" s="81" t="s">
        <v>568</v>
      </c>
      <c r="D869" s="81" t="s">
        <v>652</v>
      </c>
      <c r="E869" s="81" t="s">
        <v>652</v>
      </c>
      <c r="F869" s="81"/>
      <c r="G869" s="81"/>
      <c r="H869" s="81"/>
      <c r="I869" s="81"/>
      <c r="J869" s="81"/>
      <c r="K869" s="99">
        <v>46174.0</v>
      </c>
      <c r="L869" s="99">
        <v>46218.0</v>
      </c>
      <c r="M869" s="99" t="str">
        <f t="shared" si="1"/>
        <v>Chưa đến hạn</v>
      </c>
      <c r="N869" s="81"/>
      <c r="O869" s="81"/>
      <c r="P869" s="22"/>
      <c r="Q869" s="81"/>
      <c r="R869" s="66"/>
      <c r="S869" s="66"/>
    </row>
    <row r="870" ht="15.75" hidden="1" customHeight="1" outlineLevel="2">
      <c r="A870" s="106" t="s">
        <v>99</v>
      </c>
      <c r="B870" s="81" t="s">
        <v>568</v>
      </c>
      <c r="C870" s="81" t="s">
        <v>568</v>
      </c>
      <c r="D870" s="81" t="s">
        <v>653</v>
      </c>
      <c r="E870" s="81" t="s">
        <v>653</v>
      </c>
      <c r="F870" s="81"/>
      <c r="G870" s="81"/>
      <c r="H870" s="81"/>
      <c r="I870" s="81"/>
      <c r="J870" s="81"/>
      <c r="K870" s="99">
        <v>46174.0</v>
      </c>
      <c r="L870" s="99">
        <v>46218.0</v>
      </c>
      <c r="M870" s="99" t="str">
        <f t="shared" si="1"/>
        <v>Chưa đến hạn</v>
      </c>
      <c r="N870" s="81"/>
      <c r="O870" s="81"/>
      <c r="P870" s="22"/>
      <c r="Q870" s="81"/>
      <c r="R870" s="66"/>
      <c r="S870" s="66"/>
    </row>
    <row r="871" ht="15.75" hidden="1" customHeight="1" outlineLevel="2">
      <c r="A871" s="106" t="s">
        <v>99</v>
      </c>
      <c r="B871" s="81" t="s">
        <v>568</v>
      </c>
      <c r="C871" s="81" t="s">
        <v>568</v>
      </c>
      <c r="D871" s="81" t="s">
        <v>654</v>
      </c>
      <c r="E871" s="81" t="s">
        <v>654</v>
      </c>
      <c r="F871" s="81"/>
      <c r="G871" s="81"/>
      <c r="H871" s="81"/>
      <c r="I871" s="81"/>
      <c r="J871" s="81"/>
      <c r="K871" s="99">
        <v>46174.0</v>
      </c>
      <c r="L871" s="99">
        <v>46218.0</v>
      </c>
      <c r="M871" s="99" t="str">
        <f t="shared" si="1"/>
        <v>Chưa đến hạn</v>
      </c>
      <c r="N871" s="81"/>
      <c r="O871" s="81"/>
      <c r="P871" s="22"/>
      <c r="Q871" s="81"/>
      <c r="R871" s="66"/>
      <c r="S871" s="66"/>
    </row>
    <row r="872" ht="15.75" hidden="1" customHeight="1" outlineLevel="2">
      <c r="A872" s="106" t="s">
        <v>99</v>
      </c>
      <c r="B872" s="81" t="s">
        <v>568</v>
      </c>
      <c r="C872" s="81" t="s">
        <v>568</v>
      </c>
      <c r="D872" s="81" t="s">
        <v>655</v>
      </c>
      <c r="E872" s="81" t="s">
        <v>655</v>
      </c>
      <c r="F872" s="81"/>
      <c r="G872" s="81"/>
      <c r="H872" s="81"/>
      <c r="I872" s="81"/>
      <c r="J872" s="81"/>
      <c r="K872" s="99">
        <v>46174.0</v>
      </c>
      <c r="L872" s="99">
        <v>46218.0</v>
      </c>
      <c r="M872" s="99" t="str">
        <f t="shared" si="1"/>
        <v>Chưa đến hạn</v>
      </c>
      <c r="N872" s="81"/>
      <c r="O872" s="81"/>
      <c r="P872" s="22"/>
      <c r="Q872" s="81"/>
      <c r="R872" s="66"/>
      <c r="S872" s="66"/>
    </row>
    <row r="873" ht="15.75" hidden="1" customHeight="1" outlineLevel="2">
      <c r="A873" s="106" t="s">
        <v>99</v>
      </c>
      <c r="B873" s="81" t="s">
        <v>568</v>
      </c>
      <c r="C873" s="81" t="s">
        <v>568</v>
      </c>
      <c r="D873" s="81" t="s">
        <v>656</v>
      </c>
      <c r="E873" s="81" t="s">
        <v>656</v>
      </c>
      <c r="F873" s="81"/>
      <c r="G873" s="81"/>
      <c r="H873" s="81"/>
      <c r="I873" s="81"/>
      <c r="J873" s="81"/>
      <c r="K873" s="99">
        <v>46174.0</v>
      </c>
      <c r="L873" s="99">
        <v>46218.0</v>
      </c>
      <c r="M873" s="99" t="str">
        <f t="shared" si="1"/>
        <v>Chưa đến hạn</v>
      </c>
      <c r="N873" s="81"/>
      <c r="O873" s="81"/>
      <c r="P873" s="22"/>
      <c r="Q873" s="81"/>
      <c r="R873" s="66"/>
      <c r="S873" s="66"/>
    </row>
    <row r="874" ht="15.75" hidden="1" customHeight="1" outlineLevel="2">
      <c r="A874" s="106" t="s">
        <v>99</v>
      </c>
      <c r="B874" s="81" t="s">
        <v>568</v>
      </c>
      <c r="C874" s="81" t="s">
        <v>568</v>
      </c>
      <c r="D874" s="81" t="s">
        <v>657</v>
      </c>
      <c r="E874" s="81" t="s">
        <v>657</v>
      </c>
      <c r="F874" s="81"/>
      <c r="G874" s="81"/>
      <c r="H874" s="81"/>
      <c r="I874" s="81"/>
      <c r="J874" s="81"/>
      <c r="K874" s="99">
        <v>46174.0</v>
      </c>
      <c r="L874" s="99">
        <v>46218.0</v>
      </c>
      <c r="M874" s="99" t="str">
        <f t="shared" si="1"/>
        <v>Chưa đến hạn</v>
      </c>
      <c r="N874" s="81"/>
      <c r="O874" s="81"/>
      <c r="P874" s="22"/>
      <c r="Q874" s="81"/>
      <c r="R874" s="66"/>
      <c r="S874" s="66"/>
    </row>
    <row r="875" ht="15.75" hidden="1" customHeight="1" outlineLevel="2">
      <c r="A875" s="106" t="s">
        <v>99</v>
      </c>
      <c r="B875" s="81" t="s">
        <v>568</v>
      </c>
      <c r="C875" s="81" t="s">
        <v>568</v>
      </c>
      <c r="D875" s="81" t="s">
        <v>658</v>
      </c>
      <c r="E875" s="81" t="s">
        <v>658</v>
      </c>
      <c r="F875" s="81"/>
      <c r="G875" s="81"/>
      <c r="H875" s="81"/>
      <c r="I875" s="81"/>
      <c r="J875" s="81"/>
      <c r="K875" s="99">
        <v>46174.0</v>
      </c>
      <c r="L875" s="99">
        <v>46218.0</v>
      </c>
      <c r="M875" s="99" t="str">
        <f t="shared" si="1"/>
        <v>Chưa đến hạn</v>
      </c>
      <c r="N875" s="81"/>
      <c r="O875" s="81"/>
      <c r="P875" s="22"/>
      <c r="Q875" s="81"/>
      <c r="R875" s="66"/>
      <c r="S875" s="66"/>
    </row>
    <row r="876" ht="15.75" hidden="1" customHeight="1" outlineLevel="2">
      <c r="A876" s="106" t="s">
        <v>99</v>
      </c>
      <c r="B876" s="81" t="s">
        <v>568</v>
      </c>
      <c r="C876" s="81" t="s">
        <v>568</v>
      </c>
      <c r="D876" s="81" t="s">
        <v>659</v>
      </c>
      <c r="E876" s="81" t="s">
        <v>659</v>
      </c>
      <c r="F876" s="81"/>
      <c r="G876" s="81"/>
      <c r="H876" s="81"/>
      <c r="I876" s="81"/>
      <c r="J876" s="81"/>
      <c r="K876" s="99">
        <v>46174.0</v>
      </c>
      <c r="L876" s="99">
        <v>46218.0</v>
      </c>
      <c r="M876" s="99" t="str">
        <f t="shared" si="1"/>
        <v>Chưa đến hạn</v>
      </c>
      <c r="N876" s="81"/>
      <c r="O876" s="81"/>
      <c r="P876" s="22"/>
      <c r="Q876" s="81"/>
      <c r="R876" s="66"/>
      <c r="S876" s="66"/>
    </row>
    <row r="877" ht="15.75" hidden="1" customHeight="1" outlineLevel="2">
      <c r="A877" s="106" t="s">
        <v>99</v>
      </c>
      <c r="B877" s="81" t="s">
        <v>568</v>
      </c>
      <c r="C877" s="81" t="s">
        <v>568</v>
      </c>
      <c r="D877" s="81" t="s">
        <v>660</v>
      </c>
      <c r="E877" s="81" t="s">
        <v>660</v>
      </c>
      <c r="F877" s="81"/>
      <c r="G877" s="81"/>
      <c r="H877" s="81"/>
      <c r="I877" s="81"/>
      <c r="J877" s="81"/>
      <c r="K877" s="99">
        <v>46174.0</v>
      </c>
      <c r="L877" s="99">
        <v>46218.0</v>
      </c>
      <c r="M877" s="99" t="str">
        <f t="shared" si="1"/>
        <v>Chưa đến hạn</v>
      </c>
      <c r="N877" s="81"/>
      <c r="O877" s="81"/>
      <c r="P877" s="22"/>
      <c r="Q877" s="81"/>
      <c r="R877" s="66"/>
      <c r="S877" s="66"/>
    </row>
    <row r="878" ht="15.75" hidden="1" customHeight="1" outlineLevel="2">
      <c r="A878" s="106" t="s">
        <v>99</v>
      </c>
      <c r="B878" s="81" t="s">
        <v>568</v>
      </c>
      <c r="C878" s="81" t="s">
        <v>568</v>
      </c>
      <c r="D878" s="81" t="s">
        <v>661</v>
      </c>
      <c r="E878" s="81" t="s">
        <v>661</v>
      </c>
      <c r="F878" s="81"/>
      <c r="G878" s="81"/>
      <c r="H878" s="81"/>
      <c r="I878" s="81"/>
      <c r="J878" s="81"/>
      <c r="K878" s="99">
        <v>46174.0</v>
      </c>
      <c r="L878" s="99">
        <v>46218.0</v>
      </c>
      <c r="M878" s="99" t="str">
        <f t="shared" si="1"/>
        <v>Chưa đến hạn</v>
      </c>
      <c r="N878" s="81"/>
      <c r="O878" s="81"/>
      <c r="P878" s="22"/>
      <c r="Q878" s="81"/>
      <c r="R878" s="66"/>
      <c r="S878" s="66"/>
    </row>
    <row r="879" ht="15.75" hidden="1" customHeight="1" outlineLevel="2">
      <c r="A879" s="106" t="s">
        <v>99</v>
      </c>
      <c r="B879" s="81" t="s">
        <v>568</v>
      </c>
      <c r="C879" s="81" t="s">
        <v>568</v>
      </c>
      <c r="D879" s="81" t="s">
        <v>662</v>
      </c>
      <c r="E879" s="81" t="s">
        <v>662</v>
      </c>
      <c r="F879" s="81"/>
      <c r="G879" s="81"/>
      <c r="H879" s="81"/>
      <c r="I879" s="81"/>
      <c r="J879" s="81"/>
      <c r="K879" s="99">
        <v>46174.0</v>
      </c>
      <c r="L879" s="99">
        <v>46218.0</v>
      </c>
      <c r="M879" s="99" t="str">
        <f t="shared" si="1"/>
        <v>Chưa đến hạn</v>
      </c>
      <c r="N879" s="81"/>
      <c r="O879" s="81"/>
      <c r="P879" s="22"/>
      <c r="Q879" s="81"/>
      <c r="R879" s="66"/>
      <c r="S879" s="66"/>
    </row>
    <row r="880" ht="15.75" hidden="1" customHeight="1" outlineLevel="2">
      <c r="A880" s="106" t="s">
        <v>99</v>
      </c>
      <c r="B880" s="81" t="s">
        <v>568</v>
      </c>
      <c r="C880" s="81" t="s">
        <v>568</v>
      </c>
      <c r="D880" s="81" t="s">
        <v>663</v>
      </c>
      <c r="E880" s="81" t="s">
        <v>663</v>
      </c>
      <c r="F880" s="81"/>
      <c r="G880" s="81"/>
      <c r="H880" s="81"/>
      <c r="I880" s="81"/>
      <c r="J880" s="81"/>
      <c r="K880" s="99">
        <v>46174.0</v>
      </c>
      <c r="L880" s="99">
        <v>46218.0</v>
      </c>
      <c r="M880" s="99" t="str">
        <f t="shared" si="1"/>
        <v>Chưa đến hạn</v>
      </c>
      <c r="N880" s="81"/>
      <c r="O880" s="81"/>
      <c r="P880" s="22"/>
      <c r="Q880" s="81"/>
      <c r="R880" s="66"/>
      <c r="S880" s="66"/>
    </row>
    <row r="881" ht="15.75" hidden="1" customHeight="1" outlineLevel="1">
      <c r="A881" s="106" t="s">
        <v>99</v>
      </c>
      <c r="B881" s="81" t="s">
        <v>664</v>
      </c>
      <c r="C881" s="81" t="s">
        <v>664</v>
      </c>
      <c r="D881" s="81" t="s">
        <v>664</v>
      </c>
      <c r="E881" s="81"/>
      <c r="F881" s="81"/>
      <c r="G881" s="81"/>
      <c r="H881" s="81"/>
      <c r="I881" s="81"/>
      <c r="J881" s="81"/>
      <c r="K881" s="99">
        <f>min(K882:K889)</f>
        <v>46113</v>
      </c>
      <c r="L881" s="99">
        <f>max(L882:L889)</f>
        <v>46234</v>
      </c>
      <c r="M881" s="99" t="str">
        <f t="shared" si="1"/>
        <v>Chưa đến hạn</v>
      </c>
      <c r="N881" s="81"/>
      <c r="O881" s="81"/>
      <c r="P881" s="22"/>
      <c r="Q881" s="81"/>
      <c r="R881" s="66"/>
      <c r="S881" s="66"/>
    </row>
    <row r="882" ht="15.75" hidden="1" customHeight="1" outlineLevel="2">
      <c r="A882" s="106" t="s">
        <v>99</v>
      </c>
      <c r="B882" s="81" t="s">
        <v>664</v>
      </c>
      <c r="C882" s="81" t="s">
        <v>664</v>
      </c>
      <c r="D882" s="81" t="s">
        <v>664</v>
      </c>
      <c r="E882" s="81" t="s">
        <v>665</v>
      </c>
      <c r="F882" s="81"/>
      <c r="G882" s="81"/>
      <c r="H882" s="81"/>
      <c r="I882" s="81"/>
      <c r="J882" s="81"/>
      <c r="K882" s="99">
        <v>46113.0</v>
      </c>
      <c r="L882" s="99">
        <v>46234.0</v>
      </c>
      <c r="M882" s="99" t="str">
        <f t="shared" si="1"/>
        <v>Chưa đến hạn</v>
      </c>
      <c r="N882" s="81"/>
      <c r="O882" s="81"/>
      <c r="P882" s="22"/>
      <c r="Q882" s="81"/>
      <c r="R882" s="66"/>
      <c r="S882" s="66"/>
    </row>
    <row r="883" ht="15.75" hidden="1" customHeight="1" outlineLevel="2">
      <c r="A883" s="106" t="s">
        <v>99</v>
      </c>
      <c r="B883" s="81" t="s">
        <v>664</v>
      </c>
      <c r="C883" s="81" t="s">
        <v>664</v>
      </c>
      <c r="D883" s="81" t="s">
        <v>664</v>
      </c>
      <c r="E883" s="81" t="s">
        <v>666</v>
      </c>
      <c r="F883" s="81"/>
      <c r="G883" s="81"/>
      <c r="H883" s="81"/>
      <c r="I883" s="81"/>
      <c r="J883" s="81"/>
      <c r="K883" s="99">
        <v>46113.0</v>
      </c>
      <c r="L883" s="99">
        <v>46234.0</v>
      </c>
      <c r="M883" s="99" t="str">
        <f t="shared" si="1"/>
        <v>Chưa đến hạn</v>
      </c>
      <c r="N883" s="81"/>
      <c r="O883" s="81"/>
      <c r="P883" s="22"/>
      <c r="Q883" s="81"/>
      <c r="R883" s="66"/>
      <c r="S883" s="66"/>
    </row>
    <row r="884" ht="15.75" hidden="1" customHeight="1" outlineLevel="2">
      <c r="A884" s="106" t="s">
        <v>99</v>
      </c>
      <c r="B884" s="81" t="s">
        <v>664</v>
      </c>
      <c r="C884" s="81" t="s">
        <v>664</v>
      </c>
      <c r="D884" s="81" t="s">
        <v>664</v>
      </c>
      <c r="E884" s="81" t="s">
        <v>667</v>
      </c>
      <c r="F884" s="81"/>
      <c r="G884" s="81"/>
      <c r="H884" s="81"/>
      <c r="I884" s="81"/>
      <c r="J884" s="81"/>
      <c r="K884" s="99">
        <v>46113.0</v>
      </c>
      <c r="L884" s="99">
        <v>46234.0</v>
      </c>
      <c r="M884" s="99" t="str">
        <f t="shared" si="1"/>
        <v>Chưa đến hạn</v>
      </c>
      <c r="N884" s="81"/>
      <c r="O884" s="81"/>
      <c r="P884" s="22"/>
      <c r="Q884" s="81"/>
      <c r="R884" s="66"/>
      <c r="S884" s="66"/>
    </row>
    <row r="885" ht="15.75" hidden="1" customHeight="1" outlineLevel="2">
      <c r="A885" s="106" t="s">
        <v>99</v>
      </c>
      <c r="B885" s="81" t="s">
        <v>664</v>
      </c>
      <c r="C885" s="81" t="s">
        <v>664</v>
      </c>
      <c r="D885" s="81" t="s">
        <v>664</v>
      </c>
      <c r="E885" s="81" t="s">
        <v>668</v>
      </c>
      <c r="F885" s="81"/>
      <c r="G885" s="81"/>
      <c r="H885" s="81"/>
      <c r="I885" s="81"/>
      <c r="J885" s="81"/>
      <c r="K885" s="99">
        <v>46113.0</v>
      </c>
      <c r="L885" s="99">
        <v>46234.0</v>
      </c>
      <c r="M885" s="99" t="str">
        <f t="shared" si="1"/>
        <v>Chưa đến hạn</v>
      </c>
      <c r="N885" s="81"/>
      <c r="O885" s="81"/>
      <c r="P885" s="22"/>
      <c r="Q885" s="81"/>
      <c r="R885" s="66"/>
      <c r="S885" s="66"/>
    </row>
    <row r="886" ht="15.75" hidden="1" customHeight="1" outlineLevel="2">
      <c r="A886" s="106" t="s">
        <v>99</v>
      </c>
      <c r="B886" s="81" t="s">
        <v>664</v>
      </c>
      <c r="C886" s="81" t="s">
        <v>664</v>
      </c>
      <c r="D886" s="81" t="s">
        <v>664</v>
      </c>
      <c r="E886" s="81" t="s">
        <v>669</v>
      </c>
      <c r="F886" s="81"/>
      <c r="G886" s="81"/>
      <c r="H886" s="81"/>
      <c r="I886" s="81"/>
      <c r="J886" s="81"/>
      <c r="K886" s="99">
        <v>46113.0</v>
      </c>
      <c r="L886" s="99">
        <v>46234.0</v>
      </c>
      <c r="M886" s="99" t="str">
        <f t="shared" si="1"/>
        <v>Chưa đến hạn</v>
      </c>
      <c r="N886" s="81"/>
      <c r="O886" s="81"/>
      <c r="P886" s="22"/>
      <c r="Q886" s="81"/>
      <c r="R886" s="66"/>
      <c r="S886" s="66"/>
    </row>
    <row r="887" ht="15.75" hidden="1" customHeight="1" outlineLevel="2">
      <c r="A887" s="106" t="s">
        <v>99</v>
      </c>
      <c r="B887" s="81" t="s">
        <v>664</v>
      </c>
      <c r="C887" s="81" t="s">
        <v>664</v>
      </c>
      <c r="D887" s="81" t="s">
        <v>664</v>
      </c>
      <c r="E887" s="81" t="s">
        <v>670</v>
      </c>
      <c r="F887" s="81"/>
      <c r="G887" s="81"/>
      <c r="H887" s="81"/>
      <c r="I887" s="81"/>
      <c r="J887" s="81"/>
      <c r="K887" s="99">
        <v>46113.0</v>
      </c>
      <c r="L887" s="99">
        <v>46234.0</v>
      </c>
      <c r="M887" s="99" t="str">
        <f t="shared" si="1"/>
        <v>Chưa đến hạn</v>
      </c>
      <c r="N887" s="81"/>
      <c r="O887" s="81"/>
      <c r="P887" s="22"/>
      <c r="Q887" s="81"/>
      <c r="R887" s="66"/>
      <c r="S887" s="66"/>
    </row>
    <row r="888" ht="15.75" hidden="1" customHeight="1" outlineLevel="2">
      <c r="A888" s="106" t="s">
        <v>99</v>
      </c>
      <c r="B888" s="81" t="s">
        <v>664</v>
      </c>
      <c r="C888" s="81" t="s">
        <v>664</v>
      </c>
      <c r="D888" s="81" t="s">
        <v>664</v>
      </c>
      <c r="E888" s="81" t="s">
        <v>671</v>
      </c>
      <c r="F888" s="81"/>
      <c r="G888" s="81"/>
      <c r="H888" s="81"/>
      <c r="I888" s="81"/>
      <c r="J888" s="81"/>
      <c r="K888" s="99">
        <v>46113.0</v>
      </c>
      <c r="L888" s="99">
        <v>46234.0</v>
      </c>
      <c r="M888" s="99" t="str">
        <f t="shared" si="1"/>
        <v>Chưa đến hạn</v>
      </c>
      <c r="N888" s="81"/>
      <c r="O888" s="81"/>
      <c r="P888" s="22"/>
      <c r="Q888" s="81"/>
      <c r="R888" s="66"/>
      <c r="S888" s="66"/>
    </row>
    <row r="889" ht="15.75" hidden="1" customHeight="1" outlineLevel="2">
      <c r="A889" s="106" t="s">
        <v>99</v>
      </c>
      <c r="B889" s="81" t="s">
        <v>664</v>
      </c>
      <c r="C889" s="81" t="s">
        <v>664</v>
      </c>
      <c r="D889" s="81" t="s">
        <v>664</v>
      </c>
      <c r="E889" s="81" t="s">
        <v>672</v>
      </c>
      <c r="F889" s="81"/>
      <c r="G889" s="81"/>
      <c r="H889" s="81"/>
      <c r="I889" s="81"/>
      <c r="J889" s="81"/>
      <c r="K889" s="99">
        <v>46113.0</v>
      </c>
      <c r="L889" s="99">
        <v>46234.0</v>
      </c>
      <c r="M889" s="99" t="str">
        <f t="shared" si="1"/>
        <v>Chưa đến hạn</v>
      </c>
      <c r="N889" s="81"/>
      <c r="O889" s="81"/>
      <c r="P889" s="22"/>
      <c r="Q889" s="81"/>
      <c r="R889" s="66"/>
      <c r="S889" s="66"/>
    </row>
    <row r="890" ht="15.75" hidden="1" customHeight="1" outlineLevel="1">
      <c r="A890" s="106" t="s">
        <v>99</v>
      </c>
      <c r="B890" s="81" t="s">
        <v>673</v>
      </c>
      <c r="C890" s="81" t="s">
        <v>673</v>
      </c>
      <c r="D890" s="81" t="s">
        <v>673</v>
      </c>
      <c r="E890" s="81"/>
      <c r="F890" s="81"/>
      <c r="G890" s="81"/>
      <c r="H890" s="81"/>
      <c r="I890" s="81"/>
      <c r="J890" s="81"/>
      <c r="K890" s="99">
        <f>min(K891:K893)</f>
        <v>46174</v>
      </c>
      <c r="L890" s="99">
        <f>max(L891:L893)</f>
        <v>46265</v>
      </c>
      <c r="M890" s="99" t="str">
        <f t="shared" si="1"/>
        <v>Chưa đến hạn</v>
      </c>
      <c r="N890" s="81"/>
      <c r="O890" s="81"/>
      <c r="P890" s="22"/>
      <c r="Q890" s="81"/>
      <c r="R890" s="66"/>
      <c r="S890" s="66"/>
    </row>
    <row r="891" ht="15.75" hidden="1" customHeight="1" outlineLevel="2">
      <c r="A891" s="106" t="s">
        <v>99</v>
      </c>
      <c r="B891" s="81" t="s">
        <v>673</v>
      </c>
      <c r="C891" s="81" t="s">
        <v>673</v>
      </c>
      <c r="D891" s="81" t="s">
        <v>673</v>
      </c>
      <c r="E891" s="81" t="s">
        <v>674</v>
      </c>
      <c r="F891" s="81"/>
      <c r="G891" s="81"/>
      <c r="H891" s="81"/>
      <c r="I891" s="81"/>
      <c r="J891" s="81"/>
      <c r="K891" s="99">
        <v>46174.0</v>
      </c>
      <c r="L891" s="99">
        <v>46265.0</v>
      </c>
      <c r="M891" s="99" t="str">
        <f t="shared" si="1"/>
        <v>Chưa đến hạn</v>
      </c>
      <c r="N891" s="81"/>
      <c r="O891" s="81"/>
      <c r="P891" s="22"/>
      <c r="Q891" s="81"/>
      <c r="R891" s="66"/>
      <c r="S891" s="66"/>
    </row>
    <row r="892" ht="15.75" hidden="1" customHeight="1" outlineLevel="2">
      <c r="A892" s="106" t="s">
        <v>99</v>
      </c>
      <c r="B892" s="81" t="s">
        <v>673</v>
      </c>
      <c r="C892" s="81" t="s">
        <v>673</v>
      </c>
      <c r="D892" s="81" t="s">
        <v>673</v>
      </c>
      <c r="E892" s="81" t="s">
        <v>675</v>
      </c>
      <c r="F892" s="81"/>
      <c r="G892" s="81"/>
      <c r="H892" s="81"/>
      <c r="I892" s="81"/>
      <c r="J892" s="81"/>
      <c r="K892" s="99">
        <v>46188.0</v>
      </c>
      <c r="L892" s="99">
        <v>46265.0</v>
      </c>
      <c r="M892" s="99" t="str">
        <f t="shared" si="1"/>
        <v>Chưa bắt đầu</v>
      </c>
      <c r="N892" s="81"/>
      <c r="O892" s="81"/>
      <c r="P892" s="22"/>
      <c r="Q892" s="81"/>
      <c r="R892" s="66"/>
      <c r="S892" s="66"/>
    </row>
    <row r="893" ht="15.75" hidden="1" customHeight="1" outlineLevel="2">
      <c r="A893" s="106" t="s">
        <v>99</v>
      </c>
      <c r="B893" s="81" t="s">
        <v>673</v>
      </c>
      <c r="C893" s="81" t="s">
        <v>673</v>
      </c>
      <c r="D893" s="81" t="s">
        <v>673</v>
      </c>
      <c r="E893" s="81" t="s">
        <v>676</v>
      </c>
      <c r="F893" s="81"/>
      <c r="G893" s="81"/>
      <c r="H893" s="81"/>
      <c r="I893" s="81"/>
      <c r="J893" s="81"/>
      <c r="K893" s="99">
        <v>46218.0</v>
      </c>
      <c r="L893" s="99">
        <v>46265.0</v>
      </c>
      <c r="M893" s="99" t="str">
        <f t="shared" si="1"/>
        <v>Chưa bắt đầu</v>
      </c>
      <c r="N893" s="81"/>
      <c r="O893" s="81"/>
      <c r="P893" s="22"/>
      <c r="Q893" s="81"/>
      <c r="R893" s="66"/>
      <c r="S893" s="66"/>
    </row>
    <row r="894" ht="15.75" hidden="1" customHeight="1" outlineLevel="1">
      <c r="A894" s="106" t="s">
        <v>99</v>
      </c>
      <c r="B894" s="81" t="s">
        <v>677</v>
      </c>
      <c r="C894" s="81" t="s">
        <v>677</v>
      </c>
      <c r="D894" s="81" t="s">
        <v>677</v>
      </c>
      <c r="E894" s="81"/>
      <c r="F894" s="81"/>
      <c r="G894" s="81"/>
      <c r="H894" s="81"/>
      <c r="I894" s="81"/>
      <c r="J894" s="81"/>
      <c r="K894" s="99">
        <f>min(K895:K902)</f>
        <v>46174</v>
      </c>
      <c r="L894" s="99">
        <f>max(L895:L902)</f>
        <v>46356</v>
      </c>
      <c r="M894" s="99" t="str">
        <f t="shared" si="1"/>
        <v>Chưa đến hạn</v>
      </c>
      <c r="N894" s="81"/>
      <c r="O894" s="81"/>
      <c r="P894" s="22"/>
      <c r="Q894" s="81"/>
      <c r="R894" s="66"/>
      <c r="S894" s="66"/>
    </row>
    <row r="895" ht="15.75" hidden="1" customHeight="1" outlineLevel="2">
      <c r="A895" s="106" t="s">
        <v>99</v>
      </c>
      <c r="B895" s="81" t="s">
        <v>677</v>
      </c>
      <c r="C895" s="81" t="s">
        <v>677</v>
      </c>
      <c r="D895" s="81" t="s">
        <v>678</v>
      </c>
      <c r="E895" s="81"/>
      <c r="F895" s="81"/>
      <c r="G895" s="81"/>
      <c r="H895" s="81"/>
      <c r="I895" s="81"/>
      <c r="J895" s="81"/>
      <c r="K895" s="99">
        <f>min(K896:K897)</f>
        <v>46174</v>
      </c>
      <c r="L895" s="99">
        <f>max(L896:L897)</f>
        <v>46234</v>
      </c>
      <c r="M895" s="99" t="str">
        <f t="shared" si="1"/>
        <v>Chưa đến hạn</v>
      </c>
      <c r="N895" s="81"/>
      <c r="O895" s="81"/>
      <c r="P895" s="22"/>
      <c r="Q895" s="81"/>
      <c r="R895" s="66"/>
      <c r="S895" s="66"/>
    </row>
    <row r="896" ht="15.75" hidden="1" customHeight="1" outlineLevel="2">
      <c r="A896" s="106" t="s">
        <v>99</v>
      </c>
      <c r="B896" s="81" t="s">
        <v>677</v>
      </c>
      <c r="C896" s="81" t="s">
        <v>677</v>
      </c>
      <c r="D896" s="81" t="s">
        <v>678</v>
      </c>
      <c r="E896" s="81" t="s">
        <v>679</v>
      </c>
      <c r="F896" s="81"/>
      <c r="G896" s="81"/>
      <c r="H896" s="81"/>
      <c r="I896" s="81"/>
      <c r="J896" s="81"/>
      <c r="K896" s="99">
        <v>46174.0</v>
      </c>
      <c r="L896" s="99">
        <v>46234.0</v>
      </c>
      <c r="M896" s="99" t="str">
        <f t="shared" si="1"/>
        <v>Chưa đến hạn</v>
      </c>
      <c r="N896" s="81"/>
      <c r="O896" s="81"/>
      <c r="P896" s="22"/>
      <c r="Q896" s="81"/>
      <c r="R896" s="66"/>
      <c r="S896" s="66"/>
    </row>
    <row r="897" ht="15.75" hidden="1" customHeight="1" outlineLevel="2">
      <c r="A897" s="106" t="s">
        <v>99</v>
      </c>
      <c r="B897" s="81" t="s">
        <v>677</v>
      </c>
      <c r="C897" s="81" t="s">
        <v>677</v>
      </c>
      <c r="D897" s="81" t="s">
        <v>678</v>
      </c>
      <c r="E897" s="81" t="s">
        <v>680</v>
      </c>
      <c r="F897" s="81"/>
      <c r="G897" s="81"/>
      <c r="H897" s="81"/>
      <c r="I897" s="81"/>
      <c r="J897" s="81"/>
      <c r="K897" s="99">
        <v>46218.0</v>
      </c>
      <c r="L897" s="99">
        <v>46234.0</v>
      </c>
      <c r="M897" s="99" t="str">
        <f t="shared" si="1"/>
        <v>Chưa bắt đầu</v>
      </c>
      <c r="N897" s="81"/>
      <c r="O897" s="81"/>
      <c r="P897" s="22"/>
      <c r="Q897" s="81"/>
      <c r="R897" s="66"/>
      <c r="S897" s="66"/>
    </row>
    <row r="898" ht="15.75" hidden="1" customHeight="1" outlineLevel="2">
      <c r="A898" s="106" t="s">
        <v>99</v>
      </c>
      <c r="B898" s="81" t="s">
        <v>677</v>
      </c>
      <c r="C898" s="81" t="s">
        <v>677</v>
      </c>
      <c r="D898" s="81" t="s">
        <v>681</v>
      </c>
      <c r="E898" s="81"/>
      <c r="F898" s="81"/>
      <c r="G898" s="81"/>
      <c r="H898" s="81"/>
      <c r="I898" s="81"/>
      <c r="J898" s="81"/>
      <c r="K898" s="99">
        <f>min(K899:K902)</f>
        <v>46266</v>
      </c>
      <c r="L898" s="99">
        <f>max(L899:L902)</f>
        <v>46356</v>
      </c>
      <c r="M898" s="99" t="str">
        <f t="shared" si="1"/>
        <v>Chưa bắt đầu</v>
      </c>
      <c r="N898" s="81"/>
      <c r="O898" s="81"/>
      <c r="P898" s="22"/>
      <c r="Q898" s="81"/>
      <c r="R898" s="66"/>
      <c r="S898" s="66"/>
    </row>
    <row r="899" ht="15.75" hidden="1" customHeight="1" outlineLevel="2">
      <c r="A899" s="106" t="s">
        <v>99</v>
      </c>
      <c r="B899" s="81" t="s">
        <v>677</v>
      </c>
      <c r="C899" s="81" t="s">
        <v>677</v>
      </c>
      <c r="D899" s="81" t="s">
        <v>681</v>
      </c>
      <c r="E899" s="81" t="s">
        <v>682</v>
      </c>
      <c r="F899" s="81"/>
      <c r="G899" s="81"/>
      <c r="H899" s="81"/>
      <c r="I899" s="81"/>
      <c r="J899" s="81"/>
      <c r="K899" s="99">
        <v>46266.0</v>
      </c>
      <c r="L899" s="99">
        <v>46295.0</v>
      </c>
      <c r="M899" s="99" t="str">
        <f t="shared" si="1"/>
        <v>Chưa bắt đầu</v>
      </c>
      <c r="N899" s="81"/>
      <c r="O899" s="81"/>
      <c r="P899" s="22"/>
      <c r="Q899" s="81"/>
      <c r="R899" s="66"/>
      <c r="S899" s="66"/>
    </row>
    <row r="900" ht="15.75" hidden="1" customHeight="1" outlineLevel="2">
      <c r="A900" s="106" t="s">
        <v>99</v>
      </c>
      <c r="B900" s="81" t="s">
        <v>677</v>
      </c>
      <c r="C900" s="81" t="s">
        <v>677</v>
      </c>
      <c r="D900" s="81" t="s">
        <v>681</v>
      </c>
      <c r="E900" s="81" t="s">
        <v>683</v>
      </c>
      <c r="F900" s="81"/>
      <c r="G900" s="81"/>
      <c r="H900" s="81"/>
      <c r="I900" s="81"/>
      <c r="J900" s="81"/>
      <c r="K900" s="99">
        <v>46266.0</v>
      </c>
      <c r="L900" s="99">
        <v>46295.0</v>
      </c>
      <c r="M900" s="99" t="str">
        <f t="shared" si="1"/>
        <v>Chưa bắt đầu</v>
      </c>
      <c r="N900" s="81"/>
      <c r="O900" s="81"/>
      <c r="P900" s="22"/>
      <c r="Q900" s="81"/>
      <c r="R900" s="66"/>
      <c r="S900" s="66"/>
    </row>
    <row r="901" ht="15.75" hidden="1" customHeight="1" outlineLevel="2">
      <c r="A901" s="106" t="s">
        <v>99</v>
      </c>
      <c r="B901" s="81" t="s">
        <v>677</v>
      </c>
      <c r="C901" s="81" t="s">
        <v>677</v>
      </c>
      <c r="D901" s="81" t="s">
        <v>681</v>
      </c>
      <c r="E901" s="81" t="s">
        <v>684</v>
      </c>
      <c r="F901" s="81"/>
      <c r="G901" s="81"/>
      <c r="H901" s="81"/>
      <c r="I901" s="81"/>
      <c r="J901" s="81"/>
      <c r="K901" s="99">
        <v>46266.0</v>
      </c>
      <c r="L901" s="99">
        <v>46295.0</v>
      </c>
      <c r="M901" s="99" t="str">
        <f t="shared" si="1"/>
        <v>Chưa bắt đầu</v>
      </c>
      <c r="N901" s="81"/>
      <c r="O901" s="81"/>
      <c r="P901" s="22"/>
      <c r="Q901" s="81"/>
      <c r="R901" s="66"/>
      <c r="S901" s="66"/>
    </row>
    <row r="902" ht="15.75" hidden="1" customHeight="1" outlineLevel="2">
      <c r="A902" s="106" t="s">
        <v>99</v>
      </c>
      <c r="B902" s="81" t="s">
        <v>677</v>
      </c>
      <c r="C902" s="81" t="s">
        <v>677</v>
      </c>
      <c r="D902" s="81" t="s">
        <v>681</v>
      </c>
      <c r="E902" s="81" t="s">
        <v>685</v>
      </c>
      <c r="F902" s="81"/>
      <c r="G902" s="81"/>
      <c r="H902" s="81"/>
      <c r="I902" s="81"/>
      <c r="J902" s="81"/>
      <c r="K902" s="99">
        <v>46296.0</v>
      </c>
      <c r="L902" s="99">
        <v>46356.0</v>
      </c>
      <c r="M902" s="99" t="str">
        <f t="shared" si="1"/>
        <v>Chưa bắt đầu</v>
      </c>
      <c r="N902" s="81"/>
      <c r="O902" s="81"/>
      <c r="P902" s="22"/>
      <c r="Q902" s="81"/>
      <c r="R902" s="66"/>
      <c r="S902" s="66"/>
    </row>
    <row r="903" ht="15.75" hidden="1" customHeight="1" outlineLevel="1">
      <c r="A903" s="106" t="s">
        <v>99</v>
      </c>
      <c r="B903" s="81" t="s">
        <v>686</v>
      </c>
      <c r="C903" s="81" t="s">
        <v>686</v>
      </c>
      <c r="D903" s="81" t="s">
        <v>686</v>
      </c>
      <c r="E903" s="81"/>
      <c r="F903" s="81"/>
      <c r="G903" s="81"/>
      <c r="H903" s="81"/>
      <c r="I903" s="81"/>
      <c r="J903" s="81"/>
      <c r="K903" s="99">
        <v>46296.0</v>
      </c>
      <c r="L903" s="99">
        <v>46356.0</v>
      </c>
      <c r="M903" s="99" t="str">
        <f t="shared" si="1"/>
        <v>Chưa bắt đầu</v>
      </c>
      <c r="N903" s="81"/>
      <c r="O903" s="81"/>
      <c r="P903" s="22"/>
      <c r="Q903" s="81"/>
      <c r="R903" s="66"/>
      <c r="S903" s="66"/>
    </row>
    <row r="904" ht="15.75" hidden="1" customHeight="1" outlineLevel="2">
      <c r="A904" s="106" t="s">
        <v>99</v>
      </c>
      <c r="B904" s="81" t="s">
        <v>686</v>
      </c>
      <c r="C904" s="81" t="s">
        <v>686</v>
      </c>
      <c r="D904" s="81" t="s">
        <v>687</v>
      </c>
      <c r="E904" s="81"/>
      <c r="F904" s="81"/>
      <c r="G904" s="81"/>
      <c r="H904" s="81"/>
      <c r="I904" s="81"/>
      <c r="J904" s="81"/>
      <c r="K904" s="99">
        <v>46296.0</v>
      </c>
      <c r="L904" s="99">
        <v>46341.0</v>
      </c>
      <c r="M904" s="99" t="str">
        <f t="shared" si="1"/>
        <v>Chưa bắt đầu</v>
      </c>
      <c r="N904" s="81"/>
      <c r="O904" s="81"/>
      <c r="P904" s="22"/>
      <c r="Q904" s="81"/>
      <c r="R904" s="66"/>
      <c r="S904" s="66"/>
    </row>
    <row r="905" ht="15.75" hidden="1" customHeight="1" outlineLevel="2">
      <c r="A905" s="106" t="s">
        <v>99</v>
      </c>
      <c r="B905" s="81" t="s">
        <v>686</v>
      </c>
      <c r="C905" s="81" t="s">
        <v>686</v>
      </c>
      <c r="D905" s="81" t="s">
        <v>688</v>
      </c>
      <c r="E905" s="81"/>
      <c r="F905" s="81"/>
      <c r="G905" s="81"/>
      <c r="H905" s="81"/>
      <c r="I905" s="81"/>
      <c r="J905" s="81"/>
      <c r="K905" s="99">
        <v>46327.0</v>
      </c>
      <c r="L905" s="99">
        <v>46356.0</v>
      </c>
      <c r="M905" s="99" t="str">
        <f t="shared" si="1"/>
        <v>Chưa bắt đầu</v>
      </c>
      <c r="N905" s="81"/>
      <c r="O905" s="81"/>
      <c r="P905" s="22"/>
      <c r="Q905" s="81"/>
      <c r="R905" s="66"/>
      <c r="S905" s="66"/>
    </row>
    <row r="906" ht="15.75" customHeight="1">
      <c r="A906" s="81"/>
      <c r="B906" s="81"/>
      <c r="C906" s="81"/>
      <c r="D906" s="81"/>
      <c r="E906" s="81"/>
      <c r="F906" s="81"/>
      <c r="G906" s="81"/>
      <c r="H906" s="81"/>
      <c r="I906" s="81"/>
      <c r="J906" s="81"/>
      <c r="K906" s="81"/>
      <c r="L906" s="81"/>
      <c r="M906" s="81"/>
      <c r="N906" s="81"/>
      <c r="O906" s="81"/>
      <c r="P906" s="81"/>
      <c r="Q906" s="81"/>
      <c r="R906" s="66"/>
      <c r="S906" s="66"/>
    </row>
    <row r="907" ht="15.75" customHeight="1">
      <c r="A907" s="81"/>
      <c r="B907" s="81"/>
      <c r="C907" s="81"/>
      <c r="D907" s="81"/>
      <c r="E907" s="81"/>
      <c r="F907" s="81"/>
      <c r="G907" s="81"/>
      <c r="H907" s="81"/>
      <c r="I907" s="81"/>
      <c r="J907" s="81"/>
      <c r="K907" s="81"/>
      <c r="L907" s="81"/>
      <c r="M907" s="81"/>
      <c r="N907" s="81"/>
      <c r="O907" s="81"/>
      <c r="P907" s="81"/>
      <c r="Q907" s="81"/>
      <c r="R907" s="66"/>
      <c r="S907" s="66"/>
    </row>
    <row r="908" ht="15.75" customHeight="1">
      <c r="A908" s="81"/>
      <c r="B908" s="81"/>
      <c r="C908" s="81"/>
      <c r="D908" s="81"/>
      <c r="E908" s="81"/>
      <c r="F908" s="81"/>
      <c r="G908" s="81"/>
      <c r="H908" s="81"/>
      <c r="I908" s="81"/>
      <c r="J908" s="81"/>
      <c r="K908" s="81"/>
      <c r="L908" s="81"/>
      <c r="M908" s="81"/>
      <c r="N908" s="81"/>
      <c r="O908" s="81"/>
      <c r="P908" s="81"/>
      <c r="Q908" s="81"/>
      <c r="R908" s="66"/>
      <c r="S908" s="66"/>
    </row>
    <row r="909" ht="15.75" customHeight="1">
      <c r="A909" s="81"/>
      <c r="B909" s="81"/>
      <c r="C909" s="81"/>
      <c r="D909" s="81"/>
      <c r="E909" s="81"/>
      <c r="F909" s="81"/>
      <c r="G909" s="81"/>
      <c r="H909" s="81"/>
      <c r="I909" s="81"/>
      <c r="J909" s="81"/>
      <c r="K909" s="81"/>
      <c r="L909" s="81"/>
      <c r="M909" s="81"/>
      <c r="N909" s="81"/>
      <c r="O909" s="81"/>
      <c r="P909" s="81"/>
      <c r="Q909" s="81"/>
      <c r="R909" s="66"/>
      <c r="S909" s="66"/>
    </row>
  </sheetData>
  <mergeCells count="1">
    <mergeCell ref="N1:Q1"/>
  </mergeCells>
  <conditionalFormatting sqref="M4:M909">
    <cfRule type="cellIs" dxfId="4" priority="1" operator="equal">
      <formula>"Chưa có kế hoạch"</formula>
    </cfRule>
  </conditionalFormatting>
  <conditionalFormatting sqref="M4:M909">
    <cfRule type="cellIs" dxfId="5" priority="2" operator="equal">
      <formula>"Quá hạn"</formula>
    </cfRule>
  </conditionalFormatting>
  <conditionalFormatting sqref="M4:M909">
    <cfRule type="cellIs" dxfId="6" priority="3" operator="equal">
      <formula>"Săp đến hạn"</formula>
    </cfRule>
  </conditionalFormatting>
  <conditionalFormatting sqref="M4:M909">
    <cfRule type="cellIs" dxfId="7" priority="4" operator="equal">
      <formula>"Đến hạn"</formula>
    </cfRule>
  </conditionalFormatting>
  <conditionalFormatting sqref="M4:M909">
    <cfRule type="cellIs" dxfId="8" priority="5" operator="equal">
      <formula>"Chưa bắt đầu"</formula>
    </cfRule>
  </conditionalFormatting>
  <dataValidations>
    <dataValidation type="list" allowBlank="1" showErrorMessage="1" sqref="P4:P229 P244:P905">
      <formula1>Config!$B$10:$B$18</formula1>
    </dataValidation>
    <dataValidation type="list" allowBlank="1" showErrorMessage="1" sqref="P230:P243">
      <formula1>Config!$B$10:$B$17</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0202"/>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78"/>
    <col customWidth="1" min="2" max="2" width="22.89"/>
    <col customWidth="1" min="3" max="3" width="16.11"/>
    <col customWidth="1" min="4" max="4" width="11.33"/>
    <col customWidth="1" min="5" max="5" width="11.0"/>
    <col customWidth="1" min="6" max="6" width="7.44"/>
    <col customWidth="1" min="7" max="25" width="9.22"/>
    <col customWidth="1" min="26" max="26" width="11.89"/>
    <col customWidth="1" min="27" max="29" width="8.67"/>
    <col customWidth="1" min="30" max="30" width="11.89"/>
    <col customWidth="1" min="31" max="32" width="8.67"/>
    <col customWidth="1" min="33" max="33" width="24.56"/>
    <col customWidth="1" min="34" max="35" width="21.22"/>
    <col customWidth="1" min="36" max="36" width="9.56"/>
    <col customWidth="1" min="37" max="37" width="20.22"/>
    <col customWidth="1" min="38" max="38" width="22.67"/>
    <col customWidth="1" min="39" max="39" width="23.56"/>
    <col customWidth="1" min="40" max="40" width="8.89"/>
    <col customWidth="1" min="41" max="41" width="5.11"/>
    <col customWidth="1" min="42" max="42" width="5.33"/>
    <col customWidth="1" min="44" max="44" width="22.78"/>
    <col customWidth="1" min="45" max="45" width="10.11"/>
    <col customWidth="1" min="46" max="46" width="4.33"/>
    <col customWidth="1" min="47" max="47" width="27.33"/>
    <col customWidth="1" min="48" max="48" width="21.56"/>
    <col customWidth="1" min="49" max="49" width="8.22"/>
    <col customWidth="1" min="50" max="50" width="16.78"/>
    <col customWidth="1" min="51" max="51" width="5.0"/>
    <col customWidth="1" min="52" max="52" width="15.56"/>
    <col customWidth="1" min="53" max="53" width="16.44"/>
    <col customWidth="1" min="54" max="54" width="22.0"/>
    <col customWidth="1" min="55" max="55" width="21.89"/>
    <col customWidth="1" min="56" max="56" width="10.67"/>
    <col customWidth="1" min="57" max="57" width="22.0"/>
    <col customWidth="1" min="58" max="58" width="23.22"/>
    <col customWidth="1" min="59" max="59" width="8.22"/>
    <col customWidth="1" min="61" max="61" width="25.0"/>
    <col customWidth="1" min="62" max="62" width="16.56"/>
    <col customWidth="1" min="63" max="63" width="8.22"/>
  </cols>
  <sheetData>
    <row r="1" ht="30.0" customHeight="1">
      <c r="A1" s="45" t="s">
        <v>53</v>
      </c>
      <c r="B1" s="45" t="s">
        <v>39</v>
      </c>
      <c r="C1" s="45" t="s">
        <v>54</v>
      </c>
      <c r="D1" s="45" t="s">
        <v>55</v>
      </c>
      <c r="E1" s="45" t="s">
        <v>56</v>
      </c>
      <c r="F1" s="45" t="s">
        <v>57</v>
      </c>
      <c r="G1" s="45" t="s">
        <v>58</v>
      </c>
      <c r="H1" s="45" t="s">
        <v>59</v>
      </c>
      <c r="I1" s="45" t="s">
        <v>60</v>
      </c>
      <c r="J1" s="45" t="s">
        <v>61</v>
      </c>
      <c r="K1" s="45" t="s">
        <v>62</v>
      </c>
      <c r="L1" s="45" t="s">
        <v>63</v>
      </c>
      <c r="M1" s="45" t="s">
        <v>64</v>
      </c>
      <c r="N1" s="45" t="s">
        <v>65</v>
      </c>
      <c r="O1" s="45" t="s">
        <v>66</v>
      </c>
      <c r="P1" s="45" t="s">
        <v>67</v>
      </c>
      <c r="Q1" s="45" t="s">
        <v>68</v>
      </c>
      <c r="R1" s="45" t="s">
        <v>69</v>
      </c>
      <c r="S1" s="45" t="s">
        <v>70</v>
      </c>
      <c r="T1" s="45" t="s">
        <v>71</v>
      </c>
      <c r="U1" s="45" t="s">
        <v>72</v>
      </c>
      <c r="V1" s="45" t="s">
        <v>73</v>
      </c>
      <c r="W1" s="45" t="s">
        <v>74</v>
      </c>
      <c r="X1" s="45" t="s">
        <v>75</v>
      </c>
      <c r="Y1" s="45" t="s">
        <v>76</v>
      </c>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7"/>
      <c r="BB1" s="66"/>
      <c r="BC1" s="66"/>
      <c r="BD1" s="66"/>
      <c r="BE1" s="66"/>
      <c r="BF1" s="66"/>
      <c r="BG1" s="66"/>
      <c r="BH1" s="66"/>
      <c r="BI1" s="66"/>
      <c r="BJ1" s="66"/>
      <c r="BK1" s="66"/>
      <c r="BL1" s="66"/>
      <c r="BM1" s="66"/>
      <c r="BN1" s="66"/>
    </row>
    <row r="2" ht="30.0" customHeight="1">
      <c r="A2" s="83" t="s">
        <v>18</v>
      </c>
      <c r="B2" s="82" t="s">
        <v>50</v>
      </c>
      <c r="C2" s="83" t="s">
        <v>689</v>
      </c>
      <c r="D2" s="112">
        <v>46028.0</v>
      </c>
      <c r="E2" s="113">
        <v>46387.0</v>
      </c>
      <c r="F2" s="85">
        <v>1.0</v>
      </c>
      <c r="G2" s="86" t="str">
        <f>IFERROR(__xludf.DUMMYFUNCTION("LET(
  monthStart,DATE(VALUE(REGEXEXTRACT(G$1,""\d{4}"")),VALUE(REGEXEXTRACT(G$1,""T(\d+)"")),1),
  monthEnd,EOMONTH(monthStart,0),
  actualStart,MAX($D2,monthStart),
  actualEnd,MIN($E2,monthEnd),
  workingDaysInMonth,NETWORKDAYS(monthStart,monthEnd),
  "&amp;"workingDaysOverlap,IF(actualStart&gt;actualEnd,0,NETWORKDAYS(actualStart,actualEnd)),
  IF(workingDaysOverlap=0,"""",$F2*workingDaysOverlap/workingDaysInMonth)
)"),"")</f>
        <v/>
      </c>
      <c r="H2" s="86" t="str">
        <f>IFERROR(__xludf.DUMMYFUNCTION("LET(
  monthStart,DATE(VALUE(REGEXEXTRACT(H$1,""\d{4}"")),VALUE(REGEXEXTRACT(H$1,""T(\d+)"")),1),
  monthEnd,EOMONTH(monthStart,0),
  actualStart,MAX($D2,monthStart),
  actualEnd,MIN($E2,monthEnd),
  workingDaysInMonth,NETWORKDAYS(monthStart,monthEnd),
  "&amp;"workingDaysOverlap,IF(actualStart&gt;actualEnd,0,NETWORKDAYS(actualStart,actualEnd)),
  IF(workingDaysOverlap=0,"""",$F2*workingDaysOverlap/workingDaysInMonth)
)"),"")</f>
        <v/>
      </c>
      <c r="I2" s="86" t="str">
        <f>IFERROR(__xludf.DUMMYFUNCTION("LET(
  monthStart,DATE(VALUE(REGEXEXTRACT(I$1,""\d{4}"")),VALUE(REGEXEXTRACT(I$1,""T(\d+)"")),1),
  monthEnd,EOMONTH(monthStart,0),
  actualStart,MAX($D2,monthStart),
  actualEnd,MIN($E2,monthEnd),
  workingDaysInMonth,NETWORKDAYS(monthStart,monthEnd),
  "&amp;"workingDaysOverlap,IF(actualStart&gt;actualEnd,0,NETWORKDAYS(actualStart,actualEnd)),
  IF(workingDaysOverlap=0,"""",$F2*workingDaysOverlap/workingDaysInMonth)
)"),"")</f>
        <v/>
      </c>
      <c r="J2" s="86" t="str">
        <f>IFERROR(__xludf.DUMMYFUNCTION("LET(
  monthStart,DATE(VALUE(REGEXEXTRACT(J$1,""\d{4}"")),VALUE(REGEXEXTRACT(J$1,""T(\d+)"")),1),
  monthEnd,EOMONTH(monthStart,0),
  actualStart,MAX($D2,monthStart),
  actualEnd,MIN($E2,monthEnd),
  workingDaysInMonth,NETWORKDAYS(monthStart,monthEnd),
  "&amp;"workingDaysOverlap,IF(actualStart&gt;actualEnd,0,NETWORKDAYS(actualStart,actualEnd)),
  IF(workingDaysOverlap=0,"""",$F2*workingDaysOverlap/workingDaysInMonth)
)"),"")</f>
        <v/>
      </c>
      <c r="K2" s="86" t="str">
        <f>IFERROR(__xludf.DUMMYFUNCTION("LET(
  monthStart,DATE(VALUE(REGEXEXTRACT(K$1,""\d{4}"")),VALUE(REGEXEXTRACT(K$1,""T(\d+)"")),1),
  monthEnd,EOMONTH(monthStart,0),
  actualStart,MAX($D2,monthStart),
  actualEnd,MIN($E2,monthEnd),
  workingDaysInMonth,NETWORKDAYS(monthStart,monthEnd),
  "&amp;"workingDaysOverlap,IF(actualStart&gt;actualEnd,0,NETWORKDAYS(actualStart,actualEnd)),
  IF(workingDaysOverlap=0,"""",$F2*workingDaysOverlap/workingDaysInMonth)
)"),"")</f>
        <v/>
      </c>
      <c r="L2" s="86" t="str">
        <f>IFERROR(__xludf.DUMMYFUNCTION("LET(
  monthStart,DATE(VALUE(REGEXEXTRACT(L$1,""\d{4}"")),VALUE(REGEXEXTRACT(L$1,""T(\d+)"")),1),
  monthEnd,EOMONTH(monthStart,0),
  actualStart,MAX($D2,monthStart),
  actualEnd,MIN($E2,monthEnd),
  workingDaysInMonth,NETWORKDAYS(monthStart,monthEnd),
  "&amp;"workingDaysOverlap,IF(actualStart&gt;actualEnd,0,NETWORKDAYS(actualStart,actualEnd)),
  IF(workingDaysOverlap=0,"""",$F2*workingDaysOverlap/workingDaysInMonth)
)"),"")</f>
        <v/>
      </c>
      <c r="M2" s="86" t="str">
        <f>IFERROR(__xludf.DUMMYFUNCTION("LET(
  monthStart,DATE(VALUE(REGEXEXTRACT(M$1,""\d{4}"")),VALUE(REGEXEXTRACT(M$1,""T(\d+)"")),1),
  monthEnd,EOMONTH(monthStart,0),
  actualStart,MAX($D2,monthStart),
  actualEnd,MIN($E2,monthEnd),
  workingDaysInMonth,NETWORKDAYS(monthStart,monthEnd),
  "&amp;"workingDaysOverlap,IF(actualStart&gt;actualEnd,0,NETWORKDAYS(actualStart,actualEnd)),
  IF(workingDaysOverlap=0,"""",$F2*workingDaysOverlap/workingDaysInMonth)
)"),"")</f>
        <v/>
      </c>
      <c r="N2" s="86">
        <f>IFERROR(__xludf.DUMMYFUNCTION("LET(
  monthStart,DATE(VALUE(REGEXEXTRACT(N$1,""\d{4}"")),VALUE(REGEXEXTRACT(N$1,""T(\d+)"")),1),
  monthEnd,EOMONTH(monthStart,0),
  actualStart,MAX($D2,monthStart),
  actualEnd,MIN($E2,monthEnd),
  workingDaysInMonth,NETWORKDAYS(monthStart,monthEnd),
  "&amp;"workingDaysOverlap,IF(actualStart&gt;actualEnd,0,NETWORKDAYS(actualStart,actualEnd)),
  IF(workingDaysOverlap=0,"""",$F2*workingDaysOverlap/workingDaysInMonth)
)"),0.8636363636363636)</f>
        <v>0.8636363636</v>
      </c>
      <c r="O2" s="86">
        <f>IFERROR(__xludf.DUMMYFUNCTION("LET(
  monthStart,DATE(VALUE(REGEXEXTRACT(O$1,""\d{4}"")),VALUE(REGEXEXTRACT(O$1,""T(\d+)"")),1),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P2" s="86">
        <f>IFERROR(__xludf.DUMMYFUNCTION("LET(
  monthStart,DATE(VALUE(REGEXEXTRACT(P$1,""\d{4}"")),VALUE(REGEXEXTRACT(P$1,""T(\d+)"")),1),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Q2" s="86">
        <f>IFERROR(__xludf.DUMMYFUNCTION("LET(
  monthStart,DATE(VALUE(REGEXEXTRACT(Q$1,""\d{4}"")),VALUE(REGEXEXTRACT(Q$1,""T(\d+)"")),1),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R2" s="86">
        <f>IFERROR(__xludf.DUMMYFUNCTION("LET(
  monthStart,DATE(VALUE(REGEXEXTRACT(R$1,""\d{4}"")),VALUE(REGEXEXTRACT(R$1,""T(\d+)"")),1),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S2" s="86">
        <f>IFERROR(__xludf.DUMMYFUNCTION("LET(
  monthStart,DATE(VALUE(REGEXEXTRACT(S$1,""\d{4}"")),VALUE(REGEXEXTRACT(S$1,""T(\d+)"")),1),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T2" s="86">
        <f>IFERROR(__xludf.DUMMYFUNCTION("LET(
  monthStart,DATE(VALUE(REGEXEXTRACT(T$1,""\d{4}"")),VALUE(REGEXEXTRACT(T$1,""T(\d+)"")),1),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U2" s="86">
        <f>IFERROR(__xludf.DUMMYFUNCTION("LET(
  monthStart,DATE(VALUE(REGEXEXTRACT(U$1,""\d{4}"")),VALUE(REGEXEXTRACT(U$1,""T(\d+)"")),1),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V2" s="86">
        <f>IFERROR(__xludf.DUMMYFUNCTION("LET(
  monthStart,DATE(VALUE(REGEXEXTRACT(V$1,""\d{4}"")),VALUE(REGEXEXTRACT(V$1,""T(\d+)"")),1),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W2" s="86">
        <f>IFERROR(__xludf.DUMMYFUNCTION("LET(
  monthStart,DATE(VALUE(REGEXEXTRACT(W$1,""\d{4}"")),VALUE(REGEXEXTRACT(W$1,""T(\d+)"")),1),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X2" s="86">
        <f>IFERROR(__xludf.DUMMYFUNCTION("LET(
  monthStart,DATE(VALUE(REGEXEXTRACT(X$1,""\d{4}"")),VALUE(REGEXEXTRACT(X$1,""T(\d+)"")),1),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Y2" s="86">
        <f>IFERROR(__xludf.DUMMYFUNCTION("LET(
  monthStart,DATE(VALUE(REGEXEXTRACT(Y$1,""\d{4}"")),VALUE(REGEXEXTRACT(Y$1,""T(\d+)"")),1),
  monthEnd,EOMONTH(monthStart,0),
  actualStart,MAX($D2,monthStart),
  actualEnd,MIN($E2,monthEnd),
  workingDaysInMonth,NETWORKDAYS(monthStart,monthEnd),
  "&amp;"workingDaysOverlap,IF(actualStart&gt;actualEnd,0,NETWORKDAYS(actualStart,actualEnd)),
  IF(workingDaysOverlap=0,"""",$F2*workingDaysOverlap/workingDaysInMonth)
)"),1.0)</f>
        <v>1</v>
      </c>
      <c r="AJ2" s="64"/>
      <c r="AK2" s="64"/>
      <c r="AO2" s="64"/>
      <c r="AP2" s="64"/>
      <c r="AT2" s="64"/>
      <c r="AX2" s="64"/>
      <c r="AY2" s="64"/>
      <c r="AZ2" s="64"/>
      <c r="BA2" s="72"/>
      <c r="BB2" s="67"/>
      <c r="BC2" s="67"/>
      <c r="BD2" s="66"/>
      <c r="BH2" s="64"/>
      <c r="BL2" s="64"/>
      <c r="BM2" s="64"/>
      <c r="BN2" s="64"/>
    </row>
    <row r="3" ht="30.0" customHeight="1">
      <c r="A3" s="81"/>
      <c r="B3" s="61"/>
      <c r="C3" s="83"/>
      <c r="D3" s="84"/>
      <c r="E3" s="84"/>
      <c r="F3" s="86"/>
      <c r="G3" s="86">
        <f>IFERROR(__xludf.DUMMYFUNCTION("LET(
  monthStart,DATE(VALUE(REGEXEXTRACT(G$1,""\d{4}"")),VALUE(REGEXEXTRACT(G$1,""T(\d+)"")),1),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H3" s="86">
        <f>IFERROR(__xludf.DUMMYFUNCTION("LET(
  monthStart,DATE(VALUE(REGEXEXTRACT(H$1,""\d{4}"")),VALUE(REGEXEXTRACT(H$1,""T(\d+)"")),1),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I3" s="86">
        <f>IFERROR(__xludf.DUMMYFUNCTION("LET(
  monthStart,DATE(VALUE(REGEXEXTRACT(I$1,""\d{4}"")),VALUE(REGEXEXTRACT(I$1,""T(\d+)"")),1),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J3" s="86">
        <f>IFERROR(__xludf.DUMMYFUNCTION("LET(
  monthStart,DATE(VALUE(REGEXEXTRACT(J$1,""\d{4}"")),VALUE(REGEXEXTRACT(J$1,""T(\d+)"")),1),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K3" s="86">
        <f>IFERROR(__xludf.DUMMYFUNCTION("LET(
  monthStart,DATE(VALUE(REGEXEXTRACT(K$1,""\d{4}"")),VALUE(REGEXEXTRACT(K$1,""T(\d+)"")),1),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L3" s="86">
        <f>IFERROR(__xludf.DUMMYFUNCTION("LET(
  monthStart,DATE(VALUE(REGEXEXTRACT(L$1,""\d{4}"")),VALUE(REGEXEXTRACT(L$1,""T(\d+)"")),1),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M3" s="86">
        <f>IFERROR(__xludf.DUMMYFUNCTION("LET(
  monthStart,DATE(VALUE(REGEXEXTRACT(M$1,""\d{4}"")),VALUE(REGEXEXTRACT(M$1,""T(\d+)"")),1),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N3" s="86">
        <f>IFERROR(__xludf.DUMMYFUNCTION("LET(
  monthStart,DATE(VALUE(REGEXEXTRACT(N$1,""\d{4}"")),VALUE(REGEXEXTRACT(N$1,""T(\d+)"")),1),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O3" s="86">
        <f>IFERROR(__xludf.DUMMYFUNCTION("LET(
  monthStart,DATE(VALUE(REGEXEXTRACT(O$1,""\d{4}"")),VALUE(REGEXEXTRACT(O$1,""T(\d+)"")),1),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P3" s="86">
        <f>IFERROR(__xludf.DUMMYFUNCTION("LET(
  monthStart,DATE(VALUE(REGEXEXTRACT(P$1,""\d{4}"")),VALUE(REGEXEXTRACT(P$1,""T(\d+)"")),1),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Q3" s="86">
        <f>IFERROR(__xludf.DUMMYFUNCTION("LET(
  monthStart,DATE(VALUE(REGEXEXTRACT(Q$1,""\d{4}"")),VALUE(REGEXEXTRACT(Q$1,""T(\d+)"")),1),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R3" s="86">
        <f>IFERROR(__xludf.DUMMYFUNCTION("LET(
  monthStart,DATE(VALUE(REGEXEXTRACT(R$1,""\d{4}"")),VALUE(REGEXEXTRACT(R$1,""T(\d+)"")),1),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S3" s="86">
        <f>IFERROR(__xludf.DUMMYFUNCTION("LET(
  monthStart,DATE(VALUE(REGEXEXTRACT(S$1,""\d{4}"")),VALUE(REGEXEXTRACT(S$1,""T(\d+)"")),1),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T3" s="86">
        <f>IFERROR(__xludf.DUMMYFUNCTION("LET(
  monthStart,DATE(VALUE(REGEXEXTRACT(T$1,""\d{4}"")),VALUE(REGEXEXTRACT(T$1,""T(\d+)"")),1),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U3" s="86">
        <f>IFERROR(__xludf.DUMMYFUNCTION("LET(
  monthStart,DATE(VALUE(REGEXEXTRACT(U$1,""\d{4}"")),VALUE(REGEXEXTRACT(U$1,""T(\d+)"")),1),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V3" s="86">
        <f>IFERROR(__xludf.DUMMYFUNCTION("LET(
  monthStart,DATE(VALUE(REGEXEXTRACT(V$1,""\d{4}"")),VALUE(REGEXEXTRACT(V$1,""T(\d+)"")),1),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W3" s="86">
        <f>IFERROR(__xludf.DUMMYFUNCTION("LET(
  monthStart,DATE(VALUE(REGEXEXTRACT(W$1,""\d{4}"")),VALUE(REGEXEXTRACT(W$1,""T(\d+)"")),1),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X3" s="86">
        <f>IFERROR(__xludf.DUMMYFUNCTION("LET(
  monthStart,DATE(VALUE(REGEXEXTRACT(X$1,""\d{4}"")),VALUE(REGEXEXTRACT(X$1,""T(\d+)"")),1),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Y3" s="86">
        <f>IFERROR(__xludf.DUMMYFUNCTION("LET(
  monthStart,DATE(VALUE(REGEXEXTRACT(Y$1,""\d{4}"")),VALUE(REGEXEXTRACT(Y$1,""T(\d+)"")),1),
  monthEnd,EOMONTH(monthStart,0),
  actualStart,MAX($D3,monthStart),
  actualEnd,MIN($E3,monthEnd),
  workingDaysInMonth,NETWORKDAYS(monthStart,monthEnd),
  "&amp;"workingDaysOverlap,IF(actualStart&gt;actualEnd,0,NETWORKDAYS(actualStart,actualEnd)),
  IF(workingDaysOverlap=0,"""",$F3*workingDaysOverlap/workingDaysInMonth)
)"),0.0)</f>
        <v>0</v>
      </c>
      <c r="AJ3" s="64"/>
      <c r="AK3" s="64"/>
      <c r="AO3" s="64"/>
      <c r="AP3" s="64"/>
      <c r="AT3" s="64"/>
      <c r="AX3" s="64"/>
      <c r="AY3" s="64"/>
      <c r="AZ3" s="64"/>
      <c r="BA3" s="72"/>
      <c r="BB3" s="67"/>
      <c r="BC3" s="67"/>
      <c r="BD3" s="66"/>
      <c r="BH3" s="64"/>
      <c r="BL3" s="64"/>
      <c r="BM3" s="64"/>
      <c r="BN3" s="64"/>
    </row>
    <row r="4" ht="30.0" customHeight="1">
      <c r="A4" s="81"/>
      <c r="B4" s="61"/>
      <c r="C4" s="83"/>
      <c r="D4" s="84"/>
      <c r="E4" s="84"/>
      <c r="F4" s="86"/>
      <c r="G4" s="86">
        <f>IFERROR(__xludf.DUMMYFUNCTION("LET(
  monthStart,DATE(VALUE(REGEXEXTRACT(G$1,""\d{4}"")),VALUE(REGEXEXTRACT(G$1,""T(\d+)"")),1),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H4" s="86">
        <f>IFERROR(__xludf.DUMMYFUNCTION("LET(
  monthStart,DATE(VALUE(REGEXEXTRACT(H$1,""\d{4}"")),VALUE(REGEXEXTRACT(H$1,""T(\d+)"")),1),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I4" s="86">
        <f>IFERROR(__xludf.DUMMYFUNCTION("LET(
  monthStart,DATE(VALUE(REGEXEXTRACT(I$1,""\d{4}"")),VALUE(REGEXEXTRACT(I$1,""T(\d+)"")),1),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J4" s="86">
        <f>IFERROR(__xludf.DUMMYFUNCTION("LET(
  monthStart,DATE(VALUE(REGEXEXTRACT(J$1,""\d{4}"")),VALUE(REGEXEXTRACT(J$1,""T(\d+)"")),1),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K4" s="86">
        <f>IFERROR(__xludf.DUMMYFUNCTION("LET(
  monthStart,DATE(VALUE(REGEXEXTRACT(K$1,""\d{4}"")),VALUE(REGEXEXTRACT(K$1,""T(\d+)"")),1),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L4" s="86">
        <f>IFERROR(__xludf.DUMMYFUNCTION("LET(
  monthStart,DATE(VALUE(REGEXEXTRACT(L$1,""\d{4}"")),VALUE(REGEXEXTRACT(L$1,""T(\d+)"")),1),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M4" s="86">
        <f>IFERROR(__xludf.DUMMYFUNCTION("LET(
  monthStart,DATE(VALUE(REGEXEXTRACT(M$1,""\d{4}"")),VALUE(REGEXEXTRACT(M$1,""T(\d+)"")),1),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N4" s="86">
        <f>IFERROR(__xludf.DUMMYFUNCTION("LET(
  monthStart,DATE(VALUE(REGEXEXTRACT(N$1,""\d{4}"")),VALUE(REGEXEXTRACT(N$1,""T(\d+)"")),1),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O4" s="86">
        <f>IFERROR(__xludf.DUMMYFUNCTION("LET(
  monthStart,DATE(VALUE(REGEXEXTRACT(O$1,""\d{4}"")),VALUE(REGEXEXTRACT(O$1,""T(\d+)"")),1),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P4" s="86">
        <f>IFERROR(__xludf.DUMMYFUNCTION("LET(
  monthStart,DATE(VALUE(REGEXEXTRACT(P$1,""\d{4}"")),VALUE(REGEXEXTRACT(P$1,""T(\d+)"")),1),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Q4" s="86">
        <f>IFERROR(__xludf.DUMMYFUNCTION("LET(
  monthStart,DATE(VALUE(REGEXEXTRACT(Q$1,""\d{4}"")),VALUE(REGEXEXTRACT(Q$1,""T(\d+)"")),1),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R4" s="86">
        <f>IFERROR(__xludf.DUMMYFUNCTION("LET(
  monthStart,DATE(VALUE(REGEXEXTRACT(R$1,""\d{4}"")),VALUE(REGEXEXTRACT(R$1,""T(\d+)"")),1),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S4" s="86">
        <f>IFERROR(__xludf.DUMMYFUNCTION("LET(
  monthStart,DATE(VALUE(REGEXEXTRACT(S$1,""\d{4}"")),VALUE(REGEXEXTRACT(S$1,""T(\d+)"")),1),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T4" s="86">
        <f>IFERROR(__xludf.DUMMYFUNCTION("LET(
  monthStart,DATE(VALUE(REGEXEXTRACT(T$1,""\d{4}"")),VALUE(REGEXEXTRACT(T$1,""T(\d+)"")),1),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U4" s="86">
        <f>IFERROR(__xludf.DUMMYFUNCTION("LET(
  monthStart,DATE(VALUE(REGEXEXTRACT(U$1,""\d{4}"")),VALUE(REGEXEXTRACT(U$1,""T(\d+)"")),1),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V4" s="86">
        <f>IFERROR(__xludf.DUMMYFUNCTION("LET(
  monthStart,DATE(VALUE(REGEXEXTRACT(V$1,""\d{4}"")),VALUE(REGEXEXTRACT(V$1,""T(\d+)"")),1),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W4" s="86">
        <f>IFERROR(__xludf.DUMMYFUNCTION("LET(
  monthStart,DATE(VALUE(REGEXEXTRACT(W$1,""\d{4}"")),VALUE(REGEXEXTRACT(W$1,""T(\d+)"")),1),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X4" s="86">
        <f>IFERROR(__xludf.DUMMYFUNCTION("LET(
  monthStart,DATE(VALUE(REGEXEXTRACT(X$1,""\d{4}"")),VALUE(REGEXEXTRACT(X$1,""T(\d+)"")),1),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Y4" s="86">
        <f>IFERROR(__xludf.DUMMYFUNCTION("LET(
  monthStart,DATE(VALUE(REGEXEXTRACT(Y$1,""\d{4}"")),VALUE(REGEXEXTRACT(Y$1,""T(\d+)"")),1),
  monthEnd,EOMONTH(monthStart,0),
  actualStart,MAX($D4,monthStart),
  actualEnd,MIN($E4,monthEnd),
  workingDaysInMonth,NETWORKDAYS(monthStart,monthEnd),
  "&amp;"workingDaysOverlap,IF(actualStart&gt;actualEnd,0,NETWORKDAYS(actualStart,actualEnd)),
  IF(workingDaysOverlap=0,"""",$F4*workingDaysOverlap/workingDaysInMonth)
)"),0.0)</f>
        <v>0</v>
      </c>
      <c r="AJ4" s="64"/>
      <c r="AK4" s="64"/>
      <c r="AO4" s="64"/>
      <c r="AP4" s="64"/>
      <c r="AT4" s="64"/>
      <c r="AX4" s="64"/>
      <c r="AY4" s="64"/>
      <c r="AZ4" s="64"/>
      <c r="BA4" s="72"/>
      <c r="BB4" s="67"/>
      <c r="BC4" s="67"/>
      <c r="BD4" s="66"/>
      <c r="BH4" s="64"/>
      <c r="BL4" s="64"/>
      <c r="BM4" s="64"/>
      <c r="BN4" s="64"/>
    </row>
    <row r="5" ht="30.0" customHeight="1">
      <c r="A5" s="81"/>
      <c r="B5" s="61"/>
      <c r="C5" s="83"/>
      <c r="D5" s="84"/>
      <c r="E5" s="84"/>
      <c r="F5" s="85"/>
      <c r="G5" s="86">
        <f>IFERROR(__xludf.DUMMYFUNCTION("LET(
  monthStart,DATE(VALUE(REGEXEXTRACT(G$1,""\d{4}"")),VALUE(REGEXEXTRACT(G$1,""T(\d+)"")),1),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H5" s="86">
        <f>IFERROR(__xludf.DUMMYFUNCTION("LET(
  monthStart,DATE(VALUE(REGEXEXTRACT(H$1,""\d{4}"")),VALUE(REGEXEXTRACT(H$1,""T(\d+)"")),1),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I5" s="86">
        <f>IFERROR(__xludf.DUMMYFUNCTION("LET(
  monthStart,DATE(VALUE(REGEXEXTRACT(I$1,""\d{4}"")),VALUE(REGEXEXTRACT(I$1,""T(\d+)"")),1),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J5" s="86">
        <f>IFERROR(__xludf.DUMMYFUNCTION("LET(
  monthStart,DATE(VALUE(REGEXEXTRACT(J$1,""\d{4}"")),VALUE(REGEXEXTRACT(J$1,""T(\d+)"")),1),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K5" s="86">
        <f>IFERROR(__xludf.DUMMYFUNCTION("LET(
  monthStart,DATE(VALUE(REGEXEXTRACT(K$1,""\d{4}"")),VALUE(REGEXEXTRACT(K$1,""T(\d+)"")),1),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L5" s="86">
        <f>IFERROR(__xludf.DUMMYFUNCTION("LET(
  monthStart,DATE(VALUE(REGEXEXTRACT(L$1,""\d{4}"")),VALUE(REGEXEXTRACT(L$1,""T(\d+)"")),1),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M5" s="86">
        <f>IFERROR(__xludf.DUMMYFUNCTION("LET(
  monthStart,DATE(VALUE(REGEXEXTRACT(M$1,""\d{4}"")),VALUE(REGEXEXTRACT(M$1,""T(\d+)"")),1),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N5" s="86">
        <f>IFERROR(__xludf.DUMMYFUNCTION("LET(
  monthStart,DATE(VALUE(REGEXEXTRACT(N$1,""\d{4}"")),VALUE(REGEXEXTRACT(N$1,""T(\d+)"")),1),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O5" s="86">
        <f>IFERROR(__xludf.DUMMYFUNCTION("LET(
  monthStart,DATE(VALUE(REGEXEXTRACT(O$1,""\d{4}"")),VALUE(REGEXEXTRACT(O$1,""T(\d+)"")),1),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P5" s="86">
        <f>IFERROR(__xludf.DUMMYFUNCTION("LET(
  monthStart,DATE(VALUE(REGEXEXTRACT(P$1,""\d{4}"")),VALUE(REGEXEXTRACT(P$1,""T(\d+)"")),1),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Q5" s="86">
        <f>IFERROR(__xludf.DUMMYFUNCTION("LET(
  monthStart,DATE(VALUE(REGEXEXTRACT(Q$1,""\d{4}"")),VALUE(REGEXEXTRACT(Q$1,""T(\d+)"")),1),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R5" s="86">
        <f>IFERROR(__xludf.DUMMYFUNCTION("LET(
  monthStart,DATE(VALUE(REGEXEXTRACT(R$1,""\d{4}"")),VALUE(REGEXEXTRACT(R$1,""T(\d+)"")),1),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S5" s="86">
        <f>IFERROR(__xludf.DUMMYFUNCTION("LET(
  monthStart,DATE(VALUE(REGEXEXTRACT(S$1,""\d{4}"")),VALUE(REGEXEXTRACT(S$1,""T(\d+)"")),1),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T5" s="86">
        <f>IFERROR(__xludf.DUMMYFUNCTION("LET(
  monthStart,DATE(VALUE(REGEXEXTRACT(T$1,""\d{4}"")),VALUE(REGEXEXTRACT(T$1,""T(\d+)"")),1),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U5" s="86">
        <f>IFERROR(__xludf.DUMMYFUNCTION("LET(
  monthStart,DATE(VALUE(REGEXEXTRACT(U$1,""\d{4}"")),VALUE(REGEXEXTRACT(U$1,""T(\d+)"")),1),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V5" s="86">
        <f>IFERROR(__xludf.DUMMYFUNCTION("LET(
  monthStart,DATE(VALUE(REGEXEXTRACT(V$1,""\d{4}"")),VALUE(REGEXEXTRACT(V$1,""T(\d+)"")),1),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W5" s="86">
        <f>IFERROR(__xludf.DUMMYFUNCTION("LET(
  monthStart,DATE(VALUE(REGEXEXTRACT(W$1,""\d{4}"")),VALUE(REGEXEXTRACT(W$1,""T(\d+)"")),1),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X5" s="86">
        <f>IFERROR(__xludf.DUMMYFUNCTION("LET(
  monthStart,DATE(VALUE(REGEXEXTRACT(X$1,""\d{4}"")),VALUE(REGEXEXTRACT(X$1,""T(\d+)"")),1),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Y5" s="86">
        <f>IFERROR(__xludf.DUMMYFUNCTION("LET(
  monthStart,DATE(VALUE(REGEXEXTRACT(Y$1,""\d{4}"")),VALUE(REGEXEXTRACT(Y$1,""T(\d+)"")),1),
  monthEnd,EOMONTH(monthStart,0),
  actualStart,MAX($D5,monthStart),
  actualEnd,MIN($E5,monthEnd),
  workingDaysInMonth,NETWORKDAYS(monthStart,monthEnd),
  "&amp;"workingDaysOverlap,IF(actualStart&gt;actualEnd,0,NETWORKDAYS(actualStart,actualEnd)),
  IF(workingDaysOverlap=0,"""",$F5*workingDaysOverlap/workingDaysInMonth)
)"),0.0)</f>
        <v>0</v>
      </c>
      <c r="AJ5" s="64"/>
      <c r="AK5" s="64"/>
      <c r="AO5" s="64"/>
      <c r="AP5" s="64"/>
      <c r="AT5" s="64"/>
      <c r="AX5" s="64"/>
      <c r="AY5" s="64"/>
      <c r="AZ5" s="64"/>
      <c r="BA5" s="72"/>
      <c r="BB5" s="67"/>
      <c r="BC5" s="67"/>
      <c r="BD5" s="66"/>
      <c r="BH5" s="64"/>
      <c r="BL5" s="64"/>
      <c r="BM5" s="64"/>
      <c r="BN5" s="64"/>
    </row>
    <row r="6" ht="30.0" customHeight="1">
      <c r="A6" s="81"/>
      <c r="B6" s="61"/>
      <c r="C6" s="83"/>
      <c r="D6" s="84"/>
      <c r="E6" s="84"/>
      <c r="F6" s="86"/>
      <c r="G6" s="86">
        <f>IFERROR(__xludf.DUMMYFUNCTION("LET(
  monthStart,DATE(VALUE(REGEXEXTRACT(G$1,""\d{4}"")),VALUE(REGEXEXTRACT(G$1,""T(\d+)"")),1),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H6" s="86">
        <f>IFERROR(__xludf.DUMMYFUNCTION("LET(
  monthStart,DATE(VALUE(REGEXEXTRACT(H$1,""\d{4}"")),VALUE(REGEXEXTRACT(H$1,""T(\d+)"")),1),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I6" s="86">
        <f>IFERROR(__xludf.DUMMYFUNCTION("LET(
  monthStart,DATE(VALUE(REGEXEXTRACT(I$1,""\d{4}"")),VALUE(REGEXEXTRACT(I$1,""T(\d+)"")),1),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J6" s="86">
        <f>IFERROR(__xludf.DUMMYFUNCTION("LET(
  monthStart,DATE(VALUE(REGEXEXTRACT(J$1,""\d{4}"")),VALUE(REGEXEXTRACT(J$1,""T(\d+)"")),1),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K6" s="86">
        <f>IFERROR(__xludf.DUMMYFUNCTION("LET(
  monthStart,DATE(VALUE(REGEXEXTRACT(K$1,""\d{4}"")),VALUE(REGEXEXTRACT(K$1,""T(\d+)"")),1),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L6" s="86">
        <f>IFERROR(__xludf.DUMMYFUNCTION("LET(
  monthStart,DATE(VALUE(REGEXEXTRACT(L$1,""\d{4}"")),VALUE(REGEXEXTRACT(L$1,""T(\d+)"")),1),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M6" s="86">
        <f>IFERROR(__xludf.DUMMYFUNCTION("LET(
  monthStart,DATE(VALUE(REGEXEXTRACT(M$1,""\d{4}"")),VALUE(REGEXEXTRACT(M$1,""T(\d+)"")),1),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N6" s="86">
        <f>IFERROR(__xludf.DUMMYFUNCTION("LET(
  monthStart,DATE(VALUE(REGEXEXTRACT(N$1,""\d{4}"")),VALUE(REGEXEXTRACT(N$1,""T(\d+)"")),1),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O6" s="86">
        <f>IFERROR(__xludf.DUMMYFUNCTION("LET(
  monthStart,DATE(VALUE(REGEXEXTRACT(O$1,""\d{4}"")),VALUE(REGEXEXTRACT(O$1,""T(\d+)"")),1),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P6" s="86">
        <f>IFERROR(__xludf.DUMMYFUNCTION("LET(
  monthStart,DATE(VALUE(REGEXEXTRACT(P$1,""\d{4}"")),VALUE(REGEXEXTRACT(P$1,""T(\d+)"")),1),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Q6" s="86">
        <f>IFERROR(__xludf.DUMMYFUNCTION("LET(
  monthStart,DATE(VALUE(REGEXEXTRACT(Q$1,""\d{4}"")),VALUE(REGEXEXTRACT(Q$1,""T(\d+)"")),1),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R6" s="86">
        <f>IFERROR(__xludf.DUMMYFUNCTION("LET(
  monthStart,DATE(VALUE(REGEXEXTRACT(R$1,""\d{4}"")),VALUE(REGEXEXTRACT(R$1,""T(\d+)"")),1),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S6" s="86">
        <f>IFERROR(__xludf.DUMMYFUNCTION("LET(
  monthStart,DATE(VALUE(REGEXEXTRACT(S$1,""\d{4}"")),VALUE(REGEXEXTRACT(S$1,""T(\d+)"")),1),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T6" s="86">
        <f>IFERROR(__xludf.DUMMYFUNCTION("LET(
  monthStart,DATE(VALUE(REGEXEXTRACT(T$1,""\d{4}"")),VALUE(REGEXEXTRACT(T$1,""T(\d+)"")),1),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U6" s="86">
        <f>IFERROR(__xludf.DUMMYFUNCTION("LET(
  monthStart,DATE(VALUE(REGEXEXTRACT(U$1,""\d{4}"")),VALUE(REGEXEXTRACT(U$1,""T(\d+)"")),1),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V6" s="86">
        <f>IFERROR(__xludf.DUMMYFUNCTION("LET(
  monthStart,DATE(VALUE(REGEXEXTRACT(V$1,""\d{4}"")),VALUE(REGEXEXTRACT(V$1,""T(\d+)"")),1),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W6" s="86">
        <f>IFERROR(__xludf.DUMMYFUNCTION("LET(
  monthStart,DATE(VALUE(REGEXEXTRACT(W$1,""\d{4}"")),VALUE(REGEXEXTRACT(W$1,""T(\d+)"")),1),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X6" s="86">
        <f>IFERROR(__xludf.DUMMYFUNCTION("LET(
  monthStart,DATE(VALUE(REGEXEXTRACT(X$1,""\d{4}"")),VALUE(REGEXEXTRACT(X$1,""T(\d+)"")),1),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Y6" s="86">
        <f>IFERROR(__xludf.DUMMYFUNCTION("LET(
  monthStart,DATE(VALUE(REGEXEXTRACT(Y$1,""\d{4}"")),VALUE(REGEXEXTRACT(Y$1,""T(\d+)"")),1),
  monthEnd,EOMONTH(monthStart,0),
  actualStart,MAX($D6,monthStart),
  actualEnd,MIN($E6,monthEnd),
  workingDaysInMonth,NETWORKDAYS(monthStart,monthEnd),
  "&amp;"workingDaysOverlap,IF(actualStart&gt;actualEnd,0,NETWORKDAYS(actualStart,actualEnd)),
  IF(workingDaysOverlap=0,"""",$F6*workingDaysOverlap/workingDaysInMonth)
)"),0.0)</f>
        <v>0</v>
      </c>
      <c r="AJ6" s="64"/>
      <c r="AK6" s="64"/>
      <c r="AO6" s="64"/>
      <c r="AP6" s="64"/>
      <c r="AT6" s="64"/>
      <c r="AX6" s="64"/>
      <c r="AY6" s="64"/>
      <c r="AZ6" s="64"/>
      <c r="BA6" s="72"/>
      <c r="BB6" s="67"/>
      <c r="BC6" s="67"/>
      <c r="BD6" s="66"/>
      <c r="BH6" s="64"/>
      <c r="BL6" s="64"/>
      <c r="BM6" s="64"/>
      <c r="BN6" s="64"/>
    </row>
    <row r="7" ht="30.0" customHeight="1">
      <c r="A7" s="81"/>
      <c r="B7" s="61"/>
      <c r="C7" s="83"/>
      <c r="D7" s="84"/>
      <c r="E7" s="84"/>
      <c r="F7" s="86"/>
      <c r="G7" s="86">
        <f>IFERROR(__xludf.DUMMYFUNCTION("LET(
  monthStart,DATE(VALUE(REGEXEXTRACT(G$1,""\d{4}"")),VALUE(REGEXEXTRACT(G$1,""T(\d+)"")),1),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H7" s="86">
        <f>IFERROR(__xludf.DUMMYFUNCTION("LET(
  monthStart,DATE(VALUE(REGEXEXTRACT(H$1,""\d{4}"")),VALUE(REGEXEXTRACT(H$1,""T(\d+)"")),1),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I7" s="86">
        <f>IFERROR(__xludf.DUMMYFUNCTION("LET(
  monthStart,DATE(VALUE(REGEXEXTRACT(I$1,""\d{4}"")),VALUE(REGEXEXTRACT(I$1,""T(\d+)"")),1),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J7" s="86">
        <f>IFERROR(__xludf.DUMMYFUNCTION("LET(
  monthStart,DATE(VALUE(REGEXEXTRACT(J$1,""\d{4}"")),VALUE(REGEXEXTRACT(J$1,""T(\d+)"")),1),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K7" s="86">
        <f>IFERROR(__xludf.DUMMYFUNCTION("LET(
  monthStart,DATE(VALUE(REGEXEXTRACT(K$1,""\d{4}"")),VALUE(REGEXEXTRACT(K$1,""T(\d+)"")),1),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L7" s="86">
        <f>IFERROR(__xludf.DUMMYFUNCTION("LET(
  monthStart,DATE(VALUE(REGEXEXTRACT(L$1,""\d{4}"")),VALUE(REGEXEXTRACT(L$1,""T(\d+)"")),1),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M7" s="86">
        <f>IFERROR(__xludf.DUMMYFUNCTION("LET(
  monthStart,DATE(VALUE(REGEXEXTRACT(M$1,""\d{4}"")),VALUE(REGEXEXTRACT(M$1,""T(\d+)"")),1),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N7" s="86">
        <f>IFERROR(__xludf.DUMMYFUNCTION("LET(
  monthStart,DATE(VALUE(REGEXEXTRACT(N$1,""\d{4}"")),VALUE(REGEXEXTRACT(N$1,""T(\d+)"")),1),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O7" s="86">
        <f>IFERROR(__xludf.DUMMYFUNCTION("LET(
  monthStart,DATE(VALUE(REGEXEXTRACT(O$1,""\d{4}"")),VALUE(REGEXEXTRACT(O$1,""T(\d+)"")),1),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P7" s="86">
        <f>IFERROR(__xludf.DUMMYFUNCTION("LET(
  monthStart,DATE(VALUE(REGEXEXTRACT(P$1,""\d{4}"")),VALUE(REGEXEXTRACT(P$1,""T(\d+)"")),1),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Q7" s="86">
        <f>IFERROR(__xludf.DUMMYFUNCTION("LET(
  monthStart,DATE(VALUE(REGEXEXTRACT(Q$1,""\d{4}"")),VALUE(REGEXEXTRACT(Q$1,""T(\d+)"")),1),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R7" s="86">
        <f>IFERROR(__xludf.DUMMYFUNCTION("LET(
  monthStart,DATE(VALUE(REGEXEXTRACT(R$1,""\d{4}"")),VALUE(REGEXEXTRACT(R$1,""T(\d+)"")),1),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S7" s="86">
        <f>IFERROR(__xludf.DUMMYFUNCTION("LET(
  monthStart,DATE(VALUE(REGEXEXTRACT(S$1,""\d{4}"")),VALUE(REGEXEXTRACT(S$1,""T(\d+)"")),1),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T7" s="86">
        <f>IFERROR(__xludf.DUMMYFUNCTION("LET(
  monthStart,DATE(VALUE(REGEXEXTRACT(T$1,""\d{4}"")),VALUE(REGEXEXTRACT(T$1,""T(\d+)"")),1),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U7" s="86">
        <f>IFERROR(__xludf.DUMMYFUNCTION("LET(
  monthStart,DATE(VALUE(REGEXEXTRACT(U$1,""\d{4}"")),VALUE(REGEXEXTRACT(U$1,""T(\d+)"")),1),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V7" s="86">
        <f>IFERROR(__xludf.DUMMYFUNCTION("LET(
  monthStart,DATE(VALUE(REGEXEXTRACT(V$1,""\d{4}"")),VALUE(REGEXEXTRACT(V$1,""T(\d+)"")),1),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W7" s="86">
        <f>IFERROR(__xludf.DUMMYFUNCTION("LET(
  monthStart,DATE(VALUE(REGEXEXTRACT(W$1,""\d{4}"")),VALUE(REGEXEXTRACT(W$1,""T(\d+)"")),1),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X7" s="86">
        <f>IFERROR(__xludf.DUMMYFUNCTION("LET(
  monthStart,DATE(VALUE(REGEXEXTRACT(X$1,""\d{4}"")),VALUE(REGEXEXTRACT(X$1,""T(\d+)"")),1),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Y7" s="86">
        <f>IFERROR(__xludf.DUMMYFUNCTION("LET(
  monthStart,DATE(VALUE(REGEXEXTRACT(Y$1,""\d{4}"")),VALUE(REGEXEXTRACT(Y$1,""T(\d+)"")),1),
  monthEnd,EOMONTH(monthStart,0),
  actualStart,MAX($D7,monthStart),
  actualEnd,MIN($E7,monthEnd),
  workingDaysInMonth,NETWORKDAYS(monthStart,monthEnd),
  "&amp;"workingDaysOverlap,IF(actualStart&gt;actualEnd,0,NETWORKDAYS(actualStart,actualEnd)),
  IF(workingDaysOverlap=0,"""",$F7*workingDaysOverlap/workingDaysInMonth)
)"),0.0)</f>
        <v>0</v>
      </c>
      <c r="AJ7" s="64"/>
      <c r="AK7" s="64"/>
      <c r="AO7" s="64"/>
      <c r="AP7" s="64"/>
      <c r="AT7" s="64"/>
      <c r="AX7" s="64"/>
      <c r="AY7" s="64"/>
      <c r="AZ7" s="64"/>
      <c r="BA7" s="72"/>
      <c r="BB7" s="67"/>
      <c r="BC7" s="67"/>
      <c r="BD7" s="66"/>
      <c r="BH7" s="64"/>
      <c r="BI7" s="64"/>
      <c r="BJ7" s="64"/>
      <c r="BK7" s="64"/>
      <c r="BL7" s="64"/>
      <c r="BM7" s="64"/>
      <c r="BN7" s="64"/>
    </row>
    <row r="8" ht="30.0" customHeight="1">
      <c r="A8" s="81"/>
      <c r="B8" s="61"/>
      <c r="C8" s="83"/>
      <c r="D8" s="84"/>
      <c r="E8" s="84"/>
      <c r="F8" s="86"/>
      <c r="G8" s="86">
        <f>IFERROR(__xludf.DUMMYFUNCTION("LET(
  monthStart,DATE(VALUE(REGEXEXTRACT(G$1,""\d{4}"")),VALUE(REGEXEXTRACT(G$1,""T(\d+)"")),1),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H8" s="86">
        <f>IFERROR(__xludf.DUMMYFUNCTION("LET(
  monthStart,DATE(VALUE(REGEXEXTRACT(H$1,""\d{4}"")),VALUE(REGEXEXTRACT(H$1,""T(\d+)"")),1),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I8" s="86">
        <f>IFERROR(__xludf.DUMMYFUNCTION("LET(
  monthStart,DATE(VALUE(REGEXEXTRACT(I$1,""\d{4}"")),VALUE(REGEXEXTRACT(I$1,""T(\d+)"")),1),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J8" s="86">
        <f>IFERROR(__xludf.DUMMYFUNCTION("LET(
  monthStart,DATE(VALUE(REGEXEXTRACT(J$1,""\d{4}"")),VALUE(REGEXEXTRACT(J$1,""T(\d+)"")),1),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K8" s="86">
        <f>IFERROR(__xludf.DUMMYFUNCTION("LET(
  monthStart,DATE(VALUE(REGEXEXTRACT(K$1,""\d{4}"")),VALUE(REGEXEXTRACT(K$1,""T(\d+)"")),1),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L8" s="86">
        <f>IFERROR(__xludf.DUMMYFUNCTION("LET(
  monthStart,DATE(VALUE(REGEXEXTRACT(L$1,""\d{4}"")),VALUE(REGEXEXTRACT(L$1,""T(\d+)"")),1),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M8" s="86">
        <f>IFERROR(__xludf.DUMMYFUNCTION("LET(
  monthStart,DATE(VALUE(REGEXEXTRACT(M$1,""\d{4}"")),VALUE(REGEXEXTRACT(M$1,""T(\d+)"")),1),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N8" s="86">
        <f>IFERROR(__xludf.DUMMYFUNCTION("LET(
  monthStart,DATE(VALUE(REGEXEXTRACT(N$1,""\d{4}"")),VALUE(REGEXEXTRACT(N$1,""T(\d+)"")),1),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O8" s="86">
        <f>IFERROR(__xludf.DUMMYFUNCTION("LET(
  monthStart,DATE(VALUE(REGEXEXTRACT(O$1,""\d{4}"")),VALUE(REGEXEXTRACT(O$1,""T(\d+)"")),1),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P8" s="86">
        <f>IFERROR(__xludf.DUMMYFUNCTION("LET(
  monthStart,DATE(VALUE(REGEXEXTRACT(P$1,""\d{4}"")),VALUE(REGEXEXTRACT(P$1,""T(\d+)"")),1),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Q8" s="86">
        <f>IFERROR(__xludf.DUMMYFUNCTION("LET(
  monthStart,DATE(VALUE(REGEXEXTRACT(Q$1,""\d{4}"")),VALUE(REGEXEXTRACT(Q$1,""T(\d+)"")),1),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R8" s="86">
        <f>IFERROR(__xludf.DUMMYFUNCTION("LET(
  monthStart,DATE(VALUE(REGEXEXTRACT(R$1,""\d{4}"")),VALUE(REGEXEXTRACT(R$1,""T(\d+)"")),1),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S8" s="86">
        <f>IFERROR(__xludf.DUMMYFUNCTION("LET(
  monthStart,DATE(VALUE(REGEXEXTRACT(S$1,""\d{4}"")),VALUE(REGEXEXTRACT(S$1,""T(\d+)"")),1),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T8" s="86">
        <f>IFERROR(__xludf.DUMMYFUNCTION("LET(
  monthStart,DATE(VALUE(REGEXEXTRACT(T$1,""\d{4}"")),VALUE(REGEXEXTRACT(T$1,""T(\d+)"")),1),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U8" s="86">
        <f>IFERROR(__xludf.DUMMYFUNCTION("LET(
  monthStart,DATE(VALUE(REGEXEXTRACT(U$1,""\d{4}"")),VALUE(REGEXEXTRACT(U$1,""T(\d+)"")),1),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V8" s="86">
        <f>IFERROR(__xludf.DUMMYFUNCTION("LET(
  monthStart,DATE(VALUE(REGEXEXTRACT(V$1,""\d{4}"")),VALUE(REGEXEXTRACT(V$1,""T(\d+)"")),1),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W8" s="86">
        <f>IFERROR(__xludf.DUMMYFUNCTION("LET(
  monthStart,DATE(VALUE(REGEXEXTRACT(W$1,""\d{4}"")),VALUE(REGEXEXTRACT(W$1,""T(\d+)"")),1),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X8" s="86">
        <f>IFERROR(__xludf.DUMMYFUNCTION("LET(
  monthStart,DATE(VALUE(REGEXEXTRACT(X$1,""\d{4}"")),VALUE(REGEXEXTRACT(X$1,""T(\d+)"")),1),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Y8" s="86">
        <f>IFERROR(__xludf.DUMMYFUNCTION("LET(
  monthStart,DATE(VALUE(REGEXEXTRACT(Y$1,""\d{4}"")),VALUE(REGEXEXTRACT(Y$1,""T(\d+)"")),1),
  monthEnd,EOMONTH(monthStart,0),
  actualStart,MAX($D8,monthStart),
  actualEnd,MIN($E8,monthEnd),
  workingDaysInMonth,NETWORKDAYS(monthStart,monthEnd),
  "&amp;"workingDaysOverlap,IF(actualStart&gt;actualEnd,0,NETWORKDAYS(actualStart,actualEnd)),
  IF(workingDaysOverlap=0,"""",$F8*workingDaysOverlap/workingDaysInMonth)
)"),0.0)</f>
        <v>0</v>
      </c>
      <c r="AJ8" s="64"/>
      <c r="AK8" s="64"/>
      <c r="AO8" s="64"/>
      <c r="AP8" s="64"/>
      <c r="AT8" s="64"/>
      <c r="AX8" s="64"/>
      <c r="AY8" s="64"/>
      <c r="AZ8" s="64"/>
      <c r="BA8" s="72"/>
      <c r="BB8" s="67"/>
      <c r="BC8" s="67"/>
      <c r="BD8" s="66"/>
      <c r="BH8" s="64"/>
      <c r="BI8" s="64"/>
      <c r="BJ8" s="64"/>
      <c r="BK8" s="64"/>
      <c r="BL8" s="64"/>
      <c r="BM8" s="64"/>
      <c r="BN8" s="64"/>
    </row>
    <row r="9" ht="30.0" customHeight="1">
      <c r="A9" s="81"/>
      <c r="B9" s="61"/>
      <c r="C9" s="83"/>
      <c r="D9" s="84"/>
      <c r="E9" s="84"/>
      <c r="F9" s="86"/>
      <c r="G9" s="86">
        <f>IFERROR(__xludf.DUMMYFUNCTION("LET(
  monthStart,DATE(VALUE(REGEXEXTRACT(G$1,""\d{4}"")),VALUE(REGEXEXTRACT(G$1,""T(\d+)"")),1),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H9" s="86">
        <f>IFERROR(__xludf.DUMMYFUNCTION("LET(
  monthStart,DATE(VALUE(REGEXEXTRACT(H$1,""\d{4}"")),VALUE(REGEXEXTRACT(H$1,""T(\d+)"")),1),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I9" s="86">
        <f>IFERROR(__xludf.DUMMYFUNCTION("LET(
  monthStart,DATE(VALUE(REGEXEXTRACT(I$1,""\d{4}"")),VALUE(REGEXEXTRACT(I$1,""T(\d+)"")),1),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J9" s="86">
        <f>IFERROR(__xludf.DUMMYFUNCTION("LET(
  monthStart,DATE(VALUE(REGEXEXTRACT(J$1,""\d{4}"")),VALUE(REGEXEXTRACT(J$1,""T(\d+)"")),1),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K9" s="86">
        <f>IFERROR(__xludf.DUMMYFUNCTION("LET(
  monthStart,DATE(VALUE(REGEXEXTRACT(K$1,""\d{4}"")),VALUE(REGEXEXTRACT(K$1,""T(\d+)"")),1),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L9" s="86">
        <f>IFERROR(__xludf.DUMMYFUNCTION("LET(
  monthStart,DATE(VALUE(REGEXEXTRACT(L$1,""\d{4}"")),VALUE(REGEXEXTRACT(L$1,""T(\d+)"")),1),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M9" s="86">
        <f>IFERROR(__xludf.DUMMYFUNCTION("LET(
  monthStart,DATE(VALUE(REGEXEXTRACT(M$1,""\d{4}"")),VALUE(REGEXEXTRACT(M$1,""T(\d+)"")),1),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N9" s="86">
        <f>IFERROR(__xludf.DUMMYFUNCTION("LET(
  monthStart,DATE(VALUE(REGEXEXTRACT(N$1,""\d{4}"")),VALUE(REGEXEXTRACT(N$1,""T(\d+)"")),1),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O9" s="86">
        <f>IFERROR(__xludf.DUMMYFUNCTION("LET(
  monthStart,DATE(VALUE(REGEXEXTRACT(O$1,""\d{4}"")),VALUE(REGEXEXTRACT(O$1,""T(\d+)"")),1),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P9" s="86">
        <f>IFERROR(__xludf.DUMMYFUNCTION("LET(
  monthStart,DATE(VALUE(REGEXEXTRACT(P$1,""\d{4}"")),VALUE(REGEXEXTRACT(P$1,""T(\d+)"")),1),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Q9" s="86">
        <f>IFERROR(__xludf.DUMMYFUNCTION("LET(
  monthStart,DATE(VALUE(REGEXEXTRACT(Q$1,""\d{4}"")),VALUE(REGEXEXTRACT(Q$1,""T(\d+)"")),1),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R9" s="86">
        <f>IFERROR(__xludf.DUMMYFUNCTION("LET(
  monthStart,DATE(VALUE(REGEXEXTRACT(R$1,""\d{4}"")),VALUE(REGEXEXTRACT(R$1,""T(\d+)"")),1),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S9" s="86">
        <f>IFERROR(__xludf.DUMMYFUNCTION("LET(
  monthStart,DATE(VALUE(REGEXEXTRACT(S$1,""\d{4}"")),VALUE(REGEXEXTRACT(S$1,""T(\d+)"")),1),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T9" s="86">
        <f>IFERROR(__xludf.DUMMYFUNCTION("LET(
  monthStart,DATE(VALUE(REGEXEXTRACT(T$1,""\d{4}"")),VALUE(REGEXEXTRACT(T$1,""T(\d+)"")),1),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U9" s="86">
        <f>IFERROR(__xludf.DUMMYFUNCTION("LET(
  monthStart,DATE(VALUE(REGEXEXTRACT(U$1,""\d{4}"")),VALUE(REGEXEXTRACT(U$1,""T(\d+)"")),1),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V9" s="86">
        <f>IFERROR(__xludf.DUMMYFUNCTION("LET(
  monthStart,DATE(VALUE(REGEXEXTRACT(V$1,""\d{4}"")),VALUE(REGEXEXTRACT(V$1,""T(\d+)"")),1),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W9" s="86">
        <f>IFERROR(__xludf.DUMMYFUNCTION("LET(
  monthStart,DATE(VALUE(REGEXEXTRACT(W$1,""\d{4}"")),VALUE(REGEXEXTRACT(W$1,""T(\d+)"")),1),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X9" s="86">
        <f>IFERROR(__xludf.DUMMYFUNCTION("LET(
  monthStart,DATE(VALUE(REGEXEXTRACT(X$1,""\d{4}"")),VALUE(REGEXEXTRACT(X$1,""T(\d+)"")),1),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Y9" s="86">
        <f>IFERROR(__xludf.DUMMYFUNCTION("LET(
  monthStart,DATE(VALUE(REGEXEXTRACT(Y$1,""\d{4}"")),VALUE(REGEXEXTRACT(Y$1,""T(\d+)"")),1),
  monthEnd,EOMONTH(monthStart,0),
  actualStart,MAX($D9,monthStart),
  actualEnd,MIN($E9,monthEnd),
  workingDaysInMonth,NETWORKDAYS(monthStart,monthEnd),
  "&amp;"workingDaysOverlap,IF(actualStart&gt;actualEnd,0,NETWORKDAYS(actualStart,actualEnd)),
  IF(workingDaysOverlap=0,"""",$F9*workingDaysOverlap/workingDaysInMonth)
)"),0.0)</f>
        <v>0</v>
      </c>
      <c r="AJ9" s="64"/>
      <c r="AK9" s="64"/>
      <c r="AO9" s="64"/>
      <c r="AP9" s="64"/>
      <c r="AT9" s="64"/>
      <c r="AX9" s="64"/>
      <c r="AY9" s="64"/>
      <c r="AZ9" s="64"/>
      <c r="BA9" s="72"/>
      <c r="BB9" s="67"/>
      <c r="BC9" s="67"/>
      <c r="BD9" s="66"/>
      <c r="BH9" s="64"/>
      <c r="BI9" s="64"/>
      <c r="BJ9" s="64"/>
      <c r="BK9" s="64"/>
      <c r="BL9" s="64"/>
      <c r="BM9" s="64"/>
      <c r="BN9" s="64"/>
    </row>
    <row r="10" ht="30.0" customHeight="1">
      <c r="A10" s="81"/>
      <c r="B10" s="61"/>
      <c r="C10" s="83"/>
      <c r="D10" s="84"/>
      <c r="E10" s="84"/>
      <c r="F10" s="86"/>
      <c r="G10" s="86">
        <f>IFERROR(__xludf.DUMMYFUNCTION("LET(
  monthStart,DATE(VALUE(REGEXEXTRACT(G$1,""\d{4}"")),VALUE(REGEXEXTRACT(G$1,""T(\d+)"")),1),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H10" s="86">
        <f>IFERROR(__xludf.DUMMYFUNCTION("LET(
  monthStart,DATE(VALUE(REGEXEXTRACT(H$1,""\d{4}"")),VALUE(REGEXEXTRACT(H$1,""T(\d+)"")),1),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I10" s="86">
        <f>IFERROR(__xludf.DUMMYFUNCTION("LET(
  monthStart,DATE(VALUE(REGEXEXTRACT(I$1,""\d{4}"")),VALUE(REGEXEXTRACT(I$1,""T(\d+)"")),1),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J10" s="86">
        <f>IFERROR(__xludf.DUMMYFUNCTION("LET(
  monthStart,DATE(VALUE(REGEXEXTRACT(J$1,""\d{4}"")),VALUE(REGEXEXTRACT(J$1,""T(\d+)"")),1),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K10" s="86">
        <f>IFERROR(__xludf.DUMMYFUNCTION("LET(
  monthStart,DATE(VALUE(REGEXEXTRACT(K$1,""\d{4}"")),VALUE(REGEXEXTRACT(K$1,""T(\d+)"")),1),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L10" s="86">
        <f>IFERROR(__xludf.DUMMYFUNCTION("LET(
  monthStart,DATE(VALUE(REGEXEXTRACT(L$1,""\d{4}"")),VALUE(REGEXEXTRACT(L$1,""T(\d+)"")),1),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M10" s="86">
        <f>IFERROR(__xludf.DUMMYFUNCTION("LET(
  monthStart,DATE(VALUE(REGEXEXTRACT(M$1,""\d{4}"")),VALUE(REGEXEXTRACT(M$1,""T(\d+)"")),1),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N10" s="86">
        <f>IFERROR(__xludf.DUMMYFUNCTION("LET(
  monthStart,DATE(VALUE(REGEXEXTRACT(N$1,""\d{4}"")),VALUE(REGEXEXTRACT(N$1,""T(\d+)"")),1),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O10" s="86">
        <f>IFERROR(__xludf.DUMMYFUNCTION("LET(
  monthStart,DATE(VALUE(REGEXEXTRACT(O$1,""\d{4}"")),VALUE(REGEXEXTRACT(O$1,""T(\d+)"")),1),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P10" s="86">
        <f>IFERROR(__xludf.DUMMYFUNCTION("LET(
  monthStart,DATE(VALUE(REGEXEXTRACT(P$1,""\d{4}"")),VALUE(REGEXEXTRACT(P$1,""T(\d+)"")),1),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Q10" s="86">
        <f>IFERROR(__xludf.DUMMYFUNCTION("LET(
  monthStart,DATE(VALUE(REGEXEXTRACT(Q$1,""\d{4}"")),VALUE(REGEXEXTRACT(Q$1,""T(\d+)"")),1),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R10" s="86">
        <f>IFERROR(__xludf.DUMMYFUNCTION("LET(
  monthStart,DATE(VALUE(REGEXEXTRACT(R$1,""\d{4}"")),VALUE(REGEXEXTRACT(R$1,""T(\d+)"")),1),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S10" s="86">
        <f>IFERROR(__xludf.DUMMYFUNCTION("LET(
  monthStart,DATE(VALUE(REGEXEXTRACT(S$1,""\d{4}"")),VALUE(REGEXEXTRACT(S$1,""T(\d+)"")),1),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T10" s="86">
        <f>IFERROR(__xludf.DUMMYFUNCTION("LET(
  monthStart,DATE(VALUE(REGEXEXTRACT(T$1,""\d{4}"")),VALUE(REGEXEXTRACT(T$1,""T(\d+)"")),1),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U10" s="86">
        <f>IFERROR(__xludf.DUMMYFUNCTION("LET(
  monthStart,DATE(VALUE(REGEXEXTRACT(U$1,""\d{4}"")),VALUE(REGEXEXTRACT(U$1,""T(\d+)"")),1),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V10" s="86">
        <f>IFERROR(__xludf.DUMMYFUNCTION("LET(
  monthStart,DATE(VALUE(REGEXEXTRACT(V$1,""\d{4}"")),VALUE(REGEXEXTRACT(V$1,""T(\d+)"")),1),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W10" s="86">
        <f>IFERROR(__xludf.DUMMYFUNCTION("LET(
  monthStart,DATE(VALUE(REGEXEXTRACT(W$1,""\d{4}"")),VALUE(REGEXEXTRACT(W$1,""T(\d+)"")),1),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X10" s="86">
        <f>IFERROR(__xludf.DUMMYFUNCTION("LET(
  monthStart,DATE(VALUE(REGEXEXTRACT(X$1,""\d{4}"")),VALUE(REGEXEXTRACT(X$1,""T(\d+)"")),1),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Y10" s="86">
        <f>IFERROR(__xludf.DUMMYFUNCTION("LET(
  monthStart,DATE(VALUE(REGEXEXTRACT(Y$1,""\d{4}"")),VALUE(REGEXEXTRACT(Y$1,""T(\d+)"")),1),
  monthEnd,EOMONTH(monthStart,0),
  actualStart,MAX($D10,monthStart),
  actualEnd,MIN($E10,monthEnd),
  workingDaysInMonth,NETWORKDAYS(monthStart,monthEnd),
"&amp;"  workingDaysOverlap,IF(actualStart&gt;actualEnd,0,NETWORKDAYS(actualStart,actualEnd)),
  IF(workingDaysOverlap=0,"""",$F10*workingDaysOverlap/workingDaysInMonth)
)"),0.0)</f>
        <v>0</v>
      </c>
      <c r="AJ10" s="64"/>
      <c r="AK10" s="64"/>
      <c r="AO10" s="64"/>
      <c r="AP10" s="64"/>
      <c r="AT10" s="64"/>
      <c r="AX10" s="64"/>
      <c r="AY10" s="64"/>
      <c r="AZ10" s="64"/>
      <c r="BA10" s="72"/>
      <c r="BB10" s="67"/>
      <c r="BC10" s="67"/>
      <c r="BD10" s="66"/>
      <c r="BH10" s="64"/>
      <c r="BI10" s="64"/>
      <c r="BJ10" s="64"/>
      <c r="BK10" s="64"/>
      <c r="BL10" s="64"/>
      <c r="BM10" s="64"/>
      <c r="BN10" s="64"/>
    </row>
    <row r="11" ht="30.0" customHeight="1">
      <c r="A11" s="81"/>
      <c r="B11" s="61"/>
      <c r="C11" s="83"/>
      <c r="D11" s="84"/>
      <c r="E11" s="84"/>
      <c r="F11" s="86"/>
      <c r="G11" s="86">
        <f>IFERROR(__xludf.DUMMYFUNCTION("LET(
  monthStart,DATE(VALUE(REGEXEXTRACT(G$1,""\d{4}"")),VALUE(REGEXEXTRACT(G$1,""T(\d+)"")),1),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H11" s="86">
        <f>IFERROR(__xludf.DUMMYFUNCTION("LET(
  monthStart,DATE(VALUE(REGEXEXTRACT(H$1,""\d{4}"")),VALUE(REGEXEXTRACT(H$1,""T(\d+)"")),1),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I11" s="86">
        <f>IFERROR(__xludf.DUMMYFUNCTION("LET(
  monthStart,DATE(VALUE(REGEXEXTRACT(I$1,""\d{4}"")),VALUE(REGEXEXTRACT(I$1,""T(\d+)"")),1),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J11" s="86">
        <f>IFERROR(__xludf.DUMMYFUNCTION("LET(
  monthStart,DATE(VALUE(REGEXEXTRACT(J$1,""\d{4}"")),VALUE(REGEXEXTRACT(J$1,""T(\d+)"")),1),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K11" s="86">
        <f>IFERROR(__xludf.DUMMYFUNCTION("LET(
  monthStart,DATE(VALUE(REGEXEXTRACT(K$1,""\d{4}"")),VALUE(REGEXEXTRACT(K$1,""T(\d+)"")),1),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L11" s="86">
        <f>IFERROR(__xludf.DUMMYFUNCTION("LET(
  monthStart,DATE(VALUE(REGEXEXTRACT(L$1,""\d{4}"")),VALUE(REGEXEXTRACT(L$1,""T(\d+)"")),1),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M11" s="86">
        <f>IFERROR(__xludf.DUMMYFUNCTION("LET(
  monthStart,DATE(VALUE(REGEXEXTRACT(M$1,""\d{4}"")),VALUE(REGEXEXTRACT(M$1,""T(\d+)"")),1),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N11" s="86">
        <f>IFERROR(__xludf.DUMMYFUNCTION("LET(
  monthStart,DATE(VALUE(REGEXEXTRACT(N$1,""\d{4}"")),VALUE(REGEXEXTRACT(N$1,""T(\d+)"")),1),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O11" s="86">
        <f>IFERROR(__xludf.DUMMYFUNCTION("LET(
  monthStart,DATE(VALUE(REGEXEXTRACT(O$1,""\d{4}"")),VALUE(REGEXEXTRACT(O$1,""T(\d+)"")),1),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P11" s="86">
        <f>IFERROR(__xludf.DUMMYFUNCTION("LET(
  monthStart,DATE(VALUE(REGEXEXTRACT(P$1,""\d{4}"")),VALUE(REGEXEXTRACT(P$1,""T(\d+)"")),1),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Q11" s="86">
        <f>IFERROR(__xludf.DUMMYFUNCTION("LET(
  monthStart,DATE(VALUE(REGEXEXTRACT(Q$1,""\d{4}"")),VALUE(REGEXEXTRACT(Q$1,""T(\d+)"")),1),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R11" s="86">
        <f>IFERROR(__xludf.DUMMYFUNCTION("LET(
  monthStart,DATE(VALUE(REGEXEXTRACT(R$1,""\d{4}"")),VALUE(REGEXEXTRACT(R$1,""T(\d+)"")),1),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S11" s="86">
        <f>IFERROR(__xludf.DUMMYFUNCTION("LET(
  monthStart,DATE(VALUE(REGEXEXTRACT(S$1,""\d{4}"")),VALUE(REGEXEXTRACT(S$1,""T(\d+)"")),1),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T11" s="86">
        <f>IFERROR(__xludf.DUMMYFUNCTION("LET(
  monthStart,DATE(VALUE(REGEXEXTRACT(T$1,""\d{4}"")),VALUE(REGEXEXTRACT(T$1,""T(\d+)"")),1),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U11" s="86">
        <f>IFERROR(__xludf.DUMMYFUNCTION("LET(
  monthStart,DATE(VALUE(REGEXEXTRACT(U$1,""\d{4}"")),VALUE(REGEXEXTRACT(U$1,""T(\d+)"")),1),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V11" s="86">
        <f>IFERROR(__xludf.DUMMYFUNCTION("LET(
  monthStart,DATE(VALUE(REGEXEXTRACT(V$1,""\d{4}"")),VALUE(REGEXEXTRACT(V$1,""T(\d+)"")),1),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W11" s="86">
        <f>IFERROR(__xludf.DUMMYFUNCTION("LET(
  monthStart,DATE(VALUE(REGEXEXTRACT(W$1,""\d{4}"")),VALUE(REGEXEXTRACT(W$1,""T(\d+)"")),1),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X11" s="86">
        <f>IFERROR(__xludf.DUMMYFUNCTION("LET(
  monthStart,DATE(VALUE(REGEXEXTRACT(X$1,""\d{4}"")),VALUE(REGEXEXTRACT(X$1,""T(\d+)"")),1),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Y11" s="86">
        <f>IFERROR(__xludf.DUMMYFUNCTION("LET(
  monthStart,DATE(VALUE(REGEXEXTRACT(Y$1,""\d{4}"")),VALUE(REGEXEXTRACT(Y$1,""T(\d+)"")),1),
  monthEnd,EOMONTH(monthStart,0),
  actualStart,MAX($D11,monthStart),
  actualEnd,MIN($E11,monthEnd),
  workingDaysInMonth,NETWORKDAYS(monthStart,monthEnd),
"&amp;"  workingDaysOverlap,IF(actualStart&gt;actualEnd,0,NETWORKDAYS(actualStart,actualEnd)),
  IF(workingDaysOverlap=0,"""",$F11*workingDaysOverlap/workingDaysInMonth)
)"),0.0)</f>
        <v>0</v>
      </c>
      <c r="AJ11" s="64"/>
      <c r="AK11" s="64"/>
      <c r="AO11" s="64"/>
      <c r="AP11" s="64"/>
      <c r="AT11" s="64"/>
      <c r="AX11" s="64"/>
      <c r="AY11" s="64"/>
      <c r="AZ11" s="64"/>
      <c r="BA11" s="72"/>
      <c r="BB11" s="67"/>
      <c r="BC11" s="67"/>
      <c r="BD11" s="66"/>
      <c r="BH11" s="64"/>
      <c r="BI11" s="64"/>
      <c r="BJ11" s="64"/>
      <c r="BK11" s="64"/>
      <c r="BL11" s="64"/>
      <c r="BM11" s="64"/>
      <c r="BN11" s="64"/>
    </row>
    <row r="12" ht="30.0" customHeight="1">
      <c r="A12" s="81"/>
      <c r="B12" s="61"/>
      <c r="C12" s="83"/>
      <c r="D12" s="84"/>
      <c r="E12" s="84"/>
      <c r="F12" s="86"/>
      <c r="G12" s="86">
        <f>IFERROR(__xludf.DUMMYFUNCTION("LET(
  monthStart,DATE(VALUE(REGEXEXTRACT(G$1,""\d{4}"")),VALUE(REGEXEXTRACT(G$1,""T(\d+)"")),1),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H12" s="86">
        <f>IFERROR(__xludf.DUMMYFUNCTION("LET(
  monthStart,DATE(VALUE(REGEXEXTRACT(H$1,""\d{4}"")),VALUE(REGEXEXTRACT(H$1,""T(\d+)"")),1),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I12" s="86">
        <f>IFERROR(__xludf.DUMMYFUNCTION("LET(
  monthStart,DATE(VALUE(REGEXEXTRACT(I$1,""\d{4}"")),VALUE(REGEXEXTRACT(I$1,""T(\d+)"")),1),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J12" s="86">
        <f>IFERROR(__xludf.DUMMYFUNCTION("LET(
  monthStart,DATE(VALUE(REGEXEXTRACT(J$1,""\d{4}"")),VALUE(REGEXEXTRACT(J$1,""T(\d+)"")),1),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K12" s="86">
        <f>IFERROR(__xludf.DUMMYFUNCTION("LET(
  monthStart,DATE(VALUE(REGEXEXTRACT(K$1,""\d{4}"")),VALUE(REGEXEXTRACT(K$1,""T(\d+)"")),1),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L12" s="86">
        <f>IFERROR(__xludf.DUMMYFUNCTION("LET(
  monthStart,DATE(VALUE(REGEXEXTRACT(L$1,""\d{4}"")),VALUE(REGEXEXTRACT(L$1,""T(\d+)"")),1),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M12" s="86">
        <f>IFERROR(__xludf.DUMMYFUNCTION("LET(
  monthStart,DATE(VALUE(REGEXEXTRACT(M$1,""\d{4}"")),VALUE(REGEXEXTRACT(M$1,""T(\d+)"")),1),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N12" s="86">
        <f>IFERROR(__xludf.DUMMYFUNCTION("LET(
  monthStart,DATE(VALUE(REGEXEXTRACT(N$1,""\d{4}"")),VALUE(REGEXEXTRACT(N$1,""T(\d+)"")),1),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O12" s="86">
        <f>IFERROR(__xludf.DUMMYFUNCTION("LET(
  monthStart,DATE(VALUE(REGEXEXTRACT(O$1,""\d{4}"")),VALUE(REGEXEXTRACT(O$1,""T(\d+)"")),1),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P12" s="86">
        <f>IFERROR(__xludf.DUMMYFUNCTION("LET(
  monthStart,DATE(VALUE(REGEXEXTRACT(P$1,""\d{4}"")),VALUE(REGEXEXTRACT(P$1,""T(\d+)"")),1),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Q12" s="86">
        <f>IFERROR(__xludf.DUMMYFUNCTION("LET(
  monthStart,DATE(VALUE(REGEXEXTRACT(Q$1,""\d{4}"")),VALUE(REGEXEXTRACT(Q$1,""T(\d+)"")),1),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R12" s="86">
        <f>IFERROR(__xludf.DUMMYFUNCTION("LET(
  monthStart,DATE(VALUE(REGEXEXTRACT(R$1,""\d{4}"")),VALUE(REGEXEXTRACT(R$1,""T(\d+)"")),1),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S12" s="86">
        <f>IFERROR(__xludf.DUMMYFUNCTION("LET(
  monthStart,DATE(VALUE(REGEXEXTRACT(S$1,""\d{4}"")),VALUE(REGEXEXTRACT(S$1,""T(\d+)"")),1),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T12" s="86">
        <f>IFERROR(__xludf.DUMMYFUNCTION("LET(
  monthStart,DATE(VALUE(REGEXEXTRACT(T$1,""\d{4}"")),VALUE(REGEXEXTRACT(T$1,""T(\d+)"")),1),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U12" s="86">
        <f>IFERROR(__xludf.DUMMYFUNCTION("LET(
  monthStart,DATE(VALUE(REGEXEXTRACT(U$1,""\d{4}"")),VALUE(REGEXEXTRACT(U$1,""T(\d+)"")),1),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V12" s="86">
        <f>IFERROR(__xludf.DUMMYFUNCTION("LET(
  monthStart,DATE(VALUE(REGEXEXTRACT(V$1,""\d{4}"")),VALUE(REGEXEXTRACT(V$1,""T(\d+)"")),1),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W12" s="86">
        <f>IFERROR(__xludf.DUMMYFUNCTION("LET(
  monthStart,DATE(VALUE(REGEXEXTRACT(W$1,""\d{4}"")),VALUE(REGEXEXTRACT(W$1,""T(\d+)"")),1),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X12" s="86">
        <f>IFERROR(__xludf.DUMMYFUNCTION("LET(
  monthStart,DATE(VALUE(REGEXEXTRACT(X$1,""\d{4}"")),VALUE(REGEXEXTRACT(X$1,""T(\d+)"")),1),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Y12" s="86">
        <f>IFERROR(__xludf.DUMMYFUNCTION("LET(
  monthStart,DATE(VALUE(REGEXEXTRACT(Y$1,""\d{4}"")),VALUE(REGEXEXTRACT(Y$1,""T(\d+)"")),1),
  monthEnd,EOMONTH(monthStart,0),
  actualStart,MAX($D12,monthStart),
  actualEnd,MIN($E12,monthEnd),
  workingDaysInMonth,NETWORKDAYS(monthStart,monthEnd),
"&amp;"  workingDaysOverlap,IF(actualStart&gt;actualEnd,0,NETWORKDAYS(actualStart,actualEnd)),
  IF(workingDaysOverlap=0,"""",$F12*workingDaysOverlap/workingDaysInMonth)
)"),0.0)</f>
        <v>0</v>
      </c>
      <c r="AJ12" s="64"/>
      <c r="AK12" s="64"/>
      <c r="AO12" s="64"/>
      <c r="AP12" s="64"/>
      <c r="AT12" s="64"/>
      <c r="AX12" s="64"/>
      <c r="AY12" s="64"/>
      <c r="AZ12" s="64"/>
      <c r="BA12" s="74"/>
      <c r="BB12" s="75"/>
      <c r="BC12" s="75"/>
      <c r="BD12" s="66"/>
      <c r="BH12" s="64"/>
      <c r="BI12" s="64"/>
      <c r="BJ12" s="64"/>
      <c r="BK12" s="64"/>
      <c r="BL12" s="64"/>
      <c r="BM12" s="64"/>
      <c r="BN12" s="64"/>
    </row>
    <row r="13" ht="30.0" customHeight="1">
      <c r="A13" s="81"/>
      <c r="B13" s="61"/>
      <c r="C13" s="83"/>
      <c r="D13" s="84"/>
      <c r="E13" s="84"/>
      <c r="F13" s="86"/>
      <c r="G13" s="86">
        <f>IFERROR(__xludf.DUMMYFUNCTION("LET(
  monthStart,DATE(VALUE(REGEXEXTRACT(G$1,""\d{4}"")),VALUE(REGEXEXTRACT(G$1,""T(\d+)"")),1),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H13" s="86">
        <f>IFERROR(__xludf.DUMMYFUNCTION("LET(
  monthStart,DATE(VALUE(REGEXEXTRACT(H$1,""\d{4}"")),VALUE(REGEXEXTRACT(H$1,""T(\d+)"")),1),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I13" s="86">
        <f>IFERROR(__xludf.DUMMYFUNCTION("LET(
  monthStart,DATE(VALUE(REGEXEXTRACT(I$1,""\d{4}"")),VALUE(REGEXEXTRACT(I$1,""T(\d+)"")),1),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J13" s="86">
        <f>IFERROR(__xludf.DUMMYFUNCTION("LET(
  monthStart,DATE(VALUE(REGEXEXTRACT(J$1,""\d{4}"")),VALUE(REGEXEXTRACT(J$1,""T(\d+)"")),1),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K13" s="86">
        <f>IFERROR(__xludf.DUMMYFUNCTION("LET(
  monthStart,DATE(VALUE(REGEXEXTRACT(K$1,""\d{4}"")),VALUE(REGEXEXTRACT(K$1,""T(\d+)"")),1),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L13" s="86">
        <f>IFERROR(__xludf.DUMMYFUNCTION("LET(
  monthStart,DATE(VALUE(REGEXEXTRACT(L$1,""\d{4}"")),VALUE(REGEXEXTRACT(L$1,""T(\d+)"")),1),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M13" s="86">
        <f>IFERROR(__xludf.DUMMYFUNCTION("LET(
  monthStart,DATE(VALUE(REGEXEXTRACT(M$1,""\d{4}"")),VALUE(REGEXEXTRACT(M$1,""T(\d+)"")),1),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N13" s="86">
        <f>IFERROR(__xludf.DUMMYFUNCTION("LET(
  monthStart,DATE(VALUE(REGEXEXTRACT(N$1,""\d{4}"")),VALUE(REGEXEXTRACT(N$1,""T(\d+)"")),1),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O13" s="86">
        <f>IFERROR(__xludf.DUMMYFUNCTION("LET(
  monthStart,DATE(VALUE(REGEXEXTRACT(O$1,""\d{4}"")),VALUE(REGEXEXTRACT(O$1,""T(\d+)"")),1),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P13" s="86">
        <f>IFERROR(__xludf.DUMMYFUNCTION("LET(
  monthStart,DATE(VALUE(REGEXEXTRACT(P$1,""\d{4}"")),VALUE(REGEXEXTRACT(P$1,""T(\d+)"")),1),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Q13" s="86">
        <f>IFERROR(__xludf.DUMMYFUNCTION("LET(
  monthStart,DATE(VALUE(REGEXEXTRACT(Q$1,""\d{4}"")),VALUE(REGEXEXTRACT(Q$1,""T(\d+)"")),1),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R13" s="86">
        <f>IFERROR(__xludf.DUMMYFUNCTION("LET(
  monthStart,DATE(VALUE(REGEXEXTRACT(R$1,""\d{4}"")),VALUE(REGEXEXTRACT(R$1,""T(\d+)"")),1),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S13" s="86">
        <f>IFERROR(__xludf.DUMMYFUNCTION("LET(
  monthStart,DATE(VALUE(REGEXEXTRACT(S$1,""\d{4}"")),VALUE(REGEXEXTRACT(S$1,""T(\d+)"")),1),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T13" s="86">
        <f>IFERROR(__xludf.DUMMYFUNCTION("LET(
  monthStart,DATE(VALUE(REGEXEXTRACT(T$1,""\d{4}"")),VALUE(REGEXEXTRACT(T$1,""T(\d+)"")),1),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U13" s="86">
        <f>IFERROR(__xludf.DUMMYFUNCTION("LET(
  monthStart,DATE(VALUE(REGEXEXTRACT(U$1,""\d{4}"")),VALUE(REGEXEXTRACT(U$1,""T(\d+)"")),1),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V13" s="86">
        <f>IFERROR(__xludf.DUMMYFUNCTION("LET(
  monthStart,DATE(VALUE(REGEXEXTRACT(V$1,""\d{4}"")),VALUE(REGEXEXTRACT(V$1,""T(\d+)"")),1),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W13" s="86">
        <f>IFERROR(__xludf.DUMMYFUNCTION("LET(
  monthStart,DATE(VALUE(REGEXEXTRACT(W$1,""\d{4}"")),VALUE(REGEXEXTRACT(W$1,""T(\d+)"")),1),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X13" s="86">
        <f>IFERROR(__xludf.DUMMYFUNCTION("LET(
  monthStart,DATE(VALUE(REGEXEXTRACT(X$1,""\d{4}"")),VALUE(REGEXEXTRACT(X$1,""T(\d+)"")),1),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Y13" s="86">
        <f>IFERROR(__xludf.DUMMYFUNCTION("LET(
  monthStart,DATE(VALUE(REGEXEXTRACT(Y$1,""\d{4}"")),VALUE(REGEXEXTRACT(Y$1,""T(\d+)"")),1),
  monthEnd,EOMONTH(monthStart,0),
  actualStart,MAX($D13,monthStart),
  actualEnd,MIN($E13,monthEnd),
  workingDaysInMonth,NETWORKDAYS(monthStart,monthEnd),
"&amp;"  workingDaysOverlap,IF(actualStart&gt;actualEnd,0,NETWORKDAYS(actualStart,actualEnd)),
  IF(workingDaysOverlap=0,"""",$F13*workingDaysOverlap/workingDaysInMonth)
)"),0.0)</f>
        <v>0</v>
      </c>
      <c r="AJ13" s="64"/>
      <c r="AK13" s="64"/>
      <c r="AO13" s="64"/>
      <c r="AP13" s="64"/>
      <c r="AT13" s="64"/>
      <c r="AX13" s="64"/>
      <c r="AY13" s="64"/>
      <c r="AZ13" s="64"/>
      <c r="BA13" s="74"/>
      <c r="BB13" s="75"/>
      <c r="BC13" s="75"/>
      <c r="BD13" s="66"/>
      <c r="BH13" s="64"/>
      <c r="BI13" s="64"/>
      <c r="BJ13" s="64"/>
      <c r="BK13" s="64"/>
      <c r="BL13" s="64"/>
      <c r="BM13" s="64"/>
      <c r="BN13" s="64"/>
    </row>
    <row r="14" ht="30.0" customHeight="1">
      <c r="A14" s="81"/>
      <c r="B14" s="61"/>
      <c r="C14" s="83"/>
      <c r="D14" s="84"/>
      <c r="E14" s="84"/>
      <c r="F14" s="86"/>
      <c r="G14" s="86">
        <f>IFERROR(__xludf.DUMMYFUNCTION("LET(
  monthStart,DATE(VALUE(REGEXEXTRACT(G$1,""\d{4}"")),VALUE(REGEXEXTRACT(G$1,""T(\d+)"")),1),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H14" s="86">
        <f>IFERROR(__xludf.DUMMYFUNCTION("LET(
  monthStart,DATE(VALUE(REGEXEXTRACT(H$1,""\d{4}"")),VALUE(REGEXEXTRACT(H$1,""T(\d+)"")),1),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I14" s="86">
        <f>IFERROR(__xludf.DUMMYFUNCTION("LET(
  monthStart,DATE(VALUE(REGEXEXTRACT(I$1,""\d{4}"")),VALUE(REGEXEXTRACT(I$1,""T(\d+)"")),1),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J14" s="86">
        <f>IFERROR(__xludf.DUMMYFUNCTION("LET(
  monthStart,DATE(VALUE(REGEXEXTRACT(J$1,""\d{4}"")),VALUE(REGEXEXTRACT(J$1,""T(\d+)"")),1),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K14" s="86">
        <f>IFERROR(__xludf.DUMMYFUNCTION("LET(
  monthStart,DATE(VALUE(REGEXEXTRACT(K$1,""\d{4}"")),VALUE(REGEXEXTRACT(K$1,""T(\d+)"")),1),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L14" s="86">
        <f>IFERROR(__xludf.DUMMYFUNCTION("LET(
  monthStart,DATE(VALUE(REGEXEXTRACT(L$1,""\d{4}"")),VALUE(REGEXEXTRACT(L$1,""T(\d+)"")),1),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M14" s="86">
        <f>IFERROR(__xludf.DUMMYFUNCTION("LET(
  monthStart,DATE(VALUE(REGEXEXTRACT(M$1,""\d{4}"")),VALUE(REGEXEXTRACT(M$1,""T(\d+)"")),1),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N14" s="86">
        <f>IFERROR(__xludf.DUMMYFUNCTION("LET(
  monthStart,DATE(VALUE(REGEXEXTRACT(N$1,""\d{4}"")),VALUE(REGEXEXTRACT(N$1,""T(\d+)"")),1),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O14" s="86">
        <f>IFERROR(__xludf.DUMMYFUNCTION("LET(
  monthStart,DATE(VALUE(REGEXEXTRACT(O$1,""\d{4}"")),VALUE(REGEXEXTRACT(O$1,""T(\d+)"")),1),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P14" s="86">
        <f>IFERROR(__xludf.DUMMYFUNCTION("LET(
  monthStart,DATE(VALUE(REGEXEXTRACT(P$1,""\d{4}"")),VALUE(REGEXEXTRACT(P$1,""T(\d+)"")),1),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Q14" s="86">
        <f>IFERROR(__xludf.DUMMYFUNCTION("LET(
  monthStart,DATE(VALUE(REGEXEXTRACT(Q$1,""\d{4}"")),VALUE(REGEXEXTRACT(Q$1,""T(\d+)"")),1),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R14" s="86">
        <f>IFERROR(__xludf.DUMMYFUNCTION("LET(
  monthStart,DATE(VALUE(REGEXEXTRACT(R$1,""\d{4}"")),VALUE(REGEXEXTRACT(R$1,""T(\d+)"")),1),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S14" s="86">
        <f>IFERROR(__xludf.DUMMYFUNCTION("LET(
  monthStart,DATE(VALUE(REGEXEXTRACT(S$1,""\d{4}"")),VALUE(REGEXEXTRACT(S$1,""T(\d+)"")),1),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T14" s="86">
        <f>IFERROR(__xludf.DUMMYFUNCTION("LET(
  monthStart,DATE(VALUE(REGEXEXTRACT(T$1,""\d{4}"")),VALUE(REGEXEXTRACT(T$1,""T(\d+)"")),1),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U14" s="86">
        <f>IFERROR(__xludf.DUMMYFUNCTION("LET(
  monthStart,DATE(VALUE(REGEXEXTRACT(U$1,""\d{4}"")),VALUE(REGEXEXTRACT(U$1,""T(\d+)"")),1),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V14" s="86">
        <f>IFERROR(__xludf.DUMMYFUNCTION("LET(
  monthStart,DATE(VALUE(REGEXEXTRACT(V$1,""\d{4}"")),VALUE(REGEXEXTRACT(V$1,""T(\d+)"")),1),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W14" s="86">
        <f>IFERROR(__xludf.DUMMYFUNCTION("LET(
  monthStart,DATE(VALUE(REGEXEXTRACT(W$1,""\d{4}"")),VALUE(REGEXEXTRACT(W$1,""T(\d+)"")),1),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X14" s="86">
        <f>IFERROR(__xludf.DUMMYFUNCTION("LET(
  monthStart,DATE(VALUE(REGEXEXTRACT(X$1,""\d{4}"")),VALUE(REGEXEXTRACT(X$1,""T(\d+)"")),1),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Y14" s="86">
        <f>IFERROR(__xludf.DUMMYFUNCTION("LET(
  monthStart,DATE(VALUE(REGEXEXTRACT(Y$1,""\d{4}"")),VALUE(REGEXEXTRACT(Y$1,""T(\d+)"")),1),
  monthEnd,EOMONTH(monthStart,0),
  actualStart,MAX($D14,monthStart),
  actualEnd,MIN($E14,monthEnd),
  workingDaysInMonth,NETWORKDAYS(monthStart,monthEnd),
"&amp;"  workingDaysOverlap,IF(actualStart&gt;actualEnd,0,NETWORKDAYS(actualStart,actualEnd)),
  IF(workingDaysOverlap=0,"""",$F14*workingDaysOverlap/workingDaysInMonth)
)"),0.0)</f>
        <v>0</v>
      </c>
      <c r="AJ14" s="64"/>
      <c r="AK14" s="64"/>
      <c r="AO14" s="64"/>
      <c r="AP14" s="64"/>
      <c r="AT14" s="64"/>
      <c r="AX14" s="64"/>
      <c r="AY14" s="64"/>
      <c r="BD14" s="76"/>
      <c r="BH14" s="64"/>
      <c r="BI14" s="64"/>
      <c r="BJ14" s="64"/>
      <c r="BK14" s="64"/>
      <c r="BL14" s="64"/>
      <c r="BM14" s="64"/>
      <c r="BN14" s="64"/>
    </row>
    <row r="15" ht="30.0" customHeight="1">
      <c r="A15" s="81"/>
      <c r="B15" s="61"/>
      <c r="C15" s="83"/>
      <c r="D15" s="84"/>
      <c r="E15" s="84"/>
      <c r="F15" s="86"/>
      <c r="G15" s="86">
        <f>IFERROR(__xludf.DUMMYFUNCTION("LET(
  monthStart,DATE(VALUE(REGEXEXTRACT(G$1,""\d{4}"")),VALUE(REGEXEXTRACT(G$1,""T(\d+)"")),1),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H15" s="86">
        <f>IFERROR(__xludf.DUMMYFUNCTION("LET(
  monthStart,DATE(VALUE(REGEXEXTRACT(H$1,""\d{4}"")),VALUE(REGEXEXTRACT(H$1,""T(\d+)"")),1),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I15" s="86">
        <f>IFERROR(__xludf.DUMMYFUNCTION("LET(
  monthStart,DATE(VALUE(REGEXEXTRACT(I$1,""\d{4}"")),VALUE(REGEXEXTRACT(I$1,""T(\d+)"")),1),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J15" s="86">
        <f>IFERROR(__xludf.DUMMYFUNCTION("LET(
  monthStart,DATE(VALUE(REGEXEXTRACT(J$1,""\d{4}"")),VALUE(REGEXEXTRACT(J$1,""T(\d+)"")),1),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K15" s="86">
        <f>IFERROR(__xludf.DUMMYFUNCTION("LET(
  monthStart,DATE(VALUE(REGEXEXTRACT(K$1,""\d{4}"")),VALUE(REGEXEXTRACT(K$1,""T(\d+)"")),1),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L15" s="86">
        <f>IFERROR(__xludf.DUMMYFUNCTION("LET(
  monthStart,DATE(VALUE(REGEXEXTRACT(L$1,""\d{4}"")),VALUE(REGEXEXTRACT(L$1,""T(\d+)"")),1),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M15" s="86">
        <f>IFERROR(__xludf.DUMMYFUNCTION("LET(
  monthStart,DATE(VALUE(REGEXEXTRACT(M$1,""\d{4}"")),VALUE(REGEXEXTRACT(M$1,""T(\d+)"")),1),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N15" s="86">
        <f>IFERROR(__xludf.DUMMYFUNCTION("LET(
  monthStart,DATE(VALUE(REGEXEXTRACT(N$1,""\d{4}"")),VALUE(REGEXEXTRACT(N$1,""T(\d+)"")),1),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O15" s="86">
        <f>IFERROR(__xludf.DUMMYFUNCTION("LET(
  monthStart,DATE(VALUE(REGEXEXTRACT(O$1,""\d{4}"")),VALUE(REGEXEXTRACT(O$1,""T(\d+)"")),1),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P15" s="86">
        <f>IFERROR(__xludf.DUMMYFUNCTION("LET(
  monthStart,DATE(VALUE(REGEXEXTRACT(P$1,""\d{4}"")),VALUE(REGEXEXTRACT(P$1,""T(\d+)"")),1),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Q15" s="86">
        <f>IFERROR(__xludf.DUMMYFUNCTION("LET(
  monthStart,DATE(VALUE(REGEXEXTRACT(Q$1,""\d{4}"")),VALUE(REGEXEXTRACT(Q$1,""T(\d+)"")),1),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R15" s="86">
        <f>IFERROR(__xludf.DUMMYFUNCTION("LET(
  monthStart,DATE(VALUE(REGEXEXTRACT(R$1,""\d{4}"")),VALUE(REGEXEXTRACT(R$1,""T(\d+)"")),1),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S15" s="86">
        <f>IFERROR(__xludf.DUMMYFUNCTION("LET(
  monthStart,DATE(VALUE(REGEXEXTRACT(S$1,""\d{4}"")),VALUE(REGEXEXTRACT(S$1,""T(\d+)"")),1),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T15" s="86">
        <f>IFERROR(__xludf.DUMMYFUNCTION("LET(
  monthStart,DATE(VALUE(REGEXEXTRACT(T$1,""\d{4}"")),VALUE(REGEXEXTRACT(T$1,""T(\d+)"")),1),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U15" s="86">
        <f>IFERROR(__xludf.DUMMYFUNCTION("LET(
  monthStart,DATE(VALUE(REGEXEXTRACT(U$1,""\d{4}"")),VALUE(REGEXEXTRACT(U$1,""T(\d+)"")),1),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V15" s="86">
        <f>IFERROR(__xludf.DUMMYFUNCTION("LET(
  monthStart,DATE(VALUE(REGEXEXTRACT(V$1,""\d{4}"")),VALUE(REGEXEXTRACT(V$1,""T(\d+)"")),1),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W15" s="86">
        <f>IFERROR(__xludf.DUMMYFUNCTION("LET(
  monthStart,DATE(VALUE(REGEXEXTRACT(W$1,""\d{4}"")),VALUE(REGEXEXTRACT(W$1,""T(\d+)"")),1),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X15" s="86">
        <f>IFERROR(__xludf.DUMMYFUNCTION("LET(
  monthStart,DATE(VALUE(REGEXEXTRACT(X$1,""\d{4}"")),VALUE(REGEXEXTRACT(X$1,""T(\d+)"")),1),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Y15" s="86">
        <f>IFERROR(__xludf.DUMMYFUNCTION("LET(
  monthStart,DATE(VALUE(REGEXEXTRACT(Y$1,""\d{4}"")),VALUE(REGEXEXTRACT(Y$1,""T(\d+)"")),1),
  monthEnd,EOMONTH(monthStart,0),
  actualStart,MAX($D15,monthStart),
  actualEnd,MIN($E15,monthEnd),
  workingDaysInMonth,NETWORKDAYS(monthStart,monthEnd),
"&amp;"  workingDaysOverlap,IF(actualStart&gt;actualEnd,0,NETWORKDAYS(actualStart,actualEnd)),
  IF(workingDaysOverlap=0,"""",$F15*workingDaysOverlap/workingDaysInMonth)
)"),0.0)</f>
        <v>0</v>
      </c>
      <c r="Z15" s="64"/>
      <c r="AA15" s="64"/>
      <c r="AB15" s="64"/>
      <c r="AC15" s="64"/>
      <c r="AD15" s="64"/>
      <c r="AE15" s="64"/>
      <c r="AF15" s="64"/>
      <c r="AJ15" s="64"/>
      <c r="AK15" s="64"/>
      <c r="AO15" s="64"/>
      <c r="AP15" s="64"/>
      <c r="AT15" s="64"/>
      <c r="AX15" s="64"/>
      <c r="AY15" s="77"/>
      <c r="AZ15" s="64"/>
      <c r="BA15" s="67"/>
      <c r="BB15" s="67"/>
      <c r="BC15" s="67"/>
      <c r="BD15" s="66"/>
      <c r="BH15" s="64"/>
      <c r="BI15" s="64"/>
      <c r="BJ15" s="64"/>
      <c r="BK15" s="64"/>
      <c r="BL15" s="64"/>
      <c r="BM15" s="64"/>
      <c r="BN15" s="64"/>
    </row>
    <row r="16" ht="30.0" customHeight="1">
      <c r="A16" s="81"/>
      <c r="B16" s="61"/>
      <c r="C16" s="83"/>
      <c r="D16" s="84"/>
      <c r="E16" s="84"/>
      <c r="F16" s="86"/>
      <c r="G16" s="86">
        <f>IFERROR(__xludf.DUMMYFUNCTION("LET(
  monthStart,DATE(VALUE(REGEXEXTRACT(G$1,""\d{4}"")),VALUE(REGEXEXTRACT(G$1,""T(\d+)"")),1),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H16" s="86">
        <f>IFERROR(__xludf.DUMMYFUNCTION("LET(
  monthStart,DATE(VALUE(REGEXEXTRACT(H$1,""\d{4}"")),VALUE(REGEXEXTRACT(H$1,""T(\d+)"")),1),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I16" s="86">
        <f>IFERROR(__xludf.DUMMYFUNCTION("LET(
  monthStart,DATE(VALUE(REGEXEXTRACT(I$1,""\d{4}"")),VALUE(REGEXEXTRACT(I$1,""T(\d+)"")),1),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J16" s="86">
        <f>IFERROR(__xludf.DUMMYFUNCTION("LET(
  monthStart,DATE(VALUE(REGEXEXTRACT(J$1,""\d{4}"")),VALUE(REGEXEXTRACT(J$1,""T(\d+)"")),1),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K16" s="86">
        <f>IFERROR(__xludf.DUMMYFUNCTION("LET(
  monthStart,DATE(VALUE(REGEXEXTRACT(K$1,""\d{4}"")),VALUE(REGEXEXTRACT(K$1,""T(\d+)"")),1),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L16" s="86">
        <f>IFERROR(__xludf.DUMMYFUNCTION("LET(
  monthStart,DATE(VALUE(REGEXEXTRACT(L$1,""\d{4}"")),VALUE(REGEXEXTRACT(L$1,""T(\d+)"")),1),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M16" s="86">
        <f>IFERROR(__xludf.DUMMYFUNCTION("LET(
  monthStart,DATE(VALUE(REGEXEXTRACT(M$1,""\d{4}"")),VALUE(REGEXEXTRACT(M$1,""T(\d+)"")),1),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N16" s="86">
        <f>IFERROR(__xludf.DUMMYFUNCTION("LET(
  monthStart,DATE(VALUE(REGEXEXTRACT(N$1,""\d{4}"")),VALUE(REGEXEXTRACT(N$1,""T(\d+)"")),1),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O16" s="86">
        <f>IFERROR(__xludf.DUMMYFUNCTION("LET(
  monthStart,DATE(VALUE(REGEXEXTRACT(O$1,""\d{4}"")),VALUE(REGEXEXTRACT(O$1,""T(\d+)"")),1),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P16" s="86">
        <f>IFERROR(__xludf.DUMMYFUNCTION("LET(
  monthStart,DATE(VALUE(REGEXEXTRACT(P$1,""\d{4}"")),VALUE(REGEXEXTRACT(P$1,""T(\d+)"")),1),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Q16" s="86">
        <f>IFERROR(__xludf.DUMMYFUNCTION("LET(
  monthStart,DATE(VALUE(REGEXEXTRACT(Q$1,""\d{4}"")),VALUE(REGEXEXTRACT(Q$1,""T(\d+)"")),1),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R16" s="86">
        <f>IFERROR(__xludf.DUMMYFUNCTION("LET(
  monthStart,DATE(VALUE(REGEXEXTRACT(R$1,""\d{4}"")),VALUE(REGEXEXTRACT(R$1,""T(\d+)"")),1),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S16" s="86">
        <f>IFERROR(__xludf.DUMMYFUNCTION("LET(
  monthStart,DATE(VALUE(REGEXEXTRACT(S$1,""\d{4}"")),VALUE(REGEXEXTRACT(S$1,""T(\d+)"")),1),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T16" s="86">
        <f>IFERROR(__xludf.DUMMYFUNCTION("LET(
  monthStart,DATE(VALUE(REGEXEXTRACT(T$1,""\d{4}"")),VALUE(REGEXEXTRACT(T$1,""T(\d+)"")),1),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U16" s="86">
        <f>IFERROR(__xludf.DUMMYFUNCTION("LET(
  monthStart,DATE(VALUE(REGEXEXTRACT(U$1,""\d{4}"")),VALUE(REGEXEXTRACT(U$1,""T(\d+)"")),1),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V16" s="86">
        <f>IFERROR(__xludf.DUMMYFUNCTION("LET(
  monthStart,DATE(VALUE(REGEXEXTRACT(V$1,""\d{4}"")),VALUE(REGEXEXTRACT(V$1,""T(\d+)"")),1),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W16" s="86">
        <f>IFERROR(__xludf.DUMMYFUNCTION("LET(
  monthStart,DATE(VALUE(REGEXEXTRACT(W$1,""\d{4}"")),VALUE(REGEXEXTRACT(W$1,""T(\d+)"")),1),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X16" s="86">
        <f>IFERROR(__xludf.DUMMYFUNCTION("LET(
  monthStart,DATE(VALUE(REGEXEXTRACT(X$1,""\d{4}"")),VALUE(REGEXEXTRACT(X$1,""T(\d+)"")),1),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Y16" s="86">
        <f>IFERROR(__xludf.DUMMYFUNCTION("LET(
  monthStart,DATE(VALUE(REGEXEXTRACT(Y$1,""\d{4}"")),VALUE(REGEXEXTRACT(Y$1,""T(\d+)"")),1),
  monthEnd,EOMONTH(monthStart,0),
  actualStart,MAX($D16,monthStart),
  actualEnd,MIN($E16,monthEnd),
  workingDaysInMonth,NETWORKDAYS(monthStart,monthEnd),
"&amp;"  workingDaysOverlap,IF(actualStart&gt;actualEnd,0,NETWORKDAYS(actualStart,actualEnd)),
  IF(workingDaysOverlap=0,"""",$F16*workingDaysOverlap/workingDaysInMonth)
)"),0.0)</f>
        <v>0</v>
      </c>
      <c r="Z16" s="64"/>
      <c r="AA16" s="64"/>
      <c r="AB16" s="64"/>
      <c r="AC16" s="64"/>
      <c r="AD16" s="64"/>
      <c r="AE16" s="64"/>
      <c r="AF16" s="64"/>
      <c r="AJ16" s="64"/>
      <c r="AK16" s="64"/>
      <c r="AO16" s="64"/>
      <c r="AP16" s="64"/>
      <c r="AT16" s="64"/>
      <c r="AX16" s="64"/>
      <c r="AY16" s="77"/>
      <c r="AZ16" s="78"/>
      <c r="BA16" s="79"/>
      <c r="BB16" s="67"/>
      <c r="BC16" s="67"/>
      <c r="BD16" s="80"/>
      <c r="BH16" s="64"/>
      <c r="BI16" s="64"/>
      <c r="BJ16" s="64"/>
      <c r="BK16" s="64"/>
      <c r="BL16" s="64"/>
      <c r="BM16" s="64"/>
      <c r="BN16" s="64"/>
    </row>
    <row r="17" ht="30.0" customHeight="1">
      <c r="A17" s="81"/>
      <c r="B17" s="61"/>
      <c r="C17" s="83"/>
      <c r="D17" s="84"/>
      <c r="E17" s="84"/>
      <c r="F17" s="86"/>
      <c r="G17" s="86">
        <f>IFERROR(__xludf.DUMMYFUNCTION("LET(
  monthStart,DATE(VALUE(REGEXEXTRACT(G$1,""\d{4}"")),VALUE(REGEXEXTRACT(G$1,""T(\d+)"")),1),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H17" s="86">
        <f>IFERROR(__xludf.DUMMYFUNCTION("LET(
  monthStart,DATE(VALUE(REGEXEXTRACT(H$1,""\d{4}"")),VALUE(REGEXEXTRACT(H$1,""T(\d+)"")),1),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I17" s="86">
        <f>IFERROR(__xludf.DUMMYFUNCTION("LET(
  monthStart,DATE(VALUE(REGEXEXTRACT(I$1,""\d{4}"")),VALUE(REGEXEXTRACT(I$1,""T(\d+)"")),1),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J17" s="86">
        <f>IFERROR(__xludf.DUMMYFUNCTION("LET(
  monthStart,DATE(VALUE(REGEXEXTRACT(J$1,""\d{4}"")),VALUE(REGEXEXTRACT(J$1,""T(\d+)"")),1),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K17" s="86">
        <f>IFERROR(__xludf.DUMMYFUNCTION("LET(
  monthStart,DATE(VALUE(REGEXEXTRACT(K$1,""\d{4}"")),VALUE(REGEXEXTRACT(K$1,""T(\d+)"")),1),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L17" s="86">
        <f>IFERROR(__xludf.DUMMYFUNCTION("LET(
  monthStart,DATE(VALUE(REGEXEXTRACT(L$1,""\d{4}"")),VALUE(REGEXEXTRACT(L$1,""T(\d+)"")),1),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M17" s="86">
        <f>IFERROR(__xludf.DUMMYFUNCTION("LET(
  monthStart,DATE(VALUE(REGEXEXTRACT(M$1,""\d{4}"")),VALUE(REGEXEXTRACT(M$1,""T(\d+)"")),1),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N17" s="86">
        <f>IFERROR(__xludf.DUMMYFUNCTION("LET(
  monthStart,DATE(VALUE(REGEXEXTRACT(N$1,""\d{4}"")),VALUE(REGEXEXTRACT(N$1,""T(\d+)"")),1),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O17" s="86">
        <f>IFERROR(__xludf.DUMMYFUNCTION("LET(
  monthStart,DATE(VALUE(REGEXEXTRACT(O$1,""\d{4}"")),VALUE(REGEXEXTRACT(O$1,""T(\d+)"")),1),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P17" s="86">
        <f>IFERROR(__xludf.DUMMYFUNCTION("LET(
  monthStart,DATE(VALUE(REGEXEXTRACT(P$1,""\d{4}"")),VALUE(REGEXEXTRACT(P$1,""T(\d+)"")),1),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Q17" s="86">
        <f>IFERROR(__xludf.DUMMYFUNCTION("LET(
  monthStart,DATE(VALUE(REGEXEXTRACT(Q$1,""\d{4}"")),VALUE(REGEXEXTRACT(Q$1,""T(\d+)"")),1),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R17" s="86">
        <f>IFERROR(__xludf.DUMMYFUNCTION("LET(
  monthStart,DATE(VALUE(REGEXEXTRACT(R$1,""\d{4}"")),VALUE(REGEXEXTRACT(R$1,""T(\d+)"")),1),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S17" s="86">
        <f>IFERROR(__xludf.DUMMYFUNCTION("LET(
  monthStart,DATE(VALUE(REGEXEXTRACT(S$1,""\d{4}"")),VALUE(REGEXEXTRACT(S$1,""T(\d+)"")),1),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T17" s="86">
        <f>IFERROR(__xludf.DUMMYFUNCTION("LET(
  monthStart,DATE(VALUE(REGEXEXTRACT(T$1,""\d{4}"")),VALUE(REGEXEXTRACT(T$1,""T(\d+)"")),1),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U17" s="86">
        <f>IFERROR(__xludf.DUMMYFUNCTION("LET(
  monthStart,DATE(VALUE(REGEXEXTRACT(U$1,""\d{4}"")),VALUE(REGEXEXTRACT(U$1,""T(\d+)"")),1),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V17" s="86">
        <f>IFERROR(__xludf.DUMMYFUNCTION("LET(
  monthStart,DATE(VALUE(REGEXEXTRACT(V$1,""\d{4}"")),VALUE(REGEXEXTRACT(V$1,""T(\d+)"")),1),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W17" s="86">
        <f>IFERROR(__xludf.DUMMYFUNCTION("LET(
  monthStart,DATE(VALUE(REGEXEXTRACT(W$1,""\d{4}"")),VALUE(REGEXEXTRACT(W$1,""T(\d+)"")),1),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X17" s="86">
        <f>IFERROR(__xludf.DUMMYFUNCTION("LET(
  monthStart,DATE(VALUE(REGEXEXTRACT(X$1,""\d{4}"")),VALUE(REGEXEXTRACT(X$1,""T(\d+)"")),1),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Y17" s="86">
        <f>IFERROR(__xludf.DUMMYFUNCTION("LET(
  monthStart,DATE(VALUE(REGEXEXTRACT(Y$1,""\d{4}"")),VALUE(REGEXEXTRACT(Y$1,""T(\d+)"")),1),
  monthEnd,EOMONTH(monthStart,0),
  actualStart,MAX($D17,monthStart),
  actualEnd,MIN($E17,monthEnd),
  workingDaysInMonth,NETWORKDAYS(monthStart,monthEnd),
"&amp;"  workingDaysOverlap,IF(actualStart&gt;actualEnd,0,NETWORKDAYS(actualStart,actualEnd)),
  IF(workingDaysOverlap=0,"""",$F17*workingDaysOverlap/workingDaysInMonth)
)"),0.0)</f>
        <v>0</v>
      </c>
      <c r="AE17" s="67"/>
      <c r="AF17" s="67"/>
      <c r="AJ17" s="64"/>
      <c r="AK17" s="64"/>
      <c r="AO17" s="64"/>
      <c r="AP17" s="64"/>
      <c r="AT17" s="64"/>
      <c r="AX17" s="64"/>
      <c r="AY17" s="77"/>
      <c r="AZ17" s="78"/>
      <c r="BA17" s="79"/>
      <c r="BB17" s="67"/>
      <c r="BC17" s="67"/>
      <c r="BD17" s="80"/>
      <c r="BH17" s="64"/>
      <c r="BI17" s="64"/>
      <c r="BJ17" s="64"/>
      <c r="BK17" s="64"/>
      <c r="BL17" s="64"/>
      <c r="BM17" s="64"/>
      <c r="BN17" s="64"/>
    </row>
    <row r="18" ht="30.0" customHeight="1">
      <c r="A18" s="81"/>
      <c r="B18" s="61"/>
      <c r="C18" s="83"/>
      <c r="D18" s="84"/>
      <c r="E18" s="84"/>
      <c r="F18" s="86"/>
      <c r="G18" s="86">
        <f>IFERROR(__xludf.DUMMYFUNCTION("LET(
  monthStart,DATE(VALUE(REGEXEXTRACT(G$1,""\d{4}"")),VALUE(REGEXEXTRACT(G$1,""T(\d+)"")),1),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H18" s="86">
        <f>IFERROR(__xludf.DUMMYFUNCTION("LET(
  monthStart,DATE(VALUE(REGEXEXTRACT(H$1,""\d{4}"")),VALUE(REGEXEXTRACT(H$1,""T(\d+)"")),1),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I18" s="86">
        <f>IFERROR(__xludf.DUMMYFUNCTION("LET(
  monthStart,DATE(VALUE(REGEXEXTRACT(I$1,""\d{4}"")),VALUE(REGEXEXTRACT(I$1,""T(\d+)"")),1),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J18" s="86">
        <f>IFERROR(__xludf.DUMMYFUNCTION("LET(
  monthStart,DATE(VALUE(REGEXEXTRACT(J$1,""\d{4}"")),VALUE(REGEXEXTRACT(J$1,""T(\d+)"")),1),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K18" s="86">
        <f>IFERROR(__xludf.DUMMYFUNCTION("LET(
  monthStart,DATE(VALUE(REGEXEXTRACT(K$1,""\d{4}"")),VALUE(REGEXEXTRACT(K$1,""T(\d+)"")),1),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L18" s="86">
        <f>IFERROR(__xludf.DUMMYFUNCTION("LET(
  monthStart,DATE(VALUE(REGEXEXTRACT(L$1,""\d{4}"")),VALUE(REGEXEXTRACT(L$1,""T(\d+)"")),1),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M18" s="86">
        <f>IFERROR(__xludf.DUMMYFUNCTION("LET(
  monthStart,DATE(VALUE(REGEXEXTRACT(M$1,""\d{4}"")),VALUE(REGEXEXTRACT(M$1,""T(\d+)"")),1),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N18" s="86">
        <f>IFERROR(__xludf.DUMMYFUNCTION("LET(
  monthStart,DATE(VALUE(REGEXEXTRACT(N$1,""\d{4}"")),VALUE(REGEXEXTRACT(N$1,""T(\d+)"")),1),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O18" s="86">
        <f>IFERROR(__xludf.DUMMYFUNCTION("LET(
  monthStart,DATE(VALUE(REGEXEXTRACT(O$1,""\d{4}"")),VALUE(REGEXEXTRACT(O$1,""T(\d+)"")),1),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P18" s="86">
        <f>IFERROR(__xludf.DUMMYFUNCTION("LET(
  monthStart,DATE(VALUE(REGEXEXTRACT(P$1,""\d{4}"")),VALUE(REGEXEXTRACT(P$1,""T(\d+)"")),1),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Q18" s="86">
        <f>IFERROR(__xludf.DUMMYFUNCTION("LET(
  monthStart,DATE(VALUE(REGEXEXTRACT(Q$1,""\d{4}"")),VALUE(REGEXEXTRACT(Q$1,""T(\d+)"")),1),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R18" s="86">
        <f>IFERROR(__xludf.DUMMYFUNCTION("LET(
  monthStart,DATE(VALUE(REGEXEXTRACT(R$1,""\d{4}"")),VALUE(REGEXEXTRACT(R$1,""T(\d+)"")),1),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S18" s="86">
        <f>IFERROR(__xludf.DUMMYFUNCTION("LET(
  monthStart,DATE(VALUE(REGEXEXTRACT(S$1,""\d{4}"")),VALUE(REGEXEXTRACT(S$1,""T(\d+)"")),1),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T18" s="86">
        <f>IFERROR(__xludf.DUMMYFUNCTION("LET(
  monthStart,DATE(VALUE(REGEXEXTRACT(T$1,""\d{4}"")),VALUE(REGEXEXTRACT(T$1,""T(\d+)"")),1),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U18" s="86">
        <f>IFERROR(__xludf.DUMMYFUNCTION("LET(
  monthStart,DATE(VALUE(REGEXEXTRACT(U$1,""\d{4}"")),VALUE(REGEXEXTRACT(U$1,""T(\d+)"")),1),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V18" s="86">
        <f>IFERROR(__xludf.DUMMYFUNCTION("LET(
  monthStart,DATE(VALUE(REGEXEXTRACT(V$1,""\d{4}"")),VALUE(REGEXEXTRACT(V$1,""T(\d+)"")),1),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W18" s="86">
        <f>IFERROR(__xludf.DUMMYFUNCTION("LET(
  monthStart,DATE(VALUE(REGEXEXTRACT(W$1,""\d{4}"")),VALUE(REGEXEXTRACT(W$1,""T(\d+)"")),1),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X18" s="86">
        <f>IFERROR(__xludf.DUMMYFUNCTION("LET(
  monthStart,DATE(VALUE(REGEXEXTRACT(X$1,""\d{4}"")),VALUE(REGEXEXTRACT(X$1,""T(\d+)"")),1),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Y18" s="86">
        <f>IFERROR(__xludf.DUMMYFUNCTION("LET(
  monthStart,DATE(VALUE(REGEXEXTRACT(Y$1,""\d{4}"")),VALUE(REGEXEXTRACT(Y$1,""T(\d+)"")),1),
  monthEnd,EOMONTH(monthStart,0),
  actualStart,MAX($D18,monthStart),
  actualEnd,MIN($E18,monthEnd),
  workingDaysInMonth,NETWORKDAYS(monthStart,monthEnd),
"&amp;"  workingDaysOverlap,IF(actualStart&gt;actualEnd,0,NETWORKDAYS(actualStart,actualEnd)),
  IF(workingDaysOverlap=0,"""",$F18*workingDaysOverlap/workingDaysInMonth)
)"),0.0)</f>
        <v>0</v>
      </c>
      <c r="AE18" s="67"/>
      <c r="AF18" s="67"/>
      <c r="AJ18" s="64"/>
      <c r="AK18" s="64"/>
      <c r="AO18" s="64"/>
      <c r="AP18" s="64"/>
      <c r="AT18" s="64"/>
      <c r="AX18" s="64"/>
      <c r="AY18" s="77"/>
      <c r="AZ18" s="78"/>
      <c r="BA18" s="79"/>
      <c r="BB18" s="67"/>
      <c r="BC18" s="67"/>
      <c r="BD18" s="80"/>
      <c r="BH18" s="64"/>
      <c r="BI18" s="64"/>
      <c r="BJ18" s="64"/>
      <c r="BK18" s="64"/>
      <c r="BL18" s="64"/>
      <c r="BM18" s="64"/>
      <c r="BN18" s="64"/>
    </row>
    <row r="19" ht="30.0" customHeight="1">
      <c r="A19" s="81"/>
      <c r="B19" s="61"/>
      <c r="C19" s="83"/>
      <c r="D19" s="84"/>
      <c r="E19" s="84"/>
      <c r="F19" s="86"/>
      <c r="G19" s="86">
        <f>IFERROR(__xludf.DUMMYFUNCTION("LET(
  monthStart,DATE(VALUE(REGEXEXTRACT(G$1,""\d{4}"")),VALUE(REGEXEXTRACT(G$1,""T(\d+)"")),1),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H19" s="86">
        <f>IFERROR(__xludf.DUMMYFUNCTION("LET(
  monthStart,DATE(VALUE(REGEXEXTRACT(H$1,""\d{4}"")),VALUE(REGEXEXTRACT(H$1,""T(\d+)"")),1),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I19" s="86">
        <f>IFERROR(__xludf.DUMMYFUNCTION("LET(
  monthStart,DATE(VALUE(REGEXEXTRACT(I$1,""\d{4}"")),VALUE(REGEXEXTRACT(I$1,""T(\d+)"")),1),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J19" s="86">
        <f>IFERROR(__xludf.DUMMYFUNCTION("LET(
  monthStart,DATE(VALUE(REGEXEXTRACT(J$1,""\d{4}"")),VALUE(REGEXEXTRACT(J$1,""T(\d+)"")),1),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K19" s="86">
        <f>IFERROR(__xludf.DUMMYFUNCTION("LET(
  monthStart,DATE(VALUE(REGEXEXTRACT(K$1,""\d{4}"")),VALUE(REGEXEXTRACT(K$1,""T(\d+)"")),1),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L19" s="86">
        <f>IFERROR(__xludf.DUMMYFUNCTION("LET(
  monthStart,DATE(VALUE(REGEXEXTRACT(L$1,""\d{4}"")),VALUE(REGEXEXTRACT(L$1,""T(\d+)"")),1),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M19" s="86">
        <f>IFERROR(__xludf.DUMMYFUNCTION("LET(
  monthStart,DATE(VALUE(REGEXEXTRACT(M$1,""\d{4}"")),VALUE(REGEXEXTRACT(M$1,""T(\d+)"")),1),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N19" s="86">
        <f>IFERROR(__xludf.DUMMYFUNCTION("LET(
  monthStart,DATE(VALUE(REGEXEXTRACT(N$1,""\d{4}"")),VALUE(REGEXEXTRACT(N$1,""T(\d+)"")),1),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O19" s="86">
        <f>IFERROR(__xludf.DUMMYFUNCTION("LET(
  monthStart,DATE(VALUE(REGEXEXTRACT(O$1,""\d{4}"")),VALUE(REGEXEXTRACT(O$1,""T(\d+)"")),1),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P19" s="86">
        <f>IFERROR(__xludf.DUMMYFUNCTION("LET(
  monthStart,DATE(VALUE(REGEXEXTRACT(P$1,""\d{4}"")),VALUE(REGEXEXTRACT(P$1,""T(\d+)"")),1),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Q19" s="86">
        <f>IFERROR(__xludf.DUMMYFUNCTION("LET(
  monthStart,DATE(VALUE(REGEXEXTRACT(Q$1,""\d{4}"")),VALUE(REGEXEXTRACT(Q$1,""T(\d+)"")),1),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R19" s="86">
        <f>IFERROR(__xludf.DUMMYFUNCTION("LET(
  monthStart,DATE(VALUE(REGEXEXTRACT(R$1,""\d{4}"")),VALUE(REGEXEXTRACT(R$1,""T(\d+)"")),1),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S19" s="86">
        <f>IFERROR(__xludf.DUMMYFUNCTION("LET(
  monthStart,DATE(VALUE(REGEXEXTRACT(S$1,""\d{4}"")),VALUE(REGEXEXTRACT(S$1,""T(\d+)"")),1),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T19" s="86">
        <f>IFERROR(__xludf.DUMMYFUNCTION("LET(
  monthStart,DATE(VALUE(REGEXEXTRACT(T$1,""\d{4}"")),VALUE(REGEXEXTRACT(T$1,""T(\d+)"")),1),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U19" s="86">
        <f>IFERROR(__xludf.DUMMYFUNCTION("LET(
  monthStart,DATE(VALUE(REGEXEXTRACT(U$1,""\d{4}"")),VALUE(REGEXEXTRACT(U$1,""T(\d+)"")),1),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V19" s="86">
        <f>IFERROR(__xludf.DUMMYFUNCTION("LET(
  monthStart,DATE(VALUE(REGEXEXTRACT(V$1,""\d{4}"")),VALUE(REGEXEXTRACT(V$1,""T(\d+)"")),1),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W19" s="86">
        <f>IFERROR(__xludf.DUMMYFUNCTION("LET(
  monthStart,DATE(VALUE(REGEXEXTRACT(W$1,""\d{4}"")),VALUE(REGEXEXTRACT(W$1,""T(\d+)"")),1),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X19" s="86">
        <f>IFERROR(__xludf.DUMMYFUNCTION("LET(
  monthStart,DATE(VALUE(REGEXEXTRACT(X$1,""\d{4}"")),VALUE(REGEXEXTRACT(X$1,""T(\d+)"")),1),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Y19" s="86">
        <f>IFERROR(__xludf.DUMMYFUNCTION("LET(
  monthStart,DATE(VALUE(REGEXEXTRACT(Y$1,""\d{4}"")),VALUE(REGEXEXTRACT(Y$1,""T(\d+)"")),1),
  monthEnd,EOMONTH(monthStart,0),
  actualStart,MAX($D19,monthStart),
  actualEnd,MIN($E19,monthEnd),
  workingDaysInMonth,NETWORKDAYS(monthStart,monthEnd),
"&amp;"  workingDaysOverlap,IF(actualStart&gt;actualEnd,0,NETWORKDAYS(actualStart,actualEnd)),
  IF(workingDaysOverlap=0,"""",$F19*workingDaysOverlap/workingDaysInMonth)
)"),0.0)</f>
        <v>0</v>
      </c>
      <c r="AE19" s="67"/>
      <c r="AF19" s="67"/>
      <c r="AJ19" s="64"/>
      <c r="AK19" s="64"/>
      <c r="AO19" s="64"/>
      <c r="AP19" s="64"/>
      <c r="AT19" s="64"/>
      <c r="AX19" s="64"/>
      <c r="AY19" s="77"/>
      <c r="AZ19" s="78"/>
      <c r="BA19" s="79"/>
      <c r="BB19" s="67"/>
      <c r="BC19" s="67"/>
      <c r="BD19" s="80"/>
      <c r="BH19" s="64"/>
      <c r="BI19" s="64"/>
      <c r="BJ19" s="64"/>
      <c r="BK19" s="64"/>
      <c r="BL19" s="64"/>
      <c r="BM19" s="64"/>
      <c r="BN19" s="64"/>
    </row>
    <row r="20" ht="30.0" customHeight="1">
      <c r="A20" s="81"/>
      <c r="B20" s="61"/>
      <c r="C20" s="83"/>
      <c r="D20" s="84"/>
      <c r="E20" s="84"/>
      <c r="F20" s="86"/>
      <c r="G20" s="86">
        <f>IFERROR(__xludf.DUMMYFUNCTION("LET(
  monthStart,DATE(VALUE(REGEXEXTRACT(G$1,""\d{4}"")),VALUE(REGEXEXTRACT(G$1,""T(\d+)"")),1),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H20" s="86">
        <f>IFERROR(__xludf.DUMMYFUNCTION("LET(
  monthStart,DATE(VALUE(REGEXEXTRACT(H$1,""\d{4}"")),VALUE(REGEXEXTRACT(H$1,""T(\d+)"")),1),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I20" s="86">
        <f>IFERROR(__xludf.DUMMYFUNCTION("LET(
  monthStart,DATE(VALUE(REGEXEXTRACT(I$1,""\d{4}"")),VALUE(REGEXEXTRACT(I$1,""T(\d+)"")),1),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J20" s="86">
        <f>IFERROR(__xludf.DUMMYFUNCTION("LET(
  monthStart,DATE(VALUE(REGEXEXTRACT(J$1,""\d{4}"")),VALUE(REGEXEXTRACT(J$1,""T(\d+)"")),1),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K20" s="86">
        <f>IFERROR(__xludf.DUMMYFUNCTION("LET(
  monthStart,DATE(VALUE(REGEXEXTRACT(K$1,""\d{4}"")),VALUE(REGEXEXTRACT(K$1,""T(\d+)"")),1),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L20" s="86">
        <f>IFERROR(__xludf.DUMMYFUNCTION("LET(
  monthStart,DATE(VALUE(REGEXEXTRACT(L$1,""\d{4}"")),VALUE(REGEXEXTRACT(L$1,""T(\d+)"")),1),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M20" s="86">
        <f>IFERROR(__xludf.DUMMYFUNCTION("LET(
  monthStart,DATE(VALUE(REGEXEXTRACT(M$1,""\d{4}"")),VALUE(REGEXEXTRACT(M$1,""T(\d+)"")),1),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N20" s="86">
        <f>IFERROR(__xludf.DUMMYFUNCTION("LET(
  monthStart,DATE(VALUE(REGEXEXTRACT(N$1,""\d{4}"")),VALUE(REGEXEXTRACT(N$1,""T(\d+)"")),1),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O20" s="86">
        <f>IFERROR(__xludf.DUMMYFUNCTION("LET(
  monthStart,DATE(VALUE(REGEXEXTRACT(O$1,""\d{4}"")),VALUE(REGEXEXTRACT(O$1,""T(\d+)"")),1),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P20" s="86">
        <f>IFERROR(__xludf.DUMMYFUNCTION("LET(
  monthStart,DATE(VALUE(REGEXEXTRACT(P$1,""\d{4}"")),VALUE(REGEXEXTRACT(P$1,""T(\d+)"")),1),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Q20" s="86">
        <f>IFERROR(__xludf.DUMMYFUNCTION("LET(
  monthStart,DATE(VALUE(REGEXEXTRACT(Q$1,""\d{4}"")),VALUE(REGEXEXTRACT(Q$1,""T(\d+)"")),1),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R20" s="86">
        <f>IFERROR(__xludf.DUMMYFUNCTION("LET(
  monthStart,DATE(VALUE(REGEXEXTRACT(R$1,""\d{4}"")),VALUE(REGEXEXTRACT(R$1,""T(\d+)"")),1),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S20" s="86">
        <f>IFERROR(__xludf.DUMMYFUNCTION("LET(
  monthStart,DATE(VALUE(REGEXEXTRACT(S$1,""\d{4}"")),VALUE(REGEXEXTRACT(S$1,""T(\d+)"")),1),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T20" s="86">
        <f>IFERROR(__xludf.DUMMYFUNCTION("LET(
  monthStart,DATE(VALUE(REGEXEXTRACT(T$1,""\d{4}"")),VALUE(REGEXEXTRACT(T$1,""T(\d+)"")),1),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U20" s="86">
        <f>IFERROR(__xludf.DUMMYFUNCTION("LET(
  monthStart,DATE(VALUE(REGEXEXTRACT(U$1,""\d{4}"")),VALUE(REGEXEXTRACT(U$1,""T(\d+)"")),1),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V20" s="86">
        <f>IFERROR(__xludf.DUMMYFUNCTION("LET(
  monthStart,DATE(VALUE(REGEXEXTRACT(V$1,""\d{4}"")),VALUE(REGEXEXTRACT(V$1,""T(\d+)"")),1),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W20" s="86">
        <f>IFERROR(__xludf.DUMMYFUNCTION("LET(
  monthStart,DATE(VALUE(REGEXEXTRACT(W$1,""\d{4}"")),VALUE(REGEXEXTRACT(W$1,""T(\d+)"")),1),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X20" s="86">
        <f>IFERROR(__xludf.DUMMYFUNCTION("LET(
  monthStart,DATE(VALUE(REGEXEXTRACT(X$1,""\d{4}"")),VALUE(REGEXEXTRACT(X$1,""T(\d+)"")),1),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Y20" s="86">
        <f>IFERROR(__xludf.DUMMYFUNCTION("LET(
  monthStart,DATE(VALUE(REGEXEXTRACT(Y$1,""\d{4}"")),VALUE(REGEXEXTRACT(Y$1,""T(\d+)"")),1),
  monthEnd,EOMONTH(monthStart,0),
  actualStart,MAX($D20,monthStart),
  actualEnd,MIN($E20,monthEnd),
  workingDaysInMonth,NETWORKDAYS(monthStart,monthEnd),
"&amp;"  workingDaysOverlap,IF(actualStart&gt;actualEnd,0,NETWORKDAYS(actualStart,actualEnd)),
  IF(workingDaysOverlap=0,"""",$F20*workingDaysOverlap/workingDaysInMonth)
)"),0.0)</f>
        <v>0</v>
      </c>
      <c r="AE20" s="67"/>
      <c r="AF20" s="67"/>
      <c r="AJ20" s="64"/>
      <c r="AK20" s="64"/>
      <c r="AO20" s="64"/>
      <c r="AP20" s="64"/>
      <c r="AT20" s="64"/>
      <c r="AX20" s="64"/>
      <c r="AY20" s="77"/>
      <c r="AZ20" s="78"/>
      <c r="BA20" s="79"/>
      <c r="BB20" s="67"/>
      <c r="BC20" s="67"/>
      <c r="BD20" s="80"/>
      <c r="BH20" s="64"/>
      <c r="BI20" s="64"/>
      <c r="BJ20" s="64"/>
      <c r="BK20" s="64"/>
      <c r="BL20" s="64"/>
      <c r="BM20" s="64"/>
      <c r="BN20" s="64"/>
    </row>
    <row r="21" ht="30.0" customHeight="1">
      <c r="A21" s="81"/>
      <c r="B21" s="61"/>
      <c r="C21" s="83"/>
      <c r="D21" s="84"/>
      <c r="E21" s="84"/>
      <c r="F21" s="86"/>
      <c r="G21" s="86">
        <f>IFERROR(__xludf.DUMMYFUNCTION("LET(
  monthStart,DATE(VALUE(REGEXEXTRACT(G$1,""\d{4}"")),VALUE(REGEXEXTRACT(G$1,""T(\d+)"")),1),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H21" s="86">
        <f>IFERROR(__xludf.DUMMYFUNCTION("LET(
  monthStart,DATE(VALUE(REGEXEXTRACT(H$1,""\d{4}"")),VALUE(REGEXEXTRACT(H$1,""T(\d+)"")),1),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I21" s="86">
        <f>IFERROR(__xludf.DUMMYFUNCTION("LET(
  monthStart,DATE(VALUE(REGEXEXTRACT(I$1,""\d{4}"")),VALUE(REGEXEXTRACT(I$1,""T(\d+)"")),1),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J21" s="86">
        <f>IFERROR(__xludf.DUMMYFUNCTION("LET(
  monthStart,DATE(VALUE(REGEXEXTRACT(J$1,""\d{4}"")),VALUE(REGEXEXTRACT(J$1,""T(\d+)"")),1),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K21" s="86">
        <f>IFERROR(__xludf.DUMMYFUNCTION("LET(
  monthStart,DATE(VALUE(REGEXEXTRACT(K$1,""\d{4}"")),VALUE(REGEXEXTRACT(K$1,""T(\d+)"")),1),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L21" s="86">
        <f>IFERROR(__xludf.DUMMYFUNCTION("LET(
  monthStart,DATE(VALUE(REGEXEXTRACT(L$1,""\d{4}"")),VALUE(REGEXEXTRACT(L$1,""T(\d+)"")),1),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M21" s="86">
        <f>IFERROR(__xludf.DUMMYFUNCTION("LET(
  monthStart,DATE(VALUE(REGEXEXTRACT(M$1,""\d{4}"")),VALUE(REGEXEXTRACT(M$1,""T(\d+)"")),1),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N21" s="86">
        <f>IFERROR(__xludf.DUMMYFUNCTION("LET(
  monthStart,DATE(VALUE(REGEXEXTRACT(N$1,""\d{4}"")),VALUE(REGEXEXTRACT(N$1,""T(\d+)"")),1),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O21" s="86">
        <f>IFERROR(__xludf.DUMMYFUNCTION("LET(
  monthStart,DATE(VALUE(REGEXEXTRACT(O$1,""\d{4}"")),VALUE(REGEXEXTRACT(O$1,""T(\d+)"")),1),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P21" s="86">
        <f>IFERROR(__xludf.DUMMYFUNCTION("LET(
  monthStart,DATE(VALUE(REGEXEXTRACT(P$1,""\d{4}"")),VALUE(REGEXEXTRACT(P$1,""T(\d+)"")),1),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Q21" s="86">
        <f>IFERROR(__xludf.DUMMYFUNCTION("LET(
  monthStart,DATE(VALUE(REGEXEXTRACT(Q$1,""\d{4}"")),VALUE(REGEXEXTRACT(Q$1,""T(\d+)"")),1),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R21" s="86">
        <f>IFERROR(__xludf.DUMMYFUNCTION("LET(
  monthStart,DATE(VALUE(REGEXEXTRACT(R$1,""\d{4}"")),VALUE(REGEXEXTRACT(R$1,""T(\d+)"")),1),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S21" s="86">
        <f>IFERROR(__xludf.DUMMYFUNCTION("LET(
  monthStart,DATE(VALUE(REGEXEXTRACT(S$1,""\d{4}"")),VALUE(REGEXEXTRACT(S$1,""T(\d+)"")),1),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T21" s="86">
        <f>IFERROR(__xludf.DUMMYFUNCTION("LET(
  monthStart,DATE(VALUE(REGEXEXTRACT(T$1,""\d{4}"")),VALUE(REGEXEXTRACT(T$1,""T(\d+)"")),1),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U21" s="86">
        <f>IFERROR(__xludf.DUMMYFUNCTION("LET(
  monthStart,DATE(VALUE(REGEXEXTRACT(U$1,""\d{4}"")),VALUE(REGEXEXTRACT(U$1,""T(\d+)"")),1),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V21" s="86">
        <f>IFERROR(__xludf.DUMMYFUNCTION("LET(
  monthStart,DATE(VALUE(REGEXEXTRACT(V$1,""\d{4}"")),VALUE(REGEXEXTRACT(V$1,""T(\d+)"")),1),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W21" s="86">
        <f>IFERROR(__xludf.DUMMYFUNCTION("LET(
  monthStart,DATE(VALUE(REGEXEXTRACT(W$1,""\d{4}"")),VALUE(REGEXEXTRACT(W$1,""T(\d+)"")),1),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X21" s="86">
        <f>IFERROR(__xludf.DUMMYFUNCTION("LET(
  monthStart,DATE(VALUE(REGEXEXTRACT(X$1,""\d{4}"")),VALUE(REGEXEXTRACT(X$1,""T(\d+)"")),1),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Y21" s="86">
        <f>IFERROR(__xludf.DUMMYFUNCTION("LET(
  monthStart,DATE(VALUE(REGEXEXTRACT(Y$1,""\d{4}"")),VALUE(REGEXEXTRACT(Y$1,""T(\d+)"")),1),
  monthEnd,EOMONTH(monthStart,0),
  actualStart,MAX($D21,monthStart),
  actualEnd,MIN($E21,monthEnd),
  workingDaysInMonth,NETWORKDAYS(monthStart,monthEnd),
"&amp;"  workingDaysOverlap,IF(actualStart&gt;actualEnd,0,NETWORKDAYS(actualStart,actualEnd)),
  IF(workingDaysOverlap=0,"""",$F21*workingDaysOverlap/workingDaysInMonth)
)"),0.0)</f>
        <v>0</v>
      </c>
      <c r="AE21" s="67"/>
      <c r="AF21" s="67"/>
      <c r="AJ21" s="64"/>
      <c r="AK21" s="64"/>
      <c r="AO21" s="64"/>
      <c r="AP21" s="64"/>
      <c r="AT21" s="64"/>
      <c r="AX21" s="64"/>
      <c r="AY21" s="77"/>
      <c r="AZ21" s="78"/>
      <c r="BA21" s="79"/>
      <c r="BB21" s="67"/>
      <c r="BC21" s="67"/>
      <c r="BD21" s="80"/>
      <c r="BH21" s="64"/>
      <c r="BI21" s="64"/>
      <c r="BJ21" s="64"/>
      <c r="BK21" s="64"/>
      <c r="BL21" s="64"/>
      <c r="BM21" s="64"/>
      <c r="BN21" s="64"/>
    </row>
    <row r="22" ht="30.0" customHeight="1">
      <c r="A22" s="81"/>
      <c r="B22" s="61"/>
      <c r="C22" s="83"/>
      <c r="D22" s="84"/>
      <c r="E22" s="84"/>
      <c r="F22" s="86"/>
      <c r="G22" s="86">
        <f>IFERROR(__xludf.DUMMYFUNCTION("LET(
  monthStart,DATE(VALUE(REGEXEXTRACT(G$1,""\d{4}"")),VALUE(REGEXEXTRACT(G$1,""T(\d+)"")),1),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H22" s="86">
        <f>IFERROR(__xludf.DUMMYFUNCTION("LET(
  monthStart,DATE(VALUE(REGEXEXTRACT(H$1,""\d{4}"")),VALUE(REGEXEXTRACT(H$1,""T(\d+)"")),1),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I22" s="86">
        <f>IFERROR(__xludf.DUMMYFUNCTION("LET(
  monthStart,DATE(VALUE(REGEXEXTRACT(I$1,""\d{4}"")),VALUE(REGEXEXTRACT(I$1,""T(\d+)"")),1),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J22" s="86">
        <f>IFERROR(__xludf.DUMMYFUNCTION("LET(
  monthStart,DATE(VALUE(REGEXEXTRACT(J$1,""\d{4}"")),VALUE(REGEXEXTRACT(J$1,""T(\d+)"")),1),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K22" s="86">
        <f>IFERROR(__xludf.DUMMYFUNCTION("LET(
  monthStart,DATE(VALUE(REGEXEXTRACT(K$1,""\d{4}"")),VALUE(REGEXEXTRACT(K$1,""T(\d+)"")),1),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L22" s="86">
        <f>IFERROR(__xludf.DUMMYFUNCTION("LET(
  monthStart,DATE(VALUE(REGEXEXTRACT(L$1,""\d{4}"")),VALUE(REGEXEXTRACT(L$1,""T(\d+)"")),1),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M22" s="86">
        <f>IFERROR(__xludf.DUMMYFUNCTION("LET(
  monthStart,DATE(VALUE(REGEXEXTRACT(M$1,""\d{4}"")),VALUE(REGEXEXTRACT(M$1,""T(\d+)"")),1),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N22" s="86">
        <f>IFERROR(__xludf.DUMMYFUNCTION("LET(
  monthStart,DATE(VALUE(REGEXEXTRACT(N$1,""\d{4}"")),VALUE(REGEXEXTRACT(N$1,""T(\d+)"")),1),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O22" s="86">
        <f>IFERROR(__xludf.DUMMYFUNCTION("LET(
  monthStart,DATE(VALUE(REGEXEXTRACT(O$1,""\d{4}"")),VALUE(REGEXEXTRACT(O$1,""T(\d+)"")),1),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P22" s="86">
        <f>IFERROR(__xludf.DUMMYFUNCTION("LET(
  monthStart,DATE(VALUE(REGEXEXTRACT(P$1,""\d{4}"")),VALUE(REGEXEXTRACT(P$1,""T(\d+)"")),1),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Q22" s="86">
        <f>IFERROR(__xludf.DUMMYFUNCTION("LET(
  monthStart,DATE(VALUE(REGEXEXTRACT(Q$1,""\d{4}"")),VALUE(REGEXEXTRACT(Q$1,""T(\d+)"")),1),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R22" s="86">
        <f>IFERROR(__xludf.DUMMYFUNCTION("LET(
  monthStart,DATE(VALUE(REGEXEXTRACT(R$1,""\d{4}"")),VALUE(REGEXEXTRACT(R$1,""T(\d+)"")),1),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S22" s="86">
        <f>IFERROR(__xludf.DUMMYFUNCTION("LET(
  monthStart,DATE(VALUE(REGEXEXTRACT(S$1,""\d{4}"")),VALUE(REGEXEXTRACT(S$1,""T(\d+)"")),1),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T22" s="86">
        <f>IFERROR(__xludf.DUMMYFUNCTION("LET(
  monthStart,DATE(VALUE(REGEXEXTRACT(T$1,""\d{4}"")),VALUE(REGEXEXTRACT(T$1,""T(\d+)"")),1),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U22" s="86">
        <f>IFERROR(__xludf.DUMMYFUNCTION("LET(
  monthStart,DATE(VALUE(REGEXEXTRACT(U$1,""\d{4}"")),VALUE(REGEXEXTRACT(U$1,""T(\d+)"")),1),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V22" s="86">
        <f>IFERROR(__xludf.DUMMYFUNCTION("LET(
  monthStart,DATE(VALUE(REGEXEXTRACT(V$1,""\d{4}"")),VALUE(REGEXEXTRACT(V$1,""T(\d+)"")),1),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W22" s="86">
        <f>IFERROR(__xludf.DUMMYFUNCTION("LET(
  monthStart,DATE(VALUE(REGEXEXTRACT(W$1,""\d{4}"")),VALUE(REGEXEXTRACT(W$1,""T(\d+)"")),1),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X22" s="86">
        <f>IFERROR(__xludf.DUMMYFUNCTION("LET(
  monthStart,DATE(VALUE(REGEXEXTRACT(X$1,""\d{4}"")),VALUE(REGEXEXTRACT(X$1,""T(\d+)"")),1),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Y22" s="86">
        <f>IFERROR(__xludf.DUMMYFUNCTION("LET(
  monthStart,DATE(VALUE(REGEXEXTRACT(Y$1,""\d{4}"")),VALUE(REGEXEXTRACT(Y$1,""T(\d+)"")),1),
  monthEnd,EOMONTH(monthStart,0),
  actualStart,MAX($D22,monthStart),
  actualEnd,MIN($E22,monthEnd),
  workingDaysInMonth,NETWORKDAYS(monthStart,monthEnd),
"&amp;"  workingDaysOverlap,IF(actualStart&gt;actualEnd,0,NETWORKDAYS(actualStart,actualEnd)),
  IF(workingDaysOverlap=0,"""",$F22*workingDaysOverlap/workingDaysInMonth)
)"),0.0)</f>
        <v>0</v>
      </c>
      <c r="AE22" s="67"/>
      <c r="AF22" s="67"/>
      <c r="AJ22" s="64"/>
      <c r="AK22" s="64"/>
      <c r="AO22" s="64"/>
      <c r="AP22" s="64"/>
      <c r="AT22" s="64"/>
      <c r="AX22" s="64"/>
      <c r="AY22" s="77"/>
      <c r="AZ22" s="78"/>
      <c r="BA22" s="79"/>
      <c r="BB22" s="67"/>
      <c r="BC22" s="67"/>
      <c r="BD22" s="80"/>
      <c r="BH22" s="64"/>
      <c r="BI22" s="64"/>
      <c r="BJ22" s="64"/>
      <c r="BK22" s="64"/>
      <c r="BL22" s="64"/>
      <c r="BM22" s="64"/>
      <c r="BN22" s="64"/>
    </row>
    <row r="23" ht="30.0" customHeight="1">
      <c r="A23" s="81"/>
      <c r="B23" s="61"/>
      <c r="C23" s="83"/>
      <c r="D23" s="84"/>
      <c r="E23" s="84"/>
      <c r="F23" s="86"/>
      <c r="G23" s="86">
        <f>IFERROR(__xludf.DUMMYFUNCTION("LET(
  monthStart,DATE(VALUE(REGEXEXTRACT(G$1,""\d{4}"")),VALUE(REGEXEXTRACT(G$1,""T(\d+)"")),1),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H23" s="86">
        <f>IFERROR(__xludf.DUMMYFUNCTION("LET(
  monthStart,DATE(VALUE(REGEXEXTRACT(H$1,""\d{4}"")),VALUE(REGEXEXTRACT(H$1,""T(\d+)"")),1),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I23" s="86">
        <f>IFERROR(__xludf.DUMMYFUNCTION("LET(
  monthStart,DATE(VALUE(REGEXEXTRACT(I$1,""\d{4}"")),VALUE(REGEXEXTRACT(I$1,""T(\d+)"")),1),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J23" s="86">
        <f>IFERROR(__xludf.DUMMYFUNCTION("LET(
  monthStart,DATE(VALUE(REGEXEXTRACT(J$1,""\d{4}"")),VALUE(REGEXEXTRACT(J$1,""T(\d+)"")),1),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K23" s="86">
        <f>IFERROR(__xludf.DUMMYFUNCTION("LET(
  monthStart,DATE(VALUE(REGEXEXTRACT(K$1,""\d{4}"")),VALUE(REGEXEXTRACT(K$1,""T(\d+)"")),1),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L23" s="86">
        <f>IFERROR(__xludf.DUMMYFUNCTION("LET(
  monthStart,DATE(VALUE(REGEXEXTRACT(L$1,""\d{4}"")),VALUE(REGEXEXTRACT(L$1,""T(\d+)"")),1),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M23" s="86">
        <f>IFERROR(__xludf.DUMMYFUNCTION("LET(
  monthStart,DATE(VALUE(REGEXEXTRACT(M$1,""\d{4}"")),VALUE(REGEXEXTRACT(M$1,""T(\d+)"")),1),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N23" s="86">
        <f>IFERROR(__xludf.DUMMYFUNCTION("LET(
  monthStart,DATE(VALUE(REGEXEXTRACT(N$1,""\d{4}"")),VALUE(REGEXEXTRACT(N$1,""T(\d+)"")),1),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O23" s="86">
        <f>IFERROR(__xludf.DUMMYFUNCTION("LET(
  monthStart,DATE(VALUE(REGEXEXTRACT(O$1,""\d{4}"")),VALUE(REGEXEXTRACT(O$1,""T(\d+)"")),1),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P23" s="86">
        <f>IFERROR(__xludf.DUMMYFUNCTION("LET(
  monthStart,DATE(VALUE(REGEXEXTRACT(P$1,""\d{4}"")),VALUE(REGEXEXTRACT(P$1,""T(\d+)"")),1),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Q23" s="86">
        <f>IFERROR(__xludf.DUMMYFUNCTION("LET(
  monthStart,DATE(VALUE(REGEXEXTRACT(Q$1,""\d{4}"")),VALUE(REGEXEXTRACT(Q$1,""T(\d+)"")),1),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R23" s="86">
        <f>IFERROR(__xludf.DUMMYFUNCTION("LET(
  monthStart,DATE(VALUE(REGEXEXTRACT(R$1,""\d{4}"")),VALUE(REGEXEXTRACT(R$1,""T(\d+)"")),1),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S23" s="86">
        <f>IFERROR(__xludf.DUMMYFUNCTION("LET(
  monthStart,DATE(VALUE(REGEXEXTRACT(S$1,""\d{4}"")),VALUE(REGEXEXTRACT(S$1,""T(\d+)"")),1),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T23" s="86">
        <f>IFERROR(__xludf.DUMMYFUNCTION("LET(
  monthStart,DATE(VALUE(REGEXEXTRACT(T$1,""\d{4}"")),VALUE(REGEXEXTRACT(T$1,""T(\d+)"")),1),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U23" s="86">
        <f>IFERROR(__xludf.DUMMYFUNCTION("LET(
  monthStart,DATE(VALUE(REGEXEXTRACT(U$1,""\d{4}"")),VALUE(REGEXEXTRACT(U$1,""T(\d+)"")),1),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V23" s="86">
        <f>IFERROR(__xludf.DUMMYFUNCTION("LET(
  monthStart,DATE(VALUE(REGEXEXTRACT(V$1,""\d{4}"")),VALUE(REGEXEXTRACT(V$1,""T(\d+)"")),1),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W23" s="86">
        <f>IFERROR(__xludf.DUMMYFUNCTION("LET(
  monthStart,DATE(VALUE(REGEXEXTRACT(W$1,""\d{4}"")),VALUE(REGEXEXTRACT(W$1,""T(\d+)"")),1),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X23" s="86">
        <f>IFERROR(__xludf.DUMMYFUNCTION("LET(
  monthStart,DATE(VALUE(REGEXEXTRACT(X$1,""\d{4}"")),VALUE(REGEXEXTRACT(X$1,""T(\d+)"")),1),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Y23" s="86">
        <f>IFERROR(__xludf.DUMMYFUNCTION("LET(
  monthStart,DATE(VALUE(REGEXEXTRACT(Y$1,""\d{4}"")),VALUE(REGEXEXTRACT(Y$1,""T(\d+)"")),1),
  monthEnd,EOMONTH(monthStart,0),
  actualStart,MAX($D23,monthStart),
  actualEnd,MIN($E23,monthEnd),
  workingDaysInMonth,NETWORKDAYS(monthStart,monthEnd),
"&amp;"  workingDaysOverlap,IF(actualStart&gt;actualEnd,0,NETWORKDAYS(actualStart,actualEnd)),
  IF(workingDaysOverlap=0,"""",$F23*workingDaysOverlap/workingDaysInMonth)
)"),0.0)</f>
        <v>0</v>
      </c>
      <c r="AE23" s="67"/>
      <c r="AF23" s="67"/>
      <c r="AJ23" s="64"/>
      <c r="AK23" s="64"/>
      <c r="AO23" s="64"/>
      <c r="AP23" s="64"/>
      <c r="AT23" s="64"/>
      <c r="AX23" s="64"/>
      <c r="AY23" s="77"/>
      <c r="AZ23" s="77"/>
      <c r="BA23" s="79"/>
      <c r="BB23" s="67"/>
      <c r="BC23" s="67"/>
      <c r="BD23" s="80"/>
      <c r="BH23" s="64"/>
      <c r="BI23" s="64"/>
      <c r="BJ23" s="64"/>
      <c r="BK23" s="64"/>
      <c r="BL23" s="64"/>
      <c r="BM23" s="64"/>
      <c r="BN23" s="64"/>
    </row>
    <row r="24" ht="30.0" customHeight="1">
      <c r="A24" s="81"/>
      <c r="B24" s="61"/>
      <c r="C24" s="83"/>
      <c r="D24" s="84"/>
      <c r="E24" s="84"/>
      <c r="F24" s="86"/>
      <c r="G24" s="86">
        <f>IFERROR(__xludf.DUMMYFUNCTION("LET(
  monthStart,DATE(VALUE(REGEXEXTRACT(G$1,""\d{4}"")),VALUE(REGEXEXTRACT(G$1,""T(\d+)"")),1),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H24" s="86">
        <f>IFERROR(__xludf.DUMMYFUNCTION("LET(
  monthStart,DATE(VALUE(REGEXEXTRACT(H$1,""\d{4}"")),VALUE(REGEXEXTRACT(H$1,""T(\d+)"")),1),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I24" s="86">
        <f>IFERROR(__xludf.DUMMYFUNCTION("LET(
  monthStart,DATE(VALUE(REGEXEXTRACT(I$1,""\d{4}"")),VALUE(REGEXEXTRACT(I$1,""T(\d+)"")),1),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J24" s="86">
        <f>IFERROR(__xludf.DUMMYFUNCTION("LET(
  monthStart,DATE(VALUE(REGEXEXTRACT(J$1,""\d{4}"")),VALUE(REGEXEXTRACT(J$1,""T(\d+)"")),1),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K24" s="86">
        <f>IFERROR(__xludf.DUMMYFUNCTION("LET(
  monthStart,DATE(VALUE(REGEXEXTRACT(K$1,""\d{4}"")),VALUE(REGEXEXTRACT(K$1,""T(\d+)"")),1),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L24" s="86">
        <f>IFERROR(__xludf.DUMMYFUNCTION("LET(
  monthStart,DATE(VALUE(REGEXEXTRACT(L$1,""\d{4}"")),VALUE(REGEXEXTRACT(L$1,""T(\d+)"")),1),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M24" s="86">
        <f>IFERROR(__xludf.DUMMYFUNCTION("LET(
  monthStart,DATE(VALUE(REGEXEXTRACT(M$1,""\d{4}"")),VALUE(REGEXEXTRACT(M$1,""T(\d+)"")),1),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N24" s="86">
        <f>IFERROR(__xludf.DUMMYFUNCTION("LET(
  monthStart,DATE(VALUE(REGEXEXTRACT(N$1,""\d{4}"")),VALUE(REGEXEXTRACT(N$1,""T(\d+)"")),1),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O24" s="86">
        <f>IFERROR(__xludf.DUMMYFUNCTION("LET(
  monthStart,DATE(VALUE(REGEXEXTRACT(O$1,""\d{4}"")),VALUE(REGEXEXTRACT(O$1,""T(\d+)"")),1),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P24" s="86">
        <f>IFERROR(__xludf.DUMMYFUNCTION("LET(
  monthStart,DATE(VALUE(REGEXEXTRACT(P$1,""\d{4}"")),VALUE(REGEXEXTRACT(P$1,""T(\d+)"")),1),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Q24" s="86">
        <f>IFERROR(__xludf.DUMMYFUNCTION("LET(
  monthStart,DATE(VALUE(REGEXEXTRACT(Q$1,""\d{4}"")),VALUE(REGEXEXTRACT(Q$1,""T(\d+)"")),1),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R24" s="86">
        <f>IFERROR(__xludf.DUMMYFUNCTION("LET(
  monthStart,DATE(VALUE(REGEXEXTRACT(R$1,""\d{4}"")),VALUE(REGEXEXTRACT(R$1,""T(\d+)"")),1),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S24" s="86">
        <f>IFERROR(__xludf.DUMMYFUNCTION("LET(
  monthStart,DATE(VALUE(REGEXEXTRACT(S$1,""\d{4}"")),VALUE(REGEXEXTRACT(S$1,""T(\d+)"")),1),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T24" s="86">
        <f>IFERROR(__xludf.DUMMYFUNCTION("LET(
  monthStart,DATE(VALUE(REGEXEXTRACT(T$1,""\d{4}"")),VALUE(REGEXEXTRACT(T$1,""T(\d+)"")),1),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U24" s="86">
        <f>IFERROR(__xludf.DUMMYFUNCTION("LET(
  monthStart,DATE(VALUE(REGEXEXTRACT(U$1,""\d{4}"")),VALUE(REGEXEXTRACT(U$1,""T(\d+)"")),1),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V24" s="86">
        <f>IFERROR(__xludf.DUMMYFUNCTION("LET(
  monthStart,DATE(VALUE(REGEXEXTRACT(V$1,""\d{4}"")),VALUE(REGEXEXTRACT(V$1,""T(\d+)"")),1),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W24" s="86">
        <f>IFERROR(__xludf.DUMMYFUNCTION("LET(
  monthStart,DATE(VALUE(REGEXEXTRACT(W$1,""\d{4}"")),VALUE(REGEXEXTRACT(W$1,""T(\d+)"")),1),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X24" s="86">
        <f>IFERROR(__xludf.DUMMYFUNCTION("LET(
  monthStart,DATE(VALUE(REGEXEXTRACT(X$1,""\d{4}"")),VALUE(REGEXEXTRACT(X$1,""T(\d+)"")),1),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Y24" s="86">
        <f>IFERROR(__xludf.DUMMYFUNCTION("LET(
  monthStart,DATE(VALUE(REGEXEXTRACT(Y$1,""\d{4}"")),VALUE(REGEXEXTRACT(Y$1,""T(\d+)"")),1),
  monthEnd,EOMONTH(monthStart,0),
  actualStart,MAX($D24,monthStart),
  actualEnd,MIN($E24,monthEnd),
  workingDaysInMonth,NETWORKDAYS(monthStart,monthEnd),
"&amp;"  workingDaysOverlap,IF(actualStart&gt;actualEnd,0,NETWORKDAYS(actualStart,actualEnd)),
  IF(workingDaysOverlap=0,"""",$F24*workingDaysOverlap/workingDaysInMonth)
)"),0.0)</f>
        <v>0</v>
      </c>
      <c r="AE24" s="67"/>
      <c r="AF24" s="67"/>
      <c r="AJ24" s="64"/>
      <c r="AK24" s="64"/>
      <c r="AO24" s="64"/>
      <c r="AP24" s="64"/>
      <c r="AT24" s="64"/>
      <c r="AX24" s="64"/>
      <c r="AY24" s="77"/>
      <c r="AZ24" s="77"/>
      <c r="BA24" s="87"/>
      <c r="BB24" s="67"/>
      <c r="BC24" s="67"/>
      <c r="BD24" s="80"/>
      <c r="BH24" s="64"/>
      <c r="BI24" s="64"/>
      <c r="BJ24" s="64"/>
      <c r="BK24" s="64"/>
      <c r="BL24" s="64"/>
      <c r="BM24" s="64"/>
      <c r="BN24" s="64"/>
    </row>
    <row r="25" ht="30.0" customHeight="1">
      <c r="A25" s="81"/>
      <c r="B25" s="61"/>
      <c r="C25" s="83"/>
      <c r="D25" s="84"/>
      <c r="E25" s="84"/>
      <c r="F25" s="86"/>
      <c r="G25" s="86">
        <f>IFERROR(__xludf.DUMMYFUNCTION("LET(
  monthStart,DATE(VALUE(REGEXEXTRACT(G$1,""\d{4}"")),VALUE(REGEXEXTRACT(G$1,""T(\d+)"")),1),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H25" s="86">
        <f>IFERROR(__xludf.DUMMYFUNCTION("LET(
  monthStart,DATE(VALUE(REGEXEXTRACT(H$1,""\d{4}"")),VALUE(REGEXEXTRACT(H$1,""T(\d+)"")),1),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I25" s="86">
        <f>IFERROR(__xludf.DUMMYFUNCTION("LET(
  monthStart,DATE(VALUE(REGEXEXTRACT(I$1,""\d{4}"")),VALUE(REGEXEXTRACT(I$1,""T(\d+)"")),1),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J25" s="86">
        <f>IFERROR(__xludf.DUMMYFUNCTION("LET(
  monthStart,DATE(VALUE(REGEXEXTRACT(J$1,""\d{4}"")),VALUE(REGEXEXTRACT(J$1,""T(\d+)"")),1),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K25" s="86">
        <f>IFERROR(__xludf.DUMMYFUNCTION("LET(
  monthStart,DATE(VALUE(REGEXEXTRACT(K$1,""\d{4}"")),VALUE(REGEXEXTRACT(K$1,""T(\d+)"")),1),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L25" s="86">
        <f>IFERROR(__xludf.DUMMYFUNCTION("LET(
  monthStart,DATE(VALUE(REGEXEXTRACT(L$1,""\d{4}"")),VALUE(REGEXEXTRACT(L$1,""T(\d+)"")),1),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M25" s="86">
        <f>IFERROR(__xludf.DUMMYFUNCTION("LET(
  monthStart,DATE(VALUE(REGEXEXTRACT(M$1,""\d{4}"")),VALUE(REGEXEXTRACT(M$1,""T(\d+)"")),1),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N25" s="86">
        <f>IFERROR(__xludf.DUMMYFUNCTION("LET(
  monthStart,DATE(VALUE(REGEXEXTRACT(N$1,""\d{4}"")),VALUE(REGEXEXTRACT(N$1,""T(\d+)"")),1),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O25" s="86">
        <f>IFERROR(__xludf.DUMMYFUNCTION("LET(
  monthStart,DATE(VALUE(REGEXEXTRACT(O$1,""\d{4}"")),VALUE(REGEXEXTRACT(O$1,""T(\d+)"")),1),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P25" s="86">
        <f>IFERROR(__xludf.DUMMYFUNCTION("LET(
  monthStart,DATE(VALUE(REGEXEXTRACT(P$1,""\d{4}"")),VALUE(REGEXEXTRACT(P$1,""T(\d+)"")),1),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Q25" s="86">
        <f>IFERROR(__xludf.DUMMYFUNCTION("LET(
  monthStart,DATE(VALUE(REGEXEXTRACT(Q$1,""\d{4}"")),VALUE(REGEXEXTRACT(Q$1,""T(\d+)"")),1),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R25" s="86">
        <f>IFERROR(__xludf.DUMMYFUNCTION("LET(
  monthStart,DATE(VALUE(REGEXEXTRACT(R$1,""\d{4}"")),VALUE(REGEXEXTRACT(R$1,""T(\d+)"")),1),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S25" s="86">
        <f>IFERROR(__xludf.DUMMYFUNCTION("LET(
  monthStart,DATE(VALUE(REGEXEXTRACT(S$1,""\d{4}"")),VALUE(REGEXEXTRACT(S$1,""T(\d+)"")),1),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T25" s="86">
        <f>IFERROR(__xludf.DUMMYFUNCTION("LET(
  monthStart,DATE(VALUE(REGEXEXTRACT(T$1,""\d{4}"")),VALUE(REGEXEXTRACT(T$1,""T(\d+)"")),1),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U25" s="86">
        <f>IFERROR(__xludf.DUMMYFUNCTION("LET(
  monthStart,DATE(VALUE(REGEXEXTRACT(U$1,""\d{4}"")),VALUE(REGEXEXTRACT(U$1,""T(\d+)"")),1),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V25" s="86">
        <f>IFERROR(__xludf.DUMMYFUNCTION("LET(
  monthStart,DATE(VALUE(REGEXEXTRACT(V$1,""\d{4}"")),VALUE(REGEXEXTRACT(V$1,""T(\d+)"")),1),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W25" s="86">
        <f>IFERROR(__xludf.DUMMYFUNCTION("LET(
  monthStart,DATE(VALUE(REGEXEXTRACT(W$1,""\d{4}"")),VALUE(REGEXEXTRACT(W$1,""T(\d+)"")),1),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X25" s="86">
        <f>IFERROR(__xludf.DUMMYFUNCTION("LET(
  monthStart,DATE(VALUE(REGEXEXTRACT(X$1,""\d{4}"")),VALUE(REGEXEXTRACT(X$1,""T(\d+)"")),1),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Y25" s="86">
        <f>IFERROR(__xludf.DUMMYFUNCTION("LET(
  monthStart,DATE(VALUE(REGEXEXTRACT(Y$1,""\d{4}"")),VALUE(REGEXEXTRACT(Y$1,""T(\d+)"")),1),
  monthEnd,EOMONTH(monthStart,0),
  actualStart,MAX($D25,monthStart),
  actualEnd,MIN($E25,monthEnd),
  workingDaysInMonth,NETWORKDAYS(monthStart,monthEnd),
"&amp;"  workingDaysOverlap,IF(actualStart&gt;actualEnd,0,NETWORKDAYS(actualStart,actualEnd)),
  IF(workingDaysOverlap=0,"""",$F25*workingDaysOverlap/workingDaysInMonth)
)"),0.0)</f>
        <v>0</v>
      </c>
      <c r="AE25" s="67"/>
      <c r="AF25" s="67"/>
      <c r="AJ25" s="64"/>
      <c r="AK25" s="64"/>
      <c r="AO25" s="64"/>
      <c r="AP25" s="64"/>
      <c r="AT25" s="64"/>
      <c r="AX25" s="64"/>
      <c r="AY25" s="64"/>
      <c r="AZ25" s="77"/>
      <c r="BA25" s="87"/>
      <c r="BB25" s="67"/>
      <c r="BC25" s="67"/>
      <c r="BD25" s="80"/>
      <c r="BH25" s="64"/>
      <c r="BI25" s="64"/>
      <c r="BJ25" s="64"/>
      <c r="BK25" s="64"/>
      <c r="BL25" s="64"/>
      <c r="BM25" s="64"/>
      <c r="BN25" s="64"/>
    </row>
    <row r="26" ht="30.0" customHeight="1">
      <c r="A26" s="81"/>
      <c r="B26" s="61"/>
      <c r="C26" s="83"/>
      <c r="D26" s="84"/>
      <c r="E26" s="84"/>
      <c r="F26" s="86"/>
      <c r="G26" s="86">
        <f>IFERROR(__xludf.DUMMYFUNCTION("LET(
  monthStart,DATE(VALUE(REGEXEXTRACT(G$1,""\d{4}"")),VALUE(REGEXEXTRACT(G$1,""T(\d+)"")),1),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H26" s="86">
        <f>IFERROR(__xludf.DUMMYFUNCTION("LET(
  monthStart,DATE(VALUE(REGEXEXTRACT(H$1,""\d{4}"")),VALUE(REGEXEXTRACT(H$1,""T(\d+)"")),1),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I26" s="86">
        <f>IFERROR(__xludf.DUMMYFUNCTION("LET(
  monthStart,DATE(VALUE(REGEXEXTRACT(I$1,""\d{4}"")),VALUE(REGEXEXTRACT(I$1,""T(\d+)"")),1),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J26" s="86">
        <f>IFERROR(__xludf.DUMMYFUNCTION("LET(
  monthStart,DATE(VALUE(REGEXEXTRACT(J$1,""\d{4}"")),VALUE(REGEXEXTRACT(J$1,""T(\d+)"")),1),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K26" s="86">
        <f>IFERROR(__xludf.DUMMYFUNCTION("LET(
  monthStart,DATE(VALUE(REGEXEXTRACT(K$1,""\d{4}"")),VALUE(REGEXEXTRACT(K$1,""T(\d+)"")),1),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L26" s="86">
        <f>IFERROR(__xludf.DUMMYFUNCTION("LET(
  monthStart,DATE(VALUE(REGEXEXTRACT(L$1,""\d{4}"")),VALUE(REGEXEXTRACT(L$1,""T(\d+)"")),1),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M26" s="86">
        <f>IFERROR(__xludf.DUMMYFUNCTION("LET(
  monthStart,DATE(VALUE(REGEXEXTRACT(M$1,""\d{4}"")),VALUE(REGEXEXTRACT(M$1,""T(\d+)"")),1),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N26" s="86">
        <f>IFERROR(__xludf.DUMMYFUNCTION("LET(
  monthStart,DATE(VALUE(REGEXEXTRACT(N$1,""\d{4}"")),VALUE(REGEXEXTRACT(N$1,""T(\d+)"")),1),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O26" s="86">
        <f>IFERROR(__xludf.DUMMYFUNCTION("LET(
  monthStart,DATE(VALUE(REGEXEXTRACT(O$1,""\d{4}"")),VALUE(REGEXEXTRACT(O$1,""T(\d+)"")),1),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P26" s="86">
        <f>IFERROR(__xludf.DUMMYFUNCTION("LET(
  monthStart,DATE(VALUE(REGEXEXTRACT(P$1,""\d{4}"")),VALUE(REGEXEXTRACT(P$1,""T(\d+)"")),1),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Q26" s="86">
        <f>IFERROR(__xludf.DUMMYFUNCTION("LET(
  monthStart,DATE(VALUE(REGEXEXTRACT(Q$1,""\d{4}"")),VALUE(REGEXEXTRACT(Q$1,""T(\d+)"")),1),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R26" s="86">
        <f>IFERROR(__xludf.DUMMYFUNCTION("LET(
  monthStart,DATE(VALUE(REGEXEXTRACT(R$1,""\d{4}"")),VALUE(REGEXEXTRACT(R$1,""T(\d+)"")),1),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S26" s="86">
        <f>IFERROR(__xludf.DUMMYFUNCTION("LET(
  monthStart,DATE(VALUE(REGEXEXTRACT(S$1,""\d{4}"")),VALUE(REGEXEXTRACT(S$1,""T(\d+)"")),1),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T26" s="86">
        <f>IFERROR(__xludf.DUMMYFUNCTION("LET(
  monthStart,DATE(VALUE(REGEXEXTRACT(T$1,""\d{4}"")),VALUE(REGEXEXTRACT(T$1,""T(\d+)"")),1),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U26" s="86">
        <f>IFERROR(__xludf.DUMMYFUNCTION("LET(
  monthStart,DATE(VALUE(REGEXEXTRACT(U$1,""\d{4}"")),VALUE(REGEXEXTRACT(U$1,""T(\d+)"")),1),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V26" s="86">
        <f>IFERROR(__xludf.DUMMYFUNCTION("LET(
  monthStart,DATE(VALUE(REGEXEXTRACT(V$1,""\d{4}"")),VALUE(REGEXEXTRACT(V$1,""T(\d+)"")),1),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W26" s="86">
        <f>IFERROR(__xludf.DUMMYFUNCTION("LET(
  monthStart,DATE(VALUE(REGEXEXTRACT(W$1,""\d{4}"")),VALUE(REGEXEXTRACT(W$1,""T(\d+)"")),1),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X26" s="86">
        <f>IFERROR(__xludf.DUMMYFUNCTION("LET(
  monthStart,DATE(VALUE(REGEXEXTRACT(X$1,""\d{4}"")),VALUE(REGEXEXTRACT(X$1,""T(\d+)"")),1),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Y26" s="86">
        <f>IFERROR(__xludf.DUMMYFUNCTION("LET(
  monthStart,DATE(VALUE(REGEXEXTRACT(Y$1,""\d{4}"")),VALUE(REGEXEXTRACT(Y$1,""T(\d+)"")),1),
  monthEnd,EOMONTH(monthStart,0),
  actualStart,MAX($D26,monthStart),
  actualEnd,MIN($E26,monthEnd),
  workingDaysInMonth,NETWORKDAYS(monthStart,monthEnd),
"&amp;"  workingDaysOverlap,IF(actualStart&gt;actualEnd,0,NETWORKDAYS(actualStart,actualEnd)),
  IF(workingDaysOverlap=0,"""",$F26*workingDaysOverlap/workingDaysInMonth)
)"),0.0)</f>
        <v>0</v>
      </c>
      <c r="AE26" s="67"/>
      <c r="AF26" s="67"/>
      <c r="AJ26" s="64"/>
      <c r="AK26" s="64"/>
      <c r="AO26" s="64"/>
      <c r="AP26" s="64"/>
      <c r="AT26" s="64"/>
      <c r="AX26" s="64"/>
      <c r="AY26" s="77"/>
      <c r="BD26" s="76"/>
      <c r="BH26" s="64"/>
      <c r="BI26" s="64"/>
      <c r="BJ26" s="64"/>
      <c r="BK26" s="64"/>
      <c r="BL26" s="64"/>
      <c r="BM26" s="64"/>
      <c r="BN26" s="64"/>
    </row>
    <row r="27" ht="30.0" customHeight="1">
      <c r="A27" s="81"/>
      <c r="B27" s="61"/>
      <c r="C27" s="83"/>
      <c r="D27" s="84"/>
      <c r="E27" s="84"/>
      <c r="F27" s="86"/>
      <c r="G27" s="86">
        <f>IFERROR(__xludf.DUMMYFUNCTION("LET(
  monthStart,DATE(VALUE(REGEXEXTRACT(G$1,""\d{4}"")),VALUE(REGEXEXTRACT(G$1,""T(\d+)"")),1),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H27" s="86">
        <f>IFERROR(__xludf.DUMMYFUNCTION("LET(
  monthStart,DATE(VALUE(REGEXEXTRACT(H$1,""\d{4}"")),VALUE(REGEXEXTRACT(H$1,""T(\d+)"")),1),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I27" s="86">
        <f>IFERROR(__xludf.DUMMYFUNCTION("LET(
  monthStart,DATE(VALUE(REGEXEXTRACT(I$1,""\d{4}"")),VALUE(REGEXEXTRACT(I$1,""T(\d+)"")),1),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J27" s="86">
        <f>IFERROR(__xludf.DUMMYFUNCTION("LET(
  monthStart,DATE(VALUE(REGEXEXTRACT(J$1,""\d{4}"")),VALUE(REGEXEXTRACT(J$1,""T(\d+)"")),1),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K27" s="86">
        <f>IFERROR(__xludf.DUMMYFUNCTION("LET(
  monthStart,DATE(VALUE(REGEXEXTRACT(K$1,""\d{4}"")),VALUE(REGEXEXTRACT(K$1,""T(\d+)"")),1),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L27" s="86">
        <f>IFERROR(__xludf.DUMMYFUNCTION("LET(
  monthStart,DATE(VALUE(REGEXEXTRACT(L$1,""\d{4}"")),VALUE(REGEXEXTRACT(L$1,""T(\d+)"")),1),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M27" s="86">
        <f>IFERROR(__xludf.DUMMYFUNCTION("LET(
  monthStart,DATE(VALUE(REGEXEXTRACT(M$1,""\d{4}"")),VALUE(REGEXEXTRACT(M$1,""T(\d+)"")),1),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N27" s="86">
        <f>IFERROR(__xludf.DUMMYFUNCTION("LET(
  monthStart,DATE(VALUE(REGEXEXTRACT(N$1,""\d{4}"")),VALUE(REGEXEXTRACT(N$1,""T(\d+)"")),1),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O27" s="86">
        <f>IFERROR(__xludf.DUMMYFUNCTION("LET(
  monthStart,DATE(VALUE(REGEXEXTRACT(O$1,""\d{4}"")),VALUE(REGEXEXTRACT(O$1,""T(\d+)"")),1),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P27" s="86">
        <f>IFERROR(__xludf.DUMMYFUNCTION("LET(
  monthStart,DATE(VALUE(REGEXEXTRACT(P$1,""\d{4}"")),VALUE(REGEXEXTRACT(P$1,""T(\d+)"")),1),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Q27" s="86">
        <f>IFERROR(__xludf.DUMMYFUNCTION("LET(
  monthStart,DATE(VALUE(REGEXEXTRACT(Q$1,""\d{4}"")),VALUE(REGEXEXTRACT(Q$1,""T(\d+)"")),1),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R27" s="86">
        <f>IFERROR(__xludf.DUMMYFUNCTION("LET(
  monthStart,DATE(VALUE(REGEXEXTRACT(R$1,""\d{4}"")),VALUE(REGEXEXTRACT(R$1,""T(\d+)"")),1),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S27" s="86">
        <f>IFERROR(__xludf.DUMMYFUNCTION("LET(
  monthStart,DATE(VALUE(REGEXEXTRACT(S$1,""\d{4}"")),VALUE(REGEXEXTRACT(S$1,""T(\d+)"")),1),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T27" s="86">
        <f>IFERROR(__xludf.DUMMYFUNCTION("LET(
  monthStart,DATE(VALUE(REGEXEXTRACT(T$1,""\d{4}"")),VALUE(REGEXEXTRACT(T$1,""T(\d+)"")),1),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U27" s="86">
        <f>IFERROR(__xludf.DUMMYFUNCTION("LET(
  monthStart,DATE(VALUE(REGEXEXTRACT(U$1,""\d{4}"")),VALUE(REGEXEXTRACT(U$1,""T(\d+)"")),1),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V27" s="86">
        <f>IFERROR(__xludf.DUMMYFUNCTION("LET(
  monthStart,DATE(VALUE(REGEXEXTRACT(V$1,""\d{4}"")),VALUE(REGEXEXTRACT(V$1,""T(\d+)"")),1),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W27" s="86">
        <f>IFERROR(__xludf.DUMMYFUNCTION("LET(
  monthStart,DATE(VALUE(REGEXEXTRACT(W$1,""\d{4}"")),VALUE(REGEXEXTRACT(W$1,""T(\d+)"")),1),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X27" s="86">
        <f>IFERROR(__xludf.DUMMYFUNCTION("LET(
  monthStart,DATE(VALUE(REGEXEXTRACT(X$1,""\d{4}"")),VALUE(REGEXEXTRACT(X$1,""T(\d+)"")),1),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Y27" s="86">
        <f>IFERROR(__xludf.DUMMYFUNCTION("LET(
  monthStart,DATE(VALUE(REGEXEXTRACT(Y$1,""\d{4}"")),VALUE(REGEXEXTRACT(Y$1,""T(\d+)"")),1),
  monthEnd,EOMONTH(monthStart,0),
  actualStart,MAX($D27,monthStart),
  actualEnd,MIN($E27,monthEnd),
  workingDaysInMonth,NETWORKDAYS(monthStart,monthEnd),
"&amp;"  workingDaysOverlap,IF(actualStart&gt;actualEnd,0,NETWORKDAYS(actualStart,actualEnd)),
  IF(workingDaysOverlap=0,"""",$F27*workingDaysOverlap/workingDaysInMonth)
)"),0.0)</f>
        <v>0</v>
      </c>
      <c r="AE27" s="75"/>
      <c r="AF27" s="75"/>
      <c r="AJ27" s="64"/>
      <c r="AK27" s="64"/>
      <c r="AO27" s="64"/>
      <c r="AP27" s="64"/>
      <c r="AT27" s="64"/>
      <c r="AX27" s="64"/>
      <c r="AY27" s="77"/>
      <c r="AZ27" s="64"/>
      <c r="BA27" s="67"/>
      <c r="BB27" s="67"/>
      <c r="BC27" s="67"/>
      <c r="BD27" s="66"/>
      <c r="BH27" s="64"/>
      <c r="BI27" s="64"/>
      <c r="BJ27" s="64"/>
      <c r="BK27" s="64"/>
      <c r="BL27" s="64"/>
      <c r="BM27" s="64"/>
      <c r="BN27" s="64"/>
    </row>
    <row r="28" ht="30.0" customHeight="1">
      <c r="A28" s="81"/>
      <c r="B28" s="61"/>
      <c r="C28" s="83"/>
      <c r="D28" s="84"/>
      <c r="E28" s="84"/>
      <c r="F28" s="86"/>
      <c r="G28" s="86">
        <f>IFERROR(__xludf.DUMMYFUNCTION("LET(
  monthStart,DATE(VALUE(REGEXEXTRACT(G$1,""\d{4}"")),VALUE(REGEXEXTRACT(G$1,""T(\d+)"")),1),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H28" s="86">
        <f>IFERROR(__xludf.DUMMYFUNCTION("LET(
  monthStart,DATE(VALUE(REGEXEXTRACT(H$1,""\d{4}"")),VALUE(REGEXEXTRACT(H$1,""T(\d+)"")),1),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I28" s="86">
        <f>IFERROR(__xludf.DUMMYFUNCTION("LET(
  monthStart,DATE(VALUE(REGEXEXTRACT(I$1,""\d{4}"")),VALUE(REGEXEXTRACT(I$1,""T(\d+)"")),1),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J28" s="86">
        <f>IFERROR(__xludf.DUMMYFUNCTION("LET(
  monthStart,DATE(VALUE(REGEXEXTRACT(J$1,""\d{4}"")),VALUE(REGEXEXTRACT(J$1,""T(\d+)"")),1),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K28" s="86">
        <f>IFERROR(__xludf.DUMMYFUNCTION("LET(
  monthStart,DATE(VALUE(REGEXEXTRACT(K$1,""\d{4}"")),VALUE(REGEXEXTRACT(K$1,""T(\d+)"")),1),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L28" s="86">
        <f>IFERROR(__xludf.DUMMYFUNCTION("LET(
  monthStart,DATE(VALUE(REGEXEXTRACT(L$1,""\d{4}"")),VALUE(REGEXEXTRACT(L$1,""T(\d+)"")),1),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M28" s="86">
        <f>IFERROR(__xludf.DUMMYFUNCTION("LET(
  monthStart,DATE(VALUE(REGEXEXTRACT(M$1,""\d{4}"")),VALUE(REGEXEXTRACT(M$1,""T(\d+)"")),1),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N28" s="86">
        <f>IFERROR(__xludf.DUMMYFUNCTION("LET(
  monthStart,DATE(VALUE(REGEXEXTRACT(N$1,""\d{4}"")),VALUE(REGEXEXTRACT(N$1,""T(\d+)"")),1),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O28" s="86">
        <f>IFERROR(__xludf.DUMMYFUNCTION("LET(
  monthStart,DATE(VALUE(REGEXEXTRACT(O$1,""\d{4}"")),VALUE(REGEXEXTRACT(O$1,""T(\d+)"")),1),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P28" s="86">
        <f>IFERROR(__xludf.DUMMYFUNCTION("LET(
  monthStart,DATE(VALUE(REGEXEXTRACT(P$1,""\d{4}"")),VALUE(REGEXEXTRACT(P$1,""T(\d+)"")),1),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Q28" s="86">
        <f>IFERROR(__xludf.DUMMYFUNCTION("LET(
  monthStart,DATE(VALUE(REGEXEXTRACT(Q$1,""\d{4}"")),VALUE(REGEXEXTRACT(Q$1,""T(\d+)"")),1),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R28" s="86">
        <f>IFERROR(__xludf.DUMMYFUNCTION("LET(
  monthStart,DATE(VALUE(REGEXEXTRACT(R$1,""\d{4}"")),VALUE(REGEXEXTRACT(R$1,""T(\d+)"")),1),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S28" s="86">
        <f>IFERROR(__xludf.DUMMYFUNCTION("LET(
  monthStart,DATE(VALUE(REGEXEXTRACT(S$1,""\d{4}"")),VALUE(REGEXEXTRACT(S$1,""T(\d+)"")),1),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T28" s="86">
        <f>IFERROR(__xludf.DUMMYFUNCTION("LET(
  monthStart,DATE(VALUE(REGEXEXTRACT(T$1,""\d{4}"")),VALUE(REGEXEXTRACT(T$1,""T(\d+)"")),1),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U28" s="86">
        <f>IFERROR(__xludf.DUMMYFUNCTION("LET(
  monthStart,DATE(VALUE(REGEXEXTRACT(U$1,""\d{4}"")),VALUE(REGEXEXTRACT(U$1,""T(\d+)"")),1),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V28" s="86">
        <f>IFERROR(__xludf.DUMMYFUNCTION("LET(
  monthStart,DATE(VALUE(REGEXEXTRACT(V$1,""\d{4}"")),VALUE(REGEXEXTRACT(V$1,""T(\d+)"")),1),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W28" s="86">
        <f>IFERROR(__xludf.DUMMYFUNCTION("LET(
  monthStart,DATE(VALUE(REGEXEXTRACT(W$1,""\d{4}"")),VALUE(REGEXEXTRACT(W$1,""T(\d+)"")),1),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X28" s="86">
        <f>IFERROR(__xludf.DUMMYFUNCTION("LET(
  monthStart,DATE(VALUE(REGEXEXTRACT(X$1,""\d{4}"")),VALUE(REGEXEXTRACT(X$1,""T(\d+)"")),1),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Y28" s="86">
        <f>IFERROR(__xludf.DUMMYFUNCTION("LET(
  monthStart,DATE(VALUE(REGEXEXTRACT(Y$1,""\d{4}"")),VALUE(REGEXEXTRACT(Y$1,""T(\d+)"")),1),
  monthEnd,EOMONTH(monthStart,0),
  actualStart,MAX($D28,monthStart),
  actualEnd,MIN($E28,monthEnd),
  workingDaysInMonth,NETWORKDAYS(monthStart,monthEnd),
"&amp;"  workingDaysOverlap,IF(actualStart&gt;actualEnd,0,NETWORKDAYS(actualStart,actualEnd)),
  IF(workingDaysOverlap=0,"""",$F28*workingDaysOverlap/workingDaysInMonth)
)"),0.0)</f>
        <v>0</v>
      </c>
      <c r="AE28" s="75"/>
      <c r="AF28" s="75"/>
      <c r="AJ28" s="64"/>
      <c r="AK28" s="64"/>
      <c r="AO28" s="64"/>
      <c r="AP28" s="64"/>
      <c r="AT28" s="64"/>
      <c r="AX28" s="64"/>
      <c r="AY28" s="77"/>
      <c r="AZ28" s="77"/>
      <c r="BA28" s="88"/>
      <c r="BB28" s="72"/>
      <c r="BC28" s="72"/>
      <c r="BD28" s="67"/>
      <c r="BH28" s="64"/>
      <c r="BI28" s="64"/>
      <c r="BJ28" s="64"/>
      <c r="BK28" s="64"/>
      <c r="BL28" s="64"/>
      <c r="BM28" s="64"/>
      <c r="BN28" s="64"/>
    </row>
    <row r="29" ht="30.0" customHeight="1">
      <c r="A29" s="81"/>
      <c r="B29" s="61"/>
      <c r="C29" s="83"/>
      <c r="D29" s="84"/>
      <c r="E29" s="84"/>
      <c r="F29" s="86"/>
      <c r="G29" s="86">
        <f>IFERROR(__xludf.DUMMYFUNCTION("LET(
  monthStart,DATE(VALUE(REGEXEXTRACT(G$1,""\d{4}"")),VALUE(REGEXEXTRACT(G$1,""T(\d+)"")),1),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H29" s="86">
        <f>IFERROR(__xludf.DUMMYFUNCTION("LET(
  monthStart,DATE(VALUE(REGEXEXTRACT(H$1,""\d{4}"")),VALUE(REGEXEXTRACT(H$1,""T(\d+)"")),1),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I29" s="86">
        <f>IFERROR(__xludf.DUMMYFUNCTION("LET(
  monthStart,DATE(VALUE(REGEXEXTRACT(I$1,""\d{4}"")),VALUE(REGEXEXTRACT(I$1,""T(\d+)"")),1),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J29" s="86">
        <f>IFERROR(__xludf.DUMMYFUNCTION("LET(
  monthStart,DATE(VALUE(REGEXEXTRACT(J$1,""\d{4}"")),VALUE(REGEXEXTRACT(J$1,""T(\d+)"")),1),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K29" s="86">
        <f>IFERROR(__xludf.DUMMYFUNCTION("LET(
  monthStart,DATE(VALUE(REGEXEXTRACT(K$1,""\d{4}"")),VALUE(REGEXEXTRACT(K$1,""T(\d+)"")),1),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L29" s="86">
        <f>IFERROR(__xludf.DUMMYFUNCTION("LET(
  monthStart,DATE(VALUE(REGEXEXTRACT(L$1,""\d{4}"")),VALUE(REGEXEXTRACT(L$1,""T(\d+)"")),1),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M29" s="86">
        <f>IFERROR(__xludf.DUMMYFUNCTION("LET(
  monthStart,DATE(VALUE(REGEXEXTRACT(M$1,""\d{4}"")),VALUE(REGEXEXTRACT(M$1,""T(\d+)"")),1),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N29" s="86">
        <f>IFERROR(__xludf.DUMMYFUNCTION("LET(
  monthStart,DATE(VALUE(REGEXEXTRACT(N$1,""\d{4}"")),VALUE(REGEXEXTRACT(N$1,""T(\d+)"")),1),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O29" s="86">
        <f>IFERROR(__xludf.DUMMYFUNCTION("LET(
  monthStart,DATE(VALUE(REGEXEXTRACT(O$1,""\d{4}"")),VALUE(REGEXEXTRACT(O$1,""T(\d+)"")),1),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P29" s="86">
        <f>IFERROR(__xludf.DUMMYFUNCTION("LET(
  monthStart,DATE(VALUE(REGEXEXTRACT(P$1,""\d{4}"")),VALUE(REGEXEXTRACT(P$1,""T(\d+)"")),1),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Q29" s="86">
        <f>IFERROR(__xludf.DUMMYFUNCTION("LET(
  monthStart,DATE(VALUE(REGEXEXTRACT(Q$1,""\d{4}"")),VALUE(REGEXEXTRACT(Q$1,""T(\d+)"")),1),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R29" s="86">
        <f>IFERROR(__xludf.DUMMYFUNCTION("LET(
  monthStart,DATE(VALUE(REGEXEXTRACT(R$1,""\d{4}"")),VALUE(REGEXEXTRACT(R$1,""T(\d+)"")),1),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S29" s="86">
        <f>IFERROR(__xludf.DUMMYFUNCTION("LET(
  monthStart,DATE(VALUE(REGEXEXTRACT(S$1,""\d{4}"")),VALUE(REGEXEXTRACT(S$1,""T(\d+)"")),1),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T29" s="86">
        <f>IFERROR(__xludf.DUMMYFUNCTION("LET(
  monthStart,DATE(VALUE(REGEXEXTRACT(T$1,""\d{4}"")),VALUE(REGEXEXTRACT(T$1,""T(\d+)"")),1),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U29" s="86">
        <f>IFERROR(__xludf.DUMMYFUNCTION("LET(
  monthStart,DATE(VALUE(REGEXEXTRACT(U$1,""\d{4}"")),VALUE(REGEXEXTRACT(U$1,""T(\d+)"")),1),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V29" s="86">
        <f>IFERROR(__xludf.DUMMYFUNCTION("LET(
  monthStart,DATE(VALUE(REGEXEXTRACT(V$1,""\d{4}"")),VALUE(REGEXEXTRACT(V$1,""T(\d+)"")),1),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W29" s="86">
        <f>IFERROR(__xludf.DUMMYFUNCTION("LET(
  monthStart,DATE(VALUE(REGEXEXTRACT(W$1,""\d{4}"")),VALUE(REGEXEXTRACT(W$1,""T(\d+)"")),1),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X29" s="86">
        <f>IFERROR(__xludf.DUMMYFUNCTION("LET(
  monthStart,DATE(VALUE(REGEXEXTRACT(X$1,""\d{4}"")),VALUE(REGEXEXTRACT(X$1,""T(\d+)"")),1),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Y29" s="86">
        <f>IFERROR(__xludf.DUMMYFUNCTION("LET(
  monthStart,DATE(VALUE(REGEXEXTRACT(Y$1,""\d{4}"")),VALUE(REGEXEXTRACT(Y$1,""T(\d+)"")),1),
  monthEnd,EOMONTH(monthStart,0),
  actualStart,MAX($D29,monthStart),
  actualEnd,MIN($E29,monthEnd),
  workingDaysInMonth,NETWORKDAYS(monthStart,monthEnd),
"&amp;"  workingDaysOverlap,IF(actualStart&gt;actualEnd,0,NETWORKDAYS(actualStart,actualEnd)),
  IF(workingDaysOverlap=0,"""",$F29*workingDaysOverlap/workingDaysInMonth)
)"),0.0)</f>
        <v>0</v>
      </c>
      <c r="AE29" s="64"/>
      <c r="AF29" s="64"/>
      <c r="AJ29" s="64"/>
      <c r="AK29" s="64"/>
      <c r="AO29" s="64"/>
      <c r="AP29" s="64"/>
      <c r="AT29" s="64"/>
      <c r="AX29" s="64"/>
      <c r="AY29" s="77"/>
      <c r="AZ29" s="77"/>
      <c r="BA29" s="88"/>
      <c r="BB29" s="72"/>
      <c r="BC29" s="72"/>
      <c r="BD29" s="67"/>
      <c r="BH29" s="64"/>
      <c r="BI29" s="64"/>
      <c r="BJ29" s="64"/>
      <c r="BK29" s="64"/>
      <c r="BL29" s="64"/>
      <c r="BM29" s="64"/>
      <c r="BN29" s="64"/>
    </row>
    <row r="30" ht="30.0" customHeight="1">
      <c r="A30" s="81"/>
      <c r="B30" s="61"/>
      <c r="C30" s="83"/>
      <c r="D30" s="84"/>
      <c r="E30" s="84"/>
      <c r="F30" s="86"/>
      <c r="G30" s="86">
        <f>IFERROR(__xludf.DUMMYFUNCTION("LET(
  monthStart,DATE(VALUE(REGEXEXTRACT(G$1,""\d{4}"")),VALUE(REGEXEXTRACT(G$1,""T(\d+)"")),1),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H30" s="86">
        <f>IFERROR(__xludf.DUMMYFUNCTION("LET(
  monthStart,DATE(VALUE(REGEXEXTRACT(H$1,""\d{4}"")),VALUE(REGEXEXTRACT(H$1,""T(\d+)"")),1),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I30" s="86">
        <f>IFERROR(__xludf.DUMMYFUNCTION("LET(
  monthStart,DATE(VALUE(REGEXEXTRACT(I$1,""\d{4}"")),VALUE(REGEXEXTRACT(I$1,""T(\d+)"")),1),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J30" s="86">
        <f>IFERROR(__xludf.DUMMYFUNCTION("LET(
  monthStart,DATE(VALUE(REGEXEXTRACT(J$1,""\d{4}"")),VALUE(REGEXEXTRACT(J$1,""T(\d+)"")),1),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K30" s="86">
        <f>IFERROR(__xludf.DUMMYFUNCTION("LET(
  monthStart,DATE(VALUE(REGEXEXTRACT(K$1,""\d{4}"")),VALUE(REGEXEXTRACT(K$1,""T(\d+)"")),1),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L30" s="86">
        <f>IFERROR(__xludf.DUMMYFUNCTION("LET(
  monthStart,DATE(VALUE(REGEXEXTRACT(L$1,""\d{4}"")),VALUE(REGEXEXTRACT(L$1,""T(\d+)"")),1),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M30" s="86">
        <f>IFERROR(__xludf.DUMMYFUNCTION("LET(
  monthStart,DATE(VALUE(REGEXEXTRACT(M$1,""\d{4}"")),VALUE(REGEXEXTRACT(M$1,""T(\d+)"")),1),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N30" s="86">
        <f>IFERROR(__xludf.DUMMYFUNCTION("LET(
  monthStart,DATE(VALUE(REGEXEXTRACT(N$1,""\d{4}"")),VALUE(REGEXEXTRACT(N$1,""T(\d+)"")),1),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O30" s="86">
        <f>IFERROR(__xludf.DUMMYFUNCTION("LET(
  monthStart,DATE(VALUE(REGEXEXTRACT(O$1,""\d{4}"")),VALUE(REGEXEXTRACT(O$1,""T(\d+)"")),1),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P30" s="86">
        <f>IFERROR(__xludf.DUMMYFUNCTION("LET(
  monthStart,DATE(VALUE(REGEXEXTRACT(P$1,""\d{4}"")),VALUE(REGEXEXTRACT(P$1,""T(\d+)"")),1),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Q30" s="86">
        <f>IFERROR(__xludf.DUMMYFUNCTION("LET(
  monthStart,DATE(VALUE(REGEXEXTRACT(Q$1,""\d{4}"")),VALUE(REGEXEXTRACT(Q$1,""T(\d+)"")),1),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R30" s="86">
        <f>IFERROR(__xludf.DUMMYFUNCTION("LET(
  monthStart,DATE(VALUE(REGEXEXTRACT(R$1,""\d{4}"")),VALUE(REGEXEXTRACT(R$1,""T(\d+)"")),1),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S30" s="86">
        <f>IFERROR(__xludf.DUMMYFUNCTION("LET(
  monthStart,DATE(VALUE(REGEXEXTRACT(S$1,""\d{4}"")),VALUE(REGEXEXTRACT(S$1,""T(\d+)"")),1),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T30" s="86">
        <f>IFERROR(__xludf.DUMMYFUNCTION("LET(
  monthStart,DATE(VALUE(REGEXEXTRACT(T$1,""\d{4}"")),VALUE(REGEXEXTRACT(T$1,""T(\d+)"")),1),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U30" s="86">
        <f>IFERROR(__xludf.DUMMYFUNCTION("LET(
  monthStart,DATE(VALUE(REGEXEXTRACT(U$1,""\d{4}"")),VALUE(REGEXEXTRACT(U$1,""T(\d+)"")),1),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V30" s="86">
        <f>IFERROR(__xludf.DUMMYFUNCTION("LET(
  monthStart,DATE(VALUE(REGEXEXTRACT(V$1,""\d{4}"")),VALUE(REGEXEXTRACT(V$1,""T(\d+)"")),1),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W30" s="86">
        <f>IFERROR(__xludf.DUMMYFUNCTION("LET(
  monthStart,DATE(VALUE(REGEXEXTRACT(W$1,""\d{4}"")),VALUE(REGEXEXTRACT(W$1,""T(\d+)"")),1),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X30" s="86">
        <f>IFERROR(__xludf.DUMMYFUNCTION("LET(
  monthStart,DATE(VALUE(REGEXEXTRACT(X$1,""\d{4}"")),VALUE(REGEXEXTRACT(X$1,""T(\d+)"")),1),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Y30" s="86">
        <f>IFERROR(__xludf.DUMMYFUNCTION("LET(
  monthStart,DATE(VALUE(REGEXEXTRACT(Y$1,""\d{4}"")),VALUE(REGEXEXTRACT(Y$1,""T(\d+)"")),1),
  monthEnd,EOMONTH(monthStart,0),
  actualStart,MAX($D30,monthStart),
  actualEnd,MIN($E30,monthEnd),
  workingDaysInMonth,NETWORKDAYS(monthStart,monthEnd),
"&amp;"  workingDaysOverlap,IF(actualStart&gt;actualEnd,0,NETWORKDAYS(actualStart,actualEnd)),
  IF(workingDaysOverlap=0,"""",$F30*workingDaysOverlap/workingDaysInMonth)
)"),0.0)</f>
        <v>0</v>
      </c>
      <c r="Z30" s="64"/>
      <c r="AA30" s="64"/>
      <c r="AB30" s="64"/>
      <c r="AC30" s="64"/>
      <c r="AD30" s="64"/>
      <c r="AE30" s="64"/>
      <c r="AF30" s="64"/>
      <c r="AJ30" s="64"/>
      <c r="AK30" s="64"/>
      <c r="AO30" s="64"/>
      <c r="AP30" s="64"/>
      <c r="AT30" s="64"/>
      <c r="AX30" s="64"/>
      <c r="AY30" s="77"/>
      <c r="AZ30" s="77"/>
      <c r="BA30" s="87"/>
      <c r="BB30" s="72"/>
      <c r="BC30" s="72"/>
      <c r="BD30" s="67"/>
      <c r="BH30" s="64"/>
      <c r="BI30" s="64"/>
      <c r="BJ30" s="64"/>
      <c r="BK30" s="64"/>
      <c r="BL30" s="64"/>
      <c r="BM30" s="64"/>
      <c r="BN30" s="64"/>
    </row>
    <row r="31" ht="30.0" customHeight="1">
      <c r="A31" s="81"/>
      <c r="B31" s="61"/>
      <c r="C31" s="83"/>
      <c r="D31" s="84"/>
      <c r="E31" s="84"/>
      <c r="F31" s="86"/>
      <c r="G31" s="86">
        <f>IFERROR(__xludf.DUMMYFUNCTION("LET(
  monthStart,DATE(VALUE(REGEXEXTRACT(G$1,""\d{4}"")),VALUE(REGEXEXTRACT(G$1,""T(\d+)"")),1),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H31" s="86">
        <f>IFERROR(__xludf.DUMMYFUNCTION("LET(
  monthStart,DATE(VALUE(REGEXEXTRACT(H$1,""\d{4}"")),VALUE(REGEXEXTRACT(H$1,""T(\d+)"")),1),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I31" s="86">
        <f>IFERROR(__xludf.DUMMYFUNCTION("LET(
  monthStart,DATE(VALUE(REGEXEXTRACT(I$1,""\d{4}"")),VALUE(REGEXEXTRACT(I$1,""T(\d+)"")),1),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J31" s="86">
        <f>IFERROR(__xludf.DUMMYFUNCTION("LET(
  monthStart,DATE(VALUE(REGEXEXTRACT(J$1,""\d{4}"")),VALUE(REGEXEXTRACT(J$1,""T(\d+)"")),1),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K31" s="86">
        <f>IFERROR(__xludf.DUMMYFUNCTION("LET(
  monthStart,DATE(VALUE(REGEXEXTRACT(K$1,""\d{4}"")),VALUE(REGEXEXTRACT(K$1,""T(\d+)"")),1),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L31" s="86">
        <f>IFERROR(__xludf.DUMMYFUNCTION("LET(
  monthStart,DATE(VALUE(REGEXEXTRACT(L$1,""\d{4}"")),VALUE(REGEXEXTRACT(L$1,""T(\d+)"")),1),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M31" s="86">
        <f>IFERROR(__xludf.DUMMYFUNCTION("LET(
  monthStart,DATE(VALUE(REGEXEXTRACT(M$1,""\d{4}"")),VALUE(REGEXEXTRACT(M$1,""T(\d+)"")),1),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N31" s="86">
        <f>IFERROR(__xludf.DUMMYFUNCTION("LET(
  monthStart,DATE(VALUE(REGEXEXTRACT(N$1,""\d{4}"")),VALUE(REGEXEXTRACT(N$1,""T(\d+)"")),1),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O31" s="86">
        <f>IFERROR(__xludf.DUMMYFUNCTION("LET(
  monthStart,DATE(VALUE(REGEXEXTRACT(O$1,""\d{4}"")),VALUE(REGEXEXTRACT(O$1,""T(\d+)"")),1),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P31" s="86">
        <f>IFERROR(__xludf.DUMMYFUNCTION("LET(
  monthStart,DATE(VALUE(REGEXEXTRACT(P$1,""\d{4}"")),VALUE(REGEXEXTRACT(P$1,""T(\d+)"")),1),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Q31" s="86">
        <f>IFERROR(__xludf.DUMMYFUNCTION("LET(
  monthStart,DATE(VALUE(REGEXEXTRACT(Q$1,""\d{4}"")),VALUE(REGEXEXTRACT(Q$1,""T(\d+)"")),1),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R31" s="86">
        <f>IFERROR(__xludf.DUMMYFUNCTION("LET(
  monthStart,DATE(VALUE(REGEXEXTRACT(R$1,""\d{4}"")),VALUE(REGEXEXTRACT(R$1,""T(\d+)"")),1),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S31" s="86">
        <f>IFERROR(__xludf.DUMMYFUNCTION("LET(
  monthStart,DATE(VALUE(REGEXEXTRACT(S$1,""\d{4}"")),VALUE(REGEXEXTRACT(S$1,""T(\d+)"")),1),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T31" s="86">
        <f>IFERROR(__xludf.DUMMYFUNCTION("LET(
  monthStart,DATE(VALUE(REGEXEXTRACT(T$1,""\d{4}"")),VALUE(REGEXEXTRACT(T$1,""T(\d+)"")),1),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U31" s="86">
        <f>IFERROR(__xludf.DUMMYFUNCTION("LET(
  monthStart,DATE(VALUE(REGEXEXTRACT(U$1,""\d{4}"")),VALUE(REGEXEXTRACT(U$1,""T(\d+)"")),1),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V31" s="86">
        <f>IFERROR(__xludf.DUMMYFUNCTION("LET(
  monthStart,DATE(VALUE(REGEXEXTRACT(V$1,""\d{4}"")),VALUE(REGEXEXTRACT(V$1,""T(\d+)"")),1),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W31" s="86">
        <f>IFERROR(__xludf.DUMMYFUNCTION("LET(
  monthStart,DATE(VALUE(REGEXEXTRACT(W$1,""\d{4}"")),VALUE(REGEXEXTRACT(W$1,""T(\d+)"")),1),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X31" s="86">
        <f>IFERROR(__xludf.DUMMYFUNCTION("LET(
  monthStart,DATE(VALUE(REGEXEXTRACT(X$1,""\d{4}"")),VALUE(REGEXEXTRACT(X$1,""T(\d+)"")),1),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Y31" s="86">
        <f>IFERROR(__xludf.DUMMYFUNCTION("LET(
  monthStart,DATE(VALUE(REGEXEXTRACT(Y$1,""\d{4}"")),VALUE(REGEXEXTRACT(Y$1,""T(\d+)"")),1),
  monthEnd,EOMONTH(monthStart,0),
  actualStart,MAX($D31,monthStart),
  actualEnd,MIN($E31,monthEnd),
  workingDaysInMonth,NETWORKDAYS(monthStart,monthEnd),
"&amp;"  workingDaysOverlap,IF(actualStart&gt;actualEnd,0,NETWORKDAYS(actualStart,actualEnd)),
  IF(workingDaysOverlap=0,"""",$F31*workingDaysOverlap/workingDaysInMonth)
)"),0.0)</f>
        <v>0</v>
      </c>
      <c r="Z31" s="67"/>
      <c r="AA31" s="67"/>
      <c r="AB31" s="67"/>
      <c r="AC31" s="67"/>
      <c r="AD31" s="67"/>
      <c r="AE31" s="67"/>
      <c r="AF31" s="64"/>
      <c r="AJ31" s="64"/>
      <c r="AK31" s="64"/>
      <c r="AO31" s="64"/>
      <c r="AP31" s="64"/>
      <c r="AT31" s="64"/>
      <c r="AX31" s="64"/>
      <c r="AY31" s="77"/>
      <c r="AZ31" s="77"/>
      <c r="BA31" s="88"/>
      <c r="BB31" s="72"/>
      <c r="BC31" s="72"/>
      <c r="BD31" s="67"/>
      <c r="BH31" s="64"/>
      <c r="BI31" s="64"/>
      <c r="BJ31" s="64"/>
      <c r="BK31" s="64"/>
      <c r="BL31" s="64"/>
      <c r="BM31" s="64"/>
      <c r="BN31" s="64"/>
    </row>
    <row r="32" ht="30.0" customHeight="1">
      <c r="A32" s="81"/>
      <c r="B32" s="61"/>
      <c r="C32" s="83"/>
      <c r="D32" s="84"/>
      <c r="E32" s="84"/>
      <c r="F32" s="86"/>
      <c r="G32" s="86">
        <f>IFERROR(__xludf.DUMMYFUNCTION("LET(
  monthStart,DATE(VALUE(REGEXEXTRACT(G$1,""\d{4}"")),VALUE(REGEXEXTRACT(G$1,""T(\d+)"")),1),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H32" s="86">
        <f>IFERROR(__xludf.DUMMYFUNCTION("LET(
  monthStart,DATE(VALUE(REGEXEXTRACT(H$1,""\d{4}"")),VALUE(REGEXEXTRACT(H$1,""T(\d+)"")),1),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I32" s="86">
        <f>IFERROR(__xludf.DUMMYFUNCTION("LET(
  monthStart,DATE(VALUE(REGEXEXTRACT(I$1,""\d{4}"")),VALUE(REGEXEXTRACT(I$1,""T(\d+)"")),1),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J32" s="86">
        <f>IFERROR(__xludf.DUMMYFUNCTION("LET(
  monthStart,DATE(VALUE(REGEXEXTRACT(J$1,""\d{4}"")),VALUE(REGEXEXTRACT(J$1,""T(\d+)"")),1),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K32" s="86">
        <f>IFERROR(__xludf.DUMMYFUNCTION("LET(
  monthStart,DATE(VALUE(REGEXEXTRACT(K$1,""\d{4}"")),VALUE(REGEXEXTRACT(K$1,""T(\d+)"")),1),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L32" s="86">
        <f>IFERROR(__xludf.DUMMYFUNCTION("LET(
  monthStart,DATE(VALUE(REGEXEXTRACT(L$1,""\d{4}"")),VALUE(REGEXEXTRACT(L$1,""T(\d+)"")),1),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M32" s="86">
        <f>IFERROR(__xludf.DUMMYFUNCTION("LET(
  monthStart,DATE(VALUE(REGEXEXTRACT(M$1,""\d{4}"")),VALUE(REGEXEXTRACT(M$1,""T(\d+)"")),1),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N32" s="86">
        <f>IFERROR(__xludf.DUMMYFUNCTION("LET(
  monthStart,DATE(VALUE(REGEXEXTRACT(N$1,""\d{4}"")),VALUE(REGEXEXTRACT(N$1,""T(\d+)"")),1),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O32" s="86">
        <f>IFERROR(__xludf.DUMMYFUNCTION("LET(
  monthStart,DATE(VALUE(REGEXEXTRACT(O$1,""\d{4}"")),VALUE(REGEXEXTRACT(O$1,""T(\d+)"")),1),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P32" s="86">
        <f>IFERROR(__xludf.DUMMYFUNCTION("LET(
  monthStart,DATE(VALUE(REGEXEXTRACT(P$1,""\d{4}"")),VALUE(REGEXEXTRACT(P$1,""T(\d+)"")),1),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Q32" s="86">
        <f>IFERROR(__xludf.DUMMYFUNCTION("LET(
  monthStart,DATE(VALUE(REGEXEXTRACT(Q$1,""\d{4}"")),VALUE(REGEXEXTRACT(Q$1,""T(\d+)"")),1),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R32" s="86">
        <f>IFERROR(__xludf.DUMMYFUNCTION("LET(
  monthStart,DATE(VALUE(REGEXEXTRACT(R$1,""\d{4}"")),VALUE(REGEXEXTRACT(R$1,""T(\d+)"")),1),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S32" s="86">
        <f>IFERROR(__xludf.DUMMYFUNCTION("LET(
  monthStart,DATE(VALUE(REGEXEXTRACT(S$1,""\d{4}"")),VALUE(REGEXEXTRACT(S$1,""T(\d+)"")),1),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T32" s="86">
        <f>IFERROR(__xludf.DUMMYFUNCTION("LET(
  monthStart,DATE(VALUE(REGEXEXTRACT(T$1,""\d{4}"")),VALUE(REGEXEXTRACT(T$1,""T(\d+)"")),1),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U32" s="86">
        <f>IFERROR(__xludf.DUMMYFUNCTION("LET(
  monthStart,DATE(VALUE(REGEXEXTRACT(U$1,""\d{4}"")),VALUE(REGEXEXTRACT(U$1,""T(\d+)"")),1),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V32" s="86">
        <f>IFERROR(__xludf.DUMMYFUNCTION("LET(
  monthStart,DATE(VALUE(REGEXEXTRACT(V$1,""\d{4}"")),VALUE(REGEXEXTRACT(V$1,""T(\d+)"")),1),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W32" s="86">
        <f>IFERROR(__xludf.DUMMYFUNCTION("LET(
  monthStart,DATE(VALUE(REGEXEXTRACT(W$1,""\d{4}"")),VALUE(REGEXEXTRACT(W$1,""T(\d+)"")),1),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X32" s="86">
        <f>IFERROR(__xludf.DUMMYFUNCTION("LET(
  monthStart,DATE(VALUE(REGEXEXTRACT(X$1,""\d{4}"")),VALUE(REGEXEXTRACT(X$1,""T(\d+)"")),1),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Y32" s="86">
        <f>IFERROR(__xludf.DUMMYFUNCTION("LET(
  monthStart,DATE(VALUE(REGEXEXTRACT(Y$1,""\d{4}"")),VALUE(REGEXEXTRACT(Y$1,""T(\d+)"")),1),
  monthEnd,EOMONTH(monthStart,0),
  actualStart,MAX($D32,monthStart),
  actualEnd,MIN($E32,monthEnd),
  workingDaysInMonth,NETWORKDAYS(monthStart,monthEnd),
"&amp;"  workingDaysOverlap,IF(actualStart&gt;actualEnd,0,NETWORKDAYS(actualStart,actualEnd)),
  IF(workingDaysOverlap=0,"""",$F32*workingDaysOverlap/workingDaysInMonth)
)"),0.0)</f>
        <v>0</v>
      </c>
      <c r="Z32" s="67"/>
      <c r="AA32" s="67"/>
      <c r="AB32" s="67"/>
      <c r="AC32" s="67"/>
      <c r="AD32" s="67"/>
      <c r="AE32" s="67"/>
      <c r="AF32" s="64"/>
      <c r="AJ32" s="64"/>
      <c r="AK32" s="64"/>
      <c r="AO32" s="64"/>
      <c r="AP32" s="64"/>
      <c r="AT32" s="64"/>
      <c r="AX32" s="64"/>
      <c r="AY32" s="77"/>
      <c r="AZ32" s="77"/>
      <c r="BA32" s="88"/>
      <c r="BB32" s="72"/>
      <c r="BC32" s="72"/>
      <c r="BD32" s="67"/>
      <c r="BH32" s="64"/>
      <c r="BI32" s="64"/>
      <c r="BJ32" s="64"/>
      <c r="BK32" s="64"/>
      <c r="BL32" s="64"/>
      <c r="BM32" s="64"/>
      <c r="BN32" s="64"/>
    </row>
    <row r="33" ht="30.0" customHeight="1">
      <c r="A33" s="81"/>
      <c r="B33" s="61"/>
      <c r="C33" s="83"/>
      <c r="D33" s="84"/>
      <c r="E33" s="84"/>
      <c r="F33" s="86"/>
      <c r="G33" s="86">
        <f>IFERROR(__xludf.DUMMYFUNCTION("LET(
  monthStart,DATE(VALUE(REGEXEXTRACT(G$1,""\d{4}"")),VALUE(REGEXEXTRACT(G$1,""T(\d+)"")),1),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H33" s="86">
        <f>IFERROR(__xludf.DUMMYFUNCTION("LET(
  monthStart,DATE(VALUE(REGEXEXTRACT(H$1,""\d{4}"")),VALUE(REGEXEXTRACT(H$1,""T(\d+)"")),1),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I33" s="86">
        <f>IFERROR(__xludf.DUMMYFUNCTION("LET(
  monthStart,DATE(VALUE(REGEXEXTRACT(I$1,""\d{4}"")),VALUE(REGEXEXTRACT(I$1,""T(\d+)"")),1),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J33" s="86">
        <f>IFERROR(__xludf.DUMMYFUNCTION("LET(
  monthStart,DATE(VALUE(REGEXEXTRACT(J$1,""\d{4}"")),VALUE(REGEXEXTRACT(J$1,""T(\d+)"")),1),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K33" s="86">
        <f>IFERROR(__xludf.DUMMYFUNCTION("LET(
  monthStart,DATE(VALUE(REGEXEXTRACT(K$1,""\d{4}"")),VALUE(REGEXEXTRACT(K$1,""T(\d+)"")),1),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L33" s="86">
        <f>IFERROR(__xludf.DUMMYFUNCTION("LET(
  monthStart,DATE(VALUE(REGEXEXTRACT(L$1,""\d{4}"")),VALUE(REGEXEXTRACT(L$1,""T(\d+)"")),1),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M33" s="86">
        <f>IFERROR(__xludf.DUMMYFUNCTION("LET(
  monthStart,DATE(VALUE(REGEXEXTRACT(M$1,""\d{4}"")),VALUE(REGEXEXTRACT(M$1,""T(\d+)"")),1),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N33" s="86">
        <f>IFERROR(__xludf.DUMMYFUNCTION("LET(
  monthStart,DATE(VALUE(REGEXEXTRACT(N$1,""\d{4}"")),VALUE(REGEXEXTRACT(N$1,""T(\d+)"")),1),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O33" s="86">
        <f>IFERROR(__xludf.DUMMYFUNCTION("LET(
  monthStart,DATE(VALUE(REGEXEXTRACT(O$1,""\d{4}"")),VALUE(REGEXEXTRACT(O$1,""T(\d+)"")),1),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P33" s="86">
        <f>IFERROR(__xludf.DUMMYFUNCTION("LET(
  monthStart,DATE(VALUE(REGEXEXTRACT(P$1,""\d{4}"")),VALUE(REGEXEXTRACT(P$1,""T(\d+)"")),1),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Q33" s="86">
        <f>IFERROR(__xludf.DUMMYFUNCTION("LET(
  monthStart,DATE(VALUE(REGEXEXTRACT(Q$1,""\d{4}"")),VALUE(REGEXEXTRACT(Q$1,""T(\d+)"")),1),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R33" s="86">
        <f>IFERROR(__xludf.DUMMYFUNCTION("LET(
  monthStart,DATE(VALUE(REGEXEXTRACT(R$1,""\d{4}"")),VALUE(REGEXEXTRACT(R$1,""T(\d+)"")),1),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S33" s="86">
        <f>IFERROR(__xludf.DUMMYFUNCTION("LET(
  monthStart,DATE(VALUE(REGEXEXTRACT(S$1,""\d{4}"")),VALUE(REGEXEXTRACT(S$1,""T(\d+)"")),1),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T33" s="86">
        <f>IFERROR(__xludf.DUMMYFUNCTION("LET(
  monthStart,DATE(VALUE(REGEXEXTRACT(T$1,""\d{4}"")),VALUE(REGEXEXTRACT(T$1,""T(\d+)"")),1),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U33" s="86">
        <f>IFERROR(__xludf.DUMMYFUNCTION("LET(
  monthStart,DATE(VALUE(REGEXEXTRACT(U$1,""\d{4}"")),VALUE(REGEXEXTRACT(U$1,""T(\d+)"")),1),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V33" s="86">
        <f>IFERROR(__xludf.DUMMYFUNCTION("LET(
  monthStart,DATE(VALUE(REGEXEXTRACT(V$1,""\d{4}"")),VALUE(REGEXEXTRACT(V$1,""T(\d+)"")),1),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W33" s="86">
        <f>IFERROR(__xludf.DUMMYFUNCTION("LET(
  monthStart,DATE(VALUE(REGEXEXTRACT(W$1,""\d{4}"")),VALUE(REGEXEXTRACT(W$1,""T(\d+)"")),1),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X33" s="86">
        <f>IFERROR(__xludf.DUMMYFUNCTION("LET(
  monthStart,DATE(VALUE(REGEXEXTRACT(X$1,""\d{4}"")),VALUE(REGEXEXTRACT(X$1,""T(\d+)"")),1),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Y33" s="86">
        <f>IFERROR(__xludf.DUMMYFUNCTION("LET(
  monthStart,DATE(VALUE(REGEXEXTRACT(Y$1,""\d{4}"")),VALUE(REGEXEXTRACT(Y$1,""T(\d+)"")),1),
  monthEnd,EOMONTH(monthStart,0),
  actualStart,MAX($D33,monthStart),
  actualEnd,MIN($E33,monthEnd),
  workingDaysInMonth,NETWORKDAYS(monthStart,monthEnd),
"&amp;"  workingDaysOverlap,IF(actualStart&gt;actualEnd,0,NETWORKDAYS(actualStart,actualEnd)),
  IF(workingDaysOverlap=0,"""",$F33*workingDaysOverlap/workingDaysInMonth)
)"),0.0)</f>
        <v>0</v>
      </c>
      <c r="Z33" s="67"/>
      <c r="AA33" s="67"/>
      <c r="AB33" s="67"/>
      <c r="AC33" s="67"/>
      <c r="AD33" s="67"/>
      <c r="AE33" s="67"/>
      <c r="AF33" s="64"/>
      <c r="AJ33" s="64"/>
      <c r="AK33" s="64"/>
      <c r="AO33" s="64"/>
      <c r="AP33" s="64"/>
      <c r="AT33" s="64"/>
      <c r="AX33" s="64"/>
      <c r="AY33" s="77"/>
      <c r="AZ33" s="77"/>
      <c r="BA33" s="87"/>
      <c r="BB33" s="72"/>
      <c r="BC33" s="72"/>
      <c r="BD33" s="67"/>
      <c r="BH33" s="64"/>
      <c r="BI33" s="64"/>
      <c r="BJ33" s="64"/>
      <c r="BK33" s="64"/>
      <c r="BL33" s="64"/>
      <c r="BM33" s="64"/>
      <c r="BN33" s="64"/>
    </row>
    <row r="34" ht="30.0" customHeight="1">
      <c r="A34" s="81"/>
      <c r="B34" s="61"/>
      <c r="C34" s="83"/>
      <c r="D34" s="84"/>
      <c r="E34" s="84"/>
      <c r="F34" s="86"/>
      <c r="G34" s="86">
        <f>IFERROR(__xludf.DUMMYFUNCTION("LET(
  monthStart,DATE(VALUE(REGEXEXTRACT(G$1,""\d{4}"")),VALUE(REGEXEXTRACT(G$1,""T(\d+)"")),1),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H34" s="86">
        <f>IFERROR(__xludf.DUMMYFUNCTION("LET(
  monthStart,DATE(VALUE(REGEXEXTRACT(H$1,""\d{4}"")),VALUE(REGEXEXTRACT(H$1,""T(\d+)"")),1),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I34" s="86">
        <f>IFERROR(__xludf.DUMMYFUNCTION("LET(
  monthStart,DATE(VALUE(REGEXEXTRACT(I$1,""\d{4}"")),VALUE(REGEXEXTRACT(I$1,""T(\d+)"")),1),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J34" s="86">
        <f>IFERROR(__xludf.DUMMYFUNCTION("LET(
  monthStart,DATE(VALUE(REGEXEXTRACT(J$1,""\d{4}"")),VALUE(REGEXEXTRACT(J$1,""T(\d+)"")),1),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K34" s="86">
        <f>IFERROR(__xludf.DUMMYFUNCTION("LET(
  monthStart,DATE(VALUE(REGEXEXTRACT(K$1,""\d{4}"")),VALUE(REGEXEXTRACT(K$1,""T(\d+)"")),1),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L34" s="86">
        <f>IFERROR(__xludf.DUMMYFUNCTION("LET(
  monthStart,DATE(VALUE(REGEXEXTRACT(L$1,""\d{4}"")),VALUE(REGEXEXTRACT(L$1,""T(\d+)"")),1),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M34" s="86">
        <f>IFERROR(__xludf.DUMMYFUNCTION("LET(
  monthStart,DATE(VALUE(REGEXEXTRACT(M$1,""\d{4}"")),VALUE(REGEXEXTRACT(M$1,""T(\d+)"")),1),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N34" s="86">
        <f>IFERROR(__xludf.DUMMYFUNCTION("LET(
  monthStart,DATE(VALUE(REGEXEXTRACT(N$1,""\d{4}"")),VALUE(REGEXEXTRACT(N$1,""T(\d+)"")),1),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O34" s="86">
        <f>IFERROR(__xludf.DUMMYFUNCTION("LET(
  monthStart,DATE(VALUE(REGEXEXTRACT(O$1,""\d{4}"")),VALUE(REGEXEXTRACT(O$1,""T(\d+)"")),1),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P34" s="86">
        <f>IFERROR(__xludf.DUMMYFUNCTION("LET(
  monthStart,DATE(VALUE(REGEXEXTRACT(P$1,""\d{4}"")),VALUE(REGEXEXTRACT(P$1,""T(\d+)"")),1),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Q34" s="86">
        <f>IFERROR(__xludf.DUMMYFUNCTION("LET(
  monthStart,DATE(VALUE(REGEXEXTRACT(Q$1,""\d{4}"")),VALUE(REGEXEXTRACT(Q$1,""T(\d+)"")),1),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R34" s="86">
        <f>IFERROR(__xludf.DUMMYFUNCTION("LET(
  monthStart,DATE(VALUE(REGEXEXTRACT(R$1,""\d{4}"")),VALUE(REGEXEXTRACT(R$1,""T(\d+)"")),1),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S34" s="86">
        <f>IFERROR(__xludf.DUMMYFUNCTION("LET(
  monthStart,DATE(VALUE(REGEXEXTRACT(S$1,""\d{4}"")),VALUE(REGEXEXTRACT(S$1,""T(\d+)"")),1),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T34" s="86">
        <f>IFERROR(__xludf.DUMMYFUNCTION("LET(
  monthStart,DATE(VALUE(REGEXEXTRACT(T$1,""\d{4}"")),VALUE(REGEXEXTRACT(T$1,""T(\d+)"")),1),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U34" s="86">
        <f>IFERROR(__xludf.DUMMYFUNCTION("LET(
  monthStart,DATE(VALUE(REGEXEXTRACT(U$1,""\d{4}"")),VALUE(REGEXEXTRACT(U$1,""T(\d+)"")),1),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V34" s="86">
        <f>IFERROR(__xludf.DUMMYFUNCTION("LET(
  monthStart,DATE(VALUE(REGEXEXTRACT(V$1,""\d{4}"")),VALUE(REGEXEXTRACT(V$1,""T(\d+)"")),1),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W34" s="86">
        <f>IFERROR(__xludf.DUMMYFUNCTION("LET(
  monthStart,DATE(VALUE(REGEXEXTRACT(W$1,""\d{4}"")),VALUE(REGEXEXTRACT(W$1,""T(\d+)"")),1),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X34" s="86">
        <f>IFERROR(__xludf.DUMMYFUNCTION("LET(
  monthStart,DATE(VALUE(REGEXEXTRACT(X$1,""\d{4}"")),VALUE(REGEXEXTRACT(X$1,""T(\d+)"")),1),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Y34" s="86">
        <f>IFERROR(__xludf.DUMMYFUNCTION("LET(
  monthStart,DATE(VALUE(REGEXEXTRACT(Y$1,""\d{4}"")),VALUE(REGEXEXTRACT(Y$1,""T(\d+)"")),1),
  monthEnd,EOMONTH(monthStart,0),
  actualStart,MAX($D34,monthStart),
  actualEnd,MIN($E34,monthEnd),
  workingDaysInMonth,NETWORKDAYS(monthStart,monthEnd),
"&amp;"  workingDaysOverlap,IF(actualStart&gt;actualEnd,0,NETWORKDAYS(actualStart,actualEnd)),
  IF(workingDaysOverlap=0,"""",$F34*workingDaysOverlap/workingDaysInMonth)
)"),0.0)</f>
        <v>0</v>
      </c>
      <c r="Z34" s="67"/>
      <c r="AA34" s="67"/>
      <c r="AB34" s="67"/>
      <c r="AC34" s="67"/>
      <c r="AD34" s="67"/>
      <c r="AE34" s="67"/>
      <c r="AF34" s="64"/>
      <c r="AJ34" s="64"/>
      <c r="AK34" s="64"/>
      <c r="AO34" s="64"/>
      <c r="AP34" s="64"/>
      <c r="AT34" s="64"/>
      <c r="AX34" s="64"/>
      <c r="AY34" s="77"/>
      <c r="AZ34" s="77"/>
      <c r="BA34" s="88"/>
      <c r="BB34" s="72"/>
      <c r="BC34" s="72"/>
      <c r="BD34" s="67"/>
      <c r="BH34" s="64"/>
      <c r="BI34" s="64"/>
      <c r="BJ34" s="64"/>
      <c r="BK34" s="64"/>
      <c r="BL34" s="64"/>
      <c r="BM34" s="64"/>
      <c r="BN34" s="64"/>
    </row>
    <row r="35" ht="30.0" customHeight="1">
      <c r="A35" s="81"/>
      <c r="B35" s="61"/>
      <c r="C35" s="83"/>
      <c r="D35" s="84"/>
      <c r="E35" s="84"/>
      <c r="F35" s="86"/>
      <c r="G35" s="86">
        <f>IFERROR(__xludf.DUMMYFUNCTION("LET(
  monthStart,DATE(VALUE(REGEXEXTRACT(G$1,""\d{4}"")),VALUE(REGEXEXTRACT(G$1,""T(\d+)"")),1),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H35" s="86">
        <f>IFERROR(__xludf.DUMMYFUNCTION("LET(
  monthStart,DATE(VALUE(REGEXEXTRACT(H$1,""\d{4}"")),VALUE(REGEXEXTRACT(H$1,""T(\d+)"")),1),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I35" s="86">
        <f>IFERROR(__xludf.DUMMYFUNCTION("LET(
  monthStart,DATE(VALUE(REGEXEXTRACT(I$1,""\d{4}"")),VALUE(REGEXEXTRACT(I$1,""T(\d+)"")),1),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J35" s="86">
        <f>IFERROR(__xludf.DUMMYFUNCTION("LET(
  monthStart,DATE(VALUE(REGEXEXTRACT(J$1,""\d{4}"")),VALUE(REGEXEXTRACT(J$1,""T(\d+)"")),1),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K35" s="86">
        <f>IFERROR(__xludf.DUMMYFUNCTION("LET(
  monthStart,DATE(VALUE(REGEXEXTRACT(K$1,""\d{4}"")),VALUE(REGEXEXTRACT(K$1,""T(\d+)"")),1),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L35" s="86">
        <f>IFERROR(__xludf.DUMMYFUNCTION("LET(
  monthStart,DATE(VALUE(REGEXEXTRACT(L$1,""\d{4}"")),VALUE(REGEXEXTRACT(L$1,""T(\d+)"")),1),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M35" s="86">
        <f>IFERROR(__xludf.DUMMYFUNCTION("LET(
  monthStart,DATE(VALUE(REGEXEXTRACT(M$1,""\d{4}"")),VALUE(REGEXEXTRACT(M$1,""T(\d+)"")),1),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N35" s="86">
        <f>IFERROR(__xludf.DUMMYFUNCTION("LET(
  monthStart,DATE(VALUE(REGEXEXTRACT(N$1,""\d{4}"")),VALUE(REGEXEXTRACT(N$1,""T(\d+)"")),1),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O35" s="86">
        <f>IFERROR(__xludf.DUMMYFUNCTION("LET(
  monthStart,DATE(VALUE(REGEXEXTRACT(O$1,""\d{4}"")),VALUE(REGEXEXTRACT(O$1,""T(\d+)"")),1),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P35" s="86">
        <f>IFERROR(__xludf.DUMMYFUNCTION("LET(
  monthStart,DATE(VALUE(REGEXEXTRACT(P$1,""\d{4}"")),VALUE(REGEXEXTRACT(P$1,""T(\d+)"")),1),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Q35" s="86">
        <f>IFERROR(__xludf.DUMMYFUNCTION("LET(
  monthStart,DATE(VALUE(REGEXEXTRACT(Q$1,""\d{4}"")),VALUE(REGEXEXTRACT(Q$1,""T(\d+)"")),1),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R35" s="86">
        <f>IFERROR(__xludf.DUMMYFUNCTION("LET(
  monthStart,DATE(VALUE(REGEXEXTRACT(R$1,""\d{4}"")),VALUE(REGEXEXTRACT(R$1,""T(\d+)"")),1),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S35" s="86">
        <f>IFERROR(__xludf.DUMMYFUNCTION("LET(
  monthStart,DATE(VALUE(REGEXEXTRACT(S$1,""\d{4}"")),VALUE(REGEXEXTRACT(S$1,""T(\d+)"")),1),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T35" s="86">
        <f>IFERROR(__xludf.DUMMYFUNCTION("LET(
  monthStart,DATE(VALUE(REGEXEXTRACT(T$1,""\d{4}"")),VALUE(REGEXEXTRACT(T$1,""T(\d+)"")),1),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U35" s="86">
        <f>IFERROR(__xludf.DUMMYFUNCTION("LET(
  monthStart,DATE(VALUE(REGEXEXTRACT(U$1,""\d{4}"")),VALUE(REGEXEXTRACT(U$1,""T(\d+)"")),1),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V35" s="86">
        <f>IFERROR(__xludf.DUMMYFUNCTION("LET(
  monthStart,DATE(VALUE(REGEXEXTRACT(V$1,""\d{4}"")),VALUE(REGEXEXTRACT(V$1,""T(\d+)"")),1),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W35" s="86">
        <f>IFERROR(__xludf.DUMMYFUNCTION("LET(
  monthStart,DATE(VALUE(REGEXEXTRACT(W$1,""\d{4}"")),VALUE(REGEXEXTRACT(W$1,""T(\d+)"")),1),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X35" s="86">
        <f>IFERROR(__xludf.DUMMYFUNCTION("LET(
  monthStart,DATE(VALUE(REGEXEXTRACT(X$1,""\d{4}"")),VALUE(REGEXEXTRACT(X$1,""T(\d+)"")),1),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Y35" s="86">
        <f>IFERROR(__xludf.DUMMYFUNCTION("LET(
  monthStart,DATE(VALUE(REGEXEXTRACT(Y$1,""\d{4}"")),VALUE(REGEXEXTRACT(Y$1,""T(\d+)"")),1),
  monthEnd,EOMONTH(monthStart,0),
  actualStart,MAX($D35,monthStart),
  actualEnd,MIN($E35,monthEnd),
  workingDaysInMonth,NETWORKDAYS(monthStart,monthEnd),
"&amp;"  workingDaysOverlap,IF(actualStart&gt;actualEnd,0,NETWORKDAYS(actualStart,actualEnd)),
  IF(workingDaysOverlap=0,"""",$F35*workingDaysOverlap/workingDaysInMonth)
)"),0.0)</f>
        <v>0</v>
      </c>
      <c r="Z35" s="67"/>
      <c r="AA35" s="67"/>
      <c r="AB35" s="67"/>
      <c r="AC35" s="67"/>
      <c r="AD35" s="67"/>
      <c r="AE35" s="67"/>
      <c r="AF35" s="64"/>
      <c r="AJ35" s="64"/>
      <c r="AK35" s="64"/>
      <c r="AO35" s="64"/>
      <c r="AP35" s="64"/>
      <c r="AT35" s="64"/>
      <c r="AX35" s="64"/>
      <c r="AY35" s="77"/>
      <c r="AZ35" s="77"/>
      <c r="BA35" s="87"/>
      <c r="BB35" s="72"/>
      <c r="BC35" s="72"/>
      <c r="BD35" s="67"/>
      <c r="BH35" s="64"/>
      <c r="BI35" s="64"/>
      <c r="BJ35" s="64"/>
      <c r="BK35" s="64"/>
      <c r="BL35" s="64"/>
      <c r="BM35" s="64"/>
      <c r="BN35" s="64"/>
    </row>
    <row r="36" ht="30.0" customHeight="1">
      <c r="A36" s="81"/>
      <c r="B36" s="61"/>
      <c r="C36" s="83"/>
      <c r="D36" s="84"/>
      <c r="E36" s="84"/>
      <c r="F36" s="86"/>
      <c r="G36" s="86">
        <f>IFERROR(__xludf.DUMMYFUNCTION("LET(
  monthStart,DATE(VALUE(REGEXEXTRACT(G$1,""\d{4}"")),VALUE(REGEXEXTRACT(G$1,""T(\d+)"")),1),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H36" s="86">
        <f>IFERROR(__xludf.DUMMYFUNCTION("LET(
  monthStart,DATE(VALUE(REGEXEXTRACT(H$1,""\d{4}"")),VALUE(REGEXEXTRACT(H$1,""T(\d+)"")),1),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I36" s="86">
        <f>IFERROR(__xludf.DUMMYFUNCTION("LET(
  monthStart,DATE(VALUE(REGEXEXTRACT(I$1,""\d{4}"")),VALUE(REGEXEXTRACT(I$1,""T(\d+)"")),1),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J36" s="86">
        <f>IFERROR(__xludf.DUMMYFUNCTION("LET(
  monthStart,DATE(VALUE(REGEXEXTRACT(J$1,""\d{4}"")),VALUE(REGEXEXTRACT(J$1,""T(\d+)"")),1),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K36" s="86">
        <f>IFERROR(__xludf.DUMMYFUNCTION("LET(
  monthStart,DATE(VALUE(REGEXEXTRACT(K$1,""\d{4}"")),VALUE(REGEXEXTRACT(K$1,""T(\d+)"")),1),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L36" s="86">
        <f>IFERROR(__xludf.DUMMYFUNCTION("LET(
  monthStart,DATE(VALUE(REGEXEXTRACT(L$1,""\d{4}"")),VALUE(REGEXEXTRACT(L$1,""T(\d+)"")),1),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M36" s="86">
        <f>IFERROR(__xludf.DUMMYFUNCTION("LET(
  monthStart,DATE(VALUE(REGEXEXTRACT(M$1,""\d{4}"")),VALUE(REGEXEXTRACT(M$1,""T(\d+)"")),1),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N36" s="86">
        <f>IFERROR(__xludf.DUMMYFUNCTION("LET(
  monthStart,DATE(VALUE(REGEXEXTRACT(N$1,""\d{4}"")),VALUE(REGEXEXTRACT(N$1,""T(\d+)"")),1),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O36" s="86">
        <f>IFERROR(__xludf.DUMMYFUNCTION("LET(
  monthStart,DATE(VALUE(REGEXEXTRACT(O$1,""\d{4}"")),VALUE(REGEXEXTRACT(O$1,""T(\d+)"")),1),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P36" s="86">
        <f>IFERROR(__xludf.DUMMYFUNCTION("LET(
  monthStart,DATE(VALUE(REGEXEXTRACT(P$1,""\d{4}"")),VALUE(REGEXEXTRACT(P$1,""T(\d+)"")),1),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Q36" s="86">
        <f>IFERROR(__xludf.DUMMYFUNCTION("LET(
  monthStart,DATE(VALUE(REGEXEXTRACT(Q$1,""\d{4}"")),VALUE(REGEXEXTRACT(Q$1,""T(\d+)"")),1),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R36" s="86">
        <f>IFERROR(__xludf.DUMMYFUNCTION("LET(
  monthStart,DATE(VALUE(REGEXEXTRACT(R$1,""\d{4}"")),VALUE(REGEXEXTRACT(R$1,""T(\d+)"")),1),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S36" s="86">
        <f>IFERROR(__xludf.DUMMYFUNCTION("LET(
  monthStart,DATE(VALUE(REGEXEXTRACT(S$1,""\d{4}"")),VALUE(REGEXEXTRACT(S$1,""T(\d+)"")),1),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T36" s="86">
        <f>IFERROR(__xludf.DUMMYFUNCTION("LET(
  monthStart,DATE(VALUE(REGEXEXTRACT(T$1,""\d{4}"")),VALUE(REGEXEXTRACT(T$1,""T(\d+)"")),1),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U36" s="86">
        <f>IFERROR(__xludf.DUMMYFUNCTION("LET(
  monthStart,DATE(VALUE(REGEXEXTRACT(U$1,""\d{4}"")),VALUE(REGEXEXTRACT(U$1,""T(\d+)"")),1),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V36" s="86">
        <f>IFERROR(__xludf.DUMMYFUNCTION("LET(
  monthStart,DATE(VALUE(REGEXEXTRACT(V$1,""\d{4}"")),VALUE(REGEXEXTRACT(V$1,""T(\d+)"")),1),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W36" s="86">
        <f>IFERROR(__xludf.DUMMYFUNCTION("LET(
  monthStart,DATE(VALUE(REGEXEXTRACT(W$1,""\d{4}"")),VALUE(REGEXEXTRACT(W$1,""T(\d+)"")),1),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X36" s="86">
        <f>IFERROR(__xludf.DUMMYFUNCTION("LET(
  monthStart,DATE(VALUE(REGEXEXTRACT(X$1,""\d{4}"")),VALUE(REGEXEXTRACT(X$1,""T(\d+)"")),1),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Y36" s="86">
        <f>IFERROR(__xludf.DUMMYFUNCTION("LET(
  monthStart,DATE(VALUE(REGEXEXTRACT(Y$1,""\d{4}"")),VALUE(REGEXEXTRACT(Y$1,""T(\d+)"")),1),
  monthEnd,EOMONTH(monthStart,0),
  actualStart,MAX($D36,monthStart),
  actualEnd,MIN($E36,monthEnd),
  workingDaysInMonth,NETWORKDAYS(monthStart,monthEnd),
"&amp;"  workingDaysOverlap,IF(actualStart&gt;actualEnd,0,NETWORKDAYS(actualStart,actualEnd)),
  IF(workingDaysOverlap=0,"""",$F36*workingDaysOverlap/workingDaysInMonth)
)"),0.0)</f>
        <v>0</v>
      </c>
      <c r="Z36" s="67"/>
      <c r="AA36" s="67"/>
      <c r="AB36" s="67"/>
      <c r="AC36" s="67"/>
      <c r="AD36" s="67"/>
      <c r="AE36" s="67"/>
      <c r="AF36" s="64"/>
      <c r="AJ36" s="64"/>
      <c r="AK36" s="64"/>
      <c r="AO36" s="64"/>
      <c r="AP36" s="64"/>
      <c r="AT36" s="64"/>
      <c r="AX36" s="64"/>
      <c r="AY36" s="77"/>
      <c r="AZ36" s="77"/>
      <c r="BA36" s="88"/>
      <c r="BB36" s="72"/>
      <c r="BC36" s="72"/>
      <c r="BD36" s="67"/>
      <c r="BH36" s="64"/>
      <c r="BI36" s="64"/>
      <c r="BJ36" s="64"/>
      <c r="BK36" s="64"/>
      <c r="BL36" s="64"/>
      <c r="BM36" s="64"/>
      <c r="BN36" s="64"/>
    </row>
    <row r="37" ht="30.0" customHeight="1">
      <c r="A37" s="81"/>
      <c r="B37" s="61"/>
      <c r="C37" s="83"/>
      <c r="D37" s="84"/>
      <c r="E37" s="84"/>
      <c r="F37" s="86"/>
      <c r="G37" s="86">
        <f>IFERROR(__xludf.DUMMYFUNCTION("LET(
  monthStart,DATE(VALUE(REGEXEXTRACT(G$1,""\d{4}"")),VALUE(REGEXEXTRACT(G$1,""T(\d+)"")),1),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H37" s="86">
        <f>IFERROR(__xludf.DUMMYFUNCTION("LET(
  monthStart,DATE(VALUE(REGEXEXTRACT(H$1,""\d{4}"")),VALUE(REGEXEXTRACT(H$1,""T(\d+)"")),1),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I37" s="86">
        <f>IFERROR(__xludf.DUMMYFUNCTION("LET(
  monthStart,DATE(VALUE(REGEXEXTRACT(I$1,""\d{4}"")),VALUE(REGEXEXTRACT(I$1,""T(\d+)"")),1),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J37" s="86">
        <f>IFERROR(__xludf.DUMMYFUNCTION("LET(
  monthStart,DATE(VALUE(REGEXEXTRACT(J$1,""\d{4}"")),VALUE(REGEXEXTRACT(J$1,""T(\d+)"")),1),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K37" s="86">
        <f>IFERROR(__xludf.DUMMYFUNCTION("LET(
  monthStart,DATE(VALUE(REGEXEXTRACT(K$1,""\d{4}"")),VALUE(REGEXEXTRACT(K$1,""T(\d+)"")),1),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L37" s="86">
        <f>IFERROR(__xludf.DUMMYFUNCTION("LET(
  monthStart,DATE(VALUE(REGEXEXTRACT(L$1,""\d{4}"")),VALUE(REGEXEXTRACT(L$1,""T(\d+)"")),1),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M37" s="86">
        <f>IFERROR(__xludf.DUMMYFUNCTION("LET(
  monthStart,DATE(VALUE(REGEXEXTRACT(M$1,""\d{4}"")),VALUE(REGEXEXTRACT(M$1,""T(\d+)"")),1),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N37" s="86">
        <f>IFERROR(__xludf.DUMMYFUNCTION("LET(
  monthStart,DATE(VALUE(REGEXEXTRACT(N$1,""\d{4}"")),VALUE(REGEXEXTRACT(N$1,""T(\d+)"")),1),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O37" s="86">
        <f>IFERROR(__xludf.DUMMYFUNCTION("LET(
  monthStart,DATE(VALUE(REGEXEXTRACT(O$1,""\d{4}"")),VALUE(REGEXEXTRACT(O$1,""T(\d+)"")),1),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P37" s="86">
        <f>IFERROR(__xludf.DUMMYFUNCTION("LET(
  monthStart,DATE(VALUE(REGEXEXTRACT(P$1,""\d{4}"")),VALUE(REGEXEXTRACT(P$1,""T(\d+)"")),1),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Q37" s="86">
        <f>IFERROR(__xludf.DUMMYFUNCTION("LET(
  monthStart,DATE(VALUE(REGEXEXTRACT(Q$1,""\d{4}"")),VALUE(REGEXEXTRACT(Q$1,""T(\d+)"")),1),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R37" s="86">
        <f>IFERROR(__xludf.DUMMYFUNCTION("LET(
  monthStart,DATE(VALUE(REGEXEXTRACT(R$1,""\d{4}"")),VALUE(REGEXEXTRACT(R$1,""T(\d+)"")),1),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S37" s="86">
        <f>IFERROR(__xludf.DUMMYFUNCTION("LET(
  monthStart,DATE(VALUE(REGEXEXTRACT(S$1,""\d{4}"")),VALUE(REGEXEXTRACT(S$1,""T(\d+)"")),1),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T37" s="86">
        <f>IFERROR(__xludf.DUMMYFUNCTION("LET(
  monthStart,DATE(VALUE(REGEXEXTRACT(T$1,""\d{4}"")),VALUE(REGEXEXTRACT(T$1,""T(\d+)"")),1),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U37" s="86">
        <f>IFERROR(__xludf.DUMMYFUNCTION("LET(
  monthStart,DATE(VALUE(REGEXEXTRACT(U$1,""\d{4}"")),VALUE(REGEXEXTRACT(U$1,""T(\d+)"")),1),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V37" s="86">
        <f>IFERROR(__xludf.DUMMYFUNCTION("LET(
  monthStart,DATE(VALUE(REGEXEXTRACT(V$1,""\d{4}"")),VALUE(REGEXEXTRACT(V$1,""T(\d+)"")),1),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W37" s="86">
        <f>IFERROR(__xludf.DUMMYFUNCTION("LET(
  monthStart,DATE(VALUE(REGEXEXTRACT(W$1,""\d{4}"")),VALUE(REGEXEXTRACT(W$1,""T(\d+)"")),1),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X37" s="86">
        <f>IFERROR(__xludf.DUMMYFUNCTION("LET(
  monthStart,DATE(VALUE(REGEXEXTRACT(X$1,""\d{4}"")),VALUE(REGEXEXTRACT(X$1,""T(\d+)"")),1),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Y37" s="86">
        <f>IFERROR(__xludf.DUMMYFUNCTION("LET(
  monthStart,DATE(VALUE(REGEXEXTRACT(Y$1,""\d{4}"")),VALUE(REGEXEXTRACT(Y$1,""T(\d+)"")),1),
  monthEnd,EOMONTH(monthStart,0),
  actualStart,MAX($D37,monthStart),
  actualEnd,MIN($E37,monthEnd),
  workingDaysInMonth,NETWORKDAYS(monthStart,monthEnd),
"&amp;"  workingDaysOverlap,IF(actualStart&gt;actualEnd,0,NETWORKDAYS(actualStart,actualEnd)),
  IF(workingDaysOverlap=0,"""",$F37*workingDaysOverlap/workingDaysInMonth)
)"),0.0)</f>
        <v>0</v>
      </c>
      <c r="Z37" s="67"/>
      <c r="AA37" s="67"/>
      <c r="AB37" s="67"/>
      <c r="AC37" s="67"/>
      <c r="AD37" s="67"/>
      <c r="AE37" s="67"/>
      <c r="AF37" s="64"/>
      <c r="AJ37" s="64"/>
      <c r="AK37" s="64"/>
      <c r="AO37" s="64"/>
      <c r="AP37" s="64"/>
      <c r="AT37" s="64"/>
      <c r="AX37" s="64"/>
      <c r="AY37" s="77"/>
      <c r="AZ37" s="77"/>
      <c r="BA37" s="78"/>
      <c r="BB37" s="74"/>
      <c r="BC37" s="74"/>
      <c r="BD37" s="67"/>
      <c r="BH37" s="64"/>
      <c r="BI37" s="64"/>
      <c r="BJ37" s="64"/>
      <c r="BK37" s="64"/>
      <c r="BL37" s="64"/>
      <c r="BM37" s="64"/>
      <c r="BN37" s="64"/>
    </row>
    <row r="38" ht="30.0" customHeight="1">
      <c r="A38" s="81"/>
      <c r="B38" s="61"/>
      <c r="C38" s="83"/>
      <c r="D38" s="84"/>
      <c r="E38" s="84"/>
      <c r="F38" s="86"/>
      <c r="G38" s="86">
        <f>IFERROR(__xludf.DUMMYFUNCTION("LET(
  monthStart,DATE(VALUE(REGEXEXTRACT(G$1,""\d{4}"")),VALUE(REGEXEXTRACT(G$1,""T(\d+)"")),1),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H38" s="86">
        <f>IFERROR(__xludf.DUMMYFUNCTION("LET(
  monthStart,DATE(VALUE(REGEXEXTRACT(H$1,""\d{4}"")),VALUE(REGEXEXTRACT(H$1,""T(\d+)"")),1),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I38" s="86">
        <f>IFERROR(__xludf.DUMMYFUNCTION("LET(
  monthStart,DATE(VALUE(REGEXEXTRACT(I$1,""\d{4}"")),VALUE(REGEXEXTRACT(I$1,""T(\d+)"")),1),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J38" s="86">
        <f>IFERROR(__xludf.DUMMYFUNCTION("LET(
  monthStart,DATE(VALUE(REGEXEXTRACT(J$1,""\d{4}"")),VALUE(REGEXEXTRACT(J$1,""T(\d+)"")),1),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K38" s="86">
        <f>IFERROR(__xludf.DUMMYFUNCTION("LET(
  monthStart,DATE(VALUE(REGEXEXTRACT(K$1,""\d{4}"")),VALUE(REGEXEXTRACT(K$1,""T(\d+)"")),1),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L38" s="86">
        <f>IFERROR(__xludf.DUMMYFUNCTION("LET(
  monthStart,DATE(VALUE(REGEXEXTRACT(L$1,""\d{4}"")),VALUE(REGEXEXTRACT(L$1,""T(\d+)"")),1),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M38" s="86">
        <f>IFERROR(__xludf.DUMMYFUNCTION("LET(
  monthStart,DATE(VALUE(REGEXEXTRACT(M$1,""\d{4}"")),VALUE(REGEXEXTRACT(M$1,""T(\d+)"")),1),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N38" s="86">
        <f>IFERROR(__xludf.DUMMYFUNCTION("LET(
  monthStart,DATE(VALUE(REGEXEXTRACT(N$1,""\d{4}"")),VALUE(REGEXEXTRACT(N$1,""T(\d+)"")),1),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O38" s="86">
        <f>IFERROR(__xludf.DUMMYFUNCTION("LET(
  monthStart,DATE(VALUE(REGEXEXTRACT(O$1,""\d{4}"")),VALUE(REGEXEXTRACT(O$1,""T(\d+)"")),1),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P38" s="86">
        <f>IFERROR(__xludf.DUMMYFUNCTION("LET(
  monthStart,DATE(VALUE(REGEXEXTRACT(P$1,""\d{4}"")),VALUE(REGEXEXTRACT(P$1,""T(\d+)"")),1),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Q38" s="86">
        <f>IFERROR(__xludf.DUMMYFUNCTION("LET(
  monthStart,DATE(VALUE(REGEXEXTRACT(Q$1,""\d{4}"")),VALUE(REGEXEXTRACT(Q$1,""T(\d+)"")),1),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R38" s="86">
        <f>IFERROR(__xludf.DUMMYFUNCTION("LET(
  monthStart,DATE(VALUE(REGEXEXTRACT(R$1,""\d{4}"")),VALUE(REGEXEXTRACT(R$1,""T(\d+)"")),1),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S38" s="86">
        <f>IFERROR(__xludf.DUMMYFUNCTION("LET(
  monthStart,DATE(VALUE(REGEXEXTRACT(S$1,""\d{4}"")),VALUE(REGEXEXTRACT(S$1,""T(\d+)"")),1),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T38" s="86">
        <f>IFERROR(__xludf.DUMMYFUNCTION("LET(
  monthStart,DATE(VALUE(REGEXEXTRACT(T$1,""\d{4}"")),VALUE(REGEXEXTRACT(T$1,""T(\d+)"")),1),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U38" s="86">
        <f>IFERROR(__xludf.DUMMYFUNCTION("LET(
  monthStart,DATE(VALUE(REGEXEXTRACT(U$1,""\d{4}"")),VALUE(REGEXEXTRACT(U$1,""T(\d+)"")),1),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V38" s="86">
        <f>IFERROR(__xludf.DUMMYFUNCTION("LET(
  monthStart,DATE(VALUE(REGEXEXTRACT(V$1,""\d{4}"")),VALUE(REGEXEXTRACT(V$1,""T(\d+)"")),1),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W38" s="86">
        <f>IFERROR(__xludf.DUMMYFUNCTION("LET(
  monthStart,DATE(VALUE(REGEXEXTRACT(W$1,""\d{4}"")),VALUE(REGEXEXTRACT(W$1,""T(\d+)"")),1),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X38" s="86">
        <f>IFERROR(__xludf.DUMMYFUNCTION("LET(
  monthStart,DATE(VALUE(REGEXEXTRACT(X$1,""\d{4}"")),VALUE(REGEXEXTRACT(X$1,""T(\d+)"")),1),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Y38" s="86">
        <f>IFERROR(__xludf.DUMMYFUNCTION("LET(
  monthStart,DATE(VALUE(REGEXEXTRACT(Y$1,""\d{4}"")),VALUE(REGEXEXTRACT(Y$1,""T(\d+)"")),1),
  monthEnd,EOMONTH(monthStart,0),
  actualStart,MAX($D38,monthStart),
  actualEnd,MIN($E38,monthEnd),
  workingDaysInMonth,NETWORKDAYS(monthStart,monthEnd),
"&amp;"  workingDaysOverlap,IF(actualStart&gt;actualEnd,0,NETWORKDAYS(actualStart,actualEnd)),
  IF(workingDaysOverlap=0,"""",$F38*workingDaysOverlap/workingDaysInMonth)
)"),0.0)</f>
        <v>0</v>
      </c>
      <c r="Z38" s="67"/>
      <c r="AA38" s="67"/>
      <c r="AB38" s="67"/>
      <c r="AC38" s="67"/>
      <c r="AD38" s="67"/>
      <c r="AE38" s="67"/>
      <c r="AF38" s="64"/>
      <c r="AJ38" s="64"/>
      <c r="AK38" s="64"/>
      <c r="AO38" s="64"/>
      <c r="AP38" s="64"/>
      <c r="AT38" s="64"/>
      <c r="AX38" s="64"/>
      <c r="AY38" s="77"/>
      <c r="AZ38" s="77"/>
      <c r="BA38" s="77"/>
      <c r="BB38" s="74"/>
      <c r="BC38" s="74"/>
      <c r="BD38" s="67"/>
      <c r="BH38" s="64"/>
      <c r="BI38" s="64"/>
      <c r="BJ38" s="64"/>
      <c r="BK38" s="64"/>
      <c r="BL38" s="64"/>
      <c r="BM38" s="64"/>
      <c r="BN38" s="64"/>
    </row>
    <row r="39" ht="30.0" customHeight="1">
      <c r="A39" s="81"/>
      <c r="B39" s="61"/>
      <c r="C39" s="83"/>
      <c r="D39" s="84"/>
      <c r="E39" s="84"/>
      <c r="F39" s="86"/>
      <c r="G39" s="86">
        <f>IFERROR(__xludf.DUMMYFUNCTION("LET(
  monthStart,DATE(VALUE(REGEXEXTRACT(G$1,""\d{4}"")),VALUE(REGEXEXTRACT(G$1,""T(\d+)"")),1),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H39" s="86">
        <f>IFERROR(__xludf.DUMMYFUNCTION("LET(
  monthStart,DATE(VALUE(REGEXEXTRACT(H$1,""\d{4}"")),VALUE(REGEXEXTRACT(H$1,""T(\d+)"")),1),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I39" s="86">
        <f>IFERROR(__xludf.DUMMYFUNCTION("LET(
  monthStart,DATE(VALUE(REGEXEXTRACT(I$1,""\d{4}"")),VALUE(REGEXEXTRACT(I$1,""T(\d+)"")),1),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J39" s="86">
        <f>IFERROR(__xludf.DUMMYFUNCTION("LET(
  monthStart,DATE(VALUE(REGEXEXTRACT(J$1,""\d{4}"")),VALUE(REGEXEXTRACT(J$1,""T(\d+)"")),1),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K39" s="86">
        <f>IFERROR(__xludf.DUMMYFUNCTION("LET(
  monthStart,DATE(VALUE(REGEXEXTRACT(K$1,""\d{4}"")),VALUE(REGEXEXTRACT(K$1,""T(\d+)"")),1),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L39" s="86">
        <f>IFERROR(__xludf.DUMMYFUNCTION("LET(
  monthStart,DATE(VALUE(REGEXEXTRACT(L$1,""\d{4}"")),VALUE(REGEXEXTRACT(L$1,""T(\d+)"")),1),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M39" s="86">
        <f>IFERROR(__xludf.DUMMYFUNCTION("LET(
  monthStart,DATE(VALUE(REGEXEXTRACT(M$1,""\d{4}"")),VALUE(REGEXEXTRACT(M$1,""T(\d+)"")),1),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N39" s="86">
        <f>IFERROR(__xludf.DUMMYFUNCTION("LET(
  monthStart,DATE(VALUE(REGEXEXTRACT(N$1,""\d{4}"")),VALUE(REGEXEXTRACT(N$1,""T(\d+)"")),1),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O39" s="86">
        <f>IFERROR(__xludf.DUMMYFUNCTION("LET(
  monthStart,DATE(VALUE(REGEXEXTRACT(O$1,""\d{4}"")),VALUE(REGEXEXTRACT(O$1,""T(\d+)"")),1),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P39" s="86">
        <f>IFERROR(__xludf.DUMMYFUNCTION("LET(
  monthStart,DATE(VALUE(REGEXEXTRACT(P$1,""\d{4}"")),VALUE(REGEXEXTRACT(P$1,""T(\d+)"")),1),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Q39" s="86">
        <f>IFERROR(__xludf.DUMMYFUNCTION("LET(
  monthStart,DATE(VALUE(REGEXEXTRACT(Q$1,""\d{4}"")),VALUE(REGEXEXTRACT(Q$1,""T(\d+)"")),1),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R39" s="86">
        <f>IFERROR(__xludf.DUMMYFUNCTION("LET(
  monthStart,DATE(VALUE(REGEXEXTRACT(R$1,""\d{4}"")),VALUE(REGEXEXTRACT(R$1,""T(\d+)"")),1),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S39" s="86">
        <f>IFERROR(__xludf.DUMMYFUNCTION("LET(
  monthStart,DATE(VALUE(REGEXEXTRACT(S$1,""\d{4}"")),VALUE(REGEXEXTRACT(S$1,""T(\d+)"")),1),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T39" s="86">
        <f>IFERROR(__xludf.DUMMYFUNCTION("LET(
  monthStart,DATE(VALUE(REGEXEXTRACT(T$1,""\d{4}"")),VALUE(REGEXEXTRACT(T$1,""T(\d+)"")),1),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U39" s="86">
        <f>IFERROR(__xludf.DUMMYFUNCTION("LET(
  monthStart,DATE(VALUE(REGEXEXTRACT(U$1,""\d{4}"")),VALUE(REGEXEXTRACT(U$1,""T(\d+)"")),1),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V39" s="86">
        <f>IFERROR(__xludf.DUMMYFUNCTION("LET(
  monthStart,DATE(VALUE(REGEXEXTRACT(V$1,""\d{4}"")),VALUE(REGEXEXTRACT(V$1,""T(\d+)"")),1),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W39" s="86">
        <f>IFERROR(__xludf.DUMMYFUNCTION("LET(
  monthStart,DATE(VALUE(REGEXEXTRACT(W$1,""\d{4}"")),VALUE(REGEXEXTRACT(W$1,""T(\d+)"")),1),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X39" s="86">
        <f>IFERROR(__xludf.DUMMYFUNCTION("LET(
  monthStart,DATE(VALUE(REGEXEXTRACT(X$1,""\d{4}"")),VALUE(REGEXEXTRACT(X$1,""T(\d+)"")),1),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Y39" s="86">
        <f>IFERROR(__xludf.DUMMYFUNCTION("LET(
  monthStart,DATE(VALUE(REGEXEXTRACT(Y$1,""\d{4}"")),VALUE(REGEXEXTRACT(Y$1,""T(\d+)"")),1),
  monthEnd,EOMONTH(monthStart,0),
  actualStart,MAX($D39,monthStart),
  actualEnd,MIN($E39,monthEnd),
  workingDaysInMonth,NETWORKDAYS(monthStart,monthEnd),
"&amp;"  workingDaysOverlap,IF(actualStart&gt;actualEnd,0,NETWORKDAYS(actualStart,actualEnd)),
  IF(workingDaysOverlap=0,"""",$F39*workingDaysOverlap/workingDaysInMonth)
)"),0.0)</f>
        <v>0</v>
      </c>
      <c r="Z39" s="67"/>
      <c r="AA39" s="67"/>
      <c r="AB39" s="67"/>
      <c r="AC39" s="67"/>
      <c r="AD39" s="67"/>
      <c r="AE39" s="67"/>
      <c r="AF39" s="64"/>
      <c r="AJ39" s="64"/>
      <c r="AK39" s="64"/>
      <c r="AO39" s="64"/>
      <c r="AP39" s="64"/>
      <c r="AT39" s="64"/>
      <c r="AX39" s="64"/>
      <c r="AY39" s="77"/>
      <c r="AZ39" s="77"/>
      <c r="BA39" s="78"/>
      <c r="BB39" s="74"/>
      <c r="BC39" s="74"/>
      <c r="BD39" s="67"/>
      <c r="BH39" s="64"/>
      <c r="BI39" s="64"/>
      <c r="BJ39" s="64"/>
      <c r="BK39" s="64"/>
      <c r="BL39" s="64"/>
      <c r="BM39" s="64"/>
      <c r="BN39" s="64"/>
    </row>
    <row r="40" ht="30.0" customHeight="1">
      <c r="A40" s="81"/>
      <c r="B40" s="61"/>
      <c r="C40" s="83"/>
      <c r="D40" s="84"/>
      <c r="E40" s="84"/>
      <c r="F40" s="86"/>
      <c r="G40" s="86">
        <f>IFERROR(__xludf.DUMMYFUNCTION("LET(
  monthStart,DATE(VALUE(REGEXEXTRACT(G$1,""\d{4}"")),VALUE(REGEXEXTRACT(G$1,""T(\d+)"")),1),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H40" s="86">
        <f>IFERROR(__xludf.DUMMYFUNCTION("LET(
  monthStart,DATE(VALUE(REGEXEXTRACT(H$1,""\d{4}"")),VALUE(REGEXEXTRACT(H$1,""T(\d+)"")),1),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I40" s="86">
        <f>IFERROR(__xludf.DUMMYFUNCTION("LET(
  monthStart,DATE(VALUE(REGEXEXTRACT(I$1,""\d{4}"")),VALUE(REGEXEXTRACT(I$1,""T(\d+)"")),1),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J40" s="86">
        <f>IFERROR(__xludf.DUMMYFUNCTION("LET(
  monthStart,DATE(VALUE(REGEXEXTRACT(J$1,""\d{4}"")),VALUE(REGEXEXTRACT(J$1,""T(\d+)"")),1),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K40" s="86">
        <f>IFERROR(__xludf.DUMMYFUNCTION("LET(
  monthStart,DATE(VALUE(REGEXEXTRACT(K$1,""\d{4}"")),VALUE(REGEXEXTRACT(K$1,""T(\d+)"")),1),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L40" s="86">
        <f>IFERROR(__xludf.DUMMYFUNCTION("LET(
  monthStart,DATE(VALUE(REGEXEXTRACT(L$1,""\d{4}"")),VALUE(REGEXEXTRACT(L$1,""T(\d+)"")),1),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M40" s="86">
        <f>IFERROR(__xludf.DUMMYFUNCTION("LET(
  monthStart,DATE(VALUE(REGEXEXTRACT(M$1,""\d{4}"")),VALUE(REGEXEXTRACT(M$1,""T(\d+)"")),1),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N40" s="86">
        <f>IFERROR(__xludf.DUMMYFUNCTION("LET(
  monthStart,DATE(VALUE(REGEXEXTRACT(N$1,""\d{4}"")),VALUE(REGEXEXTRACT(N$1,""T(\d+)"")),1),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O40" s="86">
        <f>IFERROR(__xludf.DUMMYFUNCTION("LET(
  monthStart,DATE(VALUE(REGEXEXTRACT(O$1,""\d{4}"")),VALUE(REGEXEXTRACT(O$1,""T(\d+)"")),1),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P40" s="86">
        <f>IFERROR(__xludf.DUMMYFUNCTION("LET(
  monthStart,DATE(VALUE(REGEXEXTRACT(P$1,""\d{4}"")),VALUE(REGEXEXTRACT(P$1,""T(\d+)"")),1),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Q40" s="86">
        <f>IFERROR(__xludf.DUMMYFUNCTION("LET(
  monthStart,DATE(VALUE(REGEXEXTRACT(Q$1,""\d{4}"")),VALUE(REGEXEXTRACT(Q$1,""T(\d+)"")),1),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R40" s="86">
        <f>IFERROR(__xludf.DUMMYFUNCTION("LET(
  monthStart,DATE(VALUE(REGEXEXTRACT(R$1,""\d{4}"")),VALUE(REGEXEXTRACT(R$1,""T(\d+)"")),1),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S40" s="86">
        <f>IFERROR(__xludf.DUMMYFUNCTION("LET(
  monthStart,DATE(VALUE(REGEXEXTRACT(S$1,""\d{4}"")),VALUE(REGEXEXTRACT(S$1,""T(\d+)"")),1),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T40" s="86">
        <f>IFERROR(__xludf.DUMMYFUNCTION("LET(
  monthStart,DATE(VALUE(REGEXEXTRACT(T$1,""\d{4}"")),VALUE(REGEXEXTRACT(T$1,""T(\d+)"")),1),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U40" s="86">
        <f>IFERROR(__xludf.DUMMYFUNCTION("LET(
  monthStart,DATE(VALUE(REGEXEXTRACT(U$1,""\d{4}"")),VALUE(REGEXEXTRACT(U$1,""T(\d+)"")),1),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V40" s="86">
        <f>IFERROR(__xludf.DUMMYFUNCTION("LET(
  monthStart,DATE(VALUE(REGEXEXTRACT(V$1,""\d{4}"")),VALUE(REGEXEXTRACT(V$1,""T(\d+)"")),1),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W40" s="86">
        <f>IFERROR(__xludf.DUMMYFUNCTION("LET(
  monthStart,DATE(VALUE(REGEXEXTRACT(W$1,""\d{4}"")),VALUE(REGEXEXTRACT(W$1,""T(\d+)"")),1),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X40" s="86">
        <f>IFERROR(__xludf.DUMMYFUNCTION("LET(
  monthStart,DATE(VALUE(REGEXEXTRACT(X$1,""\d{4}"")),VALUE(REGEXEXTRACT(X$1,""T(\d+)"")),1),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Y40" s="86">
        <f>IFERROR(__xludf.DUMMYFUNCTION("LET(
  monthStart,DATE(VALUE(REGEXEXTRACT(Y$1,""\d{4}"")),VALUE(REGEXEXTRACT(Y$1,""T(\d+)"")),1),
  monthEnd,EOMONTH(monthStart,0),
  actualStart,MAX($D40,monthStart),
  actualEnd,MIN($E40,monthEnd),
  workingDaysInMonth,NETWORKDAYS(monthStart,monthEnd),
"&amp;"  workingDaysOverlap,IF(actualStart&gt;actualEnd,0,NETWORKDAYS(actualStart,actualEnd)),
  IF(workingDaysOverlap=0,"""",$F40*workingDaysOverlap/workingDaysInMonth)
)"),0.0)</f>
        <v>0</v>
      </c>
      <c r="Z40" s="67"/>
      <c r="AA40" s="67"/>
      <c r="AB40" s="67"/>
      <c r="AC40" s="67"/>
      <c r="AD40" s="67"/>
      <c r="AE40" s="67"/>
      <c r="AF40" s="64"/>
      <c r="AJ40" s="64"/>
      <c r="AK40" s="64"/>
      <c r="AO40" s="64"/>
      <c r="AP40" s="64"/>
      <c r="AT40" s="64"/>
      <c r="AX40" s="64"/>
      <c r="AY40" s="77"/>
      <c r="AZ40" s="77"/>
      <c r="BA40" s="77"/>
      <c r="BB40" s="74"/>
      <c r="BC40" s="74"/>
      <c r="BD40" s="67"/>
      <c r="BH40" s="64"/>
      <c r="BI40" s="64"/>
      <c r="BJ40" s="64"/>
      <c r="BK40" s="64"/>
      <c r="BL40" s="64"/>
      <c r="BM40" s="64"/>
      <c r="BN40" s="64"/>
    </row>
    <row r="41" ht="30.0" customHeight="1">
      <c r="A41" s="81"/>
      <c r="B41" s="61"/>
      <c r="C41" s="83"/>
      <c r="D41" s="84"/>
      <c r="E41" s="84"/>
      <c r="F41" s="86"/>
      <c r="G41" s="86">
        <f>IFERROR(__xludf.DUMMYFUNCTION("LET(
  monthStart,DATE(VALUE(REGEXEXTRACT(G$1,""\d{4}"")),VALUE(REGEXEXTRACT(G$1,""T(\d+)"")),1),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H41" s="86">
        <f>IFERROR(__xludf.DUMMYFUNCTION("LET(
  monthStart,DATE(VALUE(REGEXEXTRACT(H$1,""\d{4}"")),VALUE(REGEXEXTRACT(H$1,""T(\d+)"")),1),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I41" s="86">
        <f>IFERROR(__xludf.DUMMYFUNCTION("LET(
  monthStart,DATE(VALUE(REGEXEXTRACT(I$1,""\d{4}"")),VALUE(REGEXEXTRACT(I$1,""T(\d+)"")),1),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J41" s="86">
        <f>IFERROR(__xludf.DUMMYFUNCTION("LET(
  monthStart,DATE(VALUE(REGEXEXTRACT(J$1,""\d{4}"")),VALUE(REGEXEXTRACT(J$1,""T(\d+)"")),1),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K41" s="86">
        <f>IFERROR(__xludf.DUMMYFUNCTION("LET(
  monthStart,DATE(VALUE(REGEXEXTRACT(K$1,""\d{4}"")),VALUE(REGEXEXTRACT(K$1,""T(\d+)"")),1),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L41" s="86">
        <f>IFERROR(__xludf.DUMMYFUNCTION("LET(
  monthStart,DATE(VALUE(REGEXEXTRACT(L$1,""\d{4}"")),VALUE(REGEXEXTRACT(L$1,""T(\d+)"")),1),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M41" s="86">
        <f>IFERROR(__xludf.DUMMYFUNCTION("LET(
  monthStart,DATE(VALUE(REGEXEXTRACT(M$1,""\d{4}"")),VALUE(REGEXEXTRACT(M$1,""T(\d+)"")),1),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N41" s="86">
        <f>IFERROR(__xludf.DUMMYFUNCTION("LET(
  monthStart,DATE(VALUE(REGEXEXTRACT(N$1,""\d{4}"")),VALUE(REGEXEXTRACT(N$1,""T(\d+)"")),1),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O41" s="86">
        <f>IFERROR(__xludf.DUMMYFUNCTION("LET(
  monthStart,DATE(VALUE(REGEXEXTRACT(O$1,""\d{4}"")),VALUE(REGEXEXTRACT(O$1,""T(\d+)"")),1),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P41" s="86">
        <f>IFERROR(__xludf.DUMMYFUNCTION("LET(
  monthStart,DATE(VALUE(REGEXEXTRACT(P$1,""\d{4}"")),VALUE(REGEXEXTRACT(P$1,""T(\d+)"")),1),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Q41" s="86">
        <f>IFERROR(__xludf.DUMMYFUNCTION("LET(
  monthStart,DATE(VALUE(REGEXEXTRACT(Q$1,""\d{4}"")),VALUE(REGEXEXTRACT(Q$1,""T(\d+)"")),1),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R41" s="86">
        <f>IFERROR(__xludf.DUMMYFUNCTION("LET(
  monthStart,DATE(VALUE(REGEXEXTRACT(R$1,""\d{4}"")),VALUE(REGEXEXTRACT(R$1,""T(\d+)"")),1),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S41" s="86">
        <f>IFERROR(__xludf.DUMMYFUNCTION("LET(
  monthStart,DATE(VALUE(REGEXEXTRACT(S$1,""\d{4}"")),VALUE(REGEXEXTRACT(S$1,""T(\d+)"")),1),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T41" s="86">
        <f>IFERROR(__xludf.DUMMYFUNCTION("LET(
  monthStart,DATE(VALUE(REGEXEXTRACT(T$1,""\d{4}"")),VALUE(REGEXEXTRACT(T$1,""T(\d+)"")),1),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U41" s="86">
        <f>IFERROR(__xludf.DUMMYFUNCTION("LET(
  monthStart,DATE(VALUE(REGEXEXTRACT(U$1,""\d{4}"")),VALUE(REGEXEXTRACT(U$1,""T(\d+)"")),1),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V41" s="86">
        <f>IFERROR(__xludf.DUMMYFUNCTION("LET(
  monthStart,DATE(VALUE(REGEXEXTRACT(V$1,""\d{4}"")),VALUE(REGEXEXTRACT(V$1,""T(\d+)"")),1),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W41" s="86">
        <f>IFERROR(__xludf.DUMMYFUNCTION("LET(
  monthStart,DATE(VALUE(REGEXEXTRACT(W$1,""\d{4}"")),VALUE(REGEXEXTRACT(W$1,""T(\d+)"")),1),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X41" s="86">
        <f>IFERROR(__xludf.DUMMYFUNCTION("LET(
  monthStart,DATE(VALUE(REGEXEXTRACT(X$1,""\d{4}"")),VALUE(REGEXEXTRACT(X$1,""T(\d+)"")),1),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Y41" s="86">
        <f>IFERROR(__xludf.DUMMYFUNCTION("LET(
  monthStart,DATE(VALUE(REGEXEXTRACT(Y$1,""\d{4}"")),VALUE(REGEXEXTRACT(Y$1,""T(\d+)"")),1),
  monthEnd,EOMONTH(monthStart,0),
  actualStart,MAX($D41,monthStart),
  actualEnd,MIN($E41,monthEnd),
  workingDaysInMonth,NETWORKDAYS(monthStart,monthEnd),
"&amp;"  workingDaysOverlap,IF(actualStart&gt;actualEnd,0,NETWORKDAYS(actualStart,actualEnd)),
  IF(workingDaysOverlap=0,"""",$F41*workingDaysOverlap/workingDaysInMonth)
)"),0.0)</f>
        <v>0</v>
      </c>
      <c r="Z41" s="75"/>
      <c r="AA41" s="75"/>
      <c r="AB41" s="75"/>
      <c r="AC41" s="75"/>
      <c r="AD41" s="75"/>
      <c r="AE41" s="75"/>
      <c r="AF41" s="64"/>
      <c r="AJ41" s="64"/>
      <c r="AK41" s="64"/>
      <c r="AO41" s="64"/>
      <c r="AP41" s="64"/>
      <c r="AT41" s="64"/>
      <c r="AX41" s="64"/>
      <c r="AY41" s="77"/>
      <c r="AZ41" s="77"/>
      <c r="BA41" s="78"/>
      <c r="BB41" s="74"/>
      <c r="BC41" s="74"/>
      <c r="BD41" s="67"/>
      <c r="BH41" s="64"/>
      <c r="BI41" s="64"/>
      <c r="BJ41" s="64"/>
      <c r="BK41" s="64"/>
      <c r="BL41" s="64"/>
      <c r="BM41" s="64"/>
      <c r="BN41" s="64"/>
    </row>
    <row r="42" ht="30.0" customHeight="1">
      <c r="A42" s="81"/>
      <c r="B42" s="61"/>
      <c r="C42" s="83"/>
      <c r="D42" s="84"/>
      <c r="E42" s="84"/>
      <c r="F42" s="86"/>
      <c r="G42" s="86">
        <f>IFERROR(__xludf.DUMMYFUNCTION("LET(
  monthStart,DATE(VALUE(REGEXEXTRACT(G$1,""\d{4}"")),VALUE(REGEXEXTRACT(G$1,""T(\d+)"")),1),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H42" s="86">
        <f>IFERROR(__xludf.DUMMYFUNCTION("LET(
  monthStart,DATE(VALUE(REGEXEXTRACT(H$1,""\d{4}"")),VALUE(REGEXEXTRACT(H$1,""T(\d+)"")),1),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I42" s="86">
        <f>IFERROR(__xludf.DUMMYFUNCTION("LET(
  monthStart,DATE(VALUE(REGEXEXTRACT(I$1,""\d{4}"")),VALUE(REGEXEXTRACT(I$1,""T(\d+)"")),1),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J42" s="86">
        <f>IFERROR(__xludf.DUMMYFUNCTION("LET(
  monthStart,DATE(VALUE(REGEXEXTRACT(J$1,""\d{4}"")),VALUE(REGEXEXTRACT(J$1,""T(\d+)"")),1),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K42" s="86">
        <f>IFERROR(__xludf.DUMMYFUNCTION("LET(
  monthStart,DATE(VALUE(REGEXEXTRACT(K$1,""\d{4}"")),VALUE(REGEXEXTRACT(K$1,""T(\d+)"")),1),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L42" s="86">
        <f>IFERROR(__xludf.DUMMYFUNCTION("LET(
  monthStart,DATE(VALUE(REGEXEXTRACT(L$1,""\d{4}"")),VALUE(REGEXEXTRACT(L$1,""T(\d+)"")),1),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M42" s="86">
        <f>IFERROR(__xludf.DUMMYFUNCTION("LET(
  monthStart,DATE(VALUE(REGEXEXTRACT(M$1,""\d{4}"")),VALUE(REGEXEXTRACT(M$1,""T(\d+)"")),1),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N42" s="86">
        <f>IFERROR(__xludf.DUMMYFUNCTION("LET(
  monthStart,DATE(VALUE(REGEXEXTRACT(N$1,""\d{4}"")),VALUE(REGEXEXTRACT(N$1,""T(\d+)"")),1),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O42" s="86">
        <f>IFERROR(__xludf.DUMMYFUNCTION("LET(
  monthStart,DATE(VALUE(REGEXEXTRACT(O$1,""\d{4}"")),VALUE(REGEXEXTRACT(O$1,""T(\d+)"")),1),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P42" s="86">
        <f>IFERROR(__xludf.DUMMYFUNCTION("LET(
  monthStart,DATE(VALUE(REGEXEXTRACT(P$1,""\d{4}"")),VALUE(REGEXEXTRACT(P$1,""T(\d+)"")),1),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Q42" s="86">
        <f>IFERROR(__xludf.DUMMYFUNCTION("LET(
  monthStart,DATE(VALUE(REGEXEXTRACT(Q$1,""\d{4}"")),VALUE(REGEXEXTRACT(Q$1,""T(\d+)"")),1),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R42" s="86">
        <f>IFERROR(__xludf.DUMMYFUNCTION("LET(
  monthStart,DATE(VALUE(REGEXEXTRACT(R$1,""\d{4}"")),VALUE(REGEXEXTRACT(R$1,""T(\d+)"")),1),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S42" s="86">
        <f>IFERROR(__xludf.DUMMYFUNCTION("LET(
  monthStart,DATE(VALUE(REGEXEXTRACT(S$1,""\d{4}"")),VALUE(REGEXEXTRACT(S$1,""T(\d+)"")),1),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T42" s="86">
        <f>IFERROR(__xludf.DUMMYFUNCTION("LET(
  monthStart,DATE(VALUE(REGEXEXTRACT(T$1,""\d{4}"")),VALUE(REGEXEXTRACT(T$1,""T(\d+)"")),1),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U42" s="86">
        <f>IFERROR(__xludf.DUMMYFUNCTION("LET(
  monthStart,DATE(VALUE(REGEXEXTRACT(U$1,""\d{4}"")),VALUE(REGEXEXTRACT(U$1,""T(\d+)"")),1),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V42" s="86">
        <f>IFERROR(__xludf.DUMMYFUNCTION("LET(
  monthStart,DATE(VALUE(REGEXEXTRACT(V$1,""\d{4}"")),VALUE(REGEXEXTRACT(V$1,""T(\d+)"")),1),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W42" s="86">
        <f>IFERROR(__xludf.DUMMYFUNCTION("LET(
  monthStart,DATE(VALUE(REGEXEXTRACT(W$1,""\d{4}"")),VALUE(REGEXEXTRACT(W$1,""T(\d+)"")),1),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X42" s="86">
        <f>IFERROR(__xludf.DUMMYFUNCTION("LET(
  monthStart,DATE(VALUE(REGEXEXTRACT(X$1,""\d{4}"")),VALUE(REGEXEXTRACT(X$1,""T(\d+)"")),1),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Y42" s="86">
        <f>IFERROR(__xludf.DUMMYFUNCTION("LET(
  monthStart,DATE(VALUE(REGEXEXTRACT(Y$1,""\d{4}"")),VALUE(REGEXEXTRACT(Y$1,""T(\d+)"")),1),
  monthEnd,EOMONTH(monthStart,0),
  actualStart,MAX($D42,monthStart),
  actualEnd,MIN($E42,monthEnd),
  workingDaysInMonth,NETWORKDAYS(monthStart,monthEnd),
"&amp;"  workingDaysOverlap,IF(actualStart&gt;actualEnd,0,NETWORKDAYS(actualStart,actualEnd)),
  IF(workingDaysOverlap=0,"""",$F42*workingDaysOverlap/workingDaysInMonth)
)"),0.0)</f>
        <v>0</v>
      </c>
      <c r="Z42" s="75"/>
      <c r="AA42" s="75"/>
      <c r="AB42" s="75"/>
      <c r="AC42" s="75"/>
      <c r="AD42" s="75"/>
      <c r="AE42" s="75"/>
      <c r="AF42" s="64"/>
      <c r="AJ42" s="64"/>
      <c r="AK42" s="64"/>
      <c r="AO42" s="64"/>
      <c r="AP42" s="64"/>
      <c r="AT42" s="64"/>
      <c r="AX42" s="64"/>
      <c r="AY42" s="77"/>
      <c r="AZ42" s="77"/>
      <c r="BA42" s="78"/>
      <c r="BB42" s="74"/>
      <c r="BC42" s="74"/>
      <c r="BD42" s="67"/>
      <c r="BH42" s="64"/>
      <c r="BI42" s="64"/>
      <c r="BJ42" s="64"/>
      <c r="BK42" s="64"/>
      <c r="BL42" s="64"/>
      <c r="BM42" s="64"/>
      <c r="BN42" s="64"/>
    </row>
    <row r="43" ht="30.0" customHeight="1">
      <c r="A43" s="81"/>
      <c r="B43" s="61"/>
      <c r="C43" s="83"/>
      <c r="D43" s="84"/>
      <c r="E43" s="84"/>
      <c r="F43" s="86"/>
      <c r="G43" s="86">
        <f>IFERROR(__xludf.DUMMYFUNCTION("LET(
  monthStart,DATE(VALUE(REGEXEXTRACT(G$1,""\d{4}"")),VALUE(REGEXEXTRACT(G$1,""T(\d+)"")),1),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H43" s="86">
        <f>IFERROR(__xludf.DUMMYFUNCTION("LET(
  monthStart,DATE(VALUE(REGEXEXTRACT(H$1,""\d{4}"")),VALUE(REGEXEXTRACT(H$1,""T(\d+)"")),1),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I43" s="86">
        <f>IFERROR(__xludf.DUMMYFUNCTION("LET(
  monthStart,DATE(VALUE(REGEXEXTRACT(I$1,""\d{4}"")),VALUE(REGEXEXTRACT(I$1,""T(\d+)"")),1),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J43" s="86">
        <f>IFERROR(__xludf.DUMMYFUNCTION("LET(
  monthStart,DATE(VALUE(REGEXEXTRACT(J$1,""\d{4}"")),VALUE(REGEXEXTRACT(J$1,""T(\d+)"")),1),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K43" s="86">
        <f>IFERROR(__xludf.DUMMYFUNCTION("LET(
  monthStart,DATE(VALUE(REGEXEXTRACT(K$1,""\d{4}"")),VALUE(REGEXEXTRACT(K$1,""T(\d+)"")),1),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L43" s="86">
        <f>IFERROR(__xludf.DUMMYFUNCTION("LET(
  monthStart,DATE(VALUE(REGEXEXTRACT(L$1,""\d{4}"")),VALUE(REGEXEXTRACT(L$1,""T(\d+)"")),1),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M43" s="86">
        <f>IFERROR(__xludf.DUMMYFUNCTION("LET(
  monthStart,DATE(VALUE(REGEXEXTRACT(M$1,""\d{4}"")),VALUE(REGEXEXTRACT(M$1,""T(\d+)"")),1),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N43" s="86">
        <f>IFERROR(__xludf.DUMMYFUNCTION("LET(
  monthStart,DATE(VALUE(REGEXEXTRACT(N$1,""\d{4}"")),VALUE(REGEXEXTRACT(N$1,""T(\d+)"")),1),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O43" s="86">
        <f>IFERROR(__xludf.DUMMYFUNCTION("LET(
  monthStart,DATE(VALUE(REGEXEXTRACT(O$1,""\d{4}"")),VALUE(REGEXEXTRACT(O$1,""T(\d+)"")),1),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P43" s="86">
        <f>IFERROR(__xludf.DUMMYFUNCTION("LET(
  monthStart,DATE(VALUE(REGEXEXTRACT(P$1,""\d{4}"")),VALUE(REGEXEXTRACT(P$1,""T(\d+)"")),1),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Q43" s="86">
        <f>IFERROR(__xludf.DUMMYFUNCTION("LET(
  monthStart,DATE(VALUE(REGEXEXTRACT(Q$1,""\d{4}"")),VALUE(REGEXEXTRACT(Q$1,""T(\d+)"")),1),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R43" s="86">
        <f>IFERROR(__xludf.DUMMYFUNCTION("LET(
  monthStart,DATE(VALUE(REGEXEXTRACT(R$1,""\d{4}"")),VALUE(REGEXEXTRACT(R$1,""T(\d+)"")),1),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S43" s="86">
        <f>IFERROR(__xludf.DUMMYFUNCTION("LET(
  monthStart,DATE(VALUE(REGEXEXTRACT(S$1,""\d{4}"")),VALUE(REGEXEXTRACT(S$1,""T(\d+)"")),1),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T43" s="86">
        <f>IFERROR(__xludf.DUMMYFUNCTION("LET(
  monthStart,DATE(VALUE(REGEXEXTRACT(T$1,""\d{4}"")),VALUE(REGEXEXTRACT(T$1,""T(\d+)"")),1),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U43" s="86">
        <f>IFERROR(__xludf.DUMMYFUNCTION("LET(
  monthStart,DATE(VALUE(REGEXEXTRACT(U$1,""\d{4}"")),VALUE(REGEXEXTRACT(U$1,""T(\d+)"")),1),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V43" s="86">
        <f>IFERROR(__xludf.DUMMYFUNCTION("LET(
  monthStart,DATE(VALUE(REGEXEXTRACT(V$1,""\d{4}"")),VALUE(REGEXEXTRACT(V$1,""T(\d+)"")),1),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W43" s="86">
        <f>IFERROR(__xludf.DUMMYFUNCTION("LET(
  monthStart,DATE(VALUE(REGEXEXTRACT(W$1,""\d{4}"")),VALUE(REGEXEXTRACT(W$1,""T(\d+)"")),1),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X43" s="86">
        <f>IFERROR(__xludf.DUMMYFUNCTION("LET(
  monthStart,DATE(VALUE(REGEXEXTRACT(X$1,""\d{4}"")),VALUE(REGEXEXTRACT(X$1,""T(\d+)"")),1),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Y43" s="86">
        <f>IFERROR(__xludf.DUMMYFUNCTION("LET(
  monthStart,DATE(VALUE(REGEXEXTRACT(Y$1,""\d{4}"")),VALUE(REGEXEXTRACT(Y$1,""T(\d+)"")),1),
  monthEnd,EOMONTH(monthStart,0),
  actualStart,MAX($D43,monthStart),
  actualEnd,MIN($E43,monthEnd),
  workingDaysInMonth,NETWORKDAYS(monthStart,monthEnd),
"&amp;"  workingDaysOverlap,IF(actualStart&gt;actualEnd,0,NETWORKDAYS(actualStart,actualEnd)),
  IF(workingDaysOverlap=0,"""",$F43*workingDaysOverlap/workingDaysInMonth)
)"),0.0)</f>
        <v>0</v>
      </c>
      <c r="Z43" s="64"/>
      <c r="AA43" s="64"/>
      <c r="AB43" s="64"/>
      <c r="AC43" s="64"/>
      <c r="AD43" s="64"/>
      <c r="AE43" s="64"/>
      <c r="AF43" s="64"/>
      <c r="AJ43" s="64"/>
      <c r="AK43" s="64"/>
      <c r="AO43" s="64"/>
      <c r="AP43" s="64"/>
      <c r="AT43" s="64"/>
      <c r="AX43" s="64"/>
      <c r="AY43" s="77"/>
      <c r="AZ43" s="77"/>
      <c r="BA43" s="78"/>
      <c r="BB43" s="74"/>
      <c r="BC43" s="74"/>
      <c r="BD43" s="67"/>
      <c r="BH43" s="64"/>
      <c r="BI43" s="64"/>
      <c r="BJ43" s="64"/>
      <c r="BK43" s="64"/>
      <c r="BL43" s="64"/>
      <c r="BM43" s="64"/>
      <c r="BN43" s="64"/>
    </row>
    <row r="44" ht="30.0" customHeight="1">
      <c r="A44" s="81"/>
      <c r="B44" s="61"/>
      <c r="C44" s="83"/>
      <c r="D44" s="84"/>
      <c r="E44" s="84"/>
      <c r="F44" s="86"/>
      <c r="G44" s="86">
        <f>IFERROR(__xludf.DUMMYFUNCTION("LET(
  monthStart,DATE(VALUE(REGEXEXTRACT(G$1,""\d{4}"")),VALUE(REGEXEXTRACT(G$1,""T(\d+)"")),1),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H44" s="86">
        <f>IFERROR(__xludf.DUMMYFUNCTION("LET(
  monthStart,DATE(VALUE(REGEXEXTRACT(H$1,""\d{4}"")),VALUE(REGEXEXTRACT(H$1,""T(\d+)"")),1),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I44" s="86">
        <f>IFERROR(__xludf.DUMMYFUNCTION("LET(
  monthStart,DATE(VALUE(REGEXEXTRACT(I$1,""\d{4}"")),VALUE(REGEXEXTRACT(I$1,""T(\d+)"")),1),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J44" s="86">
        <f>IFERROR(__xludf.DUMMYFUNCTION("LET(
  monthStart,DATE(VALUE(REGEXEXTRACT(J$1,""\d{4}"")),VALUE(REGEXEXTRACT(J$1,""T(\d+)"")),1),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K44" s="86">
        <f>IFERROR(__xludf.DUMMYFUNCTION("LET(
  monthStart,DATE(VALUE(REGEXEXTRACT(K$1,""\d{4}"")),VALUE(REGEXEXTRACT(K$1,""T(\d+)"")),1),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L44" s="86">
        <f>IFERROR(__xludf.DUMMYFUNCTION("LET(
  monthStart,DATE(VALUE(REGEXEXTRACT(L$1,""\d{4}"")),VALUE(REGEXEXTRACT(L$1,""T(\d+)"")),1),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M44" s="86">
        <f>IFERROR(__xludf.DUMMYFUNCTION("LET(
  monthStart,DATE(VALUE(REGEXEXTRACT(M$1,""\d{4}"")),VALUE(REGEXEXTRACT(M$1,""T(\d+)"")),1),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N44" s="86">
        <f>IFERROR(__xludf.DUMMYFUNCTION("LET(
  monthStart,DATE(VALUE(REGEXEXTRACT(N$1,""\d{4}"")),VALUE(REGEXEXTRACT(N$1,""T(\d+)"")),1),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O44" s="86">
        <f>IFERROR(__xludf.DUMMYFUNCTION("LET(
  monthStart,DATE(VALUE(REGEXEXTRACT(O$1,""\d{4}"")),VALUE(REGEXEXTRACT(O$1,""T(\d+)"")),1),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P44" s="86">
        <f>IFERROR(__xludf.DUMMYFUNCTION("LET(
  monthStart,DATE(VALUE(REGEXEXTRACT(P$1,""\d{4}"")),VALUE(REGEXEXTRACT(P$1,""T(\d+)"")),1),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Q44" s="86">
        <f>IFERROR(__xludf.DUMMYFUNCTION("LET(
  monthStart,DATE(VALUE(REGEXEXTRACT(Q$1,""\d{4}"")),VALUE(REGEXEXTRACT(Q$1,""T(\d+)"")),1),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R44" s="86">
        <f>IFERROR(__xludf.DUMMYFUNCTION("LET(
  monthStart,DATE(VALUE(REGEXEXTRACT(R$1,""\d{4}"")),VALUE(REGEXEXTRACT(R$1,""T(\d+)"")),1),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S44" s="86">
        <f>IFERROR(__xludf.DUMMYFUNCTION("LET(
  monthStart,DATE(VALUE(REGEXEXTRACT(S$1,""\d{4}"")),VALUE(REGEXEXTRACT(S$1,""T(\d+)"")),1),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T44" s="86">
        <f>IFERROR(__xludf.DUMMYFUNCTION("LET(
  monthStart,DATE(VALUE(REGEXEXTRACT(T$1,""\d{4}"")),VALUE(REGEXEXTRACT(T$1,""T(\d+)"")),1),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U44" s="86">
        <f>IFERROR(__xludf.DUMMYFUNCTION("LET(
  monthStart,DATE(VALUE(REGEXEXTRACT(U$1,""\d{4}"")),VALUE(REGEXEXTRACT(U$1,""T(\d+)"")),1),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V44" s="86">
        <f>IFERROR(__xludf.DUMMYFUNCTION("LET(
  monthStart,DATE(VALUE(REGEXEXTRACT(V$1,""\d{4}"")),VALUE(REGEXEXTRACT(V$1,""T(\d+)"")),1),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W44" s="86">
        <f>IFERROR(__xludf.DUMMYFUNCTION("LET(
  monthStart,DATE(VALUE(REGEXEXTRACT(W$1,""\d{4}"")),VALUE(REGEXEXTRACT(W$1,""T(\d+)"")),1),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X44" s="86">
        <f>IFERROR(__xludf.DUMMYFUNCTION("LET(
  monthStart,DATE(VALUE(REGEXEXTRACT(X$1,""\d{4}"")),VALUE(REGEXEXTRACT(X$1,""T(\d+)"")),1),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Y44" s="86">
        <f>IFERROR(__xludf.DUMMYFUNCTION("LET(
  monthStart,DATE(VALUE(REGEXEXTRACT(Y$1,""\d{4}"")),VALUE(REGEXEXTRACT(Y$1,""T(\d+)"")),1),
  monthEnd,EOMONTH(monthStart,0),
  actualStart,MAX($D44,monthStart),
  actualEnd,MIN($E44,monthEnd),
  workingDaysInMonth,NETWORKDAYS(monthStart,monthEnd),
"&amp;"  workingDaysOverlap,IF(actualStart&gt;actualEnd,0,NETWORKDAYS(actualStart,actualEnd)),
  IF(workingDaysOverlap=0,"""",$F44*workingDaysOverlap/workingDaysInMonth)
)"),0.0)</f>
        <v>0</v>
      </c>
      <c r="Z44" s="64"/>
      <c r="AA44" s="64"/>
      <c r="AB44" s="64"/>
      <c r="AC44" s="64"/>
      <c r="AD44" s="64"/>
      <c r="AE44" s="64"/>
      <c r="AF44" s="64"/>
      <c r="AJ44" s="64"/>
      <c r="AK44" s="64"/>
      <c r="AO44" s="64"/>
      <c r="AP44" s="64"/>
      <c r="AT44" s="64"/>
      <c r="AX44" s="64"/>
      <c r="AY44" s="77"/>
      <c r="AZ44" s="77"/>
      <c r="BA44" s="78"/>
      <c r="BB44" s="74"/>
      <c r="BC44" s="74"/>
      <c r="BD44" s="67"/>
      <c r="BH44" s="64"/>
      <c r="BI44" s="64"/>
      <c r="BJ44" s="64"/>
      <c r="BK44" s="64"/>
      <c r="BL44" s="64"/>
      <c r="BM44" s="64"/>
      <c r="BN44" s="64"/>
    </row>
    <row r="45" ht="30.0" customHeight="1">
      <c r="A45" s="81"/>
      <c r="B45" s="61"/>
      <c r="C45" s="83"/>
      <c r="D45" s="84"/>
      <c r="E45" s="84"/>
      <c r="F45" s="86"/>
      <c r="G45" s="86">
        <f>IFERROR(__xludf.DUMMYFUNCTION("LET(
  monthStart,DATE(VALUE(REGEXEXTRACT(G$1,""\d{4}"")),VALUE(REGEXEXTRACT(G$1,""T(\d+)"")),1),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H45" s="86">
        <f>IFERROR(__xludf.DUMMYFUNCTION("LET(
  monthStart,DATE(VALUE(REGEXEXTRACT(H$1,""\d{4}"")),VALUE(REGEXEXTRACT(H$1,""T(\d+)"")),1),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I45" s="86">
        <f>IFERROR(__xludf.DUMMYFUNCTION("LET(
  monthStart,DATE(VALUE(REGEXEXTRACT(I$1,""\d{4}"")),VALUE(REGEXEXTRACT(I$1,""T(\d+)"")),1),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J45" s="86">
        <f>IFERROR(__xludf.DUMMYFUNCTION("LET(
  monthStart,DATE(VALUE(REGEXEXTRACT(J$1,""\d{4}"")),VALUE(REGEXEXTRACT(J$1,""T(\d+)"")),1),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K45" s="86">
        <f>IFERROR(__xludf.DUMMYFUNCTION("LET(
  monthStart,DATE(VALUE(REGEXEXTRACT(K$1,""\d{4}"")),VALUE(REGEXEXTRACT(K$1,""T(\d+)"")),1),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L45" s="86">
        <f>IFERROR(__xludf.DUMMYFUNCTION("LET(
  monthStart,DATE(VALUE(REGEXEXTRACT(L$1,""\d{4}"")),VALUE(REGEXEXTRACT(L$1,""T(\d+)"")),1),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M45" s="86">
        <f>IFERROR(__xludf.DUMMYFUNCTION("LET(
  monthStart,DATE(VALUE(REGEXEXTRACT(M$1,""\d{4}"")),VALUE(REGEXEXTRACT(M$1,""T(\d+)"")),1),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N45" s="86">
        <f>IFERROR(__xludf.DUMMYFUNCTION("LET(
  monthStart,DATE(VALUE(REGEXEXTRACT(N$1,""\d{4}"")),VALUE(REGEXEXTRACT(N$1,""T(\d+)"")),1),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O45" s="86">
        <f>IFERROR(__xludf.DUMMYFUNCTION("LET(
  monthStart,DATE(VALUE(REGEXEXTRACT(O$1,""\d{4}"")),VALUE(REGEXEXTRACT(O$1,""T(\d+)"")),1),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P45" s="86">
        <f>IFERROR(__xludf.DUMMYFUNCTION("LET(
  monthStart,DATE(VALUE(REGEXEXTRACT(P$1,""\d{4}"")),VALUE(REGEXEXTRACT(P$1,""T(\d+)"")),1),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Q45" s="86">
        <f>IFERROR(__xludf.DUMMYFUNCTION("LET(
  monthStart,DATE(VALUE(REGEXEXTRACT(Q$1,""\d{4}"")),VALUE(REGEXEXTRACT(Q$1,""T(\d+)"")),1),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R45" s="86">
        <f>IFERROR(__xludf.DUMMYFUNCTION("LET(
  monthStart,DATE(VALUE(REGEXEXTRACT(R$1,""\d{4}"")),VALUE(REGEXEXTRACT(R$1,""T(\d+)"")),1),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S45" s="86">
        <f>IFERROR(__xludf.DUMMYFUNCTION("LET(
  monthStart,DATE(VALUE(REGEXEXTRACT(S$1,""\d{4}"")),VALUE(REGEXEXTRACT(S$1,""T(\d+)"")),1),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T45" s="86">
        <f>IFERROR(__xludf.DUMMYFUNCTION("LET(
  monthStart,DATE(VALUE(REGEXEXTRACT(T$1,""\d{4}"")),VALUE(REGEXEXTRACT(T$1,""T(\d+)"")),1),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U45" s="86">
        <f>IFERROR(__xludf.DUMMYFUNCTION("LET(
  monthStart,DATE(VALUE(REGEXEXTRACT(U$1,""\d{4}"")),VALUE(REGEXEXTRACT(U$1,""T(\d+)"")),1),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V45" s="86">
        <f>IFERROR(__xludf.DUMMYFUNCTION("LET(
  monthStart,DATE(VALUE(REGEXEXTRACT(V$1,""\d{4}"")),VALUE(REGEXEXTRACT(V$1,""T(\d+)"")),1),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W45" s="86">
        <f>IFERROR(__xludf.DUMMYFUNCTION("LET(
  monthStart,DATE(VALUE(REGEXEXTRACT(W$1,""\d{4}"")),VALUE(REGEXEXTRACT(W$1,""T(\d+)"")),1),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X45" s="86">
        <f>IFERROR(__xludf.DUMMYFUNCTION("LET(
  monthStart,DATE(VALUE(REGEXEXTRACT(X$1,""\d{4}"")),VALUE(REGEXEXTRACT(X$1,""T(\d+)"")),1),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Y45" s="86">
        <f>IFERROR(__xludf.DUMMYFUNCTION("LET(
  monthStart,DATE(VALUE(REGEXEXTRACT(Y$1,""\d{4}"")),VALUE(REGEXEXTRACT(Y$1,""T(\d+)"")),1),
  monthEnd,EOMONTH(monthStart,0),
  actualStart,MAX($D45,monthStart),
  actualEnd,MIN($E45,monthEnd),
  workingDaysInMonth,NETWORKDAYS(monthStart,monthEnd),
"&amp;"  workingDaysOverlap,IF(actualStart&gt;actualEnd,0,NETWORKDAYS(actualStart,actualEnd)),
  IF(workingDaysOverlap=0,"""",$F45*workingDaysOverlap/workingDaysInMonth)
)"),0.0)</f>
        <v>0</v>
      </c>
      <c r="Z45" s="64"/>
      <c r="AA45" s="64"/>
      <c r="AB45" s="64"/>
      <c r="AC45" s="64"/>
      <c r="AD45" s="64"/>
      <c r="AE45" s="64"/>
      <c r="AF45" s="64"/>
      <c r="AJ45" s="64"/>
      <c r="AK45" s="64"/>
      <c r="AO45" s="64"/>
      <c r="AP45" s="64"/>
      <c r="AT45" s="64"/>
      <c r="AX45" s="64"/>
      <c r="AY45" s="77"/>
      <c r="AZ45" s="77"/>
      <c r="BA45" s="78"/>
      <c r="BB45" s="74"/>
      <c r="BC45" s="74"/>
      <c r="BD45" s="67"/>
      <c r="BH45" s="64"/>
      <c r="BI45" s="64"/>
      <c r="BJ45" s="64"/>
      <c r="BK45" s="64"/>
      <c r="BL45" s="64"/>
      <c r="BM45" s="64"/>
      <c r="BN45" s="64"/>
    </row>
    <row r="46" ht="30.0" customHeight="1">
      <c r="A46" s="81"/>
      <c r="B46" s="61"/>
      <c r="C46" s="83"/>
      <c r="D46" s="84"/>
      <c r="E46" s="84"/>
      <c r="F46" s="86"/>
      <c r="G46" s="86">
        <f>IFERROR(__xludf.DUMMYFUNCTION("LET(
  monthStart,DATE(VALUE(REGEXEXTRACT(G$1,""\d{4}"")),VALUE(REGEXEXTRACT(G$1,""T(\d+)"")),1),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H46" s="86">
        <f>IFERROR(__xludf.DUMMYFUNCTION("LET(
  monthStart,DATE(VALUE(REGEXEXTRACT(H$1,""\d{4}"")),VALUE(REGEXEXTRACT(H$1,""T(\d+)"")),1),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I46" s="86">
        <f>IFERROR(__xludf.DUMMYFUNCTION("LET(
  monthStart,DATE(VALUE(REGEXEXTRACT(I$1,""\d{4}"")),VALUE(REGEXEXTRACT(I$1,""T(\d+)"")),1),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J46" s="86">
        <f>IFERROR(__xludf.DUMMYFUNCTION("LET(
  monthStart,DATE(VALUE(REGEXEXTRACT(J$1,""\d{4}"")),VALUE(REGEXEXTRACT(J$1,""T(\d+)"")),1),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K46" s="86">
        <f>IFERROR(__xludf.DUMMYFUNCTION("LET(
  monthStart,DATE(VALUE(REGEXEXTRACT(K$1,""\d{4}"")),VALUE(REGEXEXTRACT(K$1,""T(\d+)"")),1),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L46" s="86">
        <f>IFERROR(__xludf.DUMMYFUNCTION("LET(
  monthStart,DATE(VALUE(REGEXEXTRACT(L$1,""\d{4}"")),VALUE(REGEXEXTRACT(L$1,""T(\d+)"")),1),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M46" s="86">
        <f>IFERROR(__xludf.DUMMYFUNCTION("LET(
  monthStart,DATE(VALUE(REGEXEXTRACT(M$1,""\d{4}"")),VALUE(REGEXEXTRACT(M$1,""T(\d+)"")),1),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N46" s="86">
        <f>IFERROR(__xludf.DUMMYFUNCTION("LET(
  monthStart,DATE(VALUE(REGEXEXTRACT(N$1,""\d{4}"")),VALUE(REGEXEXTRACT(N$1,""T(\d+)"")),1),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O46" s="86">
        <f>IFERROR(__xludf.DUMMYFUNCTION("LET(
  monthStart,DATE(VALUE(REGEXEXTRACT(O$1,""\d{4}"")),VALUE(REGEXEXTRACT(O$1,""T(\d+)"")),1),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P46" s="86">
        <f>IFERROR(__xludf.DUMMYFUNCTION("LET(
  monthStart,DATE(VALUE(REGEXEXTRACT(P$1,""\d{4}"")),VALUE(REGEXEXTRACT(P$1,""T(\d+)"")),1),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Q46" s="86">
        <f>IFERROR(__xludf.DUMMYFUNCTION("LET(
  monthStart,DATE(VALUE(REGEXEXTRACT(Q$1,""\d{4}"")),VALUE(REGEXEXTRACT(Q$1,""T(\d+)"")),1),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R46" s="86">
        <f>IFERROR(__xludf.DUMMYFUNCTION("LET(
  monthStart,DATE(VALUE(REGEXEXTRACT(R$1,""\d{4}"")),VALUE(REGEXEXTRACT(R$1,""T(\d+)"")),1),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S46" s="86">
        <f>IFERROR(__xludf.DUMMYFUNCTION("LET(
  monthStart,DATE(VALUE(REGEXEXTRACT(S$1,""\d{4}"")),VALUE(REGEXEXTRACT(S$1,""T(\d+)"")),1),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T46" s="86">
        <f>IFERROR(__xludf.DUMMYFUNCTION("LET(
  monthStart,DATE(VALUE(REGEXEXTRACT(T$1,""\d{4}"")),VALUE(REGEXEXTRACT(T$1,""T(\d+)"")),1),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U46" s="86">
        <f>IFERROR(__xludf.DUMMYFUNCTION("LET(
  monthStart,DATE(VALUE(REGEXEXTRACT(U$1,""\d{4}"")),VALUE(REGEXEXTRACT(U$1,""T(\d+)"")),1),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V46" s="86">
        <f>IFERROR(__xludf.DUMMYFUNCTION("LET(
  monthStart,DATE(VALUE(REGEXEXTRACT(V$1,""\d{4}"")),VALUE(REGEXEXTRACT(V$1,""T(\d+)"")),1),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W46" s="86">
        <f>IFERROR(__xludf.DUMMYFUNCTION("LET(
  monthStart,DATE(VALUE(REGEXEXTRACT(W$1,""\d{4}"")),VALUE(REGEXEXTRACT(W$1,""T(\d+)"")),1),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X46" s="86">
        <f>IFERROR(__xludf.DUMMYFUNCTION("LET(
  monthStart,DATE(VALUE(REGEXEXTRACT(X$1,""\d{4}"")),VALUE(REGEXEXTRACT(X$1,""T(\d+)"")),1),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Y46" s="86">
        <f>IFERROR(__xludf.DUMMYFUNCTION("LET(
  monthStart,DATE(VALUE(REGEXEXTRACT(Y$1,""\d{4}"")),VALUE(REGEXEXTRACT(Y$1,""T(\d+)"")),1),
  monthEnd,EOMONTH(monthStart,0),
  actualStart,MAX($D46,monthStart),
  actualEnd,MIN($E46,monthEnd),
  workingDaysInMonth,NETWORKDAYS(monthStart,monthEnd),
"&amp;"  workingDaysOverlap,IF(actualStart&gt;actualEnd,0,NETWORKDAYS(actualStart,actualEnd)),
  IF(workingDaysOverlap=0,"""",$F46*workingDaysOverlap/workingDaysInMonth)
)"),0.0)</f>
        <v>0</v>
      </c>
      <c r="Z46" s="64"/>
      <c r="AA46" s="64"/>
      <c r="AB46" s="64"/>
      <c r="AC46" s="64"/>
      <c r="AD46" s="64"/>
      <c r="AE46" s="64"/>
      <c r="AF46" s="64"/>
      <c r="AJ46" s="64"/>
      <c r="AK46" s="64"/>
      <c r="AO46" s="64"/>
      <c r="AP46" s="64"/>
      <c r="AT46" s="64"/>
      <c r="AX46" s="64"/>
      <c r="AY46" s="77"/>
      <c r="AZ46" s="77"/>
      <c r="BA46" s="78"/>
      <c r="BB46" s="74"/>
      <c r="BC46" s="74"/>
      <c r="BD46" s="67"/>
      <c r="BH46" s="64"/>
      <c r="BI46" s="64"/>
      <c r="BJ46" s="64"/>
      <c r="BK46" s="64"/>
      <c r="BL46" s="64"/>
      <c r="BM46" s="64"/>
      <c r="BN46" s="64"/>
    </row>
    <row r="47" ht="30.0" customHeight="1">
      <c r="A47" s="81"/>
      <c r="B47" s="61"/>
      <c r="C47" s="83"/>
      <c r="D47" s="114"/>
      <c r="E47" s="84"/>
      <c r="F47" s="86"/>
      <c r="G47" s="86">
        <f>IFERROR(__xludf.DUMMYFUNCTION("LET(
  monthStart,DATE(VALUE(REGEXEXTRACT(G$1,""\d{4}"")),VALUE(REGEXEXTRACT(G$1,""T(\d+)"")),1),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H47" s="86">
        <f>IFERROR(__xludf.DUMMYFUNCTION("LET(
  monthStart,DATE(VALUE(REGEXEXTRACT(H$1,""\d{4}"")),VALUE(REGEXEXTRACT(H$1,""T(\d+)"")),1),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I47" s="86">
        <f>IFERROR(__xludf.DUMMYFUNCTION("LET(
  monthStart,DATE(VALUE(REGEXEXTRACT(I$1,""\d{4}"")),VALUE(REGEXEXTRACT(I$1,""T(\d+)"")),1),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J47" s="86">
        <f>IFERROR(__xludf.DUMMYFUNCTION("LET(
  monthStart,DATE(VALUE(REGEXEXTRACT(J$1,""\d{4}"")),VALUE(REGEXEXTRACT(J$1,""T(\d+)"")),1),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K47" s="86">
        <f>IFERROR(__xludf.DUMMYFUNCTION("LET(
  monthStart,DATE(VALUE(REGEXEXTRACT(K$1,""\d{4}"")),VALUE(REGEXEXTRACT(K$1,""T(\d+)"")),1),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L47" s="86">
        <f>IFERROR(__xludf.DUMMYFUNCTION("LET(
  monthStart,DATE(VALUE(REGEXEXTRACT(L$1,""\d{4}"")),VALUE(REGEXEXTRACT(L$1,""T(\d+)"")),1),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M47" s="86">
        <f>IFERROR(__xludf.DUMMYFUNCTION("LET(
  monthStart,DATE(VALUE(REGEXEXTRACT(M$1,""\d{4}"")),VALUE(REGEXEXTRACT(M$1,""T(\d+)"")),1),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N47" s="86">
        <f>IFERROR(__xludf.DUMMYFUNCTION("LET(
  monthStart,DATE(VALUE(REGEXEXTRACT(N$1,""\d{4}"")),VALUE(REGEXEXTRACT(N$1,""T(\d+)"")),1),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O47" s="86">
        <f>IFERROR(__xludf.DUMMYFUNCTION("LET(
  monthStart,DATE(VALUE(REGEXEXTRACT(O$1,""\d{4}"")),VALUE(REGEXEXTRACT(O$1,""T(\d+)"")),1),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P47" s="86">
        <f>IFERROR(__xludf.DUMMYFUNCTION("LET(
  monthStart,DATE(VALUE(REGEXEXTRACT(P$1,""\d{4}"")),VALUE(REGEXEXTRACT(P$1,""T(\d+)"")),1),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Q47" s="86">
        <f>IFERROR(__xludf.DUMMYFUNCTION("LET(
  monthStart,DATE(VALUE(REGEXEXTRACT(Q$1,""\d{4}"")),VALUE(REGEXEXTRACT(Q$1,""T(\d+)"")),1),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R47" s="86">
        <f>IFERROR(__xludf.DUMMYFUNCTION("LET(
  monthStart,DATE(VALUE(REGEXEXTRACT(R$1,""\d{4}"")),VALUE(REGEXEXTRACT(R$1,""T(\d+)"")),1),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S47" s="86">
        <f>IFERROR(__xludf.DUMMYFUNCTION("LET(
  monthStart,DATE(VALUE(REGEXEXTRACT(S$1,""\d{4}"")),VALUE(REGEXEXTRACT(S$1,""T(\d+)"")),1),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T47" s="86">
        <f>IFERROR(__xludf.DUMMYFUNCTION("LET(
  monthStart,DATE(VALUE(REGEXEXTRACT(T$1,""\d{4}"")),VALUE(REGEXEXTRACT(T$1,""T(\d+)"")),1),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U47" s="86">
        <f>IFERROR(__xludf.DUMMYFUNCTION("LET(
  monthStart,DATE(VALUE(REGEXEXTRACT(U$1,""\d{4}"")),VALUE(REGEXEXTRACT(U$1,""T(\d+)"")),1),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V47" s="86">
        <f>IFERROR(__xludf.DUMMYFUNCTION("LET(
  monthStart,DATE(VALUE(REGEXEXTRACT(V$1,""\d{4}"")),VALUE(REGEXEXTRACT(V$1,""T(\d+)"")),1),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W47" s="86">
        <f>IFERROR(__xludf.DUMMYFUNCTION("LET(
  monthStart,DATE(VALUE(REGEXEXTRACT(W$1,""\d{4}"")),VALUE(REGEXEXTRACT(W$1,""T(\d+)"")),1),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X47" s="86">
        <f>IFERROR(__xludf.DUMMYFUNCTION("LET(
  monthStart,DATE(VALUE(REGEXEXTRACT(X$1,""\d{4}"")),VALUE(REGEXEXTRACT(X$1,""T(\d+)"")),1),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Y47" s="86">
        <f>IFERROR(__xludf.DUMMYFUNCTION("LET(
  monthStart,DATE(VALUE(REGEXEXTRACT(Y$1,""\d{4}"")),VALUE(REGEXEXTRACT(Y$1,""T(\d+)"")),1),
  monthEnd,EOMONTH(monthStart,0),
  actualStart,MAX($D47,monthStart),
  actualEnd,MIN($E47,monthEnd),
  workingDaysInMonth,NETWORKDAYS(monthStart,monthEnd),
"&amp;"  workingDaysOverlap,IF(actualStart&gt;actualEnd,0,NETWORKDAYS(actualStart,actualEnd)),
  IF(workingDaysOverlap=0,"""",$F47*workingDaysOverlap/workingDaysInMonth)
)"),0.0)</f>
        <v>0</v>
      </c>
      <c r="Z47" s="64"/>
      <c r="AA47" s="64"/>
      <c r="AB47" s="64"/>
      <c r="AC47" s="64"/>
      <c r="AD47" s="64"/>
      <c r="AE47" s="64"/>
      <c r="AF47" s="64"/>
      <c r="AJ47" s="64"/>
      <c r="AK47" s="64"/>
      <c r="AO47" s="64"/>
      <c r="AP47" s="64"/>
      <c r="AT47" s="64"/>
      <c r="AX47" s="64"/>
      <c r="AY47" s="77"/>
      <c r="AZ47" s="77"/>
      <c r="BA47" s="78"/>
      <c r="BB47" s="74"/>
      <c r="BC47" s="74"/>
      <c r="BD47" s="67"/>
      <c r="BH47" s="64"/>
      <c r="BI47" s="64"/>
      <c r="BJ47" s="64"/>
      <c r="BK47" s="64"/>
      <c r="BL47" s="64"/>
      <c r="BM47" s="64"/>
      <c r="BN47" s="64"/>
    </row>
    <row r="48" ht="30.0" customHeight="1">
      <c r="A48" s="81"/>
      <c r="B48" s="61"/>
      <c r="C48" s="83"/>
      <c r="D48" s="114"/>
      <c r="E48" s="84"/>
      <c r="F48" s="86"/>
      <c r="G48" s="86">
        <f>IFERROR(__xludf.DUMMYFUNCTION("LET(
  monthStart,DATE(VALUE(REGEXEXTRACT(G$1,""\d{4}"")),VALUE(REGEXEXTRACT(G$1,""T(\d+)"")),1),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H48" s="86">
        <f>IFERROR(__xludf.DUMMYFUNCTION("LET(
  monthStart,DATE(VALUE(REGEXEXTRACT(H$1,""\d{4}"")),VALUE(REGEXEXTRACT(H$1,""T(\d+)"")),1),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I48" s="86">
        <f>IFERROR(__xludf.DUMMYFUNCTION("LET(
  monthStart,DATE(VALUE(REGEXEXTRACT(I$1,""\d{4}"")),VALUE(REGEXEXTRACT(I$1,""T(\d+)"")),1),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J48" s="86">
        <f>IFERROR(__xludf.DUMMYFUNCTION("LET(
  monthStart,DATE(VALUE(REGEXEXTRACT(J$1,""\d{4}"")),VALUE(REGEXEXTRACT(J$1,""T(\d+)"")),1),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K48" s="86">
        <f>IFERROR(__xludf.DUMMYFUNCTION("LET(
  monthStart,DATE(VALUE(REGEXEXTRACT(K$1,""\d{4}"")),VALUE(REGEXEXTRACT(K$1,""T(\d+)"")),1),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L48" s="86">
        <f>IFERROR(__xludf.DUMMYFUNCTION("LET(
  monthStart,DATE(VALUE(REGEXEXTRACT(L$1,""\d{4}"")),VALUE(REGEXEXTRACT(L$1,""T(\d+)"")),1),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M48" s="86">
        <f>IFERROR(__xludf.DUMMYFUNCTION("LET(
  monthStart,DATE(VALUE(REGEXEXTRACT(M$1,""\d{4}"")),VALUE(REGEXEXTRACT(M$1,""T(\d+)"")),1),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N48" s="86">
        <f>IFERROR(__xludf.DUMMYFUNCTION("LET(
  monthStart,DATE(VALUE(REGEXEXTRACT(N$1,""\d{4}"")),VALUE(REGEXEXTRACT(N$1,""T(\d+)"")),1),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O48" s="86">
        <f>IFERROR(__xludf.DUMMYFUNCTION("LET(
  monthStart,DATE(VALUE(REGEXEXTRACT(O$1,""\d{4}"")),VALUE(REGEXEXTRACT(O$1,""T(\d+)"")),1),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P48" s="86">
        <f>IFERROR(__xludf.DUMMYFUNCTION("LET(
  monthStart,DATE(VALUE(REGEXEXTRACT(P$1,""\d{4}"")),VALUE(REGEXEXTRACT(P$1,""T(\d+)"")),1),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Q48" s="86">
        <f>IFERROR(__xludf.DUMMYFUNCTION("LET(
  monthStart,DATE(VALUE(REGEXEXTRACT(Q$1,""\d{4}"")),VALUE(REGEXEXTRACT(Q$1,""T(\d+)"")),1),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R48" s="86">
        <f>IFERROR(__xludf.DUMMYFUNCTION("LET(
  monthStart,DATE(VALUE(REGEXEXTRACT(R$1,""\d{4}"")),VALUE(REGEXEXTRACT(R$1,""T(\d+)"")),1),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S48" s="86">
        <f>IFERROR(__xludf.DUMMYFUNCTION("LET(
  monthStart,DATE(VALUE(REGEXEXTRACT(S$1,""\d{4}"")),VALUE(REGEXEXTRACT(S$1,""T(\d+)"")),1),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T48" s="86">
        <f>IFERROR(__xludf.DUMMYFUNCTION("LET(
  monthStart,DATE(VALUE(REGEXEXTRACT(T$1,""\d{4}"")),VALUE(REGEXEXTRACT(T$1,""T(\d+)"")),1),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U48" s="86">
        <f>IFERROR(__xludf.DUMMYFUNCTION("LET(
  monthStart,DATE(VALUE(REGEXEXTRACT(U$1,""\d{4}"")),VALUE(REGEXEXTRACT(U$1,""T(\d+)"")),1),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V48" s="86">
        <f>IFERROR(__xludf.DUMMYFUNCTION("LET(
  monthStart,DATE(VALUE(REGEXEXTRACT(V$1,""\d{4}"")),VALUE(REGEXEXTRACT(V$1,""T(\d+)"")),1),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W48" s="86">
        <f>IFERROR(__xludf.DUMMYFUNCTION("LET(
  monthStart,DATE(VALUE(REGEXEXTRACT(W$1,""\d{4}"")),VALUE(REGEXEXTRACT(W$1,""T(\d+)"")),1),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X48" s="86">
        <f>IFERROR(__xludf.DUMMYFUNCTION("LET(
  monthStart,DATE(VALUE(REGEXEXTRACT(X$1,""\d{4}"")),VALUE(REGEXEXTRACT(X$1,""T(\d+)"")),1),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Y48" s="86">
        <f>IFERROR(__xludf.DUMMYFUNCTION("LET(
  monthStart,DATE(VALUE(REGEXEXTRACT(Y$1,""\d{4}"")),VALUE(REGEXEXTRACT(Y$1,""T(\d+)"")),1),
  monthEnd,EOMONTH(monthStart,0),
  actualStart,MAX($D48,monthStart),
  actualEnd,MIN($E48,monthEnd),
  workingDaysInMonth,NETWORKDAYS(monthStart,monthEnd),
"&amp;"  workingDaysOverlap,IF(actualStart&gt;actualEnd,0,NETWORKDAYS(actualStart,actualEnd)),
  IF(workingDaysOverlap=0,"""",$F48*workingDaysOverlap/workingDaysInMonth)
)"),0.0)</f>
        <v>0</v>
      </c>
      <c r="Z48" s="64"/>
      <c r="AA48" s="64"/>
      <c r="AB48" s="64"/>
      <c r="AC48" s="64"/>
      <c r="AD48" s="64"/>
      <c r="AE48" s="64"/>
      <c r="AF48" s="64"/>
      <c r="AJ48" s="64"/>
      <c r="AK48" s="64"/>
      <c r="AO48" s="64"/>
      <c r="AP48" s="64"/>
      <c r="AT48" s="64"/>
      <c r="AX48" s="64"/>
      <c r="AY48" s="77"/>
      <c r="AZ48" s="77"/>
      <c r="BA48" s="77"/>
      <c r="BB48" s="74"/>
      <c r="BC48" s="74"/>
      <c r="BD48" s="67"/>
      <c r="BH48" s="64"/>
      <c r="BI48" s="64"/>
      <c r="BJ48" s="64"/>
      <c r="BK48" s="64"/>
      <c r="BL48" s="64"/>
      <c r="BM48" s="64"/>
      <c r="BN48" s="64"/>
    </row>
    <row r="49" ht="30.0" customHeight="1">
      <c r="A49" s="81"/>
      <c r="B49" s="61"/>
      <c r="C49" s="83"/>
      <c r="D49" s="114"/>
      <c r="E49" s="84"/>
      <c r="F49" s="86"/>
      <c r="G49" s="86">
        <f>IFERROR(__xludf.DUMMYFUNCTION("LET(
  monthStart,DATE(VALUE(REGEXEXTRACT(G$1,""\d{4}"")),VALUE(REGEXEXTRACT(G$1,""T(\d+)"")),1),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H49" s="86">
        <f>IFERROR(__xludf.DUMMYFUNCTION("LET(
  monthStart,DATE(VALUE(REGEXEXTRACT(H$1,""\d{4}"")),VALUE(REGEXEXTRACT(H$1,""T(\d+)"")),1),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I49" s="86">
        <f>IFERROR(__xludf.DUMMYFUNCTION("LET(
  monthStart,DATE(VALUE(REGEXEXTRACT(I$1,""\d{4}"")),VALUE(REGEXEXTRACT(I$1,""T(\d+)"")),1),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J49" s="86">
        <f>IFERROR(__xludf.DUMMYFUNCTION("LET(
  monthStart,DATE(VALUE(REGEXEXTRACT(J$1,""\d{4}"")),VALUE(REGEXEXTRACT(J$1,""T(\d+)"")),1),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K49" s="86">
        <f>IFERROR(__xludf.DUMMYFUNCTION("LET(
  monthStart,DATE(VALUE(REGEXEXTRACT(K$1,""\d{4}"")),VALUE(REGEXEXTRACT(K$1,""T(\d+)"")),1),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L49" s="86">
        <f>IFERROR(__xludf.DUMMYFUNCTION("LET(
  monthStart,DATE(VALUE(REGEXEXTRACT(L$1,""\d{4}"")),VALUE(REGEXEXTRACT(L$1,""T(\d+)"")),1),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M49" s="86">
        <f>IFERROR(__xludf.DUMMYFUNCTION("LET(
  monthStart,DATE(VALUE(REGEXEXTRACT(M$1,""\d{4}"")),VALUE(REGEXEXTRACT(M$1,""T(\d+)"")),1),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N49" s="86">
        <f>IFERROR(__xludf.DUMMYFUNCTION("LET(
  monthStart,DATE(VALUE(REGEXEXTRACT(N$1,""\d{4}"")),VALUE(REGEXEXTRACT(N$1,""T(\d+)"")),1),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O49" s="86">
        <f>IFERROR(__xludf.DUMMYFUNCTION("LET(
  monthStart,DATE(VALUE(REGEXEXTRACT(O$1,""\d{4}"")),VALUE(REGEXEXTRACT(O$1,""T(\d+)"")),1),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P49" s="86">
        <f>IFERROR(__xludf.DUMMYFUNCTION("LET(
  monthStart,DATE(VALUE(REGEXEXTRACT(P$1,""\d{4}"")),VALUE(REGEXEXTRACT(P$1,""T(\d+)"")),1),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Q49" s="86">
        <f>IFERROR(__xludf.DUMMYFUNCTION("LET(
  monthStart,DATE(VALUE(REGEXEXTRACT(Q$1,""\d{4}"")),VALUE(REGEXEXTRACT(Q$1,""T(\d+)"")),1),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R49" s="86">
        <f>IFERROR(__xludf.DUMMYFUNCTION("LET(
  monthStart,DATE(VALUE(REGEXEXTRACT(R$1,""\d{4}"")),VALUE(REGEXEXTRACT(R$1,""T(\d+)"")),1),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S49" s="86">
        <f>IFERROR(__xludf.DUMMYFUNCTION("LET(
  monthStart,DATE(VALUE(REGEXEXTRACT(S$1,""\d{4}"")),VALUE(REGEXEXTRACT(S$1,""T(\d+)"")),1),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T49" s="86">
        <f>IFERROR(__xludf.DUMMYFUNCTION("LET(
  monthStart,DATE(VALUE(REGEXEXTRACT(T$1,""\d{4}"")),VALUE(REGEXEXTRACT(T$1,""T(\d+)"")),1),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U49" s="86">
        <f>IFERROR(__xludf.DUMMYFUNCTION("LET(
  monthStart,DATE(VALUE(REGEXEXTRACT(U$1,""\d{4}"")),VALUE(REGEXEXTRACT(U$1,""T(\d+)"")),1),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V49" s="86">
        <f>IFERROR(__xludf.DUMMYFUNCTION("LET(
  monthStart,DATE(VALUE(REGEXEXTRACT(V$1,""\d{4}"")),VALUE(REGEXEXTRACT(V$1,""T(\d+)"")),1),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W49" s="86">
        <f>IFERROR(__xludf.DUMMYFUNCTION("LET(
  monthStart,DATE(VALUE(REGEXEXTRACT(W$1,""\d{4}"")),VALUE(REGEXEXTRACT(W$1,""T(\d+)"")),1),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X49" s="86">
        <f>IFERROR(__xludf.DUMMYFUNCTION("LET(
  monthStart,DATE(VALUE(REGEXEXTRACT(X$1,""\d{4}"")),VALUE(REGEXEXTRACT(X$1,""T(\d+)"")),1),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Y49" s="86">
        <f>IFERROR(__xludf.DUMMYFUNCTION("LET(
  monthStart,DATE(VALUE(REGEXEXTRACT(Y$1,""\d{4}"")),VALUE(REGEXEXTRACT(Y$1,""T(\d+)"")),1),
  monthEnd,EOMONTH(monthStart,0),
  actualStart,MAX($D49,monthStart),
  actualEnd,MIN($E49,monthEnd),
  workingDaysInMonth,NETWORKDAYS(monthStart,monthEnd),
"&amp;"  workingDaysOverlap,IF(actualStart&gt;actualEnd,0,NETWORKDAYS(actualStart,actualEnd)),
  IF(workingDaysOverlap=0,"""",$F49*workingDaysOverlap/workingDaysInMonth)
)"),0.0)</f>
        <v>0</v>
      </c>
      <c r="Z49" s="64"/>
      <c r="AA49" s="64"/>
      <c r="AB49" s="64"/>
      <c r="AC49" s="64"/>
      <c r="AD49" s="64"/>
      <c r="AE49" s="64"/>
      <c r="AF49" s="64"/>
      <c r="AJ49" s="64"/>
      <c r="AK49" s="64"/>
      <c r="AO49" s="64"/>
      <c r="AP49" s="64"/>
      <c r="AT49" s="64"/>
      <c r="AX49" s="64"/>
      <c r="AY49" s="77"/>
      <c r="AZ49" s="77"/>
      <c r="BA49" s="78"/>
      <c r="BB49" s="74"/>
      <c r="BC49" s="74"/>
      <c r="BD49" s="67"/>
      <c r="BH49" s="64"/>
      <c r="BI49" s="64"/>
      <c r="BJ49" s="64"/>
      <c r="BK49" s="64"/>
      <c r="BL49" s="64"/>
      <c r="BM49" s="64"/>
      <c r="BN49" s="64"/>
    </row>
    <row r="50" ht="30.0" customHeight="1">
      <c r="A50" s="81"/>
      <c r="B50" s="61"/>
      <c r="C50" s="83"/>
      <c r="D50" s="114"/>
      <c r="E50" s="84"/>
      <c r="F50" s="86"/>
      <c r="G50" s="86">
        <f>IFERROR(__xludf.DUMMYFUNCTION("LET(
  monthStart,DATE(VALUE(REGEXEXTRACT(G$1,""\d{4}"")),VALUE(REGEXEXTRACT(G$1,""T(\d+)"")),1),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H50" s="86">
        <f>IFERROR(__xludf.DUMMYFUNCTION("LET(
  monthStart,DATE(VALUE(REGEXEXTRACT(H$1,""\d{4}"")),VALUE(REGEXEXTRACT(H$1,""T(\d+)"")),1),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I50" s="86">
        <f>IFERROR(__xludf.DUMMYFUNCTION("LET(
  monthStart,DATE(VALUE(REGEXEXTRACT(I$1,""\d{4}"")),VALUE(REGEXEXTRACT(I$1,""T(\d+)"")),1),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J50" s="86">
        <f>IFERROR(__xludf.DUMMYFUNCTION("LET(
  monthStart,DATE(VALUE(REGEXEXTRACT(J$1,""\d{4}"")),VALUE(REGEXEXTRACT(J$1,""T(\d+)"")),1),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K50" s="86">
        <f>IFERROR(__xludf.DUMMYFUNCTION("LET(
  monthStart,DATE(VALUE(REGEXEXTRACT(K$1,""\d{4}"")),VALUE(REGEXEXTRACT(K$1,""T(\d+)"")),1),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L50" s="86">
        <f>IFERROR(__xludf.DUMMYFUNCTION("LET(
  monthStart,DATE(VALUE(REGEXEXTRACT(L$1,""\d{4}"")),VALUE(REGEXEXTRACT(L$1,""T(\d+)"")),1),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M50" s="86">
        <f>IFERROR(__xludf.DUMMYFUNCTION("LET(
  monthStart,DATE(VALUE(REGEXEXTRACT(M$1,""\d{4}"")),VALUE(REGEXEXTRACT(M$1,""T(\d+)"")),1),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N50" s="86">
        <f>IFERROR(__xludf.DUMMYFUNCTION("LET(
  monthStart,DATE(VALUE(REGEXEXTRACT(N$1,""\d{4}"")),VALUE(REGEXEXTRACT(N$1,""T(\d+)"")),1),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O50" s="86">
        <f>IFERROR(__xludf.DUMMYFUNCTION("LET(
  monthStart,DATE(VALUE(REGEXEXTRACT(O$1,""\d{4}"")),VALUE(REGEXEXTRACT(O$1,""T(\d+)"")),1),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P50" s="86">
        <f>IFERROR(__xludf.DUMMYFUNCTION("LET(
  monthStart,DATE(VALUE(REGEXEXTRACT(P$1,""\d{4}"")),VALUE(REGEXEXTRACT(P$1,""T(\d+)"")),1),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Q50" s="86">
        <f>IFERROR(__xludf.DUMMYFUNCTION("LET(
  monthStart,DATE(VALUE(REGEXEXTRACT(Q$1,""\d{4}"")),VALUE(REGEXEXTRACT(Q$1,""T(\d+)"")),1),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R50" s="86">
        <f>IFERROR(__xludf.DUMMYFUNCTION("LET(
  monthStart,DATE(VALUE(REGEXEXTRACT(R$1,""\d{4}"")),VALUE(REGEXEXTRACT(R$1,""T(\d+)"")),1),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S50" s="86">
        <f>IFERROR(__xludf.DUMMYFUNCTION("LET(
  monthStart,DATE(VALUE(REGEXEXTRACT(S$1,""\d{4}"")),VALUE(REGEXEXTRACT(S$1,""T(\d+)"")),1),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T50" s="86">
        <f>IFERROR(__xludf.DUMMYFUNCTION("LET(
  monthStart,DATE(VALUE(REGEXEXTRACT(T$1,""\d{4}"")),VALUE(REGEXEXTRACT(T$1,""T(\d+)"")),1),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U50" s="86">
        <f>IFERROR(__xludf.DUMMYFUNCTION("LET(
  monthStart,DATE(VALUE(REGEXEXTRACT(U$1,""\d{4}"")),VALUE(REGEXEXTRACT(U$1,""T(\d+)"")),1),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V50" s="86">
        <f>IFERROR(__xludf.DUMMYFUNCTION("LET(
  monthStart,DATE(VALUE(REGEXEXTRACT(V$1,""\d{4}"")),VALUE(REGEXEXTRACT(V$1,""T(\d+)"")),1),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W50" s="86">
        <f>IFERROR(__xludf.DUMMYFUNCTION("LET(
  monthStart,DATE(VALUE(REGEXEXTRACT(W$1,""\d{4}"")),VALUE(REGEXEXTRACT(W$1,""T(\d+)"")),1),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X50" s="86">
        <f>IFERROR(__xludf.DUMMYFUNCTION("LET(
  monthStart,DATE(VALUE(REGEXEXTRACT(X$1,""\d{4}"")),VALUE(REGEXEXTRACT(X$1,""T(\d+)"")),1),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Y50" s="86">
        <f>IFERROR(__xludf.DUMMYFUNCTION("LET(
  monthStart,DATE(VALUE(REGEXEXTRACT(Y$1,""\d{4}"")),VALUE(REGEXEXTRACT(Y$1,""T(\d+)"")),1),
  monthEnd,EOMONTH(monthStart,0),
  actualStart,MAX($D50,monthStart),
  actualEnd,MIN($E50,monthEnd),
  workingDaysInMonth,NETWORKDAYS(monthStart,monthEnd),
"&amp;"  workingDaysOverlap,IF(actualStart&gt;actualEnd,0,NETWORKDAYS(actualStart,actualEnd)),
  IF(workingDaysOverlap=0,"""",$F50*workingDaysOverlap/workingDaysInMonth)
)"),0.0)</f>
        <v>0</v>
      </c>
      <c r="Z50" s="64"/>
      <c r="AA50" s="64"/>
      <c r="AB50" s="64"/>
      <c r="AC50" s="64"/>
      <c r="AD50" s="64"/>
      <c r="AE50" s="64"/>
      <c r="AF50" s="64"/>
      <c r="AJ50" s="64"/>
      <c r="AK50" s="64"/>
      <c r="AO50" s="64"/>
      <c r="AP50" s="64"/>
      <c r="AT50" s="64"/>
      <c r="AX50" s="64"/>
      <c r="AY50" s="77"/>
      <c r="AZ50" s="77"/>
      <c r="BA50" s="77"/>
      <c r="BB50" s="74"/>
      <c r="BC50" s="74"/>
      <c r="BD50" s="67"/>
      <c r="BH50" s="64"/>
      <c r="BI50" s="64"/>
      <c r="BJ50" s="64"/>
      <c r="BK50" s="64"/>
      <c r="BL50" s="64"/>
      <c r="BM50" s="64"/>
      <c r="BN50" s="64"/>
    </row>
    <row r="51" ht="30.0" customHeight="1">
      <c r="A51" s="81"/>
      <c r="B51" s="61"/>
      <c r="C51" s="83"/>
      <c r="D51" s="114"/>
      <c r="E51" s="84"/>
      <c r="F51" s="86"/>
      <c r="G51" s="86">
        <f>IFERROR(__xludf.DUMMYFUNCTION("LET(
  monthStart,DATE(VALUE(REGEXEXTRACT(G$1,""\d{4}"")),VALUE(REGEXEXTRACT(G$1,""T(\d+)"")),1),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H51" s="86">
        <f>IFERROR(__xludf.DUMMYFUNCTION("LET(
  monthStart,DATE(VALUE(REGEXEXTRACT(H$1,""\d{4}"")),VALUE(REGEXEXTRACT(H$1,""T(\d+)"")),1),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I51" s="86">
        <f>IFERROR(__xludf.DUMMYFUNCTION("LET(
  monthStart,DATE(VALUE(REGEXEXTRACT(I$1,""\d{4}"")),VALUE(REGEXEXTRACT(I$1,""T(\d+)"")),1),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J51" s="86">
        <f>IFERROR(__xludf.DUMMYFUNCTION("LET(
  monthStart,DATE(VALUE(REGEXEXTRACT(J$1,""\d{4}"")),VALUE(REGEXEXTRACT(J$1,""T(\d+)"")),1),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K51" s="86">
        <f>IFERROR(__xludf.DUMMYFUNCTION("LET(
  monthStart,DATE(VALUE(REGEXEXTRACT(K$1,""\d{4}"")),VALUE(REGEXEXTRACT(K$1,""T(\d+)"")),1),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L51" s="86">
        <f>IFERROR(__xludf.DUMMYFUNCTION("LET(
  monthStart,DATE(VALUE(REGEXEXTRACT(L$1,""\d{4}"")),VALUE(REGEXEXTRACT(L$1,""T(\d+)"")),1),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M51" s="86">
        <f>IFERROR(__xludf.DUMMYFUNCTION("LET(
  monthStart,DATE(VALUE(REGEXEXTRACT(M$1,""\d{4}"")),VALUE(REGEXEXTRACT(M$1,""T(\d+)"")),1),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N51" s="86">
        <f>IFERROR(__xludf.DUMMYFUNCTION("LET(
  monthStart,DATE(VALUE(REGEXEXTRACT(N$1,""\d{4}"")),VALUE(REGEXEXTRACT(N$1,""T(\d+)"")),1),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O51" s="86">
        <f>IFERROR(__xludf.DUMMYFUNCTION("LET(
  monthStart,DATE(VALUE(REGEXEXTRACT(O$1,""\d{4}"")),VALUE(REGEXEXTRACT(O$1,""T(\d+)"")),1),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P51" s="86">
        <f>IFERROR(__xludf.DUMMYFUNCTION("LET(
  monthStart,DATE(VALUE(REGEXEXTRACT(P$1,""\d{4}"")),VALUE(REGEXEXTRACT(P$1,""T(\d+)"")),1),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Q51" s="86">
        <f>IFERROR(__xludf.DUMMYFUNCTION("LET(
  monthStart,DATE(VALUE(REGEXEXTRACT(Q$1,""\d{4}"")),VALUE(REGEXEXTRACT(Q$1,""T(\d+)"")),1),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R51" s="86">
        <f>IFERROR(__xludf.DUMMYFUNCTION("LET(
  monthStart,DATE(VALUE(REGEXEXTRACT(R$1,""\d{4}"")),VALUE(REGEXEXTRACT(R$1,""T(\d+)"")),1),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S51" s="86">
        <f>IFERROR(__xludf.DUMMYFUNCTION("LET(
  monthStart,DATE(VALUE(REGEXEXTRACT(S$1,""\d{4}"")),VALUE(REGEXEXTRACT(S$1,""T(\d+)"")),1),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T51" s="86">
        <f>IFERROR(__xludf.DUMMYFUNCTION("LET(
  monthStart,DATE(VALUE(REGEXEXTRACT(T$1,""\d{4}"")),VALUE(REGEXEXTRACT(T$1,""T(\d+)"")),1),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U51" s="86">
        <f>IFERROR(__xludf.DUMMYFUNCTION("LET(
  monthStart,DATE(VALUE(REGEXEXTRACT(U$1,""\d{4}"")),VALUE(REGEXEXTRACT(U$1,""T(\d+)"")),1),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V51" s="86">
        <f>IFERROR(__xludf.DUMMYFUNCTION("LET(
  monthStart,DATE(VALUE(REGEXEXTRACT(V$1,""\d{4}"")),VALUE(REGEXEXTRACT(V$1,""T(\d+)"")),1),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W51" s="86">
        <f>IFERROR(__xludf.DUMMYFUNCTION("LET(
  monthStart,DATE(VALUE(REGEXEXTRACT(W$1,""\d{4}"")),VALUE(REGEXEXTRACT(W$1,""T(\d+)"")),1),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X51" s="86">
        <f>IFERROR(__xludf.DUMMYFUNCTION("LET(
  monthStart,DATE(VALUE(REGEXEXTRACT(X$1,""\d{4}"")),VALUE(REGEXEXTRACT(X$1,""T(\d+)"")),1),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Y51" s="86">
        <f>IFERROR(__xludf.DUMMYFUNCTION("LET(
  monthStart,DATE(VALUE(REGEXEXTRACT(Y$1,""\d{4}"")),VALUE(REGEXEXTRACT(Y$1,""T(\d+)"")),1),
  monthEnd,EOMONTH(monthStart,0),
  actualStart,MAX($D51,monthStart),
  actualEnd,MIN($E51,monthEnd),
  workingDaysInMonth,NETWORKDAYS(monthStart,monthEnd),
"&amp;"  workingDaysOverlap,IF(actualStart&gt;actualEnd,0,NETWORKDAYS(actualStart,actualEnd)),
  IF(workingDaysOverlap=0,"""",$F51*workingDaysOverlap/workingDaysInMonth)
)"),0.0)</f>
        <v>0</v>
      </c>
      <c r="Z51" s="64"/>
      <c r="AA51" s="64"/>
      <c r="AB51" s="64"/>
      <c r="AC51" s="64"/>
      <c r="AD51" s="64"/>
      <c r="AE51" s="64"/>
      <c r="AF51" s="64"/>
      <c r="AJ51" s="64"/>
      <c r="AK51" s="64"/>
      <c r="AO51" s="64"/>
      <c r="AP51" s="64"/>
      <c r="AT51" s="64"/>
      <c r="AX51" s="64"/>
      <c r="AY51" s="77"/>
      <c r="AZ51" s="77"/>
      <c r="BA51" s="77"/>
      <c r="BB51" s="74"/>
      <c r="BC51" s="74"/>
      <c r="BD51" s="67"/>
      <c r="BH51" s="64"/>
      <c r="BI51" s="64"/>
      <c r="BJ51" s="64"/>
      <c r="BK51" s="64"/>
      <c r="BL51" s="64"/>
      <c r="BM51" s="64"/>
      <c r="BN51" s="64"/>
    </row>
    <row r="52" ht="30.0" customHeight="1">
      <c r="A52" s="81"/>
      <c r="B52" s="61"/>
      <c r="C52" s="83"/>
      <c r="D52" s="114"/>
      <c r="E52" s="84"/>
      <c r="F52" s="86"/>
      <c r="G52" s="86">
        <f>IFERROR(__xludf.DUMMYFUNCTION("LET(
  monthStart,DATE(VALUE(REGEXEXTRACT(G$1,""\d{4}"")),VALUE(REGEXEXTRACT(G$1,""T(\d+)"")),1),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H52" s="86">
        <f>IFERROR(__xludf.DUMMYFUNCTION("LET(
  monthStart,DATE(VALUE(REGEXEXTRACT(H$1,""\d{4}"")),VALUE(REGEXEXTRACT(H$1,""T(\d+)"")),1),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I52" s="86">
        <f>IFERROR(__xludf.DUMMYFUNCTION("LET(
  monthStart,DATE(VALUE(REGEXEXTRACT(I$1,""\d{4}"")),VALUE(REGEXEXTRACT(I$1,""T(\d+)"")),1),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J52" s="86">
        <f>IFERROR(__xludf.DUMMYFUNCTION("LET(
  monthStart,DATE(VALUE(REGEXEXTRACT(J$1,""\d{4}"")),VALUE(REGEXEXTRACT(J$1,""T(\d+)"")),1),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K52" s="86">
        <f>IFERROR(__xludf.DUMMYFUNCTION("LET(
  monthStart,DATE(VALUE(REGEXEXTRACT(K$1,""\d{4}"")),VALUE(REGEXEXTRACT(K$1,""T(\d+)"")),1),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L52" s="86">
        <f>IFERROR(__xludf.DUMMYFUNCTION("LET(
  monthStart,DATE(VALUE(REGEXEXTRACT(L$1,""\d{4}"")),VALUE(REGEXEXTRACT(L$1,""T(\d+)"")),1),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M52" s="86">
        <f>IFERROR(__xludf.DUMMYFUNCTION("LET(
  monthStart,DATE(VALUE(REGEXEXTRACT(M$1,""\d{4}"")),VALUE(REGEXEXTRACT(M$1,""T(\d+)"")),1),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N52" s="86">
        <f>IFERROR(__xludf.DUMMYFUNCTION("LET(
  monthStart,DATE(VALUE(REGEXEXTRACT(N$1,""\d{4}"")),VALUE(REGEXEXTRACT(N$1,""T(\d+)"")),1),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O52" s="86">
        <f>IFERROR(__xludf.DUMMYFUNCTION("LET(
  monthStart,DATE(VALUE(REGEXEXTRACT(O$1,""\d{4}"")),VALUE(REGEXEXTRACT(O$1,""T(\d+)"")),1),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P52" s="86">
        <f>IFERROR(__xludf.DUMMYFUNCTION("LET(
  monthStart,DATE(VALUE(REGEXEXTRACT(P$1,""\d{4}"")),VALUE(REGEXEXTRACT(P$1,""T(\d+)"")),1),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Q52" s="86">
        <f>IFERROR(__xludf.DUMMYFUNCTION("LET(
  monthStart,DATE(VALUE(REGEXEXTRACT(Q$1,""\d{4}"")),VALUE(REGEXEXTRACT(Q$1,""T(\d+)"")),1),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R52" s="86">
        <f>IFERROR(__xludf.DUMMYFUNCTION("LET(
  monthStart,DATE(VALUE(REGEXEXTRACT(R$1,""\d{4}"")),VALUE(REGEXEXTRACT(R$1,""T(\d+)"")),1),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S52" s="86">
        <f>IFERROR(__xludf.DUMMYFUNCTION("LET(
  monthStart,DATE(VALUE(REGEXEXTRACT(S$1,""\d{4}"")),VALUE(REGEXEXTRACT(S$1,""T(\d+)"")),1),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T52" s="86">
        <f>IFERROR(__xludf.DUMMYFUNCTION("LET(
  monthStart,DATE(VALUE(REGEXEXTRACT(T$1,""\d{4}"")),VALUE(REGEXEXTRACT(T$1,""T(\d+)"")),1),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U52" s="86">
        <f>IFERROR(__xludf.DUMMYFUNCTION("LET(
  monthStart,DATE(VALUE(REGEXEXTRACT(U$1,""\d{4}"")),VALUE(REGEXEXTRACT(U$1,""T(\d+)"")),1),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V52" s="86">
        <f>IFERROR(__xludf.DUMMYFUNCTION("LET(
  monthStart,DATE(VALUE(REGEXEXTRACT(V$1,""\d{4}"")),VALUE(REGEXEXTRACT(V$1,""T(\d+)"")),1),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W52" s="86">
        <f>IFERROR(__xludf.DUMMYFUNCTION("LET(
  monthStart,DATE(VALUE(REGEXEXTRACT(W$1,""\d{4}"")),VALUE(REGEXEXTRACT(W$1,""T(\d+)"")),1),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X52" s="86">
        <f>IFERROR(__xludf.DUMMYFUNCTION("LET(
  monthStart,DATE(VALUE(REGEXEXTRACT(X$1,""\d{4}"")),VALUE(REGEXEXTRACT(X$1,""T(\d+)"")),1),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Y52" s="86">
        <f>IFERROR(__xludf.DUMMYFUNCTION("LET(
  monthStart,DATE(VALUE(REGEXEXTRACT(Y$1,""\d{4}"")),VALUE(REGEXEXTRACT(Y$1,""T(\d+)"")),1),
  monthEnd,EOMONTH(monthStart,0),
  actualStart,MAX($D52,monthStart),
  actualEnd,MIN($E52,monthEnd),
  workingDaysInMonth,NETWORKDAYS(monthStart,monthEnd),
"&amp;"  workingDaysOverlap,IF(actualStart&gt;actualEnd,0,NETWORKDAYS(actualStart,actualEnd)),
  IF(workingDaysOverlap=0,"""",$F52*workingDaysOverlap/workingDaysInMonth)
)"),0.0)</f>
        <v>0</v>
      </c>
      <c r="Z52" s="64"/>
      <c r="AA52" s="64"/>
      <c r="AB52" s="64"/>
      <c r="AC52" s="64"/>
      <c r="AD52" s="64"/>
      <c r="AE52" s="64"/>
      <c r="AF52" s="64"/>
      <c r="AJ52" s="64"/>
      <c r="AK52" s="64"/>
      <c r="AO52" s="64"/>
      <c r="AP52" s="64"/>
      <c r="AQ52" s="64"/>
      <c r="AR52" s="64"/>
      <c r="AS52" s="64"/>
      <c r="AT52" s="64"/>
      <c r="AX52" s="64"/>
      <c r="AY52" s="77"/>
      <c r="AZ52" s="77"/>
      <c r="BA52" s="78"/>
      <c r="BB52" s="74"/>
      <c r="BC52" s="74"/>
      <c r="BD52" s="67"/>
      <c r="BH52" s="64"/>
      <c r="BI52" s="64"/>
      <c r="BJ52" s="64"/>
      <c r="BK52" s="64"/>
      <c r="BL52" s="64"/>
      <c r="BM52" s="64"/>
      <c r="BN52" s="64"/>
    </row>
    <row r="53" ht="30.0" customHeight="1">
      <c r="A53" s="81"/>
      <c r="B53" s="61"/>
      <c r="C53" s="83"/>
      <c r="D53" s="114"/>
      <c r="E53" s="84"/>
      <c r="F53" s="86"/>
      <c r="G53" s="86">
        <f>IFERROR(__xludf.DUMMYFUNCTION("LET(
  monthStart,DATE(VALUE(REGEXEXTRACT(G$1,""\d{4}"")),VALUE(REGEXEXTRACT(G$1,""T(\d+)"")),1),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H53" s="86">
        <f>IFERROR(__xludf.DUMMYFUNCTION("LET(
  monthStart,DATE(VALUE(REGEXEXTRACT(H$1,""\d{4}"")),VALUE(REGEXEXTRACT(H$1,""T(\d+)"")),1),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I53" s="86">
        <f>IFERROR(__xludf.DUMMYFUNCTION("LET(
  monthStart,DATE(VALUE(REGEXEXTRACT(I$1,""\d{4}"")),VALUE(REGEXEXTRACT(I$1,""T(\d+)"")),1),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J53" s="86">
        <f>IFERROR(__xludf.DUMMYFUNCTION("LET(
  monthStart,DATE(VALUE(REGEXEXTRACT(J$1,""\d{4}"")),VALUE(REGEXEXTRACT(J$1,""T(\d+)"")),1),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K53" s="86">
        <f>IFERROR(__xludf.DUMMYFUNCTION("LET(
  monthStart,DATE(VALUE(REGEXEXTRACT(K$1,""\d{4}"")),VALUE(REGEXEXTRACT(K$1,""T(\d+)"")),1),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L53" s="86">
        <f>IFERROR(__xludf.DUMMYFUNCTION("LET(
  monthStart,DATE(VALUE(REGEXEXTRACT(L$1,""\d{4}"")),VALUE(REGEXEXTRACT(L$1,""T(\d+)"")),1),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M53" s="86">
        <f>IFERROR(__xludf.DUMMYFUNCTION("LET(
  monthStart,DATE(VALUE(REGEXEXTRACT(M$1,""\d{4}"")),VALUE(REGEXEXTRACT(M$1,""T(\d+)"")),1),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N53" s="86">
        <f>IFERROR(__xludf.DUMMYFUNCTION("LET(
  monthStart,DATE(VALUE(REGEXEXTRACT(N$1,""\d{4}"")),VALUE(REGEXEXTRACT(N$1,""T(\d+)"")),1),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O53" s="86">
        <f>IFERROR(__xludf.DUMMYFUNCTION("LET(
  monthStart,DATE(VALUE(REGEXEXTRACT(O$1,""\d{4}"")),VALUE(REGEXEXTRACT(O$1,""T(\d+)"")),1),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P53" s="86">
        <f>IFERROR(__xludf.DUMMYFUNCTION("LET(
  monthStart,DATE(VALUE(REGEXEXTRACT(P$1,""\d{4}"")),VALUE(REGEXEXTRACT(P$1,""T(\d+)"")),1),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Q53" s="86">
        <f>IFERROR(__xludf.DUMMYFUNCTION("LET(
  monthStart,DATE(VALUE(REGEXEXTRACT(Q$1,""\d{4}"")),VALUE(REGEXEXTRACT(Q$1,""T(\d+)"")),1),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R53" s="86">
        <f>IFERROR(__xludf.DUMMYFUNCTION("LET(
  monthStart,DATE(VALUE(REGEXEXTRACT(R$1,""\d{4}"")),VALUE(REGEXEXTRACT(R$1,""T(\d+)"")),1),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S53" s="86">
        <f>IFERROR(__xludf.DUMMYFUNCTION("LET(
  monthStart,DATE(VALUE(REGEXEXTRACT(S$1,""\d{4}"")),VALUE(REGEXEXTRACT(S$1,""T(\d+)"")),1),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T53" s="86">
        <f>IFERROR(__xludf.DUMMYFUNCTION("LET(
  monthStart,DATE(VALUE(REGEXEXTRACT(T$1,""\d{4}"")),VALUE(REGEXEXTRACT(T$1,""T(\d+)"")),1),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U53" s="86">
        <f>IFERROR(__xludf.DUMMYFUNCTION("LET(
  monthStart,DATE(VALUE(REGEXEXTRACT(U$1,""\d{4}"")),VALUE(REGEXEXTRACT(U$1,""T(\d+)"")),1),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V53" s="86">
        <f>IFERROR(__xludf.DUMMYFUNCTION("LET(
  monthStart,DATE(VALUE(REGEXEXTRACT(V$1,""\d{4}"")),VALUE(REGEXEXTRACT(V$1,""T(\d+)"")),1),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W53" s="86">
        <f>IFERROR(__xludf.DUMMYFUNCTION("LET(
  monthStart,DATE(VALUE(REGEXEXTRACT(W$1,""\d{4}"")),VALUE(REGEXEXTRACT(W$1,""T(\d+)"")),1),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X53" s="86">
        <f>IFERROR(__xludf.DUMMYFUNCTION("LET(
  monthStart,DATE(VALUE(REGEXEXTRACT(X$1,""\d{4}"")),VALUE(REGEXEXTRACT(X$1,""T(\d+)"")),1),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Y53" s="86">
        <f>IFERROR(__xludf.DUMMYFUNCTION("LET(
  monthStart,DATE(VALUE(REGEXEXTRACT(Y$1,""\d{4}"")),VALUE(REGEXEXTRACT(Y$1,""T(\d+)"")),1),
  monthEnd,EOMONTH(monthStart,0),
  actualStart,MAX($D53,monthStart),
  actualEnd,MIN($E53,monthEnd),
  workingDaysInMonth,NETWORKDAYS(monthStart,monthEnd),
"&amp;"  workingDaysOverlap,IF(actualStart&gt;actualEnd,0,NETWORKDAYS(actualStart,actualEnd)),
  IF(workingDaysOverlap=0,"""",$F53*workingDaysOverlap/workingDaysInMonth)
)"),0.0)</f>
        <v>0</v>
      </c>
      <c r="Z53" s="64"/>
      <c r="AA53" s="64"/>
      <c r="AB53" s="64"/>
      <c r="AC53" s="64"/>
      <c r="AD53" s="64"/>
      <c r="AE53" s="64"/>
      <c r="AF53" s="64"/>
      <c r="AJ53" s="64"/>
      <c r="AK53" s="64"/>
      <c r="AO53" s="64"/>
      <c r="AP53" s="64"/>
      <c r="AQ53" s="64"/>
      <c r="AR53" s="64"/>
      <c r="AS53" s="64"/>
      <c r="AT53" s="64"/>
      <c r="AX53" s="64"/>
      <c r="AY53" s="77"/>
      <c r="AZ53" s="77"/>
      <c r="BA53" s="77"/>
      <c r="BB53" s="74"/>
      <c r="BC53" s="74"/>
      <c r="BD53" s="67"/>
      <c r="BH53" s="64"/>
      <c r="BI53" s="64"/>
      <c r="BJ53" s="64"/>
      <c r="BK53" s="64"/>
      <c r="BL53" s="64"/>
      <c r="BM53" s="64"/>
      <c r="BN53" s="64"/>
    </row>
    <row r="54" ht="30.0" customHeight="1">
      <c r="A54" s="81"/>
      <c r="B54" s="61"/>
      <c r="C54" s="83"/>
      <c r="D54" s="114"/>
      <c r="E54" s="84"/>
      <c r="F54" s="86"/>
      <c r="G54" s="86">
        <f>IFERROR(__xludf.DUMMYFUNCTION("LET(
  monthStart,DATE(VALUE(REGEXEXTRACT(G$1,""\d{4}"")),VALUE(REGEXEXTRACT(G$1,""T(\d+)"")),1),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H54" s="86">
        <f>IFERROR(__xludf.DUMMYFUNCTION("LET(
  monthStart,DATE(VALUE(REGEXEXTRACT(H$1,""\d{4}"")),VALUE(REGEXEXTRACT(H$1,""T(\d+)"")),1),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I54" s="86">
        <f>IFERROR(__xludf.DUMMYFUNCTION("LET(
  monthStart,DATE(VALUE(REGEXEXTRACT(I$1,""\d{4}"")),VALUE(REGEXEXTRACT(I$1,""T(\d+)"")),1),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J54" s="86">
        <f>IFERROR(__xludf.DUMMYFUNCTION("LET(
  monthStart,DATE(VALUE(REGEXEXTRACT(J$1,""\d{4}"")),VALUE(REGEXEXTRACT(J$1,""T(\d+)"")),1),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K54" s="86">
        <f>IFERROR(__xludf.DUMMYFUNCTION("LET(
  monthStart,DATE(VALUE(REGEXEXTRACT(K$1,""\d{4}"")),VALUE(REGEXEXTRACT(K$1,""T(\d+)"")),1),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L54" s="86">
        <f>IFERROR(__xludf.DUMMYFUNCTION("LET(
  monthStart,DATE(VALUE(REGEXEXTRACT(L$1,""\d{4}"")),VALUE(REGEXEXTRACT(L$1,""T(\d+)"")),1),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M54" s="86">
        <f>IFERROR(__xludf.DUMMYFUNCTION("LET(
  monthStart,DATE(VALUE(REGEXEXTRACT(M$1,""\d{4}"")),VALUE(REGEXEXTRACT(M$1,""T(\d+)"")),1),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N54" s="86">
        <f>IFERROR(__xludf.DUMMYFUNCTION("LET(
  monthStart,DATE(VALUE(REGEXEXTRACT(N$1,""\d{4}"")),VALUE(REGEXEXTRACT(N$1,""T(\d+)"")),1),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O54" s="86">
        <f>IFERROR(__xludf.DUMMYFUNCTION("LET(
  monthStart,DATE(VALUE(REGEXEXTRACT(O$1,""\d{4}"")),VALUE(REGEXEXTRACT(O$1,""T(\d+)"")),1),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P54" s="86">
        <f>IFERROR(__xludf.DUMMYFUNCTION("LET(
  monthStart,DATE(VALUE(REGEXEXTRACT(P$1,""\d{4}"")),VALUE(REGEXEXTRACT(P$1,""T(\d+)"")),1),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Q54" s="86">
        <f>IFERROR(__xludf.DUMMYFUNCTION("LET(
  monthStart,DATE(VALUE(REGEXEXTRACT(Q$1,""\d{4}"")),VALUE(REGEXEXTRACT(Q$1,""T(\d+)"")),1),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R54" s="86">
        <f>IFERROR(__xludf.DUMMYFUNCTION("LET(
  monthStart,DATE(VALUE(REGEXEXTRACT(R$1,""\d{4}"")),VALUE(REGEXEXTRACT(R$1,""T(\d+)"")),1),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S54" s="86">
        <f>IFERROR(__xludf.DUMMYFUNCTION("LET(
  monthStart,DATE(VALUE(REGEXEXTRACT(S$1,""\d{4}"")),VALUE(REGEXEXTRACT(S$1,""T(\d+)"")),1),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T54" s="86">
        <f>IFERROR(__xludf.DUMMYFUNCTION("LET(
  monthStart,DATE(VALUE(REGEXEXTRACT(T$1,""\d{4}"")),VALUE(REGEXEXTRACT(T$1,""T(\d+)"")),1),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U54" s="86">
        <f>IFERROR(__xludf.DUMMYFUNCTION("LET(
  monthStart,DATE(VALUE(REGEXEXTRACT(U$1,""\d{4}"")),VALUE(REGEXEXTRACT(U$1,""T(\d+)"")),1),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V54" s="86">
        <f>IFERROR(__xludf.DUMMYFUNCTION("LET(
  monthStart,DATE(VALUE(REGEXEXTRACT(V$1,""\d{4}"")),VALUE(REGEXEXTRACT(V$1,""T(\d+)"")),1),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W54" s="86">
        <f>IFERROR(__xludf.DUMMYFUNCTION("LET(
  monthStart,DATE(VALUE(REGEXEXTRACT(W$1,""\d{4}"")),VALUE(REGEXEXTRACT(W$1,""T(\d+)"")),1),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X54" s="86">
        <f>IFERROR(__xludf.DUMMYFUNCTION("LET(
  monthStart,DATE(VALUE(REGEXEXTRACT(X$1,""\d{4}"")),VALUE(REGEXEXTRACT(X$1,""T(\d+)"")),1),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Y54" s="86">
        <f>IFERROR(__xludf.DUMMYFUNCTION("LET(
  monthStart,DATE(VALUE(REGEXEXTRACT(Y$1,""\d{4}"")),VALUE(REGEXEXTRACT(Y$1,""T(\d+)"")),1),
  monthEnd,EOMONTH(monthStart,0),
  actualStart,MAX($D54,monthStart),
  actualEnd,MIN($E54,monthEnd),
  workingDaysInMonth,NETWORKDAYS(monthStart,monthEnd),
"&amp;"  workingDaysOverlap,IF(actualStart&gt;actualEnd,0,NETWORKDAYS(actualStart,actualEnd)),
  IF(workingDaysOverlap=0,"""",$F54*workingDaysOverlap/workingDaysInMonth)
)"),0.0)</f>
        <v>0</v>
      </c>
      <c r="Z54" s="64"/>
      <c r="AA54" s="64"/>
      <c r="AB54" s="64"/>
      <c r="AC54" s="64"/>
      <c r="AD54" s="64"/>
      <c r="AE54" s="64"/>
      <c r="AF54" s="64"/>
      <c r="AJ54" s="64"/>
      <c r="AK54" s="64"/>
      <c r="AO54" s="64"/>
      <c r="AP54" s="64"/>
      <c r="AQ54" s="64"/>
      <c r="AR54" s="64"/>
      <c r="AS54" s="64"/>
      <c r="AT54" s="64"/>
      <c r="AX54" s="64"/>
      <c r="AY54" s="77"/>
      <c r="AZ54" s="77"/>
      <c r="BA54" s="78"/>
      <c r="BB54" s="74"/>
      <c r="BC54" s="74"/>
      <c r="BD54" s="67"/>
      <c r="BH54" s="64"/>
      <c r="BI54" s="64"/>
      <c r="BJ54" s="64"/>
      <c r="BK54" s="64"/>
      <c r="BL54" s="64"/>
      <c r="BM54" s="64"/>
      <c r="BN54" s="64"/>
    </row>
    <row r="55" ht="30.0" customHeight="1">
      <c r="A55" s="81"/>
      <c r="B55" s="61"/>
      <c r="C55" s="83"/>
      <c r="D55" s="114"/>
      <c r="E55" s="84"/>
      <c r="F55" s="86"/>
      <c r="G55" s="86">
        <f>IFERROR(__xludf.DUMMYFUNCTION("LET(
  monthStart,DATE(VALUE(REGEXEXTRACT(G$1,""\d{4}"")),VALUE(REGEXEXTRACT(G$1,""T(\d+)"")),1),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H55" s="86">
        <f>IFERROR(__xludf.DUMMYFUNCTION("LET(
  monthStart,DATE(VALUE(REGEXEXTRACT(H$1,""\d{4}"")),VALUE(REGEXEXTRACT(H$1,""T(\d+)"")),1),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I55" s="86">
        <f>IFERROR(__xludf.DUMMYFUNCTION("LET(
  monthStart,DATE(VALUE(REGEXEXTRACT(I$1,""\d{4}"")),VALUE(REGEXEXTRACT(I$1,""T(\d+)"")),1),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J55" s="86">
        <f>IFERROR(__xludf.DUMMYFUNCTION("LET(
  monthStart,DATE(VALUE(REGEXEXTRACT(J$1,""\d{4}"")),VALUE(REGEXEXTRACT(J$1,""T(\d+)"")),1),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K55" s="86">
        <f>IFERROR(__xludf.DUMMYFUNCTION("LET(
  monthStart,DATE(VALUE(REGEXEXTRACT(K$1,""\d{4}"")),VALUE(REGEXEXTRACT(K$1,""T(\d+)"")),1),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L55" s="86">
        <f>IFERROR(__xludf.DUMMYFUNCTION("LET(
  monthStart,DATE(VALUE(REGEXEXTRACT(L$1,""\d{4}"")),VALUE(REGEXEXTRACT(L$1,""T(\d+)"")),1),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M55" s="86">
        <f>IFERROR(__xludf.DUMMYFUNCTION("LET(
  monthStart,DATE(VALUE(REGEXEXTRACT(M$1,""\d{4}"")),VALUE(REGEXEXTRACT(M$1,""T(\d+)"")),1),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N55" s="86">
        <f>IFERROR(__xludf.DUMMYFUNCTION("LET(
  monthStart,DATE(VALUE(REGEXEXTRACT(N$1,""\d{4}"")),VALUE(REGEXEXTRACT(N$1,""T(\d+)"")),1),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O55" s="86">
        <f>IFERROR(__xludf.DUMMYFUNCTION("LET(
  monthStart,DATE(VALUE(REGEXEXTRACT(O$1,""\d{4}"")),VALUE(REGEXEXTRACT(O$1,""T(\d+)"")),1),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P55" s="86">
        <f>IFERROR(__xludf.DUMMYFUNCTION("LET(
  monthStart,DATE(VALUE(REGEXEXTRACT(P$1,""\d{4}"")),VALUE(REGEXEXTRACT(P$1,""T(\d+)"")),1),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Q55" s="86">
        <f>IFERROR(__xludf.DUMMYFUNCTION("LET(
  monthStart,DATE(VALUE(REGEXEXTRACT(Q$1,""\d{4}"")),VALUE(REGEXEXTRACT(Q$1,""T(\d+)"")),1),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R55" s="86">
        <f>IFERROR(__xludf.DUMMYFUNCTION("LET(
  monthStart,DATE(VALUE(REGEXEXTRACT(R$1,""\d{4}"")),VALUE(REGEXEXTRACT(R$1,""T(\d+)"")),1),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S55" s="86">
        <f>IFERROR(__xludf.DUMMYFUNCTION("LET(
  monthStart,DATE(VALUE(REGEXEXTRACT(S$1,""\d{4}"")),VALUE(REGEXEXTRACT(S$1,""T(\d+)"")),1),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T55" s="86">
        <f>IFERROR(__xludf.DUMMYFUNCTION("LET(
  monthStart,DATE(VALUE(REGEXEXTRACT(T$1,""\d{4}"")),VALUE(REGEXEXTRACT(T$1,""T(\d+)"")),1),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U55" s="86">
        <f>IFERROR(__xludf.DUMMYFUNCTION("LET(
  monthStart,DATE(VALUE(REGEXEXTRACT(U$1,""\d{4}"")),VALUE(REGEXEXTRACT(U$1,""T(\d+)"")),1),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V55" s="86">
        <f>IFERROR(__xludf.DUMMYFUNCTION("LET(
  monthStart,DATE(VALUE(REGEXEXTRACT(V$1,""\d{4}"")),VALUE(REGEXEXTRACT(V$1,""T(\d+)"")),1),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W55" s="86">
        <f>IFERROR(__xludf.DUMMYFUNCTION("LET(
  monthStart,DATE(VALUE(REGEXEXTRACT(W$1,""\d{4}"")),VALUE(REGEXEXTRACT(W$1,""T(\d+)"")),1),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X55" s="86">
        <f>IFERROR(__xludf.DUMMYFUNCTION("LET(
  monthStart,DATE(VALUE(REGEXEXTRACT(X$1,""\d{4}"")),VALUE(REGEXEXTRACT(X$1,""T(\d+)"")),1),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Y55" s="86">
        <f>IFERROR(__xludf.DUMMYFUNCTION("LET(
  monthStart,DATE(VALUE(REGEXEXTRACT(Y$1,""\d{4}"")),VALUE(REGEXEXTRACT(Y$1,""T(\d+)"")),1),
  monthEnd,EOMONTH(monthStart,0),
  actualStart,MAX($D55,monthStart),
  actualEnd,MIN($E55,monthEnd),
  workingDaysInMonth,NETWORKDAYS(monthStart,monthEnd),
"&amp;"  workingDaysOverlap,IF(actualStart&gt;actualEnd,0,NETWORKDAYS(actualStart,actualEnd)),
  IF(workingDaysOverlap=0,"""",$F55*workingDaysOverlap/workingDaysInMonth)
)"),0.0)</f>
        <v>0</v>
      </c>
      <c r="Z55" s="64"/>
      <c r="AA55" s="64"/>
      <c r="AB55" s="64"/>
      <c r="AC55" s="64"/>
      <c r="AD55" s="64"/>
      <c r="AE55" s="64"/>
      <c r="AF55" s="64"/>
      <c r="AG55" s="64"/>
      <c r="AH55" s="64"/>
      <c r="AI55" s="75"/>
      <c r="AJ55" s="64"/>
      <c r="AK55" s="64"/>
      <c r="AO55" s="64"/>
      <c r="AP55" s="64"/>
      <c r="AQ55" s="64"/>
      <c r="AR55" s="64"/>
      <c r="AS55" s="64"/>
      <c r="AT55" s="64"/>
      <c r="AX55" s="64"/>
      <c r="AY55" s="89"/>
      <c r="AZ55" s="77"/>
      <c r="BA55" s="77"/>
      <c r="BB55" s="74"/>
      <c r="BC55" s="74"/>
      <c r="BD55" s="67"/>
      <c r="BH55" s="64"/>
      <c r="BI55" s="64"/>
      <c r="BJ55" s="64"/>
      <c r="BK55" s="64"/>
      <c r="BL55" s="64"/>
      <c r="BM55" s="64"/>
      <c r="BN55" s="64"/>
    </row>
    <row r="56" ht="30.0" customHeight="1">
      <c r="A56" s="81"/>
      <c r="B56" s="61"/>
      <c r="C56" s="83"/>
      <c r="D56" s="114"/>
      <c r="E56" s="84"/>
      <c r="F56" s="86"/>
      <c r="G56" s="86">
        <f>IFERROR(__xludf.DUMMYFUNCTION("LET(
  monthStart,DATE(VALUE(REGEXEXTRACT(G$1,""\d{4}"")),VALUE(REGEXEXTRACT(G$1,""T(\d+)"")),1),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H56" s="86">
        <f>IFERROR(__xludf.DUMMYFUNCTION("LET(
  monthStart,DATE(VALUE(REGEXEXTRACT(H$1,""\d{4}"")),VALUE(REGEXEXTRACT(H$1,""T(\d+)"")),1),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I56" s="86">
        <f>IFERROR(__xludf.DUMMYFUNCTION("LET(
  monthStart,DATE(VALUE(REGEXEXTRACT(I$1,""\d{4}"")),VALUE(REGEXEXTRACT(I$1,""T(\d+)"")),1),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J56" s="86">
        <f>IFERROR(__xludf.DUMMYFUNCTION("LET(
  monthStart,DATE(VALUE(REGEXEXTRACT(J$1,""\d{4}"")),VALUE(REGEXEXTRACT(J$1,""T(\d+)"")),1),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K56" s="86">
        <f>IFERROR(__xludf.DUMMYFUNCTION("LET(
  monthStart,DATE(VALUE(REGEXEXTRACT(K$1,""\d{4}"")),VALUE(REGEXEXTRACT(K$1,""T(\d+)"")),1),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L56" s="86">
        <f>IFERROR(__xludf.DUMMYFUNCTION("LET(
  monthStart,DATE(VALUE(REGEXEXTRACT(L$1,""\d{4}"")),VALUE(REGEXEXTRACT(L$1,""T(\d+)"")),1),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M56" s="86">
        <f>IFERROR(__xludf.DUMMYFUNCTION("LET(
  monthStart,DATE(VALUE(REGEXEXTRACT(M$1,""\d{4}"")),VALUE(REGEXEXTRACT(M$1,""T(\d+)"")),1),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N56" s="86">
        <f>IFERROR(__xludf.DUMMYFUNCTION("LET(
  monthStart,DATE(VALUE(REGEXEXTRACT(N$1,""\d{4}"")),VALUE(REGEXEXTRACT(N$1,""T(\d+)"")),1),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O56" s="86">
        <f>IFERROR(__xludf.DUMMYFUNCTION("LET(
  monthStart,DATE(VALUE(REGEXEXTRACT(O$1,""\d{4}"")),VALUE(REGEXEXTRACT(O$1,""T(\d+)"")),1),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P56" s="86">
        <f>IFERROR(__xludf.DUMMYFUNCTION("LET(
  monthStart,DATE(VALUE(REGEXEXTRACT(P$1,""\d{4}"")),VALUE(REGEXEXTRACT(P$1,""T(\d+)"")),1),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Q56" s="86">
        <f>IFERROR(__xludf.DUMMYFUNCTION("LET(
  monthStart,DATE(VALUE(REGEXEXTRACT(Q$1,""\d{4}"")),VALUE(REGEXEXTRACT(Q$1,""T(\d+)"")),1),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R56" s="86">
        <f>IFERROR(__xludf.DUMMYFUNCTION("LET(
  monthStart,DATE(VALUE(REGEXEXTRACT(R$1,""\d{4}"")),VALUE(REGEXEXTRACT(R$1,""T(\d+)"")),1),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S56" s="86">
        <f>IFERROR(__xludf.DUMMYFUNCTION("LET(
  monthStart,DATE(VALUE(REGEXEXTRACT(S$1,""\d{4}"")),VALUE(REGEXEXTRACT(S$1,""T(\d+)"")),1),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T56" s="86">
        <f>IFERROR(__xludf.DUMMYFUNCTION("LET(
  monthStart,DATE(VALUE(REGEXEXTRACT(T$1,""\d{4}"")),VALUE(REGEXEXTRACT(T$1,""T(\d+)"")),1),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U56" s="86">
        <f>IFERROR(__xludf.DUMMYFUNCTION("LET(
  monthStart,DATE(VALUE(REGEXEXTRACT(U$1,""\d{4}"")),VALUE(REGEXEXTRACT(U$1,""T(\d+)"")),1),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V56" s="86">
        <f>IFERROR(__xludf.DUMMYFUNCTION("LET(
  monthStart,DATE(VALUE(REGEXEXTRACT(V$1,""\d{4}"")),VALUE(REGEXEXTRACT(V$1,""T(\d+)"")),1),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W56" s="86">
        <f>IFERROR(__xludf.DUMMYFUNCTION("LET(
  monthStart,DATE(VALUE(REGEXEXTRACT(W$1,""\d{4}"")),VALUE(REGEXEXTRACT(W$1,""T(\d+)"")),1),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X56" s="86">
        <f>IFERROR(__xludf.DUMMYFUNCTION("LET(
  monthStart,DATE(VALUE(REGEXEXTRACT(X$1,""\d{4}"")),VALUE(REGEXEXTRACT(X$1,""T(\d+)"")),1),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Y56" s="86">
        <f>IFERROR(__xludf.DUMMYFUNCTION("LET(
  monthStart,DATE(VALUE(REGEXEXTRACT(Y$1,""\d{4}"")),VALUE(REGEXEXTRACT(Y$1,""T(\d+)"")),1),
  monthEnd,EOMONTH(monthStart,0),
  actualStart,MAX($D56,monthStart),
  actualEnd,MIN($E56,monthEnd),
  workingDaysInMonth,NETWORKDAYS(monthStart,monthEnd),
"&amp;"  workingDaysOverlap,IF(actualStart&gt;actualEnd,0,NETWORKDAYS(actualStart,actualEnd)),
  IF(workingDaysOverlap=0,"""",$F56*workingDaysOverlap/workingDaysInMonth)
)"),0.0)</f>
        <v>0</v>
      </c>
      <c r="Z56" s="64"/>
      <c r="AA56" s="64"/>
      <c r="AB56" s="64"/>
      <c r="AC56" s="64"/>
      <c r="AD56" s="64"/>
      <c r="AE56" s="64"/>
      <c r="AF56" s="64"/>
      <c r="AG56" s="64"/>
      <c r="AH56" s="64"/>
      <c r="AI56" s="75"/>
      <c r="AJ56" s="64"/>
      <c r="AK56" s="64"/>
      <c r="AO56" s="64"/>
      <c r="AP56" s="64"/>
      <c r="AQ56" s="64"/>
      <c r="AR56" s="64"/>
      <c r="AS56" s="64"/>
      <c r="AT56" s="64"/>
      <c r="AX56" s="64"/>
      <c r="AY56" s="89"/>
      <c r="AZ56" s="77"/>
      <c r="BA56" s="77"/>
      <c r="BB56" s="74"/>
      <c r="BC56" s="74"/>
      <c r="BD56" s="67"/>
      <c r="BH56" s="64"/>
      <c r="BI56" s="64"/>
      <c r="BJ56" s="64"/>
      <c r="BK56" s="64"/>
      <c r="BL56" s="64"/>
      <c r="BM56" s="64"/>
      <c r="BN56" s="64"/>
    </row>
    <row r="57" ht="30.0" customHeight="1">
      <c r="A57" s="81"/>
      <c r="B57" s="61"/>
      <c r="C57" s="83"/>
      <c r="D57" s="114"/>
      <c r="E57" s="84"/>
      <c r="F57" s="86"/>
      <c r="G57" s="86">
        <f>IFERROR(__xludf.DUMMYFUNCTION("LET(
  monthStart,DATE(VALUE(REGEXEXTRACT(G$1,""\d{4}"")),VALUE(REGEXEXTRACT(G$1,""T(\d+)"")),1),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H57" s="86">
        <f>IFERROR(__xludf.DUMMYFUNCTION("LET(
  monthStart,DATE(VALUE(REGEXEXTRACT(H$1,""\d{4}"")),VALUE(REGEXEXTRACT(H$1,""T(\d+)"")),1),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I57" s="86">
        <f>IFERROR(__xludf.DUMMYFUNCTION("LET(
  monthStart,DATE(VALUE(REGEXEXTRACT(I$1,""\d{4}"")),VALUE(REGEXEXTRACT(I$1,""T(\d+)"")),1),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J57" s="86">
        <f>IFERROR(__xludf.DUMMYFUNCTION("LET(
  monthStart,DATE(VALUE(REGEXEXTRACT(J$1,""\d{4}"")),VALUE(REGEXEXTRACT(J$1,""T(\d+)"")),1),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K57" s="86">
        <f>IFERROR(__xludf.DUMMYFUNCTION("LET(
  monthStart,DATE(VALUE(REGEXEXTRACT(K$1,""\d{4}"")),VALUE(REGEXEXTRACT(K$1,""T(\d+)"")),1),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L57" s="86">
        <f>IFERROR(__xludf.DUMMYFUNCTION("LET(
  monthStart,DATE(VALUE(REGEXEXTRACT(L$1,""\d{4}"")),VALUE(REGEXEXTRACT(L$1,""T(\d+)"")),1),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M57" s="86">
        <f>IFERROR(__xludf.DUMMYFUNCTION("LET(
  monthStart,DATE(VALUE(REGEXEXTRACT(M$1,""\d{4}"")),VALUE(REGEXEXTRACT(M$1,""T(\d+)"")),1),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N57" s="86">
        <f>IFERROR(__xludf.DUMMYFUNCTION("LET(
  monthStart,DATE(VALUE(REGEXEXTRACT(N$1,""\d{4}"")),VALUE(REGEXEXTRACT(N$1,""T(\d+)"")),1),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O57" s="86">
        <f>IFERROR(__xludf.DUMMYFUNCTION("LET(
  monthStart,DATE(VALUE(REGEXEXTRACT(O$1,""\d{4}"")),VALUE(REGEXEXTRACT(O$1,""T(\d+)"")),1),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P57" s="86">
        <f>IFERROR(__xludf.DUMMYFUNCTION("LET(
  monthStart,DATE(VALUE(REGEXEXTRACT(P$1,""\d{4}"")),VALUE(REGEXEXTRACT(P$1,""T(\d+)"")),1),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Q57" s="86">
        <f>IFERROR(__xludf.DUMMYFUNCTION("LET(
  monthStart,DATE(VALUE(REGEXEXTRACT(Q$1,""\d{4}"")),VALUE(REGEXEXTRACT(Q$1,""T(\d+)"")),1),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R57" s="86">
        <f>IFERROR(__xludf.DUMMYFUNCTION("LET(
  monthStart,DATE(VALUE(REGEXEXTRACT(R$1,""\d{4}"")),VALUE(REGEXEXTRACT(R$1,""T(\d+)"")),1),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S57" s="86">
        <f>IFERROR(__xludf.DUMMYFUNCTION("LET(
  monthStart,DATE(VALUE(REGEXEXTRACT(S$1,""\d{4}"")),VALUE(REGEXEXTRACT(S$1,""T(\d+)"")),1),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T57" s="86">
        <f>IFERROR(__xludf.DUMMYFUNCTION("LET(
  monthStart,DATE(VALUE(REGEXEXTRACT(T$1,""\d{4}"")),VALUE(REGEXEXTRACT(T$1,""T(\d+)"")),1),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U57" s="86">
        <f>IFERROR(__xludf.DUMMYFUNCTION("LET(
  monthStart,DATE(VALUE(REGEXEXTRACT(U$1,""\d{4}"")),VALUE(REGEXEXTRACT(U$1,""T(\d+)"")),1),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V57" s="86">
        <f>IFERROR(__xludf.DUMMYFUNCTION("LET(
  monthStart,DATE(VALUE(REGEXEXTRACT(V$1,""\d{4}"")),VALUE(REGEXEXTRACT(V$1,""T(\d+)"")),1),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W57" s="86">
        <f>IFERROR(__xludf.DUMMYFUNCTION("LET(
  monthStart,DATE(VALUE(REGEXEXTRACT(W$1,""\d{4}"")),VALUE(REGEXEXTRACT(W$1,""T(\d+)"")),1),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X57" s="86">
        <f>IFERROR(__xludf.DUMMYFUNCTION("LET(
  monthStart,DATE(VALUE(REGEXEXTRACT(X$1,""\d{4}"")),VALUE(REGEXEXTRACT(X$1,""T(\d+)"")),1),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Y57" s="86">
        <f>IFERROR(__xludf.DUMMYFUNCTION("LET(
  monthStart,DATE(VALUE(REGEXEXTRACT(Y$1,""\d{4}"")),VALUE(REGEXEXTRACT(Y$1,""T(\d+)"")),1),
  monthEnd,EOMONTH(monthStart,0),
  actualStart,MAX($D57,monthStart),
  actualEnd,MIN($E57,monthEnd),
  workingDaysInMonth,NETWORKDAYS(monthStart,monthEnd),
"&amp;"  workingDaysOverlap,IF(actualStart&gt;actualEnd,0,NETWORKDAYS(actualStart,actualEnd)),
  IF(workingDaysOverlap=0,"""",$F57*workingDaysOverlap/workingDaysInMonth)
)"),0.0)</f>
        <v>0</v>
      </c>
      <c r="Z57" s="64"/>
      <c r="AA57" s="64"/>
      <c r="AB57" s="64"/>
      <c r="AC57" s="64"/>
      <c r="AD57" s="64"/>
      <c r="AE57" s="64"/>
      <c r="AF57" s="64"/>
      <c r="AG57" s="64"/>
      <c r="AH57" s="64"/>
      <c r="AI57" s="75"/>
      <c r="AJ57" s="64"/>
      <c r="AK57" s="64"/>
      <c r="AO57" s="64"/>
      <c r="AP57" s="64"/>
      <c r="AQ57" s="64"/>
      <c r="AR57" s="64"/>
      <c r="AS57" s="64"/>
      <c r="AT57" s="64"/>
      <c r="AX57" s="64"/>
      <c r="AY57" s="89"/>
      <c r="AZ57" s="89"/>
      <c r="BA57" s="89"/>
      <c r="BB57" s="90"/>
      <c r="BC57" s="75"/>
      <c r="BD57" s="67"/>
      <c r="BH57" s="64"/>
      <c r="BI57" s="64"/>
      <c r="BJ57" s="64"/>
      <c r="BK57" s="64"/>
      <c r="BL57" s="64"/>
      <c r="BM57" s="64"/>
      <c r="BN57" s="64"/>
    </row>
    <row r="58" ht="30.0" customHeight="1">
      <c r="A58" s="81"/>
      <c r="B58" s="61"/>
      <c r="C58" s="83"/>
      <c r="D58" s="114"/>
      <c r="E58" s="84"/>
      <c r="F58" s="86"/>
      <c r="G58" s="86">
        <f>IFERROR(__xludf.DUMMYFUNCTION("LET(
  monthStart,DATE(VALUE(REGEXEXTRACT(G$1,""\d{4}"")),VALUE(REGEXEXTRACT(G$1,""T(\d+)"")),1),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H58" s="86">
        <f>IFERROR(__xludf.DUMMYFUNCTION("LET(
  monthStart,DATE(VALUE(REGEXEXTRACT(H$1,""\d{4}"")),VALUE(REGEXEXTRACT(H$1,""T(\d+)"")),1),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I58" s="86">
        <f>IFERROR(__xludf.DUMMYFUNCTION("LET(
  monthStart,DATE(VALUE(REGEXEXTRACT(I$1,""\d{4}"")),VALUE(REGEXEXTRACT(I$1,""T(\d+)"")),1),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J58" s="86">
        <f>IFERROR(__xludf.DUMMYFUNCTION("LET(
  monthStart,DATE(VALUE(REGEXEXTRACT(J$1,""\d{4}"")),VALUE(REGEXEXTRACT(J$1,""T(\d+)"")),1),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K58" s="86">
        <f>IFERROR(__xludf.DUMMYFUNCTION("LET(
  monthStart,DATE(VALUE(REGEXEXTRACT(K$1,""\d{4}"")),VALUE(REGEXEXTRACT(K$1,""T(\d+)"")),1),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L58" s="86">
        <f>IFERROR(__xludf.DUMMYFUNCTION("LET(
  monthStart,DATE(VALUE(REGEXEXTRACT(L$1,""\d{4}"")),VALUE(REGEXEXTRACT(L$1,""T(\d+)"")),1),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M58" s="86">
        <f>IFERROR(__xludf.DUMMYFUNCTION("LET(
  monthStart,DATE(VALUE(REGEXEXTRACT(M$1,""\d{4}"")),VALUE(REGEXEXTRACT(M$1,""T(\d+)"")),1),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N58" s="86">
        <f>IFERROR(__xludf.DUMMYFUNCTION("LET(
  monthStart,DATE(VALUE(REGEXEXTRACT(N$1,""\d{4}"")),VALUE(REGEXEXTRACT(N$1,""T(\d+)"")),1),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O58" s="86">
        <f>IFERROR(__xludf.DUMMYFUNCTION("LET(
  monthStart,DATE(VALUE(REGEXEXTRACT(O$1,""\d{4}"")),VALUE(REGEXEXTRACT(O$1,""T(\d+)"")),1),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P58" s="86">
        <f>IFERROR(__xludf.DUMMYFUNCTION("LET(
  monthStart,DATE(VALUE(REGEXEXTRACT(P$1,""\d{4}"")),VALUE(REGEXEXTRACT(P$1,""T(\d+)"")),1),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Q58" s="86">
        <f>IFERROR(__xludf.DUMMYFUNCTION("LET(
  monthStart,DATE(VALUE(REGEXEXTRACT(Q$1,""\d{4}"")),VALUE(REGEXEXTRACT(Q$1,""T(\d+)"")),1),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R58" s="86">
        <f>IFERROR(__xludf.DUMMYFUNCTION("LET(
  monthStart,DATE(VALUE(REGEXEXTRACT(R$1,""\d{4}"")),VALUE(REGEXEXTRACT(R$1,""T(\d+)"")),1),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S58" s="86">
        <f>IFERROR(__xludf.DUMMYFUNCTION("LET(
  monthStart,DATE(VALUE(REGEXEXTRACT(S$1,""\d{4}"")),VALUE(REGEXEXTRACT(S$1,""T(\d+)"")),1),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T58" s="86">
        <f>IFERROR(__xludf.DUMMYFUNCTION("LET(
  monthStart,DATE(VALUE(REGEXEXTRACT(T$1,""\d{4}"")),VALUE(REGEXEXTRACT(T$1,""T(\d+)"")),1),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U58" s="86">
        <f>IFERROR(__xludf.DUMMYFUNCTION("LET(
  monthStart,DATE(VALUE(REGEXEXTRACT(U$1,""\d{4}"")),VALUE(REGEXEXTRACT(U$1,""T(\d+)"")),1),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V58" s="86">
        <f>IFERROR(__xludf.DUMMYFUNCTION("LET(
  monthStart,DATE(VALUE(REGEXEXTRACT(V$1,""\d{4}"")),VALUE(REGEXEXTRACT(V$1,""T(\d+)"")),1),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W58" s="86">
        <f>IFERROR(__xludf.DUMMYFUNCTION("LET(
  monthStart,DATE(VALUE(REGEXEXTRACT(W$1,""\d{4}"")),VALUE(REGEXEXTRACT(W$1,""T(\d+)"")),1),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X58" s="86">
        <f>IFERROR(__xludf.DUMMYFUNCTION("LET(
  monthStart,DATE(VALUE(REGEXEXTRACT(X$1,""\d{4}"")),VALUE(REGEXEXTRACT(X$1,""T(\d+)"")),1),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Y58" s="86">
        <f>IFERROR(__xludf.DUMMYFUNCTION("LET(
  monthStart,DATE(VALUE(REGEXEXTRACT(Y$1,""\d{4}"")),VALUE(REGEXEXTRACT(Y$1,""T(\d+)"")),1),
  monthEnd,EOMONTH(monthStart,0),
  actualStart,MAX($D58,monthStart),
  actualEnd,MIN($E58,monthEnd),
  workingDaysInMonth,NETWORKDAYS(monthStart,monthEnd),
"&amp;"  workingDaysOverlap,IF(actualStart&gt;actualEnd,0,NETWORKDAYS(actualStart,actualEnd)),
  IF(workingDaysOverlap=0,"""",$F58*workingDaysOverlap/workingDaysInMonth)
)"),0.0)</f>
        <v>0</v>
      </c>
      <c r="Z58" s="64"/>
      <c r="AA58" s="64"/>
      <c r="AB58" s="64"/>
      <c r="AC58" s="64"/>
      <c r="AD58" s="64"/>
      <c r="AE58" s="64"/>
      <c r="AF58" s="64"/>
      <c r="AG58" s="64"/>
      <c r="AH58" s="64"/>
      <c r="AI58" s="75"/>
      <c r="AJ58" s="64"/>
      <c r="AK58" s="64"/>
      <c r="AO58" s="64"/>
      <c r="AP58" s="64"/>
      <c r="AQ58" s="64"/>
      <c r="AR58" s="64"/>
      <c r="AS58" s="64"/>
      <c r="AT58" s="64"/>
      <c r="AX58" s="64"/>
      <c r="AY58" s="89"/>
      <c r="AZ58" s="89"/>
      <c r="BA58" s="89"/>
      <c r="BB58" s="90"/>
      <c r="BC58" s="75"/>
      <c r="BD58" s="67"/>
      <c r="BH58" s="64"/>
      <c r="BI58" s="64"/>
      <c r="BJ58" s="64"/>
      <c r="BK58" s="64"/>
      <c r="BL58" s="64"/>
      <c r="BM58" s="64"/>
      <c r="BN58" s="64"/>
    </row>
    <row r="59" ht="30.0" customHeight="1">
      <c r="A59" s="81"/>
      <c r="B59" s="61"/>
      <c r="C59" s="83"/>
      <c r="D59" s="114"/>
      <c r="E59" s="84"/>
      <c r="F59" s="86"/>
      <c r="G59" s="86">
        <f>IFERROR(__xludf.DUMMYFUNCTION("LET(
  monthStart,DATE(VALUE(REGEXEXTRACT(G$1,""\d{4}"")),VALUE(REGEXEXTRACT(G$1,""T(\d+)"")),1),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H59" s="86">
        <f>IFERROR(__xludf.DUMMYFUNCTION("LET(
  monthStart,DATE(VALUE(REGEXEXTRACT(H$1,""\d{4}"")),VALUE(REGEXEXTRACT(H$1,""T(\d+)"")),1),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I59" s="86">
        <f>IFERROR(__xludf.DUMMYFUNCTION("LET(
  monthStart,DATE(VALUE(REGEXEXTRACT(I$1,""\d{4}"")),VALUE(REGEXEXTRACT(I$1,""T(\d+)"")),1),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J59" s="86">
        <f>IFERROR(__xludf.DUMMYFUNCTION("LET(
  monthStart,DATE(VALUE(REGEXEXTRACT(J$1,""\d{4}"")),VALUE(REGEXEXTRACT(J$1,""T(\d+)"")),1),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K59" s="86">
        <f>IFERROR(__xludf.DUMMYFUNCTION("LET(
  monthStart,DATE(VALUE(REGEXEXTRACT(K$1,""\d{4}"")),VALUE(REGEXEXTRACT(K$1,""T(\d+)"")),1),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L59" s="86">
        <f>IFERROR(__xludf.DUMMYFUNCTION("LET(
  monthStart,DATE(VALUE(REGEXEXTRACT(L$1,""\d{4}"")),VALUE(REGEXEXTRACT(L$1,""T(\d+)"")),1),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M59" s="86">
        <f>IFERROR(__xludf.DUMMYFUNCTION("LET(
  monthStart,DATE(VALUE(REGEXEXTRACT(M$1,""\d{4}"")),VALUE(REGEXEXTRACT(M$1,""T(\d+)"")),1),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N59" s="86">
        <f>IFERROR(__xludf.DUMMYFUNCTION("LET(
  monthStart,DATE(VALUE(REGEXEXTRACT(N$1,""\d{4}"")),VALUE(REGEXEXTRACT(N$1,""T(\d+)"")),1),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O59" s="86">
        <f>IFERROR(__xludf.DUMMYFUNCTION("LET(
  monthStart,DATE(VALUE(REGEXEXTRACT(O$1,""\d{4}"")),VALUE(REGEXEXTRACT(O$1,""T(\d+)"")),1),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P59" s="86">
        <f>IFERROR(__xludf.DUMMYFUNCTION("LET(
  monthStart,DATE(VALUE(REGEXEXTRACT(P$1,""\d{4}"")),VALUE(REGEXEXTRACT(P$1,""T(\d+)"")),1),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Q59" s="86">
        <f>IFERROR(__xludf.DUMMYFUNCTION("LET(
  monthStart,DATE(VALUE(REGEXEXTRACT(Q$1,""\d{4}"")),VALUE(REGEXEXTRACT(Q$1,""T(\d+)"")),1),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R59" s="86">
        <f>IFERROR(__xludf.DUMMYFUNCTION("LET(
  monthStart,DATE(VALUE(REGEXEXTRACT(R$1,""\d{4}"")),VALUE(REGEXEXTRACT(R$1,""T(\d+)"")),1),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S59" s="86">
        <f>IFERROR(__xludf.DUMMYFUNCTION("LET(
  monthStart,DATE(VALUE(REGEXEXTRACT(S$1,""\d{4}"")),VALUE(REGEXEXTRACT(S$1,""T(\d+)"")),1),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T59" s="86">
        <f>IFERROR(__xludf.DUMMYFUNCTION("LET(
  monthStart,DATE(VALUE(REGEXEXTRACT(T$1,""\d{4}"")),VALUE(REGEXEXTRACT(T$1,""T(\d+)"")),1),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U59" s="86">
        <f>IFERROR(__xludf.DUMMYFUNCTION("LET(
  monthStart,DATE(VALUE(REGEXEXTRACT(U$1,""\d{4}"")),VALUE(REGEXEXTRACT(U$1,""T(\d+)"")),1),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V59" s="86">
        <f>IFERROR(__xludf.DUMMYFUNCTION("LET(
  monthStart,DATE(VALUE(REGEXEXTRACT(V$1,""\d{4}"")),VALUE(REGEXEXTRACT(V$1,""T(\d+)"")),1),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W59" s="86">
        <f>IFERROR(__xludf.DUMMYFUNCTION("LET(
  monthStart,DATE(VALUE(REGEXEXTRACT(W$1,""\d{4}"")),VALUE(REGEXEXTRACT(W$1,""T(\d+)"")),1),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X59" s="86">
        <f>IFERROR(__xludf.DUMMYFUNCTION("LET(
  monthStart,DATE(VALUE(REGEXEXTRACT(X$1,""\d{4}"")),VALUE(REGEXEXTRACT(X$1,""T(\d+)"")),1),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Y59" s="86">
        <f>IFERROR(__xludf.DUMMYFUNCTION("LET(
  monthStart,DATE(VALUE(REGEXEXTRACT(Y$1,""\d{4}"")),VALUE(REGEXEXTRACT(Y$1,""T(\d+)"")),1),
  monthEnd,EOMONTH(monthStart,0),
  actualStart,MAX($D59,monthStart),
  actualEnd,MIN($E59,monthEnd),
  workingDaysInMonth,NETWORKDAYS(monthStart,monthEnd),
"&amp;"  workingDaysOverlap,IF(actualStart&gt;actualEnd,0,NETWORKDAYS(actualStart,actualEnd)),
  IF(workingDaysOverlap=0,"""",$F59*workingDaysOverlap/workingDaysInMonth)
)"),0.0)</f>
        <v>0</v>
      </c>
      <c r="Z59" s="64"/>
      <c r="AA59" s="64"/>
      <c r="AB59" s="64"/>
      <c r="AC59" s="64"/>
      <c r="AD59" s="64"/>
      <c r="AE59" s="64"/>
      <c r="AF59" s="64"/>
      <c r="AG59" s="64"/>
      <c r="AH59" s="64"/>
      <c r="AI59" s="75"/>
      <c r="AJ59" s="64"/>
      <c r="AK59" s="64"/>
      <c r="AO59" s="64"/>
      <c r="AP59" s="64"/>
      <c r="AQ59" s="64"/>
      <c r="AR59" s="64"/>
      <c r="AS59" s="64"/>
      <c r="AT59" s="64"/>
      <c r="AX59" s="64"/>
      <c r="AY59" s="89"/>
      <c r="AZ59" s="89"/>
      <c r="BA59" s="89"/>
      <c r="BB59" s="90"/>
      <c r="BC59" s="75"/>
      <c r="BD59" s="67"/>
      <c r="BH59" s="64"/>
      <c r="BI59" s="64"/>
      <c r="BJ59" s="64"/>
      <c r="BK59" s="64"/>
      <c r="BL59" s="64"/>
      <c r="BM59" s="64"/>
      <c r="BN59" s="64"/>
    </row>
    <row r="60" ht="30.0" customHeight="1">
      <c r="A60" s="81"/>
      <c r="B60" s="61"/>
      <c r="C60" s="83"/>
      <c r="D60" s="114"/>
      <c r="E60" s="84"/>
      <c r="F60" s="86"/>
      <c r="G60" s="86">
        <f>IFERROR(__xludf.DUMMYFUNCTION("LET(
  monthStart,DATE(VALUE(REGEXEXTRACT(G$1,""\d{4}"")),VALUE(REGEXEXTRACT(G$1,""T(\d+)"")),1),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H60" s="86">
        <f>IFERROR(__xludf.DUMMYFUNCTION("LET(
  monthStart,DATE(VALUE(REGEXEXTRACT(H$1,""\d{4}"")),VALUE(REGEXEXTRACT(H$1,""T(\d+)"")),1),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I60" s="86">
        <f>IFERROR(__xludf.DUMMYFUNCTION("LET(
  monthStart,DATE(VALUE(REGEXEXTRACT(I$1,""\d{4}"")),VALUE(REGEXEXTRACT(I$1,""T(\d+)"")),1),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J60" s="86">
        <f>IFERROR(__xludf.DUMMYFUNCTION("LET(
  monthStart,DATE(VALUE(REGEXEXTRACT(J$1,""\d{4}"")),VALUE(REGEXEXTRACT(J$1,""T(\d+)"")),1),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K60" s="86">
        <f>IFERROR(__xludf.DUMMYFUNCTION("LET(
  monthStart,DATE(VALUE(REGEXEXTRACT(K$1,""\d{4}"")),VALUE(REGEXEXTRACT(K$1,""T(\d+)"")),1),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L60" s="86">
        <f>IFERROR(__xludf.DUMMYFUNCTION("LET(
  monthStart,DATE(VALUE(REGEXEXTRACT(L$1,""\d{4}"")),VALUE(REGEXEXTRACT(L$1,""T(\d+)"")),1),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M60" s="86">
        <f>IFERROR(__xludf.DUMMYFUNCTION("LET(
  monthStart,DATE(VALUE(REGEXEXTRACT(M$1,""\d{4}"")),VALUE(REGEXEXTRACT(M$1,""T(\d+)"")),1),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N60" s="86">
        <f>IFERROR(__xludf.DUMMYFUNCTION("LET(
  monthStart,DATE(VALUE(REGEXEXTRACT(N$1,""\d{4}"")),VALUE(REGEXEXTRACT(N$1,""T(\d+)"")),1),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O60" s="86">
        <f>IFERROR(__xludf.DUMMYFUNCTION("LET(
  monthStart,DATE(VALUE(REGEXEXTRACT(O$1,""\d{4}"")),VALUE(REGEXEXTRACT(O$1,""T(\d+)"")),1),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P60" s="86">
        <f>IFERROR(__xludf.DUMMYFUNCTION("LET(
  monthStart,DATE(VALUE(REGEXEXTRACT(P$1,""\d{4}"")),VALUE(REGEXEXTRACT(P$1,""T(\d+)"")),1),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Q60" s="86">
        <f>IFERROR(__xludf.DUMMYFUNCTION("LET(
  monthStart,DATE(VALUE(REGEXEXTRACT(Q$1,""\d{4}"")),VALUE(REGEXEXTRACT(Q$1,""T(\d+)"")),1),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R60" s="86">
        <f>IFERROR(__xludf.DUMMYFUNCTION("LET(
  monthStart,DATE(VALUE(REGEXEXTRACT(R$1,""\d{4}"")),VALUE(REGEXEXTRACT(R$1,""T(\d+)"")),1),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S60" s="86">
        <f>IFERROR(__xludf.DUMMYFUNCTION("LET(
  monthStart,DATE(VALUE(REGEXEXTRACT(S$1,""\d{4}"")),VALUE(REGEXEXTRACT(S$1,""T(\d+)"")),1),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T60" s="86">
        <f>IFERROR(__xludf.DUMMYFUNCTION("LET(
  monthStart,DATE(VALUE(REGEXEXTRACT(T$1,""\d{4}"")),VALUE(REGEXEXTRACT(T$1,""T(\d+)"")),1),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U60" s="86">
        <f>IFERROR(__xludf.DUMMYFUNCTION("LET(
  monthStart,DATE(VALUE(REGEXEXTRACT(U$1,""\d{4}"")),VALUE(REGEXEXTRACT(U$1,""T(\d+)"")),1),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V60" s="86">
        <f>IFERROR(__xludf.DUMMYFUNCTION("LET(
  monthStart,DATE(VALUE(REGEXEXTRACT(V$1,""\d{4}"")),VALUE(REGEXEXTRACT(V$1,""T(\d+)"")),1),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W60" s="86">
        <f>IFERROR(__xludf.DUMMYFUNCTION("LET(
  monthStart,DATE(VALUE(REGEXEXTRACT(W$1,""\d{4}"")),VALUE(REGEXEXTRACT(W$1,""T(\d+)"")),1),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X60" s="86">
        <f>IFERROR(__xludf.DUMMYFUNCTION("LET(
  monthStart,DATE(VALUE(REGEXEXTRACT(X$1,""\d{4}"")),VALUE(REGEXEXTRACT(X$1,""T(\d+)"")),1),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Y60" s="86">
        <f>IFERROR(__xludf.DUMMYFUNCTION("LET(
  monthStart,DATE(VALUE(REGEXEXTRACT(Y$1,""\d{4}"")),VALUE(REGEXEXTRACT(Y$1,""T(\d+)"")),1),
  monthEnd,EOMONTH(monthStart,0),
  actualStart,MAX($D60,monthStart),
  actualEnd,MIN($E60,monthEnd),
  workingDaysInMonth,NETWORKDAYS(monthStart,monthEnd),
"&amp;"  workingDaysOverlap,IF(actualStart&gt;actualEnd,0,NETWORKDAYS(actualStart,actualEnd)),
  IF(workingDaysOverlap=0,"""",$F60*workingDaysOverlap/workingDaysInMonth)
)"),0.0)</f>
        <v>0</v>
      </c>
      <c r="Z60" s="64"/>
      <c r="AA60" s="64"/>
      <c r="AB60" s="64"/>
      <c r="AC60" s="64"/>
      <c r="AD60" s="64"/>
      <c r="AE60" s="64"/>
      <c r="AF60" s="64"/>
      <c r="AG60" s="64"/>
      <c r="AH60" s="64"/>
      <c r="AI60" s="75"/>
      <c r="AJ60" s="64"/>
      <c r="AK60" s="64"/>
      <c r="AO60" s="64"/>
      <c r="AP60" s="64"/>
      <c r="AQ60" s="64"/>
      <c r="AR60" s="64"/>
      <c r="AS60" s="64"/>
      <c r="AT60" s="64"/>
      <c r="AX60" s="64"/>
      <c r="AY60" s="65"/>
      <c r="AZ60" s="89"/>
      <c r="BA60" s="89"/>
      <c r="BB60" s="90"/>
      <c r="BC60" s="75"/>
      <c r="BD60" s="67"/>
      <c r="BH60" s="64"/>
      <c r="BI60" s="64"/>
      <c r="BJ60" s="64"/>
      <c r="BK60" s="64"/>
      <c r="BL60" s="64"/>
      <c r="BM60" s="64"/>
      <c r="BN60" s="64"/>
    </row>
    <row r="61" ht="30.0" customHeight="1">
      <c r="A61" s="81"/>
      <c r="B61" s="61"/>
      <c r="C61" s="83"/>
      <c r="D61" s="114"/>
      <c r="E61" s="84"/>
      <c r="F61" s="86"/>
      <c r="G61" s="86">
        <f>IFERROR(__xludf.DUMMYFUNCTION("LET(
  monthStart,DATE(VALUE(REGEXEXTRACT(G$1,""\d{4}"")),VALUE(REGEXEXTRACT(G$1,""T(\d+)"")),1),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H61" s="86">
        <f>IFERROR(__xludf.DUMMYFUNCTION("LET(
  monthStart,DATE(VALUE(REGEXEXTRACT(H$1,""\d{4}"")),VALUE(REGEXEXTRACT(H$1,""T(\d+)"")),1),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I61" s="86">
        <f>IFERROR(__xludf.DUMMYFUNCTION("LET(
  monthStart,DATE(VALUE(REGEXEXTRACT(I$1,""\d{4}"")),VALUE(REGEXEXTRACT(I$1,""T(\d+)"")),1),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J61" s="86">
        <f>IFERROR(__xludf.DUMMYFUNCTION("LET(
  monthStart,DATE(VALUE(REGEXEXTRACT(J$1,""\d{4}"")),VALUE(REGEXEXTRACT(J$1,""T(\d+)"")),1),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K61" s="86">
        <f>IFERROR(__xludf.DUMMYFUNCTION("LET(
  monthStart,DATE(VALUE(REGEXEXTRACT(K$1,""\d{4}"")),VALUE(REGEXEXTRACT(K$1,""T(\d+)"")),1),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L61" s="86">
        <f>IFERROR(__xludf.DUMMYFUNCTION("LET(
  monthStart,DATE(VALUE(REGEXEXTRACT(L$1,""\d{4}"")),VALUE(REGEXEXTRACT(L$1,""T(\d+)"")),1),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M61" s="86">
        <f>IFERROR(__xludf.DUMMYFUNCTION("LET(
  monthStart,DATE(VALUE(REGEXEXTRACT(M$1,""\d{4}"")),VALUE(REGEXEXTRACT(M$1,""T(\d+)"")),1),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N61" s="86">
        <f>IFERROR(__xludf.DUMMYFUNCTION("LET(
  monthStart,DATE(VALUE(REGEXEXTRACT(N$1,""\d{4}"")),VALUE(REGEXEXTRACT(N$1,""T(\d+)"")),1),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O61" s="86">
        <f>IFERROR(__xludf.DUMMYFUNCTION("LET(
  monthStart,DATE(VALUE(REGEXEXTRACT(O$1,""\d{4}"")),VALUE(REGEXEXTRACT(O$1,""T(\d+)"")),1),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P61" s="86">
        <f>IFERROR(__xludf.DUMMYFUNCTION("LET(
  monthStart,DATE(VALUE(REGEXEXTRACT(P$1,""\d{4}"")),VALUE(REGEXEXTRACT(P$1,""T(\d+)"")),1),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Q61" s="86">
        <f>IFERROR(__xludf.DUMMYFUNCTION("LET(
  monthStart,DATE(VALUE(REGEXEXTRACT(Q$1,""\d{4}"")),VALUE(REGEXEXTRACT(Q$1,""T(\d+)"")),1),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R61" s="86">
        <f>IFERROR(__xludf.DUMMYFUNCTION("LET(
  monthStart,DATE(VALUE(REGEXEXTRACT(R$1,""\d{4}"")),VALUE(REGEXEXTRACT(R$1,""T(\d+)"")),1),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S61" s="86">
        <f>IFERROR(__xludf.DUMMYFUNCTION("LET(
  monthStart,DATE(VALUE(REGEXEXTRACT(S$1,""\d{4}"")),VALUE(REGEXEXTRACT(S$1,""T(\d+)"")),1),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T61" s="86">
        <f>IFERROR(__xludf.DUMMYFUNCTION("LET(
  monthStart,DATE(VALUE(REGEXEXTRACT(T$1,""\d{4}"")),VALUE(REGEXEXTRACT(T$1,""T(\d+)"")),1),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U61" s="86">
        <f>IFERROR(__xludf.DUMMYFUNCTION("LET(
  monthStart,DATE(VALUE(REGEXEXTRACT(U$1,""\d{4}"")),VALUE(REGEXEXTRACT(U$1,""T(\d+)"")),1),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V61" s="86">
        <f>IFERROR(__xludf.DUMMYFUNCTION("LET(
  monthStart,DATE(VALUE(REGEXEXTRACT(V$1,""\d{4}"")),VALUE(REGEXEXTRACT(V$1,""T(\d+)"")),1),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W61" s="86">
        <f>IFERROR(__xludf.DUMMYFUNCTION("LET(
  monthStart,DATE(VALUE(REGEXEXTRACT(W$1,""\d{4}"")),VALUE(REGEXEXTRACT(W$1,""T(\d+)"")),1),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X61" s="86">
        <f>IFERROR(__xludf.DUMMYFUNCTION("LET(
  monthStart,DATE(VALUE(REGEXEXTRACT(X$1,""\d{4}"")),VALUE(REGEXEXTRACT(X$1,""T(\d+)"")),1),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Y61" s="86">
        <f>IFERROR(__xludf.DUMMYFUNCTION("LET(
  monthStart,DATE(VALUE(REGEXEXTRACT(Y$1,""\d{4}"")),VALUE(REGEXEXTRACT(Y$1,""T(\d+)"")),1),
  monthEnd,EOMONTH(monthStart,0),
  actualStart,MAX($D61,monthStart),
  actualEnd,MIN($E61,monthEnd),
  workingDaysInMonth,NETWORKDAYS(monthStart,monthEnd),
"&amp;"  workingDaysOverlap,IF(actualStart&gt;actualEnd,0,NETWORKDAYS(actualStart,actualEnd)),
  IF(workingDaysOverlap=0,"""",$F61*workingDaysOverlap/workingDaysInMonth)
)"),0.0)</f>
        <v>0</v>
      </c>
      <c r="Z61" s="64"/>
      <c r="AA61" s="64"/>
      <c r="AB61" s="64"/>
      <c r="AC61" s="64"/>
      <c r="AD61" s="64"/>
      <c r="AE61" s="64"/>
      <c r="AF61" s="64"/>
      <c r="AG61" s="64"/>
      <c r="AH61" s="64"/>
      <c r="AI61" s="75"/>
      <c r="AJ61" s="64"/>
      <c r="AK61" s="64"/>
      <c r="AO61" s="64"/>
      <c r="AP61" s="64"/>
      <c r="AQ61" s="64"/>
      <c r="AR61" s="64"/>
      <c r="AS61" s="64"/>
      <c r="AT61" s="64"/>
      <c r="AX61" s="64"/>
      <c r="AY61" s="65"/>
      <c r="AZ61" s="89"/>
      <c r="BA61" s="89"/>
      <c r="BB61" s="90"/>
      <c r="BC61" s="75"/>
      <c r="BD61" s="67"/>
      <c r="BH61" s="64"/>
      <c r="BI61" s="64"/>
      <c r="BJ61" s="64"/>
      <c r="BK61" s="64"/>
      <c r="BL61" s="64"/>
      <c r="BM61" s="64"/>
      <c r="BN61" s="64"/>
    </row>
    <row r="62" ht="30.0" customHeight="1">
      <c r="A62" s="81"/>
      <c r="B62" s="61"/>
      <c r="C62" s="83"/>
      <c r="D62" s="114"/>
      <c r="E62" s="84"/>
      <c r="F62" s="86"/>
      <c r="G62" s="86">
        <f>IFERROR(__xludf.DUMMYFUNCTION("LET(
  monthStart,DATE(VALUE(REGEXEXTRACT(G$1,""\d{4}"")),VALUE(REGEXEXTRACT(G$1,""T(\d+)"")),1),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H62" s="86">
        <f>IFERROR(__xludf.DUMMYFUNCTION("LET(
  monthStart,DATE(VALUE(REGEXEXTRACT(H$1,""\d{4}"")),VALUE(REGEXEXTRACT(H$1,""T(\d+)"")),1),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I62" s="86">
        <f>IFERROR(__xludf.DUMMYFUNCTION("LET(
  monthStart,DATE(VALUE(REGEXEXTRACT(I$1,""\d{4}"")),VALUE(REGEXEXTRACT(I$1,""T(\d+)"")),1),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J62" s="86">
        <f>IFERROR(__xludf.DUMMYFUNCTION("LET(
  monthStart,DATE(VALUE(REGEXEXTRACT(J$1,""\d{4}"")),VALUE(REGEXEXTRACT(J$1,""T(\d+)"")),1),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K62" s="86">
        <f>IFERROR(__xludf.DUMMYFUNCTION("LET(
  monthStart,DATE(VALUE(REGEXEXTRACT(K$1,""\d{4}"")),VALUE(REGEXEXTRACT(K$1,""T(\d+)"")),1),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L62" s="86">
        <f>IFERROR(__xludf.DUMMYFUNCTION("LET(
  monthStart,DATE(VALUE(REGEXEXTRACT(L$1,""\d{4}"")),VALUE(REGEXEXTRACT(L$1,""T(\d+)"")),1),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M62" s="86">
        <f>IFERROR(__xludf.DUMMYFUNCTION("LET(
  monthStart,DATE(VALUE(REGEXEXTRACT(M$1,""\d{4}"")),VALUE(REGEXEXTRACT(M$1,""T(\d+)"")),1),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N62" s="86">
        <f>IFERROR(__xludf.DUMMYFUNCTION("LET(
  monthStart,DATE(VALUE(REGEXEXTRACT(N$1,""\d{4}"")),VALUE(REGEXEXTRACT(N$1,""T(\d+)"")),1),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O62" s="86">
        <f>IFERROR(__xludf.DUMMYFUNCTION("LET(
  monthStart,DATE(VALUE(REGEXEXTRACT(O$1,""\d{4}"")),VALUE(REGEXEXTRACT(O$1,""T(\d+)"")),1),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P62" s="86">
        <f>IFERROR(__xludf.DUMMYFUNCTION("LET(
  monthStart,DATE(VALUE(REGEXEXTRACT(P$1,""\d{4}"")),VALUE(REGEXEXTRACT(P$1,""T(\d+)"")),1),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Q62" s="86">
        <f>IFERROR(__xludf.DUMMYFUNCTION("LET(
  monthStart,DATE(VALUE(REGEXEXTRACT(Q$1,""\d{4}"")),VALUE(REGEXEXTRACT(Q$1,""T(\d+)"")),1),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R62" s="86">
        <f>IFERROR(__xludf.DUMMYFUNCTION("LET(
  monthStart,DATE(VALUE(REGEXEXTRACT(R$1,""\d{4}"")),VALUE(REGEXEXTRACT(R$1,""T(\d+)"")),1),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S62" s="86">
        <f>IFERROR(__xludf.DUMMYFUNCTION("LET(
  monthStart,DATE(VALUE(REGEXEXTRACT(S$1,""\d{4}"")),VALUE(REGEXEXTRACT(S$1,""T(\d+)"")),1),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T62" s="86">
        <f>IFERROR(__xludf.DUMMYFUNCTION("LET(
  monthStart,DATE(VALUE(REGEXEXTRACT(T$1,""\d{4}"")),VALUE(REGEXEXTRACT(T$1,""T(\d+)"")),1),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U62" s="86">
        <f>IFERROR(__xludf.DUMMYFUNCTION("LET(
  monthStart,DATE(VALUE(REGEXEXTRACT(U$1,""\d{4}"")),VALUE(REGEXEXTRACT(U$1,""T(\d+)"")),1),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V62" s="86">
        <f>IFERROR(__xludf.DUMMYFUNCTION("LET(
  monthStart,DATE(VALUE(REGEXEXTRACT(V$1,""\d{4}"")),VALUE(REGEXEXTRACT(V$1,""T(\d+)"")),1),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W62" s="86">
        <f>IFERROR(__xludf.DUMMYFUNCTION("LET(
  monthStart,DATE(VALUE(REGEXEXTRACT(W$1,""\d{4}"")),VALUE(REGEXEXTRACT(W$1,""T(\d+)"")),1),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X62" s="86">
        <f>IFERROR(__xludf.DUMMYFUNCTION("LET(
  monthStart,DATE(VALUE(REGEXEXTRACT(X$1,""\d{4}"")),VALUE(REGEXEXTRACT(X$1,""T(\d+)"")),1),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Y62" s="86">
        <f>IFERROR(__xludf.DUMMYFUNCTION("LET(
  monthStart,DATE(VALUE(REGEXEXTRACT(Y$1,""\d{4}"")),VALUE(REGEXEXTRACT(Y$1,""T(\d+)"")),1),
  monthEnd,EOMONTH(monthStart,0),
  actualStart,MAX($D62,monthStart),
  actualEnd,MIN($E62,monthEnd),
  workingDaysInMonth,NETWORKDAYS(monthStart,monthEnd),
"&amp;"  workingDaysOverlap,IF(actualStart&gt;actualEnd,0,NETWORKDAYS(actualStart,actualEnd)),
  IF(workingDaysOverlap=0,"""",$F62*workingDaysOverlap/workingDaysInMonth)
)"),0.0)</f>
        <v>0</v>
      </c>
      <c r="Z62" s="64"/>
      <c r="AA62" s="64"/>
      <c r="AB62" s="64"/>
      <c r="AC62" s="64"/>
      <c r="AD62" s="64"/>
      <c r="AE62" s="64"/>
      <c r="AF62" s="64"/>
      <c r="AG62" s="64"/>
      <c r="AH62" s="64"/>
      <c r="AI62" s="75"/>
      <c r="AJ62" s="64"/>
      <c r="AK62" s="64"/>
      <c r="AO62" s="64"/>
      <c r="AP62" s="64"/>
      <c r="AQ62" s="64"/>
      <c r="AR62" s="64"/>
      <c r="AS62" s="64"/>
      <c r="AT62" s="64"/>
      <c r="AX62" s="64"/>
      <c r="AY62" s="65"/>
      <c r="AZ62" s="89"/>
      <c r="BA62" s="89"/>
      <c r="BB62" s="90"/>
      <c r="BC62" s="75"/>
      <c r="BD62" s="67"/>
      <c r="BH62" s="64"/>
      <c r="BI62" s="64"/>
      <c r="BJ62" s="64"/>
      <c r="BK62" s="64"/>
      <c r="BL62" s="64"/>
      <c r="BM62" s="64"/>
      <c r="BN62" s="64"/>
    </row>
    <row r="63" ht="30.0" customHeight="1">
      <c r="A63" s="81"/>
      <c r="B63" s="61"/>
      <c r="C63" s="83"/>
      <c r="D63" s="114"/>
      <c r="E63" s="84"/>
      <c r="F63" s="86"/>
      <c r="G63" s="86">
        <f>IFERROR(__xludf.DUMMYFUNCTION("LET(
  monthStart,DATE(VALUE(REGEXEXTRACT(G$1,""\d{4}"")),VALUE(REGEXEXTRACT(G$1,""T(\d+)"")),1),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H63" s="86">
        <f>IFERROR(__xludf.DUMMYFUNCTION("LET(
  monthStart,DATE(VALUE(REGEXEXTRACT(H$1,""\d{4}"")),VALUE(REGEXEXTRACT(H$1,""T(\d+)"")),1),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I63" s="86">
        <f>IFERROR(__xludf.DUMMYFUNCTION("LET(
  monthStart,DATE(VALUE(REGEXEXTRACT(I$1,""\d{4}"")),VALUE(REGEXEXTRACT(I$1,""T(\d+)"")),1),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J63" s="86">
        <f>IFERROR(__xludf.DUMMYFUNCTION("LET(
  monthStart,DATE(VALUE(REGEXEXTRACT(J$1,""\d{4}"")),VALUE(REGEXEXTRACT(J$1,""T(\d+)"")),1),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K63" s="86">
        <f>IFERROR(__xludf.DUMMYFUNCTION("LET(
  monthStart,DATE(VALUE(REGEXEXTRACT(K$1,""\d{4}"")),VALUE(REGEXEXTRACT(K$1,""T(\d+)"")),1),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L63" s="86">
        <f>IFERROR(__xludf.DUMMYFUNCTION("LET(
  monthStart,DATE(VALUE(REGEXEXTRACT(L$1,""\d{4}"")),VALUE(REGEXEXTRACT(L$1,""T(\d+)"")),1),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M63" s="86">
        <f>IFERROR(__xludf.DUMMYFUNCTION("LET(
  monthStart,DATE(VALUE(REGEXEXTRACT(M$1,""\d{4}"")),VALUE(REGEXEXTRACT(M$1,""T(\d+)"")),1),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N63" s="86">
        <f>IFERROR(__xludf.DUMMYFUNCTION("LET(
  monthStart,DATE(VALUE(REGEXEXTRACT(N$1,""\d{4}"")),VALUE(REGEXEXTRACT(N$1,""T(\d+)"")),1),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O63" s="86">
        <f>IFERROR(__xludf.DUMMYFUNCTION("LET(
  monthStart,DATE(VALUE(REGEXEXTRACT(O$1,""\d{4}"")),VALUE(REGEXEXTRACT(O$1,""T(\d+)"")),1),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P63" s="86">
        <f>IFERROR(__xludf.DUMMYFUNCTION("LET(
  monthStart,DATE(VALUE(REGEXEXTRACT(P$1,""\d{4}"")),VALUE(REGEXEXTRACT(P$1,""T(\d+)"")),1),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Q63" s="86">
        <f>IFERROR(__xludf.DUMMYFUNCTION("LET(
  monthStart,DATE(VALUE(REGEXEXTRACT(Q$1,""\d{4}"")),VALUE(REGEXEXTRACT(Q$1,""T(\d+)"")),1),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R63" s="86">
        <f>IFERROR(__xludf.DUMMYFUNCTION("LET(
  monthStart,DATE(VALUE(REGEXEXTRACT(R$1,""\d{4}"")),VALUE(REGEXEXTRACT(R$1,""T(\d+)"")),1),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S63" s="86">
        <f>IFERROR(__xludf.DUMMYFUNCTION("LET(
  monthStart,DATE(VALUE(REGEXEXTRACT(S$1,""\d{4}"")),VALUE(REGEXEXTRACT(S$1,""T(\d+)"")),1),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T63" s="86">
        <f>IFERROR(__xludf.DUMMYFUNCTION("LET(
  monthStart,DATE(VALUE(REGEXEXTRACT(T$1,""\d{4}"")),VALUE(REGEXEXTRACT(T$1,""T(\d+)"")),1),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U63" s="86">
        <f>IFERROR(__xludf.DUMMYFUNCTION("LET(
  monthStart,DATE(VALUE(REGEXEXTRACT(U$1,""\d{4}"")),VALUE(REGEXEXTRACT(U$1,""T(\d+)"")),1),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V63" s="86">
        <f>IFERROR(__xludf.DUMMYFUNCTION("LET(
  monthStart,DATE(VALUE(REGEXEXTRACT(V$1,""\d{4}"")),VALUE(REGEXEXTRACT(V$1,""T(\d+)"")),1),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W63" s="86">
        <f>IFERROR(__xludf.DUMMYFUNCTION("LET(
  monthStart,DATE(VALUE(REGEXEXTRACT(W$1,""\d{4}"")),VALUE(REGEXEXTRACT(W$1,""T(\d+)"")),1),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X63" s="86">
        <f>IFERROR(__xludf.DUMMYFUNCTION("LET(
  monthStart,DATE(VALUE(REGEXEXTRACT(X$1,""\d{4}"")),VALUE(REGEXEXTRACT(X$1,""T(\d+)"")),1),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Y63" s="86">
        <f>IFERROR(__xludf.DUMMYFUNCTION("LET(
  monthStart,DATE(VALUE(REGEXEXTRACT(Y$1,""\d{4}"")),VALUE(REGEXEXTRACT(Y$1,""T(\d+)"")),1),
  monthEnd,EOMONTH(monthStart,0),
  actualStart,MAX($D63,monthStart),
  actualEnd,MIN($E63,monthEnd),
  workingDaysInMonth,NETWORKDAYS(monthStart,monthEnd),
"&amp;"  workingDaysOverlap,IF(actualStart&gt;actualEnd,0,NETWORKDAYS(actualStart,actualEnd)),
  IF(workingDaysOverlap=0,"""",$F63*workingDaysOverlap/workingDaysInMonth)
)"),0.0)</f>
        <v>0</v>
      </c>
      <c r="Z63" s="64"/>
      <c r="AA63" s="64"/>
      <c r="AB63" s="64"/>
      <c r="AC63" s="64"/>
      <c r="AD63" s="64"/>
      <c r="AE63" s="64"/>
      <c r="AF63" s="64"/>
      <c r="AG63" s="64"/>
      <c r="AH63" s="64"/>
      <c r="AI63" s="75"/>
      <c r="AJ63" s="64"/>
      <c r="AK63" s="64"/>
      <c r="AO63" s="64"/>
      <c r="AP63" s="64"/>
      <c r="AQ63" s="64"/>
      <c r="AR63" s="64"/>
      <c r="AS63" s="64"/>
      <c r="AT63" s="64"/>
      <c r="AX63" s="64"/>
      <c r="AY63" s="65"/>
      <c r="AZ63" s="65"/>
      <c r="BA63" s="65"/>
      <c r="BB63" s="90"/>
      <c r="BC63" s="75"/>
      <c r="BD63" s="67"/>
      <c r="BH63" s="64"/>
      <c r="BI63" s="64"/>
      <c r="BJ63" s="64"/>
      <c r="BK63" s="64"/>
      <c r="BL63" s="64"/>
      <c r="BM63" s="64"/>
      <c r="BN63" s="64"/>
    </row>
    <row r="64" ht="30.0" customHeight="1">
      <c r="A64" s="81"/>
      <c r="B64" s="61"/>
      <c r="C64" s="83"/>
      <c r="D64" s="114"/>
      <c r="E64" s="84"/>
      <c r="F64" s="86"/>
      <c r="G64" s="86">
        <f>IFERROR(__xludf.DUMMYFUNCTION("LET(
  monthStart,DATE(VALUE(REGEXEXTRACT(G$1,""\d{4}"")),VALUE(REGEXEXTRACT(G$1,""T(\d+)"")),1),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H64" s="86">
        <f>IFERROR(__xludf.DUMMYFUNCTION("LET(
  monthStart,DATE(VALUE(REGEXEXTRACT(H$1,""\d{4}"")),VALUE(REGEXEXTRACT(H$1,""T(\d+)"")),1),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I64" s="86">
        <f>IFERROR(__xludf.DUMMYFUNCTION("LET(
  monthStart,DATE(VALUE(REGEXEXTRACT(I$1,""\d{4}"")),VALUE(REGEXEXTRACT(I$1,""T(\d+)"")),1),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J64" s="86">
        <f>IFERROR(__xludf.DUMMYFUNCTION("LET(
  monthStart,DATE(VALUE(REGEXEXTRACT(J$1,""\d{4}"")),VALUE(REGEXEXTRACT(J$1,""T(\d+)"")),1),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K64" s="86">
        <f>IFERROR(__xludf.DUMMYFUNCTION("LET(
  monthStart,DATE(VALUE(REGEXEXTRACT(K$1,""\d{4}"")),VALUE(REGEXEXTRACT(K$1,""T(\d+)"")),1),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L64" s="86">
        <f>IFERROR(__xludf.DUMMYFUNCTION("LET(
  monthStart,DATE(VALUE(REGEXEXTRACT(L$1,""\d{4}"")),VALUE(REGEXEXTRACT(L$1,""T(\d+)"")),1),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M64" s="86">
        <f>IFERROR(__xludf.DUMMYFUNCTION("LET(
  monthStart,DATE(VALUE(REGEXEXTRACT(M$1,""\d{4}"")),VALUE(REGEXEXTRACT(M$1,""T(\d+)"")),1),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N64" s="86">
        <f>IFERROR(__xludf.DUMMYFUNCTION("LET(
  monthStart,DATE(VALUE(REGEXEXTRACT(N$1,""\d{4}"")),VALUE(REGEXEXTRACT(N$1,""T(\d+)"")),1),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O64" s="86">
        <f>IFERROR(__xludf.DUMMYFUNCTION("LET(
  monthStart,DATE(VALUE(REGEXEXTRACT(O$1,""\d{4}"")),VALUE(REGEXEXTRACT(O$1,""T(\d+)"")),1),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P64" s="86">
        <f>IFERROR(__xludf.DUMMYFUNCTION("LET(
  monthStart,DATE(VALUE(REGEXEXTRACT(P$1,""\d{4}"")),VALUE(REGEXEXTRACT(P$1,""T(\d+)"")),1),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Q64" s="86">
        <f>IFERROR(__xludf.DUMMYFUNCTION("LET(
  monthStart,DATE(VALUE(REGEXEXTRACT(Q$1,""\d{4}"")),VALUE(REGEXEXTRACT(Q$1,""T(\d+)"")),1),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R64" s="86">
        <f>IFERROR(__xludf.DUMMYFUNCTION("LET(
  monthStart,DATE(VALUE(REGEXEXTRACT(R$1,""\d{4}"")),VALUE(REGEXEXTRACT(R$1,""T(\d+)"")),1),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S64" s="86">
        <f>IFERROR(__xludf.DUMMYFUNCTION("LET(
  monthStart,DATE(VALUE(REGEXEXTRACT(S$1,""\d{4}"")),VALUE(REGEXEXTRACT(S$1,""T(\d+)"")),1),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T64" s="86">
        <f>IFERROR(__xludf.DUMMYFUNCTION("LET(
  monthStart,DATE(VALUE(REGEXEXTRACT(T$1,""\d{4}"")),VALUE(REGEXEXTRACT(T$1,""T(\d+)"")),1),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U64" s="86">
        <f>IFERROR(__xludf.DUMMYFUNCTION("LET(
  monthStart,DATE(VALUE(REGEXEXTRACT(U$1,""\d{4}"")),VALUE(REGEXEXTRACT(U$1,""T(\d+)"")),1),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V64" s="86">
        <f>IFERROR(__xludf.DUMMYFUNCTION("LET(
  monthStart,DATE(VALUE(REGEXEXTRACT(V$1,""\d{4}"")),VALUE(REGEXEXTRACT(V$1,""T(\d+)"")),1),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W64" s="86">
        <f>IFERROR(__xludf.DUMMYFUNCTION("LET(
  monthStart,DATE(VALUE(REGEXEXTRACT(W$1,""\d{4}"")),VALUE(REGEXEXTRACT(W$1,""T(\d+)"")),1),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X64" s="86">
        <f>IFERROR(__xludf.DUMMYFUNCTION("LET(
  monthStart,DATE(VALUE(REGEXEXTRACT(X$1,""\d{4}"")),VALUE(REGEXEXTRACT(X$1,""T(\d+)"")),1),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Y64" s="86">
        <f>IFERROR(__xludf.DUMMYFUNCTION("LET(
  monthStart,DATE(VALUE(REGEXEXTRACT(Y$1,""\d{4}"")),VALUE(REGEXEXTRACT(Y$1,""T(\d+)"")),1),
  monthEnd,EOMONTH(monthStart,0),
  actualStart,MAX($D64,monthStart),
  actualEnd,MIN($E64,monthEnd),
  workingDaysInMonth,NETWORKDAYS(monthStart,monthEnd),
"&amp;"  workingDaysOverlap,IF(actualStart&gt;actualEnd,0,NETWORKDAYS(actualStart,actualEnd)),
  IF(workingDaysOverlap=0,"""",$F64*workingDaysOverlap/workingDaysInMonth)
)"),0.0)</f>
        <v>0</v>
      </c>
      <c r="Z64" s="64"/>
      <c r="AA64" s="64"/>
      <c r="AB64" s="64"/>
      <c r="AC64" s="64"/>
      <c r="AD64" s="64"/>
      <c r="AE64" s="64"/>
      <c r="AF64" s="64"/>
      <c r="AG64" s="64"/>
      <c r="AH64" s="64"/>
      <c r="AI64" s="75"/>
      <c r="AJ64" s="64"/>
      <c r="AK64" s="64"/>
      <c r="AO64" s="64"/>
      <c r="AP64" s="64"/>
      <c r="AQ64" s="64"/>
      <c r="AR64" s="64"/>
      <c r="AS64" s="64"/>
      <c r="AT64" s="64"/>
      <c r="AX64" s="64"/>
      <c r="AY64" s="65"/>
      <c r="AZ64" s="65"/>
      <c r="BA64" s="65"/>
      <c r="BB64" s="90"/>
      <c r="BC64" s="75"/>
      <c r="BD64" s="67"/>
      <c r="BH64" s="64"/>
      <c r="BI64" s="64"/>
      <c r="BJ64" s="64"/>
      <c r="BK64" s="64"/>
      <c r="BL64" s="64"/>
      <c r="BM64" s="64"/>
      <c r="BN64" s="64"/>
    </row>
    <row r="65" ht="30.0" customHeight="1">
      <c r="A65" s="81"/>
      <c r="B65" s="61"/>
      <c r="C65" s="83"/>
      <c r="D65" s="114"/>
      <c r="E65" s="84"/>
      <c r="F65" s="86"/>
      <c r="G65" s="86">
        <f>IFERROR(__xludf.DUMMYFUNCTION("LET(
  monthStart,DATE(VALUE(REGEXEXTRACT(G$1,""\d{4}"")),VALUE(REGEXEXTRACT(G$1,""T(\d+)"")),1),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H65" s="86">
        <f>IFERROR(__xludf.DUMMYFUNCTION("LET(
  monthStart,DATE(VALUE(REGEXEXTRACT(H$1,""\d{4}"")),VALUE(REGEXEXTRACT(H$1,""T(\d+)"")),1),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I65" s="86">
        <f>IFERROR(__xludf.DUMMYFUNCTION("LET(
  monthStart,DATE(VALUE(REGEXEXTRACT(I$1,""\d{4}"")),VALUE(REGEXEXTRACT(I$1,""T(\d+)"")),1),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J65" s="86">
        <f>IFERROR(__xludf.DUMMYFUNCTION("LET(
  monthStart,DATE(VALUE(REGEXEXTRACT(J$1,""\d{4}"")),VALUE(REGEXEXTRACT(J$1,""T(\d+)"")),1),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K65" s="86">
        <f>IFERROR(__xludf.DUMMYFUNCTION("LET(
  monthStart,DATE(VALUE(REGEXEXTRACT(K$1,""\d{4}"")),VALUE(REGEXEXTRACT(K$1,""T(\d+)"")),1),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L65" s="86">
        <f>IFERROR(__xludf.DUMMYFUNCTION("LET(
  monthStart,DATE(VALUE(REGEXEXTRACT(L$1,""\d{4}"")),VALUE(REGEXEXTRACT(L$1,""T(\d+)"")),1),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M65" s="86">
        <f>IFERROR(__xludf.DUMMYFUNCTION("LET(
  monthStart,DATE(VALUE(REGEXEXTRACT(M$1,""\d{4}"")),VALUE(REGEXEXTRACT(M$1,""T(\d+)"")),1),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N65" s="86">
        <f>IFERROR(__xludf.DUMMYFUNCTION("LET(
  monthStart,DATE(VALUE(REGEXEXTRACT(N$1,""\d{4}"")),VALUE(REGEXEXTRACT(N$1,""T(\d+)"")),1),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O65" s="86">
        <f>IFERROR(__xludf.DUMMYFUNCTION("LET(
  monthStart,DATE(VALUE(REGEXEXTRACT(O$1,""\d{4}"")),VALUE(REGEXEXTRACT(O$1,""T(\d+)"")),1),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P65" s="86">
        <f>IFERROR(__xludf.DUMMYFUNCTION("LET(
  monthStart,DATE(VALUE(REGEXEXTRACT(P$1,""\d{4}"")),VALUE(REGEXEXTRACT(P$1,""T(\d+)"")),1),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Q65" s="86">
        <f>IFERROR(__xludf.DUMMYFUNCTION("LET(
  monthStart,DATE(VALUE(REGEXEXTRACT(Q$1,""\d{4}"")),VALUE(REGEXEXTRACT(Q$1,""T(\d+)"")),1),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R65" s="86">
        <f>IFERROR(__xludf.DUMMYFUNCTION("LET(
  monthStart,DATE(VALUE(REGEXEXTRACT(R$1,""\d{4}"")),VALUE(REGEXEXTRACT(R$1,""T(\d+)"")),1),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S65" s="86">
        <f>IFERROR(__xludf.DUMMYFUNCTION("LET(
  monthStart,DATE(VALUE(REGEXEXTRACT(S$1,""\d{4}"")),VALUE(REGEXEXTRACT(S$1,""T(\d+)"")),1),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T65" s="86">
        <f>IFERROR(__xludf.DUMMYFUNCTION("LET(
  monthStart,DATE(VALUE(REGEXEXTRACT(T$1,""\d{4}"")),VALUE(REGEXEXTRACT(T$1,""T(\d+)"")),1),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U65" s="86">
        <f>IFERROR(__xludf.DUMMYFUNCTION("LET(
  monthStart,DATE(VALUE(REGEXEXTRACT(U$1,""\d{4}"")),VALUE(REGEXEXTRACT(U$1,""T(\d+)"")),1),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V65" s="86">
        <f>IFERROR(__xludf.DUMMYFUNCTION("LET(
  monthStart,DATE(VALUE(REGEXEXTRACT(V$1,""\d{4}"")),VALUE(REGEXEXTRACT(V$1,""T(\d+)"")),1),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W65" s="86">
        <f>IFERROR(__xludf.DUMMYFUNCTION("LET(
  monthStart,DATE(VALUE(REGEXEXTRACT(W$1,""\d{4}"")),VALUE(REGEXEXTRACT(W$1,""T(\d+)"")),1),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X65" s="86">
        <f>IFERROR(__xludf.DUMMYFUNCTION("LET(
  monthStart,DATE(VALUE(REGEXEXTRACT(X$1,""\d{4}"")),VALUE(REGEXEXTRACT(X$1,""T(\d+)"")),1),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Y65" s="86">
        <f>IFERROR(__xludf.DUMMYFUNCTION("LET(
  monthStart,DATE(VALUE(REGEXEXTRACT(Y$1,""\d{4}"")),VALUE(REGEXEXTRACT(Y$1,""T(\d+)"")),1),
  monthEnd,EOMONTH(monthStart,0),
  actualStart,MAX($D65,monthStart),
  actualEnd,MIN($E65,monthEnd),
  workingDaysInMonth,NETWORKDAYS(monthStart,monthEnd),
"&amp;"  workingDaysOverlap,IF(actualStart&gt;actualEnd,0,NETWORKDAYS(actualStart,actualEnd)),
  IF(workingDaysOverlap=0,"""",$F65*workingDaysOverlap/workingDaysInMonth)
)"),0.0)</f>
        <v>0</v>
      </c>
      <c r="Z65" s="64"/>
      <c r="AA65" s="64"/>
      <c r="AB65" s="64"/>
      <c r="AC65" s="64"/>
      <c r="AD65" s="64"/>
      <c r="AE65" s="64"/>
      <c r="AF65" s="64"/>
      <c r="AG65" s="64"/>
      <c r="AH65" s="64"/>
      <c r="AI65" s="75"/>
      <c r="AJ65" s="64"/>
      <c r="AK65" s="64"/>
      <c r="AO65" s="64"/>
      <c r="AP65" s="64"/>
      <c r="AQ65" s="64"/>
      <c r="AR65" s="64"/>
      <c r="AS65" s="64"/>
      <c r="AT65" s="64"/>
      <c r="AX65" s="64"/>
      <c r="AY65" s="65"/>
      <c r="AZ65" s="65"/>
      <c r="BA65" s="65"/>
      <c r="BB65" s="90"/>
      <c r="BC65" s="75"/>
      <c r="BD65" s="67"/>
      <c r="BH65" s="64"/>
      <c r="BI65" s="64"/>
      <c r="BJ65" s="64"/>
      <c r="BK65" s="64"/>
      <c r="BL65" s="64"/>
      <c r="BM65" s="64"/>
      <c r="BN65" s="64"/>
    </row>
    <row r="66" ht="30.0" customHeight="1">
      <c r="A66" s="81"/>
      <c r="B66" s="61"/>
      <c r="C66" s="83"/>
      <c r="D66" s="114"/>
      <c r="E66" s="84"/>
      <c r="F66" s="86"/>
      <c r="G66" s="86">
        <f>IFERROR(__xludf.DUMMYFUNCTION("LET(
  monthStart,DATE(VALUE(REGEXEXTRACT(G$1,""\d{4}"")),VALUE(REGEXEXTRACT(G$1,""T(\d+)"")),1),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H66" s="86">
        <f>IFERROR(__xludf.DUMMYFUNCTION("LET(
  monthStart,DATE(VALUE(REGEXEXTRACT(H$1,""\d{4}"")),VALUE(REGEXEXTRACT(H$1,""T(\d+)"")),1),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I66" s="86">
        <f>IFERROR(__xludf.DUMMYFUNCTION("LET(
  monthStart,DATE(VALUE(REGEXEXTRACT(I$1,""\d{4}"")),VALUE(REGEXEXTRACT(I$1,""T(\d+)"")),1),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J66" s="86">
        <f>IFERROR(__xludf.DUMMYFUNCTION("LET(
  monthStart,DATE(VALUE(REGEXEXTRACT(J$1,""\d{4}"")),VALUE(REGEXEXTRACT(J$1,""T(\d+)"")),1),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K66" s="86">
        <f>IFERROR(__xludf.DUMMYFUNCTION("LET(
  monthStart,DATE(VALUE(REGEXEXTRACT(K$1,""\d{4}"")),VALUE(REGEXEXTRACT(K$1,""T(\d+)"")),1),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L66" s="86">
        <f>IFERROR(__xludf.DUMMYFUNCTION("LET(
  monthStart,DATE(VALUE(REGEXEXTRACT(L$1,""\d{4}"")),VALUE(REGEXEXTRACT(L$1,""T(\d+)"")),1),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M66" s="86">
        <f>IFERROR(__xludf.DUMMYFUNCTION("LET(
  monthStart,DATE(VALUE(REGEXEXTRACT(M$1,""\d{4}"")),VALUE(REGEXEXTRACT(M$1,""T(\d+)"")),1),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N66" s="86">
        <f>IFERROR(__xludf.DUMMYFUNCTION("LET(
  monthStart,DATE(VALUE(REGEXEXTRACT(N$1,""\d{4}"")),VALUE(REGEXEXTRACT(N$1,""T(\d+)"")),1),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O66" s="86">
        <f>IFERROR(__xludf.DUMMYFUNCTION("LET(
  monthStart,DATE(VALUE(REGEXEXTRACT(O$1,""\d{4}"")),VALUE(REGEXEXTRACT(O$1,""T(\d+)"")),1),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P66" s="86">
        <f>IFERROR(__xludf.DUMMYFUNCTION("LET(
  monthStart,DATE(VALUE(REGEXEXTRACT(P$1,""\d{4}"")),VALUE(REGEXEXTRACT(P$1,""T(\d+)"")),1),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Q66" s="86">
        <f>IFERROR(__xludf.DUMMYFUNCTION("LET(
  monthStart,DATE(VALUE(REGEXEXTRACT(Q$1,""\d{4}"")),VALUE(REGEXEXTRACT(Q$1,""T(\d+)"")),1),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R66" s="86">
        <f>IFERROR(__xludf.DUMMYFUNCTION("LET(
  monthStart,DATE(VALUE(REGEXEXTRACT(R$1,""\d{4}"")),VALUE(REGEXEXTRACT(R$1,""T(\d+)"")),1),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S66" s="86">
        <f>IFERROR(__xludf.DUMMYFUNCTION("LET(
  monthStart,DATE(VALUE(REGEXEXTRACT(S$1,""\d{4}"")),VALUE(REGEXEXTRACT(S$1,""T(\d+)"")),1),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T66" s="86">
        <f>IFERROR(__xludf.DUMMYFUNCTION("LET(
  monthStart,DATE(VALUE(REGEXEXTRACT(T$1,""\d{4}"")),VALUE(REGEXEXTRACT(T$1,""T(\d+)"")),1),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U66" s="86">
        <f>IFERROR(__xludf.DUMMYFUNCTION("LET(
  monthStart,DATE(VALUE(REGEXEXTRACT(U$1,""\d{4}"")),VALUE(REGEXEXTRACT(U$1,""T(\d+)"")),1),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V66" s="86">
        <f>IFERROR(__xludf.DUMMYFUNCTION("LET(
  monthStart,DATE(VALUE(REGEXEXTRACT(V$1,""\d{4}"")),VALUE(REGEXEXTRACT(V$1,""T(\d+)"")),1),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W66" s="86">
        <f>IFERROR(__xludf.DUMMYFUNCTION("LET(
  monthStart,DATE(VALUE(REGEXEXTRACT(W$1,""\d{4}"")),VALUE(REGEXEXTRACT(W$1,""T(\d+)"")),1),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X66" s="86">
        <f>IFERROR(__xludf.DUMMYFUNCTION("LET(
  monthStart,DATE(VALUE(REGEXEXTRACT(X$1,""\d{4}"")),VALUE(REGEXEXTRACT(X$1,""T(\d+)"")),1),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Y66" s="86">
        <f>IFERROR(__xludf.DUMMYFUNCTION("LET(
  monthStart,DATE(VALUE(REGEXEXTRACT(Y$1,""\d{4}"")),VALUE(REGEXEXTRACT(Y$1,""T(\d+)"")),1),
  monthEnd,EOMONTH(monthStart,0),
  actualStart,MAX($D66,monthStart),
  actualEnd,MIN($E66,monthEnd),
  workingDaysInMonth,NETWORKDAYS(monthStart,monthEnd),
"&amp;"  workingDaysOverlap,IF(actualStart&gt;actualEnd,0,NETWORKDAYS(actualStart,actualEnd)),
  IF(workingDaysOverlap=0,"""",$F66*workingDaysOverlap/workingDaysInMonth)
)"),0.0)</f>
        <v>0</v>
      </c>
      <c r="Z66" s="64"/>
      <c r="AA66" s="64"/>
      <c r="AB66" s="64"/>
      <c r="AC66" s="64"/>
      <c r="AD66" s="64"/>
      <c r="AE66" s="64"/>
      <c r="AF66" s="64"/>
      <c r="AG66" s="64"/>
      <c r="AH66" s="64"/>
      <c r="AI66" s="75"/>
      <c r="AJ66" s="64"/>
      <c r="AK66" s="64"/>
      <c r="AO66" s="64"/>
      <c r="AP66" s="64"/>
      <c r="AQ66" s="64"/>
      <c r="AR66" s="64"/>
      <c r="AS66" s="64"/>
      <c r="AT66" s="64"/>
      <c r="AX66" s="64"/>
      <c r="AY66" s="65"/>
      <c r="AZ66" s="65"/>
      <c r="BA66" s="65"/>
      <c r="BB66" s="90"/>
      <c r="BC66" s="75"/>
      <c r="BD66" s="67"/>
      <c r="BH66" s="64"/>
      <c r="BI66" s="64"/>
      <c r="BJ66" s="64"/>
      <c r="BK66" s="64"/>
      <c r="BL66" s="64"/>
      <c r="BM66" s="64"/>
      <c r="BN66" s="64"/>
    </row>
    <row r="67" ht="30.0" customHeight="1">
      <c r="A67" s="81"/>
      <c r="B67" s="61"/>
      <c r="C67" s="83"/>
      <c r="D67" s="114"/>
      <c r="E67" s="84"/>
      <c r="F67" s="86"/>
      <c r="G67" s="86">
        <f>IFERROR(__xludf.DUMMYFUNCTION("LET(
  monthStart,DATE(VALUE(REGEXEXTRACT(G$1,""\d{4}"")),VALUE(REGEXEXTRACT(G$1,""T(\d+)"")),1),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H67" s="86">
        <f>IFERROR(__xludf.DUMMYFUNCTION("LET(
  monthStart,DATE(VALUE(REGEXEXTRACT(H$1,""\d{4}"")),VALUE(REGEXEXTRACT(H$1,""T(\d+)"")),1),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I67" s="86">
        <f>IFERROR(__xludf.DUMMYFUNCTION("LET(
  monthStart,DATE(VALUE(REGEXEXTRACT(I$1,""\d{4}"")),VALUE(REGEXEXTRACT(I$1,""T(\d+)"")),1),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J67" s="86">
        <f>IFERROR(__xludf.DUMMYFUNCTION("LET(
  monthStart,DATE(VALUE(REGEXEXTRACT(J$1,""\d{4}"")),VALUE(REGEXEXTRACT(J$1,""T(\d+)"")),1),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K67" s="86">
        <f>IFERROR(__xludf.DUMMYFUNCTION("LET(
  monthStart,DATE(VALUE(REGEXEXTRACT(K$1,""\d{4}"")),VALUE(REGEXEXTRACT(K$1,""T(\d+)"")),1),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L67" s="86">
        <f>IFERROR(__xludf.DUMMYFUNCTION("LET(
  monthStart,DATE(VALUE(REGEXEXTRACT(L$1,""\d{4}"")),VALUE(REGEXEXTRACT(L$1,""T(\d+)"")),1),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M67" s="86">
        <f>IFERROR(__xludf.DUMMYFUNCTION("LET(
  monthStart,DATE(VALUE(REGEXEXTRACT(M$1,""\d{4}"")),VALUE(REGEXEXTRACT(M$1,""T(\d+)"")),1),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N67" s="86">
        <f>IFERROR(__xludf.DUMMYFUNCTION("LET(
  monthStart,DATE(VALUE(REGEXEXTRACT(N$1,""\d{4}"")),VALUE(REGEXEXTRACT(N$1,""T(\d+)"")),1),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O67" s="86">
        <f>IFERROR(__xludf.DUMMYFUNCTION("LET(
  monthStart,DATE(VALUE(REGEXEXTRACT(O$1,""\d{4}"")),VALUE(REGEXEXTRACT(O$1,""T(\d+)"")),1),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P67" s="86">
        <f>IFERROR(__xludf.DUMMYFUNCTION("LET(
  monthStart,DATE(VALUE(REGEXEXTRACT(P$1,""\d{4}"")),VALUE(REGEXEXTRACT(P$1,""T(\d+)"")),1),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Q67" s="86">
        <f>IFERROR(__xludf.DUMMYFUNCTION("LET(
  monthStart,DATE(VALUE(REGEXEXTRACT(Q$1,""\d{4}"")),VALUE(REGEXEXTRACT(Q$1,""T(\d+)"")),1),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R67" s="86">
        <f>IFERROR(__xludf.DUMMYFUNCTION("LET(
  monthStart,DATE(VALUE(REGEXEXTRACT(R$1,""\d{4}"")),VALUE(REGEXEXTRACT(R$1,""T(\d+)"")),1),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S67" s="86">
        <f>IFERROR(__xludf.DUMMYFUNCTION("LET(
  monthStart,DATE(VALUE(REGEXEXTRACT(S$1,""\d{4}"")),VALUE(REGEXEXTRACT(S$1,""T(\d+)"")),1),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T67" s="86">
        <f>IFERROR(__xludf.DUMMYFUNCTION("LET(
  monthStart,DATE(VALUE(REGEXEXTRACT(T$1,""\d{4}"")),VALUE(REGEXEXTRACT(T$1,""T(\d+)"")),1),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U67" s="86">
        <f>IFERROR(__xludf.DUMMYFUNCTION("LET(
  monthStart,DATE(VALUE(REGEXEXTRACT(U$1,""\d{4}"")),VALUE(REGEXEXTRACT(U$1,""T(\d+)"")),1),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V67" s="86">
        <f>IFERROR(__xludf.DUMMYFUNCTION("LET(
  monthStart,DATE(VALUE(REGEXEXTRACT(V$1,""\d{4}"")),VALUE(REGEXEXTRACT(V$1,""T(\d+)"")),1),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W67" s="86">
        <f>IFERROR(__xludf.DUMMYFUNCTION("LET(
  monthStart,DATE(VALUE(REGEXEXTRACT(W$1,""\d{4}"")),VALUE(REGEXEXTRACT(W$1,""T(\d+)"")),1),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X67" s="86">
        <f>IFERROR(__xludf.DUMMYFUNCTION("LET(
  monthStart,DATE(VALUE(REGEXEXTRACT(X$1,""\d{4}"")),VALUE(REGEXEXTRACT(X$1,""T(\d+)"")),1),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Y67" s="86">
        <f>IFERROR(__xludf.DUMMYFUNCTION("LET(
  monthStart,DATE(VALUE(REGEXEXTRACT(Y$1,""\d{4}"")),VALUE(REGEXEXTRACT(Y$1,""T(\d+)"")),1),
  monthEnd,EOMONTH(monthStart,0),
  actualStart,MAX($D67,monthStart),
  actualEnd,MIN($E67,monthEnd),
  workingDaysInMonth,NETWORKDAYS(monthStart,monthEnd),
"&amp;"  workingDaysOverlap,IF(actualStart&gt;actualEnd,0,NETWORKDAYS(actualStart,actualEnd)),
  IF(workingDaysOverlap=0,"""",$F67*workingDaysOverlap/workingDaysInMonth)
)"),0.0)</f>
        <v>0</v>
      </c>
      <c r="Z67" s="64"/>
      <c r="AA67" s="64"/>
      <c r="AB67" s="64"/>
      <c r="AC67" s="64"/>
      <c r="AD67" s="64"/>
      <c r="AE67" s="64"/>
      <c r="AF67" s="64"/>
      <c r="AG67" s="64"/>
      <c r="AH67" s="64"/>
      <c r="AI67" s="75"/>
      <c r="AJ67" s="64"/>
      <c r="AK67" s="64"/>
      <c r="AO67" s="64"/>
      <c r="AP67" s="64"/>
      <c r="AQ67" s="64"/>
      <c r="AR67" s="64"/>
      <c r="AS67" s="64"/>
      <c r="AT67" s="64"/>
      <c r="AX67" s="64"/>
      <c r="BD67" s="76"/>
      <c r="BH67" s="64"/>
      <c r="BI67" s="64"/>
      <c r="BJ67" s="64"/>
      <c r="BK67" s="64"/>
      <c r="BL67" s="64"/>
      <c r="BM67" s="64"/>
      <c r="BN67" s="64"/>
    </row>
    <row r="68" ht="30.0" customHeight="1">
      <c r="A68" s="81"/>
      <c r="B68" s="61"/>
      <c r="C68" s="83"/>
      <c r="D68" s="114"/>
      <c r="E68" s="84"/>
      <c r="F68" s="86"/>
      <c r="G68" s="86">
        <f>IFERROR(__xludf.DUMMYFUNCTION("LET(
  monthStart,DATE(VALUE(REGEXEXTRACT(G$1,""\d{4}"")),VALUE(REGEXEXTRACT(G$1,""T(\d+)"")),1),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H68" s="86">
        <f>IFERROR(__xludf.DUMMYFUNCTION("LET(
  monthStart,DATE(VALUE(REGEXEXTRACT(H$1,""\d{4}"")),VALUE(REGEXEXTRACT(H$1,""T(\d+)"")),1),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I68" s="86">
        <f>IFERROR(__xludf.DUMMYFUNCTION("LET(
  monthStart,DATE(VALUE(REGEXEXTRACT(I$1,""\d{4}"")),VALUE(REGEXEXTRACT(I$1,""T(\d+)"")),1),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J68" s="86">
        <f>IFERROR(__xludf.DUMMYFUNCTION("LET(
  monthStart,DATE(VALUE(REGEXEXTRACT(J$1,""\d{4}"")),VALUE(REGEXEXTRACT(J$1,""T(\d+)"")),1),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K68" s="86">
        <f>IFERROR(__xludf.DUMMYFUNCTION("LET(
  monthStart,DATE(VALUE(REGEXEXTRACT(K$1,""\d{4}"")),VALUE(REGEXEXTRACT(K$1,""T(\d+)"")),1),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L68" s="86">
        <f>IFERROR(__xludf.DUMMYFUNCTION("LET(
  monthStart,DATE(VALUE(REGEXEXTRACT(L$1,""\d{4}"")),VALUE(REGEXEXTRACT(L$1,""T(\d+)"")),1),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M68" s="86">
        <f>IFERROR(__xludf.DUMMYFUNCTION("LET(
  monthStart,DATE(VALUE(REGEXEXTRACT(M$1,""\d{4}"")),VALUE(REGEXEXTRACT(M$1,""T(\d+)"")),1),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N68" s="86">
        <f>IFERROR(__xludf.DUMMYFUNCTION("LET(
  monthStart,DATE(VALUE(REGEXEXTRACT(N$1,""\d{4}"")),VALUE(REGEXEXTRACT(N$1,""T(\d+)"")),1),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O68" s="86">
        <f>IFERROR(__xludf.DUMMYFUNCTION("LET(
  monthStart,DATE(VALUE(REGEXEXTRACT(O$1,""\d{4}"")),VALUE(REGEXEXTRACT(O$1,""T(\d+)"")),1),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P68" s="86">
        <f>IFERROR(__xludf.DUMMYFUNCTION("LET(
  monthStart,DATE(VALUE(REGEXEXTRACT(P$1,""\d{4}"")),VALUE(REGEXEXTRACT(P$1,""T(\d+)"")),1),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Q68" s="86">
        <f>IFERROR(__xludf.DUMMYFUNCTION("LET(
  monthStart,DATE(VALUE(REGEXEXTRACT(Q$1,""\d{4}"")),VALUE(REGEXEXTRACT(Q$1,""T(\d+)"")),1),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R68" s="86">
        <f>IFERROR(__xludf.DUMMYFUNCTION("LET(
  monthStart,DATE(VALUE(REGEXEXTRACT(R$1,""\d{4}"")),VALUE(REGEXEXTRACT(R$1,""T(\d+)"")),1),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S68" s="86">
        <f>IFERROR(__xludf.DUMMYFUNCTION("LET(
  monthStart,DATE(VALUE(REGEXEXTRACT(S$1,""\d{4}"")),VALUE(REGEXEXTRACT(S$1,""T(\d+)"")),1),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T68" s="86">
        <f>IFERROR(__xludf.DUMMYFUNCTION("LET(
  monthStart,DATE(VALUE(REGEXEXTRACT(T$1,""\d{4}"")),VALUE(REGEXEXTRACT(T$1,""T(\d+)"")),1),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U68" s="86">
        <f>IFERROR(__xludf.DUMMYFUNCTION("LET(
  monthStart,DATE(VALUE(REGEXEXTRACT(U$1,""\d{4}"")),VALUE(REGEXEXTRACT(U$1,""T(\d+)"")),1),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V68" s="86">
        <f>IFERROR(__xludf.DUMMYFUNCTION("LET(
  monthStart,DATE(VALUE(REGEXEXTRACT(V$1,""\d{4}"")),VALUE(REGEXEXTRACT(V$1,""T(\d+)"")),1),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W68" s="86">
        <f>IFERROR(__xludf.DUMMYFUNCTION("LET(
  monthStart,DATE(VALUE(REGEXEXTRACT(W$1,""\d{4}"")),VALUE(REGEXEXTRACT(W$1,""T(\d+)"")),1),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X68" s="86">
        <f>IFERROR(__xludf.DUMMYFUNCTION("LET(
  monthStart,DATE(VALUE(REGEXEXTRACT(X$1,""\d{4}"")),VALUE(REGEXEXTRACT(X$1,""T(\d+)"")),1),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Y68" s="86">
        <f>IFERROR(__xludf.DUMMYFUNCTION("LET(
  monthStart,DATE(VALUE(REGEXEXTRACT(Y$1,""\d{4}"")),VALUE(REGEXEXTRACT(Y$1,""T(\d+)"")),1),
  monthEnd,EOMONTH(monthStart,0),
  actualStart,MAX($D68,monthStart),
  actualEnd,MIN($E68,monthEnd),
  workingDaysInMonth,NETWORKDAYS(monthStart,monthEnd),
"&amp;"  workingDaysOverlap,IF(actualStart&gt;actualEnd,0,NETWORKDAYS(actualStart,actualEnd)),
  IF(workingDaysOverlap=0,"""",$F68*workingDaysOverlap/workingDaysInMonth)
)"),0.0)</f>
        <v>0</v>
      </c>
      <c r="Z68" s="64"/>
      <c r="AA68" s="64"/>
      <c r="AB68" s="64"/>
      <c r="AC68" s="64"/>
      <c r="AD68" s="64"/>
      <c r="AE68" s="64"/>
      <c r="AF68" s="64"/>
      <c r="AG68" s="64"/>
      <c r="AH68" s="64"/>
      <c r="AI68" s="75"/>
      <c r="AJ68" s="64"/>
      <c r="AK68" s="64"/>
      <c r="AO68" s="64"/>
      <c r="AP68" s="64"/>
      <c r="AQ68" s="64"/>
      <c r="AR68" s="64"/>
      <c r="AS68" s="64"/>
      <c r="AT68" s="64"/>
      <c r="AX68" s="64"/>
      <c r="AY68" s="64"/>
      <c r="AZ68" s="64"/>
      <c r="BA68" s="67"/>
      <c r="BB68" s="67"/>
      <c r="BC68" s="67"/>
      <c r="BD68" s="66"/>
      <c r="BH68" s="64"/>
      <c r="BI68" s="64"/>
      <c r="BJ68" s="64"/>
      <c r="BK68" s="64"/>
      <c r="BL68" s="64"/>
      <c r="BM68" s="64"/>
      <c r="BN68" s="64"/>
    </row>
    <row r="69" ht="30.0" customHeight="1">
      <c r="A69" s="81"/>
      <c r="B69" s="61"/>
      <c r="C69" s="83"/>
      <c r="D69" s="114"/>
      <c r="E69" s="84"/>
      <c r="F69" s="86"/>
      <c r="G69" s="86">
        <f>IFERROR(__xludf.DUMMYFUNCTION("LET(
  monthStart,DATE(VALUE(REGEXEXTRACT(G$1,""\d{4}"")),VALUE(REGEXEXTRACT(G$1,""T(\d+)"")),1),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H69" s="86">
        <f>IFERROR(__xludf.DUMMYFUNCTION("LET(
  monthStart,DATE(VALUE(REGEXEXTRACT(H$1,""\d{4}"")),VALUE(REGEXEXTRACT(H$1,""T(\d+)"")),1),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I69" s="86">
        <f>IFERROR(__xludf.DUMMYFUNCTION("LET(
  monthStart,DATE(VALUE(REGEXEXTRACT(I$1,""\d{4}"")),VALUE(REGEXEXTRACT(I$1,""T(\d+)"")),1),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J69" s="86">
        <f>IFERROR(__xludf.DUMMYFUNCTION("LET(
  monthStart,DATE(VALUE(REGEXEXTRACT(J$1,""\d{4}"")),VALUE(REGEXEXTRACT(J$1,""T(\d+)"")),1),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K69" s="86">
        <f>IFERROR(__xludf.DUMMYFUNCTION("LET(
  monthStart,DATE(VALUE(REGEXEXTRACT(K$1,""\d{4}"")),VALUE(REGEXEXTRACT(K$1,""T(\d+)"")),1),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L69" s="86">
        <f>IFERROR(__xludf.DUMMYFUNCTION("LET(
  monthStart,DATE(VALUE(REGEXEXTRACT(L$1,""\d{4}"")),VALUE(REGEXEXTRACT(L$1,""T(\d+)"")),1),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M69" s="86">
        <f>IFERROR(__xludf.DUMMYFUNCTION("LET(
  monthStart,DATE(VALUE(REGEXEXTRACT(M$1,""\d{4}"")),VALUE(REGEXEXTRACT(M$1,""T(\d+)"")),1),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N69" s="86">
        <f>IFERROR(__xludf.DUMMYFUNCTION("LET(
  monthStart,DATE(VALUE(REGEXEXTRACT(N$1,""\d{4}"")),VALUE(REGEXEXTRACT(N$1,""T(\d+)"")),1),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O69" s="86">
        <f>IFERROR(__xludf.DUMMYFUNCTION("LET(
  monthStart,DATE(VALUE(REGEXEXTRACT(O$1,""\d{4}"")),VALUE(REGEXEXTRACT(O$1,""T(\d+)"")),1),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P69" s="86">
        <f>IFERROR(__xludf.DUMMYFUNCTION("LET(
  monthStart,DATE(VALUE(REGEXEXTRACT(P$1,""\d{4}"")),VALUE(REGEXEXTRACT(P$1,""T(\d+)"")),1),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Q69" s="86">
        <f>IFERROR(__xludf.DUMMYFUNCTION("LET(
  monthStart,DATE(VALUE(REGEXEXTRACT(Q$1,""\d{4}"")),VALUE(REGEXEXTRACT(Q$1,""T(\d+)"")),1),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R69" s="86">
        <f>IFERROR(__xludf.DUMMYFUNCTION("LET(
  monthStart,DATE(VALUE(REGEXEXTRACT(R$1,""\d{4}"")),VALUE(REGEXEXTRACT(R$1,""T(\d+)"")),1),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S69" s="86">
        <f>IFERROR(__xludf.DUMMYFUNCTION("LET(
  monthStart,DATE(VALUE(REGEXEXTRACT(S$1,""\d{4}"")),VALUE(REGEXEXTRACT(S$1,""T(\d+)"")),1),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T69" s="86">
        <f>IFERROR(__xludf.DUMMYFUNCTION("LET(
  monthStart,DATE(VALUE(REGEXEXTRACT(T$1,""\d{4}"")),VALUE(REGEXEXTRACT(T$1,""T(\d+)"")),1),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U69" s="86">
        <f>IFERROR(__xludf.DUMMYFUNCTION("LET(
  monthStart,DATE(VALUE(REGEXEXTRACT(U$1,""\d{4}"")),VALUE(REGEXEXTRACT(U$1,""T(\d+)"")),1),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V69" s="86">
        <f>IFERROR(__xludf.DUMMYFUNCTION("LET(
  monthStart,DATE(VALUE(REGEXEXTRACT(V$1,""\d{4}"")),VALUE(REGEXEXTRACT(V$1,""T(\d+)"")),1),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W69" s="86">
        <f>IFERROR(__xludf.DUMMYFUNCTION("LET(
  monthStart,DATE(VALUE(REGEXEXTRACT(W$1,""\d{4}"")),VALUE(REGEXEXTRACT(W$1,""T(\d+)"")),1),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X69" s="86">
        <f>IFERROR(__xludf.DUMMYFUNCTION("LET(
  monthStart,DATE(VALUE(REGEXEXTRACT(X$1,""\d{4}"")),VALUE(REGEXEXTRACT(X$1,""T(\d+)"")),1),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Y69" s="86">
        <f>IFERROR(__xludf.DUMMYFUNCTION("LET(
  monthStart,DATE(VALUE(REGEXEXTRACT(Y$1,""\d{4}"")),VALUE(REGEXEXTRACT(Y$1,""T(\d+)"")),1),
  monthEnd,EOMONTH(monthStart,0),
  actualStart,MAX($D69,monthStart),
  actualEnd,MIN($E69,monthEnd),
  workingDaysInMonth,NETWORKDAYS(monthStart,monthEnd),
"&amp;"  workingDaysOverlap,IF(actualStart&gt;actualEnd,0,NETWORKDAYS(actualStart,actualEnd)),
  IF(workingDaysOverlap=0,"""",$F69*workingDaysOverlap/workingDaysInMonth)
)"),0.0)</f>
        <v>0</v>
      </c>
      <c r="Z69" s="64"/>
      <c r="AA69" s="64"/>
      <c r="AB69" s="64"/>
      <c r="AC69" s="64"/>
      <c r="AD69" s="64"/>
      <c r="AE69" s="64"/>
      <c r="AF69" s="64"/>
      <c r="AG69" s="64"/>
      <c r="AH69" s="64"/>
      <c r="AI69" s="75"/>
      <c r="AJ69" s="64"/>
      <c r="AK69" s="64"/>
      <c r="AO69" s="64"/>
      <c r="AP69" s="64"/>
      <c r="AQ69" s="64"/>
      <c r="AR69" s="64"/>
      <c r="AS69" s="64"/>
      <c r="AT69" s="64"/>
      <c r="AX69" s="64"/>
      <c r="AY69" s="77"/>
      <c r="AZ69" s="78"/>
      <c r="BA69" s="87"/>
      <c r="BB69" s="72"/>
      <c r="BC69" s="72"/>
      <c r="BD69" s="67"/>
      <c r="BH69" s="64"/>
      <c r="BI69" s="64"/>
      <c r="BJ69" s="64"/>
      <c r="BK69" s="64"/>
      <c r="BL69" s="64"/>
      <c r="BM69" s="64"/>
      <c r="BN69" s="64"/>
    </row>
    <row r="70" ht="30.0" customHeight="1">
      <c r="A70" s="81"/>
      <c r="B70" s="61"/>
      <c r="C70" s="83"/>
      <c r="D70" s="114"/>
      <c r="E70" s="84"/>
      <c r="F70" s="86"/>
      <c r="G70" s="86">
        <f>IFERROR(__xludf.DUMMYFUNCTION("LET(
  monthStart,DATE(VALUE(REGEXEXTRACT(G$1,""\d{4}"")),VALUE(REGEXEXTRACT(G$1,""T(\d+)"")),1),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H70" s="86">
        <f>IFERROR(__xludf.DUMMYFUNCTION("LET(
  monthStart,DATE(VALUE(REGEXEXTRACT(H$1,""\d{4}"")),VALUE(REGEXEXTRACT(H$1,""T(\d+)"")),1),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I70" s="86">
        <f>IFERROR(__xludf.DUMMYFUNCTION("LET(
  monthStart,DATE(VALUE(REGEXEXTRACT(I$1,""\d{4}"")),VALUE(REGEXEXTRACT(I$1,""T(\d+)"")),1),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J70" s="86">
        <f>IFERROR(__xludf.DUMMYFUNCTION("LET(
  monthStart,DATE(VALUE(REGEXEXTRACT(J$1,""\d{4}"")),VALUE(REGEXEXTRACT(J$1,""T(\d+)"")),1),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K70" s="86">
        <f>IFERROR(__xludf.DUMMYFUNCTION("LET(
  monthStart,DATE(VALUE(REGEXEXTRACT(K$1,""\d{4}"")),VALUE(REGEXEXTRACT(K$1,""T(\d+)"")),1),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L70" s="86">
        <f>IFERROR(__xludf.DUMMYFUNCTION("LET(
  monthStart,DATE(VALUE(REGEXEXTRACT(L$1,""\d{4}"")),VALUE(REGEXEXTRACT(L$1,""T(\d+)"")),1),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M70" s="86">
        <f>IFERROR(__xludf.DUMMYFUNCTION("LET(
  monthStart,DATE(VALUE(REGEXEXTRACT(M$1,""\d{4}"")),VALUE(REGEXEXTRACT(M$1,""T(\d+)"")),1),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N70" s="86">
        <f>IFERROR(__xludf.DUMMYFUNCTION("LET(
  monthStart,DATE(VALUE(REGEXEXTRACT(N$1,""\d{4}"")),VALUE(REGEXEXTRACT(N$1,""T(\d+)"")),1),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O70" s="86">
        <f>IFERROR(__xludf.DUMMYFUNCTION("LET(
  monthStart,DATE(VALUE(REGEXEXTRACT(O$1,""\d{4}"")),VALUE(REGEXEXTRACT(O$1,""T(\d+)"")),1),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P70" s="86">
        <f>IFERROR(__xludf.DUMMYFUNCTION("LET(
  monthStart,DATE(VALUE(REGEXEXTRACT(P$1,""\d{4}"")),VALUE(REGEXEXTRACT(P$1,""T(\d+)"")),1),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Q70" s="86">
        <f>IFERROR(__xludf.DUMMYFUNCTION("LET(
  monthStart,DATE(VALUE(REGEXEXTRACT(Q$1,""\d{4}"")),VALUE(REGEXEXTRACT(Q$1,""T(\d+)"")),1),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R70" s="86">
        <f>IFERROR(__xludf.DUMMYFUNCTION("LET(
  monthStart,DATE(VALUE(REGEXEXTRACT(R$1,""\d{4}"")),VALUE(REGEXEXTRACT(R$1,""T(\d+)"")),1),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S70" s="86">
        <f>IFERROR(__xludf.DUMMYFUNCTION("LET(
  monthStart,DATE(VALUE(REGEXEXTRACT(S$1,""\d{4}"")),VALUE(REGEXEXTRACT(S$1,""T(\d+)"")),1),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T70" s="86">
        <f>IFERROR(__xludf.DUMMYFUNCTION("LET(
  monthStart,DATE(VALUE(REGEXEXTRACT(T$1,""\d{4}"")),VALUE(REGEXEXTRACT(T$1,""T(\d+)"")),1),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U70" s="86">
        <f>IFERROR(__xludf.DUMMYFUNCTION("LET(
  monthStart,DATE(VALUE(REGEXEXTRACT(U$1,""\d{4}"")),VALUE(REGEXEXTRACT(U$1,""T(\d+)"")),1),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V70" s="86">
        <f>IFERROR(__xludf.DUMMYFUNCTION("LET(
  monthStart,DATE(VALUE(REGEXEXTRACT(V$1,""\d{4}"")),VALUE(REGEXEXTRACT(V$1,""T(\d+)"")),1),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W70" s="86">
        <f>IFERROR(__xludf.DUMMYFUNCTION("LET(
  monthStart,DATE(VALUE(REGEXEXTRACT(W$1,""\d{4}"")),VALUE(REGEXEXTRACT(W$1,""T(\d+)"")),1),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X70" s="86">
        <f>IFERROR(__xludf.DUMMYFUNCTION("LET(
  monthStart,DATE(VALUE(REGEXEXTRACT(X$1,""\d{4}"")),VALUE(REGEXEXTRACT(X$1,""T(\d+)"")),1),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Y70" s="86">
        <f>IFERROR(__xludf.DUMMYFUNCTION("LET(
  monthStart,DATE(VALUE(REGEXEXTRACT(Y$1,""\d{4}"")),VALUE(REGEXEXTRACT(Y$1,""T(\d+)"")),1),
  monthEnd,EOMONTH(monthStart,0),
  actualStart,MAX($D70,monthStart),
  actualEnd,MIN($E70,monthEnd),
  workingDaysInMonth,NETWORKDAYS(monthStart,monthEnd),
"&amp;"  workingDaysOverlap,IF(actualStart&gt;actualEnd,0,NETWORKDAYS(actualStart,actualEnd)),
  IF(workingDaysOverlap=0,"""",$F70*workingDaysOverlap/workingDaysInMonth)
)"),0.0)</f>
        <v>0</v>
      </c>
      <c r="Z70" s="64"/>
      <c r="AA70" s="64"/>
      <c r="AB70" s="64"/>
      <c r="AC70" s="64"/>
      <c r="AD70" s="64"/>
      <c r="AE70" s="64"/>
      <c r="AF70" s="64"/>
      <c r="AG70" s="64"/>
      <c r="AH70" s="64"/>
      <c r="AI70" s="75"/>
      <c r="AJ70" s="64"/>
      <c r="AK70" s="64"/>
      <c r="AO70" s="64"/>
      <c r="AP70" s="64"/>
      <c r="AQ70" s="64"/>
      <c r="AR70" s="64"/>
      <c r="AS70" s="64"/>
      <c r="AT70" s="64"/>
      <c r="AX70" s="64"/>
      <c r="AY70" s="77"/>
      <c r="AZ70" s="77"/>
      <c r="BA70" s="87"/>
      <c r="BB70" s="72"/>
      <c r="BC70" s="72"/>
      <c r="BD70" s="67"/>
      <c r="BH70" s="64"/>
      <c r="BI70" s="64"/>
      <c r="BJ70" s="64"/>
      <c r="BK70" s="64"/>
      <c r="BL70" s="64"/>
      <c r="BM70" s="64"/>
      <c r="BN70" s="64"/>
    </row>
    <row r="71" ht="30.0" customHeight="1">
      <c r="A71" s="81"/>
      <c r="B71" s="61"/>
      <c r="C71" s="83"/>
      <c r="D71" s="115"/>
      <c r="E71" s="84"/>
      <c r="F71" s="86"/>
      <c r="G71" s="86">
        <f>IFERROR(__xludf.DUMMYFUNCTION("LET(
  monthStart,DATE(VALUE(REGEXEXTRACT(G$1,""\d{4}"")),VALUE(REGEXEXTRACT(G$1,""T(\d+)"")),1),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H71" s="86">
        <f>IFERROR(__xludf.DUMMYFUNCTION("LET(
  monthStart,DATE(VALUE(REGEXEXTRACT(H$1,""\d{4}"")),VALUE(REGEXEXTRACT(H$1,""T(\d+)"")),1),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I71" s="86">
        <f>IFERROR(__xludf.DUMMYFUNCTION("LET(
  monthStart,DATE(VALUE(REGEXEXTRACT(I$1,""\d{4}"")),VALUE(REGEXEXTRACT(I$1,""T(\d+)"")),1),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J71" s="86">
        <f>IFERROR(__xludf.DUMMYFUNCTION("LET(
  monthStart,DATE(VALUE(REGEXEXTRACT(J$1,""\d{4}"")),VALUE(REGEXEXTRACT(J$1,""T(\d+)"")),1),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K71" s="86">
        <f>IFERROR(__xludf.DUMMYFUNCTION("LET(
  monthStart,DATE(VALUE(REGEXEXTRACT(K$1,""\d{4}"")),VALUE(REGEXEXTRACT(K$1,""T(\d+)"")),1),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L71" s="86">
        <f>IFERROR(__xludf.DUMMYFUNCTION("LET(
  monthStart,DATE(VALUE(REGEXEXTRACT(L$1,""\d{4}"")),VALUE(REGEXEXTRACT(L$1,""T(\d+)"")),1),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M71" s="86">
        <f>IFERROR(__xludf.DUMMYFUNCTION("LET(
  monthStart,DATE(VALUE(REGEXEXTRACT(M$1,""\d{4}"")),VALUE(REGEXEXTRACT(M$1,""T(\d+)"")),1),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N71" s="86">
        <f>IFERROR(__xludf.DUMMYFUNCTION("LET(
  monthStart,DATE(VALUE(REGEXEXTRACT(N$1,""\d{4}"")),VALUE(REGEXEXTRACT(N$1,""T(\d+)"")),1),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O71" s="86">
        <f>IFERROR(__xludf.DUMMYFUNCTION("LET(
  monthStart,DATE(VALUE(REGEXEXTRACT(O$1,""\d{4}"")),VALUE(REGEXEXTRACT(O$1,""T(\d+)"")),1),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P71" s="86">
        <f>IFERROR(__xludf.DUMMYFUNCTION("LET(
  monthStart,DATE(VALUE(REGEXEXTRACT(P$1,""\d{4}"")),VALUE(REGEXEXTRACT(P$1,""T(\d+)"")),1),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Q71" s="86">
        <f>IFERROR(__xludf.DUMMYFUNCTION("LET(
  monthStart,DATE(VALUE(REGEXEXTRACT(Q$1,""\d{4}"")),VALUE(REGEXEXTRACT(Q$1,""T(\d+)"")),1),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R71" s="86">
        <f>IFERROR(__xludf.DUMMYFUNCTION("LET(
  monthStart,DATE(VALUE(REGEXEXTRACT(R$1,""\d{4}"")),VALUE(REGEXEXTRACT(R$1,""T(\d+)"")),1),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S71" s="86">
        <f>IFERROR(__xludf.DUMMYFUNCTION("LET(
  monthStart,DATE(VALUE(REGEXEXTRACT(S$1,""\d{4}"")),VALUE(REGEXEXTRACT(S$1,""T(\d+)"")),1),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T71" s="86">
        <f>IFERROR(__xludf.DUMMYFUNCTION("LET(
  monthStart,DATE(VALUE(REGEXEXTRACT(T$1,""\d{4}"")),VALUE(REGEXEXTRACT(T$1,""T(\d+)"")),1),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U71" s="86">
        <f>IFERROR(__xludf.DUMMYFUNCTION("LET(
  monthStart,DATE(VALUE(REGEXEXTRACT(U$1,""\d{4}"")),VALUE(REGEXEXTRACT(U$1,""T(\d+)"")),1),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V71" s="86">
        <f>IFERROR(__xludf.DUMMYFUNCTION("LET(
  monthStart,DATE(VALUE(REGEXEXTRACT(V$1,""\d{4}"")),VALUE(REGEXEXTRACT(V$1,""T(\d+)"")),1),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W71" s="86">
        <f>IFERROR(__xludf.DUMMYFUNCTION("LET(
  monthStart,DATE(VALUE(REGEXEXTRACT(W$1,""\d{4}"")),VALUE(REGEXEXTRACT(W$1,""T(\d+)"")),1),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X71" s="86">
        <f>IFERROR(__xludf.DUMMYFUNCTION("LET(
  monthStart,DATE(VALUE(REGEXEXTRACT(X$1,""\d{4}"")),VALUE(REGEXEXTRACT(X$1,""T(\d+)"")),1),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Y71" s="86">
        <f>IFERROR(__xludf.DUMMYFUNCTION("LET(
  monthStart,DATE(VALUE(REGEXEXTRACT(Y$1,""\d{4}"")),VALUE(REGEXEXTRACT(Y$1,""T(\d+)"")),1),
  monthEnd,EOMONTH(monthStart,0),
  actualStart,MAX($D71,monthStart),
  actualEnd,MIN($E71,monthEnd),
  workingDaysInMonth,NETWORKDAYS(monthStart,monthEnd),
"&amp;"  workingDaysOverlap,IF(actualStart&gt;actualEnd,0,NETWORKDAYS(actualStart,actualEnd)),
  IF(workingDaysOverlap=0,"""",$F71*workingDaysOverlap/workingDaysInMonth)
)"),0.0)</f>
        <v>0</v>
      </c>
      <c r="Z71" s="64"/>
      <c r="AA71" s="64"/>
      <c r="AB71" s="64"/>
      <c r="AC71" s="64"/>
      <c r="AD71" s="64"/>
      <c r="AE71" s="64"/>
      <c r="AF71" s="64"/>
      <c r="AG71" s="64"/>
      <c r="AH71" s="64"/>
      <c r="AI71" s="64"/>
      <c r="AJ71" s="64"/>
      <c r="AK71" s="64"/>
      <c r="AO71" s="64"/>
      <c r="AP71" s="64"/>
      <c r="AQ71" s="64"/>
      <c r="AR71" s="64"/>
      <c r="AS71" s="64"/>
      <c r="AT71" s="64"/>
      <c r="AX71" s="64"/>
      <c r="AY71" s="77"/>
      <c r="AZ71" s="78"/>
      <c r="BA71" s="77"/>
      <c r="BB71" s="74"/>
      <c r="BC71" s="74"/>
      <c r="BD71" s="67"/>
      <c r="BH71" s="64"/>
      <c r="BI71" s="64"/>
      <c r="BJ71" s="64"/>
      <c r="BK71" s="64"/>
      <c r="BL71" s="64"/>
      <c r="BM71" s="64"/>
      <c r="BN71" s="64"/>
    </row>
    <row r="72" ht="30.0" customHeight="1">
      <c r="A72" s="81"/>
      <c r="B72" s="61"/>
      <c r="C72" s="83"/>
      <c r="D72" s="115"/>
      <c r="E72" s="84"/>
      <c r="F72" s="86"/>
      <c r="G72" s="86">
        <f>IFERROR(__xludf.DUMMYFUNCTION("LET(
  monthStart,DATE(VALUE(REGEXEXTRACT(G$1,""\d{4}"")),VALUE(REGEXEXTRACT(G$1,""T(\d+)"")),1),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H72" s="86">
        <f>IFERROR(__xludf.DUMMYFUNCTION("LET(
  monthStart,DATE(VALUE(REGEXEXTRACT(H$1,""\d{4}"")),VALUE(REGEXEXTRACT(H$1,""T(\d+)"")),1),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I72" s="86">
        <f>IFERROR(__xludf.DUMMYFUNCTION("LET(
  monthStart,DATE(VALUE(REGEXEXTRACT(I$1,""\d{4}"")),VALUE(REGEXEXTRACT(I$1,""T(\d+)"")),1),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J72" s="86">
        <f>IFERROR(__xludf.DUMMYFUNCTION("LET(
  monthStart,DATE(VALUE(REGEXEXTRACT(J$1,""\d{4}"")),VALUE(REGEXEXTRACT(J$1,""T(\d+)"")),1),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K72" s="86">
        <f>IFERROR(__xludf.DUMMYFUNCTION("LET(
  monthStart,DATE(VALUE(REGEXEXTRACT(K$1,""\d{4}"")),VALUE(REGEXEXTRACT(K$1,""T(\d+)"")),1),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L72" s="86">
        <f>IFERROR(__xludf.DUMMYFUNCTION("LET(
  monthStart,DATE(VALUE(REGEXEXTRACT(L$1,""\d{4}"")),VALUE(REGEXEXTRACT(L$1,""T(\d+)"")),1),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M72" s="86">
        <f>IFERROR(__xludf.DUMMYFUNCTION("LET(
  monthStart,DATE(VALUE(REGEXEXTRACT(M$1,""\d{4}"")),VALUE(REGEXEXTRACT(M$1,""T(\d+)"")),1),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N72" s="86">
        <f>IFERROR(__xludf.DUMMYFUNCTION("LET(
  monthStart,DATE(VALUE(REGEXEXTRACT(N$1,""\d{4}"")),VALUE(REGEXEXTRACT(N$1,""T(\d+)"")),1),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O72" s="86">
        <f>IFERROR(__xludf.DUMMYFUNCTION("LET(
  monthStart,DATE(VALUE(REGEXEXTRACT(O$1,""\d{4}"")),VALUE(REGEXEXTRACT(O$1,""T(\d+)"")),1),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P72" s="86">
        <f>IFERROR(__xludf.DUMMYFUNCTION("LET(
  monthStart,DATE(VALUE(REGEXEXTRACT(P$1,""\d{4}"")),VALUE(REGEXEXTRACT(P$1,""T(\d+)"")),1),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Q72" s="86">
        <f>IFERROR(__xludf.DUMMYFUNCTION("LET(
  monthStart,DATE(VALUE(REGEXEXTRACT(Q$1,""\d{4}"")),VALUE(REGEXEXTRACT(Q$1,""T(\d+)"")),1),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R72" s="86">
        <f>IFERROR(__xludf.DUMMYFUNCTION("LET(
  monthStart,DATE(VALUE(REGEXEXTRACT(R$1,""\d{4}"")),VALUE(REGEXEXTRACT(R$1,""T(\d+)"")),1),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S72" s="86">
        <f>IFERROR(__xludf.DUMMYFUNCTION("LET(
  monthStart,DATE(VALUE(REGEXEXTRACT(S$1,""\d{4}"")),VALUE(REGEXEXTRACT(S$1,""T(\d+)"")),1),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T72" s="86">
        <f>IFERROR(__xludf.DUMMYFUNCTION("LET(
  monthStart,DATE(VALUE(REGEXEXTRACT(T$1,""\d{4}"")),VALUE(REGEXEXTRACT(T$1,""T(\d+)"")),1),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U72" s="86">
        <f>IFERROR(__xludf.DUMMYFUNCTION("LET(
  monthStart,DATE(VALUE(REGEXEXTRACT(U$1,""\d{4}"")),VALUE(REGEXEXTRACT(U$1,""T(\d+)"")),1),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V72" s="86">
        <f>IFERROR(__xludf.DUMMYFUNCTION("LET(
  monthStart,DATE(VALUE(REGEXEXTRACT(V$1,""\d{4}"")),VALUE(REGEXEXTRACT(V$1,""T(\d+)"")),1),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W72" s="86">
        <f>IFERROR(__xludf.DUMMYFUNCTION("LET(
  monthStart,DATE(VALUE(REGEXEXTRACT(W$1,""\d{4}"")),VALUE(REGEXEXTRACT(W$1,""T(\d+)"")),1),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X72" s="86">
        <f>IFERROR(__xludf.DUMMYFUNCTION("LET(
  monthStart,DATE(VALUE(REGEXEXTRACT(X$1,""\d{4}"")),VALUE(REGEXEXTRACT(X$1,""T(\d+)"")),1),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Y72" s="86">
        <f>IFERROR(__xludf.DUMMYFUNCTION("LET(
  monthStart,DATE(VALUE(REGEXEXTRACT(Y$1,""\d{4}"")),VALUE(REGEXEXTRACT(Y$1,""T(\d+)"")),1),
  monthEnd,EOMONTH(monthStart,0),
  actualStart,MAX($D72,monthStart),
  actualEnd,MIN($E72,monthEnd),
  workingDaysInMonth,NETWORKDAYS(monthStart,monthEnd),
"&amp;"  workingDaysOverlap,IF(actualStart&gt;actualEnd,0,NETWORKDAYS(actualStart,actualEnd)),
  IF(workingDaysOverlap=0,"""",$F72*workingDaysOverlap/workingDaysInMonth)
)"),0.0)</f>
        <v>0</v>
      </c>
      <c r="Z72" s="64"/>
      <c r="AA72" s="64"/>
      <c r="AB72" s="64"/>
      <c r="AC72" s="64"/>
      <c r="AD72" s="64"/>
      <c r="AE72" s="64"/>
      <c r="AF72" s="64"/>
      <c r="AG72" s="64"/>
      <c r="AH72" s="64"/>
      <c r="AI72" s="75"/>
      <c r="AJ72" s="64"/>
      <c r="AK72" s="64"/>
      <c r="AO72" s="64"/>
      <c r="AP72" s="64"/>
      <c r="AQ72" s="64"/>
      <c r="AR72" s="64"/>
      <c r="AS72" s="64"/>
      <c r="AT72" s="64"/>
      <c r="AX72" s="64"/>
      <c r="AY72" s="77"/>
      <c r="AZ72" s="77"/>
      <c r="BA72" s="87"/>
      <c r="BB72" s="72"/>
      <c r="BC72" s="72"/>
      <c r="BD72" s="67"/>
      <c r="BH72" s="64"/>
      <c r="BI72" s="64"/>
      <c r="BJ72" s="64"/>
      <c r="BK72" s="64"/>
      <c r="BL72" s="64"/>
      <c r="BM72" s="64"/>
      <c r="BN72" s="64"/>
    </row>
    <row r="73" ht="30.0" customHeight="1">
      <c r="A73" s="81"/>
      <c r="B73" s="61"/>
      <c r="C73" s="83"/>
      <c r="D73" s="116"/>
      <c r="E73" s="84"/>
      <c r="F73" s="86"/>
      <c r="G73" s="86">
        <f>IFERROR(__xludf.DUMMYFUNCTION("LET(
  monthStart,DATE(VALUE(REGEXEXTRACT(G$1,""\d{4}"")),VALUE(REGEXEXTRACT(G$1,""T(\d+)"")),1),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H73" s="86">
        <f>IFERROR(__xludf.DUMMYFUNCTION("LET(
  monthStart,DATE(VALUE(REGEXEXTRACT(H$1,""\d{4}"")),VALUE(REGEXEXTRACT(H$1,""T(\d+)"")),1),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I73" s="86">
        <f>IFERROR(__xludf.DUMMYFUNCTION("LET(
  monthStart,DATE(VALUE(REGEXEXTRACT(I$1,""\d{4}"")),VALUE(REGEXEXTRACT(I$1,""T(\d+)"")),1),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J73" s="86">
        <f>IFERROR(__xludf.DUMMYFUNCTION("LET(
  monthStart,DATE(VALUE(REGEXEXTRACT(J$1,""\d{4}"")),VALUE(REGEXEXTRACT(J$1,""T(\d+)"")),1),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K73" s="86">
        <f>IFERROR(__xludf.DUMMYFUNCTION("LET(
  monthStart,DATE(VALUE(REGEXEXTRACT(K$1,""\d{4}"")),VALUE(REGEXEXTRACT(K$1,""T(\d+)"")),1),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L73" s="86">
        <f>IFERROR(__xludf.DUMMYFUNCTION("LET(
  monthStart,DATE(VALUE(REGEXEXTRACT(L$1,""\d{4}"")),VALUE(REGEXEXTRACT(L$1,""T(\d+)"")),1),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M73" s="86">
        <f>IFERROR(__xludf.DUMMYFUNCTION("LET(
  monthStart,DATE(VALUE(REGEXEXTRACT(M$1,""\d{4}"")),VALUE(REGEXEXTRACT(M$1,""T(\d+)"")),1),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N73" s="86">
        <f>IFERROR(__xludf.DUMMYFUNCTION("LET(
  monthStart,DATE(VALUE(REGEXEXTRACT(N$1,""\d{4}"")),VALUE(REGEXEXTRACT(N$1,""T(\d+)"")),1),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O73" s="86">
        <f>IFERROR(__xludf.DUMMYFUNCTION("LET(
  monthStart,DATE(VALUE(REGEXEXTRACT(O$1,""\d{4}"")),VALUE(REGEXEXTRACT(O$1,""T(\d+)"")),1),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P73" s="86">
        <f>IFERROR(__xludf.DUMMYFUNCTION("LET(
  monthStart,DATE(VALUE(REGEXEXTRACT(P$1,""\d{4}"")),VALUE(REGEXEXTRACT(P$1,""T(\d+)"")),1),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Q73" s="86">
        <f>IFERROR(__xludf.DUMMYFUNCTION("LET(
  monthStart,DATE(VALUE(REGEXEXTRACT(Q$1,""\d{4}"")),VALUE(REGEXEXTRACT(Q$1,""T(\d+)"")),1),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R73" s="86">
        <f>IFERROR(__xludf.DUMMYFUNCTION("LET(
  monthStart,DATE(VALUE(REGEXEXTRACT(R$1,""\d{4}"")),VALUE(REGEXEXTRACT(R$1,""T(\d+)"")),1),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S73" s="86">
        <f>IFERROR(__xludf.DUMMYFUNCTION("LET(
  monthStart,DATE(VALUE(REGEXEXTRACT(S$1,""\d{4}"")),VALUE(REGEXEXTRACT(S$1,""T(\d+)"")),1),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T73" s="86">
        <f>IFERROR(__xludf.DUMMYFUNCTION("LET(
  monthStart,DATE(VALUE(REGEXEXTRACT(T$1,""\d{4}"")),VALUE(REGEXEXTRACT(T$1,""T(\d+)"")),1),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U73" s="86">
        <f>IFERROR(__xludf.DUMMYFUNCTION("LET(
  monthStart,DATE(VALUE(REGEXEXTRACT(U$1,""\d{4}"")),VALUE(REGEXEXTRACT(U$1,""T(\d+)"")),1),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V73" s="86">
        <f>IFERROR(__xludf.DUMMYFUNCTION("LET(
  monthStart,DATE(VALUE(REGEXEXTRACT(V$1,""\d{4}"")),VALUE(REGEXEXTRACT(V$1,""T(\d+)"")),1),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W73" s="86">
        <f>IFERROR(__xludf.DUMMYFUNCTION("LET(
  monthStart,DATE(VALUE(REGEXEXTRACT(W$1,""\d{4}"")),VALUE(REGEXEXTRACT(W$1,""T(\d+)"")),1),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X73" s="86">
        <f>IFERROR(__xludf.DUMMYFUNCTION("LET(
  monthStart,DATE(VALUE(REGEXEXTRACT(X$1,""\d{4}"")),VALUE(REGEXEXTRACT(X$1,""T(\d+)"")),1),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Y73" s="86">
        <f>IFERROR(__xludf.DUMMYFUNCTION("LET(
  monthStart,DATE(VALUE(REGEXEXTRACT(Y$1,""\d{4}"")),VALUE(REGEXEXTRACT(Y$1,""T(\d+)"")),1),
  monthEnd,EOMONTH(monthStart,0),
  actualStart,MAX($D73,monthStart),
  actualEnd,MIN($E73,monthEnd),
  workingDaysInMonth,NETWORKDAYS(monthStart,monthEnd),
"&amp;"  workingDaysOverlap,IF(actualStart&gt;actualEnd,0,NETWORKDAYS(actualStart,actualEnd)),
  IF(workingDaysOverlap=0,"""",$F73*workingDaysOverlap/workingDaysInMonth)
)"),0.0)</f>
        <v>0</v>
      </c>
      <c r="Z73" s="64"/>
      <c r="AA73" s="64"/>
      <c r="AB73" s="64"/>
      <c r="AC73" s="64"/>
      <c r="AD73" s="64"/>
      <c r="AE73" s="64"/>
      <c r="AF73" s="64"/>
      <c r="AG73" s="64"/>
      <c r="AH73" s="64"/>
      <c r="AI73" s="64"/>
      <c r="AJ73" s="64"/>
      <c r="AK73" s="64"/>
      <c r="AO73" s="64"/>
      <c r="AP73" s="64"/>
      <c r="AQ73" s="64"/>
      <c r="AR73" s="64"/>
      <c r="AS73" s="64"/>
      <c r="AT73" s="64"/>
      <c r="AX73" s="64"/>
      <c r="AY73" s="77"/>
      <c r="AZ73" s="77"/>
      <c r="BA73" s="77"/>
      <c r="BB73" s="74"/>
      <c r="BC73" s="74"/>
      <c r="BD73" s="67"/>
      <c r="BH73" s="64"/>
      <c r="BI73" s="64"/>
      <c r="BJ73" s="64"/>
      <c r="BK73" s="64"/>
      <c r="BL73" s="64"/>
      <c r="BM73" s="64"/>
      <c r="BN73" s="64"/>
    </row>
    <row r="74" ht="30.0" customHeight="1">
      <c r="A74" s="81"/>
      <c r="B74" s="61"/>
      <c r="C74" s="83"/>
      <c r="D74" s="114"/>
      <c r="E74" s="84"/>
      <c r="F74" s="86"/>
      <c r="G74" s="86">
        <f>IFERROR(__xludf.DUMMYFUNCTION("LET(
  monthStart,DATE(VALUE(REGEXEXTRACT(G$1,""\d{4}"")),VALUE(REGEXEXTRACT(G$1,""T(\d+)"")),1),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H74" s="86">
        <f>IFERROR(__xludf.DUMMYFUNCTION("LET(
  monthStart,DATE(VALUE(REGEXEXTRACT(H$1,""\d{4}"")),VALUE(REGEXEXTRACT(H$1,""T(\d+)"")),1),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I74" s="86">
        <f>IFERROR(__xludf.DUMMYFUNCTION("LET(
  monthStart,DATE(VALUE(REGEXEXTRACT(I$1,""\d{4}"")),VALUE(REGEXEXTRACT(I$1,""T(\d+)"")),1),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J74" s="86">
        <f>IFERROR(__xludf.DUMMYFUNCTION("LET(
  monthStart,DATE(VALUE(REGEXEXTRACT(J$1,""\d{4}"")),VALUE(REGEXEXTRACT(J$1,""T(\d+)"")),1),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K74" s="86">
        <f>IFERROR(__xludf.DUMMYFUNCTION("LET(
  monthStart,DATE(VALUE(REGEXEXTRACT(K$1,""\d{4}"")),VALUE(REGEXEXTRACT(K$1,""T(\d+)"")),1),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L74" s="86">
        <f>IFERROR(__xludf.DUMMYFUNCTION("LET(
  monthStart,DATE(VALUE(REGEXEXTRACT(L$1,""\d{4}"")),VALUE(REGEXEXTRACT(L$1,""T(\d+)"")),1),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M74" s="86">
        <f>IFERROR(__xludf.DUMMYFUNCTION("LET(
  monthStart,DATE(VALUE(REGEXEXTRACT(M$1,""\d{4}"")),VALUE(REGEXEXTRACT(M$1,""T(\d+)"")),1),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N74" s="86">
        <f>IFERROR(__xludf.DUMMYFUNCTION("LET(
  monthStart,DATE(VALUE(REGEXEXTRACT(N$1,""\d{4}"")),VALUE(REGEXEXTRACT(N$1,""T(\d+)"")),1),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O74" s="86">
        <f>IFERROR(__xludf.DUMMYFUNCTION("LET(
  monthStart,DATE(VALUE(REGEXEXTRACT(O$1,""\d{4}"")),VALUE(REGEXEXTRACT(O$1,""T(\d+)"")),1),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P74" s="86">
        <f>IFERROR(__xludf.DUMMYFUNCTION("LET(
  monthStart,DATE(VALUE(REGEXEXTRACT(P$1,""\d{4}"")),VALUE(REGEXEXTRACT(P$1,""T(\d+)"")),1),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Q74" s="86">
        <f>IFERROR(__xludf.DUMMYFUNCTION("LET(
  monthStart,DATE(VALUE(REGEXEXTRACT(Q$1,""\d{4}"")),VALUE(REGEXEXTRACT(Q$1,""T(\d+)"")),1),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R74" s="86">
        <f>IFERROR(__xludf.DUMMYFUNCTION("LET(
  monthStart,DATE(VALUE(REGEXEXTRACT(R$1,""\d{4}"")),VALUE(REGEXEXTRACT(R$1,""T(\d+)"")),1),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S74" s="86">
        <f>IFERROR(__xludf.DUMMYFUNCTION("LET(
  monthStart,DATE(VALUE(REGEXEXTRACT(S$1,""\d{4}"")),VALUE(REGEXEXTRACT(S$1,""T(\d+)"")),1),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T74" s="86">
        <f>IFERROR(__xludf.DUMMYFUNCTION("LET(
  monthStart,DATE(VALUE(REGEXEXTRACT(T$1,""\d{4}"")),VALUE(REGEXEXTRACT(T$1,""T(\d+)"")),1),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U74" s="86">
        <f>IFERROR(__xludf.DUMMYFUNCTION("LET(
  monthStart,DATE(VALUE(REGEXEXTRACT(U$1,""\d{4}"")),VALUE(REGEXEXTRACT(U$1,""T(\d+)"")),1),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V74" s="86">
        <f>IFERROR(__xludf.DUMMYFUNCTION("LET(
  monthStart,DATE(VALUE(REGEXEXTRACT(V$1,""\d{4}"")),VALUE(REGEXEXTRACT(V$1,""T(\d+)"")),1),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W74" s="86">
        <f>IFERROR(__xludf.DUMMYFUNCTION("LET(
  monthStart,DATE(VALUE(REGEXEXTRACT(W$1,""\d{4}"")),VALUE(REGEXEXTRACT(W$1,""T(\d+)"")),1),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X74" s="86">
        <f>IFERROR(__xludf.DUMMYFUNCTION("LET(
  monthStart,DATE(VALUE(REGEXEXTRACT(X$1,""\d{4}"")),VALUE(REGEXEXTRACT(X$1,""T(\d+)"")),1),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Y74" s="86">
        <f>IFERROR(__xludf.DUMMYFUNCTION("LET(
  monthStart,DATE(VALUE(REGEXEXTRACT(Y$1,""\d{4}"")),VALUE(REGEXEXTRACT(Y$1,""T(\d+)"")),1),
  monthEnd,EOMONTH(monthStart,0),
  actualStart,MAX($D74,monthStart),
  actualEnd,MIN($E74,monthEnd),
  workingDaysInMonth,NETWORKDAYS(monthStart,monthEnd),
"&amp;"  workingDaysOverlap,IF(actualStart&gt;actualEnd,0,NETWORKDAYS(actualStart,actualEnd)),
  IF(workingDaysOverlap=0,"""",$F74*workingDaysOverlap/workingDaysInMonth)
)"),0.0)</f>
        <v>0</v>
      </c>
      <c r="Z74" s="64"/>
      <c r="AA74" s="64"/>
      <c r="AB74" s="64"/>
      <c r="AC74" s="64"/>
      <c r="AD74" s="64"/>
      <c r="AE74" s="64"/>
      <c r="AF74" s="64"/>
      <c r="AG74" s="64"/>
      <c r="AH74" s="64"/>
      <c r="AI74" s="75"/>
      <c r="AJ74" s="64"/>
      <c r="AK74" s="64"/>
      <c r="AO74" s="64"/>
      <c r="AP74" s="64"/>
      <c r="AQ74" s="64"/>
      <c r="AR74" s="64"/>
      <c r="AS74" s="64"/>
      <c r="AT74" s="64"/>
      <c r="AX74" s="64"/>
      <c r="AY74" s="77"/>
      <c r="AZ74" s="77"/>
      <c r="BA74" s="87"/>
      <c r="BB74" s="72"/>
      <c r="BC74" s="72"/>
      <c r="BD74" s="67"/>
      <c r="BH74" s="64"/>
      <c r="BI74" s="64"/>
      <c r="BJ74" s="64"/>
      <c r="BK74" s="64"/>
      <c r="BL74" s="64"/>
      <c r="BM74" s="64"/>
      <c r="BN74" s="64"/>
    </row>
    <row r="75" ht="30.0" customHeight="1">
      <c r="A75" s="81"/>
      <c r="B75" s="61"/>
      <c r="C75" s="83"/>
      <c r="D75" s="114"/>
      <c r="E75" s="84"/>
      <c r="F75" s="86"/>
      <c r="G75" s="86">
        <f>IFERROR(__xludf.DUMMYFUNCTION("LET(
  monthStart,DATE(VALUE(REGEXEXTRACT(G$1,""\d{4}"")),VALUE(REGEXEXTRACT(G$1,""T(\d+)"")),1),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H75" s="86">
        <f>IFERROR(__xludf.DUMMYFUNCTION("LET(
  monthStart,DATE(VALUE(REGEXEXTRACT(H$1,""\d{4}"")),VALUE(REGEXEXTRACT(H$1,""T(\d+)"")),1),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I75" s="86">
        <f>IFERROR(__xludf.DUMMYFUNCTION("LET(
  monthStart,DATE(VALUE(REGEXEXTRACT(I$1,""\d{4}"")),VALUE(REGEXEXTRACT(I$1,""T(\d+)"")),1),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J75" s="86">
        <f>IFERROR(__xludf.DUMMYFUNCTION("LET(
  monthStart,DATE(VALUE(REGEXEXTRACT(J$1,""\d{4}"")),VALUE(REGEXEXTRACT(J$1,""T(\d+)"")),1),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K75" s="86">
        <f>IFERROR(__xludf.DUMMYFUNCTION("LET(
  monthStart,DATE(VALUE(REGEXEXTRACT(K$1,""\d{4}"")),VALUE(REGEXEXTRACT(K$1,""T(\d+)"")),1),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L75" s="86">
        <f>IFERROR(__xludf.DUMMYFUNCTION("LET(
  monthStart,DATE(VALUE(REGEXEXTRACT(L$1,""\d{4}"")),VALUE(REGEXEXTRACT(L$1,""T(\d+)"")),1),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M75" s="86">
        <f>IFERROR(__xludf.DUMMYFUNCTION("LET(
  monthStart,DATE(VALUE(REGEXEXTRACT(M$1,""\d{4}"")),VALUE(REGEXEXTRACT(M$1,""T(\d+)"")),1),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N75" s="86">
        <f>IFERROR(__xludf.DUMMYFUNCTION("LET(
  monthStart,DATE(VALUE(REGEXEXTRACT(N$1,""\d{4}"")),VALUE(REGEXEXTRACT(N$1,""T(\d+)"")),1),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O75" s="86">
        <f>IFERROR(__xludf.DUMMYFUNCTION("LET(
  monthStart,DATE(VALUE(REGEXEXTRACT(O$1,""\d{4}"")),VALUE(REGEXEXTRACT(O$1,""T(\d+)"")),1),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P75" s="86">
        <f>IFERROR(__xludf.DUMMYFUNCTION("LET(
  monthStart,DATE(VALUE(REGEXEXTRACT(P$1,""\d{4}"")),VALUE(REGEXEXTRACT(P$1,""T(\d+)"")),1),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Q75" s="86">
        <f>IFERROR(__xludf.DUMMYFUNCTION("LET(
  monthStart,DATE(VALUE(REGEXEXTRACT(Q$1,""\d{4}"")),VALUE(REGEXEXTRACT(Q$1,""T(\d+)"")),1),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R75" s="86">
        <f>IFERROR(__xludf.DUMMYFUNCTION("LET(
  monthStart,DATE(VALUE(REGEXEXTRACT(R$1,""\d{4}"")),VALUE(REGEXEXTRACT(R$1,""T(\d+)"")),1),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S75" s="86">
        <f>IFERROR(__xludf.DUMMYFUNCTION("LET(
  monthStart,DATE(VALUE(REGEXEXTRACT(S$1,""\d{4}"")),VALUE(REGEXEXTRACT(S$1,""T(\d+)"")),1),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T75" s="86">
        <f>IFERROR(__xludf.DUMMYFUNCTION("LET(
  monthStart,DATE(VALUE(REGEXEXTRACT(T$1,""\d{4}"")),VALUE(REGEXEXTRACT(T$1,""T(\d+)"")),1),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U75" s="86">
        <f>IFERROR(__xludf.DUMMYFUNCTION("LET(
  monthStart,DATE(VALUE(REGEXEXTRACT(U$1,""\d{4}"")),VALUE(REGEXEXTRACT(U$1,""T(\d+)"")),1),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V75" s="86">
        <f>IFERROR(__xludf.DUMMYFUNCTION("LET(
  monthStart,DATE(VALUE(REGEXEXTRACT(V$1,""\d{4}"")),VALUE(REGEXEXTRACT(V$1,""T(\d+)"")),1),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W75" s="86">
        <f>IFERROR(__xludf.DUMMYFUNCTION("LET(
  monthStart,DATE(VALUE(REGEXEXTRACT(W$1,""\d{4}"")),VALUE(REGEXEXTRACT(W$1,""T(\d+)"")),1),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X75" s="86">
        <f>IFERROR(__xludf.DUMMYFUNCTION("LET(
  monthStart,DATE(VALUE(REGEXEXTRACT(X$1,""\d{4}"")),VALUE(REGEXEXTRACT(X$1,""T(\d+)"")),1),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Y75" s="86">
        <f>IFERROR(__xludf.DUMMYFUNCTION("LET(
  monthStart,DATE(VALUE(REGEXEXTRACT(Y$1,""\d{4}"")),VALUE(REGEXEXTRACT(Y$1,""T(\d+)"")),1),
  monthEnd,EOMONTH(monthStart,0),
  actualStart,MAX($D75,monthStart),
  actualEnd,MIN($E75,monthEnd),
  workingDaysInMonth,NETWORKDAYS(monthStart,monthEnd),
"&amp;"  workingDaysOverlap,IF(actualStart&gt;actualEnd,0,NETWORKDAYS(actualStart,actualEnd)),
  IF(workingDaysOverlap=0,"""",$F75*workingDaysOverlap/workingDaysInMonth)
)"),0.0)</f>
        <v>0</v>
      </c>
      <c r="Z75" s="64"/>
      <c r="AA75" s="64"/>
      <c r="AB75" s="64"/>
      <c r="AC75" s="64"/>
      <c r="AD75" s="64"/>
      <c r="AE75" s="64"/>
      <c r="AF75" s="64"/>
      <c r="AG75" s="64"/>
      <c r="AH75" s="64"/>
      <c r="AI75" s="75"/>
      <c r="AJ75" s="64"/>
      <c r="AK75" s="64"/>
      <c r="AO75" s="64"/>
      <c r="AP75" s="64"/>
      <c r="AQ75" s="64"/>
      <c r="AR75" s="64"/>
      <c r="AS75" s="64"/>
      <c r="AT75" s="64"/>
      <c r="AX75" s="64"/>
      <c r="AY75" s="77"/>
      <c r="AZ75" s="78"/>
      <c r="BA75" s="87"/>
      <c r="BB75" s="72"/>
      <c r="BC75" s="72"/>
      <c r="BD75" s="67"/>
      <c r="BH75" s="64"/>
      <c r="BI75" s="64"/>
      <c r="BJ75" s="64"/>
      <c r="BK75" s="64"/>
      <c r="BL75" s="64"/>
      <c r="BM75" s="64"/>
      <c r="BN75" s="64"/>
    </row>
    <row r="76" ht="30.0" customHeight="1">
      <c r="A76" s="81"/>
      <c r="B76" s="61"/>
      <c r="C76" s="83"/>
      <c r="D76" s="114"/>
      <c r="E76" s="84"/>
      <c r="F76" s="86"/>
      <c r="G76" s="86">
        <f>IFERROR(__xludf.DUMMYFUNCTION("LET(
  monthStart,DATE(VALUE(REGEXEXTRACT(G$1,""\d{4}"")),VALUE(REGEXEXTRACT(G$1,""T(\d+)"")),1),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H76" s="86">
        <f>IFERROR(__xludf.DUMMYFUNCTION("LET(
  monthStart,DATE(VALUE(REGEXEXTRACT(H$1,""\d{4}"")),VALUE(REGEXEXTRACT(H$1,""T(\d+)"")),1),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I76" s="86">
        <f>IFERROR(__xludf.DUMMYFUNCTION("LET(
  monthStart,DATE(VALUE(REGEXEXTRACT(I$1,""\d{4}"")),VALUE(REGEXEXTRACT(I$1,""T(\d+)"")),1),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J76" s="86">
        <f>IFERROR(__xludf.DUMMYFUNCTION("LET(
  monthStart,DATE(VALUE(REGEXEXTRACT(J$1,""\d{4}"")),VALUE(REGEXEXTRACT(J$1,""T(\d+)"")),1),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K76" s="86">
        <f>IFERROR(__xludf.DUMMYFUNCTION("LET(
  monthStart,DATE(VALUE(REGEXEXTRACT(K$1,""\d{4}"")),VALUE(REGEXEXTRACT(K$1,""T(\d+)"")),1),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L76" s="86">
        <f>IFERROR(__xludf.DUMMYFUNCTION("LET(
  monthStart,DATE(VALUE(REGEXEXTRACT(L$1,""\d{4}"")),VALUE(REGEXEXTRACT(L$1,""T(\d+)"")),1),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M76" s="86">
        <f>IFERROR(__xludf.DUMMYFUNCTION("LET(
  monthStart,DATE(VALUE(REGEXEXTRACT(M$1,""\d{4}"")),VALUE(REGEXEXTRACT(M$1,""T(\d+)"")),1),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N76" s="86">
        <f>IFERROR(__xludf.DUMMYFUNCTION("LET(
  monthStart,DATE(VALUE(REGEXEXTRACT(N$1,""\d{4}"")),VALUE(REGEXEXTRACT(N$1,""T(\d+)"")),1),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O76" s="86">
        <f>IFERROR(__xludf.DUMMYFUNCTION("LET(
  monthStart,DATE(VALUE(REGEXEXTRACT(O$1,""\d{4}"")),VALUE(REGEXEXTRACT(O$1,""T(\d+)"")),1),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P76" s="86">
        <f>IFERROR(__xludf.DUMMYFUNCTION("LET(
  monthStart,DATE(VALUE(REGEXEXTRACT(P$1,""\d{4}"")),VALUE(REGEXEXTRACT(P$1,""T(\d+)"")),1),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Q76" s="86">
        <f>IFERROR(__xludf.DUMMYFUNCTION("LET(
  monthStart,DATE(VALUE(REGEXEXTRACT(Q$1,""\d{4}"")),VALUE(REGEXEXTRACT(Q$1,""T(\d+)"")),1),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R76" s="86">
        <f>IFERROR(__xludf.DUMMYFUNCTION("LET(
  monthStart,DATE(VALUE(REGEXEXTRACT(R$1,""\d{4}"")),VALUE(REGEXEXTRACT(R$1,""T(\d+)"")),1),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S76" s="86">
        <f>IFERROR(__xludf.DUMMYFUNCTION("LET(
  monthStart,DATE(VALUE(REGEXEXTRACT(S$1,""\d{4}"")),VALUE(REGEXEXTRACT(S$1,""T(\d+)"")),1),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T76" s="86">
        <f>IFERROR(__xludf.DUMMYFUNCTION("LET(
  monthStart,DATE(VALUE(REGEXEXTRACT(T$1,""\d{4}"")),VALUE(REGEXEXTRACT(T$1,""T(\d+)"")),1),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U76" s="86">
        <f>IFERROR(__xludf.DUMMYFUNCTION("LET(
  monthStart,DATE(VALUE(REGEXEXTRACT(U$1,""\d{4}"")),VALUE(REGEXEXTRACT(U$1,""T(\d+)"")),1),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V76" s="86">
        <f>IFERROR(__xludf.DUMMYFUNCTION("LET(
  monthStart,DATE(VALUE(REGEXEXTRACT(V$1,""\d{4}"")),VALUE(REGEXEXTRACT(V$1,""T(\d+)"")),1),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W76" s="86">
        <f>IFERROR(__xludf.DUMMYFUNCTION("LET(
  monthStart,DATE(VALUE(REGEXEXTRACT(W$1,""\d{4}"")),VALUE(REGEXEXTRACT(W$1,""T(\d+)"")),1),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X76" s="86">
        <f>IFERROR(__xludf.DUMMYFUNCTION("LET(
  monthStart,DATE(VALUE(REGEXEXTRACT(X$1,""\d{4}"")),VALUE(REGEXEXTRACT(X$1,""T(\d+)"")),1),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Y76" s="86">
        <f>IFERROR(__xludf.DUMMYFUNCTION("LET(
  monthStart,DATE(VALUE(REGEXEXTRACT(Y$1,""\d{4}"")),VALUE(REGEXEXTRACT(Y$1,""T(\d+)"")),1),
  monthEnd,EOMONTH(monthStart,0),
  actualStart,MAX($D76,monthStart),
  actualEnd,MIN($E76,monthEnd),
  workingDaysInMonth,NETWORKDAYS(monthStart,monthEnd),
"&amp;"  workingDaysOverlap,IF(actualStart&gt;actualEnd,0,NETWORKDAYS(actualStart,actualEnd)),
  IF(workingDaysOverlap=0,"""",$F76*workingDaysOverlap/workingDaysInMonth)
)"),0.0)</f>
        <v>0</v>
      </c>
      <c r="Z76" s="64"/>
      <c r="AA76" s="64"/>
      <c r="AB76" s="64"/>
      <c r="AC76" s="64"/>
      <c r="AD76" s="64"/>
      <c r="AE76" s="64"/>
      <c r="AF76" s="64"/>
      <c r="AG76" s="64"/>
      <c r="AH76" s="64"/>
      <c r="AI76" s="75"/>
      <c r="AJ76" s="64"/>
      <c r="AK76" s="64"/>
      <c r="AO76" s="64"/>
      <c r="AP76" s="64"/>
      <c r="AQ76" s="64"/>
      <c r="AR76" s="64"/>
      <c r="AS76" s="64"/>
      <c r="AT76" s="64"/>
      <c r="AX76" s="64"/>
      <c r="AY76" s="77"/>
      <c r="AZ76" s="77"/>
      <c r="BA76" s="87"/>
      <c r="BB76" s="72"/>
      <c r="BC76" s="72"/>
      <c r="BD76" s="67"/>
      <c r="BH76" s="64"/>
      <c r="BI76" s="64"/>
      <c r="BJ76" s="64"/>
      <c r="BK76" s="64"/>
      <c r="BL76" s="64"/>
      <c r="BM76" s="64"/>
      <c r="BN76" s="64"/>
    </row>
    <row r="77" ht="30.0" customHeight="1">
      <c r="A77" s="81"/>
      <c r="B77" s="61"/>
      <c r="C77" s="83"/>
      <c r="D77" s="114"/>
      <c r="E77" s="84"/>
      <c r="F77" s="86"/>
      <c r="G77" s="86">
        <f>IFERROR(__xludf.DUMMYFUNCTION("LET(
  monthStart,DATE(VALUE(REGEXEXTRACT(G$1,""\d{4}"")),VALUE(REGEXEXTRACT(G$1,""T(\d+)"")),1),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H77" s="86">
        <f>IFERROR(__xludf.DUMMYFUNCTION("LET(
  monthStart,DATE(VALUE(REGEXEXTRACT(H$1,""\d{4}"")),VALUE(REGEXEXTRACT(H$1,""T(\d+)"")),1),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I77" s="86">
        <f>IFERROR(__xludf.DUMMYFUNCTION("LET(
  monthStart,DATE(VALUE(REGEXEXTRACT(I$1,""\d{4}"")),VALUE(REGEXEXTRACT(I$1,""T(\d+)"")),1),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J77" s="86">
        <f>IFERROR(__xludf.DUMMYFUNCTION("LET(
  monthStart,DATE(VALUE(REGEXEXTRACT(J$1,""\d{4}"")),VALUE(REGEXEXTRACT(J$1,""T(\d+)"")),1),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K77" s="86">
        <f>IFERROR(__xludf.DUMMYFUNCTION("LET(
  monthStart,DATE(VALUE(REGEXEXTRACT(K$1,""\d{4}"")),VALUE(REGEXEXTRACT(K$1,""T(\d+)"")),1),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L77" s="86">
        <f>IFERROR(__xludf.DUMMYFUNCTION("LET(
  monthStart,DATE(VALUE(REGEXEXTRACT(L$1,""\d{4}"")),VALUE(REGEXEXTRACT(L$1,""T(\d+)"")),1),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M77" s="86">
        <f>IFERROR(__xludf.DUMMYFUNCTION("LET(
  monthStart,DATE(VALUE(REGEXEXTRACT(M$1,""\d{4}"")),VALUE(REGEXEXTRACT(M$1,""T(\d+)"")),1),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N77" s="86">
        <f>IFERROR(__xludf.DUMMYFUNCTION("LET(
  monthStart,DATE(VALUE(REGEXEXTRACT(N$1,""\d{4}"")),VALUE(REGEXEXTRACT(N$1,""T(\d+)"")),1),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O77" s="86">
        <f>IFERROR(__xludf.DUMMYFUNCTION("LET(
  monthStart,DATE(VALUE(REGEXEXTRACT(O$1,""\d{4}"")),VALUE(REGEXEXTRACT(O$1,""T(\d+)"")),1),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P77" s="86">
        <f>IFERROR(__xludf.DUMMYFUNCTION("LET(
  monthStart,DATE(VALUE(REGEXEXTRACT(P$1,""\d{4}"")),VALUE(REGEXEXTRACT(P$1,""T(\d+)"")),1),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Q77" s="86">
        <f>IFERROR(__xludf.DUMMYFUNCTION("LET(
  monthStart,DATE(VALUE(REGEXEXTRACT(Q$1,""\d{4}"")),VALUE(REGEXEXTRACT(Q$1,""T(\d+)"")),1),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R77" s="86">
        <f>IFERROR(__xludf.DUMMYFUNCTION("LET(
  monthStart,DATE(VALUE(REGEXEXTRACT(R$1,""\d{4}"")),VALUE(REGEXEXTRACT(R$1,""T(\d+)"")),1),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S77" s="86">
        <f>IFERROR(__xludf.DUMMYFUNCTION("LET(
  monthStart,DATE(VALUE(REGEXEXTRACT(S$1,""\d{4}"")),VALUE(REGEXEXTRACT(S$1,""T(\d+)"")),1),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T77" s="86">
        <f>IFERROR(__xludf.DUMMYFUNCTION("LET(
  monthStart,DATE(VALUE(REGEXEXTRACT(T$1,""\d{4}"")),VALUE(REGEXEXTRACT(T$1,""T(\d+)"")),1),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U77" s="86">
        <f>IFERROR(__xludf.DUMMYFUNCTION("LET(
  monthStart,DATE(VALUE(REGEXEXTRACT(U$1,""\d{4}"")),VALUE(REGEXEXTRACT(U$1,""T(\d+)"")),1),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V77" s="86">
        <f>IFERROR(__xludf.DUMMYFUNCTION("LET(
  monthStart,DATE(VALUE(REGEXEXTRACT(V$1,""\d{4}"")),VALUE(REGEXEXTRACT(V$1,""T(\d+)"")),1),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W77" s="86">
        <f>IFERROR(__xludf.DUMMYFUNCTION("LET(
  monthStart,DATE(VALUE(REGEXEXTRACT(W$1,""\d{4}"")),VALUE(REGEXEXTRACT(W$1,""T(\d+)"")),1),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X77" s="86">
        <f>IFERROR(__xludf.DUMMYFUNCTION("LET(
  monthStart,DATE(VALUE(REGEXEXTRACT(X$1,""\d{4}"")),VALUE(REGEXEXTRACT(X$1,""T(\d+)"")),1),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Y77" s="86">
        <f>IFERROR(__xludf.DUMMYFUNCTION("LET(
  monthStart,DATE(VALUE(REGEXEXTRACT(Y$1,""\d{4}"")),VALUE(REGEXEXTRACT(Y$1,""T(\d+)"")),1),
  monthEnd,EOMONTH(monthStart,0),
  actualStart,MAX($D77,monthStart),
  actualEnd,MIN($E77,monthEnd),
  workingDaysInMonth,NETWORKDAYS(monthStart,monthEnd),
"&amp;"  workingDaysOverlap,IF(actualStart&gt;actualEnd,0,NETWORKDAYS(actualStart,actualEnd)),
  IF(workingDaysOverlap=0,"""",$F77*workingDaysOverlap/workingDaysInMonth)
)"),0.0)</f>
        <v>0</v>
      </c>
      <c r="Z77" s="64"/>
      <c r="AA77" s="64"/>
      <c r="AB77" s="64"/>
      <c r="AC77" s="64"/>
      <c r="AD77" s="64"/>
      <c r="AE77" s="64"/>
      <c r="AF77" s="64"/>
      <c r="AG77" s="64"/>
      <c r="AH77" s="64"/>
      <c r="AI77" s="75"/>
      <c r="AJ77" s="64"/>
      <c r="AK77" s="64"/>
      <c r="AO77" s="64"/>
      <c r="AP77" s="64"/>
      <c r="AQ77" s="64"/>
      <c r="AR77" s="64"/>
      <c r="AS77" s="64"/>
      <c r="AT77" s="64"/>
      <c r="AX77" s="64"/>
      <c r="AY77" s="77"/>
      <c r="AZ77" s="77"/>
      <c r="BA77" s="87"/>
      <c r="BB77" s="72"/>
      <c r="BC77" s="72"/>
      <c r="BD77" s="67"/>
      <c r="BH77" s="64"/>
      <c r="BI77" s="64"/>
      <c r="BJ77" s="64"/>
      <c r="BK77" s="64"/>
      <c r="BL77" s="64"/>
      <c r="BM77" s="64"/>
      <c r="BN77" s="64"/>
    </row>
    <row r="78" ht="30.0" customHeight="1">
      <c r="A78" s="81"/>
      <c r="B78" s="61"/>
      <c r="C78" s="83"/>
      <c r="D78" s="114"/>
      <c r="E78" s="84"/>
      <c r="F78" s="86"/>
      <c r="G78" s="86">
        <f>IFERROR(__xludf.DUMMYFUNCTION("LET(
  monthStart,DATE(VALUE(REGEXEXTRACT(G$1,""\d{4}"")),VALUE(REGEXEXTRACT(G$1,""T(\d+)"")),1),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H78" s="86">
        <f>IFERROR(__xludf.DUMMYFUNCTION("LET(
  monthStart,DATE(VALUE(REGEXEXTRACT(H$1,""\d{4}"")),VALUE(REGEXEXTRACT(H$1,""T(\d+)"")),1),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I78" s="86">
        <f>IFERROR(__xludf.DUMMYFUNCTION("LET(
  monthStart,DATE(VALUE(REGEXEXTRACT(I$1,""\d{4}"")),VALUE(REGEXEXTRACT(I$1,""T(\d+)"")),1),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J78" s="86">
        <f>IFERROR(__xludf.DUMMYFUNCTION("LET(
  monthStart,DATE(VALUE(REGEXEXTRACT(J$1,""\d{4}"")),VALUE(REGEXEXTRACT(J$1,""T(\d+)"")),1),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K78" s="86">
        <f>IFERROR(__xludf.DUMMYFUNCTION("LET(
  monthStart,DATE(VALUE(REGEXEXTRACT(K$1,""\d{4}"")),VALUE(REGEXEXTRACT(K$1,""T(\d+)"")),1),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L78" s="86">
        <f>IFERROR(__xludf.DUMMYFUNCTION("LET(
  monthStart,DATE(VALUE(REGEXEXTRACT(L$1,""\d{4}"")),VALUE(REGEXEXTRACT(L$1,""T(\d+)"")),1),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M78" s="86">
        <f>IFERROR(__xludf.DUMMYFUNCTION("LET(
  monthStart,DATE(VALUE(REGEXEXTRACT(M$1,""\d{4}"")),VALUE(REGEXEXTRACT(M$1,""T(\d+)"")),1),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N78" s="86">
        <f>IFERROR(__xludf.DUMMYFUNCTION("LET(
  monthStart,DATE(VALUE(REGEXEXTRACT(N$1,""\d{4}"")),VALUE(REGEXEXTRACT(N$1,""T(\d+)"")),1),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O78" s="86">
        <f>IFERROR(__xludf.DUMMYFUNCTION("LET(
  monthStart,DATE(VALUE(REGEXEXTRACT(O$1,""\d{4}"")),VALUE(REGEXEXTRACT(O$1,""T(\d+)"")),1),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P78" s="86">
        <f>IFERROR(__xludf.DUMMYFUNCTION("LET(
  monthStart,DATE(VALUE(REGEXEXTRACT(P$1,""\d{4}"")),VALUE(REGEXEXTRACT(P$1,""T(\d+)"")),1),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Q78" s="86">
        <f>IFERROR(__xludf.DUMMYFUNCTION("LET(
  monthStart,DATE(VALUE(REGEXEXTRACT(Q$1,""\d{4}"")),VALUE(REGEXEXTRACT(Q$1,""T(\d+)"")),1),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R78" s="86">
        <f>IFERROR(__xludf.DUMMYFUNCTION("LET(
  monthStart,DATE(VALUE(REGEXEXTRACT(R$1,""\d{4}"")),VALUE(REGEXEXTRACT(R$1,""T(\d+)"")),1),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S78" s="86">
        <f>IFERROR(__xludf.DUMMYFUNCTION("LET(
  monthStart,DATE(VALUE(REGEXEXTRACT(S$1,""\d{4}"")),VALUE(REGEXEXTRACT(S$1,""T(\d+)"")),1),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T78" s="86">
        <f>IFERROR(__xludf.DUMMYFUNCTION("LET(
  monthStart,DATE(VALUE(REGEXEXTRACT(T$1,""\d{4}"")),VALUE(REGEXEXTRACT(T$1,""T(\d+)"")),1),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U78" s="86">
        <f>IFERROR(__xludf.DUMMYFUNCTION("LET(
  monthStart,DATE(VALUE(REGEXEXTRACT(U$1,""\d{4}"")),VALUE(REGEXEXTRACT(U$1,""T(\d+)"")),1),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V78" s="86">
        <f>IFERROR(__xludf.DUMMYFUNCTION("LET(
  monthStart,DATE(VALUE(REGEXEXTRACT(V$1,""\d{4}"")),VALUE(REGEXEXTRACT(V$1,""T(\d+)"")),1),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W78" s="86">
        <f>IFERROR(__xludf.DUMMYFUNCTION("LET(
  monthStart,DATE(VALUE(REGEXEXTRACT(W$1,""\d{4}"")),VALUE(REGEXEXTRACT(W$1,""T(\d+)"")),1),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X78" s="86">
        <f>IFERROR(__xludf.DUMMYFUNCTION("LET(
  monthStart,DATE(VALUE(REGEXEXTRACT(X$1,""\d{4}"")),VALUE(REGEXEXTRACT(X$1,""T(\d+)"")),1),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Y78" s="86">
        <f>IFERROR(__xludf.DUMMYFUNCTION("LET(
  monthStart,DATE(VALUE(REGEXEXTRACT(Y$1,""\d{4}"")),VALUE(REGEXEXTRACT(Y$1,""T(\d+)"")),1),
  monthEnd,EOMONTH(monthStart,0),
  actualStart,MAX($D78,monthStart),
  actualEnd,MIN($E78,monthEnd),
  workingDaysInMonth,NETWORKDAYS(monthStart,monthEnd),
"&amp;"  workingDaysOverlap,IF(actualStart&gt;actualEnd,0,NETWORKDAYS(actualStart,actualEnd)),
  IF(workingDaysOverlap=0,"""",$F78*workingDaysOverlap/workingDaysInMonth)
)"),0.0)</f>
        <v>0</v>
      </c>
      <c r="Z78" s="64"/>
      <c r="AA78" s="64"/>
      <c r="AB78" s="64"/>
      <c r="AC78" s="64"/>
      <c r="AD78" s="64"/>
      <c r="AE78" s="64"/>
      <c r="AF78" s="64"/>
      <c r="AG78" s="64"/>
      <c r="AH78" s="64"/>
      <c r="AI78" s="75"/>
      <c r="AJ78" s="64"/>
      <c r="AK78" s="64"/>
      <c r="AO78" s="64"/>
      <c r="AP78" s="64"/>
      <c r="AQ78" s="64"/>
      <c r="AR78" s="64"/>
      <c r="AS78" s="64"/>
      <c r="AT78" s="64"/>
      <c r="AX78" s="64"/>
      <c r="AY78" s="77"/>
      <c r="AZ78" s="77"/>
      <c r="BA78" s="87"/>
      <c r="BB78" s="72"/>
      <c r="BC78" s="72"/>
      <c r="BD78" s="67"/>
      <c r="BH78" s="64"/>
      <c r="BI78" s="64"/>
      <c r="BJ78" s="64"/>
      <c r="BK78" s="64"/>
      <c r="BL78" s="64"/>
      <c r="BM78" s="64"/>
      <c r="BN78" s="64"/>
    </row>
    <row r="79" ht="30.0" customHeight="1">
      <c r="A79" s="81"/>
      <c r="B79" s="61"/>
      <c r="C79" s="83"/>
      <c r="D79" s="114"/>
      <c r="E79" s="84"/>
      <c r="F79" s="86"/>
      <c r="G79" s="86">
        <f>IFERROR(__xludf.DUMMYFUNCTION("LET(
  monthStart,DATE(VALUE(REGEXEXTRACT(G$1,""\d{4}"")),VALUE(REGEXEXTRACT(G$1,""T(\d+)"")),1),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H79" s="86">
        <f>IFERROR(__xludf.DUMMYFUNCTION("LET(
  monthStart,DATE(VALUE(REGEXEXTRACT(H$1,""\d{4}"")),VALUE(REGEXEXTRACT(H$1,""T(\d+)"")),1),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I79" s="86">
        <f>IFERROR(__xludf.DUMMYFUNCTION("LET(
  monthStart,DATE(VALUE(REGEXEXTRACT(I$1,""\d{4}"")),VALUE(REGEXEXTRACT(I$1,""T(\d+)"")),1),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J79" s="86">
        <f>IFERROR(__xludf.DUMMYFUNCTION("LET(
  monthStart,DATE(VALUE(REGEXEXTRACT(J$1,""\d{4}"")),VALUE(REGEXEXTRACT(J$1,""T(\d+)"")),1),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K79" s="86">
        <f>IFERROR(__xludf.DUMMYFUNCTION("LET(
  monthStart,DATE(VALUE(REGEXEXTRACT(K$1,""\d{4}"")),VALUE(REGEXEXTRACT(K$1,""T(\d+)"")),1),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L79" s="86">
        <f>IFERROR(__xludf.DUMMYFUNCTION("LET(
  monthStart,DATE(VALUE(REGEXEXTRACT(L$1,""\d{4}"")),VALUE(REGEXEXTRACT(L$1,""T(\d+)"")),1),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M79" s="86">
        <f>IFERROR(__xludf.DUMMYFUNCTION("LET(
  monthStart,DATE(VALUE(REGEXEXTRACT(M$1,""\d{4}"")),VALUE(REGEXEXTRACT(M$1,""T(\d+)"")),1),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N79" s="86">
        <f>IFERROR(__xludf.DUMMYFUNCTION("LET(
  monthStart,DATE(VALUE(REGEXEXTRACT(N$1,""\d{4}"")),VALUE(REGEXEXTRACT(N$1,""T(\d+)"")),1),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O79" s="86">
        <f>IFERROR(__xludf.DUMMYFUNCTION("LET(
  monthStart,DATE(VALUE(REGEXEXTRACT(O$1,""\d{4}"")),VALUE(REGEXEXTRACT(O$1,""T(\d+)"")),1),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P79" s="86">
        <f>IFERROR(__xludf.DUMMYFUNCTION("LET(
  monthStart,DATE(VALUE(REGEXEXTRACT(P$1,""\d{4}"")),VALUE(REGEXEXTRACT(P$1,""T(\d+)"")),1),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Q79" s="86">
        <f>IFERROR(__xludf.DUMMYFUNCTION("LET(
  monthStart,DATE(VALUE(REGEXEXTRACT(Q$1,""\d{4}"")),VALUE(REGEXEXTRACT(Q$1,""T(\d+)"")),1),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R79" s="86">
        <f>IFERROR(__xludf.DUMMYFUNCTION("LET(
  monthStart,DATE(VALUE(REGEXEXTRACT(R$1,""\d{4}"")),VALUE(REGEXEXTRACT(R$1,""T(\d+)"")),1),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S79" s="86">
        <f>IFERROR(__xludf.DUMMYFUNCTION("LET(
  monthStart,DATE(VALUE(REGEXEXTRACT(S$1,""\d{4}"")),VALUE(REGEXEXTRACT(S$1,""T(\d+)"")),1),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T79" s="86">
        <f>IFERROR(__xludf.DUMMYFUNCTION("LET(
  monthStart,DATE(VALUE(REGEXEXTRACT(T$1,""\d{4}"")),VALUE(REGEXEXTRACT(T$1,""T(\d+)"")),1),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U79" s="86">
        <f>IFERROR(__xludf.DUMMYFUNCTION("LET(
  monthStart,DATE(VALUE(REGEXEXTRACT(U$1,""\d{4}"")),VALUE(REGEXEXTRACT(U$1,""T(\d+)"")),1),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V79" s="86">
        <f>IFERROR(__xludf.DUMMYFUNCTION("LET(
  monthStart,DATE(VALUE(REGEXEXTRACT(V$1,""\d{4}"")),VALUE(REGEXEXTRACT(V$1,""T(\d+)"")),1),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W79" s="86">
        <f>IFERROR(__xludf.DUMMYFUNCTION("LET(
  monthStart,DATE(VALUE(REGEXEXTRACT(W$1,""\d{4}"")),VALUE(REGEXEXTRACT(W$1,""T(\d+)"")),1),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X79" s="86">
        <f>IFERROR(__xludf.DUMMYFUNCTION("LET(
  monthStart,DATE(VALUE(REGEXEXTRACT(X$1,""\d{4}"")),VALUE(REGEXEXTRACT(X$1,""T(\d+)"")),1),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Y79" s="86">
        <f>IFERROR(__xludf.DUMMYFUNCTION("LET(
  monthStart,DATE(VALUE(REGEXEXTRACT(Y$1,""\d{4}"")),VALUE(REGEXEXTRACT(Y$1,""T(\d+)"")),1),
  monthEnd,EOMONTH(monthStart,0),
  actualStart,MAX($D79,monthStart),
  actualEnd,MIN($E79,monthEnd),
  workingDaysInMonth,NETWORKDAYS(monthStart,monthEnd),
"&amp;"  workingDaysOverlap,IF(actualStart&gt;actualEnd,0,NETWORKDAYS(actualStart,actualEnd)),
  IF(workingDaysOverlap=0,"""",$F79*workingDaysOverlap/workingDaysInMonth)
)"),0.0)</f>
        <v>0</v>
      </c>
      <c r="Z79" s="64"/>
      <c r="AA79" s="64"/>
      <c r="AB79" s="64"/>
      <c r="AC79" s="64"/>
      <c r="AD79" s="64"/>
      <c r="AE79" s="64"/>
      <c r="AF79" s="64"/>
      <c r="AG79" s="64"/>
      <c r="AH79" s="64"/>
      <c r="AI79" s="64"/>
      <c r="AJ79" s="64"/>
      <c r="AK79" s="64"/>
      <c r="AO79" s="64"/>
      <c r="AP79" s="64"/>
      <c r="AQ79" s="64"/>
      <c r="AR79" s="64"/>
      <c r="AS79" s="64"/>
      <c r="AT79" s="64"/>
      <c r="AX79" s="64"/>
      <c r="AY79" s="77"/>
      <c r="AZ79" s="78"/>
      <c r="BA79" s="77"/>
      <c r="BB79" s="74"/>
      <c r="BC79" s="74"/>
      <c r="BD79" s="67"/>
      <c r="BH79" s="64"/>
      <c r="BI79" s="64"/>
      <c r="BJ79" s="64"/>
      <c r="BK79" s="64"/>
      <c r="BL79" s="64"/>
      <c r="BM79" s="64"/>
      <c r="BN79" s="64"/>
    </row>
    <row r="80" ht="30.0" customHeight="1">
      <c r="A80" s="81"/>
      <c r="B80" s="61"/>
      <c r="C80" s="83"/>
      <c r="D80" s="84"/>
      <c r="E80" s="84"/>
      <c r="F80" s="86"/>
      <c r="G80" s="86">
        <f>IFERROR(__xludf.DUMMYFUNCTION("LET(
  monthStart,DATE(VALUE(REGEXEXTRACT(G$1,""\d{4}"")),VALUE(REGEXEXTRACT(G$1,""T(\d+)"")),1),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H80" s="86">
        <f>IFERROR(__xludf.DUMMYFUNCTION("LET(
  monthStart,DATE(VALUE(REGEXEXTRACT(H$1,""\d{4}"")),VALUE(REGEXEXTRACT(H$1,""T(\d+)"")),1),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I80" s="86">
        <f>IFERROR(__xludf.DUMMYFUNCTION("LET(
  monthStart,DATE(VALUE(REGEXEXTRACT(I$1,""\d{4}"")),VALUE(REGEXEXTRACT(I$1,""T(\d+)"")),1),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J80" s="86">
        <f>IFERROR(__xludf.DUMMYFUNCTION("LET(
  monthStart,DATE(VALUE(REGEXEXTRACT(J$1,""\d{4}"")),VALUE(REGEXEXTRACT(J$1,""T(\d+)"")),1),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K80" s="86">
        <f>IFERROR(__xludf.DUMMYFUNCTION("LET(
  monthStart,DATE(VALUE(REGEXEXTRACT(K$1,""\d{4}"")),VALUE(REGEXEXTRACT(K$1,""T(\d+)"")),1),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L80" s="86">
        <f>IFERROR(__xludf.DUMMYFUNCTION("LET(
  monthStart,DATE(VALUE(REGEXEXTRACT(L$1,""\d{4}"")),VALUE(REGEXEXTRACT(L$1,""T(\d+)"")),1),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M80" s="86">
        <f>IFERROR(__xludf.DUMMYFUNCTION("LET(
  monthStart,DATE(VALUE(REGEXEXTRACT(M$1,""\d{4}"")),VALUE(REGEXEXTRACT(M$1,""T(\d+)"")),1),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N80" s="86">
        <f>IFERROR(__xludf.DUMMYFUNCTION("LET(
  monthStart,DATE(VALUE(REGEXEXTRACT(N$1,""\d{4}"")),VALUE(REGEXEXTRACT(N$1,""T(\d+)"")),1),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O80" s="86">
        <f>IFERROR(__xludf.DUMMYFUNCTION("LET(
  monthStart,DATE(VALUE(REGEXEXTRACT(O$1,""\d{4}"")),VALUE(REGEXEXTRACT(O$1,""T(\d+)"")),1),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P80" s="86">
        <f>IFERROR(__xludf.DUMMYFUNCTION("LET(
  monthStart,DATE(VALUE(REGEXEXTRACT(P$1,""\d{4}"")),VALUE(REGEXEXTRACT(P$1,""T(\d+)"")),1),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Q80" s="86">
        <f>IFERROR(__xludf.DUMMYFUNCTION("LET(
  monthStart,DATE(VALUE(REGEXEXTRACT(Q$1,""\d{4}"")),VALUE(REGEXEXTRACT(Q$1,""T(\d+)"")),1),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R80" s="86">
        <f>IFERROR(__xludf.DUMMYFUNCTION("LET(
  monthStart,DATE(VALUE(REGEXEXTRACT(R$1,""\d{4}"")),VALUE(REGEXEXTRACT(R$1,""T(\d+)"")),1),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S80" s="86">
        <f>IFERROR(__xludf.DUMMYFUNCTION("LET(
  monthStart,DATE(VALUE(REGEXEXTRACT(S$1,""\d{4}"")),VALUE(REGEXEXTRACT(S$1,""T(\d+)"")),1),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T80" s="86">
        <f>IFERROR(__xludf.DUMMYFUNCTION("LET(
  monthStart,DATE(VALUE(REGEXEXTRACT(T$1,""\d{4}"")),VALUE(REGEXEXTRACT(T$1,""T(\d+)"")),1),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U80" s="86">
        <f>IFERROR(__xludf.DUMMYFUNCTION("LET(
  monthStart,DATE(VALUE(REGEXEXTRACT(U$1,""\d{4}"")),VALUE(REGEXEXTRACT(U$1,""T(\d+)"")),1),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V80" s="86">
        <f>IFERROR(__xludf.DUMMYFUNCTION("LET(
  monthStart,DATE(VALUE(REGEXEXTRACT(V$1,""\d{4}"")),VALUE(REGEXEXTRACT(V$1,""T(\d+)"")),1),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W80" s="86">
        <f>IFERROR(__xludf.DUMMYFUNCTION("LET(
  monthStart,DATE(VALUE(REGEXEXTRACT(W$1,""\d{4}"")),VALUE(REGEXEXTRACT(W$1,""T(\d+)"")),1),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X80" s="86">
        <f>IFERROR(__xludf.DUMMYFUNCTION("LET(
  monthStart,DATE(VALUE(REGEXEXTRACT(X$1,""\d{4}"")),VALUE(REGEXEXTRACT(X$1,""T(\d+)"")),1),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Y80" s="86">
        <f>IFERROR(__xludf.DUMMYFUNCTION("LET(
  monthStart,DATE(VALUE(REGEXEXTRACT(Y$1,""\d{4}"")),VALUE(REGEXEXTRACT(Y$1,""T(\d+)"")),1),
  monthEnd,EOMONTH(monthStart,0),
  actualStart,MAX($D80,monthStart),
  actualEnd,MIN($E80,monthEnd),
  workingDaysInMonth,NETWORKDAYS(monthStart,monthEnd),
"&amp;"  workingDaysOverlap,IF(actualStart&gt;actualEnd,0,NETWORKDAYS(actualStart,actualEnd)),
  IF(workingDaysOverlap=0,"""",$F80*workingDaysOverlap/workingDaysInMonth)
)"),0.0)</f>
        <v>0</v>
      </c>
      <c r="Z80" s="64"/>
      <c r="AA80" s="64"/>
      <c r="AB80" s="64"/>
      <c r="AC80" s="64"/>
      <c r="AD80" s="64"/>
      <c r="AE80" s="64"/>
      <c r="AF80" s="64"/>
      <c r="AG80" s="64"/>
      <c r="AH80" s="64"/>
      <c r="AI80" s="64"/>
      <c r="AJ80" s="64"/>
      <c r="AK80" s="64"/>
      <c r="AO80" s="64"/>
      <c r="AP80" s="64"/>
      <c r="AQ80" s="64"/>
      <c r="AR80" s="64"/>
      <c r="AS80" s="64"/>
      <c r="AT80" s="64"/>
      <c r="AX80" s="64"/>
      <c r="AY80" s="77"/>
      <c r="AZ80" s="77"/>
      <c r="BA80" s="77"/>
      <c r="BB80" s="74"/>
      <c r="BC80" s="74"/>
      <c r="BD80" s="67"/>
      <c r="BH80" s="64"/>
      <c r="BI80" s="64"/>
      <c r="BJ80" s="64"/>
      <c r="BK80" s="64"/>
      <c r="BL80" s="64"/>
      <c r="BM80" s="64"/>
      <c r="BN80" s="64"/>
    </row>
    <row r="81" ht="30.0" customHeight="1">
      <c r="A81" s="81"/>
      <c r="B81" s="61"/>
      <c r="C81" s="83"/>
      <c r="D81" s="84"/>
      <c r="E81" s="84"/>
      <c r="F81" s="86"/>
      <c r="G81" s="86">
        <f>IFERROR(__xludf.DUMMYFUNCTION("LET(
  monthStart,DATE(VALUE(REGEXEXTRACT(G$1,""\d{4}"")),VALUE(REGEXEXTRACT(G$1,""T(\d+)"")),1),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H81" s="86">
        <f>IFERROR(__xludf.DUMMYFUNCTION("LET(
  monthStart,DATE(VALUE(REGEXEXTRACT(H$1,""\d{4}"")),VALUE(REGEXEXTRACT(H$1,""T(\d+)"")),1),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I81" s="86">
        <f>IFERROR(__xludf.DUMMYFUNCTION("LET(
  monthStart,DATE(VALUE(REGEXEXTRACT(I$1,""\d{4}"")),VALUE(REGEXEXTRACT(I$1,""T(\d+)"")),1),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J81" s="86">
        <f>IFERROR(__xludf.DUMMYFUNCTION("LET(
  monthStart,DATE(VALUE(REGEXEXTRACT(J$1,""\d{4}"")),VALUE(REGEXEXTRACT(J$1,""T(\d+)"")),1),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K81" s="86">
        <f>IFERROR(__xludf.DUMMYFUNCTION("LET(
  monthStart,DATE(VALUE(REGEXEXTRACT(K$1,""\d{4}"")),VALUE(REGEXEXTRACT(K$1,""T(\d+)"")),1),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L81" s="86">
        <f>IFERROR(__xludf.DUMMYFUNCTION("LET(
  monthStart,DATE(VALUE(REGEXEXTRACT(L$1,""\d{4}"")),VALUE(REGEXEXTRACT(L$1,""T(\d+)"")),1),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M81" s="86">
        <f>IFERROR(__xludf.DUMMYFUNCTION("LET(
  monthStart,DATE(VALUE(REGEXEXTRACT(M$1,""\d{4}"")),VALUE(REGEXEXTRACT(M$1,""T(\d+)"")),1),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N81" s="86">
        <f>IFERROR(__xludf.DUMMYFUNCTION("LET(
  monthStart,DATE(VALUE(REGEXEXTRACT(N$1,""\d{4}"")),VALUE(REGEXEXTRACT(N$1,""T(\d+)"")),1),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O81" s="86">
        <f>IFERROR(__xludf.DUMMYFUNCTION("LET(
  monthStart,DATE(VALUE(REGEXEXTRACT(O$1,""\d{4}"")),VALUE(REGEXEXTRACT(O$1,""T(\d+)"")),1),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P81" s="86">
        <f>IFERROR(__xludf.DUMMYFUNCTION("LET(
  monthStart,DATE(VALUE(REGEXEXTRACT(P$1,""\d{4}"")),VALUE(REGEXEXTRACT(P$1,""T(\d+)"")),1),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Q81" s="86">
        <f>IFERROR(__xludf.DUMMYFUNCTION("LET(
  monthStart,DATE(VALUE(REGEXEXTRACT(Q$1,""\d{4}"")),VALUE(REGEXEXTRACT(Q$1,""T(\d+)"")),1),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R81" s="86">
        <f>IFERROR(__xludf.DUMMYFUNCTION("LET(
  monthStart,DATE(VALUE(REGEXEXTRACT(R$1,""\d{4}"")),VALUE(REGEXEXTRACT(R$1,""T(\d+)"")),1),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S81" s="86">
        <f>IFERROR(__xludf.DUMMYFUNCTION("LET(
  monthStart,DATE(VALUE(REGEXEXTRACT(S$1,""\d{4}"")),VALUE(REGEXEXTRACT(S$1,""T(\d+)"")),1),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T81" s="86">
        <f>IFERROR(__xludf.DUMMYFUNCTION("LET(
  monthStart,DATE(VALUE(REGEXEXTRACT(T$1,""\d{4}"")),VALUE(REGEXEXTRACT(T$1,""T(\d+)"")),1),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U81" s="86">
        <f>IFERROR(__xludf.DUMMYFUNCTION("LET(
  monthStart,DATE(VALUE(REGEXEXTRACT(U$1,""\d{4}"")),VALUE(REGEXEXTRACT(U$1,""T(\d+)"")),1),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V81" s="86">
        <f>IFERROR(__xludf.DUMMYFUNCTION("LET(
  monthStart,DATE(VALUE(REGEXEXTRACT(V$1,""\d{4}"")),VALUE(REGEXEXTRACT(V$1,""T(\d+)"")),1),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W81" s="86">
        <f>IFERROR(__xludf.DUMMYFUNCTION("LET(
  monthStart,DATE(VALUE(REGEXEXTRACT(W$1,""\d{4}"")),VALUE(REGEXEXTRACT(W$1,""T(\d+)"")),1),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X81" s="86">
        <f>IFERROR(__xludf.DUMMYFUNCTION("LET(
  monthStart,DATE(VALUE(REGEXEXTRACT(X$1,""\d{4}"")),VALUE(REGEXEXTRACT(X$1,""T(\d+)"")),1),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Y81" s="86">
        <f>IFERROR(__xludf.DUMMYFUNCTION("LET(
  monthStart,DATE(VALUE(REGEXEXTRACT(Y$1,""\d{4}"")),VALUE(REGEXEXTRACT(Y$1,""T(\d+)"")),1),
  monthEnd,EOMONTH(monthStart,0),
  actualStart,MAX($D81,monthStart),
  actualEnd,MIN($E81,monthEnd),
  workingDaysInMonth,NETWORKDAYS(monthStart,monthEnd),
"&amp;"  workingDaysOverlap,IF(actualStart&gt;actualEnd,0,NETWORKDAYS(actualStart,actualEnd)),
  IF(workingDaysOverlap=0,"""",$F81*workingDaysOverlap/workingDaysInMonth)
)"),0.0)</f>
        <v>0</v>
      </c>
      <c r="Z81" s="64"/>
      <c r="AA81" s="64"/>
      <c r="AB81" s="64"/>
      <c r="AC81" s="64"/>
      <c r="AD81" s="64"/>
      <c r="AE81" s="64"/>
      <c r="AF81" s="64"/>
      <c r="AG81" s="64"/>
      <c r="AH81" s="64"/>
      <c r="AI81" s="64"/>
      <c r="AJ81" s="64"/>
      <c r="AK81" s="64"/>
      <c r="AO81" s="64"/>
      <c r="AP81" s="64"/>
      <c r="AQ81" s="64"/>
      <c r="AR81" s="64"/>
      <c r="AS81" s="64"/>
      <c r="AT81" s="64"/>
      <c r="AX81" s="64"/>
      <c r="AY81" s="77"/>
      <c r="AZ81" s="77"/>
      <c r="BA81" s="77"/>
      <c r="BB81" s="74"/>
      <c r="BC81" s="74"/>
      <c r="BD81" s="67"/>
      <c r="BH81" s="64"/>
      <c r="BI81" s="64"/>
      <c r="BJ81" s="64"/>
      <c r="BK81" s="64"/>
      <c r="BL81" s="64"/>
      <c r="BM81" s="64"/>
      <c r="BN81" s="64"/>
    </row>
    <row r="82" ht="30.0" customHeight="1">
      <c r="A82" s="81"/>
      <c r="B82" s="61"/>
      <c r="C82" s="83"/>
      <c r="D82" s="84"/>
      <c r="E82" s="84"/>
      <c r="F82" s="86"/>
      <c r="G82" s="86">
        <f>IFERROR(__xludf.DUMMYFUNCTION("LET(
  monthStart,DATE(VALUE(REGEXEXTRACT(G$1,""\d{4}"")),VALUE(REGEXEXTRACT(G$1,""T(\d+)"")),1),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H82" s="86">
        <f>IFERROR(__xludf.DUMMYFUNCTION("LET(
  monthStart,DATE(VALUE(REGEXEXTRACT(H$1,""\d{4}"")),VALUE(REGEXEXTRACT(H$1,""T(\d+)"")),1),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I82" s="86">
        <f>IFERROR(__xludf.DUMMYFUNCTION("LET(
  monthStart,DATE(VALUE(REGEXEXTRACT(I$1,""\d{4}"")),VALUE(REGEXEXTRACT(I$1,""T(\d+)"")),1),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J82" s="86">
        <f>IFERROR(__xludf.DUMMYFUNCTION("LET(
  monthStart,DATE(VALUE(REGEXEXTRACT(J$1,""\d{4}"")),VALUE(REGEXEXTRACT(J$1,""T(\d+)"")),1),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K82" s="86">
        <f>IFERROR(__xludf.DUMMYFUNCTION("LET(
  monthStart,DATE(VALUE(REGEXEXTRACT(K$1,""\d{4}"")),VALUE(REGEXEXTRACT(K$1,""T(\d+)"")),1),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L82" s="86">
        <f>IFERROR(__xludf.DUMMYFUNCTION("LET(
  monthStart,DATE(VALUE(REGEXEXTRACT(L$1,""\d{4}"")),VALUE(REGEXEXTRACT(L$1,""T(\d+)"")),1),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M82" s="86">
        <f>IFERROR(__xludf.DUMMYFUNCTION("LET(
  monthStart,DATE(VALUE(REGEXEXTRACT(M$1,""\d{4}"")),VALUE(REGEXEXTRACT(M$1,""T(\d+)"")),1),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N82" s="86">
        <f>IFERROR(__xludf.DUMMYFUNCTION("LET(
  monthStart,DATE(VALUE(REGEXEXTRACT(N$1,""\d{4}"")),VALUE(REGEXEXTRACT(N$1,""T(\d+)"")),1),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O82" s="86">
        <f>IFERROR(__xludf.DUMMYFUNCTION("LET(
  monthStart,DATE(VALUE(REGEXEXTRACT(O$1,""\d{4}"")),VALUE(REGEXEXTRACT(O$1,""T(\d+)"")),1),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P82" s="86">
        <f>IFERROR(__xludf.DUMMYFUNCTION("LET(
  monthStart,DATE(VALUE(REGEXEXTRACT(P$1,""\d{4}"")),VALUE(REGEXEXTRACT(P$1,""T(\d+)"")),1),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Q82" s="86">
        <f>IFERROR(__xludf.DUMMYFUNCTION("LET(
  monthStart,DATE(VALUE(REGEXEXTRACT(Q$1,""\d{4}"")),VALUE(REGEXEXTRACT(Q$1,""T(\d+)"")),1),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R82" s="86">
        <f>IFERROR(__xludf.DUMMYFUNCTION("LET(
  monthStart,DATE(VALUE(REGEXEXTRACT(R$1,""\d{4}"")),VALUE(REGEXEXTRACT(R$1,""T(\d+)"")),1),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S82" s="86">
        <f>IFERROR(__xludf.DUMMYFUNCTION("LET(
  monthStart,DATE(VALUE(REGEXEXTRACT(S$1,""\d{4}"")),VALUE(REGEXEXTRACT(S$1,""T(\d+)"")),1),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T82" s="86">
        <f>IFERROR(__xludf.DUMMYFUNCTION("LET(
  monthStart,DATE(VALUE(REGEXEXTRACT(T$1,""\d{4}"")),VALUE(REGEXEXTRACT(T$1,""T(\d+)"")),1),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U82" s="86">
        <f>IFERROR(__xludf.DUMMYFUNCTION("LET(
  monthStart,DATE(VALUE(REGEXEXTRACT(U$1,""\d{4}"")),VALUE(REGEXEXTRACT(U$1,""T(\d+)"")),1),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V82" s="86">
        <f>IFERROR(__xludf.DUMMYFUNCTION("LET(
  monthStart,DATE(VALUE(REGEXEXTRACT(V$1,""\d{4}"")),VALUE(REGEXEXTRACT(V$1,""T(\d+)"")),1),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W82" s="86">
        <f>IFERROR(__xludf.DUMMYFUNCTION("LET(
  monthStart,DATE(VALUE(REGEXEXTRACT(W$1,""\d{4}"")),VALUE(REGEXEXTRACT(W$1,""T(\d+)"")),1),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X82" s="86">
        <f>IFERROR(__xludf.DUMMYFUNCTION("LET(
  monthStart,DATE(VALUE(REGEXEXTRACT(X$1,""\d{4}"")),VALUE(REGEXEXTRACT(X$1,""T(\d+)"")),1),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Y82" s="86">
        <f>IFERROR(__xludf.DUMMYFUNCTION("LET(
  monthStart,DATE(VALUE(REGEXEXTRACT(Y$1,""\d{4}"")),VALUE(REGEXEXTRACT(Y$1,""T(\d+)"")),1),
  monthEnd,EOMONTH(monthStart,0),
  actualStart,MAX($D82,monthStart),
  actualEnd,MIN($E82,monthEnd),
  workingDaysInMonth,NETWORKDAYS(monthStart,monthEnd),
"&amp;"  workingDaysOverlap,IF(actualStart&gt;actualEnd,0,NETWORKDAYS(actualStart,actualEnd)),
  IF(workingDaysOverlap=0,"""",$F82*workingDaysOverlap/workingDaysInMonth)
)"),0.0)</f>
        <v>0</v>
      </c>
      <c r="Z82" s="64"/>
      <c r="AA82" s="64"/>
      <c r="AB82" s="64"/>
      <c r="AC82" s="64"/>
      <c r="AD82" s="64"/>
      <c r="AE82" s="64"/>
      <c r="AF82" s="64"/>
      <c r="AG82" s="64"/>
      <c r="AH82" s="64"/>
      <c r="AI82" s="64"/>
      <c r="AJ82" s="64"/>
      <c r="AK82" s="64"/>
      <c r="AO82" s="64"/>
      <c r="AP82" s="64"/>
      <c r="AQ82" s="64"/>
      <c r="AR82" s="64"/>
      <c r="AS82" s="64"/>
      <c r="AT82" s="64"/>
      <c r="AX82" s="64"/>
      <c r="AY82" s="77"/>
      <c r="AZ82" s="77"/>
      <c r="BA82" s="77"/>
      <c r="BB82" s="74"/>
      <c r="BC82" s="74"/>
      <c r="BD82" s="67"/>
      <c r="BH82" s="64"/>
      <c r="BI82" s="64"/>
      <c r="BJ82" s="64"/>
      <c r="BK82" s="64"/>
      <c r="BL82" s="64"/>
      <c r="BM82" s="64"/>
      <c r="BN82" s="64"/>
    </row>
    <row r="83" ht="30.0" customHeight="1">
      <c r="A83" s="81"/>
      <c r="B83" s="61"/>
      <c r="C83" s="83"/>
      <c r="D83" s="84"/>
      <c r="E83" s="84"/>
      <c r="F83" s="86"/>
      <c r="G83" s="86">
        <f>IFERROR(__xludf.DUMMYFUNCTION("LET(
  monthStart,DATE(VALUE(REGEXEXTRACT(G$1,""\d{4}"")),VALUE(REGEXEXTRACT(G$1,""T(\d+)"")),1),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H83" s="86">
        <f>IFERROR(__xludf.DUMMYFUNCTION("LET(
  monthStart,DATE(VALUE(REGEXEXTRACT(H$1,""\d{4}"")),VALUE(REGEXEXTRACT(H$1,""T(\d+)"")),1),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I83" s="86">
        <f>IFERROR(__xludf.DUMMYFUNCTION("LET(
  monthStart,DATE(VALUE(REGEXEXTRACT(I$1,""\d{4}"")),VALUE(REGEXEXTRACT(I$1,""T(\d+)"")),1),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J83" s="86">
        <f>IFERROR(__xludf.DUMMYFUNCTION("LET(
  monthStart,DATE(VALUE(REGEXEXTRACT(J$1,""\d{4}"")),VALUE(REGEXEXTRACT(J$1,""T(\d+)"")),1),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K83" s="86">
        <f>IFERROR(__xludf.DUMMYFUNCTION("LET(
  monthStart,DATE(VALUE(REGEXEXTRACT(K$1,""\d{4}"")),VALUE(REGEXEXTRACT(K$1,""T(\d+)"")),1),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L83" s="86">
        <f>IFERROR(__xludf.DUMMYFUNCTION("LET(
  monthStart,DATE(VALUE(REGEXEXTRACT(L$1,""\d{4}"")),VALUE(REGEXEXTRACT(L$1,""T(\d+)"")),1),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M83" s="86">
        <f>IFERROR(__xludf.DUMMYFUNCTION("LET(
  monthStart,DATE(VALUE(REGEXEXTRACT(M$1,""\d{4}"")),VALUE(REGEXEXTRACT(M$1,""T(\d+)"")),1),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N83" s="86">
        <f>IFERROR(__xludf.DUMMYFUNCTION("LET(
  monthStart,DATE(VALUE(REGEXEXTRACT(N$1,""\d{4}"")),VALUE(REGEXEXTRACT(N$1,""T(\d+)"")),1),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O83" s="86">
        <f>IFERROR(__xludf.DUMMYFUNCTION("LET(
  monthStart,DATE(VALUE(REGEXEXTRACT(O$1,""\d{4}"")),VALUE(REGEXEXTRACT(O$1,""T(\d+)"")),1),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P83" s="86">
        <f>IFERROR(__xludf.DUMMYFUNCTION("LET(
  monthStart,DATE(VALUE(REGEXEXTRACT(P$1,""\d{4}"")),VALUE(REGEXEXTRACT(P$1,""T(\d+)"")),1),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Q83" s="86">
        <f>IFERROR(__xludf.DUMMYFUNCTION("LET(
  monthStart,DATE(VALUE(REGEXEXTRACT(Q$1,""\d{4}"")),VALUE(REGEXEXTRACT(Q$1,""T(\d+)"")),1),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R83" s="86">
        <f>IFERROR(__xludf.DUMMYFUNCTION("LET(
  monthStart,DATE(VALUE(REGEXEXTRACT(R$1,""\d{4}"")),VALUE(REGEXEXTRACT(R$1,""T(\d+)"")),1),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S83" s="86">
        <f>IFERROR(__xludf.DUMMYFUNCTION("LET(
  monthStart,DATE(VALUE(REGEXEXTRACT(S$1,""\d{4}"")),VALUE(REGEXEXTRACT(S$1,""T(\d+)"")),1),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T83" s="86">
        <f>IFERROR(__xludf.DUMMYFUNCTION("LET(
  monthStart,DATE(VALUE(REGEXEXTRACT(T$1,""\d{4}"")),VALUE(REGEXEXTRACT(T$1,""T(\d+)"")),1),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U83" s="86">
        <f>IFERROR(__xludf.DUMMYFUNCTION("LET(
  monthStart,DATE(VALUE(REGEXEXTRACT(U$1,""\d{4}"")),VALUE(REGEXEXTRACT(U$1,""T(\d+)"")),1),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V83" s="86">
        <f>IFERROR(__xludf.DUMMYFUNCTION("LET(
  monthStart,DATE(VALUE(REGEXEXTRACT(V$1,""\d{4}"")),VALUE(REGEXEXTRACT(V$1,""T(\d+)"")),1),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W83" s="86">
        <f>IFERROR(__xludf.DUMMYFUNCTION("LET(
  monthStart,DATE(VALUE(REGEXEXTRACT(W$1,""\d{4}"")),VALUE(REGEXEXTRACT(W$1,""T(\d+)"")),1),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X83" s="86">
        <f>IFERROR(__xludf.DUMMYFUNCTION("LET(
  monthStart,DATE(VALUE(REGEXEXTRACT(X$1,""\d{4}"")),VALUE(REGEXEXTRACT(X$1,""T(\d+)"")),1),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Y83" s="86">
        <f>IFERROR(__xludf.DUMMYFUNCTION("LET(
  monthStart,DATE(VALUE(REGEXEXTRACT(Y$1,""\d{4}"")),VALUE(REGEXEXTRACT(Y$1,""T(\d+)"")),1),
  monthEnd,EOMONTH(monthStart,0),
  actualStart,MAX($D83,monthStart),
  actualEnd,MIN($E83,monthEnd),
  workingDaysInMonth,NETWORKDAYS(monthStart,monthEnd),
"&amp;"  workingDaysOverlap,IF(actualStart&gt;actualEnd,0,NETWORKDAYS(actualStart,actualEnd)),
  IF(workingDaysOverlap=0,"""",$F83*workingDaysOverlap/workingDaysInMonth)
)"),0.0)</f>
        <v>0</v>
      </c>
      <c r="Z83" s="64"/>
      <c r="AA83" s="64"/>
      <c r="AB83" s="64"/>
      <c r="AC83" s="64"/>
      <c r="AD83" s="64"/>
      <c r="AE83" s="64"/>
      <c r="AF83" s="64"/>
      <c r="AG83" s="64"/>
      <c r="AH83" s="64"/>
      <c r="AI83" s="64"/>
      <c r="AJ83" s="64"/>
      <c r="AK83" s="64"/>
      <c r="AO83" s="64"/>
      <c r="AP83" s="64"/>
      <c r="AQ83" s="64"/>
      <c r="AR83" s="64"/>
      <c r="AS83" s="64"/>
      <c r="AT83" s="64"/>
      <c r="AX83" s="64"/>
      <c r="AY83" s="77"/>
      <c r="AZ83" s="77"/>
      <c r="BA83" s="77"/>
      <c r="BB83" s="74"/>
      <c r="BC83" s="74"/>
      <c r="BD83" s="67"/>
      <c r="BH83" s="64"/>
      <c r="BI83" s="64"/>
      <c r="BJ83" s="64"/>
      <c r="BK83" s="64"/>
      <c r="BL83" s="64"/>
      <c r="BM83" s="64"/>
      <c r="BN83" s="64"/>
    </row>
    <row r="84" ht="30.0" customHeight="1">
      <c r="A84" s="81"/>
      <c r="B84" s="61"/>
      <c r="C84" s="83"/>
      <c r="D84" s="84"/>
      <c r="E84" s="84"/>
      <c r="F84" s="86"/>
      <c r="G84" s="86">
        <f>IFERROR(__xludf.DUMMYFUNCTION("LET(
  monthStart,DATE(VALUE(REGEXEXTRACT(G$1,""\d{4}"")),VALUE(REGEXEXTRACT(G$1,""T(\d+)"")),1),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H84" s="86">
        <f>IFERROR(__xludf.DUMMYFUNCTION("LET(
  monthStart,DATE(VALUE(REGEXEXTRACT(H$1,""\d{4}"")),VALUE(REGEXEXTRACT(H$1,""T(\d+)"")),1),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I84" s="86">
        <f>IFERROR(__xludf.DUMMYFUNCTION("LET(
  monthStart,DATE(VALUE(REGEXEXTRACT(I$1,""\d{4}"")),VALUE(REGEXEXTRACT(I$1,""T(\d+)"")),1),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J84" s="86">
        <f>IFERROR(__xludf.DUMMYFUNCTION("LET(
  monthStart,DATE(VALUE(REGEXEXTRACT(J$1,""\d{4}"")),VALUE(REGEXEXTRACT(J$1,""T(\d+)"")),1),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K84" s="86">
        <f>IFERROR(__xludf.DUMMYFUNCTION("LET(
  monthStart,DATE(VALUE(REGEXEXTRACT(K$1,""\d{4}"")),VALUE(REGEXEXTRACT(K$1,""T(\d+)"")),1),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L84" s="86">
        <f>IFERROR(__xludf.DUMMYFUNCTION("LET(
  monthStart,DATE(VALUE(REGEXEXTRACT(L$1,""\d{4}"")),VALUE(REGEXEXTRACT(L$1,""T(\d+)"")),1),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M84" s="86">
        <f>IFERROR(__xludf.DUMMYFUNCTION("LET(
  monthStart,DATE(VALUE(REGEXEXTRACT(M$1,""\d{4}"")),VALUE(REGEXEXTRACT(M$1,""T(\d+)"")),1),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N84" s="86">
        <f>IFERROR(__xludf.DUMMYFUNCTION("LET(
  monthStart,DATE(VALUE(REGEXEXTRACT(N$1,""\d{4}"")),VALUE(REGEXEXTRACT(N$1,""T(\d+)"")),1),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O84" s="86">
        <f>IFERROR(__xludf.DUMMYFUNCTION("LET(
  monthStart,DATE(VALUE(REGEXEXTRACT(O$1,""\d{4}"")),VALUE(REGEXEXTRACT(O$1,""T(\d+)"")),1),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P84" s="86">
        <f>IFERROR(__xludf.DUMMYFUNCTION("LET(
  monthStart,DATE(VALUE(REGEXEXTRACT(P$1,""\d{4}"")),VALUE(REGEXEXTRACT(P$1,""T(\d+)"")),1),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Q84" s="86">
        <f>IFERROR(__xludf.DUMMYFUNCTION("LET(
  monthStart,DATE(VALUE(REGEXEXTRACT(Q$1,""\d{4}"")),VALUE(REGEXEXTRACT(Q$1,""T(\d+)"")),1),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R84" s="86">
        <f>IFERROR(__xludf.DUMMYFUNCTION("LET(
  monthStart,DATE(VALUE(REGEXEXTRACT(R$1,""\d{4}"")),VALUE(REGEXEXTRACT(R$1,""T(\d+)"")),1),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S84" s="86">
        <f>IFERROR(__xludf.DUMMYFUNCTION("LET(
  monthStart,DATE(VALUE(REGEXEXTRACT(S$1,""\d{4}"")),VALUE(REGEXEXTRACT(S$1,""T(\d+)"")),1),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T84" s="86">
        <f>IFERROR(__xludf.DUMMYFUNCTION("LET(
  monthStart,DATE(VALUE(REGEXEXTRACT(T$1,""\d{4}"")),VALUE(REGEXEXTRACT(T$1,""T(\d+)"")),1),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U84" s="86">
        <f>IFERROR(__xludf.DUMMYFUNCTION("LET(
  monthStart,DATE(VALUE(REGEXEXTRACT(U$1,""\d{4}"")),VALUE(REGEXEXTRACT(U$1,""T(\d+)"")),1),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V84" s="86">
        <f>IFERROR(__xludf.DUMMYFUNCTION("LET(
  monthStart,DATE(VALUE(REGEXEXTRACT(V$1,""\d{4}"")),VALUE(REGEXEXTRACT(V$1,""T(\d+)"")),1),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W84" s="86">
        <f>IFERROR(__xludf.DUMMYFUNCTION("LET(
  monthStart,DATE(VALUE(REGEXEXTRACT(W$1,""\d{4}"")),VALUE(REGEXEXTRACT(W$1,""T(\d+)"")),1),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X84" s="86">
        <f>IFERROR(__xludf.DUMMYFUNCTION("LET(
  monthStart,DATE(VALUE(REGEXEXTRACT(X$1,""\d{4}"")),VALUE(REGEXEXTRACT(X$1,""T(\d+)"")),1),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Y84" s="86">
        <f>IFERROR(__xludf.DUMMYFUNCTION("LET(
  monthStart,DATE(VALUE(REGEXEXTRACT(Y$1,""\d{4}"")),VALUE(REGEXEXTRACT(Y$1,""T(\d+)"")),1),
  monthEnd,EOMONTH(monthStart,0),
  actualStart,MAX($D84,monthStart),
  actualEnd,MIN($E84,monthEnd),
  workingDaysInMonth,NETWORKDAYS(monthStart,monthEnd),
"&amp;"  workingDaysOverlap,IF(actualStart&gt;actualEnd,0,NETWORKDAYS(actualStart,actualEnd)),
  IF(workingDaysOverlap=0,"""",$F84*workingDaysOverlap/workingDaysInMonth)
)"),0.0)</f>
        <v>0</v>
      </c>
      <c r="Z84" s="64"/>
      <c r="AA84" s="64"/>
      <c r="AB84" s="64"/>
      <c r="AC84" s="64"/>
      <c r="AD84" s="64"/>
      <c r="AE84" s="64"/>
      <c r="AF84" s="64"/>
      <c r="AG84" s="64"/>
      <c r="AH84" s="64"/>
      <c r="AI84" s="64"/>
      <c r="AJ84" s="64"/>
      <c r="AK84" s="64"/>
      <c r="AO84" s="64"/>
      <c r="AP84" s="64"/>
      <c r="AQ84" s="64"/>
      <c r="AR84" s="64"/>
      <c r="AS84" s="64"/>
      <c r="AT84" s="64"/>
      <c r="AX84" s="64"/>
      <c r="AY84" s="77"/>
      <c r="AZ84" s="78"/>
      <c r="BA84" s="77"/>
      <c r="BB84" s="74"/>
      <c r="BC84" s="74"/>
      <c r="BD84" s="67"/>
      <c r="BH84" s="64"/>
      <c r="BI84" s="64"/>
      <c r="BJ84" s="64"/>
      <c r="BK84" s="64"/>
      <c r="BL84" s="64"/>
      <c r="BM84" s="64"/>
      <c r="BN84" s="64"/>
    </row>
    <row r="85" ht="30.0" customHeight="1">
      <c r="A85" s="81"/>
      <c r="B85" s="61"/>
      <c r="C85" s="83"/>
      <c r="D85" s="84"/>
      <c r="E85" s="84"/>
      <c r="F85" s="86"/>
      <c r="G85" s="86">
        <f>IFERROR(__xludf.DUMMYFUNCTION("LET(
  monthStart,DATE(VALUE(REGEXEXTRACT(G$1,""\d{4}"")),VALUE(REGEXEXTRACT(G$1,""T(\d+)"")),1),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H85" s="86">
        <f>IFERROR(__xludf.DUMMYFUNCTION("LET(
  monthStart,DATE(VALUE(REGEXEXTRACT(H$1,""\d{4}"")),VALUE(REGEXEXTRACT(H$1,""T(\d+)"")),1),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I85" s="86">
        <f>IFERROR(__xludf.DUMMYFUNCTION("LET(
  monthStart,DATE(VALUE(REGEXEXTRACT(I$1,""\d{4}"")),VALUE(REGEXEXTRACT(I$1,""T(\d+)"")),1),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J85" s="86">
        <f>IFERROR(__xludf.DUMMYFUNCTION("LET(
  monthStart,DATE(VALUE(REGEXEXTRACT(J$1,""\d{4}"")),VALUE(REGEXEXTRACT(J$1,""T(\d+)"")),1),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K85" s="86">
        <f>IFERROR(__xludf.DUMMYFUNCTION("LET(
  monthStart,DATE(VALUE(REGEXEXTRACT(K$1,""\d{4}"")),VALUE(REGEXEXTRACT(K$1,""T(\d+)"")),1),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L85" s="86">
        <f>IFERROR(__xludf.DUMMYFUNCTION("LET(
  monthStart,DATE(VALUE(REGEXEXTRACT(L$1,""\d{4}"")),VALUE(REGEXEXTRACT(L$1,""T(\d+)"")),1),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M85" s="86">
        <f>IFERROR(__xludf.DUMMYFUNCTION("LET(
  monthStart,DATE(VALUE(REGEXEXTRACT(M$1,""\d{4}"")),VALUE(REGEXEXTRACT(M$1,""T(\d+)"")),1),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N85" s="86">
        <f>IFERROR(__xludf.DUMMYFUNCTION("LET(
  monthStart,DATE(VALUE(REGEXEXTRACT(N$1,""\d{4}"")),VALUE(REGEXEXTRACT(N$1,""T(\d+)"")),1),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O85" s="86">
        <f>IFERROR(__xludf.DUMMYFUNCTION("LET(
  monthStart,DATE(VALUE(REGEXEXTRACT(O$1,""\d{4}"")),VALUE(REGEXEXTRACT(O$1,""T(\d+)"")),1),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P85" s="86">
        <f>IFERROR(__xludf.DUMMYFUNCTION("LET(
  monthStart,DATE(VALUE(REGEXEXTRACT(P$1,""\d{4}"")),VALUE(REGEXEXTRACT(P$1,""T(\d+)"")),1),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Q85" s="86">
        <f>IFERROR(__xludf.DUMMYFUNCTION("LET(
  monthStart,DATE(VALUE(REGEXEXTRACT(Q$1,""\d{4}"")),VALUE(REGEXEXTRACT(Q$1,""T(\d+)"")),1),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R85" s="86">
        <f>IFERROR(__xludf.DUMMYFUNCTION("LET(
  monthStart,DATE(VALUE(REGEXEXTRACT(R$1,""\d{4}"")),VALUE(REGEXEXTRACT(R$1,""T(\d+)"")),1),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S85" s="86">
        <f>IFERROR(__xludf.DUMMYFUNCTION("LET(
  monthStart,DATE(VALUE(REGEXEXTRACT(S$1,""\d{4}"")),VALUE(REGEXEXTRACT(S$1,""T(\d+)"")),1),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T85" s="86">
        <f>IFERROR(__xludf.DUMMYFUNCTION("LET(
  monthStart,DATE(VALUE(REGEXEXTRACT(T$1,""\d{4}"")),VALUE(REGEXEXTRACT(T$1,""T(\d+)"")),1),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U85" s="86">
        <f>IFERROR(__xludf.DUMMYFUNCTION("LET(
  monthStart,DATE(VALUE(REGEXEXTRACT(U$1,""\d{4}"")),VALUE(REGEXEXTRACT(U$1,""T(\d+)"")),1),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V85" s="86">
        <f>IFERROR(__xludf.DUMMYFUNCTION("LET(
  monthStart,DATE(VALUE(REGEXEXTRACT(V$1,""\d{4}"")),VALUE(REGEXEXTRACT(V$1,""T(\d+)"")),1),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W85" s="86">
        <f>IFERROR(__xludf.DUMMYFUNCTION("LET(
  monthStart,DATE(VALUE(REGEXEXTRACT(W$1,""\d{4}"")),VALUE(REGEXEXTRACT(W$1,""T(\d+)"")),1),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X85" s="86">
        <f>IFERROR(__xludf.DUMMYFUNCTION("LET(
  monthStart,DATE(VALUE(REGEXEXTRACT(X$1,""\d{4}"")),VALUE(REGEXEXTRACT(X$1,""T(\d+)"")),1),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Y85" s="86">
        <f>IFERROR(__xludf.DUMMYFUNCTION("LET(
  monthStart,DATE(VALUE(REGEXEXTRACT(Y$1,""\d{4}"")),VALUE(REGEXEXTRACT(Y$1,""T(\d+)"")),1),
  monthEnd,EOMONTH(monthStart,0),
  actualStart,MAX($D85,monthStart),
  actualEnd,MIN($E85,monthEnd),
  workingDaysInMonth,NETWORKDAYS(monthStart,monthEnd),
"&amp;"  workingDaysOverlap,IF(actualStart&gt;actualEnd,0,NETWORKDAYS(actualStart,actualEnd)),
  IF(workingDaysOverlap=0,"""",$F85*workingDaysOverlap/workingDaysInMonth)
)"),0.0)</f>
        <v>0</v>
      </c>
      <c r="Z85" s="64"/>
      <c r="AA85" s="64"/>
      <c r="AB85" s="64"/>
      <c r="AC85" s="64"/>
      <c r="AD85" s="64"/>
      <c r="AE85" s="64"/>
      <c r="AF85" s="64"/>
      <c r="AG85" s="64"/>
      <c r="AH85" s="64"/>
      <c r="AI85" s="64"/>
      <c r="AJ85" s="64"/>
      <c r="AK85" s="64"/>
      <c r="AO85" s="64"/>
      <c r="AP85" s="64"/>
      <c r="AQ85" s="64"/>
      <c r="AR85" s="64"/>
      <c r="AS85" s="64"/>
      <c r="AT85" s="64"/>
      <c r="AX85" s="64"/>
      <c r="AY85" s="77"/>
      <c r="AZ85" s="77"/>
      <c r="BA85" s="77"/>
      <c r="BB85" s="74"/>
      <c r="BC85" s="74"/>
      <c r="BD85" s="67"/>
      <c r="BH85" s="64"/>
      <c r="BI85" s="64"/>
      <c r="BJ85" s="64"/>
      <c r="BK85" s="64"/>
      <c r="BL85" s="64"/>
      <c r="BM85" s="64"/>
      <c r="BN85" s="64"/>
    </row>
    <row r="86" ht="30.0" customHeight="1">
      <c r="A86" s="81"/>
      <c r="B86" s="61"/>
      <c r="C86" s="83"/>
      <c r="D86" s="84"/>
      <c r="E86" s="84"/>
      <c r="F86" s="86"/>
      <c r="G86" s="86">
        <f>IFERROR(__xludf.DUMMYFUNCTION("LET(
  monthStart,DATE(VALUE(REGEXEXTRACT(G$1,""\d{4}"")),VALUE(REGEXEXTRACT(G$1,""T(\d+)"")),1),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H86" s="86">
        <f>IFERROR(__xludf.DUMMYFUNCTION("LET(
  monthStart,DATE(VALUE(REGEXEXTRACT(H$1,""\d{4}"")),VALUE(REGEXEXTRACT(H$1,""T(\d+)"")),1),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I86" s="86">
        <f>IFERROR(__xludf.DUMMYFUNCTION("LET(
  monthStart,DATE(VALUE(REGEXEXTRACT(I$1,""\d{4}"")),VALUE(REGEXEXTRACT(I$1,""T(\d+)"")),1),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J86" s="86">
        <f>IFERROR(__xludf.DUMMYFUNCTION("LET(
  monthStart,DATE(VALUE(REGEXEXTRACT(J$1,""\d{4}"")),VALUE(REGEXEXTRACT(J$1,""T(\d+)"")),1),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K86" s="86">
        <f>IFERROR(__xludf.DUMMYFUNCTION("LET(
  monthStart,DATE(VALUE(REGEXEXTRACT(K$1,""\d{4}"")),VALUE(REGEXEXTRACT(K$1,""T(\d+)"")),1),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L86" s="86">
        <f>IFERROR(__xludf.DUMMYFUNCTION("LET(
  monthStart,DATE(VALUE(REGEXEXTRACT(L$1,""\d{4}"")),VALUE(REGEXEXTRACT(L$1,""T(\d+)"")),1),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M86" s="86">
        <f>IFERROR(__xludf.DUMMYFUNCTION("LET(
  monthStart,DATE(VALUE(REGEXEXTRACT(M$1,""\d{4}"")),VALUE(REGEXEXTRACT(M$1,""T(\d+)"")),1),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N86" s="86">
        <f>IFERROR(__xludf.DUMMYFUNCTION("LET(
  monthStart,DATE(VALUE(REGEXEXTRACT(N$1,""\d{4}"")),VALUE(REGEXEXTRACT(N$1,""T(\d+)"")),1),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O86" s="86">
        <f>IFERROR(__xludf.DUMMYFUNCTION("LET(
  monthStart,DATE(VALUE(REGEXEXTRACT(O$1,""\d{4}"")),VALUE(REGEXEXTRACT(O$1,""T(\d+)"")),1),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P86" s="86">
        <f>IFERROR(__xludf.DUMMYFUNCTION("LET(
  monthStart,DATE(VALUE(REGEXEXTRACT(P$1,""\d{4}"")),VALUE(REGEXEXTRACT(P$1,""T(\d+)"")),1),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Q86" s="86">
        <f>IFERROR(__xludf.DUMMYFUNCTION("LET(
  monthStart,DATE(VALUE(REGEXEXTRACT(Q$1,""\d{4}"")),VALUE(REGEXEXTRACT(Q$1,""T(\d+)"")),1),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R86" s="86">
        <f>IFERROR(__xludf.DUMMYFUNCTION("LET(
  monthStart,DATE(VALUE(REGEXEXTRACT(R$1,""\d{4}"")),VALUE(REGEXEXTRACT(R$1,""T(\d+)"")),1),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S86" s="86">
        <f>IFERROR(__xludf.DUMMYFUNCTION("LET(
  monthStart,DATE(VALUE(REGEXEXTRACT(S$1,""\d{4}"")),VALUE(REGEXEXTRACT(S$1,""T(\d+)"")),1),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T86" s="86">
        <f>IFERROR(__xludf.DUMMYFUNCTION("LET(
  monthStart,DATE(VALUE(REGEXEXTRACT(T$1,""\d{4}"")),VALUE(REGEXEXTRACT(T$1,""T(\d+)"")),1),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U86" s="86">
        <f>IFERROR(__xludf.DUMMYFUNCTION("LET(
  monthStart,DATE(VALUE(REGEXEXTRACT(U$1,""\d{4}"")),VALUE(REGEXEXTRACT(U$1,""T(\d+)"")),1),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V86" s="86">
        <f>IFERROR(__xludf.DUMMYFUNCTION("LET(
  monthStart,DATE(VALUE(REGEXEXTRACT(V$1,""\d{4}"")),VALUE(REGEXEXTRACT(V$1,""T(\d+)"")),1),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W86" s="86">
        <f>IFERROR(__xludf.DUMMYFUNCTION("LET(
  monthStart,DATE(VALUE(REGEXEXTRACT(W$1,""\d{4}"")),VALUE(REGEXEXTRACT(W$1,""T(\d+)"")),1),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X86" s="86">
        <f>IFERROR(__xludf.DUMMYFUNCTION("LET(
  monthStart,DATE(VALUE(REGEXEXTRACT(X$1,""\d{4}"")),VALUE(REGEXEXTRACT(X$1,""T(\d+)"")),1),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Y86" s="86">
        <f>IFERROR(__xludf.DUMMYFUNCTION("LET(
  monthStart,DATE(VALUE(REGEXEXTRACT(Y$1,""\d{4}"")),VALUE(REGEXEXTRACT(Y$1,""T(\d+)"")),1),
  monthEnd,EOMONTH(monthStart,0),
  actualStart,MAX($D86,monthStart),
  actualEnd,MIN($E86,monthEnd),
  workingDaysInMonth,NETWORKDAYS(monthStart,monthEnd),
"&amp;"  workingDaysOverlap,IF(actualStart&gt;actualEnd,0,NETWORKDAYS(actualStart,actualEnd)),
  IF(workingDaysOverlap=0,"""",$F86*workingDaysOverlap/workingDaysInMonth)
)"),0.0)</f>
        <v>0</v>
      </c>
      <c r="Z86" s="64"/>
      <c r="AA86" s="64"/>
      <c r="AB86" s="64"/>
      <c r="AC86" s="64"/>
      <c r="AD86" s="64"/>
      <c r="AE86" s="64"/>
      <c r="AF86" s="64"/>
      <c r="AG86" s="64"/>
      <c r="AH86" s="64"/>
      <c r="AI86" s="64"/>
      <c r="AJ86" s="64"/>
      <c r="AK86" s="64"/>
      <c r="AO86" s="64"/>
      <c r="AP86" s="64"/>
      <c r="AQ86" s="64"/>
      <c r="AR86" s="64"/>
      <c r="AS86" s="64"/>
      <c r="AT86" s="64"/>
      <c r="AX86" s="64"/>
      <c r="AY86" s="77"/>
      <c r="AZ86" s="78"/>
      <c r="BA86" s="77"/>
      <c r="BB86" s="74"/>
      <c r="BC86" s="74"/>
      <c r="BD86" s="67"/>
      <c r="BH86" s="64"/>
      <c r="BI86" s="64"/>
      <c r="BJ86" s="64"/>
      <c r="BK86" s="64"/>
      <c r="BL86" s="64"/>
      <c r="BM86" s="64"/>
      <c r="BN86" s="64"/>
    </row>
    <row r="87" ht="30.0" customHeight="1">
      <c r="A87" s="81"/>
      <c r="B87" s="61"/>
      <c r="C87" s="83"/>
      <c r="D87" s="84"/>
      <c r="E87" s="84"/>
      <c r="F87" s="86"/>
      <c r="G87" s="86">
        <f>IFERROR(__xludf.DUMMYFUNCTION("LET(
  monthStart,DATE(VALUE(REGEXEXTRACT(G$1,""\d{4}"")),VALUE(REGEXEXTRACT(G$1,""T(\d+)"")),1),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H87" s="86">
        <f>IFERROR(__xludf.DUMMYFUNCTION("LET(
  monthStart,DATE(VALUE(REGEXEXTRACT(H$1,""\d{4}"")),VALUE(REGEXEXTRACT(H$1,""T(\d+)"")),1),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I87" s="86">
        <f>IFERROR(__xludf.DUMMYFUNCTION("LET(
  monthStart,DATE(VALUE(REGEXEXTRACT(I$1,""\d{4}"")),VALUE(REGEXEXTRACT(I$1,""T(\d+)"")),1),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J87" s="86">
        <f>IFERROR(__xludf.DUMMYFUNCTION("LET(
  monthStart,DATE(VALUE(REGEXEXTRACT(J$1,""\d{4}"")),VALUE(REGEXEXTRACT(J$1,""T(\d+)"")),1),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K87" s="86">
        <f>IFERROR(__xludf.DUMMYFUNCTION("LET(
  monthStart,DATE(VALUE(REGEXEXTRACT(K$1,""\d{4}"")),VALUE(REGEXEXTRACT(K$1,""T(\d+)"")),1),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L87" s="86">
        <f>IFERROR(__xludf.DUMMYFUNCTION("LET(
  monthStart,DATE(VALUE(REGEXEXTRACT(L$1,""\d{4}"")),VALUE(REGEXEXTRACT(L$1,""T(\d+)"")),1),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M87" s="86">
        <f>IFERROR(__xludf.DUMMYFUNCTION("LET(
  monthStart,DATE(VALUE(REGEXEXTRACT(M$1,""\d{4}"")),VALUE(REGEXEXTRACT(M$1,""T(\d+)"")),1),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N87" s="86">
        <f>IFERROR(__xludf.DUMMYFUNCTION("LET(
  monthStart,DATE(VALUE(REGEXEXTRACT(N$1,""\d{4}"")),VALUE(REGEXEXTRACT(N$1,""T(\d+)"")),1),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O87" s="86">
        <f>IFERROR(__xludf.DUMMYFUNCTION("LET(
  monthStart,DATE(VALUE(REGEXEXTRACT(O$1,""\d{4}"")),VALUE(REGEXEXTRACT(O$1,""T(\d+)"")),1),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P87" s="86">
        <f>IFERROR(__xludf.DUMMYFUNCTION("LET(
  monthStart,DATE(VALUE(REGEXEXTRACT(P$1,""\d{4}"")),VALUE(REGEXEXTRACT(P$1,""T(\d+)"")),1),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Q87" s="86">
        <f>IFERROR(__xludf.DUMMYFUNCTION("LET(
  monthStart,DATE(VALUE(REGEXEXTRACT(Q$1,""\d{4}"")),VALUE(REGEXEXTRACT(Q$1,""T(\d+)"")),1),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R87" s="86">
        <f>IFERROR(__xludf.DUMMYFUNCTION("LET(
  monthStart,DATE(VALUE(REGEXEXTRACT(R$1,""\d{4}"")),VALUE(REGEXEXTRACT(R$1,""T(\d+)"")),1),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S87" s="86">
        <f>IFERROR(__xludf.DUMMYFUNCTION("LET(
  monthStart,DATE(VALUE(REGEXEXTRACT(S$1,""\d{4}"")),VALUE(REGEXEXTRACT(S$1,""T(\d+)"")),1),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T87" s="86">
        <f>IFERROR(__xludf.DUMMYFUNCTION("LET(
  monthStart,DATE(VALUE(REGEXEXTRACT(T$1,""\d{4}"")),VALUE(REGEXEXTRACT(T$1,""T(\d+)"")),1),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U87" s="86">
        <f>IFERROR(__xludf.DUMMYFUNCTION("LET(
  monthStart,DATE(VALUE(REGEXEXTRACT(U$1,""\d{4}"")),VALUE(REGEXEXTRACT(U$1,""T(\d+)"")),1),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V87" s="86">
        <f>IFERROR(__xludf.DUMMYFUNCTION("LET(
  monthStart,DATE(VALUE(REGEXEXTRACT(V$1,""\d{4}"")),VALUE(REGEXEXTRACT(V$1,""T(\d+)"")),1),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W87" s="86">
        <f>IFERROR(__xludf.DUMMYFUNCTION("LET(
  monthStart,DATE(VALUE(REGEXEXTRACT(W$1,""\d{4}"")),VALUE(REGEXEXTRACT(W$1,""T(\d+)"")),1),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X87" s="86">
        <f>IFERROR(__xludf.DUMMYFUNCTION("LET(
  monthStart,DATE(VALUE(REGEXEXTRACT(X$1,""\d{4}"")),VALUE(REGEXEXTRACT(X$1,""T(\d+)"")),1),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Y87" s="86">
        <f>IFERROR(__xludf.DUMMYFUNCTION("LET(
  monthStart,DATE(VALUE(REGEXEXTRACT(Y$1,""\d{4}"")),VALUE(REGEXEXTRACT(Y$1,""T(\d+)"")),1),
  monthEnd,EOMONTH(monthStart,0),
  actualStart,MAX($D87,monthStart),
  actualEnd,MIN($E87,monthEnd),
  workingDaysInMonth,NETWORKDAYS(monthStart,monthEnd),
"&amp;"  workingDaysOverlap,IF(actualStart&gt;actualEnd,0,NETWORKDAYS(actualStart,actualEnd)),
  IF(workingDaysOverlap=0,"""",$F87*workingDaysOverlap/workingDaysInMonth)
)"),0.0)</f>
        <v>0</v>
      </c>
      <c r="Z87" s="64"/>
      <c r="AA87" s="64"/>
      <c r="AB87" s="64"/>
      <c r="AC87" s="64"/>
      <c r="AD87" s="64"/>
      <c r="AE87" s="64"/>
      <c r="AF87" s="64"/>
      <c r="AG87" s="64"/>
      <c r="AH87" s="64"/>
      <c r="AI87" s="64"/>
      <c r="AJ87" s="64"/>
      <c r="AK87" s="64"/>
      <c r="AO87" s="64"/>
      <c r="AP87" s="64"/>
      <c r="AQ87" s="64"/>
      <c r="AR87" s="64"/>
      <c r="AS87" s="64"/>
      <c r="AT87" s="64"/>
      <c r="AX87" s="64"/>
      <c r="AY87" s="77"/>
      <c r="AZ87" s="77"/>
      <c r="BA87" s="77"/>
      <c r="BB87" s="74"/>
      <c r="BC87" s="74"/>
      <c r="BD87" s="67"/>
      <c r="BH87" s="64"/>
      <c r="BI87" s="64"/>
      <c r="BJ87" s="64"/>
      <c r="BK87" s="64"/>
      <c r="BL87" s="64"/>
      <c r="BM87" s="64"/>
      <c r="BN87" s="64"/>
    </row>
    <row r="88" ht="30.0" customHeight="1">
      <c r="A88" s="81"/>
      <c r="B88" s="61"/>
      <c r="C88" s="83"/>
      <c r="D88" s="84"/>
      <c r="E88" s="84"/>
      <c r="F88" s="86"/>
      <c r="G88" s="86">
        <f>IFERROR(__xludf.DUMMYFUNCTION("LET(
  monthStart,DATE(VALUE(REGEXEXTRACT(G$1,""\d{4}"")),VALUE(REGEXEXTRACT(G$1,""T(\d+)"")),1),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H88" s="86">
        <f>IFERROR(__xludf.DUMMYFUNCTION("LET(
  monthStart,DATE(VALUE(REGEXEXTRACT(H$1,""\d{4}"")),VALUE(REGEXEXTRACT(H$1,""T(\d+)"")),1),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I88" s="86">
        <f>IFERROR(__xludf.DUMMYFUNCTION("LET(
  monthStart,DATE(VALUE(REGEXEXTRACT(I$1,""\d{4}"")),VALUE(REGEXEXTRACT(I$1,""T(\d+)"")),1),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J88" s="86">
        <f>IFERROR(__xludf.DUMMYFUNCTION("LET(
  monthStart,DATE(VALUE(REGEXEXTRACT(J$1,""\d{4}"")),VALUE(REGEXEXTRACT(J$1,""T(\d+)"")),1),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K88" s="86">
        <f>IFERROR(__xludf.DUMMYFUNCTION("LET(
  monthStart,DATE(VALUE(REGEXEXTRACT(K$1,""\d{4}"")),VALUE(REGEXEXTRACT(K$1,""T(\d+)"")),1),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L88" s="86">
        <f>IFERROR(__xludf.DUMMYFUNCTION("LET(
  monthStart,DATE(VALUE(REGEXEXTRACT(L$1,""\d{4}"")),VALUE(REGEXEXTRACT(L$1,""T(\d+)"")),1),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M88" s="86">
        <f>IFERROR(__xludf.DUMMYFUNCTION("LET(
  monthStart,DATE(VALUE(REGEXEXTRACT(M$1,""\d{4}"")),VALUE(REGEXEXTRACT(M$1,""T(\d+)"")),1),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N88" s="86">
        <f>IFERROR(__xludf.DUMMYFUNCTION("LET(
  monthStart,DATE(VALUE(REGEXEXTRACT(N$1,""\d{4}"")),VALUE(REGEXEXTRACT(N$1,""T(\d+)"")),1),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O88" s="86">
        <f>IFERROR(__xludf.DUMMYFUNCTION("LET(
  monthStart,DATE(VALUE(REGEXEXTRACT(O$1,""\d{4}"")),VALUE(REGEXEXTRACT(O$1,""T(\d+)"")),1),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P88" s="86">
        <f>IFERROR(__xludf.DUMMYFUNCTION("LET(
  monthStart,DATE(VALUE(REGEXEXTRACT(P$1,""\d{4}"")),VALUE(REGEXEXTRACT(P$1,""T(\d+)"")),1),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Q88" s="86">
        <f>IFERROR(__xludf.DUMMYFUNCTION("LET(
  monthStart,DATE(VALUE(REGEXEXTRACT(Q$1,""\d{4}"")),VALUE(REGEXEXTRACT(Q$1,""T(\d+)"")),1),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R88" s="86">
        <f>IFERROR(__xludf.DUMMYFUNCTION("LET(
  monthStart,DATE(VALUE(REGEXEXTRACT(R$1,""\d{4}"")),VALUE(REGEXEXTRACT(R$1,""T(\d+)"")),1),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S88" s="86">
        <f>IFERROR(__xludf.DUMMYFUNCTION("LET(
  monthStart,DATE(VALUE(REGEXEXTRACT(S$1,""\d{4}"")),VALUE(REGEXEXTRACT(S$1,""T(\d+)"")),1),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T88" s="86">
        <f>IFERROR(__xludf.DUMMYFUNCTION("LET(
  monthStart,DATE(VALUE(REGEXEXTRACT(T$1,""\d{4}"")),VALUE(REGEXEXTRACT(T$1,""T(\d+)"")),1),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U88" s="86">
        <f>IFERROR(__xludf.DUMMYFUNCTION("LET(
  monthStart,DATE(VALUE(REGEXEXTRACT(U$1,""\d{4}"")),VALUE(REGEXEXTRACT(U$1,""T(\d+)"")),1),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V88" s="86">
        <f>IFERROR(__xludf.DUMMYFUNCTION("LET(
  monthStart,DATE(VALUE(REGEXEXTRACT(V$1,""\d{4}"")),VALUE(REGEXEXTRACT(V$1,""T(\d+)"")),1),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W88" s="86">
        <f>IFERROR(__xludf.DUMMYFUNCTION("LET(
  monthStart,DATE(VALUE(REGEXEXTRACT(W$1,""\d{4}"")),VALUE(REGEXEXTRACT(W$1,""T(\d+)"")),1),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X88" s="86">
        <f>IFERROR(__xludf.DUMMYFUNCTION("LET(
  monthStart,DATE(VALUE(REGEXEXTRACT(X$1,""\d{4}"")),VALUE(REGEXEXTRACT(X$1,""T(\d+)"")),1),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Y88" s="86">
        <f>IFERROR(__xludf.DUMMYFUNCTION("LET(
  monthStart,DATE(VALUE(REGEXEXTRACT(Y$1,""\d{4}"")),VALUE(REGEXEXTRACT(Y$1,""T(\d+)"")),1),
  monthEnd,EOMONTH(monthStart,0),
  actualStart,MAX($D88,monthStart),
  actualEnd,MIN($E88,monthEnd),
  workingDaysInMonth,NETWORKDAYS(monthStart,monthEnd),
"&amp;"  workingDaysOverlap,IF(actualStart&gt;actualEnd,0,NETWORKDAYS(actualStart,actualEnd)),
  IF(workingDaysOverlap=0,"""",$F88*workingDaysOverlap/workingDaysInMonth)
)"),0.0)</f>
        <v>0</v>
      </c>
      <c r="Z88" s="64"/>
      <c r="AA88" s="64"/>
      <c r="AB88" s="64"/>
      <c r="AC88" s="64"/>
      <c r="AD88" s="64"/>
      <c r="AE88" s="64"/>
      <c r="AF88" s="64"/>
      <c r="AG88" s="64"/>
      <c r="AH88" s="64"/>
      <c r="AI88" s="64"/>
      <c r="AJ88" s="64"/>
      <c r="AK88" s="64"/>
      <c r="AO88" s="64"/>
      <c r="AP88" s="64"/>
      <c r="AQ88" s="64"/>
      <c r="AR88" s="64"/>
      <c r="AS88" s="64"/>
      <c r="AT88" s="64"/>
      <c r="AX88" s="64"/>
      <c r="AY88" s="77"/>
      <c r="AZ88" s="77"/>
      <c r="BA88" s="77"/>
      <c r="BB88" s="74"/>
      <c r="BC88" s="74"/>
      <c r="BD88" s="67"/>
      <c r="BH88" s="64"/>
      <c r="BI88" s="64"/>
      <c r="BJ88" s="64"/>
      <c r="BK88" s="64"/>
      <c r="BL88" s="64"/>
      <c r="BM88" s="64"/>
      <c r="BN88" s="64"/>
    </row>
    <row r="89" ht="30.0" customHeight="1">
      <c r="A89" s="81"/>
      <c r="B89" s="61"/>
      <c r="C89" s="83"/>
      <c r="D89" s="84"/>
      <c r="E89" s="84"/>
      <c r="F89" s="86"/>
      <c r="G89" s="86">
        <f>IFERROR(__xludf.DUMMYFUNCTION("LET(
  monthStart,DATE(VALUE(REGEXEXTRACT(G$1,""\d{4}"")),VALUE(REGEXEXTRACT(G$1,""T(\d+)"")),1),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H89" s="86">
        <f>IFERROR(__xludf.DUMMYFUNCTION("LET(
  monthStart,DATE(VALUE(REGEXEXTRACT(H$1,""\d{4}"")),VALUE(REGEXEXTRACT(H$1,""T(\d+)"")),1),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I89" s="86">
        <f>IFERROR(__xludf.DUMMYFUNCTION("LET(
  monthStart,DATE(VALUE(REGEXEXTRACT(I$1,""\d{4}"")),VALUE(REGEXEXTRACT(I$1,""T(\d+)"")),1),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J89" s="86">
        <f>IFERROR(__xludf.DUMMYFUNCTION("LET(
  monthStart,DATE(VALUE(REGEXEXTRACT(J$1,""\d{4}"")),VALUE(REGEXEXTRACT(J$1,""T(\d+)"")),1),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K89" s="86">
        <f>IFERROR(__xludf.DUMMYFUNCTION("LET(
  monthStart,DATE(VALUE(REGEXEXTRACT(K$1,""\d{4}"")),VALUE(REGEXEXTRACT(K$1,""T(\d+)"")),1),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L89" s="86">
        <f>IFERROR(__xludf.DUMMYFUNCTION("LET(
  monthStart,DATE(VALUE(REGEXEXTRACT(L$1,""\d{4}"")),VALUE(REGEXEXTRACT(L$1,""T(\d+)"")),1),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M89" s="86">
        <f>IFERROR(__xludf.DUMMYFUNCTION("LET(
  monthStart,DATE(VALUE(REGEXEXTRACT(M$1,""\d{4}"")),VALUE(REGEXEXTRACT(M$1,""T(\d+)"")),1),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N89" s="86">
        <f>IFERROR(__xludf.DUMMYFUNCTION("LET(
  monthStart,DATE(VALUE(REGEXEXTRACT(N$1,""\d{4}"")),VALUE(REGEXEXTRACT(N$1,""T(\d+)"")),1),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O89" s="86">
        <f>IFERROR(__xludf.DUMMYFUNCTION("LET(
  monthStart,DATE(VALUE(REGEXEXTRACT(O$1,""\d{4}"")),VALUE(REGEXEXTRACT(O$1,""T(\d+)"")),1),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P89" s="86">
        <f>IFERROR(__xludf.DUMMYFUNCTION("LET(
  monthStart,DATE(VALUE(REGEXEXTRACT(P$1,""\d{4}"")),VALUE(REGEXEXTRACT(P$1,""T(\d+)"")),1),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Q89" s="86">
        <f>IFERROR(__xludf.DUMMYFUNCTION("LET(
  monthStart,DATE(VALUE(REGEXEXTRACT(Q$1,""\d{4}"")),VALUE(REGEXEXTRACT(Q$1,""T(\d+)"")),1),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R89" s="86">
        <f>IFERROR(__xludf.DUMMYFUNCTION("LET(
  monthStart,DATE(VALUE(REGEXEXTRACT(R$1,""\d{4}"")),VALUE(REGEXEXTRACT(R$1,""T(\d+)"")),1),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S89" s="86">
        <f>IFERROR(__xludf.DUMMYFUNCTION("LET(
  monthStart,DATE(VALUE(REGEXEXTRACT(S$1,""\d{4}"")),VALUE(REGEXEXTRACT(S$1,""T(\d+)"")),1),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T89" s="86">
        <f>IFERROR(__xludf.DUMMYFUNCTION("LET(
  monthStart,DATE(VALUE(REGEXEXTRACT(T$1,""\d{4}"")),VALUE(REGEXEXTRACT(T$1,""T(\d+)"")),1),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U89" s="86">
        <f>IFERROR(__xludf.DUMMYFUNCTION("LET(
  monthStart,DATE(VALUE(REGEXEXTRACT(U$1,""\d{4}"")),VALUE(REGEXEXTRACT(U$1,""T(\d+)"")),1),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V89" s="86">
        <f>IFERROR(__xludf.DUMMYFUNCTION("LET(
  monthStart,DATE(VALUE(REGEXEXTRACT(V$1,""\d{4}"")),VALUE(REGEXEXTRACT(V$1,""T(\d+)"")),1),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W89" s="86">
        <f>IFERROR(__xludf.DUMMYFUNCTION("LET(
  monthStart,DATE(VALUE(REGEXEXTRACT(W$1,""\d{4}"")),VALUE(REGEXEXTRACT(W$1,""T(\d+)"")),1),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X89" s="86">
        <f>IFERROR(__xludf.DUMMYFUNCTION("LET(
  monthStart,DATE(VALUE(REGEXEXTRACT(X$1,""\d{4}"")),VALUE(REGEXEXTRACT(X$1,""T(\d+)"")),1),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Y89" s="86">
        <f>IFERROR(__xludf.DUMMYFUNCTION("LET(
  monthStart,DATE(VALUE(REGEXEXTRACT(Y$1,""\d{4}"")),VALUE(REGEXEXTRACT(Y$1,""T(\d+)"")),1),
  monthEnd,EOMONTH(monthStart,0),
  actualStart,MAX($D89,monthStart),
  actualEnd,MIN($E89,monthEnd),
  workingDaysInMonth,NETWORKDAYS(monthStart,monthEnd),
"&amp;"  workingDaysOverlap,IF(actualStart&gt;actualEnd,0,NETWORKDAYS(actualStart,actualEnd)),
  IF(workingDaysOverlap=0,"""",$F89*workingDaysOverlap/workingDaysInMonth)
)"),0.0)</f>
        <v>0</v>
      </c>
      <c r="Z89" s="64"/>
      <c r="AA89" s="64"/>
      <c r="AB89" s="64"/>
      <c r="AC89" s="64"/>
      <c r="AD89" s="64"/>
      <c r="AE89" s="64"/>
      <c r="AF89" s="64"/>
      <c r="AG89" s="64"/>
      <c r="AH89" s="64"/>
      <c r="AI89" s="64"/>
      <c r="AJ89" s="64"/>
      <c r="AK89" s="64"/>
      <c r="AO89" s="64"/>
      <c r="AP89" s="64"/>
      <c r="AQ89" s="64"/>
      <c r="AR89" s="64"/>
      <c r="AS89" s="64"/>
      <c r="AT89" s="64"/>
      <c r="AX89" s="64"/>
      <c r="AY89" s="89"/>
      <c r="AZ89" s="89"/>
      <c r="BA89" s="89"/>
      <c r="BB89" s="91"/>
      <c r="BC89" s="74"/>
      <c r="BD89" s="67"/>
      <c r="BH89" s="64"/>
      <c r="BI89" s="64"/>
      <c r="BJ89" s="64"/>
      <c r="BK89" s="64"/>
      <c r="BL89" s="64"/>
      <c r="BM89" s="64"/>
      <c r="BN89" s="64"/>
    </row>
    <row r="90" ht="30.0" customHeight="1">
      <c r="A90" s="64"/>
      <c r="B90" s="64"/>
      <c r="C90" s="66"/>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X90" s="64"/>
      <c r="AY90" s="64"/>
      <c r="AZ90" s="64"/>
      <c r="BA90" s="75"/>
      <c r="BB90" s="64"/>
      <c r="BC90" s="64"/>
      <c r="BD90" s="66"/>
      <c r="BE90" s="64"/>
      <c r="BF90" s="64"/>
      <c r="BG90" s="64"/>
      <c r="BH90" s="64"/>
      <c r="BI90" s="64"/>
      <c r="BJ90" s="64"/>
      <c r="BK90" s="64"/>
      <c r="BL90" s="64"/>
      <c r="BM90" s="64"/>
      <c r="BN90" s="64"/>
    </row>
    <row r="91" ht="30.0" customHeight="1">
      <c r="A91" s="64"/>
      <c r="B91" s="64"/>
      <c r="C91" s="66"/>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X91" s="64"/>
      <c r="AY91" s="64"/>
      <c r="AZ91" s="64"/>
      <c r="BA91" s="75"/>
      <c r="BB91" s="64"/>
      <c r="BC91" s="64"/>
      <c r="BD91" s="66"/>
      <c r="BE91" s="64"/>
      <c r="BF91" s="64"/>
      <c r="BG91" s="64"/>
      <c r="BH91" s="64"/>
      <c r="BI91" s="64"/>
      <c r="BJ91" s="64"/>
      <c r="BK91" s="64"/>
      <c r="BL91" s="64"/>
      <c r="BM91" s="64"/>
      <c r="BN91" s="64"/>
    </row>
    <row r="92" ht="30.0" customHeight="1">
      <c r="A92" s="64"/>
      <c r="B92" s="64"/>
      <c r="C92" s="66"/>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X92" s="64"/>
      <c r="AY92" s="64"/>
      <c r="AZ92" s="64"/>
      <c r="BA92" s="75"/>
      <c r="BB92" s="64"/>
      <c r="BC92" s="64"/>
      <c r="BD92" s="66"/>
      <c r="BE92" s="64"/>
      <c r="BF92" s="64"/>
      <c r="BG92" s="64"/>
      <c r="BH92" s="64"/>
      <c r="BI92" s="64"/>
      <c r="BJ92" s="64"/>
      <c r="BK92" s="64"/>
      <c r="BL92" s="64"/>
      <c r="BM92" s="64"/>
      <c r="BN92" s="64"/>
    </row>
    <row r="93" ht="30.0" customHeight="1">
      <c r="A93" s="64"/>
      <c r="B93" s="64"/>
      <c r="C93" s="66"/>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X93" s="64"/>
      <c r="AY93" s="64"/>
      <c r="AZ93" s="64"/>
      <c r="BA93" s="75"/>
      <c r="BB93" s="64"/>
      <c r="BC93" s="64"/>
      <c r="BD93" s="66"/>
      <c r="BE93" s="64"/>
      <c r="BF93" s="64"/>
      <c r="BG93" s="64"/>
      <c r="BH93" s="64"/>
      <c r="BI93" s="64"/>
      <c r="BJ93" s="64"/>
      <c r="BK93" s="64"/>
      <c r="BL93" s="64"/>
      <c r="BM93" s="64"/>
      <c r="BN93" s="64"/>
    </row>
    <row r="94" ht="30.0" customHeight="1">
      <c r="A94" s="64"/>
      <c r="B94" s="64"/>
      <c r="C94" s="66"/>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75"/>
      <c r="BB94" s="64"/>
      <c r="BC94" s="64"/>
      <c r="BD94" s="66"/>
      <c r="BE94" s="64"/>
      <c r="BF94" s="64"/>
      <c r="BG94" s="64"/>
      <c r="BH94" s="64"/>
      <c r="BI94" s="64"/>
      <c r="BJ94" s="64"/>
      <c r="BK94" s="64"/>
      <c r="BL94" s="64"/>
      <c r="BM94" s="64"/>
      <c r="BN94" s="64"/>
    </row>
    <row r="95" ht="30.0" customHeight="1">
      <c r="A95" s="64"/>
      <c r="B95" s="64"/>
      <c r="C95" s="66"/>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75"/>
      <c r="BB95" s="64"/>
      <c r="BC95" s="64"/>
      <c r="BD95" s="66"/>
      <c r="BE95" s="64"/>
      <c r="BF95" s="64"/>
      <c r="BG95" s="64"/>
      <c r="BH95" s="64"/>
      <c r="BI95" s="64"/>
      <c r="BJ95" s="64"/>
      <c r="BK95" s="64"/>
      <c r="BL95" s="64"/>
      <c r="BM95" s="64"/>
      <c r="BN95" s="64"/>
    </row>
    <row r="96" ht="30.0" customHeight="1">
      <c r="A96" s="64"/>
      <c r="B96" s="64"/>
      <c r="C96" s="66"/>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75"/>
      <c r="BB96" s="64"/>
      <c r="BC96" s="64"/>
      <c r="BD96" s="66"/>
      <c r="BE96" s="64"/>
      <c r="BF96" s="64"/>
      <c r="BG96" s="64"/>
      <c r="BH96" s="64"/>
      <c r="BI96" s="64"/>
      <c r="BJ96" s="64"/>
      <c r="BK96" s="64"/>
      <c r="BL96" s="64"/>
      <c r="BM96" s="64"/>
      <c r="BN96" s="64"/>
    </row>
    <row r="97" ht="30.0" customHeight="1">
      <c r="A97" s="64"/>
      <c r="B97" s="64"/>
      <c r="C97" s="66"/>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75"/>
      <c r="BB97" s="64"/>
      <c r="BC97" s="64"/>
      <c r="BD97" s="66"/>
      <c r="BE97" s="64"/>
      <c r="BF97" s="64"/>
      <c r="BG97" s="64"/>
      <c r="BH97" s="64"/>
      <c r="BI97" s="64"/>
      <c r="BJ97" s="64"/>
      <c r="BK97" s="64"/>
      <c r="BL97" s="64"/>
      <c r="BM97" s="64"/>
      <c r="BN97" s="64"/>
    </row>
    <row r="98" ht="30.0" customHeight="1">
      <c r="A98" s="64"/>
      <c r="B98" s="64"/>
      <c r="C98" s="66"/>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75"/>
      <c r="BB98" s="64"/>
      <c r="BC98" s="64"/>
      <c r="BD98" s="66"/>
      <c r="BE98" s="64"/>
      <c r="BF98" s="64"/>
      <c r="BG98" s="64"/>
      <c r="BH98" s="64"/>
      <c r="BI98" s="64"/>
      <c r="BJ98" s="64"/>
      <c r="BK98" s="64"/>
      <c r="BL98" s="64"/>
      <c r="BM98" s="64"/>
      <c r="BN98" s="64"/>
    </row>
    <row r="99" ht="30.0" customHeight="1">
      <c r="A99" s="64"/>
      <c r="B99" s="64"/>
      <c r="C99" s="66"/>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75"/>
      <c r="BB99" s="64"/>
      <c r="BC99" s="64"/>
      <c r="BD99" s="66"/>
      <c r="BE99" s="64"/>
      <c r="BF99" s="64"/>
      <c r="BG99" s="64"/>
      <c r="BH99" s="64"/>
      <c r="BI99" s="64"/>
      <c r="BJ99" s="64"/>
      <c r="BK99" s="64"/>
      <c r="BL99" s="64"/>
      <c r="BM99" s="64"/>
      <c r="BN99" s="64"/>
    </row>
    <row r="100" ht="30.0" customHeight="1">
      <c r="A100" s="64"/>
      <c r="B100" s="64"/>
      <c r="C100" s="66"/>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75"/>
      <c r="BB100" s="64"/>
      <c r="BC100" s="64"/>
      <c r="BD100" s="66"/>
      <c r="BE100" s="64"/>
      <c r="BF100" s="64"/>
      <c r="BG100" s="64"/>
      <c r="BH100" s="64"/>
      <c r="BI100" s="64"/>
      <c r="BJ100" s="64"/>
      <c r="BK100" s="64"/>
      <c r="BL100" s="64"/>
      <c r="BM100" s="64"/>
      <c r="BN100" s="64"/>
    </row>
    <row r="101" ht="30.0" customHeight="1">
      <c r="A101" s="64"/>
      <c r="B101" s="64"/>
      <c r="C101" s="66"/>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75"/>
      <c r="BB101" s="64"/>
      <c r="BC101" s="64"/>
      <c r="BD101" s="66"/>
      <c r="BE101" s="64"/>
      <c r="BF101" s="64"/>
      <c r="BG101" s="64"/>
      <c r="BH101" s="64"/>
      <c r="BI101" s="64"/>
      <c r="BJ101" s="64"/>
      <c r="BK101" s="64"/>
      <c r="BL101" s="64"/>
      <c r="BM101" s="64"/>
      <c r="BN101" s="64"/>
    </row>
    <row r="102" ht="30.0" customHeight="1">
      <c r="A102" s="64"/>
      <c r="B102" s="64"/>
      <c r="C102" s="66"/>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75"/>
      <c r="BB102" s="64"/>
      <c r="BC102" s="64"/>
      <c r="BD102" s="66"/>
      <c r="BE102" s="64"/>
      <c r="BF102" s="64"/>
      <c r="BG102" s="64"/>
      <c r="BH102" s="64"/>
      <c r="BI102" s="64"/>
      <c r="BJ102" s="64"/>
      <c r="BK102" s="64"/>
      <c r="BL102" s="64"/>
      <c r="BM102" s="64"/>
      <c r="BN102" s="64"/>
    </row>
    <row r="103" ht="30.0" customHeight="1">
      <c r="A103" s="64"/>
      <c r="B103" s="64"/>
      <c r="C103" s="66"/>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75"/>
      <c r="BB103" s="64"/>
      <c r="BC103" s="64"/>
      <c r="BD103" s="66"/>
      <c r="BE103" s="64"/>
      <c r="BF103" s="64"/>
      <c r="BG103" s="64"/>
      <c r="BH103" s="64"/>
      <c r="BI103" s="64"/>
      <c r="BJ103" s="64"/>
      <c r="BK103" s="64"/>
      <c r="BL103" s="64"/>
      <c r="BM103" s="64"/>
      <c r="BN103" s="64"/>
    </row>
    <row r="104" ht="30.0" customHeight="1">
      <c r="A104" s="64"/>
      <c r="B104" s="64"/>
      <c r="C104" s="66"/>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75"/>
      <c r="BB104" s="64"/>
      <c r="BC104" s="64"/>
      <c r="BD104" s="66"/>
      <c r="BE104" s="64"/>
      <c r="BF104" s="64"/>
      <c r="BG104" s="64"/>
      <c r="BH104" s="64"/>
      <c r="BI104" s="64"/>
      <c r="BJ104" s="64"/>
      <c r="BK104" s="64"/>
      <c r="BL104" s="64"/>
      <c r="BM104" s="64"/>
      <c r="BN104" s="64"/>
    </row>
    <row r="105" ht="30.0" customHeight="1">
      <c r="A105" s="64"/>
      <c r="B105" s="64"/>
      <c r="C105" s="66"/>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75"/>
      <c r="BB105" s="64"/>
      <c r="BC105" s="64"/>
      <c r="BD105" s="66"/>
      <c r="BE105" s="64"/>
      <c r="BF105" s="64"/>
      <c r="BG105" s="64"/>
      <c r="BH105" s="64"/>
      <c r="BI105" s="64"/>
      <c r="BJ105" s="64"/>
      <c r="BK105" s="64"/>
      <c r="BL105" s="64"/>
      <c r="BM105" s="64"/>
      <c r="BN105" s="64"/>
    </row>
    <row r="106" ht="30.0" customHeight="1">
      <c r="A106" s="64"/>
      <c r="B106" s="64"/>
      <c r="C106" s="66"/>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75"/>
      <c r="BB106" s="64"/>
      <c r="BC106" s="64"/>
      <c r="BD106" s="66"/>
      <c r="BE106" s="64"/>
      <c r="BF106" s="64"/>
      <c r="BG106" s="64"/>
      <c r="BH106" s="64"/>
      <c r="BI106" s="64"/>
      <c r="BJ106" s="64"/>
      <c r="BK106" s="64"/>
      <c r="BL106" s="64"/>
      <c r="BM106" s="64"/>
      <c r="BN106" s="64"/>
    </row>
    <row r="107" ht="30.0" customHeight="1">
      <c r="A107" s="64"/>
      <c r="B107" s="64"/>
      <c r="C107" s="66"/>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75"/>
      <c r="BB107" s="64"/>
      <c r="BC107" s="64"/>
      <c r="BD107" s="66"/>
      <c r="BE107" s="64"/>
      <c r="BF107" s="64"/>
      <c r="BG107" s="64"/>
      <c r="BH107" s="64"/>
      <c r="BI107" s="64"/>
      <c r="BJ107" s="64"/>
      <c r="BK107" s="64"/>
      <c r="BL107" s="64"/>
      <c r="BM107" s="64"/>
      <c r="BN107" s="64"/>
    </row>
    <row r="108" ht="30.0" customHeight="1">
      <c r="A108" s="64"/>
      <c r="B108" s="64"/>
      <c r="C108" s="66"/>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75"/>
      <c r="BB108" s="64"/>
      <c r="BC108" s="64"/>
      <c r="BD108" s="66"/>
      <c r="BE108" s="64"/>
      <c r="BF108" s="64"/>
      <c r="BG108" s="64"/>
      <c r="BH108" s="64"/>
      <c r="BI108" s="64"/>
      <c r="BJ108" s="64"/>
      <c r="BK108" s="64"/>
      <c r="BL108" s="64"/>
      <c r="BM108" s="64"/>
      <c r="BN108" s="64"/>
    </row>
    <row r="109" ht="30.0" customHeight="1">
      <c r="A109" s="64"/>
      <c r="B109" s="64"/>
      <c r="C109" s="66"/>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75"/>
      <c r="BB109" s="64"/>
      <c r="BC109" s="64"/>
      <c r="BD109" s="66"/>
      <c r="BE109" s="64"/>
      <c r="BF109" s="64"/>
      <c r="BG109" s="64"/>
      <c r="BH109" s="64"/>
      <c r="BI109" s="64"/>
      <c r="BJ109" s="64"/>
      <c r="BK109" s="64"/>
      <c r="BL109" s="64"/>
      <c r="BM109" s="64"/>
      <c r="BN109" s="64"/>
    </row>
    <row r="110" ht="30.0" customHeight="1">
      <c r="A110" s="64"/>
      <c r="B110" s="64"/>
      <c r="C110" s="66"/>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75"/>
      <c r="BB110" s="64"/>
      <c r="BC110" s="64"/>
      <c r="BD110" s="66"/>
      <c r="BE110" s="64"/>
      <c r="BF110" s="64"/>
      <c r="BG110" s="64"/>
      <c r="BH110" s="64"/>
      <c r="BI110" s="64"/>
      <c r="BJ110" s="64"/>
      <c r="BK110" s="64"/>
      <c r="BL110" s="64"/>
      <c r="BM110" s="64"/>
      <c r="BN110" s="64"/>
    </row>
    <row r="111" ht="30.0" customHeight="1">
      <c r="A111" s="64"/>
      <c r="B111" s="64"/>
      <c r="C111" s="66"/>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75"/>
      <c r="BB111" s="64"/>
      <c r="BC111" s="64"/>
      <c r="BD111" s="66"/>
      <c r="BE111" s="64"/>
      <c r="BF111" s="64"/>
      <c r="BG111" s="64"/>
      <c r="BH111" s="64"/>
      <c r="BI111" s="64"/>
      <c r="BJ111" s="64"/>
      <c r="BK111" s="64"/>
      <c r="BL111" s="64"/>
      <c r="BM111" s="64"/>
      <c r="BN111" s="64"/>
    </row>
    <row r="112" ht="30.0" customHeight="1">
      <c r="A112" s="64"/>
      <c r="B112" s="64"/>
      <c r="C112" s="66"/>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75"/>
      <c r="BB112" s="64"/>
      <c r="BC112" s="64"/>
      <c r="BD112" s="66"/>
      <c r="BE112" s="64"/>
      <c r="BF112" s="64"/>
      <c r="BG112" s="64"/>
      <c r="BH112" s="64"/>
      <c r="BI112" s="64"/>
      <c r="BJ112" s="64"/>
      <c r="BK112" s="64"/>
      <c r="BL112" s="64"/>
      <c r="BM112" s="64"/>
      <c r="BN112" s="64"/>
    </row>
    <row r="113" ht="30.0" customHeight="1">
      <c r="A113" s="64"/>
      <c r="B113" s="64"/>
      <c r="C113" s="66"/>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75"/>
      <c r="BB113" s="64"/>
      <c r="BC113" s="64"/>
      <c r="BD113" s="66"/>
      <c r="BE113" s="64"/>
      <c r="BF113" s="64"/>
      <c r="BG113" s="64"/>
      <c r="BH113" s="64"/>
      <c r="BI113" s="64"/>
      <c r="BJ113" s="64"/>
      <c r="BK113" s="64"/>
      <c r="BL113" s="64"/>
      <c r="BM113" s="64"/>
      <c r="BN113" s="64"/>
    </row>
    <row r="114" ht="30.0" customHeight="1">
      <c r="A114" s="64"/>
      <c r="B114" s="64"/>
      <c r="C114" s="66"/>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75"/>
      <c r="BB114" s="64"/>
      <c r="BC114" s="64"/>
      <c r="BD114" s="66"/>
      <c r="BE114" s="64"/>
      <c r="BF114" s="64"/>
      <c r="BG114" s="64"/>
      <c r="BH114" s="64"/>
      <c r="BI114" s="64"/>
      <c r="BJ114" s="64"/>
      <c r="BK114" s="64"/>
      <c r="BL114" s="64"/>
      <c r="BM114" s="64"/>
      <c r="BN114" s="64"/>
    </row>
    <row r="115" ht="30.0" customHeight="1">
      <c r="A115" s="64"/>
      <c r="B115" s="64"/>
      <c r="C115" s="66"/>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75"/>
      <c r="BB115" s="64"/>
      <c r="BC115" s="64"/>
      <c r="BD115" s="66"/>
      <c r="BE115" s="64"/>
      <c r="BF115" s="64"/>
      <c r="BG115" s="64"/>
      <c r="BH115" s="64"/>
      <c r="BI115" s="64"/>
      <c r="BJ115" s="64"/>
      <c r="BK115" s="64"/>
      <c r="BL115" s="64"/>
      <c r="BM115" s="64"/>
      <c r="BN115" s="64"/>
    </row>
    <row r="116" ht="30.0" customHeight="1">
      <c r="A116" s="64"/>
      <c r="B116" s="64"/>
      <c r="C116" s="66"/>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75"/>
      <c r="BB116" s="64"/>
      <c r="BC116" s="64"/>
      <c r="BD116" s="66"/>
      <c r="BE116" s="64"/>
      <c r="BF116" s="64"/>
      <c r="BG116" s="64"/>
      <c r="BH116" s="64"/>
      <c r="BI116" s="64"/>
      <c r="BJ116" s="64"/>
      <c r="BK116" s="64"/>
      <c r="BL116" s="64"/>
      <c r="BM116" s="64"/>
      <c r="BN116" s="64"/>
    </row>
    <row r="117" ht="30.0" customHeight="1">
      <c r="A117" s="64"/>
      <c r="B117" s="64"/>
      <c r="C117" s="66"/>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75"/>
      <c r="BB117" s="64"/>
      <c r="BC117" s="64"/>
      <c r="BD117" s="66"/>
      <c r="BE117" s="64"/>
      <c r="BF117" s="64"/>
      <c r="BG117" s="64"/>
      <c r="BH117" s="64"/>
      <c r="BI117" s="64"/>
      <c r="BJ117" s="64"/>
      <c r="BK117" s="64"/>
      <c r="BL117" s="64"/>
      <c r="BM117" s="64"/>
      <c r="BN117" s="64"/>
    </row>
    <row r="118" ht="30.0" customHeight="1">
      <c r="A118" s="64"/>
      <c r="B118" s="64"/>
      <c r="C118" s="66"/>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75"/>
      <c r="BB118" s="64"/>
      <c r="BC118" s="64"/>
      <c r="BD118" s="66"/>
      <c r="BE118" s="64"/>
      <c r="BF118" s="64"/>
      <c r="BG118" s="64"/>
      <c r="BH118" s="64"/>
      <c r="BI118" s="64"/>
      <c r="BJ118" s="64"/>
      <c r="BK118" s="64"/>
      <c r="BL118" s="64"/>
      <c r="BM118" s="64"/>
      <c r="BN118" s="64"/>
    </row>
    <row r="119" ht="30.0" customHeight="1">
      <c r="A119" s="64"/>
      <c r="B119" s="64"/>
      <c r="C119" s="66"/>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75"/>
      <c r="BB119" s="64"/>
      <c r="BC119" s="64"/>
      <c r="BD119" s="66"/>
      <c r="BE119" s="64"/>
      <c r="BF119" s="64"/>
      <c r="BG119" s="64"/>
      <c r="BH119" s="64"/>
      <c r="BI119" s="64"/>
      <c r="BJ119" s="64"/>
      <c r="BK119" s="64"/>
      <c r="BL119" s="64"/>
      <c r="BM119" s="64"/>
      <c r="BN119" s="64"/>
    </row>
    <row r="120" ht="30.0" customHeight="1">
      <c r="A120" s="64"/>
      <c r="B120" s="64"/>
      <c r="C120" s="66"/>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75"/>
      <c r="BB120" s="64"/>
      <c r="BC120" s="64"/>
      <c r="BD120" s="66"/>
      <c r="BE120" s="64"/>
      <c r="BF120" s="64"/>
      <c r="BG120" s="64"/>
      <c r="BH120" s="64"/>
      <c r="BI120" s="64"/>
      <c r="BJ120" s="64"/>
      <c r="BK120" s="64"/>
      <c r="BL120" s="64"/>
      <c r="BM120" s="64"/>
      <c r="BN120" s="64"/>
    </row>
    <row r="121" ht="30.0" customHeight="1">
      <c r="A121" s="64"/>
      <c r="B121" s="64"/>
      <c r="C121" s="66"/>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75"/>
      <c r="BB121" s="64"/>
      <c r="BC121" s="64"/>
      <c r="BD121" s="66"/>
      <c r="BE121" s="64"/>
      <c r="BF121" s="64"/>
      <c r="BG121" s="64"/>
      <c r="BH121" s="64"/>
      <c r="BI121" s="64"/>
      <c r="BJ121" s="64"/>
      <c r="BK121" s="64"/>
      <c r="BL121" s="64"/>
      <c r="BM121" s="64"/>
      <c r="BN121" s="64"/>
    </row>
    <row r="122" ht="30.0" customHeight="1">
      <c r="A122" s="64"/>
      <c r="B122" s="64"/>
      <c r="C122" s="66"/>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75"/>
      <c r="BB122" s="64"/>
      <c r="BC122" s="64"/>
      <c r="BD122" s="66"/>
      <c r="BE122" s="64"/>
      <c r="BF122" s="64"/>
      <c r="BG122" s="64"/>
      <c r="BH122" s="64"/>
      <c r="BI122" s="64"/>
      <c r="BJ122" s="64"/>
      <c r="BK122" s="64"/>
      <c r="BL122" s="64"/>
      <c r="BM122" s="64"/>
      <c r="BN122" s="64"/>
    </row>
    <row r="123" ht="30.0" customHeight="1">
      <c r="A123" s="64"/>
      <c r="B123" s="64"/>
      <c r="C123" s="66"/>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75"/>
      <c r="BB123" s="64"/>
      <c r="BC123" s="64"/>
      <c r="BD123" s="66"/>
      <c r="BE123" s="64"/>
      <c r="BF123" s="64"/>
      <c r="BG123" s="64"/>
      <c r="BH123" s="64"/>
      <c r="BI123" s="64"/>
      <c r="BJ123" s="64"/>
      <c r="BK123" s="64"/>
      <c r="BL123" s="64"/>
      <c r="BM123" s="64"/>
      <c r="BN123" s="64"/>
    </row>
    <row r="124" ht="30.0" customHeight="1">
      <c r="A124" s="64"/>
      <c r="B124" s="64"/>
      <c r="C124" s="66"/>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75"/>
      <c r="BB124" s="64"/>
      <c r="BC124" s="64"/>
      <c r="BD124" s="66"/>
      <c r="BE124" s="64"/>
      <c r="BF124" s="64"/>
      <c r="BG124" s="64"/>
      <c r="BH124" s="64"/>
      <c r="BI124" s="64"/>
      <c r="BJ124" s="64"/>
      <c r="BK124" s="64"/>
      <c r="BL124" s="64"/>
      <c r="BM124" s="64"/>
      <c r="BN124" s="64"/>
    </row>
    <row r="125" ht="30.0" customHeight="1">
      <c r="A125" s="64"/>
      <c r="B125" s="64"/>
      <c r="C125" s="66"/>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75"/>
      <c r="BB125" s="64"/>
      <c r="BC125" s="64"/>
      <c r="BD125" s="66"/>
      <c r="BE125" s="64"/>
      <c r="BF125" s="64"/>
      <c r="BG125" s="64"/>
      <c r="BH125" s="64"/>
      <c r="BI125" s="64"/>
      <c r="BJ125" s="64"/>
      <c r="BK125" s="64"/>
      <c r="BL125" s="64"/>
      <c r="BM125" s="64"/>
      <c r="BN125" s="64"/>
    </row>
    <row r="126" ht="30.0" customHeight="1">
      <c r="A126" s="64"/>
      <c r="B126" s="64"/>
      <c r="C126" s="66"/>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75"/>
      <c r="BB126" s="64"/>
      <c r="BC126" s="64"/>
      <c r="BD126" s="66"/>
      <c r="BE126" s="64"/>
      <c r="BF126" s="64"/>
      <c r="BG126" s="64"/>
      <c r="BH126" s="64"/>
      <c r="BI126" s="64"/>
      <c r="BJ126" s="64"/>
      <c r="BK126" s="64"/>
      <c r="BL126" s="64"/>
      <c r="BM126" s="64"/>
      <c r="BN126" s="64"/>
    </row>
    <row r="127" ht="30.0" customHeight="1">
      <c r="A127" s="64"/>
      <c r="B127" s="64"/>
      <c r="C127" s="66"/>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75"/>
      <c r="BB127" s="64"/>
      <c r="BC127" s="64"/>
      <c r="BD127" s="66"/>
      <c r="BE127" s="64"/>
      <c r="BF127" s="64"/>
      <c r="BG127" s="64"/>
      <c r="BH127" s="64"/>
      <c r="BI127" s="64"/>
      <c r="BJ127" s="64"/>
      <c r="BK127" s="64"/>
      <c r="BL127" s="64"/>
      <c r="BM127" s="64"/>
      <c r="BN127" s="64"/>
    </row>
    <row r="128" ht="30.0" customHeight="1">
      <c r="A128" s="64"/>
      <c r="B128" s="64"/>
      <c r="C128" s="66"/>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75"/>
      <c r="BB128" s="64"/>
      <c r="BC128" s="64"/>
      <c r="BD128" s="66"/>
      <c r="BE128" s="64"/>
      <c r="BF128" s="64"/>
      <c r="BG128" s="64"/>
      <c r="BH128" s="64"/>
      <c r="BI128" s="64"/>
      <c r="BJ128" s="64"/>
      <c r="BK128" s="64"/>
      <c r="BL128" s="64"/>
      <c r="BM128" s="64"/>
      <c r="BN128" s="64"/>
    </row>
    <row r="129" ht="30.0" customHeight="1">
      <c r="A129" s="64"/>
      <c r="B129" s="64"/>
      <c r="C129" s="66"/>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75"/>
      <c r="BB129" s="64"/>
      <c r="BC129" s="64"/>
      <c r="BD129" s="66"/>
      <c r="BE129" s="64"/>
      <c r="BF129" s="64"/>
      <c r="BG129" s="64"/>
      <c r="BH129" s="64"/>
      <c r="BI129" s="64"/>
      <c r="BJ129" s="64"/>
      <c r="BK129" s="64"/>
      <c r="BL129" s="64"/>
      <c r="BM129" s="64"/>
      <c r="BN129" s="64"/>
    </row>
    <row r="130" ht="30.0" customHeight="1">
      <c r="A130" s="64"/>
      <c r="B130" s="64"/>
      <c r="C130" s="66"/>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75"/>
      <c r="BB130" s="64"/>
      <c r="BC130" s="64"/>
      <c r="BD130" s="66"/>
      <c r="BE130" s="64"/>
      <c r="BF130" s="64"/>
      <c r="BG130" s="64"/>
      <c r="BH130" s="64"/>
      <c r="BI130" s="64"/>
      <c r="BJ130" s="64"/>
      <c r="BK130" s="64"/>
      <c r="BL130" s="64"/>
      <c r="BM130" s="64"/>
      <c r="BN130" s="64"/>
    </row>
    <row r="131" ht="30.0" customHeight="1">
      <c r="A131" s="64"/>
      <c r="B131" s="64"/>
      <c r="C131" s="66"/>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75"/>
      <c r="BB131" s="64"/>
      <c r="BC131" s="64"/>
      <c r="BD131" s="66"/>
      <c r="BE131" s="64"/>
      <c r="BF131" s="64"/>
      <c r="BG131" s="64"/>
      <c r="BH131" s="64"/>
      <c r="BI131" s="64"/>
      <c r="BJ131" s="64"/>
      <c r="BK131" s="64"/>
      <c r="BL131" s="64"/>
      <c r="BM131" s="64"/>
      <c r="BN131" s="64"/>
    </row>
    <row r="132" ht="30.0" customHeight="1">
      <c r="A132" s="64"/>
      <c r="B132" s="64"/>
      <c r="C132" s="66"/>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75"/>
      <c r="BB132" s="64"/>
      <c r="BC132" s="64"/>
      <c r="BD132" s="66"/>
      <c r="BE132" s="64"/>
      <c r="BF132" s="64"/>
      <c r="BG132" s="64"/>
      <c r="BH132" s="64"/>
      <c r="BI132" s="64"/>
      <c r="BJ132" s="64"/>
      <c r="BK132" s="64"/>
      <c r="BL132" s="64"/>
      <c r="BM132" s="64"/>
      <c r="BN132" s="64"/>
    </row>
    <row r="133" ht="30.0" customHeight="1">
      <c r="A133" s="64"/>
      <c r="B133" s="64"/>
      <c r="C133" s="66"/>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75"/>
      <c r="BB133" s="64"/>
      <c r="BC133" s="64"/>
      <c r="BD133" s="66"/>
      <c r="BE133" s="64"/>
      <c r="BF133" s="64"/>
      <c r="BG133" s="64"/>
      <c r="BH133" s="64"/>
      <c r="BI133" s="64"/>
      <c r="BJ133" s="64"/>
      <c r="BK133" s="64"/>
      <c r="BL133" s="64"/>
      <c r="BM133" s="64"/>
      <c r="BN133" s="64"/>
    </row>
    <row r="134" ht="30.0" customHeight="1">
      <c r="A134" s="64"/>
      <c r="B134" s="64"/>
      <c r="C134" s="66"/>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75"/>
      <c r="BB134" s="64"/>
      <c r="BC134" s="64"/>
      <c r="BD134" s="66"/>
      <c r="BE134" s="64"/>
      <c r="BF134" s="64"/>
      <c r="BG134" s="64"/>
      <c r="BH134" s="64"/>
      <c r="BI134" s="64"/>
      <c r="BJ134" s="64"/>
      <c r="BK134" s="64"/>
      <c r="BL134" s="64"/>
      <c r="BM134" s="64"/>
      <c r="BN134" s="64"/>
    </row>
    <row r="135" ht="30.0" customHeight="1">
      <c r="A135" s="64"/>
      <c r="B135" s="64"/>
      <c r="C135" s="66"/>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75"/>
      <c r="BB135" s="64"/>
      <c r="BC135" s="64"/>
      <c r="BD135" s="66"/>
      <c r="BE135" s="64"/>
      <c r="BF135" s="64"/>
      <c r="BG135" s="64"/>
      <c r="BH135" s="64"/>
      <c r="BI135" s="64"/>
      <c r="BJ135" s="64"/>
      <c r="BK135" s="64"/>
      <c r="BL135" s="64"/>
      <c r="BM135" s="64"/>
      <c r="BN135" s="64"/>
    </row>
    <row r="136" ht="30.0" customHeight="1">
      <c r="A136" s="64"/>
      <c r="B136" s="64"/>
      <c r="C136" s="66"/>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75"/>
      <c r="BB136" s="64"/>
      <c r="BC136" s="64"/>
      <c r="BD136" s="66"/>
      <c r="BE136" s="64"/>
      <c r="BF136" s="64"/>
      <c r="BG136" s="64"/>
      <c r="BH136" s="64"/>
      <c r="BI136" s="64"/>
      <c r="BJ136" s="64"/>
      <c r="BK136" s="64"/>
      <c r="BL136" s="64"/>
      <c r="BM136" s="64"/>
      <c r="BN136" s="64"/>
    </row>
    <row r="137" ht="30.0" customHeight="1">
      <c r="A137" s="64"/>
      <c r="B137" s="64"/>
      <c r="C137" s="66"/>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75"/>
      <c r="BB137" s="64"/>
      <c r="BC137" s="64"/>
      <c r="BD137" s="66"/>
      <c r="BE137" s="64"/>
      <c r="BF137" s="64"/>
      <c r="BG137" s="64"/>
      <c r="BH137" s="64"/>
      <c r="BI137" s="64"/>
      <c r="BJ137" s="64"/>
      <c r="BK137" s="64"/>
      <c r="BL137" s="64"/>
      <c r="BM137" s="64"/>
      <c r="BN137" s="64"/>
    </row>
    <row r="138" ht="30.0" customHeight="1">
      <c r="A138" s="64"/>
      <c r="B138" s="64"/>
      <c r="C138" s="66"/>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75"/>
      <c r="BB138" s="64"/>
      <c r="BC138" s="64"/>
      <c r="BD138" s="66"/>
      <c r="BE138" s="64"/>
      <c r="BF138" s="64"/>
      <c r="BG138" s="64"/>
      <c r="BH138" s="64"/>
      <c r="BI138" s="64"/>
      <c r="BJ138" s="64"/>
      <c r="BK138" s="64"/>
      <c r="BL138" s="64"/>
      <c r="BM138" s="64"/>
      <c r="BN138" s="64"/>
    </row>
    <row r="139" ht="30.0" customHeight="1">
      <c r="A139" s="64"/>
      <c r="B139" s="64"/>
      <c r="C139" s="66"/>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75"/>
      <c r="BB139" s="64"/>
      <c r="BC139" s="64"/>
      <c r="BD139" s="66"/>
      <c r="BE139" s="64"/>
      <c r="BF139" s="64"/>
      <c r="BG139" s="64"/>
      <c r="BH139" s="64"/>
      <c r="BI139" s="64"/>
      <c r="BJ139" s="64"/>
      <c r="BK139" s="64"/>
      <c r="BL139" s="64"/>
      <c r="BM139" s="64"/>
      <c r="BN139" s="64"/>
    </row>
    <row r="140" ht="30.0" customHeight="1">
      <c r="A140" s="64"/>
      <c r="B140" s="64"/>
      <c r="C140" s="66"/>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75"/>
      <c r="BB140" s="64"/>
      <c r="BC140" s="64"/>
      <c r="BD140" s="66"/>
      <c r="BE140" s="64"/>
      <c r="BF140" s="64"/>
      <c r="BG140" s="64"/>
      <c r="BH140" s="64"/>
      <c r="BI140" s="64"/>
      <c r="BJ140" s="64"/>
      <c r="BK140" s="64"/>
      <c r="BL140" s="64"/>
      <c r="BM140" s="64"/>
      <c r="BN140" s="64"/>
    </row>
    <row r="141" ht="30.0" customHeight="1">
      <c r="A141" s="64"/>
      <c r="B141" s="64"/>
      <c r="C141" s="66"/>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75"/>
      <c r="BB141" s="64"/>
      <c r="BC141" s="64"/>
      <c r="BD141" s="66"/>
      <c r="BE141" s="64"/>
      <c r="BF141" s="64"/>
      <c r="BG141" s="64"/>
      <c r="BH141" s="64"/>
      <c r="BI141" s="64"/>
      <c r="BJ141" s="64"/>
      <c r="BK141" s="64"/>
      <c r="BL141" s="64"/>
      <c r="BM141" s="64"/>
      <c r="BN141" s="64"/>
    </row>
    <row r="142" ht="30.0" customHeight="1">
      <c r="A142" s="64"/>
      <c r="B142" s="64"/>
      <c r="C142" s="66"/>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75"/>
      <c r="BB142" s="64"/>
      <c r="BC142" s="64"/>
      <c r="BD142" s="66"/>
      <c r="BE142" s="64"/>
      <c r="BF142" s="64"/>
      <c r="BG142" s="64"/>
      <c r="BH142" s="64"/>
      <c r="BI142" s="64"/>
      <c r="BJ142" s="64"/>
      <c r="BK142" s="64"/>
      <c r="BL142" s="64"/>
      <c r="BM142" s="64"/>
      <c r="BN142" s="64"/>
    </row>
    <row r="143" ht="30.0" customHeight="1">
      <c r="A143" s="64"/>
      <c r="B143" s="64"/>
      <c r="C143" s="66"/>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75"/>
      <c r="BB143" s="64"/>
      <c r="BC143" s="64"/>
      <c r="BD143" s="66"/>
      <c r="BE143" s="64"/>
      <c r="BF143" s="64"/>
      <c r="BG143" s="64"/>
      <c r="BH143" s="64"/>
      <c r="BI143" s="64"/>
      <c r="BJ143" s="64"/>
      <c r="BK143" s="64"/>
      <c r="BL143" s="64"/>
      <c r="BM143" s="64"/>
      <c r="BN143" s="64"/>
    </row>
    <row r="144" ht="30.0" customHeight="1">
      <c r="A144" s="64"/>
      <c r="B144" s="64"/>
      <c r="C144" s="66"/>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75"/>
      <c r="BB144" s="64"/>
      <c r="BC144" s="64"/>
      <c r="BD144" s="66"/>
      <c r="BE144" s="64"/>
      <c r="BF144" s="64"/>
      <c r="BG144" s="64"/>
      <c r="BH144" s="64"/>
      <c r="BI144" s="64"/>
      <c r="BJ144" s="64"/>
      <c r="BK144" s="64"/>
      <c r="BL144" s="64"/>
      <c r="BM144" s="64"/>
      <c r="BN144" s="64"/>
    </row>
    <row r="145" ht="30.0" customHeight="1">
      <c r="A145" s="64"/>
      <c r="B145" s="64"/>
      <c r="C145" s="66"/>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75"/>
      <c r="BB145" s="64"/>
      <c r="BC145" s="64"/>
      <c r="BD145" s="66"/>
      <c r="BE145" s="64"/>
      <c r="BF145" s="64"/>
      <c r="BG145" s="64"/>
      <c r="BH145" s="64"/>
      <c r="BI145" s="64"/>
      <c r="BJ145" s="64"/>
      <c r="BK145" s="64"/>
      <c r="BL145" s="64"/>
      <c r="BM145" s="64"/>
      <c r="BN145" s="64"/>
    </row>
    <row r="146" ht="30.0" customHeight="1">
      <c r="A146" s="64"/>
      <c r="B146" s="64"/>
      <c r="C146" s="66"/>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75"/>
      <c r="BB146" s="64"/>
      <c r="BC146" s="64"/>
      <c r="BD146" s="66"/>
      <c r="BE146" s="64"/>
      <c r="BF146" s="64"/>
      <c r="BG146" s="64"/>
      <c r="BH146" s="64"/>
      <c r="BI146" s="64"/>
      <c r="BJ146" s="64"/>
      <c r="BK146" s="64"/>
      <c r="BL146" s="64"/>
      <c r="BM146" s="64"/>
      <c r="BN146" s="64"/>
    </row>
    <row r="147" ht="30.0" customHeight="1">
      <c r="A147" s="64"/>
      <c r="B147" s="64"/>
      <c r="C147" s="66"/>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75"/>
      <c r="BB147" s="64"/>
      <c r="BC147" s="64"/>
      <c r="BD147" s="66"/>
      <c r="BE147" s="64"/>
      <c r="BF147" s="64"/>
      <c r="BG147" s="64"/>
      <c r="BH147" s="64"/>
      <c r="BI147" s="64"/>
      <c r="BJ147" s="64"/>
      <c r="BK147" s="64"/>
      <c r="BL147" s="64"/>
      <c r="BM147" s="64"/>
      <c r="BN147" s="64"/>
    </row>
    <row r="148" ht="30.0" customHeight="1">
      <c r="A148" s="64"/>
      <c r="B148" s="64"/>
      <c r="C148" s="66"/>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75"/>
      <c r="BB148" s="64"/>
      <c r="BC148" s="64"/>
      <c r="BD148" s="66"/>
      <c r="BE148" s="64"/>
      <c r="BF148" s="64"/>
      <c r="BG148" s="64"/>
      <c r="BH148" s="64"/>
      <c r="BI148" s="64"/>
      <c r="BJ148" s="64"/>
      <c r="BK148" s="64"/>
      <c r="BL148" s="64"/>
      <c r="BM148" s="64"/>
      <c r="BN148" s="64"/>
    </row>
    <row r="149" ht="30.0" customHeight="1">
      <c r="A149" s="64"/>
      <c r="B149" s="64"/>
      <c r="C149" s="66"/>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75"/>
      <c r="BB149" s="64"/>
      <c r="BC149" s="64"/>
      <c r="BD149" s="66"/>
      <c r="BE149" s="64"/>
      <c r="BF149" s="64"/>
      <c r="BG149" s="64"/>
      <c r="BH149" s="64"/>
      <c r="BI149" s="64"/>
      <c r="BJ149" s="64"/>
      <c r="BK149" s="64"/>
      <c r="BL149" s="64"/>
      <c r="BM149" s="64"/>
      <c r="BN149" s="64"/>
    </row>
    <row r="150" ht="30.0" customHeight="1">
      <c r="A150" s="64"/>
      <c r="B150" s="64"/>
      <c r="C150" s="66"/>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75"/>
      <c r="BB150" s="64"/>
      <c r="BC150" s="64"/>
      <c r="BD150" s="66"/>
      <c r="BE150" s="64"/>
      <c r="BF150" s="64"/>
      <c r="BG150" s="64"/>
      <c r="BH150" s="64"/>
      <c r="BI150" s="64"/>
      <c r="BJ150" s="64"/>
      <c r="BK150" s="64"/>
      <c r="BL150" s="64"/>
      <c r="BM150" s="64"/>
      <c r="BN150" s="64"/>
    </row>
    <row r="151" ht="30.0" customHeight="1">
      <c r="A151" s="64"/>
      <c r="B151" s="64"/>
      <c r="C151" s="66"/>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75"/>
      <c r="BB151" s="64"/>
      <c r="BC151" s="64"/>
      <c r="BD151" s="66"/>
      <c r="BE151" s="64"/>
      <c r="BF151" s="64"/>
      <c r="BG151" s="64"/>
      <c r="BH151" s="64"/>
      <c r="BI151" s="64"/>
      <c r="BJ151" s="64"/>
      <c r="BK151" s="64"/>
      <c r="BL151" s="64"/>
      <c r="BM151" s="64"/>
      <c r="BN151" s="64"/>
    </row>
    <row r="152" ht="30.0" customHeight="1">
      <c r="A152" s="64"/>
      <c r="B152" s="64"/>
      <c r="C152" s="66"/>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75"/>
      <c r="BB152" s="64"/>
      <c r="BC152" s="64"/>
      <c r="BD152" s="66"/>
      <c r="BE152" s="64"/>
      <c r="BF152" s="64"/>
      <c r="BG152" s="64"/>
      <c r="BH152" s="64"/>
      <c r="BI152" s="64"/>
      <c r="BJ152" s="64"/>
      <c r="BK152" s="64"/>
      <c r="BL152" s="64"/>
      <c r="BM152" s="64"/>
      <c r="BN152" s="64"/>
    </row>
    <row r="153" ht="30.0" customHeight="1">
      <c r="A153" s="64"/>
      <c r="B153" s="64"/>
      <c r="C153" s="66"/>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75"/>
      <c r="BB153" s="64"/>
      <c r="BC153" s="64"/>
      <c r="BD153" s="66"/>
      <c r="BE153" s="64"/>
      <c r="BF153" s="64"/>
      <c r="BG153" s="64"/>
      <c r="BH153" s="64"/>
      <c r="BI153" s="64"/>
      <c r="BJ153" s="64"/>
      <c r="BK153" s="64"/>
      <c r="BL153" s="64"/>
      <c r="BM153" s="64"/>
      <c r="BN153" s="64"/>
    </row>
    <row r="154" ht="30.0" customHeight="1">
      <c r="A154" s="64"/>
      <c r="B154" s="64"/>
      <c r="C154" s="66"/>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75"/>
      <c r="BB154" s="64"/>
      <c r="BC154" s="64"/>
      <c r="BD154" s="66"/>
      <c r="BE154" s="64"/>
      <c r="BF154" s="64"/>
      <c r="BG154" s="64"/>
      <c r="BH154" s="64"/>
      <c r="BI154" s="64"/>
      <c r="BJ154" s="64"/>
      <c r="BK154" s="64"/>
      <c r="BL154" s="64"/>
      <c r="BM154" s="64"/>
      <c r="BN154" s="64"/>
    </row>
    <row r="155" ht="30.0" customHeight="1">
      <c r="A155" s="64"/>
      <c r="B155" s="64"/>
      <c r="C155" s="66"/>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75"/>
      <c r="BB155" s="64"/>
      <c r="BC155" s="64"/>
      <c r="BD155" s="66"/>
      <c r="BE155" s="64"/>
      <c r="BF155" s="64"/>
      <c r="BG155" s="64"/>
      <c r="BH155" s="64"/>
      <c r="BI155" s="64"/>
      <c r="BJ155" s="64"/>
      <c r="BK155" s="64"/>
      <c r="BL155" s="64"/>
      <c r="BM155" s="64"/>
      <c r="BN155" s="64"/>
    </row>
    <row r="156" ht="30.0" customHeight="1">
      <c r="A156" s="64"/>
      <c r="B156" s="64"/>
      <c r="C156" s="66"/>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75"/>
      <c r="BB156" s="64"/>
      <c r="BC156" s="64"/>
      <c r="BD156" s="66"/>
      <c r="BE156" s="64"/>
      <c r="BF156" s="64"/>
      <c r="BG156" s="64"/>
      <c r="BH156" s="64"/>
      <c r="BI156" s="64"/>
      <c r="BJ156" s="64"/>
      <c r="BK156" s="64"/>
      <c r="BL156" s="64"/>
      <c r="BM156" s="64"/>
      <c r="BN156" s="64"/>
    </row>
    <row r="157" ht="30.0" customHeight="1">
      <c r="A157" s="64"/>
      <c r="B157" s="64"/>
      <c r="C157" s="66"/>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75"/>
      <c r="BB157" s="64"/>
      <c r="BC157" s="64"/>
      <c r="BD157" s="66"/>
      <c r="BE157" s="64"/>
      <c r="BF157" s="64"/>
      <c r="BG157" s="64"/>
      <c r="BH157" s="64"/>
      <c r="BI157" s="64"/>
      <c r="BJ157" s="64"/>
      <c r="BK157" s="64"/>
      <c r="BL157" s="64"/>
      <c r="BM157" s="64"/>
      <c r="BN157" s="64"/>
    </row>
    <row r="158" ht="30.0" customHeight="1">
      <c r="A158" s="64"/>
      <c r="B158" s="64"/>
      <c r="C158" s="66"/>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75"/>
      <c r="BB158" s="64"/>
      <c r="BC158" s="64"/>
      <c r="BD158" s="66"/>
      <c r="BE158" s="64"/>
      <c r="BF158" s="64"/>
      <c r="BG158" s="64"/>
      <c r="BH158" s="64"/>
      <c r="BI158" s="64"/>
      <c r="BJ158" s="64"/>
      <c r="BK158" s="64"/>
      <c r="BL158" s="64"/>
      <c r="BM158" s="64"/>
      <c r="BN158" s="64"/>
    </row>
    <row r="159" ht="30.0" customHeight="1">
      <c r="A159" s="64"/>
      <c r="B159" s="64"/>
      <c r="C159" s="66"/>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75"/>
      <c r="BB159" s="64"/>
      <c r="BC159" s="64"/>
      <c r="BD159" s="66"/>
      <c r="BE159" s="64"/>
      <c r="BF159" s="64"/>
      <c r="BG159" s="64"/>
      <c r="BH159" s="64"/>
      <c r="BI159" s="64"/>
      <c r="BJ159" s="64"/>
      <c r="BK159" s="64"/>
      <c r="BL159" s="64"/>
      <c r="BM159" s="64"/>
      <c r="BN159" s="64"/>
    </row>
    <row r="160" ht="30.0" customHeight="1">
      <c r="A160" s="64"/>
      <c r="B160" s="64"/>
      <c r="C160" s="66"/>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75"/>
      <c r="BB160" s="64"/>
      <c r="BC160" s="64"/>
      <c r="BD160" s="66"/>
      <c r="BE160" s="64"/>
      <c r="BF160" s="64"/>
      <c r="BG160" s="64"/>
      <c r="BH160" s="64"/>
      <c r="BI160" s="64"/>
      <c r="BJ160" s="64"/>
      <c r="BK160" s="64"/>
      <c r="BL160" s="64"/>
      <c r="BM160" s="64"/>
      <c r="BN160" s="64"/>
    </row>
    <row r="161" ht="30.0" customHeight="1">
      <c r="A161" s="64"/>
      <c r="B161" s="64"/>
      <c r="C161" s="66"/>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75"/>
      <c r="BB161" s="64"/>
      <c r="BC161" s="64"/>
      <c r="BD161" s="66"/>
      <c r="BE161" s="64"/>
      <c r="BF161" s="64"/>
      <c r="BG161" s="64"/>
      <c r="BH161" s="64"/>
      <c r="BI161" s="64"/>
      <c r="BJ161" s="64"/>
      <c r="BK161" s="64"/>
      <c r="BL161" s="64"/>
      <c r="BM161" s="64"/>
      <c r="BN161" s="64"/>
    </row>
    <row r="162" ht="30.0" customHeight="1">
      <c r="A162" s="64"/>
      <c r="B162" s="64"/>
      <c r="C162" s="66"/>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75"/>
      <c r="BB162" s="64"/>
      <c r="BC162" s="64"/>
      <c r="BD162" s="66"/>
      <c r="BE162" s="64"/>
      <c r="BF162" s="64"/>
      <c r="BG162" s="64"/>
      <c r="BH162" s="64"/>
      <c r="BI162" s="64"/>
      <c r="BJ162" s="64"/>
      <c r="BK162" s="64"/>
      <c r="BL162" s="64"/>
      <c r="BM162" s="64"/>
      <c r="BN162" s="64"/>
    </row>
    <row r="163" ht="30.0" customHeight="1">
      <c r="A163" s="64"/>
      <c r="B163" s="64"/>
      <c r="C163" s="66"/>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75"/>
      <c r="BB163" s="64"/>
      <c r="BC163" s="64"/>
      <c r="BD163" s="66"/>
      <c r="BE163" s="64"/>
      <c r="BF163" s="64"/>
      <c r="BG163" s="64"/>
      <c r="BH163" s="64"/>
      <c r="BI163" s="64"/>
      <c r="BJ163" s="64"/>
      <c r="BK163" s="64"/>
      <c r="BL163" s="64"/>
      <c r="BM163" s="64"/>
      <c r="BN163" s="64"/>
    </row>
    <row r="164" ht="30.0" customHeight="1">
      <c r="A164" s="64"/>
      <c r="B164" s="64"/>
      <c r="C164" s="66"/>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75"/>
      <c r="BB164" s="64"/>
      <c r="BC164" s="64"/>
      <c r="BD164" s="66"/>
      <c r="BE164" s="64"/>
      <c r="BF164" s="64"/>
      <c r="BG164" s="64"/>
      <c r="BH164" s="64"/>
      <c r="BI164" s="64"/>
      <c r="BJ164" s="64"/>
      <c r="BK164" s="64"/>
      <c r="BL164" s="64"/>
      <c r="BM164" s="64"/>
      <c r="BN164" s="64"/>
    </row>
    <row r="165" ht="30.0" customHeight="1">
      <c r="A165" s="64"/>
      <c r="B165" s="64"/>
      <c r="C165" s="66"/>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75"/>
      <c r="BB165" s="64"/>
      <c r="BC165" s="64"/>
      <c r="BD165" s="66"/>
      <c r="BE165" s="64"/>
      <c r="BF165" s="64"/>
      <c r="BG165" s="64"/>
      <c r="BH165" s="64"/>
      <c r="BI165" s="64"/>
      <c r="BJ165" s="64"/>
      <c r="BK165" s="64"/>
      <c r="BL165" s="64"/>
      <c r="BM165" s="64"/>
      <c r="BN165" s="64"/>
    </row>
    <row r="166" ht="30.0" customHeight="1">
      <c r="A166" s="64"/>
      <c r="B166" s="64"/>
      <c r="C166" s="66"/>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75"/>
      <c r="BB166" s="64"/>
      <c r="BC166" s="64"/>
      <c r="BD166" s="66"/>
      <c r="BE166" s="64"/>
      <c r="BF166" s="64"/>
      <c r="BG166" s="64"/>
      <c r="BH166" s="64"/>
      <c r="BI166" s="64"/>
      <c r="BJ166" s="64"/>
      <c r="BK166" s="64"/>
      <c r="BL166" s="64"/>
      <c r="BM166" s="64"/>
      <c r="BN166" s="64"/>
    </row>
    <row r="167" ht="30.0" customHeight="1">
      <c r="A167" s="64"/>
      <c r="B167" s="64"/>
      <c r="C167" s="66"/>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75"/>
      <c r="BB167" s="64"/>
      <c r="BC167" s="64"/>
      <c r="BD167" s="66"/>
      <c r="BE167" s="64"/>
      <c r="BF167" s="64"/>
      <c r="BG167" s="64"/>
      <c r="BH167" s="64"/>
      <c r="BI167" s="64"/>
      <c r="BJ167" s="64"/>
      <c r="BK167" s="64"/>
      <c r="BL167" s="64"/>
      <c r="BM167" s="64"/>
      <c r="BN167" s="64"/>
    </row>
    <row r="168" ht="30.0" customHeight="1">
      <c r="A168" s="64"/>
      <c r="B168" s="64"/>
      <c r="C168" s="66"/>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75"/>
      <c r="BB168" s="64"/>
      <c r="BC168" s="64"/>
      <c r="BD168" s="66"/>
      <c r="BE168" s="64"/>
      <c r="BF168" s="64"/>
      <c r="BG168" s="64"/>
      <c r="BH168" s="64"/>
      <c r="BI168" s="64"/>
      <c r="BJ168" s="64"/>
      <c r="BK168" s="64"/>
      <c r="BL168" s="64"/>
      <c r="BM168" s="64"/>
      <c r="BN168" s="64"/>
    </row>
    <row r="169" ht="30.0" customHeight="1">
      <c r="A169" s="64"/>
      <c r="B169" s="64"/>
      <c r="C169" s="66"/>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75"/>
      <c r="BB169" s="64"/>
      <c r="BC169" s="64"/>
      <c r="BD169" s="66"/>
      <c r="BE169" s="64"/>
      <c r="BF169" s="64"/>
      <c r="BG169" s="64"/>
      <c r="BH169" s="64"/>
      <c r="BI169" s="64"/>
      <c r="BJ169" s="64"/>
      <c r="BK169" s="64"/>
      <c r="BL169" s="64"/>
      <c r="BM169" s="64"/>
      <c r="BN169" s="64"/>
    </row>
    <row r="170" ht="30.0" customHeight="1">
      <c r="A170" s="64"/>
      <c r="B170" s="64"/>
      <c r="C170" s="66"/>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75"/>
      <c r="BB170" s="64"/>
      <c r="BC170" s="64"/>
      <c r="BD170" s="66"/>
      <c r="BE170" s="64"/>
      <c r="BF170" s="64"/>
      <c r="BG170" s="64"/>
      <c r="BH170" s="64"/>
      <c r="BI170" s="64"/>
      <c r="BJ170" s="64"/>
      <c r="BK170" s="64"/>
      <c r="BL170" s="64"/>
      <c r="BM170" s="64"/>
      <c r="BN170" s="64"/>
    </row>
    <row r="171" ht="30.0" customHeight="1">
      <c r="A171" s="64"/>
      <c r="B171" s="64"/>
      <c r="C171" s="66"/>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75"/>
      <c r="BB171" s="64"/>
      <c r="BC171" s="64"/>
      <c r="BD171" s="66"/>
      <c r="BE171" s="64"/>
      <c r="BF171" s="64"/>
      <c r="BG171" s="64"/>
      <c r="BH171" s="64"/>
      <c r="BI171" s="64"/>
      <c r="BJ171" s="64"/>
      <c r="BK171" s="64"/>
      <c r="BL171" s="64"/>
      <c r="BM171" s="64"/>
      <c r="BN171" s="64"/>
    </row>
    <row r="172" ht="30.0" customHeight="1">
      <c r="A172" s="64"/>
      <c r="B172" s="64"/>
      <c r="C172" s="66"/>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75"/>
      <c r="BB172" s="64"/>
      <c r="BC172" s="64"/>
      <c r="BD172" s="66"/>
      <c r="BE172" s="64"/>
      <c r="BF172" s="64"/>
      <c r="BG172" s="64"/>
      <c r="BH172" s="64"/>
      <c r="BI172" s="64"/>
      <c r="BJ172" s="64"/>
      <c r="BK172" s="64"/>
      <c r="BL172" s="64"/>
      <c r="BM172" s="64"/>
      <c r="BN172" s="64"/>
    </row>
    <row r="173" ht="30.0" customHeight="1">
      <c r="A173" s="64"/>
      <c r="B173" s="64"/>
      <c r="C173" s="66"/>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75"/>
      <c r="BB173" s="64"/>
      <c r="BC173" s="64"/>
      <c r="BD173" s="66"/>
      <c r="BE173" s="64"/>
      <c r="BF173" s="64"/>
      <c r="BG173" s="64"/>
      <c r="BH173" s="64"/>
      <c r="BI173" s="64"/>
      <c r="BJ173" s="64"/>
      <c r="BK173" s="64"/>
      <c r="BL173" s="64"/>
      <c r="BM173" s="64"/>
      <c r="BN173" s="64"/>
    </row>
    <row r="174" ht="30.0" customHeight="1">
      <c r="A174" s="64"/>
      <c r="B174" s="64"/>
      <c r="C174" s="66"/>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75"/>
      <c r="BB174" s="64"/>
      <c r="BC174" s="64"/>
      <c r="BD174" s="66"/>
      <c r="BE174" s="64"/>
      <c r="BF174" s="64"/>
      <c r="BG174" s="64"/>
      <c r="BH174" s="64"/>
      <c r="BI174" s="64"/>
      <c r="BJ174" s="64"/>
      <c r="BK174" s="64"/>
      <c r="BL174" s="64"/>
      <c r="BM174" s="64"/>
      <c r="BN174" s="64"/>
    </row>
    <row r="175" ht="30.0" customHeight="1">
      <c r="A175" s="64"/>
      <c r="B175" s="64"/>
      <c r="C175" s="66"/>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75"/>
      <c r="BB175" s="64"/>
      <c r="BC175" s="64"/>
      <c r="BD175" s="66"/>
      <c r="BE175" s="64"/>
      <c r="BF175" s="64"/>
      <c r="BG175" s="64"/>
      <c r="BH175" s="64"/>
      <c r="BI175" s="64"/>
      <c r="BJ175" s="64"/>
      <c r="BK175" s="64"/>
      <c r="BL175" s="64"/>
      <c r="BM175" s="64"/>
      <c r="BN175" s="64"/>
    </row>
    <row r="176" ht="30.0" customHeight="1">
      <c r="A176" s="64"/>
      <c r="B176" s="64"/>
      <c r="C176" s="66"/>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75"/>
      <c r="BB176" s="64"/>
      <c r="BC176" s="64"/>
      <c r="BD176" s="66"/>
      <c r="BE176" s="64"/>
      <c r="BF176" s="64"/>
      <c r="BG176" s="64"/>
      <c r="BH176" s="64"/>
      <c r="BI176" s="64"/>
      <c r="BJ176" s="64"/>
      <c r="BK176" s="64"/>
      <c r="BL176" s="64"/>
      <c r="BM176" s="64"/>
      <c r="BN176" s="64"/>
    </row>
    <row r="177" ht="30.0" customHeight="1">
      <c r="A177" s="64"/>
      <c r="B177" s="64"/>
      <c r="C177" s="66"/>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75"/>
      <c r="BB177" s="64"/>
      <c r="BC177" s="64"/>
      <c r="BD177" s="66"/>
      <c r="BE177" s="64"/>
      <c r="BF177" s="64"/>
      <c r="BG177" s="64"/>
      <c r="BH177" s="64"/>
      <c r="BI177" s="64"/>
      <c r="BJ177" s="64"/>
      <c r="BK177" s="64"/>
      <c r="BL177" s="64"/>
      <c r="BM177" s="64"/>
      <c r="BN177" s="64"/>
    </row>
    <row r="178" ht="30.0" customHeight="1">
      <c r="A178" s="64"/>
      <c r="B178" s="64"/>
      <c r="C178" s="66"/>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75"/>
      <c r="BB178" s="64"/>
      <c r="BC178" s="64"/>
      <c r="BD178" s="66"/>
      <c r="BE178" s="64"/>
      <c r="BF178" s="64"/>
      <c r="BG178" s="64"/>
      <c r="BH178" s="64"/>
      <c r="BI178" s="64"/>
      <c r="BJ178" s="64"/>
      <c r="BK178" s="64"/>
      <c r="BL178" s="64"/>
      <c r="BM178" s="64"/>
      <c r="BN178" s="64"/>
    </row>
    <row r="179" ht="30.0" customHeight="1">
      <c r="A179" s="64"/>
      <c r="B179" s="64"/>
      <c r="C179" s="66"/>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75"/>
      <c r="BB179" s="64"/>
      <c r="BC179" s="64"/>
      <c r="BD179" s="66"/>
      <c r="BE179" s="64"/>
      <c r="BF179" s="64"/>
      <c r="BG179" s="64"/>
      <c r="BH179" s="64"/>
      <c r="BI179" s="64"/>
      <c r="BJ179" s="64"/>
      <c r="BK179" s="64"/>
      <c r="BL179" s="64"/>
      <c r="BM179" s="64"/>
      <c r="BN179" s="64"/>
    </row>
    <row r="180" ht="30.0" customHeight="1">
      <c r="A180" s="64"/>
      <c r="B180" s="64"/>
      <c r="C180" s="66"/>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75"/>
      <c r="BB180" s="64"/>
      <c r="BC180" s="64"/>
      <c r="BD180" s="66"/>
      <c r="BE180" s="64"/>
      <c r="BF180" s="64"/>
      <c r="BG180" s="64"/>
      <c r="BH180" s="64"/>
      <c r="BI180" s="64"/>
      <c r="BJ180" s="64"/>
      <c r="BK180" s="64"/>
      <c r="BL180" s="64"/>
      <c r="BM180" s="64"/>
      <c r="BN180" s="64"/>
    </row>
    <row r="181" ht="30.0" customHeight="1">
      <c r="A181" s="64"/>
      <c r="B181" s="64"/>
      <c r="C181" s="66"/>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75"/>
      <c r="BB181" s="64"/>
      <c r="BC181" s="64"/>
      <c r="BD181" s="66"/>
      <c r="BE181" s="64"/>
      <c r="BF181" s="64"/>
      <c r="BG181" s="64"/>
      <c r="BH181" s="64"/>
      <c r="BI181" s="64"/>
      <c r="BJ181" s="64"/>
      <c r="BK181" s="64"/>
      <c r="BL181" s="64"/>
      <c r="BM181" s="64"/>
      <c r="BN181" s="64"/>
    </row>
    <row r="182" ht="30.0" customHeight="1">
      <c r="A182" s="64"/>
      <c r="B182" s="64"/>
      <c r="C182" s="66"/>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75"/>
      <c r="BB182" s="64"/>
      <c r="BC182" s="64"/>
      <c r="BD182" s="66"/>
      <c r="BE182" s="64"/>
      <c r="BF182" s="64"/>
      <c r="BG182" s="64"/>
      <c r="BH182" s="64"/>
      <c r="BI182" s="64"/>
      <c r="BJ182" s="64"/>
      <c r="BK182" s="64"/>
      <c r="BL182" s="64"/>
      <c r="BM182" s="64"/>
      <c r="BN182" s="64"/>
    </row>
    <row r="183" ht="30.0" customHeight="1">
      <c r="A183" s="64"/>
      <c r="B183" s="64"/>
      <c r="C183" s="66"/>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75"/>
      <c r="BB183" s="64"/>
      <c r="BC183" s="64"/>
      <c r="BD183" s="66"/>
      <c r="BE183" s="64"/>
      <c r="BF183" s="64"/>
      <c r="BG183" s="64"/>
      <c r="BH183" s="64"/>
      <c r="BI183" s="64"/>
      <c r="BJ183" s="64"/>
      <c r="BK183" s="64"/>
      <c r="BL183" s="64"/>
      <c r="BM183" s="64"/>
      <c r="BN183" s="64"/>
    </row>
    <row r="184" ht="30.0" customHeight="1">
      <c r="A184" s="64"/>
      <c r="B184" s="64"/>
      <c r="C184" s="66"/>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75"/>
      <c r="BB184" s="64"/>
      <c r="BC184" s="64"/>
      <c r="BD184" s="66"/>
      <c r="BE184" s="64"/>
      <c r="BF184" s="64"/>
      <c r="BG184" s="64"/>
      <c r="BH184" s="64"/>
      <c r="BI184" s="64"/>
      <c r="BJ184" s="64"/>
      <c r="BK184" s="64"/>
      <c r="BL184" s="64"/>
      <c r="BM184" s="64"/>
      <c r="BN184" s="64"/>
    </row>
    <row r="185" ht="30.0" customHeight="1">
      <c r="A185" s="64"/>
      <c r="B185" s="64"/>
      <c r="C185" s="66"/>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75"/>
      <c r="BB185" s="64"/>
      <c r="BC185" s="64"/>
      <c r="BD185" s="66"/>
      <c r="BE185" s="64"/>
      <c r="BF185" s="64"/>
      <c r="BG185" s="64"/>
      <c r="BH185" s="64"/>
      <c r="BI185" s="64"/>
      <c r="BJ185" s="64"/>
      <c r="BK185" s="64"/>
      <c r="BL185" s="64"/>
      <c r="BM185" s="64"/>
      <c r="BN185" s="64"/>
    </row>
    <row r="186" ht="30.0" customHeight="1">
      <c r="A186" s="64"/>
      <c r="B186" s="64"/>
      <c r="C186" s="66"/>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75"/>
      <c r="BB186" s="64"/>
      <c r="BC186" s="64"/>
      <c r="BD186" s="66"/>
      <c r="BE186" s="64"/>
      <c r="BF186" s="64"/>
      <c r="BG186" s="64"/>
      <c r="BH186" s="64"/>
      <c r="BI186" s="64"/>
      <c r="BJ186" s="64"/>
      <c r="BK186" s="64"/>
      <c r="BL186" s="64"/>
      <c r="BM186" s="64"/>
      <c r="BN186" s="64"/>
    </row>
    <row r="187" ht="30.0" customHeight="1">
      <c r="A187" s="64"/>
      <c r="B187" s="64"/>
      <c r="C187" s="66"/>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75"/>
      <c r="BB187" s="64"/>
      <c r="BC187" s="64"/>
      <c r="BD187" s="66"/>
      <c r="BE187" s="64"/>
      <c r="BF187" s="64"/>
      <c r="BG187" s="64"/>
      <c r="BH187" s="64"/>
      <c r="BI187" s="64"/>
      <c r="BJ187" s="64"/>
      <c r="BK187" s="64"/>
      <c r="BL187" s="64"/>
      <c r="BM187" s="64"/>
      <c r="BN187" s="64"/>
    </row>
    <row r="188" ht="30.0" customHeight="1">
      <c r="A188" s="64"/>
      <c r="B188" s="64"/>
      <c r="C188" s="66"/>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75"/>
      <c r="BB188" s="64"/>
      <c r="BC188" s="64"/>
      <c r="BD188" s="66"/>
      <c r="BE188" s="64"/>
      <c r="BF188" s="64"/>
      <c r="BG188" s="64"/>
      <c r="BH188" s="64"/>
      <c r="BI188" s="64"/>
      <c r="BJ188" s="64"/>
      <c r="BK188" s="64"/>
      <c r="BL188" s="64"/>
      <c r="BM188" s="64"/>
      <c r="BN188" s="64"/>
    </row>
    <row r="189" ht="30.0" customHeight="1">
      <c r="A189" s="64"/>
      <c r="B189" s="64"/>
      <c r="C189" s="66"/>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75"/>
      <c r="BB189" s="64"/>
      <c r="BC189" s="64"/>
      <c r="BD189" s="66"/>
      <c r="BE189" s="64"/>
      <c r="BF189" s="64"/>
      <c r="BG189" s="64"/>
      <c r="BH189" s="64"/>
      <c r="BI189" s="64"/>
      <c r="BJ189" s="64"/>
      <c r="BK189" s="64"/>
      <c r="BL189" s="64"/>
      <c r="BM189" s="64"/>
      <c r="BN189" s="64"/>
    </row>
    <row r="190" ht="30.0" customHeight="1">
      <c r="A190" s="64"/>
      <c r="B190" s="64"/>
      <c r="C190" s="66"/>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75"/>
      <c r="BB190" s="64"/>
      <c r="BC190" s="64"/>
      <c r="BD190" s="66"/>
      <c r="BE190" s="64"/>
      <c r="BF190" s="64"/>
      <c r="BG190" s="64"/>
      <c r="BH190" s="64"/>
      <c r="BI190" s="64"/>
      <c r="BJ190" s="64"/>
      <c r="BK190" s="64"/>
      <c r="BL190" s="64"/>
      <c r="BM190" s="64"/>
      <c r="BN190" s="64"/>
    </row>
    <row r="191" ht="30.0" customHeight="1">
      <c r="A191" s="64"/>
      <c r="B191" s="64"/>
      <c r="C191" s="66"/>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75"/>
      <c r="BB191" s="64"/>
      <c r="BC191" s="64"/>
      <c r="BD191" s="66"/>
      <c r="BE191" s="64"/>
      <c r="BF191" s="64"/>
      <c r="BG191" s="64"/>
      <c r="BH191" s="64"/>
      <c r="BI191" s="64"/>
      <c r="BJ191" s="64"/>
      <c r="BK191" s="64"/>
      <c r="BL191" s="64"/>
      <c r="BM191" s="64"/>
      <c r="BN191" s="64"/>
    </row>
    <row r="192" ht="30.0" customHeight="1">
      <c r="A192" s="64"/>
      <c r="B192" s="64"/>
      <c r="C192" s="66"/>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75"/>
      <c r="BB192" s="64"/>
      <c r="BC192" s="64"/>
      <c r="BD192" s="66"/>
      <c r="BE192" s="64"/>
      <c r="BF192" s="64"/>
      <c r="BG192" s="64"/>
      <c r="BH192" s="64"/>
      <c r="BI192" s="64"/>
      <c r="BJ192" s="64"/>
      <c r="BK192" s="64"/>
      <c r="BL192" s="64"/>
      <c r="BM192" s="64"/>
      <c r="BN192" s="64"/>
    </row>
    <row r="193" ht="30.0" customHeight="1">
      <c r="A193" s="64"/>
      <c r="B193" s="64"/>
      <c r="C193" s="66"/>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75"/>
      <c r="BB193" s="64"/>
      <c r="BC193" s="64"/>
      <c r="BD193" s="66"/>
      <c r="BE193" s="64"/>
      <c r="BF193" s="64"/>
      <c r="BG193" s="64"/>
      <c r="BH193" s="64"/>
      <c r="BI193" s="64"/>
      <c r="BJ193" s="64"/>
      <c r="BK193" s="64"/>
      <c r="BL193" s="64"/>
      <c r="BM193" s="64"/>
      <c r="BN193" s="64"/>
    </row>
    <row r="194" ht="30.0" customHeight="1">
      <c r="A194" s="64"/>
      <c r="B194" s="64"/>
      <c r="C194" s="66"/>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75"/>
      <c r="BB194" s="64"/>
      <c r="BC194" s="64"/>
      <c r="BD194" s="66"/>
      <c r="BE194" s="64"/>
      <c r="BF194" s="64"/>
      <c r="BG194" s="64"/>
      <c r="BH194" s="64"/>
      <c r="BI194" s="64"/>
      <c r="BJ194" s="64"/>
      <c r="BK194" s="64"/>
      <c r="BL194" s="64"/>
      <c r="BM194" s="64"/>
      <c r="BN194" s="64"/>
    </row>
    <row r="195" ht="30.0" customHeight="1">
      <c r="A195" s="64"/>
      <c r="B195" s="64"/>
      <c r="C195" s="66"/>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75"/>
      <c r="BB195" s="64"/>
      <c r="BC195" s="64"/>
      <c r="BD195" s="66"/>
      <c r="BE195" s="64"/>
      <c r="BF195" s="64"/>
      <c r="BG195" s="64"/>
      <c r="BH195" s="64"/>
      <c r="BI195" s="64"/>
      <c r="BJ195" s="64"/>
      <c r="BK195" s="64"/>
      <c r="BL195" s="64"/>
      <c r="BM195" s="64"/>
      <c r="BN195" s="64"/>
    </row>
    <row r="196" ht="30.0" customHeight="1">
      <c r="A196" s="64"/>
      <c r="B196" s="64"/>
      <c r="C196" s="66"/>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75"/>
      <c r="BB196" s="64"/>
      <c r="BC196" s="64"/>
      <c r="BD196" s="66"/>
      <c r="BE196" s="64"/>
      <c r="BF196" s="64"/>
      <c r="BG196" s="64"/>
      <c r="BH196" s="64"/>
      <c r="BI196" s="64"/>
      <c r="BJ196" s="64"/>
      <c r="BK196" s="64"/>
      <c r="BL196" s="64"/>
      <c r="BM196" s="64"/>
      <c r="BN196" s="64"/>
    </row>
    <row r="197" ht="30.0" customHeight="1">
      <c r="A197" s="64"/>
      <c r="B197" s="64"/>
      <c r="C197" s="66"/>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75"/>
      <c r="BB197" s="64"/>
      <c r="BC197" s="64"/>
      <c r="BD197" s="66"/>
      <c r="BE197" s="64"/>
      <c r="BF197" s="64"/>
      <c r="BG197" s="64"/>
      <c r="BH197" s="64"/>
      <c r="BI197" s="64"/>
      <c r="BJ197" s="64"/>
      <c r="BK197" s="64"/>
      <c r="BL197" s="64"/>
      <c r="BM197" s="64"/>
      <c r="BN197" s="64"/>
    </row>
    <row r="198" ht="30.0" customHeight="1">
      <c r="A198" s="64"/>
      <c r="B198" s="64"/>
      <c r="C198" s="66"/>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75"/>
      <c r="BB198" s="64"/>
      <c r="BC198" s="64"/>
      <c r="BD198" s="66"/>
      <c r="BE198" s="64"/>
      <c r="BF198" s="64"/>
      <c r="BG198" s="64"/>
      <c r="BH198" s="64"/>
      <c r="BI198" s="64"/>
      <c r="BJ198" s="64"/>
      <c r="BK198" s="64"/>
      <c r="BL198" s="64"/>
      <c r="BM198" s="64"/>
      <c r="BN198" s="64"/>
    </row>
    <row r="199" ht="30.0" customHeight="1">
      <c r="A199" s="64"/>
      <c r="B199" s="64"/>
      <c r="C199" s="66"/>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75"/>
      <c r="BB199" s="64"/>
      <c r="BC199" s="64"/>
      <c r="BD199" s="66"/>
      <c r="BE199" s="64"/>
      <c r="BF199" s="64"/>
      <c r="BG199" s="64"/>
      <c r="BH199" s="64"/>
      <c r="BI199" s="64"/>
      <c r="BJ199" s="64"/>
      <c r="BK199" s="64"/>
      <c r="BL199" s="64"/>
      <c r="BM199" s="64"/>
      <c r="BN199" s="64"/>
    </row>
    <row r="200" ht="30.0" customHeight="1">
      <c r="A200" s="64"/>
      <c r="B200" s="64"/>
      <c r="C200" s="66"/>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75"/>
      <c r="BB200" s="64"/>
      <c r="BC200" s="64"/>
      <c r="BD200" s="66"/>
      <c r="BE200" s="64"/>
      <c r="BF200" s="64"/>
      <c r="BG200" s="64"/>
      <c r="BH200" s="64"/>
      <c r="BI200" s="64"/>
      <c r="BJ200" s="64"/>
      <c r="BK200" s="64"/>
      <c r="BL200" s="64"/>
      <c r="BM200" s="64"/>
      <c r="BN200" s="64"/>
    </row>
    <row r="201" ht="30.0" customHeight="1">
      <c r="A201" s="64"/>
      <c r="B201" s="64"/>
      <c r="C201" s="66"/>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75"/>
      <c r="BB201" s="64"/>
      <c r="BC201" s="64"/>
      <c r="BD201" s="66"/>
      <c r="BE201" s="64"/>
      <c r="BF201" s="64"/>
      <c r="BG201" s="64"/>
      <c r="BH201" s="64"/>
      <c r="BI201" s="64"/>
      <c r="BJ201" s="64"/>
      <c r="BK201" s="64"/>
      <c r="BL201" s="64"/>
      <c r="BM201" s="64"/>
      <c r="BN201" s="64"/>
    </row>
    <row r="202" ht="30.0" customHeight="1">
      <c r="A202" s="64"/>
      <c r="B202" s="64"/>
      <c r="C202" s="66"/>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75"/>
      <c r="BB202" s="64"/>
      <c r="BC202" s="64"/>
      <c r="BD202" s="66"/>
      <c r="BE202" s="64"/>
      <c r="BF202" s="64"/>
      <c r="BG202" s="64"/>
      <c r="BH202" s="64"/>
      <c r="BI202" s="64"/>
      <c r="BJ202" s="64"/>
      <c r="BK202" s="64"/>
      <c r="BL202" s="64"/>
      <c r="BM202" s="64"/>
      <c r="BN202" s="64"/>
    </row>
    <row r="203" ht="30.0" customHeight="1">
      <c r="A203" s="64"/>
      <c r="B203" s="64"/>
      <c r="C203" s="66"/>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75"/>
      <c r="BB203" s="64"/>
      <c r="BC203" s="64"/>
      <c r="BD203" s="66"/>
      <c r="BE203" s="64"/>
      <c r="BF203" s="64"/>
      <c r="BG203" s="64"/>
      <c r="BH203" s="64"/>
      <c r="BI203" s="64"/>
      <c r="BJ203" s="64"/>
      <c r="BK203" s="64"/>
      <c r="BL203" s="64"/>
      <c r="BM203" s="64"/>
      <c r="BN203" s="64"/>
    </row>
    <row r="204" ht="30.0" customHeight="1">
      <c r="A204" s="64"/>
      <c r="B204" s="64"/>
      <c r="C204" s="66"/>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75"/>
      <c r="BB204" s="64"/>
      <c r="BC204" s="64"/>
      <c r="BD204" s="66"/>
      <c r="BE204" s="64"/>
      <c r="BF204" s="64"/>
      <c r="BG204" s="64"/>
      <c r="BH204" s="64"/>
      <c r="BI204" s="64"/>
      <c r="BJ204" s="64"/>
      <c r="BK204" s="64"/>
      <c r="BL204" s="64"/>
      <c r="BM204" s="64"/>
      <c r="BN204" s="64"/>
    </row>
    <row r="205" ht="30.0" customHeight="1">
      <c r="A205" s="64"/>
      <c r="B205" s="64"/>
      <c r="C205" s="66"/>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75"/>
      <c r="BB205" s="64"/>
      <c r="BC205" s="64"/>
      <c r="BD205" s="66"/>
      <c r="BE205" s="64"/>
      <c r="BF205" s="64"/>
      <c r="BG205" s="64"/>
      <c r="BH205" s="64"/>
      <c r="BI205" s="64"/>
      <c r="BJ205" s="64"/>
      <c r="BK205" s="64"/>
      <c r="BL205" s="64"/>
      <c r="BM205" s="64"/>
      <c r="BN205" s="64"/>
    </row>
    <row r="206" ht="30.0" customHeight="1">
      <c r="A206" s="64"/>
      <c r="B206" s="64"/>
      <c r="C206" s="66"/>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75"/>
      <c r="BB206" s="64"/>
      <c r="BC206" s="64"/>
      <c r="BD206" s="66"/>
      <c r="BE206" s="64"/>
      <c r="BF206" s="64"/>
      <c r="BG206" s="64"/>
      <c r="BH206" s="64"/>
      <c r="BI206" s="64"/>
      <c r="BJ206" s="64"/>
      <c r="BK206" s="64"/>
      <c r="BL206" s="64"/>
      <c r="BM206" s="64"/>
      <c r="BN206" s="64"/>
    </row>
    <row r="207" ht="30.0" customHeight="1">
      <c r="A207" s="64"/>
      <c r="B207" s="64"/>
      <c r="C207" s="66"/>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75"/>
      <c r="BB207" s="64"/>
      <c r="BC207" s="64"/>
      <c r="BD207" s="66"/>
      <c r="BE207" s="64"/>
      <c r="BF207" s="64"/>
      <c r="BG207" s="64"/>
      <c r="BH207" s="64"/>
      <c r="BI207" s="64"/>
      <c r="BJ207" s="64"/>
      <c r="BK207" s="64"/>
      <c r="BL207" s="64"/>
      <c r="BM207" s="64"/>
      <c r="BN207" s="64"/>
    </row>
    <row r="208" ht="30.0" customHeight="1">
      <c r="A208" s="64"/>
      <c r="B208" s="64"/>
      <c r="C208" s="66"/>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75"/>
      <c r="BB208" s="64"/>
      <c r="BC208" s="64"/>
      <c r="BD208" s="66"/>
      <c r="BE208" s="64"/>
      <c r="BF208" s="64"/>
      <c r="BG208" s="64"/>
      <c r="BH208" s="64"/>
      <c r="BI208" s="64"/>
      <c r="BJ208" s="64"/>
      <c r="BK208" s="64"/>
      <c r="BL208" s="64"/>
      <c r="BM208" s="64"/>
      <c r="BN208" s="64"/>
    </row>
    <row r="209" ht="30.0" customHeight="1">
      <c r="A209" s="64"/>
      <c r="B209" s="64"/>
      <c r="C209" s="66"/>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75"/>
      <c r="BB209" s="64"/>
      <c r="BC209" s="64"/>
      <c r="BD209" s="66"/>
      <c r="BE209" s="64"/>
      <c r="BF209" s="64"/>
      <c r="BG209" s="64"/>
      <c r="BH209" s="64"/>
      <c r="BI209" s="64"/>
      <c r="BJ209" s="64"/>
      <c r="BK209" s="64"/>
      <c r="BL209" s="64"/>
      <c r="BM209" s="64"/>
      <c r="BN209" s="64"/>
    </row>
    <row r="210" ht="30.0" customHeight="1">
      <c r="A210" s="64"/>
      <c r="B210" s="64"/>
      <c r="C210" s="66"/>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75"/>
      <c r="BB210" s="64"/>
      <c r="BC210" s="64"/>
      <c r="BD210" s="66"/>
      <c r="BE210" s="64"/>
      <c r="BF210" s="64"/>
      <c r="BG210" s="64"/>
      <c r="BH210" s="64"/>
      <c r="BI210" s="64"/>
      <c r="BJ210" s="64"/>
      <c r="BK210" s="64"/>
      <c r="BL210" s="64"/>
      <c r="BM210" s="64"/>
      <c r="BN210" s="64"/>
    </row>
    <row r="211" ht="30.0" customHeight="1">
      <c r="A211" s="64"/>
      <c r="B211" s="64"/>
      <c r="C211" s="66"/>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75"/>
      <c r="BB211" s="64"/>
      <c r="BC211" s="64"/>
      <c r="BD211" s="66"/>
      <c r="BE211" s="64"/>
      <c r="BF211" s="64"/>
      <c r="BG211" s="64"/>
      <c r="BH211" s="64"/>
      <c r="BI211" s="64"/>
      <c r="BJ211" s="64"/>
      <c r="BK211" s="64"/>
      <c r="BL211" s="64"/>
      <c r="BM211" s="64"/>
      <c r="BN211" s="64"/>
    </row>
    <row r="212" ht="30.0" customHeight="1">
      <c r="A212" s="64"/>
      <c r="B212" s="64"/>
      <c r="C212" s="66"/>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75"/>
      <c r="BB212" s="64"/>
      <c r="BC212" s="64"/>
      <c r="BD212" s="66"/>
      <c r="BE212" s="64"/>
      <c r="BF212" s="64"/>
      <c r="BG212" s="64"/>
      <c r="BH212" s="64"/>
      <c r="BI212" s="64"/>
      <c r="BJ212" s="64"/>
      <c r="BK212" s="64"/>
      <c r="BL212" s="64"/>
      <c r="BM212" s="64"/>
      <c r="BN212" s="64"/>
    </row>
    <row r="213" ht="30.0" customHeight="1">
      <c r="A213" s="64"/>
      <c r="B213" s="64"/>
      <c r="C213" s="66"/>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75"/>
      <c r="BB213" s="64"/>
      <c r="BC213" s="64"/>
      <c r="BD213" s="66"/>
      <c r="BE213" s="64"/>
      <c r="BF213" s="64"/>
      <c r="BG213" s="64"/>
      <c r="BH213" s="64"/>
      <c r="BI213" s="64"/>
      <c r="BJ213" s="64"/>
      <c r="BK213" s="64"/>
      <c r="BL213" s="64"/>
      <c r="BM213" s="64"/>
      <c r="BN213" s="64"/>
    </row>
    <row r="214" ht="30.0" customHeight="1">
      <c r="A214" s="64"/>
      <c r="B214" s="64"/>
      <c r="C214" s="66"/>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75"/>
      <c r="BB214" s="64"/>
      <c r="BC214" s="64"/>
      <c r="BD214" s="66"/>
      <c r="BE214" s="64"/>
      <c r="BF214" s="64"/>
      <c r="BG214" s="64"/>
      <c r="BH214" s="64"/>
      <c r="BI214" s="64"/>
      <c r="BJ214" s="64"/>
      <c r="BK214" s="64"/>
      <c r="BL214" s="64"/>
      <c r="BM214" s="64"/>
      <c r="BN214" s="64"/>
    </row>
    <row r="215" ht="30.0" customHeight="1">
      <c r="A215" s="64"/>
      <c r="B215" s="64"/>
      <c r="C215" s="66"/>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75"/>
      <c r="BB215" s="64"/>
      <c r="BC215" s="64"/>
      <c r="BD215" s="66"/>
      <c r="BE215" s="64"/>
      <c r="BF215" s="64"/>
      <c r="BG215" s="64"/>
      <c r="BH215" s="64"/>
      <c r="BI215" s="64"/>
      <c r="BJ215" s="64"/>
      <c r="BK215" s="64"/>
      <c r="BL215" s="64"/>
      <c r="BM215" s="64"/>
      <c r="BN215" s="64"/>
    </row>
    <row r="216" ht="30.0" customHeight="1">
      <c r="A216" s="64"/>
      <c r="B216" s="64"/>
      <c r="C216" s="66"/>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75"/>
      <c r="BB216" s="64"/>
      <c r="BC216" s="64"/>
      <c r="BD216" s="66"/>
      <c r="BE216" s="64"/>
      <c r="BF216" s="64"/>
      <c r="BG216" s="64"/>
      <c r="BH216" s="64"/>
      <c r="BI216" s="64"/>
      <c r="BJ216" s="64"/>
      <c r="BK216" s="64"/>
      <c r="BL216" s="64"/>
      <c r="BM216" s="64"/>
      <c r="BN216" s="64"/>
    </row>
    <row r="217" ht="30.0" customHeight="1">
      <c r="A217" s="64"/>
      <c r="B217" s="64"/>
      <c r="C217" s="66"/>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75"/>
      <c r="BB217" s="64"/>
      <c r="BC217" s="64"/>
      <c r="BD217" s="66"/>
      <c r="BE217" s="64"/>
      <c r="BF217" s="64"/>
      <c r="BG217" s="64"/>
      <c r="BH217" s="64"/>
      <c r="BI217" s="64"/>
      <c r="BJ217" s="64"/>
      <c r="BK217" s="64"/>
      <c r="BL217" s="64"/>
      <c r="BM217" s="64"/>
      <c r="BN217" s="64"/>
    </row>
    <row r="218" ht="30.0" customHeight="1">
      <c r="A218" s="64"/>
      <c r="B218" s="64"/>
      <c r="C218" s="66"/>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75"/>
      <c r="BB218" s="64"/>
      <c r="BC218" s="64"/>
      <c r="BD218" s="66"/>
      <c r="BE218" s="64"/>
      <c r="BF218" s="64"/>
      <c r="BG218" s="64"/>
      <c r="BH218" s="64"/>
      <c r="BI218" s="64"/>
      <c r="BJ218" s="64"/>
      <c r="BK218" s="64"/>
      <c r="BL218" s="64"/>
      <c r="BM218" s="64"/>
      <c r="BN218" s="64"/>
    </row>
    <row r="219" ht="30.0" customHeight="1">
      <c r="A219" s="64"/>
      <c r="B219" s="64"/>
      <c r="C219" s="66"/>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75"/>
      <c r="BB219" s="64"/>
      <c r="BC219" s="64"/>
      <c r="BD219" s="66"/>
      <c r="BE219" s="64"/>
      <c r="BF219" s="64"/>
      <c r="BG219" s="64"/>
      <c r="BH219" s="64"/>
      <c r="BI219" s="64"/>
      <c r="BJ219" s="64"/>
      <c r="BK219" s="64"/>
      <c r="BL219" s="64"/>
      <c r="BM219" s="64"/>
      <c r="BN219" s="64"/>
    </row>
    <row r="220" ht="30.0" customHeight="1">
      <c r="A220" s="64"/>
      <c r="B220" s="64"/>
      <c r="C220" s="66"/>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75"/>
      <c r="BB220" s="64"/>
      <c r="BC220" s="64"/>
      <c r="BD220" s="66"/>
      <c r="BE220" s="64"/>
      <c r="BF220" s="64"/>
      <c r="BG220" s="64"/>
      <c r="BH220" s="64"/>
      <c r="BI220" s="64"/>
      <c r="BJ220" s="64"/>
      <c r="BK220" s="64"/>
      <c r="BL220" s="64"/>
      <c r="BM220" s="64"/>
      <c r="BN220" s="64"/>
    </row>
    <row r="221" ht="30.0" customHeight="1">
      <c r="A221" s="64"/>
      <c r="B221" s="64"/>
      <c r="C221" s="66"/>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75"/>
      <c r="BB221" s="64"/>
      <c r="BC221" s="64"/>
      <c r="BD221" s="66"/>
      <c r="BE221" s="64"/>
      <c r="BF221" s="64"/>
      <c r="BG221" s="64"/>
      <c r="BH221" s="64"/>
      <c r="BI221" s="64"/>
      <c r="BJ221" s="64"/>
      <c r="BK221" s="64"/>
      <c r="BL221" s="64"/>
      <c r="BM221" s="64"/>
      <c r="BN221" s="64"/>
    </row>
    <row r="222" ht="30.0" customHeight="1">
      <c r="A222" s="64"/>
      <c r="B222" s="64"/>
      <c r="C222" s="66"/>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75"/>
      <c r="BB222" s="64"/>
      <c r="BC222" s="64"/>
      <c r="BD222" s="66"/>
      <c r="BE222" s="64"/>
      <c r="BF222" s="64"/>
      <c r="BG222" s="64"/>
      <c r="BH222" s="64"/>
      <c r="BI222" s="64"/>
      <c r="BJ222" s="64"/>
      <c r="BK222" s="64"/>
      <c r="BL222" s="64"/>
      <c r="BM222" s="64"/>
      <c r="BN222" s="64"/>
    </row>
    <row r="223" ht="30.0" customHeight="1">
      <c r="A223" s="64"/>
      <c r="B223" s="64"/>
      <c r="C223" s="66"/>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75"/>
      <c r="BB223" s="64"/>
      <c r="BC223" s="64"/>
      <c r="BD223" s="66"/>
      <c r="BE223" s="64"/>
      <c r="BF223" s="64"/>
      <c r="BG223" s="64"/>
      <c r="BH223" s="64"/>
      <c r="BI223" s="64"/>
      <c r="BJ223" s="64"/>
      <c r="BK223" s="64"/>
      <c r="BL223" s="64"/>
      <c r="BM223" s="64"/>
      <c r="BN223" s="64"/>
    </row>
    <row r="224" ht="30.0" customHeight="1">
      <c r="A224" s="64"/>
      <c r="B224" s="64"/>
      <c r="C224" s="66"/>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75"/>
      <c r="BB224" s="64"/>
      <c r="BC224" s="64"/>
      <c r="BD224" s="66"/>
      <c r="BE224" s="64"/>
      <c r="BF224" s="64"/>
      <c r="BG224" s="64"/>
      <c r="BH224" s="64"/>
      <c r="BI224" s="64"/>
      <c r="BJ224" s="64"/>
      <c r="BK224" s="64"/>
      <c r="BL224" s="64"/>
      <c r="BM224" s="64"/>
      <c r="BN224" s="64"/>
    </row>
    <row r="225" ht="30.0" customHeight="1">
      <c r="A225" s="64"/>
      <c r="B225" s="64"/>
      <c r="C225" s="66"/>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75"/>
      <c r="BB225" s="64"/>
      <c r="BC225" s="64"/>
      <c r="BD225" s="66"/>
      <c r="BE225" s="64"/>
      <c r="BF225" s="64"/>
      <c r="BG225" s="64"/>
      <c r="BH225" s="64"/>
      <c r="BI225" s="64"/>
      <c r="BJ225" s="64"/>
      <c r="BK225" s="64"/>
      <c r="BL225" s="64"/>
      <c r="BM225" s="64"/>
      <c r="BN225" s="64"/>
    </row>
    <row r="226" ht="30.0" customHeight="1">
      <c r="A226" s="64"/>
      <c r="B226" s="64"/>
      <c r="C226" s="66"/>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75"/>
      <c r="BB226" s="64"/>
      <c r="BC226" s="64"/>
      <c r="BD226" s="66"/>
      <c r="BE226" s="64"/>
      <c r="BF226" s="64"/>
      <c r="BG226" s="64"/>
      <c r="BH226" s="64"/>
      <c r="BI226" s="64"/>
      <c r="BJ226" s="64"/>
      <c r="BK226" s="64"/>
      <c r="BL226" s="64"/>
      <c r="BM226" s="64"/>
      <c r="BN226" s="64"/>
    </row>
    <row r="227" ht="30.0" customHeight="1">
      <c r="A227" s="64"/>
      <c r="B227" s="64"/>
      <c r="C227" s="66"/>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75"/>
      <c r="BB227" s="64"/>
      <c r="BC227" s="64"/>
      <c r="BD227" s="66"/>
      <c r="BE227" s="64"/>
      <c r="BF227" s="64"/>
      <c r="BG227" s="64"/>
      <c r="BH227" s="64"/>
      <c r="BI227" s="64"/>
      <c r="BJ227" s="64"/>
      <c r="BK227" s="64"/>
      <c r="BL227" s="64"/>
      <c r="BM227" s="64"/>
      <c r="BN227" s="64"/>
    </row>
    <row r="228" ht="30.0" customHeight="1">
      <c r="A228" s="64"/>
      <c r="B228" s="64"/>
      <c r="C228" s="66"/>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75"/>
      <c r="BB228" s="64"/>
      <c r="BC228" s="64"/>
      <c r="BD228" s="66"/>
      <c r="BE228" s="64"/>
      <c r="BF228" s="64"/>
      <c r="BG228" s="64"/>
      <c r="BH228" s="64"/>
      <c r="BI228" s="64"/>
      <c r="BJ228" s="64"/>
      <c r="BK228" s="64"/>
      <c r="BL228" s="64"/>
      <c r="BM228" s="64"/>
      <c r="BN228" s="64"/>
    </row>
    <row r="229" ht="30.0" customHeight="1">
      <c r="A229" s="64"/>
      <c r="B229" s="64"/>
      <c r="C229" s="66"/>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75"/>
      <c r="BB229" s="64"/>
      <c r="BC229" s="64"/>
      <c r="BD229" s="66"/>
      <c r="BE229" s="64"/>
      <c r="BF229" s="64"/>
      <c r="BG229" s="64"/>
      <c r="BH229" s="64"/>
      <c r="BI229" s="64"/>
      <c r="BJ229" s="64"/>
      <c r="BK229" s="64"/>
      <c r="BL229" s="64"/>
      <c r="BM229" s="64"/>
      <c r="BN229" s="64"/>
    </row>
    <row r="230" ht="30.0" customHeight="1">
      <c r="A230" s="64"/>
      <c r="B230" s="64"/>
      <c r="C230" s="66"/>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75"/>
      <c r="BB230" s="64"/>
      <c r="BC230" s="64"/>
      <c r="BD230" s="66"/>
      <c r="BE230" s="64"/>
      <c r="BF230" s="64"/>
      <c r="BG230" s="64"/>
      <c r="BH230" s="64"/>
      <c r="BI230" s="64"/>
      <c r="BJ230" s="64"/>
      <c r="BK230" s="64"/>
      <c r="BL230" s="64"/>
      <c r="BM230" s="64"/>
      <c r="BN230" s="64"/>
    </row>
    <row r="231" ht="30.0" customHeight="1">
      <c r="A231" s="64"/>
      <c r="B231" s="64"/>
      <c r="C231" s="66"/>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75"/>
      <c r="BB231" s="64"/>
      <c r="BC231" s="64"/>
      <c r="BD231" s="66"/>
      <c r="BE231" s="64"/>
      <c r="BF231" s="64"/>
      <c r="BG231" s="64"/>
      <c r="BH231" s="64"/>
      <c r="BI231" s="64"/>
      <c r="BJ231" s="64"/>
      <c r="BK231" s="64"/>
      <c r="BL231" s="64"/>
      <c r="BM231" s="64"/>
      <c r="BN231" s="64"/>
    </row>
    <row r="232" ht="30.0" customHeight="1">
      <c r="A232" s="64"/>
      <c r="B232" s="64"/>
      <c r="C232" s="66"/>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75"/>
      <c r="BB232" s="64"/>
      <c r="BC232" s="64"/>
      <c r="BD232" s="66"/>
      <c r="BE232" s="64"/>
      <c r="BF232" s="64"/>
      <c r="BG232" s="64"/>
      <c r="BH232" s="64"/>
      <c r="BI232" s="64"/>
      <c r="BJ232" s="64"/>
      <c r="BK232" s="64"/>
      <c r="BL232" s="64"/>
      <c r="BM232" s="64"/>
      <c r="BN232" s="64"/>
    </row>
    <row r="233" ht="30.0" customHeight="1">
      <c r="A233" s="64"/>
      <c r="B233" s="64"/>
      <c r="C233" s="66"/>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75"/>
      <c r="BB233" s="64"/>
      <c r="BC233" s="64"/>
      <c r="BD233" s="66"/>
      <c r="BE233" s="64"/>
      <c r="BF233" s="64"/>
      <c r="BG233" s="64"/>
      <c r="BH233" s="64"/>
      <c r="BI233" s="64"/>
      <c r="BJ233" s="64"/>
      <c r="BK233" s="64"/>
      <c r="BL233" s="64"/>
      <c r="BM233" s="64"/>
      <c r="BN233" s="64"/>
    </row>
    <row r="234" ht="30.0" customHeight="1">
      <c r="A234" s="64"/>
      <c r="B234" s="64"/>
      <c r="C234" s="66"/>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75"/>
      <c r="BB234" s="64"/>
      <c r="BC234" s="64"/>
      <c r="BD234" s="66"/>
      <c r="BE234" s="64"/>
      <c r="BF234" s="64"/>
      <c r="BG234" s="64"/>
      <c r="BH234" s="64"/>
      <c r="BI234" s="64"/>
      <c r="BJ234" s="64"/>
      <c r="BK234" s="64"/>
      <c r="BL234" s="64"/>
      <c r="BM234" s="64"/>
      <c r="BN234" s="64"/>
    </row>
    <row r="235" ht="30.0" customHeight="1">
      <c r="A235" s="64"/>
      <c r="B235" s="64"/>
      <c r="C235" s="66"/>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75"/>
      <c r="BB235" s="64"/>
      <c r="BC235" s="64"/>
      <c r="BD235" s="66"/>
      <c r="BE235" s="64"/>
      <c r="BF235" s="64"/>
      <c r="BG235" s="64"/>
      <c r="BH235" s="64"/>
      <c r="BI235" s="64"/>
      <c r="BJ235" s="64"/>
      <c r="BK235" s="64"/>
      <c r="BL235" s="64"/>
      <c r="BM235" s="64"/>
      <c r="BN235" s="64"/>
    </row>
    <row r="236" ht="30.0" customHeight="1">
      <c r="A236" s="64"/>
      <c r="B236" s="64"/>
      <c r="C236" s="66"/>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75"/>
      <c r="BB236" s="64"/>
      <c r="BC236" s="64"/>
      <c r="BD236" s="66"/>
      <c r="BE236" s="64"/>
      <c r="BF236" s="64"/>
      <c r="BG236" s="64"/>
      <c r="BH236" s="64"/>
      <c r="BI236" s="64"/>
      <c r="BJ236" s="64"/>
      <c r="BK236" s="64"/>
      <c r="BL236" s="64"/>
      <c r="BM236" s="64"/>
      <c r="BN236" s="64"/>
    </row>
    <row r="237" ht="30.0" customHeight="1">
      <c r="A237" s="64"/>
      <c r="B237" s="64"/>
      <c r="C237" s="66"/>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75"/>
      <c r="BB237" s="64"/>
      <c r="BC237" s="64"/>
      <c r="BD237" s="66"/>
      <c r="BE237" s="64"/>
      <c r="BF237" s="64"/>
      <c r="BG237" s="64"/>
      <c r="BH237" s="64"/>
      <c r="BI237" s="64"/>
      <c r="BJ237" s="64"/>
      <c r="BK237" s="64"/>
      <c r="BL237" s="64"/>
      <c r="BM237" s="64"/>
      <c r="BN237" s="64"/>
    </row>
    <row r="238" ht="30.0" customHeight="1">
      <c r="A238" s="64"/>
      <c r="B238" s="64"/>
      <c r="C238" s="66"/>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75"/>
      <c r="BB238" s="64"/>
      <c r="BC238" s="64"/>
      <c r="BD238" s="66"/>
      <c r="BE238" s="64"/>
      <c r="BF238" s="64"/>
      <c r="BG238" s="64"/>
      <c r="BH238" s="64"/>
      <c r="BI238" s="64"/>
      <c r="BJ238" s="64"/>
      <c r="BK238" s="64"/>
      <c r="BL238" s="64"/>
      <c r="BM238" s="64"/>
      <c r="BN238" s="64"/>
    </row>
    <row r="239" ht="30.0" customHeight="1">
      <c r="A239" s="64"/>
      <c r="B239" s="64"/>
      <c r="C239" s="66"/>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75"/>
      <c r="BB239" s="64"/>
      <c r="BC239" s="64"/>
      <c r="BD239" s="66"/>
      <c r="BE239" s="64"/>
      <c r="BF239" s="64"/>
      <c r="BG239" s="64"/>
      <c r="BH239" s="64"/>
      <c r="BI239" s="64"/>
      <c r="BJ239" s="64"/>
      <c r="BK239" s="64"/>
      <c r="BL239" s="64"/>
      <c r="BM239" s="64"/>
      <c r="BN239" s="64"/>
    </row>
    <row r="240" ht="30.0" customHeight="1">
      <c r="A240" s="64"/>
      <c r="B240" s="64"/>
      <c r="C240" s="66"/>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75"/>
      <c r="BB240" s="64"/>
      <c r="BC240" s="64"/>
      <c r="BD240" s="66"/>
      <c r="BE240" s="64"/>
      <c r="BF240" s="64"/>
      <c r="BG240" s="64"/>
      <c r="BH240" s="64"/>
      <c r="BI240" s="64"/>
      <c r="BJ240" s="64"/>
      <c r="BK240" s="64"/>
      <c r="BL240" s="64"/>
      <c r="BM240" s="64"/>
      <c r="BN240" s="64"/>
    </row>
    <row r="241" ht="30.0" customHeight="1">
      <c r="A241" s="64"/>
      <c r="B241" s="64"/>
      <c r="C241" s="66"/>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75"/>
      <c r="BB241" s="64"/>
      <c r="BC241" s="64"/>
      <c r="BD241" s="66"/>
      <c r="BE241" s="64"/>
      <c r="BF241" s="64"/>
      <c r="BG241" s="64"/>
      <c r="BH241" s="64"/>
      <c r="BI241" s="64"/>
      <c r="BJ241" s="64"/>
      <c r="BK241" s="64"/>
      <c r="BL241" s="64"/>
      <c r="BM241" s="64"/>
      <c r="BN241" s="64"/>
    </row>
    <row r="242" ht="30.0" customHeight="1">
      <c r="A242" s="64"/>
      <c r="B242" s="64"/>
      <c r="C242" s="66"/>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75"/>
      <c r="BB242" s="64"/>
      <c r="BC242" s="64"/>
      <c r="BD242" s="66"/>
      <c r="BE242" s="64"/>
      <c r="BF242" s="64"/>
      <c r="BG242" s="64"/>
      <c r="BH242" s="64"/>
      <c r="BI242" s="64"/>
      <c r="BJ242" s="64"/>
      <c r="BK242" s="64"/>
      <c r="BL242" s="64"/>
      <c r="BM242" s="64"/>
      <c r="BN242" s="64"/>
    </row>
    <row r="243" ht="30.0" customHeight="1">
      <c r="A243" s="64"/>
      <c r="B243" s="64"/>
      <c r="C243" s="66"/>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75"/>
      <c r="BB243" s="64"/>
      <c r="BC243" s="64"/>
      <c r="BD243" s="66"/>
      <c r="BE243" s="64"/>
      <c r="BF243" s="64"/>
      <c r="BG243" s="64"/>
      <c r="BH243" s="64"/>
      <c r="BI243" s="64"/>
      <c r="BJ243" s="64"/>
      <c r="BK243" s="64"/>
      <c r="BL243" s="64"/>
      <c r="BM243" s="64"/>
      <c r="BN243" s="64"/>
    </row>
    <row r="244" ht="30.0" customHeight="1">
      <c r="A244" s="64"/>
      <c r="B244" s="64"/>
      <c r="C244" s="66"/>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75"/>
      <c r="BB244" s="64"/>
      <c r="BC244" s="64"/>
      <c r="BD244" s="66"/>
      <c r="BE244" s="64"/>
      <c r="BF244" s="64"/>
      <c r="BG244" s="64"/>
      <c r="BH244" s="64"/>
      <c r="BI244" s="64"/>
      <c r="BJ244" s="64"/>
      <c r="BK244" s="64"/>
      <c r="BL244" s="64"/>
      <c r="BM244" s="64"/>
      <c r="BN244" s="64"/>
    </row>
    <row r="245" ht="30.0" customHeight="1">
      <c r="A245" s="64"/>
      <c r="B245" s="64"/>
      <c r="C245" s="66"/>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75"/>
      <c r="BB245" s="64"/>
      <c r="BC245" s="64"/>
      <c r="BD245" s="66"/>
      <c r="BE245" s="64"/>
      <c r="BF245" s="64"/>
      <c r="BG245" s="64"/>
      <c r="BH245" s="64"/>
      <c r="BI245" s="64"/>
      <c r="BJ245" s="64"/>
      <c r="BK245" s="64"/>
      <c r="BL245" s="64"/>
      <c r="BM245" s="64"/>
      <c r="BN245" s="64"/>
    </row>
    <row r="246" ht="30.0" customHeight="1">
      <c r="A246" s="64"/>
      <c r="B246" s="64"/>
      <c r="C246" s="66"/>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75"/>
      <c r="BB246" s="64"/>
      <c r="BC246" s="64"/>
      <c r="BD246" s="66"/>
      <c r="BE246" s="64"/>
      <c r="BF246" s="64"/>
      <c r="BG246" s="64"/>
      <c r="BH246" s="64"/>
      <c r="BI246" s="64"/>
      <c r="BJ246" s="64"/>
      <c r="BK246" s="64"/>
      <c r="BL246" s="64"/>
      <c r="BM246" s="64"/>
      <c r="BN246" s="64"/>
    </row>
    <row r="247" ht="30.0" customHeight="1">
      <c r="A247" s="64"/>
      <c r="B247" s="64"/>
      <c r="C247" s="66"/>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75"/>
      <c r="BB247" s="64"/>
      <c r="BC247" s="64"/>
      <c r="BD247" s="66"/>
      <c r="BE247" s="64"/>
      <c r="BF247" s="64"/>
      <c r="BG247" s="64"/>
      <c r="BH247" s="64"/>
      <c r="BI247" s="64"/>
      <c r="BJ247" s="64"/>
      <c r="BK247" s="64"/>
      <c r="BL247" s="64"/>
      <c r="BM247" s="64"/>
      <c r="BN247" s="64"/>
    </row>
    <row r="248" ht="30.0" customHeight="1">
      <c r="A248" s="64"/>
      <c r="B248" s="64"/>
      <c r="C248" s="66"/>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75"/>
      <c r="BB248" s="64"/>
      <c r="BC248" s="64"/>
      <c r="BD248" s="66"/>
      <c r="BE248" s="64"/>
      <c r="BF248" s="64"/>
      <c r="BG248" s="64"/>
      <c r="BH248" s="64"/>
      <c r="BI248" s="64"/>
      <c r="BJ248" s="64"/>
      <c r="BK248" s="64"/>
      <c r="BL248" s="64"/>
      <c r="BM248" s="64"/>
      <c r="BN248" s="64"/>
    </row>
    <row r="249" ht="30.0" customHeight="1">
      <c r="A249" s="64"/>
      <c r="B249" s="64"/>
      <c r="C249" s="66"/>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75"/>
      <c r="BB249" s="64"/>
      <c r="BC249" s="64"/>
      <c r="BD249" s="66"/>
      <c r="BE249" s="64"/>
      <c r="BF249" s="64"/>
      <c r="BG249" s="64"/>
      <c r="BH249" s="64"/>
      <c r="BI249" s="64"/>
      <c r="BJ249" s="64"/>
      <c r="BK249" s="64"/>
      <c r="BL249" s="64"/>
      <c r="BM249" s="64"/>
      <c r="BN249" s="64"/>
    </row>
    <row r="250" ht="30.0" customHeight="1">
      <c r="A250" s="64"/>
      <c r="B250" s="64"/>
      <c r="C250" s="66"/>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75"/>
      <c r="BB250" s="64"/>
      <c r="BC250" s="64"/>
      <c r="BD250" s="66"/>
      <c r="BE250" s="64"/>
      <c r="BF250" s="64"/>
      <c r="BG250" s="64"/>
      <c r="BH250" s="64"/>
      <c r="BI250" s="64"/>
      <c r="BJ250" s="64"/>
      <c r="BK250" s="64"/>
      <c r="BL250" s="64"/>
      <c r="BM250" s="64"/>
      <c r="BN250" s="64"/>
    </row>
    <row r="251" ht="30.0" customHeight="1">
      <c r="A251" s="64"/>
      <c r="B251" s="64"/>
      <c r="C251" s="66"/>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75"/>
      <c r="BB251" s="64"/>
      <c r="BC251" s="64"/>
      <c r="BD251" s="66"/>
      <c r="BE251" s="64"/>
      <c r="BF251" s="64"/>
      <c r="BG251" s="64"/>
      <c r="BH251" s="64"/>
      <c r="BI251" s="64"/>
      <c r="BJ251" s="64"/>
      <c r="BK251" s="64"/>
      <c r="BL251" s="64"/>
      <c r="BM251" s="64"/>
      <c r="BN251" s="64"/>
    </row>
    <row r="252" ht="30.0" customHeight="1">
      <c r="A252" s="64"/>
      <c r="B252" s="64"/>
      <c r="C252" s="66"/>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75"/>
      <c r="BB252" s="64"/>
      <c r="BC252" s="64"/>
      <c r="BD252" s="66"/>
      <c r="BE252" s="64"/>
      <c r="BF252" s="64"/>
      <c r="BG252" s="64"/>
      <c r="BH252" s="64"/>
      <c r="BI252" s="64"/>
      <c r="BJ252" s="64"/>
      <c r="BK252" s="64"/>
      <c r="BL252" s="64"/>
      <c r="BM252" s="64"/>
      <c r="BN252" s="64"/>
    </row>
    <row r="253" ht="30.0" customHeight="1">
      <c r="A253" s="64"/>
      <c r="B253" s="64"/>
      <c r="C253" s="66"/>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75"/>
      <c r="BB253" s="64"/>
      <c r="BC253" s="64"/>
      <c r="BD253" s="66"/>
      <c r="BE253" s="64"/>
      <c r="BF253" s="64"/>
      <c r="BG253" s="64"/>
      <c r="BH253" s="64"/>
      <c r="BI253" s="64"/>
      <c r="BJ253" s="64"/>
      <c r="BK253" s="64"/>
      <c r="BL253" s="64"/>
      <c r="BM253" s="64"/>
      <c r="BN253" s="64"/>
    </row>
    <row r="254" ht="30.0" customHeight="1">
      <c r="A254" s="64"/>
      <c r="B254" s="64"/>
      <c r="C254" s="66"/>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75"/>
      <c r="BB254" s="64"/>
      <c r="BC254" s="64"/>
      <c r="BD254" s="66"/>
      <c r="BE254" s="64"/>
      <c r="BF254" s="64"/>
      <c r="BG254" s="64"/>
      <c r="BH254" s="64"/>
      <c r="BI254" s="64"/>
      <c r="BJ254" s="64"/>
      <c r="BK254" s="64"/>
      <c r="BL254" s="64"/>
      <c r="BM254" s="64"/>
      <c r="BN254" s="64"/>
    </row>
    <row r="255" ht="30.0" customHeight="1">
      <c r="A255" s="64"/>
      <c r="B255" s="64"/>
      <c r="C255" s="66"/>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75"/>
      <c r="BB255" s="64"/>
      <c r="BC255" s="64"/>
      <c r="BD255" s="66"/>
      <c r="BE255" s="64"/>
      <c r="BF255" s="64"/>
      <c r="BG255" s="64"/>
      <c r="BH255" s="64"/>
      <c r="BI255" s="64"/>
      <c r="BJ255" s="64"/>
      <c r="BK255" s="64"/>
      <c r="BL255" s="64"/>
      <c r="BM255" s="64"/>
      <c r="BN255" s="64"/>
    </row>
    <row r="256" ht="30.0" customHeight="1">
      <c r="A256" s="64"/>
      <c r="B256" s="64"/>
      <c r="C256" s="66"/>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75"/>
      <c r="BB256" s="64"/>
      <c r="BC256" s="64"/>
      <c r="BD256" s="66"/>
      <c r="BE256" s="64"/>
      <c r="BF256" s="64"/>
      <c r="BG256" s="64"/>
      <c r="BH256" s="64"/>
      <c r="BI256" s="64"/>
      <c r="BJ256" s="64"/>
      <c r="BK256" s="64"/>
      <c r="BL256" s="64"/>
      <c r="BM256" s="64"/>
      <c r="BN256" s="64"/>
    </row>
    <row r="257" ht="30.0" customHeight="1">
      <c r="A257" s="64"/>
      <c r="B257" s="64"/>
      <c r="C257" s="66"/>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75"/>
      <c r="BB257" s="64"/>
      <c r="BC257" s="64"/>
      <c r="BD257" s="66"/>
      <c r="BE257" s="64"/>
      <c r="BF257" s="64"/>
      <c r="BG257" s="64"/>
      <c r="BH257" s="64"/>
      <c r="BI257" s="64"/>
      <c r="BJ257" s="64"/>
      <c r="BK257" s="64"/>
      <c r="BL257" s="64"/>
      <c r="BM257" s="64"/>
      <c r="BN257" s="64"/>
    </row>
    <row r="258" ht="30.0" customHeight="1">
      <c r="A258" s="64"/>
      <c r="B258" s="64"/>
      <c r="C258" s="66"/>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75"/>
      <c r="BB258" s="64"/>
      <c r="BC258" s="64"/>
      <c r="BD258" s="66"/>
      <c r="BE258" s="64"/>
      <c r="BF258" s="64"/>
      <c r="BG258" s="64"/>
      <c r="BH258" s="64"/>
      <c r="BI258" s="64"/>
      <c r="BJ258" s="64"/>
      <c r="BK258" s="64"/>
      <c r="BL258" s="64"/>
      <c r="BM258" s="64"/>
      <c r="BN258" s="64"/>
    </row>
    <row r="259" ht="30.0" customHeight="1">
      <c r="A259" s="64"/>
      <c r="B259" s="64"/>
      <c r="C259" s="66"/>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75"/>
      <c r="BB259" s="64"/>
      <c r="BC259" s="64"/>
      <c r="BD259" s="66"/>
      <c r="BE259" s="64"/>
      <c r="BF259" s="64"/>
      <c r="BG259" s="64"/>
      <c r="BH259" s="64"/>
      <c r="BI259" s="64"/>
      <c r="BJ259" s="64"/>
      <c r="BK259" s="64"/>
      <c r="BL259" s="64"/>
      <c r="BM259" s="64"/>
      <c r="BN259" s="64"/>
    </row>
    <row r="260" ht="30.0" customHeight="1">
      <c r="A260" s="64"/>
      <c r="B260" s="64"/>
      <c r="C260" s="66"/>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75"/>
      <c r="BB260" s="64"/>
      <c r="BC260" s="64"/>
      <c r="BD260" s="66"/>
      <c r="BE260" s="64"/>
      <c r="BF260" s="64"/>
      <c r="BG260" s="64"/>
      <c r="BH260" s="64"/>
      <c r="BI260" s="64"/>
      <c r="BJ260" s="64"/>
      <c r="BK260" s="64"/>
      <c r="BL260" s="64"/>
      <c r="BM260" s="64"/>
      <c r="BN260" s="64"/>
    </row>
    <row r="261" ht="30.0" customHeight="1">
      <c r="A261" s="64"/>
      <c r="B261" s="64"/>
      <c r="C261" s="66"/>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75"/>
      <c r="BB261" s="64"/>
      <c r="BC261" s="64"/>
      <c r="BD261" s="66"/>
      <c r="BE261" s="64"/>
      <c r="BF261" s="64"/>
      <c r="BG261" s="64"/>
      <c r="BH261" s="64"/>
      <c r="BI261" s="64"/>
      <c r="BJ261" s="64"/>
      <c r="BK261" s="64"/>
      <c r="BL261" s="64"/>
      <c r="BM261" s="64"/>
      <c r="BN261" s="64"/>
    </row>
    <row r="262" ht="30.0" customHeight="1">
      <c r="A262" s="64"/>
      <c r="B262" s="64"/>
      <c r="C262" s="66"/>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75"/>
      <c r="BB262" s="64"/>
      <c r="BC262" s="64"/>
      <c r="BD262" s="66"/>
      <c r="BE262" s="64"/>
      <c r="BF262" s="64"/>
      <c r="BG262" s="64"/>
      <c r="BH262" s="64"/>
      <c r="BI262" s="64"/>
      <c r="BJ262" s="64"/>
      <c r="BK262" s="64"/>
      <c r="BL262" s="64"/>
      <c r="BM262" s="64"/>
      <c r="BN262" s="64"/>
    </row>
    <row r="263" ht="30.0" customHeight="1">
      <c r="A263" s="64"/>
      <c r="B263" s="64"/>
      <c r="C263" s="66"/>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75"/>
      <c r="BB263" s="64"/>
      <c r="BC263" s="64"/>
      <c r="BD263" s="66"/>
      <c r="BE263" s="64"/>
      <c r="BF263" s="64"/>
      <c r="BG263" s="64"/>
      <c r="BH263" s="64"/>
      <c r="BI263" s="64"/>
      <c r="BJ263" s="64"/>
      <c r="BK263" s="64"/>
      <c r="BL263" s="64"/>
      <c r="BM263" s="64"/>
      <c r="BN263" s="64"/>
    </row>
    <row r="264" ht="30.0" customHeight="1">
      <c r="A264" s="64"/>
      <c r="B264" s="64"/>
      <c r="C264" s="66"/>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75"/>
      <c r="BB264" s="64"/>
      <c r="BC264" s="64"/>
      <c r="BD264" s="66"/>
      <c r="BE264" s="64"/>
      <c r="BF264" s="64"/>
      <c r="BG264" s="64"/>
      <c r="BH264" s="64"/>
      <c r="BI264" s="64"/>
      <c r="BJ264" s="64"/>
      <c r="BK264" s="64"/>
      <c r="BL264" s="64"/>
      <c r="BM264" s="64"/>
      <c r="BN264" s="64"/>
    </row>
    <row r="265" ht="30.0" customHeight="1">
      <c r="A265" s="64"/>
      <c r="B265" s="64"/>
      <c r="C265" s="66"/>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75"/>
      <c r="BB265" s="64"/>
      <c r="BC265" s="64"/>
      <c r="BD265" s="66"/>
      <c r="BE265" s="64"/>
      <c r="BF265" s="64"/>
      <c r="BG265" s="64"/>
      <c r="BH265" s="64"/>
      <c r="BI265" s="64"/>
      <c r="BJ265" s="64"/>
      <c r="BK265" s="64"/>
      <c r="BL265" s="64"/>
      <c r="BM265" s="64"/>
      <c r="BN265" s="64"/>
    </row>
    <row r="266" ht="30.0" customHeight="1">
      <c r="A266" s="64"/>
      <c r="B266" s="64"/>
      <c r="C266" s="66"/>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75"/>
      <c r="BB266" s="64"/>
      <c r="BC266" s="64"/>
      <c r="BD266" s="66"/>
      <c r="BE266" s="64"/>
      <c r="BF266" s="64"/>
      <c r="BG266" s="64"/>
      <c r="BH266" s="64"/>
      <c r="BI266" s="64"/>
      <c r="BJ266" s="64"/>
      <c r="BK266" s="64"/>
      <c r="BL266" s="64"/>
      <c r="BM266" s="64"/>
      <c r="BN266" s="64"/>
    </row>
    <row r="267" ht="30.0" customHeight="1">
      <c r="A267" s="64"/>
      <c r="B267" s="64"/>
      <c r="C267" s="66"/>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75"/>
      <c r="BB267" s="64"/>
      <c r="BC267" s="64"/>
      <c r="BD267" s="66"/>
      <c r="BE267" s="64"/>
      <c r="BF267" s="64"/>
      <c r="BG267" s="64"/>
      <c r="BH267" s="64"/>
      <c r="BI267" s="64"/>
      <c r="BJ267" s="64"/>
      <c r="BK267" s="64"/>
      <c r="BL267" s="64"/>
      <c r="BM267" s="64"/>
      <c r="BN267" s="64"/>
    </row>
    <row r="268" ht="30.0" customHeight="1">
      <c r="A268" s="64"/>
      <c r="B268" s="64"/>
      <c r="C268" s="66"/>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75"/>
      <c r="BB268" s="64"/>
      <c r="BC268" s="64"/>
      <c r="BD268" s="66"/>
      <c r="BE268" s="64"/>
      <c r="BF268" s="64"/>
      <c r="BG268" s="64"/>
      <c r="BH268" s="64"/>
      <c r="BI268" s="64"/>
      <c r="BJ268" s="64"/>
      <c r="BK268" s="64"/>
      <c r="BL268" s="64"/>
      <c r="BM268" s="64"/>
      <c r="BN268" s="64"/>
    </row>
    <row r="269" ht="30.0" customHeight="1">
      <c r="A269" s="64"/>
      <c r="B269" s="64"/>
      <c r="C269" s="66"/>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75"/>
      <c r="BB269" s="64"/>
      <c r="BC269" s="64"/>
      <c r="BD269" s="66"/>
      <c r="BE269" s="64"/>
      <c r="BF269" s="64"/>
      <c r="BG269" s="64"/>
      <c r="BH269" s="64"/>
      <c r="BI269" s="64"/>
      <c r="BJ269" s="64"/>
      <c r="BK269" s="64"/>
      <c r="BL269" s="64"/>
      <c r="BM269" s="64"/>
      <c r="BN269" s="64"/>
    </row>
    <row r="270" ht="30.0" customHeight="1">
      <c r="A270" s="64"/>
      <c r="B270" s="64"/>
      <c r="C270" s="66"/>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75"/>
      <c r="BB270" s="64"/>
      <c r="BC270" s="64"/>
      <c r="BD270" s="66"/>
      <c r="BE270" s="64"/>
      <c r="BF270" s="64"/>
      <c r="BG270" s="64"/>
      <c r="BH270" s="64"/>
      <c r="BI270" s="64"/>
      <c r="BJ270" s="64"/>
      <c r="BK270" s="64"/>
      <c r="BL270" s="64"/>
      <c r="BM270" s="64"/>
      <c r="BN270" s="64"/>
    </row>
    <row r="271" ht="30.0" customHeight="1">
      <c r="A271" s="64"/>
      <c r="B271" s="64"/>
      <c r="C271" s="66"/>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75"/>
      <c r="BB271" s="64"/>
      <c r="BC271" s="64"/>
      <c r="BD271" s="66"/>
      <c r="BE271" s="64"/>
      <c r="BF271" s="64"/>
      <c r="BG271" s="64"/>
      <c r="BH271" s="64"/>
      <c r="BI271" s="64"/>
      <c r="BJ271" s="64"/>
      <c r="BK271" s="64"/>
      <c r="BL271" s="64"/>
      <c r="BM271" s="64"/>
      <c r="BN271" s="64"/>
    </row>
    <row r="272" ht="30.0" customHeight="1">
      <c r="A272" s="64"/>
      <c r="B272" s="64"/>
      <c r="C272" s="66"/>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75"/>
      <c r="BB272" s="64"/>
      <c r="BC272" s="64"/>
      <c r="BD272" s="66"/>
      <c r="BE272" s="64"/>
      <c r="BF272" s="64"/>
      <c r="BG272" s="64"/>
      <c r="BH272" s="64"/>
      <c r="BI272" s="64"/>
      <c r="BJ272" s="64"/>
      <c r="BK272" s="64"/>
      <c r="BL272" s="64"/>
      <c r="BM272" s="64"/>
      <c r="BN272" s="64"/>
    </row>
    <row r="273" ht="30.0" customHeight="1">
      <c r="A273" s="64"/>
      <c r="B273" s="64"/>
      <c r="C273" s="66"/>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75"/>
      <c r="BB273" s="64"/>
      <c r="BC273" s="64"/>
      <c r="BD273" s="66"/>
      <c r="BE273" s="64"/>
      <c r="BF273" s="64"/>
      <c r="BG273" s="64"/>
      <c r="BH273" s="64"/>
      <c r="BI273" s="64"/>
      <c r="BJ273" s="64"/>
      <c r="BK273" s="64"/>
      <c r="BL273" s="64"/>
      <c r="BM273" s="64"/>
      <c r="BN273" s="64"/>
    </row>
    <row r="274" ht="30.0" customHeight="1">
      <c r="A274" s="64"/>
      <c r="B274" s="64"/>
      <c r="C274" s="66"/>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75"/>
      <c r="BB274" s="64"/>
      <c r="BC274" s="64"/>
      <c r="BD274" s="66"/>
      <c r="BE274" s="64"/>
      <c r="BF274" s="64"/>
      <c r="BG274" s="64"/>
      <c r="BH274" s="64"/>
      <c r="BI274" s="64"/>
      <c r="BJ274" s="64"/>
      <c r="BK274" s="64"/>
      <c r="BL274" s="64"/>
      <c r="BM274" s="64"/>
      <c r="BN274" s="64"/>
    </row>
    <row r="275" ht="30.0" customHeight="1">
      <c r="A275" s="64"/>
      <c r="B275" s="64"/>
      <c r="C275" s="66"/>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75"/>
      <c r="BB275" s="64"/>
      <c r="BC275" s="64"/>
      <c r="BD275" s="66"/>
      <c r="BE275" s="64"/>
      <c r="BF275" s="64"/>
      <c r="BG275" s="64"/>
      <c r="BH275" s="64"/>
      <c r="BI275" s="64"/>
      <c r="BJ275" s="64"/>
      <c r="BK275" s="64"/>
      <c r="BL275" s="64"/>
      <c r="BM275" s="64"/>
      <c r="BN275" s="64"/>
    </row>
    <row r="276" ht="30.0" customHeight="1">
      <c r="A276" s="64"/>
      <c r="B276" s="64"/>
      <c r="C276" s="66"/>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75"/>
      <c r="BB276" s="64"/>
      <c r="BC276" s="64"/>
      <c r="BD276" s="66"/>
      <c r="BE276" s="64"/>
      <c r="BF276" s="64"/>
      <c r="BG276" s="64"/>
      <c r="BH276" s="64"/>
      <c r="BI276" s="64"/>
      <c r="BJ276" s="64"/>
      <c r="BK276" s="64"/>
      <c r="BL276" s="64"/>
      <c r="BM276" s="64"/>
      <c r="BN276" s="64"/>
    </row>
    <row r="277" ht="30.0" customHeight="1">
      <c r="A277" s="64"/>
      <c r="B277" s="64"/>
      <c r="C277" s="66"/>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75"/>
      <c r="BB277" s="64"/>
      <c r="BC277" s="64"/>
      <c r="BD277" s="66"/>
      <c r="BE277" s="64"/>
      <c r="BF277" s="64"/>
      <c r="BG277" s="64"/>
      <c r="BH277" s="64"/>
      <c r="BI277" s="64"/>
      <c r="BJ277" s="64"/>
      <c r="BK277" s="64"/>
      <c r="BL277" s="64"/>
      <c r="BM277" s="64"/>
      <c r="BN277" s="64"/>
    </row>
    <row r="278" ht="30.0" customHeight="1">
      <c r="A278" s="64"/>
      <c r="B278" s="64"/>
      <c r="C278" s="66"/>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75"/>
      <c r="BB278" s="64"/>
      <c r="BC278" s="64"/>
      <c r="BD278" s="66"/>
      <c r="BE278" s="64"/>
      <c r="BF278" s="64"/>
      <c r="BG278" s="64"/>
      <c r="BH278" s="64"/>
      <c r="BI278" s="64"/>
      <c r="BJ278" s="64"/>
      <c r="BK278" s="64"/>
      <c r="BL278" s="64"/>
      <c r="BM278" s="64"/>
      <c r="BN278" s="64"/>
    </row>
    <row r="279" ht="30.0" customHeight="1">
      <c r="A279" s="64"/>
      <c r="B279" s="64"/>
      <c r="C279" s="66"/>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75"/>
      <c r="BB279" s="64"/>
      <c r="BC279" s="64"/>
      <c r="BD279" s="66"/>
      <c r="BE279" s="64"/>
      <c r="BF279" s="64"/>
      <c r="BG279" s="64"/>
      <c r="BH279" s="64"/>
      <c r="BI279" s="64"/>
      <c r="BJ279" s="64"/>
      <c r="BK279" s="64"/>
      <c r="BL279" s="64"/>
      <c r="BM279" s="64"/>
      <c r="BN279" s="64"/>
    </row>
    <row r="280" ht="30.0" customHeight="1">
      <c r="A280" s="64"/>
      <c r="B280" s="64"/>
      <c r="C280" s="66"/>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75"/>
      <c r="BB280" s="64"/>
      <c r="BC280" s="64"/>
      <c r="BD280" s="66"/>
      <c r="BE280" s="64"/>
      <c r="BF280" s="64"/>
      <c r="BG280" s="64"/>
      <c r="BH280" s="64"/>
      <c r="BI280" s="64"/>
      <c r="BJ280" s="64"/>
      <c r="BK280" s="64"/>
      <c r="BL280" s="64"/>
      <c r="BM280" s="64"/>
      <c r="BN280" s="64"/>
    </row>
    <row r="281" ht="30.0" customHeight="1">
      <c r="A281" s="64"/>
      <c r="B281" s="64"/>
      <c r="C281" s="66"/>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75"/>
      <c r="BB281" s="64"/>
      <c r="BC281" s="64"/>
      <c r="BD281" s="66"/>
      <c r="BE281" s="64"/>
      <c r="BF281" s="64"/>
      <c r="BG281" s="64"/>
      <c r="BH281" s="64"/>
      <c r="BI281" s="64"/>
      <c r="BJ281" s="64"/>
      <c r="BK281" s="64"/>
      <c r="BL281" s="64"/>
      <c r="BM281" s="64"/>
      <c r="BN281" s="64"/>
    </row>
    <row r="282" ht="30.0" customHeight="1">
      <c r="A282" s="64"/>
      <c r="B282" s="64"/>
      <c r="C282" s="66"/>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75"/>
      <c r="BB282" s="64"/>
      <c r="BC282" s="64"/>
      <c r="BD282" s="66"/>
      <c r="BE282" s="64"/>
      <c r="BF282" s="64"/>
      <c r="BG282" s="64"/>
      <c r="BH282" s="64"/>
      <c r="BI282" s="64"/>
      <c r="BJ282" s="64"/>
      <c r="BK282" s="64"/>
      <c r="BL282" s="64"/>
      <c r="BM282" s="64"/>
      <c r="BN282" s="64"/>
    </row>
    <row r="283" ht="30.0" customHeight="1">
      <c r="A283" s="64"/>
      <c r="B283" s="64"/>
      <c r="C283" s="66"/>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75"/>
      <c r="BB283" s="64"/>
      <c r="BC283" s="64"/>
      <c r="BD283" s="66"/>
      <c r="BE283" s="64"/>
      <c r="BF283" s="64"/>
      <c r="BG283" s="64"/>
      <c r="BH283" s="64"/>
      <c r="BI283" s="64"/>
      <c r="BJ283" s="64"/>
      <c r="BK283" s="64"/>
      <c r="BL283" s="64"/>
      <c r="BM283" s="64"/>
      <c r="BN283" s="64"/>
    </row>
    <row r="284" ht="30.0" customHeight="1">
      <c r="A284" s="64"/>
      <c r="B284" s="64"/>
      <c r="C284" s="66"/>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75"/>
      <c r="BB284" s="64"/>
      <c r="BC284" s="64"/>
      <c r="BD284" s="66"/>
      <c r="BE284" s="64"/>
      <c r="BF284" s="64"/>
      <c r="BG284" s="64"/>
      <c r="BH284" s="64"/>
      <c r="BI284" s="64"/>
      <c r="BJ284" s="64"/>
      <c r="BK284" s="64"/>
      <c r="BL284" s="64"/>
      <c r="BM284" s="64"/>
      <c r="BN284" s="64"/>
    </row>
    <row r="285" ht="30.0" customHeight="1">
      <c r="A285" s="64"/>
      <c r="B285" s="64"/>
      <c r="C285" s="66"/>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75"/>
      <c r="BB285" s="64"/>
      <c r="BC285" s="64"/>
      <c r="BD285" s="66"/>
      <c r="BE285" s="64"/>
      <c r="BF285" s="64"/>
      <c r="BG285" s="64"/>
      <c r="BH285" s="64"/>
      <c r="BI285" s="64"/>
      <c r="BJ285" s="64"/>
      <c r="BK285" s="64"/>
      <c r="BL285" s="64"/>
      <c r="BM285" s="64"/>
      <c r="BN285" s="64"/>
    </row>
    <row r="286" ht="30.0" customHeight="1">
      <c r="A286" s="64"/>
      <c r="B286" s="64"/>
      <c r="C286" s="66"/>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75"/>
      <c r="BB286" s="64"/>
      <c r="BC286" s="64"/>
      <c r="BD286" s="66"/>
      <c r="BE286" s="64"/>
      <c r="BF286" s="64"/>
      <c r="BG286" s="64"/>
      <c r="BH286" s="64"/>
      <c r="BI286" s="64"/>
      <c r="BJ286" s="64"/>
      <c r="BK286" s="64"/>
      <c r="BL286" s="64"/>
      <c r="BM286" s="64"/>
      <c r="BN286" s="64"/>
    </row>
    <row r="287" ht="30.0" customHeight="1">
      <c r="A287" s="64"/>
      <c r="B287" s="64"/>
      <c r="C287" s="66"/>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75"/>
      <c r="BB287" s="64"/>
      <c r="BC287" s="64"/>
      <c r="BD287" s="66"/>
      <c r="BE287" s="64"/>
      <c r="BF287" s="64"/>
      <c r="BG287" s="64"/>
      <c r="BH287" s="64"/>
      <c r="BI287" s="64"/>
      <c r="BJ287" s="64"/>
      <c r="BK287" s="64"/>
      <c r="BL287" s="64"/>
      <c r="BM287" s="64"/>
      <c r="BN287" s="64"/>
    </row>
    <row r="288" ht="30.0" customHeight="1">
      <c r="A288" s="64"/>
      <c r="B288" s="64"/>
      <c r="C288" s="66"/>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75"/>
      <c r="BB288" s="64"/>
      <c r="BC288" s="64"/>
      <c r="BD288" s="66"/>
      <c r="BE288" s="64"/>
      <c r="BF288" s="64"/>
      <c r="BG288" s="64"/>
      <c r="BH288" s="64"/>
      <c r="BI288" s="64"/>
      <c r="BJ288" s="64"/>
      <c r="BK288" s="64"/>
      <c r="BL288" s="64"/>
      <c r="BM288" s="64"/>
      <c r="BN288" s="64"/>
    </row>
    <row r="289" ht="30.0" customHeight="1">
      <c r="A289" s="64"/>
      <c r="B289" s="64"/>
      <c r="C289" s="66"/>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75"/>
      <c r="BB289" s="64"/>
      <c r="BC289" s="64"/>
      <c r="BD289" s="66"/>
      <c r="BE289" s="64"/>
      <c r="BF289" s="64"/>
      <c r="BG289" s="64"/>
      <c r="BH289" s="64"/>
      <c r="BI289" s="64"/>
      <c r="BJ289" s="64"/>
      <c r="BK289" s="64"/>
      <c r="BL289" s="64"/>
      <c r="BM289" s="64"/>
      <c r="BN289" s="64"/>
    </row>
    <row r="290" ht="30.0" customHeight="1">
      <c r="A290" s="64"/>
      <c r="B290" s="64"/>
      <c r="C290" s="66"/>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75"/>
      <c r="BB290" s="64"/>
      <c r="BC290" s="64"/>
      <c r="BD290" s="66"/>
      <c r="BE290" s="64"/>
      <c r="BF290" s="64"/>
      <c r="BG290" s="64"/>
      <c r="BH290" s="64"/>
      <c r="BI290" s="64"/>
      <c r="BJ290" s="64"/>
      <c r="BK290" s="64"/>
      <c r="BL290" s="64"/>
      <c r="BM290" s="64"/>
      <c r="BN290" s="64"/>
    </row>
    <row r="291" ht="30.0" customHeight="1">
      <c r="A291" s="64"/>
      <c r="B291" s="64"/>
      <c r="C291" s="66"/>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75"/>
      <c r="BB291" s="64"/>
      <c r="BC291" s="64"/>
      <c r="BD291" s="66"/>
      <c r="BE291" s="64"/>
      <c r="BF291" s="64"/>
      <c r="BG291" s="64"/>
      <c r="BH291" s="64"/>
      <c r="BI291" s="64"/>
      <c r="BJ291" s="64"/>
      <c r="BK291" s="64"/>
      <c r="BL291" s="64"/>
      <c r="BM291" s="64"/>
      <c r="BN291" s="64"/>
    </row>
    <row r="292" ht="30.0" customHeight="1">
      <c r="A292" s="64"/>
      <c r="B292" s="64"/>
      <c r="C292" s="66"/>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75"/>
      <c r="BB292" s="64"/>
      <c r="BC292" s="64"/>
      <c r="BD292" s="66"/>
      <c r="BE292" s="64"/>
      <c r="BF292" s="64"/>
      <c r="BG292" s="64"/>
      <c r="BH292" s="64"/>
      <c r="BI292" s="64"/>
      <c r="BJ292" s="64"/>
      <c r="BK292" s="64"/>
      <c r="BL292" s="64"/>
      <c r="BM292" s="64"/>
      <c r="BN292" s="64"/>
    </row>
    <row r="293" ht="30.0" customHeight="1">
      <c r="A293" s="64"/>
      <c r="B293" s="64"/>
      <c r="C293" s="66"/>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75"/>
      <c r="BB293" s="64"/>
      <c r="BC293" s="64"/>
      <c r="BD293" s="66"/>
      <c r="BE293" s="64"/>
      <c r="BF293" s="64"/>
      <c r="BG293" s="64"/>
      <c r="BH293" s="64"/>
      <c r="BI293" s="64"/>
      <c r="BJ293" s="64"/>
      <c r="BK293" s="64"/>
      <c r="BL293" s="64"/>
      <c r="BM293" s="64"/>
      <c r="BN293" s="64"/>
    </row>
    <row r="294" ht="30.0" customHeight="1">
      <c r="A294" s="64"/>
      <c r="B294" s="64"/>
      <c r="C294" s="66"/>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75"/>
      <c r="BB294" s="64"/>
      <c r="BC294" s="64"/>
      <c r="BD294" s="66"/>
      <c r="BE294" s="64"/>
      <c r="BF294" s="64"/>
      <c r="BG294" s="64"/>
      <c r="BH294" s="64"/>
      <c r="BI294" s="64"/>
      <c r="BJ294" s="64"/>
      <c r="BK294" s="64"/>
      <c r="BL294" s="64"/>
      <c r="BM294" s="64"/>
      <c r="BN294" s="64"/>
    </row>
    <row r="295" ht="30.0" customHeight="1">
      <c r="A295" s="64"/>
      <c r="B295" s="64"/>
      <c r="C295" s="66"/>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75"/>
      <c r="BB295" s="64"/>
      <c r="BC295" s="64"/>
      <c r="BD295" s="66"/>
      <c r="BE295" s="64"/>
      <c r="BF295" s="64"/>
      <c r="BG295" s="64"/>
      <c r="BH295" s="64"/>
      <c r="BI295" s="64"/>
      <c r="BJ295" s="64"/>
      <c r="BK295" s="64"/>
      <c r="BL295" s="64"/>
      <c r="BM295" s="64"/>
      <c r="BN295" s="64"/>
    </row>
    <row r="296" ht="30.0" customHeight="1">
      <c r="A296" s="64"/>
      <c r="B296" s="64"/>
      <c r="C296" s="66"/>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75"/>
      <c r="BB296" s="64"/>
      <c r="BC296" s="64"/>
      <c r="BD296" s="66"/>
      <c r="BE296" s="64"/>
      <c r="BF296" s="64"/>
      <c r="BG296" s="64"/>
      <c r="BH296" s="64"/>
      <c r="BI296" s="64"/>
      <c r="BJ296" s="64"/>
      <c r="BK296" s="64"/>
      <c r="BL296" s="64"/>
      <c r="BM296" s="64"/>
      <c r="BN296" s="64"/>
    </row>
    <row r="297" ht="30.0" customHeight="1">
      <c r="A297" s="64"/>
      <c r="B297" s="64"/>
      <c r="C297" s="66"/>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75"/>
      <c r="BB297" s="64"/>
      <c r="BC297" s="64"/>
      <c r="BD297" s="66"/>
      <c r="BE297" s="64"/>
      <c r="BF297" s="64"/>
      <c r="BG297" s="64"/>
      <c r="BH297" s="64"/>
      <c r="BI297" s="64"/>
      <c r="BJ297" s="64"/>
      <c r="BK297" s="64"/>
      <c r="BL297" s="64"/>
      <c r="BM297" s="64"/>
      <c r="BN297" s="64"/>
    </row>
    <row r="298" ht="30.0" customHeight="1">
      <c r="A298" s="64"/>
      <c r="B298" s="64"/>
      <c r="C298" s="66"/>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75"/>
      <c r="BB298" s="64"/>
      <c r="BC298" s="64"/>
      <c r="BD298" s="66"/>
      <c r="BE298" s="64"/>
      <c r="BF298" s="64"/>
      <c r="BG298" s="64"/>
      <c r="BH298" s="64"/>
      <c r="BI298" s="64"/>
      <c r="BJ298" s="64"/>
      <c r="BK298" s="64"/>
      <c r="BL298" s="64"/>
      <c r="BM298" s="64"/>
      <c r="BN298" s="64"/>
    </row>
    <row r="299" ht="30.0" customHeight="1">
      <c r="A299" s="64"/>
      <c r="B299" s="64"/>
      <c r="C299" s="66"/>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75"/>
      <c r="BB299" s="64"/>
      <c r="BC299" s="64"/>
      <c r="BD299" s="66"/>
      <c r="BE299" s="64"/>
      <c r="BF299" s="64"/>
      <c r="BG299" s="64"/>
      <c r="BH299" s="64"/>
      <c r="BI299" s="64"/>
      <c r="BJ299" s="64"/>
      <c r="BK299" s="64"/>
      <c r="BL299" s="64"/>
      <c r="BM299" s="64"/>
      <c r="BN299" s="64"/>
    </row>
    <row r="300" ht="30.0" customHeight="1">
      <c r="A300" s="64"/>
      <c r="B300" s="64"/>
      <c r="C300" s="66"/>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75"/>
      <c r="BB300" s="64"/>
      <c r="BC300" s="64"/>
      <c r="BD300" s="66"/>
      <c r="BE300" s="64"/>
      <c r="BF300" s="64"/>
      <c r="BG300" s="64"/>
      <c r="BH300" s="64"/>
      <c r="BI300" s="64"/>
      <c r="BJ300" s="64"/>
      <c r="BK300" s="64"/>
      <c r="BL300" s="64"/>
      <c r="BM300" s="64"/>
      <c r="BN300" s="64"/>
    </row>
    <row r="301" ht="30.0" customHeight="1">
      <c r="A301" s="64"/>
      <c r="B301" s="64"/>
      <c r="C301" s="66"/>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75"/>
      <c r="BB301" s="64"/>
      <c r="BC301" s="64"/>
      <c r="BD301" s="66"/>
      <c r="BE301" s="64"/>
      <c r="BF301" s="64"/>
      <c r="BG301" s="64"/>
      <c r="BH301" s="64"/>
      <c r="BI301" s="64"/>
      <c r="BJ301" s="64"/>
      <c r="BK301" s="64"/>
      <c r="BL301" s="64"/>
      <c r="BM301" s="64"/>
      <c r="BN301" s="64"/>
    </row>
    <row r="302" ht="30.0" customHeight="1">
      <c r="A302" s="64"/>
      <c r="B302" s="64"/>
      <c r="C302" s="66"/>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75"/>
      <c r="BB302" s="64"/>
      <c r="BC302" s="64"/>
      <c r="BD302" s="66"/>
      <c r="BE302" s="64"/>
      <c r="BF302" s="64"/>
      <c r="BG302" s="64"/>
      <c r="BH302" s="64"/>
      <c r="BI302" s="64"/>
      <c r="BJ302" s="64"/>
      <c r="BK302" s="64"/>
      <c r="BL302" s="64"/>
      <c r="BM302" s="64"/>
      <c r="BN302" s="64"/>
    </row>
    <row r="303" ht="30.0" customHeight="1">
      <c r="A303" s="64"/>
      <c r="B303" s="64"/>
      <c r="C303" s="66"/>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75"/>
      <c r="BB303" s="64"/>
      <c r="BC303" s="64"/>
      <c r="BD303" s="66"/>
      <c r="BE303" s="64"/>
      <c r="BF303" s="64"/>
      <c r="BG303" s="64"/>
      <c r="BH303" s="64"/>
      <c r="BI303" s="64"/>
      <c r="BJ303" s="64"/>
      <c r="BK303" s="64"/>
      <c r="BL303" s="64"/>
      <c r="BM303" s="64"/>
      <c r="BN303" s="64"/>
    </row>
    <row r="304" ht="30.0" customHeight="1">
      <c r="A304" s="64"/>
      <c r="B304" s="64"/>
      <c r="C304" s="66"/>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75"/>
      <c r="BB304" s="64"/>
      <c r="BC304" s="64"/>
      <c r="BD304" s="66"/>
      <c r="BE304" s="64"/>
      <c r="BF304" s="64"/>
      <c r="BG304" s="64"/>
      <c r="BH304" s="64"/>
      <c r="BI304" s="64"/>
      <c r="BJ304" s="64"/>
      <c r="BK304" s="64"/>
      <c r="BL304" s="64"/>
      <c r="BM304" s="64"/>
      <c r="BN304" s="64"/>
    </row>
    <row r="305" ht="30.0" customHeight="1">
      <c r="A305" s="64"/>
      <c r="B305" s="64"/>
      <c r="C305" s="66"/>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75"/>
      <c r="BB305" s="64"/>
      <c r="BC305" s="64"/>
      <c r="BD305" s="66"/>
      <c r="BE305" s="64"/>
      <c r="BF305" s="64"/>
      <c r="BG305" s="64"/>
      <c r="BH305" s="64"/>
      <c r="BI305" s="64"/>
      <c r="BJ305" s="64"/>
      <c r="BK305" s="64"/>
      <c r="BL305" s="64"/>
      <c r="BM305" s="64"/>
      <c r="BN305" s="64"/>
    </row>
    <row r="306" ht="30.0" customHeight="1">
      <c r="A306" s="64"/>
      <c r="B306" s="64"/>
      <c r="C306" s="66"/>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75"/>
      <c r="BB306" s="64"/>
      <c r="BC306" s="64"/>
      <c r="BD306" s="66"/>
      <c r="BE306" s="64"/>
      <c r="BF306" s="64"/>
      <c r="BG306" s="64"/>
      <c r="BH306" s="64"/>
      <c r="BI306" s="64"/>
      <c r="BJ306" s="64"/>
      <c r="BK306" s="64"/>
      <c r="BL306" s="64"/>
      <c r="BM306" s="64"/>
      <c r="BN306" s="64"/>
    </row>
    <row r="307" ht="30.0" customHeight="1">
      <c r="A307" s="64"/>
      <c r="B307" s="64"/>
      <c r="C307" s="66"/>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75"/>
      <c r="BB307" s="64"/>
      <c r="BC307" s="64"/>
      <c r="BD307" s="66"/>
      <c r="BE307" s="64"/>
      <c r="BF307" s="64"/>
      <c r="BG307" s="64"/>
      <c r="BH307" s="64"/>
      <c r="BI307" s="64"/>
      <c r="BJ307" s="64"/>
      <c r="BK307" s="64"/>
      <c r="BL307" s="64"/>
      <c r="BM307" s="64"/>
      <c r="BN307" s="64"/>
    </row>
    <row r="308" ht="30.0" customHeight="1">
      <c r="A308" s="64"/>
      <c r="B308" s="64"/>
      <c r="C308" s="66"/>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75"/>
      <c r="BB308" s="64"/>
      <c r="BC308" s="64"/>
      <c r="BD308" s="66"/>
      <c r="BE308" s="64"/>
      <c r="BF308" s="64"/>
      <c r="BG308" s="64"/>
      <c r="BH308" s="64"/>
      <c r="BI308" s="64"/>
      <c r="BJ308" s="64"/>
      <c r="BK308" s="64"/>
      <c r="BL308" s="64"/>
      <c r="BM308" s="64"/>
      <c r="BN308" s="64"/>
    </row>
    <row r="309" ht="30.0" customHeight="1">
      <c r="A309" s="64"/>
      <c r="B309" s="64"/>
      <c r="C309" s="66"/>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75"/>
      <c r="BB309" s="64"/>
      <c r="BC309" s="64"/>
      <c r="BD309" s="66"/>
      <c r="BE309" s="64"/>
      <c r="BF309" s="64"/>
      <c r="BG309" s="64"/>
      <c r="BH309" s="64"/>
      <c r="BI309" s="64"/>
      <c r="BJ309" s="64"/>
      <c r="BK309" s="64"/>
      <c r="BL309" s="64"/>
      <c r="BM309" s="64"/>
      <c r="BN309" s="64"/>
    </row>
    <row r="310" ht="30.0" customHeight="1">
      <c r="A310" s="64"/>
      <c r="B310" s="64"/>
      <c r="C310" s="66"/>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75"/>
      <c r="BB310" s="64"/>
      <c r="BC310" s="64"/>
      <c r="BD310" s="66"/>
      <c r="BE310" s="64"/>
      <c r="BF310" s="64"/>
      <c r="BG310" s="64"/>
      <c r="BH310" s="64"/>
      <c r="BI310" s="64"/>
      <c r="BJ310" s="64"/>
      <c r="BK310" s="64"/>
      <c r="BL310" s="64"/>
      <c r="BM310" s="64"/>
      <c r="BN310" s="64"/>
    </row>
    <row r="311" ht="30.0" customHeight="1">
      <c r="A311" s="64"/>
      <c r="B311" s="64"/>
      <c r="C311" s="66"/>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75"/>
      <c r="BB311" s="64"/>
      <c r="BC311" s="64"/>
      <c r="BD311" s="66"/>
      <c r="BE311" s="64"/>
      <c r="BF311" s="64"/>
      <c r="BG311" s="64"/>
      <c r="BH311" s="64"/>
      <c r="BI311" s="64"/>
      <c r="BJ311" s="64"/>
      <c r="BK311" s="64"/>
      <c r="BL311" s="64"/>
      <c r="BM311" s="64"/>
      <c r="BN311" s="64"/>
    </row>
    <row r="312" ht="30.0" customHeight="1">
      <c r="A312" s="64"/>
      <c r="B312" s="64"/>
      <c r="C312" s="66"/>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75"/>
      <c r="BB312" s="64"/>
      <c r="BC312" s="64"/>
      <c r="BD312" s="66"/>
      <c r="BE312" s="64"/>
      <c r="BF312" s="64"/>
      <c r="BG312" s="64"/>
      <c r="BH312" s="64"/>
      <c r="BI312" s="64"/>
      <c r="BJ312" s="64"/>
      <c r="BK312" s="64"/>
      <c r="BL312" s="64"/>
      <c r="BM312" s="64"/>
      <c r="BN312" s="64"/>
    </row>
    <row r="313" ht="30.0" customHeight="1">
      <c r="A313" s="64"/>
      <c r="B313" s="64"/>
      <c r="C313" s="66"/>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75"/>
      <c r="BB313" s="64"/>
      <c r="BC313" s="64"/>
      <c r="BD313" s="66"/>
      <c r="BE313" s="64"/>
      <c r="BF313" s="64"/>
      <c r="BG313" s="64"/>
      <c r="BH313" s="64"/>
      <c r="BI313" s="64"/>
      <c r="BJ313" s="64"/>
      <c r="BK313" s="64"/>
      <c r="BL313" s="64"/>
      <c r="BM313" s="64"/>
      <c r="BN313" s="64"/>
    </row>
    <row r="314" ht="30.0" customHeight="1">
      <c r="A314" s="64"/>
      <c r="B314" s="64"/>
      <c r="C314" s="66"/>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75"/>
      <c r="BB314" s="64"/>
      <c r="BC314" s="64"/>
      <c r="BD314" s="66"/>
      <c r="BE314" s="64"/>
      <c r="BF314" s="64"/>
      <c r="BG314" s="64"/>
      <c r="BH314" s="64"/>
      <c r="BI314" s="64"/>
      <c r="BJ314" s="64"/>
      <c r="BK314" s="64"/>
      <c r="BL314" s="64"/>
      <c r="BM314" s="64"/>
      <c r="BN314" s="64"/>
    </row>
    <row r="315" ht="30.0" customHeight="1">
      <c r="A315" s="64"/>
      <c r="B315" s="64"/>
      <c r="C315" s="66"/>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75"/>
      <c r="BB315" s="64"/>
      <c r="BC315" s="64"/>
      <c r="BD315" s="66"/>
      <c r="BE315" s="64"/>
      <c r="BF315" s="64"/>
      <c r="BG315" s="64"/>
      <c r="BH315" s="64"/>
      <c r="BI315" s="64"/>
      <c r="BJ315" s="64"/>
      <c r="BK315" s="64"/>
      <c r="BL315" s="64"/>
      <c r="BM315" s="64"/>
      <c r="BN315" s="64"/>
    </row>
    <row r="316" ht="30.0" customHeight="1">
      <c r="A316" s="64"/>
      <c r="B316" s="64"/>
      <c r="C316" s="66"/>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75"/>
      <c r="BB316" s="64"/>
      <c r="BC316" s="64"/>
      <c r="BD316" s="66"/>
      <c r="BE316" s="64"/>
      <c r="BF316" s="64"/>
      <c r="BG316" s="64"/>
      <c r="BH316" s="64"/>
      <c r="BI316" s="64"/>
      <c r="BJ316" s="64"/>
      <c r="BK316" s="64"/>
      <c r="BL316" s="64"/>
      <c r="BM316" s="64"/>
      <c r="BN316" s="64"/>
    </row>
    <row r="317" ht="30.0" customHeight="1">
      <c r="A317" s="64"/>
      <c r="B317" s="64"/>
      <c r="C317" s="66"/>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75"/>
      <c r="BB317" s="64"/>
      <c r="BC317" s="64"/>
      <c r="BD317" s="66"/>
      <c r="BE317" s="64"/>
      <c r="BF317" s="64"/>
      <c r="BG317" s="64"/>
      <c r="BH317" s="64"/>
      <c r="BI317" s="64"/>
      <c r="BJ317" s="64"/>
      <c r="BK317" s="64"/>
      <c r="BL317" s="64"/>
      <c r="BM317" s="64"/>
      <c r="BN317" s="64"/>
    </row>
    <row r="318" ht="30.0" customHeight="1">
      <c r="A318" s="64"/>
      <c r="B318" s="64"/>
      <c r="C318" s="66"/>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75"/>
      <c r="BB318" s="64"/>
      <c r="BC318" s="64"/>
      <c r="BD318" s="66"/>
      <c r="BE318" s="64"/>
      <c r="BF318" s="64"/>
      <c r="BG318" s="64"/>
      <c r="BH318" s="64"/>
      <c r="BI318" s="64"/>
      <c r="BJ318" s="64"/>
      <c r="BK318" s="64"/>
      <c r="BL318" s="64"/>
      <c r="BM318" s="64"/>
      <c r="BN318" s="64"/>
    </row>
    <row r="319" ht="30.0" customHeight="1">
      <c r="A319" s="64"/>
      <c r="B319" s="64"/>
      <c r="C319" s="66"/>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75"/>
      <c r="BB319" s="64"/>
      <c r="BC319" s="64"/>
      <c r="BD319" s="66"/>
      <c r="BE319" s="64"/>
      <c r="BF319" s="64"/>
      <c r="BG319" s="64"/>
      <c r="BH319" s="64"/>
      <c r="BI319" s="64"/>
      <c r="BJ319" s="64"/>
      <c r="BK319" s="64"/>
      <c r="BL319" s="64"/>
      <c r="BM319" s="64"/>
      <c r="BN319" s="64"/>
    </row>
    <row r="320" ht="30.0" customHeight="1">
      <c r="A320" s="64"/>
      <c r="B320" s="64"/>
      <c r="C320" s="66"/>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75"/>
      <c r="BB320" s="64"/>
      <c r="BC320" s="64"/>
      <c r="BD320" s="66"/>
      <c r="BE320" s="64"/>
      <c r="BF320" s="64"/>
      <c r="BG320" s="64"/>
      <c r="BH320" s="64"/>
      <c r="BI320" s="64"/>
      <c r="BJ320" s="64"/>
      <c r="BK320" s="64"/>
      <c r="BL320" s="64"/>
      <c r="BM320" s="64"/>
      <c r="BN320" s="64"/>
    </row>
    <row r="321" ht="30.0" customHeight="1">
      <c r="A321" s="64"/>
      <c r="B321" s="64"/>
      <c r="C321" s="66"/>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75"/>
      <c r="BB321" s="64"/>
      <c r="BC321" s="64"/>
      <c r="BD321" s="66"/>
      <c r="BE321" s="64"/>
      <c r="BF321" s="64"/>
      <c r="BG321" s="64"/>
      <c r="BH321" s="64"/>
      <c r="BI321" s="64"/>
      <c r="BJ321" s="64"/>
      <c r="BK321" s="64"/>
      <c r="BL321" s="64"/>
      <c r="BM321" s="64"/>
      <c r="BN321" s="64"/>
    </row>
    <row r="322" ht="30.0" customHeight="1">
      <c r="A322" s="64"/>
      <c r="B322" s="64"/>
      <c r="C322" s="66"/>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75"/>
      <c r="BB322" s="64"/>
      <c r="BC322" s="64"/>
      <c r="BD322" s="66"/>
      <c r="BE322" s="64"/>
      <c r="BF322" s="64"/>
      <c r="BG322" s="64"/>
      <c r="BH322" s="64"/>
      <c r="BI322" s="64"/>
      <c r="BJ322" s="64"/>
      <c r="BK322" s="64"/>
      <c r="BL322" s="64"/>
      <c r="BM322" s="64"/>
      <c r="BN322" s="64"/>
    </row>
    <row r="323" ht="30.0" customHeight="1">
      <c r="A323" s="64"/>
      <c r="B323" s="64"/>
      <c r="C323" s="66"/>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75"/>
      <c r="BB323" s="64"/>
      <c r="BC323" s="64"/>
      <c r="BD323" s="66"/>
      <c r="BE323" s="64"/>
      <c r="BF323" s="64"/>
      <c r="BG323" s="64"/>
      <c r="BH323" s="64"/>
      <c r="BI323" s="64"/>
      <c r="BJ323" s="64"/>
      <c r="BK323" s="64"/>
      <c r="BL323" s="64"/>
      <c r="BM323" s="64"/>
      <c r="BN323" s="64"/>
    </row>
    <row r="324" ht="30.0" customHeight="1">
      <c r="A324" s="64"/>
      <c r="B324" s="64"/>
      <c r="C324" s="66"/>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75"/>
      <c r="BB324" s="64"/>
      <c r="BC324" s="64"/>
      <c r="BD324" s="66"/>
      <c r="BE324" s="64"/>
      <c r="BF324" s="64"/>
      <c r="BG324" s="64"/>
      <c r="BH324" s="64"/>
      <c r="BI324" s="64"/>
      <c r="BJ324" s="64"/>
      <c r="BK324" s="64"/>
      <c r="BL324" s="64"/>
      <c r="BM324" s="64"/>
      <c r="BN324" s="64"/>
    </row>
    <row r="325" ht="30.0" customHeight="1">
      <c r="A325" s="64"/>
      <c r="B325" s="64"/>
      <c r="C325" s="66"/>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75"/>
      <c r="BB325" s="64"/>
      <c r="BC325" s="64"/>
      <c r="BD325" s="66"/>
      <c r="BE325" s="64"/>
      <c r="BF325" s="64"/>
      <c r="BG325" s="64"/>
      <c r="BH325" s="64"/>
      <c r="BI325" s="64"/>
      <c r="BJ325" s="64"/>
      <c r="BK325" s="64"/>
      <c r="BL325" s="64"/>
      <c r="BM325" s="64"/>
      <c r="BN325" s="64"/>
    </row>
    <row r="326" ht="30.0" customHeight="1">
      <c r="A326" s="64"/>
      <c r="B326" s="64"/>
      <c r="C326" s="66"/>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75"/>
      <c r="BB326" s="64"/>
      <c r="BC326" s="64"/>
      <c r="BD326" s="66"/>
      <c r="BE326" s="64"/>
      <c r="BF326" s="64"/>
      <c r="BG326" s="64"/>
      <c r="BH326" s="64"/>
      <c r="BI326" s="64"/>
      <c r="BJ326" s="64"/>
      <c r="BK326" s="64"/>
      <c r="BL326" s="64"/>
      <c r="BM326" s="64"/>
      <c r="BN326" s="64"/>
    </row>
    <row r="327" ht="30.0" customHeight="1">
      <c r="A327" s="64"/>
      <c r="B327" s="64"/>
      <c r="C327" s="66"/>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75"/>
      <c r="BB327" s="64"/>
      <c r="BC327" s="64"/>
      <c r="BD327" s="66"/>
      <c r="BE327" s="64"/>
      <c r="BF327" s="64"/>
      <c r="BG327" s="64"/>
      <c r="BH327" s="64"/>
      <c r="BI327" s="64"/>
      <c r="BJ327" s="64"/>
      <c r="BK327" s="64"/>
      <c r="BL327" s="64"/>
      <c r="BM327" s="64"/>
      <c r="BN327" s="64"/>
    </row>
    <row r="328" ht="30.0" customHeight="1">
      <c r="A328" s="64"/>
      <c r="B328" s="64"/>
      <c r="C328" s="66"/>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75"/>
      <c r="BB328" s="64"/>
      <c r="BC328" s="64"/>
      <c r="BD328" s="66"/>
      <c r="BE328" s="64"/>
      <c r="BF328" s="64"/>
      <c r="BG328" s="64"/>
      <c r="BH328" s="64"/>
      <c r="BI328" s="64"/>
      <c r="BJ328" s="64"/>
      <c r="BK328" s="64"/>
      <c r="BL328" s="64"/>
      <c r="BM328" s="64"/>
      <c r="BN328" s="64"/>
    </row>
    <row r="329" ht="30.0" customHeight="1">
      <c r="A329" s="64"/>
      <c r="B329" s="64"/>
      <c r="C329" s="66"/>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75"/>
      <c r="BB329" s="64"/>
      <c r="BC329" s="64"/>
      <c r="BD329" s="66"/>
      <c r="BE329" s="64"/>
      <c r="BF329" s="64"/>
      <c r="BG329" s="64"/>
      <c r="BH329" s="64"/>
      <c r="BI329" s="64"/>
      <c r="BJ329" s="64"/>
      <c r="BK329" s="64"/>
      <c r="BL329" s="64"/>
      <c r="BM329" s="64"/>
      <c r="BN329" s="64"/>
    </row>
    <row r="330" ht="30.0" customHeight="1">
      <c r="A330" s="64"/>
      <c r="B330" s="64"/>
      <c r="C330" s="66"/>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75"/>
      <c r="BB330" s="64"/>
      <c r="BC330" s="64"/>
      <c r="BD330" s="66"/>
      <c r="BE330" s="64"/>
      <c r="BF330" s="64"/>
      <c r="BG330" s="64"/>
      <c r="BH330" s="64"/>
      <c r="BI330" s="64"/>
      <c r="BJ330" s="64"/>
      <c r="BK330" s="64"/>
      <c r="BL330" s="64"/>
      <c r="BM330" s="64"/>
      <c r="BN330" s="64"/>
    </row>
    <row r="331" ht="30.0" customHeight="1">
      <c r="A331" s="64"/>
      <c r="B331" s="64"/>
      <c r="C331" s="66"/>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75"/>
      <c r="BB331" s="64"/>
      <c r="BC331" s="64"/>
      <c r="BD331" s="66"/>
      <c r="BE331" s="64"/>
      <c r="BF331" s="64"/>
      <c r="BG331" s="64"/>
      <c r="BH331" s="64"/>
      <c r="BI331" s="64"/>
      <c r="BJ331" s="64"/>
      <c r="BK331" s="64"/>
      <c r="BL331" s="64"/>
      <c r="BM331" s="64"/>
      <c r="BN331" s="64"/>
    </row>
    <row r="332" ht="30.0" customHeight="1">
      <c r="A332" s="64"/>
      <c r="B332" s="64"/>
      <c r="C332" s="66"/>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75"/>
      <c r="BB332" s="64"/>
      <c r="BC332" s="64"/>
      <c r="BD332" s="66"/>
      <c r="BE332" s="64"/>
      <c r="BF332" s="64"/>
      <c r="BG332" s="64"/>
      <c r="BH332" s="64"/>
      <c r="BI332" s="64"/>
      <c r="BJ332" s="64"/>
      <c r="BK332" s="64"/>
      <c r="BL332" s="64"/>
      <c r="BM332" s="64"/>
      <c r="BN332" s="64"/>
    </row>
    <row r="333" ht="30.0" customHeight="1">
      <c r="A333" s="64"/>
      <c r="B333" s="64"/>
      <c r="C333" s="66"/>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75"/>
      <c r="BB333" s="64"/>
      <c r="BC333" s="64"/>
      <c r="BD333" s="66"/>
      <c r="BE333" s="64"/>
      <c r="BF333" s="64"/>
      <c r="BG333" s="64"/>
      <c r="BH333" s="64"/>
      <c r="BI333" s="64"/>
      <c r="BJ333" s="64"/>
      <c r="BK333" s="64"/>
      <c r="BL333" s="64"/>
      <c r="BM333" s="64"/>
      <c r="BN333" s="64"/>
    </row>
    <row r="334" ht="30.0" customHeight="1">
      <c r="A334" s="64"/>
      <c r="B334" s="64"/>
      <c r="C334" s="66"/>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75"/>
      <c r="BB334" s="64"/>
      <c r="BC334" s="64"/>
      <c r="BD334" s="66"/>
      <c r="BE334" s="64"/>
      <c r="BF334" s="64"/>
      <c r="BG334" s="64"/>
      <c r="BH334" s="64"/>
      <c r="BI334" s="64"/>
      <c r="BJ334" s="64"/>
      <c r="BK334" s="64"/>
      <c r="BL334" s="64"/>
      <c r="BM334" s="64"/>
      <c r="BN334" s="64"/>
    </row>
    <row r="335" ht="30.0" customHeight="1">
      <c r="A335" s="64"/>
      <c r="B335" s="64"/>
      <c r="C335" s="66"/>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75"/>
      <c r="BB335" s="64"/>
      <c r="BC335" s="64"/>
      <c r="BD335" s="66"/>
      <c r="BE335" s="64"/>
      <c r="BF335" s="64"/>
      <c r="BG335" s="64"/>
      <c r="BH335" s="64"/>
      <c r="BI335" s="64"/>
      <c r="BJ335" s="64"/>
      <c r="BK335" s="64"/>
      <c r="BL335" s="64"/>
      <c r="BM335" s="64"/>
      <c r="BN335" s="64"/>
    </row>
    <row r="336" ht="30.0" customHeight="1">
      <c r="A336" s="64"/>
      <c r="B336" s="64"/>
      <c r="C336" s="66"/>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75"/>
      <c r="BB336" s="64"/>
      <c r="BC336" s="64"/>
      <c r="BD336" s="66"/>
      <c r="BE336" s="64"/>
      <c r="BF336" s="64"/>
      <c r="BG336" s="64"/>
      <c r="BH336" s="64"/>
      <c r="BI336" s="64"/>
      <c r="BJ336" s="64"/>
      <c r="BK336" s="64"/>
      <c r="BL336" s="64"/>
      <c r="BM336" s="64"/>
      <c r="BN336" s="64"/>
    </row>
    <row r="337" ht="30.0" customHeight="1">
      <c r="A337" s="64"/>
      <c r="B337" s="64"/>
      <c r="C337" s="66"/>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75"/>
      <c r="BB337" s="64"/>
      <c r="BC337" s="64"/>
      <c r="BD337" s="66"/>
      <c r="BE337" s="64"/>
      <c r="BF337" s="64"/>
      <c r="BG337" s="64"/>
      <c r="BH337" s="64"/>
      <c r="BI337" s="64"/>
      <c r="BJ337" s="64"/>
      <c r="BK337" s="64"/>
      <c r="BL337" s="64"/>
      <c r="BM337" s="64"/>
      <c r="BN337" s="64"/>
    </row>
    <row r="338" ht="30.0" customHeight="1">
      <c r="A338" s="64"/>
      <c r="B338" s="64"/>
      <c r="C338" s="66"/>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75"/>
      <c r="BB338" s="64"/>
      <c r="BC338" s="64"/>
      <c r="BD338" s="66"/>
      <c r="BE338" s="64"/>
      <c r="BF338" s="64"/>
      <c r="BG338" s="64"/>
      <c r="BH338" s="64"/>
      <c r="BI338" s="64"/>
      <c r="BJ338" s="64"/>
      <c r="BK338" s="64"/>
      <c r="BL338" s="64"/>
      <c r="BM338" s="64"/>
      <c r="BN338" s="64"/>
    </row>
    <row r="339" ht="30.0" customHeight="1">
      <c r="A339" s="64"/>
      <c r="B339" s="64"/>
      <c r="C339" s="66"/>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75"/>
      <c r="BB339" s="64"/>
      <c r="BC339" s="64"/>
      <c r="BD339" s="66"/>
      <c r="BE339" s="64"/>
      <c r="BF339" s="64"/>
      <c r="BG339" s="64"/>
      <c r="BH339" s="64"/>
      <c r="BI339" s="64"/>
      <c r="BJ339" s="64"/>
      <c r="BK339" s="64"/>
      <c r="BL339" s="64"/>
      <c r="BM339" s="64"/>
      <c r="BN339" s="64"/>
    </row>
    <row r="340" ht="30.0" customHeight="1">
      <c r="A340" s="64"/>
      <c r="B340" s="64"/>
      <c r="C340" s="66"/>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75"/>
      <c r="BB340" s="64"/>
      <c r="BC340" s="64"/>
      <c r="BD340" s="66"/>
      <c r="BE340" s="64"/>
      <c r="BF340" s="64"/>
      <c r="BG340" s="64"/>
      <c r="BH340" s="64"/>
      <c r="BI340" s="64"/>
      <c r="BJ340" s="64"/>
      <c r="BK340" s="64"/>
      <c r="BL340" s="64"/>
      <c r="BM340" s="64"/>
      <c r="BN340" s="64"/>
    </row>
    <row r="341" ht="30.0" customHeight="1">
      <c r="A341" s="64"/>
      <c r="B341" s="64"/>
      <c r="C341" s="66"/>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75"/>
      <c r="BB341" s="64"/>
      <c r="BC341" s="64"/>
      <c r="BD341" s="66"/>
      <c r="BE341" s="64"/>
      <c r="BF341" s="64"/>
      <c r="BG341" s="64"/>
      <c r="BH341" s="64"/>
      <c r="BI341" s="64"/>
      <c r="BJ341" s="64"/>
      <c r="BK341" s="64"/>
      <c r="BL341" s="64"/>
      <c r="BM341" s="64"/>
      <c r="BN341" s="64"/>
    </row>
    <row r="342" ht="30.0" customHeight="1">
      <c r="A342" s="64"/>
      <c r="B342" s="64"/>
      <c r="C342" s="66"/>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75"/>
      <c r="BB342" s="64"/>
      <c r="BC342" s="64"/>
      <c r="BD342" s="66"/>
      <c r="BE342" s="64"/>
      <c r="BF342" s="64"/>
      <c r="BG342" s="64"/>
      <c r="BH342" s="64"/>
      <c r="BI342" s="64"/>
      <c r="BJ342" s="64"/>
      <c r="BK342" s="64"/>
      <c r="BL342" s="64"/>
      <c r="BM342" s="64"/>
      <c r="BN342" s="64"/>
    </row>
    <row r="343" ht="30.0" customHeight="1">
      <c r="A343" s="64"/>
      <c r="B343" s="64"/>
      <c r="C343" s="66"/>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75"/>
      <c r="BB343" s="64"/>
      <c r="BC343" s="64"/>
      <c r="BD343" s="66"/>
      <c r="BE343" s="64"/>
      <c r="BF343" s="64"/>
      <c r="BG343" s="64"/>
      <c r="BH343" s="64"/>
      <c r="BI343" s="64"/>
      <c r="BJ343" s="64"/>
      <c r="BK343" s="64"/>
      <c r="BL343" s="64"/>
      <c r="BM343" s="64"/>
      <c r="BN343" s="64"/>
    </row>
    <row r="344" ht="30.0" customHeight="1">
      <c r="A344" s="64"/>
      <c r="B344" s="64"/>
      <c r="C344" s="66"/>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75"/>
      <c r="BB344" s="64"/>
      <c r="BC344" s="64"/>
      <c r="BD344" s="66"/>
      <c r="BE344" s="64"/>
      <c r="BF344" s="64"/>
      <c r="BG344" s="64"/>
      <c r="BH344" s="64"/>
      <c r="BI344" s="64"/>
      <c r="BJ344" s="64"/>
      <c r="BK344" s="64"/>
      <c r="BL344" s="64"/>
      <c r="BM344" s="64"/>
      <c r="BN344" s="64"/>
    </row>
    <row r="345" ht="30.0" customHeight="1">
      <c r="A345" s="64"/>
      <c r="B345" s="64"/>
      <c r="C345" s="66"/>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75"/>
      <c r="BB345" s="64"/>
      <c r="BC345" s="64"/>
      <c r="BD345" s="66"/>
      <c r="BE345" s="64"/>
      <c r="BF345" s="64"/>
      <c r="BG345" s="64"/>
      <c r="BH345" s="64"/>
      <c r="BI345" s="64"/>
      <c r="BJ345" s="64"/>
      <c r="BK345" s="64"/>
      <c r="BL345" s="64"/>
      <c r="BM345" s="64"/>
      <c r="BN345" s="64"/>
    </row>
    <row r="346" ht="30.0" customHeight="1">
      <c r="A346" s="64"/>
      <c r="B346" s="64"/>
      <c r="C346" s="66"/>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75"/>
      <c r="BB346" s="64"/>
      <c r="BC346" s="64"/>
      <c r="BD346" s="66"/>
      <c r="BE346" s="64"/>
      <c r="BF346" s="64"/>
      <c r="BG346" s="64"/>
      <c r="BH346" s="64"/>
      <c r="BI346" s="64"/>
      <c r="BJ346" s="64"/>
      <c r="BK346" s="64"/>
      <c r="BL346" s="64"/>
      <c r="BM346" s="64"/>
      <c r="BN346" s="64"/>
    </row>
    <row r="347" ht="30.0" customHeight="1">
      <c r="A347" s="64"/>
      <c r="B347" s="64"/>
      <c r="C347" s="66"/>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75"/>
      <c r="BB347" s="64"/>
      <c r="BC347" s="64"/>
      <c r="BD347" s="66"/>
      <c r="BE347" s="64"/>
      <c r="BF347" s="64"/>
      <c r="BG347" s="64"/>
      <c r="BH347" s="64"/>
      <c r="BI347" s="64"/>
      <c r="BJ347" s="64"/>
      <c r="BK347" s="64"/>
      <c r="BL347" s="64"/>
      <c r="BM347" s="64"/>
      <c r="BN347" s="64"/>
    </row>
    <row r="348" ht="30.0" customHeight="1">
      <c r="A348" s="64"/>
      <c r="B348" s="64"/>
      <c r="C348" s="66"/>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75"/>
      <c r="BB348" s="64"/>
      <c r="BC348" s="64"/>
      <c r="BD348" s="66"/>
      <c r="BE348" s="64"/>
      <c r="BF348" s="64"/>
      <c r="BG348" s="64"/>
      <c r="BH348" s="64"/>
      <c r="BI348" s="64"/>
      <c r="BJ348" s="64"/>
      <c r="BK348" s="64"/>
      <c r="BL348" s="64"/>
      <c r="BM348" s="64"/>
      <c r="BN348" s="64"/>
    </row>
    <row r="349" ht="30.0" customHeight="1">
      <c r="A349" s="64"/>
      <c r="B349" s="64"/>
      <c r="C349" s="66"/>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75"/>
      <c r="BB349" s="64"/>
      <c r="BC349" s="64"/>
      <c r="BD349" s="66"/>
      <c r="BE349" s="64"/>
      <c r="BF349" s="64"/>
      <c r="BG349" s="64"/>
      <c r="BH349" s="64"/>
      <c r="BI349" s="64"/>
      <c r="BJ349" s="64"/>
      <c r="BK349" s="64"/>
      <c r="BL349" s="64"/>
      <c r="BM349" s="64"/>
      <c r="BN349" s="64"/>
    </row>
    <row r="350" ht="30.0" customHeight="1">
      <c r="A350" s="64"/>
      <c r="B350" s="64"/>
      <c r="C350" s="66"/>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75"/>
      <c r="BB350" s="64"/>
      <c r="BC350" s="64"/>
      <c r="BD350" s="66"/>
      <c r="BE350" s="64"/>
      <c r="BF350" s="64"/>
      <c r="BG350" s="64"/>
      <c r="BH350" s="64"/>
      <c r="BI350" s="64"/>
      <c r="BJ350" s="64"/>
      <c r="BK350" s="64"/>
      <c r="BL350" s="64"/>
      <c r="BM350" s="64"/>
      <c r="BN350" s="64"/>
    </row>
    <row r="351" ht="30.0" customHeight="1">
      <c r="A351" s="64"/>
      <c r="B351" s="64"/>
      <c r="C351" s="66"/>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75"/>
      <c r="BB351" s="64"/>
      <c r="BC351" s="64"/>
      <c r="BD351" s="66"/>
      <c r="BE351" s="64"/>
      <c r="BF351" s="64"/>
      <c r="BG351" s="64"/>
      <c r="BH351" s="64"/>
      <c r="BI351" s="64"/>
      <c r="BJ351" s="64"/>
      <c r="BK351" s="64"/>
      <c r="BL351" s="64"/>
      <c r="BM351" s="64"/>
      <c r="BN351" s="64"/>
    </row>
    <row r="352" ht="30.0" customHeight="1">
      <c r="A352" s="64"/>
      <c r="B352" s="64"/>
      <c r="C352" s="66"/>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75"/>
      <c r="BB352" s="64"/>
      <c r="BC352" s="64"/>
      <c r="BD352" s="66"/>
      <c r="BE352" s="64"/>
      <c r="BF352" s="64"/>
      <c r="BG352" s="64"/>
      <c r="BH352" s="64"/>
      <c r="BI352" s="64"/>
      <c r="BJ352" s="64"/>
      <c r="BK352" s="64"/>
      <c r="BL352" s="64"/>
      <c r="BM352" s="64"/>
      <c r="BN352" s="64"/>
    </row>
    <row r="353" ht="30.0" customHeight="1">
      <c r="A353" s="64"/>
      <c r="B353" s="64"/>
      <c r="C353" s="66"/>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75"/>
      <c r="BB353" s="64"/>
      <c r="BC353" s="64"/>
      <c r="BD353" s="66"/>
      <c r="BE353" s="64"/>
      <c r="BF353" s="64"/>
      <c r="BG353" s="64"/>
      <c r="BH353" s="64"/>
      <c r="BI353" s="64"/>
      <c r="BJ353" s="64"/>
      <c r="BK353" s="64"/>
      <c r="BL353" s="64"/>
      <c r="BM353" s="64"/>
      <c r="BN353" s="64"/>
    </row>
    <row r="354" ht="30.0" customHeight="1">
      <c r="A354" s="64"/>
      <c r="B354" s="64"/>
      <c r="C354" s="66"/>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75"/>
      <c r="BB354" s="64"/>
      <c r="BC354" s="64"/>
      <c r="BD354" s="66"/>
      <c r="BE354" s="64"/>
      <c r="BF354" s="64"/>
      <c r="BG354" s="64"/>
      <c r="BH354" s="64"/>
      <c r="BI354" s="64"/>
      <c r="BJ354" s="64"/>
      <c r="BK354" s="64"/>
      <c r="BL354" s="64"/>
      <c r="BM354" s="64"/>
      <c r="BN354" s="64"/>
    </row>
    <row r="355" ht="30.0" customHeight="1">
      <c r="A355" s="64"/>
      <c r="B355" s="64"/>
      <c r="C355" s="66"/>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75"/>
      <c r="BB355" s="64"/>
      <c r="BC355" s="64"/>
      <c r="BD355" s="66"/>
      <c r="BE355" s="64"/>
      <c r="BF355" s="64"/>
      <c r="BG355" s="64"/>
      <c r="BH355" s="64"/>
      <c r="BI355" s="64"/>
      <c r="BJ355" s="64"/>
      <c r="BK355" s="64"/>
      <c r="BL355" s="64"/>
      <c r="BM355" s="64"/>
      <c r="BN355" s="64"/>
    </row>
    <row r="356" ht="30.0" customHeight="1">
      <c r="A356" s="64"/>
      <c r="B356" s="64"/>
      <c r="C356" s="66"/>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75"/>
      <c r="BB356" s="64"/>
      <c r="BC356" s="64"/>
      <c r="BD356" s="66"/>
      <c r="BE356" s="64"/>
      <c r="BF356" s="64"/>
      <c r="BG356" s="64"/>
      <c r="BH356" s="64"/>
      <c r="BI356" s="64"/>
      <c r="BJ356" s="64"/>
      <c r="BK356" s="64"/>
      <c r="BL356" s="64"/>
      <c r="BM356" s="64"/>
      <c r="BN356" s="64"/>
    </row>
    <row r="357" ht="30.0" customHeight="1">
      <c r="A357" s="64"/>
      <c r="B357" s="64"/>
      <c r="C357" s="66"/>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75"/>
      <c r="BB357" s="64"/>
      <c r="BC357" s="64"/>
      <c r="BD357" s="66"/>
      <c r="BE357" s="64"/>
      <c r="BF357" s="64"/>
      <c r="BG357" s="64"/>
      <c r="BH357" s="64"/>
      <c r="BI357" s="64"/>
      <c r="BJ357" s="64"/>
      <c r="BK357" s="64"/>
      <c r="BL357" s="64"/>
      <c r="BM357" s="64"/>
      <c r="BN357" s="64"/>
    </row>
    <row r="358" ht="30.0" customHeight="1">
      <c r="A358" s="64"/>
      <c r="B358" s="64"/>
      <c r="C358" s="66"/>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75"/>
      <c r="BB358" s="64"/>
      <c r="BC358" s="64"/>
      <c r="BD358" s="66"/>
      <c r="BE358" s="64"/>
      <c r="BF358" s="64"/>
      <c r="BG358" s="64"/>
      <c r="BH358" s="64"/>
      <c r="BI358" s="64"/>
      <c r="BJ358" s="64"/>
      <c r="BK358" s="64"/>
      <c r="BL358" s="64"/>
      <c r="BM358" s="64"/>
      <c r="BN358" s="64"/>
    </row>
    <row r="359" ht="30.0" customHeight="1">
      <c r="A359" s="64"/>
      <c r="B359" s="64"/>
      <c r="C359" s="66"/>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75"/>
      <c r="BB359" s="64"/>
      <c r="BC359" s="64"/>
      <c r="BD359" s="66"/>
      <c r="BE359" s="64"/>
      <c r="BF359" s="64"/>
      <c r="BG359" s="64"/>
      <c r="BH359" s="64"/>
      <c r="BI359" s="64"/>
      <c r="BJ359" s="64"/>
      <c r="BK359" s="64"/>
      <c r="BL359" s="64"/>
      <c r="BM359" s="64"/>
      <c r="BN359" s="64"/>
    </row>
    <row r="360" ht="30.0" customHeight="1">
      <c r="A360" s="64"/>
      <c r="B360" s="64"/>
      <c r="C360" s="66"/>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75"/>
      <c r="BB360" s="64"/>
      <c r="BC360" s="64"/>
      <c r="BD360" s="66"/>
      <c r="BE360" s="64"/>
      <c r="BF360" s="64"/>
      <c r="BG360" s="64"/>
      <c r="BH360" s="64"/>
      <c r="BI360" s="64"/>
      <c r="BJ360" s="64"/>
      <c r="BK360" s="64"/>
      <c r="BL360" s="64"/>
      <c r="BM360" s="64"/>
      <c r="BN360" s="64"/>
    </row>
    <row r="361" ht="30.0" customHeight="1">
      <c r="A361" s="64"/>
      <c r="B361" s="64"/>
      <c r="C361" s="66"/>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75"/>
      <c r="BB361" s="64"/>
      <c r="BC361" s="64"/>
      <c r="BD361" s="66"/>
      <c r="BE361" s="64"/>
      <c r="BF361" s="64"/>
      <c r="BG361" s="64"/>
      <c r="BH361" s="64"/>
      <c r="BI361" s="64"/>
      <c r="BJ361" s="64"/>
      <c r="BK361" s="64"/>
      <c r="BL361" s="64"/>
      <c r="BM361" s="64"/>
      <c r="BN361" s="64"/>
    </row>
    <row r="362" ht="30.0" customHeight="1">
      <c r="A362" s="64"/>
      <c r="B362" s="64"/>
      <c r="C362" s="66"/>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75"/>
      <c r="BB362" s="64"/>
      <c r="BC362" s="64"/>
      <c r="BD362" s="66"/>
      <c r="BE362" s="64"/>
      <c r="BF362" s="64"/>
      <c r="BG362" s="64"/>
      <c r="BH362" s="64"/>
      <c r="BI362" s="64"/>
      <c r="BJ362" s="64"/>
      <c r="BK362" s="64"/>
      <c r="BL362" s="64"/>
      <c r="BM362" s="64"/>
      <c r="BN362" s="64"/>
    </row>
    <row r="363" ht="30.0" customHeight="1">
      <c r="A363" s="64"/>
      <c r="B363" s="64"/>
      <c r="C363" s="66"/>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75"/>
      <c r="BB363" s="64"/>
      <c r="BC363" s="64"/>
      <c r="BD363" s="66"/>
      <c r="BE363" s="64"/>
      <c r="BF363" s="64"/>
      <c r="BG363" s="64"/>
      <c r="BH363" s="64"/>
      <c r="BI363" s="64"/>
      <c r="BJ363" s="64"/>
      <c r="BK363" s="64"/>
      <c r="BL363" s="64"/>
      <c r="BM363" s="64"/>
      <c r="BN363" s="64"/>
    </row>
    <row r="364" ht="30.0" customHeight="1">
      <c r="A364" s="64"/>
      <c r="B364" s="64"/>
      <c r="C364" s="66"/>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75"/>
      <c r="BB364" s="64"/>
      <c r="BC364" s="64"/>
      <c r="BD364" s="66"/>
      <c r="BE364" s="64"/>
      <c r="BF364" s="64"/>
      <c r="BG364" s="64"/>
      <c r="BH364" s="64"/>
      <c r="BI364" s="64"/>
      <c r="BJ364" s="64"/>
      <c r="BK364" s="64"/>
      <c r="BL364" s="64"/>
      <c r="BM364" s="64"/>
      <c r="BN364" s="64"/>
    </row>
    <row r="365" ht="30.0" customHeight="1">
      <c r="A365" s="64"/>
      <c r="B365" s="64"/>
      <c r="C365" s="66"/>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75"/>
      <c r="BB365" s="64"/>
      <c r="BC365" s="64"/>
      <c r="BD365" s="66"/>
      <c r="BE365" s="64"/>
      <c r="BF365" s="64"/>
      <c r="BG365" s="64"/>
      <c r="BH365" s="64"/>
      <c r="BI365" s="64"/>
      <c r="BJ365" s="64"/>
      <c r="BK365" s="64"/>
      <c r="BL365" s="64"/>
      <c r="BM365" s="64"/>
      <c r="BN365" s="64"/>
    </row>
    <row r="366" ht="30.0" customHeight="1">
      <c r="A366" s="64"/>
      <c r="B366" s="64"/>
      <c r="C366" s="66"/>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75"/>
      <c r="BB366" s="64"/>
      <c r="BC366" s="64"/>
      <c r="BD366" s="66"/>
      <c r="BE366" s="64"/>
      <c r="BF366" s="64"/>
      <c r="BG366" s="64"/>
      <c r="BH366" s="64"/>
      <c r="BI366" s="64"/>
      <c r="BJ366" s="64"/>
      <c r="BK366" s="64"/>
      <c r="BL366" s="64"/>
      <c r="BM366" s="64"/>
      <c r="BN366" s="64"/>
    </row>
    <row r="367" ht="30.0" customHeight="1">
      <c r="A367" s="64"/>
      <c r="B367" s="64"/>
      <c r="C367" s="66"/>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75"/>
      <c r="BB367" s="64"/>
      <c r="BC367" s="64"/>
      <c r="BD367" s="66"/>
      <c r="BE367" s="64"/>
      <c r="BF367" s="64"/>
      <c r="BG367" s="64"/>
      <c r="BH367" s="64"/>
      <c r="BI367" s="64"/>
      <c r="BJ367" s="64"/>
      <c r="BK367" s="64"/>
      <c r="BL367" s="64"/>
      <c r="BM367" s="64"/>
      <c r="BN367" s="64"/>
    </row>
    <row r="368" ht="30.0" customHeight="1">
      <c r="A368" s="64"/>
      <c r="B368" s="64"/>
      <c r="C368" s="66"/>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75"/>
      <c r="BB368" s="64"/>
      <c r="BC368" s="64"/>
      <c r="BD368" s="66"/>
      <c r="BE368" s="64"/>
      <c r="BF368" s="64"/>
      <c r="BG368" s="64"/>
      <c r="BH368" s="64"/>
      <c r="BI368" s="64"/>
      <c r="BJ368" s="64"/>
      <c r="BK368" s="64"/>
      <c r="BL368" s="64"/>
      <c r="BM368" s="64"/>
      <c r="BN368" s="64"/>
    </row>
    <row r="369" ht="30.0" customHeight="1">
      <c r="A369" s="64"/>
      <c r="B369" s="64"/>
      <c r="C369" s="66"/>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75"/>
      <c r="BB369" s="64"/>
      <c r="BC369" s="64"/>
      <c r="BD369" s="66"/>
      <c r="BE369" s="64"/>
      <c r="BF369" s="64"/>
      <c r="BG369" s="64"/>
      <c r="BH369" s="64"/>
      <c r="BI369" s="64"/>
      <c r="BJ369" s="64"/>
      <c r="BK369" s="64"/>
      <c r="BL369" s="64"/>
      <c r="BM369" s="64"/>
      <c r="BN369" s="64"/>
    </row>
    <row r="370" ht="30.0" customHeight="1">
      <c r="A370" s="64"/>
      <c r="B370" s="64"/>
      <c r="C370" s="66"/>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75"/>
      <c r="BB370" s="64"/>
      <c r="BC370" s="64"/>
      <c r="BD370" s="66"/>
      <c r="BE370" s="64"/>
      <c r="BF370" s="64"/>
      <c r="BG370" s="64"/>
      <c r="BH370" s="64"/>
      <c r="BI370" s="64"/>
      <c r="BJ370" s="64"/>
      <c r="BK370" s="64"/>
      <c r="BL370" s="64"/>
      <c r="BM370" s="64"/>
      <c r="BN370" s="64"/>
    </row>
    <row r="371" ht="30.0" customHeight="1">
      <c r="A371" s="64"/>
      <c r="B371" s="64"/>
      <c r="C371" s="66"/>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75"/>
      <c r="BB371" s="64"/>
      <c r="BC371" s="64"/>
      <c r="BD371" s="66"/>
      <c r="BE371" s="64"/>
      <c r="BF371" s="64"/>
      <c r="BG371" s="64"/>
      <c r="BH371" s="64"/>
      <c r="BI371" s="64"/>
      <c r="BJ371" s="64"/>
      <c r="BK371" s="64"/>
      <c r="BL371" s="64"/>
      <c r="BM371" s="64"/>
      <c r="BN371" s="64"/>
    </row>
    <row r="372" ht="30.0" customHeight="1">
      <c r="A372" s="64"/>
      <c r="B372" s="64"/>
      <c r="C372" s="66"/>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75"/>
      <c r="BB372" s="64"/>
      <c r="BC372" s="64"/>
      <c r="BD372" s="66"/>
      <c r="BE372" s="64"/>
      <c r="BF372" s="64"/>
      <c r="BG372" s="64"/>
      <c r="BH372" s="64"/>
      <c r="BI372" s="64"/>
      <c r="BJ372" s="64"/>
      <c r="BK372" s="64"/>
      <c r="BL372" s="64"/>
      <c r="BM372" s="64"/>
      <c r="BN372" s="64"/>
    </row>
    <row r="373" ht="30.0" customHeight="1">
      <c r="A373" s="64"/>
      <c r="B373" s="64"/>
      <c r="C373" s="66"/>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75"/>
      <c r="BB373" s="64"/>
      <c r="BC373" s="64"/>
      <c r="BD373" s="66"/>
      <c r="BE373" s="64"/>
      <c r="BF373" s="64"/>
      <c r="BG373" s="64"/>
      <c r="BH373" s="64"/>
      <c r="BI373" s="64"/>
      <c r="BJ373" s="64"/>
      <c r="BK373" s="64"/>
      <c r="BL373" s="64"/>
      <c r="BM373" s="64"/>
      <c r="BN373" s="64"/>
    </row>
    <row r="374" ht="30.0" customHeight="1">
      <c r="A374" s="64"/>
      <c r="B374" s="64"/>
      <c r="C374" s="66"/>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75"/>
      <c r="BB374" s="64"/>
      <c r="BC374" s="64"/>
      <c r="BD374" s="66"/>
      <c r="BE374" s="64"/>
      <c r="BF374" s="64"/>
      <c r="BG374" s="64"/>
      <c r="BH374" s="64"/>
      <c r="BI374" s="64"/>
      <c r="BJ374" s="64"/>
      <c r="BK374" s="64"/>
      <c r="BL374" s="64"/>
      <c r="BM374" s="64"/>
      <c r="BN374" s="64"/>
    </row>
    <row r="375" ht="30.0" customHeight="1">
      <c r="A375" s="64"/>
      <c r="B375" s="64"/>
      <c r="C375" s="66"/>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75"/>
      <c r="BB375" s="64"/>
      <c r="BC375" s="64"/>
      <c r="BD375" s="66"/>
      <c r="BE375" s="64"/>
      <c r="BF375" s="64"/>
      <c r="BG375" s="64"/>
      <c r="BH375" s="64"/>
      <c r="BI375" s="64"/>
      <c r="BJ375" s="64"/>
      <c r="BK375" s="64"/>
      <c r="BL375" s="64"/>
      <c r="BM375" s="64"/>
      <c r="BN375" s="64"/>
    </row>
    <row r="376" ht="30.0" customHeight="1">
      <c r="A376" s="64"/>
      <c r="B376" s="64"/>
      <c r="C376" s="66"/>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75"/>
      <c r="BB376" s="64"/>
      <c r="BC376" s="64"/>
      <c r="BD376" s="66"/>
      <c r="BE376" s="64"/>
      <c r="BF376" s="64"/>
      <c r="BG376" s="64"/>
      <c r="BH376" s="64"/>
      <c r="BI376" s="64"/>
      <c r="BJ376" s="64"/>
      <c r="BK376" s="64"/>
      <c r="BL376" s="64"/>
      <c r="BM376" s="64"/>
      <c r="BN376" s="64"/>
    </row>
    <row r="377" ht="30.0" customHeight="1">
      <c r="A377" s="64"/>
      <c r="B377" s="64"/>
      <c r="C377" s="66"/>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75"/>
      <c r="BB377" s="64"/>
      <c r="BC377" s="64"/>
      <c r="BD377" s="66"/>
      <c r="BE377" s="64"/>
      <c r="BF377" s="64"/>
      <c r="BG377" s="64"/>
      <c r="BH377" s="64"/>
      <c r="BI377" s="64"/>
      <c r="BJ377" s="64"/>
      <c r="BK377" s="64"/>
      <c r="BL377" s="64"/>
      <c r="BM377" s="64"/>
      <c r="BN377" s="64"/>
    </row>
    <row r="378" ht="30.0" customHeight="1">
      <c r="A378" s="64"/>
      <c r="B378" s="64"/>
      <c r="C378" s="66"/>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75"/>
      <c r="BB378" s="64"/>
      <c r="BC378" s="64"/>
      <c r="BD378" s="66"/>
      <c r="BE378" s="64"/>
      <c r="BF378" s="64"/>
      <c r="BG378" s="64"/>
      <c r="BH378" s="64"/>
      <c r="BI378" s="64"/>
      <c r="BJ378" s="64"/>
      <c r="BK378" s="64"/>
      <c r="BL378" s="64"/>
      <c r="BM378" s="64"/>
      <c r="BN378" s="64"/>
    </row>
    <row r="379" ht="30.0" customHeight="1">
      <c r="A379" s="64"/>
      <c r="B379" s="64"/>
      <c r="C379" s="66"/>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75"/>
      <c r="BB379" s="64"/>
      <c r="BC379" s="64"/>
      <c r="BD379" s="66"/>
      <c r="BE379" s="64"/>
      <c r="BF379" s="64"/>
      <c r="BG379" s="64"/>
      <c r="BH379" s="64"/>
      <c r="BI379" s="64"/>
      <c r="BJ379" s="64"/>
      <c r="BK379" s="64"/>
      <c r="BL379" s="64"/>
      <c r="BM379" s="64"/>
      <c r="BN379" s="64"/>
    </row>
    <row r="380" ht="30.0" customHeight="1">
      <c r="A380" s="64"/>
      <c r="B380" s="64"/>
      <c r="C380" s="66"/>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75"/>
      <c r="BB380" s="64"/>
      <c r="BC380" s="64"/>
      <c r="BD380" s="66"/>
      <c r="BE380" s="64"/>
      <c r="BF380" s="64"/>
      <c r="BG380" s="64"/>
      <c r="BH380" s="64"/>
      <c r="BI380" s="64"/>
      <c r="BJ380" s="64"/>
      <c r="BK380" s="64"/>
      <c r="BL380" s="64"/>
      <c r="BM380" s="64"/>
      <c r="BN380" s="64"/>
    </row>
    <row r="381" ht="30.0" customHeight="1">
      <c r="A381" s="64"/>
      <c r="B381" s="64"/>
      <c r="C381" s="66"/>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75"/>
      <c r="BB381" s="64"/>
      <c r="BC381" s="64"/>
      <c r="BD381" s="66"/>
      <c r="BE381" s="64"/>
      <c r="BF381" s="64"/>
      <c r="BG381" s="64"/>
      <c r="BH381" s="64"/>
      <c r="BI381" s="64"/>
      <c r="BJ381" s="64"/>
      <c r="BK381" s="64"/>
      <c r="BL381" s="64"/>
      <c r="BM381" s="64"/>
      <c r="BN381" s="64"/>
    </row>
    <row r="382" ht="30.0" customHeight="1">
      <c r="A382" s="64"/>
      <c r="B382" s="64"/>
      <c r="C382" s="66"/>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75"/>
      <c r="BB382" s="64"/>
      <c r="BC382" s="64"/>
      <c r="BD382" s="66"/>
      <c r="BE382" s="64"/>
      <c r="BF382" s="64"/>
      <c r="BG382" s="64"/>
      <c r="BH382" s="64"/>
      <c r="BI382" s="64"/>
      <c r="BJ382" s="64"/>
      <c r="BK382" s="64"/>
      <c r="BL382" s="64"/>
      <c r="BM382" s="64"/>
      <c r="BN382" s="64"/>
    </row>
    <row r="383" ht="30.0" customHeight="1">
      <c r="A383" s="64"/>
      <c r="B383" s="64"/>
      <c r="C383" s="66"/>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75"/>
      <c r="BB383" s="64"/>
      <c r="BC383" s="64"/>
      <c r="BD383" s="66"/>
      <c r="BE383" s="64"/>
      <c r="BF383" s="64"/>
      <c r="BG383" s="64"/>
      <c r="BH383" s="64"/>
      <c r="BI383" s="64"/>
      <c r="BJ383" s="64"/>
      <c r="BK383" s="64"/>
      <c r="BL383" s="64"/>
      <c r="BM383" s="64"/>
      <c r="BN383" s="64"/>
    </row>
    <row r="384" ht="30.0" customHeight="1">
      <c r="A384" s="64"/>
      <c r="B384" s="64"/>
      <c r="C384" s="66"/>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75"/>
      <c r="BB384" s="64"/>
      <c r="BC384" s="64"/>
      <c r="BD384" s="66"/>
      <c r="BE384" s="64"/>
      <c r="BF384" s="64"/>
      <c r="BG384" s="64"/>
      <c r="BH384" s="64"/>
      <c r="BI384" s="64"/>
      <c r="BJ384" s="64"/>
      <c r="BK384" s="64"/>
      <c r="BL384" s="64"/>
      <c r="BM384" s="64"/>
      <c r="BN384" s="64"/>
    </row>
    <row r="385" ht="30.0" customHeight="1">
      <c r="A385" s="64"/>
      <c r="B385" s="64"/>
      <c r="C385" s="66"/>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75"/>
      <c r="BB385" s="64"/>
      <c r="BC385" s="64"/>
      <c r="BD385" s="66"/>
      <c r="BE385" s="64"/>
      <c r="BF385" s="64"/>
      <c r="BG385" s="64"/>
      <c r="BH385" s="64"/>
      <c r="BI385" s="64"/>
      <c r="BJ385" s="64"/>
      <c r="BK385" s="64"/>
      <c r="BL385" s="64"/>
      <c r="BM385" s="64"/>
      <c r="BN385" s="64"/>
    </row>
    <row r="386" ht="30.0" customHeight="1">
      <c r="A386" s="64"/>
      <c r="B386" s="64"/>
      <c r="C386" s="66"/>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75"/>
      <c r="BB386" s="64"/>
      <c r="BC386" s="64"/>
      <c r="BD386" s="66"/>
      <c r="BE386" s="64"/>
      <c r="BF386" s="64"/>
      <c r="BG386" s="64"/>
      <c r="BH386" s="64"/>
      <c r="BI386" s="64"/>
      <c r="BJ386" s="64"/>
      <c r="BK386" s="64"/>
      <c r="BL386" s="64"/>
      <c r="BM386" s="64"/>
      <c r="BN386" s="64"/>
    </row>
    <row r="387" ht="30.0" customHeight="1">
      <c r="A387" s="64"/>
      <c r="B387" s="64"/>
      <c r="C387" s="66"/>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75"/>
      <c r="BB387" s="64"/>
      <c r="BC387" s="64"/>
      <c r="BD387" s="66"/>
      <c r="BE387" s="64"/>
      <c r="BF387" s="64"/>
      <c r="BG387" s="64"/>
      <c r="BH387" s="64"/>
      <c r="BI387" s="64"/>
      <c r="BJ387" s="64"/>
      <c r="BK387" s="64"/>
      <c r="BL387" s="64"/>
      <c r="BM387" s="64"/>
      <c r="BN387" s="64"/>
    </row>
    <row r="388" ht="30.0" customHeight="1">
      <c r="A388" s="64"/>
      <c r="B388" s="64"/>
      <c r="C388" s="66"/>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75"/>
      <c r="BB388" s="64"/>
      <c r="BC388" s="64"/>
      <c r="BD388" s="66"/>
      <c r="BE388" s="64"/>
      <c r="BF388" s="64"/>
      <c r="BG388" s="64"/>
      <c r="BH388" s="64"/>
      <c r="BI388" s="64"/>
      <c r="BJ388" s="64"/>
      <c r="BK388" s="64"/>
      <c r="BL388" s="64"/>
      <c r="BM388" s="64"/>
      <c r="BN388" s="64"/>
    </row>
    <row r="389" ht="30.0" customHeight="1">
      <c r="A389" s="64"/>
      <c r="B389" s="64"/>
      <c r="C389" s="66"/>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75"/>
      <c r="BB389" s="64"/>
      <c r="BC389" s="64"/>
      <c r="BD389" s="66"/>
      <c r="BE389" s="64"/>
      <c r="BF389" s="64"/>
      <c r="BG389" s="64"/>
      <c r="BH389" s="64"/>
      <c r="BI389" s="64"/>
      <c r="BJ389" s="64"/>
      <c r="BK389" s="64"/>
      <c r="BL389" s="64"/>
      <c r="BM389" s="64"/>
      <c r="BN389" s="64"/>
    </row>
    <row r="390" ht="30.0" customHeight="1">
      <c r="A390" s="64"/>
      <c r="B390" s="64"/>
      <c r="C390" s="66"/>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75"/>
      <c r="BB390" s="64"/>
      <c r="BC390" s="64"/>
      <c r="BD390" s="66"/>
      <c r="BE390" s="64"/>
      <c r="BF390" s="64"/>
      <c r="BG390" s="64"/>
      <c r="BH390" s="64"/>
      <c r="BI390" s="64"/>
      <c r="BJ390" s="64"/>
      <c r="BK390" s="64"/>
      <c r="BL390" s="64"/>
      <c r="BM390" s="64"/>
      <c r="BN390" s="64"/>
    </row>
    <row r="391" ht="30.0" customHeight="1">
      <c r="A391" s="64"/>
      <c r="B391" s="64"/>
      <c r="C391" s="66"/>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75"/>
      <c r="BB391" s="64"/>
      <c r="BC391" s="64"/>
      <c r="BD391" s="66"/>
      <c r="BE391" s="64"/>
      <c r="BF391" s="64"/>
      <c r="BG391" s="64"/>
      <c r="BH391" s="64"/>
      <c r="BI391" s="64"/>
      <c r="BJ391" s="64"/>
      <c r="BK391" s="64"/>
      <c r="BL391" s="64"/>
      <c r="BM391" s="64"/>
      <c r="BN391" s="64"/>
    </row>
    <row r="392" ht="30.0" customHeight="1">
      <c r="A392" s="64"/>
      <c r="B392" s="64"/>
      <c r="C392" s="66"/>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75"/>
      <c r="BB392" s="64"/>
      <c r="BC392" s="64"/>
      <c r="BD392" s="66"/>
      <c r="BE392" s="64"/>
      <c r="BF392" s="64"/>
      <c r="BG392" s="64"/>
      <c r="BH392" s="64"/>
      <c r="BI392" s="64"/>
      <c r="BJ392" s="64"/>
      <c r="BK392" s="64"/>
      <c r="BL392" s="64"/>
      <c r="BM392" s="64"/>
      <c r="BN392" s="64"/>
    </row>
    <row r="393" ht="30.0" customHeight="1">
      <c r="A393" s="64"/>
      <c r="B393" s="64"/>
      <c r="C393" s="66"/>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75"/>
      <c r="BB393" s="64"/>
      <c r="BC393" s="64"/>
      <c r="BD393" s="66"/>
      <c r="BE393" s="64"/>
      <c r="BF393" s="64"/>
      <c r="BG393" s="64"/>
      <c r="BH393" s="64"/>
      <c r="BI393" s="64"/>
      <c r="BJ393" s="64"/>
      <c r="BK393" s="64"/>
      <c r="BL393" s="64"/>
      <c r="BM393" s="64"/>
      <c r="BN393" s="64"/>
    </row>
    <row r="394" ht="30.0" customHeight="1">
      <c r="A394" s="64"/>
      <c r="B394" s="64"/>
      <c r="C394" s="66"/>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75"/>
      <c r="BB394" s="64"/>
      <c r="BC394" s="64"/>
      <c r="BD394" s="66"/>
      <c r="BE394" s="64"/>
      <c r="BF394" s="64"/>
      <c r="BG394" s="64"/>
      <c r="BH394" s="64"/>
      <c r="BI394" s="64"/>
      <c r="BJ394" s="64"/>
      <c r="BK394" s="64"/>
      <c r="BL394" s="64"/>
      <c r="BM394" s="64"/>
      <c r="BN394" s="64"/>
    </row>
    <row r="395" ht="30.0" customHeight="1">
      <c r="A395" s="64"/>
      <c r="B395" s="64"/>
      <c r="C395" s="66"/>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75"/>
      <c r="BB395" s="64"/>
      <c r="BC395" s="64"/>
      <c r="BD395" s="66"/>
      <c r="BE395" s="64"/>
      <c r="BF395" s="64"/>
      <c r="BG395" s="64"/>
      <c r="BH395" s="64"/>
      <c r="BI395" s="64"/>
      <c r="BJ395" s="64"/>
      <c r="BK395" s="64"/>
      <c r="BL395" s="64"/>
      <c r="BM395" s="64"/>
      <c r="BN395" s="64"/>
    </row>
    <row r="396" ht="30.0" customHeight="1">
      <c r="A396" s="64"/>
      <c r="B396" s="64"/>
      <c r="C396" s="66"/>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75"/>
      <c r="BB396" s="64"/>
      <c r="BC396" s="64"/>
      <c r="BD396" s="66"/>
      <c r="BE396" s="64"/>
      <c r="BF396" s="64"/>
      <c r="BG396" s="64"/>
      <c r="BH396" s="64"/>
      <c r="BI396" s="64"/>
      <c r="BJ396" s="64"/>
      <c r="BK396" s="64"/>
      <c r="BL396" s="64"/>
      <c r="BM396" s="64"/>
      <c r="BN396" s="64"/>
    </row>
    <row r="397" ht="30.0" customHeight="1">
      <c r="A397" s="64"/>
      <c r="B397" s="64"/>
      <c r="C397" s="66"/>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75"/>
      <c r="BB397" s="64"/>
      <c r="BC397" s="64"/>
      <c r="BD397" s="66"/>
      <c r="BE397" s="64"/>
      <c r="BF397" s="64"/>
      <c r="BG397" s="64"/>
      <c r="BH397" s="64"/>
      <c r="BI397" s="64"/>
      <c r="BJ397" s="64"/>
      <c r="BK397" s="64"/>
      <c r="BL397" s="64"/>
      <c r="BM397" s="64"/>
      <c r="BN397" s="64"/>
    </row>
    <row r="398" ht="30.0" customHeight="1">
      <c r="A398" s="64"/>
      <c r="B398" s="64"/>
      <c r="C398" s="66"/>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75"/>
      <c r="BB398" s="64"/>
      <c r="BC398" s="64"/>
      <c r="BD398" s="66"/>
      <c r="BE398" s="64"/>
      <c r="BF398" s="64"/>
      <c r="BG398" s="64"/>
      <c r="BH398" s="64"/>
      <c r="BI398" s="64"/>
      <c r="BJ398" s="64"/>
      <c r="BK398" s="64"/>
      <c r="BL398" s="64"/>
      <c r="BM398" s="64"/>
      <c r="BN398" s="64"/>
    </row>
    <row r="399" ht="30.0" customHeight="1">
      <c r="A399" s="64"/>
      <c r="B399" s="64"/>
      <c r="C399" s="66"/>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75"/>
      <c r="BB399" s="64"/>
      <c r="BC399" s="64"/>
      <c r="BD399" s="66"/>
      <c r="BE399" s="64"/>
      <c r="BF399" s="64"/>
      <c r="BG399" s="64"/>
      <c r="BH399" s="64"/>
      <c r="BI399" s="64"/>
      <c r="BJ399" s="64"/>
      <c r="BK399" s="64"/>
      <c r="BL399" s="64"/>
      <c r="BM399" s="64"/>
      <c r="BN399" s="64"/>
    </row>
    <row r="400" ht="30.0" customHeight="1">
      <c r="A400" s="64"/>
      <c r="B400" s="64"/>
      <c r="C400" s="66"/>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75"/>
      <c r="BB400" s="64"/>
      <c r="BC400" s="64"/>
      <c r="BD400" s="66"/>
      <c r="BE400" s="64"/>
      <c r="BF400" s="64"/>
      <c r="BG400" s="64"/>
      <c r="BH400" s="64"/>
      <c r="BI400" s="64"/>
      <c r="BJ400" s="64"/>
      <c r="BK400" s="64"/>
      <c r="BL400" s="64"/>
      <c r="BM400" s="64"/>
      <c r="BN400" s="64"/>
    </row>
    <row r="401" ht="30.0" customHeight="1">
      <c r="A401" s="64"/>
      <c r="B401" s="64"/>
      <c r="C401" s="66"/>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75"/>
      <c r="BB401" s="64"/>
      <c r="BC401" s="64"/>
      <c r="BD401" s="66"/>
      <c r="BE401" s="64"/>
      <c r="BF401" s="64"/>
      <c r="BG401" s="64"/>
      <c r="BH401" s="64"/>
      <c r="BI401" s="64"/>
      <c r="BJ401" s="64"/>
      <c r="BK401" s="64"/>
      <c r="BL401" s="64"/>
      <c r="BM401" s="64"/>
      <c r="BN401" s="64"/>
    </row>
    <row r="402" ht="30.0" customHeight="1">
      <c r="A402" s="64"/>
      <c r="B402" s="64"/>
      <c r="C402" s="66"/>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75"/>
      <c r="BB402" s="64"/>
      <c r="BC402" s="64"/>
      <c r="BD402" s="66"/>
      <c r="BE402" s="64"/>
      <c r="BF402" s="64"/>
      <c r="BG402" s="64"/>
      <c r="BH402" s="64"/>
      <c r="BI402" s="64"/>
      <c r="BJ402" s="64"/>
      <c r="BK402" s="64"/>
      <c r="BL402" s="64"/>
      <c r="BM402" s="64"/>
      <c r="BN402" s="64"/>
    </row>
    <row r="403" ht="30.0" customHeight="1">
      <c r="A403" s="64"/>
      <c r="B403" s="64"/>
      <c r="C403" s="66"/>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75"/>
      <c r="BB403" s="64"/>
      <c r="BC403" s="64"/>
      <c r="BD403" s="66"/>
      <c r="BE403" s="64"/>
      <c r="BF403" s="64"/>
      <c r="BG403" s="64"/>
      <c r="BH403" s="64"/>
      <c r="BI403" s="64"/>
      <c r="BJ403" s="64"/>
      <c r="BK403" s="64"/>
      <c r="BL403" s="64"/>
      <c r="BM403" s="64"/>
      <c r="BN403" s="64"/>
    </row>
    <row r="404" ht="30.0" customHeight="1">
      <c r="A404" s="64"/>
      <c r="B404" s="64"/>
      <c r="C404" s="66"/>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75"/>
      <c r="BB404" s="64"/>
      <c r="BC404" s="64"/>
      <c r="BD404" s="66"/>
      <c r="BE404" s="64"/>
      <c r="BF404" s="64"/>
      <c r="BG404" s="64"/>
      <c r="BH404" s="64"/>
      <c r="BI404" s="64"/>
      <c r="BJ404" s="64"/>
      <c r="BK404" s="64"/>
      <c r="BL404" s="64"/>
      <c r="BM404" s="64"/>
      <c r="BN404" s="64"/>
    </row>
    <row r="405" ht="30.0" customHeight="1">
      <c r="A405" s="64"/>
      <c r="B405" s="64"/>
      <c r="C405" s="66"/>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75"/>
      <c r="BB405" s="64"/>
      <c r="BC405" s="64"/>
      <c r="BD405" s="66"/>
      <c r="BE405" s="64"/>
      <c r="BF405" s="64"/>
      <c r="BG405" s="64"/>
      <c r="BH405" s="64"/>
      <c r="BI405" s="64"/>
      <c r="BJ405" s="64"/>
      <c r="BK405" s="64"/>
      <c r="BL405" s="64"/>
      <c r="BM405" s="64"/>
      <c r="BN405" s="64"/>
    </row>
    <row r="406" ht="30.0" customHeight="1">
      <c r="A406" s="64"/>
      <c r="B406" s="64"/>
      <c r="C406" s="66"/>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75"/>
      <c r="BB406" s="64"/>
      <c r="BC406" s="64"/>
      <c r="BD406" s="66"/>
      <c r="BE406" s="64"/>
      <c r="BF406" s="64"/>
      <c r="BG406" s="64"/>
      <c r="BH406" s="64"/>
      <c r="BI406" s="64"/>
      <c r="BJ406" s="64"/>
      <c r="BK406" s="64"/>
      <c r="BL406" s="64"/>
      <c r="BM406" s="64"/>
      <c r="BN406" s="64"/>
    </row>
    <row r="407" ht="30.0" customHeight="1">
      <c r="A407" s="64"/>
      <c r="B407" s="64"/>
      <c r="C407" s="66"/>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75"/>
      <c r="BB407" s="64"/>
      <c r="BC407" s="64"/>
      <c r="BD407" s="66"/>
      <c r="BE407" s="64"/>
      <c r="BF407" s="64"/>
      <c r="BG407" s="64"/>
      <c r="BH407" s="64"/>
      <c r="BI407" s="64"/>
      <c r="BJ407" s="64"/>
      <c r="BK407" s="64"/>
      <c r="BL407" s="64"/>
      <c r="BM407" s="64"/>
      <c r="BN407" s="64"/>
    </row>
    <row r="408" ht="30.0" customHeight="1">
      <c r="A408" s="64"/>
      <c r="B408" s="64"/>
      <c r="C408" s="66"/>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75"/>
      <c r="BB408" s="64"/>
      <c r="BC408" s="64"/>
      <c r="BD408" s="66"/>
      <c r="BE408" s="64"/>
      <c r="BF408" s="64"/>
      <c r="BG408" s="64"/>
      <c r="BH408" s="64"/>
      <c r="BI408" s="64"/>
      <c r="BJ408" s="64"/>
      <c r="BK408" s="64"/>
      <c r="BL408" s="64"/>
      <c r="BM408" s="64"/>
      <c r="BN408" s="64"/>
    </row>
    <row r="409" ht="30.0" customHeight="1">
      <c r="A409" s="64"/>
      <c r="B409" s="64"/>
      <c r="C409" s="66"/>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75"/>
      <c r="BB409" s="64"/>
      <c r="BC409" s="64"/>
      <c r="BD409" s="66"/>
      <c r="BE409" s="64"/>
      <c r="BF409" s="64"/>
      <c r="BG409" s="64"/>
      <c r="BH409" s="64"/>
      <c r="BI409" s="64"/>
      <c r="BJ409" s="64"/>
      <c r="BK409" s="64"/>
      <c r="BL409" s="64"/>
      <c r="BM409" s="64"/>
      <c r="BN409" s="64"/>
    </row>
    <row r="410" ht="30.0" customHeight="1">
      <c r="A410" s="64"/>
      <c r="B410" s="64"/>
      <c r="C410" s="66"/>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75"/>
      <c r="BB410" s="64"/>
      <c r="BC410" s="64"/>
      <c r="BD410" s="66"/>
      <c r="BE410" s="64"/>
      <c r="BF410" s="64"/>
      <c r="BG410" s="64"/>
      <c r="BH410" s="64"/>
      <c r="BI410" s="64"/>
      <c r="BJ410" s="64"/>
      <c r="BK410" s="64"/>
      <c r="BL410" s="64"/>
      <c r="BM410" s="64"/>
      <c r="BN410" s="64"/>
    </row>
    <row r="411" ht="30.0" customHeight="1">
      <c r="A411" s="64"/>
      <c r="B411" s="64"/>
      <c r="C411" s="66"/>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75"/>
      <c r="BB411" s="64"/>
      <c r="BC411" s="64"/>
      <c r="BD411" s="66"/>
      <c r="BE411" s="64"/>
      <c r="BF411" s="64"/>
      <c r="BG411" s="64"/>
      <c r="BH411" s="64"/>
      <c r="BI411" s="64"/>
      <c r="BJ411" s="64"/>
      <c r="BK411" s="64"/>
      <c r="BL411" s="64"/>
      <c r="BM411" s="64"/>
      <c r="BN411" s="64"/>
    </row>
    <row r="412" ht="30.0" customHeight="1">
      <c r="A412" s="64"/>
      <c r="B412" s="64"/>
      <c r="C412" s="66"/>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75"/>
      <c r="BB412" s="64"/>
      <c r="BC412" s="64"/>
      <c r="BD412" s="66"/>
      <c r="BE412" s="64"/>
      <c r="BF412" s="64"/>
      <c r="BG412" s="64"/>
      <c r="BH412" s="64"/>
      <c r="BI412" s="64"/>
      <c r="BJ412" s="64"/>
      <c r="BK412" s="64"/>
      <c r="BL412" s="64"/>
      <c r="BM412" s="64"/>
      <c r="BN412" s="64"/>
    </row>
    <row r="413" ht="30.0" customHeight="1">
      <c r="A413" s="64"/>
      <c r="B413" s="64"/>
      <c r="C413" s="66"/>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75"/>
      <c r="BB413" s="64"/>
      <c r="BC413" s="64"/>
      <c r="BD413" s="66"/>
      <c r="BE413" s="64"/>
      <c r="BF413" s="64"/>
      <c r="BG413" s="64"/>
      <c r="BH413" s="64"/>
      <c r="BI413" s="64"/>
      <c r="BJ413" s="64"/>
      <c r="BK413" s="64"/>
      <c r="BL413" s="64"/>
      <c r="BM413" s="64"/>
      <c r="BN413" s="64"/>
    </row>
    <row r="414" ht="30.0" customHeight="1">
      <c r="A414" s="64"/>
      <c r="B414" s="64"/>
      <c r="C414" s="66"/>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75"/>
      <c r="BB414" s="64"/>
      <c r="BC414" s="64"/>
      <c r="BD414" s="66"/>
      <c r="BE414" s="64"/>
      <c r="BF414" s="64"/>
      <c r="BG414" s="64"/>
      <c r="BH414" s="64"/>
      <c r="BI414" s="64"/>
      <c r="BJ414" s="64"/>
      <c r="BK414" s="64"/>
      <c r="BL414" s="64"/>
      <c r="BM414" s="64"/>
      <c r="BN414" s="64"/>
    </row>
    <row r="415" ht="30.0" customHeight="1">
      <c r="A415" s="64"/>
      <c r="B415" s="64"/>
      <c r="C415" s="66"/>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75"/>
      <c r="BB415" s="64"/>
      <c r="BC415" s="64"/>
      <c r="BD415" s="66"/>
      <c r="BE415" s="64"/>
      <c r="BF415" s="64"/>
      <c r="BG415" s="64"/>
      <c r="BH415" s="64"/>
      <c r="BI415" s="64"/>
      <c r="BJ415" s="64"/>
      <c r="BK415" s="64"/>
      <c r="BL415" s="64"/>
      <c r="BM415" s="64"/>
      <c r="BN415" s="64"/>
    </row>
    <row r="416" ht="30.0" customHeight="1">
      <c r="A416" s="64"/>
      <c r="B416" s="64"/>
      <c r="C416" s="66"/>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75"/>
      <c r="BB416" s="64"/>
      <c r="BC416" s="64"/>
      <c r="BD416" s="66"/>
      <c r="BE416" s="64"/>
      <c r="BF416" s="64"/>
      <c r="BG416" s="64"/>
      <c r="BH416" s="64"/>
      <c r="BI416" s="64"/>
      <c r="BJ416" s="64"/>
      <c r="BK416" s="64"/>
      <c r="BL416" s="64"/>
      <c r="BM416" s="64"/>
      <c r="BN416" s="64"/>
    </row>
    <row r="417" ht="30.0" customHeight="1">
      <c r="A417" s="64"/>
      <c r="B417" s="64"/>
      <c r="C417" s="66"/>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75"/>
      <c r="BB417" s="64"/>
      <c r="BC417" s="64"/>
      <c r="BD417" s="66"/>
      <c r="BE417" s="64"/>
      <c r="BF417" s="64"/>
      <c r="BG417" s="64"/>
      <c r="BH417" s="64"/>
      <c r="BI417" s="64"/>
      <c r="BJ417" s="64"/>
      <c r="BK417" s="64"/>
      <c r="BL417" s="64"/>
      <c r="BM417" s="64"/>
      <c r="BN417" s="64"/>
    </row>
    <row r="418" ht="30.0" customHeight="1">
      <c r="A418" s="64"/>
      <c r="B418" s="64"/>
      <c r="C418" s="66"/>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75"/>
      <c r="BB418" s="64"/>
      <c r="BC418" s="64"/>
      <c r="BD418" s="66"/>
      <c r="BE418" s="64"/>
      <c r="BF418" s="64"/>
      <c r="BG418" s="64"/>
      <c r="BH418" s="64"/>
      <c r="BI418" s="64"/>
      <c r="BJ418" s="64"/>
      <c r="BK418" s="64"/>
      <c r="BL418" s="64"/>
      <c r="BM418" s="64"/>
      <c r="BN418" s="64"/>
    </row>
    <row r="419" ht="30.0" customHeight="1">
      <c r="A419" s="64"/>
      <c r="B419" s="64"/>
      <c r="C419" s="66"/>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75"/>
      <c r="BB419" s="64"/>
      <c r="BC419" s="64"/>
      <c r="BD419" s="66"/>
      <c r="BE419" s="64"/>
      <c r="BF419" s="64"/>
      <c r="BG419" s="64"/>
      <c r="BH419" s="64"/>
      <c r="BI419" s="64"/>
      <c r="BJ419" s="64"/>
      <c r="BK419" s="64"/>
      <c r="BL419" s="64"/>
      <c r="BM419" s="64"/>
      <c r="BN419" s="64"/>
    </row>
    <row r="420" ht="30.0" customHeight="1">
      <c r="A420" s="64"/>
      <c r="B420" s="64"/>
      <c r="C420" s="66"/>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75"/>
      <c r="BB420" s="64"/>
      <c r="BC420" s="64"/>
      <c r="BD420" s="66"/>
      <c r="BE420" s="64"/>
      <c r="BF420" s="64"/>
      <c r="BG420" s="64"/>
      <c r="BH420" s="64"/>
      <c r="BI420" s="64"/>
      <c r="BJ420" s="64"/>
      <c r="BK420" s="64"/>
      <c r="BL420" s="64"/>
      <c r="BM420" s="64"/>
      <c r="BN420" s="64"/>
    </row>
    <row r="421" ht="30.0" customHeight="1">
      <c r="A421" s="64"/>
      <c r="B421" s="64"/>
      <c r="C421" s="66"/>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75"/>
      <c r="BB421" s="64"/>
      <c r="BC421" s="64"/>
      <c r="BD421" s="66"/>
      <c r="BE421" s="64"/>
      <c r="BF421" s="64"/>
      <c r="BG421" s="64"/>
      <c r="BH421" s="64"/>
      <c r="BI421" s="64"/>
      <c r="BJ421" s="64"/>
      <c r="BK421" s="64"/>
      <c r="BL421" s="64"/>
      <c r="BM421" s="64"/>
      <c r="BN421" s="64"/>
    </row>
    <row r="422" ht="30.0" customHeight="1">
      <c r="A422" s="64"/>
      <c r="B422" s="64"/>
      <c r="C422" s="66"/>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75"/>
      <c r="BB422" s="64"/>
      <c r="BC422" s="64"/>
      <c r="BD422" s="66"/>
      <c r="BE422" s="64"/>
      <c r="BF422" s="64"/>
      <c r="BG422" s="64"/>
      <c r="BH422" s="64"/>
      <c r="BI422" s="64"/>
      <c r="BJ422" s="64"/>
      <c r="BK422" s="64"/>
      <c r="BL422" s="64"/>
      <c r="BM422" s="64"/>
      <c r="BN422" s="64"/>
    </row>
    <row r="423" ht="30.0" customHeight="1">
      <c r="A423" s="64"/>
      <c r="B423" s="64"/>
      <c r="C423" s="66"/>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75"/>
      <c r="BB423" s="64"/>
      <c r="BC423" s="64"/>
      <c r="BD423" s="66"/>
      <c r="BE423" s="64"/>
      <c r="BF423" s="64"/>
      <c r="BG423" s="64"/>
      <c r="BH423" s="64"/>
      <c r="BI423" s="64"/>
      <c r="BJ423" s="64"/>
      <c r="BK423" s="64"/>
      <c r="BL423" s="64"/>
      <c r="BM423" s="64"/>
      <c r="BN423" s="64"/>
    </row>
    <row r="424" ht="30.0" customHeight="1">
      <c r="A424" s="64"/>
      <c r="B424" s="64"/>
      <c r="C424" s="66"/>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75"/>
      <c r="BB424" s="64"/>
      <c r="BC424" s="64"/>
      <c r="BD424" s="66"/>
      <c r="BE424" s="64"/>
      <c r="BF424" s="64"/>
      <c r="BG424" s="64"/>
      <c r="BH424" s="64"/>
      <c r="BI424" s="64"/>
      <c r="BJ424" s="64"/>
      <c r="BK424" s="64"/>
      <c r="BL424" s="64"/>
      <c r="BM424" s="64"/>
      <c r="BN424" s="64"/>
    </row>
    <row r="425" ht="30.0" customHeight="1">
      <c r="A425" s="64"/>
      <c r="B425" s="64"/>
      <c r="C425" s="66"/>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75"/>
      <c r="BB425" s="64"/>
      <c r="BC425" s="64"/>
      <c r="BD425" s="66"/>
      <c r="BE425" s="64"/>
      <c r="BF425" s="64"/>
      <c r="BG425" s="64"/>
      <c r="BH425" s="64"/>
      <c r="BI425" s="64"/>
      <c r="BJ425" s="64"/>
      <c r="BK425" s="64"/>
      <c r="BL425" s="64"/>
      <c r="BM425" s="64"/>
      <c r="BN425" s="64"/>
    </row>
    <row r="426" ht="30.0" customHeight="1">
      <c r="A426" s="64"/>
      <c r="B426" s="64"/>
      <c r="C426" s="66"/>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75"/>
      <c r="BB426" s="64"/>
      <c r="BC426" s="64"/>
      <c r="BD426" s="66"/>
      <c r="BE426" s="64"/>
      <c r="BF426" s="64"/>
      <c r="BG426" s="64"/>
      <c r="BH426" s="64"/>
      <c r="BI426" s="64"/>
      <c r="BJ426" s="64"/>
      <c r="BK426" s="64"/>
      <c r="BL426" s="64"/>
      <c r="BM426" s="64"/>
      <c r="BN426" s="64"/>
    </row>
    <row r="427" ht="30.0" customHeight="1">
      <c r="A427" s="64"/>
      <c r="B427" s="64"/>
      <c r="C427" s="66"/>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75"/>
      <c r="BB427" s="64"/>
      <c r="BC427" s="64"/>
      <c r="BD427" s="66"/>
      <c r="BE427" s="64"/>
      <c r="BF427" s="64"/>
      <c r="BG427" s="64"/>
      <c r="BH427" s="64"/>
      <c r="BI427" s="64"/>
      <c r="BJ427" s="64"/>
      <c r="BK427" s="64"/>
      <c r="BL427" s="64"/>
      <c r="BM427" s="64"/>
      <c r="BN427" s="64"/>
    </row>
    <row r="428" ht="30.0" customHeight="1">
      <c r="A428" s="64"/>
      <c r="B428" s="64"/>
      <c r="C428" s="66"/>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75"/>
      <c r="BB428" s="64"/>
      <c r="BC428" s="64"/>
      <c r="BD428" s="66"/>
      <c r="BE428" s="64"/>
      <c r="BF428" s="64"/>
      <c r="BG428" s="64"/>
      <c r="BH428" s="64"/>
      <c r="BI428" s="64"/>
      <c r="BJ428" s="64"/>
      <c r="BK428" s="64"/>
      <c r="BL428" s="64"/>
      <c r="BM428" s="64"/>
      <c r="BN428" s="64"/>
    </row>
    <row r="429" ht="30.0" customHeight="1">
      <c r="A429" s="64"/>
      <c r="B429" s="64"/>
      <c r="C429" s="66"/>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75"/>
      <c r="BB429" s="64"/>
      <c r="BC429" s="64"/>
      <c r="BD429" s="66"/>
      <c r="BE429" s="64"/>
      <c r="BF429" s="64"/>
      <c r="BG429" s="64"/>
      <c r="BH429" s="64"/>
      <c r="BI429" s="64"/>
      <c r="BJ429" s="64"/>
      <c r="BK429" s="64"/>
      <c r="BL429" s="64"/>
      <c r="BM429" s="64"/>
      <c r="BN429" s="64"/>
    </row>
    <row r="430" ht="30.0" customHeight="1">
      <c r="A430" s="64"/>
      <c r="B430" s="64"/>
      <c r="C430" s="66"/>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75"/>
      <c r="BB430" s="64"/>
      <c r="BC430" s="64"/>
      <c r="BD430" s="66"/>
      <c r="BE430" s="64"/>
      <c r="BF430" s="64"/>
      <c r="BG430" s="64"/>
      <c r="BH430" s="64"/>
      <c r="BI430" s="64"/>
      <c r="BJ430" s="64"/>
      <c r="BK430" s="64"/>
      <c r="BL430" s="64"/>
      <c r="BM430" s="64"/>
      <c r="BN430" s="64"/>
    </row>
    <row r="431" ht="30.0" customHeight="1">
      <c r="A431" s="64"/>
      <c r="B431" s="64"/>
      <c r="C431" s="66"/>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75"/>
      <c r="BB431" s="64"/>
      <c r="BC431" s="64"/>
      <c r="BD431" s="66"/>
      <c r="BE431" s="64"/>
      <c r="BF431" s="64"/>
      <c r="BG431" s="64"/>
      <c r="BH431" s="64"/>
      <c r="BI431" s="64"/>
      <c r="BJ431" s="64"/>
      <c r="BK431" s="64"/>
      <c r="BL431" s="64"/>
      <c r="BM431" s="64"/>
      <c r="BN431" s="64"/>
    </row>
    <row r="432" ht="30.0" customHeight="1">
      <c r="A432" s="64"/>
      <c r="B432" s="64"/>
      <c r="C432" s="66"/>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75"/>
      <c r="BB432" s="64"/>
      <c r="BC432" s="64"/>
      <c r="BD432" s="66"/>
      <c r="BE432" s="64"/>
      <c r="BF432" s="64"/>
      <c r="BG432" s="64"/>
      <c r="BH432" s="64"/>
      <c r="BI432" s="64"/>
      <c r="BJ432" s="64"/>
      <c r="BK432" s="64"/>
      <c r="BL432" s="64"/>
      <c r="BM432" s="64"/>
      <c r="BN432" s="64"/>
    </row>
    <row r="433" ht="30.0" customHeight="1">
      <c r="A433" s="64"/>
      <c r="B433" s="64"/>
      <c r="C433" s="66"/>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75"/>
      <c r="BB433" s="64"/>
      <c r="BC433" s="64"/>
      <c r="BD433" s="66"/>
      <c r="BE433" s="64"/>
      <c r="BF433" s="64"/>
      <c r="BG433" s="64"/>
      <c r="BH433" s="64"/>
      <c r="BI433" s="64"/>
      <c r="BJ433" s="64"/>
      <c r="BK433" s="64"/>
      <c r="BL433" s="64"/>
      <c r="BM433" s="64"/>
      <c r="BN433" s="64"/>
    </row>
    <row r="434" ht="30.0" customHeight="1">
      <c r="A434" s="64"/>
      <c r="B434" s="64"/>
      <c r="C434" s="66"/>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75"/>
      <c r="BB434" s="64"/>
      <c r="BC434" s="64"/>
      <c r="BD434" s="66"/>
      <c r="BE434" s="64"/>
      <c r="BF434" s="64"/>
      <c r="BG434" s="64"/>
      <c r="BH434" s="64"/>
      <c r="BI434" s="64"/>
      <c r="BJ434" s="64"/>
      <c r="BK434" s="64"/>
      <c r="BL434" s="64"/>
      <c r="BM434" s="64"/>
      <c r="BN434" s="64"/>
    </row>
    <row r="435" ht="30.0" customHeight="1">
      <c r="A435" s="64"/>
      <c r="B435" s="64"/>
      <c r="C435" s="66"/>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75"/>
      <c r="BB435" s="64"/>
      <c r="BC435" s="64"/>
      <c r="BD435" s="66"/>
      <c r="BE435" s="64"/>
      <c r="BF435" s="64"/>
      <c r="BG435" s="64"/>
      <c r="BH435" s="64"/>
      <c r="BI435" s="64"/>
      <c r="BJ435" s="64"/>
      <c r="BK435" s="64"/>
      <c r="BL435" s="64"/>
      <c r="BM435" s="64"/>
      <c r="BN435" s="64"/>
    </row>
    <row r="436" ht="30.0" customHeight="1">
      <c r="A436" s="64"/>
      <c r="B436" s="64"/>
      <c r="C436" s="66"/>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75"/>
      <c r="BB436" s="64"/>
      <c r="BC436" s="64"/>
      <c r="BD436" s="66"/>
      <c r="BE436" s="64"/>
      <c r="BF436" s="64"/>
      <c r="BG436" s="64"/>
      <c r="BH436" s="64"/>
      <c r="BI436" s="64"/>
      <c r="BJ436" s="64"/>
      <c r="BK436" s="64"/>
      <c r="BL436" s="64"/>
      <c r="BM436" s="64"/>
      <c r="BN436" s="64"/>
    </row>
    <row r="437" ht="30.0" customHeight="1">
      <c r="A437" s="64"/>
      <c r="B437" s="64"/>
      <c r="C437" s="66"/>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75"/>
      <c r="BB437" s="64"/>
      <c r="BC437" s="64"/>
      <c r="BD437" s="66"/>
      <c r="BE437" s="64"/>
      <c r="BF437" s="64"/>
      <c r="BG437" s="64"/>
      <c r="BH437" s="64"/>
      <c r="BI437" s="64"/>
      <c r="BJ437" s="64"/>
      <c r="BK437" s="64"/>
      <c r="BL437" s="64"/>
      <c r="BM437" s="64"/>
      <c r="BN437" s="64"/>
    </row>
    <row r="438" ht="30.0" customHeight="1">
      <c r="A438" s="64"/>
      <c r="B438" s="64"/>
      <c r="C438" s="66"/>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75"/>
      <c r="BB438" s="64"/>
      <c r="BC438" s="64"/>
      <c r="BD438" s="66"/>
      <c r="BE438" s="64"/>
      <c r="BF438" s="64"/>
      <c r="BG438" s="64"/>
      <c r="BH438" s="64"/>
      <c r="BI438" s="64"/>
      <c r="BJ438" s="64"/>
      <c r="BK438" s="64"/>
      <c r="BL438" s="64"/>
      <c r="BM438" s="64"/>
      <c r="BN438" s="64"/>
    </row>
    <row r="439" ht="30.0" customHeight="1">
      <c r="A439" s="64"/>
      <c r="B439" s="64"/>
      <c r="C439" s="66"/>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75"/>
      <c r="BB439" s="64"/>
      <c r="BC439" s="64"/>
      <c r="BD439" s="66"/>
      <c r="BE439" s="64"/>
      <c r="BF439" s="64"/>
      <c r="BG439" s="64"/>
      <c r="BH439" s="64"/>
      <c r="BI439" s="64"/>
      <c r="BJ439" s="64"/>
      <c r="BK439" s="64"/>
      <c r="BL439" s="64"/>
      <c r="BM439" s="64"/>
      <c r="BN439" s="64"/>
    </row>
    <row r="440" ht="30.0" customHeight="1">
      <c r="A440" s="64"/>
      <c r="B440" s="64"/>
      <c r="C440" s="66"/>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75"/>
      <c r="BB440" s="64"/>
      <c r="BC440" s="64"/>
      <c r="BD440" s="66"/>
      <c r="BE440" s="64"/>
      <c r="BF440" s="64"/>
      <c r="BG440" s="64"/>
      <c r="BH440" s="64"/>
      <c r="BI440" s="64"/>
      <c r="BJ440" s="64"/>
      <c r="BK440" s="64"/>
      <c r="BL440" s="64"/>
      <c r="BM440" s="64"/>
      <c r="BN440" s="64"/>
    </row>
    <row r="441" ht="30.0" customHeight="1">
      <c r="A441" s="64"/>
      <c r="B441" s="64"/>
      <c r="C441" s="66"/>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75"/>
      <c r="BB441" s="64"/>
      <c r="BC441" s="64"/>
      <c r="BD441" s="66"/>
      <c r="BE441" s="64"/>
      <c r="BF441" s="64"/>
      <c r="BG441" s="64"/>
      <c r="BH441" s="64"/>
      <c r="BI441" s="64"/>
      <c r="BJ441" s="64"/>
      <c r="BK441" s="64"/>
      <c r="BL441" s="64"/>
      <c r="BM441" s="64"/>
      <c r="BN441" s="64"/>
    </row>
    <row r="442" ht="30.0" customHeight="1">
      <c r="A442" s="64"/>
      <c r="B442" s="64"/>
      <c r="C442" s="66"/>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75"/>
      <c r="BB442" s="64"/>
      <c r="BC442" s="64"/>
      <c r="BD442" s="66"/>
      <c r="BE442" s="64"/>
      <c r="BF442" s="64"/>
      <c r="BG442" s="64"/>
      <c r="BH442" s="64"/>
      <c r="BI442" s="64"/>
      <c r="BJ442" s="64"/>
      <c r="BK442" s="64"/>
      <c r="BL442" s="64"/>
      <c r="BM442" s="64"/>
      <c r="BN442" s="64"/>
    </row>
    <row r="443" ht="30.0" customHeight="1">
      <c r="A443" s="64"/>
      <c r="B443" s="64"/>
      <c r="C443" s="66"/>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75"/>
      <c r="BB443" s="64"/>
      <c r="BC443" s="64"/>
      <c r="BD443" s="66"/>
      <c r="BE443" s="64"/>
      <c r="BF443" s="64"/>
      <c r="BG443" s="64"/>
      <c r="BH443" s="64"/>
      <c r="BI443" s="64"/>
      <c r="BJ443" s="64"/>
      <c r="BK443" s="64"/>
      <c r="BL443" s="64"/>
      <c r="BM443" s="64"/>
      <c r="BN443" s="64"/>
    </row>
    <row r="444" ht="30.0" customHeight="1">
      <c r="A444" s="64"/>
      <c r="B444" s="64"/>
      <c r="C444" s="66"/>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75"/>
      <c r="BB444" s="64"/>
      <c r="BC444" s="64"/>
      <c r="BD444" s="66"/>
      <c r="BE444" s="64"/>
      <c r="BF444" s="64"/>
      <c r="BG444" s="64"/>
      <c r="BH444" s="64"/>
      <c r="BI444" s="64"/>
      <c r="BJ444" s="64"/>
      <c r="BK444" s="64"/>
      <c r="BL444" s="64"/>
      <c r="BM444" s="64"/>
      <c r="BN444" s="64"/>
    </row>
    <row r="445" ht="30.0" customHeight="1">
      <c r="A445" s="64"/>
      <c r="B445" s="64"/>
      <c r="C445" s="66"/>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75"/>
      <c r="BB445" s="64"/>
      <c r="BC445" s="64"/>
      <c r="BD445" s="66"/>
      <c r="BE445" s="64"/>
      <c r="BF445" s="64"/>
      <c r="BG445" s="64"/>
      <c r="BH445" s="64"/>
      <c r="BI445" s="64"/>
      <c r="BJ445" s="64"/>
      <c r="BK445" s="64"/>
      <c r="BL445" s="64"/>
      <c r="BM445" s="64"/>
      <c r="BN445" s="64"/>
    </row>
    <row r="446" ht="30.0" customHeight="1">
      <c r="A446" s="64"/>
      <c r="B446" s="64"/>
      <c r="C446" s="66"/>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75"/>
      <c r="BB446" s="64"/>
      <c r="BC446" s="64"/>
      <c r="BD446" s="66"/>
      <c r="BE446" s="64"/>
      <c r="BF446" s="64"/>
      <c r="BG446" s="64"/>
      <c r="BH446" s="64"/>
      <c r="BI446" s="64"/>
      <c r="BJ446" s="64"/>
      <c r="BK446" s="64"/>
      <c r="BL446" s="64"/>
      <c r="BM446" s="64"/>
      <c r="BN446" s="64"/>
    </row>
    <row r="447" ht="30.0" customHeight="1">
      <c r="A447" s="64"/>
      <c r="B447" s="64"/>
      <c r="C447" s="66"/>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75"/>
      <c r="BB447" s="64"/>
      <c r="BC447" s="64"/>
      <c r="BD447" s="66"/>
      <c r="BE447" s="64"/>
      <c r="BF447" s="64"/>
      <c r="BG447" s="64"/>
      <c r="BH447" s="64"/>
      <c r="BI447" s="64"/>
      <c r="BJ447" s="64"/>
      <c r="BK447" s="64"/>
      <c r="BL447" s="64"/>
      <c r="BM447" s="64"/>
      <c r="BN447" s="64"/>
    </row>
    <row r="448" ht="30.0" customHeight="1">
      <c r="A448" s="64"/>
      <c r="B448" s="64"/>
      <c r="C448" s="66"/>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75"/>
      <c r="BB448" s="64"/>
      <c r="BC448" s="64"/>
      <c r="BD448" s="66"/>
      <c r="BE448" s="64"/>
      <c r="BF448" s="64"/>
      <c r="BG448" s="64"/>
      <c r="BH448" s="64"/>
      <c r="BI448" s="64"/>
      <c r="BJ448" s="64"/>
      <c r="BK448" s="64"/>
      <c r="BL448" s="64"/>
      <c r="BM448" s="64"/>
      <c r="BN448" s="64"/>
    </row>
    <row r="449" ht="30.0" customHeight="1">
      <c r="A449" s="64"/>
      <c r="B449" s="64"/>
      <c r="C449" s="66"/>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75"/>
      <c r="BB449" s="64"/>
      <c r="BC449" s="64"/>
      <c r="BD449" s="66"/>
      <c r="BE449" s="64"/>
      <c r="BF449" s="64"/>
      <c r="BG449" s="64"/>
      <c r="BH449" s="64"/>
      <c r="BI449" s="64"/>
      <c r="BJ449" s="64"/>
      <c r="BK449" s="64"/>
      <c r="BL449" s="64"/>
      <c r="BM449" s="64"/>
      <c r="BN449" s="64"/>
    </row>
    <row r="450" ht="30.0" customHeight="1">
      <c r="A450" s="64"/>
      <c r="B450" s="64"/>
      <c r="C450" s="66"/>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75"/>
      <c r="BB450" s="64"/>
      <c r="BC450" s="64"/>
      <c r="BD450" s="66"/>
      <c r="BE450" s="64"/>
      <c r="BF450" s="64"/>
      <c r="BG450" s="64"/>
      <c r="BH450" s="64"/>
      <c r="BI450" s="64"/>
      <c r="BJ450" s="64"/>
      <c r="BK450" s="64"/>
      <c r="BL450" s="64"/>
      <c r="BM450" s="64"/>
      <c r="BN450" s="64"/>
    </row>
    <row r="451" ht="30.0" customHeight="1">
      <c r="A451" s="64"/>
      <c r="B451" s="64"/>
      <c r="C451" s="66"/>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75"/>
      <c r="BB451" s="64"/>
      <c r="BC451" s="64"/>
      <c r="BD451" s="66"/>
      <c r="BE451" s="64"/>
      <c r="BF451" s="64"/>
      <c r="BG451" s="64"/>
      <c r="BH451" s="64"/>
      <c r="BI451" s="64"/>
      <c r="BJ451" s="64"/>
      <c r="BK451" s="64"/>
      <c r="BL451" s="64"/>
      <c r="BM451" s="64"/>
      <c r="BN451" s="64"/>
    </row>
    <row r="452" ht="30.0" customHeight="1">
      <c r="A452" s="64"/>
      <c r="B452" s="64"/>
      <c r="C452" s="66"/>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75"/>
      <c r="BB452" s="64"/>
      <c r="BC452" s="64"/>
      <c r="BD452" s="66"/>
      <c r="BE452" s="64"/>
      <c r="BF452" s="64"/>
      <c r="BG452" s="64"/>
      <c r="BH452" s="64"/>
      <c r="BI452" s="64"/>
      <c r="BJ452" s="64"/>
      <c r="BK452" s="64"/>
      <c r="BL452" s="64"/>
      <c r="BM452" s="64"/>
      <c r="BN452" s="64"/>
    </row>
    <row r="453" ht="30.0" customHeight="1">
      <c r="A453" s="64"/>
      <c r="B453" s="64"/>
      <c r="C453" s="66"/>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75"/>
      <c r="BB453" s="64"/>
      <c r="BC453" s="64"/>
      <c r="BD453" s="66"/>
      <c r="BE453" s="64"/>
      <c r="BF453" s="64"/>
      <c r="BG453" s="64"/>
      <c r="BH453" s="64"/>
      <c r="BI453" s="64"/>
      <c r="BJ453" s="64"/>
      <c r="BK453" s="64"/>
      <c r="BL453" s="64"/>
      <c r="BM453" s="64"/>
      <c r="BN453" s="64"/>
    </row>
    <row r="454" ht="30.0" customHeight="1">
      <c r="A454" s="64"/>
      <c r="B454" s="64"/>
      <c r="C454" s="66"/>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75"/>
      <c r="BB454" s="64"/>
      <c r="BC454" s="64"/>
      <c r="BD454" s="66"/>
      <c r="BE454" s="64"/>
      <c r="BF454" s="64"/>
      <c r="BG454" s="64"/>
      <c r="BH454" s="64"/>
      <c r="BI454" s="64"/>
      <c r="BJ454" s="64"/>
      <c r="BK454" s="64"/>
      <c r="BL454" s="64"/>
      <c r="BM454" s="64"/>
      <c r="BN454" s="64"/>
    </row>
    <row r="455" ht="30.0" customHeight="1">
      <c r="A455" s="64"/>
      <c r="B455" s="64"/>
      <c r="C455" s="66"/>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75"/>
      <c r="BB455" s="64"/>
      <c r="BC455" s="64"/>
      <c r="BD455" s="66"/>
      <c r="BE455" s="64"/>
      <c r="BF455" s="64"/>
      <c r="BG455" s="64"/>
      <c r="BH455" s="64"/>
      <c r="BI455" s="64"/>
      <c r="BJ455" s="64"/>
      <c r="BK455" s="64"/>
      <c r="BL455" s="64"/>
      <c r="BM455" s="64"/>
      <c r="BN455" s="64"/>
    </row>
    <row r="456" ht="30.0" customHeight="1">
      <c r="A456" s="64"/>
      <c r="B456" s="64"/>
      <c r="C456" s="66"/>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75"/>
      <c r="BB456" s="64"/>
      <c r="BC456" s="64"/>
      <c r="BD456" s="66"/>
      <c r="BE456" s="64"/>
      <c r="BF456" s="64"/>
      <c r="BG456" s="64"/>
      <c r="BH456" s="64"/>
      <c r="BI456" s="64"/>
      <c r="BJ456" s="64"/>
      <c r="BK456" s="64"/>
      <c r="BL456" s="64"/>
      <c r="BM456" s="64"/>
      <c r="BN456" s="64"/>
    </row>
    <row r="457" ht="30.0" customHeight="1">
      <c r="A457" s="64"/>
      <c r="B457" s="64"/>
      <c r="C457" s="66"/>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75"/>
      <c r="BB457" s="64"/>
      <c r="BC457" s="64"/>
      <c r="BD457" s="66"/>
      <c r="BE457" s="64"/>
      <c r="BF457" s="64"/>
      <c r="BG457" s="64"/>
      <c r="BH457" s="64"/>
      <c r="BI457" s="64"/>
      <c r="BJ457" s="64"/>
      <c r="BK457" s="64"/>
      <c r="BL457" s="64"/>
      <c r="BM457" s="64"/>
      <c r="BN457" s="64"/>
    </row>
    <row r="458" ht="30.0" customHeight="1">
      <c r="A458" s="64"/>
      <c r="B458" s="64"/>
      <c r="C458" s="66"/>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75"/>
      <c r="BB458" s="64"/>
      <c r="BC458" s="64"/>
      <c r="BD458" s="66"/>
      <c r="BE458" s="64"/>
      <c r="BF458" s="64"/>
      <c r="BG458" s="64"/>
      <c r="BH458" s="64"/>
      <c r="BI458" s="64"/>
      <c r="BJ458" s="64"/>
      <c r="BK458" s="64"/>
      <c r="BL458" s="64"/>
      <c r="BM458" s="64"/>
      <c r="BN458" s="64"/>
    </row>
    <row r="459" ht="30.0" customHeight="1">
      <c r="A459" s="64"/>
      <c r="B459" s="64"/>
      <c r="C459" s="66"/>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75"/>
      <c r="BB459" s="64"/>
      <c r="BC459" s="64"/>
      <c r="BD459" s="66"/>
      <c r="BE459" s="64"/>
      <c r="BF459" s="64"/>
      <c r="BG459" s="64"/>
      <c r="BH459" s="64"/>
      <c r="BI459" s="64"/>
      <c r="BJ459" s="64"/>
      <c r="BK459" s="64"/>
      <c r="BL459" s="64"/>
      <c r="BM459" s="64"/>
      <c r="BN459" s="64"/>
    </row>
    <row r="460" ht="30.0" customHeight="1">
      <c r="A460" s="64"/>
      <c r="B460" s="64"/>
      <c r="C460" s="66"/>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75"/>
      <c r="BB460" s="64"/>
      <c r="BC460" s="64"/>
      <c r="BD460" s="66"/>
      <c r="BE460" s="64"/>
      <c r="BF460" s="64"/>
      <c r="BG460" s="64"/>
      <c r="BH460" s="64"/>
      <c r="BI460" s="64"/>
      <c r="BJ460" s="64"/>
      <c r="BK460" s="64"/>
      <c r="BL460" s="64"/>
      <c r="BM460" s="64"/>
      <c r="BN460" s="64"/>
    </row>
    <row r="461" ht="30.0" customHeight="1">
      <c r="A461" s="64"/>
      <c r="B461" s="64"/>
      <c r="C461" s="66"/>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75"/>
      <c r="BB461" s="64"/>
      <c r="BC461" s="64"/>
      <c r="BD461" s="66"/>
      <c r="BE461" s="64"/>
      <c r="BF461" s="64"/>
      <c r="BG461" s="64"/>
      <c r="BH461" s="64"/>
      <c r="BI461" s="64"/>
      <c r="BJ461" s="64"/>
      <c r="BK461" s="64"/>
      <c r="BL461" s="64"/>
      <c r="BM461" s="64"/>
      <c r="BN461" s="64"/>
    </row>
    <row r="462" ht="30.0" customHeight="1">
      <c r="A462" s="64"/>
      <c r="B462" s="64"/>
      <c r="C462" s="66"/>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75"/>
      <c r="BB462" s="64"/>
      <c r="BC462" s="64"/>
      <c r="BD462" s="66"/>
      <c r="BE462" s="64"/>
      <c r="BF462" s="64"/>
      <c r="BG462" s="64"/>
      <c r="BH462" s="64"/>
      <c r="BI462" s="64"/>
      <c r="BJ462" s="64"/>
      <c r="BK462" s="64"/>
      <c r="BL462" s="64"/>
      <c r="BM462" s="64"/>
      <c r="BN462" s="64"/>
    </row>
    <row r="463" ht="30.0" customHeight="1">
      <c r="A463" s="64"/>
      <c r="B463" s="64"/>
      <c r="C463" s="66"/>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75"/>
      <c r="BB463" s="64"/>
      <c r="BC463" s="64"/>
      <c r="BD463" s="66"/>
      <c r="BE463" s="64"/>
      <c r="BF463" s="64"/>
      <c r="BG463" s="64"/>
      <c r="BH463" s="64"/>
      <c r="BI463" s="64"/>
      <c r="BJ463" s="64"/>
      <c r="BK463" s="64"/>
      <c r="BL463" s="64"/>
      <c r="BM463" s="64"/>
      <c r="BN463" s="64"/>
    </row>
    <row r="464" ht="30.0" customHeight="1">
      <c r="A464" s="64"/>
      <c r="B464" s="64"/>
      <c r="C464" s="66"/>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75"/>
      <c r="BB464" s="64"/>
      <c r="BC464" s="64"/>
      <c r="BD464" s="66"/>
      <c r="BE464" s="64"/>
      <c r="BF464" s="64"/>
      <c r="BG464" s="64"/>
      <c r="BH464" s="64"/>
      <c r="BI464" s="64"/>
      <c r="BJ464" s="64"/>
      <c r="BK464" s="64"/>
      <c r="BL464" s="64"/>
      <c r="BM464" s="64"/>
      <c r="BN464" s="64"/>
    </row>
    <row r="465" ht="30.0" customHeight="1">
      <c r="A465" s="64"/>
      <c r="B465" s="64"/>
      <c r="C465" s="66"/>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75"/>
      <c r="BB465" s="64"/>
      <c r="BC465" s="64"/>
      <c r="BD465" s="66"/>
      <c r="BE465" s="64"/>
      <c r="BF465" s="64"/>
      <c r="BG465" s="64"/>
      <c r="BH465" s="64"/>
      <c r="BI465" s="64"/>
      <c r="BJ465" s="64"/>
      <c r="BK465" s="64"/>
      <c r="BL465" s="64"/>
      <c r="BM465" s="64"/>
      <c r="BN465" s="64"/>
    </row>
    <row r="466" ht="30.0" customHeight="1">
      <c r="A466" s="64"/>
      <c r="B466" s="64"/>
      <c r="C466" s="66"/>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75"/>
      <c r="BB466" s="64"/>
      <c r="BC466" s="64"/>
      <c r="BD466" s="66"/>
      <c r="BE466" s="64"/>
      <c r="BF466" s="64"/>
      <c r="BG466" s="64"/>
      <c r="BH466" s="64"/>
      <c r="BI466" s="64"/>
      <c r="BJ466" s="64"/>
      <c r="BK466" s="64"/>
      <c r="BL466" s="64"/>
      <c r="BM466" s="64"/>
      <c r="BN466" s="64"/>
    </row>
    <row r="467" ht="30.0" customHeight="1">
      <c r="A467" s="64"/>
      <c r="B467" s="64"/>
      <c r="C467" s="66"/>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75"/>
      <c r="BB467" s="64"/>
      <c r="BC467" s="64"/>
      <c r="BD467" s="66"/>
      <c r="BE467" s="64"/>
      <c r="BF467" s="64"/>
      <c r="BG467" s="64"/>
      <c r="BH467" s="64"/>
      <c r="BI467" s="64"/>
      <c r="BJ467" s="64"/>
      <c r="BK467" s="64"/>
      <c r="BL467" s="64"/>
      <c r="BM467" s="64"/>
      <c r="BN467" s="64"/>
    </row>
    <row r="468" ht="30.0" customHeight="1">
      <c r="A468" s="64"/>
      <c r="B468" s="64"/>
      <c r="C468" s="66"/>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75"/>
      <c r="BB468" s="64"/>
      <c r="BC468" s="64"/>
      <c r="BD468" s="66"/>
      <c r="BE468" s="64"/>
      <c r="BF468" s="64"/>
      <c r="BG468" s="64"/>
      <c r="BH468" s="64"/>
      <c r="BI468" s="64"/>
      <c r="BJ468" s="64"/>
      <c r="BK468" s="64"/>
      <c r="BL468" s="64"/>
      <c r="BM468" s="64"/>
      <c r="BN468" s="64"/>
    </row>
    <row r="469" ht="30.0" customHeight="1">
      <c r="A469" s="64"/>
      <c r="B469" s="64"/>
      <c r="C469" s="66"/>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75"/>
      <c r="BB469" s="64"/>
      <c r="BC469" s="64"/>
      <c r="BD469" s="66"/>
      <c r="BE469" s="64"/>
      <c r="BF469" s="64"/>
      <c r="BG469" s="64"/>
      <c r="BH469" s="64"/>
      <c r="BI469" s="64"/>
      <c r="BJ469" s="64"/>
      <c r="BK469" s="64"/>
      <c r="BL469" s="64"/>
      <c r="BM469" s="64"/>
      <c r="BN469" s="64"/>
    </row>
    <row r="470" ht="30.0" customHeight="1">
      <c r="A470" s="64"/>
      <c r="B470" s="64"/>
      <c r="C470" s="66"/>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75"/>
      <c r="BB470" s="64"/>
      <c r="BC470" s="64"/>
      <c r="BD470" s="66"/>
      <c r="BE470" s="64"/>
      <c r="BF470" s="64"/>
      <c r="BG470" s="64"/>
      <c r="BH470" s="64"/>
      <c r="BI470" s="64"/>
      <c r="BJ470" s="64"/>
      <c r="BK470" s="64"/>
      <c r="BL470" s="64"/>
      <c r="BM470" s="64"/>
      <c r="BN470" s="64"/>
    </row>
    <row r="471" ht="30.0" customHeight="1">
      <c r="A471" s="64"/>
      <c r="B471" s="64"/>
      <c r="C471" s="66"/>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75"/>
      <c r="BB471" s="64"/>
      <c r="BC471" s="64"/>
      <c r="BD471" s="66"/>
      <c r="BE471" s="64"/>
      <c r="BF471" s="64"/>
      <c r="BG471" s="64"/>
      <c r="BH471" s="64"/>
      <c r="BI471" s="64"/>
      <c r="BJ471" s="64"/>
      <c r="BK471" s="64"/>
      <c r="BL471" s="64"/>
      <c r="BM471" s="64"/>
      <c r="BN471" s="64"/>
    </row>
    <row r="472" ht="30.0" customHeight="1">
      <c r="A472" s="64"/>
      <c r="B472" s="64"/>
      <c r="C472" s="66"/>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75"/>
      <c r="BB472" s="64"/>
      <c r="BC472" s="64"/>
      <c r="BD472" s="66"/>
      <c r="BE472" s="64"/>
      <c r="BF472" s="64"/>
      <c r="BG472" s="64"/>
      <c r="BH472" s="64"/>
      <c r="BI472" s="64"/>
      <c r="BJ472" s="64"/>
      <c r="BK472" s="64"/>
      <c r="BL472" s="64"/>
      <c r="BM472" s="64"/>
      <c r="BN472" s="64"/>
    </row>
    <row r="473" ht="30.0" customHeight="1">
      <c r="A473" s="64"/>
      <c r="B473" s="64"/>
      <c r="C473" s="66"/>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75"/>
      <c r="BB473" s="64"/>
      <c r="BC473" s="64"/>
      <c r="BD473" s="66"/>
      <c r="BE473" s="64"/>
      <c r="BF473" s="64"/>
      <c r="BG473" s="64"/>
      <c r="BH473" s="64"/>
      <c r="BI473" s="64"/>
      <c r="BJ473" s="64"/>
      <c r="BK473" s="64"/>
      <c r="BL473" s="64"/>
      <c r="BM473" s="64"/>
      <c r="BN473" s="64"/>
    </row>
    <row r="474" ht="30.0" customHeight="1">
      <c r="A474" s="64"/>
      <c r="B474" s="64"/>
      <c r="C474" s="66"/>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75"/>
      <c r="BB474" s="64"/>
      <c r="BC474" s="64"/>
      <c r="BD474" s="66"/>
      <c r="BE474" s="64"/>
      <c r="BF474" s="64"/>
      <c r="BG474" s="64"/>
      <c r="BH474" s="64"/>
      <c r="BI474" s="64"/>
      <c r="BJ474" s="64"/>
      <c r="BK474" s="64"/>
      <c r="BL474" s="64"/>
      <c r="BM474" s="64"/>
      <c r="BN474" s="64"/>
    </row>
    <row r="475" ht="30.0" customHeight="1">
      <c r="A475" s="64"/>
      <c r="B475" s="64"/>
      <c r="C475" s="66"/>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75"/>
      <c r="BB475" s="64"/>
      <c r="BC475" s="64"/>
      <c r="BD475" s="66"/>
      <c r="BE475" s="64"/>
      <c r="BF475" s="64"/>
      <c r="BG475" s="64"/>
      <c r="BH475" s="64"/>
      <c r="BI475" s="64"/>
      <c r="BJ475" s="64"/>
      <c r="BK475" s="64"/>
      <c r="BL475" s="64"/>
      <c r="BM475" s="64"/>
      <c r="BN475" s="64"/>
    </row>
    <row r="476" ht="30.0" customHeight="1">
      <c r="A476" s="64"/>
      <c r="B476" s="64"/>
      <c r="C476" s="66"/>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75"/>
      <c r="BB476" s="64"/>
      <c r="BC476" s="64"/>
      <c r="BD476" s="66"/>
      <c r="BE476" s="64"/>
      <c r="BF476" s="64"/>
      <c r="BG476" s="64"/>
      <c r="BH476" s="64"/>
      <c r="BI476" s="64"/>
      <c r="BJ476" s="64"/>
      <c r="BK476" s="64"/>
      <c r="BL476" s="64"/>
      <c r="BM476" s="64"/>
      <c r="BN476" s="64"/>
    </row>
    <row r="477" ht="30.0" customHeight="1">
      <c r="A477" s="64"/>
      <c r="B477" s="64"/>
      <c r="C477" s="66"/>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75"/>
      <c r="BB477" s="64"/>
      <c r="BC477" s="64"/>
      <c r="BD477" s="66"/>
      <c r="BE477" s="64"/>
      <c r="BF477" s="64"/>
      <c r="BG477" s="64"/>
      <c r="BH477" s="64"/>
      <c r="BI477" s="64"/>
      <c r="BJ477" s="64"/>
      <c r="BK477" s="64"/>
      <c r="BL477" s="64"/>
      <c r="BM477" s="64"/>
      <c r="BN477" s="64"/>
    </row>
    <row r="478" ht="30.0" customHeight="1">
      <c r="A478" s="64"/>
      <c r="B478" s="64"/>
      <c r="C478" s="66"/>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75"/>
      <c r="BB478" s="64"/>
      <c r="BC478" s="64"/>
      <c r="BD478" s="66"/>
      <c r="BE478" s="64"/>
      <c r="BF478" s="64"/>
      <c r="BG478" s="64"/>
      <c r="BH478" s="64"/>
      <c r="BI478" s="64"/>
      <c r="BJ478" s="64"/>
      <c r="BK478" s="64"/>
      <c r="BL478" s="64"/>
      <c r="BM478" s="64"/>
      <c r="BN478" s="64"/>
    </row>
    <row r="479" ht="30.0" customHeight="1">
      <c r="A479" s="64"/>
      <c r="B479" s="64"/>
      <c r="C479" s="66"/>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75"/>
      <c r="BB479" s="64"/>
      <c r="BC479" s="64"/>
      <c r="BD479" s="66"/>
      <c r="BE479" s="64"/>
      <c r="BF479" s="64"/>
      <c r="BG479" s="64"/>
      <c r="BH479" s="64"/>
      <c r="BI479" s="64"/>
      <c r="BJ479" s="64"/>
      <c r="BK479" s="64"/>
      <c r="BL479" s="64"/>
      <c r="BM479" s="64"/>
      <c r="BN479" s="64"/>
    </row>
    <row r="480" ht="30.0" customHeight="1">
      <c r="A480" s="64"/>
      <c r="B480" s="64"/>
      <c r="C480" s="66"/>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75"/>
      <c r="BB480" s="64"/>
      <c r="BC480" s="64"/>
      <c r="BD480" s="66"/>
      <c r="BE480" s="64"/>
      <c r="BF480" s="64"/>
      <c r="BG480" s="64"/>
      <c r="BH480" s="64"/>
      <c r="BI480" s="64"/>
      <c r="BJ480" s="64"/>
      <c r="BK480" s="64"/>
      <c r="BL480" s="64"/>
      <c r="BM480" s="64"/>
      <c r="BN480" s="64"/>
    </row>
    <row r="481" ht="30.0" customHeight="1">
      <c r="A481" s="64"/>
      <c r="B481" s="64"/>
      <c r="C481" s="66"/>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75"/>
      <c r="BB481" s="64"/>
      <c r="BC481" s="64"/>
      <c r="BD481" s="66"/>
      <c r="BE481" s="64"/>
      <c r="BF481" s="64"/>
      <c r="BG481" s="64"/>
      <c r="BH481" s="64"/>
      <c r="BI481" s="64"/>
      <c r="BJ481" s="64"/>
      <c r="BK481" s="64"/>
      <c r="BL481" s="64"/>
      <c r="BM481" s="64"/>
      <c r="BN481" s="64"/>
    </row>
    <row r="482" ht="30.0" customHeight="1">
      <c r="A482" s="64"/>
      <c r="B482" s="64"/>
      <c r="C482" s="66"/>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75"/>
      <c r="BB482" s="64"/>
      <c r="BC482" s="64"/>
      <c r="BD482" s="66"/>
      <c r="BE482" s="64"/>
      <c r="BF482" s="64"/>
      <c r="BG482" s="64"/>
      <c r="BH482" s="64"/>
      <c r="BI482" s="64"/>
      <c r="BJ482" s="64"/>
      <c r="BK482" s="64"/>
      <c r="BL482" s="64"/>
      <c r="BM482" s="64"/>
      <c r="BN482" s="64"/>
    </row>
    <row r="483" ht="30.0" customHeight="1">
      <c r="A483" s="64"/>
      <c r="B483" s="64"/>
      <c r="C483" s="66"/>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75"/>
      <c r="BB483" s="64"/>
      <c r="BC483" s="64"/>
      <c r="BD483" s="66"/>
      <c r="BE483" s="64"/>
      <c r="BF483" s="64"/>
      <c r="BG483" s="64"/>
      <c r="BH483" s="64"/>
      <c r="BI483" s="64"/>
      <c r="BJ483" s="64"/>
      <c r="BK483" s="64"/>
      <c r="BL483" s="64"/>
      <c r="BM483" s="64"/>
      <c r="BN483" s="64"/>
    </row>
    <row r="484" ht="30.0" customHeight="1">
      <c r="A484" s="64"/>
      <c r="B484" s="64"/>
      <c r="C484" s="66"/>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75"/>
      <c r="BB484" s="64"/>
      <c r="BC484" s="64"/>
      <c r="BD484" s="66"/>
      <c r="BE484" s="64"/>
      <c r="BF484" s="64"/>
      <c r="BG484" s="64"/>
      <c r="BH484" s="64"/>
      <c r="BI484" s="64"/>
      <c r="BJ484" s="64"/>
      <c r="BK484" s="64"/>
      <c r="BL484" s="64"/>
      <c r="BM484" s="64"/>
      <c r="BN484" s="64"/>
    </row>
    <row r="485" ht="30.0" customHeight="1">
      <c r="A485" s="64"/>
      <c r="B485" s="64"/>
      <c r="C485" s="66"/>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75"/>
      <c r="BB485" s="64"/>
      <c r="BC485" s="64"/>
      <c r="BD485" s="66"/>
      <c r="BE485" s="64"/>
      <c r="BF485" s="64"/>
      <c r="BG485" s="64"/>
      <c r="BH485" s="64"/>
      <c r="BI485" s="64"/>
      <c r="BJ485" s="64"/>
      <c r="BK485" s="64"/>
      <c r="BL485" s="64"/>
      <c r="BM485" s="64"/>
      <c r="BN485" s="64"/>
    </row>
    <row r="486" ht="30.0" customHeight="1">
      <c r="A486" s="64"/>
      <c r="B486" s="64"/>
      <c r="C486" s="66"/>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75"/>
      <c r="BB486" s="64"/>
      <c r="BC486" s="64"/>
      <c r="BD486" s="66"/>
      <c r="BE486" s="64"/>
      <c r="BF486" s="64"/>
      <c r="BG486" s="64"/>
      <c r="BH486" s="64"/>
      <c r="BI486" s="64"/>
      <c r="BJ486" s="64"/>
      <c r="BK486" s="64"/>
      <c r="BL486" s="64"/>
      <c r="BM486" s="64"/>
      <c r="BN486" s="64"/>
    </row>
    <row r="487" ht="30.0" customHeight="1">
      <c r="A487" s="64"/>
      <c r="B487" s="64"/>
      <c r="C487" s="66"/>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75"/>
      <c r="BB487" s="64"/>
      <c r="BC487" s="64"/>
      <c r="BD487" s="66"/>
      <c r="BE487" s="64"/>
      <c r="BF487" s="64"/>
      <c r="BG487" s="64"/>
      <c r="BH487" s="64"/>
      <c r="BI487" s="64"/>
      <c r="BJ487" s="64"/>
      <c r="BK487" s="64"/>
      <c r="BL487" s="64"/>
      <c r="BM487" s="64"/>
      <c r="BN487" s="64"/>
    </row>
    <row r="488" ht="30.0" customHeight="1">
      <c r="A488" s="64"/>
      <c r="B488" s="64"/>
      <c r="C488" s="66"/>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75"/>
      <c r="BB488" s="64"/>
      <c r="BC488" s="64"/>
      <c r="BD488" s="66"/>
      <c r="BE488" s="64"/>
      <c r="BF488" s="64"/>
      <c r="BG488" s="64"/>
      <c r="BH488" s="64"/>
      <c r="BI488" s="64"/>
      <c r="BJ488" s="64"/>
      <c r="BK488" s="64"/>
      <c r="BL488" s="64"/>
      <c r="BM488" s="64"/>
      <c r="BN488" s="64"/>
    </row>
    <row r="489" ht="30.0" customHeight="1">
      <c r="A489" s="64"/>
      <c r="B489" s="64"/>
      <c r="C489" s="66"/>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75"/>
      <c r="BB489" s="64"/>
      <c r="BC489" s="64"/>
      <c r="BD489" s="66"/>
      <c r="BE489" s="64"/>
      <c r="BF489" s="64"/>
      <c r="BG489" s="64"/>
      <c r="BH489" s="64"/>
      <c r="BI489" s="64"/>
      <c r="BJ489" s="64"/>
      <c r="BK489" s="64"/>
      <c r="BL489" s="64"/>
      <c r="BM489" s="64"/>
      <c r="BN489" s="64"/>
    </row>
    <row r="490" ht="30.0" customHeight="1">
      <c r="A490" s="64"/>
      <c r="B490" s="64"/>
      <c r="C490" s="66"/>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75"/>
      <c r="BB490" s="64"/>
      <c r="BC490" s="64"/>
      <c r="BD490" s="66"/>
      <c r="BE490" s="64"/>
      <c r="BF490" s="64"/>
      <c r="BG490" s="64"/>
      <c r="BH490" s="64"/>
      <c r="BI490" s="64"/>
      <c r="BJ490" s="64"/>
      <c r="BK490" s="64"/>
      <c r="BL490" s="64"/>
      <c r="BM490" s="64"/>
      <c r="BN490" s="64"/>
    </row>
    <row r="491" ht="30.0" customHeight="1">
      <c r="A491" s="64"/>
      <c r="B491" s="64"/>
      <c r="C491" s="66"/>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75"/>
      <c r="BB491" s="64"/>
      <c r="BC491" s="64"/>
      <c r="BD491" s="66"/>
      <c r="BE491" s="64"/>
      <c r="BF491" s="64"/>
      <c r="BG491" s="64"/>
      <c r="BH491" s="64"/>
      <c r="BI491" s="64"/>
      <c r="BJ491" s="64"/>
      <c r="BK491" s="64"/>
      <c r="BL491" s="64"/>
      <c r="BM491" s="64"/>
      <c r="BN491" s="64"/>
    </row>
    <row r="492" ht="30.0" customHeight="1">
      <c r="A492" s="64"/>
      <c r="B492" s="64"/>
      <c r="C492" s="66"/>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75"/>
      <c r="BB492" s="64"/>
      <c r="BC492" s="64"/>
      <c r="BD492" s="66"/>
      <c r="BE492" s="64"/>
      <c r="BF492" s="64"/>
      <c r="BG492" s="64"/>
      <c r="BH492" s="64"/>
      <c r="BI492" s="64"/>
      <c r="BJ492" s="64"/>
      <c r="BK492" s="64"/>
      <c r="BL492" s="64"/>
      <c r="BM492" s="64"/>
      <c r="BN492" s="64"/>
    </row>
    <row r="493" ht="30.0" customHeight="1">
      <c r="A493" s="64"/>
      <c r="B493" s="64"/>
      <c r="C493" s="66"/>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75"/>
      <c r="BB493" s="64"/>
      <c r="BC493" s="64"/>
      <c r="BD493" s="66"/>
      <c r="BE493" s="64"/>
      <c r="BF493" s="64"/>
      <c r="BG493" s="64"/>
      <c r="BH493" s="64"/>
      <c r="BI493" s="64"/>
      <c r="BJ493" s="64"/>
      <c r="BK493" s="64"/>
      <c r="BL493" s="64"/>
      <c r="BM493" s="64"/>
      <c r="BN493" s="64"/>
    </row>
    <row r="494" ht="30.0" customHeight="1">
      <c r="A494" s="64"/>
      <c r="B494" s="64"/>
      <c r="C494" s="66"/>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75"/>
      <c r="BB494" s="64"/>
      <c r="BC494" s="64"/>
      <c r="BD494" s="66"/>
      <c r="BE494" s="64"/>
      <c r="BF494" s="64"/>
      <c r="BG494" s="64"/>
      <c r="BH494" s="64"/>
      <c r="BI494" s="64"/>
      <c r="BJ494" s="64"/>
      <c r="BK494" s="64"/>
      <c r="BL494" s="64"/>
      <c r="BM494" s="64"/>
      <c r="BN494" s="64"/>
    </row>
    <row r="495" ht="30.0" customHeight="1">
      <c r="A495" s="64"/>
      <c r="B495" s="64"/>
      <c r="C495" s="66"/>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75"/>
      <c r="BB495" s="64"/>
      <c r="BC495" s="64"/>
      <c r="BD495" s="66"/>
      <c r="BE495" s="64"/>
      <c r="BF495" s="64"/>
      <c r="BG495" s="64"/>
      <c r="BH495" s="64"/>
      <c r="BI495" s="64"/>
      <c r="BJ495" s="64"/>
      <c r="BK495" s="64"/>
      <c r="BL495" s="64"/>
      <c r="BM495" s="64"/>
      <c r="BN495" s="64"/>
    </row>
    <row r="496" ht="30.0" customHeight="1">
      <c r="A496" s="64"/>
      <c r="B496" s="64"/>
      <c r="C496" s="66"/>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75"/>
      <c r="BB496" s="64"/>
      <c r="BC496" s="64"/>
      <c r="BD496" s="66"/>
      <c r="BE496" s="64"/>
      <c r="BF496" s="64"/>
      <c r="BG496" s="64"/>
      <c r="BH496" s="64"/>
      <c r="BI496" s="64"/>
      <c r="BJ496" s="64"/>
      <c r="BK496" s="64"/>
      <c r="BL496" s="64"/>
      <c r="BM496" s="64"/>
      <c r="BN496" s="64"/>
    </row>
    <row r="497" ht="30.0" customHeight="1">
      <c r="A497" s="64"/>
      <c r="B497" s="64"/>
      <c r="C497" s="66"/>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75"/>
      <c r="BB497" s="64"/>
      <c r="BC497" s="64"/>
      <c r="BD497" s="66"/>
      <c r="BE497" s="64"/>
      <c r="BF497" s="64"/>
      <c r="BG497" s="64"/>
      <c r="BH497" s="64"/>
      <c r="BI497" s="64"/>
      <c r="BJ497" s="64"/>
      <c r="BK497" s="64"/>
      <c r="BL497" s="64"/>
      <c r="BM497" s="64"/>
      <c r="BN497" s="64"/>
    </row>
    <row r="498" ht="30.0" customHeight="1">
      <c r="A498" s="64"/>
      <c r="B498" s="64"/>
      <c r="C498" s="66"/>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75"/>
      <c r="BB498" s="64"/>
      <c r="BC498" s="64"/>
      <c r="BD498" s="66"/>
      <c r="BE498" s="64"/>
      <c r="BF498" s="64"/>
      <c r="BG498" s="64"/>
      <c r="BH498" s="64"/>
      <c r="BI498" s="64"/>
      <c r="BJ498" s="64"/>
      <c r="BK498" s="64"/>
      <c r="BL498" s="64"/>
      <c r="BM498" s="64"/>
      <c r="BN498" s="64"/>
    </row>
    <row r="499" ht="30.0" customHeight="1">
      <c r="A499" s="64"/>
      <c r="B499" s="64"/>
      <c r="C499" s="66"/>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75"/>
      <c r="BB499" s="64"/>
      <c r="BC499" s="64"/>
      <c r="BD499" s="66"/>
      <c r="BE499" s="64"/>
      <c r="BF499" s="64"/>
      <c r="BG499" s="64"/>
      <c r="BH499" s="64"/>
      <c r="BI499" s="64"/>
      <c r="BJ499" s="64"/>
      <c r="BK499" s="64"/>
      <c r="BL499" s="64"/>
      <c r="BM499" s="64"/>
      <c r="BN499" s="64"/>
    </row>
    <row r="500" ht="30.0" customHeight="1">
      <c r="A500" s="64"/>
      <c r="B500" s="64"/>
      <c r="C500" s="66"/>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75"/>
      <c r="BB500" s="64"/>
      <c r="BC500" s="64"/>
      <c r="BD500" s="66"/>
      <c r="BE500" s="64"/>
      <c r="BF500" s="64"/>
      <c r="BG500" s="64"/>
      <c r="BH500" s="64"/>
      <c r="BI500" s="64"/>
      <c r="BJ500" s="64"/>
      <c r="BK500" s="64"/>
      <c r="BL500" s="64"/>
      <c r="BM500" s="64"/>
      <c r="BN500" s="64"/>
    </row>
    <row r="501" ht="30.0" customHeight="1">
      <c r="A501" s="64"/>
      <c r="B501" s="64"/>
      <c r="C501" s="66"/>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75"/>
      <c r="BB501" s="64"/>
      <c r="BC501" s="64"/>
      <c r="BD501" s="66"/>
      <c r="BE501" s="64"/>
      <c r="BF501" s="64"/>
      <c r="BG501" s="64"/>
      <c r="BH501" s="64"/>
      <c r="BI501" s="64"/>
      <c r="BJ501" s="64"/>
      <c r="BK501" s="64"/>
      <c r="BL501" s="64"/>
      <c r="BM501" s="64"/>
      <c r="BN501" s="64"/>
    </row>
    <row r="502" ht="30.0" customHeight="1">
      <c r="A502" s="64"/>
      <c r="B502" s="64"/>
      <c r="C502" s="66"/>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75"/>
      <c r="BB502" s="64"/>
      <c r="BC502" s="64"/>
      <c r="BD502" s="66"/>
      <c r="BE502" s="64"/>
      <c r="BF502" s="64"/>
      <c r="BG502" s="64"/>
      <c r="BH502" s="64"/>
      <c r="BI502" s="64"/>
      <c r="BJ502" s="64"/>
      <c r="BK502" s="64"/>
      <c r="BL502" s="64"/>
      <c r="BM502" s="64"/>
      <c r="BN502" s="64"/>
    </row>
    <row r="503" ht="30.0" customHeight="1">
      <c r="A503" s="64"/>
      <c r="B503" s="64"/>
      <c r="C503" s="66"/>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75"/>
      <c r="BB503" s="64"/>
      <c r="BC503" s="64"/>
      <c r="BD503" s="66"/>
      <c r="BE503" s="64"/>
      <c r="BF503" s="64"/>
      <c r="BG503" s="64"/>
      <c r="BH503" s="64"/>
      <c r="BI503" s="64"/>
      <c r="BJ503" s="64"/>
      <c r="BK503" s="64"/>
      <c r="BL503" s="64"/>
      <c r="BM503" s="64"/>
      <c r="BN503" s="64"/>
    </row>
    <row r="504" ht="30.0" customHeight="1">
      <c r="A504" s="64"/>
      <c r="B504" s="64"/>
      <c r="C504" s="66"/>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75"/>
      <c r="BB504" s="64"/>
      <c r="BC504" s="64"/>
      <c r="BD504" s="66"/>
      <c r="BE504" s="64"/>
      <c r="BF504" s="64"/>
      <c r="BG504" s="64"/>
      <c r="BH504" s="64"/>
      <c r="BI504" s="64"/>
      <c r="BJ504" s="64"/>
      <c r="BK504" s="64"/>
      <c r="BL504" s="64"/>
      <c r="BM504" s="64"/>
      <c r="BN504" s="64"/>
    </row>
    <row r="505" ht="30.0" customHeight="1">
      <c r="A505" s="64"/>
      <c r="B505" s="64"/>
      <c r="C505" s="66"/>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75"/>
      <c r="BB505" s="64"/>
      <c r="BC505" s="64"/>
      <c r="BD505" s="66"/>
      <c r="BE505" s="64"/>
      <c r="BF505" s="64"/>
      <c r="BG505" s="64"/>
      <c r="BH505" s="64"/>
      <c r="BI505" s="64"/>
      <c r="BJ505" s="64"/>
      <c r="BK505" s="64"/>
      <c r="BL505" s="64"/>
      <c r="BM505" s="64"/>
      <c r="BN505" s="64"/>
    </row>
    <row r="506" ht="30.0" customHeight="1">
      <c r="A506" s="64"/>
      <c r="B506" s="64"/>
      <c r="C506" s="66"/>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75"/>
      <c r="BB506" s="64"/>
      <c r="BC506" s="64"/>
      <c r="BD506" s="66"/>
      <c r="BE506" s="64"/>
      <c r="BF506" s="64"/>
      <c r="BG506" s="64"/>
      <c r="BH506" s="64"/>
      <c r="BI506" s="64"/>
      <c r="BJ506" s="64"/>
      <c r="BK506" s="64"/>
      <c r="BL506" s="64"/>
      <c r="BM506" s="64"/>
      <c r="BN506" s="64"/>
    </row>
    <row r="507" ht="30.0" customHeight="1">
      <c r="A507" s="64"/>
      <c r="B507" s="64"/>
      <c r="C507" s="66"/>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75"/>
      <c r="BB507" s="64"/>
      <c r="BC507" s="64"/>
      <c r="BD507" s="66"/>
      <c r="BE507" s="64"/>
      <c r="BF507" s="64"/>
      <c r="BG507" s="64"/>
      <c r="BH507" s="64"/>
      <c r="BI507" s="64"/>
      <c r="BJ507" s="64"/>
      <c r="BK507" s="64"/>
      <c r="BL507" s="64"/>
      <c r="BM507" s="64"/>
      <c r="BN507" s="64"/>
    </row>
    <row r="508" ht="30.0" customHeight="1">
      <c r="A508" s="64"/>
      <c r="B508" s="64"/>
      <c r="C508" s="66"/>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75"/>
      <c r="BB508" s="64"/>
      <c r="BC508" s="64"/>
      <c r="BD508" s="66"/>
      <c r="BE508" s="64"/>
      <c r="BF508" s="64"/>
      <c r="BG508" s="64"/>
      <c r="BH508" s="64"/>
      <c r="BI508" s="64"/>
      <c r="BJ508" s="64"/>
      <c r="BK508" s="64"/>
      <c r="BL508" s="64"/>
      <c r="BM508" s="64"/>
      <c r="BN508" s="64"/>
    </row>
    <row r="509" ht="30.0" customHeight="1">
      <c r="A509" s="64"/>
      <c r="B509" s="64"/>
      <c r="C509" s="66"/>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75"/>
      <c r="BB509" s="64"/>
      <c r="BC509" s="64"/>
      <c r="BD509" s="66"/>
      <c r="BE509" s="64"/>
      <c r="BF509" s="64"/>
      <c r="BG509" s="64"/>
      <c r="BH509" s="64"/>
      <c r="BI509" s="64"/>
      <c r="BJ509" s="64"/>
      <c r="BK509" s="64"/>
      <c r="BL509" s="64"/>
      <c r="BM509" s="64"/>
      <c r="BN509" s="64"/>
    </row>
    <row r="510" ht="30.0" customHeight="1">
      <c r="A510" s="64"/>
      <c r="B510" s="64"/>
      <c r="C510" s="66"/>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75"/>
      <c r="BB510" s="64"/>
      <c r="BC510" s="64"/>
      <c r="BD510" s="66"/>
      <c r="BE510" s="64"/>
      <c r="BF510" s="64"/>
      <c r="BG510" s="64"/>
      <c r="BH510" s="64"/>
      <c r="BI510" s="64"/>
      <c r="BJ510" s="64"/>
      <c r="BK510" s="64"/>
      <c r="BL510" s="64"/>
      <c r="BM510" s="64"/>
      <c r="BN510" s="64"/>
    </row>
    <row r="511" ht="30.0" customHeight="1">
      <c r="A511" s="64"/>
      <c r="B511" s="64"/>
      <c r="C511" s="66"/>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75"/>
      <c r="BB511" s="64"/>
      <c r="BC511" s="64"/>
      <c r="BD511" s="66"/>
      <c r="BE511" s="64"/>
      <c r="BF511" s="64"/>
      <c r="BG511" s="64"/>
      <c r="BH511" s="64"/>
      <c r="BI511" s="64"/>
      <c r="BJ511" s="64"/>
      <c r="BK511" s="64"/>
      <c r="BL511" s="64"/>
      <c r="BM511" s="64"/>
      <c r="BN511" s="64"/>
    </row>
    <row r="512" ht="30.0" customHeight="1">
      <c r="A512" s="64"/>
      <c r="B512" s="64"/>
      <c r="C512" s="66"/>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75"/>
      <c r="BB512" s="64"/>
      <c r="BC512" s="64"/>
      <c r="BD512" s="66"/>
      <c r="BE512" s="64"/>
      <c r="BF512" s="64"/>
      <c r="BG512" s="64"/>
      <c r="BH512" s="64"/>
      <c r="BI512" s="64"/>
      <c r="BJ512" s="64"/>
      <c r="BK512" s="64"/>
      <c r="BL512" s="64"/>
      <c r="BM512" s="64"/>
      <c r="BN512" s="64"/>
    </row>
    <row r="513" ht="30.0" customHeight="1">
      <c r="A513" s="64"/>
      <c r="B513" s="64"/>
      <c r="C513" s="66"/>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75"/>
      <c r="BB513" s="64"/>
      <c r="BC513" s="64"/>
      <c r="BD513" s="66"/>
      <c r="BE513" s="64"/>
      <c r="BF513" s="64"/>
      <c r="BG513" s="64"/>
      <c r="BH513" s="64"/>
      <c r="BI513" s="64"/>
      <c r="BJ513" s="64"/>
      <c r="BK513" s="64"/>
      <c r="BL513" s="64"/>
      <c r="BM513" s="64"/>
      <c r="BN513" s="64"/>
    </row>
    <row r="514" ht="30.0" customHeight="1">
      <c r="A514" s="64"/>
      <c r="B514" s="64"/>
      <c r="C514" s="66"/>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75"/>
      <c r="BB514" s="64"/>
      <c r="BC514" s="64"/>
      <c r="BD514" s="66"/>
      <c r="BE514" s="64"/>
      <c r="BF514" s="64"/>
      <c r="BG514" s="64"/>
      <c r="BH514" s="64"/>
      <c r="BI514" s="64"/>
      <c r="BJ514" s="64"/>
      <c r="BK514" s="64"/>
      <c r="BL514" s="64"/>
      <c r="BM514" s="64"/>
      <c r="BN514" s="64"/>
    </row>
    <row r="515" ht="30.0" customHeight="1">
      <c r="A515" s="64"/>
      <c r="B515" s="64"/>
      <c r="C515" s="66"/>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75"/>
      <c r="BB515" s="64"/>
      <c r="BC515" s="64"/>
      <c r="BD515" s="66"/>
      <c r="BE515" s="64"/>
      <c r="BF515" s="64"/>
      <c r="BG515" s="64"/>
      <c r="BH515" s="64"/>
      <c r="BI515" s="64"/>
      <c r="BJ515" s="64"/>
      <c r="BK515" s="64"/>
      <c r="BL515" s="64"/>
      <c r="BM515" s="64"/>
      <c r="BN515" s="64"/>
    </row>
    <row r="516" ht="30.0" customHeight="1">
      <c r="A516" s="64"/>
      <c r="B516" s="64"/>
      <c r="C516" s="66"/>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75"/>
      <c r="BB516" s="64"/>
      <c r="BC516" s="64"/>
      <c r="BD516" s="66"/>
      <c r="BE516" s="64"/>
      <c r="BF516" s="64"/>
      <c r="BG516" s="64"/>
      <c r="BH516" s="64"/>
      <c r="BI516" s="64"/>
      <c r="BJ516" s="64"/>
      <c r="BK516" s="64"/>
      <c r="BL516" s="64"/>
      <c r="BM516" s="64"/>
      <c r="BN516" s="64"/>
    </row>
    <row r="517" ht="30.0" customHeight="1">
      <c r="A517" s="64"/>
      <c r="B517" s="64"/>
      <c r="C517" s="66"/>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75"/>
      <c r="BB517" s="64"/>
      <c r="BC517" s="64"/>
      <c r="BD517" s="66"/>
      <c r="BE517" s="64"/>
      <c r="BF517" s="64"/>
      <c r="BG517" s="64"/>
      <c r="BH517" s="64"/>
      <c r="BI517" s="64"/>
      <c r="BJ517" s="64"/>
      <c r="BK517" s="64"/>
      <c r="BL517" s="64"/>
      <c r="BM517" s="64"/>
      <c r="BN517" s="64"/>
    </row>
    <row r="518" ht="30.0" customHeight="1">
      <c r="A518" s="64"/>
      <c r="B518" s="64"/>
      <c r="C518" s="66"/>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75"/>
      <c r="BB518" s="64"/>
      <c r="BC518" s="64"/>
      <c r="BD518" s="66"/>
      <c r="BE518" s="64"/>
      <c r="BF518" s="64"/>
      <c r="BG518" s="64"/>
      <c r="BH518" s="64"/>
      <c r="BI518" s="64"/>
      <c r="BJ518" s="64"/>
      <c r="BK518" s="64"/>
      <c r="BL518" s="64"/>
      <c r="BM518" s="64"/>
      <c r="BN518" s="64"/>
    </row>
    <row r="519" ht="30.0" customHeight="1">
      <c r="A519" s="64"/>
      <c r="B519" s="64"/>
      <c r="C519" s="66"/>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75"/>
      <c r="BB519" s="64"/>
      <c r="BC519" s="64"/>
      <c r="BD519" s="66"/>
      <c r="BE519" s="64"/>
      <c r="BF519" s="64"/>
      <c r="BG519" s="64"/>
      <c r="BH519" s="64"/>
      <c r="BI519" s="64"/>
      <c r="BJ519" s="64"/>
      <c r="BK519" s="64"/>
      <c r="BL519" s="64"/>
      <c r="BM519" s="64"/>
      <c r="BN519" s="64"/>
    </row>
    <row r="520" ht="30.0" customHeight="1">
      <c r="A520" s="64"/>
      <c r="B520" s="64"/>
      <c r="C520" s="66"/>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75"/>
      <c r="BB520" s="64"/>
      <c r="BC520" s="64"/>
      <c r="BD520" s="66"/>
      <c r="BE520" s="64"/>
      <c r="BF520" s="64"/>
      <c r="BG520" s="64"/>
      <c r="BH520" s="64"/>
      <c r="BI520" s="64"/>
      <c r="BJ520" s="64"/>
      <c r="BK520" s="64"/>
      <c r="BL520" s="64"/>
      <c r="BM520" s="64"/>
      <c r="BN520" s="64"/>
    </row>
    <row r="521" ht="30.0" customHeight="1">
      <c r="A521" s="64"/>
      <c r="B521" s="64"/>
      <c r="C521" s="66"/>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75"/>
      <c r="BB521" s="64"/>
      <c r="BC521" s="64"/>
      <c r="BD521" s="66"/>
      <c r="BE521" s="64"/>
      <c r="BF521" s="64"/>
      <c r="BG521" s="64"/>
      <c r="BH521" s="64"/>
      <c r="BI521" s="64"/>
      <c r="BJ521" s="64"/>
      <c r="BK521" s="64"/>
      <c r="BL521" s="64"/>
      <c r="BM521" s="64"/>
      <c r="BN521" s="64"/>
    </row>
    <row r="522" ht="30.0" customHeight="1">
      <c r="A522" s="64"/>
      <c r="B522" s="64"/>
      <c r="C522" s="66"/>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75"/>
      <c r="BB522" s="64"/>
      <c r="BC522" s="64"/>
      <c r="BD522" s="66"/>
      <c r="BE522" s="64"/>
      <c r="BF522" s="64"/>
      <c r="BG522" s="64"/>
      <c r="BH522" s="64"/>
      <c r="BI522" s="64"/>
      <c r="BJ522" s="64"/>
      <c r="BK522" s="64"/>
      <c r="BL522" s="64"/>
      <c r="BM522" s="64"/>
      <c r="BN522" s="64"/>
    </row>
    <row r="523" ht="30.0" customHeight="1">
      <c r="A523" s="64"/>
      <c r="B523" s="64"/>
      <c r="C523" s="66"/>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75"/>
      <c r="BB523" s="64"/>
      <c r="BC523" s="64"/>
      <c r="BD523" s="66"/>
      <c r="BE523" s="64"/>
      <c r="BF523" s="64"/>
      <c r="BG523" s="64"/>
      <c r="BH523" s="64"/>
      <c r="BI523" s="64"/>
      <c r="BJ523" s="64"/>
      <c r="BK523" s="64"/>
      <c r="BL523" s="64"/>
      <c r="BM523" s="64"/>
      <c r="BN523" s="64"/>
    </row>
    <row r="524" ht="30.0" customHeight="1">
      <c r="A524" s="64"/>
      <c r="B524" s="64"/>
      <c r="C524" s="66"/>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75"/>
      <c r="BB524" s="64"/>
      <c r="BC524" s="64"/>
      <c r="BD524" s="66"/>
      <c r="BE524" s="64"/>
      <c r="BF524" s="64"/>
      <c r="BG524" s="64"/>
      <c r="BH524" s="64"/>
      <c r="BI524" s="64"/>
      <c r="BJ524" s="64"/>
      <c r="BK524" s="64"/>
      <c r="BL524" s="64"/>
      <c r="BM524" s="64"/>
      <c r="BN524" s="64"/>
    </row>
    <row r="525" ht="30.0" customHeight="1">
      <c r="A525" s="64"/>
      <c r="B525" s="64"/>
      <c r="C525" s="66"/>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75"/>
      <c r="BB525" s="64"/>
      <c r="BC525" s="64"/>
      <c r="BD525" s="66"/>
      <c r="BE525" s="64"/>
      <c r="BF525" s="64"/>
      <c r="BG525" s="64"/>
      <c r="BH525" s="64"/>
      <c r="BI525" s="64"/>
      <c r="BJ525" s="64"/>
      <c r="BK525" s="64"/>
      <c r="BL525" s="64"/>
      <c r="BM525" s="64"/>
      <c r="BN525" s="64"/>
    </row>
    <row r="526" ht="30.0" customHeight="1">
      <c r="A526" s="64"/>
      <c r="B526" s="64"/>
      <c r="C526" s="66"/>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75"/>
      <c r="BB526" s="64"/>
      <c r="BC526" s="64"/>
      <c r="BD526" s="66"/>
      <c r="BE526" s="64"/>
      <c r="BF526" s="64"/>
      <c r="BG526" s="64"/>
      <c r="BH526" s="64"/>
      <c r="BI526" s="64"/>
      <c r="BJ526" s="64"/>
      <c r="BK526" s="64"/>
      <c r="BL526" s="64"/>
      <c r="BM526" s="64"/>
      <c r="BN526" s="64"/>
    </row>
    <row r="527" ht="30.0" customHeight="1">
      <c r="A527" s="64"/>
      <c r="B527" s="64"/>
      <c r="C527" s="66"/>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75"/>
      <c r="BB527" s="64"/>
      <c r="BC527" s="64"/>
      <c r="BD527" s="66"/>
      <c r="BE527" s="64"/>
      <c r="BF527" s="64"/>
      <c r="BG527" s="64"/>
      <c r="BH527" s="64"/>
      <c r="BI527" s="64"/>
      <c r="BJ527" s="64"/>
      <c r="BK527" s="64"/>
      <c r="BL527" s="64"/>
      <c r="BM527" s="64"/>
      <c r="BN527" s="64"/>
    </row>
    <row r="528" ht="30.0" customHeight="1">
      <c r="A528" s="64"/>
      <c r="B528" s="64"/>
      <c r="C528" s="66"/>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75"/>
      <c r="BB528" s="64"/>
      <c r="BC528" s="64"/>
      <c r="BD528" s="66"/>
      <c r="BE528" s="64"/>
      <c r="BF528" s="64"/>
      <c r="BG528" s="64"/>
      <c r="BH528" s="64"/>
      <c r="BI528" s="64"/>
      <c r="BJ528" s="64"/>
      <c r="BK528" s="64"/>
      <c r="BL528" s="64"/>
      <c r="BM528" s="64"/>
      <c r="BN528" s="64"/>
    </row>
    <row r="529" ht="30.0" customHeight="1">
      <c r="A529" s="64"/>
      <c r="B529" s="64"/>
      <c r="C529" s="66"/>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75"/>
      <c r="BB529" s="64"/>
      <c r="BC529" s="64"/>
      <c r="BD529" s="66"/>
      <c r="BE529" s="64"/>
      <c r="BF529" s="64"/>
      <c r="BG529" s="64"/>
      <c r="BH529" s="64"/>
      <c r="BI529" s="64"/>
      <c r="BJ529" s="64"/>
      <c r="BK529" s="64"/>
      <c r="BL529" s="64"/>
      <c r="BM529" s="64"/>
      <c r="BN529" s="64"/>
    </row>
    <row r="530" ht="30.0" customHeight="1">
      <c r="A530" s="64"/>
      <c r="B530" s="64"/>
      <c r="C530" s="66"/>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75"/>
      <c r="BB530" s="64"/>
      <c r="BC530" s="64"/>
      <c r="BD530" s="66"/>
      <c r="BE530" s="64"/>
      <c r="BF530" s="64"/>
      <c r="BG530" s="64"/>
      <c r="BH530" s="64"/>
      <c r="BI530" s="64"/>
      <c r="BJ530" s="64"/>
      <c r="BK530" s="64"/>
      <c r="BL530" s="64"/>
      <c r="BM530" s="64"/>
      <c r="BN530" s="64"/>
    </row>
    <row r="531" ht="30.0" customHeight="1">
      <c r="A531" s="64"/>
      <c r="B531" s="64"/>
      <c r="C531" s="66"/>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75"/>
      <c r="BB531" s="64"/>
      <c r="BC531" s="64"/>
      <c r="BD531" s="66"/>
      <c r="BE531" s="64"/>
      <c r="BF531" s="64"/>
      <c r="BG531" s="64"/>
      <c r="BH531" s="64"/>
      <c r="BI531" s="64"/>
      <c r="BJ531" s="64"/>
      <c r="BK531" s="64"/>
      <c r="BL531" s="64"/>
      <c r="BM531" s="64"/>
      <c r="BN531" s="64"/>
    </row>
    <row r="532" ht="30.0" customHeight="1">
      <c r="A532" s="64"/>
      <c r="B532" s="64"/>
      <c r="C532" s="66"/>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75"/>
      <c r="BB532" s="64"/>
      <c r="BC532" s="64"/>
      <c r="BD532" s="66"/>
      <c r="BE532" s="64"/>
      <c r="BF532" s="64"/>
      <c r="BG532" s="64"/>
      <c r="BH532" s="64"/>
      <c r="BI532" s="64"/>
      <c r="BJ532" s="64"/>
      <c r="BK532" s="64"/>
      <c r="BL532" s="64"/>
      <c r="BM532" s="64"/>
      <c r="BN532" s="64"/>
    </row>
    <row r="533" ht="30.0" customHeight="1">
      <c r="A533" s="64"/>
      <c r="B533" s="64"/>
      <c r="C533" s="66"/>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75"/>
      <c r="BB533" s="64"/>
      <c r="BC533" s="64"/>
      <c r="BD533" s="66"/>
      <c r="BE533" s="64"/>
      <c r="BF533" s="64"/>
      <c r="BG533" s="64"/>
      <c r="BH533" s="64"/>
      <c r="BI533" s="64"/>
      <c r="BJ533" s="64"/>
      <c r="BK533" s="64"/>
      <c r="BL533" s="64"/>
      <c r="BM533" s="64"/>
      <c r="BN533" s="64"/>
    </row>
    <row r="534" ht="30.0" customHeight="1">
      <c r="A534" s="64"/>
      <c r="B534" s="64"/>
      <c r="C534" s="66"/>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75"/>
      <c r="BB534" s="64"/>
      <c r="BC534" s="64"/>
      <c r="BD534" s="66"/>
      <c r="BE534" s="64"/>
      <c r="BF534" s="64"/>
      <c r="BG534" s="64"/>
      <c r="BH534" s="64"/>
      <c r="BI534" s="64"/>
      <c r="BJ534" s="64"/>
      <c r="BK534" s="64"/>
      <c r="BL534" s="64"/>
      <c r="BM534" s="64"/>
      <c r="BN534" s="64"/>
    </row>
    <row r="535" ht="30.0" customHeight="1">
      <c r="A535" s="64"/>
      <c r="B535" s="64"/>
      <c r="C535" s="66"/>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75"/>
      <c r="BB535" s="64"/>
      <c r="BC535" s="64"/>
      <c r="BD535" s="66"/>
      <c r="BE535" s="64"/>
      <c r="BF535" s="64"/>
      <c r="BG535" s="64"/>
      <c r="BH535" s="64"/>
      <c r="BI535" s="64"/>
      <c r="BJ535" s="64"/>
      <c r="BK535" s="64"/>
      <c r="BL535" s="64"/>
      <c r="BM535" s="64"/>
      <c r="BN535" s="64"/>
    </row>
    <row r="536" ht="30.0" customHeight="1">
      <c r="A536" s="64"/>
      <c r="B536" s="64"/>
      <c r="C536" s="66"/>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75"/>
      <c r="BB536" s="64"/>
      <c r="BC536" s="64"/>
      <c r="BD536" s="66"/>
      <c r="BE536" s="64"/>
      <c r="BF536" s="64"/>
      <c r="BG536" s="64"/>
      <c r="BH536" s="64"/>
      <c r="BI536" s="64"/>
      <c r="BJ536" s="64"/>
      <c r="BK536" s="64"/>
      <c r="BL536" s="64"/>
      <c r="BM536" s="64"/>
      <c r="BN536" s="64"/>
    </row>
    <row r="537" ht="30.0" customHeight="1">
      <c r="A537" s="64"/>
      <c r="B537" s="64"/>
      <c r="C537" s="66"/>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75"/>
      <c r="BB537" s="64"/>
      <c r="BC537" s="64"/>
      <c r="BD537" s="66"/>
      <c r="BE537" s="64"/>
      <c r="BF537" s="64"/>
      <c r="BG537" s="64"/>
      <c r="BH537" s="64"/>
      <c r="BI537" s="64"/>
      <c r="BJ537" s="64"/>
      <c r="BK537" s="64"/>
      <c r="BL537" s="64"/>
      <c r="BM537" s="64"/>
      <c r="BN537" s="64"/>
    </row>
    <row r="538" ht="30.0" customHeight="1">
      <c r="A538" s="64"/>
      <c r="B538" s="64"/>
      <c r="C538" s="66"/>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75"/>
      <c r="BB538" s="64"/>
      <c r="BC538" s="64"/>
      <c r="BD538" s="66"/>
      <c r="BE538" s="64"/>
      <c r="BF538" s="64"/>
      <c r="BG538" s="64"/>
      <c r="BH538" s="64"/>
      <c r="BI538" s="64"/>
      <c r="BJ538" s="64"/>
      <c r="BK538" s="64"/>
      <c r="BL538" s="64"/>
      <c r="BM538" s="64"/>
      <c r="BN538" s="64"/>
    </row>
    <row r="539" ht="30.0" customHeight="1">
      <c r="A539" s="64"/>
      <c r="B539" s="64"/>
      <c r="C539" s="66"/>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75"/>
      <c r="BB539" s="64"/>
      <c r="BC539" s="64"/>
      <c r="BD539" s="66"/>
      <c r="BE539" s="64"/>
      <c r="BF539" s="64"/>
      <c r="BG539" s="64"/>
      <c r="BH539" s="64"/>
      <c r="BI539" s="64"/>
      <c r="BJ539" s="64"/>
      <c r="BK539" s="64"/>
      <c r="BL539" s="64"/>
      <c r="BM539" s="64"/>
      <c r="BN539" s="64"/>
    </row>
    <row r="540" ht="30.0" customHeight="1">
      <c r="A540" s="64"/>
      <c r="B540" s="64"/>
      <c r="C540" s="66"/>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75"/>
      <c r="BB540" s="64"/>
      <c r="BC540" s="64"/>
      <c r="BD540" s="66"/>
      <c r="BE540" s="64"/>
      <c r="BF540" s="64"/>
      <c r="BG540" s="64"/>
      <c r="BH540" s="64"/>
      <c r="BI540" s="64"/>
      <c r="BJ540" s="64"/>
      <c r="BK540" s="64"/>
      <c r="BL540" s="64"/>
      <c r="BM540" s="64"/>
      <c r="BN540" s="64"/>
    </row>
    <row r="541" ht="30.0" customHeight="1">
      <c r="A541" s="64"/>
      <c r="B541" s="64"/>
      <c r="C541" s="66"/>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75"/>
      <c r="BB541" s="64"/>
      <c r="BC541" s="64"/>
      <c r="BD541" s="66"/>
      <c r="BE541" s="64"/>
      <c r="BF541" s="64"/>
      <c r="BG541" s="64"/>
      <c r="BH541" s="64"/>
      <c r="BI541" s="64"/>
      <c r="BJ541" s="64"/>
      <c r="BK541" s="64"/>
      <c r="BL541" s="64"/>
      <c r="BM541" s="64"/>
      <c r="BN541" s="64"/>
    </row>
    <row r="542" ht="30.0" customHeight="1">
      <c r="A542" s="64"/>
      <c r="B542" s="64"/>
      <c r="C542" s="66"/>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75"/>
      <c r="BB542" s="64"/>
      <c r="BC542" s="64"/>
      <c r="BD542" s="66"/>
      <c r="BE542" s="64"/>
      <c r="BF542" s="64"/>
      <c r="BG542" s="64"/>
      <c r="BH542" s="64"/>
      <c r="BI542" s="64"/>
      <c r="BJ542" s="64"/>
      <c r="BK542" s="64"/>
      <c r="BL542" s="64"/>
      <c r="BM542" s="64"/>
      <c r="BN542" s="64"/>
    </row>
    <row r="543" ht="30.0" customHeight="1">
      <c r="A543" s="64"/>
      <c r="B543" s="64"/>
      <c r="C543" s="66"/>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75"/>
      <c r="BB543" s="64"/>
      <c r="BC543" s="64"/>
      <c r="BD543" s="66"/>
      <c r="BE543" s="64"/>
      <c r="BF543" s="64"/>
      <c r="BG543" s="64"/>
      <c r="BH543" s="64"/>
      <c r="BI543" s="64"/>
      <c r="BJ543" s="64"/>
      <c r="BK543" s="64"/>
      <c r="BL543" s="64"/>
      <c r="BM543" s="64"/>
      <c r="BN543" s="64"/>
    </row>
    <row r="544" ht="30.0" customHeight="1">
      <c r="A544" s="64"/>
      <c r="B544" s="64"/>
      <c r="C544" s="66"/>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75"/>
      <c r="BB544" s="64"/>
      <c r="BC544" s="64"/>
      <c r="BD544" s="66"/>
      <c r="BE544" s="64"/>
      <c r="BF544" s="64"/>
      <c r="BG544" s="64"/>
      <c r="BH544" s="64"/>
      <c r="BI544" s="64"/>
      <c r="BJ544" s="64"/>
      <c r="BK544" s="64"/>
      <c r="BL544" s="64"/>
      <c r="BM544" s="64"/>
      <c r="BN544" s="64"/>
    </row>
    <row r="545" ht="30.0" customHeight="1">
      <c r="A545" s="64"/>
      <c r="B545" s="64"/>
      <c r="C545" s="66"/>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75"/>
      <c r="BB545" s="64"/>
      <c r="BC545" s="64"/>
      <c r="BD545" s="66"/>
      <c r="BE545" s="64"/>
      <c r="BF545" s="64"/>
      <c r="BG545" s="64"/>
      <c r="BH545" s="64"/>
      <c r="BI545" s="64"/>
      <c r="BJ545" s="64"/>
      <c r="BK545" s="64"/>
      <c r="BL545" s="64"/>
      <c r="BM545" s="64"/>
      <c r="BN545" s="64"/>
    </row>
    <row r="546" ht="30.0" customHeight="1">
      <c r="A546" s="64"/>
      <c r="B546" s="64"/>
      <c r="C546" s="66"/>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75"/>
      <c r="BB546" s="64"/>
      <c r="BC546" s="64"/>
      <c r="BD546" s="66"/>
      <c r="BE546" s="64"/>
      <c r="BF546" s="64"/>
      <c r="BG546" s="64"/>
      <c r="BH546" s="64"/>
      <c r="BI546" s="64"/>
      <c r="BJ546" s="64"/>
      <c r="BK546" s="64"/>
      <c r="BL546" s="64"/>
      <c r="BM546" s="64"/>
      <c r="BN546" s="64"/>
    </row>
    <row r="547" ht="30.0" customHeight="1">
      <c r="A547" s="64"/>
      <c r="B547" s="64"/>
      <c r="C547" s="66"/>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75"/>
      <c r="BB547" s="64"/>
      <c r="BC547" s="64"/>
      <c r="BD547" s="66"/>
      <c r="BE547" s="64"/>
      <c r="BF547" s="64"/>
      <c r="BG547" s="64"/>
      <c r="BH547" s="64"/>
      <c r="BI547" s="64"/>
      <c r="BJ547" s="64"/>
      <c r="BK547" s="64"/>
      <c r="BL547" s="64"/>
      <c r="BM547" s="64"/>
      <c r="BN547" s="64"/>
    </row>
    <row r="548" ht="30.0" customHeight="1">
      <c r="A548" s="64"/>
      <c r="B548" s="64"/>
      <c r="C548" s="66"/>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75"/>
      <c r="BB548" s="64"/>
      <c r="BC548" s="64"/>
      <c r="BD548" s="66"/>
      <c r="BE548" s="64"/>
      <c r="BF548" s="64"/>
      <c r="BG548" s="64"/>
      <c r="BH548" s="64"/>
      <c r="BI548" s="64"/>
      <c r="BJ548" s="64"/>
      <c r="BK548" s="64"/>
      <c r="BL548" s="64"/>
      <c r="BM548" s="64"/>
      <c r="BN548" s="64"/>
    </row>
    <row r="549" ht="30.0" customHeight="1">
      <c r="A549" s="64"/>
      <c r="B549" s="64"/>
      <c r="C549" s="66"/>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75"/>
      <c r="BB549" s="64"/>
      <c r="BC549" s="64"/>
      <c r="BD549" s="66"/>
      <c r="BE549" s="64"/>
      <c r="BF549" s="64"/>
      <c r="BG549" s="64"/>
      <c r="BH549" s="64"/>
      <c r="BI549" s="64"/>
      <c r="BJ549" s="64"/>
      <c r="BK549" s="64"/>
      <c r="BL549" s="64"/>
      <c r="BM549" s="64"/>
      <c r="BN549" s="64"/>
    </row>
    <row r="550" ht="30.0" customHeight="1">
      <c r="A550" s="64"/>
      <c r="B550" s="64"/>
      <c r="C550" s="66"/>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75"/>
      <c r="BB550" s="64"/>
      <c r="BC550" s="64"/>
      <c r="BD550" s="66"/>
      <c r="BE550" s="64"/>
      <c r="BF550" s="64"/>
      <c r="BG550" s="64"/>
      <c r="BH550" s="64"/>
      <c r="BI550" s="64"/>
      <c r="BJ550" s="64"/>
      <c r="BK550" s="64"/>
      <c r="BL550" s="64"/>
      <c r="BM550" s="64"/>
      <c r="BN550" s="64"/>
    </row>
    <row r="551" ht="30.0" customHeight="1">
      <c r="A551" s="64"/>
      <c r="B551" s="64"/>
      <c r="C551" s="66"/>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75"/>
      <c r="BB551" s="64"/>
      <c r="BC551" s="64"/>
      <c r="BD551" s="66"/>
      <c r="BE551" s="64"/>
      <c r="BF551" s="64"/>
      <c r="BG551" s="64"/>
      <c r="BH551" s="64"/>
      <c r="BI551" s="64"/>
      <c r="BJ551" s="64"/>
      <c r="BK551" s="64"/>
      <c r="BL551" s="64"/>
      <c r="BM551" s="64"/>
      <c r="BN551" s="64"/>
    </row>
    <row r="552" ht="30.0" customHeight="1">
      <c r="A552" s="64"/>
      <c r="B552" s="64"/>
      <c r="C552" s="66"/>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75"/>
      <c r="BB552" s="64"/>
      <c r="BC552" s="64"/>
      <c r="BD552" s="66"/>
      <c r="BE552" s="64"/>
      <c r="BF552" s="64"/>
      <c r="BG552" s="64"/>
      <c r="BH552" s="64"/>
      <c r="BI552" s="64"/>
      <c r="BJ552" s="64"/>
      <c r="BK552" s="64"/>
      <c r="BL552" s="64"/>
      <c r="BM552" s="64"/>
      <c r="BN552" s="64"/>
    </row>
    <row r="553" ht="30.0" customHeight="1">
      <c r="A553" s="64"/>
      <c r="B553" s="64"/>
      <c r="C553" s="66"/>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75"/>
      <c r="BB553" s="64"/>
      <c r="BC553" s="64"/>
      <c r="BD553" s="66"/>
      <c r="BE553" s="64"/>
      <c r="BF553" s="64"/>
      <c r="BG553" s="64"/>
      <c r="BH553" s="64"/>
      <c r="BI553" s="64"/>
      <c r="BJ553" s="64"/>
      <c r="BK553" s="64"/>
      <c r="BL553" s="64"/>
      <c r="BM553" s="64"/>
      <c r="BN553" s="64"/>
    </row>
    <row r="554" ht="30.0" customHeight="1">
      <c r="A554" s="64"/>
      <c r="B554" s="64"/>
      <c r="C554" s="66"/>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75"/>
      <c r="BB554" s="64"/>
      <c r="BC554" s="64"/>
      <c r="BD554" s="66"/>
      <c r="BE554" s="64"/>
      <c r="BF554" s="64"/>
      <c r="BG554" s="64"/>
      <c r="BH554" s="64"/>
      <c r="BI554" s="64"/>
      <c r="BJ554" s="64"/>
      <c r="BK554" s="64"/>
      <c r="BL554" s="64"/>
      <c r="BM554" s="64"/>
      <c r="BN554" s="64"/>
    </row>
    <row r="555" ht="30.0" customHeight="1">
      <c r="A555" s="64"/>
      <c r="B555" s="64"/>
      <c r="C555" s="66"/>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75"/>
      <c r="BB555" s="64"/>
      <c r="BC555" s="64"/>
      <c r="BD555" s="66"/>
      <c r="BE555" s="64"/>
      <c r="BF555" s="64"/>
      <c r="BG555" s="64"/>
      <c r="BH555" s="64"/>
      <c r="BI555" s="64"/>
      <c r="BJ555" s="64"/>
      <c r="BK555" s="64"/>
      <c r="BL555" s="64"/>
      <c r="BM555" s="64"/>
      <c r="BN555" s="64"/>
    </row>
    <row r="556" ht="30.0" customHeight="1">
      <c r="A556" s="64"/>
      <c r="B556" s="64"/>
      <c r="C556" s="66"/>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75"/>
      <c r="BB556" s="64"/>
      <c r="BC556" s="64"/>
      <c r="BD556" s="66"/>
      <c r="BE556" s="64"/>
      <c r="BF556" s="64"/>
      <c r="BG556" s="64"/>
      <c r="BH556" s="64"/>
      <c r="BI556" s="64"/>
      <c r="BJ556" s="64"/>
      <c r="BK556" s="64"/>
      <c r="BL556" s="64"/>
      <c r="BM556" s="64"/>
      <c r="BN556" s="64"/>
    </row>
    <row r="557" ht="30.0" customHeight="1">
      <c r="A557" s="64"/>
      <c r="B557" s="64"/>
      <c r="C557" s="66"/>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75"/>
      <c r="BB557" s="64"/>
      <c r="BC557" s="64"/>
      <c r="BD557" s="66"/>
      <c r="BE557" s="64"/>
      <c r="BF557" s="64"/>
      <c r="BG557" s="64"/>
      <c r="BH557" s="64"/>
      <c r="BI557" s="64"/>
      <c r="BJ557" s="64"/>
      <c r="BK557" s="64"/>
      <c r="BL557" s="64"/>
      <c r="BM557" s="64"/>
      <c r="BN557" s="64"/>
    </row>
    <row r="558" ht="30.0" customHeight="1">
      <c r="A558" s="64"/>
      <c r="B558" s="64"/>
      <c r="C558" s="66"/>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75"/>
      <c r="BB558" s="64"/>
      <c r="BC558" s="64"/>
      <c r="BD558" s="66"/>
      <c r="BE558" s="64"/>
      <c r="BF558" s="64"/>
      <c r="BG558" s="64"/>
      <c r="BH558" s="64"/>
      <c r="BI558" s="64"/>
      <c r="BJ558" s="64"/>
      <c r="BK558" s="64"/>
      <c r="BL558" s="64"/>
      <c r="BM558" s="64"/>
      <c r="BN558" s="64"/>
    </row>
    <row r="559" ht="30.0" customHeight="1">
      <c r="A559" s="64"/>
      <c r="B559" s="64"/>
      <c r="C559" s="66"/>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75"/>
      <c r="BB559" s="64"/>
      <c r="BC559" s="64"/>
      <c r="BD559" s="66"/>
      <c r="BE559" s="64"/>
      <c r="BF559" s="64"/>
      <c r="BG559" s="64"/>
      <c r="BH559" s="64"/>
      <c r="BI559" s="64"/>
      <c r="BJ559" s="64"/>
      <c r="BK559" s="64"/>
      <c r="BL559" s="64"/>
      <c r="BM559" s="64"/>
      <c r="BN559" s="64"/>
    </row>
    <row r="560" ht="30.0" customHeight="1">
      <c r="A560" s="64"/>
      <c r="B560" s="64"/>
      <c r="C560" s="66"/>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75"/>
      <c r="BB560" s="64"/>
      <c r="BC560" s="64"/>
      <c r="BD560" s="66"/>
      <c r="BE560" s="64"/>
      <c r="BF560" s="64"/>
      <c r="BG560" s="64"/>
      <c r="BH560" s="64"/>
      <c r="BI560" s="64"/>
      <c r="BJ560" s="64"/>
      <c r="BK560" s="64"/>
      <c r="BL560" s="64"/>
      <c r="BM560" s="64"/>
      <c r="BN560" s="64"/>
    </row>
    <row r="561" ht="30.0" customHeight="1">
      <c r="A561" s="64"/>
      <c r="B561" s="64"/>
      <c r="C561" s="66"/>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75"/>
      <c r="BB561" s="64"/>
      <c r="BC561" s="64"/>
      <c r="BD561" s="66"/>
      <c r="BE561" s="64"/>
      <c r="BF561" s="64"/>
      <c r="BG561" s="64"/>
      <c r="BH561" s="64"/>
      <c r="BI561" s="64"/>
      <c r="BJ561" s="64"/>
      <c r="BK561" s="64"/>
      <c r="BL561" s="64"/>
      <c r="BM561" s="64"/>
      <c r="BN561" s="64"/>
    </row>
    <row r="562" ht="30.0" customHeight="1">
      <c r="A562" s="64"/>
      <c r="B562" s="64"/>
      <c r="C562" s="66"/>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75"/>
      <c r="BB562" s="64"/>
      <c r="BC562" s="64"/>
      <c r="BD562" s="66"/>
      <c r="BE562" s="64"/>
      <c r="BF562" s="64"/>
      <c r="BG562" s="64"/>
      <c r="BH562" s="64"/>
      <c r="BI562" s="64"/>
      <c r="BJ562" s="64"/>
      <c r="BK562" s="64"/>
      <c r="BL562" s="64"/>
      <c r="BM562" s="64"/>
      <c r="BN562" s="64"/>
    </row>
    <row r="563" ht="30.0" customHeight="1">
      <c r="A563" s="64"/>
      <c r="B563" s="64"/>
      <c r="C563" s="66"/>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75"/>
      <c r="BB563" s="64"/>
      <c r="BC563" s="64"/>
      <c r="BD563" s="66"/>
      <c r="BE563" s="64"/>
      <c r="BF563" s="64"/>
      <c r="BG563" s="64"/>
      <c r="BH563" s="64"/>
      <c r="BI563" s="64"/>
      <c r="BJ563" s="64"/>
      <c r="BK563" s="64"/>
      <c r="BL563" s="64"/>
      <c r="BM563" s="64"/>
      <c r="BN563" s="64"/>
    </row>
    <row r="564" ht="30.0" customHeight="1">
      <c r="A564" s="64"/>
      <c r="B564" s="64"/>
      <c r="C564" s="66"/>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75"/>
      <c r="BB564" s="64"/>
      <c r="BC564" s="64"/>
      <c r="BD564" s="66"/>
      <c r="BE564" s="64"/>
      <c r="BF564" s="64"/>
      <c r="BG564" s="64"/>
      <c r="BH564" s="64"/>
      <c r="BI564" s="64"/>
      <c r="BJ564" s="64"/>
      <c r="BK564" s="64"/>
      <c r="BL564" s="64"/>
      <c r="BM564" s="64"/>
      <c r="BN564" s="64"/>
    </row>
    <row r="565" ht="30.0" customHeight="1">
      <c r="A565" s="64"/>
      <c r="B565" s="64"/>
      <c r="C565" s="66"/>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75"/>
      <c r="BB565" s="64"/>
      <c r="BC565" s="64"/>
      <c r="BD565" s="66"/>
      <c r="BE565" s="64"/>
      <c r="BF565" s="64"/>
      <c r="BG565" s="64"/>
      <c r="BH565" s="64"/>
      <c r="BI565" s="64"/>
      <c r="BJ565" s="64"/>
      <c r="BK565" s="64"/>
      <c r="BL565" s="64"/>
      <c r="BM565" s="64"/>
      <c r="BN565" s="64"/>
    </row>
    <row r="566" ht="30.0" customHeight="1">
      <c r="A566" s="64"/>
      <c r="B566" s="64"/>
      <c r="C566" s="66"/>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75"/>
      <c r="BB566" s="64"/>
      <c r="BC566" s="64"/>
      <c r="BD566" s="66"/>
      <c r="BE566" s="64"/>
      <c r="BF566" s="64"/>
      <c r="BG566" s="64"/>
      <c r="BH566" s="64"/>
      <c r="BI566" s="64"/>
      <c r="BJ566" s="64"/>
      <c r="BK566" s="64"/>
      <c r="BL566" s="64"/>
      <c r="BM566" s="64"/>
      <c r="BN566" s="64"/>
    </row>
    <row r="567" ht="30.0" customHeight="1">
      <c r="A567" s="64"/>
      <c r="B567" s="64"/>
      <c r="C567" s="66"/>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75"/>
      <c r="BB567" s="64"/>
      <c r="BC567" s="64"/>
      <c r="BD567" s="66"/>
      <c r="BE567" s="64"/>
      <c r="BF567" s="64"/>
      <c r="BG567" s="64"/>
      <c r="BH567" s="64"/>
      <c r="BI567" s="64"/>
      <c r="BJ567" s="64"/>
      <c r="BK567" s="64"/>
      <c r="BL567" s="64"/>
      <c r="BM567" s="64"/>
      <c r="BN567" s="64"/>
    </row>
    <row r="568" ht="30.0" customHeight="1">
      <c r="A568" s="64"/>
      <c r="B568" s="64"/>
      <c r="C568" s="66"/>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75"/>
      <c r="BB568" s="64"/>
      <c r="BC568" s="64"/>
      <c r="BD568" s="66"/>
      <c r="BE568" s="64"/>
      <c r="BF568" s="64"/>
      <c r="BG568" s="64"/>
      <c r="BH568" s="64"/>
      <c r="BI568" s="64"/>
      <c r="BJ568" s="64"/>
      <c r="BK568" s="64"/>
      <c r="BL568" s="64"/>
      <c r="BM568" s="64"/>
      <c r="BN568" s="64"/>
    </row>
    <row r="569" ht="30.0" customHeight="1">
      <c r="A569" s="64"/>
      <c r="B569" s="64"/>
      <c r="C569" s="66"/>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75"/>
      <c r="BB569" s="64"/>
      <c r="BC569" s="64"/>
      <c r="BD569" s="66"/>
      <c r="BE569" s="64"/>
      <c r="BF569" s="64"/>
      <c r="BG569" s="64"/>
      <c r="BH569" s="64"/>
      <c r="BI569" s="64"/>
      <c r="BJ569" s="64"/>
      <c r="BK569" s="64"/>
      <c r="BL569" s="64"/>
      <c r="BM569" s="64"/>
      <c r="BN569" s="64"/>
    </row>
    <row r="570" ht="30.0" customHeight="1">
      <c r="A570" s="64"/>
      <c r="B570" s="64"/>
      <c r="C570" s="66"/>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75"/>
      <c r="BB570" s="64"/>
      <c r="BC570" s="64"/>
      <c r="BD570" s="66"/>
      <c r="BE570" s="64"/>
      <c r="BF570" s="64"/>
      <c r="BG570" s="64"/>
      <c r="BH570" s="64"/>
      <c r="BI570" s="64"/>
      <c r="BJ570" s="64"/>
      <c r="BK570" s="64"/>
      <c r="BL570" s="64"/>
      <c r="BM570" s="64"/>
      <c r="BN570" s="64"/>
    </row>
    <row r="571" ht="30.0" customHeight="1">
      <c r="A571" s="64"/>
      <c r="B571" s="64"/>
      <c r="C571" s="66"/>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75"/>
      <c r="BB571" s="64"/>
      <c r="BC571" s="64"/>
      <c r="BD571" s="66"/>
      <c r="BE571" s="64"/>
      <c r="BF571" s="64"/>
      <c r="BG571" s="64"/>
      <c r="BH571" s="64"/>
      <c r="BI571" s="64"/>
      <c r="BJ571" s="64"/>
      <c r="BK571" s="64"/>
      <c r="BL571" s="64"/>
      <c r="BM571" s="64"/>
      <c r="BN571" s="64"/>
    </row>
    <row r="572" ht="30.0" customHeight="1">
      <c r="A572" s="64"/>
      <c r="B572" s="64"/>
      <c r="C572" s="66"/>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75"/>
      <c r="BB572" s="64"/>
      <c r="BC572" s="64"/>
      <c r="BD572" s="66"/>
      <c r="BE572" s="64"/>
      <c r="BF572" s="64"/>
      <c r="BG572" s="64"/>
      <c r="BH572" s="64"/>
      <c r="BI572" s="64"/>
      <c r="BJ572" s="64"/>
      <c r="BK572" s="64"/>
      <c r="BL572" s="64"/>
      <c r="BM572" s="64"/>
      <c r="BN572" s="64"/>
    </row>
    <row r="573" ht="30.0" customHeight="1">
      <c r="A573" s="64"/>
      <c r="B573" s="64"/>
      <c r="C573" s="66"/>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75"/>
      <c r="BB573" s="64"/>
      <c r="BC573" s="64"/>
      <c r="BD573" s="66"/>
      <c r="BE573" s="64"/>
      <c r="BF573" s="64"/>
      <c r="BG573" s="64"/>
      <c r="BH573" s="64"/>
      <c r="BI573" s="64"/>
      <c r="BJ573" s="64"/>
      <c r="BK573" s="64"/>
      <c r="BL573" s="64"/>
      <c r="BM573" s="64"/>
      <c r="BN573" s="64"/>
    </row>
    <row r="574" ht="30.0" customHeight="1">
      <c r="A574" s="64"/>
      <c r="B574" s="64"/>
      <c r="C574" s="66"/>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75"/>
      <c r="BB574" s="64"/>
      <c r="BC574" s="64"/>
      <c r="BD574" s="66"/>
      <c r="BE574" s="64"/>
      <c r="BF574" s="64"/>
      <c r="BG574" s="64"/>
      <c r="BH574" s="64"/>
      <c r="BI574" s="64"/>
      <c r="BJ574" s="64"/>
      <c r="BK574" s="64"/>
      <c r="BL574" s="64"/>
      <c r="BM574" s="64"/>
      <c r="BN574" s="64"/>
    </row>
    <row r="575" ht="30.0" customHeight="1">
      <c r="A575" s="64"/>
      <c r="B575" s="64"/>
      <c r="C575" s="66"/>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75"/>
      <c r="BB575" s="64"/>
      <c r="BC575" s="64"/>
      <c r="BD575" s="66"/>
      <c r="BE575" s="64"/>
      <c r="BF575" s="64"/>
      <c r="BG575" s="64"/>
      <c r="BH575" s="64"/>
      <c r="BI575" s="64"/>
      <c r="BJ575" s="64"/>
      <c r="BK575" s="64"/>
      <c r="BL575" s="64"/>
      <c r="BM575" s="64"/>
      <c r="BN575" s="64"/>
    </row>
    <row r="576" ht="30.0" customHeight="1">
      <c r="A576" s="64"/>
      <c r="B576" s="64"/>
      <c r="C576" s="66"/>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75"/>
      <c r="BB576" s="64"/>
      <c r="BC576" s="64"/>
      <c r="BD576" s="66"/>
      <c r="BE576" s="64"/>
      <c r="BF576" s="64"/>
      <c r="BG576" s="64"/>
      <c r="BH576" s="64"/>
      <c r="BI576" s="64"/>
      <c r="BJ576" s="64"/>
      <c r="BK576" s="64"/>
      <c r="BL576" s="64"/>
      <c r="BM576" s="64"/>
      <c r="BN576" s="64"/>
    </row>
    <row r="577" ht="30.0" customHeight="1">
      <c r="A577" s="64"/>
      <c r="B577" s="64"/>
      <c r="C577" s="66"/>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75"/>
      <c r="BB577" s="64"/>
      <c r="BC577" s="64"/>
      <c r="BD577" s="66"/>
      <c r="BE577" s="64"/>
      <c r="BF577" s="64"/>
      <c r="BG577" s="64"/>
      <c r="BH577" s="64"/>
      <c r="BI577" s="64"/>
      <c r="BJ577" s="64"/>
      <c r="BK577" s="64"/>
      <c r="BL577" s="64"/>
      <c r="BM577" s="64"/>
      <c r="BN577" s="64"/>
    </row>
    <row r="578" ht="30.0" customHeight="1">
      <c r="A578" s="64"/>
      <c r="B578" s="64"/>
      <c r="C578" s="66"/>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75"/>
      <c r="BB578" s="64"/>
      <c r="BC578" s="64"/>
      <c r="BD578" s="66"/>
      <c r="BE578" s="64"/>
      <c r="BF578" s="64"/>
      <c r="BG578" s="64"/>
      <c r="BH578" s="64"/>
      <c r="BI578" s="64"/>
      <c r="BJ578" s="64"/>
      <c r="BK578" s="64"/>
      <c r="BL578" s="64"/>
      <c r="BM578" s="64"/>
      <c r="BN578" s="64"/>
    </row>
    <row r="579" ht="30.0" customHeight="1">
      <c r="A579" s="64"/>
      <c r="B579" s="64"/>
      <c r="C579" s="66"/>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75"/>
      <c r="BB579" s="64"/>
      <c r="BC579" s="64"/>
      <c r="BD579" s="66"/>
      <c r="BE579" s="64"/>
      <c r="BF579" s="64"/>
      <c r="BG579" s="64"/>
      <c r="BH579" s="64"/>
      <c r="BI579" s="64"/>
      <c r="BJ579" s="64"/>
      <c r="BK579" s="64"/>
      <c r="BL579" s="64"/>
      <c r="BM579" s="64"/>
      <c r="BN579" s="64"/>
    </row>
    <row r="580" ht="30.0" customHeight="1">
      <c r="A580" s="64"/>
      <c r="B580" s="64"/>
      <c r="C580" s="66"/>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75"/>
      <c r="BB580" s="64"/>
      <c r="BC580" s="64"/>
      <c r="BD580" s="66"/>
      <c r="BE580" s="64"/>
      <c r="BF580" s="64"/>
      <c r="BG580" s="64"/>
      <c r="BH580" s="64"/>
      <c r="BI580" s="64"/>
      <c r="BJ580" s="64"/>
      <c r="BK580" s="64"/>
      <c r="BL580" s="64"/>
      <c r="BM580" s="64"/>
      <c r="BN580" s="64"/>
    </row>
    <row r="581" ht="30.0" customHeight="1">
      <c r="A581" s="64"/>
      <c r="B581" s="64"/>
      <c r="C581" s="66"/>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75"/>
      <c r="BB581" s="64"/>
      <c r="BC581" s="64"/>
      <c r="BD581" s="66"/>
      <c r="BE581" s="64"/>
      <c r="BF581" s="64"/>
      <c r="BG581" s="64"/>
      <c r="BH581" s="64"/>
      <c r="BI581" s="64"/>
      <c r="BJ581" s="64"/>
      <c r="BK581" s="64"/>
      <c r="BL581" s="64"/>
      <c r="BM581" s="64"/>
      <c r="BN581" s="64"/>
    </row>
    <row r="582" ht="30.0" customHeight="1">
      <c r="A582" s="64"/>
      <c r="B582" s="64"/>
      <c r="C582" s="66"/>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75"/>
      <c r="BB582" s="64"/>
      <c r="BC582" s="64"/>
      <c r="BD582" s="66"/>
      <c r="BE582" s="64"/>
      <c r="BF582" s="64"/>
      <c r="BG582" s="64"/>
      <c r="BH582" s="64"/>
      <c r="BI582" s="64"/>
      <c r="BJ582" s="64"/>
      <c r="BK582" s="64"/>
      <c r="BL582" s="64"/>
      <c r="BM582" s="64"/>
      <c r="BN582" s="64"/>
    </row>
    <row r="583" ht="30.0" customHeight="1">
      <c r="A583" s="64"/>
      <c r="B583" s="64"/>
      <c r="C583" s="66"/>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75"/>
      <c r="BB583" s="64"/>
      <c r="BC583" s="64"/>
      <c r="BD583" s="66"/>
      <c r="BE583" s="64"/>
      <c r="BF583" s="64"/>
      <c r="BG583" s="64"/>
      <c r="BH583" s="64"/>
      <c r="BI583" s="64"/>
      <c r="BJ583" s="64"/>
      <c r="BK583" s="64"/>
      <c r="BL583" s="64"/>
      <c r="BM583" s="64"/>
      <c r="BN583" s="64"/>
    </row>
    <row r="584" ht="30.0" customHeight="1">
      <c r="A584" s="64"/>
      <c r="B584" s="64"/>
      <c r="C584" s="66"/>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75"/>
      <c r="BB584" s="64"/>
      <c r="BC584" s="64"/>
      <c r="BD584" s="66"/>
      <c r="BE584" s="64"/>
      <c r="BF584" s="64"/>
      <c r="BG584" s="64"/>
      <c r="BH584" s="64"/>
      <c r="BI584" s="64"/>
      <c r="BJ584" s="64"/>
      <c r="BK584" s="64"/>
      <c r="BL584" s="64"/>
      <c r="BM584" s="64"/>
      <c r="BN584" s="64"/>
    </row>
    <row r="585" ht="30.0" customHeight="1">
      <c r="A585" s="64"/>
      <c r="B585" s="64"/>
      <c r="C585" s="66"/>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75"/>
      <c r="BB585" s="64"/>
      <c r="BC585" s="64"/>
      <c r="BD585" s="66"/>
      <c r="BE585" s="64"/>
      <c r="BF585" s="64"/>
      <c r="BG585" s="64"/>
      <c r="BH585" s="64"/>
      <c r="BI585" s="64"/>
      <c r="BJ585" s="64"/>
      <c r="BK585" s="64"/>
      <c r="BL585" s="64"/>
      <c r="BM585" s="64"/>
      <c r="BN585" s="64"/>
    </row>
    <row r="586" ht="30.0" customHeight="1">
      <c r="A586" s="64"/>
      <c r="B586" s="64"/>
      <c r="C586" s="66"/>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75"/>
      <c r="BB586" s="64"/>
      <c r="BC586" s="64"/>
      <c r="BD586" s="66"/>
      <c r="BE586" s="64"/>
      <c r="BF586" s="64"/>
      <c r="BG586" s="64"/>
      <c r="BH586" s="64"/>
      <c r="BI586" s="64"/>
      <c r="BJ586" s="64"/>
      <c r="BK586" s="64"/>
      <c r="BL586" s="64"/>
      <c r="BM586" s="64"/>
      <c r="BN586" s="64"/>
    </row>
    <row r="587" ht="30.0" customHeight="1">
      <c r="A587" s="64"/>
      <c r="B587" s="64"/>
      <c r="C587" s="66"/>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75"/>
      <c r="BB587" s="64"/>
      <c r="BC587" s="64"/>
      <c r="BD587" s="66"/>
      <c r="BE587" s="64"/>
      <c r="BF587" s="64"/>
      <c r="BG587" s="64"/>
      <c r="BH587" s="64"/>
      <c r="BI587" s="64"/>
      <c r="BJ587" s="64"/>
      <c r="BK587" s="64"/>
      <c r="BL587" s="64"/>
      <c r="BM587" s="64"/>
      <c r="BN587" s="64"/>
    </row>
    <row r="588" ht="30.0" customHeight="1">
      <c r="A588" s="64"/>
      <c r="B588" s="64"/>
      <c r="C588" s="66"/>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75"/>
      <c r="BB588" s="64"/>
      <c r="BC588" s="64"/>
      <c r="BD588" s="66"/>
      <c r="BE588" s="64"/>
      <c r="BF588" s="64"/>
      <c r="BG588" s="64"/>
      <c r="BH588" s="64"/>
      <c r="BI588" s="64"/>
      <c r="BJ588" s="64"/>
      <c r="BK588" s="64"/>
      <c r="BL588" s="64"/>
      <c r="BM588" s="64"/>
      <c r="BN588" s="64"/>
    </row>
    <row r="589" ht="30.0" customHeight="1">
      <c r="A589" s="64"/>
      <c r="B589" s="64"/>
      <c r="C589" s="66"/>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75"/>
      <c r="BB589" s="64"/>
      <c r="BC589" s="64"/>
      <c r="BD589" s="66"/>
      <c r="BE589" s="64"/>
      <c r="BF589" s="64"/>
      <c r="BG589" s="64"/>
      <c r="BH589" s="64"/>
      <c r="BI589" s="64"/>
      <c r="BJ589" s="64"/>
      <c r="BK589" s="64"/>
      <c r="BL589" s="64"/>
      <c r="BM589" s="64"/>
      <c r="BN589" s="64"/>
    </row>
    <row r="590" ht="30.0" customHeight="1">
      <c r="A590" s="64"/>
      <c r="B590" s="64"/>
      <c r="C590" s="66"/>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75"/>
      <c r="BB590" s="64"/>
      <c r="BC590" s="64"/>
      <c r="BD590" s="66"/>
      <c r="BE590" s="64"/>
      <c r="BF590" s="64"/>
      <c r="BG590" s="64"/>
      <c r="BH590" s="64"/>
      <c r="BI590" s="64"/>
      <c r="BJ590" s="64"/>
      <c r="BK590" s="64"/>
      <c r="BL590" s="64"/>
      <c r="BM590" s="64"/>
      <c r="BN590" s="64"/>
    </row>
    <row r="591" ht="30.0" customHeight="1">
      <c r="A591" s="64"/>
      <c r="B591" s="64"/>
      <c r="C591" s="66"/>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75"/>
      <c r="BB591" s="64"/>
      <c r="BC591" s="64"/>
      <c r="BD591" s="66"/>
      <c r="BE591" s="64"/>
      <c r="BF591" s="64"/>
      <c r="BG591" s="64"/>
      <c r="BH591" s="64"/>
      <c r="BI591" s="64"/>
      <c r="BJ591" s="64"/>
      <c r="BK591" s="64"/>
      <c r="BL591" s="64"/>
      <c r="BM591" s="64"/>
      <c r="BN591" s="64"/>
    </row>
    <row r="592" ht="30.0" customHeight="1">
      <c r="A592" s="64"/>
      <c r="B592" s="64"/>
      <c r="C592" s="66"/>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75"/>
      <c r="BB592" s="64"/>
      <c r="BC592" s="64"/>
      <c r="BD592" s="66"/>
      <c r="BE592" s="64"/>
      <c r="BF592" s="64"/>
      <c r="BG592" s="64"/>
      <c r="BH592" s="64"/>
      <c r="BI592" s="64"/>
      <c r="BJ592" s="64"/>
      <c r="BK592" s="64"/>
      <c r="BL592" s="64"/>
      <c r="BM592" s="64"/>
      <c r="BN592" s="64"/>
    </row>
    <row r="593" ht="30.0" customHeight="1">
      <c r="A593" s="64"/>
      <c r="B593" s="64"/>
      <c r="C593" s="66"/>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75"/>
      <c r="BB593" s="64"/>
      <c r="BC593" s="64"/>
      <c r="BD593" s="66"/>
      <c r="BE593" s="64"/>
      <c r="BF593" s="64"/>
      <c r="BG593" s="64"/>
      <c r="BH593" s="64"/>
      <c r="BI593" s="64"/>
      <c r="BJ593" s="64"/>
      <c r="BK593" s="64"/>
      <c r="BL593" s="64"/>
      <c r="BM593" s="64"/>
      <c r="BN593" s="64"/>
    </row>
    <row r="594" ht="30.0" customHeight="1">
      <c r="A594" s="64"/>
      <c r="B594" s="64"/>
      <c r="C594" s="66"/>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75"/>
      <c r="BB594" s="64"/>
      <c r="BC594" s="64"/>
      <c r="BD594" s="66"/>
      <c r="BE594" s="64"/>
      <c r="BF594" s="64"/>
      <c r="BG594" s="64"/>
      <c r="BH594" s="64"/>
      <c r="BI594" s="64"/>
      <c r="BJ594" s="64"/>
      <c r="BK594" s="64"/>
      <c r="BL594" s="64"/>
      <c r="BM594" s="64"/>
      <c r="BN594" s="64"/>
    </row>
    <row r="595" ht="30.0" customHeight="1">
      <c r="A595" s="64"/>
      <c r="B595" s="64"/>
      <c r="C595" s="66"/>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75"/>
      <c r="BB595" s="64"/>
      <c r="BC595" s="64"/>
      <c r="BD595" s="66"/>
      <c r="BE595" s="64"/>
      <c r="BF595" s="64"/>
      <c r="BG595" s="64"/>
      <c r="BH595" s="64"/>
      <c r="BI595" s="64"/>
      <c r="BJ595" s="64"/>
      <c r="BK595" s="64"/>
      <c r="BL595" s="64"/>
      <c r="BM595" s="64"/>
      <c r="BN595" s="64"/>
    </row>
    <row r="596" ht="30.0" customHeight="1">
      <c r="A596" s="64"/>
      <c r="B596" s="64"/>
      <c r="C596" s="66"/>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75"/>
      <c r="BB596" s="64"/>
      <c r="BC596" s="64"/>
      <c r="BD596" s="66"/>
      <c r="BE596" s="64"/>
      <c r="BF596" s="64"/>
      <c r="BG596" s="64"/>
      <c r="BH596" s="64"/>
      <c r="BI596" s="64"/>
      <c r="BJ596" s="64"/>
      <c r="BK596" s="64"/>
      <c r="BL596" s="64"/>
      <c r="BM596" s="64"/>
      <c r="BN596" s="64"/>
    </row>
    <row r="597" ht="30.0" customHeight="1">
      <c r="A597" s="64"/>
      <c r="B597" s="64"/>
      <c r="C597" s="66"/>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75"/>
      <c r="BB597" s="64"/>
      <c r="BC597" s="64"/>
      <c r="BD597" s="66"/>
      <c r="BE597" s="64"/>
      <c r="BF597" s="64"/>
      <c r="BG597" s="64"/>
      <c r="BH597" s="64"/>
      <c r="BI597" s="64"/>
      <c r="BJ597" s="64"/>
      <c r="BK597" s="64"/>
      <c r="BL597" s="64"/>
      <c r="BM597" s="64"/>
      <c r="BN597" s="64"/>
    </row>
    <row r="598" ht="30.0" customHeight="1">
      <c r="A598" s="64"/>
      <c r="B598" s="64"/>
      <c r="C598" s="66"/>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75"/>
      <c r="BB598" s="64"/>
      <c r="BC598" s="64"/>
      <c r="BD598" s="66"/>
      <c r="BE598" s="64"/>
      <c r="BF598" s="64"/>
      <c r="BG598" s="64"/>
      <c r="BH598" s="64"/>
      <c r="BI598" s="64"/>
      <c r="BJ598" s="64"/>
      <c r="BK598" s="64"/>
      <c r="BL598" s="64"/>
      <c r="BM598" s="64"/>
      <c r="BN598" s="64"/>
    </row>
    <row r="599" ht="30.0" customHeight="1">
      <c r="A599" s="64"/>
      <c r="B599" s="64"/>
      <c r="C599" s="66"/>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75"/>
      <c r="BB599" s="64"/>
      <c r="BC599" s="64"/>
      <c r="BD599" s="66"/>
      <c r="BE599" s="64"/>
      <c r="BF599" s="64"/>
      <c r="BG599" s="64"/>
      <c r="BH599" s="64"/>
      <c r="BI599" s="64"/>
      <c r="BJ599" s="64"/>
      <c r="BK599" s="64"/>
      <c r="BL599" s="64"/>
      <c r="BM599" s="64"/>
      <c r="BN599" s="64"/>
    </row>
    <row r="600" ht="30.0" customHeight="1">
      <c r="A600" s="64"/>
      <c r="B600" s="64"/>
      <c r="C600" s="66"/>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75"/>
      <c r="BB600" s="64"/>
      <c r="BC600" s="64"/>
      <c r="BD600" s="66"/>
      <c r="BE600" s="64"/>
      <c r="BF600" s="64"/>
      <c r="BG600" s="64"/>
      <c r="BH600" s="64"/>
      <c r="BI600" s="64"/>
      <c r="BJ600" s="64"/>
      <c r="BK600" s="64"/>
      <c r="BL600" s="64"/>
      <c r="BM600" s="64"/>
      <c r="BN600" s="64"/>
    </row>
    <row r="601" ht="30.0" customHeight="1">
      <c r="A601" s="64"/>
      <c r="B601" s="64"/>
      <c r="C601" s="66"/>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75"/>
      <c r="BB601" s="64"/>
      <c r="BC601" s="64"/>
      <c r="BD601" s="66"/>
      <c r="BE601" s="64"/>
      <c r="BF601" s="64"/>
      <c r="BG601" s="64"/>
      <c r="BH601" s="64"/>
      <c r="BI601" s="64"/>
      <c r="BJ601" s="64"/>
      <c r="BK601" s="64"/>
      <c r="BL601" s="64"/>
      <c r="BM601" s="64"/>
      <c r="BN601" s="64"/>
    </row>
    <row r="602" ht="30.0" customHeight="1">
      <c r="A602" s="64"/>
      <c r="B602" s="64"/>
      <c r="C602" s="66"/>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75"/>
      <c r="BB602" s="64"/>
      <c r="BC602" s="64"/>
      <c r="BD602" s="66"/>
      <c r="BE602" s="64"/>
      <c r="BF602" s="64"/>
      <c r="BG602" s="64"/>
      <c r="BH602" s="64"/>
      <c r="BI602" s="64"/>
      <c r="BJ602" s="64"/>
      <c r="BK602" s="64"/>
      <c r="BL602" s="64"/>
      <c r="BM602" s="64"/>
      <c r="BN602" s="64"/>
    </row>
    <row r="603" ht="30.0" customHeight="1">
      <c r="A603" s="64"/>
      <c r="B603" s="64"/>
      <c r="C603" s="66"/>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75"/>
      <c r="BB603" s="64"/>
      <c r="BC603" s="64"/>
      <c r="BD603" s="66"/>
      <c r="BE603" s="64"/>
      <c r="BF603" s="64"/>
      <c r="BG603" s="64"/>
      <c r="BH603" s="64"/>
      <c r="BI603" s="64"/>
      <c r="BJ603" s="64"/>
      <c r="BK603" s="64"/>
      <c r="BL603" s="64"/>
      <c r="BM603" s="64"/>
      <c r="BN603" s="64"/>
    </row>
    <row r="604" ht="30.0" customHeight="1">
      <c r="A604" s="64"/>
      <c r="B604" s="64"/>
      <c r="C604" s="66"/>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75"/>
      <c r="BB604" s="64"/>
      <c r="BC604" s="64"/>
      <c r="BD604" s="66"/>
      <c r="BE604" s="64"/>
      <c r="BF604" s="64"/>
      <c r="BG604" s="64"/>
      <c r="BH604" s="64"/>
      <c r="BI604" s="64"/>
      <c r="BJ604" s="64"/>
      <c r="BK604" s="64"/>
      <c r="BL604" s="64"/>
      <c r="BM604" s="64"/>
      <c r="BN604" s="64"/>
    </row>
    <row r="605" ht="30.0" customHeight="1">
      <c r="A605" s="64"/>
      <c r="B605" s="64"/>
      <c r="C605" s="66"/>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75"/>
      <c r="BB605" s="64"/>
      <c r="BC605" s="64"/>
      <c r="BD605" s="66"/>
      <c r="BE605" s="64"/>
      <c r="BF605" s="64"/>
      <c r="BG605" s="64"/>
      <c r="BH605" s="64"/>
      <c r="BI605" s="64"/>
      <c r="BJ605" s="64"/>
      <c r="BK605" s="64"/>
      <c r="BL605" s="64"/>
      <c r="BM605" s="64"/>
      <c r="BN605" s="64"/>
    </row>
    <row r="606" ht="30.0" customHeight="1">
      <c r="A606" s="64"/>
      <c r="B606" s="64"/>
      <c r="C606" s="66"/>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75"/>
      <c r="BB606" s="64"/>
      <c r="BC606" s="64"/>
      <c r="BD606" s="66"/>
      <c r="BE606" s="64"/>
      <c r="BF606" s="64"/>
      <c r="BG606" s="64"/>
      <c r="BH606" s="64"/>
      <c r="BI606" s="64"/>
      <c r="BJ606" s="64"/>
      <c r="BK606" s="64"/>
      <c r="BL606" s="64"/>
      <c r="BM606" s="64"/>
      <c r="BN606" s="64"/>
    </row>
    <row r="607" ht="30.0" customHeight="1">
      <c r="A607" s="64"/>
      <c r="B607" s="64"/>
      <c r="C607" s="66"/>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75"/>
      <c r="BB607" s="64"/>
      <c r="BC607" s="64"/>
      <c r="BD607" s="66"/>
      <c r="BE607" s="64"/>
      <c r="BF607" s="64"/>
      <c r="BG607" s="64"/>
      <c r="BH607" s="64"/>
      <c r="BI607" s="64"/>
      <c r="BJ607" s="64"/>
      <c r="BK607" s="64"/>
      <c r="BL607" s="64"/>
      <c r="BM607" s="64"/>
      <c r="BN607" s="64"/>
    </row>
    <row r="608" ht="30.0" customHeight="1">
      <c r="A608" s="64"/>
      <c r="B608" s="64"/>
      <c r="C608" s="66"/>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75"/>
      <c r="BB608" s="64"/>
      <c r="BC608" s="64"/>
      <c r="BD608" s="66"/>
      <c r="BE608" s="64"/>
      <c r="BF608" s="64"/>
      <c r="BG608" s="64"/>
      <c r="BH608" s="64"/>
      <c r="BI608" s="64"/>
      <c r="BJ608" s="64"/>
      <c r="BK608" s="64"/>
      <c r="BL608" s="64"/>
      <c r="BM608" s="64"/>
      <c r="BN608" s="64"/>
    </row>
    <row r="609" ht="30.0" customHeight="1">
      <c r="A609" s="64"/>
      <c r="B609" s="64"/>
      <c r="C609" s="66"/>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75"/>
      <c r="BB609" s="64"/>
      <c r="BC609" s="64"/>
      <c r="BD609" s="66"/>
      <c r="BE609" s="64"/>
      <c r="BF609" s="64"/>
      <c r="BG609" s="64"/>
      <c r="BH609" s="64"/>
      <c r="BI609" s="64"/>
      <c r="BJ609" s="64"/>
      <c r="BK609" s="64"/>
      <c r="BL609" s="64"/>
      <c r="BM609" s="64"/>
      <c r="BN609" s="64"/>
    </row>
    <row r="610" ht="30.0" customHeight="1">
      <c r="A610" s="64"/>
      <c r="B610" s="64"/>
      <c r="C610" s="66"/>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75"/>
      <c r="BB610" s="64"/>
      <c r="BC610" s="64"/>
      <c r="BD610" s="66"/>
      <c r="BE610" s="64"/>
      <c r="BF610" s="64"/>
      <c r="BG610" s="64"/>
      <c r="BH610" s="64"/>
      <c r="BI610" s="64"/>
      <c r="BJ610" s="64"/>
      <c r="BK610" s="64"/>
      <c r="BL610" s="64"/>
      <c r="BM610" s="64"/>
      <c r="BN610" s="64"/>
    </row>
    <row r="611" ht="30.0" customHeight="1">
      <c r="A611" s="64"/>
      <c r="B611" s="64"/>
      <c r="C611" s="66"/>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75"/>
      <c r="BB611" s="64"/>
      <c r="BC611" s="64"/>
      <c r="BD611" s="66"/>
      <c r="BE611" s="64"/>
      <c r="BF611" s="64"/>
      <c r="BG611" s="64"/>
      <c r="BH611" s="64"/>
      <c r="BI611" s="64"/>
      <c r="BJ611" s="64"/>
      <c r="BK611" s="64"/>
      <c r="BL611" s="64"/>
      <c r="BM611" s="64"/>
      <c r="BN611" s="64"/>
    </row>
    <row r="612" ht="30.0" customHeight="1">
      <c r="A612" s="64"/>
      <c r="B612" s="64"/>
      <c r="C612" s="66"/>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75"/>
      <c r="BB612" s="64"/>
      <c r="BC612" s="64"/>
      <c r="BD612" s="66"/>
      <c r="BE612" s="64"/>
      <c r="BF612" s="64"/>
      <c r="BG612" s="64"/>
      <c r="BH612" s="64"/>
      <c r="BI612" s="64"/>
      <c r="BJ612" s="64"/>
      <c r="BK612" s="64"/>
      <c r="BL612" s="64"/>
      <c r="BM612" s="64"/>
      <c r="BN612" s="64"/>
    </row>
    <row r="613" ht="30.0" customHeight="1">
      <c r="A613" s="64"/>
      <c r="B613" s="64"/>
      <c r="C613" s="66"/>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75"/>
      <c r="BB613" s="64"/>
      <c r="BC613" s="64"/>
      <c r="BD613" s="66"/>
      <c r="BE613" s="64"/>
      <c r="BF613" s="64"/>
      <c r="BG613" s="64"/>
      <c r="BH613" s="64"/>
      <c r="BI613" s="64"/>
      <c r="BJ613" s="64"/>
      <c r="BK613" s="64"/>
      <c r="BL613" s="64"/>
      <c r="BM613" s="64"/>
      <c r="BN613" s="64"/>
    </row>
    <row r="614" ht="30.0" customHeight="1">
      <c r="A614" s="64"/>
      <c r="B614" s="64"/>
      <c r="C614" s="66"/>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75"/>
      <c r="BB614" s="64"/>
      <c r="BC614" s="64"/>
      <c r="BD614" s="66"/>
      <c r="BE614" s="64"/>
      <c r="BF614" s="64"/>
      <c r="BG614" s="64"/>
      <c r="BH614" s="64"/>
      <c r="BI614" s="64"/>
      <c r="BJ614" s="64"/>
      <c r="BK614" s="64"/>
      <c r="BL614" s="64"/>
      <c r="BM614" s="64"/>
      <c r="BN614" s="64"/>
    </row>
    <row r="615" ht="30.0" customHeight="1">
      <c r="A615" s="64"/>
      <c r="B615" s="64"/>
      <c r="C615" s="66"/>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75"/>
      <c r="BB615" s="64"/>
      <c r="BC615" s="64"/>
      <c r="BD615" s="66"/>
      <c r="BE615" s="64"/>
      <c r="BF615" s="64"/>
      <c r="BG615" s="64"/>
      <c r="BH615" s="64"/>
      <c r="BI615" s="64"/>
      <c r="BJ615" s="64"/>
      <c r="BK615" s="64"/>
      <c r="BL615" s="64"/>
      <c r="BM615" s="64"/>
      <c r="BN615" s="64"/>
    </row>
    <row r="616" ht="30.0" customHeight="1">
      <c r="A616" s="64"/>
      <c r="B616" s="64"/>
      <c r="C616" s="66"/>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75"/>
      <c r="BB616" s="64"/>
      <c r="BC616" s="64"/>
      <c r="BD616" s="66"/>
      <c r="BE616" s="64"/>
      <c r="BF616" s="64"/>
      <c r="BG616" s="64"/>
      <c r="BH616" s="64"/>
      <c r="BI616" s="64"/>
      <c r="BJ616" s="64"/>
      <c r="BK616" s="64"/>
      <c r="BL616" s="64"/>
      <c r="BM616" s="64"/>
      <c r="BN616" s="64"/>
    </row>
    <row r="617" ht="30.0" customHeight="1">
      <c r="A617" s="64"/>
      <c r="B617" s="64"/>
      <c r="C617" s="66"/>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75"/>
      <c r="BB617" s="64"/>
      <c r="BC617" s="64"/>
      <c r="BD617" s="66"/>
      <c r="BE617" s="64"/>
      <c r="BF617" s="64"/>
      <c r="BG617" s="64"/>
      <c r="BH617" s="64"/>
      <c r="BI617" s="64"/>
      <c r="BJ617" s="64"/>
      <c r="BK617" s="64"/>
      <c r="BL617" s="64"/>
      <c r="BM617" s="64"/>
      <c r="BN617" s="64"/>
    </row>
    <row r="618" ht="30.0" customHeight="1">
      <c r="A618" s="64"/>
      <c r="B618" s="64"/>
      <c r="C618" s="66"/>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75"/>
      <c r="BB618" s="64"/>
      <c r="BC618" s="64"/>
      <c r="BD618" s="66"/>
      <c r="BE618" s="64"/>
      <c r="BF618" s="64"/>
      <c r="BG618" s="64"/>
      <c r="BH618" s="64"/>
      <c r="BI618" s="64"/>
      <c r="BJ618" s="64"/>
      <c r="BK618" s="64"/>
      <c r="BL618" s="64"/>
      <c r="BM618" s="64"/>
      <c r="BN618" s="64"/>
    </row>
    <row r="619" ht="30.0" customHeight="1">
      <c r="A619" s="64"/>
      <c r="B619" s="64"/>
      <c r="C619" s="66"/>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75"/>
      <c r="BB619" s="64"/>
      <c r="BC619" s="64"/>
      <c r="BD619" s="66"/>
      <c r="BE619" s="64"/>
      <c r="BF619" s="64"/>
      <c r="BG619" s="64"/>
      <c r="BH619" s="64"/>
      <c r="BI619" s="64"/>
      <c r="BJ619" s="64"/>
      <c r="BK619" s="64"/>
      <c r="BL619" s="64"/>
      <c r="BM619" s="64"/>
      <c r="BN619" s="64"/>
    </row>
    <row r="620" ht="30.0" customHeight="1">
      <c r="A620" s="64"/>
      <c r="B620" s="64"/>
      <c r="C620" s="66"/>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75"/>
      <c r="BB620" s="64"/>
      <c r="BC620" s="64"/>
      <c r="BD620" s="66"/>
      <c r="BE620" s="64"/>
      <c r="BF620" s="64"/>
      <c r="BG620" s="64"/>
      <c r="BH620" s="64"/>
      <c r="BI620" s="64"/>
      <c r="BJ620" s="64"/>
      <c r="BK620" s="64"/>
      <c r="BL620" s="64"/>
      <c r="BM620" s="64"/>
      <c r="BN620" s="64"/>
    </row>
    <row r="621" ht="30.0" customHeight="1">
      <c r="A621" s="64"/>
      <c r="B621" s="64"/>
      <c r="C621" s="66"/>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75"/>
      <c r="BB621" s="64"/>
      <c r="BC621" s="64"/>
      <c r="BD621" s="66"/>
      <c r="BE621" s="64"/>
      <c r="BF621" s="64"/>
      <c r="BG621" s="64"/>
      <c r="BH621" s="64"/>
      <c r="BI621" s="64"/>
      <c r="BJ621" s="64"/>
      <c r="BK621" s="64"/>
      <c r="BL621" s="64"/>
      <c r="BM621" s="64"/>
      <c r="BN621" s="64"/>
    </row>
    <row r="622" ht="30.0" customHeight="1">
      <c r="A622" s="64"/>
      <c r="B622" s="64"/>
      <c r="C622" s="66"/>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75"/>
      <c r="BB622" s="64"/>
      <c r="BC622" s="64"/>
      <c r="BD622" s="66"/>
      <c r="BE622" s="64"/>
      <c r="BF622" s="64"/>
      <c r="BG622" s="64"/>
      <c r="BH622" s="64"/>
      <c r="BI622" s="64"/>
      <c r="BJ622" s="64"/>
      <c r="BK622" s="64"/>
      <c r="BL622" s="64"/>
      <c r="BM622" s="64"/>
      <c r="BN622" s="64"/>
    </row>
    <row r="623" ht="30.0" customHeight="1">
      <c r="A623" s="64"/>
      <c r="B623" s="64"/>
      <c r="C623" s="66"/>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75"/>
      <c r="BB623" s="64"/>
      <c r="BC623" s="64"/>
      <c r="BD623" s="66"/>
      <c r="BE623" s="64"/>
      <c r="BF623" s="64"/>
      <c r="BG623" s="64"/>
      <c r="BH623" s="64"/>
      <c r="BI623" s="64"/>
      <c r="BJ623" s="64"/>
      <c r="BK623" s="64"/>
      <c r="BL623" s="64"/>
      <c r="BM623" s="64"/>
      <c r="BN623" s="64"/>
    </row>
    <row r="624" ht="30.0" customHeight="1">
      <c r="A624" s="64"/>
      <c r="B624" s="64"/>
      <c r="C624" s="66"/>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75"/>
      <c r="BB624" s="64"/>
      <c r="BC624" s="64"/>
      <c r="BD624" s="66"/>
      <c r="BE624" s="64"/>
      <c r="BF624" s="64"/>
      <c r="BG624" s="64"/>
      <c r="BH624" s="64"/>
      <c r="BI624" s="64"/>
      <c r="BJ624" s="64"/>
      <c r="BK624" s="64"/>
      <c r="BL624" s="64"/>
      <c r="BM624" s="64"/>
      <c r="BN624" s="64"/>
    </row>
    <row r="625" ht="30.0" customHeight="1">
      <c r="A625" s="64"/>
      <c r="B625" s="64"/>
      <c r="C625" s="66"/>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75"/>
      <c r="BB625" s="64"/>
      <c r="BC625" s="64"/>
      <c r="BD625" s="66"/>
      <c r="BE625" s="64"/>
      <c r="BF625" s="64"/>
      <c r="BG625" s="64"/>
      <c r="BH625" s="64"/>
      <c r="BI625" s="64"/>
      <c r="BJ625" s="64"/>
      <c r="BK625" s="64"/>
      <c r="BL625" s="64"/>
      <c r="BM625" s="64"/>
      <c r="BN625" s="64"/>
    </row>
    <row r="626" ht="30.0" customHeight="1">
      <c r="A626" s="64"/>
      <c r="B626" s="64"/>
      <c r="C626" s="66"/>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75"/>
      <c r="BB626" s="64"/>
      <c r="BC626" s="64"/>
      <c r="BD626" s="66"/>
      <c r="BE626" s="64"/>
      <c r="BF626" s="64"/>
      <c r="BG626" s="64"/>
      <c r="BH626" s="64"/>
      <c r="BI626" s="64"/>
      <c r="BJ626" s="64"/>
      <c r="BK626" s="64"/>
      <c r="BL626" s="64"/>
      <c r="BM626" s="64"/>
      <c r="BN626" s="64"/>
    </row>
    <row r="627" ht="30.0" customHeight="1">
      <c r="A627" s="64"/>
      <c r="B627" s="64"/>
      <c r="C627" s="66"/>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75"/>
      <c r="BB627" s="64"/>
      <c r="BC627" s="64"/>
      <c r="BD627" s="66"/>
      <c r="BE627" s="64"/>
      <c r="BF627" s="64"/>
      <c r="BG627" s="64"/>
      <c r="BH627" s="64"/>
      <c r="BI627" s="64"/>
      <c r="BJ627" s="64"/>
      <c r="BK627" s="64"/>
      <c r="BL627" s="64"/>
      <c r="BM627" s="64"/>
      <c r="BN627" s="64"/>
    </row>
    <row r="628" ht="30.0" customHeight="1">
      <c r="A628" s="64"/>
      <c r="B628" s="64"/>
      <c r="C628" s="66"/>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75"/>
      <c r="BB628" s="64"/>
      <c r="BC628" s="64"/>
      <c r="BD628" s="66"/>
      <c r="BE628" s="64"/>
      <c r="BF628" s="64"/>
      <c r="BG628" s="64"/>
      <c r="BH628" s="64"/>
      <c r="BI628" s="64"/>
      <c r="BJ628" s="64"/>
      <c r="BK628" s="64"/>
      <c r="BL628" s="64"/>
      <c r="BM628" s="64"/>
      <c r="BN628" s="64"/>
    </row>
    <row r="629" ht="30.0" customHeight="1">
      <c r="A629" s="64"/>
      <c r="B629" s="64"/>
      <c r="C629" s="66"/>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75"/>
      <c r="BB629" s="64"/>
      <c r="BC629" s="64"/>
      <c r="BD629" s="66"/>
      <c r="BE629" s="64"/>
      <c r="BF629" s="64"/>
      <c r="BG629" s="64"/>
      <c r="BH629" s="64"/>
      <c r="BI629" s="64"/>
      <c r="BJ629" s="64"/>
      <c r="BK629" s="64"/>
      <c r="BL629" s="64"/>
      <c r="BM629" s="64"/>
      <c r="BN629" s="64"/>
    </row>
    <row r="630" ht="30.0" customHeight="1">
      <c r="A630" s="64"/>
      <c r="B630" s="64"/>
      <c r="C630" s="66"/>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75"/>
      <c r="BB630" s="64"/>
      <c r="BC630" s="64"/>
      <c r="BD630" s="66"/>
      <c r="BE630" s="64"/>
      <c r="BF630" s="64"/>
      <c r="BG630" s="64"/>
      <c r="BH630" s="64"/>
      <c r="BI630" s="64"/>
      <c r="BJ630" s="64"/>
      <c r="BK630" s="64"/>
      <c r="BL630" s="64"/>
      <c r="BM630" s="64"/>
      <c r="BN630" s="64"/>
    </row>
    <row r="631" ht="30.0" customHeight="1">
      <c r="A631" s="64"/>
      <c r="B631" s="64"/>
      <c r="C631" s="66"/>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75"/>
      <c r="BB631" s="64"/>
      <c r="BC631" s="64"/>
      <c r="BD631" s="66"/>
      <c r="BE631" s="64"/>
      <c r="BF631" s="64"/>
      <c r="BG631" s="64"/>
      <c r="BH631" s="64"/>
      <c r="BI631" s="64"/>
      <c r="BJ631" s="64"/>
      <c r="BK631" s="64"/>
      <c r="BL631" s="64"/>
      <c r="BM631" s="64"/>
      <c r="BN631" s="64"/>
    </row>
    <row r="632" ht="30.0" customHeight="1">
      <c r="A632" s="64"/>
      <c r="B632" s="64"/>
      <c r="C632" s="66"/>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75"/>
      <c r="BB632" s="64"/>
      <c r="BC632" s="64"/>
      <c r="BD632" s="66"/>
      <c r="BE632" s="64"/>
      <c r="BF632" s="64"/>
      <c r="BG632" s="64"/>
      <c r="BH632" s="64"/>
      <c r="BI632" s="64"/>
      <c r="BJ632" s="64"/>
      <c r="BK632" s="64"/>
      <c r="BL632" s="64"/>
      <c r="BM632" s="64"/>
      <c r="BN632" s="64"/>
    </row>
    <row r="633" ht="30.0" customHeight="1">
      <c r="A633" s="64"/>
      <c r="B633" s="64"/>
      <c r="C633" s="66"/>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75"/>
      <c r="BB633" s="64"/>
      <c r="BC633" s="64"/>
      <c r="BD633" s="66"/>
      <c r="BE633" s="64"/>
      <c r="BF633" s="64"/>
      <c r="BG633" s="64"/>
      <c r="BH633" s="64"/>
      <c r="BI633" s="64"/>
      <c r="BJ633" s="64"/>
      <c r="BK633" s="64"/>
      <c r="BL633" s="64"/>
      <c r="BM633" s="64"/>
      <c r="BN633" s="64"/>
    </row>
    <row r="634" ht="30.0" customHeight="1">
      <c r="A634" s="64"/>
      <c r="B634" s="64"/>
      <c r="C634" s="66"/>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75"/>
      <c r="BB634" s="64"/>
      <c r="BC634" s="64"/>
      <c r="BD634" s="66"/>
      <c r="BE634" s="64"/>
      <c r="BF634" s="64"/>
      <c r="BG634" s="64"/>
      <c r="BH634" s="64"/>
      <c r="BI634" s="64"/>
      <c r="BJ634" s="64"/>
      <c r="BK634" s="64"/>
      <c r="BL634" s="64"/>
      <c r="BM634" s="64"/>
      <c r="BN634" s="64"/>
    </row>
    <row r="635" ht="30.0" customHeight="1">
      <c r="A635" s="64"/>
      <c r="B635" s="64"/>
      <c r="C635" s="66"/>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75"/>
      <c r="BB635" s="64"/>
      <c r="BC635" s="64"/>
      <c r="BD635" s="66"/>
      <c r="BE635" s="64"/>
      <c r="BF635" s="64"/>
      <c r="BG635" s="64"/>
      <c r="BH635" s="64"/>
      <c r="BI635" s="64"/>
      <c r="BJ635" s="64"/>
      <c r="BK635" s="64"/>
      <c r="BL635" s="64"/>
      <c r="BM635" s="64"/>
      <c r="BN635" s="64"/>
    </row>
    <row r="636" ht="30.0" customHeight="1">
      <c r="A636" s="64"/>
      <c r="B636" s="64"/>
      <c r="C636" s="66"/>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75"/>
      <c r="BB636" s="64"/>
      <c r="BC636" s="64"/>
      <c r="BD636" s="66"/>
      <c r="BE636" s="64"/>
      <c r="BF636" s="64"/>
      <c r="BG636" s="64"/>
      <c r="BH636" s="64"/>
      <c r="BI636" s="64"/>
      <c r="BJ636" s="64"/>
      <c r="BK636" s="64"/>
      <c r="BL636" s="64"/>
      <c r="BM636" s="64"/>
      <c r="BN636" s="64"/>
    </row>
    <row r="637" ht="30.0" customHeight="1">
      <c r="A637" s="64"/>
      <c r="B637" s="64"/>
      <c r="C637" s="66"/>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75"/>
      <c r="BB637" s="64"/>
      <c r="BC637" s="64"/>
      <c r="BD637" s="66"/>
      <c r="BE637" s="64"/>
      <c r="BF637" s="64"/>
      <c r="BG637" s="64"/>
      <c r="BH637" s="64"/>
      <c r="BI637" s="64"/>
      <c r="BJ637" s="64"/>
      <c r="BK637" s="64"/>
      <c r="BL637" s="64"/>
      <c r="BM637" s="64"/>
      <c r="BN637" s="64"/>
    </row>
    <row r="638" ht="30.0" customHeight="1">
      <c r="A638" s="64"/>
      <c r="B638" s="64"/>
      <c r="C638" s="66"/>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75"/>
      <c r="BB638" s="64"/>
      <c r="BC638" s="64"/>
      <c r="BD638" s="66"/>
      <c r="BE638" s="64"/>
      <c r="BF638" s="64"/>
      <c r="BG638" s="64"/>
      <c r="BH638" s="64"/>
      <c r="BI638" s="64"/>
      <c r="BJ638" s="64"/>
      <c r="BK638" s="64"/>
      <c r="BL638" s="64"/>
      <c r="BM638" s="64"/>
      <c r="BN638" s="64"/>
    </row>
    <row r="639" ht="30.0" customHeight="1">
      <c r="A639" s="64"/>
      <c r="B639" s="64"/>
      <c r="C639" s="66"/>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75"/>
      <c r="BB639" s="64"/>
      <c r="BC639" s="64"/>
      <c r="BD639" s="66"/>
      <c r="BE639" s="64"/>
      <c r="BF639" s="64"/>
      <c r="BG639" s="64"/>
      <c r="BH639" s="64"/>
      <c r="BI639" s="64"/>
      <c r="BJ639" s="64"/>
      <c r="BK639" s="64"/>
      <c r="BL639" s="64"/>
      <c r="BM639" s="64"/>
      <c r="BN639" s="64"/>
    </row>
    <row r="640" ht="30.0" customHeight="1">
      <c r="A640" s="64"/>
      <c r="B640" s="64"/>
      <c r="C640" s="66"/>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75"/>
      <c r="BB640" s="64"/>
      <c r="BC640" s="64"/>
      <c r="BD640" s="66"/>
      <c r="BE640" s="64"/>
      <c r="BF640" s="64"/>
      <c r="BG640" s="64"/>
      <c r="BH640" s="64"/>
      <c r="BI640" s="64"/>
      <c r="BJ640" s="64"/>
      <c r="BK640" s="64"/>
      <c r="BL640" s="64"/>
      <c r="BM640" s="64"/>
      <c r="BN640" s="64"/>
    </row>
    <row r="641" ht="30.0" customHeight="1">
      <c r="A641" s="64"/>
      <c r="B641" s="64"/>
      <c r="C641" s="66"/>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75"/>
      <c r="BB641" s="64"/>
      <c r="BC641" s="64"/>
      <c r="BD641" s="66"/>
      <c r="BE641" s="64"/>
      <c r="BF641" s="64"/>
      <c r="BG641" s="64"/>
      <c r="BH641" s="64"/>
      <c r="BI641" s="64"/>
      <c r="BJ641" s="64"/>
      <c r="BK641" s="64"/>
      <c r="BL641" s="64"/>
      <c r="BM641" s="64"/>
      <c r="BN641" s="64"/>
    </row>
    <row r="642" ht="30.0" customHeight="1">
      <c r="A642" s="64"/>
      <c r="B642" s="64"/>
      <c r="C642" s="66"/>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75"/>
      <c r="BB642" s="64"/>
      <c r="BC642" s="64"/>
      <c r="BD642" s="66"/>
      <c r="BE642" s="64"/>
      <c r="BF642" s="64"/>
      <c r="BG642" s="64"/>
      <c r="BH642" s="64"/>
      <c r="BI642" s="64"/>
      <c r="BJ642" s="64"/>
      <c r="BK642" s="64"/>
      <c r="BL642" s="64"/>
      <c r="BM642" s="64"/>
      <c r="BN642" s="64"/>
    </row>
    <row r="643" ht="30.0" customHeight="1">
      <c r="A643" s="64"/>
      <c r="B643" s="64"/>
      <c r="C643" s="66"/>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75"/>
      <c r="BB643" s="64"/>
      <c r="BC643" s="64"/>
      <c r="BD643" s="66"/>
      <c r="BE643" s="64"/>
      <c r="BF643" s="64"/>
      <c r="BG643" s="64"/>
      <c r="BH643" s="64"/>
      <c r="BI643" s="64"/>
      <c r="BJ643" s="64"/>
      <c r="BK643" s="64"/>
      <c r="BL643" s="64"/>
      <c r="BM643" s="64"/>
      <c r="BN643" s="64"/>
    </row>
    <row r="644" ht="30.0" customHeight="1">
      <c r="A644" s="64"/>
      <c r="B644" s="64"/>
      <c r="C644" s="66"/>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75"/>
      <c r="BB644" s="64"/>
      <c r="BC644" s="64"/>
      <c r="BD644" s="66"/>
      <c r="BE644" s="64"/>
      <c r="BF644" s="64"/>
      <c r="BG644" s="64"/>
      <c r="BH644" s="64"/>
      <c r="BI644" s="64"/>
      <c r="BJ644" s="64"/>
      <c r="BK644" s="64"/>
      <c r="BL644" s="64"/>
      <c r="BM644" s="64"/>
      <c r="BN644" s="64"/>
    </row>
    <row r="645" ht="30.0" customHeight="1">
      <c r="A645" s="64"/>
      <c r="B645" s="64"/>
      <c r="C645" s="66"/>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75"/>
      <c r="BB645" s="64"/>
      <c r="BC645" s="64"/>
      <c r="BD645" s="66"/>
      <c r="BE645" s="64"/>
      <c r="BF645" s="64"/>
      <c r="BG645" s="64"/>
      <c r="BH645" s="64"/>
      <c r="BI645" s="64"/>
      <c r="BJ645" s="64"/>
      <c r="BK645" s="64"/>
      <c r="BL645" s="64"/>
      <c r="BM645" s="64"/>
      <c r="BN645" s="64"/>
    </row>
    <row r="646" ht="30.0" customHeight="1">
      <c r="A646" s="64"/>
      <c r="B646" s="64"/>
      <c r="C646" s="66"/>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75"/>
      <c r="BB646" s="64"/>
      <c r="BC646" s="64"/>
      <c r="BD646" s="66"/>
      <c r="BE646" s="64"/>
      <c r="BF646" s="64"/>
      <c r="BG646" s="64"/>
      <c r="BH646" s="64"/>
      <c r="BI646" s="64"/>
      <c r="BJ646" s="64"/>
      <c r="BK646" s="64"/>
      <c r="BL646" s="64"/>
      <c r="BM646" s="64"/>
      <c r="BN646" s="64"/>
    </row>
    <row r="647" ht="30.0" customHeight="1">
      <c r="A647" s="64"/>
      <c r="B647" s="64"/>
      <c r="C647" s="66"/>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75"/>
      <c r="BB647" s="64"/>
      <c r="BC647" s="64"/>
      <c r="BD647" s="66"/>
      <c r="BE647" s="64"/>
      <c r="BF647" s="64"/>
      <c r="BG647" s="64"/>
      <c r="BH647" s="64"/>
      <c r="BI647" s="64"/>
      <c r="BJ647" s="64"/>
      <c r="BK647" s="64"/>
      <c r="BL647" s="64"/>
      <c r="BM647" s="64"/>
      <c r="BN647" s="64"/>
    </row>
    <row r="648" ht="30.0" customHeight="1">
      <c r="A648" s="64"/>
      <c r="B648" s="64"/>
      <c r="C648" s="66"/>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75"/>
      <c r="BB648" s="64"/>
      <c r="BC648" s="64"/>
      <c r="BD648" s="66"/>
      <c r="BE648" s="64"/>
      <c r="BF648" s="64"/>
      <c r="BG648" s="64"/>
      <c r="BH648" s="64"/>
      <c r="BI648" s="64"/>
      <c r="BJ648" s="64"/>
      <c r="BK648" s="64"/>
      <c r="BL648" s="64"/>
      <c r="BM648" s="64"/>
      <c r="BN648" s="64"/>
    </row>
    <row r="649" ht="30.0" customHeight="1">
      <c r="A649" s="64"/>
      <c r="B649" s="64"/>
      <c r="C649" s="66"/>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75"/>
      <c r="BB649" s="64"/>
      <c r="BC649" s="64"/>
      <c r="BD649" s="66"/>
      <c r="BE649" s="64"/>
      <c r="BF649" s="64"/>
      <c r="BG649" s="64"/>
      <c r="BH649" s="64"/>
      <c r="BI649" s="64"/>
      <c r="BJ649" s="64"/>
      <c r="BK649" s="64"/>
      <c r="BL649" s="64"/>
      <c r="BM649" s="64"/>
      <c r="BN649" s="64"/>
    </row>
    <row r="650" ht="30.0" customHeight="1">
      <c r="A650" s="64"/>
      <c r="B650" s="64"/>
      <c r="C650" s="66"/>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75"/>
      <c r="BB650" s="64"/>
      <c r="BC650" s="64"/>
      <c r="BD650" s="66"/>
      <c r="BE650" s="64"/>
      <c r="BF650" s="64"/>
      <c r="BG650" s="64"/>
      <c r="BH650" s="64"/>
      <c r="BI650" s="64"/>
      <c r="BJ650" s="64"/>
      <c r="BK650" s="64"/>
      <c r="BL650" s="64"/>
      <c r="BM650" s="64"/>
      <c r="BN650" s="64"/>
    </row>
    <row r="651" ht="30.0" customHeight="1">
      <c r="A651" s="64"/>
      <c r="B651" s="64"/>
      <c r="C651" s="66"/>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75"/>
      <c r="BB651" s="64"/>
      <c r="BC651" s="64"/>
      <c r="BD651" s="66"/>
      <c r="BE651" s="64"/>
      <c r="BF651" s="64"/>
      <c r="BG651" s="64"/>
      <c r="BH651" s="64"/>
      <c r="BI651" s="64"/>
      <c r="BJ651" s="64"/>
      <c r="BK651" s="64"/>
      <c r="BL651" s="64"/>
      <c r="BM651" s="64"/>
      <c r="BN651" s="64"/>
    </row>
    <row r="652" ht="30.0" customHeight="1">
      <c r="A652" s="64"/>
      <c r="B652" s="64"/>
      <c r="C652" s="66"/>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75"/>
      <c r="BB652" s="64"/>
      <c r="BC652" s="64"/>
      <c r="BD652" s="66"/>
      <c r="BE652" s="64"/>
      <c r="BF652" s="64"/>
      <c r="BG652" s="64"/>
      <c r="BH652" s="64"/>
      <c r="BI652" s="64"/>
      <c r="BJ652" s="64"/>
      <c r="BK652" s="64"/>
      <c r="BL652" s="64"/>
      <c r="BM652" s="64"/>
      <c r="BN652" s="64"/>
    </row>
    <row r="653" ht="30.0" customHeight="1">
      <c r="A653" s="64"/>
      <c r="B653" s="64"/>
      <c r="C653" s="66"/>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75"/>
      <c r="BB653" s="64"/>
      <c r="BC653" s="64"/>
      <c r="BD653" s="66"/>
      <c r="BE653" s="64"/>
      <c r="BF653" s="64"/>
      <c r="BG653" s="64"/>
      <c r="BH653" s="64"/>
      <c r="BI653" s="64"/>
      <c r="BJ653" s="64"/>
      <c r="BK653" s="64"/>
      <c r="BL653" s="64"/>
      <c r="BM653" s="64"/>
      <c r="BN653" s="64"/>
    </row>
    <row r="654" ht="30.0" customHeight="1">
      <c r="A654" s="64"/>
      <c r="B654" s="64"/>
      <c r="C654" s="66"/>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75"/>
      <c r="BB654" s="64"/>
      <c r="BC654" s="64"/>
      <c r="BD654" s="66"/>
      <c r="BE654" s="64"/>
      <c r="BF654" s="64"/>
      <c r="BG654" s="64"/>
      <c r="BH654" s="64"/>
      <c r="BI654" s="64"/>
      <c r="BJ654" s="64"/>
      <c r="BK654" s="64"/>
      <c r="BL654" s="64"/>
      <c r="BM654" s="64"/>
      <c r="BN654" s="64"/>
    </row>
    <row r="655" ht="30.0" customHeight="1">
      <c r="A655" s="64"/>
      <c r="B655" s="64"/>
      <c r="C655" s="66"/>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75"/>
      <c r="BB655" s="64"/>
      <c r="BC655" s="64"/>
      <c r="BD655" s="66"/>
      <c r="BE655" s="64"/>
      <c r="BF655" s="64"/>
      <c r="BG655" s="64"/>
      <c r="BH655" s="64"/>
      <c r="BI655" s="64"/>
      <c r="BJ655" s="64"/>
      <c r="BK655" s="64"/>
      <c r="BL655" s="64"/>
      <c r="BM655" s="64"/>
      <c r="BN655" s="64"/>
    </row>
    <row r="656" ht="30.0" customHeight="1">
      <c r="A656" s="64"/>
      <c r="B656" s="64"/>
      <c r="C656" s="66"/>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75"/>
      <c r="BB656" s="64"/>
      <c r="BC656" s="64"/>
      <c r="BD656" s="66"/>
      <c r="BE656" s="64"/>
      <c r="BF656" s="64"/>
      <c r="BG656" s="64"/>
      <c r="BH656" s="64"/>
      <c r="BI656" s="64"/>
      <c r="BJ656" s="64"/>
      <c r="BK656" s="64"/>
      <c r="BL656" s="64"/>
      <c r="BM656" s="64"/>
      <c r="BN656" s="64"/>
    </row>
    <row r="657" ht="30.0" customHeight="1">
      <c r="A657" s="64"/>
      <c r="B657" s="64"/>
      <c r="C657" s="66"/>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75"/>
      <c r="BB657" s="64"/>
      <c r="BC657" s="64"/>
      <c r="BD657" s="66"/>
      <c r="BE657" s="64"/>
      <c r="BF657" s="64"/>
      <c r="BG657" s="64"/>
      <c r="BH657" s="64"/>
      <c r="BI657" s="64"/>
      <c r="BJ657" s="64"/>
      <c r="BK657" s="64"/>
      <c r="BL657" s="64"/>
      <c r="BM657" s="64"/>
      <c r="BN657" s="64"/>
    </row>
    <row r="658" ht="30.0" customHeight="1">
      <c r="A658" s="64"/>
      <c r="B658" s="64"/>
      <c r="C658" s="66"/>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75"/>
      <c r="BB658" s="64"/>
      <c r="BC658" s="64"/>
      <c r="BD658" s="66"/>
      <c r="BE658" s="64"/>
      <c r="BF658" s="64"/>
      <c r="BG658" s="64"/>
      <c r="BH658" s="64"/>
      <c r="BI658" s="64"/>
      <c r="BJ658" s="64"/>
      <c r="BK658" s="64"/>
      <c r="BL658" s="64"/>
      <c r="BM658" s="64"/>
      <c r="BN658" s="64"/>
    </row>
    <row r="659" ht="30.0" customHeight="1">
      <c r="A659" s="64"/>
      <c r="B659" s="64"/>
      <c r="C659" s="66"/>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75"/>
      <c r="BB659" s="64"/>
      <c r="BC659" s="64"/>
      <c r="BD659" s="66"/>
      <c r="BE659" s="64"/>
      <c r="BF659" s="64"/>
      <c r="BG659" s="64"/>
      <c r="BH659" s="64"/>
      <c r="BI659" s="64"/>
      <c r="BJ659" s="64"/>
      <c r="BK659" s="64"/>
      <c r="BL659" s="64"/>
      <c r="BM659" s="64"/>
      <c r="BN659" s="64"/>
    </row>
    <row r="660" ht="30.0" customHeight="1">
      <c r="A660" s="64"/>
      <c r="B660" s="64"/>
      <c r="C660" s="66"/>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75"/>
      <c r="BB660" s="64"/>
      <c r="BC660" s="64"/>
      <c r="BD660" s="66"/>
      <c r="BE660" s="64"/>
      <c r="BF660" s="64"/>
      <c r="BG660" s="64"/>
      <c r="BH660" s="64"/>
      <c r="BI660" s="64"/>
      <c r="BJ660" s="64"/>
      <c r="BK660" s="64"/>
      <c r="BL660" s="64"/>
      <c r="BM660" s="64"/>
      <c r="BN660" s="64"/>
    </row>
    <row r="661" ht="30.0" customHeight="1">
      <c r="A661" s="64"/>
      <c r="B661" s="64"/>
      <c r="C661" s="66"/>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75"/>
      <c r="BB661" s="64"/>
      <c r="BC661" s="64"/>
      <c r="BD661" s="66"/>
      <c r="BE661" s="64"/>
      <c r="BF661" s="64"/>
      <c r="BG661" s="64"/>
      <c r="BH661" s="64"/>
      <c r="BI661" s="64"/>
      <c r="BJ661" s="64"/>
      <c r="BK661" s="64"/>
      <c r="BL661" s="64"/>
      <c r="BM661" s="64"/>
      <c r="BN661" s="64"/>
    </row>
    <row r="662" ht="30.0" customHeight="1">
      <c r="A662" s="64"/>
      <c r="B662" s="64"/>
      <c r="C662" s="66"/>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75"/>
      <c r="BB662" s="64"/>
      <c r="BC662" s="64"/>
      <c r="BD662" s="66"/>
      <c r="BE662" s="64"/>
      <c r="BF662" s="64"/>
      <c r="BG662" s="64"/>
      <c r="BH662" s="64"/>
      <c r="BI662" s="64"/>
      <c r="BJ662" s="64"/>
      <c r="BK662" s="64"/>
      <c r="BL662" s="64"/>
      <c r="BM662" s="64"/>
      <c r="BN662" s="64"/>
    </row>
    <row r="663" ht="30.0" customHeight="1">
      <c r="A663" s="64"/>
      <c r="B663" s="64"/>
      <c r="C663" s="66"/>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75"/>
      <c r="BB663" s="64"/>
      <c r="BC663" s="64"/>
      <c r="BD663" s="66"/>
      <c r="BE663" s="64"/>
      <c r="BF663" s="64"/>
      <c r="BG663" s="64"/>
      <c r="BH663" s="64"/>
      <c r="BI663" s="64"/>
      <c r="BJ663" s="64"/>
      <c r="BK663" s="64"/>
      <c r="BL663" s="64"/>
      <c r="BM663" s="64"/>
      <c r="BN663" s="64"/>
    </row>
    <row r="664" ht="30.0" customHeight="1">
      <c r="A664" s="64"/>
      <c r="B664" s="64"/>
      <c r="C664" s="66"/>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75"/>
      <c r="BB664" s="64"/>
      <c r="BC664" s="64"/>
      <c r="BD664" s="66"/>
      <c r="BE664" s="64"/>
      <c r="BF664" s="64"/>
      <c r="BG664" s="64"/>
      <c r="BH664" s="64"/>
      <c r="BI664" s="64"/>
      <c r="BJ664" s="64"/>
      <c r="BK664" s="64"/>
      <c r="BL664" s="64"/>
      <c r="BM664" s="64"/>
      <c r="BN664" s="64"/>
    </row>
    <row r="665" ht="30.0" customHeight="1">
      <c r="A665" s="64"/>
      <c r="B665" s="64"/>
      <c r="C665" s="66"/>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75"/>
      <c r="BB665" s="64"/>
      <c r="BC665" s="64"/>
      <c r="BD665" s="66"/>
      <c r="BE665" s="64"/>
      <c r="BF665" s="64"/>
      <c r="BG665" s="64"/>
      <c r="BH665" s="64"/>
      <c r="BI665" s="64"/>
      <c r="BJ665" s="64"/>
      <c r="BK665" s="64"/>
      <c r="BL665" s="64"/>
      <c r="BM665" s="64"/>
      <c r="BN665" s="64"/>
    </row>
    <row r="666" ht="30.0" customHeight="1">
      <c r="A666" s="64"/>
      <c r="B666" s="64"/>
      <c r="C666" s="66"/>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75"/>
      <c r="BB666" s="64"/>
      <c r="BC666" s="64"/>
      <c r="BD666" s="66"/>
      <c r="BE666" s="64"/>
      <c r="BF666" s="64"/>
      <c r="BG666" s="64"/>
      <c r="BH666" s="64"/>
      <c r="BI666" s="64"/>
      <c r="BJ666" s="64"/>
      <c r="BK666" s="64"/>
      <c r="BL666" s="64"/>
      <c r="BM666" s="64"/>
      <c r="BN666" s="64"/>
    </row>
    <row r="667" ht="30.0" customHeight="1">
      <c r="A667" s="64"/>
      <c r="B667" s="64"/>
      <c r="C667" s="66"/>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75"/>
      <c r="BB667" s="64"/>
      <c r="BC667" s="64"/>
      <c r="BD667" s="66"/>
      <c r="BE667" s="64"/>
      <c r="BF667" s="64"/>
      <c r="BG667" s="64"/>
      <c r="BH667" s="64"/>
      <c r="BI667" s="64"/>
      <c r="BJ667" s="64"/>
      <c r="BK667" s="64"/>
      <c r="BL667" s="64"/>
      <c r="BM667" s="64"/>
      <c r="BN667" s="64"/>
    </row>
    <row r="668" ht="30.0" customHeight="1">
      <c r="A668" s="64"/>
      <c r="B668" s="64"/>
      <c r="C668" s="66"/>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75"/>
      <c r="BB668" s="64"/>
      <c r="BC668" s="64"/>
      <c r="BD668" s="66"/>
      <c r="BE668" s="64"/>
      <c r="BF668" s="64"/>
      <c r="BG668" s="64"/>
      <c r="BH668" s="64"/>
      <c r="BI668" s="64"/>
      <c r="BJ668" s="64"/>
      <c r="BK668" s="64"/>
      <c r="BL668" s="64"/>
      <c r="BM668" s="64"/>
      <c r="BN668" s="64"/>
    </row>
    <row r="669" ht="30.0" customHeight="1">
      <c r="A669" s="64"/>
      <c r="B669" s="64"/>
      <c r="C669" s="66"/>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75"/>
      <c r="BB669" s="64"/>
      <c r="BC669" s="64"/>
      <c r="BD669" s="66"/>
      <c r="BE669" s="64"/>
      <c r="BF669" s="64"/>
      <c r="BG669" s="64"/>
      <c r="BH669" s="64"/>
      <c r="BI669" s="64"/>
      <c r="BJ669" s="64"/>
      <c r="BK669" s="64"/>
      <c r="BL669" s="64"/>
      <c r="BM669" s="64"/>
      <c r="BN669" s="64"/>
    </row>
    <row r="670" ht="30.0" customHeight="1">
      <c r="A670" s="64"/>
      <c r="B670" s="64"/>
      <c r="C670" s="66"/>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75"/>
      <c r="BB670" s="64"/>
      <c r="BC670" s="64"/>
      <c r="BD670" s="66"/>
      <c r="BE670" s="64"/>
      <c r="BF670" s="64"/>
      <c r="BG670" s="64"/>
      <c r="BH670" s="64"/>
      <c r="BI670" s="64"/>
      <c r="BJ670" s="64"/>
      <c r="BK670" s="64"/>
      <c r="BL670" s="64"/>
      <c r="BM670" s="64"/>
      <c r="BN670" s="64"/>
    </row>
    <row r="671" ht="30.0" customHeight="1">
      <c r="A671" s="64"/>
      <c r="B671" s="64"/>
      <c r="C671" s="66"/>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75"/>
      <c r="BB671" s="64"/>
      <c r="BC671" s="64"/>
      <c r="BD671" s="66"/>
      <c r="BE671" s="64"/>
      <c r="BF671" s="64"/>
      <c r="BG671" s="64"/>
      <c r="BH671" s="64"/>
      <c r="BI671" s="64"/>
      <c r="BJ671" s="64"/>
      <c r="BK671" s="64"/>
      <c r="BL671" s="64"/>
      <c r="BM671" s="64"/>
      <c r="BN671" s="64"/>
    </row>
    <row r="672" ht="30.0" customHeight="1">
      <c r="A672" s="64"/>
      <c r="B672" s="64"/>
      <c r="C672" s="66"/>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75"/>
      <c r="BB672" s="64"/>
      <c r="BC672" s="64"/>
      <c r="BD672" s="66"/>
      <c r="BE672" s="64"/>
      <c r="BF672" s="64"/>
      <c r="BG672" s="64"/>
      <c r="BH672" s="64"/>
      <c r="BI672" s="64"/>
      <c r="BJ672" s="64"/>
      <c r="BK672" s="64"/>
      <c r="BL672" s="64"/>
      <c r="BM672" s="64"/>
      <c r="BN672" s="64"/>
    </row>
    <row r="673" ht="30.0" customHeight="1">
      <c r="A673" s="64"/>
      <c r="B673" s="64"/>
      <c r="C673" s="66"/>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75"/>
      <c r="BB673" s="64"/>
      <c r="BC673" s="64"/>
      <c r="BD673" s="66"/>
      <c r="BE673" s="64"/>
      <c r="BF673" s="64"/>
      <c r="BG673" s="64"/>
      <c r="BH673" s="64"/>
      <c r="BI673" s="64"/>
      <c r="BJ673" s="64"/>
      <c r="BK673" s="64"/>
      <c r="BL673" s="64"/>
      <c r="BM673" s="64"/>
      <c r="BN673" s="64"/>
    </row>
    <row r="674" ht="30.0" customHeight="1">
      <c r="A674" s="64"/>
      <c r="B674" s="64"/>
      <c r="C674" s="66"/>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75"/>
      <c r="BB674" s="64"/>
      <c r="BC674" s="64"/>
      <c r="BD674" s="66"/>
      <c r="BE674" s="64"/>
      <c r="BF674" s="64"/>
      <c r="BG674" s="64"/>
      <c r="BH674" s="64"/>
      <c r="BI674" s="64"/>
      <c r="BJ674" s="64"/>
      <c r="BK674" s="64"/>
      <c r="BL674" s="64"/>
      <c r="BM674" s="64"/>
      <c r="BN674" s="64"/>
    </row>
    <row r="675" ht="30.0" customHeight="1">
      <c r="A675" s="64"/>
      <c r="B675" s="64"/>
      <c r="C675" s="66"/>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75"/>
      <c r="BB675" s="64"/>
      <c r="BC675" s="64"/>
      <c r="BD675" s="66"/>
      <c r="BE675" s="64"/>
      <c r="BF675" s="64"/>
      <c r="BG675" s="64"/>
      <c r="BH675" s="64"/>
      <c r="BI675" s="64"/>
      <c r="BJ675" s="64"/>
      <c r="BK675" s="64"/>
      <c r="BL675" s="64"/>
      <c r="BM675" s="64"/>
      <c r="BN675" s="64"/>
    </row>
    <row r="676" ht="30.0" customHeight="1">
      <c r="A676" s="64"/>
      <c r="B676" s="64"/>
      <c r="C676" s="66"/>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75"/>
      <c r="BB676" s="64"/>
      <c r="BC676" s="64"/>
      <c r="BD676" s="66"/>
      <c r="BE676" s="64"/>
      <c r="BF676" s="64"/>
      <c r="BG676" s="64"/>
      <c r="BH676" s="64"/>
      <c r="BI676" s="64"/>
      <c r="BJ676" s="64"/>
      <c r="BK676" s="64"/>
      <c r="BL676" s="64"/>
      <c r="BM676" s="64"/>
      <c r="BN676" s="64"/>
    </row>
    <row r="677" ht="30.0" customHeight="1">
      <c r="A677" s="64"/>
      <c r="B677" s="64"/>
      <c r="C677" s="66"/>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75"/>
      <c r="BB677" s="64"/>
      <c r="BC677" s="64"/>
      <c r="BD677" s="66"/>
      <c r="BE677" s="64"/>
      <c r="BF677" s="64"/>
      <c r="BG677" s="64"/>
      <c r="BH677" s="64"/>
      <c r="BI677" s="64"/>
      <c r="BJ677" s="64"/>
      <c r="BK677" s="64"/>
      <c r="BL677" s="64"/>
      <c r="BM677" s="64"/>
      <c r="BN677" s="64"/>
    </row>
    <row r="678" ht="30.0" customHeight="1">
      <c r="A678" s="64"/>
      <c r="B678" s="64"/>
      <c r="C678" s="66"/>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75"/>
      <c r="BB678" s="64"/>
      <c r="BC678" s="64"/>
      <c r="BD678" s="66"/>
      <c r="BE678" s="64"/>
      <c r="BF678" s="64"/>
      <c r="BG678" s="64"/>
      <c r="BH678" s="64"/>
      <c r="BI678" s="64"/>
      <c r="BJ678" s="64"/>
      <c r="BK678" s="64"/>
      <c r="BL678" s="64"/>
      <c r="BM678" s="64"/>
      <c r="BN678" s="64"/>
    </row>
    <row r="679" ht="30.0" customHeight="1">
      <c r="A679" s="64"/>
      <c r="B679" s="64"/>
      <c r="C679" s="66"/>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75"/>
      <c r="BB679" s="64"/>
      <c r="BC679" s="64"/>
      <c r="BD679" s="66"/>
      <c r="BE679" s="64"/>
      <c r="BF679" s="64"/>
      <c r="BG679" s="64"/>
      <c r="BH679" s="64"/>
      <c r="BI679" s="64"/>
      <c r="BJ679" s="64"/>
      <c r="BK679" s="64"/>
      <c r="BL679" s="64"/>
      <c r="BM679" s="64"/>
      <c r="BN679" s="64"/>
    </row>
    <row r="680" ht="30.0" customHeight="1">
      <c r="A680" s="64"/>
      <c r="B680" s="64"/>
      <c r="C680" s="66"/>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75"/>
      <c r="BB680" s="64"/>
      <c r="BC680" s="64"/>
      <c r="BD680" s="66"/>
      <c r="BE680" s="64"/>
      <c r="BF680" s="64"/>
      <c r="BG680" s="64"/>
      <c r="BH680" s="64"/>
      <c r="BI680" s="64"/>
      <c r="BJ680" s="64"/>
      <c r="BK680" s="64"/>
      <c r="BL680" s="64"/>
      <c r="BM680" s="64"/>
      <c r="BN680" s="64"/>
    </row>
    <row r="681" ht="30.0" customHeight="1">
      <c r="A681" s="64"/>
      <c r="B681" s="64"/>
      <c r="C681" s="66"/>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75"/>
      <c r="BB681" s="64"/>
      <c r="BC681" s="64"/>
      <c r="BD681" s="66"/>
      <c r="BE681" s="64"/>
      <c r="BF681" s="64"/>
      <c r="BG681" s="64"/>
      <c r="BH681" s="64"/>
      <c r="BI681" s="64"/>
      <c r="BJ681" s="64"/>
      <c r="BK681" s="64"/>
      <c r="BL681" s="64"/>
      <c r="BM681" s="64"/>
      <c r="BN681" s="64"/>
    </row>
    <row r="682" ht="30.0" customHeight="1">
      <c r="A682" s="64"/>
      <c r="B682" s="64"/>
      <c r="C682" s="66"/>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75"/>
      <c r="BB682" s="64"/>
      <c r="BC682" s="64"/>
      <c r="BD682" s="66"/>
      <c r="BE682" s="64"/>
      <c r="BF682" s="64"/>
      <c r="BG682" s="64"/>
      <c r="BH682" s="64"/>
      <c r="BI682" s="64"/>
      <c r="BJ682" s="64"/>
      <c r="BK682" s="64"/>
      <c r="BL682" s="64"/>
      <c r="BM682" s="64"/>
      <c r="BN682" s="64"/>
    </row>
    <row r="683" ht="30.0" customHeight="1">
      <c r="A683" s="64"/>
      <c r="B683" s="64"/>
      <c r="C683" s="66"/>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75"/>
      <c r="BB683" s="64"/>
      <c r="BC683" s="64"/>
      <c r="BD683" s="66"/>
      <c r="BE683" s="64"/>
      <c r="BF683" s="64"/>
      <c r="BG683" s="64"/>
      <c r="BH683" s="64"/>
      <c r="BI683" s="64"/>
      <c r="BJ683" s="64"/>
      <c r="BK683" s="64"/>
      <c r="BL683" s="64"/>
      <c r="BM683" s="64"/>
      <c r="BN683" s="64"/>
    </row>
    <row r="684" ht="30.0" customHeight="1">
      <c r="A684" s="64"/>
      <c r="B684" s="64"/>
      <c r="C684" s="66"/>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75"/>
      <c r="BB684" s="64"/>
      <c r="BC684" s="64"/>
      <c r="BD684" s="66"/>
      <c r="BE684" s="64"/>
      <c r="BF684" s="64"/>
      <c r="BG684" s="64"/>
      <c r="BH684" s="64"/>
      <c r="BI684" s="64"/>
      <c r="BJ684" s="64"/>
      <c r="BK684" s="64"/>
      <c r="BL684" s="64"/>
      <c r="BM684" s="64"/>
      <c r="BN684" s="64"/>
    </row>
    <row r="685" ht="30.0" customHeight="1">
      <c r="A685" s="64"/>
      <c r="B685" s="64"/>
      <c r="C685" s="66"/>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75"/>
      <c r="BB685" s="64"/>
      <c r="BC685" s="64"/>
      <c r="BD685" s="66"/>
      <c r="BE685" s="64"/>
      <c r="BF685" s="64"/>
      <c r="BG685" s="64"/>
      <c r="BH685" s="64"/>
      <c r="BI685" s="64"/>
      <c r="BJ685" s="64"/>
      <c r="BK685" s="64"/>
      <c r="BL685" s="64"/>
      <c r="BM685" s="64"/>
      <c r="BN685" s="64"/>
    </row>
    <row r="686" ht="30.0" customHeight="1">
      <c r="A686" s="64"/>
      <c r="B686" s="64"/>
      <c r="C686" s="66"/>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75"/>
      <c r="BB686" s="64"/>
      <c r="BC686" s="64"/>
      <c r="BD686" s="66"/>
      <c r="BE686" s="64"/>
      <c r="BF686" s="64"/>
      <c r="BG686" s="64"/>
      <c r="BH686" s="64"/>
      <c r="BI686" s="64"/>
      <c r="BJ686" s="64"/>
      <c r="BK686" s="64"/>
      <c r="BL686" s="64"/>
      <c r="BM686" s="64"/>
      <c r="BN686" s="64"/>
    </row>
    <row r="687" ht="30.0" customHeight="1">
      <c r="A687" s="64"/>
      <c r="B687" s="64"/>
      <c r="C687" s="66"/>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75"/>
      <c r="BB687" s="64"/>
      <c r="BC687" s="64"/>
      <c r="BD687" s="66"/>
      <c r="BE687" s="64"/>
      <c r="BF687" s="64"/>
      <c r="BG687" s="64"/>
      <c r="BH687" s="64"/>
      <c r="BI687" s="64"/>
      <c r="BJ687" s="64"/>
      <c r="BK687" s="64"/>
      <c r="BL687" s="64"/>
      <c r="BM687" s="64"/>
      <c r="BN687" s="64"/>
    </row>
    <row r="688" ht="30.0" customHeight="1">
      <c r="A688" s="64"/>
      <c r="B688" s="64"/>
      <c r="C688" s="66"/>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75"/>
      <c r="BB688" s="64"/>
      <c r="BC688" s="64"/>
      <c r="BD688" s="66"/>
      <c r="BE688" s="64"/>
      <c r="BF688" s="64"/>
      <c r="BG688" s="64"/>
      <c r="BH688" s="64"/>
      <c r="BI688" s="64"/>
      <c r="BJ688" s="64"/>
      <c r="BK688" s="64"/>
      <c r="BL688" s="64"/>
      <c r="BM688" s="64"/>
      <c r="BN688" s="64"/>
    </row>
    <row r="689" ht="30.0" customHeight="1">
      <c r="A689" s="64"/>
      <c r="B689" s="64"/>
      <c r="C689" s="66"/>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75"/>
      <c r="BB689" s="64"/>
      <c r="BC689" s="64"/>
      <c r="BD689" s="66"/>
      <c r="BE689" s="64"/>
      <c r="BF689" s="64"/>
      <c r="BG689" s="64"/>
      <c r="BH689" s="64"/>
      <c r="BI689" s="64"/>
      <c r="BJ689" s="64"/>
      <c r="BK689" s="64"/>
      <c r="BL689" s="64"/>
      <c r="BM689" s="64"/>
      <c r="BN689" s="64"/>
    </row>
    <row r="690" ht="30.0" customHeight="1">
      <c r="A690" s="64"/>
      <c r="B690" s="64"/>
      <c r="C690" s="66"/>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75"/>
      <c r="BB690" s="64"/>
      <c r="BC690" s="64"/>
      <c r="BD690" s="66"/>
      <c r="BE690" s="64"/>
      <c r="BF690" s="64"/>
      <c r="BG690" s="64"/>
      <c r="BH690" s="64"/>
      <c r="BI690" s="64"/>
      <c r="BJ690" s="64"/>
      <c r="BK690" s="64"/>
      <c r="BL690" s="64"/>
      <c r="BM690" s="64"/>
      <c r="BN690" s="64"/>
    </row>
    <row r="691" ht="30.0" customHeight="1">
      <c r="A691" s="64"/>
      <c r="B691" s="64"/>
      <c r="C691" s="66"/>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75"/>
      <c r="BB691" s="64"/>
      <c r="BC691" s="64"/>
      <c r="BD691" s="66"/>
      <c r="BE691" s="64"/>
      <c r="BF691" s="64"/>
      <c r="BG691" s="64"/>
      <c r="BH691" s="64"/>
      <c r="BI691" s="64"/>
      <c r="BJ691" s="64"/>
      <c r="BK691" s="64"/>
      <c r="BL691" s="64"/>
      <c r="BM691" s="64"/>
      <c r="BN691" s="64"/>
    </row>
    <row r="692" ht="30.0" customHeight="1">
      <c r="A692" s="64"/>
      <c r="B692" s="64"/>
      <c r="C692" s="66"/>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75"/>
      <c r="BB692" s="64"/>
      <c r="BC692" s="64"/>
      <c r="BD692" s="66"/>
      <c r="BE692" s="64"/>
      <c r="BF692" s="64"/>
      <c r="BG692" s="64"/>
      <c r="BH692" s="64"/>
      <c r="BI692" s="64"/>
      <c r="BJ692" s="64"/>
      <c r="BK692" s="64"/>
      <c r="BL692" s="64"/>
      <c r="BM692" s="64"/>
      <c r="BN692" s="64"/>
    </row>
    <row r="693" ht="30.0" customHeight="1">
      <c r="A693" s="64"/>
      <c r="B693" s="64"/>
      <c r="C693" s="66"/>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75"/>
      <c r="BB693" s="64"/>
      <c r="BC693" s="64"/>
      <c r="BD693" s="66"/>
      <c r="BE693" s="64"/>
      <c r="BF693" s="64"/>
      <c r="BG693" s="64"/>
      <c r="BH693" s="64"/>
      <c r="BI693" s="64"/>
      <c r="BJ693" s="64"/>
      <c r="BK693" s="64"/>
      <c r="BL693" s="64"/>
      <c r="BM693" s="64"/>
      <c r="BN693" s="64"/>
    </row>
    <row r="694" ht="30.0" customHeight="1">
      <c r="A694" s="64"/>
      <c r="B694" s="64"/>
      <c r="C694" s="66"/>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75"/>
      <c r="BB694" s="64"/>
      <c r="BC694" s="64"/>
      <c r="BD694" s="66"/>
      <c r="BE694" s="64"/>
      <c r="BF694" s="64"/>
      <c r="BG694" s="64"/>
      <c r="BH694" s="64"/>
      <c r="BI694" s="64"/>
      <c r="BJ694" s="64"/>
      <c r="BK694" s="64"/>
      <c r="BL694" s="64"/>
      <c r="BM694" s="64"/>
      <c r="BN694" s="64"/>
    </row>
    <row r="695" ht="30.0" customHeight="1">
      <c r="A695" s="64"/>
      <c r="B695" s="64"/>
      <c r="C695" s="66"/>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75"/>
      <c r="BB695" s="64"/>
      <c r="BC695" s="64"/>
      <c r="BD695" s="66"/>
      <c r="BE695" s="64"/>
      <c r="BF695" s="64"/>
      <c r="BG695" s="64"/>
      <c r="BH695" s="64"/>
      <c r="BI695" s="64"/>
      <c r="BJ695" s="64"/>
      <c r="BK695" s="64"/>
      <c r="BL695" s="64"/>
      <c r="BM695" s="64"/>
      <c r="BN695" s="64"/>
    </row>
    <row r="696" ht="30.0" customHeight="1">
      <c r="A696" s="64"/>
      <c r="B696" s="64"/>
      <c r="C696" s="66"/>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75"/>
      <c r="BB696" s="64"/>
      <c r="BC696" s="64"/>
      <c r="BD696" s="66"/>
      <c r="BE696" s="64"/>
      <c r="BF696" s="64"/>
      <c r="BG696" s="64"/>
      <c r="BH696" s="64"/>
      <c r="BI696" s="64"/>
      <c r="BJ696" s="64"/>
      <c r="BK696" s="64"/>
      <c r="BL696" s="64"/>
      <c r="BM696" s="64"/>
      <c r="BN696" s="64"/>
    </row>
    <row r="697" ht="30.0" customHeight="1">
      <c r="A697" s="64"/>
      <c r="B697" s="64"/>
      <c r="C697" s="66"/>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75"/>
      <c r="BB697" s="64"/>
      <c r="BC697" s="64"/>
      <c r="BD697" s="66"/>
      <c r="BE697" s="64"/>
      <c r="BF697" s="64"/>
      <c r="BG697" s="64"/>
      <c r="BH697" s="64"/>
      <c r="BI697" s="64"/>
      <c r="BJ697" s="64"/>
      <c r="BK697" s="64"/>
      <c r="BL697" s="64"/>
      <c r="BM697" s="64"/>
      <c r="BN697" s="64"/>
    </row>
    <row r="698" ht="30.0" customHeight="1">
      <c r="A698" s="64"/>
      <c r="B698" s="64"/>
      <c r="C698" s="66"/>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75"/>
      <c r="BB698" s="64"/>
      <c r="BC698" s="64"/>
      <c r="BD698" s="66"/>
      <c r="BE698" s="64"/>
      <c r="BF698" s="64"/>
      <c r="BG698" s="64"/>
      <c r="BH698" s="64"/>
      <c r="BI698" s="64"/>
      <c r="BJ698" s="64"/>
      <c r="BK698" s="64"/>
      <c r="BL698" s="64"/>
      <c r="BM698" s="64"/>
      <c r="BN698" s="64"/>
    </row>
    <row r="699" ht="30.0" customHeight="1">
      <c r="A699" s="64"/>
      <c r="B699" s="64"/>
      <c r="C699" s="66"/>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75"/>
      <c r="BB699" s="64"/>
      <c r="BC699" s="64"/>
      <c r="BD699" s="66"/>
      <c r="BE699" s="64"/>
      <c r="BF699" s="64"/>
      <c r="BG699" s="64"/>
      <c r="BH699" s="64"/>
      <c r="BI699" s="64"/>
      <c r="BJ699" s="64"/>
      <c r="BK699" s="64"/>
      <c r="BL699" s="64"/>
      <c r="BM699" s="64"/>
      <c r="BN699" s="64"/>
    </row>
    <row r="700" ht="30.0" customHeight="1">
      <c r="A700" s="64"/>
      <c r="B700" s="64"/>
      <c r="C700" s="66"/>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75"/>
      <c r="BB700" s="64"/>
      <c r="BC700" s="64"/>
      <c r="BD700" s="66"/>
      <c r="BE700" s="64"/>
      <c r="BF700" s="64"/>
      <c r="BG700" s="64"/>
      <c r="BH700" s="64"/>
      <c r="BI700" s="64"/>
      <c r="BJ700" s="64"/>
      <c r="BK700" s="64"/>
      <c r="BL700" s="64"/>
      <c r="BM700" s="64"/>
      <c r="BN700" s="64"/>
    </row>
    <row r="701" ht="30.0" customHeight="1">
      <c r="A701" s="64"/>
      <c r="B701" s="64"/>
      <c r="C701" s="66"/>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75"/>
      <c r="BB701" s="64"/>
      <c r="BC701" s="64"/>
      <c r="BD701" s="66"/>
      <c r="BE701" s="64"/>
      <c r="BF701" s="64"/>
      <c r="BG701" s="64"/>
      <c r="BH701" s="64"/>
      <c r="BI701" s="64"/>
      <c r="BJ701" s="64"/>
      <c r="BK701" s="64"/>
      <c r="BL701" s="64"/>
      <c r="BM701" s="64"/>
      <c r="BN701" s="64"/>
    </row>
    <row r="702" ht="30.0" customHeight="1">
      <c r="A702" s="64"/>
      <c r="B702" s="64"/>
      <c r="C702" s="66"/>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75"/>
      <c r="BB702" s="64"/>
      <c r="BC702" s="64"/>
      <c r="BD702" s="66"/>
      <c r="BE702" s="64"/>
      <c r="BF702" s="64"/>
      <c r="BG702" s="64"/>
      <c r="BH702" s="64"/>
      <c r="BI702" s="64"/>
      <c r="BJ702" s="64"/>
      <c r="BK702" s="64"/>
      <c r="BL702" s="64"/>
      <c r="BM702" s="64"/>
      <c r="BN702" s="64"/>
    </row>
    <row r="703" ht="30.0" customHeight="1">
      <c r="A703" s="64"/>
      <c r="B703" s="64"/>
      <c r="C703" s="66"/>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75"/>
      <c r="BB703" s="64"/>
      <c r="BC703" s="64"/>
      <c r="BD703" s="66"/>
      <c r="BE703" s="64"/>
      <c r="BF703" s="64"/>
      <c r="BG703" s="64"/>
      <c r="BH703" s="64"/>
      <c r="BI703" s="64"/>
      <c r="BJ703" s="64"/>
      <c r="BK703" s="64"/>
      <c r="BL703" s="64"/>
      <c r="BM703" s="64"/>
      <c r="BN703" s="64"/>
    </row>
    <row r="704" ht="30.0" customHeight="1">
      <c r="A704" s="64"/>
      <c r="B704" s="64"/>
      <c r="C704" s="66"/>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75"/>
      <c r="BB704" s="64"/>
      <c r="BC704" s="64"/>
      <c r="BD704" s="66"/>
      <c r="BE704" s="64"/>
      <c r="BF704" s="64"/>
      <c r="BG704" s="64"/>
      <c r="BH704" s="64"/>
      <c r="BI704" s="64"/>
      <c r="BJ704" s="64"/>
      <c r="BK704" s="64"/>
      <c r="BL704" s="64"/>
      <c r="BM704" s="64"/>
      <c r="BN704" s="64"/>
    </row>
    <row r="705" ht="30.0" customHeight="1">
      <c r="A705" s="64"/>
      <c r="B705" s="64"/>
      <c r="C705" s="66"/>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75"/>
      <c r="BB705" s="64"/>
      <c r="BC705" s="64"/>
      <c r="BD705" s="66"/>
      <c r="BE705" s="64"/>
      <c r="BF705" s="64"/>
      <c r="BG705" s="64"/>
      <c r="BH705" s="64"/>
      <c r="BI705" s="64"/>
      <c r="BJ705" s="64"/>
      <c r="BK705" s="64"/>
      <c r="BL705" s="64"/>
      <c r="BM705" s="64"/>
      <c r="BN705" s="64"/>
    </row>
    <row r="706" ht="30.0" customHeight="1">
      <c r="A706" s="64"/>
      <c r="B706" s="64"/>
      <c r="C706" s="66"/>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75"/>
      <c r="BB706" s="64"/>
      <c r="BC706" s="64"/>
      <c r="BD706" s="66"/>
      <c r="BE706" s="64"/>
      <c r="BF706" s="64"/>
      <c r="BG706" s="64"/>
      <c r="BH706" s="64"/>
      <c r="BI706" s="64"/>
      <c r="BJ706" s="64"/>
      <c r="BK706" s="64"/>
      <c r="BL706" s="64"/>
      <c r="BM706" s="64"/>
      <c r="BN706" s="64"/>
    </row>
    <row r="707" ht="30.0" customHeight="1">
      <c r="A707" s="64"/>
      <c r="B707" s="64"/>
      <c r="C707" s="66"/>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75"/>
      <c r="BB707" s="64"/>
      <c r="BC707" s="64"/>
      <c r="BD707" s="66"/>
      <c r="BE707" s="64"/>
      <c r="BF707" s="64"/>
      <c r="BG707" s="64"/>
      <c r="BH707" s="64"/>
      <c r="BI707" s="64"/>
      <c r="BJ707" s="64"/>
      <c r="BK707" s="64"/>
      <c r="BL707" s="64"/>
      <c r="BM707" s="64"/>
      <c r="BN707" s="64"/>
    </row>
    <row r="708" ht="30.0" customHeight="1">
      <c r="A708" s="64"/>
      <c r="B708" s="64"/>
      <c r="C708" s="66"/>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75"/>
      <c r="BB708" s="64"/>
      <c r="BC708" s="64"/>
      <c r="BD708" s="66"/>
      <c r="BE708" s="64"/>
      <c r="BF708" s="64"/>
      <c r="BG708" s="64"/>
      <c r="BH708" s="64"/>
      <c r="BI708" s="64"/>
      <c r="BJ708" s="64"/>
      <c r="BK708" s="64"/>
      <c r="BL708" s="64"/>
      <c r="BM708" s="64"/>
      <c r="BN708" s="64"/>
    </row>
    <row r="709" ht="30.0" customHeight="1">
      <c r="A709" s="64"/>
      <c r="B709" s="64"/>
      <c r="C709" s="66"/>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75"/>
      <c r="BB709" s="64"/>
      <c r="BC709" s="64"/>
      <c r="BD709" s="66"/>
      <c r="BE709" s="64"/>
      <c r="BF709" s="64"/>
      <c r="BG709" s="64"/>
      <c r="BH709" s="64"/>
      <c r="BI709" s="64"/>
      <c r="BJ709" s="64"/>
      <c r="BK709" s="64"/>
      <c r="BL709" s="64"/>
      <c r="BM709" s="64"/>
      <c r="BN709" s="64"/>
    </row>
    <row r="710" ht="30.0" customHeight="1">
      <c r="A710" s="64"/>
      <c r="B710" s="64"/>
      <c r="C710" s="66"/>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75"/>
      <c r="BB710" s="64"/>
      <c r="BC710" s="64"/>
      <c r="BD710" s="66"/>
      <c r="BE710" s="64"/>
      <c r="BF710" s="64"/>
      <c r="BG710" s="64"/>
      <c r="BH710" s="64"/>
      <c r="BI710" s="64"/>
      <c r="BJ710" s="64"/>
      <c r="BK710" s="64"/>
      <c r="BL710" s="64"/>
      <c r="BM710" s="64"/>
      <c r="BN710" s="64"/>
    </row>
    <row r="711" ht="30.0" customHeight="1">
      <c r="A711" s="64"/>
      <c r="B711" s="64"/>
      <c r="C711" s="66"/>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75"/>
      <c r="BB711" s="64"/>
      <c r="BC711" s="64"/>
      <c r="BD711" s="66"/>
      <c r="BE711" s="64"/>
      <c r="BF711" s="64"/>
      <c r="BG711" s="64"/>
      <c r="BH711" s="64"/>
      <c r="BI711" s="64"/>
      <c r="BJ711" s="64"/>
      <c r="BK711" s="64"/>
      <c r="BL711" s="64"/>
      <c r="BM711" s="64"/>
      <c r="BN711" s="64"/>
    </row>
    <row r="712" ht="30.0" customHeight="1">
      <c r="A712" s="64"/>
      <c r="B712" s="64"/>
      <c r="C712" s="66"/>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75"/>
      <c r="BB712" s="64"/>
      <c r="BC712" s="64"/>
      <c r="BD712" s="66"/>
      <c r="BE712" s="64"/>
      <c r="BF712" s="64"/>
      <c r="BG712" s="64"/>
      <c r="BH712" s="64"/>
      <c r="BI712" s="64"/>
      <c r="BJ712" s="64"/>
      <c r="BK712" s="64"/>
      <c r="BL712" s="64"/>
      <c r="BM712" s="64"/>
      <c r="BN712" s="64"/>
    </row>
    <row r="713" ht="30.0" customHeight="1">
      <c r="A713" s="64"/>
      <c r="B713" s="64"/>
      <c r="C713" s="66"/>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75"/>
      <c r="BB713" s="64"/>
      <c r="BC713" s="64"/>
      <c r="BD713" s="66"/>
      <c r="BE713" s="64"/>
      <c r="BF713" s="64"/>
      <c r="BG713" s="64"/>
      <c r="BH713" s="64"/>
      <c r="BI713" s="64"/>
      <c r="BJ713" s="64"/>
      <c r="BK713" s="64"/>
      <c r="BL713" s="64"/>
      <c r="BM713" s="64"/>
      <c r="BN713" s="64"/>
    </row>
    <row r="714" ht="30.0" customHeight="1">
      <c r="A714" s="64"/>
      <c r="B714" s="64"/>
      <c r="C714" s="66"/>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75"/>
      <c r="BB714" s="64"/>
      <c r="BC714" s="64"/>
      <c r="BD714" s="66"/>
      <c r="BE714" s="64"/>
      <c r="BF714" s="64"/>
      <c r="BG714" s="64"/>
      <c r="BH714" s="64"/>
      <c r="BI714" s="64"/>
      <c r="BJ714" s="64"/>
      <c r="BK714" s="64"/>
      <c r="BL714" s="64"/>
      <c r="BM714" s="64"/>
      <c r="BN714" s="64"/>
    </row>
    <row r="715" ht="30.0" customHeight="1">
      <c r="A715" s="64"/>
      <c r="B715" s="64"/>
      <c r="C715" s="66"/>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75"/>
      <c r="BB715" s="64"/>
      <c r="BC715" s="64"/>
      <c r="BD715" s="66"/>
      <c r="BE715" s="64"/>
      <c r="BF715" s="64"/>
      <c r="BG715" s="64"/>
      <c r="BH715" s="64"/>
      <c r="BI715" s="64"/>
      <c r="BJ715" s="64"/>
      <c r="BK715" s="64"/>
      <c r="BL715" s="64"/>
      <c r="BM715" s="64"/>
      <c r="BN715" s="64"/>
    </row>
    <row r="716" ht="30.0" customHeight="1">
      <c r="A716" s="64"/>
      <c r="B716" s="64"/>
      <c r="C716" s="66"/>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75"/>
      <c r="BB716" s="64"/>
      <c r="BC716" s="64"/>
      <c r="BD716" s="66"/>
      <c r="BE716" s="64"/>
      <c r="BF716" s="64"/>
      <c r="BG716" s="64"/>
      <c r="BH716" s="64"/>
      <c r="BI716" s="64"/>
      <c r="BJ716" s="64"/>
      <c r="BK716" s="64"/>
      <c r="BL716" s="64"/>
      <c r="BM716" s="64"/>
      <c r="BN716" s="64"/>
    </row>
    <row r="717" ht="30.0" customHeight="1">
      <c r="A717" s="64"/>
      <c r="B717" s="64"/>
      <c r="C717" s="66"/>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75"/>
      <c r="BB717" s="64"/>
      <c r="BC717" s="64"/>
      <c r="BD717" s="66"/>
      <c r="BE717" s="64"/>
      <c r="BF717" s="64"/>
      <c r="BG717" s="64"/>
      <c r="BH717" s="64"/>
      <c r="BI717" s="64"/>
      <c r="BJ717" s="64"/>
      <c r="BK717" s="64"/>
      <c r="BL717" s="64"/>
      <c r="BM717" s="64"/>
      <c r="BN717" s="64"/>
    </row>
    <row r="718" ht="30.0" customHeight="1">
      <c r="A718" s="64"/>
      <c r="B718" s="64"/>
      <c r="C718" s="66"/>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75"/>
      <c r="BB718" s="64"/>
      <c r="BC718" s="64"/>
      <c r="BD718" s="66"/>
      <c r="BE718" s="64"/>
      <c r="BF718" s="64"/>
      <c r="BG718" s="64"/>
      <c r="BH718" s="64"/>
      <c r="BI718" s="64"/>
      <c r="BJ718" s="64"/>
      <c r="BK718" s="64"/>
      <c r="BL718" s="64"/>
      <c r="BM718" s="64"/>
      <c r="BN718" s="64"/>
    </row>
    <row r="719" ht="30.0" customHeight="1">
      <c r="A719" s="64"/>
      <c r="B719" s="64"/>
      <c r="C719" s="66"/>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75"/>
      <c r="BB719" s="64"/>
      <c r="BC719" s="64"/>
      <c r="BD719" s="66"/>
      <c r="BE719" s="64"/>
      <c r="BF719" s="64"/>
      <c r="BG719" s="64"/>
      <c r="BH719" s="64"/>
      <c r="BI719" s="64"/>
      <c r="BJ719" s="64"/>
      <c r="BK719" s="64"/>
      <c r="BL719" s="64"/>
      <c r="BM719" s="64"/>
      <c r="BN719" s="64"/>
    </row>
    <row r="720" ht="30.0" customHeight="1">
      <c r="A720" s="64"/>
      <c r="B720" s="64"/>
      <c r="C720" s="66"/>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75"/>
      <c r="BB720" s="64"/>
      <c r="BC720" s="64"/>
      <c r="BD720" s="66"/>
      <c r="BE720" s="64"/>
      <c r="BF720" s="64"/>
      <c r="BG720" s="64"/>
      <c r="BH720" s="64"/>
      <c r="BI720" s="64"/>
      <c r="BJ720" s="64"/>
      <c r="BK720" s="64"/>
      <c r="BL720" s="64"/>
      <c r="BM720" s="64"/>
      <c r="BN720" s="64"/>
    </row>
    <row r="721" ht="30.0" customHeight="1">
      <c r="A721" s="64"/>
      <c r="B721" s="64"/>
      <c r="C721" s="66"/>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75"/>
      <c r="BB721" s="64"/>
      <c r="BC721" s="64"/>
      <c r="BD721" s="66"/>
      <c r="BE721" s="64"/>
      <c r="BF721" s="64"/>
      <c r="BG721" s="64"/>
      <c r="BH721" s="64"/>
      <c r="BI721" s="64"/>
      <c r="BJ721" s="64"/>
      <c r="BK721" s="64"/>
      <c r="BL721" s="64"/>
      <c r="BM721" s="64"/>
      <c r="BN721" s="64"/>
    </row>
    <row r="722" ht="30.0" customHeight="1">
      <c r="A722" s="64"/>
      <c r="B722" s="64"/>
      <c r="C722" s="66"/>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75"/>
      <c r="BB722" s="64"/>
      <c r="BC722" s="64"/>
      <c r="BD722" s="66"/>
      <c r="BE722" s="64"/>
      <c r="BF722" s="64"/>
      <c r="BG722" s="64"/>
      <c r="BH722" s="64"/>
      <c r="BI722" s="64"/>
      <c r="BJ722" s="64"/>
      <c r="BK722" s="64"/>
      <c r="BL722" s="64"/>
      <c r="BM722" s="64"/>
      <c r="BN722" s="64"/>
    </row>
    <row r="723" ht="30.0" customHeight="1">
      <c r="A723" s="64"/>
      <c r="B723" s="64"/>
      <c r="C723" s="66"/>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75"/>
      <c r="BB723" s="64"/>
      <c r="BC723" s="64"/>
      <c r="BD723" s="66"/>
      <c r="BE723" s="64"/>
      <c r="BF723" s="64"/>
      <c r="BG723" s="64"/>
      <c r="BH723" s="64"/>
      <c r="BI723" s="64"/>
      <c r="BJ723" s="64"/>
      <c r="BK723" s="64"/>
      <c r="BL723" s="64"/>
      <c r="BM723" s="64"/>
      <c r="BN723" s="64"/>
    </row>
    <row r="724" ht="30.0" customHeight="1">
      <c r="A724" s="64"/>
      <c r="B724" s="64"/>
      <c r="C724" s="66"/>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75"/>
      <c r="BB724" s="64"/>
      <c r="BC724" s="64"/>
      <c r="BD724" s="66"/>
      <c r="BE724" s="64"/>
      <c r="BF724" s="64"/>
      <c r="BG724" s="64"/>
      <c r="BH724" s="64"/>
      <c r="BI724" s="64"/>
      <c r="BJ724" s="64"/>
      <c r="BK724" s="64"/>
      <c r="BL724" s="64"/>
      <c r="BM724" s="64"/>
      <c r="BN724" s="64"/>
    </row>
    <row r="725" ht="30.0" customHeight="1">
      <c r="A725" s="64"/>
      <c r="B725" s="64"/>
      <c r="C725" s="66"/>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75"/>
      <c r="BB725" s="64"/>
      <c r="BC725" s="64"/>
      <c r="BD725" s="66"/>
      <c r="BE725" s="64"/>
      <c r="BF725" s="64"/>
      <c r="BG725" s="64"/>
      <c r="BH725" s="64"/>
      <c r="BI725" s="64"/>
      <c r="BJ725" s="64"/>
      <c r="BK725" s="64"/>
      <c r="BL725" s="64"/>
      <c r="BM725" s="64"/>
      <c r="BN725" s="64"/>
    </row>
    <row r="726" ht="30.0" customHeight="1">
      <c r="A726" s="64"/>
      <c r="B726" s="64"/>
      <c r="C726" s="66"/>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75"/>
      <c r="BB726" s="64"/>
      <c r="BC726" s="64"/>
      <c r="BD726" s="66"/>
      <c r="BE726" s="64"/>
      <c r="BF726" s="64"/>
      <c r="BG726" s="64"/>
      <c r="BH726" s="64"/>
      <c r="BI726" s="64"/>
      <c r="BJ726" s="64"/>
      <c r="BK726" s="64"/>
      <c r="BL726" s="64"/>
      <c r="BM726" s="64"/>
      <c r="BN726" s="64"/>
    </row>
    <row r="727" ht="30.0" customHeight="1">
      <c r="A727" s="64"/>
      <c r="B727" s="64"/>
      <c r="C727" s="66"/>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75"/>
      <c r="BB727" s="64"/>
      <c r="BC727" s="64"/>
      <c r="BD727" s="66"/>
      <c r="BE727" s="64"/>
      <c r="BF727" s="64"/>
      <c r="BG727" s="64"/>
      <c r="BH727" s="64"/>
      <c r="BI727" s="64"/>
      <c r="BJ727" s="64"/>
      <c r="BK727" s="64"/>
      <c r="BL727" s="64"/>
      <c r="BM727" s="64"/>
      <c r="BN727" s="64"/>
    </row>
    <row r="728" ht="30.0" customHeight="1">
      <c r="A728" s="64"/>
      <c r="B728" s="64"/>
      <c r="C728" s="66"/>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75"/>
      <c r="BB728" s="64"/>
      <c r="BC728" s="64"/>
      <c r="BD728" s="66"/>
      <c r="BE728" s="64"/>
      <c r="BF728" s="64"/>
      <c r="BG728" s="64"/>
      <c r="BH728" s="64"/>
      <c r="BI728" s="64"/>
      <c r="BJ728" s="64"/>
      <c r="BK728" s="64"/>
      <c r="BL728" s="64"/>
      <c r="BM728" s="64"/>
      <c r="BN728" s="64"/>
    </row>
    <row r="729" ht="30.0" customHeight="1">
      <c r="A729" s="64"/>
      <c r="B729" s="64"/>
      <c r="C729" s="66"/>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75"/>
      <c r="BB729" s="64"/>
      <c r="BC729" s="64"/>
      <c r="BD729" s="66"/>
      <c r="BE729" s="64"/>
      <c r="BF729" s="64"/>
      <c r="BG729" s="64"/>
      <c r="BH729" s="64"/>
      <c r="BI729" s="64"/>
      <c r="BJ729" s="64"/>
      <c r="BK729" s="64"/>
      <c r="BL729" s="64"/>
      <c r="BM729" s="64"/>
      <c r="BN729" s="64"/>
    </row>
    <row r="730" ht="30.0" customHeight="1">
      <c r="A730" s="64"/>
      <c r="B730" s="64"/>
      <c r="C730" s="66"/>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75"/>
      <c r="BB730" s="64"/>
      <c r="BC730" s="64"/>
      <c r="BD730" s="66"/>
      <c r="BE730" s="64"/>
      <c r="BF730" s="64"/>
      <c r="BG730" s="64"/>
      <c r="BH730" s="64"/>
      <c r="BI730" s="64"/>
      <c r="BJ730" s="64"/>
      <c r="BK730" s="64"/>
      <c r="BL730" s="64"/>
      <c r="BM730" s="64"/>
      <c r="BN730" s="64"/>
    </row>
    <row r="731" ht="30.0" customHeight="1">
      <c r="A731" s="64"/>
      <c r="B731" s="64"/>
      <c r="C731" s="66"/>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75"/>
      <c r="BB731" s="64"/>
      <c r="BC731" s="64"/>
      <c r="BD731" s="66"/>
      <c r="BE731" s="64"/>
      <c r="BF731" s="64"/>
      <c r="BG731" s="64"/>
      <c r="BH731" s="64"/>
      <c r="BI731" s="64"/>
      <c r="BJ731" s="64"/>
      <c r="BK731" s="64"/>
      <c r="BL731" s="64"/>
      <c r="BM731" s="64"/>
      <c r="BN731" s="64"/>
    </row>
    <row r="732" ht="30.0" customHeight="1">
      <c r="A732" s="64"/>
      <c r="B732" s="64"/>
      <c r="C732" s="66"/>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75"/>
      <c r="BB732" s="64"/>
      <c r="BC732" s="64"/>
      <c r="BD732" s="66"/>
      <c r="BE732" s="64"/>
      <c r="BF732" s="64"/>
      <c r="BG732" s="64"/>
      <c r="BH732" s="64"/>
      <c r="BI732" s="64"/>
      <c r="BJ732" s="64"/>
      <c r="BK732" s="64"/>
      <c r="BL732" s="64"/>
      <c r="BM732" s="64"/>
      <c r="BN732" s="64"/>
    </row>
    <row r="733" ht="30.0" customHeight="1">
      <c r="A733" s="64"/>
      <c r="B733" s="64"/>
      <c r="C733" s="66"/>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75"/>
      <c r="BB733" s="64"/>
      <c r="BC733" s="64"/>
      <c r="BD733" s="66"/>
      <c r="BE733" s="64"/>
      <c r="BF733" s="64"/>
      <c r="BG733" s="64"/>
      <c r="BH733" s="64"/>
      <c r="BI733" s="64"/>
      <c r="BJ733" s="64"/>
      <c r="BK733" s="64"/>
      <c r="BL733" s="64"/>
      <c r="BM733" s="64"/>
      <c r="BN733" s="64"/>
    </row>
    <row r="734" ht="30.0" customHeight="1">
      <c r="A734" s="64"/>
      <c r="B734" s="64"/>
      <c r="C734" s="66"/>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75"/>
      <c r="BB734" s="64"/>
      <c r="BC734" s="64"/>
      <c r="BD734" s="66"/>
      <c r="BE734" s="64"/>
      <c r="BF734" s="64"/>
      <c r="BG734" s="64"/>
      <c r="BH734" s="64"/>
      <c r="BI734" s="64"/>
      <c r="BJ734" s="64"/>
      <c r="BK734" s="64"/>
      <c r="BL734" s="64"/>
      <c r="BM734" s="64"/>
      <c r="BN734" s="64"/>
    </row>
    <row r="735" ht="30.0" customHeight="1">
      <c r="A735" s="64"/>
      <c r="B735" s="64"/>
      <c r="C735" s="66"/>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75"/>
      <c r="BB735" s="64"/>
      <c r="BC735" s="64"/>
      <c r="BD735" s="66"/>
      <c r="BE735" s="64"/>
      <c r="BF735" s="64"/>
      <c r="BG735" s="64"/>
      <c r="BH735" s="64"/>
      <c r="BI735" s="64"/>
      <c r="BJ735" s="64"/>
      <c r="BK735" s="64"/>
      <c r="BL735" s="64"/>
      <c r="BM735" s="64"/>
      <c r="BN735" s="64"/>
    </row>
    <row r="736" ht="30.0" customHeight="1">
      <c r="A736" s="64"/>
      <c r="B736" s="64"/>
      <c r="C736" s="66"/>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75"/>
      <c r="BB736" s="64"/>
      <c r="BC736" s="64"/>
      <c r="BD736" s="66"/>
      <c r="BE736" s="64"/>
      <c r="BF736" s="64"/>
      <c r="BG736" s="64"/>
      <c r="BH736" s="64"/>
      <c r="BI736" s="64"/>
      <c r="BJ736" s="64"/>
      <c r="BK736" s="64"/>
      <c r="BL736" s="64"/>
      <c r="BM736" s="64"/>
      <c r="BN736" s="64"/>
    </row>
    <row r="737" ht="30.0" customHeight="1">
      <c r="A737" s="64"/>
      <c r="B737" s="64"/>
      <c r="C737" s="66"/>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75"/>
      <c r="BB737" s="64"/>
      <c r="BC737" s="64"/>
      <c r="BD737" s="66"/>
      <c r="BE737" s="64"/>
      <c r="BF737" s="64"/>
      <c r="BG737" s="64"/>
      <c r="BH737" s="64"/>
      <c r="BI737" s="64"/>
      <c r="BJ737" s="64"/>
      <c r="BK737" s="64"/>
      <c r="BL737" s="64"/>
      <c r="BM737" s="64"/>
      <c r="BN737" s="64"/>
    </row>
    <row r="738" ht="30.0" customHeight="1">
      <c r="A738" s="64"/>
      <c r="B738" s="64"/>
      <c r="C738" s="66"/>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75"/>
      <c r="BB738" s="64"/>
      <c r="BC738" s="64"/>
      <c r="BD738" s="66"/>
      <c r="BE738" s="64"/>
      <c r="BF738" s="64"/>
      <c r="BG738" s="64"/>
      <c r="BH738" s="64"/>
      <c r="BI738" s="64"/>
      <c r="BJ738" s="64"/>
      <c r="BK738" s="64"/>
      <c r="BL738" s="64"/>
      <c r="BM738" s="64"/>
      <c r="BN738" s="64"/>
    </row>
    <row r="739" ht="30.0" customHeight="1">
      <c r="A739" s="64"/>
      <c r="B739" s="64"/>
      <c r="C739" s="66"/>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75"/>
      <c r="BB739" s="64"/>
      <c r="BC739" s="64"/>
      <c r="BD739" s="66"/>
      <c r="BE739" s="64"/>
      <c r="BF739" s="64"/>
      <c r="BG739" s="64"/>
      <c r="BH739" s="64"/>
      <c r="BI739" s="64"/>
      <c r="BJ739" s="64"/>
      <c r="BK739" s="64"/>
      <c r="BL739" s="64"/>
      <c r="BM739" s="64"/>
      <c r="BN739" s="64"/>
    </row>
    <row r="740" ht="30.0" customHeight="1">
      <c r="A740" s="64"/>
      <c r="B740" s="64"/>
      <c r="C740" s="66"/>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75"/>
      <c r="BB740" s="64"/>
      <c r="BC740" s="64"/>
      <c r="BD740" s="66"/>
      <c r="BE740" s="64"/>
      <c r="BF740" s="64"/>
      <c r="BG740" s="64"/>
      <c r="BH740" s="64"/>
      <c r="BI740" s="64"/>
      <c r="BJ740" s="64"/>
      <c r="BK740" s="64"/>
      <c r="BL740" s="64"/>
      <c r="BM740" s="64"/>
      <c r="BN740" s="64"/>
    </row>
    <row r="741" ht="30.0" customHeight="1">
      <c r="A741" s="64"/>
      <c r="B741" s="64"/>
      <c r="C741" s="66"/>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75"/>
      <c r="BB741" s="64"/>
      <c r="BC741" s="64"/>
      <c r="BD741" s="66"/>
      <c r="BE741" s="64"/>
      <c r="BF741" s="64"/>
      <c r="BG741" s="64"/>
      <c r="BH741" s="64"/>
      <c r="BI741" s="64"/>
      <c r="BJ741" s="64"/>
      <c r="BK741" s="64"/>
      <c r="BL741" s="64"/>
      <c r="BM741" s="64"/>
      <c r="BN741" s="64"/>
    </row>
    <row r="742" ht="30.0" customHeight="1">
      <c r="A742" s="64"/>
      <c r="B742" s="64"/>
      <c r="C742" s="66"/>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75"/>
      <c r="BB742" s="64"/>
      <c r="BC742" s="64"/>
      <c r="BD742" s="66"/>
      <c r="BE742" s="64"/>
      <c r="BF742" s="64"/>
      <c r="BG742" s="64"/>
      <c r="BH742" s="64"/>
      <c r="BI742" s="64"/>
      <c r="BJ742" s="64"/>
      <c r="BK742" s="64"/>
      <c r="BL742" s="64"/>
      <c r="BM742" s="64"/>
      <c r="BN742" s="64"/>
    </row>
    <row r="743" ht="30.0" customHeight="1">
      <c r="A743" s="64"/>
      <c r="B743" s="64"/>
      <c r="C743" s="66"/>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75"/>
      <c r="BB743" s="64"/>
      <c r="BC743" s="64"/>
      <c r="BD743" s="66"/>
      <c r="BE743" s="64"/>
      <c r="BF743" s="64"/>
      <c r="BG743" s="64"/>
      <c r="BH743" s="64"/>
      <c r="BI743" s="64"/>
      <c r="BJ743" s="64"/>
      <c r="BK743" s="64"/>
      <c r="BL743" s="64"/>
      <c r="BM743" s="64"/>
      <c r="BN743" s="64"/>
    </row>
    <row r="744" ht="30.0" customHeight="1">
      <c r="A744" s="64"/>
      <c r="B744" s="64"/>
      <c r="C744" s="66"/>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75"/>
      <c r="BB744" s="64"/>
      <c r="BC744" s="64"/>
      <c r="BD744" s="66"/>
      <c r="BE744" s="64"/>
      <c r="BF744" s="64"/>
      <c r="BG744" s="64"/>
      <c r="BH744" s="64"/>
      <c r="BI744" s="64"/>
      <c r="BJ744" s="64"/>
      <c r="BK744" s="64"/>
      <c r="BL744" s="64"/>
      <c r="BM744" s="64"/>
      <c r="BN744" s="64"/>
    </row>
    <row r="745" ht="30.0" customHeight="1">
      <c r="A745" s="64"/>
      <c r="B745" s="64"/>
      <c r="C745" s="66"/>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75"/>
      <c r="BB745" s="64"/>
      <c r="BC745" s="64"/>
      <c r="BD745" s="66"/>
      <c r="BE745" s="64"/>
      <c r="BF745" s="64"/>
      <c r="BG745" s="64"/>
      <c r="BH745" s="64"/>
      <c r="BI745" s="64"/>
      <c r="BJ745" s="64"/>
      <c r="BK745" s="64"/>
      <c r="BL745" s="64"/>
      <c r="BM745" s="64"/>
      <c r="BN745" s="64"/>
    </row>
    <row r="746" ht="30.0" customHeight="1">
      <c r="A746" s="64"/>
      <c r="B746" s="64"/>
      <c r="C746" s="66"/>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75"/>
      <c r="BB746" s="64"/>
      <c r="BC746" s="64"/>
      <c r="BD746" s="66"/>
      <c r="BE746" s="64"/>
      <c r="BF746" s="64"/>
      <c r="BG746" s="64"/>
      <c r="BH746" s="64"/>
      <c r="BI746" s="64"/>
      <c r="BJ746" s="64"/>
      <c r="BK746" s="64"/>
      <c r="BL746" s="64"/>
      <c r="BM746" s="64"/>
      <c r="BN746" s="64"/>
    </row>
    <row r="747" ht="30.0" customHeight="1">
      <c r="A747" s="64"/>
      <c r="B747" s="64"/>
      <c r="C747" s="66"/>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75"/>
      <c r="BB747" s="64"/>
      <c r="BC747" s="64"/>
      <c r="BD747" s="66"/>
      <c r="BE747" s="64"/>
      <c r="BF747" s="64"/>
      <c r="BG747" s="64"/>
      <c r="BH747" s="64"/>
      <c r="BI747" s="64"/>
      <c r="BJ747" s="64"/>
      <c r="BK747" s="64"/>
      <c r="BL747" s="64"/>
      <c r="BM747" s="64"/>
      <c r="BN747" s="64"/>
    </row>
    <row r="748" ht="30.0" customHeight="1">
      <c r="A748" s="64"/>
      <c r="B748" s="64"/>
      <c r="C748" s="66"/>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75"/>
      <c r="BB748" s="64"/>
      <c r="BC748" s="64"/>
      <c r="BD748" s="66"/>
      <c r="BE748" s="64"/>
      <c r="BF748" s="64"/>
      <c r="BG748" s="64"/>
      <c r="BH748" s="64"/>
      <c r="BI748" s="64"/>
      <c r="BJ748" s="64"/>
      <c r="BK748" s="64"/>
      <c r="BL748" s="64"/>
      <c r="BM748" s="64"/>
      <c r="BN748" s="64"/>
    </row>
    <row r="749" ht="30.0" customHeight="1">
      <c r="A749" s="64"/>
      <c r="B749" s="64"/>
      <c r="C749" s="66"/>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75"/>
      <c r="BB749" s="64"/>
      <c r="BC749" s="64"/>
      <c r="BD749" s="66"/>
      <c r="BE749" s="64"/>
      <c r="BF749" s="64"/>
      <c r="BG749" s="64"/>
      <c r="BH749" s="64"/>
      <c r="BI749" s="64"/>
      <c r="BJ749" s="64"/>
      <c r="BK749" s="64"/>
      <c r="BL749" s="64"/>
      <c r="BM749" s="64"/>
      <c r="BN749" s="64"/>
    </row>
    <row r="750" ht="30.0" customHeight="1">
      <c r="A750" s="64"/>
      <c r="B750" s="64"/>
      <c r="C750" s="66"/>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75"/>
      <c r="BB750" s="64"/>
      <c r="BC750" s="64"/>
      <c r="BD750" s="66"/>
      <c r="BE750" s="64"/>
      <c r="BF750" s="64"/>
      <c r="BG750" s="64"/>
      <c r="BH750" s="64"/>
      <c r="BI750" s="64"/>
      <c r="BJ750" s="64"/>
      <c r="BK750" s="64"/>
      <c r="BL750" s="64"/>
      <c r="BM750" s="64"/>
      <c r="BN750" s="64"/>
    </row>
    <row r="751" ht="30.0" customHeight="1">
      <c r="A751" s="64"/>
      <c r="B751" s="64"/>
      <c r="C751" s="66"/>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75"/>
      <c r="BB751" s="64"/>
      <c r="BC751" s="64"/>
      <c r="BD751" s="66"/>
      <c r="BE751" s="64"/>
      <c r="BF751" s="64"/>
      <c r="BG751" s="64"/>
      <c r="BH751" s="64"/>
      <c r="BI751" s="64"/>
      <c r="BJ751" s="64"/>
      <c r="BK751" s="64"/>
      <c r="BL751" s="64"/>
      <c r="BM751" s="64"/>
      <c r="BN751" s="64"/>
    </row>
    <row r="752" ht="30.0" customHeight="1">
      <c r="A752" s="64"/>
      <c r="B752" s="64"/>
      <c r="C752" s="66"/>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75"/>
      <c r="BB752" s="64"/>
      <c r="BC752" s="64"/>
      <c r="BD752" s="66"/>
      <c r="BE752" s="64"/>
      <c r="BF752" s="64"/>
      <c r="BG752" s="64"/>
      <c r="BH752" s="64"/>
      <c r="BI752" s="64"/>
      <c r="BJ752" s="64"/>
      <c r="BK752" s="64"/>
      <c r="BL752" s="64"/>
      <c r="BM752" s="64"/>
      <c r="BN752" s="64"/>
    </row>
    <row r="753" ht="30.0" customHeight="1">
      <c r="A753" s="64"/>
      <c r="B753" s="64"/>
      <c r="C753" s="66"/>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75"/>
      <c r="BB753" s="64"/>
      <c r="BC753" s="64"/>
      <c r="BD753" s="66"/>
      <c r="BE753" s="64"/>
      <c r="BF753" s="64"/>
      <c r="BG753" s="64"/>
      <c r="BH753" s="64"/>
      <c r="BI753" s="64"/>
      <c r="BJ753" s="64"/>
      <c r="BK753" s="64"/>
      <c r="BL753" s="64"/>
      <c r="BM753" s="64"/>
      <c r="BN753" s="64"/>
    </row>
    <row r="754" ht="30.0" customHeight="1">
      <c r="A754" s="64"/>
      <c r="B754" s="64"/>
      <c r="C754" s="66"/>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75"/>
      <c r="BB754" s="64"/>
      <c r="BC754" s="64"/>
      <c r="BD754" s="66"/>
      <c r="BE754" s="64"/>
      <c r="BF754" s="64"/>
      <c r="BG754" s="64"/>
      <c r="BH754" s="64"/>
      <c r="BI754" s="64"/>
      <c r="BJ754" s="64"/>
      <c r="BK754" s="64"/>
      <c r="BL754" s="64"/>
      <c r="BM754" s="64"/>
      <c r="BN754" s="64"/>
    </row>
    <row r="755" ht="30.0" customHeight="1">
      <c r="A755" s="64"/>
      <c r="B755" s="64"/>
      <c r="C755" s="66"/>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75"/>
      <c r="BB755" s="64"/>
      <c r="BC755" s="64"/>
      <c r="BD755" s="66"/>
      <c r="BE755" s="64"/>
      <c r="BF755" s="64"/>
      <c r="BG755" s="64"/>
      <c r="BH755" s="64"/>
      <c r="BI755" s="64"/>
      <c r="BJ755" s="64"/>
      <c r="BK755" s="64"/>
      <c r="BL755" s="64"/>
      <c r="BM755" s="64"/>
      <c r="BN755" s="64"/>
    </row>
    <row r="756" ht="30.0" customHeight="1">
      <c r="A756" s="64"/>
      <c r="B756" s="64"/>
      <c r="C756" s="66"/>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75"/>
      <c r="BB756" s="64"/>
      <c r="BC756" s="64"/>
      <c r="BD756" s="66"/>
      <c r="BE756" s="64"/>
      <c r="BF756" s="64"/>
      <c r="BG756" s="64"/>
      <c r="BH756" s="64"/>
      <c r="BI756" s="64"/>
      <c r="BJ756" s="64"/>
      <c r="BK756" s="64"/>
      <c r="BL756" s="64"/>
      <c r="BM756" s="64"/>
      <c r="BN756" s="64"/>
    </row>
    <row r="757" ht="30.0" customHeight="1">
      <c r="A757" s="64"/>
      <c r="B757" s="64"/>
      <c r="C757" s="66"/>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75"/>
      <c r="BB757" s="64"/>
      <c r="BC757" s="64"/>
      <c r="BD757" s="66"/>
      <c r="BE757" s="64"/>
      <c r="BF757" s="64"/>
      <c r="BG757" s="64"/>
      <c r="BH757" s="64"/>
      <c r="BI757" s="64"/>
      <c r="BJ757" s="64"/>
      <c r="BK757" s="64"/>
      <c r="BL757" s="64"/>
      <c r="BM757" s="64"/>
      <c r="BN757" s="64"/>
    </row>
    <row r="758" ht="30.0" customHeight="1">
      <c r="A758" s="64"/>
      <c r="B758" s="64"/>
      <c r="C758" s="66"/>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75"/>
      <c r="BB758" s="64"/>
      <c r="BC758" s="64"/>
      <c r="BD758" s="66"/>
      <c r="BE758" s="64"/>
      <c r="BF758" s="64"/>
      <c r="BG758" s="64"/>
      <c r="BH758" s="64"/>
      <c r="BI758" s="64"/>
      <c r="BJ758" s="64"/>
      <c r="BK758" s="64"/>
      <c r="BL758" s="64"/>
      <c r="BM758" s="64"/>
      <c r="BN758" s="64"/>
    </row>
    <row r="759" ht="30.0" customHeight="1">
      <c r="A759" s="64"/>
      <c r="B759" s="64"/>
      <c r="C759" s="66"/>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75"/>
      <c r="BB759" s="64"/>
      <c r="BC759" s="64"/>
      <c r="BD759" s="66"/>
      <c r="BE759" s="64"/>
      <c r="BF759" s="64"/>
      <c r="BG759" s="64"/>
      <c r="BH759" s="64"/>
      <c r="BI759" s="64"/>
      <c r="BJ759" s="64"/>
      <c r="BK759" s="64"/>
      <c r="BL759" s="64"/>
      <c r="BM759" s="64"/>
      <c r="BN759" s="64"/>
    </row>
    <row r="760" ht="30.0" customHeight="1">
      <c r="A760" s="64"/>
      <c r="B760" s="64"/>
      <c r="C760" s="66"/>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75"/>
      <c r="BB760" s="64"/>
      <c r="BC760" s="64"/>
      <c r="BD760" s="66"/>
      <c r="BE760" s="64"/>
      <c r="BF760" s="64"/>
      <c r="BG760" s="64"/>
      <c r="BH760" s="64"/>
      <c r="BI760" s="64"/>
      <c r="BJ760" s="64"/>
      <c r="BK760" s="64"/>
      <c r="BL760" s="64"/>
      <c r="BM760" s="64"/>
      <c r="BN760" s="64"/>
    </row>
    <row r="761" ht="30.0" customHeight="1">
      <c r="A761" s="64"/>
      <c r="B761" s="64"/>
      <c r="C761" s="66"/>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75"/>
      <c r="BB761" s="64"/>
      <c r="BC761" s="64"/>
      <c r="BD761" s="66"/>
      <c r="BE761" s="64"/>
      <c r="BF761" s="64"/>
      <c r="BG761" s="64"/>
      <c r="BH761" s="64"/>
      <c r="BI761" s="64"/>
      <c r="BJ761" s="64"/>
      <c r="BK761" s="64"/>
      <c r="BL761" s="64"/>
      <c r="BM761" s="64"/>
      <c r="BN761" s="64"/>
    </row>
    <row r="762" ht="30.0" customHeight="1">
      <c r="A762" s="64"/>
      <c r="B762" s="64"/>
      <c r="C762" s="66"/>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75"/>
      <c r="BB762" s="64"/>
      <c r="BC762" s="64"/>
      <c r="BD762" s="66"/>
      <c r="BE762" s="64"/>
      <c r="BF762" s="64"/>
      <c r="BG762" s="64"/>
      <c r="BH762" s="64"/>
      <c r="BI762" s="64"/>
      <c r="BJ762" s="64"/>
      <c r="BK762" s="64"/>
      <c r="BL762" s="64"/>
      <c r="BM762" s="64"/>
      <c r="BN762" s="64"/>
    </row>
    <row r="763" ht="30.0" customHeight="1">
      <c r="A763" s="64"/>
      <c r="B763" s="64"/>
      <c r="C763" s="66"/>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75"/>
      <c r="BB763" s="64"/>
      <c r="BC763" s="64"/>
      <c r="BD763" s="66"/>
      <c r="BE763" s="64"/>
      <c r="BF763" s="64"/>
      <c r="BG763" s="64"/>
      <c r="BH763" s="64"/>
      <c r="BI763" s="64"/>
      <c r="BJ763" s="64"/>
      <c r="BK763" s="64"/>
      <c r="BL763" s="64"/>
      <c r="BM763" s="64"/>
      <c r="BN763" s="64"/>
    </row>
    <row r="764" ht="30.0" customHeight="1">
      <c r="A764" s="64"/>
      <c r="B764" s="64"/>
      <c r="C764" s="66"/>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75"/>
      <c r="BB764" s="64"/>
      <c r="BC764" s="64"/>
      <c r="BD764" s="66"/>
      <c r="BE764" s="64"/>
      <c r="BF764" s="64"/>
      <c r="BG764" s="64"/>
      <c r="BH764" s="64"/>
      <c r="BI764" s="64"/>
      <c r="BJ764" s="64"/>
      <c r="BK764" s="64"/>
      <c r="BL764" s="64"/>
      <c r="BM764" s="64"/>
      <c r="BN764" s="64"/>
    </row>
    <row r="765" ht="30.0" customHeight="1">
      <c r="A765" s="64"/>
      <c r="B765" s="64"/>
      <c r="C765" s="66"/>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75"/>
      <c r="BB765" s="64"/>
      <c r="BC765" s="64"/>
      <c r="BD765" s="66"/>
      <c r="BE765" s="64"/>
      <c r="BF765" s="64"/>
      <c r="BG765" s="64"/>
      <c r="BH765" s="64"/>
      <c r="BI765" s="64"/>
      <c r="BJ765" s="64"/>
      <c r="BK765" s="64"/>
      <c r="BL765" s="64"/>
      <c r="BM765" s="64"/>
      <c r="BN765" s="64"/>
    </row>
    <row r="766" ht="30.0" customHeight="1">
      <c r="A766" s="64"/>
      <c r="B766" s="64"/>
      <c r="C766" s="66"/>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75"/>
      <c r="BB766" s="64"/>
      <c r="BC766" s="64"/>
      <c r="BD766" s="66"/>
      <c r="BE766" s="64"/>
      <c r="BF766" s="64"/>
      <c r="BG766" s="64"/>
      <c r="BH766" s="64"/>
      <c r="BI766" s="64"/>
      <c r="BJ766" s="64"/>
      <c r="BK766" s="64"/>
      <c r="BL766" s="64"/>
      <c r="BM766" s="64"/>
      <c r="BN766" s="64"/>
    </row>
    <row r="767" ht="30.0" customHeight="1">
      <c r="A767" s="64"/>
      <c r="B767" s="64"/>
      <c r="C767" s="66"/>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75"/>
      <c r="BB767" s="64"/>
      <c r="BC767" s="64"/>
      <c r="BD767" s="66"/>
      <c r="BE767" s="64"/>
      <c r="BF767" s="64"/>
      <c r="BG767" s="64"/>
      <c r="BH767" s="64"/>
      <c r="BI767" s="64"/>
      <c r="BJ767" s="64"/>
      <c r="BK767" s="64"/>
      <c r="BL767" s="64"/>
      <c r="BM767" s="64"/>
      <c r="BN767" s="64"/>
    </row>
    <row r="768" ht="30.0" customHeight="1">
      <c r="A768" s="64"/>
      <c r="B768" s="64"/>
      <c r="C768" s="66"/>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75"/>
      <c r="BB768" s="64"/>
      <c r="BC768" s="64"/>
      <c r="BD768" s="66"/>
      <c r="BE768" s="64"/>
      <c r="BF768" s="64"/>
      <c r="BG768" s="64"/>
      <c r="BH768" s="64"/>
      <c r="BI768" s="64"/>
      <c r="BJ768" s="64"/>
      <c r="BK768" s="64"/>
      <c r="BL768" s="64"/>
      <c r="BM768" s="64"/>
      <c r="BN768" s="64"/>
    </row>
    <row r="769" ht="30.0" customHeight="1">
      <c r="A769" s="64"/>
      <c r="B769" s="64"/>
      <c r="C769" s="66"/>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75"/>
      <c r="BB769" s="64"/>
      <c r="BC769" s="64"/>
      <c r="BD769" s="66"/>
      <c r="BE769" s="64"/>
      <c r="BF769" s="64"/>
      <c r="BG769" s="64"/>
      <c r="BH769" s="64"/>
      <c r="BI769" s="64"/>
      <c r="BJ769" s="64"/>
      <c r="BK769" s="64"/>
      <c r="BL769" s="64"/>
      <c r="BM769" s="64"/>
      <c r="BN769" s="64"/>
    </row>
    <row r="770" ht="30.0" customHeight="1">
      <c r="A770" s="64"/>
      <c r="B770" s="64"/>
      <c r="C770" s="66"/>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75"/>
      <c r="BB770" s="64"/>
      <c r="BC770" s="64"/>
      <c r="BD770" s="66"/>
      <c r="BE770" s="64"/>
      <c r="BF770" s="64"/>
      <c r="BG770" s="64"/>
      <c r="BH770" s="64"/>
      <c r="BI770" s="64"/>
      <c r="BJ770" s="64"/>
      <c r="BK770" s="64"/>
      <c r="BL770" s="64"/>
      <c r="BM770" s="64"/>
      <c r="BN770" s="64"/>
    </row>
    <row r="771" ht="30.0" customHeight="1">
      <c r="A771" s="64"/>
      <c r="B771" s="64"/>
      <c r="C771" s="66"/>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75"/>
      <c r="BB771" s="64"/>
      <c r="BC771" s="64"/>
      <c r="BD771" s="66"/>
      <c r="BE771" s="64"/>
      <c r="BF771" s="64"/>
      <c r="BG771" s="64"/>
      <c r="BH771" s="64"/>
      <c r="BI771" s="64"/>
      <c r="BJ771" s="64"/>
      <c r="BK771" s="64"/>
      <c r="BL771" s="64"/>
      <c r="BM771" s="64"/>
      <c r="BN771" s="64"/>
    </row>
    <row r="772" ht="30.0" customHeight="1">
      <c r="A772" s="64"/>
      <c r="B772" s="64"/>
      <c r="C772" s="66"/>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75"/>
      <c r="BB772" s="64"/>
      <c r="BC772" s="64"/>
      <c r="BD772" s="66"/>
      <c r="BE772" s="64"/>
      <c r="BF772" s="64"/>
      <c r="BG772" s="64"/>
      <c r="BH772" s="64"/>
      <c r="BI772" s="64"/>
      <c r="BJ772" s="64"/>
      <c r="BK772" s="64"/>
      <c r="BL772" s="64"/>
      <c r="BM772" s="64"/>
      <c r="BN772" s="64"/>
    </row>
    <row r="773" ht="30.0" customHeight="1">
      <c r="A773" s="64"/>
      <c r="B773" s="64"/>
      <c r="C773" s="66"/>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75"/>
      <c r="BB773" s="64"/>
      <c r="BC773" s="64"/>
      <c r="BD773" s="66"/>
      <c r="BE773" s="64"/>
      <c r="BF773" s="64"/>
      <c r="BG773" s="64"/>
      <c r="BH773" s="64"/>
      <c r="BI773" s="64"/>
      <c r="BJ773" s="64"/>
      <c r="BK773" s="64"/>
      <c r="BL773" s="64"/>
      <c r="BM773" s="64"/>
      <c r="BN773" s="64"/>
    </row>
    <row r="774" ht="30.0" customHeight="1">
      <c r="A774" s="64"/>
      <c r="B774" s="64"/>
      <c r="C774" s="66"/>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75"/>
      <c r="BB774" s="64"/>
      <c r="BC774" s="64"/>
      <c r="BD774" s="66"/>
      <c r="BE774" s="64"/>
      <c r="BF774" s="64"/>
      <c r="BG774" s="64"/>
      <c r="BH774" s="64"/>
      <c r="BI774" s="64"/>
      <c r="BJ774" s="64"/>
      <c r="BK774" s="64"/>
      <c r="BL774" s="64"/>
      <c r="BM774" s="64"/>
      <c r="BN774" s="64"/>
    </row>
    <row r="775" ht="30.0" customHeight="1">
      <c r="A775" s="64"/>
      <c r="B775" s="64"/>
      <c r="C775" s="66"/>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75"/>
      <c r="BB775" s="64"/>
      <c r="BC775" s="64"/>
      <c r="BD775" s="66"/>
      <c r="BE775" s="64"/>
      <c r="BF775" s="64"/>
      <c r="BG775" s="64"/>
      <c r="BH775" s="64"/>
      <c r="BI775" s="64"/>
      <c r="BJ775" s="64"/>
      <c r="BK775" s="64"/>
      <c r="BL775" s="64"/>
      <c r="BM775" s="64"/>
      <c r="BN775" s="64"/>
    </row>
    <row r="776" ht="30.0" customHeight="1">
      <c r="A776" s="64"/>
      <c r="B776" s="64"/>
      <c r="C776" s="66"/>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75"/>
      <c r="BB776" s="64"/>
      <c r="BC776" s="64"/>
      <c r="BD776" s="66"/>
      <c r="BE776" s="64"/>
      <c r="BF776" s="64"/>
      <c r="BG776" s="64"/>
      <c r="BH776" s="64"/>
      <c r="BI776" s="64"/>
      <c r="BJ776" s="64"/>
      <c r="BK776" s="64"/>
      <c r="BL776" s="64"/>
      <c r="BM776" s="64"/>
      <c r="BN776" s="64"/>
    </row>
    <row r="777" ht="30.0" customHeight="1">
      <c r="A777" s="64"/>
      <c r="B777" s="64"/>
      <c r="C777" s="66"/>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75"/>
      <c r="BB777" s="64"/>
      <c r="BC777" s="64"/>
      <c r="BD777" s="66"/>
      <c r="BE777" s="64"/>
      <c r="BF777" s="64"/>
      <c r="BG777" s="64"/>
      <c r="BH777" s="64"/>
      <c r="BI777" s="64"/>
      <c r="BJ777" s="64"/>
      <c r="BK777" s="64"/>
      <c r="BL777" s="64"/>
      <c r="BM777" s="64"/>
      <c r="BN777" s="64"/>
    </row>
    <row r="778" ht="30.0" customHeight="1">
      <c r="A778" s="64"/>
      <c r="B778" s="64"/>
      <c r="C778" s="66"/>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75"/>
      <c r="BB778" s="64"/>
      <c r="BC778" s="64"/>
      <c r="BD778" s="66"/>
      <c r="BE778" s="64"/>
      <c r="BF778" s="64"/>
      <c r="BG778" s="64"/>
      <c r="BH778" s="64"/>
      <c r="BI778" s="64"/>
      <c r="BJ778" s="64"/>
      <c r="BK778" s="64"/>
      <c r="BL778" s="64"/>
      <c r="BM778" s="64"/>
      <c r="BN778" s="64"/>
    </row>
    <row r="779" ht="30.0" customHeight="1">
      <c r="A779" s="64"/>
      <c r="B779" s="64"/>
      <c r="C779" s="66"/>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75"/>
      <c r="BB779" s="64"/>
      <c r="BC779" s="64"/>
      <c r="BD779" s="66"/>
      <c r="BE779" s="64"/>
      <c r="BF779" s="64"/>
      <c r="BG779" s="64"/>
      <c r="BH779" s="64"/>
      <c r="BI779" s="64"/>
      <c r="BJ779" s="64"/>
      <c r="BK779" s="64"/>
      <c r="BL779" s="64"/>
      <c r="BM779" s="64"/>
      <c r="BN779" s="64"/>
    </row>
    <row r="780" ht="30.0" customHeight="1">
      <c r="A780" s="64"/>
      <c r="B780" s="64"/>
      <c r="C780" s="66"/>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75"/>
      <c r="BB780" s="64"/>
      <c r="BC780" s="64"/>
      <c r="BD780" s="66"/>
      <c r="BE780" s="64"/>
      <c r="BF780" s="64"/>
      <c r="BG780" s="64"/>
      <c r="BH780" s="64"/>
      <c r="BI780" s="64"/>
      <c r="BJ780" s="64"/>
      <c r="BK780" s="64"/>
      <c r="BL780" s="64"/>
      <c r="BM780" s="64"/>
      <c r="BN780" s="64"/>
    </row>
    <row r="781" ht="30.0" customHeight="1">
      <c r="A781" s="64"/>
      <c r="B781" s="64"/>
      <c r="C781" s="66"/>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75"/>
      <c r="BB781" s="64"/>
      <c r="BC781" s="64"/>
      <c r="BD781" s="66"/>
      <c r="BE781" s="64"/>
      <c r="BF781" s="64"/>
      <c r="BG781" s="64"/>
      <c r="BH781" s="64"/>
      <c r="BI781" s="64"/>
      <c r="BJ781" s="64"/>
      <c r="BK781" s="64"/>
      <c r="BL781" s="64"/>
      <c r="BM781" s="64"/>
      <c r="BN781" s="64"/>
    </row>
    <row r="782" ht="30.0" customHeight="1">
      <c r="A782" s="64"/>
      <c r="B782" s="64"/>
      <c r="C782" s="66"/>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75"/>
      <c r="BB782" s="64"/>
      <c r="BC782" s="64"/>
      <c r="BD782" s="66"/>
      <c r="BE782" s="64"/>
      <c r="BF782" s="64"/>
      <c r="BG782" s="64"/>
      <c r="BH782" s="64"/>
      <c r="BI782" s="64"/>
      <c r="BJ782" s="64"/>
      <c r="BK782" s="64"/>
      <c r="BL782" s="64"/>
      <c r="BM782" s="64"/>
      <c r="BN782" s="64"/>
    </row>
    <row r="783" ht="30.0" customHeight="1">
      <c r="A783" s="64"/>
      <c r="B783" s="64"/>
      <c r="C783" s="66"/>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75"/>
      <c r="BB783" s="64"/>
      <c r="BC783" s="64"/>
      <c r="BD783" s="66"/>
      <c r="BE783" s="64"/>
      <c r="BF783" s="64"/>
      <c r="BG783" s="64"/>
      <c r="BH783" s="64"/>
      <c r="BI783" s="64"/>
      <c r="BJ783" s="64"/>
      <c r="BK783" s="64"/>
      <c r="BL783" s="64"/>
      <c r="BM783" s="64"/>
      <c r="BN783" s="64"/>
    </row>
    <row r="784" ht="30.0" customHeight="1">
      <c r="A784" s="64"/>
      <c r="B784" s="64"/>
      <c r="C784" s="66"/>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75"/>
      <c r="BB784" s="64"/>
      <c r="BC784" s="64"/>
      <c r="BD784" s="66"/>
      <c r="BE784" s="64"/>
      <c r="BF784" s="64"/>
      <c r="BG784" s="64"/>
      <c r="BH784" s="64"/>
      <c r="BI784" s="64"/>
      <c r="BJ784" s="64"/>
      <c r="BK784" s="64"/>
      <c r="BL784" s="64"/>
      <c r="BM784" s="64"/>
      <c r="BN784" s="64"/>
    </row>
    <row r="785" ht="30.0" customHeight="1">
      <c r="A785" s="64"/>
      <c r="B785" s="64"/>
      <c r="C785" s="66"/>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75"/>
      <c r="BB785" s="64"/>
      <c r="BC785" s="64"/>
      <c r="BD785" s="66"/>
      <c r="BE785" s="64"/>
      <c r="BF785" s="64"/>
      <c r="BG785" s="64"/>
      <c r="BH785" s="64"/>
      <c r="BI785" s="64"/>
      <c r="BJ785" s="64"/>
      <c r="BK785" s="64"/>
      <c r="BL785" s="64"/>
      <c r="BM785" s="64"/>
      <c r="BN785" s="64"/>
    </row>
    <row r="786" ht="30.0" customHeight="1">
      <c r="A786" s="64"/>
      <c r="B786" s="64"/>
      <c r="C786" s="66"/>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75"/>
      <c r="BB786" s="64"/>
      <c r="BC786" s="64"/>
      <c r="BD786" s="66"/>
      <c r="BE786" s="64"/>
      <c r="BF786" s="64"/>
      <c r="BG786" s="64"/>
      <c r="BH786" s="64"/>
      <c r="BI786" s="64"/>
      <c r="BJ786" s="64"/>
      <c r="BK786" s="64"/>
      <c r="BL786" s="64"/>
      <c r="BM786" s="64"/>
      <c r="BN786" s="64"/>
    </row>
    <row r="787" ht="30.0" customHeight="1">
      <c r="A787" s="64"/>
      <c r="B787" s="64"/>
      <c r="C787" s="66"/>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75"/>
      <c r="BB787" s="64"/>
      <c r="BC787" s="64"/>
      <c r="BD787" s="66"/>
      <c r="BE787" s="64"/>
      <c r="BF787" s="64"/>
      <c r="BG787" s="64"/>
      <c r="BH787" s="64"/>
      <c r="BI787" s="64"/>
      <c r="BJ787" s="64"/>
      <c r="BK787" s="64"/>
      <c r="BL787" s="64"/>
      <c r="BM787" s="64"/>
      <c r="BN787" s="64"/>
    </row>
    <row r="788" ht="30.0" customHeight="1">
      <c r="A788" s="64"/>
      <c r="B788" s="64"/>
      <c r="C788" s="66"/>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75"/>
      <c r="BB788" s="64"/>
      <c r="BC788" s="64"/>
      <c r="BD788" s="66"/>
      <c r="BE788" s="64"/>
      <c r="BF788" s="64"/>
      <c r="BG788" s="64"/>
      <c r="BH788" s="64"/>
      <c r="BI788" s="64"/>
      <c r="BJ788" s="64"/>
      <c r="BK788" s="64"/>
      <c r="BL788" s="64"/>
      <c r="BM788" s="64"/>
      <c r="BN788" s="64"/>
    </row>
    <row r="789" ht="30.0" customHeight="1">
      <c r="A789" s="64"/>
      <c r="B789" s="64"/>
      <c r="C789" s="66"/>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75"/>
      <c r="BB789" s="64"/>
      <c r="BC789" s="64"/>
      <c r="BD789" s="66"/>
      <c r="BE789" s="64"/>
      <c r="BF789" s="64"/>
      <c r="BG789" s="64"/>
      <c r="BH789" s="64"/>
      <c r="BI789" s="64"/>
      <c r="BJ789" s="64"/>
      <c r="BK789" s="64"/>
      <c r="BL789" s="64"/>
      <c r="BM789" s="64"/>
      <c r="BN789" s="64"/>
    </row>
    <row r="790" ht="30.0" customHeight="1">
      <c r="A790" s="64"/>
      <c r="B790" s="64"/>
      <c r="C790" s="66"/>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75"/>
      <c r="BB790" s="64"/>
      <c r="BC790" s="64"/>
      <c r="BD790" s="66"/>
      <c r="BE790" s="64"/>
      <c r="BF790" s="64"/>
      <c r="BG790" s="64"/>
      <c r="BH790" s="64"/>
      <c r="BI790" s="64"/>
      <c r="BJ790" s="64"/>
      <c r="BK790" s="64"/>
      <c r="BL790" s="64"/>
      <c r="BM790" s="64"/>
      <c r="BN790" s="64"/>
    </row>
    <row r="791" ht="30.0" customHeight="1">
      <c r="A791" s="64"/>
      <c r="B791" s="64"/>
      <c r="C791" s="66"/>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75"/>
      <c r="BB791" s="64"/>
      <c r="BC791" s="64"/>
      <c r="BD791" s="66"/>
      <c r="BE791" s="64"/>
      <c r="BF791" s="64"/>
      <c r="BG791" s="64"/>
      <c r="BH791" s="64"/>
      <c r="BI791" s="64"/>
      <c r="BJ791" s="64"/>
      <c r="BK791" s="64"/>
      <c r="BL791" s="64"/>
      <c r="BM791" s="64"/>
      <c r="BN791" s="64"/>
    </row>
    <row r="792" ht="30.0" customHeight="1">
      <c r="A792" s="64"/>
      <c r="B792" s="64"/>
      <c r="C792" s="66"/>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75"/>
      <c r="BB792" s="64"/>
      <c r="BC792" s="64"/>
      <c r="BD792" s="66"/>
      <c r="BE792" s="64"/>
      <c r="BF792" s="64"/>
      <c r="BG792" s="64"/>
      <c r="BH792" s="64"/>
      <c r="BI792" s="64"/>
      <c r="BJ792" s="64"/>
      <c r="BK792" s="64"/>
      <c r="BL792" s="64"/>
      <c r="BM792" s="64"/>
      <c r="BN792" s="64"/>
    </row>
    <row r="793" ht="30.0" customHeight="1">
      <c r="A793" s="64"/>
      <c r="B793" s="64"/>
      <c r="C793" s="66"/>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75"/>
      <c r="BB793" s="64"/>
      <c r="BC793" s="64"/>
      <c r="BD793" s="66"/>
      <c r="BE793" s="64"/>
      <c r="BF793" s="64"/>
      <c r="BG793" s="64"/>
      <c r="BH793" s="64"/>
      <c r="BI793" s="64"/>
      <c r="BJ793" s="64"/>
      <c r="BK793" s="64"/>
      <c r="BL793" s="64"/>
      <c r="BM793" s="64"/>
      <c r="BN793" s="64"/>
    </row>
    <row r="794" ht="30.0" customHeight="1">
      <c r="A794" s="64"/>
      <c r="B794" s="64"/>
      <c r="C794" s="66"/>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75"/>
      <c r="BB794" s="64"/>
      <c r="BC794" s="64"/>
      <c r="BD794" s="66"/>
      <c r="BE794" s="64"/>
      <c r="BF794" s="64"/>
      <c r="BG794" s="64"/>
      <c r="BH794" s="64"/>
      <c r="BI794" s="64"/>
      <c r="BJ794" s="64"/>
      <c r="BK794" s="64"/>
      <c r="BL794" s="64"/>
      <c r="BM794" s="64"/>
      <c r="BN794" s="64"/>
    </row>
    <row r="795" ht="30.0" customHeight="1">
      <c r="A795" s="64"/>
      <c r="B795" s="64"/>
      <c r="C795" s="66"/>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75"/>
      <c r="BB795" s="64"/>
      <c r="BC795" s="64"/>
      <c r="BD795" s="66"/>
      <c r="BE795" s="64"/>
      <c r="BF795" s="64"/>
      <c r="BG795" s="64"/>
      <c r="BH795" s="64"/>
      <c r="BI795" s="64"/>
      <c r="BJ795" s="64"/>
      <c r="BK795" s="64"/>
      <c r="BL795" s="64"/>
      <c r="BM795" s="64"/>
      <c r="BN795" s="64"/>
    </row>
    <row r="796" ht="30.0" customHeight="1">
      <c r="A796" s="64"/>
      <c r="B796" s="64"/>
      <c r="C796" s="66"/>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75"/>
      <c r="BB796" s="64"/>
      <c r="BC796" s="64"/>
      <c r="BD796" s="66"/>
      <c r="BE796" s="64"/>
      <c r="BF796" s="64"/>
      <c r="BG796" s="64"/>
      <c r="BH796" s="64"/>
      <c r="BI796" s="64"/>
      <c r="BJ796" s="64"/>
      <c r="BK796" s="64"/>
      <c r="BL796" s="64"/>
      <c r="BM796" s="64"/>
      <c r="BN796" s="64"/>
    </row>
    <row r="797" ht="30.0" customHeight="1">
      <c r="A797" s="64"/>
      <c r="B797" s="64"/>
      <c r="C797" s="66"/>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75"/>
      <c r="BB797" s="64"/>
      <c r="BC797" s="64"/>
      <c r="BD797" s="66"/>
      <c r="BE797" s="64"/>
      <c r="BF797" s="64"/>
      <c r="BG797" s="64"/>
      <c r="BH797" s="64"/>
      <c r="BI797" s="64"/>
      <c r="BJ797" s="64"/>
      <c r="BK797" s="64"/>
      <c r="BL797" s="64"/>
      <c r="BM797" s="64"/>
      <c r="BN797" s="64"/>
    </row>
    <row r="798" ht="30.0" customHeight="1">
      <c r="A798" s="64"/>
      <c r="B798" s="64"/>
      <c r="C798" s="66"/>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75"/>
      <c r="BB798" s="64"/>
      <c r="BC798" s="64"/>
      <c r="BD798" s="66"/>
      <c r="BE798" s="64"/>
      <c r="BF798" s="64"/>
      <c r="BG798" s="64"/>
      <c r="BH798" s="64"/>
      <c r="BI798" s="64"/>
      <c r="BJ798" s="64"/>
      <c r="BK798" s="64"/>
      <c r="BL798" s="64"/>
      <c r="BM798" s="64"/>
      <c r="BN798" s="64"/>
    </row>
    <row r="799" ht="30.0" customHeight="1">
      <c r="A799" s="64"/>
      <c r="B799" s="64"/>
      <c r="C799" s="66"/>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75"/>
      <c r="BB799" s="64"/>
      <c r="BC799" s="64"/>
      <c r="BD799" s="66"/>
      <c r="BE799" s="64"/>
      <c r="BF799" s="64"/>
      <c r="BG799" s="64"/>
      <c r="BH799" s="64"/>
      <c r="BI799" s="64"/>
      <c r="BJ799" s="64"/>
      <c r="BK799" s="64"/>
      <c r="BL799" s="64"/>
      <c r="BM799" s="64"/>
      <c r="BN799" s="64"/>
    </row>
    <row r="800" ht="30.0" customHeight="1">
      <c r="A800" s="64"/>
      <c r="B800" s="64"/>
      <c r="C800" s="66"/>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75"/>
      <c r="BB800" s="64"/>
      <c r="BC800" s="64"/>
      <c r="BD800" s="66"/>
      <c r="BE800" s="64"/>
      <c r="BF800" s="64"/>
      <c r="BG800" s="64"/>
      <c r="BH800" s="64"/>
      <c r="BI800" s="64"/>
      <c r="BJ800" s="64"/>
      <c r="BK800" s="64"/>
      <c r="BL800" s="64"/>
      <c r="BM800" s="64"/>
      <c r="BN800" s="64"/>
    </row>
    <row r="801" ht="30.0" customHeight="1">
      <c r="A801" s="64"/>
      <c r="B801" s="64"/>
      <c r="C801" s="66"/>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75"/>
      <c r="BB801" s="64"/>
      <c r="BC801" s="64"/>
      <c r="BD801" s="66"/>
      <c r="BE801" s="64"/>
      <c r="BF801" s="64"/>
      <c r="BG801" s="64"/>
      <c r="BH801" s="64"/>
      <c r="BI801" s="64"/>
      <c r="BJ801" s="64"/>
      <c r="BK801" s="64"/>
      <c r="BL801" s="64"/>
      <c r="BM801" s="64"/>
      <c r="BN801" s="64"/>
    </row>
    <row r="802" ht="30.0" customHeight="1">
      <c r="A802" s="64"/>
      <c r="B802" s="64"/>
      <c r="C802" s="66"/>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75"/>
      <c r="BB802" s="64"/>
      <c r="BC802" s="64"/>
      <c r="BD802" s="66"/>
      <c r="BE802" s="64"/>
      <c r="BF802" s="64"/>
      <c r="BG802" s="64"/>
      <c r="BH802" s="64"/>
      <c r="BI802" s="64"/>
      <c r="BJ802" s="64"/>
      <c r="BK802" s="64"/>
      <c r="BL802" s="64"/>
      <c r="BM802" s="64"/>
      <c r="BN802" s="64"/>
    </row>
    <row r="803" ht="30.0" customHeight="1">
      <c r="A803" s="64"/>
      <c r="B803" s="64"/>
      <c r="C803" s="66"/>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75"/>
      <c r="BB803" s="64"/>
      <c r="BC803" s="64"/>
      <c r="BD803" s="66"/>
      <c r="BE803" s="64"/>
      <c r="BF803" s="64"/>
      <c r="BG803" s="64"/>
      <c r="BH803" s="64"/>
      <c r="BI803" s="64"/>
      <c r="BJ803" s="64"/>
      <c r="BK803" s="64"/>
      <c r="BL803" s="64"/>
      <c r="BM803" s="64"/>
      <c r="BN803" s="64"/>
    </row>
    <row r="804" ht="30.0" customHeight="1">
      <c r="A804" s="64"/>
      <c r="B804" s="64"/>
      <c r="C804" s="66"/>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75"/>
      <c r="BB804" s="64"/>
      <c r="BC804" s="64"/>
      <c r="BD804" s="66"/>
      <c r="BE804" s="64"/>
      <c r="BF804" s="64"/>
      <c r="BG804" s="64"/>
      <c r="BH804" s="64"/>
      <c r="BI804" s="64"/>
      <c r="BJ804" s="64"/>
      <c r="BK804" s="64"/>
      <c r="BL804" s="64"/>
      <c r="BM804" s="64"/>
      <c r="BN804" s="64"/>
    </row>
    <row r="805" ht="30.0" customHeight="1">
      <c r="A805" s="64"/>
      <c r="B805" s="64"/>
      <c r="C805" s="66"/>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75"/>
      <c r="BB805" s="64"/>
      <c r="BC805" s="64"/>
      <c r="BD805" s="66"/>
      <c r="BE805" s="64"/>
      <c r="BF805" s="64"/>
      <c r="BG805" s="64"/>
      <c r="BH805" s="64"/>
      <c r="BI805" s="64"/>
      <c r="BJ805" s="64"/>
      <c r="BK805" s="64"/>
      <c r="BL805" s="64"/>
      <c r="BM805" s="64"/>
      <c r="BN805" s="64"/>
    </row>
    <row r="806" ht="30.0" customHeight="1">
      <c r="A806" s="64"/>
      <c r="B806" s="64"/>
      <c r="C806" s="66"/>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75"/>
      <c r="BB806" s="64"/>
      <c r="BC806" s="64"/>
      <c r="BD806" s="66"/>
      <c r="BE806" s="64"/>
      <c r="BF806" s="64"/>
      <c r="BG806" s="64"/>
      <c r="BH806" s="64"/>
      <c r="BI806" s="64"/>
      <c r="BJ806" s="64"/>
      <c r="BK806" s="64"/>
      <c r="BL806" s="64"/>
      <c r="BM806" s="64"/>
      <c r="BN806" s="64"/>
    </row>
    <row r="807" ht="30.0" customHeight="1">
      <c r="A807" s="64"/>
      <c r="B807" s="64"/>
      <c r="C807" s="66"/>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75"/>
      <c r="BB807" s="64"/>
      <c r="BC807" s="64"/>
      <c r="BD807" s="66"/>
      <c r="BE807" s="64"/>
      <c r="BF807" s="64"/>
      <c r="BG807" s="64"/>
      <c r="BH807" s="64"/>
      <c r="BI807" s="64"/>
      <c r="BJ807" s="64"/>
      <c r="BK807" s="64"/>
      <c r="BL807" s="64"/>
      <c r="BM807" s="64"/>
      <c r="BN807" s="64"/>
    </row>
    <row r="808" ht="30.0" customHeight="1">
      <c r="A808" s="64"/>
      <c r="B808" s="64"/>
      <c r="C808" s="66"/>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75"/>
      <c r="BB808" s="64"/>
      <c r="BC808" s="64"/>
      <c r="BD808" s="66"/>
      <c r="BE808" s="64"/>
      <c r="BF808" s="64"/>
      <c r="BG808" s="64"/>
      <c r="BH808" s="64"/>
      <c r="BI808" s="64"/>
      <c r="BJ808" s="64"/>
      <c r="BK808" s="64"/>
      <c r="BL808" s="64"/>
      <c r="BM808" s="64"/>
      <c r="BN808" s="64"/>
    </row>
    <row r="809" ht="30.0" customHeight="1">
      <c r="A809" s="64"/>
      <c r="B809" s="64"/>
      <c r="C809" s="66"/>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75"/>
      <c r="BB809" s="64"/>
      <c r="BC809" s="64"/>
      <c r="BD809" s="66"/>
      <c r="BE809" s="64"/>
      <c r="BF809" s="64"/>
      <c r="BG809" s="64"/>
      <c r="BH809" s="64"/>
      <c r="BI809" s="64"/>
      <c r="BJ809" s="64"/>
      <c r="BK809" s="64"/>
      <c r="BL809" s="64"/>
      <c r="BM809" s="64"/>
      <c r="BN809" s="64"/>
    </row>
    <row r="810" ht="30.0" customHeight="1">
      <c r="A810" s="64"/>
      <c r="B810" s="64"/>
      <c r="C810" s="66"/>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75"/>
      <c r="BB810" s="64"/>
      <c r="BC810" s="64"/>
      <c r="BD810" s="66"/>
      <c r="BE810" s="64"/>
      <c r="BF810" s="64"/>
      <c r="BG810" s="64"/>
      <c r="BH810" s="64"/>
      <c r="BI810" s="64"/>
      <c r="BJ810" s="64"/>
      <c r="BK810" s="64"/>
      <c r="BL810" s="64"/>
      <c r="BM810" s="64"/>
      <c r="BN810" s="64"/>
    </row>
    <row r="811" ht="30.0" customHeight="1">
      <c r="A811" s="64"/>
      <c r="B811" s="64"/>
      <c r="C811" s="66"/>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75"/>
      <c r="BB811" s="64"/>
      <c r="BC811" s="64"/>
      <c r="BD811" s="66"/>
      <c r="BE811" s="64"/>
      <c r="BF811" s="64"/>
      <c r="BG811" s="64"/>
      <c r="BH811" s="64"/>
      <c r="BI811" s="64"/>
      <c r="BJ811" s="64"/>
      <c r="BK811" s="64"/>
      <c r="BL811" s="64"/>
      <c r="BM811" s="64"/>
      <c r="BN811" s="64"/>
    </row>
    <row r="812" ht="30.0" customHeight="1">
      <c r="A812" s="64"/>
      <c r="B812" s="64"/>
      <c r="C812" s="66"/>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75"/>
      <c r="BB812" s="64"/>
      <c r="BC812" s="64"/>
      <c r="BD812" s="66"/>
      <c r="BE812" s="64"/>
      <c r="BF812" s="64"/>
      <c r="BG812" s="64"/>
      <c r="BH812" s="64"/>
      <c r="BI812" s="64"/>
      <c r="BJ812" s="64"/>
      <c r="BK812" s="64"/>
      <c r="BL812" s="64"/>
      <c r="BM812" s="64"/>
      <c r="BN812" s="64"/>
    </row>
    <row r="813" ht="30.0" customHeight="1">
      <c r="A813" s="64"/>
      <c r="B813" s="64"/>
      <c r="C813" s="66"/>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75"/>
      <c r="BB813" s="64"/>
      <c r="BC813" s="64"/>
      <c r="BD813" s="66"/>
      <c r="BE813" s="64"/>
      <c r="BF813" s="64"/>
      <c r="BG813" s="64"/>
      <c r="BH813" s="64"/>
      <c r="BI813" s="64"/>
      <c r="BJ813" s="64"/>
      <c r="BK813" s="64"/>
      <c r="BL813" s="64"/>
      <c r="BM813" s="64"/>
      <c r="BN813" s="64"/>
    </row>
    <row r="814" ht="30.0" customHeight="1">
      <c r="A814" s="64"/>
      <c r="B814" s="64"/>
      <c r="C814" s="66"/>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75"/>
      <c r="BB814" s="64"/>
      <c r="BC814" s="64"/>
      <c r="BD814" s="66"/>
      <c r="BE814" s="64"/>
      <c r="BF814" s="64"/>
      <c r="BG814" s="64"/>
      <c r="BH814" s="64"/>
      <c r="BI814" s="64"/>
      <c r="BJ814" s="64"/>
      <c r="BK814" s="64"/>
      <c r="BL814" s="64"/>
      <c r="BM814" s="64"/>
      <c r="BN814" s="64"/>
    </row>
    <row r="815" ht="30.0" customHeight="1">
      <c r="A815" s="64"/>
      <c r="B815" s="64"/>
      <c r="C815" s="66"/>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75"/>
      <c r="BB815" s="64"/>
      <c r="BC815" s="64"/>
      <c r="BD815" s="66"/>
      <c r="BE815" s="64"/>
      <c r="BF815" s="64"/>
      <c r="BG815" s="64"/>
      <c r="BH815" s="64"/>
      <c r="BI815" s="64"/>
      <c r="BJ815" s="64"/>
      <c r="BK815" s="64"/>
      <c r="BL815" s="64"/>
      <c r="BM815" s="64"/>
      <c r="BN815" s="64"/>
    </row>
    <row r="816" ht="30.0" customHeight="1">
      <c r="A816" s="64"/>
      <c r="B816" s="64"/>
      <c r="C816" s="66"/>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75"/>
      <c r="BB816" s="64"/>
      <c r="BC816" s="64"/>
      <c r="BD816" s="66"/>
      <c r="BE816" s="64"/>
      <c r="BF816" s="64"/>
      <c r="BG816" s="64"/>
      <c r="BH816" s="64"/>
      <c r="BI816" s="64"/>
      <c r="BJ816" s="64"/>
      <c r="BK816" s="64"/>
      <c r="BL816" s="64"/>
      <c r="BM816" s="64"/>
      <c r="BN816" s="64"/>
    </row>
    <row r="817" ht="30.0" customHeight="1">
      <c r="A817" s="64"/>
      <c r="B817" s="64"/>
      <c r="C817" s="66"/>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75"/>
      <c r="BB817" s="64"/>
      <c r="BC817" s="64"/>
      <c r="BD817" s="66"/>
      <c r="BE817" s="64"/>
      <c r="BF817" s="64"/>
      <c r="BG817" s="64"/>
      <c r="BH817" s="64"/>
      <c r="BI817" s="64"/>
      <c r="BJ817" s="64"/>
      <c r="BK817" s="64"/>
      <c r="BL817" s="64"/>
      <c r="BM817" s="64"/>
      <c r="BN817" s="64"/>
    </row>
    <row r="818" ht="30.0" customHeight="1">
      <c r="A818" s="64"/>
      <c r="B818" s="64"/>
      <c r="C818" s="66"/>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75"/>
      <c r="BB818" s="64"/>
      <c r="BC818" s="64"/>
      <c r="BD818" s="66"/>
      <c r="BE818" s="64"/>
      <c r="BF818" s="64"/>
      <c r="BG818" s="64"/>
      <c r="BH818" s="64"/>
      <c r="BI818" s="64"/>
      <c r="BJ818" s="64"/>
      <c r="BK818" s="64"/>
      <c r="BL818" s="64"/>
      <c r="BM818" s="64"/>
      <c r="BN818" s="64"/>
    </row>
    <row r="819" ht="30.0" customHeight="1">
      <c r="A819" s="64"/>
      <c r="B819" s="64"/>
      <c r="C819" s="66"/>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75"/>
      <c r="BB819" s="64"/>
      <c r="BC819" s="64"/>
      <c r="BD819" s="66"/>
      <c r="BE819" s="64"/>
      <c r="BF819" s="64"/>
      <c r="BG819" s="64"/>
      <c r="BH819" s="64"/>
      <c r="BI819" s="64"/>
      <c r="BJ819" s="64"/>
      <c r="BK819" s="64"/>
      <c r="BL819" s="64"/>
      <c r="BM819" s="64"/>
      <c r="BN819" s="64"/>
    </row>
    <row r="820" ht="30.0" customHeight="1">
      <c r="A820" s="64"/>
      <c r="B820" s="64"/>
      <c r="C820" s="66"/>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75"/>
      <c r="BB820" s="64"/>
      <c r="BC820" s="64"/>
      <c r="BD820" s="66"/>
      <c r="BE820" s="64"/>
      <c r="BF820" s="64"/>
      <c r="BG820" s="64"/>
      <c r="BH820" s="64"/>
      <c r="BI820" s="64"/>
      <c r="BJ820" s="64"/>
      <c r="BK820" s="64"/>
      <c r="BL820" s="64"/>
      <c r="BM820" s="64"/>
      <c r="BN820" s="64"/>
    </row>
    <row r="821" ht="30.0" customHeight="1">
      <c r="A821" s="64"/>
      <c r="B821" s="64"/>
      <c r="C821" s="66"/>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75"/>
      <c r="BB821" s="64"/>
      <c r="BC821" s="64"/>
      <c r="BD821" s="66"/>
      <c r="BE821" s="64"/>
      <c r="BF821" s="64"/>
      <c r="BG821" s="64"/>
      <c r="BH821" s="64"/>
      <c r="BI821" s="64"/>
      <c r="BJ821" s="64"/>
      <c r="BK821" s="64"/>
      <c r="BL821" s="64"/>
      <c r="BM821" s="64"/>
      <c r="BN821" s="64"/>
    </row>
  </sheetData>
  <dataValidations>
    <dataValidation type="list" allowBlank="1" showErrorMessage="1" sqref="A2:A89">
      <formula1>'1.DS Dự án'!$D$2:$D$56</formula1>
    </dataValidation>
    <dataValidation type="list" allowBlank="1" showErrorMessage="1" sqref="C2:C89">
      <formula1>"1. PO,2. PM,3. SA,4. BA,5. DE,6. Dev FE,7. Dev BE,8. Tester,9. QA,Devops"</formula1>
    </dataValidation>
    <dataValidation type="list" allowBlank="1" showErrorMessage="1" sqref="B2:B89">
      <formula1>'2.Tổ chức nhân sự'!$B$2:$B$811</formula1>
    </dataValidation>
  </dataValidations>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36.44"/>
    <col customWidth="1" min="4" max="4" width="36.78"/>
    <col customWidth="1" min="5" max="5" width="81.0"/>
  </cols>
  <sheetData>
    <row r="1">
      <c r="A1" s="117" t="s">
        <v>690</v>
      </c>
      <c r="B1" s="118" t="s">
        <v>691</v>
      </c>
      <c r="C1" s="119"/>
      <c r="D1" s="120"/>
      <c r="E1" s="121"/>
      <c r="F1" s="60"/>
      <c r="G1" s="60"/>
      <c r="H1" s="60"/>
      <c r="I1" s="60"/>
      <c r="J1" s="60"/>
      <c r="K1" s="60"/>
      <c r="L1" s="60"/>
      <c r="M1" s="60"/>
      <c r="N1" s="60"/>
      <c r="O1" s="60"/>
      <c r="P1" s="60"/>
      <c r="Q1" s="60"/>
      <c r="R1" s="60"/>
      <c r="S1" s="60"/>
      <c r="T1" s="60"/>
      <c r="U1" s="60"/>
      <c r="V1" s="60"/>
      <c r="W1" s="60"/>
      <c r="X1" s="60"/>
      <c r="Y1" s="60"/>
      <c r="Z1" s="60"/>
    </row>
    <row r="2">
      <c r="A2" s="122" t="s">
        <v>84</v>
      </c>
      <c r="B2" s="123" t="s">
        <v>19</v>
      </c>
      <c r="C2" s="122" t="s">
        <v>692</v>
      </c>
      <c r="D2" s="122" t="s">
        <v>693</v>
      </c>
      <c r="E2" s="122" t="s">
        <v>694</v>
      </c>
      <c r="F2" s="60"/>
      <c r="G2" s="60"/>
      <c r="H2" s="60"/>
      <c r="I2" s="60"/>
      <c r="J2" s="60"/>
      <c r="K2" s="60"/>
      <c r="L2" s="60"/>
      <c r="M2" s="60"/>
      <c r="N2" s="60"/>
      <c r="O2" s="60"/>
      <c r="P2" s="60"/>
      <c r="Q2" s="60"/>
      <c r="R2" s="60"/>
      <c r="S2" s="60"/>
      <c r="T2" s="60"/>
      <c r="U2" s="60"/>
      <c r="V2" s="60"/>
      <c r="W2" s="60"/>
      <c r="X2" s="60"/>
      <c r="Y2" s="60"/>
      <c r="Z2" s="60"/>
    </row>
    <row r="3">
      <c r="A3" s="124"/>
      <c r="B3" s="125"/>
      <c r="C3" s="126"/>
      <c r="D3" s="127"/>
      <c r="E3" s="128"/>
      <c r="F3" s="60"/>
      <c r="G3" s="60"/>
      <c r="H3" s="60"/>
      <c r="I3" s="60"/>
      <c r="J3" s="60"/>
      <c r="K3" s="60"/>
      <c r="L3" s="60"/>
      <c r="M3" s="60"/>
      <c r="N3" s="60"/>
      <c r="O3" s="60"/>
      <c r="P3" s="60"/>
      <c r="Q3" s="60"/>
      <c r="R3" s="60"/>
      <c r="S3" s="60"/>
      <c r="T3" s="60"/>
      <c r="U3" s="60"/>
      <c r="V3" s="60"/>
      <c r="W3" s="60"/>
      <c r="X3" s="60"/>
      <c r="Y3" s="60"/>
      <c r="Z3" s="60"/>
    </row>
    <row r="4">
      <c r="A4" s="129"/>
      <c r="B4" s="130"/>
      <c r="C4" s="131"/>
      <c r="D4" s="127"/>
      <c r="E4" s="128"/>
      <c r="F4" s="60"/>
      <c r="G4" s="60"/>
      <c r="H4" s="60"/>
      <c r="I4" s="60"/>
      <c r="J4" s="60"/>
      <c r="K4" s="60"/>
      <c r="L4" s="60"/>
      <c r="M4" s="60"/>
      <c r="N4" s="60"/>
      <c r="O4" s="60"/>
      <c r="P4" s="60"/>
      <c r="Q4" s="60"/>
      <c r="R4" s="60"/>
      <c r="S4" s="60"/>
      <c r="T4" s="60"/>
      <c r="U4" s="60"/>
      <c r="V4" s="60"/>
      <c r="W4" s="60"/>
      <c r="X4" s="60"/>
      <c r="Y4" s="60"/>
      <c r="Z4" s="60"/>
    </row>
    <row r="5">
      <c r="A5" s="129"/>
      <c r="B5" s="130"/>
      <c r="C5" s="131"/>
      <c r="D5" s="127"/>
      <c r="E5" s="128"/>
      <c r="F5" s="60"/>
      <c r="G5" s="60"/>
      <c r="H5" s="60"/>
      <c r="I5" s="60"/>
      <c r="J5" s="60"/>
      <c r="K5" s="60"/>
      <c r="L5" s="60"/>
      <c r="M5" s="60"/>
      <c r="N5" s="60"/>
      <c r="O5" s="60"/>
      <c r="P5" s="60"/>
      <c r="Q5" s="60"/>
      <c r="R5" s="60"/>
      <c r="S5" s="60"/>
      <c r="T5" s="60"/>
      <c r="U5" s="60"/>
      <c r="V5" s="60"/>
      <c r="W5" s="60"/>
      <c r="X5" s="60"/>
      <c r="Y5" s="60"/>
      <c r="Z5" s="60"/>
    </row>
    <row r="6">
      <c r="A6" s="129"/>
      <c r="B6" s="130"/>
      <c r="C6" s="131"/>
      <c r="D6" s="127"/>
      <c r="E6" s="128"/>
      <c r="F6" s="60"/>
      <c r="G6" s="60"/>
      <c r="H6" s="60"/>
      <c r="I6" s="60"/>
      <c r="J6" s="60"/>
      <c r="K6" s="60"/>
      <c r="L6" s="60"/>
      <c r="M6" s="60"/>
      <c r="N6" s="60"/>
      <c r="O6" s="60"/>
      <c r="P6" s="60"/>
      <c r="Q6" s="60"/>
      <c r="R6" s="60"/>
      <c r="S6" s="60"/>
      <c r="T6" s="60"/>
      <c r="U6" s="60"/>
      <c r="V6" s="60"/>
      <c r="W6" s="60"/>
      <c r="X6" s="60"/>
      <c r="Y6" s="60"/>
      <c r="Z6" s="60"/>
    </row>
    <row r="7">
      <c r="A7" s="129"/>
      <c r="B7" s="130"/>
      <c r="C7" s="131"/>
      <c r="D7" s="127"/>
      <c r="E7" s="128"/>
      <c r="F7" s="60"/>
      <c r="G7" s="60"/>
      <c r="H7" s="60"/>
      <c r="I7" s="60"/>
      <c r="J7" s="60"/>
      <c r="K7" s="60"/>
      <c r="L7" s="60"/>
      <c r="M7" s="60"/>
      <c r="N7" s="60"/>
      <c r="O7" s="60"/>
      <c r="P7" s="60"/>
      <c r="Q7" s="60"/>
      <c r="R7" s="60"/>
      <c r="S7" s="60"/>
      <c r="T7" s="60"/>
      <c r="U7" s="60"/>
      <c r="V7" s="60"/>
      <c r="W7" s="60"/>
      <c r="X7" s="60"/>
      <c r="Y7" s="60"/>
      <c r="Z7" s="60"/>
    </row>
    <row r="8">
      <c r="A8" s="124"/>
      <c r="B8" s="125"/>
      <c r="C8" s="126"/>
      <c r="D8" s="127"/>
      <c r="E8" s="128"/>
      <c r="F8" s="60"/>
      <c r="G8" s="60"/>
      <c r="H8" s="60"/>
      <c r="I8" s="60"/>
      <c r="J8" s="60"/>
      <c r="K8" s="60"/>
      <c r="L8" s="60"/>
      <c r="M8" s="60"/>
      <c r="N8" s="60"/>
      <c r="O8" s="60"/>
      <c r="P8" s="60"/>
      <c r="Q8" s="60"/>
      <c r="R8" s="60"/>
      <c r="S8" s="60"/>
      <c r="T8" s="60"/>
      <c r="U8" s="60"/>
      <c r="V8" s="60"/>
      <c r="W8" s="60"/>
      <c r="X8" s="60"/>
      <c r="Y8" s="60"/>
      <c r="Z8" s="60"/>
    </row>
    <row r="9">
      <c r="A9" s="132"/>
      <c r="B9" s="133"/>
      <c r="C9" s="134"/>
      <c r="D9" s="135"/>
      <c r="E9" s="136"/>
      <c r="F9" s="60"/>
      <c r="G9" s="60"/>
      <c r="H9" s="60"/>
      <c r="I9" s="60"/>
      <c r="J9" s="60"/>
      <c r="K9" s="60"/>
      <c r="L9" s="60"/>
      <c r="M9" s="60"/>
      <c r="N9" s="60"/>
      <c r="O9" s="60"/>
      <c r="P9" s="60"/>
      <c r="Q9" s="60"/>
      <c r="R9" s="60"/>
      <c r="S9" s="60"/>
      <c r="T9" s="60"/>
      <c r="U9" s="60"/>
      <c r="V9" s="60"/>
      <c r="W9" s="60"/>
      <c r="X9" s="60"/>
      <c r="Y9" s="60"/>
      <c r="Z9" s="60"/>
    </row>
    <row r="10">
      <c r="A10" s="137"/>
      <c r="B10" s="138"/>
      <c r="C10" s="138"/>
      <c r="D10" s="139"/>
      <c r="E10" s="136"/>
      <c r="F10" s="60"/>
      <c r="G10" s="60"/>
      <c r="H10" s="60"/>
      <c r="I10" s="60"/>
      <c r="J10" s="60"/>
      <c r="K10" s="60"/>
      <c r="L10" s="60"/>
      <c r="M10" s="60"/>
      <c r="N10" s="60"/>
      <c r="O10" s="60"/>
      <c r="P10" s="60"/>
      <c r="Q10" s="60"/>
      <c r="R10" s="60"/>
      <c r="S10" s="60"/>
      <c r="T10" s="60"/>
      <c r="U10" s="60"/>
      <c r="V10" s="60"/>
      <c r="W10" s="60"/>
      <c r="X10" s="60"/>
      <c r="Y10" s="60"/>
      <c r="Z10" s="60"/>
    </row>
    <row r="11">
      <c r="A11" s="140"/>
      <c r="B11" s="141"/>
      <c r="C11" s="142"/>
      <c r="D11" s="139"/>
      <c r="E11" s="136"/>
      <c r="F11" s="60"/>
      <c r="G11" s="60"/>
      <c r="H11" s="60"/>
      <c r="I11" s="60"/>
      <c r="J11" s="60"/>
      <c r="K11" s="60"/>
      <c r="L11" s="60"/>
      <c r="M11" s="60"/>
      <c r="N11" s="60"/>
      <c r="O11" s="60"/>
      <c r="P11" s="60"/>
      <c r="Q11" s="60"/>
      <c r="R11" s="60"/>
      <c r="S11" s="60"/>
      <c r="T11" s="60"/>
      <c r="U11" s="60"/>
      <c r="V11" s="60"/>
      <c r="W11" s="60"/>
      <c r="X11" s="60"/>
      <c r="Y11" s="60"/>
      <c r="Z11" s="60"/>
    </row>
    <row r="12">
      <c r="A12" s="137"/>
      <c r="B12" s="133"/>
      <c r="C12" s="134"/>
      <c r="D12" s="139"/>
      <c r="E12" s="136"/>
      <c r="F12" s="60"/>
      <c r="G12" s="60"/>
      <c r="H12" s="60"/>
      <c r="I12" s="60"/>
      <c r="J12" s="60"/>
      <c r="K12" s="60"/>
      <c r="L12" s="60"/>
      <c r="M12" s="60"/>
      <c r="N12" s="60"/>
      <c r="O12" s="60"/>
      <c r="P12" s="60"/>
      <c r="Q12" s="60"/>
      <c r="R12" s="60"/>
      <c r="S12" s="60"/>
      <c r="T12" s="60"/>
      <c r="U12" s="60"/>
      <c r="V12" s="60"/>
      <c r="W12" s="60"/>
      <c r="X12" s="60"/>
      <c r="Y12" s="60"/>
      <c r="Z12" s="60"/>
    </row>
    <row r="13">
      <c r="A13" s="137"/>
      <c r="B13" s="143"/>
      <c r="C13" s="143"/>
      <c r="D13" s="139"/>
      <c r="E13" s="136"/>
      <c r="F13" s="60"/>
      <c r="G13" s="60"/>
      <c r="H13" s="60"/>
      <c r="I13" s="60"/>
      <c r="J13" s="60"/>
      <c r="K13" s="60"/>
      <c r="L13" s="60"/>
      <c r="M13" s="60"/>
      <c r="N13" s="60"/>
      <c r="O13" s="60"/>
      <c r="P13" s="60"/>
      <c r="Q13" s="60"/>
      <c r="R13" s="60"/>
      <c r="S13" s="60"/>
      <c r="T13" s="60"/>
      <c r="U13" s="60"/>
      <c r="V13" s="60"/>
      <c r="W13" s="60"/>
      <c r="X13" s="60"/>
      <c r="Y13" s="60"/>
      <c r="Z13" s="60"/>
    </row>
    <row r="14">
      <c r="A14" s="137"/>
      <c r="B14" s="133"/>
      <c r="C14" s="134"/>
      <c r="D14" s="139"/>
      <c r="E14" s="136"/>
      <c r="F14" s="60"/>
      <c r="G14" s="60"/>
      <c r="H14" s="60"/>
      <c r="I14" s="60"/>
      <c r="J14" s="60"/>
      <c r="K14" s="60"/>
      <c r="L14" s="60"/>
      <c r="M14" s="60"/>
      <c r="N14" s="60"/>
      <c r="O14" s="60"/>
      <c r="P14" s="60"/>
      <c r="Q14" s="60"/>
      <c r="R14" s="60"/>
      <c r="S14" s="60"/>
      <c r="T14" s="60"/>
      <c r="U14" s="60"/>
      <c r="V14" s="60"/>
      <c r="W14" s="60"/>
      <c r="X14" s="60"/>
      <c r="Y14" s="60"/>
      <c r="Z14" s="60"/>
    </row>
    <row r="15">
      <c r="A15" s="137"/>
      <c r="B15" s="143"/>
      <c r="C15" s="143"/>
      <c r="D15" s="140"/>
      <c r="E15" s="136"/>
      <c r="F15" s="60"/>
      <c r="G15" s="60"/>
      <c r="H15" s="60"/>
      <c r="I15" s="60"/>
      <c r="J15" s="60"/>
      <c r="K15" s="60"/>
      <c r="L15" s="60"/>
      <c r="M15" s="60"/>
      <c r="N15" s="60"/>
      <c r="O15" s="60"/>
      <c r="P15" s="60"/>
      <c r="Q15" s="60"/>
      <c r="R15" s="60"/>
      <c r="S15" s="60"/>
      <c r="T15" s="60"/>
      <c r="U15" s="60"/>
      <c r="V15" s="60"/>
      <c r="W15" s="60"/>
      <c r="X15" s="60"/>
      <c r="Y15" s="60"/>
      <c r="Z15" s="60"/>
    </row>
    <row r="16">
      <c r="A16" s="137"/>
      <c r="B16" s="143"/>
      <c r="C16" s="143"/>
      <c r="D16" s="139"/>
      <c r="E16" s="136"/>
      <c r="F16" s="60"/>
      <c r="G16" s="60"/>
      <c r="H16" s="60"/>
      <c r="I16" s="60"/>
      <c r="J16" s="60"/>
      <c r="K16" s="60"/>
      <c r="L16" s="60"/>
      <c r="M16" s="60"/>
      <c r="N16" s="60"/>
      <c r="O16" s="60"/>
      <c r="P16" s="60"/>
      <c r="Q16" s="60"/>
      <c r="R16" s="60"/>
      <c r="S16" s="60"/>
      <c r="T16" s="60"/>
      <c r="U16" s="60"/>
      <c r="V16" s="60"/>
      <c r="W16" s="60"/>
      <c r="X16" s="60"/>
      <c r="Y16" s="60"/>
      <c r="Z16" s="60"/>
    </row>
    <row r="17">
      <c r="A17" s="137"/>
      <c r="B17" s="143"/>
      <c r="C17" s="143"/>
      <c r="D17" s="136"/>
      <c r="E17" s="136"/>
      <c r="F17" s="60"/>
      <c r="G17" s="60"/>
      <c r="H17" s="60"/>
      <c r="I17" s="60"/>
      <c r="J17" s="60"/>
      <c r="K17" s="60"/>
      <c r="L17" s="60"/>
      <c r="M17" s="60"/>
      <c r="N17" s="60"/>
      <c r="O17" s="60"/>
      <c r="P17" s="60"/>
      <c r="Q17" s="60"/>
      <c r="R17" s="60"/>
      <c r="S17" s="60"/>
      <c r="T17" s="60"/>
      <c r="U17" s="60"/>
      <c r="V17" s="60"/>
      <c r="W17" s="60"/>
      <c r="X17" s="60"/>
      <c r="Y17" s="60"/>
      <c r="Z17" s="60"/>
    </row>
    <row r="18">
      <c r="A18" s="137"/>
      <c r="B18" s="143"/>
      <c r="C18" s="143"/>
      <c r="D18" s="140"/>
      <c r="E18" s="136"/>
      <c r="F18" s="60"/>
      <c r="G18" s="60"/>
      <c r="H18" s="60"/>
      <c r="I18" s="60"/>
      <c r="J18" s="60"/>
      <c r="K18" s="60"/>
      <c r="L18" s="60"/>
      <c r="M18" s="60"/>
      <c r="N18" s="60"/>
      <c r="O18" s="60"/>
      <c r="P18" s="60"/>
      <c r="Q18" s="60"/>
      <c r="R18" s="60"/>
      <c r="S18" s="60"/>
      <c r="T18" s="60"/>
      <c r="U18" s="60"/>
      <c r="V18" s="60"/>
      <c r="W18" s="60"/>
      <c r="X18" s="60"/>
      <c r="Y18" s="60"/>
      <c r="Z18" s="60"/>
    </row>
    <row r="19">
      <c r="A19" s="137"/>
      <c r="B19" s="138"/>
      <c r="C19" s="138"/>
      <c r="D19" s="139"/>
      <c r="E19" s="136"/>
      <c r="F19" s="60"/>
      <c r="G19" s="60"/>
      <c r="H19" s="60"/>
      <c r="I19" s="60"/>
      <c r="J19" s="60"/>
      <c r="K19" s="60"/>
      <c r="L19" s="60"/>
      <c r="M19" s="60"/>
      <c r="N19" s="60"/>
      <c r="O19" s="60"/>
      <c r="P19" s="60"/>
      <c r="Q19" s="60"/>
      <c r="R19" s="60"/>
      <c r="S19" s="60"/>
      <c r="T19" s="60"/>
      <c r="U19" s="60"/>
      <c r="V19" s="60"/>
      <c r="W19" s="60"/>
      <c r="X19" s="60"/>
      <c r="Y19" s="60"/>
      <c r="Z19" s="60"/>
    </row>
    <row r="20">
      <c r="A20" s="137"/>
      <c r="B20" s="133"/>
      <c r="C20" s="134"/>
      <c r="D20" s="144"/>
      <c r="E20" s="136"/>
      <c r="F20" s="60"/>
      <c r="G20" s="60"/>
      <c r="H20" s="60"/>
      <c r="I20" s="60"/>
      <c r="J20" s="60"/>
      <c r="K20" s="60"/>
      <c r="L20" s="60"/>
      <c r="M20" s="60"/>
      <c r="N20" s="60"/>
      <c r="O20" s="60"/>
      <c r="P20" s="60"/>
      <c r="Q20" s="60"/>
      <c r="R20" s="60"/>
      <c r="S20" s="60"/>
      <c r="T20" s="60"/>
      <c r="U20" s="60"/>
      <c r="V20" s="60"/>
      <c r="W20" s="60"/>
      <c r="X20" s="60"/>
      <c r="Y20" s="60"/>
      <c r="Z20" s="60"/>
    </row>
    <row r="21">
      <c r="A21" s="137"/>
      <c r="B21" s="143"/>
      <c r="C21" s="143"/>
      <c r="D21" s="139"/>
      <c r="E21" s="136"/>
      <c r="F21" s="60"/>
      <c r="G21" s="60"/>
      <c r="H21" s="60"/>
      <c r="I21" s="60"/>
      <c r="J21" s="60"/>
      <c r="K21" s="60"/>
      <c r="L21" s="60"/>
      <c r="M21" s="60"/>
      <c r="N21" s="60"/>
      <c r="O21" s="60"/>
      <c r="P21" s="60"/>
      <c r="Q21" s="60"/>
      <c r="R21" s="60"/>
      <c r="S21" s="60"/>
      <c r="T21" s="60"/>
      <c r="U21" s="60"/>
      <c r="V21" s="60"/>
      <c r="W21" s="60"/>
      <c r="X21" s="60"/>
      <c r="Y21" s="60"/>
      <c r="Z21" s="60"/>
    </row>
    <row r="22">
      <c r="A22" s="137"/>
      <c r="B22" s="143"/>
      <c r="C22" s="143"/>
      <c r="D22" s="139"/>
      <c r="E22" s="136"/>
      <c r="F22" s="60"/>
      <c r="G22" s="60"/>
      <c r="H22" s="60"/>
      <c r="I22" s="60"/>
      <c r="J22" s="60"/>
      <c r="K22" s="60"/>
      <c r="L22" s="60"/>
      <c r="M22" s="60"/>
      <c r="N22" s="60"/>
      <c r="O22" s="60"/>
      <c r="P22" s="60"/>
      <c r="Q22" s="60"/>
      <c r="R22" s="60"/>
      <c r="S22" s="60"/>
      <c r="T22" s="60"/>
      <c r="U22" s="60"/>
      <c r="V22" s="60"/>
      <c r="W22" s="60"/>
      <c r="X22" s="60"/>
      <c r="Y22" s="60"/>
      <c r="Z22" s="60"/>
    </row>
    <row r="23">
      <c r="A23" s="137"/>
      <c r="B23" s="143"/>
      <c r="C23" s="143"/>
      <c r="D23" s="139"/>
      <c r="E23" s="136"/>
      <c r="F23" s="60"/>
      <c r="G23" s="60"/>
      <c r="H23" s="60"/>
      <c r="I23" s="60"/>
      <c r="J23" s="60"/>
      <c r="K23" s="60"/>
      <c r="L23" s="60"/>
      <c r="M23" s="60"/>
      <c r="N23" s="60"/>
      <c r="O23" s="60"/>
      <c r="P23" s="60"/>
      <c r="Q23" s="60"/>
      <c r="R23" s="60"/>
      <c r="S23" s="60"/>
      <c r="T23" s="60"/>
      <c r="U23" s="60"/>
      <c r="V23" s="60"/>
      <c r="W23" s="60"/>
      <c r="X23" s="60"/>
      <c r="Y23" s="60"/>
      <c r="Z23" s="60"/>
    </row>
    <row r="24">
      <c r="A24" s="137"/>
      <c r="B24" s="143"/>
      <c r="C24" s="143"/>
      <c r="D24" s="139"/>
      <c r="E24" s="136"/>
      <c r="F24" s="60"/>
      <c r="G24" s="60"/>
      <c r="H24" s="60"/>
      <c r="I24" s="60"/>
      <c r="J24" s="60"/>
      <c r="K24" s="60"/>
      <c r="L24" s="60"/>
      <c r="M24" s="60"/>
      <c r="N24" s="60"/>
      <c r="O24" s="60"/>
      <c r="P24" s="60"/>
      <c r="Q24" s="60"/>
      <c r="R24" s="60"/>
      <c r="S24" s="60"/>
      <c r="T24" s="60"/>
      <c r="U24" s="60"/>
      <c r="V24" s="60"/>
      <c r="W24" s="60"/>
      <c r="X24" s="60"/>
      <c r="Y24" s="60"/>
      <c r="Z24" s="60"/>
    </row>
    <row r="25">
      <c r="A25" s="137"/>
      <c r="B25" s="143"/>
      <c r="C25" s="143"/>
      <c r="D25" s="139"/>
      <c r="E25" s="136"/>
      <c r="F25" s="60"/>
      <c r="G25" s="60"/>
      <c r="H25" s="60"/>
      <c r="I25" s="60"/>
      <c r="J25" s="60"/>
      <c r="K25" s="60"/>
      <c r="L25" s="60"/>
      <c r="M25" s="60"/>
      <c r="N25" s="60"/>
      <c r="O25" s="60"/>
      <c r="P25" s="60"/>
      <c r="Q25" s="60"/>
      <c r="R25" s="60"/>
      <c r="S25" s="60"/>
      <c r="T25" s="60"/>
      <c r="U25" s="60"/>
      <c r="V25" s="60"/>
      <c r="W25" s="60"/>
      <c r="X25" s="60"/>
      <c r="Y25" s="60"/>
      <c r="Z25" s="60"/>
    </row>
    <row r="26">
      <c r="A26" s="137"/>
      <c r="B26" s="143"/>
      <c r="C26" s="143"/>
      <c r="D26" s="139"/>
      <c r="E26" s="136"/>
      <c r="F26" s="60"/>
      <c r="G26" s="60"/>
      <c r="H26" s="60"/>
      <c r="I26" s="60"/>
      <c r="J26" s="60"/>
      <c r="K26" s="60"/>
      <c r="L26" s="60"/>
      <c r="M26" s="60"/>
      <c r="N26" s="60"/>
      <c r="O26" s="60"/>
      <c r="P26" s="60"/>
      <c r="Q26" s="60"/>
      <c r="R26" s="60"/>
      <c r="S26" s="60"/>
      <c r="T26" s="60"/>
      <c r="U26" s="60"/>
      <c r="V26" s="60"/>
      <c r="W26" s="60"/>
      <c r="X26" s="60"/>
      <c r="Y26" s="60"/>
      <c r="Z26" s="60"/>
    </row>
    <row r="27">
      <c r="A27" s="137"/>
      <c r="B27" s="143"/>
      <c r="C27" s="143"/>
      <c r="D27" s="145"/>
      <c r="E27" s="136"/>
      <c r="F27" s="60"/>
      <c r="G27" s="60"/>
      <c r="H27" s="60"/>
      <c r="I27" s="60"/>
      <c r="J27" s="60"/>
      <c r="K27" s="60"/>
      <c r="L27" s="60"/>
      <c r="M27" s="60"/>
      <c r="N27" s="60"/>
      <c r="O27" s="60"/>
      <c r="P27" s="60"/>
      <c r="Q27" s="60"/>
      <c r="R27" s="60"/>
      <c r="S27" s="60"/>
      <c r="T27" s="60"/>
      <c r="U27" s="60"/>
      <c r="V27" s="60"/>
      <c r="W27" s="60"/>
      <c r="X27" s="60"/>
      <c r="Y27" s="60"/>
      <c r="Z27" s="60"/>
    </row>
    <row r="28">
      <c r="A28" s="137"/>
      <c r="B28" s="143"/>
      <c r="C28" s="143"/>
      <c r="D28" s="139"/>
      <c r="E28" s="136"/>
      <c r="F28" s="60"/>
      <c r="G28" s="60"/>
      <c r="H28" s="60"/>
      <c r="I28" s="60"/>
      <c r="J28" s="60"/>
      <c r="K28" s="60"/>
      <c r="L28" s="60"/>
      <c r="M28" s="60"/>
      <c r="N28" s="60"/>
      <c r="O28" s="60"/>
      <c r="P28" s="60"/>
      <c r="Q28" s="60"/>
      <c r="R28" s="60"/>
      <c r="S28" s="60"/>
      <c r="T28" s="60"/>
      <c r="U28" s="60"/>
      <c r="V28" s="60"/>
      <c r="W28" s="60"/>
      <c r="X28" s="60"/>
      <c r="Y28" s="60"/>
      <c r="Z28" s="60"/>
    </row>
    <row r="29">
      <c r="A29" s="137"/>
      <c r="B29" s="143"/>
      <c r="C29" s="143"/>
      <c r="D29" s="139"/>
      <c r="E29" s="136"/>
      <c r="F29" s="60"/>
      <c r="G29" s="60"/>
      <c r="H29" s="60"/>
      <c r="I29" s="60"/>
      <c r="J29" s="60"/>
      <c r="K29" s="60"/>
      <c r="L29" s="60"/>
      <c r="M29" s="60"/>
      <c r="N29" s="60"/>
      <c r="O29" s="60"/>
      <c r="P29" s="60"/>
      <c r="Q29" s="60"/>
      <c r="R29" s="60"/>
      <c r="S29" s="60"/>
      <c r="T29" s="60"/>
      <c r="U29" s="60"/>
      <c r="V29" s="60"/>
      <c r="W29" s="60"/>
      <c r="X29" s="60"/>
      <c r="Y29" s="60"/>
      <c r="Z29" s="60"/>
    </row>
    <row r="30">
      <c r="A30" s="137"/>
      <c r="B30" s="143"/>
      <c r="C30" s="143"/>
      <c r="D30" s="139"/>
      <c r="E30" s="136"/>
      <c r="F30" s="60"/>
      <c r="G30" s="60"/>
      <c r="H30" s="60"/>
      <c r="I30" s="60"/>
      <c r="J30" s="60"/>
      <c r="K30" s="60"/>
      <c r="L30" s="60"/>
      <c r="M30" s="60"/>
      <c r="N30" s="60"/>
      <c r="O30" s="60"/>
      <c r="P30" s="60"/>
      <c r="Q30" s="60"/>
      <c r="R30" s="60"/>
      <c r="S30" s="60"/>
      <c r="T30" s="60"/>
      <c r="U30" s="60"/>
      <c r="V30" s="60"/>
      <c r="W30" s="60"/>
      <c r="X30" s="60"/>
      <c r="Y30" s="60"/>
      <c r="Z30" s="60"/>
    </row>
    <row r="31">
      <c r="A31" s="137"/>
      <c r="B31" s="143"/>
      <c r="C31" s="143"/>
      <c r="D31" s="139"/>
      <c r="E31" s="136"/>
      <c r="F31" s="60"/>
      <c r="G31" s="60"/>
      <c r="H31" s="60"/>
      <c r="I31" s="60"/>
      <c r="J31" s="60"/>
      <c r="K31" s="60"/>
      <c r="L31" s="60"/>
      <c r="M31" s="60"/>
      <c r="N31" s="60"/>
      <c r="O31" s="60"/>
      <c r="P31" s="60"/>
      <c r="Q31" s="60"/>
      <c r="R31" s="60"/>
      <c r="S31" s="60"/>
      <c r="T31" s="60"/>
      <c r="U31" s="60"/>
      <c r="V31" s="60"/>
      <c r="W31" s="60"/>
      <c r="X31" s="60"/>
      <c r="Y31" s="60"/>
      <c r="Z31" s="60"/>
    </row>
    <row r="32">
      <c r="A32" s="137"/>
      <c r="B32" s="143"/>
      <c r="C32" s="143"/>
      <c r="D32" s="139"/>
      <c r="E32" s="136"/>
      <c r="F32" s="60"/>
      <c r="G32" s="60"/>
      <c r="H32" s="60"/>
      <c r="I32" s="60"/>
      <c r="J32" s="60"/>
      <c r="K32" s="60"/>
      <c r="L32" s="60"/>
      <c r="M32" s="60"/>
      <c r="N32" s="60"/>
      <c r="O32" s="60"/>
      <c r="P32" s="60"/>
      <c r="Q32" s="60"/>
      <c r="R32" s="60"/>
      <c r="S32" s="60"/>
      <c r="T32" s="60"/>
      <c r="U32" s="60"/>
      <c r="V32" s="60"/>
      <c r="W32" s="60"/>
      <c r="X32" s="60"/>
      <c r="Y32" s="60"/>
      <c r="Z32" s="60"/>
    </row>
    <row r="33">
      <c r="A33" s="137"/>
      <c r="B33" s="143"/>
      <c r="C33" s="143"/>
      <c r="D33" s="139"/>
      <c r="E33" s="136"/>
      <c r="F33" s="60"/>
      <c r="G33" s="60"/>
      <c r="H33" s="60"/>
      <c r="I33" s="60"/>
      <c r="J33" s="60"/>
      <c r="K33" s="60"/>
      <c r="L33" s="60"/>
      <c r="M33" s="60"/>
      <c r="N33" s="60"/>
      <c r="O33" s="60"/>
      <c r="P33" s="60"/>
      <c r="Q33" s="60"/>
      <c r="R33" s="60"/>
      <c r="S33" s="60"/>
      <c r="T33" s="60"/>
      <c r="U33" s="60"/>
      <c r="V33" s="60"/>
      <c r="W33" s="60"/>
      <c r="X33" s="60"/>
      <c r="Y33" s="60"/>
      <c r="Z33" s="60"/>
    </row>
    <row r="34">
      <c r="A34" s="137"/>
      <c r="B34" s="143"/>
      <c r="C34" s="143"/>
      <c r="D34" s="139"/>
      <c r="E34" s="136"/>
      <c r="F34" s="60"/>
      <c r="G34" s="60"/>
      <c r="H34" s="60"/>
      <c r="I34" s="60"/>
      <c r="J34" s="60"/>
      <c r="K34" s="60"/>
      <c r="L34" s="60"/>
      <c r="M34" s="60"/>
      <c r="N34" s="60"/>
      <c r="O34" s="60"/>
      <c r="P34" s="60"/>
      <c r="Q34" s="60"/>
      <c r="R34" s="60"/>
      <c r="S34" s="60"/>
      <c r="T34" s="60"/>
      <c r="U34" s="60"/>
      <c r="V34" s="60"/>
      <c r="W34" s="60"/>
      <c r="X34" s="60"/>
      <c r="Y34" s="60"/>
      <c r="Z34" s="60"/>
    </row>
    <row r="35">
      <c r="A35" s="137"/>
      <c r="B35" s="143"/>
      <c r="C35" s="143"/>
      <c r="D35" s="146"/>
      <c r="E35" s="136"/>
      <c r="F35" s="60"/>
      <c r="G35" s="60"/>
      <c r="H35" s="60"/>
      <c r="I35" s="60"/>
      <c r="J35" s="60"/>
      <c r="K35" s="60"/>
      <c r="L35" s="60"/>
      <c r="M35" s="60"/>
      <c r="N35" s="60"/>
      <c r="O35" s="60"/>
      <c r="P35" s="60"/>
      <c r="Q35" s="60"/>
      <c r="R35" s="60"/>
      <c r="S35" s="60"/>
      <c r="T35" s="60"/>
      <c r="U35" s="60"/>
      <c r="V35" s="60"/>
      <c r="W35" s="60"/>
      <c r="X35" s="60"/>
      <c r="Y35" s="60"/>
      <c r="Z35" s="60"/>
    </row>
    <row r="36">
      <c r="A36" s="137"/>
      <c r="B36" s="143"/>
      <c r="C36" s="143"/>
      <c r="D36" s="139"/>
      <c r="E36" s="136"/>
      <c r="F36" s="60"/>
      <c r="G36" s="60"/>
      <c r="H36" s="60"/>
      <c r="I36" s="60"/>
      <c r="J36" s="60"/>
      <c r="K36" s="60"/>
      <c r="L36" s="60"/>
      <c r="M36" s="60"/>
      <c r="N36" s="60"/>
      <c r="O36" s="60"/>
      <c r="P36" s="60"/>
      <c r="Q36" s="60"/>
      <c r="R36" s="60"/>
      <c r="S36" s="60"/>
      <c r="T36" s="60"/>
      <c r="U36" s="60"/>
      <c r="V36" s="60"/>
      <c r="W36" s="60"/>
      <c r="X36" s="60"/>
      <c r="Y36" s="60"/>
      <c r="Z36" s="60"/>
    </row>
    <row r="37">
      <c r="A37" s="137"/>
      <c r="B37" s="143"/>
      <c r="C37" s="143"/>
      <c r="D37" s="139"/>
      <c r="E37" s="136"/>
      <c r="F37" s="60"/>
      <c r="G37" s="60"/>
      <c r="H37" s="60"/>
      <c r="I37" s="60"/>
      <c r="J37" s="60"/>
      <c r="K37" s="60"/>
      <c r="L37" s="60"/>
      <c r="M37" s="60"/>
      <c r="N37" s="60"/>
      <c r="O37" s="60"/>
      <c r="P37" s="60"/>
      <c r="Q37" s="60"/>
      <c r="R37" s="60"/>
      <c r="S37" s="60"/>
      <c r="T37" s="60"/>
      <c r="U37" s="60"/>
      <c r="V37" s="60"/>
      <c r="W37" s="60"/>
      <c r="X37" s="60"/>
      <c r="Y37" s="60"/>
      <c r="Z37" s="60"/>
    </row>
    <row r="38">
      <c r="A38" s="137"/>
      <c r="B38" s="138"/>
      <c r="C38" s="138"/>
      <c r="D38" s="139"/>
      <c r="E38" s="136"/>
      <c r="F38" s="60"/>
      <c r="G38" s="60"/>
      <c r="H38" s="60"/>
      <c r="I38" s="60"/>
      <c r="J38" s="60"/>
      <c r="K38" s="60"/>
      <c r="L38" s="60"/>
      <c r="M38" s="60"/>
      <c r="N38" s="60"/>
      <c r="O38" s="60"/>
      <c r="P38" s="60"/>
      <c r="Q38" s="60"/>
      <c r="R38" s="60"/>
      <c r="S38" s="60"/>
      <c r="T38" s="60"/>
      <c r="U38" s="60"/>
      <c r="V38" s="60"/>
      <c r="W38" s="60"/>
      <c r="X38" s="60"/>
      <c r="Y38" s="60"/>
      <c r="Z38" s="60"/>
    </row>
    <row r="39">
      <c r="A39" s="137"/>
      <c r="B39" s="133"/>
      <c r="C39" s="134"/>
      <c r="D39" s="146"/>
      <c r="E39" s="136"/>
      <c r="F39" s="60"/>
      <c r="G39" s="60"/>
      <c r="H39" s="60"/>
      <c r="I39" s="60"/>
      <c r="J39" s="60"/>
      <c r="K39" s="60"/>
      <c r="L39" s="60"/>
      <c r="M39" s="60"/>
      <c r="N39" s="60"/>
      <c r="O39" s="60"/>
      <c r="P39" s="60"/>
      <c r="Q39" s="60"/>
      <c r="R39" s="60"/>
      <c r="S39" s="60"/>
      <c r="T39" s="60"/>
      <c r="U39" s="60"/>
      <c r="V39" s="60"/>
      <c r="W39" s="60"/>
      <c r="X39" s="60"/>
      <c r="Y39" s="60"/>
      <c r="Z39" s="60"/>
    </row>
    <row r="40">
      <c r="A40" s="137"/>
      <c r="B40" s="143"/>
      <c r="C40" s="143"/>
      <c r="D40" s="146"/>
      <c r="E40" s="136"/>
      <c r="F40" s="60"/>
      <c r="G40" s="60"/>
      <c r="H40" s="60"/>
      <c r="I40" s="60"/>
      <c r="J40" s="60"/>
      <c r="K40" s="60"/>
      <c r="L40" s="60"/>
      <c r="M40" s="60"/>
      <c r="N40" s="60"/>
      <c r="O40" s="60"/>
      <c r="P40" s="60"/>
      <c r="Q40" s="60"/>
      <c r="R40" s="60"/>
      <c r="S40" s="60"/>
      <c r="T40" s="60"/>
      <c r="U40" s="60"/>
      <c r="V40" s="60"/>
      <c r="W40" s="60"/>
      <c r="X40" s="60"/>
      <c r="Y40" s="60"/>
      <c r="Z40" s="60"/>
    </row>
    <row r="41">
      <c r="A41" s="137"/>
      <c r="B41" s="143"/>
      <c r="C41" s="143"/>
      <c r="D41" s="146"/>
      <c r="E41" s="136"/>
      <c r="F41" s="60"/>
      <c r="G41" s="60"/>
      <c r="H41" s="60"/>
      <c r="I41" s="60"/>
      <c r="J41" s="60"/>
      <c r="K41" s="60"/>
      <c r="L41" s="60"/>
      <c r="M41" s="60"/>
      <c r="N41" s="60"/>
      <c r="O41" s="60"/>
      <c r="P41" s="60"/>
      <c r="Q41" s="60"/>
      <c r="R41" s="60"/>
      <c r="S41" s="60"/>
      <c r="T41" s="60"/>
      <c r="U41" s="60"/>
      <c r="V41" s="60"/>
      <c r="W41" s="60"/>
      <c r="X41" s="60"/>
      <c r="Y41" s="60"/>
      <c r="Z41" s="60"/>
    </row>
    <row r="42">
      <c r="A42" s="137"/>
      <c r="B42" s="143"/>
      <c r="C42" s="143"/>
      <c r="D42" s="146"/>
      <c r="E42" s="136"/>
      <c r="F42" s="60"/>
      <c r="G42" s="60"/>
      <c r="H42" s="60"/>
      <c r="I42" s="60"/>
      <c r="J42" s="60"/>
      <c r="K42" s="60"/>
      <c r="L42" s="60"/>
      <c r="M42" s="60"/>
      <c r="N42" s="60"/>
      <c r="O42" s="60"/>
      <c r="P42" s="60"/>
      <c r="Q42" s="60"/>
      <c r="R42" s="60"/>
      <c r="S42" s="60"/>
      <c r="T42" s="60"/>
      <c r="U42" s="60"/>
      <c r="V42" s="60"/>
      <c r="W42" s="60"/>
      <c r="X42" s="60"/>
      <c r="Y42" s="60"/>
      <c r="Z42" s="60"/>
    </row>
    <row r="43">
      <c r="A43" s="137"/>
      <c r="B43" s="143"/>
      <c r="C43" s="143"/>
      <c r="D43" s="146"/>
      <c r="E43" s="136"/>
      <c r="F43" s="60"/>
      <c r="G43" s="60"/>
      <c r="H43" s="60"/>
      <c r="I43" s="60"/>
      <c r="J43" s="60"/>
      <c r="K43" s="60"/>
      <c r="L43" s="60"/>
      <c r="M43" s="60"/>
      <c r="N43" s="60"/>
      <c r="O43" s="60"/>
      <c r="P43" s="60"/>
      <c r="Q43" s="60"/>
      <c r="R43" s="60"/>
      <c r="S43" s="60"/>
      <c r="T43" s="60"/>
      <c r="U43" s="60"/>
      <c r="V43" s="60"/>
      <c r="W43" s="60"/>
      <c r="X43" s="60"/>
      <c r="Y43" s="60"/>
      <c r="Z43" s="60"/>
    </row>
    <row r="44">
      <c r="A44" s="137"/>
      <c r="B44" s="143"/>
      <c r="C44" s="143"/>
      <c r="D44" s="139"/>
      <c r="E44" s="136"/>
      <c r="F44" s="60"/>
      <c r="G44" s="60"/>
      <c r="H44" s="60"/>
      <c r="I44" s="60"/>
      <c r="J44" s="60"/>
      <c r="K44" s="60"/>
      <c r="L44" s="60"/>
      <c r="M44" s="60"/>
      <c r="N44" s="60"/>
      <c r="O44" s="60"/>
      <c r="P44" s="60"/>
      <c r="Q44" s="60"/>
      <c r="R44" s="60"/>
      <c r="S44" s="60"/>
      <c r="T44" s="60"/>
      <c r="U44" s="60"/>
      <c r="V44" s="60"/>
      <c r="W44" s="60"/>
      <c r="X44" s="60"/>
      <c r="Y44" s="60"/>
      <c r="Z44" s="60"/>
    </row>
    <row r="45">
      <c r="A45" s="137"/>
      <c r="B45" s="143"/>
      <c r="C45" s="143"/>
      <c r="D45" s="146"/>
      <c r="E45" s="136"/>
      <c r="F45" s="60"/>
      <c r="G45" s="60"/>
      <c r="H45" s="60"/>
      <c r="I45" s="60"/>
      <c r="J45" s="60"/>
      <c r="K45" s="60"/>
      <c r="L45" s="60"/>
      <c r="M45" s="60"/>
      <c r="N45" s="60"/>
      <c r="O45" s="60"/>
      <c r="P45" s="60"/>
      <c r="Q45" s="60"/>
      <c r="R45" s="60"/>
      <c r="S45" s="60"/>
      <c r="T45" s="60"/>
      <c r="U45" s="60"/>
      <c r="V45" s="60"/>
      <c r="W45" s="60"/>
      <c r="X45" s="60"/>
      <c r="Y45" s="60"/>
      <c r="Z45" s="60"/>
    </row>
    <row r="46">
      <c r="A46" s="137"/>
      <c r="B46" s="143"/>
      <c r="C46" s="143"/>
      <c r="D46" s="146"/>
      <c r="E46" s="136"/>
      <c r="F46" s="60"/>
      <c r="G46" s="60"/>
      <c r="H46" s="60"/>
      <c r="I46" s="60"/>
      <c r="J46" s="60"/>
      <c r="K46" s="60"/>
      <c r="L46" s="60"/>
      <c r="M46" s="60"/>
      <c r="N46" s="60"/>
      <c r="O46" s="60"/>
      <c r="P46" s="60"/>
      <c r="Q46" s="60"/>
      <c r="R46" s="60"/>
      <c r="S46" s="60"/>
      <c r="T46" s="60"/>
      <c r="U46" s="60"/>
      <c r="V46" s="60"/>
      <c r="W46" s="60"/>
      <c r="X46" s="60"/>
      <c r="Y46" s="60"/>
      <c r="Z46" s="60"/>
    </row>
    <row r="47">
      <c r="A47" s="137"/>
      <c r="B47" s="143"/>
      <c r="C47" s="143"/>
      <c r="D47" s="146"/>
      <c r="E47" s="136"/>
      <c r="F47" s="60"/>
      <c r="G47" s="60"/>
      <c r="H47" s="60"/>
      <c r="I47" s="60"/>
      <c r="J47" s="60"/>
      <c r="K47" s="60"/>
      <c r="L47" s="60"/>
      <c r="M47" s="60"/>
      <c r="N47" s="60"/>
      <c r="O47" s="60"/>
      <c r="P47" s="60"/>
      <c r="Q47" s="60"/>
      <c r="R47" s="60"/>
      <c r="S47" s="60"/>
      <c r="T47" s="60"/>
      <c r="U47" s="60"/>
      <c r="V47" s="60"/>
      <c r="W47" s="60"/>
      <c r="X47" s="60"/>
      <c r="Y47" s="60"/>
      <c r="Z47" s="60"/>
    </row>
    <row r="48">
      <c r="A48" s="137"/>
      <c r="B48" s="138"/>
      <c r="C48" s="143"/>
      <c r="D48" s="139"/>
      <c r="E48" s="136"/>
      <c r="F48" s="60"/>
      <c r="G48" s="60"/>
      <c r="H48" s="60"/>
      <c r="I48" s="60"/>
      <c r="J48" s="60"/>
      <c r="K48" s="60"/>
      <c r="L48" s="60"/>
      <c r="M48" s="60"/>
      <c r="N48" s="60"/>
      <c r="O48" s="60"/>
      <c r="P48" s="60"/>
      <c r="Q48" s="60"/>
      <c r="R48" s="60"/>
      <c r="S48" s="60"/>
      <c r="T48" s="60"/>
      <c r="U48" s="60"/>
      <c r="V48" s="60"/>
      <c r="W48" s="60"/>
      <c r="X48" s="60"/>
      <c r="Y48" s="60"/>
      <c r="Z48" s="60"/>
    </row>
    <row r="49">
      <c r="A49" s="137"/>
      <c r="B49" s="133"/>
      <c r="C49" s="134"/>
      <c r="D49" s="139"/>
      <c r="E49" s="136"/>
      <c r="F49" s="60"/>
      <c r="G49" s="60"/>
      <c r="H49" s="60"/>
      <c r="I49" s="60"/>
      <c r="J49" s="60"/>
      <c r="K49" s="60"/>
      <c r="L49" s="60"/>
      <c r="M49" s="60"/>
      <c r="N49" s="60"/>
      <c r="O49" s="60"/>
      <c r="P49" s="60"/>
      <c r="Q49" s="60"/>
      <c r="R49" s="60"/>
      <c r="S49" s="60"/>
      <c r="T49" s="60"/>
      <c r="U49" s="60"/>
      <c r="V49" s="60"/>
      <c r="W49" s="60"/>
      <c r="X49" s="60"/>
      <c r="Y49" s="60"/>
      <c r="Z49" s="60"/>
    </row>
    <row r="50">
      <c r="A50" s="137"/>
      <c r="B50" s="143"/>
      <c r="C50" s="143"/>
      <c r="D50" s="139"/>
      <c r="E50" s="136"/>
      <c r="F50" s="60"/>
      <c r="G50" s="60"/>
      <c r="H50" s="60"/>
      <c r="I50" s="60"/>
      <c r="J50" s="60"/>
      <c r="K50" s="60"/>
      <c r="L50" s="60"/>
      <c r="M50" s="60"/>
      <c r="N50" s="60"/>
      <c r="O50" s="60"/>
      <c r="P50" s="60"/>
      <c r="Q50" s="60"/>
      <c r="R50" s="60"/>
      <c r="S50" s="60"/>
      <c r="T50" s="60"/>
      <c r="U50" s="60"/>
      <c r="V50" s="60"/>
      <c r="W50" s="60"/>
      <c r="X50" s="60"/>
      <c r="Y50" s="60"/>
      <c r="Z50" s="60"/>
    </row>
    <row r="51">
      <c r="A51" s="137"/>
      <c r="B51" s="143"/>
      <c r="C51" s="143"/>
      <c r="D51" s="139"/>
      <c r="E51" s="136"/>
      <c r="F51" s="60"/>
      <c r="G51" s="60"/>
      <c r="H51" s="60"/>
      <c r="I51" s="60"/>
      <c r="J51" s="60"/>
      <c r="K51" s="60"/>
      <c r="L51" s="60"/>
      <c r="M51" s="60"/>
      <c r="N51" s="60"/>
      <c r="O51" s="60"/>
      <c r="P51" s="60"/>
      <c r="Q51" s="60"/>
      <c r="R51" s="60"/>
      <c r="S51" s="60"/>
      <c r="T51" s="60"/>
      <c r="U51" s="60"/>
      <c r="V51" s="60"/>
      <c r="W51" s="60"/>
      <c r="X51" s="60"/>
      <c r="Y51" s="60"/>
      <c r="Z51" s="60"/>
    </row>
    <row r="52">
      <c r="A52" s="137"/>
      <c r="B52" s="143"/>
      <c r="C52" s="143"/>
      <c r="D52" s="139"/>
      <c r="E52" s="136"/>
      <c r="F52" s="60"/>
      <c r="G52" s="60"/>
      <c r="H52" s="60"/>
      <c r="I52" s="60"/>
      <c r="J52" s="60"/>
      <c r="K52" s="60"/>
      <c r="L52" s="60"/>
      <c r="M52" s="60"/>
      <c r="N52" s="60"/>
      <c r="O52" s="60"/>
      <c r="P52" s="60"/>
      <c r="Q52" s="60"/>
      <c r="R52" s="60"/>
      <c r="S52" s="60"/>
      <c r="T52" s="60"/>
      <c r="U52" s="60"/>
      <c r="V52" s="60"/>
      <c r="W52" s="60"/>
      <c r="X52" s="60"/>
      <c r="Y52" s="60"/>
      <c r="Z52" s="60"/>
    </row>
    <row r="53">
      <c r="A53" s="137"/>
      <c r="B53" s="143"/>
      <c r="C53" s="143"/>
      <c r="D53" s="139"/>
      <c r="E53" s="136"/>
      <c r="F53" s="60"/>
      <c r="G53" s="60"/>
      <c r="H53" s="60"/>
      <c r="I53" s="60"/>
      <c r="J53" s="60"/>
      <c r="K53" s="60"/>
      <c r="L53" s="60"/>
      <c r="M53" s="60"/>
      <c r="N53" s="60"/>
      <c r="O53" s="60"/>
      <c r="P53" s="60"/>
      <c r="Q53" s="60"/>
      <c r="R53" s="60"/>
      <c r="S53" s="60"/>
      <c r="T53" s="60"/>
      <c r="U53" s="60"/>
      <c r="V53" s="60"/>
      <c r="W53" s="60"/>
      <c r="X53" s="60"/>
      <c r="Y53" s="60"/>
      <c r="Z53" s="60"/>
    </row>
    <row r="54">
      <c r="A54" s="137"/>
      <c r="B54" s="138"/>
      <c r="C54" s="138"/>
      <c r="D54" s="139"/>
      <c r="E54" s="136"/>
      <c r="F54" s="60"/>
      <c r="G54" s="60"/>
      <c r="H54" s="60"/>
      <c r="I54" s="60"/>
      <c r="J54" s="60"/>
      <c r="K54" s="60"/>
      <c r="L54" s="60"/>
      <c r="M54" s="60"/>
      <c r="N54" s="60"/>
      <c r="O54" s="60"/>
      <c r="P54" s="60"/>
      <c r="Q54" s="60"/>
      <c r="R54" s="60"/>
      <c r="S54" s="60"/>
      <c r="T54" s="60"/>
      <c r="U54" s="60"/>
      <c r="V54" s="60"/>
      <c r="W54" s="60"/>
      <c r="X54" s="60"/>
      <c r="Y54" s="60"/>
      <c r="Z54" s="60"/>
    </row>
    <row r="55">
      <c r="A55" s="137"/>
      <c r="B55" s="133"/>
      <c r="C55" s="134"/>
      <c r="D55" s="139"/>
      <c r="E55" s="136"/>
      <c r="F55" s="60"/>
      <c r="G55" s="60"/>
      <c r="H55" s="60"/>
      <c r="I55" s="60"/>
      <c r="J55" s="60"/>
      <c r="K55" s="60"/>
      <c r="L55" s="60"/>
      <c r="M55" s="60"/>
      <c r="N55" s="60"/>
      <c r="O55" s="60"/>
      <c r="P55" s="60"/>
      <c r="Q55" s="60"/>
      <c r="R55" s="60"/>
      <c r="S55" s="60"/>
      <c r="T55" s="60"/>
      <c r="U55" s="60"/>
      <c r="V55" s="60"/>
      <c r="W55" s="60"/>
      <c r="X55" s="60"/>
      <c r="Y55" s="60"/>
      <c r="Z55" s="60"/>
    </row>
    <row r="56">
      <c r="A56" s="137"/>
      <c r="B56" s="143"/>
      <c r="C56" s="143"/>
      <c r="D56" s="139"/>
      <c r="E56" s="136"/>
      <c r="F56" s="60"/>
      <c r="G56" s="60"/>
      <c r="H56" s="60"/>
      <c r="I56" s="60"/>
      <c r="J56" s="60"/>
      <c r="K56" s="60"/>
      <c r="L56" s="60"/>
      <c r="M56" s="60"/>
      <c r="N56" s="60"/>
      <c r="O56" s="60"/>
      <c r="P56" s="60"/>
      <c r="Q56" s="60"/>
      <c r="R56" s="60"/>
      <c r="S56" s="60"/>
      <c r="T56" s="60"/>
      <c r="U56" s="60"/>
      <c r="V56" s="60"/>
      <c r="W56" s="60"/>
      <c r="X56" s="60"/>
      <c r="Y56" s="60"/>
      <c r="Z56" s="60"/>
    </row>
    <row r="57">
      <c r="A57" s="137"/>
      <c r="B57" s="143"/>
      <c r="C57" s="143"/>
      <c r="D57" s="139"/>
      <c r="E57" s="136"/>
      <c r="F57" s="60"/>
      <c r="G57" s="60"/>
      <c r="H57" s="60"/>
      <c r="I57" s="60"/>
      <c r="J57" s="60"/>
      <c r="K57" s="60"/>
      <c r="L57" s="60"/>
      <c r="M57" s="60"/>
      <c r="N57" s="60"/>
      <c r="O57" s="60"/>
      <c r="P57" s="60"/>
      <c r="Q57" s="60"/>
      <c r="R57" s="60"/>
      <c r="S57" s="60"/>
      <c r="T57" s="60"/>
      <c r="U57" s="60"/>
      <c r="V57" s="60"/>
      <c r="W57" s="60"/>
      <c r="X57" s="60"/>
      <c r="Y57" s="60"/>
      <c r="Z57" s="60"/>
    </row>
    <row r="58">
      <c r="A58" s="137"/>
      <c r="B58" s="143"/>
      <c r="C58" s="143"/>
      <c r="D58" s="139"/>
      <c r="E58" s="136"/>
      <c r="F58" s="60"/>
      <c r="G58" s="60"/>
      <c r="H58" s="60"/>
      <c r="I58" s="60"/>
      <c r="J58" s="60"/>
      <c r="K58" s="60"/>
      <c r="L58" s="60"/>
      <c r="M58" s="60"/>
      <c r="N58" s="60"/>
      <c r="O58" s="60"/>
      <c r="P58" s="60"/>
      <c r="Q58" s="60"/>
      <c r="R58" s="60"/>
      <c r="S58" s="60"/>
      <c r="T58" s="60"/>
      <c r="U58" s="60"/>
      <c r="V58" s="60"/>
      <c r="W58" s="60"/>
      <c r="X58" s="60"/>
      <c r="Y58" s="60"/>
      <c r="Z58" s="60"/>
    </row>
    <row r="59">
      <c r="A59" s="137"/>
      <c r="B59" s="143"/>
      <c r="C59" s="143"/>
      <c r="D59" s="139"/>
      <c r="E59" s="136"/>
      <c r="F59" s="60"/>
      <c r="G59" s="60"/>
      <c r="H59" s="60"/>
      <c r="I59" s="60"/>
      <c r="J59" s="60"/>
      <c r="K59" s="60"/>
      <c r="L59" s="60"/>
      <c r="M59" s="60"/>
      <c r="N59" s="60"/>
      <c r="O59" s="60"/>
      <c r="P59" s="60"/>
      <c r="Q59" s="60"/>
      <c r="R59" s="60"/>
      <c r="S59" s="60"/>
      <c r="T59" s="60"/>
      <c r="U59" s="60"/>
      <c r="V59" s="60"/>
      <c r="W59" s="60"/>
      <c r="X59" s="60"/>
      <c r="Y59" s="60"/>
      <c r="Z59" s="60"/>
    </row>
    <row r="60">
      <c r="A60" s="137"/>
      <c r="B60" s="143"/>
      <c r="C60" s="143"/>
      <c r="D60" s="139"/>
      <c r="E60" s="136"/>
      <c r="F60" s="60"/>
      <c r="G60" s="60"/>
      <c r="H60" s="60"/>
      <c r="I60" s="60"/>
      <c r="J60" s="60"/>
      <c r="K60" s="60"/>
      <c r="L60" s="60"/>
      <c r="M60" s="60"/>
      <c r="N60" s="60"/>
      <c r="O60" s="60"/>
      <c r="P60" s="60"/>
      <c r="Q60" s="60"/>
      <c r="R60" s="60"/>
      <c r="S60" s="60"/>
      <c r="T60" s="60"/>
      <c r="U60" s="60"/>
      <c r="V60" s="60"/>
      <c r="W60" s="60"/>
      <c r="X60" s="60"/>
      <c r="Y60" s="60"/>
      <c r="Z60" s="60"/>
    </row>
    <row r="61">
      <c r="A61" s="137"/>
      <c r="B61" s="143"/>
      <c r="C61" s="143"/>
      <c r="D61" s="139"/>
      <c r="E61" s="136"/>
      <c r="F61" s="60"/>
      <c r="G61" s="60"/>
      <c r="H61" s="60"/>
      <c r="I61" s="60"/>
      <c r="J61" s="60"/>
      <c r="K61" s="60"/>
      <c r="L61" s="60"/>
      <c r="M61" s="60"/>
      <c r="N61" s="60"/>
      <c r="O61" s="60"/>
      <c r="P61" s="60"/>
      <c r="Q61" s="60"/>
      <c r="R61" s="60"/>
      <c r="S61" s="60"/>
      <c r="T61" s="60"/>
      <c r="U61" s="60"/>
      <c r="V61" s="60"/>
      <c r="W61" s="60"/>
      <c r="X61" s="60"/>
      <c r="Y61" s="60"/>
      <c r="Z61" s="60"/>
    </row>
    <row r="62">
      <c r="A62" s="137"/>
      <c r="B62" s="143"/>
      <c r="C62" s="143"/>
      <c r="D62" s="139"/>
      <c r="E62" s="136"/>
      <c r="F62" s="60"/>
      <c r="G62" s="60"/>
      <c r="H62" s="60"/>
      <c r="I62" s="60"/>
      <c r="J62" s="60"/>
      <c r="K62" s="60"/>
      <c r="L62" s="60"/>
      <c r="M62" s="60"/>
      <c r="N62" s="60"/>
      <c r="O62" s="60"/>
      <c r="P62" s="60"/>
      <c r="Q62" s="60"/>
      <c r="R62" s="60"/>
      <c r="S62" s="60"/>
      <c r="T62" s="60"/>
      <c r="U62" s="60"/>
      <c r="V62" s="60"/>
      <c r="W62" s="60"/>
      <c r="X62" s="60"/>
      <c r="Y62" s="60"/>
      <c r="Z62" s="60"/>
    </row>
    <row r="63">
      <c r="A63" s="137"/>
      <c r="B63" s="143"/>
      <c r="C63" s="143"/>
      <c r="D63" s="139"/>
      <c r="E63" s="136"/>
      <c r="F63" s="60"/>
      <c r="G63" s="60"/>
      <c r="H63" s="60"/>
      <c r="I63" s="60"/>
      <c r="J63" s="60"/>
      <c r="K63" s="60"/>
      <c r="L63" s="60"/>
      <c r="M63" s="60"/>
      <c r="N63" s="60"/>
      <c r="O63" s="60"/>
      <c r="P63" s="60"/>
      <c r="Q63" s="60"/>
      <c r="R63" s="60"/>
      <c r="S63" s="60"/>
      <c r="T63" s="60"/>
      <c r="U63" s="60"/>
      <c r="V63" s="60"/>
      <c r="W63" s="60"/>
      <c r="X63" s="60"/>
      <c r="Y63" s="60"/>
      <c r="Z63" s="60"/>
    </row>
    <row r="64">
      <c r="A64" s="137"/>
      <c r="B64" s="143"/>
      <c r="C64" s="143"/>
      <c r="D64" s="139"/>
      <c r="E64" s="136"/>
      <c r="F64" s="60"/>
      <c r="G64" s="60"/>
      <c r="H64" s="60"/>
      <c r="I64" s="60"/>
      <c r="J64" s="60"/>
      <c r="K64" s="60"/>
      <c r="L64" s="60"/>
      <c r="M64" s="60"/>
      <c r="N64" s="60"/>
      <c r="O64" s="60"/>
      <c r="P64" s="60"/>
      <c r="Q64" s="60"/>
      <c r="R64" s="60"/>
      <c r="S64" s="60"/>
      <c r="T64" s="60"/>
      <c r="U64" s="60"/>
      <c r="V64" s="60"/>
      <c r="W64" s="60"/>
      <c r="X64" s="60"/>
      <c r="Y64" s="60"/>
      <c r="Z64" s="60"/>
    </row>
    <row r="65">
      <c r="A65" s="137"/>
      <c r="B65" s="143"/>
      <c r="C65" s="143"/>
      <c r="D65" s="139"/>
      <c r="E65" s="136"/>
      <c r="F65" s="60"/>
      <c r="G65" s="60"/>
      <c r="H65" s="60"/>
      <c r="I65" s="60"/>
      <c r="J65" s="60"/>
      <c r="K65" s="60"/>
      <c r="L65" s="60"/>
      <c r="M65" s="60"/>
      <c r="N65" s="60"/>
      <c r="O65" s="60"/>
      <c r="P65" s="60"/>
      <c r="Q65" s="60"/>
      <c r="R65" s="60"/>
      <c r="S65" s="60"/>
      <c r="T65" s="60"/>
      <c r="U65" s="60"/>
      <c r="V65" s="60"/>
      <c r="W65" s="60"/>
      <c r="X65" s="60"/>
      <c r="Y65" s="60"/>
      <c r="Z65" s="60"/>
    </row>
    <row r="66">
      <c r="A66" s="137"/>
      <c r="B66" s="143"/>
      <c r="C66" s="143"/>
      <c r="D66" s="139"/>
      <c r="E66" s="136"/>
      <c r="F66" s="60"/>
      <c r="G66" s="60"/>
      <c r="H66" s="60"/>
      <c r="I66" s="60"/>
      <c r="J66" s="60"/>
      <c r="K66" s="60"/>
      <c r="L66" s="60"/>
      <c r="M66" s="60"/>
      <c r="N66" s="60"/>
      <c r="O66" s="60"/>
      <c r="P66" s="60"/>
      <c r="Q66" s="60"/>
      <c r="R66" s="60"/>
      <c r="S66" s="60"/>
      <c r="T66" s="60"/>
      <c r="U66" s="60"/>
      <c r="V66" s="60"/>
      <c r="W66" s="60"/>
      <c r="X66" s="60"/>
      <c r="Y66" s="60"/>
      <c r="Z66" s="60"/>
    </row>
    <row r="67">
      <c r="A67" s="137"/>
      <c r="B67" s="143"/>
      <c r="C67" s="143"/>
      <c r="D67" s="139"/>
      <c r="E67" s="136"/>
      <c r="F67" s="60"/>
      <c r="G67" s="60"/>
      <c r="H67" s="60"/>
      <c r="I67" s="60"/>
      <c r="J67" s="60"/>
      <c r="K67" s="60"/>
      <c r="L67" s="60"/>
      <c r="M67" s="60"/>
      <c r="N67" s="60"/>
      <c r="O67" s="60"/>
      <c r="P67" s="60"/>
      <c r="Q67" s="60"/>
      <c r="R67" s="60"/>
      <c r="S67" s="60"/>
      <c r="T67" s="60"/>
      <c r="U67" s="60"/>
      <c r="V67" s="60"/>
      <c r="W67" s="60"/>
      <c r="X67" s="60"/>
      <c r="Y67" s="60"/>
      <c r="Z67" s="60"/>
    </row>
    <row r="68">
      <c r="A68" s="137"/>
      <c r="B68" s="143"/>
      <c r="C68" s="143"/>
      <c r="D68" s="139"/>
      <c r="E68" s="136"/>
      <c r="F68" s="60"/>
      <c r="G68" s="60"/>
      <c r="H68" s="60"/>
      <c r="I68" s="60"/>
      <c r="J68" s="60"/>
      <c r="K68" s="60"/>
      <c r="L68" s="60"/>
      <c r="M68" s="60"/>
      <c r="N68" s="60"/>
      <c r="O68" s="60"/>
      <c r="P68" s="60"/>
      <c r="Q68" s="60"/>
      <c r="R68" s="60"/>
      <c r="S68" s="60"/>
      <c r="T68" s="60"/>
      <c r="U68" s="60"/>
      <c r="V68" s="60"/>
      <c r="W68" s="60"/>
      <c r="X68" s="60"/>
      <c r="Y68" s="60"/>
      <c r="Z68" s="60"/>
    </row>
    <row r="69">
      <c r="A69" s="137"/>
      <c r="B69" s="143"/>
      <c r="C69" s="143"/>
      <c r="D69" s="139"/>
      <c r="E69" s="136"/>
      <c r="F69" s="60"/>
      <c r="G69" s="60"/>
      <c r="H69" s="60"/>
      <c r="I69" s="60"/>
      <c r="J69" s="60"/>
      <c r="K69" s="60"/>
      <c r="L69" s="60"/>
      <c r="M69" s="60"/>
      <c r="N69" s="60"/>
      <c r="O69" s="60"/>
      <c r="P69" s="60"/>
      <c r="Q69" s="60"/>
      <c r="R69" s="60"/>
      <c r="S69" s="60"/>
      <c r="T69" s="60"/>
      <c r="U69" s="60"/>
      <c r="V69" s="60"/>
      <c r="W69" s="60"/>
      <c r="X69" s="60"/>
      <c r="Y69" s="60"/>
      <c r="Z69" s="60"/>
    </row>
    <row r="70">
      <c r="A70" s="137"/>
      <c r="B70" s="143"/>
      <c r="C70" s="143"/>
      <c r="D70" s="139"/>
      <c r="E70" s="136"/>
      <c r="F70" s="60"/>
      <c r="G70" s="60"/>
      <c r="H70" s="60"/>
      <c r="I70" s="60"/>
      <c r="J70" s="60"/>
      <c r="K70" s="60"/>
      <c r="L70" s="60"/>
      <c r="M70" s="60"/>
      <c r="N70" s="60"/>
      <c r="O70" s="60"/>
      <c r="P70" s="60"/>
      <c r="Q70" s="60"/>
      <c r="R70" s="60"/>
      <c r="S70" s="60"/>
      <c r="T70" s="60"/>
      <c r="U70" s="60"/>
      <c r="V70" s="60"/>
      <c r="W70" s="60"/>
      <c r="X70" s="60"/>
      <c r="Y70" s="60"/>
      <c r="Z70" s="60"/>
    </row>
    <row r="71">
      <c r="A71" s="137"/>
      <c r="B71" s="143"/>
      <c r="C71" s="143"/>
      <c r="D71" s="139"/>
      <c r="E71" s="136"/>
      <c r="F71" s="60"/>
      <c r="G71" s="60"/>
      <c r="H71" s="60"/>
      <c r="I71" s="60"/>
      <c r="J71" s="60"/>
      <c r="K71" s="60"/>
      <c r="L71" s="60"/>
      <c r="M71" s="60"/>
      <c r="N71" s="60"/>
      <c r="O71" s="60"/>
      <c r="P71" s="60"/>
      <c r="Q71" s="60"/>
      <c r="R71" s="60"/>
      <c r="S71" s="60"/>
      <c r="T71" s="60"/>
      <c r="U71" s="60"/>
      <c r="V71" s="60"/>
      <c r="W71" s="60"/>
      <c r="X71" s="60"/>
      <c r="Y71" s="60"/>
      <c r="Z71" s="60"/>
    </row>
    <row r="72">
      <c r="A72" s="137"/>
      <c r="B72" s="143"/>
      <c r="C72" s="143"/>
      <c r="D72" s="139"/>
      <c r="E72" s="136"/>
      <c r="F72" s="60"/>
      <c r="G72" s="60"/>
      <c r="H72" s="60"/>
      <c r="I72" s="60"/>
      <c r="J72" s="60"/>
      <c r="K72" s="60"/>
      <c r="L72" s="60"/>
      <c r="M72" s="60"/>
      <c r="N72" s="60"/>
      <c r="O72" s="60"/>
      <c r="P72" s="60"/>
      <c r="Q72" s="60"/>
      <c r="R72" s="60"/>
      <c r="S72" s="60"/>
      <c r="T72" s="60"/>
      <c r="U72" s="60"/>
      <c r="V72" s="60"/>
      <c r="W72" s="60"/>
      <c r="X72" s="60"/>
      <c r="Y72" s="60"/>
      <c r="Z72" s="60"/>
    </row>
    <row r="73">
      <c r="A73" s="137"/>
      <c r="B73" s="143"/>
      <c r="C73" s="143"/>
      <c r="D73" s="139"/>
      <c r="E73" s="136"/>
      <c r="F73" s="60"/>
      <c r="G73" s="60"/>
      <c r="H73" s="60"/>
      <c r="I73" s="60"/>
      <c r="J73" s="60"/>
      <c r="K73" s="60"/>
      <c r="L73" s="60"/>
      <c r="M73" s="60"/>
      <c r="N73" s="60"/>
      <c r="O73" s="60"/>
      <c r="P73" s="60"/>
      <c r="Q73" s="60"/>
      <c r="R73" s="60"/>
      <c r="S73" s="60"/>
      <c r="T73" s="60"/>
      <c r="U73" s="60"/>
      <c r="V73" s="60"/>
      <c r="W73" s="60"/>
      <c r="X73" s="60"/>
      <c r="Y73" s="60"/>
      <c r="Z73" s="60"/>
    </row>
    <row r="74">
      <c r="A74" s="137"/>
      <c r="B74" s="143"/>
      <c r="C74" s="143"/>
      <c r="D74" s="139"/>
      <c r="E74" s="136"/>
      <c r="F74" s="60"/>
      <c r="G74" s="60"/>
      <c r="H74" s="60"/>
      <c r="I74" s="60"/>
      <c r="J74" s="60"/>
      <c r="K74" s="60"/>
      <c r="L74" s="60"/>
      <c r="M74" s="60"/>
      <c r="N74" s="60"/>
      <c r="O74" s="60"/>
      <c r="P74" s="60"/>
      <c r="Q74" s="60"/>
      <c r="R74" s="60"/>
      <c r="S74" s="60"/>
      <c r="T74" s="60"/>
      <c r="U74" s="60"/>
      <c r="V74" s="60"/>
      <c r="W74" s="60"/>
      <c r="X74" s="60"/>
      <c r="Y74" s="60"/>
      <c r="Z74" s="60"/>
    </row>
    <row r="75">
      <c r="A75" s="137"/>
      <c r="B75" s="143"/>
      <c r="C75" s="143"/>
      <c r="D75" s="139"/>
      <c r="E75" s="136"/>
      <c r="F75" s="60"/>
      <c r="G75" s="60"/>
      <c r="H75" s="60"/>
      <c r="I75" s="60"/>
      <c r="J75" s="60"/>
      <c r="K75" s="60"/>
      <c r="L75" s="60"/>
      <c r="M75" s="60"/>
      <c r="N75" s="60"/>
      <c r="O75" s="60"/>
      <c r="P75" s="60"/>
      <c r="Q75" s="60"/>
      <c r="R75" s="60"/>
      <c r="S75" s="60"/>
      <c r="T75" s="60"/>
      <c r="U75" s="60"/>
      <c r="V75" s="60"/>
      <c r="W75" s="60"/>
      <c r="X75" s="60"/>
      <c r="Y75" s="60"/>
      <c r="Z75" s="60"/>
    </row>
    <row r="76">
      <c r="A76" s="137"/>
      <c r="B76" s="143"/>
      <c r="C76" s="143"/>
      <c r="D76" s="139"/>
      <c r="E76" s="136"/>
      <c r="F76" s="60"/>
      <c r="G76" s="60"/>
      <c r="H76" s="60"/>
      <c r="I76" s="60"/>
      <c r="J76" s="60"/>
      <c r="K76" s="60"/>
      <c r="L76" s="60"/>
      <c r="M76" s="60"/>
      <c r="N76" s="60"/>
      <c r="O76" s="60"/>
      <c r="P76" s="60"/>
      <c r="Q76" s="60"/>
      <c r="R76" s="60"/>
      <c r="S76" s="60"/>
      <c r="T76" s="60"/>
      <c r="U76" s="60"/>
      <c r="V76" s="60"/>
      <c r="W76" s="60"/>
      <c r="X76" s="60"/>
      <c r="Y76" s="60"/>
      <c r="Z76" s="60"/>
    </row>
    <row r="77">
      <c r="A77" s="137"/>
      <c r="B77" s="143"/>
      <c r="C77" s="143"/>
      <c r="D77" s="139"/>
      <c r="E77" s="136"/>
      <c r="F77" s="60"/>
      <c r="G77" s="60"/>
      <c r="H77" s="60"/>
      <c r="I77" s="60"/>
      <c r="J77" s="60"/>
      <c r="K77" s="60"/>
      <c r="L77" s="60"/>
      <c r="M77" s="60"/>
      <c r="N77" s="60"/>
      <c r="O77" s="60"/>
      <c r="P77" s="60"/>
      <c r="Q77" s="60"/>
      <c r="R77" s="60"/>
      <c r="S77" s="60"/>
      <c r="T77" s="60"/>
      <c r="U77" s="60"/>
      <c r="V77" s="60"/>
      <c r="W77" s="60"/>
      <c r="X77" s="60"/>
      <c r="Y77" s="60"/>
      <c r="Z77" s="60"/>
    </row>
    <row r="78">
      <c r="A78" s="137"/>
      <c r="B78" s="143"/>
      <c r="C78" s="143"/>
      <c r="D78" s="139"/>
      <c r="E78" s="136"/>
      <c r="F78" s="60"/>
      <c r="G78" s="60"/>
      <c r="H78" s="60"/>
      <c r="I78" s="60"/>
      <c r="J78" s="60"/>
      <c r="K78" s="60"/>
      <c r="L78" s="60"/>
      <c r="M78" s="60"/>
      <c r="N78" s="60"/>
      <c r="O78" s="60"/>
      <c r="P78" s="60"/>
      <c r="Q78" s="60"/>
      <c r="R78" s="60"/>
      <c r="S78" s="60"/>
      <c r="T78" s="60"/>
      <c r="U78" s="60"/>
      <c r="V78" s="60"/>
      <c r="W78" s="60"/>
      <c r="X78" s="60"/>
      <c r="Y78" s="60"/>
      <c r="Z78" s="60"/>
    </row>
    <row r="79">
      <c r="A79" s="137"/>
      <c r="B79" s="143"/>
      <c r="C79" s="143"/>
      <c r="D79" s="139"/>
      <c r="E79" s="136"/>
      <c r="F79" s="60"/>
      <c r="G79" s="60"/>
      <c r="H79" s="60"/>
      <c r="I79" s="60"/>
      <c r="J79" s="60"/>
      <c r="K79" s="60"/>
      <c r="L79" s="60"/>
      <c r="M79" s="60"/>
      <c r="N79" s="60"/>
      <c r="O79" s="60"/>
      <c r="P79" s="60"/>
      <c r="Q79" s="60"/>
      <c r="R79" s="60"/>
      <c r="S79" s="60"/>
      <c r="T79" s="60"/>
      <c r="U79" s="60"/>
      <c r="V79" s="60"/>
      <c r="W79" s="60"/>
      <c r="X79" s="60"/>
      <c r="Y79" s="60"/>
      <c r="Z79" s="60"/>
    </row>
    <row r="80">
      <c r="A80" s="137"/>
      <c r="B80" s="143"/>
      <c r="C80" s="143"/>
      <c r="D80" s="139"/>
      <c r="E80" s="136"/>
      <c r="F80" s="60"/>
      <c r="G80" s="60"/>
      <c r="H80" s="60"/>
      <c r="I80" s="60"/>
      <c r="J80" s="60"/>
      <c r="K80" s="60"/>
      <c r="L80" s="60"/>
      <c r="M80" s="60"/>
      <c r="N80" s="60"/>
      <c r="O80" s="60"/>
      <c r="P80" s="60"/>
      <c r="Q80" s="60"/>
      <c r="R80" s="60"/>
      <c r="S80" s="60"/>
      <c r="T80" s="60"/>
      <c r="U80" s="60"/>
      <c r="V80" s="60"/>
      <c r="W80" s="60"/>
      <c r="X80" s="60"/>
      <c r="Y80" s="60"/>
      <c r="Z80" s="60"/>
    </row>
    <row r="81">
      <c r="A81" s="137"/>
      <c r="B81" s="143"/>
      <c r="C81" s="143"/>
      <c r="D81" s="139"/>
      <c r="E81" s="136"/>
      <c r="F81" s="60"/>
      <c r="G81" s="60"/>
      <c r="H81" s="60"/>
      <c r="I81" s="60"/>
      <c r="J81" s="60"/>
      <c r="K81" s="60"/>
      <c r="L81" s="60"/>
      <c r="M81" s="60"/>
      <c r="N81" s="60"/>
      <c r="O81" s="60"/>
      <c r="P81" s="60"/>
      <c r="Q81" s="60"/>
      <c r="R81" s="60"/>
      <c r="S81" s="60"/>
      <c r="T81" s="60"/>
      <c r="U81" s="60"/>
      <c r="V81" s="60"/>
      <c r="W81" s="60"/>
      <c r="X81" s="60"/>
      <c r="Y81" s="60"/>
      <c r="Z81" s="60"/>
    </row>
    <row r="82">
      <c r="A82" s="137"/>
      <c r="B82" s="138"/>
      <c r="C82" s="138"/>
      <c r="D82" s="139"/>
      <c r="E82" s="136"/>
      <c r="F82" s="60"/>
      <c r="G82" s="60"/>
      <c r="H82" s="60"/>
      <c r="I82" s="60"/>
      <c r="J82" s="60"/>
      <c r="K82" s="60"/>
      <c r="L82" s="60"/>
      <c r="M82" s="60"/>
      <c r="N82" s="60"/>
      <c r="O82" s="60"/>
      <c r="P82" s="60"/>
      <c r="Q82" s="60"/>
      <c r="R82" s="60"/>
      <c r="S82" s="60"/>
      <c r="T82" s="60"/>
      <c r="U82" s="60"/>
      <c r="V82" s="60"/>
      <c r="W82" s="60"/>
      <c r="X82" s="60"/>
      <c r="Y82" s="60"/>
      <c r="Z82" s="60"/>
    </row>
    <row r="83">
      <c r="A83" s="137"/>
      <c r="B83" s="133"/>
      <c r="C83" s="134"/>
      <c r="D83" s="139"/>
      <c r="E83" s="136"/>
      <c r="F83" s="60"/>
      <c r="G83" s="60"/>
      <c r="H83" s="60"/>
      <c r="I83" s="60"/>
      <c r="J83" s="60"/>
      <c r="K83" s="60"/>
      <c r="L83" s="60"/>
      <c r="M83" s="60"/>
      <c r="N83" s="60"/>
      <c r="O83" s="60"/>
      <c r="P83" s="60"/>
      <c r="Q83" s="60"/>
      <c r="R83" s="60"/>
      <c r="S83" s="60"/>
      <c r="T83" s="60"/>
      <c r="U83" s="60"/>
      <c r="V83" s="60"/>
      <c r="W83" s="60"/>
      <c r="X83" s="60"/>
      <c r="Y83" s="60"/>
      <c r="Z83" s="60"/>
    </row>
    <row r="84">
      <c r="A84" s="137"/>
      <c r="B84" s="143"/>
      <c r="C84" s="143"/>
      <c r="D84" s="139"/>
      <c r="E84" s="136"/>
      <c r="F84" s="60"/>
      <c r="G84" s="60"/>
      <c r="H84" s="60"/>
      <c r="I84" s="60"/>
      <c r="J84" s="60"/>
      <c r="K84" s="60"/>
      <c r="L84" s="60"/>
      <c r="M84" s="60"/>
      <c r="N84" s="60"/>
      <c r="O84" s="60"/>
      <c r="P84" s="60"/>
      <c r="Q84" s="60"/>
      <c r="R84" s="60"/>
      <c r="S84" s="60"/>
      <c r="T84" s="60"/>
      <c r="U84" s="60"/>
      <c r="V84" s="60"/>
      <c r="W84" s="60"/>
      <c r="X84" s="60"/>
      <c r="Y84" s="60"/>
      <c r="Z84" s="60"/>
    </row>
    <row r="85">
      <c r="A85" s="137"/>
      <c r="B85" s="143"/>
      <c r="C85" s="143"/>
      <c r="D85" s="139"/>
      <c r="E85" s="136"/>
      <c r="F85" s="60"/>
      <c r="G85" s="60"/>
      <c r="H85" s="60"/>
      <c r="I85" s="60"/>
      <c r="J85" s="60"/>
      <c r="K85" s="60"/>
      <c r="L85" s="60"/>
      <c r="M85" s="60"/>
      <c r="N85" s="60"/>
      <c r="O85" s="60"/>
      <c r="P85" s="60"/>
      <c r="Q85" s="60"/>
      <c r="R85" s="60"/>
      <c r="S85" s="60"/>
      <c r="T85" s="60"/>
      <c r="U85" s="60"/>
      <c r="V85" s="60"/>
      <c r="W85" s="60"/>
      <c r="X85" s="60"/>
      <c r="Y85" s="60"/>
      <c r="Z85" s="60"/>
    </row>
    <row r="86">
      <c r="A86" s="137"/>
      <c r="B86" s="143"/>
      <c r="C86" s="143"/>
      <c r="D86" s="139"/>
      <c r="E86" s="136"/>
      <c r="F86" s="60"/>
      <c r="G86" s="60"/>
      <c r="H86" s="60"/>
      <c r="I86" s="60"/>
      <c r="J86" s="60"/>
      <c r="K86" s="60"/>
      <c r="L86" s="60"/>
      <c r="M86" s="60"/>
      <c r="N86" s="60"/>
      <c r="O86" s="60"/>
      <c r="P86" s="60"/>
      <c r="Q86" s="60"/>
      <c r="R86" s="60"/>
      <c r="S86" s="60"/>
      <c r="T86" s="60"/>
      <c r="U86" s="60"/>
      <c r="V86" s="60"/>
      <c r="W86" s="60"/>
      <c r="X86" s="60"/>
      <c r="Y86" s="60"/>
      <c r="Z86" s="60"/>
    </row>
    <row r="87">
      <c r="A87" s="137"/>
      <c r="B87" s="143"/>
      <c r="C87" s="143"/>
      <c r="D87" s="139"/>
      <c r="E87" s="136"/>
      <c r="F87" s="60"/>
      <c r="G87" s="60"/>
      <c r="H87" s="60"/>
      <c r="I87" s="60"/>
      <c r="J87" s="60"/>
      <c r="K87" s="60"/>
      <c r="L87" s="60"/>
      <c r="M87" s="60"/>
      <c r="N87" s="60"/>
      <c r="O87" s="60"/>
      <c r="P87" s="60"/>
      <c r="Q87" s="60"/>
      <c r="R87" s="60"/>
      <c r="S87" s="60"/>
      <c r="T87" s="60"/>
      <c r="U87" s="60"/>
      <c r="V87" s="60"/>
      <c r="W87" s="60"/>
      <c r="X87" s="60"/>
      <c r="Y87" s="60"/>
      <c r="Z87" s="60"/>
    </row>
    <row r="88">
      <c r="A88" s="137"/>
      <c r="B88" s="143"/>
      <c r="C88" s="143"/>
      <c r="D88" s="139"/>
      <c r="E88" s="136"/>
      <c r="F88" s="60"/>
      <c r="G88" s="60"/>
      <c r="H88" s="60"/>
      <c r="I88" s="60"/>
      <c r="J88" s="60"/>
      <c r="K88" s="60"/>
      <c r="L88" s="60"/>
      <c r="M88" s="60"/>
      <c r="N88" s="60"/>
      <c r="O88" s="60"/>
      <c r="P88" s="60"/>
      <c r="Q88" s="60"/>
      <c r="R88" s="60"/>
      <c r="S88" s="60"/>
      <c r="T88" s="60"/>
      <c r="U88" s="60"/>
      <c r="V88" s="60"/>
      <c r="W88" s="60"/>
      <c r="X88" s="60"/>
      <c r="Y88" s="60"/>
      <c r="Z88" s="60"/>
    </row>
    <row r="89">
      <c r="A89" s="137"/>
      <c r="B89" s="143"/>
      <c r="C89" s="143"/>
      <c r="D89" s="139"/>
      <c r="E89" s="136"/>
      <c r="F89" s="60"/>
      <c r="G89" s="60"/>
      <c r="H89" s="60"/>
      <c r="I89" s="60"/>
      <c r="J89" s="60"/>
      <c r="K89" s="60"/>
      <c r="L89" s="60"/>
      <c r="M89" s="60"/>
      <c r="N89" s="60"/>
      <c r="O89" s="60"/>
      <c r="P89" s="60"/>
      <c r="Q89" s="60"/>
      <c r="R89" s="60"/>
      <c r="S89" s="60"/>
      <c r="T89" s="60"/>
      <c r="U89" s="60"/>
      <c r="V89" s="60"/>
      <c r="W89" s="60"/>
      <c r="X89" s="60"/>
      <c r="Y89" s="60"/>
      <c r="Z89" s="60"/>
    </row>
    <row r="90">
      <c r="A90" s="137"/>
      <c r="B90" s="143"/>
      <c r="C90" s="143"/>
      <c r="D90" s="139"/>
      <c r="E90" s="136"/>
      <c r="F90" s="60"/>
      <c r="G90" s="60"/>
      <c r="H90" s="60"/>
      <c r="I90" s="60"/>
      <c r="J90" s="60"/>
      <c r="K90" s="60"/>
      <c r="L90" s="60"/>
      <c r="M90" s="60"/>
      <c r="N90" s="60"/>
      <c r="O90" s="60"/>
      <c r="P90" s="60"/>
      <c r="Q90" s="60"/>
      <c r="R90" s="60"/>
      <c r="S90" s="60"/>
      <c r="T90" s="60"/>
      <c r="U90" s="60"/>
      <c r="V90" s="60"/>
      <c r="W90" s="60"/>
      <c r="X90" s="60"/>
      <c r="Y90" s="60"/>
      <c r="Z90" s="60"/>
    </row>
    <row r="91">
      <c r="A91" s="137"/>
      <c r="B91" s="143"/>
      <c r="C91" s="143"/>
      <c r="D91" s="139"/>
      <c r="E91" s="136"/>
      <c r="F91" s="60"/>
      <c r="G91" s="60"/>
      <c r="H91" s="60"/>
      <c r="I91" s="60"/>
      <c r="J91" s="60"/>
      <c r="K91" s="60"/>
      <c r="L91" s="60"/>
      <c r="M91" s="60"/>
      <c r="N91" s="60"/>
      <c r="O91" s="60"/>
      <c r="P91" s="60"/>
      <c r="Q91" s="60"/>
      <c r="R91" s="60"/>
      <c r="S91" s="60"/>
      <c r="T91" s="60"/>
      <c r="U91" s="60"/>
      <c r="V91" s="60"/>
      <c r="W91" s="60"/>
      <c r="X91" s="60"/>
      <c r="Y91" s="60"/>
      <c r="Z91" s="60"/>
    </row>
    <row r="92">
      <c r="A92" s="137"/>
      <c r="B92" s="143"/>
      <c r="C92" s="143"/>
      <c r="D92" s="139"/>
      <c r="E92" s="136"/>
      <c r="F92" s="60"/>
      <c r="G92" s="60"/>
      <c r="H92" s="60"/>
      <c r="I92" s="60"/>
      <c r="J92" s="60"/>
      <c r="K92" s="60"/>
      <c r="L92" s="60"/>
      <c r="M92" s="60"/>
      <c r="N92" s="60"/>
      <c r="O92" s="60"/>
      <c r="P92" s="60"/>
      <c r="Q92" s="60"/>
      <c r="R92" s="60"/>
      <c r="S92" s="60"/>
      <c r="T92" s="60"/>
      <c r="U92" s="60"/>
      <c r="V92" s="60"/>
      <c r="W92" s="60"/>
      <c r="X92" s="60"/>
      <c r="Y92" s="60"/>
      <c r="Z92" s="60"/>
    </row>
    <row r="93">
      <c r="A93" s="137"/>
      <c r="B93" s="143"/>
      <c r="C93" s="143"/>
      <c r="D93" s="139"/>
      <c r="E93" s="136"/>
      <c r="F93" s="60"/>
      <c r="G93" s="60"/>
      <c r="H93" s="60"/>
      <c r="I93" s="60"/>
      <c r="J93" s="60"/>
      <c r="K93" s="60"/>
      <c r="L93" s="60"/>
      <c r="M93" s="60"/>
      <c r="N93" s="60"/>
      <c r="O93" s="60"/>
      <c r="P93" s="60"/>
      <c r="Q93" s="60"/>
      <c r="R93" s="60"/>
      <c r="S93" s="60"/>
      <c r="T93" s="60"/>
      <c r="U93" s="60"/>
      <c r="V93" s="60"/>
      <c r="W93" s="60"/>
      <c r="X93" s="60"/>
      <c r="Y93" s="60"/>
      <c r="Z93" s="60"/>
    </row>
    <row r="94">
      <c r="A94" s="137"/>
      <c r="B94" s="143"/>
      <c r="C94" s="143"/>
      <c r="D94" s="139"/>
      <c r="E94" s="136"/>
      <c r="F94" s="60"/>
      <c r="G94" s="60"/>
      <c r="H94" s="60"/>
      <c r="I94" s="60"/>
      <c r="J94" s="60"/>
      <c r="K94" s="60"/>
      <c r="L94" s="60"/>
      <c r="M94" s="60"/>
      <c r="N94" s="60"/>
      <c r="O94" s="60"/>
      <c r="P94" s="60"/>
      <c r="Q94" s="60"/>
      <c r="R94" s="60"/>
      <c r="S94" s="60"/>
      <c r="T94" s="60"/>
      <c r="U94" s="60"/>
      <c r="V94" s="60"/>
      <c r="W94" s="60"/>
      <c r="X94" s="60"/>
      <c r="Y94" s="60"/>
      <c r="Z94" s="60"/>
    </row>
    <row r="95">
      <c r="A95" s="137"/>
      <c r="B95" s="143"/>
      <c r="C95" s="143"/>
      <c r="D95" s="139"/>
      <c r="E95" s="136"/>
      <c r="F95" s="60"/>
      <c r="G95" s="60"/>
      <c r="H95" s="60"/>
      <c r="I95" s="60"/>
      <c r="J95" s="60"/>
      <c r="K95" s="60"/>
      <c r="L95" s="60"/>
      <c r="M95" s="60"/>
      <c r="N95" s="60"/>
      <c r="O95" s="60"/>
      <c r="P95" s="60"/>
      <c r="Q95" s="60"/>
      <c r="R95" s="60"/>
      <c r="S95" s="60"/>
      <c r="T95" s="60"/>
      <c r="U95" s="60"/>
      <c r="V95" s="60"/>
      <c r="W95" s="60"/>
      <c r="X95" s="60"/>
      <c r="Y95" s="60"/>
      <c r="Z95" s="60"/>
    </row>
    <row r="96">
      <c r="A96" s="137"/>
      <c r="B96" s="143"/>
      <c r="C96" s="143"/>
      <c r="D96" s="139"/>
      <c r="E96" s="136"/>
      <c r="F96" s="60"/>
      <c r="G96" s="60"/>
      <c r="H96" s="60"/>
      <c r="I96" s="60"/>
      <c r="J96" s="60"/>
      <c r="K96" s="60"/>
      <c r="L96" s="60"/>
      <c r="M96" s="60"/>
      <c r="N96" s="60"/>
      <c r="O96" s="60"/>
      <c r="P96" s="60"/>
      <c r="Q96" s="60"/>
      <c r="R96" s="60"/>
      <c r="S96" s="60"/>
      <c r="T96" s="60"/>
      <c r="U96" s="60"/>
      <c r="V96" s="60"/>
      <c r="W96" s="60"/>
      <c r="X96" s="60"/>
      <c r="Y96" s="60"/>
      <c r="Z96" s="60"/>
    </row>
    <row r="97">
      <c r="A97" s="137"/>
      <c r="B97" s="143"/>
      <c r="C97" s="143"/>
      <c r="D97" s="139"/>
      <c r="E97" s="136"/>
      <c r="F97" s="60"/>
      <c r="G97" s="60"/>
      <c r="H97" s="60"/>
      <c r="I97" s="60"/>
      <c r="J97" s="60"/>
      <c r="K97" s="60"/>
      <c r="L97" s="60"/>
      <c r="M97" s="60"/>
      <c r="N97" s="60"/>
      <c r="O97" s="60"/>
      <c r="P97" s="60"/>
      <c r="Q97" s="60"/>
      <c r="R97" s="60"/>
      <c r="S97" s="60"/>
      <c r="T97" s="60"/>
      <c r="U97" s="60"/>
      <c r="V97" s="60"/>
      <c r="W97" s="60"/>
      <c r="X97" s="60"/>
      <c r="Y97" s="60"/>
      <c r="Z97" s="60"/>
    </row>
    <row r="98">
      <c r="A98" s="137"/>
      <c r="B98" s="143"/>
      <c r="C98" s="143"/>
      <c r="D98" s="139"/>
      <c r="E98" s="136"/>
      <c r="F98" s="60"/>
      <c r="G98" s="60"/>
      <c r="H98" s="60"/>
      <c r="I98" s="60"/>
      <c r="J98" s="60"/>
      <c r="K98" s="60"/>
      <c r="L98" s="60"/>
      <c r="M98" s="60"/>
      <c r="N98" s="60"/>
      <c r="O98" s="60"/>
      <c r="P98" s="60"/>
      <c r="Q98" s="60"/>
      <c r="R98" s="60"/>
      <c r="S98" s="60"/>
      <c r="T98" s="60"/>
      <c r="U98" s="60"/>
      <c r="V98" s="60"/>
      <c r="W98" s="60"/>
      <c r="X98" s="60"/>
      <c r="Y98" s="60"/>
      <c r="Z98" s="60"/>
    </row>
    <row r="99">
      <c r="A99" s="137"/>
      <c r="B99" s="143"/>
      <c r="C99" s="143"/>
      <c r="D99" s="139"/>
      <c r="E99" s="136"/>
      <c r="F99" s="60"/>
      <c r="G99" s="60"/>
      <c r="H99" s="60"/>
      <c r="I99" s="60"/>
      <c r="J99" s="60"/>
      <c r="K99" s="60"/>
      <c r="L99" s="60"/>
      <c r="M99" s="60"/>
      <c r="N99" s="60"/>
      <c r="O99" s="60"/>
      <c r="P99" s="60"/>
      <c r="Q99" s="60"/>
      <c r="R99" s="60"/>
      <c r="S99" s="60"/>
      <c r="T99" s="60"/>
      <c r="U99" s="60"/>
      <c r="V99" s="60"/>
      <c r="W99" s="60"/>
      <c r="X99" s="60"/>
      <c r="Y99" s="60"/>
      <c r="Z99" s="60"/>
    </row>
    <row r="100">
      <c r="A100" s="137"/>
      <c r="B100" s="143"/>
      <c r="C100" s="143"/>
      <c r="D100" s="139"/>
      <c r="E100" s="136"/>
      <c r="F100" s="60"/>
      <c r="G100" s="60"/>
      <c r="H100" s="60"/>
      <c r="I100" s="60"/>
      <c r="J100" s="60"/>
      <c r="K100" s="60"/>
      <c r="L100" s="60"/>
      <c r="M100" s="60"/>
      <c r="N100" s="60"/>
      <c r="O100" s="60"/>
      <c r="P100" s="60"/>
      <c r="Q100" s="60"/>
      <c r="R100" s="60"/>
      <c r="S100" s="60"/>
      <c r="T100" s="60"/>
      <c r="U100" s="60"/>
      <c r="V100" s="60"/>
      <c r="W100" s="60"/>
      <c r="X100" s="60"/>
      <c r="Y100" s="60"/>
      <c r="Z100" s="60"/>
    </row>
    <row r="101">
      <c r="A101" s="137"/>
      <c r="B101" s="143"/>
      <c r="C101" s="143"/>
      <c r="D101" s="139"/>
      <c r="E101" s="136"/>
      <c r="F101" s="60"/>
      <c r="G101" s="60"/>
      <c r="H101" s="60"/>
      <c r="I101" s="60"/>
      <c r="J101" s="60"/>
      <c r="K101" s="60"/>
      <c r="L101" s="60"/>
      <c r="M101" s="60"/>
      <c r="N101" s="60"/>
      <c r="O101" s="60"/>
      <c r="P101" s="60"/>
      <c r="Q101" s="60"/>
      <c r="R101" s="60"/>
      <c r="S101" s="60"/>
      <c r="T101" s="60"/>
      <c r="U101" s="60"/>
      <c r="V101" s="60"/>
      <c r="W101" s="60"/>
      <c r="X101" s="60"/>
      <c r="Y101" s="60"/>
      <c r="Z101" s="60"/>
    </row>
    <row r="102">
      <c r="A102" s="137"/>
      <c r="B102" s="143"/>
      <c r="C102" s="143"/>
      <c r="D102" s="139"/>
      <c r="E102" s="136"/>
      <c r="F102" s="60"/>
      <c r="G102" s="60"/>
      <c r="H102" s="60"/>
      <c r="I102" s="60"/>
      <c r="J102" s="60"/>
      <c r="K102" s="60"/>
      <c r="L102" s="60"/>
      <c r="M102" s="60"/>
      <c r="N102" s="60"/>
      <c r="O102" s="60"/>
      <c r="P102" s="60"/>
      <c r="Q102" s="60"/>
      <c r="R102" s="60"/>
      <c r="S102" s="60"/>
      <c r="T102" s="60"/>
      <c r="U102" s="60"/>
      <c r="V102" s="60"/>
      <c r="W102" s="60"/>
      <c r="X102" s="60"/>
      <c r="Y102" s="60"/>
      <c r="Z102" s="60"/>
    </row>
    <row r="103">
      <c r="A103" s="137"/>
      <c r="B103" s="143"/>
      <c r="C103" s="143"/>
      <c r="D103" s="139"/>
      <c r="E103" s="136"/>
      <c r="F103" s="60"/>
      <c r="G103" s="60"/>
      <c r="H103" s="60"/>
      <c r="I103" s="60"/>
      <c r="J103" s="60"/>
      <c r="K103" s="60"/>
      <c r="L103" s="60"/>
      <c r="M103" s="60"/>
      <c r="N103" s="60"/>
      <c r="O103" s="60"/>
      <c r="P103" s="60"/>
      <c r="Q103" s="60"/>
      <c r="R103" s="60"/>
      <c r="S103" s="60"/>
      <c r="T103" s="60"/>
      <c r="U103" s="60"/>
      <c r="V103" s="60"/>
      <c r="W103" s="60"/>
      <c r="X103" s="60"/>
      <c r="Y103" s="60"/>
      <c r="Z103" s="60"/>
    </row>
    <row r="104">
      <c r="A104" s="137"/>
      <c r="B104" s="143"/>
      <c r="C104" s="143"/>
      <c r="D104" s="139"/>
      <c r="E104" s="136"/>
      <c r="F104" s="60"/>
      <c r="G104" s="60"/>
      <c r="H104" s="60"/>
      <c r="I104" s="60"/>
      <c r="J104" s="60"/>
      <c r="K104" s="60"/>
      <c r="L104" s="60"/>
      <c r="M104" s="60"/>
      <c r="N104" s="60"/>
      <c r="O104" s="60"/>
      <c r="P104" s="60"/>
      <c r="Q104" s="60"/>
      <c r="R104" s="60"/>
      <c r="S104" s="60"/>
      <c r="T104" s="60"/>
      <c r="U104" s="60"/>
      <c r="V104" s="60"/>
      <c r="W104" s="60"/>
      <c r="X104" s="60"/>
      <c r="Y104" s="60"/>
      <c r="Z104" s="60"/>
    </row>
    <row r="105">
      <c r="A105" s="137"/>
      <c r="B105" s="143"/>
      <c r="C105" s="143"/>
      <c r="D105" s="139"/>
      <c r="E105" s="136"/>
      <c r="F105" s="60"/>
      <c r="G105" s="60"/>
      <c r="H105" s="60"/>
      <c r="I105" s="60"/>
      <c r="J105" s="60"/>
      <c r="K105" s="60"/>
      <c r="L105" s="60"/>
      <c r="M105" s="60"/>
      <c r="N105" s="60"/>
      <c r="O105" s="60"/>
      <c r="P105" s="60"/>
      <c r="Q105" s="60"/>
      <c r="R105" s="60"/>
      <c r="S105" s="60"/>
      <c r="T105" s="60"/>
      <c r="U105" s="60"/>
      <c r="V105" s="60"/>
      <c r="W105" s="60"/>
      <c r="X105" s="60"/>
      <c r="Y105" s="60"/>
      <c r="Z105" s="60"/>
    </row>
    <row r="106">
      <c r="A106" s="137"/>
      <c r="B106" s="143"/>
      <c r="C106" s="143"/>
      <c r="D106" s="139"/>
      <c r="E106" s="136"/>
      <c r="F106" s="60"/>
      <c r="G106" s="60"/>
      <c r="H106" s="60"/>
      <c r="I106" s="60"/>
      <c r="J106" s="60"/>
      <c r="K106" s="60"/>
      <c r="L106" s="60"/>
      <c r="M106" s="60"/>
      <c r="N106" s="60"/>
      <c r="O106" s="60"/>
      <c r="P106" s="60"/>
      <c r="Q106" s="60"/>
      <c r="R106" s="60"/>
      <c r="S106" s="60"/>
      <c r="T106" s="60"/>
      <c r="U106" s="60"/>
      <c r="V106" s="60"/>
      <c r="W106" s="60"/>
      <c r="X106" s="60"/>
      <c r="Y106" s="60"/>
      <c r="Z106" s="60"/>
    </row>
    <row r="107">
      <c r="A107" s="137"/>
      <c r="B107" s="143"/>
      <c r="C107" s="143"/>
      <c r="D107" s="139"/>
      <c r="E107" s="136"/>
      <c r="F107" s="60"/>
      <c r="G107" s="60"/>
      <c r="H107" s="60"/>
      <c r="I107" s="60"/>
      <c r="J107" s="60"/>
      <c r="K107" s="60"/>
      <c r="L107" s="60"/>
      <c r="M107" s="60"/>
      <c r="N107" s="60"/>
      <c r="O107" s="60"/>
      <c r="P107" s="60"/>
      <c r="Q107" s="60"/>
      <c r="R107" s="60"/>
      <c r="S107" s="60"/>
      <c r="T107" s="60"/>
      <c r="U107" s="60"/>
      <c r="V107" s="60"/>
      <c r="W107" s="60"/>
      <c r="X107" s="60"/>
      <c r="Y107" s="60"/>
      <c r="Z107" s="60"/>
    </row>
    <row r="108">
      <c r="A108" s="137"/>
      <c r="B108" s="143"/>
      <c r="C108" s="143"/>
      <c r="D108" s="139"/>
      <c r="E108" s="136"/>
      <c r="F108" s="60"/>
      <c r="G108" s="60"/>
      <c r="H108" s="60"/>
      <c r="I108" s="60"/>
      <c r="J108" s="60"/>
      <c r="K108" s="60"/>
      <c r="L108" s="60"/>
      <c r="M108" s="60"/>
      <c r="N108" s="60"/>
      <c r="O108" s="60"/>
      <c r="P108" s="60"/>
      <c r="Q108" s="60"/>
      <c r="R108" s="60"/>
      <c r="S108" s="60"/>
      <c r="T108" s="60"/>
      <c r="U108" s="60"/>
      <c r="V108" s="60"/>
      <c r="W108" s="60"/>
      <c r="X108" s="60"/>
      <c r="Y108" s="60"/>
      <c r="Z108" s="60"/>
    </row>
    <row r="109">
      <c r="A109" s="137"/>
      <c r="B109" s="143"/>
      <c r="C109" s="143"/>
      <c r="D109" s="139"/>
      <c r="E109" s="136"/>
      <c r="F109" s="60"/>
      <c r="G109" s="60"/>
      <c r="H109" s="60"/>
      <c r="I109" s="60"/>
      <c r="J109" s="60"/>
      <c r="K109" s="60"/>
      <c r="L109" s="60"/>
      <c r="M109" s="60"/>
      <c r="N109" s="60"/>
      <c r="O109" s="60"/>
      <c r="P109" s="60"/>
      <c r="Q109" s="60"/>
      <c r="R109" s="60"/>
      <c r="S109" s="60"/>
      <c r="T109" s="60"/>
      <c r="U109" s="60"/>
      <c r="V109" s="60"/>
      <c r="W109" s="60"/>
      <c r="X109" s="60"/>
      <c r="Y109" s="60"/>
      <c r="Z109" s="60"/>
    </row>
    <row r="110">
      <c r="A110" s="137"/>
      <c r="B110" s="143"/>
      <c r="C110" s="143"/>
      <c r="D110" s="139"/>
      <c r="E110" s="136"/>
      <c r="F110" s="60"/>
      <c r="G110" s="60"/>
      <c r="H110" s="60"/>
      <c r="I110" s="60"/>
      <c r="J110" s="60"/>
      <c r="K110" s="60"/>
      <c r="L110" s="60"/>
      <c r="M110" s="60"/>
      <c r="N110" s="60"/>
      <c r="O110" s="60"/>
      <c r="P110" s="60"/>
      <c r="Q110" s="60"/>
      <c r="R110" s="60"/>
      <c r="S110" s="60"/>
      <c r="T110" s="60"/>
      <c r="U110" s="60"/>
      <c r="V110" s="60"/>
      <c r="W110" s="60"/>
      <c r="X110" s="60"/>
      <c r="Y110" s="60"/>
      <c r="Z110" s="60"/>
    </row>
    <row r="111">
      <c r="A111" s="137"/>
      <c r="B111" s="143"/>
      <c r="C111" s="143"/>
      <c r="D111" s="139"/>
      <c r="E111" s="136"/>
      <c r="F111" s="60"/>
      <c r="G111" s="60"/>
      <c r="H111" s="60"/>
      <c r="I111" s="60"/>
      <c r="J111" s="60"/>
      <c r="K111" s="60"/>
      <c r="L111" s="60"/>
      <c r="M111" s="60"/>
      <c r="N111" s="60"/>
      <c r="O111" s="60"/>
      <c r="P111" s="60"/>
      <c r="Q111" s="60"/>
      <c r="R111" s="60"/>
      <c r="S111" s="60"/>
      <c r="T111" s="60"/>
      <c r="U111" s="60"/>
      <c r="V111" s="60"/>
      <c r="W111" s="60"/>
      <c r="X111" s="60"/>
      <c r="Y111" s="60"/>
      <c r="Z111" s="60"/>
    </row>
    <row r="112">
      <c r="A112" s="137"/>
      <c r="B112" s="143"/>
      <c r="C112" s="143"/>
      <c r="D112" s="139"/>
      <c r="E112" s="136"/>
      <c r="F112" s="60"/>
      <c r="G112" s="60"/>
      <c r="H112" s="60"/>
      <c r="I112" s="60"/>
      <c r="J112" s="60"/>
      <c r="K112" s="60"/>
      <c r="L112" s="60"/>
      <c r="M112" s="60"/>
      <c r="N112" s="60"/>
      <c r="O112" s="60"/>
      <c r="P112" s="60"/>
      <c r="Q112" s="60"/>
      <c r="R112" s="60"/>
      <c r="S112" s="60"/>
      <c r="T112" s="60"/>
      <c r="U112" s="60"/>
      <c r="V112" s="60"/>
      <c r="W112" s="60"/>
      <c r="X112" s="60"/>
      <c r="Y112" s="60"/>
      <c r="Z112" s="60"/>
    </row>
    <row r="113">
      <c r="A113" s="137"/>
      <c r="B113" s="143"/>
      <c r="C113" s="143"/>
      <c r="D113" s="139"/>
      <c r="E113" s="136"/>
      <c r="F113" s="60"/>
      <c r="G113" s="60"/>
      <c r="H113" s="60"/>
      <c r="I113" s="60"/>
      <c r="J113" s="60"/>
      <c r="K113" s="60"/>
      <c r="L113" s="60"/>
      <c r="M113" s="60"/>
      <c r="N113" s="60"/>
      <c r="O113" s="60"/>
      <c r="P113" s="60"/>
      <c r="Q113" s="60"/>
      <c r="R113" s="60"/>
      <c r="S113" s="60"/>
      <c r="T113" s="60"/>
      <c r="U113" s="60"/>
      <c r="V113" s="60"/>
      <c r="W113" s="60"/>
      <c r="X113" s="60"/>
      <c r="Y113" s="60"/>
      <c r="Z113" s="60"/>
    </row>
    <row r="114">
      <c r="A114" s="137"/>
      <c r="B114" s="143"/>
      <c r="C114" s="143"/>
      <c r="D114" s="139"/>
      <c r="E114" s="136"/>
      <c r="F114" s="60"/>
      <c r="G114" s="60"/>
      <c r="H114" s="60"/>
      <c r="I114" s="60"/>
      <c r="J114" s="60"/>
      <c r="K114" s="60"/>
      <c r="L114" s="60"/>
      <c r="M114" s="60"/>
      <c r="N114" s="60"/>
      <c r="O114" s="60"/>
      <c r="P114" s="60"/>
      <c r="Q114" s="60"/>
      <c r="R114" s="60"/>
      <c r="S114" s="60"/>
      <c r="T114" s="60"/>
      <c r="U114" s="60"/>
      <c r="V114" s="60"/>
      <c r="W114" s="60"/>
      <c r="X114" s="60"/>
      <c r="Y114" s="60"/>
      <c r="Z114" s="60"/>
    </row>
    <row r="115">
      <c r="A115" s="137"/>
      <c r="B115" s="143"/>
      <c r="C115" s="143"/>
      <c r="D115" s="139"/>
      <c r="E115" s="136"/>
      <c r="F115" s="60"/>
      <c r="G115" s="60"/>
      <c r="H115" s="60"/>
      <c r="I115" s="60"/>
      <c r="J115" s="60"/>
      <c r="K115" s="60"/>
      <c r="L115" s="60"/>
      <c r="M115" s="60"/>
      <c r="N115" s="60"/>
      <c r="O115" s="60"/>
      <c r="P115" s="60"/>
      <c r="Q115" s="60"/>
      <c r="R115" s="60"/>
      <c r="S115" s="60"/>
      <c r="T115" s="60"/>
      <c r="U115" s="60"/>
      <c r="V115" s="60"/>
      <c r="W115" s="60"/>
      <c r="X115" s="60"/>
      <c r="Y115" s="60"/>
      <c r="Z115" s="60"/>
    </row>
    <row r="116">
      <c r="A116" s="137"/>
      <c r="B116" s="143"/>
      <c r="C116" s="143"/>
      <c r="D116" s="139"/>
      <c r="E116" s="136"/>
      <c r="F116" s="60"/>
      <c r="G116" s="60"/>
      <c r="H116" s="60"/>
      <c r="I116" s="60"/>
      <c r="J116" s="60"/>
      <c r="K116" s="60"/>
      <c r="L116" s="60"/>
      <c r="M116" s="60"/>
      <c r="N116" s="60"/>
      <c r="O116" s="60"/>
      <c r="P116" s="60"/>
      <c r="Q116" s="60"/>
      <c r="R116" s="60"/>
      <c r="S116" s="60"/>
      <c r="T116" s="60"/>
      <c r="U116" s="60"/>
      <c r="V116" s="60"/>
      <c r="W116" s="60"/>
      <c r="X116" s="60"/>
      <c r="Y116" s="60"/>
      <c r="Z116" s="60"/>
    </row>
    <row r="117">
      <c r="A117" s="137"/>
      <c r="B117" s="143"/>
      <c r="C117" s="143"/>
      <c r="D117" s="139"/>
      <c r="E117" s="136"/>
      <c r="F117" s="60"/>
      <c r="G117" s="60"/>
      <c r="H117" s="60"/>
      <c r="I117" s="60"/>
      <c r="J117" s="60"/>
      <c r="K117" s="60"/>
      <c r="L117" s="60"/>
      <c r="M117" s="60"/>
      <c r="N117" s="60"/>
      <c r="O117" s="60"/>
      <c r="P117" s="60"/>
      <c r="Q117" s="60"/>
      <c r="R117" s="60"/>
      <c r="S117" s="60"/>
      <c r="T117" s="60"/>
      <c r="U117" s="60"/>
      <c r="V117" s="60"/>
      <c r="W117" s="60"/>
      <c r="X117" s="60"/>
      <c r="Y117" s="60"/>
      <c r="Z117" s="60"/>
    </row>
    <row r="118">
      <c r="A118" s="137"/>
      <c r="B118" s="143"/>
      <c r="C118" s="143"/>
      <c r="D118" s="139"/>
      <c r="E118" s="136"/>
      <c r="F118" s="60"/>
      <c r="G118" s="60"/>
      <c r="H118" s="60"/>
      <c r="I118" s="60"/>
      <c r="J118" s="60"/>
      <c r="K118" s="60"/>
      <c r="L118" s="60"/>
      <c r="M118" s="60"/>
      <c r="N118" s="60"/>
      <c r="O118" s="60"/>
      <c r="P118" s="60"/>
      <c r="Q118" s="60"/>
      <c r="R118" s="60"/>
      <c r="S118" s="60"/>
      <c r="T118" s="60"/>
      <c r="U118" s="60"/>
      <c r="V118" s="60"/>
      <c r="W118" s="60"/>
      <c r="X118" s="60"/>
      <c r="Y118" s="60"/>
      <c r="Z118" s="60"/>
    </row>
    <row r="119">
      <c r="A119" s="137"/>
      <c r="B119" s="143"/>
      <c r="C119" s="143"/>
      <c r="D119" s="139"/>
      <c r="E119" s="136"/>
      <c r="F119" s="60"/>
      <c r="G119" s="60"/>
      <c r="H119" s="60"/>
      <c r="I119" s="60"/>
      <c r="J119" s="60"/>
      <c r="K119" s="60"/>
      <c r="L119" s="60"/>
      <c r="M119" s="60"/>
      <c r="N119" s="60"/>
      <c r="O119" s="60"/>
      <c r="P119" s="60"/>
      <c r="Q119" s="60"/>
      <c r="R119" s="60"/>
      <c r="S119" s="60"/>
      <c r="T119" s="60"/>
      <c r="U119" s="60"/>
      <c r="V119" s="60"/>
      <c r="W119" s="60"/>
      <c r="X119" s="60"/>
      <c r="Y119" s="60"/>
      <c r="Z119" s="60"/>
    </row>
    <row r="120">
      <c r="A120" s="137"/>
      <c r="B120" s="143"/>
      <c r="C120" s="143"/>
      <c r="D120" s="139"/>
      <c r="E120" s="136"/>
      <c r="F120" s="60"/>
      <c r="G120" s="60"/>
      <c r="H120" s="60"/>
      <c r="I120" s="60"/>
      <c r="J120" s="60"/>
      <c r="K120" s="60"/>
      <c r="L120" s="60"/>
      <c r="M120" s="60"/>
      <c r="N120" s="60"/>
      <c r="O120" s="60"/>
      <c r="P120" s="60"/>
      <c r="Q120" s="60"/>
      <c r="R120" s="60"/>
      <c r="S120" s="60"/>
      <c r="T120" s="60"/>
      <c r="U120" s="60"/>
      <c r="V120" s="60"/>
      <c r="W120" s="60"/>
      <c r="X120" s="60"/>
      <c r="Y120" s="60"/>
      <c r="Z120" s="60"/>
    </row>
    <row r="121">
      <c r="A121" s="137"/>
      <c r="B121" s="143"/>
      <c r="C121" s="143"/>
      <c r="D121" s="139"/>
      <c r="E121" s="136"/>
      <c r="F121" s="60"/>
      <c r="G121" s="60"/>
      <c r="H121" s="60"/>
      <c r="I121" s="60"/>
      <c r="J121" s="60"/>
      <c r="K121" s="60"/>
      <c r="L121" s="60"/>
      <c r="M121" s="60"/>
      <c r="N121" s="60"/>
      <c r="O121" s="60"/>
      <c r="P121" s="60"/>
      <c r="Q121" s="60"/>
      <c r="R121" s="60"/>
      <c r="S121" s="60"/>
      <c r="T121" s="60"/>
      <c r="U121" s="60"/>
      <c r="V121" s="60"/>
      <c r="W121" s="60"/>
      <c r="X121" s="60"/>
      <c r="Y121" s="60"/>
      <c r="Z121" s="60"/>
    </row>
    <row r="122">
      <c r="A122" s="137"/>
      <c r="B122" s="143"/>
      <c r="C122" s="143"/>
      <c r="D122" s="139"/>
      <c r="E122" s="136"/>
      <c r="F122" s="60"/>
      <c r="G122" s="60"/>
      <c r="H122" s="60"/>
      <c r="I122" s="60"/>
      <c r="J122" s="60"/>
      <c r="K122" s="60"/>
      <c r="L122" s="60"/>
      <c r="M122" s="60"/>
      <c r="N122" s="60"/>
      <c r="O122" s="60"/>
      <c r="P122" s="60"/>
      <c r="Q122" s="60"/>
      <c r="R122" s="60"/>
      <c r="S122" s="60"/>
      <c r="T122" s="60"/>
      <c r="U122" s="60"/>
      <c r="V122" s="60"/>
      <c r="W122" s="60"/>
      <c r="X122" s="60"/>
      <c r="Y122" s="60"/>
      <c r="Z122" s="60"/>
    </row>
    <row r="123">
      <c r="A123" s="137"/>
      <c r="B123" s="143"/>
      <c r="C123" s="143"/>
      <c r="D123" s="139"/>
      <c r="E123" s="136"/>
      <c r="F123" s="60"/>
      <c r="G123" s="60"/>
      <c r="H123" s="60"/>
      <c r="I123" s="60"/>
      <c r="J123" s="60"/>
      <c r="K123" s="60"/>
      <c r="L123" s="60"/>
      <c r="M123" s="60"/>
      <c r="N123" s="60"/>
      <c r="O123" s="60"/>
      <c r="P123" s="60"/>
      <c r="Q123" s="60"/>
      <c r="R123" s="60"/>
      <c r="S123" s="60"/>
      <c r="T123" s="60"/>
      <c r="U123" s="60"/>
      <c r="V123" s="60"/>
      <c r="W123" s="60"/>
      <c r="X123" s="60"/>
      <c r="Y123" s="60"/>
      <c r="Z123" s="60"/>
    </row>
    <row r="124">
      <c r="A124" s="137"/>
      <c r="B124" s="143"/>
      <c r="C124" s="143"/>
      <c r="D124" s="139"/>
      <c r="E124" s="136"/>
      <c r="F124" s="60"/>
      <c r="G124" s="60"/>
      <c r="H124" s="60"/>
      <c r="I124" s="60"/>
      <c r="J124" s="60"/>
      <c r="K124" s="60"/>
      <c r="L124" s="60"/>
      <c r="M124" s="60"/>
      <c r="N124" s="60"/>
      <c r="O124" s="60"/>
      <c r="P124" s="60"/>
      <c r="Q124" s="60"/>
      <c r="R124" s="60"/>
      <c r="S124" s="60"/>
      <c r="T124" s="60"/>
      <c r="U124" s="60"/>
      <c r="V124" s="60"/>
      <c r="W124" s="60"/>
      <c r="X124" s="60"/>
      <c r="Y124" s="60"/>
      <c r="Z124" s="60"/>
    </row>
    <row r="125">
      <c r="A125" s="137"/>
      <c r="B125" s="143"/>
      <c r="C125" s="143"/>
      <c r="D125" s="139"/>
      <c r="E125" s="136"/>
      <c r="F125" s="60"/>
      <c r="G125" s="60"/>
      <c r="H125" s="60"/>
      <c r="I125" s="60"/>
      <c r="J125" s="60"/>
      <c r="K125" s="60"/>
      <c r="L125" s="60"/>
      <c r="M125" s="60"/>
      <c r="N125" s="60"/>
      <c r="O125" s="60"/>
      <c r="P125" s="60"/>
      <c r="Q125" s="60"/>
      <c r="R125" s="60"/>
      <c r="S125" s="60"/>
      <c r="T125" s="60"/>
      <c r="U125" s="60"/>
      <c r="V125" s="60"/>
      <c r="W125" s="60"/>
      <c r="X125" s="60"/>
      <c r="Y125" s="60"/>
      <c r="Z125" s="60"/>
    </row>
    <row r="126">
      <c r="A126" s="137"/>
      <c r="B126" s="143"/>
      <c r="C126" s="143"/>
      <c r="D126" s="139"/>
      <c r="E126" s="136"/>
      <c r="F126" s="60"/>
      <c r="G126" s="60"/>
      <c r="H126" s="60"/>
      <c r="I126" s="60"/>
      <c r="J126" s="60"/>
      <c r="K126" s="60"/>
      <c r="L126" s="60"/>
      <c r="M126" s="60"/>
      <c r="N126" s="60"/>
      <c r="O126" s="60"/>
      <c r="P126" s="60"/>
      <c r="Q126" s="60"/>
      <c r="R126" s="60"/>
      <c r="S126" s="60"/>
      <c r="T126" s="60"/>
      <c r="U126" s="60"/>
      <c r="V126" s="60"/>
      <c r="W126" s="60"/>
      <c r="X126" s="60"/>
      <c r="Y126" s="60"/>
      <c r="Z126" s="60"/>
    </row>
    <row r="127">
      <c r="A127" s="137"/>
      <c r="B127" s="143"/>
      <c r="C127" s="143"/>
      <c r="D127" s="139"/>
      <c r="E127" s="136"/>
      <c r="F127" s="60"/>
      <c r="G127" s="60"/>
      <c r="H127" s="60"/>
      <c r="I127" s="60"/>
      <c r="J127" s="60"/>
      <c r="K127" s="60"/>
      <c r="L127" s="60"/>
      <c r="M127" s="60"/>
      <c r="N127" s="60"/>
      <c r="O127" s="60"/>
      <c r="P127" s="60"/>
      <c r="Q127" s="60"/>
      <c r="R127" s="60"/>
      <c r="S127" s="60"/>
      <c r="T127" s="60"/>
      <c r="U127" s="60"/>
      <c r="V127" s="60"/>
      <c r="W127" s="60"/>
      <c r="X127" s="60"/>
      <c r="Y127" s="60"/>
      <c r="Z127" s="60"/>
    </row>
    <row r="128">
      <c r="A128" s="137"/>
      <c r="B128" s="143"/>
      <c r="C128" s="143"/>
      <c r="D128" s="139"/>
      <c r="E128" s="136"/>
      <c r="F128" s="60"/>
      <c r="G128" s="60"/>
      <c r="H128" s="60"/>
      <c r="I128" s="60"/>
      <c r="J128" s="60"/>
      <c r="K128" s="60"/>
      <c r="L128" s="60"/>
      <c r="M128" s="60"/>
      <c r="N128" s="60"/>
      <c r="O128" s="60"/>
      <c r="P128" s="60"/>
      <c r="Q128" s="60"/>
      <c r="R128" s="60"/>
      <c r="S128" s="60"/>
      <c r="T128" s="60"/>
      <c r="U128" s="60"/>
      <c r="V128" s="60"/>
      <c r="W128" s="60"/>
      <c r="X128" s="60"/>
      <c r="Y128" s="60"/>
      <c r="Z128" s="60"/>
    </row>
    <row r="129">
      <c r="A129" s="137"/>
      <c r="B129" s="143"/>
      <c r="C129" s="143"/>
      <c r="D129" s="139"/>
      <c r="E129" s="136"/>
      <c r="F129" s="60"/>
      <c r="G129" s="60"/>
      <c r="H129" s="60"/>
      <c r="I129" s="60"/>
      <c r="J129" s="60"/>
      <c r="K129" s="60"/>
      <c r="L129" s="60"/>
      <c r="M129" s="60"/>
      <c r="N129" s="60"/>
      <c r="O129" s="60"/>
      <c r="P129" s="60"/>
      <c r="Q129" s="60"/>
      <c r="R129" s="60"/>
      <c r="S129" s="60"/>
      <c r="T129" s="60"/>
      <c r="U129" s="60"/>
      <c r="V129" s="60"/>
      <c r="W129" s="60"/>
      <c r="X129" s="60"/>
      <c r="Y129" s="60"/>
      <c r="Z129" s="60"/>
    </row>
    <row r="130">
      <c r="A130" s="137"/>
      <c r="B130" s="143"/>
      <c r="C130" s="143"/>
      <c r="D130" s="139"/>
      <c r="E130" s="136"/>
      <c r="F130" s="60"/>
      <c r="G130" s="60"/>
      <c r="H130" s="60"/>
      <c r="I130" s="60"/>
      <c r="J130" s="60"/>
      <c r="K130" s="60"/>
      <c r="L130" s="60"/>
      <c r="M130" s="60"/>
      <c r="N130" s="60"/>
      <c r="O130" s="60"/>
      <c r="P130" s="60"/>
      <c r="Q130" s="60"/>
      <c r="R130" s="60"/>
      <c r="S130" s="60"/>
      <c r="T130" s="60"/>
      <c r="U130" s="60"/>
      <c r="V130" s="60"/>
      <c r="W130" s="60"/>
      <c r="X130" s="60"/>
      <c r="Y130" s="60"/>
      <c r="Z130" s="60"/>
    </row>
    <row r="131">
      <c r="A131" s="137"/>
      <c r="B131" s="143"/>
      <c r="C131" s="143"/>
      <c r="D131" s="139"/>
      <c r="E131" s="136"/>
      <c r="F131" s="60"/>
      <c r="G131" s="60"/>
      <c r="H131" s="60"/>
      <c r="I131" s="60"/>
      <c r="J131" s="60"/>
      <c r="K131" s="60"/>
      <c r="L131" s="60"/>
      <c r="M131" s="60"/>
      <c r="N131" s="60"/>
      <c r="O131" s="60"/>
      <c r="P131" s="60"/>
      <c r="Q131" s="60"/>
      <c r="R131" s="60"/>
      <c r="S131" s="60"/>
      <c r="T131" s="60"/>
      <c r="U131" s="60"/>
      <c r="V131" s="60"/>
      <c r="W131" s="60"/>
      <c r="X131" s="60"/>
      <c r="Y131" s="60"/>
      <c r="Z131" s="60"/>
    </row>
    <row r="132">
      <c r="A132" s="137"/>
      <c r="B132" s="143"/>
      <c r="C132" s="143"/>
      <c r="D132" s="139"/>
      <c r="E132" s="136"/>
      <c r="F132" s="60"/>
      <c r="G132" s="60"/>
      <c r="H132" s="60"/>
      <c r="I132" s="60"/>
      <c r="J132" s="60"/>
      <c r="K132" s="60"/>
      <c r="L132" s="60"/>
      <c r="M132" s="60"/>
      <c r="N132" s="60"/>
      <c r="O132" s="60"/>
      <c r="P132" s="60"/>
      <c r="Q132" s="60"/>
      <c r="R132" s="60"/>
      <c r="S132" s="60"/>
      <c r="T132" s="60"/>
      <c r="U132" s="60"/>
      <c r="V132" s="60"/>
      <c r="W132" s="60"/>
      <c r="X132" s="60"/>
      <c r="Y132" s="60"/>
      <c r="Z132" s="60"/>
    </row>
    <row r="133">
      <c r="A133" s="137"/>
      <c r="B133" s="143"/>
      <c r="C133" s="143"/>
      <c r="D133" s="139"/>
      <c r="E133" s="136"/>
      <c r="F133" s="60"/>
      <c r="G133" s="60"/>
      <c r="H133" s="60"/>
      <c r="I133" s="60"/>
      <c r="J133" s="60"/>
      <c r="K133" s="60"/>
      <c r="L133" s="60"/>
      <c r="M133" s="60"/>
      <c r="N133" s="60"/>
      <c r="O133" s="60"/>
      <c r="P133" s="60"/>
      <c r="Q133" s="60"/>
      <c r="R133" s="60"/>
      <c r="S133" s="60"/>
      <c r="T133" s="60"/>
      <c r="U133" s="60"/>
      <c r="V133" s="60"/>
      <c r="W133" s="60"/>
      <c r="X133" s="60"/>
      <c r="Y133" s="60"/>
      <c r="Z133" s="60"/>
    </row>
    <row r="134">
      <c r="A134" s="137"/>
      <c r="B134" s="143"/>
      <c r="C134" s="143"/>
      <c r="D134" s="139"/>
      <c r="E134" s="136"/>
      <c r="F134" s="60"/>
      <c r="G134" s="60"/>
      <c r="H134" s="60"/>
      <c r="I134" s="60"/>
      <c r="J134" s="60"/>
      <c r="K134" s="60"/>
      <c r="L134" s="60"/>
      <c r="M134" s="60"/>
      <c r="N134" s="60"/>
      <c r="O134" s="60"/>
      <c r="P134" s="60"/>
      <c r="Q134" s="60"/>
      <c r="R134" s="60"/>
      <c r="S134" s="60"/>
      <c r="T134" s="60"/>
      <c r="U134" s="60"/>
      <c r="V134" s="60"/>
      <c r="W134" s="60"/>
      <c r="X134" s="60"/>
      <c r="Y134" s="60"/>
      <c r="Z134" s="60"/>
    </row>
    <row r="135">
      <c r="A135" s="137"/>
      <c r="B135" s="143"/>
      <c r="C135" s="143"/>
      <c r="D135" s="139"/>
      <c r="E135" s="136"/>
      <c r="F135" s="60"/>
      <c r="G135" s="60"/>
      <c r="H135" s="60"/>
      <c r="I135" s="60"/>
      <c r="J135" s="60"/>
      <c r="K135" s="60"/>
      <c r="L135" s="60"/>
      <c r="M135" s="60"/>
      <c r="N135" s="60"/>
      <c r="O135" s="60"/>
      <c r="P135" s="60"/>
      <c r="Q135" s="60"/>
      <c r="R135" s="60"/>
      <c r="S135" s="60"/>
      <c r="T135" s="60"/>
      <c r="U135" s="60"/>
      <c r="V135" s="60"/>
      <c r="W135" s="60"/>
      <c r="X135" s="60"/>
      <c r="Y135" s="60"/>
      <c r="Z135" s="60"/>
    </row>
    <row r="136">
      <c r="A136" s="137"/>
      <c r="B136" s="143"/>
      <c r="C136" s="143"/>
      <c r="D136" s="139"/>
      <c r="E136" s="136"/>
      <c r="F136" s="60"/>
      <c r="G136" s="60"/>
      <c r="H136" s="60"/>
      <c r="I136" s="60"/>
      <c r="J136" s="60"/>
      <c r="K136" s="60"/>
      <c r="L136" s="60"/>
      <c r="M136" s="60"/>
      <c r="N136" s="60"/>
      <c r="O136" s="60"/>
      <c r="P136" s="60"/>
      <c r="Q136" s="60"/>
      <c r="R136" s="60"/>
      <c r="S136" s="60"/>
      <c r="T136" s="60"/>
      <c r="U136" s="60"/>
      <c r="V136" s="60"/>
      <c r="W136" s="60"/>
      <c r="X136" s="60"/>
      <c r="Y136" s="60"/>
      <c r="Z136" s="60"/>
    </row>
    <row r="137">
      <c r="A137" s="137"/>
      <c r="B137" s="143"/>
      <c r="C137" s="143"/>
      <c r="D137" s="139"/>
      <c r="E137" s="136"/>
      <c r="F137" s="60"/>
      <c r="G137" s="60"/>
      <c r="H137" s="60"/>
      <c r="I137" s="60"/>
      <c r="J137" s="60"/>
      <c r="K137" s="60"/>
      <c r="L137" s="60"/>
      <c r="M137" s="60"/>
      <c r="N137" s="60"/>
      <c r="O137" s="60"/>
      <c r="P137" s="60"/>
      <c r="Q137" s="60"/>
      <c r="R137" s="60"/>
      <c r="S137" s="60"/>
      <c r="T137" s="60"/>
      <c r="U137" s="60"/>
      <c r="V137" s="60"/>
      <c r="W137" s="60"/>
      <c r="X137" s="60"/>
      <c r="Y137" s="60"/>
      <c r="Z137" s="60"/>
    </row>
    <row r="138">
      <c r="A138" s="137"/>
      <c r="B138" s="143"/>
      <c r="C138" s="143"/>
      <c r="D138" s="139"/>
      <c r="E138" s="136"/>
      <c r="F138" s="60"/>
      <c r="G138" s="60"/>
      <c r="H138" s="60"/>
      <c r="I138" s="60"/>
      <c r="J138" s="60"/>
      <c r="K138" s="60"/>
      <c r="L138" s="60"/>
      <c r="M138" s="60"/>
      <c r="N138" s="60"/>
      <c r="O138" s="60"/>
      <c r="P138" s="60"/>
      <c r="Q138" s="60"/>
      <c r="R138" s="60"/>
      <c r="S138" s="60"/>
      <c r="T138" s="60"/>
      <c r="U138" s="60"/>
      <c r="V138" s="60"/>
      <c r="W138" s="60"/>
      <c r="X138" s="60"/>
      <c r="Y138" s="60"/>
      <c r="Z138" s="60"/>
    </row>
    <row r="139">
      <c r="A139" s="137"/>
      <c r="B139" s="143"/>
      <c r="C139" s="143"/>
      <c r="D139" s="139"/>
      <c r="E139" s="136"/>
      <c r="F139" s="60"/>
      <c r="G139" s="60"/>
      <c r="H139" s="60"/>
      <c r="I139" s="60"/>
      <c r="J139" s="60"/>
      <c r="K139" s="60"/>
      <c r="L139" s="60"/>
      <c r="M139" s="60"/>
      <c r="N139" s="60"/>
      <c r="O139" s="60"/>
      <c r="P139" s="60"/>
      <c r="Q139" s="60"/>
      <c r="R139" s="60"/>
      <c r="S139" s="60"/>
      <c r="T139" s="60"/>
      <c r="U139" s="60"/>
      <c r="V139" s="60"/>
      <c r="W139" s="60"/>
      <c r="X139" s="60"/>
      <c r="Y139" s="60"/>
      <c r="Z139" s="60"/>
    </row>
    <row r="140">
      <c r="A140" s="137"/>
      <c r="B140" s="143"/>
      <c r="C140" s="143"/>
      <c r="D140" s="139"/>
      <c r="E140" s="136"/>
      <c r="F140" s="60"/>
      <c r="G140" s="60"/>
      <c r="H140" s="60"/>
      <c r="I140" s="60"/>
      <c r="J140" s="60"/>
      <c r="K140" s="60"/>
      <c r="L140" s="60"/>
      <c r="M140" s="60"/>
      <c r="N140" s="60"/>
      <c r="O140" s="60"/>
      <c r="P140" s="60"/>
      <c r="Q140" s="60"/>
      <c r="R140" s="60"/>
      <c r="S140" s="60"/>
      <c r="T140" s="60"/>
      <c r="U140" s="60"/>
      <c r="V140" s="60"/>
      <c r="W140" s="60"/>
      <c r="X140" s="60"/>
      <c r="Y140" s="60"/>
      <c r="Z140" s="60"/>
    </row>
    <row r="141">
      <c r="A141" s="137"/>
      <c r="B141" s="143"/>
      <c r="C141" s="143"/>
      <c r="D141" s="139"/>
      <c r="E141" s="136"/>
      <c r="F141" s="60"/>
      <c r="G141" s="60"/>
      <c r="H141" s="60"/>
      <c r="I141" s="60"/>
      <c r="J141" s="60"/>
      <c r="K141" s="60"/>
      <c r="L141" s="60"/>
      <c r="M141" s="60"/>
      <c r="N141" s="60"/>
      <c r="O141" s="60"/>
      <c r="P141" s="60"/>
      <c r="Q141" s="60"/>
      <c r="R141" s="60"/>
      <c r="S141" s="60"/>
      <c r="T141" s="60"/>
      <c r="U141" s="60"/>
      <c r="V141" s="60"/>
      <c r="W141" s="60"/>
      <c r="X141" s="60"/>
      <c r="Y141" s="60"/>
      <c r="Z141" s="60"/>
    </row>
    <row r="142">
      <c r="A142" s="137"/>
      <c r="B142" s="143"/>
      <c r="C142" s="143"/>
      <c r="D142" s="139"/>
      <c r="E142" s="136"/>
      <c r="F142" s="60"/>
      <c r="G142" s="60"/>
      <c r="H142" s="60"/>
      <c r="I142" s="60"/>
      <c r="J142" s="60"/>
      <c r="K142" s="60"/>
      <c r="L142" s="60"/>
      <c r="M142" s="60"/>
      <c r="N142" s="60"/>
      <c r="O142" s="60"/>
      <c r="P142" s="60"/>
      <c r="Q142" s="60"/>
      <c r="R142" s="60"/>
      <c r="S142" s="60"/>
      <c r="T142" s="60"/>
      <c r="U142" s="60"/>
      <c r="V142" s="60"/>
      <c r="W142" s="60"/>
      <c r="X142" s="60"/>
      <c r="Y142" s="60"/>
      <c r="Z142" s="60"/>
    </row>
    <row r="143">
      <c r="A143" s="137"/>
      <c r="B143" s="143"/>
      <c r="C143" s="143"/>
      <c r="D143" s="139"/>
      <c r="E143" s="136"/>
      <c r="F143" s="60"/>
      <c r="G143" s="60"/>
      <c r="H143" s="60"/>
      <c r="I143" s="60"/>
      <c r="J143" s="60"/>
      <c r="K143" s="60"/>
      <c r="L143" s="60"/>
      <c r="M143" s="60"/>
      <c r="N143" s="60"/>
      <c r="O143" s="60"/>
      <c r="P143" s="60"/>
      <c r="Q143" s="60"/>
      <c r="R143" s="60"/>
      <c r="S143" s="60"/>
      <c r="T143" s="60"/>
      <c r="U143" s="60"/>
      <c r="V143" s="60"/>
      <c r="W143" s="60"/>
      <c r="X143" s="60"/>
      <c r="Y143" s="60"/>
      <c r="Z143" s="60"/>
    </row>
    <row r="144">
      <c r="A144" s="137"/>
      <c r="B144" s="143"/>
      <c r="C144" s="143"/>
      <c r="D144" s="139"/>
      <c r="E144" s="136"/>
      <c r="F144" s="60"/>
      <c r="G144" s="60"/>
      <c r="H144" s="60"/>
      <c r="I144" s="60"/>
      <c r="J144" s="60"/>
      <c r="K144" s="60"/>
      <c r="L144" s="60"/>
      <c r="M144" s="60"/>
      <c r="N144" s="60"/>
      <c r="O144" s="60"/>
      <c r="P144" s="60"/>
      <c r="Q144" s="60"/>
      <c r="R144" s="60"/>
      <c r="S144" s="60"/>
      <c r="T144" s="60"/>
      <c r="U144" s="60"/>
      <c r="V144" s="60"/>
      <c r="W144" s="60"/>
      <c r="X144" s="60"/>
      <c r="Y144" s="60"/>
      <c r="Z144" s="60"/>
    </row>
    <row r="145">
      <c r="A145" s="137"/>
      <c r="B145" s="143"/>
      <c r="C145" s="143"/>
      <c r="D145" s="139"/>
      <c r="E145" s="136"/>
      <c r="F145" s="60"/>
      <c r="G145" s="60"/>
      <c r="H145" s="60"/>
      <c r="I145" s="60"/>
      <c r="J145" s="60"/>
      <c r="K145" s="60"/>
      <c r="L145" s="60"/>
      <c r="M145" s="60"/>
      <c r="N145" s="60"/>
      <c r="O145" s="60"/>
      <c r="P145" s="60"/>
      <c r="Q145" s="60"/>
      <c r="R145" s="60"/>
      <c r="S145" s="60"/>
      <c r="T145" s="60"/>
      <c r="U145" s="60"/>
      <c r="V145" s="60"/>
      <c r="W145" s="60"/>
      <c r="X145" s="60"/>
      <c r="Y145" s="60"/>
      <c r="Z145" s="60"/>
    </row>
    <row r="146">
      <c r="A146" s="137"/>
      <c r="B146" s="143"/>
      <c r="C146" s="143"/>
      <c r="D146" s="139"/>
      <c r="E146" s="136"/>
      <c r="F146" s="60"/>
      <c r="G146" s="60"/>
      <c r="H146" s="60"/>
      <c r="I146" s="60"/>
      <c r="J146" s="60"/>
      <c r="K146" s="60"/>
      <c r="L146" s="60"/>
      <c r="M146" s="60"/>
      <c r="N146" s="60"/>
      <c r="O146" s="60"/>
      <c r="P146" s="60"/>
      <c r="Q146" s="60"/>
      <c r="R146" s="60"/>
      <c r="S146" s="60"/>
      <c r="T146" s="60"/>
      <c r="U146" s="60"/>
      <c r="V146" s="60"/>
      <c r="W146" s="60"/>
      <c r="X146" s="60"/>
      <c r="Y146" s="60"/>
      <c r="Z146" s="60"/>
    </row>
    <row r="147">
      <c r="A147" s="137"/>
      <c r="B147" s="143"/>
      <c r="C147" s="143"/>
      <c r="D147" s="139"/>
      <c r="E147" s="136"/>
      <c r="F147" s="60"/>
      <c r="G147" s="60"/>
      <c r="H147" s="60"/>
      <c r="I147" s="60"/>
      <c r="J147" s="60"/>
      <c r="K147" s="60"/>
      <c r="L147" s="60"/>
      <c r="M147" s="60"/>
      <c r="N147" s="60"/>
      <c r="O147" s="60"/>
      <c r="P147" s="60"/>
      <c r="Q147" s="60"/>
      <c r="R147" s="60"/>
      <c r="S147" s="60"/>
      <c r="T147" s="60"/>
      <c r="U147" s="60"/>
      <c r="V147" s="60"/>
      <c r="W147" s="60"/>
      <c r="X147" s="60"/>
      <c r="Y147" s="60"/>
      <c r="Z147" s="60"/>
    </row>
    <row r="148">
      <c r="A148" s="137"/>
      <c r="B148" s="143"/>
      <c r="C148" s="143"/>
      <c r="D148" s="139"/>
      <c r="E148" s="136"/>
      <c r="F148" s="60"/>
      <c r="G148" s="60"/>
      <c r="H148" s="60"/>
      <c r="I148" s="60"/>
      <c r="J148" s="60"/>
      <c r="K148" s="60"/>
      <c r="L148" s="60"/>
      <c r="M148" s="60"/>
      <c r="N148" s="60"/>
      <c r="O148" s="60"/>
      <c r="P148" s="60"/>
      <c r="Q148" s="60"/>
      <c r="R148" s="60"/>
      <c r="S148" s="60"/>
      <c r="T148" s="60"/>
      <c r="U148" s="60"/>
      <c r="V148" s="60"/>
      <c r="W148" s="60"/>
      <c r="X148" s="60"/>
      <c r="Y148" s="60"/>
      <c r="Z148" s="60"/>
    </row>
    <row r="149">
      <c r="A149" s="137"/>
      <c r="B149" s="143"/>
      <c r="C149" s="143"/>
      <c r="D149" s="139"/>
      <c r="E149" s="136"/>
      <c r="F149" s="60"/>
      <c r="G149" s="60"/>
      <c r="H149" s="60"/>
      <c r="I149" s="60"/>
      <c r="J149" s="60"/>
      <c r="K149" s="60"/>
      <c r="L149" s="60"/>
      <c r="M149" s="60"/>
      <c r="N149" s="60"/>
      <c r="O149" s="60"/>
      <c r="P149" s="60"/>
      <c r="Q149" s="60"/>
      <c r="R149" s="60"/>
      <c r="S149" s="60"/>
      <c r="T149" s="60"/>
      <c r="U149" s="60"/>
      <c r="V149" s="60"/>
      <c r="W149" s="60"/>
      <c r="X149" s="60"/>
      <c r="Y149" s="60"/>
      <c r="Z149" s="60"/>
    </row>
    <row r="150">
      <c r="A150" s="137"/>
      <c r="B150" s="143"/>
      <c r="C150" s="143"/>
      <c r="D150" s="139"/>
      <c r="E150" s="136"/>
      <c r="F150" s="60"/>
      <c r="G150" s="60"/>
      <c r="H150" s="60"/>
      <c r="I150" s="60"/>
      <c r="J150" s="60"/>
      <c r="K150" s="60"/>
      <c r="L150" s="60"/>
      <c r="M150" s="60"/>
      <c r="N150" s="60"/>
      <c r="O150" s="60"/>
      <c r="P150" s="60"/>
      <c r="Q150" s="60"/>
      <c r="R150" s="60"/>
      <c r="S150" s="60"/>
      <c r="T150" s="60"/>
      <c r="U150" s="60"/>
      <c r="V150" s="60"/>
      <c r="W150" s="60"/>
      <c r="X150" s="60"/>
      <c r="Y150" s="60"/>
      <c r="Z150" s="60"/>
    </row>
    <row r="151">
      <c r="A151" s="137"/>
      <c r="B151" s="143"/>
      <c r="C151" s="143"/>
      <c r="D151" s="139"/>
      <c r="E151" s="136"/>
      <c r="F151" s="60"/>
      <c r="G151" s="60"/>
      <c r="H151" s="60"/>
      <c r="I151" s="60"/>
      <c r="J151" s="60"/>
      <c r="K151" s="60"/>
      <c r="L151" s="60"/>
      <c r="M151" s="60"/>
      <c r="N151" s="60"/>
      <c r="O151" s="60"/>
      <c r="P151" s="60"/>
      <c r="Q151" s="60"/>
      <c r="R151" s="60"/>
      <c r="S151" s="60"/>
      <c r="T151" s="60"/>
      <c r="U151" s="60"/>
      <c r="V151" s="60"/>
      <c r="W151" s="60"/>
      <c r="X151" s="60"/>
      <c r="Y151" s="60"/>
      <c r="Z151" s="60"/>
    </row>
    <row r="152">
      <c r="A152" s="137"/>
      <c r="B152" s="143"/>
      <c r="C152" s="143"/>
      <c r="D152" s="139"/>
      <c r="E152" s="136"/>
      <c r="F152" s="60"/>
      <c r="G152" s="60"/>
      <c r="H152" s="60"/>
      <c r="I152" s="60"/>
      <c r="J152" s="60"/>
      <c r="K152" s="60"/>
      <c r="L152" s="60"/>
      <c r="M152" s="60"/>
      <c r="N152" s="60"/>
      <c r="O152" s="60"/>
      <c r="P152" s="60"/>
      <c r="Q152" s="60"/>
      <c r="R152" s="60"/>
      <c r="S152" s="60"/>
      <c r="T152" s="60"/>
      <c r="U152" s="60"/>
      <c r="V152" s="60"/>
      <c r="W152" s="60"/>
      <c r="X152" s="60"/>
      <c r="Y152" s="60"/>
      <c r="Z152" s="60"/>
    </row>
    <row r="153">
      <c r="A153" s="137"/>
      <c r="B153" s="143"/>
      <c r="C153" s="143"/>
      <c r="D153" s="139"/>
      <c r="E153" s="136"/>
      <c r="F153" s="60"/>
      <c r="G153" s="60"/>
      <c r="H153" s="60"/>
      <c r="I153" s="60"/>
      <c r="J153" s="60"/>
      <c r="K153" s="60"/>
      <c r="L153" s="60"/>
      <c r="M153" s="60"/>
      <c r="N153" s="60"/>
      <c r="O153" s="60"/>
      <c r="P153" s="60"/>
      <c r="Q153" s="60"/>
      <c r="R153" s="60"/>
      <c r="S153" s="60"/>
      <c r="T153" s="60"/>
      <c r="U153" s="60"/>
      <c r="V153" s="60"/>
      <c r="W153" s="60"/>
      <c r="X153" s="60"/>
      <c r="Y153" s="60"/>
      <c r="Z153" s="60"/>
    </row>
    <row r="154">
      <c r="A154" s="137"/>
      <c r="B154" s="143"/>
      <c r="C154" s="143"/>
      <c r="D154" s="139"/>
      <c r="E154" s="136"/>
      <c r="F154" s="60"/>
      <c r="G154" s="60"/>
      <c r="H154" s="60"/>
      <c r="I154" s="60"/>
      <c r="J154" s="60"/>
      <c r="K154" s="60"/>
      <c r="L154" s="60"/>
      <c r="M154" s="60"/>
      <c r="N154" s="60"/>
      <c r="O154" s="60"/>
      <c r="P154" s="60"/>
      <c r="Q154" s="60"/>
      <c r="R154" s="60"/>
      <c r="S154" s="60"/>
      <c r="T154" s="60"/>
      <c r="U154" s="60"/>
      <c r="V154" s="60"/>
      <c r="W154" s="60"/>
      <c r="X154" s="60"/>
      <c r="Y154" s="60"/>
      <c r="Z154" s="60"/>
    </row>
    <row r="155">
      <c r="A155" s="137"/>
      <c r="B155" s="143"/>
      <c r="C155" s="143"/>
      <c r="D155" s="139"/>
      <c r="E155" s="136"/>
      <c r="F155" s="60"/>
      <c r="G155" s="60"/>
      <c r="H155" s="60"/>
      <c r="I155" s="60"/>
      <c r="J155" s="60"/>
      <c r="K155" s="60"/>
      <c r="L155" s="60"/>
      <c r="M155" s="60"/>
      <c r="N155" s="60"/>
      <c r="O155" s="60"/>
      <c r="P155" s="60"/>
      <c r="Q155" s="60"/>
      <c r="R155" s="60"/>
      <c r="S155" s="60"/>
      <c r="T155" s="60"/>
      <c r="U155" s="60"/>
      <c r="V155" s="60"/>
      <c r="W155" s="60"/>
      <c r="X155" s="60"/>
      <c r="Y155" s="60"/>
      <c r="Z155" s="60"/>
    </row>
    <row r="156">
      <c r="A156" s="137"/>
      <c r="B156" s="143"/>
      <c r="C156" s="143"/>
      <c r="D156" s="139"/>
      <c r="E156" s="136"/>
      <c r="F156" s="60"/>
      <c r="G156" s="60"/>
      <c r="H156" s="60"/>
      <c r="I156" s="60"/>
      <c r="J156" s="60"/>
      <c r="K156" s="60"/>
      <c r="L156" s="60"/>
      <c r="M156" s="60"/>
      <c r="N156" s="60"/>
      <c r="O156" s="60"/>
      <c r="P156" s="60"/>
      <c r="Q156" s="60"/>
      <c r="R156" s="60"/>
      <c r="S156" s="60"/>
      <c r="T156" s="60"/>
      <c r="U156" s="60"/>
      <c r="V156" s="60"/>
      <c r="W156" s="60"/>
      <c r="X156" s="60"/>
      <c r="Y156" s="60"/>
      <c r="Z156" s="60"/>
    </row>
    <row r="157">
      <c r="A157" s="137"/>
      <c r="B157" s="143"/>
      <c r="C157" s="143"/>
      <c r="D157" s="139"/>
      <c r="E157" s="136"/>
      <c r="F157" s="60"/>
      <c r="G157" s="60"/>
      <c r="H157" s="60"/>
      <c r="I157" s="60"/>
      <c r="J157" s="60"/>
      <c r="K157" s="60"/>
      <c r="L157" s="60"/>
      <c r="M157" s="60"/>
      <c r="N157" s="60"/>
      <c r="O157" s="60"/>
      <c r="P157" s="60"/>
      <c r="Q157" s="60"/>
      <c r="R157" s="60"/>
      <c r="S157" s="60"/>
      <c r="T157" s="60"/>
      <c r="U157" s="60"/>
      <c r="V157" s="60"/>
      <c r="W157" s="60"/>
      <c r="X157" s="60"/>
      <c r="Y157" s="60"/>
      <c r="Z157" s="60"/>
    </row>
    <row r="158">
      <c r="A158" s="137"/>
      <c r="B158" s="143"/>
      <c r="C158" s="143"/>
      <c r="D158" s="139"/>
      <c r="E158" s="136"/>
      <c r="F158" s="60"/>
      <c r="G158" s="60"/>
      <c r="H158" s="60"/>
      <c r="I158" s="60"/>
      <c r="J158" s="60"/>
      <c r="K158" s="60"/>
      <c r="L158" s="60"/>
      <c r="M158" s="60"/>
      <c r="N158" s="60"/>
      <c r="O158" s="60"/>
      <c r="P158" s="60"/>
      <c r="Q158" s="60"/>
      <c r="R158" s="60"/>
      <c r="S158" s="60"/>
      <c r="T158" s="60"/>
      <c r="U158" s="60"/>
      <c r="V158" s="60"/>
      <c r="W158" s="60"/>
      <c r="X158" s="60"/>
      <c r="Y158" s="60"/>
      <c r="Z158" s="60"/>
    </row>
    <row r="159">
      <c r="A159" s="137"/>
      <c r="B159" s="143"/>
      <c r="C159" s="143"/>
      <c r="D159" s="139"/>
      <c r="E159" s="136"/>
      <c r="F159" s="60"/>
      <c r="G159" s="60"/>
      <c r="H159" s="60"/>
      <c r="I159" s="60"/>
      <c r="J159" s="60"/>
      <c r="K159" s="60"/>
      <c r="L159" s="60"/>
      <c r="M159" s="60"/>
      <c r="N159" s="60"/>
      <c r="O159" s="60"/>
      <c r="P159" s="60"/>
      <c r="Q159" s="60"/>
      <c r="R159" s="60"/>
      <c r="S159" s="60"/>
      <c r="T159" s="60"/>
      <c r="U159" s="60"/>
      <c r="V159" s="60"/>
      <c r="W159" s="60"/>
      <c r="X159" s="60"/>
      <c r="Y159" s="60"/>
      <c r="Z159" s="60"/>
    </row>
    <row r="160">
      <c r="A160" s="137"/>
      <c r="B160" s="143"/>
      <c r="C160" s="143"/>
      <c r="D160" s="139"/>
      <c r="E160" s="136"/>
      <c r="F160" s="60"/>
      <c r="G160" s="60"/>
      <c r="H160" s="60"/>
      <c r="I160" s="60"/>
      <c r="J160" s="60"/>
      <c r="K160" s="60"/>
      <c r="L160" s="60"/>
      <c r="M160" s="60"/>
      <c r="N160" s="60"/>
      <c r="O160" s="60"/>
      <c r="P160" s="60"/>
      <c r="Q160" s="60"/>
      <c r="R160" s="60"/>
      <c r="S160" s="60"/>
      <c r="T160" s="60"/>
      <c r="U160" s="60"/>
      <c r="V160" s="60"/>
      <c r="W160" s="60"/>
      <c r="X160" s="60"/>
      <c r="Y160" s="60"/>
      <c r="Z160" s="60"/>
    </row>
    <row r="161">
      <c r="A161" s="137"/>
      <c r="B161" s="143"/>
      <c r="C161" s="143"/>
      <c r="D161" s="139"/>
      <c r="E161" s="136"/>
      <c r="F161" s="60"/>
      <c r="G161" s="60"/>
      <c r="H161" s="60"/>
      <c r="I161" s="60"/>
      <c r="J161" s="60"/>
      <c r="K161" s="60"/>
      <c r="L161" s="60"/>
      <c r="M161" s="60"/>
      <c r="N161" s="60"/>
      <c r="O161" s="60"/>
      <c r="P161" s="60"/>
      <c r="Q161" s="60"/>
      <c r="R161" s="60"/>
      <c r="S161" s="60"/>
      <c r="T161" s="60"/>
      <c r="U161" s="60"/>
      <c r="V161" s="60"/>
      <c r="W161" s="60"/>
      <c r="X161" s="60"/>
      <c r="Y161" s="60"/>
      <c r="Z161" s="60"/>
    </row>
    <row r="162">
      <c r="A162" s="137"/>
      <c r="B162" s="143"/>
      <c r="C162" s="143"/>
      <c r="D162" s="139"/>
      <c r="E162" s="136"/>
      <c r="F162" s="60"/>
      <c r="G162" s="60"/>
      <c r="H162" s="60"/>
      <c r="I162" s="60"/>
      <c r="J162" s="60"/>
      <c r="K162" s="60"/>
      <c r="L162" s="60"/>
      <c r="M162" s="60"/>
      <c r="N162" s="60"/>
      <c r="O162" s="60"/>
      <c r="P162" s="60"/>
      <c r="Q162" s="60"/>
      <c r="R162" s="60"/>
      <c r="S162" s="60"/>
      <c r="T162" s="60"/>
      <c r="U162" s="60"/>
      <c r="V162" s="60"/>
      <c r="W162" s="60"/>
      <c r="X162" s="60"/>
      <c r="Y162" s="60"/>
      <c r="Z162" s="60"/>
    </row>
    <row r="163">
      <c r="A163" s="137"/>
      <c r="B163" s="143"/>
      <c r="C163" s="143"/>
      <c r="D163" s="139"/>
      <c r="E163" s="136"/>
      <c r="F163" s="60"/>
      <c r="G163" s="60"/>
      <c r="H163" s="60"/>
      <c r="I163" s="60"/>
      <c r="J163" s="60"/>
      <c r="K163" s="60"/>
      <c r="L163" s="60"/>
      <c r="M163" s="60"/>
      <c r="N163" s="60"/>
      <c r="O163" s="60"/>
      <c r="P163" s="60"/>
      <c r="Q163" s="60"/>
      <c r="R163" s="60"/>
      <c r="S163" s="60"/>
      <c r="T163" s="60"/>
      <c r="U163" s="60"/>
      <c r="V163" s="60"/>
      <c r="W163" s="60"/>
      <c r="X163" s="60"/>
      <c r="Y163" s="60"/>
      <c r="Z163" s="60"/>
    </row>
    <row r="164">
      <c r="A164" s="137"/>
      <c r="B164" s="143"/>
      <c r="C164" s="143"/>
      <c r="D164" s="139"/>
      <c r="E164" s="136"/>
      <c r="F164" s="60"/>
      <c r="G164" s="60"/>
      <c r="H164" s="60"/>
      <c r="I164" s="60"/>
      <c r="J164" s="60"/>
      <c r="K164" s="60"/>
      <c r="L164" s="60"/>
      <c r="M164" s="60"/>
      <c r="N164" s="60"/>
      <c r="O164" s="60"/>
      <c r="P164" s="60"/>
      <c r="Q164" s="60"/>
      <c r="R164" s="60"/>
      <c r="S164" s="60"/>
      <c r="T164" s="60"/>
      <c r="U164" s="60"/>
      <c r="V164" s="60"/>
      <c r="W164" s="60"/>
      <c r="X164" s="60"/>
      <c r="Y164" s="60"/>
      <c r="Z164" s="60"/>
    </row>
    <row r="165">
      <c r="A165" s="137"/>
      <c r="B165" s="143"/>
      <c r="C165" s="143"/>
      <c r="D165" s="139"/>
      <c r="E165" s="136"/>
      <c r="F165" s="60"/>
      <c r="G165" s="60"/>
      <c r="H165" s="60"/>
      <c r="I165" s="60"/>
      <c r="J165" s="60"/>
      <c r="K165" s="60"/>
      <c r="L165" s="60"/>
      <c r="M165" s="60"/>
      <c r="N165" s="60"/>
      <c r="O165" s="60"/>
      <c r="P165" s="60"/>
      <c r="Q165" s="60"/>
      <c r="R165" s="60"/>
      <c r="S165" s="60"/>
      <c r="T165" s="60"/>
      <c r="U165" s="60"/>
      <c r="V165" s="60"/>
      <c r="W165" s="60"/>
      <c r="X165" s="60"/>
      <c r="Y165" s="60"/>
      <c r="Z165" s="60"/>
    </row>
    <row r="166">
      <c r="A166" s="137"/>
      <c r="B166" s="143"/>
      <c r="C166" s="143"/>
      <c r="D166" s="139"/>
      <c r="E166" s="136"/>
      <c r="F166" s="60"/>
      <c r="G166" s="60"/>
      <c r="H166" s="60"/>
      <c r="I166" s="60"/>
      <c r="J166" s="60"/>
      <c r="K166" s="60"/>
      <c r="L166" s="60"/>
      <c r="M166" s="60"/>
      <c r="N166" s="60"/>
      <c r="O166" s="60"/>
      <c r="P166" s="60"/>
      <c r="Q166" s="60"/>
      <c r="R166" s="60"/>
      <c r="S166" s="60"/>
      <c r="T166" s="60"/>
      <c r="U166" s="60"/>
      <c r="V166" s="60"/>
      <c r="W166" s="60"/>
      <c r="X166" s="60"/>
      <c r="Y166" s="60"/>
      <c r="Z166" s="60"/>
    </row>
    <row r="167">
      <c r="A167" s="137"/>
      <c r="B167" s="143"/>
      <c r="C167" s="143"/>
      <c r="D167" s="139"/>
      <c r="E167" s="136"/>
      <c r="F167" s="60"/>
      <c r="G167" s="60"/>
      <c r="H167" s="60"/>
      <c r="I167" s="60"/>
      <c r="J167" s="60"/>
      <c r="K167" s="60"/>
      <c r="L167" s="60"/>
      <c r="M167" s="60"/>
      <c r="N167" s="60"/>
      <c r="O167" s="60"/>
      <c r="P167" s="60"/>
      <c r="Q167" s="60"/>
      <c r="R167" s="60"/>
      <c r="S167" s="60"/>
      <c r="T167" s="60"/>
      <c r="U167" s="60"/>
      <c r="V167" s="60"/>
      <c r="W167" s="60"/>
      <c r="X167" s="60"/>
      <c r="Y167" s="60"/>
      <c r="Z167" s="60"/>
    </row>
    <row r="168">
      <c r="A168" s="137"/>
      <c r="B168" s="143"/>
      <c r="C168" s="143"/>
      <c r="D168" s="139"/>
      <c r="E168" s="136"/>
      <c r="F168" s="60"/>
      <c r="G168" s="60"/>
      <c r="H168" s="60"/>
      <c r="I168" s="60"/>
      <c r="J168" s="60"/>
      <c r="K168" s="60"/>
      <c r="L168" s="60"/>
      <c r="M168" s="60"/>
      <c r="N168" s="60"/>
      <c r="O168" s="60"/>
      <c r="P168" s="60"/>
      <c r="Q168" s="60"/>
      <c r="R168" s="60"/>
      <c r="S168" s="60"/>
      <c r="T168" s="60"/>
      <c r="U168" s="60"/>
      <c r="V168" s="60"/>
      <c r="W168" s="60"/>
      <c r="X168" s="60"/>
      <c r="Y168" s="60"/>
      <c r="Z168" s="60"/>
    </row>
    <row r="169">
      <c r="A169" s="137"/>
      <c r="B169" s="138"/>
      <c r="C169" s="138"/>
      <c r="D169" s="139"/>
      <c r="E169" s="136"/>
      <c r="F169" s="60"/>
      <c r="G169" s="60"/>
      <c r="H169" s="60"/>
      <c r="I169" s="60"/>
      <c r="J169" s="60"/>
      <c r="K169" s="60"/>
      <c r="L169" s="60"/>
      <c r="M169" s="60"/>
      <c r="N169" s="60"/>
      <c r="O169" s="60"/>
      <c r="P169" s="60"/>
      <c r="Q169" s="60"/>
      <c r="R169" s="60"/>
      <c r="S169" s="60"/>
      <c r="T169" s="60"/>
      <c r="U169" s="60"/>
      <c r="V169" s="60"/>
      <c r="W169" s="60"/>
      <c r="X169" s="60"/>
      <c r="Y169" s="60"/>
      <c r="Z169" s="60"/>
    </row>
    <row r="170">
      <c r="A170" s="137"/>
      <c r="B170" s="133"/>
      <c r="C170" s="134"/>
      <c r="D170" s="139"/>
      <c r="E170" s="136"/>
      <c r="F170" s="60"/>
      <c r="G170" s="60"/>
      <c r="H170" s="60"/>
      <c r="I170" s="60"/>
      <c r="J170" s="60"/>
      <c r="K170" s="60"/>
      <c r="L170" s="60"/>
      <c r="M170" s="60"/>
      <c r="N170" s="60"/>
      <c r="O170" s="60"/>
      <c r="P170" s="60"/>
      <c r="Q170" s="60"/>
      <c r="R170" s="60"/>
      <c r="S170" s="60"/>
      <c r="T170" s="60"/>
      <c r="U170" s="60"/>
      <c r="V170" s="60"/>
      <c r="W170" s="60"/>
      <c r="X170" s="60"/>
      <c r="Y170" s="60"/>
      <c r="Z170" s="60"/>
    </row>
    <row r="171">
      <c r="A171" s="137"/>
      <c r="B171" s="143"/>
      <c r="C171" s="143"/>
      <c r="D171" s="139"/>
      <c r="E171" s="136"/>
      <c r="F171" s="60"/>
      <c r="G171" s="60"/>
      <c r="H171" s="60"/>
      <c r="I171" s="60"/>
      <c r="J171" s="60"/>
      <c r="K171" s="60"/>
      <c r="L171" s="60"/>
      <c r="M171" s="60"/>
      <c r="N171" s="60"/>
      <c r="O171" s="60"/>
      <c r="P171" s="60"/>
      <c r="Q171" s="60"/>
      <c r="R171" s="60"/>
      <c r="S171" s="60"/>
      <c r="T171" s="60"/>
      <c r="U171" s="60"/>
      <c r="V171" s="60"/>
      <c r="W171" s="60"/>
      <c r="X171" s="60"/>
      <c r="Y171" s="60"/>
      <c r="Z171" s="60"/>
    </row>
    <row r="172">
      <c r="A172" s="137"/>
      <c r="B172" s="143"/>
      <c r="C172" s="143"/>
      <c r="D172" s="139"/>
      <c r="E172" s="136"/>
      <c r="F172" s="60"/>
      <c r="G172" s="60"/>
      <c r="H172" s="60"/>
      <c r="I172" s="60"/>
      <c r="J172" s="60"/>
      <c r="K172" s="60"/>
      <c r="L172" s="60"/>
      <c r="M172" s="60"/>
      <c r="N172" s="60"/>
      <c r="O172" s="60"/>
      <c r="P172" s="60"/>
      <c r="Q172" s="60"/>
      <c r="R172" s="60"/>
      <c r="S172" s="60"/>
      <c r="T172" s="60"/>
      <c r="U172" s="60"/>
      <c r="V172" s="60"/>
      <c r="W172" s="60"/>
      <c r="X172" s="60"/>
      <c r="Y172" s="60"/>
      <c r="Z172" s="60"/>
    </row>
    <row r="173">
      <c r="A173" s="137"/>
      <c r="B173" s="143"/>
      <c r="C173" s="143"/>
      <c r="D173" s="139"/>
      <c r="E173" s="136"/>
      <c r="F173" s="60"/>
      <c r="G173" s="60"/>
      <c r="H173" s="60"/>
      <c r="I173" s="60"/>
      <c r="J173" s="60"/>
      <c r="K173" s="60"/>
      <c r="L173" s="60"/>
      <c r="M173" s="60"/>
      <c r="N173" s="60"/>
      <c r="O173" s="60"/>
      <c r="P173" s="60"/>
      <c r="Q173" s="60"/>
      <c r="R173" s="60"/>
      <c r="S173" s="60"/>
      <c r="T173" s="60"/>
      <c r="U173" s="60"/>
      <c r="V173" s="60"/>
      <c r="W173" s="60"/>
      <c r="X173" s="60"/>
      <c r="Y173" s="60"/>
      <c r="Z173" s="60"/>
    </row>
    <row r="174">
      <c r="A174" s="137"/>
      <c r="B174" s="143"/>
      <c r="C174" s="143"/>
      <c r="D174" s="139"/>
      <c r="E174" s="136"/>
      <c r="F174" s="60"/>
      <c r="G174" s="60"/>
      <c r="H174" s="60"/>
      <c r="I174" s="60"/>
      <c r="J174" s="60"/>
      <c r="K174" s="60"/>
      <c r="L174" s="60"/>
      <c r="M174" s="60"/>
      <c r="N174" s="60"/>
      <c r="O174" s="60"/>
      <c r="P174" s="60"/>
      <c r="Q174" s="60"/>
      <c r="R174" s="60"/>
      <c r="S174" s="60"/>
      <c r="T174" s="60"/>
      <c r="U174" s="60"/>
      <c r="V174" s="60"/>
      <c r="W174" s="60"/>
      <c r="X174" s="60"/>
      <c r="Y174" s="60"/>
      <c r="Z174" s="60"/>
    </row>
    <row r="175">
      <c r="A175" s="137"/>
      <c r="B175" s="143"/>
      <c r="C175" s="143"/>
      <c r="D175" s="139"/>
      <c r="E175" s="136"/>
      <c r="F175" s="60"/>
      <c r="G175" s="60"/>
      <c r="H175" s="60"/>
      <c r="I175" s="60"/>
      <c r="J175" s="60"/>
      <c r="K175" s="60"/>
      <c r="L175" s="60"/>
      <c r="M175" s="60"/>
      <c r="N175" s="60"/>
      <c r="O175" s="60"/>
      <c r="P175" s="60"/>
      <c r="Q175" s="60"/>
      <c r="R175" s="60"/>
      <c r="S175" s="60"/>
      <c r="T175" s="60"/>
      <c r="U175" s="60"/>
      <c r="V175" s="60"/>
      <c r="W175" s="60"/>
      <c r="X175" s="60"/>
      <c r="Y175" s="60"/>
      <c r="Z175" s="60"/>
    </row>
    <row r="176">
      <c r="A176" s="137"/>
      <c r="B176" s="143"/>
      <c r="C176" s="143"/>
      <c r="D176" s="139"/>
      <c r="E176" s="136"/>
      <c r="F176" s="60"/>
      <c r="G176" s="60"/>
      <c r="H176" s="60"/>
      <c r="I176" s="60"/>
      <c r="J176" s="60"/>
      <c r="K176" s="60"/>
      <c r="L176" s="60"/>
      <c r="M176" s="60"/>
      <c r="N176" s="60"/>
      <c r="O176" s="60"/>
      <c r="P176" s="60"/>
      <c r="Q176" s="60"/>
      <c r="R176" s="60"/>
      <c r="S176" s="60"/>
      <c r="T176" s="60"/>
      <c r="U176" s="60"/>
      <c r="V176" s="60"/>
      <c r="W176" s="60"/>
      <c r="X176" s="60"/>
      <c r="Y176" s="60"/>
      <c r="Z176" s="60"/>
    </row>
    <row r="177">
      <c r="A177" s="137"/>
      <c r="B177" s="143"/>
      <c r="C177" s="143"/>
      <c r="D177" s="139"/>
      <c r="E177" s="136"/>
      <c r="F177" s="60"/>
      <c r="G177" s="60"/>
      <c r="H177" s="60"/>
      <c r="I177" s="60"/>
      <c r="J177" s="60"/>
      <c r="K177" s="60"/>
      <c r="L177" s="60"/>
      <c r="M177" s="60"/>
      <c r="N177" s="60"/>
      <c r="O177" s="60"/>
      <c r="P177" s="60"/>
      <c r="Q177" s="60"/>
      <c r="R177" s="60"/>
      <c r="S177" s="60"/>
      <c r="T177" s="60"/>
      <c r="U177" s="60"/>
      <c r="V177" s="60"/>
      <c r="W177" s="60"/>
      <c r="X177" s="60"/>
      <c r="Y177" s="60"/>
      <c r="Z177" s="60"/>
    </row>
    <row r="178">
      <c r="A178" s="137"/>
      <c r="B178" s="143"/>
      <c r="C178" s="143"/>
      <c r="D178" s="139"/>
      <c r="E178" s="136"/>
      <c r="F178" s="60"/>
      <c r="G178" s="60"/>
      <c r="H178" s="60"/>
      <c r="I178" s="60"/>
      <c r="J178" s="60"/>
      <c r="K178" s="60"/>
      <c r="L178" s="60"/>
      <c r="M178" s="60"/>
      <c r="N178" s="60"/>
      <c r="O178" s="60"/>
      <c r="P178" s="60"/>
      <c r="Q178" s="60"/>
      <c r="R178" s="60"/>
      <c r="S178" s="60"/>
      <c r="T178" s="60"/>
      <c r="U178" s="60"/>
      <c r="V178" s="60"/>
      <c r="W178" s="60"/>
      <c r="X178" s="60"/>
      <c r="Y178" s="60"/>
      <c r="Z178" s="60"/>
    </row>
    <row r="179">
      <c r="A179" s="137"/>
      <c r="B179" s="143"/>
      <c r="C179" s="143"/>
      <c r="D179" s="139"/>
      <c r="E179" s="136"/>
      <c r="F179" s="60"/>
      <c r="G179" s="60"/>
      <c r="H179" s="60"/>
      <c r="I179" s="60"/>
      <c r="J179" s="60"/>
      <c r="K179" s="60"/>
      <c r="L179" s="60"/>
      <c r="M179" s="60"/>
      <c r="N179" s="60"/>
      <c r="O179" s="60"/>
      <c r="P179" s="60"/>
      <c r="Q179" s="60"/>
      <c r="R179" s="60"/>
      <c r="S179" s="60"/>
      <c r="T179" s="60"/>
      <c r="U179" s="60"/>
      <c r="V179" s="60"/>
      <c r="W179" s="60"/>
      <c r="X179" s="60"/>
      <c r="Y179" s="60"/>
      <c r="Z179" s="60"/>
    </row>
    <row r="180">
      <c r="A180" s="137"/>
      <c r="B180" s="143"/>
      <c r="C180" s="143"/>
      <c r="D180" s="139"/>
      <c r="E180" s="136"/>
      <c r="F180" s="60"/>
      <c r="G180" s="60"/>
      <c r="H180" s="60"/>
      <c r="I180" s="60"/>
      <c r="J180" s="60"/>
      <c r="K180" s="60"/>
      <c r="L180" s="60"/>
      <c r="M180" s="60"/>
      <c r="N180" s="60"/>
      <c r="O180" s="60"/>
      <c r="P180" s="60"/>
      <c r="Q180" s="60"/>
      <c r="R180" s="60"/>
      <c r="S180" s="60"/>
      <c r="T180" s="60"/>
      <c r="U180" s="60"/>
      <c r="V180" s="60"/>
      <c r="W180" s="60"/>
      <c r="X180" s="60"/>
      <c r="Y180" s="60"/>
      <c r="Z180" s="60"/>
    </row>
    <row r="181">
      <c r="A181" s="137"/>
      <c r="B181" s="143"/>
      <c r="C181" s="143"/>
      <c r="D181" s="139"/>
      <c r="E181" s="136"/>
      <c r="F181" s="60"/>
      <c r="G181" s="60"/>
      <c r="H181" s="60"/>
      <c r="I181" s="60"/>
      <c r="J181" s="60"/>
      <c r="K181" s="60"/>
      <c r="L181" s="60"/>
      <c r="M181" s="60"/>
      <c r="N181" s="60"/>
      <c r="O181" s="60"/>
      <c r="P181" s="60"/>
      <c r="Q181" s="60"/>
      <c r="R181" s="60"/>
      <c r="S181" s="60"/>
      <c r="T181" s="60"/>
      <c r="U181" s="60"/>
      <c r="V181" s="60"/>
      <c r="W181" s="60"/>
      <c r="X181" s="60"/>
      <c r="Y181" s="60"/>
      <c r="Z181" s="60"/>
    </row>
    <row r="182">
      <c r="A182" s="137"/>
      <c r="B182" s="143"/>
      <c r="C182" s="143"/>
      <c r="D182" s="139"/>
      <c r="E182" s="136"/>
      <c r="F182" s="60"/>
      <c r="G182" s="60"/>
      <c r="H182" s="60"/>
      <c r="I182" s="60"/>
      <c r="J182" s="60"/>
      <c r="K182" s="60"/>
      <c r="L182" s="60"/>
      <c r="M182" s="60"/>
      <c r="N182" s="60"/>
      <c r="O182" s="60"/>
      <c r="P182" s="60"/>
      <c r="Q182" s="60"/>
      <c r="R182" s="60"/>
      <c r="S182" s="60"/>
      <c r="T182" s="60"/>
      <c r="U182" s="60"/>
      <c r="V182" s="60"/>
      <c r="W182" s="60"/>
      <c r="X182" s="60"/>
      <c r="Y182" s="60"/>
      <c r="Z182" s="60"/>
    </row>
    <row r="183">
      <c r="A183" s="137"/>
      <c r="B183" s="143"/>
      <c r="C183" s="143"/>
      <c r="D183" s="139"/>
      <c r="E183" s="136"/>
      <c r="F183" s="60"/>
      <c r="G183" s="60"/>
      <c r="H183" s="60"/>
      <c r="I183" s="60"/>
      <c r="J183" s="60"/>
      <c r="K183" s="60"/>
      <c r="L183" s="60"/>
      <c r="M183" s="60"/>
      <c r="N183" s="60"/>
      <c r="O183" s="60"/>
      <c r="P183" s="60"/>
      <c r="Q183" s="60"/>
      <c r="R183" s="60"/>
      <c r="S183" s="60"/>
      <c r="T183" s="60"/>
      <c r="U183" s="60"/>
      <c r="V183" s="60"/>
      <c r="W183" s="60"/>
      <c r="X183" s="60"/>
      <c r="Y183" s="60"/>
      <c r="Z183" s="60"/>
    </row>
    <row r="184">
      <c r="A184" s="137"/>
      <c r="B184" s="143"/>
      <c r="C184" s="143"/>
      <c r="D184" s="139"/>
      <c r="E184" s="136"/>
      <c r="F184" s="60"/>
      <c r="G184" s="60"/>
      <c r="H184" s="60"/>
      <c r="I184" s="60"/>
      <c r="J184" s="60"/>
      <c r="K184" s="60"/>
      <c r="L184" s="60"/>
      <c r="M184" s="60"/>
      <c r="N184" s="60"/>
      <c r="O184" s="60"/>
      <c r="P184" s="60"/>
      <c r="Q184" s="60"/>
      <c r="R184" s="60"/>
      <c r="S184" s="60"/>
      <c r="T184" s="60"/>
      <c r="U184" s="60"/>
      <c r="V184" s="60"/>
      <c r="W184" s="60"/>
      <c r="X184" s="60"/>
      <c r="Y184" s="60"/>
      <c r="Z184" s="60"/>
    </row>
    <row r="185">
      <c r="A185" s="137"/>
      <c r="B185" s="143"/>
      <c r="C185" s="143"/>
      <c r="D185" s="139"/>
      <c r="E185" s="136"/>
      <c r="F185" s="60"/>
      <c r="G185" s="60"/>
      <c r="H185" s="60"/>
      <c r="I185" s="60"/>
      <c r="J185" s="60"/>
      <c r="K185" s="60"/>
      <c r="L185" s="60"/>
      <c r="M185" s="60"/>
      <c r="N185" s="60"/>
      <c r="O185" s="60"/>
      <c r="P185" s="60"/>
      <c r="Q185" s="60"/>
      <c r="R185" s="60"/>
      <c r="S185" s="60"/>
      <c r="T185" s="60"/>
      <c r="U185" s="60"/>
      <c r="V185" s="60"/>
      <c r="W185" s="60"/>
      <c r="X185" s="60"/>
      <c r="Y185" s="60"/>
      <c r="Z185" s="60"/>
    </row>
    <row r="186">
      <c r="A186" s="137"/>
      <c r="B186" s="143"/>
      <c r="C186" s="143"/>
      <c r="D186" s="139"/>
      <c r="E186" s="136"/>
      <c r="F186" s="60"/>
      <c r="G186" s="60"/>
      <c r="H186" s="60"/>
      <c r="I186" s="60"/>
      <c r="J186" s="60"/>
      <c r="K186" s="60"/>
      <c r="L186" s="60"/>
      <c r="M186" s="60"/>
      <c r="N186" s="60"/>
      <c r="O186" s="60"/>
      <c r="P186" s="60"/>
      <c r="Q186" s="60"/>
      <c r="R186" s="60"/>
      <c r="S186" s="60"/>
      <c r="T186" s="60"/>
      <c r="U186" s="60"/>
      <c r="V186" s="60"/>
      <c r="W186" s="60"/>
      <c r="X186" s="60"/>
      <c r="Y186" s="60"/>
      <c r="Z186" s="60"/>
    </row>
    <row r="187">
      <c r="A187" s="137"/>
      <c r="B187" s="143"/>
      <c r="C187" s="143"/>
      <c r="D187" s="139"/>
      <c r="E187" s="136"/>
      <c r="F187" s="60"/>
      <c r="G187" s="60"/>
      <c r="H187" s="60"/>
      <c r="I187" s="60"/>
      <c r="J187" s="60"/>
      <c r="K187" s="60"/>
      <c r="L187" s="60"/>
      <c r="M187" s="60"/>
      <c r="N187" s="60"/>
      <c r="O187" s="60"/>
      <c r="P187" s="60"/>
      <c r="Q187" s="60"/>
      <c r="R187" s="60"/>
      <c r="S187" s="60"/>
      <c r="T187" s="60"/>
      <c r="U187" s="60"/>
      <c r="V187" s="60"/>
      <c r="W187" s="60"/>
      <c r="X187" s="60"/>
      <c r="Y187" s="60"/>
      <c r="Z187" s="60"/>
    </row>
    <row r="188">
      <c r="A188" s="137"/>
      <c r="B188" s="143"/>
      <c r="C188" s="143"/>
      <c r="D188" s="139"/>
      <c r="E188" s="136"/>
      <c r="F188" s="60"/>
      <c r="G188" s="60"/>
      <c r="H188" s="60"/>
      <c r="I188" s="60"/>
      <c r="J188" s="60"/>
      <c r="K188" s="60"/>
      <c r="L188" s="60"/>
      <c r="M188" s="60"/>
      <c r="N188" s="60"/>
      <c r="O188" s="60"/>
      <c r="P188" s="60"/>
      <c r="Q188" s="60"/>
      <c r="R188" s="60"/>
      <c r="S188" s="60"/>
      <c r="T188" s="60"/>
      <c r="U188" s="60"/>
      <c r="V188" s="60"/>
      <c r="W188" s="60"/>
      <c r="X188" s="60"/>
      <c r="Y188" s="60"/>
      <c r="Z188" s="60"/>
    </row>
    <row r="189">
      <c r="A189" s="137"/>
      <c r="B189" s="143"/>
      <c r="C189" s="143"/>
      <c r="D189" s="139"/>
      <c r="E189" s="136"/>
      <c r="F189" s="60"/>
      <c r="G189" s="60"/>
      <c r="H189" s="60"/>
      <c r="I189" s="60"/>
      <c r="J189" s="60"/>
      <c r="K189" s="60"/>
      <c r="L189" s="60"/>
      <c r="M189" s="60"/>
      <c r="N189" s="60"/>
      <c r="O189" s="60"/>
      <c r="P189" s="60"/>
      <c r="Q189" s="60"/>
      <c r="R189" s="60"/>
      <c r="S189" s="60"/>
      <c r="T189" s="60"/>
      <c r="U189" s="60"/>
      <c r="V189" s="60"/>
      <c r="W189" s="60"/>
      <c r="X189" s="60"/>
      <c r="Y189" s="60"/>
      <c r="Z189" s="60"/>
    </row>
    <row r="190">
      <c r="A190" s="137"/>
      <c r="B190" s="143"/>
      <c r="C190" s="143"/>
      <c r="D190" s="139"/>
      <c r="E190" s="136"/>
      <c r="F190" s="60"/>
      <c r="G190" s="60"/>
      <c r="H190" s="60"/>
      <c r="I190" s="60"/>
      <c r="J190" s="60"/>
      <c r="K190" s="60"/>
      <c r="L190" s="60"/>
      <c r="M190" s="60"/>
      <c r="N190" s="60"/>
      <c r="O190" s="60"/>
      <c r="P190" s="60"/>
      <c r="Q190" s="60"/>
      <c r="R190" s="60"/>
      <c r="S190" s="60"/>
      <c r="T190" s="60"/>
      <c r="U190" s="60"/>
      <c r="V190" s="60"/>
      <c r="W190" s="60"/>
      <c r="X190" s="60"/>
      <c r="Y190" s="60"/>
      <c r="Z190" s="60"/>
    </row>
    <row r="191">
      <c r="A191" s="137"/>
      <c r="B191" s="143"/>
      <c r="C191" s="143"/>
      <c r="D191" s="139"/>
      <c r="E191" s="136"/>
      <c r="F191" s="60"/>
      <c r="G191" s="60"/>
      <c r="H191" s="60"/>
      <c r="I191" s="60"/>
      <c r="J191" s="60"/>
      <c r="K191" s="60"/>
      <c r="L191" s="60"/>
      <c r="M191" s="60"/>
      <c r="N191" s="60"/>
      <c r="O191" s="60"/>
      <c r="P191" s="60"/>
      <c r="Q191" s="60"/>
      <c r="R191" s="60"/>
      <c r="S191" s="60"/>
      <c r="T191" s="60"/>
      <c r="U191" s="60"/>
      <c r="V191" s="60"/>
      <c r="W191" s="60"/>
      <c r="X191" s="60"/>
      <c r="Y191" s="60"/>
      <c r="Z191" s="60"/>
    </row>
    <row r="192">
      <c r="A192" s="137"/>
      <c r="B192" s="143"/>
      <c r="C192" s="143"/>
      <c r="D192" s="139"/>
      <c r="E192" s="136"/>
      <c r="F192" s="60"/>
      <c r="G192" s="60"/>
      <c r="H192" s="60"/>
      <c r="I192" s="60"/>
      <c r="J192" s="60"/>
      <c r="K192" s="60"/>
      <c r="L192" s="60"/>
      <c r="M192" s="60"/>
      <c r="N192" s="60"/>
      <c r="O192" s="60"/>
      <c r="P192" s="60"/>
      <c r="Q192" s="60"/>
      <c r="R192" s="60"/>
      <c r="S192" s="60"/>
      <c r="T192" s="60"/>
      <c r="U192" s="60"/>
      <c r="V192" s="60"/>
      <c r="W192" s="60"/>
      <c r="X192" s="60"/>
      <c r="Y192" s="60"/>
      <c r="Z192" s="60"/>
    </row>
    <row r="193">
      <c r="A193" s="137"/>
      <c r="B193" s="138"/>
      <c r="C193" s="138"/>
      <c r="D193" s="139"/>
      <c r="E193" s="136"/>
      <c r="F193" s="60"/>
      <c r="G193" s="60"/>
      <c r="H193" s="60"/>
      <c r="I193" s="60"/>
      <c r="J193" s="60"/>
      <c r="K193" s="60"/>
      <c r="L193" s="60"/>
      <c r="M193" s="60"/>
      <c r="N193" s="60"/>
      <c r="O193" s="60"/>
      <c r="P193" s="60"/>
      <c r="Q193" s="60"/>
      <c r="R193" s="60"/>
      <c r="S193" s="60"/>
      <c r="T193" s="60"/>
      <c r="U193" s="60"/>
      <c r="V193" s="60"/>
      <c r="W193" s="60"/>
      <c r="X193" s="60"/>
      <c r="Y193" s="60"/>
      <c r="Z193" s="60"/>
    </row>
    <row r="194">
      <c r="A194" s="137"/>
      <c r="B194" s="133"/>
      <c r="C194" s="134"/>
      <c r="D194" s="139"/>
      <c r="E194" s="136"/>
      <c r="F194" s="60"/>
      <c r="G194" s="60"/>
      <c r="H194" s="60"/>
      <c r="I194" s="60"/>
      <c r="J194" s="60"/>
      <c r="K194" s="60"/>
      <c r="L194" s="60"/>
      <c r="M194" s="60"/>
      <c r="N194" s="60"/>
      <c r="O194" s="60"/>
      <c r="P194" s="60"/>
      <c r="Q194" s="60"/>
      <c r="R194" s="60"/>
      <c r="S194" s="60"/>
      <c r="T194" s="60"/>
      <c r="U194" s="60"/>
      <c r="V194" s="60"/>
      <c r="W194" s="60"/>
      <c r="X194" s="60"/>
      <c r="Y194" s="60"/>
      <c r="Z194" s="60"/>
    </row>
    <row r="195">
      <c r="A195" s="137"/>
      <c r="B195" s="143"/>
      <c r="C195" s="143"/>
      <c r="D195" s="139"/>
      <c r="E195" s="136"/>
      <c r="F195" s="60"/>
      <c r="G195" s="60"/>
      <c r="H195" s="60"/>
      <c r="I195" s="60"/>
      <c r="J195" s="60"/>
      <c r="K195" s="60"/>
      <c r="L195" s="60"/>
      <c r="M195" s="60"/>
      <c r="N195" s="60"/>
      <c r="O195" s="60"/>
      <c r="P195" s="60"/>
      <c r="Q195" s="60"/>
      <c r="R195" s="60"/>
      <c r="S195" s="60"/>
      <c r="T195" s="60"/>
      <c r="U195" s="60"/>
      <c r="V195" s="60"/>
      <c r="W195" s="60"/>
      <c r="X195" s="60"/>
      <c r="Y195" s="60"/>
      <c r="Z195" s="60"/>
    </row>
    <row r="196">
      <c r="A196" s="137"/>
      <c r="B196" s="138"/>
      <c r="C196" s="138"/>
      <c r="D196" s="139"/>
      <c r="E196" s="136"/>
      <c r="F196" s="60"/>
      <c r="G196" s="60"/>
      <c r="H196" s="60"/>
      <c r="I196" s="60"/>
      <c r="J196" s="60"/>
      <c r="K196" s="60"/>
      <c r="L196" s="60"/>
      <c r="M196" s="60"/>
      <c r="N196" s="60"/>
      <c r="O196" s="60"/>
      <c r="P196" s="60"/>
      <c r="Q196" s="60"/>
      <c r="R196" s="60"/>
      <c r="S196" s="60"/>
      <c r="T196" s="60"/>
      <c r="U196" s="60"/>
      <c r="V196" s="60"/>
      <c r="W196" s="60"/>
      <c r="X196" s="60"/>
      <c r="Y196" s="60"/>
      <c r="Z196" s="60"/>
    </row>
    <row r="197">
      <c r="A197" s="137"/>
      <c r="B197" s="133"/>
      <c r="C197" s="134"/>
      <c r="D197" s="139"/>
      <c r="E197" s="136"/>
      <c r="F197" s="60"/>
      <c r="G197" s="60"/>
      <c r="H197" s="60"/>
      <c r="I197" s="60"/>
      <c r="J197" s="60"/>
      <c r="K197" s="60"/>
      <c r="L197" s="60"/>
      <c r="M197" s="60"/>
      <c r="N197" s="60"/>
      <c r="O197" s="60"/>
      <c r="P197" s="60"/>
      <c r="Q197" s="60"/>
      <c r="R197" s="60"/>
      <c r="S197" s="60"/>
      <c r="T197" s="60"/>
      <c r="U197" s="60"/>
      <c r="V197" s="60"/>
      <c r="W197" s="60"/>
      <c r="X197" s="60"/>
      <c r="Y197" s="60"/>
      <c r="Z197" s="60"/>
    </row>
    <row r="198">
      <c r="A198" s="137"/>
      <c r="B198" s="143"/>
      <c r="C198" s="143"/>
      <c r="D198" s="139"/>
      <c r="E198" s="136"/>
      <c r="F198" s="60"/>
      <c r="G198" s="60"/>
      <c r="H198" s="60"/>
      <c r="I198" s="60"/>
      <c r="J198" s="60"/>
      <c r="K198" s="60"/>
      <c r="L198" s="60"/>
      <c r="M198" s="60"/>
      <c r="N198" s="60"/>
      <c r="O198" s="60"/>
      <c r="P198" s="60"/>
      <c r="Q198" s="60"/>
      <c r="R198" s="60"/>
      <c r="S198" s="60"/>
      <c r="T198" s="60"/>
      <c r="U198" s="60"/>
      <c r="V198" s="60"/>
      <c r="W198" s="60"/>
      <c r="X198" s="60"/>
      <c r="Y198" s="60"/>
      <c r="Z198" s="60"/>
    </row>
    <row r="199">
      <c r="A199" s="137"/>
      <c r="B199" s="143"/>
      <c r="C199" s="143"/>
      <c r="D199" s="139"/>
      <c r="E199" s="136"/>
      <c r="F199" s="60"/>
      <c r="G199" s="60"/>
      <c r="H199" s="60"/>
      <c r="I199" s="60"/>
      <c r="J199" s="60"/>
      <c r="K199" s="60"/>
      <c r="L199" s="60"/>
      <c r="M199" s="60"/>
      <c r="N199" s="60"/>
      <c r="O199" s="60"/>
      <c r="P199" s="60"/>
      <c r="Q199" s="60"/>
      <c r="R199" s="60"/>
      <c r="S199" s="60"/>
      <c r="T199" s="60"/>
      <c r="U199" s="60"/>
      <c r="V199" s="60"/>
      <c r="W199" s="60"/>
      <c r="X199" s="60"/>
      <c r="Y199" s="60"/>
      <c r="Z199" s="60"/>
    </row>
    <row r="200">
      <c r="A200" s="137"/>
      <c r="B200" s="143"/>
      <c r="C200" s="143"/>
      <c r="D200" s="139"/>
      <c r="E200" s="136"/>
      <c r="F200" s="60"/>
      <c r="G200" s="60"/>
      <c r="H200" s="60"/>
      <c r="I200" s="60"/>
      <c r="J200" s="60"/>
      <c r="K200" s="60"/>
      <c r="L200" s="60"/>
      <c r="M200" s="60"/>
      <c r="N200" s="60"/>
      <c r="O200" s="60"/>
      <c r="P200" s="60"/>
      <c r="Q200" s="60"/>
      <c r="R200" s="60"/>
      <c r="S200" s="60"/>
      <c r="T200" s="60"/>
      <c r="U200" s="60"/>
      <c r="V200" s="60"/>
      <c r="W200" s="60"/>
      <c r="X200" s="60"/>
      <c r="Y200" s="60"/>
      <c r="Z200" s="60"/>
    </row>
    <row r="201">
      <c r="A201" s="137"/>
      <c r="B201" s="143"/>
      <c r="C201" s="143"/>
      <c r="D201" s="139"/>
      <c r="E201" s="136"/>
      <c r="F201" s="60"/>
      <c r="G201" s="60"/>
      <c r="H201" s="60"/>
      <c r="I201" s="60"/>
      <c r="J201" s="60"/>
      <c r="K201" s="60"/>
      <c r="L201" s="60"/>
      <c r="M201" s="60"/>
      <c r="N201" s="60"/>
      <c r="O201" s="60"/>
      <c r="P201" s="60"/>
      <c r="Q201" s="60"/>
      <c r="R201" s="60"/>
      <c r="S201" s="60"/>
      <c r="T201" s="60"/>
      <c r="U201" s="60"/>
      <c r="V201" s="60"/>
      <c r="W201" s="60"/>
      <c r="X201" s="60"/>
      <c r="Y201" s="60"/>
      <c r="Z201" s="60"/>
    </row>
    <row r="202">
      <c r="A202" s="137"/>
      <c r="B202" s="143"/>
      <c r="C202" s="143"/>
      <c r="D202" s="139"/>
      <c r="E202" s="136"/>
      <c r="F202" s="60"/>
      <c r="G202" s="60"/>
      <c r="H202" s="60"/>
      <c r="I202" s="60"/>
      <c r="J202" s="60"/>
      <c r="K202" s="60"/>
      <c r="L202" s="60"/>
      <c r="M202" s="60"/>
      <c r="N202" s="60"/>
      <c r="O202" s="60"/>
      <c r="P202" s="60"/>
      <c r="Q202" s="60"/>
      <c r="R202" s="60"/>
      <c r="S202" s="60"/>
      <c r="T202" s="60"/>
      <c r="U202" s="60"/>
      <c r="V202" s="60"/>
      <c r="W202" s="60"/>
      <c r="X202" s="60"/>
      <c r="Y202" s="60"/>
      <c r="Z202" s="60"/>
    </row>
    <row r="203">
      <c r="A203" s="137"/>
      <c r="B203" s="143"/>
      <c r="C203" s="143"/>
      <c r="D203" s="139"/>
      <c r="E203" s="136"/>
      <c r="F203" s="60"/>
      <c r="G203" s="60"/>
      <c r="H203" s="60"/>
      <c r="I203" s="60"/>
      <c r="J203" s="60"/>
      <c r="K203" s="60"/>
      <c r="L203" s="60"/>
      <c r="M203" s="60"/>
      <c r="N203" s="60"/>
      <c r="O203" s="60"/>
      <c r="P203" s="60"/>
      <c r="Q203" s="60"/>
      <c r="R203" s="60"/>
      <c r="S203" s="60"/>
      <c r="T203" s="60"/>
      <c r="U203" s="60"/>
      <c r="V203" s="60"/>
      <c r="W203" s="60"/>
      <c r="X203" s="60"/>
      <c r="Y203" s="60"/>
      <c r="Z203" s="60"/>
    </row>
    <row r="204">
      <c r="A204" s="137"/>
      <c r="B204" s="143"/>
      <c r="C204" s="143"/>
      <c r="D204" s="139"/>
      <c r="E204" s="136"/>
      <c r="F204" s="60"/>
      <c r="G204" s="60"/>
      <c r="H204" s="60"/>
      <c r="I204" s="60"/>
      <c r="J204" s="60"/>
      <c r="K204" s="60"/>
      <c r="L204" s="60"/>
      <c r="M204" s="60"/>
      <c r="N204" s="60"/>
      <c r="O204" s="60"/>
      <c r="P204" s="60"/>
      <c r="Q204" s="60"/>
      <c r="R204" s="60"/>
      <c r="S204" s="60"/>
      <c r="T204" s="60"/>
      <c r="U204" s="60"/>
      <c r="V204" s="60"/>
      <c r="W204" s="60"/>
      <c r="X204" s="60"/>
      <c r="Y204" s="60"/>
      <c r="Z204" s="60"/>
    </row>
    <row r="205">
      <c r="A205" s="137"/>
      <c r="B205" s="143"/>
      <c r="C205" s="143"/>
      <c r="D205" s="139"/>
      <c r="E205" s="136"/>
      <c r="F205" s="60"/>
      <c r="G205" s="60"/>
      <c r="H205" s="60"/>
      <c r="I205" s="60"/>
      <c r="J205" s="60"/>
      <c r="K205" s="60"/>
      <c r="L205" s="60"/>
      <c r="M205" s="60"/>
      <c r="N205" s="60"/>
      <c r="O205" s="60"/>
      <c r="P205" s="60"/>
      <c r="Q205" s="60"/>
      <c r="R205" s="60"/>
      <c r="S205" s="60"/>
      <c r="T205" s="60"/>
      <c r="U205" s="60"/>
      <c r="V205" s="60"/>
      <c r="W205" s="60"/>
      <c r="X205" s="60"/>
      <c r="Y205" s="60"/>
      <c r="Z205" s="60"/>
    </row>
    <row r="206">
      <c r="A206" s="137"/>
      <c r="B206" s="138"/>
      <c r="C206" s="138"/>
      <c r="D206" s="139"/>
      <c r="E206" s="136"/>
      <c r="F206" s="60"/>
      <c r="G206" s="60"/>
      <c r="H206" s="60"/>
      <c r="I206" s="60"/>
      <c r="J206" s="60"/>
      <c r="K206" s="60"/>
      <c r="L206" s="60"/>
      <c r="M206" s="60"/>
      <c r="N206" s="60"/>
      <c r="O206" s="60"/>
      <c r="P206" s="60"/>
      <c r="Q206" s="60"/>
      <c r="R206" s="60"/>
      <c r="S206" s="60"/>
      <c r="T206" s="60"/>
      <c r="U206" s="60"/>
      <c r="V206" s="60"/>
      <c r="W206" s="60"/>
      <c r="X206" s="60"/>
      <c r="Y206" s="60"/>
      <c r="Z206" s="60"/>
    </row>
    <row r="207">
      <c r="A207" s="137"/>
      <c r="B207" s="133"/>
      <c r="C207" s="134"/>
      <c r="D207" s="139"/>
      <c r="E207" s="136"/>
      <c r="F207" s="60"/>
      <c r="G207" s="60"/>
      <c r="H207" s="60"/>
      <c r="I207" s="60"/>
      <c r="J207" s="60"/>
      <c r="K207" s="60"/>
      <c r="L207" s="60"/>
      <c r="M207" s="60"/>
      <c r="N207" s="60"/>
      <c r="O207" s="60"/>
      <c r="P207" s="60"/>
      <c r="Q207" s="60"/>
      <c r="R207" s="60"/>
      <c r="S207" s="60"/>
      <c r="T207" s="60"/>
      <c r="U207" s="60"/>
      <c r="V207" s="60"/>
      <c r="W207" s="60"/>
      <c r="X207" s="60"/>
      <c r="Y207" s="60"/>
      <c r="Z207" s="60"/>
    </row>
    <row r="208">
      <c r="A208" s="137"/>
      <c r="B208" s="143"/>
      <c r="C208" s="143"/>
      <c r="D208" s="139"/>
      <c r="E208" s="136"/>
      <c r="F208" s="60"/>
      <c r="G208" s="60"/>
      <c r="H208" s="60"/>
      <c r="I208" s="60"/>
      <c r="J208" s="60"/>
      <c r="K208" s="60"/>
      <c r="L208" s="60"/>
      <c r="M208" s="60"/>
      <c r="N208" s="60"/>
      <c r="O208" s="60"/>
      <c r="P208" s="60"/>
      <c r="Q208" s="60"/>
      <c r="R208" s="60"/>
      <c r="S208" s="60"/>
      <c r="T208" s="60"/>
      <c r="U208" s="60"/>
      <c r="V208" s="60"/>
      <c r="W208" s="60"/>
      <c r="X208" s="60"/>
      <c r="Y208" s="60"/>
      <c r="Z208" s="60"/>
    </row>
    <row r="209">
      <c r="A209" s="137"/>
      <c r="B209" s="143"/>
      <c r="C209" s="143"/>
      <c r="D209" s="139"/>
      <c r="E209" s="136"/>
      <c r="F209" s="60"/>
      <c r="G209" s="60"/>
      <c r="H209" s="60"/>
      <c r="I209" s="60"/>
      <c r="J209" s="60"/>
      <c r="K209" s="60"/>
      <c r="L209" s="60"/>
      <c r="M209" s="60"/>
      <c r="N209" s="60"/>
      <c r="O209" s="60"/>
      <c r="P209" s="60"/>
      <c r="Q209" s="60"/>
      <c r="R209" s="60"/>
      <c r="S209" s="60"/>
      <c r="T209" s="60"/>
      <c r="U209" s="60"/>
      <c r="V209" s="60"/>
      <c r="W209" s="60"/>
      <c r="X209" s="60"/>
      <c r="Y209" s="60"/>
      <c r="Z209" s="60"/>
    </row>
    <row r="210">
      <c r="A210" s="137"/>
      <c r="B210" s="143"/>
      <c r="C210" s="143"/>
      <c r="D210" s="139"/>
      <c r="E210" s="136"/>
      <c r="F210" s="60"/>
      <c r="G210" s="60"/>
      <c r="H210" s="60"/>
      <c r="I210" s="60"/>
      <c r="J210" s="60"/>
      <c r="K210" s="60"/>
      <c r="L210" s="60"/>
      <c r="M210" s="60"/>
      <c r="N210" s="60"/>
      <c r="O210" s="60"/>
      <c r="P210" s="60"/>
      <c r="Q210" s="60"/>
      <c r="R210" s="60"/>
      <c r="S210" s="60"/>
      <c r="T210" s="60"/>
      <c r="U210" s="60"/>
      <c r="V210" s="60"/>
      <c r="W210" s="60"/>
      <c r="X210" s="60"/>
      <c r="Y210" s="60"/>
      <c r="Z210" s="60"/>
    </row>
    <row r="211">
      <c r="A211" s="137"/>
      <c r="B211" s="143"/>
      <c r="C211" s="143"/>
      <c r="D211" s="139"/>
      <c r="E211" s="136"/>
      <c r="F211" s="60"/>
      <c r="G211" s="60"/>
      <c r="H211" s="60"/>
      <c r="I211" s="60"/>
      <c r="J211" s="60"/>
      <c r="K211" s="60"/>
      <c r="L211" s="60"/>
      <c r="M211" s="60"/>
      <c r="N211" s="60"/>
      <c r="O211" s="60"/>
      <c r="P211" s="60"/>
      <c r="Q211" s="60"/>
      <c r="R211" s="60"/>
      <c r="S211" s="60"/>
      <c r="T211" s="60"/>
      <c r="U211" s="60"/>
      <c r="V211" s="60"/>
      <c r="W211" s="60"/>
      <c r="X211" s="60"/>
      <c r="Y211" s="60"/>
      <c r="Z211" s="60"/>
    </row>
    <row r="212">
      <c r="A212" s="137"/>
      <c r="B212" s="143"/>
      <c r="C212" s="143"/>
      <c r="D212" s="139"/>
      <c r="E212" s="136"/>
      <c r="F212" s="60"/>
      <c r="G212" s="60"/>
      <c r="H212" s="60"/>
      <c r="I212" s="60"/>
      <c r="J212" s="60"/>
      <c r="K212" s="60"/>
      <c r="L212" s="60"/>
      <c r="M212" s="60"/>
      <c r="N212" s="60"/>
      <c r="O212" s="60"/>
      <c r="P212" s="60"/>
      <c r="Q212" s="60"/>
      <c r="R212" s="60"/>
      <c r="S212" s="60"/>
      <c r="T212" s="60"/>
      <c r="U212" s="60"/>
      <c r="V212" s="60"/>
      <c r="W212" s="60"/>
      <c r="X212" s="60"/>
      <c r="Y212" s="60"/>
      <c r="Z212" s="60"/>
    </row>
    <row r="213">
      <c r="A213" s="137"/>
      <c r="B213" s="143"/>
      <c r="C213" s="143"/>
      <c r="D213" s="139"/>
      <c r="E213" s="136"/>
      <c r="F213" s="60"/>
      <c r="G213" s="60"/>
      <c r="H213" s="60"/>
      <c r="I213" s="60"/>
      <c r="J213" s="60"/>
      <c r="K213" s="60"/>
      <c r="L213" s="60"/>
      <c r="M213" s="60"/>
      <c r="N213" s="60"/>
      <c r="O213" s="60"/>
      <c r="P213" s="60"/>
      <c r="Q213" s="60"/>
      <c r="R213" s="60"/>
      <c r="S213" s="60"/>
      <c r="T213" s="60"/>
      <c r="U213" s="60"/>
      <c r="V213" s="60"/>
      <c r="W213" s="60"/>
      <c r="X213" s="60"/>
      <c r="Y213" s="60"/>
      <c r="Z213" s="60"/>
    </row>
    <row r="214">
      <c r="A214" s="137"/>
      <c r="B214" s="143"/>
      <c r="C214" s="143"/>
      <c r="D214" s="139"/>
      <c r="E214" s="136"/>
      <c r="F214" s="60"/>
      <c r="G214" s="60"/>
      <c r="H214" s="60"/>
      <c r="I214" s="60"/>
      <c r="J214" s="60"/>
      <c r="K214" s="60"/>
      <c r="L214" s="60"/>
      <c r="M214" s="60"/>
      <c r="N214" s="60"/>
      <c r="O214" s="60"/>
      <c r="P214" s="60"/>
      <c r="Q214" s="60"/>
      <c r="R214" s="60"/>
      <c r="S214" s="60"/>
      <c r="T214" s="60"/>
      <c r="U214" s="60"/>
      <c r="V214" s="60"/>
      <c r="W214" s="60"/>
      <c r="X214" s="60"/>
      <c r="Y214" s="60"/>
      <c r="Z214" s="60"/>
    </row>
    <row r="215">
      <c r="A215" s="137"/>
      <c r="B215" s="143"/>
      <c r="C215" s="143"/>
      <c r="D215" s="139"/>
      <c r="E215" s="136"/>
      <c r="F215" s="60"/>
      <c r="G215" s="60"/>
      <c r="H215" s="60"/>
      <c r="I215" s="60"/>
      <c r="J215" s="60"/>
      <c r="K215" s="60"/>
      <c r="L215" s="60"/>
      <c r="M215" s="60"/>
      <c r="N215" s="60"/>
      <c r="O215" s="60"/>
      <c r="P215" s="60"/>
      <c r="Q215" s="60"/>
      <c r="R215" s="60"/>
      <c r="S215" s="60"/>
      <c r="T215" s="60"/>
      <c r="U215" s="60"/>
      <c r="V215" s="60"/>
      <c r="W215" s="60"/>
      <c r="X215" s="60"/>
      <c r="Y215" s="60"/>
      <c r="Z215" s="60"/>
    </row>
    <row r="216">
      <c r="A216" s="137"/>
      <c r="B216" s="143"/>
      <c r="C216" s="143"/>
      <c r="D216" s="139"/>
      <c r="E216" s="136"/>
      <c r="F216" s="60"/>
      <c r="G216" s="60"/>
      <c r="H216" s="60"/>
      <c r="I216" s="60"/>
      <c r="J216" s="60"/>
      <c r="K216" s="60"/>
      <c r="L216" s="60"/>
      <c r="M216" s="60"/>
      <c r="N216" s="60"/>
      <c r="O216" s="60"/>
      <c r="P216" s="60"/>
      <c r="Q216" s="60"/>
      <c r="R216" s="60"/>
      <c r="S216" s="60"/>
      <c r="T216" s="60"/>
      <c r="U216" s="60"/>
      <c r="V216" s="60"/>
      <c r="W216" s="60"/>
      <c r="X216" s="60"/>
      <c r="Y216" s="60"/>
      <c r="Z216" s="60"/>
    </row>
    <row r="217">
      <c r="A217" s="137"/>
      <c r="B217" s="143"/>
      <c r="C217" s="143"/>
      <c r="D217" s="139"/>
      <c r="E217" s="136"/>
      <c r="F217" s="60"/>
      <c r="G217" s="60"/>
      <c r="H217" s="60"/>
      <c r="I217" s="60"/>
      <c r="J217" s="60"/>
      <c r="K217" s="60"/>
      <c r="L217" s="60"/>
      <c r="M217" s="60"/>
      <c r="N217" s="60"/>
      <c r="O217" s="60"/>
      <c r="P217" s="60"/>
      <c r="Q217" s="60"/>
      <c r="R217" s="60"/>
      <c r="S217" s="60"/>
      <c r="T217" s="60"/>
      <c r="U217" s="60"/>
      <c r="V217" s="60"/>
      <c r="W217" s="60"/>
      <c r="X217" s="60"/>
      <c r="Y217" s="60"/>
      <c r="Z217" s="60"/>
    </row>
    <row r="218">
      <c r="A218" s="137"/>
      <c r="B218" s="143"/>
      <c r="C218" s="143"/>
      <c r="D218" s="139"/>
      <c r="E218" s="136"/>
      <c r="F218" s="60"/>
      <c r="G218" s="60"/>
      <c r="H218" s="60"/>
      <c r="I218" s="60"/>
      <c r="J218" s="60"/>
      <c r="K218" s="60"/>
      <c r="L218" s="60"/>
      <c r="M218" s="60"/>
      <c r="N218" s="60"/>
      <c r="O218" s="60"/>
      <c r="P218" s="60"/>
      <c r="Q218" s="60"/>
      <c r="R218" s="60"/>
      <c r="S218" s="60"/>
      <c r="T218" s="60"/>
      <c r="U218" s="60"/>
      <c r="V218" s="60"/>
      <c r="W218" s="60"/>
      <c r="X218" s="60"/>
      <c r="Y218" s="60"/>
      <c r="Z218" s="60"/>
    </row>
    <row r="219">
      <c r="A219" s="137"/>
      <c r="B219" s="143"/>
      <c r="C219" s="143"/>
      <c r="D219" s="139"/>
      <c r="E219" s="136"/>
      <c r="F219" s="60"/>
      <c r="G219" s="60"/>
      <c r="H219" s="60"/>
      <c r="I219" s="60"/>
      <c r="J219" s="60"/>
      <c r="K219" s="60"/>
      <c r="L219" s="60"/>
      <c r="M219" s="60"/>
      <c r="N219" s="60"/>
      <c r="O219" s="60"/>
      <c r="P219" s="60"/>
      <c r="Q219" s="60"/>
      <c r="R219" s="60"/>
      <c r="S219" s="60"/>
      <c r="T219" s="60"/>
      <c r="U219" s="60"/>
      <c r="V219" s="60"/>
      <c r="W219" s="60"/>
      <c r="X219" s="60"/>
      <c r="Y219" s="60"/>
      <c r="Z219" s="60"/>
    </row>
    <row r="220">
      <c r="A220" s="137"/>
      <c r="B220" s="138"/>
      <c r="C220" s="138"/>
      <c r="D220" s="139"/>
      <c r="E220" s="136"/>
      <c r="F220" s="60"/>
      <c r="G220" s="60"/>
      <c r="H220" s="60"/>
      <c r="I220" s="60"/>
      <c r="J220" s="60"/>
      <c r="K220" s="60"/>
      <c r="L220" s="60"/>
      <c r="M220" s="60"/>
      <c r="N220" s="60"/>
      <c r="O220" s="60"/>
      <c r="P220" s="60"/>
      <c r="Q220" s="60"/>
      <c r="R220" s="60"/>
      <c r="S220" s="60"/>
      <c r="T220" s="60"/>
      <c r="U220" s="60"/>
      <c r="V220" s="60"/>
      <c r="W220" s="60"/>
      <c r="X220" s="60"/>
      <c r="Y220" s="60"/>
      <c r="Z220" s="60"/>
    </row>
    <row r="221">
      <c r="A221" s="137"/>
      <c r="B221" s="133"/>
      <c r="C221" s="134"/>
      <c r="D221" s="139"/>
      <c r="E221" s="136"/>
      <c r="F221" s="60"/>
      <c r="G221" s="60"/>
      <c r="H221" s="60"/>
      <c r="I221" s="60"/>
      <c r="J221" s="60"/>
      <c r="K221" s="60"/>
      <c r="L221" s="60"/>
      <c r="M221" s="60"/>
      <c r="N221" s="60"/>
      <c r="O221" s="60"/>
      <c r="P221" s="60"/>
      <c r="Q221" s="60"/>
      <c r="R221" s="60"/>
      <c r="S221" s="60"/>
      <c r="T221" s="60"/>
      <c r="U221" s="60"/>
      <c r="V221" s="60"/>
      <c r="W221" s="60"/>
      <c r="X221" s="60"/>
      <c r="Y221" s="60"/>
      <c r="Z221" s="60"/>
    </row>
    <row r="222">
      <c r="A222" s="137"/>
      <c r="B222" s="143"/>
      <c r="C222" s="143"/>
      <c r="D222" s="139"/>
      <c r="E222" s="136"/>
      <c r="F222" s="60"/>
      <c r="G222" s="60"/>
      <c r="H222" s="60"/>
      <c r="I222" s="60"/>
      <c r="J222" s="60"/>
      <c r="K222" s="60"/>
      <c r="L222" s="60"/>
      <c r="M222" s="60"/>
      <c r="N222" s="60"/>
      <c r="O222" s="60"/>
      <c r="P222" s="60"/>
      <c r="Q222" s="60"/>
      <c r="R222" s="60"/>
      <c r="S222" s="60"/>
      <c r="T222" s="60"/>
      <c r="U222" s="60"/>
      <c r="V222" s="60"/>
      <c r="W222" s="60"/>
      <c r="X222" s="60"/>
      <c r="Y222" s="60"/>
      <c r="Z222" s="60"/>
    </row>
    <row r="223">
      <c r="A223" s="137"/>
      <c r="B223" s="143"/>
      <c r="C223" s="143"/>
      <c r="D223" s="139"/>
      <c r="E223" s="136"/>
      <c r="F223" s="60"/>
      <c r="G223" s="60"/>
      <c r="H223" s="60"/>
      <c r="I223" s="60"/>
      <c r="J223" s="60"/>
      <c r="K223" s="60"/>
      <c r="L223" s="60"/>
      <c r="M223" s="60"/>
      <c r="N223" s="60"/>
      <c r="O223" s="60"/>
      <c r="P223" s="60"/>
      <c r="Q223" s="60"/>
      <c r="R223" s="60"/>
      <c r="S223" s="60"/>
      <c r="T223" s="60"/>
      <c r="U223" s="60"/>
      <c r="V223" s="60"/>
      <c r="W223" s="60"/>
      <c r="X223" s="60"/>
      <c r="Y223" s="60"/>
      <c r="Z223" s="60"/>
    </row>
    <row r="224">
      <c r="A224" s="137"/>
      <c r="B224" s="143"/>
      <c r="C224" s="143"/>
      <c r="D224" s="139"/>
      <c r="E224" s="136"/>
      <c r="F224" s="60"/>
      <c r="G224" s="60"/>
      <c r="H224" s="60"/>
      <c r="I224" s="60"/>
      <c r="J224" s="60"/>
      <c r="K224" s="60"/>
      <c r="L224" s="60"/>
      <c r="M224" s="60"/>
      <c r="N224" s="60"/>
      <c r="O224" s="60"/>
      <c r="P224" s="60"/>
      <c r="Q224" s="60"/>
      <c r="R224" s="60"/>
      <c r="S224" s="60"/>
      <c r="T224" s="60"/>
      <c r="U224" s="60"/>
      <c r="V224" s="60"/>
      <c r="W224" s="60"/>
      <c r="X224" s="60"/>
      <c r="Y224" s="60"/>
      <c r="Z224" s="60"/>
    </row>
    <row r="225">
      <c r="A225" s="137"/>
      <c r="B225" s="143"/>
      <c r="C225" s="143"/>
      <c r="D225" s="139"/>
      <c r="E225" s="136"/>
      <c r="F225" s="60"/>
      <c r="G225" s="60"/>
      <c r="H225" s="60"/>
      <c r="I225" s="60"/>
      <c r="J225" s="60"/>
      <c r="K225" s="60"/>
      <c r="L225" s="60"/>
      <c r="M225" s="60"/>
      <c r="N225" s="60"/>
      <c r="O225" s="60"/>
      <c r="P225" s="60"/>
      <c r="Q225" s="60"/>
      <c r="R225" s="60"/>
      <c r="S225" s="60"/>
      <c r="T225" s="60"/>
      <c r="U225" s="60"/>
      <c r="V225" s="60"/>
      <c r="W225" s="60"/>
      <c r="X225" s="60"/>
      <c r="Y225" s="60"/>
      <c r="Z225" s="60"/>
    </row>
    <row r="226">
      <c r="A226" s="137"/>
      <c r="B226" s="143"/>
      <c r="C226" s="143"/>
      <c r="D226" s="139"/>
      <c r="E226" s="136"/>
      <c r="F226" s="60"/>
      <c r="G226" s="60"/>
      <c r="H226" s="60"/>
      <c r="I226" s="60"/>
      <c r="J226" s="60"/>
      <c r="K226" s="60"/>
      <c r="L226" s="60"/>
      <c r="M226" s="60"/>
      <c r="N226" s="60"/>
      <c r="O226" s="60"/>
      <c r="P226" s="60"/>
      <c r="Q226" s="60"/>
      <c r="R226" s="60"/>
      <c r="S226" s="60"/>
      <c r="T226" s="60"/>
      <c r="U226" s="60"/>
      <c r="V226" s="60"/>
      <c r="W226" s="60"/>
      <c r="X226" s="60"/>
      <c r="Y226" s="60"/>
      <c r="Z226" s="60"/>
    </row>
    <row r="227">
      <c r="A227" s="137"/>
      <c r="B227" s="143"/>
      <c r="C227" s="143"/>
      <c r="D227" s="139"/>
      <c r="E227" s="136"/>
      <c r="F227" s="60"/>
      <c r="G227" s="60"/>
      <c r="H227" s="60"/>
      <c r="I227" s="60"/>
      <c r="J227" s="60"/>
      <c r="K227" s="60"/>
      <c r="L227" s="60"/>
      <c r="M227" s="60"/>
      <c r="N227" s="60"/>
      <c r="O227" s="60"/>
      <c r="P227" s="60"/>
      <c r="Q227" s="60"/>
      <c r="R227" s="60"/>
      <c r="S227" s="60"/>
      <c r="T227" s="60"/>
      <c r="U227" s="60"/>
      <c r="V227" s="60"/>
      <c r="W227" s="60"/>
      <c r="X227" s="60"/>
      <c r="Y227" s="60"/>
      <c r="Z227" s="60"/>
    </row>
    <row r="228">
      <c r="A228" s="137"/>
      <c r="B228" s="143"/>
      <c r="C228" s="143"/>
      <c r="D228" s="139"/>
      <c r="E228" s="136"/>
      <c r="F228" s="60"/>
      <c r="G228" s="60"/>
      <c r="H228" s="60"/>
      <c r="I228" s="60"/>
      <c r="J228" s="60"/>
      <c r="K228" s="60"/>
      <c r="L228" s="60"/>
      <c r="M228" s="60"/>
      <c r="N228" s="60"/>
      <c r="O228" s="60"/>
      <c r="P228" s="60"/>
      <c r="Q228" s="60"/>
      <c r="R228" s="60"/>
      <c r="S228" s="60"/>
      <c r="T228" s="60"/>
      <c r="U228" s="60"/>
      <c r="V228" s="60"/>
      <c r="W228" s="60"/>
      <c r="X228" s="60"/>
      <c r="Y228" s="60"/>
      <c r="Z228" s="60"/>
    </row>
    <row r="229">
      <c r="A229" s="137"/>
      <c r="B229" s="143"/>
      <c r="C229" s="143"/>
      <c r="D229" s="139"/>
      <c r="E229" s="136"/>
      <c r="F229" s="60"/>
      <c r="G229" s="60"/>
      <c r="H229" s="60"/>
      <c r="I229" s="60"/>
      <c r="J229" s="60"/>
      <c r="K229" s="60"/>
      <c r="L229" s="60"/>
      <c r="M229" s="60"/>
      <c r="N229" s="60"/>
      <c r="O229" s="60"/>
      <c r="P229" s="60"/>
      <c r="Q229" s="60"/>
      <c r="R229" s="60"/>
      <c r="S229" s="60"/>
      <c r="T229" s="60"/>
      <c r="U229" s="60"/>
      <c r="V229" s="60"/>
      <c r="W229" s="60"/>
      <c r="X229" s="60"/>
      <c r="Y229" s="60"/>
      <c r="Z229" s="60"/>
    </row>
    <row r="230">
      <c r="A230" s="137"/>
      <c r="B230" s="143"/>
      <c r="C230" s="143"/>
      <c r="D230" s="139"/>
      <c r="E230" s="136"/>
      <c r="F230" s="60"/>
      <c r="G230" s="60"/>
      <c r="H230" s="60"/>
      <c r="I230" s="60"/>
      <c r="J230" s="60"/>
      <c r="K230" s="60"/>
      <c r="L230" s="60"/>
      <c r="M230" s="60"/>
      <c r="N230" s="60"/>
      <c r="O230" s="60"/>
      <c r="P230" s="60"/>
      <c r="Q230" s="60"/>
      <c r="R230" s="60"/>
      <c r="S230" s="60"/>
      <c r="T230" s="60"/>
      <c r="U230" s="60"/>
      <c r="V230" s="60"/>
      <c r="W230" s="60"/>
      <c r="X230" s="60"/>
      <c r="Y230" s="60"/>
      <c r="Z230" s="60"/>
    </row>
    <row r="231">
      <c r="A231" s="137"/>
      <c r="B231" s="143"/>
      <c r="C231" s="143"/>
      <c r="D231" s="139"/>
      <c r="E231" s="136"/>
      <c r="F231" s="60"/>
      <c r="G231" s="60"/>
      <c r="H231" s="60"/>
      <c r="I231" s="60"/>
      <c r="J231" s="60"/>
      <c r="K231" s="60"/>
      <c r="L231" s="60"/>
      <c r="M231" s="60"/>
      <c r="N231" s="60"/>
      <c r="O231" s="60"/>
      <c r="P231" s="60"/>
      <c r="Q231" s="60"/>
      <c r="R231" s="60"/>
      <c r="S231" s="60"/>
      <c r="T231" s="60"/>
      <c r="U231" s="60"/>
      <c r="V231" s="60"/>
      <c r="W231" s="60"/>
      <c r="X231" s="60"/>
      <c r="Y231" s="60"/>
      <c r="Z231" s="60"/>
    </row>
    <row r="232">
      <c r="A232" s="137"/>
      <c r="B232" s="143"/>
      <c r="C232" s="143"/>
      <c r="D232" s="139"/>
      <c r="E232" s="136"/>
      <c r="F232" s="60"/>
      <c r="G232" s="60"/>
      <c r="H232" s="60"/>
      <c r="I232" s="60"/>
      <c r="J232" s="60"/>
      <c r="K232" s="60"/>
      <c r="L232" s="60"/>
      <c r="M232" s="60"/>
      <c r="N232" s="60"/>
      <c r="O232" s="60"/>
      <c r="P232" s="60"/>
      <c r="Q232" s="60"/>
      <c r="R232" s="60"/>
      <c r="S232" s="60"/>
      <c r="T232" s="60"/>
      <c r="U232" s="60"/>
      <c r="V232" s="60"/>
      <c r="W232" s="60"/>
      <c r="X232" s="60"/>
      <c r="Y232" s="60"/>
      <c r="Z232" s="60"/>
    </row>
    <row r="233">
      <c r="A233" s="137"/>
      <c r="B233" s="143"/>
      <c r="C233" s="143"/>
      <c r="D233" s="139"/>
      <c r="E233" s="136"/>
      <c r="F233" s="60"/>
      <c r="G233" s="60"/>
      <c r="H233" s="60"/>
      <c r="I233" s="60"/>
      <c r="J233" s="60"/>
      <c r="K233" s="60"/>
      <c r="L233" s="60"/>
      <c r="M233" s="60"/>
      <c r="N233" s="60"/>
      <c r="O233" s="60"/>
      <c r="P233" s="60"/>
      <c r="Q233" s="60"/>
      <c r="R233" s="60"/>
      <c r="S233" s="60"/>
      <c r="T233" s="60"/>
      <c r="U233" s="60"/>
      <c r="V233" s="60"/>
      <c r="W233" s="60"/>
      <c r="X233" s="60"/>
      <c r="Y233" s="60"/>
      <c r="Z233" s="60"/>
    </row>
    <row r="234">
      <c r="A234" s="137"/>
      <c r="B234" s="143"/>
      <c r="C234" s="143"/>
      <c r="D234" s="139"/>
      <c r="E234" s="136"/>
      <c r="F234" s="60"/>
      <c r="G234" s="60"/>
      <c r="H234" s="60"/>
      <c r="I234" s="60"/>
      <c r="J234" s="60"/>
      <c r="K234" s="60"/>
      <c r="L234" s="60"/>
      <c r="M234" s="60"/>
      <c r="N234" s="60"/>
      <c r="O234" s="60"/>
      <c r="P234" s="60"/>
      <c r="Q234" s="60"/>
      <c r="R234" s="60"/>
      <c r="S234" s="60"/>
      <c r="T234" s="60"/>
      <c r="U234" s="60"/>
      <c r="V234" s="60"/>
      <c r="W234" s="60"/>
      <c r="X234" s="60"/>
      <c r="Y234" s="60"/>
      <c r="Z234" s="60"/>
    </row>
    <row r="235">
      <c r="A235" s="137"/>
      <c r="B235" s="138"/>
      <c r="C235" s="138"/>
      <c r="D235" s="139"/>
      <c r="E235" s="136"/>
      <c r="F235" s="60"/>
      <c r="G235" s="60"/>
      <c r="H235" s="60"/>
      <c r="I235" s="60"/>
      <c r="J235" s="60"/>
      <c r="K235" s="60"/>
      <c r="L235" s="60"/>
      <c r="M235" s="60"/>
      <c r="N235" s="60"/>
      <c r="O235" s="60"/>
      <c r="P235" s="60"/>
      <c r="Q235" s="60"/>
      <c r="R235" s="60"/>
      <c r="S235" s="60"/>
      <c r="T235" s="60"/>
      <c r="U235" s="60"/>
      <c r="V235" s="60"/>
      <c r="W235" s="60"/>
      <c r="X235" s="60"/>
      <c r="Y235" s="60"/>
      <c r="Z235" s="60"/>
    </row>
    <row r="236">
      <c r="A236" s="147"/>
      <c r="B236" s="133"/>
      <c r="C236" s="134"/>
      <c r="D236" s="139"/>
      <c r="E236" s="136"/>
      <c r="F236" s="60"/>
      <c r="G236" s="60"/>
      <c r="H236" s="60"/>
      <c r="I236" s="60"/>
      <c r="J236" s="60"/>
      <c r="K236" s="60"/>
      <c r="L236" s="60"/>
      <c r="M236" s="60"/>
      <c r="N236" s="60"/>
      <c r="O236" s="60"/>
      <c r="P236" s="60"/>
      <c r="Q236" s="60"/>
      <c r="R236" s="60"/>
      <c r="S236" s="60"/>
      <c r="T236" s="60"/>
      <c r="U236" s="60"/>
      <c r="V236" s="60"/>
      <c r="W236" s="60"/>
      <c r="X236" s="60"/>
      <c r="Y236" s="60"/>
      <c r="Z236" s="60"/>
    </row>
    <row r="237">
      <c r="A237" s="143"/>
      <c r="B237" s="143"/>
      <c r="C237" s="143"/>
      <c r="D237" s="139"/>
      <c r="E237" s="136"/>
      <c r="F237" s="60"/>
      <c r="G237" s="60"/>
      <c r="H237" s="60"/>
      <c r="I237" s="60"/>
      <c r="J237" s="60"/>
      <c r="K237" s="60"/>
      <c r="L237" s="60"/>
      <c r="M237" s="60"/>
      <c r="N237" s="60"/>
      <c r="O237" s="60"/>
      <c r="P237" s="60"/>
      <c r="Q237" s="60"/>
      <c r="R237" s="60"/>
      <c r="S237" s="60"/>
      <c r="T237" s="60"/>
      <c r="U237" s="60"/>
      <c r="V237" s="60"/>
      <c r="W237" s="60"/>
      <c r="X237" s="60"/>
      <c r="Y237" s="60"/>
      <c r="Z237" s="60"/>
    </row>
    <row r="238">
      <c r="A238" s="143"/>
      <c r="B238" s="143"/>
      <c r="C238" s="143"/>
      <c r="D238" s="139"/>
      <c r="E238" s="136"/>
      <c r="F238" s="60"/>
      <c r="G238" s="60"/>
      <c r="H238" s="60"/>
      <c r="I238" s="60"/>
      <c r="J238" s="60"/>
      <c r="K238" s="60"/>
      <c r="L238" s="60"/>
      <c r="M238" s="60"/>
      <c r="N238" s="60"/>
      <c r="O238" s="60"/>
      <c r="P238" s="60"/>
      <c r="Q238" s="60"/>
      <c r="R238" s="60"/>
      <c r="S238" s="60"/>
      <c r="T238" s="60"/>
      <c r="U238" s="60"/>
      <c r="V238" s="60"/>
      <c r="W238" s="60"/>
      <c r="X238" s="60"/>
      <c r="Y238" s="60"/>
      <c r="Z238" s="60"/>
    </row>
    <row r="239">
      <c r="A239" s="143"/>
      <c r="B239" s="143"/>
      <c r="C239" s="143"/>
      <c r="D239" s="139"/>
      <c r="E239" s="136"/>
      <c r="F239" s="60"/>
      <c r="G239" s="60"/>
      <c r="H239" s="60"/>
      <c r="I239" s="60"/>
      <c r="J239" s="60"/>
      <c r="K239" s="60"/>
      <c r="L239" s="60"/>
      <c r="M239" s="60"/>
      <c r="N239" s="60"/>
      <c r="O239" s="60"/>
      <c r="P239" s="60"/>
      <c r="Q239" s="60"/>
      <c r="R239" s="60"/>
      <c r="S239" s="60"/>
      <c r="T239" s="60"/>
      <c r="U239" s="60"/>
      <c r="V239" s="60"/>
      <c r="W239" s="60"/>
      <c r="X239" s="60"/>
      <c r="Y239" s="60"/>
      <c r="Z239" s="60"/>
    </row>
    <row r="240">
      <c r="A240" s="143"/>
      <c r="B240" s="143"/>
      <c r="C240" s="143"/>
      <c r="D240" s="139"/>
      <c r="E240" s="136"/>
      <c r="F240" s="60"/>
      <c r="G240" s="60"/>
      <c r="H240" s="60"/>
      <c r="I240" s="60"/>
      <c r="J240" s="60"/>
      <c r="K240" s="60"/>
      <c r="L240" s="60"/>
      <c r="M240" s="60"/>
      <c r="N240" s="60"/>
      <c r="O240" s="60"/>
      <c r="P240" s="60"/>
      <c r="Q240" s="60"/>
      <c r="R240" s="60"/>
      <c r="S240" s="60"/>
      <c r="T240" s="60"/>
      <c r="U240" s="60"/>
      <c r="V240" s="60"/>
      <c r="W240" s="60"/>
      <c r="X240" s="60"/>
      <c r="Y240" s="60"/>
      <c r="Z240" s="60"/>
    </row>
    <row r="241">
      <c r="A241" s="143"/>
      <c r="B241" s="143"/>
      <c r="C241" s="143"/>
      <c r="D241" s="139"/>
      <c r="E241" s="136"/>
      <c r="F241" s="60"/>
      <c r="G241" s="60"/>
      <c r="H241" s="60"/>
      <c r="I241" s="60"/>
      <c r="J241" s="60"/>
      <c r="K241" s="60"/>
      <c r="L241" s="60"/>
      <c r="M241" s="60"/>
      <c r="N241" s="60"/>
      <c r="O241" s="60"/>
      <c r="P241" s="60"/>
      <c r="Q241" s="60"/>
      <c r="R241" s="60"/>
      <c r="S241" s="60"/>
      <c r="T241" s="60"/>
      <c r="U241" s="60"/>
      <c r="V241" s="60"/>
      <c r="W241" s="60"/>
      <c r="X241" s="60"/>
      <c r="Y241" s="60"/>
      <c r="Z241" s="60"/>
    </row>
    <row r="242">
      <c r="A242" s="143"/>
      <c r="B242" s="143"/>
      <c r="C242" s="143"/>
      <c r="D242" s="139"/>
      <c r="E242" s="136"/>
      <c r="F242" s="60"/>
      <c r="G242" s="60"/>
      <c r="H242" s="60"/>
      <c r="I242" s="60"/>
      <c r="J242" s="60"/>
      <c r="K242" s="60"/>
      <c r="L242" s="60"/>
      <c r="M242" s="60"/>
      <c r="N242" s="60"/>
      <c r="O242" s="60"/>
      <c r="P242" s="60"/>
      <c r="Q242" s="60"/>
      <c r="R242" s="60"/>
      <c r="S242" s="60"/>
      <c r="T242" s="60"/>
      <c r="U242" s="60"/>
      <c r="V242" s="60"/>
      <c r="W242" s="60"/>
      <c r="X242" s="60"/>
      <c r="Y242" s="60"/>
      <c r="Z242" s="60"/>
    </row>
    <row r="243">
      <c r="A243" s="143"/>
      <c r="B243" s="143"/>
      <c r="C243" s="143"/>
      <c r="D243" s="139"/>
      <c r="E243" s="136"/>
      <c r="F243" s="60"/>
      <c r="G243" s="60"/>
      <c r="H243" s="60"/>
      <c r="I243" s="60"/>
      <c r="J243" s="60"/>
      <c r="K243" s="60"/>
      <c r="L243" s="60"/>
      <c r="M243" s="60"/>
      <c r="N243" s="60"/>
      <c r="O243" s="60"/>
      <c r="P243" s="60"/>
      <c r="Q243" s="60"/>
      <c r="R243" s="60"/>
      <c r="S243" s="60"/>
      <c r="T243" s="60"/>
      <c r="U243" s="60"/>
      <c r="V243" s="60"/>
      <c r="W243" s="60"/>
      <c r="X243" s="60"/>
      <c r="Y243" s="60"/>
      <c r="Z243" s="60"/>
    </row>
    <row r="244">
      <c r="A244" s="143"/>
      <c r="B244" s="143"/>
      <c r="C244" s="143"/>
      <c r="D244" s="139"/>
      <c r="E244" s="136"/>
      <c r="F244" s="60"/>
      <c r="G244" s="60"/>
      <c r="H244" s="60"/>
      <c r="I244" s="60"/>
      <c r="J244" s="60"/>
      <c r="K244" s="60"/>
      <c r="L244" s="60"/>
      <c r="M244" s="60"/>
      <c r="N244" s="60"/>
      <c r="O244" s="60"/>
      <c r="P244" s="60"/>
      <c r="Q244" s="60"/>
      <c r="R244" s="60"/>
      <c r="S244" s="60"/>
      <c r="T244" s="60"/>
      <c r="U244" s="60"/>
      <c r="V244" s="60"/>
      <c r="W244" s="60"/>
      <c r="X244" s="60"/>
      <c r="Y244" s="60"/>
      <c r="Z244" s="60"/>
    </row>
    <row r="245">
      <c r="A245" s="143"/>
      <c r="B245" s="143"/>
      <c r="C245" s="143"/>
      <c r="D245" s="139"/>
      <c r="E245" s="136"/>
      <c r="F245" s="60"/>
      <c r="G245" s="60"/>
      <c r="H245" s="60"/>
      <c r="I245" s="60"/>
      <c r="J245" s="60"/>
      <c r="K245" s="60"/>
      <c r="L245" s="60"/>
      <c r="M245" s="60"/>
      <c r="N245" s="60"/>
      <c r="O245" s="60"/>
      <c r="P245" s="60"/>
      <c r="Q245" s="60"/>
      <c r="R245" s="60"/>
      <c r="S245" s="60"/>
      <c r="T245" s="60"/>
      <c r="U245" s="60"/>
      <c r="V245" s="60"/>
      <c r="W245" s="60"/>
      <c r="X245" s="60"/>
      <c r="Y245" s="60"/>
      <c r="Z245" s="60"/>
    </row>
    <row r="246">
      <c r="A246" s="143"/>
      <c r="B246" s="143"/>
      <c r="C246" s="138"/>
      <c r="D246" s="139"/>
      <c r="E246" s="136"/>
      <c r="F246" s="60"/>
      <c r="G246" s="60"/>
      <c r="H246" s="60"/>
      <c r="I246" s="60"/>
      <c r="J246" s="60"/>
      <c r="K246" s="60"/>
      <c r="L246" s="60"/>
      <c r="M246" s="60"/>
      <c r="N246" s="60"/>
      <c r="O246" s="60"/>
      <c r="P246" s="60"/>
      <c r="Q246" s="60"/>
      <c r="R246" s="60"/>
      <c r="S246" s="60"/>
      <c r="T246" s="60"/>
      <c r="U246" s="60"/>
      <c r="V246" s="60"/>
      <c r="W246" s="60"/>
      <c r="X246" s="60"/>
      <c r="Y246" s="60"/>
      <c r="Z246" s="60"/>
    </row>
    <row r="247">
      <c r="A247" s="143"/>
      <c r="B247" s="143"/>
      <c r="C247" s="148"/>
      <c r="D247" s="139"/>
      <c r="E247" s="136"/>
      <c r="F247" s="60"/>
      <c r="G247" s="60"/>
      <c r="H247" s="60"/>
      <c r="I247" s="60"/>
      <c r="J247" s="60"/>
      <c r="K247" s="60"/>
      <c r="L247" s="60"/>
      <c r="M247" s="60"/>
      <c r="N247" s="60"/>
      <c r="O247" s="60"/>
      <c r="P247" s="60"/>
      <c r="Q247" s="60"/>
      <c r="R247" s="60"/>
      <c r="S247" s="60"/>
      <c r="T247" s="60"/>
      <c r="U247" s="60"/>
      <c r="V247" s="60"/>
      <c r="W247" s="60"/>
      <c r="X247" s="60"/>
      <c r="Y247" s="60"/>
      <c r="Z247" s="60"/>
    </row>
    <row r="248">
      <c r="A248" s="143"/>
      <c r="B248" s="143"/>
      <c r="C248" s="143"/>
      <c r="D248" s="139"/>
      <c r="E248" s="136"/>
      <c r="F248" s="60"/>
      <c r="G248" s="60"/>
      <c r="H248" s="60"/>
      <c r="I248" s="60"/>
      <c r="J248" s="60"/>
      <c r="K248" s="60"/>
      <c r="L248" s="60"/>
      <c r="M248" s="60"/>
      <c r="N248" s="60"/>
      <c r="O248" s="60"/>
      <c r="P248" s="60"/>
      <c r="Q248" s="60"/>
      <c r="R248" s="60"/>
      <c r="S248" s="60"/>
      <c r="T248" s="60"/>
      <c r="U248" s="60"/>
      <c r="V248" s="60"/>
      <c r="W248" s="60"/>
      <c r="X248" s="60"/>
      <c r="Y248" s="60"/>
      <c r="Z248" s="60"/>
    </row>
    <row r="249">
      <c r="A249" s="143"/>
      <c r="B249" s="143"/>
      <c r="C249" s="143"/>
      <c r="D249" s="139"/>
      <c r="E249" s="136"/>
      <c r="F249" s="60"/>
      <c r="G249" s="60"/>
      <c r="H249" s="60"/>
      <c r="I249" s="60"/>
      <c r="J249" s="60"/>
      <c r="K249" s="60"/>
      <c r="L249" s="60"/>
      <c r="M249" s="60"/>
      <c r="N249" s="60"/>
      <c r="O249" s="60"/>
      <c r="P249" s="60"/>
      <c r="Q249" s="60"/>
      <c r="R249" s="60"/>
      <c r="S249" s="60"/>
      <c r="T249" s="60"/>
      <c r="U249" s="60"/>
      <c r="V249" s="60"/>
      <c r="W249" s="60"/>
      <c r="X249" s="60"/>
      <c r="Y249" s="60"/>
      <c r="Z249" s="60"/>
    </row>
    <row r="250">
      <c r="A250" s="143"/>
      <c r="B250" s="143"/>
      <c r="C250" s="143"/>
      <c r="D250" s="139"/>
      <c r="E250" s="136"/>
      <c r="F250" s="60"/>
      <c r="G250" s="60"/>
      <c r="H250" s="60"/>
      <c r="I250" s="60"/>
      <c r="J250" s="60"/>
      <c r="K250" s="60"/>
      <c r="L250" s="60"/>
      <c r="M250" s="60"/>
      <c r="N250" s="60"/>
      <c r="O250" s="60"/>
      <c r="P250" s="60"/>
      <c r="Q250" s="60"/>
      <c r="R250" s="60"/>
      <c r="S250" s="60"/>
      <c r="T250" s="60"/>
      <c r="U250" s="60"/>
      <c r="V250" s="60"/>
      <c r="W250" s="60"/>
      <c r="X250" s="60"/>
      <c r="Y250" s="60"/>
      <c r="Z250" s="60"/>
    </row>
    <row r="251">
      <c r="A251" s="143"/>
      <c r="B251" s="143"/>
      <c r="C251" s="143"/>
      <c r="D251" s="139"/>
      <c r="E251" s="136"/>
      <c r="F251" s="60"/>
      <c r="G251" s="60"/>
      <c r="H251" s="60"/>
      <c r="I251" s="60"/>
      <c r="J251" s="60"/>
      <c r="K251" s="60"/>
      <c r="L251" s="60"/>
      <c r="M251" s="60"/>
      <c r="N251" s="60"/>
      <c r="O251" s="60"/>
      <c r="P251" s="60"/>
      <c r="Q251" s="60"/>
      <c r="R251" s="60"/>
      <c r="S251" s="60"/>
      <c r="T251" s="60"/>
      <c r="U251" s="60"/>
      <c r="V251" s="60"/>
      <c r="W251" s="60"/>
      <c r="X251" s="60"/>
      <c r="Y251" s="60"/>
      <c r="Z251" s="60"/>
    </row>
    <row r="252">
      <c r="A252" s="143"/>
      <c r="B252" s="138"/>
      <c r="C252" s="138"/>
      <c r="D252" s="139"/>
      <c r="E252" s="136"/>
      <c r="F252" s="60"/>
      <c r="G252" s="60"/>
      <c r="H252" s="60"/>
      <c r="I252" s="60"/>
      <c r="J252" s="60"/>
      <c r="K252" s="60"/>
      <c r="L252" s="60"/>
      <c r="M252" s="60"/>
      <c r="N252" s="60"/>
      <c r="O252" s="60"/>
      <c r="P252" s="60"/>
      <c r="Q252" s="60"/>
      <c r="R252" s="60"/>
      <c r="S252" s="60"/>
      <c r="T252" s="60"/>
      <c r="U252" s="60"/>
      <c r="V252" s="60"/>
      <c r="W252" s="60"/>
      <c r="X252" s="60"/>
      <c r="Y252" s="60"/>
      <c r="Z252" s="60"/>
    </row>
    <row r="253">
      <c r="A253" s="132"/>
      <c r="B253" s="133"/>
      <c r="C253" s="134"/>
      <c r="D253" s="139"/>
      <c r="E253" s="136"/>
      <c r="F253" s="60"/>
      <c r="G253" s="60"/>
      <c r="H253" s="60"/>
      <c r="I253" s="60"/>
      <c r="J253" s="60"/>
      <c r="K253" s="60"/>
      <c r="L253" s="60"/>
      <c r="M253" s="60"/>
      <c r="N253" s="60"/>
      <c r="O253" s="60"/>
      <c r="P253" s="60"/>
      <c r="Q253" s="60"/>
      <c r="R253" s="60"/>
      <c r="S253" s="60"/>
      <c r="T253" s="60"/>
      <c r="U253" s="60"/>
      <c r="V253" s="60"/>
      <c r="W253" s="60"/>
      <c r="X253" s="60"/>
      <c r="Y253" s="60"/>
      <c r="Z253" s="60"/>
    </row>
    <row r="254">
      <c r="A254" s="143"/>
      <c r="B254" s="143"/>
      <c r="C254" s="143"/>
      <c r="D254" s="139"/>
      <c r="E254" s="136"/>
      <c r="F254" s="60"/>
      <c r="G254" s="60"/>
      <c r="H254" s="60"/>
      <c r="I254" s="60"/>
      <c r="J254" s="60"/>
      <c r="K254" s="60"/>
      <c r="L254" s="60"/>
      <c r="M254" s="60"/>
      <c r="N254" s="60"/>
      <c r="O254" s="60"/>
      <c r="P254" s="60"/>
      <c r="Q254" s="60"/>
      <c r="R254" s="60"/>
      <c r="S254" s="60"/>
      <c r="T254" s="60"/>
      <c r="U254" s="60"/>
      <c r="V254" s="60"/>
      <c r="W254" s="60"/>
      <c r="X254" s="60"/>
      <c r="Y254" s="60"/>
      <c r="Z254" s="60"/>
    </row>
    <row r="255">
      <c r="A255" s="143"/>
      <c r="B255" s="143"/>
      <c r="C255" s="143"/>
      <c r="D255" s="139"/>
      <c r="E255" s="136"/>
      <c r="F255" s="60"/>
      <c r="G255" s="60"/>
      <c r="H255" s="60"/>
      <c r="I255" s="60"/>
      <c r="J255" s="60"/>
      <c r="K255" s="60"/>
      <c r="L255" s="60"/>
      <c r="M255" s="60"/>
      <c r="N255" s="60"/>
      <c r="O255" s="60"/>
      <c r="P255" s="60"/>
      <c r="Q255" s="60"/>
      <c r="R255" s="60"/>
      <c r="S255" s="60"/>
      <c r="T255" s="60"/>
      <c r="U255" s="60"/>
      <c r="V255" s="60"/>
      <c r="W255" s="60"/>
      <c r="X255" s="60"/>
      <c r="Y255" s="60"/>
      <c r="Z255" s="60"/>
    </row>
    <row r="256">
      <c r="A256" s="143"/>
      <c r="B256" s="143"/>
      <c r="C256" s="143"/>
      <c r="D256" s="139"/>
      <c r="E256" s="136"/>
      <c r="F256" s="60"/>
      <c r="G256" s="60"/>
      <c r="H256" s="60"/>
      <c r="I256" s="60"/>
      <c r="J256" s="60"/>
      <c r="K256" s="60"/>
      <c r="L256" s="60"/>
      <c r="M256" s="60"/>
      <c r="N256" s="60"/>
      <c r="O256" s="60"/>
      <c r="P256" s="60"/>
      <c r="Q256" s="60"/>
      <c r="R256" s="60"/>
      <c r="S256" s="60"/>
      <c r="T256" s="60"/>
      <c r="U256" s="60"/>
      <c r="V256" s="60"/>
      <c r="W256" s="60"/>
      <c r="X256" s="60"/>
      <c r="Y256" s="60"/>
      <c r="Z256" s="60"/>
    </row>
    <row r="257">
      <c r="A257" s="143"/>
      <c r="B257" s="143"/>
      <c r="C257" s="143"/>
      <c r="D257" s="144"/>
      <c r="E257" s="136"/>
      <c r="F257" s="60"/>
      <c r="G257" s="60"/>
      <c r="H257" s="60"/>
      <c r="I257" s="60"/>
      <c r="J257" s="60"/>
      <c r="K257" s="60"/>
      <c r="L257" s="60"/>
      <c r="M257" s="60"/>
      <c r="N257" s="60"/>
      <c r="O257" s="60"/>
      <c r="P257" s="60"/>
      <c r="Q257" s="60"/>
      <c r="R257" s="60"/>
      <c r="S257" s="60"/>
      <c r="T257" s="60"/>
      <c r="U257" s="60"/>
      <c r="V257" s="60"/>
      <c r="W257" s="60"/>
      <c r="X257" s="60"/>
      <c r="Y257" s="60"/>
      <c r="Z257" s="60"/>
    </row>
    <row r="258">
      <c r="A258" s="138"/>
      <c r="B258" s="138"/>
      <c r="C258" s="138"/>
      <c r="D258" s="144"/>
      <c r="E258" s="136"/>
      <c r="F258" s="60"/>
      <c r="G258" s="60"/>
      <c r="H258" s="60"/>
      <c r="I258" s="60"/>
      <c r="J258" s="60"/>
      <c r="K258" s="60"/>
      <c r="L258" s="60"/>
      <c r="M258" s="60"/>
      <c r="N258" s="60"/>
      <c r="O258" s="60"/>
      <c r="P258" s="60"/>
      <c r="Q258" s="60"/>
      <c r="R258" s="60"/>
      <c r="S258" s="60"/>
      <c r="T258" s="60"/>
      <c r="U258" s="60"/>
      <c r="V258" s="60"/>
      <c r="W258" s="60"/>
      <c r="X258" s="60"/>
      <c r="Y258" s="60"/>
      <c r="Z258" s="60"/>
    </row>
    <row r="259">
      <c r="A259" s="149"/>
      <c r="B259" s="150"/>
      <c r="C259" s="151"/>
      <c r="D259" s="140"/>
      <c r="E259" s="152"/>
      <c r="F259" s="60"/>
      <c r="G259" s="60"/>
      <c r="H259" s="60"/>
      <c r="I259" s="60"/>
      <c r="J259" s="60"/>
      <c r="K259" s="60"/>
      <c r="L259" s="60"/>
      <c r="M259" s="60"/>
      <c r="N259" s="60"/>
      <c r="O259" s="60"/>
      <c r="P259" s="60"/>
      <c r="Q259" s="60"/>
      <c r="R259" s="60"/>
      <c r="S259" s="60"/>
      <c r="T259" s="60"/>
      <c r="U259" s="60"/>
      <c r="V259" s="60"/>
      <c r="W259" s="60"/>
      <c r="X259" s="60"/>
      <c r="Y259" s="60"/>
      <c r="Z259" s="60"/>
    </row>
    <row r="260">
      <c r="A260" s="149"/>
      <c r="B260" s="150"/>
      <c r="C260" s="151"/>
      <c r="D260" s="140"/>
      <c r="E260" s="152"/>
      <c r="F260" s="60"/>
      <c r="G260" s="60"/>
      <c r="H260" s="60"/>
      <c r="I260" s="60"/>
      <c r="J260" s="60"/>
      <c r="K260" s="60"/>
      <c r="L260" s="60"/>
      <c r="M260" s="60"/>
      <c r="N260" s="60"/>
      <c r="O260" s="60"/>
      <c r="P260" s="60"/>
      <c r="Q260" s="60"/>
      <c r="R260" s="60"/>
      <c r="S260" s="60"/>
      <c r="T260" s="60"/>
      <c r="U260" s="60"/>
      <c r="V260" s="60"/>
      <c r="W260" s="60"/>
      <c r="X260" s="60"/>
      <c r="Y260" s="60"/>
      <c r="Z260" s="60"/>
    </row>
    <row r="261">
      <c r="A261" s="149"/>
      <c r="B261" s="150"/>
      <c r="C261" s="151"/>
      <c r="D261" s="140"/>
      <c r="E261" s="152"/>
      <c r="F261" s="60"/>
      <c r="G261" s="60"/>
      <c r="H261" s="60"/>
      <c r="I261" s="60"/>
      <c r="J261" s="60"/>
      <c r="K261" s="60"/>
      <c r="L261" s="60"/>
      <c r="M261" s="60"/>
      <c r="N261" s="60"/>
      <c r="O261" s="60"/>
      <c r="P261" s="60"/>
      <c r="Q261" s="60"/>
      <c r="R261" s="60"/>
      <c r="S261" s="60"/>
      <c r="T261" s="60"/>
      <c r="U261" s="60"/>
      <c r="V261" s="60"/>
      <c r="W261" s="60"/>
      <c r="X261" s="60"/>
      <c r="Y261" s="60"/>
      <c r="Z261" s="60"/>
    </row>
    <row r="262">
      <c r="A262" s="149"/>
      <c r="B262" s="150"/>
      <c r="C262" s="151"/>
      <c r="D262" s="140"/>
      <c r="E262" s="152"/>
      <c r="F262" s="60"/>
      <c r="G262" s="60"/>
      <c r="H262" s="60"/>
      <c r="I262" s="60"/>
      <c r="J262" s="60"/>
      <c r="K262" s="60"/>
      <c r="L262" s="60"/>
      <c r="M262" s="60"/>
      <c r="N262" s="60"/>
      <c r="O262" s="60"/>
      <c r="P262" s="60"/>
      <c r="Q262" s="60"/>
      <c r="R262" s="60"/>
      <c r="S262" s="60"/>
      <c r="T262" s="60"/>
      <c r="U262" s="60"/>
      <c r="V262" s="60"/>
      <c r="W262" s="60"/>
      <c r="X262" s="60"/>
      <c r="Y262" s="60"/>
      <c r="Z262" s="60"/>
    </row>
    <row r="263">
      <c r="A263" s="149"/>
      <c r="B263" s="150"/>
      <c r="C263" s="151"/>
      <c r="D263" s="140"/>
      <c r="E263" s="152"/>
      <c r="F263" s="60"/>
      <c r="G263" s="60"/>
      <c r="H263" s="60"/>
      <c r="I263" s="60"/>
      <c r="J263" s="60"/>
      <c r="K263" s="60"/>
      <c r="L263" s="60"/>
      <c r="M263" s="60"/>
      <c r="N263" s="60"/>
      <c r="O263" s="60"/>
      <c r="P263" s="60"/>
      <c r="Q263" s="60"/>
      <c r="R263" s="60"/>
      <c r="S263" s="60"/>
      <c r="T263" s="60"/>
      <c r="U263" s="60"/>
      <c r="V263" s="60"/>
      <c r="W263" s="60"/>
      <c r="X263" s="60"/>
      <c r="Y263" s="60"/>
      <c r="Z263" s="60"/>
    </row>
    <row r="264">
      <c r="A264" s="149"/>
      <c r="B264" s="150"/>
      <c r="C264" s="151"/>
      <c r="D264" s="140"/>
      <c r="E264" s="152"/>
      <c r="F264" s="60"/>
      <c r="G264" s="60"/>
      <c r="H264" s="60"/>
      <c r="I264" s="60"/>
      <c r="J264" s="60"/>
      <c r="K264" s="60"/>
      <c r="L264" s="60"/>
      <c r="M264" s="60"/>
      <c r="N264" s="60"/>
      <c r="O264" s="60"/>
      <c r="P264" s="60"/>
      <c r="Q264" s="60"/>
      <c r="R264" s="60"/>
      <c r="S264" s="60"/>
      <c r="T264" s="60"/>
      <c r="U264" s="60"/>
      <c r="V264" s="60"/>
      <c r="W264" s="60"/>
      <c r="X264" s="60"/>
      <c r="Y264" s="60"/>
      <c r="Z264" s="60"/>
    </row>
    <row r="265">
      <c r="A265" s="149"/>
      <c r="B265" s="150"/>
      <c r="C265" s="151"/>
      <c r="D265" s="140"/>
      <c r="E265" s="149"/>
      <c r="F265" s="60"/>
      <c r="G265" s="60"/>
      <c r="H265" s="60"/>
      <c r="I265" s="60"/>
      <c r="J265" s="60"/>
      <c r="K265" s="60"/>
      <c r="L265" s="60"/>
      <c r="M265" s="60"/>
      <c r="N265" s="60"/>
      <c r="O265" s="60"/>
      <c r="P265" s="60"/>
      <c r="Q265" s="60"/>
      <c r="R265" s="60"/>
      <c r="S265" s="60"/>
      <c r="T265" s="60"/>
      <c r="U265" s="60"/>
      <c r="V265" s="60"/>
      <c r="W265" s="60"/>
      <c r="X265" s="60"/>
      <c r="Y265" s="60"/>
      <c r="Z265" s="60"/>
    </row>
    <row r="266">
      <c r="A266" s="149"/>
      <c r="B266" s="150"/>
      <c r="C266" s="151"/>
      <c r="D266" s="140"/>
      <c r="E266" s="149"/>
      <c r="F266" s="60"/>
      <c r="G266" s="60"/>
      <c r="H266" s="60"/>
      <c r="I266" s="60"/>
      <c r="J266" s="60"/>
      <c r="K266" s="60"/>
      <c r="L266" s="60"/>
      <c r="M266" s="60"/>
      <c r="N266" s="60"/>
      <c r="O266" s="60"/>
      <c r="P266" s="60"/>
      <c r="Q266" s="60"/>
      <c r="R266" s="60"/>
      <c r="S266" s="60"/>
      <c r="T266" s="60"/>
      <c r="U266" s="60"/>
      <c r="V266" s="60"/>
      <c r="W266" s="60"/>
      <c r="X266" s="60"/>
      <c r="Y266" s="60"/>
      <c r="Z266" s="60"/>
    </row>
    <row r="267">
      <c r="A267" s="149"/>
      <c r="B267" s="150"/>
      <c r="C267" s="151"/>
      <c r="D267" s="140"/>
      <c r="E267" s="152"/>
      <c r="F267" s="60"/>
      <c r="G267" s="60"/>
      <c r="H267" s="60"/>
      <c r="I267" s="60"/>
      <c r="J267" s="60"/>
      <c r="K267" s="60"/>
      <c r="L267" s="60"/>
      <c r="M267" s="60"/>
      <c r="N267" s="60"/>
      <c r="O267" s="60"/>
      <c r="P267" s="60"/>
      <c r="Q267" s="60"/>
      <c r="R267" s="60"/>
      <c r="S267" s="60"/>
      <c r="T267" s="60"/>
      <c r="U267" s="60"/>
      <c r="V267" s="60"/>
      <c r="W267" s="60"/>
      <c r="X267" s="60"/>
      <c r="Y267" s="60"/>
      <c r="Z267" s="60"/>
    </row>
    <row r="268">
      <c r="A268" s="149"/>
      <c r="B268" s="150"/>
      <c r="C268" s="151"/>
      <c r="D268" s="140"/>
      <c r="E268" s="152"/>
      <c r="F268" s="60"/>
      <c r="G268" s="60"/>
      <c r="H268" s="60"/>
      <c r="I268" s="60"/>
      <c r="J268" s="60"/>
      <c r="K268" s="60"/>
      <c r="L268" s="60"/>
      <c r="M268" s="60"/>
      <c r="N268" s="60"/>
      <c r="O268" s="60"/>
      <c r="P268" s="60"/>
      <c r="Q268" s="60"/>
      <c r="R268" s="60"/>
      <c r="S268" s="60"/>
      <c r="T268" s="60"/>
      <c r="U268" s="60"/>
      <c r="V268" s="60"/>
      <c r="W268" s="60"/>
      <c r="X268" s="60"/>
      <c r="Y268" s="60"/>
      <c r="Z268" s="60"/>
    </row>
    <row r="269">
      <c r="A269" s="149"/>
      <c r="B269" s="150"/>
      <c r="C269" s="151"/>
      <c r="D269" s="140"/>
      <c r="E269" s="152"/>
      <c r="F269" s="60"/>
      <c r="G269" s="60"/>
      <c r="H269" s="60"/>
      <c r="I269" s="60"/>
      <c r="J269" s="60"/>
      <c r="K269" s="60"/>
      <c r="L269" s="60"/>
      <c r="M269" s="60"/>
      <c r="N269" s="60"/>
      <c r="O269" s="60"/>
      <c r="P269" s="60"/>
      <c r="Q269" s="60"/>
      <c r="R269" s="60"/>
      <c r="S269" s="60"/>
      <c r="T269" s="60"/>
      <c r="U269" s="60"/>
      <c r="V269" s="60"/>
      <c r="W269" s="60"/>
      <c r="X269" s="60"/>
      <c r="Y269" s="60"/>
      <c r="Z269" s="60"/>
    </row>
    <row r="270">
      <c r="A270" s="149"/>
      <c r="B270" s="150"/>
      <c r="C270" s="151"/>
      <c r="D270" s="140"/>
      <c r="E270" s="152"/>
      <c r="F270" s="60"/>
      <c r="G270" s="60"/>
      <c r="H270" s="60"/>
      <c r="I270" s="60"/>
      <c r="J270" s="60"/>
      <c r="K270" s="60"/>
      <c r="L270" s="60"/>
      <c r="M270" s="60"/>
      <c r="N270" s="60"/>
      <c r="O270" s="60"/>
      <c r="P270" s="60"/>
      <c r="Q270" s="60"/>
      <c r="R270" s="60"/>
      <c r="S270" s="60"/>
      <c r="T270" s="60"/>
      <c r="U270" s="60"/>
      <c r="V270" s="60"/>
      <c r="W270" s="60"/>
      <c r="X270" s="60"/>
      <c r="Y270" s="60"/>
      <c r="Z270" s="60"/>
    </row>
    <row r="271">
      <c r="A271" s="149"/>
      <c r="B271" s="150"/>
      <c r="C271" s="151"/>
      <c r="D271" s="140"/>
      <c r="E271" s="152"/>
      <c r="F271" s="60"/>
      <c r="G271" s="60"/>
      <c r="H271" s="60"/>
      <c r="I271" s="60"/>
      <c r="J271" s="60"/>
      <c r="K271" s="60"/>
      <c r="L271" s="60"/>
      <c r="M271" s="60"/>
      <c r="N271" s="60"/>
      <c r="O271" s="60"/>
      <c r="P271" s="60"/>
      <c r="Q271" s="60"/>
      <c r="R271" s="60"/>
      <c r="S271" s="60"/>
      <c r="T271" s="60"/>
      <c r="U271" s="60"/>
      <c r="V271" s="60"/>
      <c r="W271" s="60"/>
      <c r="X271" s="60"/>
      <c r="Y271" s="60"/>
      <c r="Z271" s="60"/>
    </row>
    <row r="272">
      <c r="A272" s="149"/>
      <c r="B272" s="150"/>
      <c r="C272" s="151"/>
      <c r="D272" s="140"/>
      <c r="E272" s="152"/>
      <c r="F272" s="60"/>
      <c r="G272" s="60"/>
      <c r="H272" s="60"/>
      <c r="I272" s="60"/>
      <c r="J272" s="60"/>
      <c r="K272" s="60"/>
      <c r="L272" s="60"/>
      <c r="M272" s="60"/>
      <c r="N272" s="60"/>
      <c r="O272" s="60"/>
      <c r="P272" s="60"/>
      <c r="Q272" s="60"/>
      <c r="R272" s="60"/>
      <c r="S272" s="60"/>
      <c r="T272" s="60"/>
      <c r="U272" s="60"/>
      <c r="V272" s="60"/>
      <c r="W272" s="60"/>
      <c r="X272" s="60"/>
      <c r="Y272" s="60"/>
      <c r="Z272" s="60"/>
    </row>
    <row r="273">
      <c r="A273" s="149"/>
      <c r="B273" s="150"/>
      <c r="C273" s="151"/>
      <c r="D273" s="140"/>
      <c r="E273" s="152"/>
      <c r="F273" s="60"/>
      <c r="G273" s="60"/>
      <c r="H273" s="60"/>
      <c r="I273" s="60"/>
      <c r="J273" s="60"/>
      <c r="K273" s="60"/>
      <c r="L273" s="60"/>
      <c r="M273" s="60"/>
      <c r="N273" s="60"/>
      <c r="O273" s="60"/>
      <c r="P273" s="60"/>
      <c r="Q273" s="60"/>
      <c r="R273" s="60"/>
      <c r="S273" s="60"/>
      <c r="T273" s="60"/>
      <c r="U273" s="60"/>
      <c r="V273" s="60"/>
      <c r="W273" s="60"/>
      <c r="X273" s="60"/>
      <c r="Y273" s="60"/>
      <c r="Z273" s="60"/>
    </row>
    <row r="274">
      <c r="A274" s="149"/>
      <c r="B274" s="150"/>
      <c r="C274" s="151"/>
      <c r="D274" s="140"/>
      <c r="E274" s="152"/>
      <c r="F274" s="60"/>
      <c r="G274" s="60"/>
      <c r="H274" s="60"/>
      <c r="I274" s="60"/>
      <c r="J274" s="60"/>
      <c r="K274" s="60"/>
      <c r="L274" s="60"/>
      <c r="M274" s="60"/>
      <c r="N274" s="60"/>
      <c r="O274" s="60"/>
      <c r="P274" s="60"/>
      <c r="Q274" s="60"/>
      <c r="R274" s="60"/>
      <c r="S274" s="60"/>
      <c r="T274" s="60"/>
      <c r="U274" s="60"/>
      <c r="V274" s="60"/>
      <c r="W274" s="60"/>
      <c r="X274" s="60"/>
      <c r="Y274" s="60"/>
      <c r="Z274" s="60"/>
    </row>
    <row r="275">
      <c r="A275" s="149"/>
      <c r="B275" s="150"/>
      <c r="C275" s="151"/>
      <c r="D275" s="140"/>
      <c r="E275" s="152"/>
      <c r="F275" s="60"/>
      <c r="G275" s="60"/>
      <c r="H275" s="60"/>
      <c r="I275" s="60"/>
      <c r="J275" s="60"/>
      <c r="K275" s="60"/>
      <c r="L275" s="60"/>
      <c r="M275" s="60"/>
      <c r="N275" s="60"/>
      <c r="O275" s="60"/>
      <c r="P275" s="60"/>
      <c r="Q275" s="60"/>
      <c r="R275" s="60"/>
      <c r="S275" s="60"/>
      <c r="T275" s="60"/>
      <c r="U275" s="60"/>
      <c r="V275" s="60"/>
      <c r="W275" s="60"/>
      <c r="X275" s="60"/>
      <c r="Y275" s="60"/>
      <c r="Z275" s="60"/>
    </row>
    <row r="276">
      <c r="A276" s="149"/>
      <c r="B276" s="150"/>
      <c r="C276" s="151"/>
      <c r="D276" s="140"/>
      <c r="E276" s="152"/>
      <c r="F276" s="60"/>
      <c r="G276" s="60"/>
      <c r="H276" s="60"/>
      <c r="I276" s="60"/>
      <c r="J276" s="60"/>
      <c r="K276" s="60"/>
      <c r="L276" s="60"/>
      <c r="M276" s="60"/>
      <c r="N276" s="60"/>
      <c r="O276" s="60"/>
      <c r="P276" s="60"/>
      <c r="Q276" s="60"/>
      <c r="R276" s="60"/>
      <c r="S276" s="60"/>
      <c r="T276" s="60"/>
      <c r="U276" s="60"/>
      <c r="V276" s="60"/>
      <c r="W276" s="60"/>
      <c r="X276" s="60"/>
      <c r="Y276" s="60"/>
      <c r="Z276" s="60"/>
    </row>
    <row r="277">
      <c r="A277" s="149"/>
      <c r="B277" s="150"/>
      <c r="C277" s="151"/>
      <c r="D277" s="140"/>
      <c r="E277" s="152"/>
      <c r="F277" s="60"/>
      <c r="G277" s="60"/>
      <c r="H277" s="60"/>
      <c r="I277" s="60"/>
      <c r="J277" s="60"/>
      <c r="K277" s="60"/>
      <c r="L277" s="60"/>
      <c r="M277" s="60"/>
      <c r="N277" s="60"/>
      <c r="O277" s="60"/>
      <c r="P277" s="60"/>
      <c r="Q277" s="60"/>
      <c r="R277" s="60"/>
      <c r="S277" s="60"/>
      <c r="T277" s="60"/>
      <c r="U277" s="60"/>
      <c r="V277" s="60"/>
      <c r="W277" s="60"/>
      <c r="X277" s="60"/>
      <c r="Y277" s="60"/>
      <c r="Z277" s="60"/>
    </row>
    <row r="278">
      <c r="A278" s="149"/>
      <c r="B278" s="150"/>
      <c r="C278" s="151"/>
      <c r="D278" s="140"/>
      <c r="E278" s="152"/>
      <c r="F278" s="60"/>
      <c r="G278" s="60"/>
      <c r="H278" s="60"/>
      <c r="I278" s="60"/>
      <c r="J278" s="60"/>
      <c r="K278" s="60"/>
      <c r="L278" s="60"/>
      <c r="M278" s="60"/>
      <c r="N278" s="60"/>
      <c r="O278" s="60"/>
      <c r="P278" s="60"/>
      <c r="Q278" s="60"/>
      <c r="R278" s="60"/>
      <c r="S278" s="60"/>
      <c r="T278" s="60"/>
      <c r="U278" s="60"/>
      <c r="V278" s="60"/>
      <c r="W278" s="60"/>
      <c r="X278" s="60"/>
      <c r="Y278" s="60"/>
      <c r="Z278" s="60"/>
    </row>
    <row r="279">
      <c r="A279" s="149"/>
      <c r="B279" s="150"/>
      <c r="C279" s="151"/>
      <c r="D279" s="140"/>
      <c r="E279" s="152"/>
      <c r="F279" s="60"/>
      <c r="G279" s="60"/>
      <c r="H279" s="60"/>
      <c r="I279" s="60"/>
      <c r="J279" s="60"/>
      <c r="K279" s="60"/>
      <c r="L279" s="60"/>
      <c r="M279" s="60"/>
      <c r="N279" s="60"/>
      <c r="O279" s="60"/>
      <c r="P279" s="60"/>
      <c r="Q279" s="60"/>
      <c r="R279" s="60"/>
      <c r="S279" s="60"/>
      <c r="T279" s="60"/>
      <c r="U279" s="60"/>
      <c r="V279" s="60"/>
      <c r="W279" s="60"/>
      <c r="X279" s="60"/>
      <c r="Y279" s="60"/>
      <c r="Z279" s="60"/>
    </row>
    <row r="280">
      <c r="A280" s="149"/>
      <c r="B280" s="150"/>
      <c r="C280" s="151"/>
      <c r="D280" s="140"/>
      <c r="E280" s="152"/>
      <c r="F280" s="60"/>
      <c r="G280" s="60"/>
      <c r="H280" s="60"/>
      <c r="I280" s="60"/>
      <c r="J280" s="60"/>
      <c r="K280" s="60"/>
      <c r="L280" s="60"/>
      <c r="M280" s="60"/>
      <c r="N280" s="60"/>
      <c r="O280" s="60"/>
      <c r="P280" s="60"/>
      <c r="Q280" s="60"/>
      <c r="R280" s="60"/>
      <c r="S280" s="60"/>
      <c r="T280" s="60"/>
      <c r="U280" s="60"/>
      <c r="V280" s="60"/>
      <c r="W280" s="60"/>
      <c r="X280" s="60"/>
      <c r="Y280" s="60"/>
      <c r="Z280" s="60"/>
    </row>
    <row r="281">
      <c r="A281" s="149"/>
      <c r="B281" s="150"/>
      <c r="C281" s="151"/>
      <c r="D281" s="140"/>
      <c r="E281" s="152"/>
      <c r="F281" s="60"/>
      <c r="G281" s="60"/>
      <c r="H281" s="60"/>
      <c r="I281" s="60"/>
      <c r="J281" s="60"/>
      <c r="K281" s="60"/>
      <c r="L281" s="60"/>
      <c r="M281" s="60"/>
      <c r="N281" s="60"/>
      <c r="O281" s="60"/>
      <c r="P281" s="60"/>
      <c r="Q281" s="60"/>
      <c r="R281" s="60"/>
      <c r="S281" s="60"/>
      <c r="T281" s="60"/>
      <c r="U281" s="60"/>
      <c r="V281" s="60"/>
      <c r="W281" s="60"/>
      <c r="X281" s="60"/>
      <c r="Y281" s="60"/>
      <c r="Z281" s="60"/>
    </row>
    <row r="282">
      <c r="A282" s="149"/>
      <c r="B282" s="150"/>
      <c r="C282" s="151"/>
      <c r="D282" s="140"/>
      <c r="E282" s="152"/>
      <c r="F282" s="60"/>
      <c r="G282" s="60"/>
      <c r="H282" s="60"/>
      <c r="I282" s="60"/>
      <c r="J282" s="60"/>
      <c r="K282" s="60"/>
      <c r="L282" s="60"/>
      <c r="M282" s="60"/>
      <c r="N282" s="60"/>
      <c r="O282" s="60"/>
      <c r="P282" s="60"/>
      <c r="Q282" s="60"/>
      <c r="R282" s="60"/>
      <c r="S282" s="60"/>
      <c r="T282" s="60"/>
      <c r="U282" s="60"/>
      <c r="V282" s="60"/>
      <c r="W282" s="60"/>
      <c r="X282" s="60"/>
      <c r="Y282" s="60"/>
      <c r="Z282" s="60"/>
    </row>
    <row r="283">
      <c r="A283" s="149"/>
      <c r="B283" s="150"/>
      <c r="C283" s="151"/>
      <c r="D283" s="140"/>
      <c r="E283" s="152"/>
      <c r="F283" s="60"/>
      <c r="G283" s="60"/>
      <c r="H283" s="60"/>
      <c r="I283" s="60"/>
      <c r="J283" s="60"/>
      <c r="K283" s="60"/>
      <c r="L283" s="60"/>
      <c r="M283" s="60"/>
      <c r="N283" s="60"/>
      <c r="O283" s="60"/>
      <c r="P283" s="60"/>
      <c r="Q283" s="60"/>
      <c r="R283" s="60"/>
      <c r="S283" s="60"/>
      <c r="T283" s="60"/>
      <c r="U283" s="60"/>
      <c r="V283" s="60"/>
      <c r="W283" s="60"/>
      <c r="X283" s="60"/>
      <c r="Y283" s="60"/>
      <c r="Z283" s="60"/>
    </row>
    <row r="284">
      <c r="A284" s="149"/>
      <c r="B284" s="150"/>
      <c r="C284" s="151"/>
      <c r="D284" s="140"/>
      <c r="E284" s="152"/>
      <c r="F284" s="60"/>
      <c r="G284" s="60"/>
      <c r="H284" s="60"/>
      <c r="I284" s="60"/>
      <c r="J284" s="60"/>
      <c r="K284" s="60"/>
      <c r="L284" s="60"/>
      <c r="M284" s="60"/>
      <c r="N284" s="60"/>
      <c r="O284" s="60"/>
      <c r="P284" s="60"/>
      <c r="Q284" s="60"/>
      <c r="R284" s="60"/>
      <c r="S284" s="60"/>
      <c r="T284" s="60"/>
      <c r="U284" s="60"/>
      <c r="V284" s="60"/>
      <c r="W284" s="60"/>
      <c r="X284" s="60"/>
      <c r="Y284" s="60"/>
      <c r="Z284" s="60"/>
    </row>
    <row r="285">
      <c r="A285" s="149"/>
      <c r="B285" s="150"/>
      <c r="C285" s="151"/>
      <c r="D285" s="140"/>
      <c r="E285" s="152"/>
      <c r="F285" s="60"/>
      <c r="G285" s="60"/>
      <c r="H285" s="60"/>
      <c r="I285" s="60"/>
      <c r="J285" s="60"/>
      <c r="K285" s="60"/>
      <c r="L285" s="60"/>
      <c r="M285" s="60"/>
      <c r="N285" s="60"/>
      <c r="O285" s="60"/>
      <c r="P285" s="60"/>
      <c r="Q285" s="60"/>
      <c r="R285" s="60"/>
      <c r="S285" s="60"/>
      <c r="T285" s="60"/>
      <c r="U285" s="60"/>
      <c r="V285" s="60"/>
      <c r="W285" s="60"/>
      <c r="X285" s="60"/>
      <c r="Y285" s="60"/>
      <c r="Z285" s="60"/>
    </row>
    <row r="286">
      <c r="A286" s="149"/>
      <c r="B286" s="150"/>
      <c r="C286" s="151"/>
      <c r="D286" s="140"/>
      <c r="E286" s="152"/>
      <c r="F286" s="60"/>
      <c r="G286" s="60"/>
      <c r="H286" s="60"/>
      <c r="I286" s="60"/>
      <c r="J286" s="60"/>
      <c r="K286" s="60"/>
      <c r="L286" s="60"/>
      <c r="M286" s="60"/>
      <c r="N286" s="60"/>
      <c r="O286" s="60"/>
      <c r="P286" s="60"/>
      <c r="Q286" s="60"/>
      <c r="R286" s="60"/>
      <c r="S286" s="60"/>
      <c r="T286" s="60"/>
      <c r="U286" s="60"/>
      <c r="V286" s="60"/>
      <c r="W286" s="60"/>
      <c r="X286" s="60"/>
      <c r="Y286" s="60"/>
      <c r="Z286" s="60"/>
    </row>
    <row r="287">
      <c r="A287" s="149"/>
      <c r="B287" s="150"/>
      <c r="C287" s="151"/>
      <c r="D287" s="140"/>
      <c r="E287" s="152"/>
      <c r="F287" s="60"/>
      <c r="G287" s="60"/>
      <c r="H287" s="60"/>
      <c r="I287" s="60"/>
      <c r="J287" s="60"/>
      <c r="K287" s="60"/>
      <c r="L287" s="60"/>
      <c r="M287" s="60"/>
      <c r="N287" s="60"/>
      <c r="O287" s="60"/>
      <c r="P287" s="60"/>
      <c r="Q287" s="60"/>
      <c r="R287" s="60"/>
      <c r="S287" s="60"/>
      <c r="T287" s="60"/>
      <c r="U287" s="60"/>
      <c r="V287" s="60"/>
      <c r="W287" s="60"/>
      <c r="X287" s="60"/>
      <c r="Y287" s="60"/>
      <c r="Z287" s="60"/>
    </row>
    <row r="288">
      <c r="A288" s="149"/>
      <c r="B288" s="150"/>
      <c r="C288" s="151"/>
      <c r="D288" s="140"/>
      <c r="E288" s="152"/>
      <c r="F288" s="60"/>
      <c r="G288" s="60"/>
      <c r="H288" s="60"/>
      <c r="I288" s="60"/>
      <c r="J288" s="60"/>
      <c r="K288" s="60"/>
      <c r="L288" s="60"/>
      <c r="M288" s="60"/>
      <c r="N288" s="60"/>
      <c r="O288" s="60"/>
      <c r="P288" s="60"/>
      <c r="Q288" s="60"/>
      <c r="R288" s="60"/>
      <c r="S288" s="60"/>
      <c r="T288" s="60"/>
      <c r="U288" s="60"/>
      <c r="V288" s="60"/>
      <c r="W288" s="60"/>
      <c r="X288" s="60"/>
      <c r="Y288" s="60"/>
      <c r="Z288" s="60"/>
    </row>
    <row r="289">
      <c r="A289" s="149"/>
      <c r="B289" s="150"/>
      <c r="C289" s="151"/>
      <c r="D289" s="140"/>
      <c r="E289" s="152"/>
      <c r="F289" s="60"/>
      <c r="G289" s="60"/>
      <c r="H289" s="60"/>
      <c r="I289" s="60"/>
      <c r="J289" s="60"/>
      <c r="K289" s="60"/>
      <c r="L289" s="60"/>
      <c r="M289" s="60"/>
      <c r="N289" s="60"/>
      <c r="O289" s="60"/>
      <c r="P289" s="60"/>
      <c r="Q289" s="60"/>
      <c r="R289" s="60"/>
      <c r="S289" s="60"/>
      <c r="T289" s="60"/>
      <c r="U289" s="60"/>
      <c r="V289" s="60"/>
      <c r="W289" s="60"/>
      <c r="X289" s="60"/>
      <c r="Y289" s="60"/>
      <c r="Z289" s="60"/>
    </row>
    <row r="290">
      <c r="A290" s="149"/>
      <c r="B290" s="150"/>
      <c r="C290" s="151"/>
      <c r="D290" s="140"/>
      <c r="E290" s="152"/>
      <c r="F290" s="60"/>
      <c r="G290" s="60"/>
      <c r="H290" s="60"/>
      <c r="I290" s="60"/>
      <c r="J290" s="60"/>
      <c r="K290" s="60"/>
      <c r="L290" s="60"/>
      <c r="M290" s="60"/>
      <c r="N290" s="60"/>
      <c r="O290" s="60"/>
      <c r="P290" s="60"/>
      <c r="Q290" s="60"/>
      <c r="R290" s="60"/>
      <c r="S290" s="60"/>
      <c r="T290" s="60"/>
      <c r="U290" s="60"/>
      <c r="V290" s="60"/>
      <c r="W290" s="60"/>
      <c r="X290" s="60"/>
      <c r="Y290" s="60"/>
      <c r="Z290" s="60"/>
    </row>
    <row r="291">
      <c r="A291" s="149"/>
      <c r="B291" s="150"/>
      <c r="C291" s="151"/>
      <c r="D291" s="140"/>
      <c r="E291" s="152"/>
      <c r="F291" s="60"/>
      <c r="G291" s="60"/>
      <c r="H291" s="60"/>
      <c r="I291" s="60"/>
      <c r="J291" s="60"/>
      <c r="K291" s="60"/>
      <c r="L291" s="60"/>
      <c r="M291" s="60"/>
      <c r="N291" s="60"/>
      <c r="O291" s="60"/>
      <c r="P291" s="60"/>
      <c r="Q291" s="60"/>
      <c r="R291" s="60"/>
      <c r="S291" s="60"/>
      <c r="T291" s="60"/>
      <c r="U291" s="60"/>
      <c r="V291" s="60"/>
      <c r="W291" s="60"/>
      <c r="X291" s="60"/>
      <c r="Y291" s="60"/>
      <c r="Z291" s="60"/>
    </row>
    <row r="292">
      <c r="A292" s="149"/>
      <c r="B292" s="150"/>
      <c r="C292" s="151"/>
      <c r="D292" s="140"/>
      <c r="E292" s="152"/>
      <c r="F292" s="60"/>
      <c r="G292" s="60"/>
      <c r="H292" s="60"/>
      <c r="I292" s="60"/>
      <c r="J292" s="60"/>
      <c r="K292" s="60"/>
      <c r="L292" s="60"/>
      <c r="M292" s="60"/>
      <c r="N292" s="60"/>
      <c r="O292" s="60"/>
      <c r="P292" s="60"/>
      <c r="Q292" s="60"/>
      <c r="R292" s="60"/>
      <c r="S292" s="60"/>
      <c r="T292" s="60"/>
      <c r="U292" s="60"/>
      <c r="V292" s="60"/>
      <c r="W292" s="60"/>
      <c r="X292" s="60"/>
      <c r="Y292" s="60"/>
      <c r="Z292" s="60"/>
    </row>
    <row r="293">
      <c r="A293" s="149"/>
      <c r="B293" s="150"/>
      <c r="C293" s="151"/>
      <c r="D293" s="140"/>
      <c r="E293" s="152"/>
      <c r="F293" s="60"/>
      <c r="G293" s="60"/>
      <c r="H293" s="60"/>
      <c r="I293" s="60"/>
      <c r="J293" s="60"/>
      <c r="K293" s="60"/>
      <c r="L293" s="60"/>
      <c r="M293" s="60"/>
      <c r="N293" s="60"/>
      <c r="O293" s="60"/>
      <c r="P293" s="60"/>
      <c r="Q293" s="60"/>
      <c r="R293" s="60"/>
      <c r="S293" s="60"/>
      <c r="T293" s="60"/>
      <c r="U293" s="60"/>
      <c r="V293" s="60"/>
      <c r="W293" s="60"/>
      <c r="X293" s="60"/>
      <c r="Y293" s="60"/>
      <c r="Z293" s="60"/>
    </row>
    <row r="294">
      <c r="A294" s="149"/>
      <c r="B294" s="150"/>
      <c r="C294" s="151"/>
      <c r="D294" s="140"/>
      <c r="E294" s="152"/>
      <c r="F294" s="60"/>
      <c r="G294" s="60"/>
      <c r="H294" s="60"/>
      <c r="I294" s="60"/>
      <c r="J294" s="60"/>
      <c r="K294" s="60"/>
      <c r="L294" s="60"/>
      <c r="M294" s="60"/>
      <c r="N294" s="60"/>
      <c r="O294" s="60"/>
      <c r="P294" s="60"/>
      <c r="Q294" s="60"/>
      <c r="R294" s="60"/>
      <c r="S294" s="60"/>
      <c r="T294" s="60"/>
      <c r="U294" s="60"/>
      <c r="V294" s="60"/>
      <c r="W294" s="60"/>
      <c r="X294" s="60"/>
      <c r="Y294" s="60"/>
      <c r="Z294" s="60"/>
    </row>
    <row r="295">
      <c r="A295" s="149"/>
      <c r="B295" s="150"/>
      <c r="C295" s="151"/>
      <c r="D295" s="140"/>
      <c r="E295" s="152"/>
      <c r="F295" s="60"/>
      <c r="G295" s="60"/>
      <c r="H295" s="60"/>
      <c r="I295" s="60"/>
      <c r="J295" s="60"/>
      <c r="K295" s="60"/>
      <c r="L295" s="60"/>
      <c r="M295" s="60"/>
      <c r="N295" s="60"/>
      <c r="O295" s="60"/>
      <c r="P295" s="60"/>
      <c r="Q295" s="60"/>
      <c r="R295" s="60"/>
      <c r="S295" s="60"/>
      <c r="T295" s="60"/>
      <c r="U295" s="60"/>
      <c r="V295" s="60"/>
      <c r="W295" s="60"/>
      <c r="X295" s="60"/>
      <c r="Y295" s="60"/>
      <c r="Z295" s="60"/>
    </row>
    <row r="296">
      <c r="A296" s="149"/>
      <c r="B296" s="150"/>
      <c r="C296" s="151"/>
      <c r="D296" s="140"/>
      <c r="E296" s="152"/>
      <c r="F296" s="60"/>
      <c r="G296" s="60"/>
      <c r="H296" s="60"/>
      <c r="I296" s="60"/>
      <c r="J296" s="60"/>
      <c r="K296" s="60"/>
      <c r="L296" s="60"/>
      <c r="M296" s="60"/>
      <c r="N296" s="60"/>
      <c r="O296" s="60"/>
      <c r="P296" s="60"/>
      <c r="Q296" s="60"/>
      <c r="R296" s="60"/>
      <c r="S296" s="60"/>
      <c r="T296" s="60"/>
      <c r="U296" s="60"/>
      <c r="V296" s="60"/>
      <c r="W296" s="60"/>
      <c r="X296" s="60"/>
      <c r="Y296" s="60"/>
      <c r="Z296" s="60"/>
    </row>
    <row r="297">
      <c r="A297" s="149"/>
      <c r="B297" s="150"/>
      <c r="C297" s="151"/>
      <c r="D297" s="140"/>
      <c r="E297" s="152"/>
      <c r="F297" s="60"/>
      <c r="G297" s="60"/>
      <c r="H297" s="60"/>
      <c r="I297" s="60"/>
      <c r="J297" s="60"/>
      <c r="K297" s="60"/>
      <c r="L297" s="60"/>
      <c r="M297" s="60"/>
      <c r="N297" s="60"/>
      <c r="O297" s="60"/>
      <c r="P297" s="60"/>
      <c r="Q297" s="60"/>
      <c r="R297" s="60"/>
      <c r="S297" s="60"/>
      <c r="T297" s="60"/>
      <c r="U297" s="60"/>
      <c r="V297" s="60"/>
      <c r="W297" s="60"/>
      <c r="X297" s="60"/>
      <c r="Y297" s="60"/>
      <c r="Z297" s="60"/>
    </row>
    <row r="298">
      <c r="A298" s="149"/>
      <c r="B298" s="150"/>
      <c r="C298" s="151"/>
      <c r="D298" s="140"/>
      <c r="E298" s="152"/>
      <c r="F298" s="60"/>
      <c r="G298" s="60"/>
      <c r="H298" s="60"/>
      <c r="I298" s="60"/>
      <c r="J298" s="60"/>
      <c r="K298" s="60"/>
      <c r="L298" s="60"/>
      <c r="M298" s="60"/>
      <c r="N298" s="60"/>
      <c r="O298" s="60"/>
      <c r="P298" s="60"/>
      <c r="Q298" s="60"/>
      <c r="R298" s="60"/>
      <c r="S298" s="60"/>
      <c r="T298" s="60"/>
      <c r="U298" s="60"/>
      <c r="V298" s="60"/>
      <c r="W298" s="60"/>
      <c r="X298" s="60"/>
      <c r="Y298" s="60"/>
      <c r="Z298" s="60"/>
    </row>
    <row r="299">
      <c r="A299" s="149"/>
      <c r="B299" s="150"/>
      <c r="C299" s="151"/>
      <c r="D299" s="140"/>
      <c r="E299" s="152"/>
      <c r="F299" s="60"/>
      <c r="G299" s="60"/>
      <c r="H299" s="60"/>
      <c r="I299" s="60"/>
      <c r="J299" s="60"/>
      <c r="K299" s="60"/>
      <c r="L299" s="60"/>
      <c r="M299" s="60"/>
      <c r="N299" s="60"/>
      <c r="O299" s="60"/>
      <c r="P299" s="60"/>
      <c r="Q299" s="60"/>
      <c r="R299" s="60"/>
      <c r="S299" s="60"/>
      <c r="T299" s="60"/>
      <c r="U299" s="60"/>
      <c r="V299" s="60"/>
      <c r="W299" s="60"/>
      <c r="X299" s="60"/>
      <c r="Y299" s="60"/>
      <c r="Z299" s="60"/>
    </row>
    <row r="300">
      <c r="A300" s="149"/>
      <c r="B300" s="150"/>
      <c r="C300" s="151"/>
      <c r="D300" s="140"/>
      <c r="E300" s="152"/>
      <c r="F300" s="60"/>
      <c r="G300" s="60"/>
      <c r="H300" s="60"/>
      <c r="I300" s="60"/>
      <c r="J300" s="60"/>
      <c r="K300" s="60"/>
      <c r="L300" s="60"/>
      <c r="M300" s="60"/>
      <c r="N300" s="60"/>
      <c r="O300" s="60"/>
      <c r="P300" s="60"/>
      <c r="Q300" s="60"/>
      <c r="R300" s="60"/>
      <c r="S300" s="60"/>
      <c r="T300" s="60"/>
      <c r="U300" s="60"/>
      <c r="V300" s="60"/>
      <c r="W300" s="60"/>
      <c r="X300" s="60"/>
      <c r="Y300" s="60"/>
      <c r="Z300" s="60"/>
    </row>
    <row r="301">
      <c r="A301" s="149"/>
      <c r="B301" s="150"/>
      <c r="C301" s="151"/>
      <c r="D301" s="140"/>
      <c r="E301" s="152"/>
      <c r="F301" s="60"/>
      <c r="G301" s="60"/>
      <c r="H301" s="60"/>
      <c r="I301" s="60"/>
      <c r="J301" s="60"/>
      <c r="K301" s="60"/>
      <c r="L301" s="60"/>
      <c r="M301" s="60"/>
      <c r="N301" s="60"/>
      <c r="O301" s="60"/>
      <c r="P301" s="60"/>
      <c r="Q301" s="60"/>
      <c r="R301" s="60"/>
      <c r="S301" s="60"/>
      <c r="T301" s="60"/>
      <c r="U301" s="60"/>
      <c r="V301" s="60"/>
      <c r="W301" s="60"/>
      <c r="X301" s="60"/>
      <c r="Y301" s="60"/>
      <c r="Z301" s="60"/>
    </row>
    <row r="302">
      <c r="A302" s="149"/>
      <c r="B302" s="150"/>
      <c r="C302" s="151"/>
      <c r="D302" s="140"/>
      <c r="E302" s="152"/>
      <c r="F302" s="60"/>
      <c r="G302" s="60"/>
      <c r="H302" s="60"/>
      <c r="I302" s="60"/>
      <c r="J302" s="60"/>
      <c r="K302" s="60"/>
      <c r="L302" s="60"/>
      <c r="M302" s="60"/>
      <c r="N302" s="60"/>
      <c r="O302" s="60"/>
      <c r="P302" s="60"/>
      <c r="Q302" s="60"/>
      <c r="R302" s="60"/>
      <c r="S302" s="60"/>
      <c r="T302" s="60"/>
      <c r="U302" s="60"/>
      <c r="V302" s="60"/>
      <c r="W302" s="60"/>
      <c r="X302" s="60"/>
      <c r="Y302" s="60"/>
      <c r="Z302" s="60"/>
    </row>
    <row r="303">
      <c r="A303" s="149"/>
      <c r="B303" s="150"/>
      <c r="C303" s="151"/>
      <c r="D303" s="140"/>
      <c r="E303" s="152"/>
      <c r="F303" s="60"/>
      <c r="G303" s="60"/>
      <c r="H303" s="60"/>
      <c r="I303" s="60"/>
      <c r="J303" s="60"/>
      <c r="K303" s="60"/>
      <c r="L303" s="60"/>
      <c r="M303" s="60"/>
      <c r="N303" s="60"/>
      <c r="O303" s="60"/>
      <c r="P303" s="60"/>
      <c r="Q303" s="60"/>
      <c r="R303" s="60"/>
      <c r="S303" s="60"/>
      <c r="T303" s="60"/>
      <c r="U303" s="60"/>
      <c r="V303" s="60"/>
      <c r="W303" s="60"/>
      <c r="X303" s="60"/>
      <c r="Y303" s="60"/>
      <c r="Z303" s="60"/>
    </row>
    <row r="304">
      <c r="A304" s="149"/>
      <c r="B304" s="150"/>
      <c r="C304" s="151"/>
      <c r="D304" s="140"/>
      <c r="E304" s="152"/>
      <c r="F304" s="60"/>
      <c r="G304" s="60"/>
      <c r="H304" s="60"/>
      <c r="I304" s="60"/>
      <c r="J304" s="60"/>
      <c r="K304" s="60"/>
      <c r="L304" s="60"/>
      <c r="M304" s="60"/>
      <c r="N304" s="60"/>
      <c r="O304" s="60"/>
      <c r="P304" s="60"/>
      <c r="Q304" s="60"/>
      <c r="R304" s="60"/>
      <c r="S304" s="60"/>
      <c r="T304" s="60"/>
      <c r="U304" s="60"/>
      <c r="V304" s="60"/>
      <c r="W304" s="60"/>
      <c r="X304" s="60"/>
      <c r="Y304" s="60"/>
      <c r="Z304" s="60"/>
    </row>
    <row r="305">
      <c r="A305" s="149"/>
      <c r="B305" s="150"/>
      <c r="C305" s="151"/>
      <c r="D305" s="140"/>
      <c r="E305" s="152"/>
      <c r="F305" s="60"/>
      <c r="G305" s="60"/>
      <c r="H305" s="60"/>
      <c r="I305" s="60"/>
      <c r="J305" s="60"/>
      <c r="K305" s="60"/>
      <c r="L305" s="60"/>
      <c r="M305" s="60"/>
      <c r="N305" s="60"/>
      <c r="O305" s="60"/>
      <c r="P305" s="60"/>
      <c r="Q305" s="60"/>
      <c r="R305" s="60"/>
      <c r="S305" s="60"/>
      <c r="T305" s="60"/>
      <c r="U305" s="60"/>
      <c r="V305" s="60"/>
      <c r="W305" s="60"/>
      <c r="X305" s="60"/>
      <c r="Y305" s="60"/>
      <c r="Z305" s="60"/>
    </row>
    <row r="306">
      <c r="A306" s="149"/>
      <c r="B306" s="150"/>
      <c r="C306" s="151"/>
      <c r="D306" s="140"/>
      <c r="E306" s="152"/>
      <c r="F306" s="60"/>
      <c r="G306" s="60"/>
      <c r="H306" s="60"/>
      <c r="I306" s="60"/>
      <c r="J306" s="60"/>
      <c r="K306" s="60"/>
      <c r="L306" s="60"/>
      <c r="M306" s="60"/>
      <c r="N306" s="60"/>
      <c r="O306" s="60"/>
      <c r="P306" s="60"/>
      <c r="Q306" s="60"/>
      <c r="R306" s="60"/>
      <c r="S306" s="60"/>
      <c r="T306" s="60"/>
      <c r="U306" s="60"/>
      <c r="V306" s="60"/>
      <c r="W306" s="60"/>
      <c r="X306" s="60"/>
      <c r="Y306" s="60"/>
      <c r="Z306" s="60"/>
    </row>
    <row r="307">
      <c r="A307" s="149"/>
      <c r="B307" s="150"/>
      <c r="C307" s="151"/>
      <c r="D307" s="140"/>
      <c r="E307" s="152"/>
      <c r="F307" s="60"/>
      <c r="G307" s="60"/>
      <c r="H307" s="60"/>
      <c r="I307" s="60"/>
      <c r="J307" s="60"/>
      <c r="K307" s="60"/>
      <c r="L307" s="60"/>
      <c r="M307" s="60"/>
      <c r="N307" s="60"/>
      <c r="O307" s="60"/>
      <c r="P307" s="60"/>
      <c r="Q307" s="60"/>
      <c r="R307" s="60"/>
      <c r="S307" s="60"/>
      <c r="T307" s="60"/>
      <c r="U307" s="60"/>
      <c r="V307" s="60"/>
      <c r="W307" s="60"/>
      <c r="X307" s="60"/>
      <c r="Y307" s="60"/>
      <c r="Z307" s="60"/>
    </row>
    <row r="308">
      <c r="A308" s="149"/>
      <c r="B308" s="150"/>
      <c r="C308" s="151"/>
      <c r="D308" s="140"/>
      <c r="E308" s="152"/>
      <c r="F308" s="60"/>
      <c r="G308" s="60"/>
      <c r="H308" s="60"/>
      <c r="I308" s="60"/>
      <c r="J308" s="60"/>
      <c r="K308" s="60"/>
      <c r="L308" s="60"/>
      <c r="M308" s="60"/>
      <c r="N308" s="60"/>
      <c r="O308" s="60"/>
      <c r="P308" s="60"/>
      <c r="Q308" s="60"/>
      <c r="R308" s="60"/>
      <c r="S308" s="60"/>
      <c r="T308" s="60"/>
      <c r="U308" s="60"/>
      <c r="V308" s="60"/>
      <c r="W308" s="60"/>
      <c r="X308" s="60"/>
      <c r="Y308" s="60"/>
      <c r="Z308" s="60"/>
    </row>
    <row r="309">
      <c r="A309" s="149"/>
      <c r="B309" s="150"/>
      <c r="C309" s="151"/>
      <c r="D309" s="140"/>
      <c r="E309" s="152"/>
      <c r="F309" s="60"/>
      <c r="G309" s="60"/>
      <c r="H309" s="60"/>
      <c r="I309" s="60"/>
      <c r="J309" s="60"/>
      <c r="K309" s="60"/>
      <c r="L309" s="60"/>
      <c r="M309" s="60"/>
      <c r="N309" s="60"/>
      <c r="O309" s="60"/>
      <c r="P309" s="60"/>
      <c r="Q309" s="60"/>
      <c r="R309" s="60"/>
      <c r="S309" s="60"/>
      <c r="T309" s="60"/>
      <c r="U309" s="60"/>
      <c r="V309" s="60"/>
      <c r="W309" s="60"/>
      <c r="X309" s="60"/>
      <c r="Y309" s="60"/>
      <c r="Z309" s="60"/>
    </row>
    <row r="310">
      <c r="A310" s="149"/>
      <c r="B310" s="150"/>
      <c r="C310" s="151"/>
      <c r="D310" s="140"/>
      <c r="E310" s="152"/>
      <c r="F310" s="60"/>
      <c r="G310" s="60"/>
      <c r="H310" s="60"/>
      <c r="I310" s="60"/>
      <c r="J310" s="60"/>
      <c r="K310" s="60"/>
      <c r="L310" s="60"/>
      <c r="M310" s="60"/>
      <c r="N310" s="60"/>
      <c r="O310" s="60"/>
      <c r="P310" s="60"/>
      <c r="Q310" s="60"/>
      <c r="R310" s="60"/>
      <c r="S310" s="60"/>
      <c r="T310" s="60"/>
      <c r="U310" s="60"/>
      <c r="V310" s="60"/>
      <c r="W310" s="60"/>
      <c r="X310" s="60"/>
      <c r="Y310" s="60"/>
      <c r="Z310" s="60"/>
    </row>
    <row r="311">
      <c r="A311" s="149"/>
      <c r="B311" s="150"/>
      <c r="C311" s="151"/>
      <c r="D311" s="140"/>
      <c r="E311" s="152"/>
      <c r="F311" s="60"/>
      <c r="G311" s="60"/>
      <c r="H311" s="60"/>
      <c r="I311" s="60"/>
      <c r="J311" s="60"/>
      <c r="K311" s="60"/>
      <c r="L311" s="60"/>
      <c r="M311" s="60"/>
      <c r="N311" s="60"/>
      <c r="O311" s="60"/>
      <c r="P311" s="60"/>
      <c r="Q311" s="60"/>
      <c r="R311" s="60"/>
      <c r="S311" s="60"/>
      <c r="T311" s="60"/>
      <c r="U311" s="60"/>
      <c r="V311" s="60"/>
      <c r="W311" s="60"/>
      <c r="X311" s="60"/>
      <c r="Y311" s="60"/>
      <c r="Z311" s="60"/>
    </row>
    <row r="312">
      <c r="A312" s="149"/>
      <c r="B312" s="150"/>
      <c r="C312" s="151"/>
      <c r="D312" s="140"/>
      <c r="E312" s="152"/>
      <c r="F312" s="60"/>
      <c r="G312" s="60"/>
      <c r="H312" s="60"/>
      <c r="I312" s="60"/>
      <c r="J312" s="60"/>
      <c r="K312" s="60"/>
      <c r="L312" s="60"/>
      <c r="M312" s="60"/>
      <c r="N312" s="60"/>
      <c r="O312" s="60"/>
      <c r="P312" s="60"/>
      <c r="Q312" s="60"/>
      <c r="R312" s="60"/>
      <c r="S312" s="60"/>
      <c r="T312" s="60"/>
      <c r="U312" s="60"/>
      <c r="V312" s="60"/>
      <c r="W312" s="60"/>
      <c r="X312" s="60"/>
      <c r="Y312" s="60"/>
      <c r="Z312" s="60"/>
    </row>
    <row r="313">
      <c r="A313" s="149"/>
      <c r="B313" s="150"/>
      <c r="C313" s="151"/>
      <c r="D313" s="140"/>
      <c r="E313" s="152"/>
      <c r="F313" s="60"/>
      <c r="G313" s="60"/>
      <c r="H313" s="60"/>
      <c r="I313" s="60"/>
      <c r="J313" s="60"/>
      <c r="K313" s="60"/>
      <c r="L313" s="60"/>
      <c r="M313" s="60"/>
      <c r="N313" s="60"/>
      <c r="O313" s="60"/>
      <c r="P313" s="60"/>
      <c r="Q313" s="60"/>
      <c r="R313" s="60"/>
      <c r="S313" s="60"/>
      <c r="T313" s="60"/>
      <c r="U313" s="60"/>
      <c r="V313" s="60"/>
      <c r="W313" s="60"/>
      <c r="X313" s="60"/>
      <c r="Y313" s="60"/>
      <c r="Z313" s="60"/>
    </row>
    <row r="314">
      <c r="A314" s="149"/>
      <c r="B314" s="150"/>
      <c r="C314" s="151"/>
      <c r="D314" s="140"/>
      <c r="E314" s="152"/>
      <c r="F314" s="60"/>
      <c r="G314" s="60"/>
      <c r="H314" s="60"/>
      <c r="I314" s="60"/>
      <c r="J314" s="60"/>
      <c r="K314" s="60"/>
      <c r="L314" s="60"/>
      <c r="M314" s="60"/>
      <c r="N314" s="60"/>
      <c r="O314" s="60"/>
      <c r="P314" s="60"/>
      <c r="Q314" s="60"/>
      <c r="R314" s="60"/>
      <c r="S314" s="60"/>
      <c r="T314" s="60"/>
      <c r="U314" s="60"/>
      <c r="V314" s="60"/>
      <c r="W314" s="60"/>
      <c r="X314" s="60"/>
      <c r="Y314" s="60"/>
      <c r="Z314" s="60"/>
    </row>
    <row r="315">
      <c r="A315" s="149"/>
      <c r="B315" s="150"/>
      <c r="C315" s="151"/>
      <c r="D315" s="140"/>
      <c r="E315" s="152"/>
      <c r="F315" s="60"/>
      <c r="G315" s="60"/>
      <c r="H315" s="60"/>
      <c r="I315" s="60"/>
      <c r="J315" s="60"/>
      <c r="K315" s="60"/>
      <c r="L315" s="60"/>
      <c r="M315" s="60"/>
      <c r="N315" s="60"/>
      <c r="O315" s="60"/>
      <c r="P315" s="60"/>
      <c r="Q315" s="60"/>
      <c r="R315" s="60"/>
      <c r="S315" s="60"/>
      <c r="T315" s="60"/>
      <c r="U315" s="60"/>
      <c r="V315" s="60"/>
      <c r="W315" s="60"/>
      <c r="X315" s="60"/>
      <c r="Y315" s="60"/>
      <c r="Z315" s="60"/>
    </row>
    <row r="316">
      <c r="A316" s="149"/>
      <c r="B316" s="150"/>
      <c r="C316" s="151"/>
      <c r="D316" s="140"/>
      <c r="E316" s="152"/>
      <c r="F316" s="60"/>
      <c r="G316" s="60"/>
      <c r="H316" s="60"/>
      <c r="I316" s="60"/>
      <c r="J316" s="60"/>
      <c r="K316" s="60"/>
      <c r="L316" s="60"/>
      <c r="M316" s="60"/>
      <c r="N316" s="60"/>
      <c r="O316" s="60"/>
      <c r="P316" s="60"/>
      <c r="Q316" s="60"/>
      <c r="R316" s="60"/>
      <c r="S316" s="60"/>
      <c r="T316" s="60"/>
      <c r="U316" s="60"/>
      <c r="V316" s="60"/>
      <c r="W316" s="60"/>
      <c r="X316" s="60"/>
      <c r="Y316" s="60"/>
      <c r="Z316" s="60"/>
    </row>
    <row r="317">
      <c r="A317" s="149"/>
      <c r="B317" s="150"/>
      <c r="C317" s="151"/>
      <c r="D317" s="140"/>
      <c r="E317" s="152"/>
      <c r="F317" s="60"/>
      <c r="G317" s="60"/>
      <c r="H317" s="60"/>
      <c r="I317" s="60"/>
      <c r="J317" s="60"/>
      <c r="K317" s="60"/>
      <c r="L317" s="60"/>
      <c r="M317" s="60"/>
      <c r="N317" s="60"/>
      <c r="O317" s="60"/>
      <c r="P317" s="60"/>
      <c r="Q317" s="60"/>
      <c r="R317" s="60"/>
      <c r="S317" s="60"/>
      <c r="T317" s="60"/>
      <c r="U317" s="60"/>
      <c r="V317" s="60"/>
      <c r="W317" s="60"/>
      <c r="X317" s="60"/>
      <c r="Y317" s="60"/>
      <c r="Z317" s="60"/>
    </row>
    <row r="318">
      <c r="A318" s="149"/>
      <c r="B318" s="150"/>
      <c r="C318" s="151"/>
      <c r="D318" s="140"/>
      <c r="E318" s="152"/>
      <c r="F318" s="60"/>
      <c r="G318" s="60"/>
      <c r="H318" s="60"/>
      <c r="I318" s="60"/>
      <c r="J318" s="60"/>
      <c r="K318" s="60"/>
      <c r="L318" s="60"/>
      <c r="M318" s="60"/>
      <c r="N318" s="60"/>
      <c r="O318" s="60"/>
      <c r="P318" s="60"/>
      <c r="Q318" s="60"/>
      <c r="R318" s="60"/>
      <c r="S318" s="60"/>
      <c r="T318" s="60"/>
      <c r="U318" s="60"/>
      <c r="V318" s="60"/>
      <c r="W318" s="60"/>
      <c r="X318" s="60"/>
      <c r="Y318" s="60"/>
      <c r="Z318" s="60"/>
    </row>
    <row r="319">
      <c r="A319" s="149"/>
      <c r="B319" s="150"/>
      <c r="C319" s="151"/>
      <c r="D319" s="140"/>
      <c r="E319" s="152"/>
      <c r="F319" s="60"/>
      <c r="G319" s="60"/>
      <c r="H319" s="60"/>
      <c r="I319" s="60"/>
      <c r="J319" s="60"/>
      <c r="K319" s="60"/>
      <c r="L319" s="60"/>
      <c r="M319" s="60"/>
      <c r="N319" s="60"/>
      <c r="O319" s="60"/>
      <c r="P319" s="60"/>
      <c r="Q319" s="60"/>
      <c r="R319" s="60"/>
      <c r="S319" s="60"/>
      <c r="T319" s="60"/>
      <c r="U319" s="60"/>
      <c r="V319" s="60"/>
      <c r="W319" s="60"/>
      <c r="X319" s="60"/>
      <c r="Y319" s="60"/>
      <c r="Z319" s="60"/>
    </row>
    <row r="320">
      <c r="A320" s="149"/>
      <c r="B320" s="150"/>
      <c r="C320" s="151"/>
      <c r="D320" s="140"/>
      <c r="E320" s="152"/>
      <c r="F320" s="60"/>
      <c r="G320" s="60"/>
      <c r="H320" s="60"/>
      <c r="I320" s="60"/>
      <c r="J320" s="60"/>
      <c r="K320" s="60"/>
      <c r="L320" s="60"/>
      <c r="M320" s="60"/>
      <c r="N320" s="60"/>
      <c r="O320" s="60"/>
      <c r="P320" s="60"/>
      <c r="Q320" s="60"/>
      <c r="R320" s="60"/>
      <c r="S320" s="60"/>
      <c r="T320" s="60"/>
      <c r="U320" s="60"/>
      <c r="V320" s="60"/>
      <c r="W320" s="60"/>
      <c r="X320" s="60"/>
      <c r="Y320" s="60"/>
      <c r="Z320" s="60"/>
    </row>
    <row r="321">
      <c r="A321" s="149"/>
      <c r="B321" s="150"/>
      <c r="C321" s="151"/>
      <c r="D321" s="140"/>
      <c r="E321" s="152"/>
      <c r="F321" s="60"/>
      <c r="G321" s="60"/>
      <c r="H321" s="60"/>
      <c r="I321" s="60"/>
      <c r="J321" s="60"/>
      <c r="K321" s="60"/>
      <c r="L321" s="60"/>
      <c r="M321" s="60"/>
      <c r="N321" s="60"/>
      <c r="O321" s="60"/>
      <c r="P321" s="60"/>
      <c r="Q321" s="60"/>
      <c r="R321" s="60"/>
      <c r="S321" s="60"/>
      <c r="T321" s="60"/>
      <c r="U321" s="60"/>
      <c r="V321" s="60"/>
      <c r="W321" s="60"/>
      <c r="X321" s="60"/>
      <c r="Y321" s="60"/>
      <c r="Z321" s="60"/>
    </row>
    <row r="322">
      <c r="A322" s="149"/>
      <c r="B322" s="150"/>
      <c r="C322" s="151"/>
      <c r="D322" s="140"/>
      <c r="E322" s="152"/>
      <c r="F322" s="60"/>
      <c r="G322" s="60"/>
      <c r="H322" s="60"/>
      <c r="I322" s="60"/>
      <c r="J322" s="60"/>
      <c r="K322" s="60"/>
      <c r="L322" s="60"/>
      <c r="M322" s="60"/>
      <c r="N322" s="60"/>
      <c r="O322" s="60"/>
      <c r="P322" s="60"/>
      <c r="Q322" s="60"/>
      <c r="R322" s="60"/>
      <c r="S322" s="60"/>
      <c r="T322" s="60"/>
      <c r="U322" s="60"/>
      <c r="V322" s="60"/>
      <c r="W322" s="60"/>
      <c r="X322" s="60"/>
      <c r="Y322" s="60"/>
      <c r="Z322" s="60"/>
    </row>
    <row r="323">
      <c r="A323" s="149"/>
      <c r="B323" s="150"/>
      <c r="C323" s="151"/>
      <c r="D323" s="140"/>
      <c r="E323" s="152"/>
      <c r="F323" s="60"/>
      <c r="G323" s="60"/>
      <c r="H323" s="60"/>
      <c r="I323" s="60"/>
      <c r="J323" s="60"/>
      <c r="K323" s="60"/>
      <c r="L323" s="60"/>
      <c r="M323" s="60"/>
      <c r="N323" s="60"/>
      <c r="O323" s="60"/>
      <c r="P323" s="60"/>
      <c r="Q323" s="60"/>
      <c r="R323" s="60"/>
      <c r="S323" s="60"/>
      <c r="T323" s="60"/>
      <c r="U323" s="60"/>
      <c r="V323" s="60"/>
      <c r="W323" s="60"/>
      <c r="X323" s="60"/>
      <c r="Y323" s="60"/>
      <c r="Z323" s="60"/>
    </row>
    <row r="324">
      <c r="A324" s="149"/>
      <c r="B324" s="150"/>
      <c r="C324" s="151"/>
      <c r="D324" s="140"/>
      <c r="E324" s="152"/>
      <c r="F324" s="60"/>
      <c r="G324" s="60"/>
      <c r="H324" s="60"/>
      <c r="I324" s="60"/>
      <c r="J324" s="60"/>
      <c r="K324" s="60"/>
      <c r="L324" s="60"/>
      <c r="M324" s="60"/>
      <c r="N324" s="60"/>
      <c r="O324" s="60"/>
      <c r="P324" s="60"/>
      <c r="Q324" s="60"/>
      <c r="R324" s="60"/>
      <c r="S324" s="60"/>
      <c r="T324" s="60"/>
      <c r="U324" s="60"/>
      <c r="V324" s="60"/>
      <c r="W324" s="60"/>
      <c r="X324" s="60"/>
      <c r="Y324" s="60"/>
      <c r="Z324" s="60"/>
    </row>
    <row r="325">
      <c r="A325" s="149"/>
      <c r="B325" s="150"/>
      <c r="C325" s="151"/>
      <c r="D325" s="140"/>
      <c r="E325" s="152"/>
      <c r="F325" s="60"/>
      <c r="G325" s="60"/>
      <c r="H325" s="60"/>
      <c r="I325" s="60"/>
      <c r="J325" s="60"/>
      <c r="K325" s="60"/>
      <c r="L325" s="60"/>
      <c r="M325" s="60"/>
      <c r="N325" s="60"/>
      <c r="O325" s="60"/>
      <c r="P325" s="60"/>
      <c r="Q325" s="60"/>
      <c r="R325" s="60"/>
      <c r="S325" s="60"/>
      <c r="T325" s="60"/>
      <c r="U325" s="60"/>
      <c r="V325" s="60"/>
      <c r="W325" s="60"/>
      <c r="X325" s="60"/>
      <c r="Y325" s="60"/>
      <c r="Z325" s="60"/>
    </row>
    <row r="326">
      <c r="A326" s="149"/>
      <c r="B326" s="150"/>
      <c r="C326" s="151"/>
      <c r="D326" s="140"/>
      <c r="E326" s="152"/>
      <c r="F326" s="60"/>
      <c r="G326" s="60"/>
      <c r="H326" s="60"/>
      <c r="I326" s="60"/>
      <c r="J326" s="60"/>
      <c r="K326" s="60"/>
      <c r="L326" s="60"/>
      <c r="M326" s="60"/>
      <c r="N326" s="60"/>
      <c r="O326" s="60"/>
      <c r="P326" s="60"/>
      <c r="Q326" s="60"/>
      <c r="R326" s="60"/>
      <c r="S326" s="60"/>
      <c r="T326" s="60"/>
      <c r="U326" s="60"/>
      <c r="V326" s="60"/>
      <c r="W326" s="60"/>
      <c r="X326" s="60"/>
      <c r="Y326" s="60"/>
      <c r="Z326" s="60"/>
    </row>
    <row r="327">
      <c r="A327" s="149"/>
      <c r="B327" s="150"/>
      <c r="C327" s="151"/>
      <c r="D327" s="140"/>
      <c r="E327" s="152"/>
      <c r="F327" s="60"/>
      <c r="G327" s="60"/>
      <c r="H327" s="60"/>
      <c r="I327" s="60"/>
      <c r="J327" s="60"/>
      <c r="K327" s="60"/>
      <c r="L327" s="60"/>
      <c r="M327" s="60"/>
      <c r="N327" s="60"/>
      <c r="O327" s="60"/>
      <c r="P327" s="60"/>
      <c r="Q327" s="60"/>
      <c r="R327" s="60"/>
      <c r="S327" s="60"/>
      <c r="T327" s="60"/>
      <c r="U327" s="60"/>
      <c r="V327" s="60"/>
      <c r="W327" s="60"/>
      <c r="X327" s="60"/>
      <c r="Y327" s="60"/>
      <c r="Z327" s="60"/>
    </row>
    <row r="328">
      <c r="A328" s="149"/>
      <c r="B328" s="150"/>
      <c r="C328" s="151"/>
      <c r="D328" s="140"/>
      <c r="E328" s="152"/>
      <c r="F328" s="60"/>
      <c r="G328" s="60"/>
      <c r="H328" s="60"/>
      <c r="I328" s="60"/>
      <c r="J328" s="60"/>
      <c r="K328" s="60"/>
      <c r="L328" s="60"/>
      <c r="M328" s="60"/>
      <c r="N328" s="60"/>
      <c r="O328" s="60"/>
      <c r="P328" s="60"/>
      <c r="Q328" s="60"/>
      <c r="R328" s="60"/>
      <c r="S328" s="60"/>
      <c r="T328" s="60"/>
      <c r="U328" s="60"/>
      <c r="V328" s="60"/>
      <c r="W328" s="60"/>
      <c r="X328" s="60"/>
      <c r="Y328" s="60"/>
      <c r="Z328" s="60"/>
    </row>
    <row r="329">
      <c r="A329" s="149"/>
      <c r="B329" s="150"/>
      <c r="C329" s="151"/>
      <c r="D329" s="140"/>
      <c r="E329" s="152"/>
      <c r="F329" s="60"/>
      <c r="G329" s="60"/>
      <c r="H329" s="60"/>
      <c r="I329" s="60"/>
      <c r="J329" s="60"/>
      <c r="K329" s="60"/>
      <c r="L329" s="60"/>
      <c r="M329" s="60"/>
      <c r="N329" s="60"/>
      <c r="O329" s="60"/>
      <c r="P329" s="60"/>
      <c r="Q329" s="60"/>
      <c r="R329" s="60"/>
      <c r="S329" s="60"/>
      <c r="T329" s="60"/>
      <c r="U329" s="60"/>
      <c r="V329" s="60"/>
      <c r="W329" s="60"/>
      <c r="X329" s="60"/>
      <c r="Y329" s="60"/>
      <c r="Z329" s="60"/>
    </row>
    <row r="330">
      <c r="A330" s="149"/>
      <c r="B330" s="150"/>
      <c r="C330" s="151"/>
      <c r="D330" s="140"/>
      <c r="E330" s="152"/>
      <c r="F330" s="60"/>
      <c r="G330" s="60"/>
      <c r="H330" s="60"/>
      <c r="I330" s="60"/>
      <c r="J330" s="60"/>
      <c r="K330" s="60"/>
      <c r="L330" s="60"/>
      <c r="M330" s="60"/>
      <c r="N330" s="60"/>
      <c r="O330" s="60"/>
      <c r="P330" s="60"/>
      <c r="Q330" s="60"/>
      <c r="R330" s="60"/>
      <c r="S330" s="60"/>
      <c r="T330" s="60"/>
      <c r="U330" s="60"/>
      <c r="V330" s="60"/>
      <c r="W330" s="60"/>
      <c r="X330" s="60"/>
      <c r="Y330" s="60"/>
      <c r="Z330" s="60"/>
    </row>
    <row r="331">
      <c r="A331" s="149"/>
      <c r="B331" s="150"/>
      <c r="C331" s="151"/>
      <c r="D331" s="140"/>
      <c r="E331" s="152"/>
      <c r="F331" s="60"/>
      <c r="G331" s="60"/>
      <c r="H331" s="60"/>
      <c r="I331" s="60"/>
      <c r="J331" s="60"/>
      <c r="K331" s="60"/>
      <c r="L331" s="60"/>
      <c r="M331" s="60"/>
      <c r="N331" s="60"/>
      <c r="O331" s="60"/>
      <c r="P331" s="60"/>
      <c r="Q331" s="60"/>
      <c r="R331" s="60"/>
      <c r="S331" s="60"/>
      <c r="T331" s="60"/>
      <c r="U331" s="60"/>
      <c r="V331" s="60"/>
      <c r="W331" s="60"/>
      <c r="X331" s="60"/>
      <c r="Y331" s="60"/>
      <c r="Z331" s="60"/>
    </row>
    <row r="332">
      <c r="A332" s="149"/>
      <c r="B332" s="150"/>
      <c r="C332" s="151"/>
      <c r="D332" s="140"/>
      <c r="E332" s="152"/>
      <c r="F332" s="60"/>
      <c r="G332" s="60"/>
      <c r="H332" s="60"/>
      <c r="I332" s="60"/>
      <c r="J332" s="60"/>
      <c r="K332" s="60"/>
      <c r="L332" s="60"/>
      <c r="M332" s="60"/>
      <c r="N332" s="60"/>
      <c r="O332" s="60"/>
      <c r="P332" s="60"/>
      <c r="Q332" s="60"/>
      <c r="R332" s="60"/>
      <c r="S332" s="60"/>
      <c r="T332" s="60"/>
      <c r="U332" s="60"/>
      <c r="V332" s="60"/>
      <c r="W332" s="60"/>
      <c r="X332" s="60"/>
      <c r="Y332" s="60"/>
      <c r="Z332" s="60"/>
    </row>
    <row r="333">
      <c r="A333" s="149"/>
      <c r="B333" s="150"/>
      <c r="C333" s="151"/>
      <c r="D333" s="140"/>
      <c r="E333" s="152"/>
      <c r="F333" s="60"/>
      <c r="G333" s="60"/>
      <c r="H333" s="60"/>
      <c r="I333" s="60"/>
      <c r="J333" s="60"/>
      <c r="K333" s="60"/>
      <c r="L333" s="60"/>
      <c r="M333" s="60"/>
      <c r="N333" s="60"/>
      <c r="O333" s="60"/>
      <c r="P333" s="60"/>
      <c r="Q333" s="60"/>
      <c r="R333" s="60"/>
      <c r="S333" s="60"/>
      <c r="T333" s="60"/>
      <c r="U333" s="60"/>
      <c r="V333" s="60"/>
      <c r="W333" s="60"/>
      <c r="X333" s="60"/>
      <c r="Y333" s="60"/>
      <c r="Z333" s="60"/>
    </row>
    <row r="334">
      <c r="A334" s="149"/>
      <c r="B334" s="150"/>
      <c r="C334" s="151"/>
      <c r="D334" s="140"/>
      <c r="E334" s="152"/>
      <c r="F334" s="60"/>
      <c r="G334" s="60"/>
      <c r="H334" s="60"/>
      <c r="I334" s="60"/>
      <c r="J334" s="60"/>
      <c r="K334" s="60"/>
      <c r="L334" s="60"/>
      <c r="M334" s="60"/>
      <c r="N334" s="60"/>
      <c r="O334" s="60"/>
      <c r="P334" s="60"/>
      <c r="Q334" s="60"/>
      <c r="R334" s="60"/>
      <c r="S334" s="60"/>
      <c r="T334" s="60"/>
      <c r="U334" s="60"/>
      <c r="V334" s="60"/>
      <c r="W334" s="60"/>
      <c r="X334" s="60"/>
      <c r="Y334" s="60"/>
      <c r="Z334" s="60"/>
    </row>
    <row r="335">
      <c r="A335" s="149"/>
      <c r="B335" s="150"/>
      <c r="C335" s="151"/>
      <c r="D335" s="140"/>
      <c r="E335" s="152"/>
      <c r="F335" s="60"/>
      <c r="G335" s="60"/>
      <c r="H335" s="60"/>
      <c r="I335" s="60"/>
      <c r="J335" s="60"/>
      <c r="K335" s="60"/>
      <c r="L335" s="60"/>
      <c r="M335" s="60"/>
      <c r="N335" s="60"/>
      <c r="O335" s="60"/>
      <c r="P335" s="60"/>
      <c r="Q335" s="60"/>
      <c r="R335" s="60"/>
      <c r="S335" s="60"/>
      <c r="T335" s="60"/>
      <c r="U335" s="60"/>
      <c r="V335" s="60"/>
      <c r="W335" s="60"/>
      <c r="X335" s="60"/>
      <c r="Y335" s="60"/>
      <c r="Z335" s="60"/>
    </row>
    <row r="336">
      <c r="A336" s="149"/>
      <c r="B336" s="150"/>
      <c r="C336" s="151"/>
      <c r="D336" s="140"/>
      <c r="E336" s="152"/>
      <c r="F336" s="60"/>
      <c r="G336" s="60"/>
      <c r="H336" s="60"/>
      <c r="I336" s="60"/>
      <c r="J336" s="60"/>
      <c r="K336" s="60"/>
      <c r="L336" s="60"/>
      <c r="M336" s="60"/>
      <c r="N336" s="60"/>
      <c r="O336" s="60"/>
      <c r="P336" s="60"/>
      <c r="Q336" s="60"/>
      <c r="R336" s="60"/>
      <c r="S336" s="60"/>
      <c r="T336" s="60"/>
      <c r="U336" s="60"/>
      <c r="V336" s="60"/>
      <c r="W336" s="60"/>
      <c r="X336" s="60"/>
      <c r="Y336" s="60"/>
      <c r="Z336" s="60"/>
    </row>
    <row r="337">
      <c r="A337" s="149"/>
      <c r="B337" s="150"/>
      <c r="C337" s="151"/>
      <c r="D337" s="140"/>
      <c r="E337" s="152"/>
      <c r="F337" s="60"/>
      <c r="G337" s="60"/>
      <c r="H337" s="60"/>
      <c r="I337" s="60"/>
      <c r="J337" s="60"/>
      <c r="K337" s="60"/>
      <c r="L337" s="60"/>
      <c r="M337" s="60"/>
      <c r="N337" s="60"/>
      <c r="O337" s="60"/>
      <c r="P337" s="60"/>
      <c r="Q337" s="60"/>
      <c r="R337" s="60"/>
      <c r="S337" s="60"/>
      <c r="T337" s="60"/>
      <c r="U337" s="60"/>
      <c r="V337" s="60"/>
      <c r="W337" s="60"/>
      <c r="X337" s="60"/>
      <c r="Y337" s="60"/>
      <c r="Z337" s="60"/>
    </row>
    <row r="338">
      <c r="A338" s="149"/>
      <c r="B338" s="150"/>
      <c r="C338" s="151"/>
      <c r="D338" s="140"/>
      <c r="E338" s="152"/>
      <c r="F338" s="60"/>
      <c r="G338" s="60"/>
      <c r="H338" s="60"/>
      <c r="I338" s="60"/>
      <c r="J338" s="60"/>
      <c r="K338" s="60"/>
      <c r="L338" s="60"/>
      <c r="M338" s="60"/>
      <c r="N338" s="60"/>
      <c r="O338" s="60"/>
      <c r="P338" s="60"/>
      <c r="Q338" s="60"/>
      <c r="R338" s="60"/>
      <c r="S338" s="60"/>
      <c r="T338" s="60"/>
      <c r="U338" s="60"/>
      <c r="V338" s="60"/>
      <c r="W338" s="60"/>
      <c r="X338" s="60"/>
      <c r="Y338" s="60"/>
      <c r="Z338" s="60"/>
    </row>
    <row r="339">
      <c r="A339" s="149"/>
      <c r="B339" s="150"/>
      <c r="C339" s="151"/>
      <c r="D339" s="140"/>
      <c r="E339" s="152"/>
      <c r="F339" s="60"/>
      <c r="G339" s="60"/>
      <c r="H339" s="60"/>
      <c r="I339" s="60"/>
      <c r="J339" s="60"/>
      <c r="K339" s="60"/>
      <c r="L339" s="60"/>
      <c r="M339" s="60"/>
      <c r="N339" s="60"/>
      <c r="O339" s="60"/>
      <c r="P339" s="60"/>
      <c r="Q339" s="60"/>
      <c r="R339" s="60"/>
      <c r="S339" s="60"/>
      <c r="T339" s="60"/>
      <c r="U339" s="60"/>
      <c r="V339" s="60"/>
      <c r="W339" s="60"/>
      <c r="X339" s="60"/>
      <c r="Y339" s="60"/>
      <c r="Z339" s="60"/>
    </row>
    <row r="340">
      <c r="A340" s="149"/>
      <c r="B340" s="150"/>
      <c r="C340" s="151"/>
      <c r="D340" s="140"/>
      <c r="E340" s="152"/>
      <c r="F340" s="60"/>
      <c r="G340" s="60"/>
      <c r="H340" s="60"/>
      <c r="I340" s="60"/>
      <c r="J340" s="60"/>
      <c r="K340" s="60"/>
      <c r="L340" s="60"/>
      <c r="M340" s="60"/>
      <c r="N340" s="60"/>
      <c r="O340" s="60"/>
      <c r="P340" s="60"/>
      <c r="Q340" s="60"/>
      <c r="R340" s="60"/>
      <c r="S340" s="60"/>
      <c r="T340" s="60"/>
      <c r="U340" s="60"/>
      <c r="V340" s="60"/>
      <c r="W340" s="60"/>
      <c r="X340" s="60"/>
      <c r="Y340" s="60"/>
      <c r="Z340" s="60"/>
    </row>
    <row r="341">
      <c r="A341" s="149"/>
      <c r="B341" s="150"/>
      <c r="C341" s="151"/>
      <c r="D341" s="140"/>
      <c r="E341" s="152"/>
      <c r="F341" s="60"/>
      <c r="G341" s="60"/>
      <c r="H341" s="60"/>
      <c r="I341" s="60"/>
      <c r="J341" s="60"/>
      <c r="K341" s="60"/>
      <c r="L341" s="60"/>
      <c r="M341" s="60"/>
      <c r="N341" s="60"/>
      <c r="O341" s="60"/>
      <c r="P341" s="60"/>
      <c r="Q341" s="60"/>
      <c r="R341" s="60"/>
      <c r="S341" s="60"/>
      <c r="T341" s="60"/>
      <c r="U341" s="60"/>
      <c r="V341" s="60"/>
      <c r="W341" s="60"/>
      <c r="X341" s="60"/>
      <c r="Y341" s="60"/>
      <c r="Z341" s="60"/>
    </row>
    <row r="342">
      <c r="A342" s="149"/>
      <c r="B342" s="150"/>
      <c r="C342" s="151"/>
      <c r="D342" s="140"/>
      <c r="E342" s="152"/>
      <c r="F342" s="60"/>
      <c r="G342" s="60"/>
      <c r="H342" s="60"/>
      <c r="I342" s="60"/>
      <c r="J342" s="60"/>
      <c r="K342" s="60"/>
      <c r="L342" s="60"/>
      <c r="M342" s="60"/>
      <c r="N342" s="60"/>
      <c r="O342" s="60"/>
      <c r="P342" s="60"/>
      <c r="Q342" s="60"/>
      <c r="R342" s="60"/>
      <c r="S342" s="60"/>
      <c r="T342" s="60"/>
      <c r="U342" s="60"/>
      <c r="V342" s="60"/>
      <c r="W342" s="60"/>
      <c r="X342" s="60"/>
      <c r="Y342" s="60"/>
      <c r="Z342" s="60"/>
    </row>
    <row r="343">
      <c r="A343" s="149"/>
      <c r="B343" s="150"/>
      <c r="C343" s="151"/>
      <c r="D343" s="140"/>
      <c r="E343" s="152"/>
      <c r="F343" s="60"/>
      <c r="G343" s="60"/>
      <c r="H343" s="60"/>
      <c r="I343" s="60"/>
      <c r="J343" s="60"/>
      <c r="K343" s="60"/>
      <c r="L343" s="60"/>
      <c r="M343" s="60"/>
      <c r="N343" s="60"/>
      <c r="O343" s="60"/>
      <c r="P343" s="60"/>
      <c r="Q343" s="60"/>
      <c r="R343" s="60"/>
      <c r="S343" s="60"/>
      <c r="T343" s="60"/>
      <c r="U343" s="60"/>
      <c r="V343" s="60"/>
      <c r="W343" s="60"/>
      <c r="X343" s="60"/>
      <c r="Y343" s="60"/>
      <c r="Z343" s="60"/>
    </row>
    <row r="344">
      <c r="A344" s="149"/>
      <c r="B344" s="150"/>
      <c r="C344" s="151"/>
      <c r="D344" s="140"/>
      <c r="E344" s="152"/>
      <c r="F344" s="60"/>
      <c r="G344" s="60"/>
      <c r="H344" s="60"/>
      <c r="I344" s="60"/>
      <c r="J344" s="60"/>
      <c r="K344" s="60"/>
      <c r="L344" s="60"/>
      <c r="M344" s="60"/>
      <c r="N344" s="60"/>
      <c r="O344" s="60"/>
      <c r="P344" s="60"/>
      <c r="Q344" s="60"/>
      <c r="R344" s="60"/>
      <c r="S344" s="60"/>
      <c r="T344" s="60"/>
      <c r="U344" s="60"/>
      <c r="V344" s="60"/>
      <c r="W344" s="60"/>
      <c r="X344" s="60"/>
      <c r="Y344" s="60"/>
      <c r="Z344" s="60"/>
    </row>
    <row r="345">
      <c r="A345" s="149"/>
      <c r="B345" s="150"/>
      <c r="C345" s="151"/>
      <c r="D345" s="140"/>
      <c r="E345" s="152"/>
      <c r="F345" s="60"/>
      <c r="G345" s="60"/>
      <c r="H345" s="60"/>
      <c r="I345" s="60"/>
      <c r="J345" s="60"/>
      <c r="K345" s="60"/>
      <c r="L345" s="60"/>
      <c r="M345" s="60"/>
      <c r="N345" s="60"/>
      <c r="O345" s="60"/>
      <c r="P345" s="60"/>
      <c r="Q345" s="60"/>
      <c r="R345" s="60"/>
      <c r="S345" s="60"/>
      <c r="T345" s="60"/>
      <c r="U345" s="60"/>
      <c r="V345" s="60"/>
      <c r="W345" s="60"/>
      <c r="X345" s="60"/>
      <c r="Y345" s="60"/>
      <c r="Z345" s="60"/>
    </row>
    <row r="346">
      <c r="A346" s="149"/>
      <c r="B346" s="150"/>
      <c r="C346" s="151"/>
      <c r="D346" s="140"/>
      <c r="E346" s="152"/>
      <c r="F346" s="60"/>
      <c r="G346" s="60"/>
      <c r="H346" s="60"/>
      <c r="I346" s="60"/>
      <c r="J346" s="60"/>
      <c r="K346" s="60"/>
      <c r="L346" s="60"/>
      <c r="M346" s="60"/>
      <c r="N346" s="60"/>
      <c r="O346" s="60"/>
      <c r="P346" s="60"/>
      <c r="Q346" s="60"/>
      <c r="R346" s="60"/>
      <c r="S346" s="60"/>
      <c r="T346" s="60"/>
      <c r="U346" s="60"/>
      <c r="V346" s="60"/>
      <c r="W346" s="60"/>
      <c r="X346" s="60"/>
      <c r="Y346" s="60"/>
      <c r="Z346" s="60"/>
    </row>
    <row r="347">
      <c r="A347" s="149"/>
      <c r="B347" s="150"/>
      <c r="C347" s="151"/>
      <c r="D347" s="140"/>
      <c r="E347" s="152"/>
      <c r="F347" s="60"/>
      <c r="G347" s="60"/>
      <c r="H347" s="60"/>
      <c r="I347" s="60"/>
      <c r="J347" s="60"/>
      <c r="K347" s="60"/>
      <c r="L347" s="60"/>
      <c r="M347" s="60"/>
      <c r="N347" s="60"/>
      <c r="O347" s="60"/>
      <c r="P347" s="60"/>
      <c r="Q347" s="60"/>
      <c r="R347" s="60"/>
      <c r="S347" s="60"/>
      <c r="T347" s="60"/>
      <c r="U347" s="60"/>
      <c r="V347" s="60"/>
      <c r="W347" s="60"/>
      <c r="X347" s="60"/>
      <c r="Y347" s="60"/>
      <c r="Z347" s="60"/>
    </row>
    <row r="348">
      <c r="A348" s="149"/>
      <c r="B348" s="150"/>
      <c r="C348" s="151"/>
      <c r="D348" s="140"/>
      <c r="E348" s="152"/>
      <c r="F348" s="60"/>
      <c r="G348" s="60"/>
      <c r="H348" s="60"/>
      <c r="I348" s="60"/>
      <c r="J348" s="60"/>
      <c r="K348" s="60"/>
      <c r="L348" s="60"/>
      <c r="M348" s="60"/>
      <c r="N348" s="60"/>
      <c r="O348" s="60"/>
      <c r="P348" s="60"/>
      <c r="Q348" s="60"/>
      <c r="R348" s="60"/>
      <c r="S348" s="60"/>
      <c r="T348" s="60"/>
      <c r="U348" s="60"/>
      <c r="V348" s="60"/>
      <c r="W348" s="60"/>
      <c r="X348" s="60"/>
      <c r="Y348" s="60"/>
      <c r="Z348" s="60"/>
    </row>
    <row r="349">
      <c r="A349" s="149"/>
      <c r="B349" s="150"/>
      <c r="C349" s="151"/>
      <c r="D349" s="140"/>
      <c r="E349" s="152"/>
      <c r="F349" s="60"/>
      <c r="G349" s="60"/>
      <c r="H349" s="60"/>
      <c r="I349" s="60"/>
      <c r="J349" s="60"/>
      <c r="K349" s="60"/>
      <c r="L349" s="60"/>
      <c r="M349" s="60"/>
      <c r="N349" s="60"/>
      <c r="O349" s="60"/>
      <c r="P349" s="60"/>
      <c r="Q349" s="60"/>
      <c r="R349" s="60"/>
      <c r="S349" s="60"/>
      <c r="T349" s="60"/>
      <c r="U349" s="60"/>
      <c r="V349" s="60"/>
      <c r="W349" s="60"/>
      <c r="X349" s="60"/>
      <c r="Y349" s="60"/>
      <c r="Z349" s="60"/>
    </row>
    <row r="350">
      <c r="A350" s="149"/>
      <c r="B350" s="150"/>
      <c r="C350" s="151"/>
      <c r="D350" s="140"/>
      <c r="E350" s="152"/>
      <c r="F350" s="60"/>
      <c r="G350" s="60"/>
      <c r="H350" s="60"/>
      <c r="I350" s="60"/>
      <c r="J350" s="60"/>
      <c r="K350" s="60"/>
      <c r="L350" s="60"/>
      <c r="M350" s="60"/>
      <c r="N350" s="60"/>
      <c r="O350" s="60"/>
      <c r="P350" s="60"/>
      <c r="Q350" s="60"/>
      <c r="R350" s="60"/>
      <c r="S350" s="60"/>
      <c r="T350" s="60"/>
      <c r="U350" s="60"/>
      <c r="V350" s="60"/>
      <c r="W350" s="60"/>
      <c r="X350" s="60"/>
      <c r="Y350" s="60"/>
      <c r="Z350" s="60"/>
    </row>
    <row r="351">
      <c r="A351" s="149"/>
      <c r="B351" s="150"/>
      <c r="C351" s="151"/>
      <c r="D351" s="140"/>
      <c r="E351" s="152"/>
      <c r="F351" s="60"/>
      <c r="G351" s="60"/>
      <c r="H351" s="60"/>
      <c r="I351" s="60"/>
      <c r="J351" s="60"/>
      <c r="K351" s="60"/>
      <c r="L351" s="60"/>
      <c r="M351" s="60"/>
      <c r="N351" s="60"/>
      <c r="O351" s="60"/>
      <c r="P351" s="60"/>
      <c r="Q351" s="60"/>
      <c r="R351" s="60"/>
      <c r="S351" s="60"/>
      <c r="T351" s="60"/>
      <c r="U351" s="60"/>
      <c r="V351" s="60"/>
      <c r="W351" s="60"/>
      <c r="X351" s="60"/>
      <c r="Y351" s="60"/>
      <c r="Z351" s="60"/>
    </row>
    <row r="352">
      <c r="A352" s="149"/>
      <c r="B352" s="150"/>
      <c r="C352" s="151"/>
      <c r="D352" s="140"/>
      <c r="E352" s="152"/>
      <c r="F352" s="60"/>
      <c r="G352" s="60"/>
      <c r="H352" s="60"/>
      <c r="I352" s="60"/>
      <c r="J352" s="60"/>
      <c r="K352" s="60"/>
      <c r="L352" s="60"/>
      <c r="M352" s="60"/>
      <c r="N352" s="60"/>
      <c r="O352" s="60"/>
      <c r="P352" s="60"/>
      <c r="Q352" s="60"/>
      <c r="R352" s="60"/>
      <c r="S352" s="60"/>
      <c r="T352" s="60"/>
      <c r="U352" s="60"/>
      <c r="V352" s="60"/>
      <c r="W352" s="60"/>
      <c r="X352" s="60"/>
      <c r="Y352" s="60"/>
      <c r="Z352" s="60"/>
    </row>
    <row r="353">
      <c r="A353" s="149"/>
      <c r="B353" s="150"/>
      <c r="C353" s="151"/>
      <c r="D353" s="140"/>
      <c r="E353" s="152"/>
      <c r="F353" s="60"/>
      <c r="G353" s="60"/>
      <c r="H353" s="60"/>
      <c r="I353" s="60"/>
      <c r="J353" s="60"/>
      <c r="K353" s="60"/>
      <c r="L353" s="60"/>
      <c r="M353" s="60"/>
      <c r="N353" s="60"/>
      <c r="O353" s="60"/>
      <c r="P353" s="60"/>
      <c r="Q353" s="60"/>
      <c r="R353" s="60"/>
      <c r="S353" s="60"/>
      <c r="T353" s="60"/>
      <c r="U353" s="60"/>
      <c r="V353" s="60"/>
      <c r="W353" s="60"/>
      <c r="X353" s="60"/>
      <c r="Y353" s="60"/>
      <c r="Z353" s="60"/>
    </row>
    <row r="354">
      <c r="A354" s="149"/>
      <c r="B354" s="150"/>
      <c r="C354" s="151"/>
      <c r="D354" s="140"/>
      <c r="E354" s="152"/>
      <c r="F354" s="60"/>
      <c r="G354" s="60"/>
      <c r="H354" s="60"/>
      <c r="I354" s="60"/>
      <c r="J354" s="60"/>
      <c r="K354" s="60"/>
      <c r="L354" s="60"/>
      <c r="M354" s="60"/>
      <c r="N354" s="60"/>
      <c r="O354" s="60"/>
      <c r="P354" s="60"/>
      <c r="Q354" s="60"/>
      <c r="R354" s="60"/>
      <c r="S354" s="60"/>
      <c r="T354" s="60"/>
      <c r="U354" s="60"/>
      <c r="V354" s="60"/>
      <c r="W354" s="60"/>
      <c r="X354" s="60"/>
      <c r="Y354" s="60"/>
      <c r="Z354" s="60"/>
    </row>
    <row r="355">
      <c r="A355" s="149"/>
      <c r="B355" s="150"/>
      <c r="C355" s="151"/>
      <c r="D355" s="140"/>
      <c r="E355" s="152"/>
      <c r="F355" s="60"/>
      <c r="G355" s="60"/>
      <c r="H355" s="60"/>
      <c r="I355" s="60"/>
      <c r="J355" s="60"/>
      <c r="K355" s="60"/>
      <c r="L355" s="60"/>
      <c r="M355" s="60"/>
      <c r="N355" s="60"/>
      <c r="O355" s="60"/>
      <c r="P355" s="60"/>
      <c r="Q355" s="60"/>
      <c r="R355" s="60"/>
      <c r="S355" s="60"/>
      <c r="T355" s="60"/>
      <c r="U355" s="60"/>
      <c r="V355" s="60"/>
      <c r="W355" s="60"/>
      <c r="X355" s="60"/>
      <c r="Y355" s="60"/>
      <c r="Z355" s="60"/>
    </row>
    <row r="356">
      <c r="A356" s="149"/>
      <c r="B356" s="150"/>
      <c r="C356" s="151"/>
      <c r="D356" s="140"/>
      <c r="E356" s="152"/>
      <c r="F356" s="60"/>
      <c r="G356" s="60"/>
      <c r="H356" s="60"/>
      <c r="I356" s="60"/>
      <c r="J356" s="60"/>
      <c r="K356" s="60"/>
      <c r="L356" s="60"/>
      <c r="M356" s="60"/>
      <c r="N356" s="60"/>
      <c r="O356" s="60"/>
      <c r="P356" s="60"/>
      <c r="Q356" s="60"/>
      <c r="R356" s="60"/>
      <c r="S356" s="60"/>
      <c r="T356" s="60"/>
      <c r="U356" s="60"/>
      <c r="V356" s="60"/>
      <c r="W356" s="60"/>
      <c r="X356" s="60"/>
      <c r="Y356" s="60"/>
      <c r="Z356" s="60"/>
    </row>
    <row r="357">
      <c r="A357" s="149"/>
      <c r="B357" s="150"/>
      <c r="C357" s="151"/>
      <c r="D357" s="140"/>
      <c r="E357" s="152"/>
      <c r="F357" s="60"/>
      <c r="G357" s="60"/>
      <c r="H357" s="60"/>
      <c r="I357" s="60"/>
      <c r="J357" s="60"/>
      <c r="K357" s="60"/>
      <c r="L357" s="60"/>
      <c r="M357" s="60"/>
      <c r="N357" s="60"/>
      <c r="O357" s="60"/>
      <c r="P357" s="60"/>
      <c r="Q357" s="60"/>
      <c r="R357" s="60"/>
      <c r="S357" s="60"/>
      <c r="T357" s="60"/>
      <c r="U357" s="60"/>
      <c r="V357" s="60"/>
      <c r="W357" s="60"/>
      <c r="X357" s="60"/>
      <c r="Y357" s="60"/>
      <c r="Z357" s="60"/>
    </row>
    <row r="358">
      <c r="A358" s="149"/>
      <c r="B358" s="150"/>
      <c r="C358" s="151"/>
      <c r="D358" s="140"/>
      <c r="E358" s="152"/>
      <c r="F358" s="60"/>
      <c r="G358" s="60"/>
      <c r="H358" s="60"/>
      <c r="I358" s="60"/>
      <c r="J358" s="60"/>
      <c r="K358" s="60"/>
      <c r="L358" s="60"/>
      <c r="M358" s="60"/>
      <c r="N358" s="60"/>
      <c r="O358" s="60"/>
      <c r="P358" s="60"/>
      <c r="Q358" s="60"/>
      <c r="R358" s="60"/>
      <c r="S358" s="60"/>
      <c r="T358" s="60"/>
      <c r="U358" s="60"/>
      <c r="V358" s="60"/>
      <c r="W358" s="60"/>
      <c r="X358" s="60"/>
      <c r="Y358" s="60"/>
      <c r="Z358" s="60"/>
    </row>
    <row r="359">
      <c r="A359" s="149"/>
      <c r="B359" s="150"/>
      <c r="C359" s="151"/>
      <c r="D359" s="140"/>
      <c r="E359" s="152"/>
      <c r="F359" s="60"/>
      <c r="G359" s="60"/>
      <c r="H359" s="60"/>
      <c r="I359" s="60"/>
      <c r="J359" s="60"/>
      <c r="K359" s="60"/>
      <c r="L359" s="60"/>
      <c r="M359" s="60"/>
      <c r="N359" s="60"/>
      <c r="O359" s="60"/>
      <c r="P359" s="60"/>
      <c r="Q359" s="60"/>
      <c r="R359" s="60"/>
      <c r="S359" s="60"/>
      <c r="T359" s="60"/>
      <c r="U359" s="60"/>
      <c r="V359" s="60"/>
      <c r="W359" s="60"/>
      <c r="X359" s="60"/>
      <c r="Y359" s="60"/>
      <c r="Z359" s="60"/>
    </row>
    <row r="360">
      <c r="A360" s="149"/>
      <c r="B360" s="150"/>
      <c r="C360" s="151"/>
      <c r="D360" s="140"/>
      <c r="E360" s="152"/>
      <c r="F360" s="60"/>
      <c r="G360" s="60"/>
      <c r="H360" s="60"/>
      <c r="I360" s="60"/>
      <c r="J360" s="60"/>
      <c r="K360" s="60"/>
      <c r="L360" s="60"/>
      <c r="M360" s="60"/>
      <c r="N360" s="60"/>
      <c r="O360" s="60"/>
      <c r="P360" s="60"/>
      <c r="Q360" s="60"/>
      <c r="R360" s="60"/>
      <c r="S360" s="60"/>
      <c r="T360" s="60"/>
      <c r="U360" s="60"/>
      <c r="V360" s="60"/>
      <c r="W360" s="60"/>
      <c r="X360" s="60"/>
      <c r="Y360" s="60"/>
      <c r="Z360" s="60"/>
    </row>
    <row r="361">
      <c r="A361" s="149"/>
      <c r="B361" s="150"/>
      <c r="C361" s="151"/>
      <c r="D361" s="140"/>
      <c r="E361" s="152"/>
      <c r="F361" s="60"/>
      <c r="G361" s="60"/>
      <c r="H361" s="60"/>
      <c r="I361" s="60"/>
      <c r="J361" s="60"/>
      <c r="K361" s="60"/>
      <c r="L361" s="60"/>
      <c r="M361" s="60"/>
      <c r="N361" s="60"/>
      <c r="O361" s="60"/>
      <c r="P361" s="60"/>
      <c r="Q361" s="60"/>
      <c r="R361" s="60"/>
      <c r="S361" s="60"/>
      <c r="T361" s="60"/>
      <c r="U361" s="60"/>
      <c r="V361" s="60"/>
      <c r="W361" s="60"/>
      <c r="X361" s="60"/>
      <c r="Y361" s="60"/>
      <c r="Z361" s="60"/>
    </row>
    <row r="362">
      <c r="A362" s="149"/>
      <c r="B362" s="150"/>
      <c r="C362" s="151"/>
      <c r="D362" s="140"/>
      <c r="E362" s="152"/>
      <c r="F362" s="60"/>
      <c r="G362" s="60"/>
      <c r="H362" s="60"/>
      <c r="I362" s="60"/>
      <c r="J362" s="60"/>
      <c r="K362" s="60"/>
      <c r="L362" s="60"/>
      <c r="M362" s="60"/>
      <c r="N362" s="60"/>
      <c r="O362" s="60"/>
      <c r="P362" s="60"/>
      <c r="Q362" s="60"/>
      <c r="R362" s="60"/>
      <c r="S362" s="60"/>
      <c r="T362" s="60"/>
      <c r="U362" s="60"/>
      <c r="V362" s="60"/>
      <c r="W362" s="60"/>
      <c r="X362" s="60"/>
      <c r="Y362" s="60"/>
      <c r="Z362" s="60"/>
    </row>
    <row r="363">
      <c r="A363" s="149"/>
      <c r="B363" s="150"/>
      <c r="C363" s="151"/>
      <c r="D363" s="140"/>
      <c r="E363" s="152"/>
      <c r="F363" s="60"/>
      <c r="G363" s="60"/>
      <c r="H363" s="60"/>
      <c r="I363" s="60"/>
      <c r="J363" s="60"/>
      <c r="K363" s="60"/>
      <c r="L363" s="60"/>
      <c r="M363" s="60"/>
      <c r="N363" s="60"/>
      <c r="O363" s="60"/>
      <c r="P363" s="60"/>
      <c r="Q363" s="60"/>
      <c r="R363" s="60"/>
      <c r="S363" s="60"/>
      <c r="T363" s="60"/>
      <c r="U363" s="60"/>
      <c r="V363" s="60"/>
      <c r="W363" s="60"/>
      <c r="X363" s="60"/>
      <c r="Y363" s="60"/>
      <c r="Z363" s="60"/>
    </row>
    <row r="364">
      <c r="A364" s="149"/>
      <c r="B364" s="150"/>
      <c r="C364" s="151"/>
      <c r="D364" s="140"/>
      <c r="E364" s="152"/>
      <c r="F364" s="60"/>
      <c r="G364" s="60"/>
      <c r="H364" s="60"/>
      <c r="I364" s="60"/>
      <c r="J364" s="60"/>
      <c r="K364" s="60"/>
      <c r="L364" s="60"/>
      <c r="M364" s="60"/>
      <c r="N364" s="60"/>
      <c r="O364" s="60"/>
      <c r="P364" s="60"/>
      <c r="Q364" s="60"/>
      <c r="R364" s="60"/>
      <c r="S364" s="60"/>
      <c r="T364" s="60"/>
      <c r="U364" s="60"/>
      <c r="V364" s="60"/>
      <c r="W364" s="60"/>
      <c r="X364" s="60"/>
      <c r="Y364" s="60"/>
      <c r="Z364" s="60"/>
    </row>
    <row r="365">
      <c r="A365" s="149"/>
      <c r="B365" s="150"/>
      <c r="C365" s="151"/>
      <c r="D365" s="140"/>
      <c r="E365" s="152"/>
      <c r="F365" s="60"/>
      <c r="G365" s="60"/>
      <c r="H365" s="60"/>
      <c r="I365" s="60"/>
      <c r="J365" s="60"/>
      <c r="K365" s="60"/>
      <c r="L365" s="60"/>
      <c r="M365" s="60"/>
      <c r="N365" s="60"/>
      <c r="O365" s="60"/>
      <c r="P365" s="60"/>
      <c r="Q365" s="60"/>
      <c r="R365" s="60"/>
      <c r="S365" s="60"/>
      <c r="T365" s="60"/>
      <c r="U365" s="60"/>
      <c r="V365" s="60"/>
      <c r="W365" s="60"/>
      <c r="X365" s="60"/>
      <c r="Y365" s="60"/>
      <c r="Z365" s="60"/>
    </row>
    <row r="366">
      <c r="A366" s="149"/>
      <c r="B366" s="150"/>
      <c r="C366" s="151"/>
      <c r="D366" s="140"/>
      <c r="E366" s="152"/>
      <c r="F366" s="60"/>
      <c r="G366" s="60"/>
      <c r="H366" s="60"/>
      <c r="I366" s="60"/>
      <c r="J366" s="60"/>
      <c r="K366" s="60"/>
      <c r="L366" s="60"/>
      <c r="M366" s="60"/>
      <c r="N366" s="60"/>
      <c r="O366" s="60"/>
      <c r="P366" s="60"/>
      <c r="Q366" s="60"/>
      <c r="R366" s="60"/>
      <c r="S366" s="60"/>
      <c r="T366" s="60"/>
      <c r="U366" s="60"/>
      <c r="V366" s="60"/>
      <c r="W366" s="60"/>
      <c r="X366" s="60"/>
      <c r="Y366" s="60"/>
      <c r="Z366" s="60"/>
    </row>
    <row r="367">
      <c r="A367" s="149"/>
      <c r="B367" s="150"/>
      <c r="C367" s="151"/>
      <c r="D367" s="140"/>
      <c r="E367" s="152"/>
      <c r="F367" s="60"/>
      <c r="G367" s="60"/>
      <c r="H367" s="60"/>
      <c r="I367" s="60"/>
      <c r="J367" s="60"/>
      <c r="K367" s="60"/>
      <c r="L367" s="60"/>
      <c r="M367" s="60"/>
      <c r="N367" s="60"/>
      <c r="O367" s="60"/>
      <c r="P367" s="60"/>
      <c r="Q367" s="60"/>
      <c r="R367" s="60"/>
      <c r="S367" s="60"/>
      <c r="T367" s="60"/>
      <c r="U367" s="60"/>
      <c r="V367" s="60"/>
      <c r="W367" s="60"/>
      <c r="X367" s="60"/>
      <c r="Y367" s="60"/>
      <c r="Z367" s="60"/>
    </row>
    <row r="368">
      <c r="A368" s="149"/>
      <c r="B368" s="150"/>
      <c r="C368" s="151"/>
      <c r="D368" s="140"/>
      <c r="E368" s="152"/>
      <c r="F368" s="60"/>
      <c r="G368" s="60"/>
      <c r="H368" s="60"/>
      <c r="I368" s="60"/>
      <c r="J368" s="60"/>
      <c r="K368" s="60"/>
      <c r="L368" s="60"/>
      <c r="M368" s="60"/>
      <c r="N368" s="60"/>
      <c r="O368" s="60"/>
      <c r="P368" s="60"/>
      <c r="Q368" s="60"/>
      <c r="R368" s="60"/>
      <c r="S368" s="60"/>
      <c r="T368" s="60"/>
      <c r="U368" s="60"/>
      <c r="V368" s="60"/>
      <c r="W368" s="60"/>
      <c r="X368" s="60"/>
      <c r="Y368" s="60"/>
      <c r="Z368" s="60"/>
    </row>
    <row r="369">
      <c r="A369" s="149"/>
      <c r="B369" s="150"/>
      <c r="C369" s="151"/>
      <c r="D369" s="140"/>
      <c r="E369" s="152"/>
      <c r="F369" s="60"/>
      <c r="G369" s="60"/>
      <c r="H369" s="60"/>
      <c r="I369" s="60"/>
      <c r="J369" s="60"/>
      <c r="K369" s="60"/>
      <c r="L369" s="60"/>
      <c r="M369" s="60"/>
      <c r="N369" s="60"/>
      <c r="O369" s="60"/>
      <c r="P369" s="60"/>
      <c r="Q369" s="60"/>
      <c r="R369" s="60"/>
      <c r="S369" s="60"/>
      <c r="T369" s="60"/>
      <c r="U369" s="60"/>
      <c r="V369" s="60"/>
      <c r="W369" s="60"/>
      <c r="X369" s="60"/>
      <c r="Y369" s="60"/>
      <c r="Z369" s="60"/>
    </row>
    <row r="370">
      <c r="A370" s="149"/>
      <c r="B370" s="150"/>
      <c r="C370" s="151"/>
      <c r="D370" s="140"/>
      <c r="E370" s="152"/>
      <c r="F370" s="60"/>
      <c r="G370" s="60"/>
      <c r="H370" s="60"/>
      <c r="I370" s="60"/>
      <c r="J370" s="60"/>
      <c r="K370" s="60"/>
      <c r="L370" s="60"/>
      <c r="M370" s="60"/>
      <c r="N370" s="60"/>
      <c r="O370" s="60"/>
      <c r="P370" s="60"/>
      <c r="Q370" s="60"/>
      <c r="R370" s="60"/>
      <c r="S370" s="60"/>
      <c r="T370" s="60"/>
      <c r="U370" s="60"/>
      <c r="V370" s="60"/>
      <c r="W370" s="60"/>
      <c r="X370" s="60"/>
      <c r="Y370" s="60"/>
      <c r="Z370" s="60"/>
    </row>
    <row r="371">
      <c r="A371" s="149"/>
      <c r="B371" s="150"/>
      <c r="C371" s="151"/>
      <c r="D371" s="140"/>
      <c r="E371" s="152"/>
      <c r="F371" s="60"/>
      <c r="G371" s="60"/>
      <c r="H371" s="60"/>
      <c r="I371" s="60"/>
      <c r="J371" s="60"/>
      <c r="K371" s="60"/>
      <c r="L371" s="60"/>
      <c r="M371" s="60"/>
      <c r="N371" s="60"/>
      <c r="O371" s="60"/>
      <c r="P371" s="60"/>
      <c r="Q371" s="60"/>
      <c r="R371" s="60"/>
      <c r="S371" s="60"/>
      <c r="T371" s="60"/>
      <c r="U371" s="60"/>
      <c r="V371" s="60"/>
      <c r="W371" s="60"/>
      <c r="X371" s="60"/>
      <c r="Y371" s="60"/>
      <c r="Z371" s="60"/>
    </row>
    <row r="372">
      <c r="A372" s="149"/>
      <c r="B372" s="150"/>
      <c r="C372" s="151"/>
      <c r="D372" s="140"/>
      <c r="E372" s="152"/>
      <c r="F372" s="60"/>
      <c r="G372" s="60"/>
      <c r="H372" s="60"/>
      <c r="I372" s="60"/>
      <c r="J372" s="60"/>
      <c r="K372" s="60"/>
      <c r="L372" s="60"/>
      <c r="M372" s="60"/>
      <c r="N372" s="60"/>
      <c r="O372" s="60"/>
      <c r="P372" s="60"/>
      <c r="Q372" s="60"/>
      <c r="R372" s="60"/>
      <c r="S372" s="60"/>
      <c r="T372" s="60"/>
      <c r="U372" s="60"/>
      <c r="V372" s="60"/>
      <c r="W372" s="60"/>
      <c r="X372" s="60"/>
      <c r="Y372" s="60"/>
      <c r="Z372" s="60"/>
    </row>
    <row r="373">
      <c r="A373" s="149"/>
      <c r="B373" s="150"/>
      <c r="C373" s="151"/>
      <c r="D373" s="140"/>
      <c r="E373" s="152"/>
      <c r="F373" s="60"/>
      <c r="G373" s="60"/>
      <c r="H373" s="60"/>
      <c r="I373" s="60"/>
      <c r="J373" s="60"/>
      <c r="K373" s="60"/>
      <c r="L373" s="60"/>
      <c r="M373" s="60"/>
      <c r="N373" s="60"/>
      <c r="O373" s="60"/>
      <c r="P373" s="60"/>
      <c r="Q373" s="60"/>
      <c r="R373" s="60"/>
      <c r="S373" s="60"/>
      <c r="T373" s="60"/>
      <c r="U373" s="60"/>
      <c r="V373" s="60"/>
      <c r="W373" s="60"/>
      <c r="X373" s="60"/>
      <c r="Y373" s="60"/>
      <c r="Z373" s="60"/>
    </row>
    <row r="374">
      <c r="A374" s="149"/>
      <c r="B374" s="150"/>
      <c r="C374" s="151"/>
      <c r="D374" s="140"/>
      <c r="E374" s="152"/>
      <c r="F374" s="60"/>
      <c r="G374" s="60"/>
      <c r="H374" s="60"/>
      <c r="I374" s="60"/>
      <c r="J374" s="60"/>
      <c r="K374" s="60"/>
      <c r="L374" s="60"/>
      <c r="M374" s="60"/>
      <c r="N374" s="60"/>
      <c r="O374" s="60"/>
      <c r="P374" s="60"/>
      <c r="Q374" s="60"/>
      <c r="R374" s="60"/>
      <c r="S374" s="60"/>
      <c r="T374" s="60"/>
      <c r="U374" s="60"/>
      <c r="V374" s="60"/>
      <c r="W374" s="60"/>
      <c r="X374" s="60"/>
      <c r="Y374" s="60"/>
      <c r="Z374" s="60"/>
    </row>
    <row r="375">
      <c r="A375" s="149"/>
      <c r="B375" s="150"/>
      <c r="C375" s="151"/>
      <c r="D375" s="140"/>
      <c r="E375" s="152"/>
      <c r="F375" s="60"/>
      <c r="G375" s="60"/>
      <c r="H375" s="60"/>
      <c r="I375" s="60"/>
      <c r="J375" s="60"/>
      <c r="K375" s="60"/>
      <c r="L375" s="60"/>
      <c r="M375" s="60"/>
      <c r="N375" s="60"/>
      <c r="O375" s="60"/>
      <c r="P375" s="60"/>
      <c r="Q375" s="60"/>
      <c r="R375" s="60"/>
      <c r="S375" s="60"/>
      <c r="T375" s="60"/>
      <c r="U375" s="60"/>
      <c r="V375" s="60"/>
      <c r="W375" s="60"/>
      <c r="X375" s="60"/>
      <c r="Y375" s="60"/>
      <c r="Z375" s="60"/>
    </row>
    <row r="376">
      <c r="A376" s="149"/>
      <c r="B376" s="150"/>
      <c r="C376" s="151"/>
      <c r="D376" s="140"/>
      <c r="E376" s="152"/>
      <c r="F376" s="60"/>
      <c r="G376" s="60"/>
      <c r="H376" s="60"/>
      <c r="I376" s="60"/>
      <c r="J376" s="60"/>
      <c r="K376" s="60"/>
      <c r="L376" s="60"/>
      <c r="M376" s="60"/>
      <c r="N376" s="60"/>
      <c r="O376" s="60"/>
      <c r="P376" s="60"/>
      <c r="Q376" s="60"/>
      <c r="R376" s="60"/>
      <c r="S376" s="60"/>
      <c r="T376" s="60"/>
      <c r="U376" s="60"/>
      <c r="V376" s="60"/>
      <c r="W376" s="60"/>
      <c r="X376" s="60"/>
      <c r="Y376" s="60"/>
      <c r="Z376" s="60"/>
    </row>
    <row r="377">
      <c r="A377" s="149"/>
      <c r="B377" s="150"/>
      <c r="C377" s="151"/>
      <c r="D377" s="140"/>
      <c r="E377" s="152"/>
      <c r="F377" s="60"/>
      <c r="G377" s="60"/>
      <c r="H377" s="60"/>
      <c r="I377" s="60"/>
      <c r="J377" s="60"/>
      <c r="K377" s="60"/>
      <c r="L377" s="60"/>
      <c r="M377" s="60"/>
      <c r="N377" s="60"/>
      <c r="O377" s="60"/>
      <c r="P377" s="60"/>
      <c r="Q377" s="60"/>
      <c r="R377" s="60"/>
      <c r="S377" s="60"/>
      <c r="T377" s="60"/>
      <c r="U377" s="60"/>
      <c r="V377" s="60"/>
      <c r="W377" s="60"/>
      <c r="X377" s="60"/>
      <c r="Y377" s="60"/>
      <c r="Z377" s="60"/>
    </row>
    <row r="378">
      <c r="A378" s="149"/>
      <c r="B378" s="150"/>
      <c r="C378" s="151"/>
      <c r="D378" s="140"/>
      <c r="E378" s="152"/>
      <c r="F378" s="60"/>
      <c r="G378" s="60"/>
      <c r="H378" s="60"/>
      <c r="I378" s="60"/>
      <c r="J378" s="60"/>
      <c r="K378" s="60"/>
      <c r="L378" s="60"/>
      <c r="M378" s="60"/>
      <c r="N378" s="60"/>
      <c r="O378" s="60"/>
      <c r="P378" s="60"/>
      <c r="Q378" s="60"/>
      <c r="R378" s="60"/>
      <c r="S378" s="60"/>
      <c r="T378" s="60"/>
      <c r="U378" s="60"/>
      <c r="V378" s="60"/>
      <c r="W378" s="60"/>
      <c r="X378" s="60"/>
      <c r="Y378" s="60"/>
      <c r="Z378" s="60"/>
    </row>
    <row r="379">
      <c r="A379" s="149"/>
      <c r="B379" s="150"/>
      <c r="C379" s="151"/>
      <c r="D379" s="140"/>
      <c r="E379" s="152"/>
      <c r="F379" s="60"/>
      <c r="G379" s="60"/>
      <c r="H379" s="60"/>
      <c r="I379" s="60"/>
      <c r="J379" s="60"/>
      <c r="K379" s="60"/>
      <c r="L379" s="60"/>
      <c r="M379" s="60"/>
      <c r="N379" s="60"/>
      <c r="O379" s="60"/>
      <c r="P379" s="60"/>
      <c r="Q379" s="60"/>
      <c r="R379" s="60"/>
      <c r="S379" s="60"/>
      <c r="T379" s="60"/>
      <c r="U379" s="60"/>
      <c r="V379" s="60"/>
      <c r="W379" s="60"/>
      <c r="X379" s="60"/>
      <c r="Y379" s="60"/>
      <c r="Z379" s="60"/>
    </row>
    <row r="380">
      <c r="A380" s="149"/>
      <c r="B380" s="150"/>
      <c r="C380" s="151"/>
      <c r="D380" s="140"/>
      <c r="E380" s="152"/>
      <c r="F380" s="60"/>
      <c r="G380" s="60"/>
      <c r="H380" s="60"/>
      <c r="I380" s="60"/>
      <c r="J380" s="60"/>
      <c r="K380" s="60"/>
      <c r="L380" s="60"/>
      <c r="M380" s="60"/>
      <c r="N380" s="60"/>
      <c r="O380" s="60"/>
      <c r="P380" s="60"/>
      <c r="Q380" s="60"/>
      <c r="R380" s="60"/>
      <c r="S380" s="60"/>
      <c r="T380" s="60"/>
      <c r="U380" s="60"/>
      <c r="V380" s="60"/>
      <c r="W380" s="60"/>
      <c r="X380" s="60"/>
      <c r="Y380" s="60"/>
      <c r="Z380" s="60"/>
    </row>
    <row r="381">
      <c r="A381" s="149"/>
      <c r="B381" s="150"/>
      <c r="C381" s="151"/>
      <c r="D381" s="140"/>
      <c r="E381" s="152"/>
      <c r="F381" s="60"/>
      <c r="G381" s="60"/>
      <c r="H381" s="60"/>
      <c r="I381" s="60"/>
      <c r="J381" s="60"/>
      <c r="K381" s="60"/>
      <c r="L381" s="60"/>
      <c r="M381" s="60"/>
      <c r="N381" s="60"/>
      <c r="O381" s="60"/>
      <c r="P381" s="60"/>
      <c r="Q381" s="60"/>
      <c r="R381" s="60"/>
      <c r="S381" s="60"/>
      <c r="T381" s="60"/>
      <c r="U381" s="60"/>
      <c r="V381" s="60"/>
      <c r="W381" s="60"/>
      <c r="X381" s="60"/>
      <c r="Y381" s="60"/>
      <c r="Z381" s="60"/>
    </row>
    <row r="382">
      <c r="A382" s="149"/>
      <c r="B382" s="150"/>
      <c r="C382" s="151"/>
      <c r="D382" s="140"/>
      <c r="E382" s="152"/>
      <c r="F382" s="60"/>
      <c r="G382" s="60"/>
      <c r="H382" s="60"/>
      <c r="I382" s="60"/>
      <c r="J382" s="60"/>
      <c r="K382" s="60"/>
      <c r="L382" s="60"/>
      <c r="M382" s="60"/>
      <c r="N382" s="60"/>
      <c r="O382" s="60"/>
      <c r="P382" s="60"/>
      <c r="Q382" s="60"/>
      <c r="R382" s="60"/>
      <c r="S382" s="60"/>
      <c r="T382" s="60"/>
      <c r="U382" s="60"/>
      <c r="V382" s="60"/>
      <c r="W382" s="60"/>
      <c r="X382" s="60"/>
      <c r="Y382" s="60"/>
      <c r="Z382" s="60"/>
    </row>
    <row r="383">
      <c r="A383" s="149"/>
      <c r="B383" s="150"/>
      <c r="C383" s="151"/>
      <c r="D383" s="140"/>
      <c r="E383" s="152"/>
      <c r="F383" s="60"/>
      <c r="G383" s="60"/>
      <c r="H383" s="60"/>
      <c r="I383" s="60"/>
      <c r="J383" s="60"/>
      <c r="K383" s="60"/>
      <c r="L383" s="60"/>
      <c r="M383" s="60"/>
      <c r="N383" s="60"/>
      <c r="O383" s="60"/>
      <c r="P383" s="60"/>
      <c r="Q383" s="60"/>
      <c r="R383" s="60"/>
      <c r="S383" s="60"/>
      <c r="T383" s="60"/>
      <c r="U383" s="60"/>
      <c r="V383" s="60"/>
      <c r="W383" s="60"/>
      <c r="X383" s="60"/>
      <c r="Y383" s="60"/>
      <c r="Z383" s="60"/>
    </row>
    <row r="384">
      <c r="A384" s="149"/>
      <c r="B384" s="150"/>
      <c r="C384" s="151"/>
      <c r="D384" s="140"/>
      <c r="E384" s="152"/>
      <c r="F384" s="60"/>
      <c r="G384" s="60"/>
      <c r="H384" s="60"/>
      <c r="I384" s="60"/>
      <c r="J384" s="60"/>
      <c r="K384" s="60"/>
      <c r="L384" s="60"/>
      <c r="M384" s="60"/>
      <c r="N384" s="60"/>
      <c r="O384" s="60"/>
      <c r="P384" s="60"/>
      <c r="Q384" s="60"/>
      <c r="R384" s="60"/>
      <c r="S384" s="60"/>
      <c r="T384" s="60"/>
      <c r="U384" s="60"/>
      <c r="V384" s="60"/>
      <c r="W384" s="60"/>
      <c r="X384" s="60"/>
      <c r="Y384" s="60"/>
      <c r="Z384" s="60"/>
    </row>
    <row r="385">
      <c r="A385" s="149"/>
      <c r="B385" s="150"/>
      <c r="C385" s="151"/>
      <c r="D385" s="140"/>
      <c r="E385" s="152"/>
      <c r="F385" s="60"/>
      <c r="G385" s="60"/>
      <c r="H385" s="60"/>
      <c r="I385" s="60"/>
      <c r="J385" s="60"/>
      <c r="K385" s="60"/>
      <c r="L385" s="60"/>
      <c r="M385" s="60"/>
      <c r="N385" s="60"/>
      <c r="O385" s="60"/>
      <c r="P385" s="60"/>
      <c r="Q385" s="60"/>
      <c r="R385" s="60"/>
      <c r="S385" s="60"/>
      <c r="T385" s="60"/>
      <c r="U385" s="60"/>
      <c r="V385" s="60"/>
      <c r="W385" s="60"/>
      <c r="X385" s="60"/>
      <c r="Y385" s="60"/>
      <c r="Z385" s="60"/>
    </row>
    <row r="386">
      <c r="A386" s="149"/>
      <c r="B386" s="150"/>
      <c r="C386" s="151"/>
      <c r="D386" s="140"/>
      <c r="E386" s="152"/>
      <c r="F386" s="60"/>
      <c r="G386" s="60"/>
      <c r="H386" s="60"/>
      <c r="I386" s="60"/>
      <c r="J386" s="60"/>
      <c r="K386" s="60"/>
      <c r="L386" s="60"/>
      <c r="M386" s="60"/>
      <c r="N386" s="60"/>
      <c r="O386" s="60"/>
      <c r="P386" s="60"/>
      <c r="Q386" s="60"/>
      <c r="R386" s="60"/>
      <c r="S386" s="60"/>
      <c r="T386" s="60"/>
      <c r="U386" s="60"/>
      <c r="V386" s="60"/>
      <c r="W386" s="60"/>
      <c r="X386" s="60"/>
      <c r="Y386" s="60"/>
      <c r="Z386" s="60"/>
    </row>
    <row r="387">
      <c r="A387" s="149"/>
      <c r="B387" s="150"/>
      <c r="C387" s="151"/>
      <c r="D387" s="140"/>
      <c r="E387" s="152"/>
      <c r="F387" s="60"/>
      <c r="G387" s="60"/>
      <c r="H387" s="60"/>
      <c r="I387" s="60"/>
      <c r="J387" s="60"/>
      <c r="K387" s="60"/>
      <c r="L387" s="60"/>
      <c r="M387" s="60"/>
      <c r="N387" s="60"/>
      <c r="O387" s="60"/>
      <c r="P387" s="60"/>
      <c r="Q387" s="60"/>
      <c r="R387" s="60"/>
      <c r="S387" s="60"/>
      <c r="T387" s="60"/>
      <c r="U387" s="60"/>
      <c r="V387" s="60"/>
      <c r="W387" s="60"/>
      <c r="X387" s="60"/>
      <c r="Y387" s="60"/>
      <c r="Z387" s="60"/>
    </row>
    <row r="388">
      <c r="A388" s="149"/>
      <c r="B388" s="150"/>
      <c r="C388" s="151"/>
      <c r="D388" s="140"/>
      <c r="E388" s="152"/>
      <c r="F388" s="60"/>
      <c r="G388" s="60"/>
      <c r="H388" s="60"/>
      <c r="I388" s="60"/>
      <c r="J388" s="60"/>
      <c r="K388" s="60"/>
      <c r="L388" s="60"/>
      <c r="M388" s="60"/>
      <c r="N388" s="60"/>
      <c r="O388" s="60"/>
      <c r="P388" s="60"/>
      <c r="Q388" s="60"/>
      <c r="R388" s="60"/>
      <c r="S388" s="60"/>
      <c r="T388" s="60"/>
      <c r="U388" s="60"/>
      <c r="V388" s="60"/>
      <c r="W388" s="60"/>
      <c r="X388" s="60"/>
      <c r="Y388" s="60"/>
      <c r="Z388" s="60"/>
    </row>
    <row r="389">
      <c r="A389" s="149"/>
      <c r="B389" s="150"/>
      <c r="C389" s="151"/>
      <c r="D389" s="140"/>
      <c r="E389" s="152"/>
      <c r="F389" s="60"/>
      <c r="G389" s="60"/>
      <c r="H389" s="60"/>
      <c r="I389" s="60"/>
      <c r="J389" s="60"/>
      <c r="K389" s="60"/>
      <c r="L389" s="60"/>
      <c r="M389" s="60"/>
      <c r="N389" s="60"/>
      <c r="O389" s="60"/>
      <c r="P389" s="60"/>
      <c r="Q389" s="60"/>
      <c r="R389" s="60"/>
      <c r="S389" s="60"/>
      <c r="T389" s="60"/>
      <c r="U389" s="60"/>
      <c r="V389" s="60"/>
      <c r="W389" s="60"/>
      <c r="X389" s="60"/>
      <c r="Y389" s="60"/>
      <c r="Z389" s="60"/>
    </row>
    <row r="390">
      <c r="A390" s="149"/>
      <c r="B390" s="150"/>
      <c r="C390" s="151"/>
      <c r="D390" s="140"/>
      <c r="E390" s="152"/>
      <c r="F390" s="60"/>
      <c r="G390" s="60"/>
      <c r="H390" s="60"/>
      <c r="I390" s="60"/>
      <c r="J390" s="60"/>
      <c r="K390" s="60"/>
      <c r="L390" s="60"/>
      <c r="M390" s="60"/>
      <c r="N390" s="60"/>
      <c r="O390" s="60"/>
      <c r="P390" s="60"/>
      <c r="Q390" s="60"/>
      <c r="R390" s="60"/>
      <c r="S390" s="60"/>
      <c r="T390" s="60"/>
      <c r="U390" s="60"/>
      <c r="V390" s="60"/>
      <c r="W390" s="60"/>
      <c r="X390" s="60"/>
      <c r="Y390" s="60"/>
      <c r="Z390" s="60"/>
    </row>
    <row r="391">
      <c r="A391" s="149"/>
      <c r="B391" s="150"/>
      <c r="C391" s="151"/>
      <c r="D391" s="140"/>
      <c r="E391" s="152"/>
      <c r="F391" s="60"/>
      <c r="G391" s="60"/>
      <c r="H391" s="60"/>
      <c r="I391" s="60"/>
      <c r="J391" s="60"/>
      <c r="K391" s="60"/>
      <c r="L391" s="60"/>
      <c r="M391" s="60"/>
      <c r="N391" s="60"/>
      <c r="O391" s="60"/>
      <c r="P391" s="60"/>
      <c r="Q391" s="60"/>
      <c r="R391" s="60"/>
      <c r="S391" s="60"/>
      <c r="T391" s="60"/>
      <c r="U391" s="60"/>
      <c r="V391" s="60"/>
      <c r="W391" s="60"/>
      <c r="X391" s="60"/>
      <c r="Y391" s="60"/>
      <c r="Z391" s="60"/>
    </row>
    <row r="392">
      <c r="A392" s="149"/>
      <c r="B392" s="150"/>
      <c r="C392" s="151"/>
      <c r="D392" s="140"/>
      <c r="E392" s="152"/>
      <c r="F392" s="60"/>
      <c r="G392" s="60"/>
      <c r="H392" s="60"/>
      <c r="I392" s="60"/>
      <c r="J392" s="60"/>
      <c r="K392" s="60"/>
      <c r="L392" s="60"/>
      <c r="M392" s="60"/>
      <c r="N392" s="60"/>
      <c r="O392" s="60"/>
      <c r="P392" s="60"/>
      <c r="Q392" s="60"/>
      <c r="R392" s="60"/>
      <c r="S392" s="60"/>
      <c r="T392" s="60"/>
      <c r="U392" s="60"/>
      <c r="V392" s="60"/>
      <c r="W392" s="60"/>
      <c r="X392" s="60"/>
      <c r="Y392" s="60"/>
      <c r="Z392" s="60"/>
    </row>
    <row r="393">
      <c r="A393" s="149"/>
      <c r="B393" s="150"/>
      <c r="C393" s="151"/>
      <c r="D393" s="140"/>
      <c r="E393" s="152"/>
      <c r="F393" s="60"/>
      <c r="G393" s="60"/>
      <c r="H393" s="60"/>
      <c r="I393" s="60"/>
      <c r="J393" s="60"/>
      <c r="K393" s="60"/>
      <c r="L393" s="60"/>
      <c r="M393" s="60"/>
      <c r="N393" s="60"/>
      <c r="O393" s="60"/>
      <c r="P393" s="60"/>
      <c r="Q393" s="60"/>
      <c r="R393" s="60"/>
      <c r="S393" s="60"/>
      <c r="T393" s="60"/>
      <c r="U393" s="60"/>
      <c r="V393" s="60"/>
      <c r="W393" s="60"/>
      <c r="X393" s="60"/>
      <c r="Y393" s="60"/>
      <c r="Z393" s="60"/>
    </row>
    <row r="394">
      <c r="A394" s="149"/>
      <c r="B394" s="150"/>
      <c r="C394" s="151"/>
      <c r="D394" s="140"/>
      <c r="E394" s="152"/>
      <c r="F394" s="60"/>
      <c r="G394" s="60"/>
      <c r="H394" s="60"/>
      <c r="I394" s="60"/>
      <c r="J394" s="60"/>
      <c r="K394" s="60"/>
      <c r="L394" s="60"/>
      <c r="M394" s="60"/>
      <c r="N394" s="60"/>
      <c r="O394" s="60"/>
      <c r="P394" s="60"/>
      <c r="Q394" s="60"/>
      <c r="R394" s="60"/>
      <c r="S394" s="60"/>
      <c r="T394" s="60"/>
      <c r="U394" s="60"/>
      <c r="V394" s="60"/>
      <c r="W394" s="60"/>
      <c r="X394" s="60"/>
      <c r="Y394" s="60"/>
      <c r="Z394" s="60"/>
    </row>
    <row r="395">
      <c r="A395" s="149"/>
      <c r="B395" s="150"/>
      <c r="C395" s="151"/>
      <c r="D395" s="140"/>
      <c r="E395" s="152"/>
      <c r="F395" s="60"/>
      <c r="G395" s="60"/>
      <c r="H395" s="60"/>
      <c r="I395" s="60"/>
      <c r="J395" s="60"/>
      <c r="K395" s="60"/>
      <c r="L395" s="60"/>
      <c r="M395" s="60"/>
      <c r="N395" s="60"/>
      <c r="O395" s="60"/>
      <c r="P395" s="60"/>
      <c r="Q395" s="60"/>
      <c r="R395" s="60"/>
      <c r="S395" s="60"/>
      <c r="T395" s="60"/>
      <c r="U395" s="60"/>
      <c r="V395" s="60"/>
      <c r="W395" s="60"/>
      <c r="X395" s="60"/>
      <c r="Y395" s="60"/>
      <c r="Z395" s="60"/>
    </row>
    <row r="396">
      <c r="A396" s="149"/>
      <c r="B396" s="150"/>
      <c r="C396" s="151"/>
      <c r="D396" s="140"/>
      <c r="E396" s="152"/>
      <c r="F396" s="60"/>
      <c r="G396" s="60"/>
      <c r="H396" s="60"/>
      <c r="I396" s="60"/>
      <c r="J396" s="60"/>
      <c r="K396" s="60"/>
      <c r="L396" s="60"/>
      <c r="M396" s="60"/>
      <c r="N396" s="60"/>
      <c r="O396" s="60"/>
      <c r="P396" s="60"/>
      <c r="Q396" s="60"/>
      <c r="R396" s="60"/>
      <c r="S396" s="60"/>
      <c r="T396" s="60"/>
      <c r="U396" s="60"/>
      <c r="V396" s="60"/>
      <c r="W396" s="60"/>
      <c r="X396" s="60"/>
      <c r="Y396" s="60"/>
      <c r="Z396" s="60"/>
    </row>
    <row r="397">
      <c r="A397" s="149"/>
      <c r="B397" s="150"/>
      <c r="C397" s="151"/>
      <c r="D397" s="140"/>
      <c r="E397" s="152"/>
      <c r="F397" s="60"/>
      <c r="G397" s="60"/>
      <c r="H397" s="60"/>
      <c r="I397" s="60"/>
      <c r="J397" s="60"/>
      <c r="K397" s="60"/>
      <c r="L397" s="60"/>
      <c r="M397" s="60"/>
      <c r="N397" s="60"/>
      <c r="O397" s="60"/>
      <c r="P397" s="60"/>
      <c r="Q397" s="60"/>
      <c r="R397" s="60"/>
      <c r="S397" s="60"/>
      <c r="T397" s="60"/>
      <c r="U397" s="60"/>
      <c r="V397" s="60"/>
      <c r="W397" s="60"/>
      <c r="X397" s="60"/>
      <c r="Y397" s="60"/>
      <c r="Z397" s="60"/>
    </row>
    <row r="398">
      <c r="A398" s="149"/>
      <c r="B398" s="150"/>
      <c r="C398" s="151"/>
      <c r="D398" s="140"/>
      <c r="E398" s="152"/>
      <c r="F398" s="60"/>
      <c r="G398" s="60"/>
      <c r="H398" s="60"/>
      <c r="I398" s="60"/>
      <c r="J398" s="60"/>
      <c r="K398" s="60"/>
      <c r="L398" s="60"/>
      <c r="M398" s="60"/>
      <c r="N398" s="60"/>
      <c r="O398" s="60"/>
      <c r="P398" s="60"/>
      <c r="Q398" s="60"/>
      <c r="R398" s="60"/>
      <c r="S398" s="60"/>
      <c r="T398" s="60"/>
      <c r="U398" s="60"/>
      <c r="V398" s="60"/>
      <c r="W398" s="60"/>
      <c r="X398" s="60"/>
      <c r="Y398" s="60"/>
      <c r="Z398" s="60"/>
    </row>
    <row r="399">
      <c r="A399" s="149"/>
      <c r="B399" s="150"/>
      <c r="C399" s="151"/>
      <c r="D399" s="140"/>
      <c r="E399" s="152"/>
      <c r="F399" s="60"/>
      <c r="G399" s="60"/>
      <c r="H399" s="60"/>
      <c r="I399" s="60"/>
      <c r="J399" s="60"/>
      <c r="K399" s="60"/>
      <c r="L399" s="60"/>
      <c r="M399" s="60"/>
      <c r="N399" s="60"/>
      <c r="O399" s="60"/>
      <c r="P399" s="60"/>
      <c r="Q399" s="60"/>
      <c r="R399" s="60"/>
      <c r="S399" s="60"/>
      <c r="T399" s="60"/>
      <c r="U399" s="60"/>
      <c r="V399" s="60"/>
      <c r="W399" s="60"/>
      <c r="X399" s="60"/>
      <c r="Y399" s="60"/>
      <c r="Z399" s="60"/>
    </row>
    <row r="400">
      <c r="A400" s="149"/>
      <c r="B400" s="150"/>
      <c r="C400" s="151"/>
      <c r="D400" s="140"/>
      <c r="E400" s="152"/>
      <c r="F400" s="60"/>
      <c r="G400" s="60"/>
      <c r="H400" s="60"/>
      <c r="I400" s="60"/>
      <c r="J400" s="60"/>
      <c r="K400" s="60"/>
      <c r="L400" s="60"/>
      <c r="M400" s="60"/>
      <c r="N400" s="60"/>
      <c r="O400" s="60"/>
      <c r="P400" s="60"/>
      <c r="Q400" s="60"/>
      <c r="R400" s="60"/>
      <c r="S400" s="60"/>
      <c r="T400" s="60"/>
      <c r="U400" s="60"/>
      <c r="V400" s="60"/>
      <c r="W400" s="60"/>
      <c r="X400" s="60"/>
      <c r="Y400" s="60"/>
      <c r="Z400" s="60"/>
    </row>
    <row r="401">
      <c r="A401" s="149"/>
      <c r="B401" s="150"/>
      <c r="C401" s="151"/>
      <c r="D401" s="140"/>
      <c r="E401" s="152"/>
      <c r="F401" s="60"/>
      <c r="G401" s="60"/>
      <c r="H401" s="60"/>
      <c r="I401" s="60"/>
      <c r="J401" s="60"/>
      <c r="K401" s="60"/>
      <c r="L401" s="60"/>
      <c r="M401" s="60"/>
      <c r="N401" s="60"/>
      <c r="O401" s="60"/>
      <c r="P401" s="60"/>
      <c r="Q401" s="60"/>
      <c r="R401" s="60"/>
      <c r="S401" s="60"/>
      <c r="T401" s="60"/>
      <c r="U401" s="60"/>
      <c r="V401" s="60"/>
      <c r="W401" s="60"/>
      <c r="X401" s="60"/>
      <c r="Y401" s="60"/>
      <c r="Z401" s="60"/>
    </row>
    <row r="402">
      <c r="A402" s="149"/>
      <c r="B402" s="150"/>
      <c r="C402" s="151"/>
      <c r="D402" s="140"/>
      <c r="E402" s="152"/>
      <c r="F402" s="60"/>
      <c r="G402" s="60"/>
      <c r="H402" s="60"/>
      <c r="I402" s="60"/>
      <c r="J402" s="60"/>
      <c r="K402" s="60"/>
      <c r="L402" s="60"/>
      <c r="M402" s="60"/>
      <c r="N402" s="60"/>
      <c r="O402" s="60"/>
      <c r="P402" s="60"/>
      <c r="Q402" s="60"/>
      <c r="R402" s="60"/>
      <c r="S402" s="60"/>
      <c r="T402" s="60"/>
      <c r="U402" s="60"/>
      <c r="V402" s="60"/>
      <c r="W402" s="60"/>
      <c r="X402" s="60"/>
      <c r="Y402" s="60"/>
      <c r="Z402" s="60"/>
    </row>
    <row r="403">
      <c r="A403" s="149"/>
      <c r="B403" s="150"/>
      <c r="C403" s="151"/>
      <c r="D403" s="140"/>
      <c r="E403" s="152"/>
      <c r="F403" s="60"/>
      <c r="G403" s="60"/>
      <c r="H403" s="60"/>
      <c r="I403" s="60"/>
      <c r="J403" s="60"/>
      <c r="K403" s="60"/>
      <c r="L403" s="60"/>
      <c r="M403" s="60"/>
      <c r="N403" s="60"/>
      <c r="O403" s="60"/>
      <c r="P403" s="60"/>
      <c r="Q403" s="60"/>
      <c r="R403" s="60"/>
      <c r="S403" s="60"/>
      <c r="T403" s="60"/>
      <c r="U403" s="60"/>
      <c r="V403" s="60"/>
      <c r="W403" s="60"/>
      <c r="X403" s="60"/>
      <c r="Y403" s="60"/>
      <c r="Z403" s="60"/>
    </row>
    <row r="404">
      <c r="A404" s="149"/>
      <c r="B404" s="150"/>
      <c r="C404" s="151"/>
      <c r="D404" s="140"/>
      <c r="E404" s="152"/>
      <c r="F404" s="60"/>
      <c r="G404" s="60"/>
      <c r="H404" s="60"/>
      <c r="I404" s="60"/>
      <c r="J404" s="60"/>
      <c r="K404" s="60"/>
      <c r="L404" s="60"/>
      <c r="M404" s="60"/>
      <c r="N404" s="60"/>
      <c r="O404" s="60"/>
      <c r="P404" s="60"/>
      <c r="Q404" s="60"/>
      <c r="R404" s="60"/>
      <c r="S404" s="60"/>
      <c r="T404" s="60"/>
      <c r="U404" s="60"/>
      <c r="V404" s="60"/>
      <c r="W404" s="60"/>
      <c r="X404" s="60"/>
      <c r="Y404" s="60"/>
      <c r="Z404" s="60"/>
    </row>
    <row r="405">
      <c r="A405" s="149"/>
      <c r="B405" s="150"/>
      <c r="C405" s="151"/>
      <c r="D405" s="140"/>
      <c r="E405" s="152"/>
      <c r="F405" s="60"/>
      <c r="G405" s="60"/>
      <c r="H405" s="60"/>
      <c r="I405" s="60"/>
      <c r="J405" s="60"/>
      <c r="K405" s="60"/>
      <c r="L405" s="60"/>
      <c r="M405" s="60"/>
      <c r="N405" s="60"/>
      <c r="O405" s="60"/>
      <c r="P405" s="60"/>
      <c r="Q405" s="60"/>
      <c r="R405" s="60"/>
      <c r="S405" s="60"/>
      <c r="T405" s="60"/>
      <c r="U405" s="60"/>
      <c r="V405" s="60"/>
      <c r="W405" s="60"/>
      <c r="X405" s="60"/>
      <c r="Y405" s="60"/>
      <c r="Z405" s="60"/>
    </row>
    <row r="406">
      <c r="A406" s="149"/>
      <c r="B406" s="150"/>
      <c r="C406" s="151"/>
      <c r="D406" s="140"/>
      <c r="E406" s="152"/>
      <c r="F406" s="60"/>
      <c r="G406" s="60"/>
      <c r="H406" s="60"/>
      <c r="I406" s="60"/>
      <c r="J406" s="60"/>
      <c r="K406" s="60"/>
      <c r="L406" s="60"/>
      <c r="M406" s="60"/>
      <c r="N406" s="60"/>
      <c r="O406" s="60"/>
      <c r="P406" s="60"/>
      <c r="Q406" s="60"/>
      <c r="R406" s="60"/>
      <c r="S406" s="60"/>
      <c r="T406" s="60"/>
      <c r="U406" s="60"/>
      <c r="V406" s="60"/>
      <c r="W406" s="60"/>
      <c r="X406" s="60"/>
      <c r="Y406" s="60"/>
      <c r="Z406" s="60"/>
    </row>
    <row r="407">
      <c r="A407" s="149"/>
      <c r="B407" s="150"/>
      <c r="C407" s="151"/>
      <c r="D407" s="140"/>
      <c r="E407" s="152"/>
      <c r="F407" s="60"/>
      <c r="G407" s="60"/>
      <c r="H407" s="60"/>
      <c r="I407" s="60"/>
      <c r="J407" s="60"/>
      <c r="K407" s="60"/>
      <c r="L407" s="60"/>
      <c r="M407" s="60"/>
      <c r="N407" s="60"/>
      <c r="O407" s="60"/>
      <c r="P407" s="60"/>
      <c r="Q407" s="60"/>
      <c r="R407" s="60"/>
      <c r="S407" s="60"/>
      <c r="T407" s="60"/>
      <c r="U407" s="60"/>
      <c r="V407" s="60"/>
      <c r="W407" s="60"/>
      <c r="X407" s="60"/>
      <c r="Y407" s="60"/>
      <c r="Z407" s="60"/>
    </row>
    <row r="408">
      <c r="A408" s="149"/>
      <c r="B408" s="150"/>
      <c r="C408" s="151"/>
      <c r="D408" s="140"/>
      <c r="E408" s="152"/>
      <c r="F408" s="60"/>
      <c r="G408" s="60"/>
      <c r="H408" s="60"/>
      <c r="I408" s="60"/>
      <c r="J408" s="60"/>
      <c r="K408" s="60"/>
      <c r="L408" s="60"/>
      <c r="M408" s="60"/>
      <c r="N408" s="60"/>
      <c r="O408" s="60"/>
      <c r="P408" s="60"/>
      <c r="Q408" s="60"/>
      <c r="R408" s="60"/>
      <c r="S408" s="60"/>
      <c r="T408" s="60"/>
      <c r="U408" s="60"/>
      <c r="V408" s="60"/>
      <c r="W408" s="60"/>
      <c r="X408" s="60"/>
      <c r="Y408" s="60"/>
      <c r="Z408" s="60"/>
    </row>
    <row r="409">
      <c r="A409" s="149"/>
      <c r="B409" s="150"/>
      <c r="C409" s="151"/>
      <c r="D409" s="140"/>
      <c r="E409" s="152"/>
      <c r="F409" s="60"/>
      <c r="G409" s="60"/>
      <c r="H409" s="60"/>
      <c r="I409" s="60"/>
      <c r="J409" s="60"/>
      <c r="K409" s="60"/>
      <c r="L409" s="60"/>
      <c r="M409" s="60"/>
      <c r="N409" s="60"/>
      <c r="O409" s="60"/>
      <c r="P409" s="60"/>
      <c r="Q409" s="60"/>
      <c r="R409" s="60"/>
      <c r="S409" s="60"/>
      <c r="T409" s="60"/>
      <c r="U409" s="60"/>
      <c r="V409" s="60"/>
      <c r="W409" s="60"/>
      <c r="X409" s="60"/>
      <c r="Y409" s="60"/>
      <c r="Z409" s="60"/>
    </row>
    <row r="410">
      <c r="A410" s="149"/>
      <c r="B410" s="150"/>
      <c r="C410" s="151"/>
      <c r="D410" s="140"/>
      <c r="E410" s="152"/>
      <c r="F410" s="60"/>
      <c r="G410" s="60"/>
      <c r="H410" s="60"/>
      <c r="I410" s="60"/>
      <c r="J410" s="60"/>
      <c r="K410" s="60"/>
      <c r="L410" s="60"/>
      <c r="M410" s="60"/>
      <c r="N410" s="60"/>
      <c r="O410" s="60"/>
      <c r="P410" s="60"/>
      <c r="Q410" s="60"/>
      <c r="R410" s="60"/>
      <c r="S410" s="60"/>
      <c r="T410" s="60"/>
      <c r="U410" s="60"/>
      <c r="V410" s="60"/>
      <c r="W410" s="60"/>
      <c r="X410" s="60"/>
      <c r="Y410" s="60"/>
      <c r="Z410" s="60"/>
    </row>
    <row r="411">
      <c r="A411" s="149"/>
      <c r="B411" s="150"/>
      <c r="C411" s="151"/>
      <c r="D411" s="140"/>
      <c r="E411" s="152"/>
      <c r="F411" s="60"/>
      <c r="G411" s="60"/>
      <c r="H411" s="60"/>
      <c r="I411" s="60"/>
      <c r="J411" s="60"/>
      <c r="K411" s="60"/>
      <c r="L411" s="60"/>
      <c r="M411" s="60"/>
      <c r="N411" s="60"/>
      <c r="O411" s="60"/>
      <c r="P411" s="60"/>
      <c r="Q411" s="60"/>
      <c r="R411" s="60"/>
      <c r="S411" s="60"/>
      <c r="T411" s="60"/>
      <c r="U411" s="60"/>
      <c r="V411" s="60"/>
      <c r="W411" s="60"/>
      <c r="X411" s="60"/>
      <c r="Y411" s="60"/>
      <c r="Z411" s="60"/>
    </row>
    <row r="412">
      <c r="A412" s="149"/>
      <c r="B412" s="150"/>
      <c r="C412" s="151"/>
      <c r="D412" s="140"/>
      <c r="E412" s="152"/>
      <c r="F412" s="60"/>
      <c r="G412" s="60"/>
      <c r="H412" s="60"/>
      <c r="I412" s="60"/>
      <c r="J412" s="60"/>
      <c r="K412" s="60"/>
      <c r="L412" s="60"/>
      <c r="M412" s="60"/>
      <c r="N412" s="60"/>
      <c r="O412" s="60"/>
      <c r="P412" s="60"/>
      <c r="Q412" s="60"/>
      <c r="R412" s="60"/>
      <c r="S412" s="60"/>
      <c r="T412" s="60"/>
      <c r="U412" s="60"/>
      <c r="V412" s="60"/>
      <c r="W412" s="60"/>
      <c r="X412" s="60"/>
      <c r="Y412" s="60"/>
      <c r="Z412" s="60"/>
    </row>
    <row r="413">
      <c r="A413" s="149"/>
      <c r="B413" s="150"/>
      <c r="C413" s="151"/>
      <c r="D413" s="140"/>
      <c r="E413" s="152"/>
      <c r="F413" s="60"/>
      <c r="G413" s="60"/>
      <c r="H413" s="60"/>
      <c r="I413" s="60"/>
      <c r="J413" s="60"/>
      <c r="K413" s="60"/>
      <c r="L413" s="60"/>
      <c r="M413" s="60"/>
      <c r="N413" s="60"/>
      <c r="O413" s="60"/>
      <c r="P413" s="60"/>
      <c r="Q413" s="60"/>
      <c r="R413" s="60"/>
      <c r="S413" s="60"/>
      <c r="T413" s="60"/>
      <c r="U413" s="60"/>
      <c r="V413" s="60"/>
      <c r="W413" s="60"/>
      <c r="X413" s="60"/>
      <c r="Y413" s="60"/>
      <c r="Z413" s="60"/>
    </row>
    <row r="414">
      <c r="A414" s="149"/>
      <c r="B414" s="150"/>
      <c r="C414" s="151"/>
      <c r="D414" s="140"/>
      <c r="E414" s="152"/>
      <c r="F414" s="60"/>
      <c r="G414" s="60"/>
      <c r="H414" s="60"/>
      <c r="I414" s="60"/>
      <c r="J414" s="60"/>
      <c r="K414" s="60"/>
      <c r="L414" s="60"/>
      <c r="M414" s="60"/>
      <c r="N414" s="60"/>
      <c r="O414" s="60"/>
      <c r="P414" s="60"/>
      <c r="Q414" s="60"/>
      <c r="R414" s="60"/>
      <c r="S414" s="60"/>
      <c r="T414" s="60"/>
      <c r="U414" s="60"/>
      <c r="V414" s="60"/>
      <c r="W414" s="60"/>
      <c r="X414" s="60"/>
      <c r="Y414" s="60"/>
      <c r="Z414" s="60"/>
    </row>
    <row r="415">
      <c r="A415" s="149"/>
      <c r="B415" s="150"/>
      <c r="C415" s="151"/>
      <c r="D415" s="140"/>
      <c r="E415" s="152"/>
      <c r="F415" s="60"/>
      <c r="G415" s="60"/>
      <c r="H415" s="60"/>
      <c r="I415" s="60"/>
      <c r="J415" s="60"/>
      <c r="K415" s="60"/>
      <c r="L415" s="60"/>
      <c r="M415" s="60"/>
      <c r="N415" s="60"/>
      <c r="O415" s="60"/>
      <c r="P415" s="60"/>
      <c r="Q415" s="60"/>
      <c r="R415" s="60"/>
      <c r="S415" s="60"/>
      <c r="T415" s="60"/>
      <c r="U415" s="60"/>
      <c r="V415" s="60"/>
      <c r="W415" s="60"/>
      <c r="X415" s="60"/>
      <c r="Y415" s="60"/>
      <c r="Z415" s="60"/>
    </row>
    <row r="416">
      <c r="A416" s="149"/>
      <c r="B416" s="150"/>
      <c r="C416" s="151"/>
      <c r="D416" s="140"/>
      <c r="E416" s="152"/>
      <c r="F416" s="60"/>
      <c r="G416" s="60"/>
      <c r="H416" s="60"/>
      <c r="I416" s="60"/>
      <c r="J416" s="60"/>
      <c r="K416" s="60"/>
      <c r="L416" s="60"/>
      <c r="M416" s="60"/>
      <c r="N416" s="60"/>
      <c r="O416" s="60"/>
      <c r="P416" s="60"/>
      <c r="Q416" s="60"/>
      <c r="R416" s="60"/>
      <c r="S416" s="60"/>
      <c r="T416" s="60"/>
      <c r="U416" s="60"/>
      <c r="V416" s="60"/>
      <c r="W416" s="60"/>
      <c r="X416" s="60"/>
      <c r="Y416" s="60"/>
      <c r="Z416" s="60"/>
    </row>
    <row r="417">
      <c r="A417" s="149"/>
      <c r="B417" s="150"/>
      <c r="C417" s="151"/>
      <c r="D417" s="140"/>
      <c r="E417" s="152"/>
      <c r="F417" s="60"/>
      <c r="G417" s="60"/>
      <c r="H417" s="60"/>
      <c r="I417" s="60"/>
      <c r="J417" s="60"/>
      <c r="K417" s="60"/>
      <c r="L417" s="60"/>
      <c r="M417" s="60"/>
      <c r="N417" s="60"/>
      <c r="O417" s="60"/>
      <c r="P417" s="60"/>
      <c r="Q417" s="60"/>
      <c r="R417" s="60"/>
      <c r="S417" s="60"/>
      <c r="T417" s="60"/>
      <c r="U417" s="60"/>
      <c r="V417" s="60"/>
      <c r="W417" s="60"/>
      <c r="X417" s="60"/>
      <c r="Y417" s="60"/>
      <c r="Z417" s="60"/>
    </row>
    <row r="418">
      <c r="A418" s="149"/>
      <c r="B418" s="150"/>
      <c r="C418" s="151"/>
      <c r="D418" s="140"/>
      <c r="E418" s="152"/>
      <c r="F418" s="60"/>
      <c r="G418" s="60"/>
      <c r="H418" s="60"/>
      <c r="I418" s="60"/>
      <c r="J418" s="60"/>
      <c r="K418" s="60"/>
      <c r="L418" s="60"/>
      <c r="M418" s="60"/>
      <c r="N418" s="60"/>
      <c r="O418" s="60"/>
      <c r="P418" s="60"/>
      <c r="Q418" s="60"/>
      <c r="R418" s="60"/>
      <c r="S418" s="60"/>
      <c r="T418" s="60"/>
      <c r="U418" s="60"/>
      <c r="V418" s="60"/>
      <c r="W418" s="60"/>
      <c r="X418" s="60"/>
      <c r="Y418" s="60"/>
      <c r="Z418" s="60"/>
    </row>
    <row r="419">
      <c r="A419" s="149"/>
      <c r="B419" s="150"/>
      <c r="C419" s="151"/>
      <c r="D419" s="140"/>
      <c r="E419" s="152"/>
      <c r="F419" s="60"/>
      <c r="G419" s="60"/>
      <c r="H419" s="60"/>
      <c r="I419" s="60"/>
      <c r="J419" s="60"/>
      <c r="K419" s="60"/>
      <c r="L419" s="60"/>
      <c r="M419" s="60"/>
      <c r="N419" s="60"/>
      <c r="O419" s="60"/>
      <c r="P419" s="60"/>
      <c r="Q419" s="60"/>
      <c r="R419" s="60"/>
      <c r="S419" s="60"/>
      <c r="T419" s="60"/>
      <c r="U419" s="60"/>
      <c r="V419" s="60"/>
      <c r="W419" s="60"/>
      <c r="X419" s="60"/>
      <c r="Y419" s="60"/>
      <c r="Z419" s="60"/>
    </row>
    <row r="420">
      <c r="A420" s="149"/>
      <c r="B420" s="150"/>
      <c r="C420" s="151"/>
      <c r="D420" s="140"/>
      <c r="E420" s="152"/>
      <c r="F420" s="60"/>
      <c r="G420" s="60"/>
      <c r="H420" s="60"/>
      <c r="I420" s="60"/>
      <c r="J420" s="60"/>
      <c r="K420" s="60"/>
      <c r="L420" s="60"/>
      <c r="M420" s="60"/>
      <c r="N420" s="60"/>
      <c r="O420" s="60"/>
      <c r="P420" s="60"/>
      <c r="Q420" s="60"/>
      <c r="R420" s="60"/>
      <c r="S420" s="60"/>
      <c r="T420" s="60"/>
      <c r="U420" s="60"/>
      <c r="V420" s="60"/>
      <c r="W420" s="60"/>
      <c r="X420" s="60"/>
      <c r="Y420" s="60"/>
      <c r="Z420" s="60"/>
    </row>
    <row r="421">
      <c r="A421" s="149"/>
      <c r="B421" s="150"/>
      <c r="C421" s="151"/>
      <c r="D421" s="140"/>
      <c r="E421" s="152"/>
      <c r="F421" s="60"/>
      <c r="G421" s="60"/>
      <c r="H421" s="60"/>
      <c r="I421" s="60"/>
      <c r="J421" s="60"/>
      <c r="K421" s="60"/>
      <c r="L421" s="60"/>
      <c r="M421" s="60"/>
      <c r="N421" s="60"/>
      <c r="O421" s="60"/>
      <c r="P421" s="60"/>
      <c r="Q421" s="60"/>
      <c r="R421" s="60"/>
      <c r="S421" s="60"/>
      <c r="T421" s="60"/>
      <c r="U421" s="60"/>
      <c r="V421" s="60"/>
      <c r="W421" s="60"/>
      <c r="X421" s="60"/>
      <c r="Y421" s="60"/>
      <c r="Z421" s="60"/>
    </row>
    <row r="422">
      <c r="A422" s="149"/>
      <c r="B422" s="150"/>
      <c r="C422" s="151"/>
      <c r="D422" s="140"/>
      <c r="E422" s="152"/>
      <c r="F422" s="60"/>
      <c r="G422" s="60"/>
      <c r="H422" s="60"/>
      <c r="I422" s="60"/>
      <c r="J422" s="60"/>
      <c r="K422" s="60"/>
      <c r="L422" s="60"/>
      <c r="M422" s="60"/>
      <c r="N422" s="60"/>
      <c r="O422" s="60"/>
      <c r="P422" s="60"/>
      <c r="Q422" s="60"/>
      <c r="R422" s="60"/>
      <c r="S422" s="60"/>
      <c r="T422" s="60"/>
      <c r="U422" s="60"/>
      <c r="V422" s="60"/>
      <c r="W422" s="60"/>
      <c r="X422" s="60"/>
      <c r="Y422" s="60"/>
      <c r="Z422" s="60"/>
    </row>
    <row r="423">
      <c r="A423" s="149"/>
      <c r="B423" s="150"/>
      <c r="C423" s="151"/>
      <c r="D423" s="140"/>
      <c r="E423" s="152"/>
      <c r="F423" s="60"/>
      <c r="G423" s="60"/>
      <c r="H423" s="60"/>
      <c r="I423" s="60"/>
      <c r="J423" s="60"/>
      <c r="K423" s="60"/>
      <c r="L423" s="60"/>
      <c r="M423" s="60"/>
      <c r="N423" s="60"/>
      <c r="O423" s="60"/>
      <c r="P423" s="60"/>
      <c r="Q423" s="60"/>
      <c r="R423" s="60"/>
      <c r="S423" s="60"/>
      <c r="T423" s="60"/>
      <c r="U423" s="60"/>
      <c r="V423" s="60"/>
      <c r="W423" s="60"/>
      <c r="X423" s="60"/>
      <c r="Y423" s="60"/>
      <c r="Z423" s="60"/>
    </row>
    <row r="424">
      <c r="A424" s="149"/>
      <c r="B424" s="150"/>
      <c r="C424" s="151"/>
      <c r="D424" s="140"/>
      <c r="E424" s="152"/>
      <c r="F424" s="60"/>
      <c r="G424" s="60"/>
      <c r="H424" s="60"/>
      <c r="I424" s="60"/>
      <c r="J424" s="60"/>
      <c r="K424" s="60"/>
      <c r="L424" s="60"/>
      <c r="M424" s="60"/>
      <c r="N424" s="60"/>
      <c r="O424" s="60"/>
      <c r="P424" s="60"/>
      <c r="Q424" s="60"/>
      <c r="R424" s="60"/>
      <c r="S424" s="60"/>
      <c r="T424" s="60"/>
      <c r="U424" s="60"/>
      <c r="V424" s="60"/>
      <c r="W424" s="60"/>
      <c r="X424" s="60"/>
      <c r="Y424" s="60"/>
      <c r="Z424" s="60"/>
    </row>
    <row r="425">
      <c r="A425" s="149"/>
      <c r="B425" s="150"/>
      <c r="C425" s="151"/>
      <c r="D425" s="140"/>
      <c r="E425" s="152"/>
      <c r="F425" s="60"/>
      <c r="G425" s="60"/>
      <c r="H425" s="60"/>
      <c r="I425" s="60"/>
      <c r="J425" s="60"/>
      <c r="K425" s="60"/>
      <c r="L425" s="60"/>
      <c r="M425" s="60"/>
      <c r="N425" s="60"/>
      <c r="O425" s="60"/>
      <c r="P425" s="60"/>
      <c r="Q425" s="60"/>
      <c r="R425" s="60"/>
      <c r="S425" s="60"/>
      <c r="T425" s="60"/>
      <c r="U425" s="60"/>
      <c r="V425" s="60"/>
      <c r="W425" s="60"/>
      <c r="X425" s="60"/>
      <c r="Y425" s="60"/>
      <c r="Z425" s="60"/>
    </row>
    <row r="426">
      <c r="A426" s="149"/>
      <c r="B426" s="150"/>
      <c r="C426" s="151"/>
      <c r="D426" s="140"/>
      <c r="E426" s="152"/>
      <c r="F426" s="60"/>
      <c r="G426" s="60"/>
      <c r="H426" s="60"/>
      <c r="I426" s="60"/>
      <c r="J426" s="60"/>
      <c r="K426" s="60"/>
      <c r="L426" s="60"/>
      <c r="M426" s="60"/>
      <c r="N426" s="60"/>
      <c r="O426" s="60"/>
      <c r="P426" s="60"/>
      <c r="Q426" s="60"/>
      <c r="R426" s="60"/>
      <c r="S426" s="60"/>
      <c r="T426" s="60"/>
      <c r="U426" s="60"/>
      <c r="V426" s="60"/>
      <c r="W426" s="60"/>
      <c r="X426" s="60"/>
      <c r="Y426" s="60"/>
      <c r="Z426" s="60"/>
    </row>
    <row r="427">
      <c r="A427" s="149"/>
      <c r="B427" s="150"/>
      <c r="C427" s="151"/>
      <c r="D427" s="140"/>
      <c r="E427" s="152"/>
      <c r="F427" s="60"/>
      <c r="G427" s="60"/>
      <c r="H427" s="60"/>
      <c r="I427" s="60"/>
      <c r="J427" s="60"/>
      <c r="K427" s="60"/>
      <c r="L427" s="60"/>
      <c r="M427" s="60"/>
      <c r="N427" s="60"/>
      <c r="O427" s="60"/>
      <c r="P427" s="60"/>
      <c r="Q427" s="60"/>
      <c r="R427" s="60"/>
      <c r="S427" s="60"/>
      <c r="T427" s="60"/>
      <c r="U427" s="60"/>
      <c r="V427" s="60"/>
      <c r="W427" s="60"/>
      <c r="X427" s="60"/>
      <c r="Y427" s="60"/>
      <c r="Z427" s="60"/>
    </row>
    <row r="428">
      <c r="A428" s="149"/>
      <c r="B428" s="150"/>
      <c r="C428" s="151"/>
      <c r="D428" s="140"/>
      <c r="E428" s="152"/>
      <c r="F428" s="60"/>
      <c r="G428" s="60"/>
      <c r="H428" s="60"/>
      <c r="I428" s="60"/>
      <c r="J428" s="60"/>
      <c r="K428" s="60"/>
      <c r="L428" s="60"/>
      <c r="M428" s="60"/>
      <c r="N428" s="60"/>
      <c r="O428" s="60"/>
      <c r="P428" s="60"/>
      <c r="Q428" s="60"/>
      <c r="R428" s="60"/>
      <c r="S428" s="60"/>
      <c r="T428" s="60"/>
      <c r="U428" s="60"/>
      <c r="V428" s="60"/>
      <c r="W428" s="60"/>
      <c r="X428" s="60"/>
      <c r="Y428" s="60"/>
      <c r="Z428" s="60"/>
    </row>
    <row r="429">
      <c r="A429" s="149"/>
      <c r="B429" s="150"/>
      <c r="C429" s="151"/>
      <c r="D429" s="140"/>
      <c r="E429" s="152"/>
      <c r="F429" s="60"/>
      <c r="G429" s="60"/>
      <c r="H429" s="60"/>
      <c r="I429" s="60"/>
      <c r="J429" s="60"/>
      <c r="K429" s="60"/>
      <c r="L429" s="60"/>
      <c r="M429" s="60"/>
      <c r="N429" s="60"/>
      <c r="O429" s="60"/>
      <c r="P429" s="60"/>
      <c r="Q429" s="60"/>
      <c r="R429" s="60"/>
      <c r="S429" s="60"/>
      <c r="T429" s="60"/>
      <c r="U429" s="60"/>
      <c r="V429" s="60"/>
      <c r="W429" s="60"/>
      <c r="X429" s="60"/>
      <c r="Y429" s="60"/>
      <c r="Z429" s="60"/>
    </row>
    <row r="430">
      <c r="A430" s="149"/>
      <c r="B430" s="150"/>
      <c r="C430" s="151"/>
      <c r="D430" s="140"/>
      <c r="E430" s="152"/>
      <c r="F430" s="60"/>
      <c r="G430" s="60"/>
      <c r="H430" s="60"/>
      <c r="I430" s="60"/>
      <c r="J430" s="60"/>
      <c r="K430" s="60"/>
      <c r="L430" s="60"/>
      <c r="M430" s="60"/>
      <c r="N430" s="60"/>
      <c r="O430" s="60"/>
      <c r="P430" s="60"/>
      <c r="Q430" s="60"/>
      <c r="R430" s="60"/>
      <c r="S430" s="60"/>
      <c r="T430" s="60"/>
      <c r="U430" s="60"/>
      <c r="V430" s="60"/>
      <c r="W430" s="60"/>
      <c r="X430" s="60"/>
      <c r="Y430" s="60"/>
      <c r="Z430" s="60"/>
    </row>
    <row r="431">
      <c r="A431" s="149"/>
      <c r="B431" s="150"/>
      <c r="C431" s="151"/>
      <c r="D431" s="140"/>
      <c r="E431" s="152"/>
      <c r="F431" s="60"/>
      <c r="G431" s="60"/>
      <c r="H431" s="60"/>
      <c r="I431" s="60"/>
      <c r="J431" s="60"/>
      <c r="K431" s="60"/>
      <c r="L431" s="60"/>
      <c r="M431" s="60"/>
      <c r="N431" s="60"/>
      <c r="O431" s="60"/>
      <c r="P431" s="60"/>
      <c r="Q431" s="60"/>
      <c r="R431" s="60"/>
      <c r="S431" s="60"/>
      <c r="T431" s="60"/>
      <c r="U431" s="60"/>
      <c r="V431" s="60"/>
      <c r="W431" s="60"/>
      <c r="X431" s="60"/>
      <c r="Y431" s="60"/>
      <c r="Z431" s="60"/>
    </row>
    <row r="432">
      <c r="A432" s="149"/>
      <c r="B432" s="150"/>
      <c r="C432" s="151"/>
      <c r="D432" s="140"/>
      <c r="E432" s="152"/>
      <c r="F432" s="60"/>
      <c r="G432" s="60"/>
      <c r="H432" s="60"/>
      <c r="I432" s="60"/>
      <c r="J432" s="60"/>
      <c r="K432" s="60"/>
      <c r="L432" s="60"/>
      <c r="M432" s="60"/>
      <c r="N432" s="60"/>
      <c r="O432" s="60"/>
      <c r="P432" s="60"/>
      <c r="Q432" s="60"/>
      <c r="R432" s="60"/>
      <c r="S432" s="60"/>
      <c r="T432" s="60"/>
      <c r="U432" s="60"/>
      <c r="V432" s="60"/>
      <c r="W432" s="60"/>
      <c r="X432" s="60"/>
      <c r="Y432" s="60"/>
      <c r="Z432" s="60"/>
    </row>
    <row r="433">
      <c r="A433" s="149"/>
      <c r="B433" s="150"/>
      <c r="C433" s="151"/>
      <c r="D433" s="140"/>
      <c r="E433" s="152"/>
      <c r="F433" s="60"/>
      <c r="G433" s="60"/>
      <c r="H433" s="60"/>
      <c r="I433" s="60"/>
      <c r="J433" s="60"/>
      <c r="K433" s="60"/>
      <c r="L433" s="60"/>
      <c r="M433" s="60"/>
      <c r="N433" s="60"/>
      <c r="O433" s="60"/>
      <c r="P433" s="60"/>
      <c r="Q433" s="60"/>
      <c r="R433" s="60"/>
      <c r="S433" s="60"/>
      <c r="T433" s="60"/>
      <c r="U433" s="60"/>
      <c r="V433" s="60"/>
      <c r="W433" s="60"/>
      <c r="X433" s="60"/>
      <c r="Y433" s="60"/>
      <c r="Z433" s="60"/>
    </row>
    <row r="434">
      <c r="A434" s="149"/>
      <c r="B434" s="150"/>
      <c r="C434" s="151"/>
      <c r="D434" s="140"/>
      <c r="E434" s="152"/>
      <c r="F434" s="60"/>
      <c r="G434" s="60"/>
      <c r="H434" s="60"/>
      <c r="I434" s="60"/>
      <c r="J434" s="60"/>
      <c r="K434" s="60"/>
      <c r="L434" s="60"/>
      <c r="M434" s="60"/>
      <c r="N434" s="60"/>
      <c r="O434" s="60"/>
      <c r="P434" s="60"/>
      <c r="Q434" s="60"/>
      <c r="R434" s="60"/>
      <c r="S434" s="60"/>
      <c r="T434" s="60"/>
      <c r="U434" s="60"/>
      <c r="V434" s="60"/>
      <c r="W434" s="60"/>
      <c r="X434" s="60"/>
      <c r="Y434" s="60"/>
      <c r="Z434" s="60"/>
    </row>
    <row r="435">
      <c r="A435" s="149"/>
      <c r="B435" s="150"/>
      <c r="C435" s="151"/>
      <c r="D435" s="140"/>
      <c r="E435" s="152"/>
      <c r="F435" s="60"/>
      <c r="G435" s="60"/>
      <c r="H435" s="60"/>
      <c r="I435" s="60"/>
      <c r="J435" s="60"/>
      <c r="K435" s="60"/>
      <c r="L435" s="60"/>
      <c r="M435" s="60"/>
      <c r="N435" s="60"/>
      <c r="O435" s="60"/>
      <c r="P435" s="60"/>
      <c r="Q435" s="60"/>
      <c r="R435" s="60"/>
      <c r="S435" s="60"/>
      <c r="T435" s="60"/>
      <c r="U435" s="60"/>
      <c r="V435" s="60"/>
      <c r="W435" s="60"/>
      <c r="X435" s="60"/>
      <c r="Y435" s="60"/>
      <c r="Z435" s="60"/>
    </row>
    <row r="436">
      <c r="A436" s="149"/>
      <c r="B436" s="150"/>
      <c r="C436" s="151"/>
      <c r="D436" s="140"/>
      <c r="E436" s="152"/>
      <c r="F436" s="60"/>
      <c r="G436" s="60"/>
      <c r="H436" s="60"/>
      <c r="I436" s="60"/>
      <c r="J436" s="60"/>
      <c r="K436" s="60"/>
      <c r="L436" s="60"/>
      <c r="M436" s="60"/>
      <c r="N436" s="60"/>
      <c r="O436" s="60"/>
      <c r="P436" s="60"/>
      <c r="Q436" s="60"/>
      <c r="R436" s="60"/>
      <c r="S436" s="60"/>
      <c r="T436" s="60"/>
      <c r="U436" s="60"/>
      <c r="V436" s="60"/>
      <c r="W436" s="60"/>
      <c r="X436" s="60"/>
      <c r="Y436" s="60"/>
      <c r="Z436" s="60"/>
    </row>
    <row r="437">
      <c r="A437" s="149"/>
      <c r="B437" s="150"/>
      <c r="C437" s="151"/>
      <c r="D437" s="140"/>
      <c r="E437" s="152"/>
      <c r="F437" s="60"/>
      <c r="G437" s="60"/>
      <c r="H437" s="60"/>
      <c r="I437" s="60"/>
      <c r="J437" s="60"/>
      <c r="K437" s="60"/>
      <c r="L437" s="60"/>
      <c r="M437" s="60"/>
      <c r="N437" s="60"/>
      <c r="O437" s="60"/>
      <c r="P437" s="60"/>
      <c r="Q437" s="60"/>
      <c r="R437" s="60"/>
      <c r="S437" s="60"/>
      <c r="T437" s="60"/>
      <c r="U437" s="60"/>
      <c r="V437" s="60"/>
      <c r="W437" s="60"/>
      <c r="X437" s="60"/>
      <c r="Y437" s="60"/>
      <c r="Z437" s="60"/>
    </row>
    <row r="438">
      <c r="A438" s="149"/>
      <c r="B438" s="150"/>
      <c r="C438" s="151"/>
      <c r="D438" s="140"/>
      <c r="E438" s="152"/>
      <c r="F438" s="60"/>
      <c r="G438" s="60"/>
      <c r="H438" s="60"/>
      <c r="I438" s="60"/>
      <c r="J438" s="60"/>
      <c r="K438" s="60"/>
      <c r="L438" s="60"/>
      <c r="M438" s="60"/>
      <c r="N438" s="60"/>
      <c r="O438" s="60"/>
      <c r="P438" s="60"/>
      <c r="Q438" s="60"/>
      <c r="R438" s="60"/>
      <c r="S438" s="60"/>
      <c r="T438" s="60"/>
      <c r="U438" s="60"/>
      <c r="V438" s="60"/>
      <c r="W438" s="60"/>
      <c r="X438" s="60"/>
      <c r="Y438" s="60"/>
      <c r="Z438" s="60"/>
    </row>
    <row r="439">
      <c r="A439" s="149"/>
      <c r="B439" s="150"/>
      <c r="C439" s="151"/>
      <c r="D439" s="140"/>
      <c r="E439" s="152"/>
      <c r="F439" s="60"/>
      <c r="G439" s="60"/>
      <c r="H439" s="60"/>
      <c r="I439" s="60"/>
      <c r="J439" s="60"/>
      <c r="K439" s="60"/>
      <c r="L439" s="60"/>
      <c r="M439" s="60"/>
      <c r="N439" s="60"/>
      <c r="O439" s="60"/>
      <c r="P439" s="60"/>
      <c r="Q439" s="60"/>
      <c r="R439" s="60"/>
      <c r="S439" s="60"/>
      <c r="T439" s="60"/>
      <c r="U439" s="60"/>
      <c r="V439" s="60"/>
      <c r="W439" s="60"/>
      <c r="X439" s="60"/>
      <c r="Y439" s="60"/>
      <c r="Z439" s="60"/>
    </row>
    <row r="440">
      <c r="A440" s="149"/>
      <c r="B440" s="150"/>
      <c r="C440" s="151"/>
      <c r="D440" s="140"/>
      <c r="E440" s="152"/>
      <c r="F440" s="60"/>
      <c r="G440" s="60"/>
      <c r="H440" s="60"/>
      <c r="I440" s="60"/>
      <c r="J440" s="60"/>
      <c r="K440" s="60"/>
      <c r="L440" s="60"/>
      <c r="M440" s="60"/>
      <c r="N440" s="60"/>
      <c r="O440" s="60"/>
      <c r="P440" s="60"/>
      <c r="Q440" s="60"/>
      <c r="R440" s="60"/>
      <c r="S440" s="60"/>
      <c r="T440" s="60"/>
      <c r="U440" s="60"/>
      <c r="V440" s="60"/>
      <c r="W440" s="60"/>
      <c r="X440" s="60"/>
      <c r="Y440" s="60"/>
      <c r="Z440" s="60"/>
    </row>
    <row r="441">
      <c r="A441" s="149"/>
      <c r="B441" s="150"/>
      <c r="C441" s="151"/>
      <c r="D441" s="140"/>
      <c r="E441" s="152"/>
      <c r="F441" s="60"/>
      <c r="G441" s="60"/>
      <c r="H441" s="60"/>
      <c r="I441" s="60"/>
      <c r="J441" s="60"/>
      <c r="K441" s="60"/>
      <c r="L441" s="60"/>
      <c r="M441" s="60"/>
      <c r="N441" s="60"/>
      <c r="O441" s="60"/>
      <c r="P441" s="60"/>
      <c r="Q441" s="60"/>
      <c r="R441" s="60"/>
      <c r="S441" s="60"/>
      <c r="T441" s="60"/>
      <c r="U441" s="60"/>
      <c r="V441" s="60"/>
      <c r="W441" s="60"/>
      <c r="X441" s="60"/>
      <c r="Y441" s="60"/>
      <c r="Z441" s="60"/>
    </row>
    <row r="442">
      <c r="A442" s="149"/>
      <c r="B442" s="150"/>
      <c r="C442" s="151"/>
      <c r="D442" s="140"/>
      <c r="E442" s="152"/>
      <c r="F442" s="60"/>
      <c r="G442" s="60"/>
      <c r="H442" s="60"/>
      <c r="I442" s="60"/>
      <c r="J442" s="60"/>
      <c r="K442" s="60"/>
      <c r="L442" s="60"/>
      <c r="M442" s="60"/>
      <c r="N442" s="60"/>
      <c r="O442" s="60"/>
      <c r="P442" s="60"/>
      <c r="Q442" s="60"/>
      <c r="R442" s="60"/>
      <c r="S442" s="60"/>
      <c r="T442" s="60"/>
      <c r="U442" s="60"/>
      <c r="V442" s="60"/>
      <c r="W442" s="60"/>
      <c r="X442" s="60"/>
      <c r="Y442" s="60"/>
      <c r="Z442" s="60"/>
    </row>
    <row r="443">
      <c r="A443" s="149"/>
      <c r="B443" s="150"/>
      <c r="C443" s="151"/>
      <c r="D443" s="140"/>
      <c r="E443" s="152"/>
      <c r="F443" s="60"/>
      <c r="G443" s="60"/>
      <c r="H443" s="60"/>
      <c r="I443" s="60"/>
      <c r="J443" s="60"/>
      <c r="K443" s="60"/>
      <c r="L443" s="60"/>
      <c r="M443" s="60"/>
      <c r="N443" s="60"/>
      <c r="O443" s="60"/>
      <c r="P443" s="60"/>
      <c r="Q443" s="60"/>
      <c r="R443" s="60"/>
      <c r="S443" s="60"/>
      <c r="T443" s="60"/>
      <c r="U443" s="60"/>
      <c r="V443" s="60"/>
      <c r="W443" s="60"/>
      <c r="X443" s="60"/>
      <c r="Y443" s="60"/>
      <c r="Z443" s="60"/>
    </row>
    <row r="444">
      <c r="A444" s="149"/>
      <c r="B444" s="150"/>
      <c r="C444" s="151"/>
      <c r="D444" s="140"/>
      <c r="E444" s="152"/>
      <c r="F444" s="60"/>
      <c r="G444" s="60"/>
      <c r="H444" s="60"/>
      <c r="I444" s="60"/>
      <c r="J444" s="60"/>
      <c r="K444" s="60"/>
      <c r="L444" s="60"/>
      <c r="M444" s="60"/>
      <c r="N444" s="60"/>
      <c r="O444" s="60"/>
      <c r="P444" s="60"/>
      <c r="Q444" s="60"/>
      <c r="R444" s="60"/>
      <c r="S444" s="60"/>
      <c r="T444" s="60"/>
      <c r="U444" s="60"/>
      <c r="V444" s="60"/>
      <c r="W444" s="60"/>
      <c r="X444" s="60"/>
      <c r="Y444" s="60"/>
      <c r="Z444" s="60"/>
    </row>
    <row r="445">
      <c r="A445" s="149"/>
      <c r="B445" s="150"/>
      <c r="C445" s="151"/>
      <c r="D445" s="140"/>
      <c r="E445" s="152"/>
      <c r="F445" s="60"/>
      <c r="G445" s="60"/>
      <c r="H445" s="60"/>
      <c r="I445" s="60"/>
      <c r="J445" s="60"/>
      <c r="K445" s="60"/>
      <c r="L445" s="60"/>
      <c r="M445" s="60"/>
      <c r="N445" s="60"/>
      <c r="O445" s="60"/>
      <c r="P445" s="60"/>
      <c r="Q445" s="60"/>
      <c r="R445" s="60"/>
      <c r="S445" s="60"/>
      <c r="T445" s="60"/>
      <c r="U445" s="60"/>
      <c r="V445" s="60"/>
      <c r="W445" s="60"/>
      <c r="X445" s="60"/>
      <c r="Y445" s="60"/>
      <c r="Z445" s="60"/>
    </row>
    <row r="446">
      <c r="A446" s="149"/>
      <c r="B446" s="150"/>
      <c r="C446" s="151"/>
      <c r="D446" s="140"/>
      <c r="E446" s="152"/>
      <c r="F446" s="60"/>
      <c r="G446" s="60"/>
      <c r="H446" s="60"/>
      <c r="I446" s="60"/>
      <c r="J446" s="60"/>
      <c r="K446" s="60"/>
      <c r="L446" s="60"/>
      <c r="M446" s="60"/>
      <c r="N446" s="60"/>
      <c r="O446" s="60"/>
      <c r="P446" s="60"/>
      <c r="Q446" s="60"/>
      <c r="R446" s="60"/>
      <c r="S446" s="60"/>
      <c r="T446" s="60"/>
      <c r="U446" s="60"/>
      <c r="V446" s="60"/>
      <c r="W446" s="60"/>
      <c r="X446" s="60"/>
      <c r="Y446" s="60"/>
      <c r="Z446" s="60"/>
    </row>
    <row r="447">
      <c r="A447" s="149"/>
      <c r="B447" s="150"/>
      <c r="C447" s="151"/>
      <c r="D447" s="140"/>
      <c r="E447" s="152"/>
      <c r="F447" s="60"/>
      <c r="G447" s="60"/>
      <c r="H447" s="60"/>
      <c r="I447" s="60"/>
      <c r="J447" s="60"/>
      <c r="K447" s="60"/>
      <c r="L447" s="60"/>
      <c r="M447" s="60"/>
      <c r="N447" s="60"/>
      <c r="O447" s="60"/>
      <c r="P447" s="60"/>
      <c r="Q447" s="60"/>
      <c r="R447" s="60"/>
      <c r="S447" s="60"/>
      <c r="T447" s="60"/>
      <c r="U447" s="60"/>
      <c r="V447" s="60"/>
      <c r="W447" s="60"/>
      <c r="X447" s="60"/>
      <c r="Y447" s="60"/>
      <c r="Z447" s="60"/>
    </row>
    <row r="448">
      <c r="A448" s="149"/>
      <c r="B448" s="150"/>
      <c r="C448" s="151"/>
      <c r="D448" s="140"/>
      <c r="E448" s="152"/>
      <c r="F448" s="60"/>
      <c r="G448" s="60"/>
      <c r="H448" s="60"/>
      <c r="I448" s="60"/>
      <c r="J448" s="60"/>
      <c r="K448" s="60"/>
      <c r="L448" s="60"/>
      <c r="M448" s="60"/>
      <c r="N448" s="60"/>
      <c r="O448" s="60"/>
      <c r="P448" s="60"/>
      <c r="Q448" s="60"/>
      <c r="R448" s="60"/>
      <c r="S448" s="60"/>
      <c r="T448" s="60"/>
      <c r="U448" s="60"/>
      <c r="V448" s="60"/>
      <c r="W448" s="60"/>
      <c r="X448" s="60"/>
      <c r="Y448" s="60"/>
      <c r="Z448" s="60"/>
    </row>
    <row r="449">
      <c r="A449" s="149"/>
      <c r="B449" s="150"/>
      <c r="C449" s="151"/>
      <c r="D449" s="140"/>
      <c r="E449" s="152"/>
      <c r="F449" s="60"/>
      <c r="G449" s="60"/>
      <c r="H449" s="60"/>
      <c r="I449" s="60"/>
      <c r="J449" s="60"/>
      <c r="K449" s="60"/>
      <c r="L449" s="60"/>
      <c r="M449" s="60"/>
      <c r="N449" s="60"/>
      <c r="O449" s="60"/>
      <c r="P449" s="60"/>
      <c r="Q449" s="60"/>
      <c r="R449" s="60"/>
      <c r="S449" s="60"/>
      <c r="T449" s="60"/>
      <c r="U449" s="60"/>
      <c r="V449" s="60"/>
      <c r="W449" s="60"/>
      <c r="X449" s="60"/>
      <c r="Y449" s="60"/>
      <c r="Z449" s="60"/>
    </row>
    <row r="450">
      <c r="A450" s="149"/>
      <c r="B450" s="150"/>
      <c r="C450" s="151"/>
      <c r="D450" s="140"/>
      <c r="E450" s="152"/>
      <c r="F450" s="60"/>
      <c r="G450" s="60"/>
      <c r="H450" s="60"/>
      <c r="I450" s="60"/>
      <c r="J450" s="60"/>
      <c r="K450" s="60"/>
      <c r="L450" s="60"/>
      <c r="M450" s="60"/>
      <c r="N450" s="60"/>
      <c r="O450" s="60"/>
      <c r="P450" s="60"/>
      <c r="Q450" s="60"/>
      <c r="R450" s="60"/>
      <c r="S450" s="60"/>
      <c r="T450" s="60"/>
      <c r="U450" s="60"/>
      <c r="V450" s="60"/>
      <c r="W450" s="60"/>
      <c r="X450" s="60"/>
      <c r="Y450" s="60"/>
      <c r="Z450" s="60"/>
    </row>
    <row r="451">
      <c r="A451" s="149"/>
      <c r="B451" s="150"/>
      <c r="C451" s="151"/>
      <c r="D451" s="140"/>
      <c r="E451" s="152"/>
      <c r="F451" s="60"/>
      <c r="G451" s="60"/>
      <c r="H451" s="60"/>
      <c r="I451" s="60"/>
      <c r="J451" s="60"/>
      <c r="K451" s="60"/>
      <c r="L451" s="60"/>
      <c r="M451" s="60"/>
      <c r="N451" s="60"/>
      <c r="O451" s="60"/>
      <c r="P451" s="60"/>
      <c r="Q451" s="60"/>
      <c r="R451" s="60"/>
      <c r="S451" s="60"/>
      <c r="T451" s="60"/>
      <c r="U451" s="60"/>
      <c r="V451" s="60"/>
      <c r="W451" s="60"/>
      <c r="X451" s="60"/>
      <c r="Y451" s="60"/>
      <c r="Z451" s="60"/>
    </row>
    <row r="452">
      <c r="A452" s="149"/>
      <c r="B452" s="150"/>
      <c r="C452" s="151"/>
      <c r="D452" s="140"/>
      <c r="E452" s="152"/>
      <c r="F452" s="60"/>
      <c r="G452" s="60"/>
      <c r="H452" s="60"/>
      <c r="I452" s="60"/>
      <c r="J452" s="60"/>
      <c r="K452" s="60"/>
      <c r="L452" s="60"/>
      <c r="M452" s="60"/>
      <c r="N452" s="60"/>
      <c r="O452" s="60"/>
      <c r="P452" s="60"/>
      <c r="Q452" s="60"/>
      <c r="R452" s="60"/>
      <c r="S452" s="60"/>
      <c r="T452" s="60"/>
      <c r="U452" s="60"/>
      <c r="V452" s="60"/>
      <c r="W452" s="60"/>
      <c r="X452" s="60"/>
      <c r="Y452" s="60"/>
      <c r="Z452" s="60"/>
    </row>
    <row r="453">
      <c r="A453" s="149"/>
      <c r="B453" s="150"/>
      <c r="C453" s="151"/>
      <c r="D453" s="140"/>
      <c r="E453" s="152"/>
      <c r="F453" s="60"/>
      <c r="G453" s="60"/>
      <c r="H453" s="60"/>
      <c r="I453" s="60"/>
      <c r="J453" s="60"/>
      <c r="K453" s="60"/>
      <c r="L453" s="60"/>
      <c r="M453" s="60"/>
      <c r="N453" s="60"/>
      <c r="O453" s="60"/>
      <c r="P453" s="60"/>
      <c r="Q453" s="60"/>
      <c r="R453" s="60"/>
      <c r="S453" s="60"/>
      <c r="T453" s="60"/>
      <c r="U453" s="60"/>
      <c r="V453" s="60"/>
      <c r="W453" s="60"/>
      <c r="X453" s="60"/>
      <c r="Y453" s="60"/>
      <c r="Z453" s="60"/>
    </row>
    <row r="454">
      <c r="A454" s="149"/>
      <c r="B454" s="150"/>
      <c r="C454" s="151"/>
      <c r="D454" s="140"/>
      <c r="E454" s="152"/>
      <c r="F454" s="60"/>
      <c r="G454" s="60"/>
      <c r="H454" s="60"/>
      <c r="I454" s="60"/>
      <c r="J454" s="60"/>
      <c r="K454" s="60"/>
      <c r="L454" s="60"/>
      <c r="M454" s="60"/>
      <c r="N454" s="60"/>
      <c r="O454" s="60"/>
      <c r="P454" s="60"/>
      <c r="Q454" s="60"/>
      <c r="R454" s="60"/>
      <c r="S454" s="60"/>
      <c r="T454" s="60"/>
      <c r="U454" s="60"/>
      <c r="V454" s="60"/>
      <c r="W454" s="60"/>
      <c r="X454" s="60"/>
      <c r="Y454" s="60"/>
      <c r="Z454" s="60"/>
    </row>
    <row r="455">
      <c r="A455" s="149"/>
      <c r="B455" s="150"/>
      <c r="C455" s="151"/>
      <c r="D455" s="140"/>
      <c r="E455" s="152"/>
      <c r="F455" s="60"/>
      <c r="G455" s="60"/>
      <c r="H455" s="60"/>
      <c r="I455" s="60"/>
      <c r="J455" s="60"/>
      <c r="K455" s="60"/>
      <c r="L455" s="60"/>
      <c r="M455" s="60"/>
      <c r="N455" s="60"/>
      <c r="O455" s="60"/>
      <c r="P455" s="60"/>
      <c r="Q455" s="60"/>
      <c r="R455" s="60"/>
      <c r="S455" s="60"/>
      <c r="T455" s="60"/>
      <c r="U455" s="60"/>
      <c r="V455" s="60"/>
      <c r="W455" s="60"/>
      <c r="X455" s="60"/>
      <c r="Y455" s="60"/>
      <c r="Z455" s="60"/>
    </row>
    <row r="456">
      <c r="A456" s="149"/>
      <c r="B456" s="150"/>
      <c r="C456" s="151"/>
      <c r="D456" s="140"/>
      <c r="E456" s="152"/>
      <c r="F456" s="60"/>
      <c r="G456" s="60"/>
      <c r="H456" s="60"/>
      <c r="I456" s="60"/>
      <c r="J456" s="60"/>
      <c r="K456" s="60"/>
      <c r="L456" s="60"/>
      <c r="M456" s="60"/>
      <c r="N456" s="60"/>
      <c r="O456" s="60"/>
      <c r="P456" s="60"/>
      <c r="Q456" s="60"/>
      <c r="R456" s="60"/>
      <c r="S456" s="60"/>
      <c r="T456" s="60"/>
      <c r="U456" s="60"/>
      <c r="V456" s="60"/>
      <c r="W456" s="60"/>
      <c r="X456" s="60"/>
      <c r="Y456" s="60"/>
      <c r="Z456" s="60"/>
    </row>
    <row r="457">
      <c r="A457" s="149"/>
      <c r="B457" s="150"/>
      <c r="C457" s="151"/>
      <c r="D457" s="140"/>
      <c r="E457" s="152"/>
      <c r="F457" s="60"/>
      <c r="G457" s="60"/>
      <c r="H457" s="60"/>
      <c r="I457" s="60"/>
      <c r="J457" s="60"/>
      <c r="K457" s="60"/>
      <c r="L457" s="60"/>
      <c r="M457" s="60"/>
      <c r="N457" s="60"/>
      <c r="O457" s="60"/>
      <c r="P457" s="60"/>
      <c r="Q457" s="60"/>
      <c r="R457" s="60"/>
      <c r="S457" s="60"/>
      <c r="T457" s="60"/>
      <c r="U457" s="60"/>
      <c r="V457" s="60"/>
      <c r="W457" s="60"/>
      <c r="X457" s="60"/>
      <c r="Y457" s="60"/>
      <c r="Z457" s="60"/>
    </row>
    <row r="458">
      <c r="A458" s="149"/>
      <c r="B458" s="150"/>
      <c r="C458" s="151"/>
      <c r="D458" s="140"/>
      <c r="E458" s="152"/>
      <c r="F458" s="60"/>
      <c r="G458" s="60"/>
      <c r="H458" s="60"/>
      <c r="I458" s="60"/>
      <c r="J458" s="60"/>
      <c r="K458" s="60"/>
      <c r="L458" s="60"/>
      <c r="M458" s="60"/>
      <c r="N458" s="60"/>
      <c r="O458" s="60"/>
      <c r="P458" s="60"/>
      <c r="Q458" s="60"/>
      <c r="R458" s="60"/>
      <c r="S458" s="60"/>
      <c r="T458" s="60"/>
      <c r="U458" s="60"/>
      <c r="V458" s="60"/>
      <c r="W458" s="60"/>
      <c r="X458" s="60"/>
      <c r="Y458" s="60"/>
      <c r="Z458" s="60"/>
    </row>
    <row r="459">
      <c r="A459" s="149"/>
      <c r="B459" s="150"/>
      <c r="C459" s="151"/>
      <c r="D459" s="140"/>
      <c r="E459" s="152"/>
      <c r="F459" s="60"/>
      <c r="G459" s="60"/>
      <c r="H459" s="60"/>
      <c r="I459" s="60"/>
      <c r="J459" s="60"/>
      <c r="K459" s="60"/>
      <c r="L459" s="60"/>
      <c r="M459" s="60"/>
      <c r="N459" s="60"/>
      <c r="O459" s="60"/>
      <c r="P459" s="60"/>
      <c r="Q459" s="60"/>
      <c r="R459" s="60"/>
      <c r="S459" s="60"/>
      <c r="T459" s="60"/>
      <c r="U459" s="60"/>
      <c r="V459" s="60"/>
      <c r="W459" s="60"/>
      <c r="X459" s="60"/>
      <c r="Y459" s="60"/>
      <c r="Z459" s="60"/>
    </row>
    <row r="460">
      <c r="A460" s="149"/>
      <c r="B460" s="150"/>
      <c r="C460" s="151"/>
      <c r="D460" s="140"/>
      <c r="E460" s="152"/>
      <c r="F460" s="60"/>
      <c r="G460" s="60"/>
      <c r="H460" s="60"/>
      <c r="I460" s="60"/>
      <c r="J460" s="60"/>
      <c r="K460" s="60"/>
      <c r="L460" s="60"/>
      <c r="M460" s="60"/>
      <c r="N460" s="60"/>
      <c r="O460" s="60"/>
      <c r="P460" s="60"/>
      <c r="Q460" s="60"/>
      <c r="R460" s="60"/>
      <c r="S460" s="60"/>
      <c r="T460" s="60"/>
      <c r="U460" s="60"/>
      <c r="V460" s="60"/>
      <c r="W460" s="60"/>
      <c r="X460" s="60"/>
      <c r="Y460" s="60"/>
      <c r="Z460" s="60"/>
    </row>
    <row r="461">
      <c r="A461" s="149"/>
      <c r="B461" s="150"/>
      <c r="C461" s="151"/>
      <c r="D461" s="140"/>
      <c r="E461" s="152"/>
      <c r="F461" s="60"/>
      <c r="G461" s="60"/>
      <c r="H461" s="60"/>
      <c r="I461" s="60"/>
      <c r="J461" s="60"/>
      <c r="K461" s="60"/>
      <c r="L461" s="60"/>
      <c r="M461" s="60"/>
      <c r="N461" s="60"/>
      <c r="O461" s="60"/>
      <c r="P461" s="60"/>
      <c r="Q461" s="60"/>
      <c r="R461" s="60"/>
      <c r="S461" s="60"/>
      <c r="T461" s="60"/>
      <c r="U461" s="60"/>
      <c r="V461" s="60"/>
      <c r="W461" s="60"/>
      <c r="X461" s="60"/>
      <c r="Y461" s="60"/>
      <c r="Z461" s="60"/>
    </row>
    <row r="462">
      <c r="A462" s="149"/>
      <c r="B462" s="150"/>
      <c r="C462" s="151"/>
      <c r="D462" s="140"/>
      <c r="E462" s="152"/>
      <c r="F462" s="60"/>
      <c r="G462" s="60"/>
      <c r="H462" s="60"/>
      <c r="I462" s="60"/>
      <c r="J462" s="60"/>
      <c r="K462" s="60"/>
      <c r="L462" s="60"/>
      <c r="M462" s="60"/>
      <c r="N462" s="60"/>
      <c r="O462" s="60"/>
      <c r="P462" s="60"/>
      <c r="Q462" s="60"/>
      <c r="R462" s="60"/>
      <c r="S462" s="60"/>
      <c r="T462" s="60"/>
      <c r="U462" s="60"/>
      <c r="V462" s="60"/>
      <c r="W462" s="60"/>
      <c r="X462" s="60"/>
      <c r="Y462" s="60"/>
      <c r="Z462" s="60"/>
    </row>
    <row r="463">
      <c r="A463" s="149"/>
      <c r="B463" s="150"/>
      <c r="C463" s="151"/>
      <c r="D463" s="140"/>
      <c r="E463" s="152"/>
      <c r="F463" s="60"/>
      <c r="G463" s="60"/>
      <c r="H463" s="60"/>
      <c r="I463" s="60"/>
      <c r="J463" s="60"/>
      <c r="K463" s="60"/>
      <c r="L463" s="60"/>
      <c r="M463" s="60"/>
      <c r="N463" s="60"/>
      <c r="O463" s="60"/>
      <c r="P463" s="60"/>
      <c r="Q463" s="60"/>
      <c r="R463" s="60"/>
      <c r="S463" s="60"/>
      <c r="T463" s="60"/>
      <c r="U463" s="60"/>
      <c r="V463" s="60"/>
      <c r="W463" s="60"/>
      <c r="X463" s="60"/>
      <c r="Y463" s="60"/>
      <c r="Z463" s="60"/>
    </row>
    <row r="464">
      <c r="A464" s="149"/>
      <c r="B464" s="150"/>
      <c r="C464" s="151"/>
      <c r="D464" s="140"/>
      <c r="E464" s="152"/>
      <c r="F464" s="60"/>
      <c r="G464" s="60"/>
      <c r="H464" s="60"/>
      <c r="I464" s="60"/>
      <c r="J464" s="60"/>
      <c r="K464" s="60"/>
      <c r="L464" s="60"/>
      <c r="M464" s="60"/>
      <c r="N464" s="60"/>
      <c r="O464" s="60"/>
      <c r="P464" s="60"/>
      <c r="Q464" s="60"/>
      <c r="R464" s="60"/>
      <c r="S464" s="60"/>
      <c r="T464" s="60"/>
      <c r="U464" s="60"/>
      <c r="V464" s="60"/>
      <c r="W464" s="60"/>
      <c r="X464" s="60"/>
      <c r="Y464" s="60"/>
      <c r="Z464" s="60"/>
    </row>
    <row r="465">
      <c r="A465" s="149"/>
      <c r="B465" s="150"/>
      <c r="C465" s="151"/>
      <c r="D465" s="140"/>
      <c r="E465" s="152"/>
      <c r="F465" s="60"/>
      <c r="G465" s="60"/>
      <c r="H465" s="60"/>
      <c r="I465" s="60"/>
      <c r="J465" s="60"/>
      <c r="K465" s="60"/>
      <c r="L465" s="60"/>
      <c r="M465" s="60"/>
      <c r="N465" s="60"/>
      <c r="O465" s="60"/>
      <c r="P465" s="60"/>
      <c r="Q465" s="60"/>
      <c r="R465" s="60"/>
      <c r="S465" s="60"/>
      <c r="T465" s="60"/>
      <c r="U465" s="60"/>
      <c r="V465" s="60"/>
      <c r="W465" s="60"/>
      <c r="X465" s="60"/>
      <c r="Y465" s="60"/>
      <c r="Z465" s="60"/>
    </row>
    <row r="466">
      <c r="A466" s="149"/>
      <c r="B466" s="150"/>
      <c r="C466" s="151"/>
      <c r="D466" s="140"/>
      <c r="E466" s="152"/>
      <c r="F466" s="60"/>
      <c r="G466" s="60"/>
      <c r="H466" s="60"/>
      <c r="I466" s="60"/>
      <c r="J466" s="60"/>
      <c r="K466" s="60"/>
      <c r="L466" s="60"/>
      <c r="M466" s="60"/>
      <c r="N466" s="60"/>
      <c r="O466" s="60"/>
      <c r="P466" s="60"/>
      <c r="Q466" s="60"/>
      <c r="R466" s="60"/>
      <c r="S466" s="60"/>
      <c r="T466" s="60"/>
      <c r="U466" s="60"/>
      <c r="V466" s="60"/>
      <c r="W466" s="60"/>
      <c r="X466" s="60"/>
      <c r="Y466" s="60"/>
      <c r="Z466" s="60"/>
    </row>
    <row r="467">
      <c r="A467" s="149"/>
      <c r="B467" s="150"/>
      <c r="C467" s="151"/>
      <c r="D467" s="140"/>
      <c r="E467" s="152"/>
      <c r="F467" s="60"/>
      <c r="G467" s="60"/>
      <c r="H467" s="60"/>
      <c r="I467" s="60"/>
      <c r="J467" s="60"/>
      <c r="K467" s="60"/>
      <c r="L467" s="60"/>
      <c r="M467" s="60"/>
      <c r="N467" s="60"/>
      <c r="O467" s="60"/>
      <c r="P467" s="60"/>
      <c r="Q467" s="60"/>
      <c r="R467" s="60"/>
      <c r="S467" s="60"/>
      <c r="T467" s="60"/>
      <c r="U467" s="60"/>
      <c r="V467" s="60"/>
      <c r="W467" s="60"/>
      <c r="X467" s="60"/>
      <c r="Y467" s="60"/>
      <c r="Z467" s="60"/>
    </row>
    <row r="468">
      <c r="A468" s="149"/>
      <c r="B468" s="150"/>
      <c r="C468" s="151"/>
      <c r="D468" s="140"/>
      <c r="E468" s="152"/>
      <c r="F468" s="60"/>
      <c r="G468" s="60"/>
      <c r="H468" s="60"/>
      <c r="I468" s="60"/>
      <c r="J468" s="60"/>
      <c r="K468" s="60"/>
      <c r="L468" s="60"/>
      <c r="M468" s="60"/>
      <c r="N468" s="60"/>
      <c r="O468" s="60"/>
      <c r="P468" s="60"/>
      <c r="Q468" s="60"/>
      <c r="R468" s="60"/>
      <c r="S468" s="60"/>
      <c r="T468" s="60"/>
      <c r="U468" s="60"/>
      <c r="V468" s="60"/>
      <c r="W468" s="60"/>
      <c r="X468" s="60"/>
      <c r="Y468" s="60"/>
      <c r="Z468" s="60"/>
    </row>
    <row r="469">
      <c r="A469" s="149"/>
      <c r="B469" s="150"/>
      <c r="C469" s="151"/>
      <c r="D469" s="140"/>
      <c r="E469" s="152"/>
      <c r="F469" s="60"/>
      <c r="G469" s="60"/>
      <c r="H469" s="60"/>
      <c r="I469" s="60"/>
      <c r="J469" s="60"/>
      <c r="K469" s="60"/>
      <c r="L469" s="60"/>
      <c r="M469" s="60"/>
      <c r="N469" s="60"/>
      <c r="O469" s="60"/>
      <c r="P469" s="60"/>
      <c r="Q469" s="60"/>
      <c r="R469" s="60"/>
      <c r="S469" s="60"/>
      <c r="T469" s="60"/>
      <c r="U469" s="60"/>
      <c r="V469" s="60"/>
      <c r="W469" s="60"/>
      <c r="X469" s="60"/>
      <c r="Y469" s="60"/>
      <c r="Z469" s="60"/>
    </row>
    <row r="470">
      <c r="A470" s="149"/>
      <c r="B470" s="150"/>
      <c r="C470" s="151"/>
      <c r="D470" s="140"/>
      <c r="E470" s="152"/>
      <c r="F470" s="60"/>
      <c r="G470" s="60"/>
      <c r="H470" s="60"/>
      <c r="I470" s="60"/>
      <c r="J470" s="60"/>
      <c r="K470" s="60"/>
      <c r="L470" s="60"/>
      <c r="M470" s="60"/>
      <c r="N470" s="60"/>
      <c r="O470" s="60"/>
      <c r="P470" s="60"/>
      <c r="Q470" s="60"/>
      <c r="R470" s="60"/>
      <c r="S470" s="60"/>
      <c r="T470" s="60"/>
      <c r="U470" s="60"/>
      <c r="V470" s="60"/>
      <c r="W470" s="60"/>
      <c r="X470" s="60"/>
      <c r="Y470" s="60"/>
      <c r="Z470" s="60"/>
    </row>
    <row r="471">
      <c r="A471" s="149"/>
      <c r="B471" s="150"/>
      <c r="C471" s="151"/>
      <c r="D471" s="140"/>
      <c r="E471" s="152"/>
      <c r="F471" s="60"/>
      <c r="G471" s="60"/>
      <c r="H471" s="60"/>
      <c r="I471" s="60"/>
      <c r="J471" s="60"/>
      <c r="K471" s="60"/>
      <c r="L471" s="60"/>
      <c r="M471" s="60"/>
      <c r="N471" s="60"/>
      <c r="O471" s="60"/>
      <c r="P471" s="60"/>
      <c r="Q471" s="60"/>
      <c r="R471" s="60"/>
      <c r="S471" s="60"/>
      <c r="T471" s="60"/>
      <c r="U471" s="60"/>
      <c r="V471" s="60"/>
      <c r="W471" s="60"/>
      <c r="X471" s="60"/>
      <c r="Y471" s="60"/>
      <c r="Z471" s="60"/>
    </row>
    <row r="472">
      <c r="A472" s="149"/>
      <c r="B472" s="150"/>
      <c r="C472" s="151"/>
      <c r="D472" s="140"/>
      <c r="E472" s="152"/>
      <c r="F472" s="60"/>
      <c r="G472" s="60"/>
      <c r="H472" s="60"/>
      <c r="I472" s="60"/>
      <c r="J472" s="60"/>
      <c r="K472" s="60"/>
      <c r="L472" s="60"/>
      <c r="M472" s="60"/>
      <c r="N472" s="60"/>
      <c r="O472" s="60"/>
      <c r="P472" s="60"/>
      <c r="Q472" s="60"/>
      <c r="R472" s="60"/>
      <c r="S472" s="60"/>
      <c r="T472" s="60"/>
      <c r="U472" s="60"/>
      <c r="V472" s="60"/>
      <c r="W472" s="60"/>
      <c r="X472" s="60"/>
      <c r="Y472" s="60"/>
      <c r="Z472" s="60"/>
    </row>
    <row r="473">
      <c r="A473" s="149"/>
      <c r="B473" s="150"/>
      <c r="C473" s="151"/>
      <c r="D473" s="140"/>
      <c r="E473" s="152"/>
      <c r="F473" s="60"/>
      <c r="G473" s="60"/>
      <c r="H473" s="60"/>
      <c r="I473" s="60"/>
      <c r="J473" s="60"/>
      <c r="K473" s="60"/>
      <c r="L473" s="60"/>
      <c r="M473" s="60"/>
      <c r="N473" s="60"/>
      <c r="O473" s="60"/>
      <c r="P473" s="60"/>
      <c r="Q473" s="60"/>
      <c r="R473" s="60"/>
      <c r="S473" s="60"/>
      <c r="T473" s="60"/>
      <c r="U473" s="60"/>
      <c r="V473" s="60"/>
      <c r="W473" s="60"/>
      <c r="X473" s="60"/>
      <c r="Y473" s="60"/>
      <c r="Z473" s="60"/>
    </row>
    <row r="474">
      <c r="A474" s="149"/>
      <c r="B474" s="150"/>
      <c r="C474" s="151"/>
      <c r="D474" s="140"/>
      <c r="E474" s="152"/>
      <c r="F474" s="60"/>
      <c r="G474" s="60"/>
      <c r="H474" s="60"/>
      <c r="I474" s="60"/>
      <c r="J474" s="60"/>
      <c r="K474" s="60"/>
      <c r="L474" s="60"/>
      <c r="M474" s="60"/>
      <c r="N474" s="60"/>
      <c r="O474" s="60"/>
      <c r="P474" s="60"/>
      <c r="Q474" s="60"/>
      <c r="R474" s="60"/>
      <c r="S474" s="60"/>
      <c r="T474" s="60"/>
      <c r="U474" s="60"/>
      <c r="V474" s="60"/>
      <c r="W474" s="60"/>
      <c r="X474" s="60"/>
      <c r="Y474" s="60"/>
      <c r="Z474" s="60"/>
    </row>
    <row r="475">
      <c r="A475" s="149"/>
      <c r="B475" s="150"/>
      <c r="C475" s="149"/>
      <c r="D475" s="140"/>
      <c r="E475" s="149"/>
      <c r="F475" s="60"/>
      <c r="G475" s="60"/>
      <c r="H475" s="60"/>
      <c r="I475" s="60"/>
      <c r="J475" s="60"/>
      <c r="K475" s="60"/>
      <c r="L475" s="60"/>
      <c r="M475" s="60"/>
      <c r="N475" s="60"/>
      <c r="O475" s="60"/>
      <c r="P475" s="60"/>
      <c r="Q475" s="60"/>
      <c r="R475" s="60"/>
      <c r="S475" s="60"/>
      <c r="T475" s="60"/>
      <c r="U475" s="60"/>
      <c r="V475" s="60"/>
      <c r="W475" s="60"/>
      <c r="X475" s="60"/>
      <c r="Y475" s="60"/>
      <c r="Z475" s="60"/>
    </row>
    <row r="476">
      <c r="A476" s="149"/>
      <c r="B476" s="150"/>
      <c r="C476" s="149"/>
      <c r="D476" s="140"/>
      <c r="E476" s="149"/>
      <c r="F476" s="60"/>
      <c r="G476" s="60"/>
      <c r="H476" s="60"/>
      <c r="I476" s="60"/>
      <c r="J476" s="60"/>
      <c r="K476" s="60"/>
      <c r="L476" s="60"/>
      <c r="M476" s="60"/>
      <c r="N476" s="60"/>
      <c r="O476" s="60"/>
      <c r="P476" s="60"/>
      <c r="Q476" s="60"/>
      <c r="R476" s="60"/>
      <c r="S476" s="60"/>
      <c r="T476" s="60"/>
      <c r="U476" s="60"/>
      <c r="V476" s="60"/>
      <c r="W476" s="60"/>
      <c r="X476" s="60"/>
      <c r="Y476" s="60"/>
      <c r="Z476" s="60"/>
    </row>
    <row r="477">
      <c r="A477" s="149"/>
      <c r="B477" s="150"/>
      <c r="C477" s="149"/>
      <c r="D477" s="140"/>
      <c r="E477" s="149"/>
      <c r="F477" s="60"/>
      <c r="G477" s="60"/>
      <c r="H477" s="60"/>
      <c r="I477" s="60"/>
      <c r="J477" s="60"/>
      <c r="K477" s="60"/>
      <c r="L477" s="60"/>
      <c r="M477" s="60"/>
      <c r="N477" s="60"/>
      <c r="O477" s="60"/>
      <c r="P477" s="60"/>
      <c r="Q477" s="60"/>
      <c r="R477" s="60"/>
      <c r="S477" s="60"/>
      <c r="T477" s="60"/>
      <c r="U477" s="60"/>
      <c r="V477" s="60"/>
      <c r="W477" s="60"/>
      <c r="X477" s="60"/>
      <c r="Y477" s="60"/>
      <c r="Z477" s="60"/>
    </row>
    <row r="478">
      <c r="A478" s="149"/>
      <c r="B478" s="150"/>
      <c r="C478" s="149"/>
      <c r="D478" s="140"/>
      <c r="E478" s="149"/>
      <c r="F478" s="60"/>
      <c r="G478" s="60"/>
      <c r="H478" s="60"/>
      <c r="I478" s="60"/>
      <c r="J478" s="60"/>
      <c r="K478" s="60"/>
      <c r="L478" s="60"/>
      <c r="M478" s="60"/>
      <c r="N478" s="60"/>
      <c r="O478" s="60"/>
      <c r="P478" s="60"/>
      <c r="Q478" s="60"/>
      <c r="R478" s="60"/>
      <c r="S478" s="60"/>
      <c r="T478" s="60"/>
      <c r="U478" s="60"/>
      <c r="V478" s="60"/>
      <c r="W478" s="60"/>
      <c r="X478" s="60"/>
      <c r="Y478" s="60"/>
      <c r="Z478" s="60"/>
    </row>
    <row r="479">
      <c r="A479" s="149"/>
      <c r="B479" s="150"/>
      <c r="C479" s="151"/>
      <c r="D479" s="140"/>
      <c r="E479" s="152"/>
      <c r="F479" s="60"/>
      <c r="G479" s="60"/>
      <c r="H479" s="60"/>
      <c r="I479" s="60"/>
      <c r="J479" s="60"/>
      <c r="K479" s="60"/>
      <c r="L479" s="60"/>
      <c r="M479" s="60"/>
      <c r="N479" s="60"/>
      <c r="O479" s="60"/>
      <c r="P479" s="60"/>
      <c r="Q479" s="60"/>
      <c r="R479" s="60"/>
      <c r="S479" s="60"/>
      <c r="T479" s="60"/>
      <c r="U479" s="60"/>
      <c r="V479" s="60"/>
      <c r="W479" s="60"/>
      <c r="X479" s="60"/>
      <c r="Y479" s="60"/>
      <c r="Z479" s="60"/>
    </row>
    <row r="480">
      <c r="A480" s="149"/>
      <c r="B480" s="150"/>
      <c r="C480" s="151"/>
      <c r="D480" s="140"/>
      <c r="E480" s="152"/>
      <c r="F480" s="60"/>
      <c r="G480" s="60"/>
      <c r="H480" s="60"/>
      <c r="I480" s="60"/>
      <c r="J480" s="60"/>
      <c r="K480" s="60"/>
      <c r="L480" s="60"/>
      <c r="M480" s="60"/>
      <c r="N480" s="60"/>
      <c r="O480" s="60"/>
      <c r="P480" s="60"/>
      <c r="Q480" s="60"/>
      <c r="R480" s="60"/>
      <c r="S480" s="60"/>
      <c r="T480" s="60"/>
      <c r="U480" s="60"/>
      <c r="V480" s="60"/>
      <c r="W480" s="60"/>
      <c r="X480" s="60"/>
      <c r="Y480" s="60"/>
      <c r="Z480" s="60"/>
    </row>
    <row r="481">
      <c r="A481" s="149"/>
      <c r="B481" s="150"/>
      <c r="C481" s="151"/>
      <c r="D481" s="140"/>
      <c r="E481" s="152"/>
      <c r="F481" s="60"/>
      <c r="G481" s="60"/>
      <c r="H481" s="60"/>
      <c r="I481" s="60"/>
      <c r="J481" s="60"/>
      <c r="K481" s="60"/>
      <c r="L481" s="60"/>
      <c r="M481" s="60"/>
      <c r="N481" s="60"/>
      <c r="O481" s="60"/>
      <c r="P481" s="60"/>
      <c r="Q481" s="60"/>
      <c r="R481" s="60"/>
      <c r="S481" s="60"/>
      <c r="T481" s="60"/>
      <c r="U481" s="60"/>
      <c r="V481" s="60"/>
      <c r="W481" s="60"/>
      <c r="X481" s="60"/>
      <c r="Y481" s="60"/>
      <c r="Z481" s="60"/>
    </row>
    <row r="482">
      <c r="A482" s="149"/>
      <c r="B482" s="150"/>
      <c r="C482" s="151"/>
      <c r="D482" s="140"/>
      <c r="E482" s="152"/>
      <c r="F482" s="60"/>
      <c r="G482" s="60"/>
      <c r="H482" s="60"/>
      <c r="I482" s="60"/>
      <c r="J482" s="60"/>
      <c r="K482" s="60"/>
      <c r="L482" s="60"/>
      <c r="M482" s="60"/>
      <c r="N482" s="60"/>
      <c r="O482" s="60"/>
      <c r="P482" s="60"/>
      <c r="Q482" s="60"/>
      <c r="R482" s="60"/>
      <c r="S482" s="60"/>
      <c r="T482" s="60"/>
      <c r="U482" s="60"/>
      <c r="V482" s="60"/>
      <c r="W482" s="60"/>
      <c r="X482" s="60"/>
      <c r="Y482" s="60"/>
      <c r="Z482" s="60"/>
    </row>
    <row r="483">
      <c r="A483" s="149"/>
      <c r="B483" s="150"/>
      <c r="C483" s="151"/>
      <c r="D483" s="140"/>
      <c r="E483" s="152"/>
      <c r="F483" s="60"/>
      <c r="G483" s="60"/>
      <c r="H483" s="60"/>
      <c r="I483" s="60"/>
      <c r="J483" s="60"/>
      <c r="K483" s="60"/>
      <c r="L483" s="60"/>
      <c r="M483" s="60"/>
      <c r="N483" s="60"/>
      <c r="O483" s="60"/>
      <c r="P483" s="60"/>
      <c r="Q483" s="60"/>
      <c r="R483" s="60"/>
      <c r="S483" s="60"/>
      <c r="T483" s="60"/>
      <c r="U483" s="60"/>
      <c r="V483" s="60"/>
      <c r="W483" s="60"/>
      <c r="X483" s="60"/>
      <c r="Y483" s="60"/>
      <c r="Z483" s="60"/>
    </row>
    <row r="484">
      <c r="A484" s="149"/>
      <c r="B484" s="150"/>
      <c r="C484" s="151"/>
      <c r="D484" s="140"/>
      <c r="E484" s="152"/>
      <c r="F484" s="60"/>
      <c r="G484" s="60"/>
      <c r="H484" s="60"/>
      <c r="I484" s="60"/>
      <c r="J484" s="60"/>
      <c r="K484" s="60"/>
      <c r="L484" s="60"/>
      <c r="M484" s="60"/>
      <c r="N484" s="60"/>
      <c r="O484" s="60"/>
      <c r="P484" s="60"/>
      <c r="Q484" s="60"/>
      <c r="R484" s="60"/>
      <c r="S484" s="60"/>
      <c r="T484" s="60"/>
      <c r="U484" s="60"/>
      <c r="V484" s="60"/>
      <c r="W484" s="60"/>
      <c r="X484" s="60"/>
      <c r="Y484" s="60"/>
      <c r="Z484" s="60"/>
    </row>
    <row r="485">
      <c r="A485" s="149"/>
      <c r="B485" s="150"/>
      <c r="C485" s="151"/>
      <c r="D485" s="140"/>
      <c r="E485" s="152"/>
      <c r="F485" s="60"/>
      <c r="G485" s="60"/>
      <c r="H485" s="60"/>
      <c r="I485" s="60"/>
      <c r="J485" s="60"/>
      <c r="K485" s="60"/>
      <c r="L485" s="60"/>
      <c r="M485" s="60"/>
      <c r="N485" s="60"/>
      <c r="O485" s="60"/>
      <c r="P485" s="60"/>
      <c r="Q485" s="60"/>
      <c r="R485" s="60"/>
      <c r="S485" s="60"/>
      <c r="T485" s="60"/>
      <c r="U485" s="60"/>
      <c r="V485" s="60"/>
      <c r="W485" s="60"/>
      <c r="X485" s="60"/>
      <c r="Y485" s="60"/>
      <c r="Z485" s="60"/>
    </row>
    <row r="486">
      <c r="A486" s="149"/>
      <c r="B486" s="150"/>
      <c r="C486" s="151"/>
      <c r="D486" s="140"/>
      <c r="E486" s="152"/>
      <c r="F486" s="60"/>
      <c r="G486" s="60"/>
      <c r="H486" s="60"/>
      <c r="I486" s="60"/>
      <c r="J486" s="60"/>
      <c r="K486" s="60"/>
      <c r="L486" s="60"/>
      <c r="M486" s="60"/>
      <c r="N486" s="60"/>
      <c r="O486" s="60"/>
      <c r="P486" s="60"/>
      <c r="Q486" s="60"/>
      <c r="R486" s="60"/>
      <c r="S486" s="60"/>
      <c r="T486" s="60"/>
      <c r="U486" s="60"/>
      <c r="V486" s="60"/>
      <c r="W486" s="60"/>
      <c r="X486" s="60"/>
      <c r="Y486" s="60"/>
      <c r="Z486" s="60"/>
    </row>
    <row r="487">
      <c r="A487" s="149"/>
      <c r="B487" s="150"/>
      <c r="C487" s="151"/>
      <c r="D487" s="140"/>
      <c r="E487" s="152"/>
      <c r="F487" s="60"/>
      <c r="G487" s="60"/>
      <c r="H487" s="60"/>
      <c r="I487" s="60"/>
      <c r="J487" s="60"/>
      <c r="K487" s="60"/>
      <c r="L487" s="60"/>
      <c r="M487" s="60"/>
      <c r="N487" s="60"/>
      <c r="O487" s="60"/>
      <c r="P487" s="60"/>
      <c r="Q487" s="60"/>
      <c r="R487" s="60"/>
      <c r="S487" s="60"/>
      <c r="T487" s="60"/>
      <c r="U487" s="60"/>
      <c r="V487" s="60"/>
      <c r="W487" s="60"/>
      <c r="X487" s="60"/>
      <c r="Y487" s="60"/>
      <c r="Z487" s="60"/>
    </row>
    <row r="488">
      <c r="A488" s="149"/>
      <c r="B488" s="150"/>
      <c r="C488" s="151"/>
      <c r="D488" s="140"/>
      <c r="E488" s="152"/>
      <c r="F488" s="60"/>
      <c r="G488" s="60"/>
      <c r="H488" s="60"/>
      <c r="I488" s="60"/>
      <c r="J488" s="60"/>
      <c r="K488" s="60"/>
      <c r="L488" s="60"/>
      <c r="M488" s="60"/>
      <c r="N488" s="60"/>
      <c r="O488" s="60"/>
      <c r="P488" s="60"/>
      <c r="Q488" s="60"/>
      <c r="R488" s="60"/>
      <c r="S488" s="60"/>
      <c r="T488" s="60"/>
      <c r="U488" s="60"/>
      <c r="V488" s="60"/>
      <c r="W488" s="60"/>
      <c r="X488" s="60"/>
      <c r="Y488" s="60"/>
      <c r="Z488" s="60"/>
    </row>
    <row r="489">
      <c r="A489" s="149"/>
      <c r="B489" s="150"/>
      <c r="C489" s="151"/>
      <c r="D489" s="140"/>
      <c r="E489" s="152"/>
      <c r="F489" s="60"/>
      <c r="G489" s="60"/>
      <c r="H489" s="60"/>
      <c r="I489" s="60"/>
      <c r="J489" s="60"/>
      <c r="K489" s="60"/>
      <c r="L489" s="60"/>
      <c r="M489" s="60"/>
      <c r="N489" s="60"/>
      <c r="O489" s="60"/>
      <c r="P489" s="60"/>
      <c r="Q489" s="60"/>
      <c r="R489" s="60"/>
      <c r="S489" s="60"/>
      <c r="T489" s="60"/>
      <c r="U489" s="60"/>
      <c r="V489" s="60"/>
      <c r="W489" s="60"/>
      <c r="X489" s="60"/>
      <c r="Y489" s="60"/>
      <c r="Z489" s="60"/>
    </row>
    <row r="490">
      <c r="A490" s="149"/>
      <c r="B490" s="150"/>
      <c r="C490" s="151"/>
      <c r="D490" s="140"/>
      <c r="E490" s="152"/>
      <c r="F490" s="60"/>
      <c r="G490" s="60"/>
      <c r="H490" s="60"/>
      <c r="I490" s="60"/>
      <c r="J490" s="60"/>
      <c r="K490" s="60"/>
      <c r="L490" s="60"/>
      <c r="M490" s="60"/>
      <c r="N490" s="60"/>
      <c r="O490" s="60"/>
      <c r="P490" s="60"/>
      <c r="Q490" s="60"/>
      <c r="R490" s="60"/>
      <c r="S490" s="60"/>
      <c r="T490" s="60"/>
      <c r="U490" s="60"/>
      <c r="V490" s="60"/>
      <c r="W490" s="60"/>
      <c r="X490" s="60"/>
      <c r="Y490" s="60"/>
      <c r="Z490" s="60"/>
    </row>
    <row r="491">
      <c r="A491" s="149"/>
      <c r="B491" s="150"/>
      <c r="C491" s="151"/>
      <c r="D491" s="140"/>
      <c r="E491" s="152"/>
      <c r="F491" s="60"/>
      <c r="G491" s="60"/>
      <c r="H491" s="60"/>
      <c r="I491" s="60"/>
      <c r="J491" s="60"/>
      <c r="K491" s="60"/>
      <c r="L491" s="60"/>
      <c r="M491" s="60"/>
      <c r="N491" s="60"/>
      <c r="O491" s="60"/>
      <c r="P491" s="60"/>
      <c r="Q491" s="60"/>
      <c r="R491" s="60"/>
      <c r="S491" s="60"/>
      <c r="T491" s="60"/>
      <c r="U491" s="60"/>
      <c r="V491" s="60"/>
      <c r="W491" s="60"/>
      <c r="X491" s="60"/>
      <c r="Y491" s="60"/>
      <c r="Z491" s="60"/>
    </row>
    <row r="492">
      <c r="A492" s="149"/>
      <c r="B492" s="150"/>
      <c r="C492" s="151"/>
      <c r="D492" s="140"/>
      <c r="E492" s="152"/>
      <c r="F492" s="60"/>
      <c r="G492" s="60"/>
      <c r="H492" s="60"/>
      <c r="I492" s="60"/>
      <c r="J492" s="60"/>
      <c r="K492" s="60"/>
      <c r="L492" s="60"/>
      <c r="M492" s="60"/>
      <c r="N492" s="60"/>
      <c r="O492" s="60"/>
      <c r="P492" s="60"/>
      <c r="Q492" s="60"/>
      <c r="R492" s="60"/>
      <c r="S492" s="60"/>
      <c r="T492" s="60"/>
      <c r="U492" s="60"/>
      <c r="V492" s="60"/>
      <c r="W492" s="60"/>
      <c r="X492" s="60"/>
      <c r="Y492" s="60"/>
      <c r="Z492" s="60"/>
    </row>
    <row r="493">
      <c r="A493" s="149"/>
      <c r="B493" s="150"/>
      <c r="C493" s="151"/>
      <c r="D493" s="140"/>
      <c r="E493" s="152"/>
      <c r="F493" s="60"/>
      <c r="G493" s="60"/>
      <c r="H493" s="60"/>
      <c r="I493" s="60"/>
      <c r="J493" s="60"/>
      <c r="K493" s="60"/>
      <c r="L493" s="60"/>
      <c r="M493" s="60"/>
      <c r="N493" s="60"/>
      <c r="O493" s="60"/>
      <c r="P493" s="60"/>
      <c r="Q493" s="60"/>
      <c r="R493" s="60"/>
      <c r="S493" s="60"/>
      <c r="T493" s="60"/>
      <c r="U493" s="60"/>
      <c r="V493" s="60"/>
      <c r="W493" s="60"/>
      <c r="X493" s="60"/>
      <c r="Y493" s="60"/>
      <c r="Z493" s="60"/>
    </row>
    <row r="494">
      <c r="A494" s="149"/>
      <c r="B494" s="150"/>
      <c r="C494" s="151"/>
      <c r="D494" s="140"/>
      <c r="E494" s="152"/>
      <c r="F494" s="60"/>
      <c r="G494" s="60"/>
      <c r="H494" s="60"/>
      <c r="I494" s="60"/>
      <c r="J494" s="60"/>
      <c r="K494" s="60"/>
      <c r="L494" s="60"/>
      <c r="M494" s="60"/>
      <c r="N494" s="60"/>
      <c r="O494" s="60"/>
      <c r="P494" s="60"/>
      <c r="Q494" s="60"/>
      <c r="R494" s="60"/>
      <c r="S494" s="60"/>
      <c r="T494" s="60"/>
      <c r="U494" s="60"/>
      <c r="V494" s="60"/>
      <c r="W494" s="60"/>
      <c r="X494" s="60"/>
      <c r="Y494" s="60"/>
      <c r="Z494" s="60"/>
    </row>
    <row r="495">
      <c r="A495" s="149"/>
      <c r="B495" s="150"/>
      <c r="C495" s="151"/>
      <c r="D495" s="140"/>
      <c r="E495" s="152"/>
      <c r="F495" s="60"/>
      <c r="G495" s="60"/>
      <c r="H495" s="60"/>
      <c r="I495" s="60"/>
      <c r="J495" s="60"/>
      <c r="K495" s="60"/>
      <c r="L495" s="60"/>
      <c r="M495" s="60"/>
      <c r="N495" s="60"/>
      <c r="O495" s="60"/>
      <c r="P495" s="60"/>
      <c r="Q495" s="60"/>
      <c r="R495" s="60"/>
      <c r="S495" s="60"/>
      <c r="T495" s="60"/>
      <c r="U495" s="60"/>
      <c r="V495" s="60"/>
      <c r="W495" s="60"/>
      <c r="X495" s="60"/>
      <c r="Y495" s="60"/>
      <c r="Z495" s="60"/>
    </row>
    <row r="496">
      <c r="A496" s="149"/>
      <c r="B496" s="150"/>
      <c r="C496" s="151"/>
      <c r="D496" s="140"/>
      <c r="E496" s="152"/>
      <c r="F496" s="60"/>
      <c r="G496" s="60"/>
      <c r="H496" s="60"/>
      <c r="I496" s="60"/>
      <c r="J496" s="60"/>
      <c r="K496" s="60"/>
      <c r="L496" s="60"/>
      <c r="M496" s="60"/>
      <c r="N496" s="60"/>
      <c r="O496" s="60"/>
      <c r="P496" s="60"/>
      <c r="Q496" s="60"/>
      <c r="R496" s="60"/>
      <c r="S496" s="60"/>
      <c r="T496" s="60"/>
      <c r="U496" s="60"/>
      <c r="V496" s="60"/>
      <c r="W496" s="60"/>
      <c r="X496" s="60"/>
      <c r="Y496" s="60"/>
      <c r="Z496" s="60"/>
    </row>
    <row r="497">
      <c r="A497" s="149"/>
      <c r="B497" s="150"/>
      <c r="C497" s="151"/>
      <c r="D497" s="140"/>
      <c r="E497" s="152"/>
      <c r="F497" s="60"/>
      <c r="G497" s="60"/>
      <c r="H497" s="60"/>
      <c r="I497" s="60"/>
      <c r="J497" s="60"/>
      <c r="K497" s="60"/>
      <c r="L497" s="60"/>
      <c r="M497" s="60"/>
      <c r="N497" s="60"/>
      <c r="O497" s="60"/>
      <c r="P497" s="60"/>
      <c r="Q497" s="60"/>
      <c r="R497" s="60"/>
      <c r="S497" s="60"/>
      <c r="T497" s="60"/>
      <c r="U497" s="60"/>
      <c r="V497" s="60"/>
      <c r="W497" s="60"/>
      <c r="X497" s="60"/>
      <c r="Y497" s="60"/>
      <c r="Z497" s="60"/>
    </row>
    <row r="498">
      <c r="A498" s="149"/>
      <c r="B498" s="150"/>
      <c r="C498" s="151"/>
      <c r="D498" s="140"/>
      <c r="E498" s="152"/>
      <c r="F498" s="60"/>
      <c r="G498" s="60"/>
      <c r="H498" s="60"/>
      <c r="I498" s="60"/>
      <c r="J498" s="60"/>
      <c r="K498" s="60"/>
      <c r="L498" s="60"/>
      <c r="M498" s="60"/>
      <c r="N498" s="60"/>
      <c r="O498" s="60"/>
      <c r="P498" s="60"/>
      <c r="Q498" s="60"/>
      <c r="R498" s="60"/>
      <c r="S498" s="60"/>
      <c r="T498" s="60"/>
      <c r="U498" s="60"/>
      <c r="V498" s="60"/>
      <c r="W498" s="60"/>
      <c r="X498" s="60"/>
      <c r="Y498" s="60"/>
      <c r="Z498" s="60"/>
    </row>
    <row r="499">
      <c r="A499" s="149"/>
      <c r="B499" s="150"/>
      <c r="C499" s="151"/>
      <c r="D499" s="140"/>
      <c r="E499" s="152"/>
      <c r="F499" s="60"/>
      <c r="G499" s="60"/>
      <c r="H499" s="60"/>
      <c r="I499" s="60"/>
      <c r="J499" s="60"/>
      <c r="K499" s="60"/>
      <c r="L499" s="60"/>
      <c r="M499" s="60"/>
      <c r="N499" s="60"/>
      <c r="O499" s="60"/>
      <c r="P499" s="60"/>
      <c r="Q499" s="60"/>
      <c r="R499" s="60"/>
      <c r="S499" s="60"/>
      <c r="T499" s="60"/>
      <c r="U499" s="60"/>
      <c r="V499" s="60"/>
      <c r="W499" s="60"/>
      <c r="X499" s="60"/>
      <c r="Y499" s="60"/>
      <c r="Z499" s="60"/>
    </row>
    <row r="500">
      <c r="A500" s="149"/>
      <c r="B500" s="150"/>
      <c r="C500" s="151"/>
      <c r="D500" s="140"/>
      <c r="E500" s="152"/>
      <c r="F500" s="60"/>
      <c r="G500" s="60"/>
      <c r="H500" s="60"/>
      <c r="I500" s="60"/>
      <c r="J500" s="60"/>
      <c r="K500" s="60"/>
      <c r="L500" s="60"/>
      <c r="M500" s="60"/>
      <c r="N500" s="60"/>
      <c r="O500" s="60"/>
      <c r="P500" s="60"/>
      <c r="Q500" s="60"/>
      <c r="R500" s="60"/>
      <c r="S500" s="60"/>
      <c r="T500" s="60"/>
      <c r="U500" s="60"/>
      <c r="V500" s="60"/>
      <c r="W500" s="60"/>
      <c r="X500" s="60"/>
      <c r="Y500" s="60"/>
      <c r="Z500" s="60"/>
    </row>
    <row r="501">
      <c r="A501" s="149"/>
      <c r="B501" s="150"/>
      <c r="C501" s="151"/>
      <c r="D501" s="140"/>
      <c r="E501" s="152"/>
      <c r="F501" s="60"/>
      <c r="G501" s="60"/>
      <c r="H501" s="60"/>
      <c r="I501" s="60"/>
      <c r="J501" s="60"/>
      <c r="K501" s="60"/>
      <c r="L501" s="60"/>
      <c r="M501" s="60"/>
      <c r="N501" s="60"/>
      <c r="O501" s="60"/>
      <c r="P501" s="60"/>
      <c r="Q501" s="60"/>
      <c r="R501" s="60"/>
      <c r="S501" s="60"/>
      <c r="T501" s="60"/>
      <c r="U501" s="60"/>
      <c r="V501" s="60"/>
      <c r="W501" s="60"/>
      <c r="X501" s="60"/>
      <c r="Y501" s="60"/>
      <c r="Z501" s="60"/>
    </row>
    <row r="502">
      <c r="A502" s="149"/>
      <c r="B502" s="150"/>
      <c r="C502" s="151"/>
      <c r="D502" s="140"/>
      <c r="E502" s="152"/>
      <c r="F502" s="60"/>
      <c r="G502" s="60"/>
      <c r="H502" s="60"/>
      <c r="I502" s="60"/>
      <c r="J502" s="60"/>
      <c r="K502" s="60"/>
      <c r="L502" s="60"/>
      <c r="M502" s="60"/>
      <c r="N502" s="60"/>
      <c r="O502" s="60"/>
      <c r="P502" s="60"/>
      <c r="Q502" s="60"/>
      <c r="R502" s="60"/>
      <c r="S502" s="60"/>
      <c r="T502" s="60"/>
      <c r="U502" s="60"/>
      <c r="V502" s="60"/>
      <c r="W502" s="60"/>
      <c r="X502" s="60"/>
      <c r="Y502" s="60"/>
      <c r="Z502" s="60"/>
    </row>
    <row r="503">
      <c r="A503" s="149"/>
      <c r="B503" s="150"/>
      <c r="C503" s="151"/>
      <c r="D503" s="140"/>
      <c r="E503" s="152"/>
      <c r="F503" s="60"/>
      <c r="G503" s="60"/>
      <c r="H503" s="60"/>
      <c r="I503" s="60"/>
      <c r="J503" s="60"/>
      <c r="K503" s="60"/>
      <c r="L503" s="60"/>
      <c r="M503" s="60"/>
      <c r="N503" s="60"/>
      <c r="O503" s="60"/>
      <c r="P503" s="60"/>
      <c r="Q503" s="60"/>
      <c r="R503" s="60"/>
      <c r="S503" s="60"/>
      <c r="T503" s="60"/>
      <c r="U503" s="60"/>
      <c r="V503" s="60"/>
      <c r="W503" s="60"/>
      <c r="X503" s="60"/>
      <c r="Y503" s="60"/>
      <c r="Z503" s="60"/>
    </row>
    <row r="504">
      <c r="A504" s="149"/>
      <c r="B504" s="150"/>
      <c r="C504" s="151"/>
      <c r="D504" s="140"/>
      <c r="E504" s="152"/>
      <c r="F504" s="60"/>
      <c r="G504" s="60"/>
      <c r="H504" s="60"/>
      <c r="I504" s="60"/>
      <c r="J504" s="60"/>
      <c r="K504" s="60"/>
      <c r="L504" s="60"/>
      <c r="M504" s="60"/>
      <c r="N504" s="60"/>
      <c r="O504" s="60"/>
      <c r="P504" s="60"/>
      <c r="Q504" s="60"/>
      <c r="R504" s="60"/>
      <c r="S504" s="60"/>
      <c r="T504" s="60"/>
      <c r="U504" s="60"/>
      <c r="V504" s="60"/>
      <c r="W504" s="60"/>
      <c r="X504" s="60"/>
      <c r="Y504" s="60"/>
      <c r="Z504" s="60"/>
    </row>
    <row r="505">
      <c r="A505" s="149"/>
      <c r="B505" s="150"/>
      <c r="C505" s="151"/>
      <c r="D505" s="140"/>
      <c r="E505" s="152"/>
      <c r="F505" s="60"/>
      <c r="G505" s="60"/>
      <c r="H505" s="60"/>
      <c r="I505" s="60"/>
      <c r="J505" s="60"/>
      <c r="K505" s="60"/>
      <c r="L505" s="60"/>
      <c r="M505" s="60"/>
      <c r="N505" s="60"/>
      <c r="O505" s="60"/>
      <c r="P505" s="60"/>
      <c r="Q505" s="60"/>
      <c r="R505" s="60"/>
      <c r="S505" s="60"/>
      <c r="T505" s="60"/>
      <c r="U505" s="60"/>
      <c r="V505" s="60"/>
      <c r="W505" s="60"/>
      <c r="X505" s="60"/>
      <c r="Y505" s="60"/>
      <c r="Z505" s="60"/>
    </row>
    <row r="506">
      <c r="A506" s="149"/>
      <c r="B506" s="150"/>
      <c r="C506" s="151"/>
      <c r="D506" s="140"/>
      <c r="E506" s="152"/>
      <c r="F506" s="60"/>
      <c r="G506" s="60"/>
      <c r="H506" s="60"/>
      <c r="I506" s="60"/>
      <c r="J506" s="60"/>
      <c r="K506" s="60"/>
      <c r="L506" s="60"/>
      <c r="M506" s="60"/>
      <c r="N506" s="60"/>
      <c r="O506" s="60"/>
      <c r="P506" s="60"/>
      <c r="Q506" s="60"/>
      <c r="R506" s="60"/>
      <c r="S506" s="60"/>
      <c r="T506" s="60"/>
      <c r="U506" s="60"/>
      <c r="V506" s="60"/>
      <c r="W506" s="60"/>
      <c r="X506" s="60"/>
      <c r="Y506" s="60"/>
      <c r="Z506" s="60"/>
    </row>
    <row r="507">
      <c r="A507" s="149"/>
      <c r="B507" s="150"/>
      <c r="C507" s="151"/>
      <c r="D507" s="140"/>
      <c r="E507" s="152"/>
      <c r="F507" s="60"/>
      <c r="G507" s="60"/>
      <c r="H507" s="60"/>
      <c r="I507" s="60"/>
      <c r="J507" s="60"/>
      <c r="K507" s="60"/>
      <c r="L507" s="60"/>
      <c r="M507" s="60"/>
      <c r="N507" s="60"/>
      <c r="O507" s="60"/>
      <c r="P507" s="60"/>
      <c r="Q507" s="60"/>
      <c r="R507" s="60"/>
      <c r="S507" s="60"/>
      <c r="T507" s="60"/>
      <c r="U507" s="60"/>
      <c r="V507" s="60"/>
      <c r="W507" s="60"/>
      <c r="X507" s="60"/>
      <c r="Y507" s="60"/>
      <c r="Z507" s="60"/>
    </row>
    <row r="508">
      <c r="A508" s="149"/>
      <c r="B508" s="150"/>
      <c r="C508" s="151"/>
      <c r="D508" s="140"/>
      <c r="E508" s="152"/>
      <c r="F508" s="60"/>
      <c r="G508" s="60"/>
      <c r="H508" s="60"/>
      <c r="I508" s="60"/>
      <c r="J508" s="60"/>
      <c r="K508" s="60"/>
      <c r="L508" s="60"/>
      <c r="M508" s="60"/>
      <c r="N508" s="60"/>
      <c r="O508" s="60"/>
      <c r="P508" s="60"/>
      <c r="Q508" s="60"/>
      <c r="R508" s="60"/>
      <c r="S508" s="60"/>
      <c r="T508" s="60"/>
      <c r="U508" s="60"/>
      <c r="V508" s="60"/>
      <c r="W508" s="60"/>
      <c r="X508" s="60"/>
      <c r="Y508" s="60"/>
      <c r="Z508" s="60"/>
    </row>
    <row r="509">
      <c r="A509" s="149"/>
      <c r="B509" s="150"/>
      <c r="C509" s="151"/>
      <c r="D509" s="140"/>
      <c r="E509" s="152"/>
      <c r="F509" s="60"/>
      <c r="G509" s="60"/>
      <c r="H509" s="60"/>
      <c r="I509" s="60"/>
      <c r="J509" s="60"/>
      <c r="K509" s="60"/>
      <c r="L509" s="60"/>
      <c r="M509" s="60"/>
      <c r="N509" s="60"/>
      <c r="O509" s="60"/>
      <c r="P509" s="60"/>
      <c r="Q509" s="60"/>
      <c r="R509" s="60"/>
      <c r="S509" s="60"/>
      <c r="T509" s="60"/>
      <c r="U509" s="60"/>
      <c r="V509" s="60"/>
      <c r="W509" s="60"/>
      <c r="X509" s="60"/>
      <c r="Y509" s="60"/>
      <c r="Z509" s="60"/>
    </row>
    <row r="510">
      <c r="A510" s="149"/>
      <c r="B510" s="150"/>
      <c r="C510" s="151"/>
      <c r="D510" s="140"/>
      <c r="E510" s="152"/>
      <c r="F510" s="60"/>
      <c r="G510" s="60"/>
      <c r="H510" s="60"/>
      <c r="I510" s="60"/>
      <c r="J510" s="60"/>
      <c r="K510" s="60"/>
      <c r="L510" s="60"/>
      <c r="M510" s="60"/>
      <c r="N510" s="60"/>
      <c r="O510" s="60"/>
      <c r="P510" s="60"/>
      <c r="Q510" s="60"/>
      <c r="R510" s="60"/>
      <c r="S510" s="60"/>
      <c r="T510" s="60"/>
      <c r="U510" s="60"/>
      <c r="V510" s="60"/>
      <c r="W510" s="60"/>
      <c r="X510" s="60"/>
      <c r="Y510" s="60"/>
      <c r="Z510" s="60"/>
    </row>
    <row r="511">
      <c r="A511" s="149"/>
      <c r="B511" s="150"/>
      <c r="C511" s="151"/>
      <c r="D511" s="140"/>
      <c r="E511" s="152"/>
      <c r="F511" s="60"/>
      <c r="G511" s="60"/>
      <c r="H511" s="60"/>
      <c r="I511" s="60"/>
      <c r="J511" s="60"/>
      <c r="K511" s="60"/>
      <c r="L511" s="60"/>
      <c r="M511" s="60"/>
      <c r="N511" s="60"/>
      <c r="O511" s="60"/>
      <c r="P511" s="60"/>
      <c r="Q511" s="60"/>
      <c r="R511" s="60"/>
      <c r="S511" s="60"/>
      <c r="T511" s="60"/>
      <c r="U511" s="60"/>
      <c r="V511" s="60"/>
      <c r="W511" s="60"/>
      <c r="X511" s="60"/>
      <c r="Y511" s="60"/>
      <c r="Z511" s="60"/>
    </row>
    <row r="512">
      <c r="A512" s="149"/>
      <c r="B512" s="150"/>
      <c r="C512" s="151"/>
      <c r="D512" s="140"/>
      <c r="E512" s="152"/>
      <c r="F512" s="60"/>
      <c r="G512" s="60"/>
      <c r="H512" s="60"/>
      <c r="I512" s="60"/>
      <c r="J512" s="60"/>
      <c r="K512" s="60"/>
      <c r="L512" s="60"/>
      <c r="M512" s="60"/>
      <c r="N512" s="60"/>
      <c r="O512" s="60"/>
      <c r="P512" s="60"/>
      <c r="Q512" s="60"/>
      <c r="R512" s="60"/>
      <c r="S512" s="60"/>
      <c r="T512" s="60"/>
      <c r="U512" s="60"/>
      <c r="V512" s="60"/>
      <c r="W512" s="60"/>
      <c r="X512" s="60"/>
      <c r="Y512" s="60"/>
      <c r="Z512" s="60"/>
    </row>
    <row r="513">
      <c r="A513" s="149"/>
      <c r="B513" s="150"/>
      <c r="C513" s="151"/>
      <c r="D513" s="140"/>
      <c r="E513" s="152"/>
      <c r="F513" s="60"/>
      <c r="G513" s="60"/>
      <c r="H513" s="60"/>
      <c r="I513" s="60"/>
      <c r="J513" s="60"/>
      <c r="K513" s="60"/>
      <c r="L513" s="60"/>
      <c r="M513" s="60"/>
      <c r="N513" s="60"/>
      <c r="O513" s="60"/>
      <c r="P513" s="60"/>
      <c r="Q513" s="60"/>
      <c r="R513" s="60"/>
      <c r="S513" s="60"/>
      <c r="T513" s="60"/>
      <c r="U513" s="60"/>
      <c r="V513" s="60"/>
      <c r="W513" s="60"/>
      <c r="X513" s="60"/>
      <c r="Y513" s="60"/>
      <c r="Z513" s="60"/>
    </row>
    <row r="514">
      <c r="A514" s="149"/>
      <c r="B514" s="150"/>
      <c r="C514" s="151"/>
      <c r="D514" s="140"/>
      <c r="E514" s="152"/>
      <c r="F514" s="60"/>
      <c r="G514" s="60"/>
      <c r="H514" s="60"/>
      <c r="I514" s="60"/>
      <c r="J514" s="60"/>
      <c r="K514" s="60"/>
      <c r="L514" s="60"/>
      <c r="M514" s="60"/>
      <c r="N514" s="60"/>
      <c r="O514" s="60"/>
      <c r="P514" s="60"/>
      <c r="Q514" s="60"/>
      <c r="R514" s="60"/>
      <c r="S514" s="60"/>
      <c r="T514" s="60"/>
      <c r="U514" s="60"/>
      <c r="V514" s="60"/>
      <c r="W514" s="60"/>
      <c r="X514" s="60"/>
      <c r="Y514" s="60"/>
      <c r="Z514" s="60"/>
    </row>
    <row r="515">
      <c r="A515" s="149"/>
      <c r="B515" s="150"/>
      <c r="C515" s="151"/>
      <c r="D515" s="140"/>
      <c r="E515" s="152"/>
      <c r="F515" s="60"/>
      <c r="G515" s="60"/>
      <c r="H515" s="60"/>
      <c r="I515" s="60"/>
      <c r="J515" s="60"/>
      <c r="K515" s="60"/>
      <c r="L515" s="60"/>
      <c r="M515" s="60"/>
      <c r="N515" s="60"/>
      <c r="O515" s="60"/>
      <c r="P515" s="60"/>
      <c r="Q515" s="60"/>
      <c r="R515" s="60"/>
      <c r="S515" s="60"/>
      <c r="T515" s="60"/>
      <c r="U515" s="60"/>
      <c r="V515" s="60"/>
      <c r="W515" s="60"/>
      <c r="X515" s="60"/>
      <c r="Y515" s="60"/>
      <c r="Z515" s="60"/>
    </row>
    <row r="516">
      <c r="A516" s="149"/>
      <c r="B516" s="150"/>
      <c r="C516" s="151"/>
      <c r="D516" s="140"/>
      <c r="E516" s="152"/>
      <c r="F516" s="60"/>
      <c r="G516" s="60"/>
      <c r="H516" s="60"/>
      <c r="I516" s="60"/>
      <c r="J516" s="60"/>
      <c r="K516" s="60"/>
      <c r="L516" s="60"/>
      <c r="M516" s="60"/>
      <c r="N516" s="60"/>
      <c r="O516" s="60"/>
      <c r="P516" s="60"/>
      <c r="Q516" s="60"/>
      <c r="R516" s="60"/>
      <c r="S516" s="60"/>
      <c r="T516" s="60"/>
      <c r="U516" s="60"/>
      <c r="V516" s="60"/>
      <c r="W516" s="60"/>
      <c r="X516" s="60"/>
      <c r="Y516" s="60"/>
      <c r="Z516" s="60"/>
    </row>
    <row r="517">
      <c r="A517" s="149"/>
      <c r="B517" s="150"/>
      <c r="C517" s="151"/>
      <c r="D517" s="140"/>
      <c r="E517" s="152"/>
      <c r="F517" s="60"/>
      <c r="G517" s="60"/>
      <c r="H517" s="60"/>
      <c r="I517" s="60"/>
      <c r="J517" s="60"/>
      <c r="K517" s="60"/>
      <c r="L517" s="60"/>
      <c r="M517" s="60"/>
      <c r="N517" s="60"/>
      <c r="O517" s="60"/>
      <c r="P517" s="60"/>
      <c r="Q517" s="60"/>
      <c r="R517" s="60"/>
      <c r="S517" s="60"/>
      <c r="T517" s="60"/>
      <c r="U517" s="60"/>
      <c r="V517" s="60"/>
      <c r="W517" s="60"/>
      <c r="X517" s="60"/>
      <c r="Y517" s="60"/>
      <c r="Z517" s="60"/>
    </row>
    <row r="518">
      <c r="A518" s="149"/>
      <c r="B518" s="150"/>
      <c r="C518" s="151"/>
      <c r="D518" s="140"/>
      <c r="E518" s="152"/>
      <c r="F518" s="60"/>
      <c r="G518" s="60"/>
      <c r="H518" s="60"/>
      <c r="I518" s="60"/>
      <c r="J518" s="60"/>
      <c r="K518" s="60"/>
      <c r="L518" s="60"/>
      <c r="M518" s="60"/>
      <c r="N518" s="60"/>
      <c r="O518" s="60"/>
      <c r="P518" s="60"/>
      <c r="Q518" s="60"/>
      <c r="R518" s="60"/>
      <c r="S518" s="60"/>
      <c r="T518" s="60"/>
      <c r="U518" s="60"/>
      <c r="V518" s="60"/>
      <c r="W518" s="60"/>
      <c r="X518" s="60"/>
      <c r="Y518" s="60"/>
      <c r="Z518" s="60"/>
    </row>
    <row r="519">
      <c r="A519" s="149"/>
      <c r="B519" s="150"/>
      <c r="C519" s="151"/>
      <c r="D519" s="140"/>
      <c r="E519" s="152"/>
      <c r="F519" s="60"/>
      <c r="G519" s="60"/>
      <c r="H519" s="60"/>
      <c r="I519" s="60"/>
      <c r="J519" s="60"/>
      <c r="K519" s="60"/>
      <c r="L519" s="60"/>
      <c r="M519" s="60"/>
      <c r="N519" s="60"/>
      <c r="O519" s="60"/>
      <c r="P519" s="60"/>
      <c r="Q519" s="60"/>
      <c r="R519" s="60"/>
      <c r="S519" s="60"/>
      <c r="T519" s="60"/>
      <c r="U519" s="60"/>
      <c r="V519" s="60"/>
      <c r="W519" s="60"/>
      <c r="X519" s="60"/>
      <c r="Y519" s="60"/>
      <c r="Z519" s="60"/>
    </row>
    <row r="520">
      <c r="A520" s="149"/>
      <c r="B520" s="150"/>
      <c r="C520" s="151"/>
      <c r="D520" s="140"/>
      <c r="E520" s="152"/>
      <c r="F520" s="60"/>
      <c r="G520" s="60"/>
      <c r="H520" s="60"/>
      <c r="I520" s="60"/>
      <c r="J520" s="60"/>
      <c r="K520" s="60"/>
      <c r="L520" s="60"/>
      <c r="M520" s="60"/>
      <c r="N520" s="60"/>
      <c r="O520" s="60"/>
      <c r="P520" s="60"/>
      <c r="Q520" s="60"/>
      <c r="R520" s="60"/>
      <c r="S520" s="60"/>
      <c r="T520" s="60"/>
      <c r="U520" s="60"/>
      <c r="V520" s="60"/>
      <c r="W520" s="60"/>
      <c r="X520" s="60"/>
      <c r="Y520" s="60"/>
      <c r="Z520" s="60"/>
    </row>
    <row r="521">
      <c r="A521" s="149"/>
      <c r="B521" s="150"/>
      <c r="C521" s="151"/>
      <c r="D521" s="140"/>
      <c r="E521" s="152"/>
      <c r="F521" s="60"/>
      <c r="G521" s="60"/>
      <c r="H521" s="60"/>
      <c r="I521" s="60"/>
      <c r="J521" s="60"/>
      <c r="K521" s="60"/>
      <c r="L521" s="60"/>
      <c r="M521" s="60"/>
      <c r="N521" s="60"/>
      <c r="O521" s="60"/>
      <c r="P521" s="60"/>
      <c r="Q521" s="60"/>
      <c r="R521" s="60"/>
      <c r="S521" s="60"/>
      <c r="T521" s="60"/>
      <c r="U521" s="60"/>
      <c r="V521" s="60"/>
      <c r="W521" s="60"/>
      <c r="X521" s="60"/>
      <c r="Y521" s="60"/>
      <c r="Z521" s="60"/>
    </row>
    <row r="522">
      <c r="A522" s="149"/>
      <c r="B522" s="150"/>
      <c r="C522" s="151"/>
      <c r="D522" s="140"/>
      <c r="E522" s="152"/>
      <c r="F522" s="60"/>
      <c r="G522" s="60"/>
      <c r="H522" s="60"/>
      <c r="I522" s="60"/>
      <c r="J522" s="60"/>
      <c r="K522" s="60"/>
      <c r="L522" s="60"/>
      <c r="M522" s="60"/>
      <c r="N522" s="60"/>
      <c r="O522" s="60"/>
      <c r="P522" s="60"/>
      <c r="Q522" s="60"/>
      <c r="R522" s="60"/>
      <c r="S522" s="60"/>
      <c r="T522" s="60"/>
      <c r="U522" s="60"/>
      <c r="V522" s="60"/>
      <c r="W522" s="60"/>
      <c r="X522" s="60"/>
      <c r="Y522" s="60"/>
      <c r="Z522" s="60"/>
    </row>
    <row r="523">
      <c r="A523" s="149"/>
      <c r="B523" s="150"/>
      <c r="C523" s="151"/>
      <c r="D523" s="140"/>
      <c r="E523" s="152"/>
      <c r="F523" s="60"/>
      <c r="G523" s="60"/>
      <c r="H523" s="60"/>
      <c r="I523" s="60"/>
      <c r="J523" s="60"/>
      <c r="K523" s="60"/>
      <c r="L523" s="60"/>
      <c r="M523" s="60"/>
      <c r="N523" s="60"/>
      <c r="O523" s="60"/>
      <c r="P523" s="60"/>
      <c r="Q523" s="60"/>
      <c r="R523" s="60"/>
      <c r="S523" s="60"/>
      <c r="T523" s="60"/>
      <c r="U523" s="60"/>
      <c r="V523" s="60"/>
      <c r="W523" s="60"/>
      <c r="X523" s="60"/>
      <c r="Y523" s="60"/>
      <c r="Z523" s="60"/>
    </row>
    <row r="524">
      <c r="A524" s="149"/>
      <c r="B524" s="150"/>
      <c r="C524" s="151"/>
      <c r="D524" s="140"/>
      <c r="E524" s="152"/>
      <c r="F524" s="60"/>
      <c r="G524" s="60"/>
      <c r="H524" s="60"/>
      <c r="I524" s="60"/>
      <c r="J524" s="60"/>
      <c r="K524" s="60"/>
      <c r="L524" s="60"/>
      <c r="M524" s="60"/>
      <c r="N524" s="60"/>
      <c r="O524" s="60"/>
      <c r="P524" s="60"/>
      <c r="Q524" s="60"/>
      <c r="R524" s="60"/>
      <c r="S524" s="60"/>
      <c r="T524" s="60"/>
      <c r="U524" s="60"/>
      <c r="V524" s="60"/>
      <c r="W524" s="60"/>
      <c r="X524" s="60"/>
      <c r="Y524" s="60"/>
      <c r="Z524" s="60"/>
    </row>
    <row r="525">
      <c r="A525" s="149"/>
      <c r="B525" s="150"/>
      <c r="C525" s="151"/>
      <c r="D525" s="140"/>
      <c r="E525" s="152"/>
      <c r="F525" s="60"/>
      <c r="G525" s="60"/>
      <c r="H525" s="60"/>
      <c r="I525" s="60"/>
      <c r="J525" s="60"/>
      <c r="K525" s="60"/>
      <c r="L525" s="60"/>
      <c r="M525" s="60"/>
      <c r="N525" s="60"/>
      <c r="O525" s="60"/>
      <c r="P525" s="60"/>
      <c r="Q525" s="60"/>
      <c r="R525" s="60"/>
      <c r="S525" s="60"/>
      <c r="T525" s="60"/>
      <c r="U525" s="60"/>
      <c r="V525" s="60"/>
      <c r="W525" s="60"/>
      <c r="X525" s="60"/>
      <c r="Y525" s="60"/>
      <c r="Z525" s="60"/>
    </row>
    <row r="526">
      <c r="A526" s="149"/>
      <c r="B526" s="150"/>
      <c r="C526" s="151"/>
      <c r="D526" s="140"/>
      <c r="E526" s="152"/>
      <c r="F526" s="60"/>
      <c r="G526" s="60"/>
      <c r="H526" s="60"/>
      <c r="I526" s="60"/>
      <c r="J526" s="60"/>
      <c r="K526" s="60"/>
      <c r="L526" s="60"/>
      <c r="M526" s="60"/>
      <c r="N526" s="60"/>
      <c r="O526" s="60"/>
      <c r="P526" s="60"/>
      <c r="Q526" s="60"/>
      <c r="R526" s="60"/>
      <c r="S526" s="60"/>
      <c r="T526" s="60"/>
      <c r="U526" s="60"/>
      <c r="V526" s="60"/>
      <c r="W526" s="60"/>
      <c r="X526" s="60"/>
      <c r="Y526" s="60"/>
      <c r="Z526" s="60"/>
    </row>
    <row r="527">
      <c r="A527" s="149"/>
      <c r="B527" s="150"/>
      <c r="C527" s="151"/>
      <c r="D527" s="140"/>
      <c r="E527" s="152"/>
      <c r="F527" s="60"/>
      <c r="G527" s="60"/>
      <c r="H527" s="60"/>
      <c r="I527" s="60"/>
      <c r="J527" s="60"/>
      <c r="K527" s="60"/>
      <c r="L527" s="60"/>
      <c r="M527" s="60"/>
      <c r="N527" s="60"/>
      <c r="O527" s="60"/>
      <c r="P527" s="60"/>
      <c r="Q527" s="60"/>
      <c r="R527" s="60"/>
      <c r="S527" s="60"/>
      <c r="T527" s="60"/>
      <c r="U527" s="60"/>
      <c r="V527" s="60"/>
      <c r="W527" s="60"/>
      <c r="X527" s="60"/>
      <c r="Y527" s="60"/>
      <c r="Z527" s="60"/>
    </row>
    <row r="528">
      <c r="A528" s="149"/>
      <c r="B528" s="150"/>
      <c r="C528" s="151"/>
      <c r="D528" s="140"/>
      <c r="E528" s="152"/>
      <c r="F528" s="60"/>
      <c r="G528" s="60"/>
      <c r="H528" s="60"/>
      <c r="I528" s="60"/>
      <c r="J528" s="60"/>
      <c r="K528" s="60"/>
      <c r="L528" s="60"/>
      <c r="M528" s="60"/>
      <c r="N528" s="60"/>
      <c r="O528" s="60"/>
      <c r="P528" s="60"/>
      <c r="Q528" s="60"/>
      <c r="R528" s="60"/>
      <c r="S528" s="60"/>
      <c r="T528" s="60"/>
      <c r="U528" s="60"/>
      <c r="V528" s="60"/>
      <c r="W528" s="60"/>
      <c r="X528" s="60"/>
      <c r="Y528" s="60"/>
      <c r="Z528" s="60"/>
    </row>
    <row r="529">
      <c r="A529" s="149"/>
      <c r="B529" s="150"/>
      <c r="C529" s="151"/>
      <c r="D529" s="140"/>
      <c r="E529" s="152"/>
      <c r="F529" s="60"/>
      <c r="G529" s="60"/>
      <c r="H529" s="60"/>
      <c r="I529" s="60"/>
      <c r="J529" s="60"/>
      <c r="K529" s="60"/>
      <c r="L529" s="60"/>
      <c r="M529" s="60"/>
      <c r="N529" s="60"/>
      <c r="O529" s="60"/>
      <c r="P529" s="60"/>
      <c r="Q529" s="60"/>
      <c r="R529" s="60"/>
      <c r="S529" s="60"/>
      <c r="T529" s="60"/>
      <c r="U529" s="60"/>
      <c r="V529" s="60"/>
      <c r="W529" s="60"/>
      <c r="X529" s="60"/>
      <c r="Y529" s="60"/>
      <c r="Z529" s="60"/>
    </row>
    <row r="530">
      <c r="A530" s="149"/>
      <c r="B530" s="150"/>
      <c r="C530" s="151"/>
      <c r="D530" s="140"/>
      <c r="E530" s="152"/>
      <c r="F530" s="60"/>
      <c r="G530" s="60"/>
      <c r="H530" s="60"/>
      <c r="I530" s="60"/>
      <c r="J530" s="60"/>
      <c r="K530" s="60"/>
      <c r="L530" s="60"/>
      <c r="M530" s="60"/>
      <c r="N530" s="60"/>
      <c r="O530" s="60"/>
      <c r="P530" s="60"/>
      <c r="Q530" s="60"/>
      <c r="R530" s="60"/>
      <c r="S530" s="60"/>
      <c r="T530" s="60"/>
      <c r="U530" s="60"/>
      <c r="V530" s="60"/>
      <c r="W530" s="60"/>
      <c r="X530" s="60"/>
      <c r="Y530" s="60"/>
      <c r="Z530" s="60"/>
    </row>
    <row r="531">
      <c r="A531" s="149"/>
      <c r="B531" s="150"/>
      <c r="C531" s="151"/>
      <c r="D531" s="140"/>
      <c r="E531" s="152"/>
      <c r="F531" s="60"/>
      <c r="G531" s="60"/>
      <c r="H531" s="60"/>
      <c r="I531" s="60"/>
      <c r="J531" s="60"/>
      <c r="K531" s="60"/>
      <c r="L531" s="60"/>
      <c r="M531" s="60"/>
      <c r="N531" s="60"/>
      <c r="O531" s="60"/>
      <c r="P531" s="60"/>
      <c r="Q531" s="60"/>
      <c r="R531" s="60"/>
      <c r="S531" s="60"/>
      <c r="T531" s="60"/>
      <c r="U531" s="60"/>
      <c r="V531" s="60"/>
      <c r="W531" s="60"/>
      <c r="X531" s="60"/>
      <c r="Y531" s="60"/>
      <c r="Z531" s="60"/>
    </row>
    <row r="532">
      <c r="A532" s="149"/>
      <c r="B532" s="150"/>
      <c r="C532" s="151"/>
      <c r="D532" s="140"/>
      <c r="E532" s="152"/>
      <c r="F532" s="60"/>
      <c r="G532" s="60"/>
      <c r="H532" s="60"/>
      <c r="I532" s="60"/>
      <c r="J532" s="60"/>
      <c r="K532" s="60"/>
      <c r="L532" s="60"/>
      <c r="M532" s="60"/>
      <c r="N532" s="60"/>
      <c r="O532" s="60"/>
      <c r="P532" s="60"/>
      <c r="Q532" s="60"/>
      <c r="R532" s="60"/>
      <c r="S532" s="60"/>
      <c r="T532" s="60"/>
      <c r="U532" s="60"/>
      <c r="V532" s="60"/>
      <c r="W532" s="60"/>
      <c r="X532" s="60"/>
      <c r="Y532" s="60"/>
      <c r="Z532" s="60"/>
    </row>
    <row r="533">
      <c r="A533" s="149"/>
      <c r="B533" s="150"/>
      <c r="C533" s="151"/>
      <c r="D533" s="140"/>
      <c r="E533" s="152"/>
      <c r="F533" s="60"/>
      <c r="G533" s="60"/>
      <c r="H533" s="60"/>
      <c r="I533" s="60"/>
      <c r="J533" s="60"/>
      <c r="K533" s="60"/>
      <c r="L533" s="60"/>
      <c r="M533" s="60"/>
      <c r="N533" s="60"/>
      <c r="O533" s="60"/>
      <c r="P533" s="60"/>
      <c r="Q533" s="60"/>
      <c r="R533" s="60"/>
      <c r="S533" s="60"/>
      <c r="T533" s="60"/>
      <c r="U533" s="60"/>
      <c r="V533" s="60"/>
      <c r="W533" s="60"/>
      <c r="X533" s="60"/>
      <c r="Y533" s="60"/>
      <c r="Z533" s="60"/>
    </row>
    <row r="534">
      <c r="A534" s="149"/>
      <c r="B534" s="150"/>
      <c r="C534" s="151"/>
      <c r="D534" s="140"/>
      <c r="E534" s="152"/>
      <c r="F534" s="60"/>
      <c r="G534" s="60"/>
      <c r="H534" s="60"/>
      <c r="I534" s="60"/>
      <c r="J534" s="60"/>
      <c r="K534" s="60"/>
      <c r="L534" s="60"/>
      <c r="M534" s="60"/>
      <c r="N534" s="60"/>
      <c r="O534" s="60"/>
      <c r="P534" s="60"/>
      <c r="Q534" s="60"/>
      <c r="R534" s="60"/>
      <c r="S534" s="60"/>
      <c r="T534" s="60"/>
      <c r="U534" s="60"/>
      <c r="V534" s="60"/>
      <c r="W534" s="60"/>
      <c r="X534" s="60"/>
      <c r="Y534" s="60"/>
      <c r="Z534" s="60"/>
    </row>
    <row r="535">
      <c r="A535" s="149"/>
      <c r="B535" s="150"/>
      <c r="C535" s="151"/>
      <c r="D535" s="140"/>
      <c r="E535" s="152"/>
      <c r="F535" s="60"/>
      <c r="G535" s="60"/>
      <c r="H535" s="60"/>
      <c r="I535" s="60"/>
      <c r="J535" s="60"/>
      <c r="K535" s="60"/>
      <c r="L535" s="60"/>
      <c r="M535" s="60"/>
      <c r="N535" s="60"/>
      <c r="O535" s="60"/>
      <c r="P535" s="60"/>
      <c r="Q535" s="60"/>
      <c r="R535" s="60"/>
      <c r="S535" s="60"/>
      <c r="T535" s="60"/>
      <c r="U535" s="60"/>
      <c r="V535" s="60"/>
      <c r="W535" s="60"/>
      <c r="X535" s="60"/>
      <c r="Y535" s="60"/>
      <c r="Z535" s="60"/>
    </row>
    <row r="536">
      <c r="A536" s="149"/>
      <c r="B536" s="150"/>
      <c r="C536" s="151"/>
      <c r="D536" s="140"/>
      <c r="E536" s="152"/>
      <c r="F536" s="60"/>
      <c r="G536" s="60"/>
      <c r="H536" s="60"/>
      <c r="I536" s="60"/>
      <c r="J536" s="60"/>
      <c r="K536" s="60"/>
      <c r="L536" s="60"/>
      <c r="M536" s="60"/>
      <c r="N536" s="60"/>
      <c r="O536" s="60"/>
      <c r="P536" s="60"/>
      <c r="Q536" s="60"/>
      <c r="R536" s="60"/>
      <c r="S536" s="60"/>
      <c r="T536" s="60"/>
      <c r="U536" s="60"/>
      <c r="V536" s="60"/>
      <c r="W536" s="60"/>
      <c r="X536" s="60"/>
      <c r="Y536" s="60"/>
      <c r="Z536" s="60"/>
    </row>
    <row r="537">
      <c r="A537" s="149"/>
      <c r="B537" s="150"/>
      <c r="C537" s="151"/>
      <c r="D537" s="140"/>
      <c r="E537" s="152"/>
      <c r="F537" s="60"/>
      <c r="G537" s="60"/>
      <c r="H537" s="60"/>
      <c r="I537" s="60"/>
      <c r="J537" s="60"/>
      <c r="K537" s="60"/>
      <c r="L537" s="60"/>
      <c r="M537" s="60"/>
      <c r="N537" s="60"/>
      <c r="O537" s="60"/>
      <c r="P537" s="60"/>
      <c r="Q537" s="60"/>
      <c r="R537" s="60"/>
      <c r="S537" s="60"/>
      <c r="T537" s="60"/>
      <c r="U537" s="60"/>
      <c r="V537" s="60"/>
      <c r="W537" s="60"/>
      <c r="X537" s="60"/>
      <c r="Y537" s="60"/>
      <c r="Z537" s="60"/>
    </row>
    <row r="538">
      <c r="A538" s="149"/>
      <c r="B538" s="150"/>
      <c r="C538" s="151"/>
      <c r="D538" s="140"/>
      <c r="E538" s="152"/>
      <c r="F538" s="60"/>
      <c r="G538" s="60"/>
      <c r="H538" s="60"/>
      <c r="I538" s="60"/>
      <c r="J538" s="60"/>
      <c r="K538" s="60"/>
      <c r="L538" s="60"/>
      <c r="M538" s="60"/>
      <c r="N538" s="60"/>
      <c r="O538" s="60"/>
      <c r="P538" s="60"/>
      <c r="Q538" s="60"/>
      <c r="R538" s="60"/>
      <c r="S538" s="60"/>
      <c r="T538" s="60"/>
      <c r="U538" s="60"/>
      <c r="V538" s="60"/>
      <c r="W538" s="60"/>
      <c r="X538" s="60"/>
      <c r="Y538" s="60"/>
      <c r="Z538" s="60"/>
    </row>
    <row r="539">
      <c r="A539" s="149"/>
      <c r="B539" s="150"/>
      <c r="C539" s="151"/>
      <c r="D539" s="140"/>
      <c r="E539" s="152"/>
      <c r="F539" s="60"/>
      <c r="G539" s="60"/>
      <c r="H539" s="60"/>
      <c r="I539" s="60"/>
      <c r="J539" s="60"/>
      <c r="K539" s="60"/>
      <c r="L539" s="60"/>
      <c r="M539" s="60"/>
      <c r="N539" s="60"/>
      <c r="O539" s="60"/>
      <c r="P539" s="60"/>
      <c r="Q539" s="60"/>
      <c r="R539" s="60"/>
      <c r="S539" s="60"/>
      <c r="T539" s="60"/>
      <c r="U539" s="60"/>
      <c r="V539" s="60"/>
      <c r="W539" s="60"/>
      <c r="X539" s="60"/>
      <c r="Y539" s="60"/>
      <c r="Z539" s="60"/>
    </row>
    <row r="540">
      <c r="A540" s="149"/>
      <c r="B540" s="150"/>
      <c r="C540" s="151"/>
      <c r="D540" s="140"/>
      <c r="E540" s="152"/>
      <c r="F540" s="60"/>
      <c r="G540" s="60"/>
      <c r="H540" s="60"/>
      <c r="I540" s="60"/>
      <c r="J540" s="60"/>
      <c r="K540" s="60"/>
      <c r="L540" s="60"/>
      <c r="M540" s="60"/>
      <c r="N540" s="60"/>
      <c r="O540" s="60"/>
      <c r="P540" s="60"/>
      <c r="Q540" s="60"/>
      <c r="R540" s="60"/>
      <c r="S540" s="60"/>
      <c r="T540" s="60"/>
      <c r="U540" s="60"/>
      <c r="V540" s="60"/>
      <c r="W540" s="60"/>
      <c r="X540" s="60"/>
      <c r="Y540" s="60"/>
      <c r="Z540" s="60"/>
    </row>
    <row r="541">
      <c r="A541" s="149"/>
      <c r="B541" s="150"/>
      <c r="C541" s="151"/>
      <c r="D541" s="140"/>
      <c r="E541" s="152"/>
      <c r="F541" s="60"/>
      <c r="G541" s="60"/>
      <c r="H541" s="60"/>
      <c r="I541" s="60"/>
      <c r="J541" s="60"/>
      <c r="K541" s="60"/>
      <c r="L541" s="60"/>
      <c r="M541" s="60"/>
      <c r="N541" s="60"/>
      <c r="O541" s="60"/>
      <c r="P541" s="60"/>
      <c r="Q541" s="60"/>
      <c r="R541" s="60"/>
      <c r="S541" s="60"/>
      <c r="T541" s="60"/>
      <c r="U541" s="60"/>
      <c r="V541" s="60"/>
      <c r="W541" s="60"/>
      <c r="X541" s="60"/>
      <c r="Y541" s="60"/>
      <c r="Z541" s="60"/>
    </row>
    <row r="542">
      <c r="A542" s="149"/>
      <c r="B542" s="150"/>
      <c r="C542" s="151"/>
      <c r="D542" s="140"/>
      <c r="E542" s="152"/>
      <c r="F542" s="60"/>
      <c r="G542" s="60"/>
      <c r="H542" s="60"/>
      <c r="I542" s="60"/>
      <c r="J542" s="60"/>
      <c r="K542" s="60"/>
      <c r="L542" s="60"/>
      <c r="M542" s="60"/>
      <c r="N542" s="60"/>
      <c r="O542" s="60"/>
      <c r="P542" s="60"/>
      <c r="Q542" s="60"/>
      <c r="R542" s="60"/>
      <c r="S542" s="60"/>
      <c r="T542" s="60"/>
      <c r="U542" s="60"/>
      <c r="V542" s="60"/>
      <c r="W542" s="60"/>
      <c r="X542" s="60"/>
      <c r="Y542" s="60"/>
      <c r="Z542" s="60"/>
    </row>
    <row r="543">
      <c r="A543" s="149"/>
      <c r="B543" s="150"/>
      <c r="C543" s="151"/>
      <c r="D543" s="140"/>
      <c r="E543" s="152"/>
      <c r="F543" s="60"/>
      <c r="G543" s="60"/>
      <c r="H543" s="60"/>
      <c r="I543" s="60"/>
      <c r="J543" s="60"/>
      <c r="K543" s="60"/>
      <c r="L543" s="60"/>
      <c r="M543" s="60"/>
      <c r="N543" s="60"/>
      <c r="O543" s="60"/>
      <c r="P543" s="60"/>
      <c r="Q543" s="60"/>
      <c r="R543" s="60"/>
      <c r="S543" s="60"/>
      <c r="T543" s="60"/>
      <c r="U543" s="60"/>
      <c r="V543" s="60"/>
      <c r="W543" s="60"/>
      <c r="X543" s="60"/>
      <c r="Y543" s="60"/>
      <c r="Z543" s="60"/>
    </row>
    <row r="544">
      <c r="A544" s="149"/>
      <c r="B544" s="150"/>
      <c r="C544" s="151"/>
      <c r="D544" s="140"/>
      <c r="E544" s="152"/>
      <c r="F544" s="60"/>
      <c r="G544" s="60"/>
      <c r="H544" s="60"/>
      <c r="I544" s="60"/>
      <c r="J544" s="60"/>
      <c r="K544" s="60"/>
      <c r="L544" s="60"/>
      <c r="M544" s="60"/>
      <c r="N544" s="60"/>
      <c r="O544" s="60"/>
      <c r="P544" s="60"/>
      <c r="Q544" s="60"/>
      <c r="R544" s="60"/>
      <c r="S544" s="60"/>
      <c r="T544" s="60"/>
      <c r="U544" s="60"/>
      <c r="V544" s="60"/>
      <c r="W544" s="60"/>
      <c r="X544" s="60"/>
      <c r="Y544" s="60"/>
      <c r="Z544" s="60"/>
    </row>
    <row r="545">
      <c r="A545" s="149"/>
      <c r="B545" s="150"/>
      <c r="C545" s="151"/>
      <c r="D545" s="140"/>
      <c r="E545" s="152"/>
      <c r="F545" s="60"/>
      <c r="G545" s="60"/>
      <c r="H545" s="60"/>
      <c r="I545" s="60"/>
      <c r="J545" s="60"/>
      <c r="K545" s="60"/>
      <c r="L545" s="60"/>
      <c r="M545" s="60"/>
      <c r="N545" s="60"/>
      <c r="O545" s="60"/>
      <c r="P545" s="60"/>
      <c r="Q545" s="60"/>
      <c r="R545" s="60"/>
      <c r="S545" s="60"/>
      <c r="T545" s="60"/>
      <c r="U545" s="60"/>
      <c r="V545" s="60"/>
      <c r="W545" s="60"/>
      <c r="X545" s="60"/>
      <c r="Y545" s="60"/>
      <c r="Z545" s="60"/>
    </row>
    <row r="546">
      <c r="A546" s="149"/>
      <c r="B546" s="150"/>
      <c r="C546" s="151"/>
      <c r="D546" s="140"/>
      <c r="E546" s="152"/>
      <c r="F546" s="60"/>
      <c r="G546" s="60"/>
      <c r="H546" s="60"/>
      <c r="I546" s="60"/>
      <c r="J546" s="60"/>
      <c r="K546" s="60"/>
      <c r="L546" s="60"/>
      <c r="M546" s="60"/>
      <c r="N546" s="60"/>
      <c r="O546" s="60"/>
      <c r="P546" s="60"/>
      <c r="Q546" s="60"/>
      <c r="R546" s="60"/>
      <c r="S546" s="60"/>
      <c r="T546" s="60"/>
      <c r="U546" s="60"/>
      <c r="V546" s="60"/>
      <c r="W546" s="60"/>
      <c r="X546" s="60"/>
      <c r="Y546" s="60"/>
      <c r="Z546" s="60"/>
    </row>
    <row r="547">
      <c r="A547" s="149"/>
      <c r="B547" s="150"/>
      <c r="C547" s="151"/>
      <c r="D547" s="140"/>
      <c r="E547" s="152"/>
      <c r="F547" s="60"/>
      <c r="G547" s="60"/>
      <c r="H547" s="60"/>
      <c r="I547" s="60"/>
      <c r="J547" s="60"/>
      <c r="K547" s="60"/>
      <c r="L547" s="60"/>
      <c r="M547" s="60"/>
      <c r="N547" s="60"/>
      <c r="O547" s="60"/>
      <c r="P547" s="60"/>
      <c r="Q547" s="60"/>
      <c r="R547" s="60"/>
      <c r="S547" s="60"/>
      <c r="T547" s="60"/>
      <c r="U547" s="60"/>
      <c r="V547" s="60"/>
      <c r="W547" s="60"/>
      <c r="X547" s="60"/>
      <c r="Y547" s="60"/>
      <c r="Z547" s="60"/>
    </row>
    <row r="548">
      <c r="A548" s="149"/>
      <c r="B548" s="150"/>
      <c r="C548" s="151"/>
      <c r="D548" s="140"/>
      <c r="E548" s="152"/>
      <c r="F548" s="60"/>
      <c r="G548" s="60"/>
      <c r="H548" s="60"/>
      <c r="I548" s="60"/>
      <c r="J548" s="60"/>
      <c r="K548" s="60"/>
      <c r="L548" s="60"/>
      <c r="M548" s="60"/>
      <c r="N548" s="60"/>
      <c r="O548" s="60"/>
      <c r="P548" s="60"/>
      <c r="Q548" s="60"/>
      <c r="R548" s="60"/>
      <c r="S548" s="60"/>
      <c r="T548" s="60"/>
      <c r="U548" s="60"/>
      <c r="V548" s="60"/>
      <c r="W548" s="60"/>
      <c r="X548" s="60"/>
      <c r="Y548" s="60"/>
      <c r="Z548" s="60"/>
    </row>
    <row r="549">
      <c r="A549" s="149"/>
      <c r="B549" s="150"/>
      <c r="C549" s="151"/>
      <c r="D549" s="140"/>
      <c r="E549" s="152"/>
      <c r="F549" s="60"/>
      <c r="G549" s="60"/>
      <c r="H549" s="60"/>
      <c r="I549" s="60"/>
      <c r="J549" s="60"/>
      <c r="K549" s="60"/>
      <c r="L549" s="60"/>
      <c r="M549" s="60"/>
      <c r="N549" s="60"/>
      <c r="O549" s="60"/>
      <c r="P549" s="60"/>
      <c r="Q549" s="60"/>
      <c r="R549" s="60"/>
      <c r="S549" s="60"/>
      <c r="T549" s="60"/>
      <c r="U549" s="60"/>
      <c r="V549" s="60"/>
      <c r="W549" s="60"/>
      <c r="X549" s="60"/>
      <c r="Y549" s="60"/>
      <c r="Z549" s="60"/>
    </row>
    <row r="550">
      <c r="A550" s="149"/>
      <c r="B550" s="150"/>
      <c r="C550" s="151"/>
      <c r="D550" s="140"/>
      <c r="E550" s="152"/>
      <c r="F550" s="60"/>
      <c r="G550" s="60"/>
      <c r="H550" s="60"/>
      <c r="I550" s="60"/>
      <c r="J550" s="60"/>
      <c r="K550" s="60"/>
      <c r="L550" s="60"/>
      <c r="M550" s="60"/>
      <c r="N550" s="60"/>
      <c r="O550" s="60"/>
      <c r="P550" s="60"/>
      <c r="Q550" s="60"/>
      <c r="R550" s="60"/>
      <c r="S550" s="60"/>
      <c r="T550" s="60"/>
      <c r="U550" s="60"/>
      <c r="V550" s="60"/>
      <c r="W550" s="60"/>
      <c r="X550" s="60"/>
      <c r="Y550" s="60"/>
      <c r="Z550" s="60"/>
    </row>
    <row r="551">
      <c r="A551" s="149"/>
      <c r="B551" s="150"/>
      <c r="C551" s="151"/>
      <c r="D551" s="140"/>
      <c r="E551" s="152"/>
      <c r="F551" s="60"/>
      <c r="G551" s="60"/>
      <c r="H551" s="60"/>
      <c r="I551" s="60"/>
      <c r="J551" s="60"/>
      <c r="K551" s="60"/>
      <c r="L551" s="60"/>
      <c r="M551" s="60"/>
      <c r="N551" s="60"/>
      <c r="O551" s="60"/>
      <c r="P551" s="60"/>
      <c r="Q551" s="60"/>
      <c r="R551" s="60"/>
      <c r="S551" s="60"/>
      <c r="T551" s="60"/>
      <c r="U551" s="60"/>
      <c r="V551" s="60"/>
      <c r="W551" s="60"/>
      <c r="X551" s="60"/>
      <c r="Y551" s="60"/>
      <c r="Z551" s="60"/>
    </row>
    <row r="552">
      <c r="A552" s="149"/>
      <c r="B552" s="150"/>
      <c r="C552" s="151"/>
      <c r="D552" s="140"/>
      <c r="E552" s="152"/>
      <c r="F552" s="60"/>
      <c r="G552" s="60"/>
      <c r="H552" s="60"/>
      <c r="I552" s="60"/>
      <c r="J552" s="60"/>
      <c r="K552" s="60"/>
      <c r="L552" s="60"/>
      <c r="M552" s="60"/>
      <c r="N552" s="60"/>
      <c r="O552" s="60"/>
      <c r="P552" s="60"/>
      <c r="Q552" s="60"/>
      <c r="R552" s="60"/>
      <c r="S552" s="60"/>
      <c r="T552" s="60"/>
      <c r="U552" s="60"/>
      <c r="V552" s="60"/>
      <c r="W552" s="60"/>
      <c r="X552" s="60"/>
      <c r="Y552" s="60"/>
      <c r="Z552" s="60"/>
    </row>
    <row r="553">
      <c r="A553" s="149"/>
      <c r="B553" s="150"/>
      <c r="C553" s="151"/>
      <c r="D553" s="140"/>
      <c r="E553" s="152"/>
      <c r="F553" s="60"/>
      <c r="G553" s="60"/>
      <c r="H553" s="60"/>
      <c r="I553" s="60"/>
      <c r="J553" s="60"/>
      <c r="K553" s="60"/>
      <c r="L553" s="60"/>
      <c r="M553" s="60"/>
      <c r="N553" s="60"/>
      <c r="O553" s="60"/>
      <c r="P553" s="60"/>
      <c r="Q553" s="60"/>
      <c r="R553" s="60"/>
      <c r="S553" s="60"/>
      <c r="T553" s="60"/>
      <c r="U553" s="60"/>
      <c r="V553" s="60"/>
      <c r="W553" s="60"/>
      <c r="X553" s="60"/>
      <c r="Y553" s="60"/>
      <c r="Z553" s="60"/>
    </row>
    <row r="554">
      <c r="A554" s="149"/>
      <c r="B554" s="150"/>
      <c r="C554" s="151"/>
      <c r="D554" s="140"/>
      <c r="E554" s="152"/>
      <c r="F554" s="60"/>
      <c r="G554" s="60"/>
      <c r="H554" s="60"/>
      <c r="I554" s="60"/>
      <c r="J554" s="60"/>
      <c r="K554" s="60"/>
      <c r="L554" s="60"/>
      <c r="M554" s="60"/>
      <c r="N554" s="60"/>
      <c r="O554" s="60"/>
      <c r="P554" s="60"/>
      <c r="Q554" s="60"/>
      <c r="R554" s="60"/>
      <c r="S554" s="60"/>
      <c r="T554" s="60"/>
      <c r="U554" s="60"/>
      <c r="V554" s="60"/>
      <c r="W554" s="60"/>
      <c r="X554" s="60"/>
      <c r="Y554" s="60"/>
      <c r="Z554" s="60"/>
    </row>
    <row r="555">
      <c r="A555" s="149"/>
      <c r="B555" s="150"/>
      <c r="C555" s="151"/>
      <c r="D555" s="140"/>
      <c r="E555" s="152"/>
      <c r="F555" s="60"/>
      <c r="G555" s="60"/>
      <c r="H555" s="60"/>
      <c r="I555" s="60"/>
      <c r="J555" s="60"/>
      <c r="K555" s="60"/>
      <c r="L555" s="60"/>
      <c r="M555" s="60"/>
      <c r="N555" s="60"/>
      <c r="O555" s="60"/>
      <c r="P555" s="60"/>
      <c r="Q555" s="60"/>
      <c r="R555" s="60"/>
      <c r="S555" s="60"/>
      <c r="T555" s="60"/>
      <c r="U555" s="60"/>
      <c r="V555" s="60"/>
      <c r="W555" s="60"/>
      <c r="X555" s="60"/>
      <c r="Y555" s="60"/>
      <c r="Z555" s="60"/>
    </row>
    <row r="556">
      <c r="A556" s="149"/>
      <c r="B556" s="150"/>
      <c r="C556" s="151"/>
      <c r="D556" s="140"/>
      <c r="E556" s="152"/>
      <c r="F556" s="60"/>
      <c r="G556" s="60"/>
      <c r="H556" s="60"/>
      <c r="I556" s="60"/>
      <c r="J556" s="60"/>
      <c r="K556" s="60"/>
      <c r="L556" s="60"/>
      <c r="M556" s="60"/>
      <c r="N556" s="60"/>
      <c r="O556" s="60"/>
      <c r="P556" s="60"/>
      <c r="Q556" s="60"/>
      <c r="R556" s="60"/>
      <c r="S556" s="60"/>
      <c r="T556" s="60"/>
      <c r="U556" s="60"/>
      <c r="V556" s="60"/>
      <c r="W556" s="60"/>
      <c r="X556" s="60"/>
      <c r="Y556" s="60"/>
      <c r="Z556" s="60"/>
    </row>
    <row r="557">
      <c r="A557" s="149"/>
      <c r="B557" s="150"/>
      <c r="C557" s="151"/>
      <c r="D557" s="140"/>
      <c r="E557" s="152"/>
      <c r="F557" s="60"/>
      <c r="G557" s="60"/>
      <c r="H557" s="60"/>
      <c r="I557" s="60"/>
      <c r="J557" s="60"/>
      <c r="K557" s="60"/>
      <c r="L557" s="60"/>
      <c r="M557" s="60"/>
      <c r="N557" s="60"/>
      <c r="O557" s="60"/>
      <c r="P557" s="60"/>
      <c r="Q557" s="60"/>
      <c r="R557" s="60"/>
      <c r="S557" s="60"/>
      <c r="T557" s="60"/>
      <c r="U557" s="60"/>
      <c r="V557" s="60"/>
      <c r="W557" s="60"/>
      <c r="X557" s="60"/>
      <c r="Y557" s="60"/>
      <c r="Z557" s="60"/>
    </row>
    <row r="558">
      <c r="A558" s="149"/>
      <c r="B558" s="150"/>
      <c r="C558" s="151"/>
      <c r="D558" s="140"/>
      <c r="E558" s="152"/>
      <c r="F558" s="60"/>
      <c r="G558" s="60"/>
      <c r="H558" s="60"/>
      <c r="I558" s="60"/>
      <c r="J558" s="60"/>
      <c r="K558" s="60"/>
      <c r="L558" s="60"/>
      <c r="M558" s="60"/>
      <c r="N558" s="60"/>
      <c r="O558" s="60"/>
      <c r="P558" s="60"/>
      <c r="Q558" s="60"/>
      <c r="R558" s="60"/>
      <c r="S558" s="60"/>
      <c r="T558" s="60"/>
      <c r="U558" s="60"/>
      <c r="V558" s="60"/>
      <c r="W558" s="60"/>
      <c r="X558" s="60"/>
      <c r="Y558" s="60"/>
      <c r="Z558" s="60"/>
    </row>
    <row r="559">
      <c r="A559" s="149"/>
      <c r="B559" s="150"/>
      <c r="C559" s="151"/>
      <c r="D559" s="140"/>
      <c r="E559" s="152"/>
      <c r="F559" s="60"/>
      <c r="G559" s="60"/>
      <c r="H559" s="60"/>
      <c r="I559" s="60"/>
      <c r="J559" s="60"/>
      <c r="K559" s="60"/>
      <c r="L559" s="60"/>
      <c r="M559" s="60"/>
      <c r="N559" s="60"/>
      <c r="O559" s="60"/>
      <c r="P559" s="60"/>
      <c r="Q559" s="60"/>
      <c r="R559" s="60"/>
      <c r="S559" s="60"/>
      <c r="T559" s="60"/>
      <c r="U559" s="60"/>
      <c r="V559" s="60"/>
      <c r="W559" s="60"/>
      <c r="X559" s="60"/>
      <c r="Y559" s="60"/>
      <c r="Z559" s="60"/>
    </row>
    <row r="560">
      <c r="A560" s="149"/>
      <c r="B560" s="150"/>
      <c r="C560" s="151"/>
      <c r="D560" s="140"/>
      <c r="E560" s="152"/>
      <c r="F560" s="60"/>
      <c r="G560" s="60"/>
      <c r="H560" s="60"/>
      <c r="I560" s="60"/>
      <c r="J560" s="60"/>
      <c r="K560" s="60"/>
      <c r="L560" s="60"/>
      <c r="M560" s="60"/>
      <c r="N560" s="60"/>
      <c r="O560" s="60"/>
      <c r="P560" s="60"/>
      <c r="Q560" s="60"/>
      <c r="R560" s="60"/>
      <c r="S560" s="60"/>
      <c r="T560" s="60"/>
      <c r="U560" s="60"/>
      <c r="V560" s="60"/>
      <c r="W560" s="60"/>
      <c r="X560" s="60"/>
      <c r="Y560" s="60"/>
      <c r="Z560" s="60"/>
    </row>
    <row r="561">
      <c r="A561" s="149"/>
      <c r="B561" s="150"/>
      <c r="C561" s="151"/>
      <c r="D561" s="140"/>
      <c r="E561" s="152"/>
      <c r="F561" s="60"/>
      <c r="G561" s="60"/>
      <c r="H561" s="60"/>
      <c r="I561" s="60"/>
      <c r="J561" s="60"/>
      <c r="K561" s="60"/>
      <c r="L561" s="60"/>
      <c r="M561" s="60"/>
      <c r="N561" s="60"/>
      <c r="O561" s="60"/>
      <c r="P561" s="60"/>
      <c r="Q561" s="60"/>
      <c r="R561" s="60"/>
      <c r="S561" s="60"/>
      <c r="T561" s="60"/>
      <c r="U561" s="60"/>
      <c r="V561" s="60"/>
      <c r="W561" s="60"/>
      <c r="X561" s="60"/>
      <c r="Y561" s="60"/>
      <c r="Z561" s="60"/>
    </row>
    <row r="562">
      <c r="A562" s="149"/>
      <c r="B562" s="150"/>
      <c r="C562" s="151"/>
      <c r="D562" s="140"/>
      <c r="E562" s="152"/>
      <c r="F562" s="60"/>
      <c r="G562" s="60"/>
      <c r="H562" s="60"/>
      <c r="I562" s="60"/>
      <c r="J562" s="60"/>
      <c r="K562" s="60"/>
      <c r="L562" s="60"/>
      <c r="M562" s="60"/>
      <c r="N562" s="60"/>
      <c r="O562" s="60"/>
      <c r="P562" s="60"/>
      <c r="Q562" s="60"/>
      <c r="R562" s="60"/>
      <c r="S562" s="60"/>
      <c r="T562" s="60"/>
      <c r="U562" s="60"/>
      <c r="V562" s="60"/>
      <c r="W562" s="60"/>
      <c r="X562" s="60"/>
      <c r="Y562" s="60"/>
      <c r="Z562" s="60"/>
    </row>
    <row r="563">
      <c r="A563" s="149"/>
      <c r="B563" s="150"/>
      <c r="C563" s="151"/>
      <c r="D563" s="140"/>
      <c r="E563" s="152"/>
      <c r="F563" s="60"/>
      <c r="G563" s="60"/>
      <c r="H563" s="60"/>
      <c r="I563" s="60"/>
      <c r="J563" s="60"/>
      <c r="K563" s="60"/>
      <c r="L563" s="60"/>
      <c r="M563" s="60"/>
      <c r="N563" s="60"/>
      <c r="O563" s="60"/>
      <c r="P563" s="60"/>
      <c r="Q563" s="60"/>
      <c r="R563" s="60"/>
      <c r="S563" s="60"/>
      <c r="T563" s="60"/>
      <c r="U563" s="60"/>
      <c r="V563" s="60"/>
      <c r="W563" s="60"/>
      <c r="X563" s="60"/>
      <c r="Y563" s="60"/>
      <c r="Z563" s="60"/>
    </row>
    <row r="564">
      <c r="A564" s="149"/>
      <c r="B564" s="150"/>
      <c r="C564" s="151"/>
      <c r="D564" s="140"/>
      <c r="E564" s="152"/>
      <c r="F564" s="60"/>
      <c r="G564" s="60"/>
      <c r="H564" s="60"/>
      <c r="I564" s="60"/>
      <c r="J564" s="60"/>
      <c r="K564" s="60"/>
      <c r="L564" s="60"/>
      <c r="M564" s="60"/>
      <c r="N564" s="60"/>
      <c r="O564" s="60"/>
      <c r="P564" s="60"/>
      <c r="Q564" s="60"/>
      <c r="R564" s="60"/>
      <c r="S564" s="60"/>
      <c r="T564" s="60"/>
      <c r="U564" s="60"/>
      <c r="V564" s="60"/>
      <c r="W564" s="60"/>
      <c r="X564" s="60"/>
      <c r="Y564" s="60"/>
      <c r="Z564" s="60"/>
    </row>
    <row r="565">
      <c r="A565" s="149"/>
      <c r="B565" s="150"/>
      <c r="C565" s="151"/>
      <c r="D565" s="140"/>
      <c r="E565" s="152"/>
      <c r="F565" s="60"/>
      <c r="G565" s="60"/>
      <c r="H565" s="60"/>
      <c r="I565" s="60"/>
      <c r="J565" s="60"/>
      <c r="K565" s="60"/>
      <c r="L565" s="60"/>
      <c r="M565" s="60"/>
      <c r="N565" s="60"/>
      <c r="O565" s="60"/>
      <c r="P565" s="60"/>
      <c r="Q565" s="60"/>
      <c r="R565" s="60"/>
      <c r="S565" s="60"/>
      <c r="T565" s="60"/>
      <c r="U565" s="60"/>
      <c r="V565" s="60"/>
      <c r="W565" s="60"/>
      <c r="X565" s="60"/>
      <c r="Y565" s="60"/>
      <c r="Z565" s="60"/>
    </row>
    <row r="566">
      <c r="A566" s="149"/>
      <c r="B566" s="150"/>
      <c r="C566" s="151"/>
      <c r="D566" s="140"/>
      <c r="E566" s="152"/>
      <c r="F566" s="60"/>
      <c r="G566" s="60"/>
      <c r="H566" s="60"/>
      <c r="I566" s="60"/>
      <c r="J566" s="60"/>
      <c r="K566" s="60"/>
      <c r="L566" s="60"/>
      <c r="M566" s="60"/>
      <c r="N566" s="60"/>
      <c r="O566" s="60"/>
      <c r="P566" s="60"/>
      <c r="Q566" s="60"/>
      <c r="R566" s="60"/>
      <c r="S566" s="60"/>
      <c r="T566" s="60"/>
      <c r="U566" s="60"/>
      <c r="V566" s="60"/>
      <c r="W566" s="60"/>
      <c r="X566" s="60"/>
      <c r="Y566" s="60"/>
      <c r="Z566" s="60"/>
    </row>
    <row r="567">
      <c r="A567" s="149"/>
      <c r="B567" s="150"/>
      <c r="C567" s="151"/>
      <c r="D567" s="140"/>
      <c r="E567" s="152"/>
      <c r="F567" s="60"/>
      <c r="G567" s="60"/>
      <c r="H567" s="60"/>
      <c r="I567" s="60"/>
      <c r="J567" s="60"/>
      <c r="K567" s="60"/>
      <c r="L567" s="60"/>
      <c r="M567" s="60"/>
      <c r="N567" s="60"/>
      <c r="O567" s="60"/>
      <c r="P567" s="60"/>
      <c r="Q567" s="60"/>
      <c r="R567" s="60"/>
      <c r="S567" s="60"/>
      <c r="T567" s="60"/>
      <c r="U567" s="60"/>
      <c r="V567" s="60"/>
      <c r="W567" s="60"/>
      <c r="X567" s="60"/>
      <c r="Y567" s="60"/>
      <c r="Z567" s="60"/>
    </row>
    <row r="568">
      <c r="A568" s="149"/>
      <c r="B568" s="150"/>
      <c r="C568" s="151"/>
      <c r="D568" s="140"/>
      <c r="E568" s="152"/>
      <c r="F568" s="60"/>
      <c r="G568" s="60"/>
      <c r="H568" s="60"/>
      <c r="I568" s="60"/>
      <c r="J568" s="60"/>
      <c r="K568" s="60"/>
      <c r="L568" s="60"/>
      <c r="M568" s="60"/>
      <c r="N568" s="60"/>
      <c r="O568" s="60"/>
      <c r="P568" s="60"/>
      <c r="Q568" s="60"/>
      <c r="R568" s="60"/>
      <c r="S568" s="60"/>
      <c r="T568" s="60"/>
      <c r="U568" s="60"/>
      <c r="V568" s="60"/>
      <c r="W568" s="60"/>
      <c r="X568" s="60"/>
      <c r="Y568" s="60"/>
      <c r="Z568" s="60"/>
    </row>
    <row r="569">
      <c r="A569" s="149"/>
      <c r="B569" s="150"/>
      <c r="C569" s="151"/>
      <c r="D569" s="140"/>
      <c r="E569" s="152"/>
      <c r="F569" s="60"/>
      <c r="G569" s="60"/>
      <c r="H569" s="60"/>
      <c r="I569" s="60"/>
      <c r="J569" s="60"/>
      <c r="K569" s="60"/>
      <c r="L569" s="60"/>
      <c r="M569" s="60"/>
      <c r="N569" s="60"/>
      <c r="O569" s="60"/>
      <c r="P569" s="60"/>
      <c r="Q569" s="60"/>
      <c r="R569" s="60"/>
      <c r="S569" s="60"/>
      <c r="T569" s="60"/>
      <c r="U569" s="60"/>
      <c r="V569" s="60"/>
      <c r="W569" s="60"/>
      <c r="X569" s="60"/>
      <c r="Y569" s="60"/>
      <c r="Z569" s="60"/>
    </row>
    <row r="570">
      <c r="A570" s="149"/>
      <c r="B570" s="150"/>
      <c r="C570" s="151"/>
      <c r="D570" s="140"/>
      <c r="E570" s="152"/>
      <c r="F570" s="60"/>
      <c r="G570" s="60"/>
      <c r="H570" s="60"/>
      <c r="I570" s="60"/>
      <c r="J570" s="60"/>
      <c r="K570" s="60"/>
      <c r="L570" s="60"/>
      <c r="M570" s="60"/>
      <c r="N570" s="60"/>
      <c r="O570" s="60"/>
      <c r="P570" s="60"/>
      <c r="Q570" s="60"/>
      <c r="R570" s="60"/>
      <c r="S570" s="60"/>
      <c r="T570" s="60"/>
      <c r="U570" s="60"/>
      <c r="V570" s="60"/>
      <c r="W570" s="60"/>
      <c r="X570" s="60"/>
      <c r="Y570" s="60"/>
      <c r="Z570" s="60"/>
    </row>
    <row r="571">
      <c r="A571" s="149"/>
      <c r="B571" s="150"/>
      <c r="C571" s="151"/>
      <c r="D571" s="140"/>
      <c r="E571" s="152"/>
      <c r="F571" s="60"/>
      <c r="G571" s="60"/>
      <c r="H571" s="60"/>
      <c r="I571" s="60"/>
      <c r="J571" s="60"/>
      <c r="K571" s="60"/>
      <c r="L571" s="60"/>
      <c r="M571" s="60"/>
      <c r="N571" s="60"/>
      <c r="O571" s="60"/>
      <c r="P571" s="60"/>
      <c r="Q571" s="60"/>
      <c r="R571" s="60"/>
      <c r="S571" s="60"/>
      <c r="T571" s="60"/>
      <c r="U571" s="60"/>
      <c r="V571" s="60"/>
      <c r="W571" s="60"/>
      <c r="X571" s="60"/>
      <c r="Y571" s="60"/>
      <c r="Z571" s="60"/>
    </row>
    <row r="572">
      <c r="A572" s="149"/>
      <c r="B572" s="150"/>
      <c r="C572" s="151"/>
      <c r="D572" s="140"/>
      <c r="E572" s="152"/>
      <c r="F572" s="60"/>
      <c r="G572" s="60"/>
      <c r="H572" s="60"/>
      <c r="I572" s="60"/>
      <c r="J572" s="60"/>
      <c r="K572" s="60"/>
      <c r="L572" s="60"/>
      <c r="M572" s="60"/>
      <c r="N572" s="60"/>
      <c r="O572" s="60"/>
      <c r="P572" s="60"/>
      <c r="Q572" s="60"/>
      <c r="R572" s="60"/>
      <c r="S572" s="60"/>
      <c r="T572" s="60"/>
      <c r="U572" s="60"/>
      <c r="V572" s="60"/>
      <c r="W572" s="60"/>
      <c r="X572" s="60"/>
      <c r="Y572" s="60"/>
      <c r="Z572" s="60"/>
    </row>
    <row r="573">
      <c r="A573" s="149"/>
      <c r="B573" s="150"/>
      <c r="C573" s="151"/>
      <c r="D573" s="140"/>
      <c r="E573" s="152"/>
      <c r="F573" s="60"/>
      <c r="G573" s="60"/>
      <c r="H573" s="60"/>
      <c r="I573" s="60"/>
      <c r="J573" s="60"/>
      <c r="K573" s="60"/>
      <c r="L573" s="60"/>
      <c r="M573" s="60"/>
      <c r="N573" s="60"/>
      <c r="O573" s="60"/>
      <c r="P573" s="60"/>
      <c r="Q573" s="60"/>
      <c r="R573" s="60"/>
      <c r="S573" s="60"/>
      <c r="T573" s="60"/>
      <c r="U573" s="60"/>
      <c r="V573" s="60"/>
      <c r="W573" s="60"/>
      <c r="X573" s="60"/>
      <c r="Y573" s="60"/>
      <c r="Z573" s="60"/>
    </row>
    <row r="574">
      <c r="A574" s="149"/>
      <c r="B574" s="150"/>
      <c r="C574" s="151"/>
      <c r="D574" s="140"/>
      <c r="E574" s="152"/>
      <c r="F574" s="60"/>
      <c r="G574" s="60"/>
      <c r="H574" s="60"/>
      <c r="I574" s="60"/>
      <c r="J574" s="60"/>
      <c r="K574" s="60"/>
      <c r="L574" s="60"/>
      <c r="M574" s="60"/>
      <c r="N574" s="60"/>
      <c r="O574" s="60"/>
      <c r="P574" s="60"/>
      <c r="Q574" s="60"/>
      <c r="R574" s="60"/>
      <c r="S574" s="60"/>
      <c r="T574" s="60"/>
      <c r="U574" s="60"/>
      <c r="V574" s="60"/>
      <c r="W574" s="60"/>
      <c r="X574" s="60"/>
      <c r="Y574" s="60"/>
      <c r="Z574" s="60"/>
    </row>
    <row r="575">
      <c r="A575" s="149"/>
      <c r="B575" s="150"/>
      <c r="C575" s="151"/>
      <c r="D575" s="140"/>
      <c r="E575" s="152"/>
      <c r="F575" s="60"/>
      <c r="G575" s="60"/>
      <c r="H575" s="60"/>
      <c r="I575" s="60"/>
      <c r="J575" s="60"/>
      <c r="K575" s="60"/>
      <c r="L575" s="60"/>
      <c r="M575" s="60"/>
      <c r="N575" s="60"/>
      <c r="O575" s="60"/>
      <c r="P575" s="60"/>
      <c r="Q575" s="60"/>
      <c r="R575" s="60"/>
      <c r="S575" s="60"/>
      <c r="T575" s="60"/>
      <c r="U575" s="60"/>
      <c r="V575" s="60"/>
      <c r="W575" s="60"/>
      <c r="X575" s="60"/>
      <c r="Y575" s="60"/>
      <c r="Z575" s="60"/>
    </row>
    <row r="576">
      <c r="A576" s="149"/>
      <c r="B576" s="150"/>
      <c r="C576" s="151"/>
      <c r="D576" s="140"/>
      <c r="E576" s="152"/>
      <c r="F576" s="60"/>
      <c r="G576" s="60"/>
      <c r="H576" s="60"/>
      <c r="I576" s="60"/>
      <c r="J576" s="60"/>
      <c r="K576" s="60"/>
      <c r="L576" s="60"/>
      <c r="M576" s="60"/>
      <c r="N576" s="60"/>
      <c r="O576" s="60"/>
      <c r="P576" s="60"/>
      <c r="Q576" s="60"/>
      <c r="R576" s="60"/>
      <c r="S576" s="60"/>
      <c r="T576" s="60"/>
      <c r="U576" s="60"/>
      <c r="V576" s="60"/>
      <c r="W576" s="60"/>
      <c r="X576" s="60"/>
      <c r="Y576" s="60"/>
      <c r="Z576" s="60"/>
    </row>
    <row r="577">
      <c r="A577" s="149"/>
      <c r="B577" s="150"/>
      <c r="C577" s="151"/>
      <c r="D577" s="140"/>
      <c r="E577" s="152"/>
      <c r="F577" s="60"/>
      <c r="G577" s="60"/>
      <c r="H577" s="60"/>
      <c r="I577" s="60"/>
      <c r="J577" s="60"/>
      <c r="K577" s="60"/>
      <c r="L577" s="60"/>
      <c r="M577" s="60"/>
      <c r="N577" s="60"/>
      <c r="O577" s="60"/>
      <c r="P577" s="60"/>
      <c r="Q577" s="60"/>
      <c r="R577" s="60"/>
      <c r="S577" s="60"/>
      <c r="T577" s="60"/>
      <c r="U577" s="60"/>
      <c r="V577" s="60"/>
      <c r="W577" s="60"/>
      <c r="X577" s="60"/>
      <c r="Y577" s="60"/>
      <c r="Z577" s="60"/>
    </row>
    <row r="578">
      <c r="A578" s="149"/>
      <c r="B578" s="150"/>
      <c r="C578" s="151"/>
      <c r="D578" s="140"/>
      <c r="E578" s="152"/>
      <c r="F578" s="60"/>
      <c r="G578" s="60"/>
      <c r="H578" s="60"/>
      <c r="I578" s="60"/>
      <c r="J578" s="60"/>
      <c r="K578" s="60"/>
      <c r="L578" s="60"/>
      <c r="M578" s="60"/>
      <c r="N578" s="60"/>
      <c r="O578" s="60"/>
      <c r="P578" s="60"/>
      <c r="Q578" s="60"/>
      <c r="R578" s="60"/>
      <c r="S578" s="60"/>
      <c r="T578" s="60"/>
      <c r="U578" s="60"/>
      <c r="V578" s="60"/>
      <c r="W578" s="60"/>
      <c r="X578" s="60"/>
      <c r="Y578" s="60"/>
      <c r="Z578" s="60"/>
    </row>
    <row r="579">
      <c r="A579" s="149"/>
      <c r="B579" s="150"/>
      <c r="C579" s="151"/>
      <c r="D579" s="140"/>
      <c r="E579" s="152"/>
      <c r="F579" s="60"/>
      <c r="G579" s="60"/>
      <c r="H579" s="60"/>
      <c r="I579" s="60"/>
      <c r="J579" s="60"/>
      <c r="K579" s="60"/>
      <c r="L579" s="60"/>
      <c r="M579" s="60"/>
      <c r="N579" s="60"/>
      <c r="O579" s="60"/>
      <c r="P579" s="60"/>
      <c r="Q579" s="60"/>
      <c r="R579" s="60"/>
      <c r="S579" s="60"/>
      <c r="T579" s="60"/>
      <c r="U579" s="60"/>
      <c r="V579" s="60"/>
      <c r="W579" s="60"/>
      <c r="X579" s="60"/>
      <c r="Y579" s="60"/>
      <c r="Z579" s="60"/>
    </row>
    <row r="580">
      <c r="A580" s="149"/>
      <c r="B580" s="150"/>
      <c r="C580" s="151"/>
      <c r="D580" s="140"/>
      <c r="E580" s="152"/>
      <c r="F580" s="60"/>
      <c r="G580" s="60"/>
      <c r="H580" s="60"/>
      <c r="I580" s="60"/>
      <c r="J580" s="60"/>
      <c r="K580" s="60"/>
      <c r="L580" s="60"/>
      <c r="M580" s="60"/>
      <c r="N580" s="60"/>
      <c r="O580" s="60"/>
      <c r="P580" s="60"/>
      <c r="Q580" s="60"/>
      <c r="R580" s="60"/>
      <c r="S580" s="60"/>
      <c r="T580" s="60"/>
      <c r="U580" s="60"/>
      <c r="V580" s="60"/>
      <c r="W580" s="60"/>
      <c r="X580" s="60"/>
      <c r="Y580" s="60"/>
      <c r="Z580" s="60"/>
    </row>
    <row r="581">
      <c r="A581" s="149"/>
      <c r="B581" s="150"/>
      <c r="C581" s="151"/>
      <c r="D581" s="140"/>
      <c r="E581" s="152"/>
      <c r="F581" s="60"/>
      <c r="G581" s="60"/>
      <c r="H581" s="60"/>
      <c r="I581" s="60"/>
      <c r="J581" s="60"/>
      <c r="K581" s="60"/>
      <c r="L581" s="60"/>
      <c r="M581" s="60"/>
      <c r="N581" s="60"/>
      <c r="O581" s="60"/>
      <c r="P581" s="60"/>
      <c r="Q581" s="60"/>
      <c r="R581" s="60"/>
      <c r="S581" s="60"/>
      <c r="T581" s="60"/>
      <c r="U581" s="60"/>
      <c r="V581" s="60"/>
      <c r="W581" s="60"/>
      <c r="X581" s="60"/>
      <c r="Y581" s="60"/>
      <c r="Z581" s="60"/>
    </row>
    <row r="582">
      <c r="A582" s="149"/>
      <c r="B582" s="150"/>
      <c r="C582" s="151"/>
      <c r="D582" s="140"/>
      <c r="E582" s="152"/>
      <c r="F582" s="60"/>
      <c r="G582" s="60"/>
      <c r="H582" s="60"/>
      <c r="I582" s="60"/>
      <c r="J582" s="60"/>
      <c r="K582" s="60"/>
      <c r="L582" s="60"/>
      <c r="M582" s="60"/>
      <c r="N582" s="60"/>
      <c r="O582" s="60"/>
      <c r="P582" s="60"/>
      <c r="Q582" s="60"/>
      <c r="R582" s="60"/>
      <c r="S582" s="60"/>
      <c r="T582" s="60"/>
      <c r="U582" s="60"/>
      <c r="V582" s="60"/>
      <c r="W582" s="60"/>
      <c r="X582" s="60"/>
      <c r="Y582" s="60"/>
      <c r="Z582" s="60"/>
    </row>
    <row r="583">
      <c r="A583" s="149"/>
      <c r="B583" s="150"/>
      <c r="C583" s="151"/>
      <c r="D583" s="140"/>
      <c r="E583" s="152"/>
      <c r="F583" s="60"/>
      <c r="G583" s="60"/>
      <c r="H583" s="60"/>
      <c r="I583" s="60"/>
      <c r="J583" s="60"/>
      <c r="K583" s="60"/>
      <c r="L583" s="60"/>
      <c r="M583" s="60"/>
      <c r="N583" s="60"/>
      <c r="O583" s="60"/>
      <c r="P583" s="60"/>
      <c r="Q583" s="60"/>
      <c r="R583" s="60"/>
      <c r="S583" s="60"/>
      <c r="T583" s="60"/>
      <c r="U583" s="60"/>
      <c r="V583" s="60"/>
      <c r="W583" s="60"/>
      <c r="X583" s="60"/>
      <c r="Y583" s="60"/>
      <c r="Z583" s="60"/>
    </row>
    <row r="584">
      <c r="A584" s="149"/>
      <c r="B584" s="150"/>
      <c r="C584" s="151"/>
      <c r="D584" s="140"/>
      <c r="E584" s="152"/>
      <c r="F584" s="60"/>
      <c r="G584" s="60"/>
      <c r="H584" s="60"/>
      <c r="I584" s="60"/>
      <c r="J584" s="60"/>
      <c r="K584" s="60"/>
      <c r="L584" s="60"/>
      <c r="M584" s="60"/>
      <c r="N584" s="60"/>
      <c r="O584" s="60"/>
      <c r="P584" s="60"/>
      <c r="Q584" s="60"/>
      <c r="R584" s="60"/>
      <c r="S584" s="60"/>
      <c r="T584" s="60"/>
      <c r="U584" s="60"/>
      <c r="V584" s="60"/>
      <c r="W584" s="60"/>
      <c r="X584" s="60"/>
      <c r="Y584" s="60"/>
      <c r="Z584" s="60"/>
    </row>
    <row r="585">
      <c r="A585" s="149"/>
      <c r="B585" s="150"/>
      <c r="C585" s="151"/>
      <c r="D585" s="140"/>
      <c r="E585" s="152"/>
      <c r="F585" s="60"/>
      <c r="G585" s="60"/>
      <c r="H585" s="60"/>
      <c r="I585" s="60"/>
      <c r="J585" s="60"/>
      <c r="K585" s="60"/>
      <c r="L585" s="60"/>
      <c r="M585" s="60"/>
      <c r="N585" s="60"/>
      <c r="O585" s="60"/>
      <c r="P585" s="60"/>
      <c r="Q585" s="60"/>
      <c r="R585" s="60"/>
      <c r="S585" s="60"/>
      <c r="T585" s="60"/>
      <c r="U585" s="60"/>
      <c r="V585" s="60"/>
      <c r="W585" s="60"/>
      <c r="X585" s="60"/>
      <c r="Y585" s="60"/>
      <c r="Z585" s="60"/>
    </row>
    <row r="586">
      <c r="A586" s="149"/>
      <c r="B586" s="150"/>
      <c r="C586" s="151"/>
      <c r="D586" s="140"/>
      <c r="E586" s="152"/>
      <c r="F586" s="60"/>
      <c r="G586" s="60"/>
      <c r="H586" s="60"/>
      <c r="I586" s="60"/>
      <c r="J586" s="60"/>
      <c r="K586" s="60"/>
      <c r="L586" s="60"/>
      <c r="M586" s="60"/>
      <c r="N586" s="60"/>
      <c r="O586" s="60"/>
      <c r="P586" s="60"/>
      <c r="Q586" s="60"/>
      <c r="R586" s="60"/>
      <c r="S586" s="60"/>
      <c r="T586" s="60"/>
      <c r="U586" s="60"/>
      <c r="V586" s="60"/>
      <c r="W586" s="60"/>
      <c r="X586" s="60"/>
      <c r="Y586" s="60"/>
      <c r="Z586" s="60"/>
    </row>
    <row r="587">
      <c r="A587" s="149"/>
      <c r="B587" s="150"/>
      <c r="C587" s="151"/>
      <c r="D587" s="140"/>
      <c r="E587" s="152"/>
      <c r="F587" s="60"/>
      <c r="G587" s="60"/>
      <c r="H587" s="60"/>
      <c r="I587" s="60"/>
      <c r="J587" s="60"/>
      <c r="K587" s="60"/>
      <c r="L587" s="60"/>
      <c r="M587" s="60"/>
      <c r="N587" s="60"/>
      <c r="O587" s="60"/>
      <c r="P587" s="60"/>
      <c r="Q587" s="60"/>
      <c r="R587" s="60"/>
      <c r="S587" s="60"/>
      <c r="T587" s="60"/>
      <c r="U587" s="60"/>
      <c r="V587" s="60"/>
      <c r="W587" s="60"/>
      <c r="X587" s="60"/>
      <c r="Y587" s="60"/>
      <c r="Z587" s="60"/>
    </row>
    <row r="588">
      <c r="A588" s="149"/>
      <c r="B588" s="150"/>
      <c r="C588" s="151"/>
      <c r="D588" s="140"/>
      <c r="E588" s="152"/>
      <c r="F588" s="60"/>
      <c r="G588" s="60"/>
      <c r="H588" s="60"/>
      <c r="I588" s="60"/>
      <c r="J588" s="60"/>
      <c r="K588" s="60"/>
      <c r="L588" s="60"/>
      <c r="M588" s="60"/>
      <c r="N588" s="60"/>
      <c r="O588" s="60"/>
      <c r="P588" s="60"/>
      <c r="Q588" s="60"/>
      <c r="R588" s="60"/>
      <c r="S588" s="60"/>
      <c r="T588" s="60"/>
      <c r="U588" s="60"/>
      <c r="V588" s="60"/>
      <c r="W588" s="60"/>
      <c r="X588" s="60"/>
      <c r="Y588" s="60"/>
      <c r="Z588" s="60"/>
    </row>
    <row r="589">
      <c r="A589" s="149"/>
      <c r="B589" s="150"/>
      <c r="C589" s="151"/>
      <c r="D589" s="140"/>
      <c r="E589" s="152"/>
      <c r="F589" s="60"/>
      <c r="G589" s="60"/>
      <c r="H589" s="60"/>
      <c r="I589" s="60"/>
      <c r="J589" s="60"/>
      <c r="K589" s="60"/>
      <c r="L589" s="60"/>
      <c r="M589" s="60"/>
      <c r="N589" s="60"/>
      <c r="O589" s="60"/>
      <c r="P589" s="60"/>
      <c r="Q589" s="60"/>
      <c r="R589" s="60"/>
      <c r="S589" s="60"/>
      <c r="T589" s="60"/>
      <c r="U589" s="60"/>
      <c r="V589" s="60"/>
      <c r="W589" s="60"/>
      <c r="X589" s="60"/>
      <c r="Y589" s="60"/>
      <c r="Z589" s="60"/>
    </row>
    <row r="590">
      <c r="A590" s="149"/>
      <c r="B590" s="150"/>
      <c r="C590" s="151"/>
      <c r="D590" s="140"/>
      <c r="E590" s="152"/>
      <c r="F590" s="60"/>
      <c r="G590" s="60"/>
      <c r="H590" s="60"/>
      <c r="I590" s="60"/>
      <c r="J590" s="60"/>
      <c r="K590" s="60"/>
      <c r="L590" s="60"/>
      <c r="M590" s="60"/>
      <c r="N590" s="60"/>
      <c r="O590" s="60"/>
      <c r="P590" s="60"/>
      <c r="Q590" s="60"/>
      <c r="R590" s="60"/>
      <c r="S590" s="60"/>
      <c r="T590" s="60"/>
      <c r="U590" s="60"/>
      <c r="V590" s="60"/>
      <c r="W590" s="60"/>
      <c r="X590" s="60"/>
      <c r="Y590" s="60"/>
      <c r="Z590" s="60"/>
    </row>
    <row r="591">
      <c r="A591" s="149"/>
      <c r="B591" s="150"/>
      <c r="C591" s="151"/>
      <c r="D591" s="140"/>
      <c r="E591" s="152"/>
      <c r="F591" s="60"/>
      <c r="G591" s="60"/>
      <c r="H591" s="60"/>
      <c r="I591" s="60"/>
      <c r="J591" s="60"/>
      <c r="K591" s="60"/>
      <c r="L591" s="60"/>
      <c r="M591" s="60"/>
      <c r="N591" s="60"/>
      <c r="O591" s="60"/>
      <c r="P591" s="60"/>
      <c r="Q591" s="60"/>
      <c r="R591" s="60"/>
      <c r="S591" s="60"/>
      <c r="T591" s="60"/>
      <c r="U591" s="60"/>
      <c r="V591" s="60"/>
      <c r="W591" s="60"/>
      <c r="X591" s="60"/>
      <c r="Y591" s="60"/>
      <c r="Z591" s="60"/>
    </row>
    <row r="592">
      <c r="A592" s="149"/>
      <c r="B592" s="150"/>
      <c r="C592" s="151"/>
      <c r="D592" s="140"/>
      <c r="E592" s="152"/>
      <c r="F592" s="60"/>
      <c r="G592" s="60"/>
      <c r="H592" s="60"/>
      <c r="I592" s="60"/>
      <c r="J592" s="60"/>
      <c r="K592" s="60"/>
      <c r="L592" s="60"/>
      <c r="M592" s="60"/>
      <c r="N592" s="60"/>
      <c r="O592" s="60"/>
      <c r="P592" s="60"/>
      <c r="Q592" s="60"/>
      <c r="R592" s="60"/>
      <c r="S592" s="60"/>
      <c r="T592" s="60"/>
      <c r="U592" s="60"/>
      <c r="V592" s="60"/>
      <c r="W592" s="60"/>
      <c r="X592" s="60"/>
      <c r="Y592" s="60"/>
      <c r="Z592" s="60"/>
    </row>
    <row r="593">
      <c r="A593" s="149"/>
      <c r="B593" s="150"/>
      <c r="C593" s="151"/>
      <c r="D593" s="140"/>
      <c r="E593" s="152"/>
      <c r="F593" s="60"/>
      <c r="G593" s="60"/>
      <c r="H593" s="60"/>
      <c r="I593" s="60"/>
      <c r="J593" s="60"/>
      <c r="K593" s="60"/>
      <c r="L593" s="60"/>
      <c r="M593" s="60"/>
      <c r="N593" s="60"/>
      <c r="O593" s="60"/>
      <c r="P593" s="60"/>
      <c r="Q593" s="60"/>
      <c r="R593" s="60"/>
      <c r="S593" s="60"/>
      <c r="T593" s="60"/>
      <c r="U593" s="60"/>
      <c r="V593" s="60"/>
      <c r="W593" s="60"/>
      <c r="X593" s="60"/>
      <c r="Y593" s="60"/>
      <c r="Z593" s="60"/>
    </row>
    <row r="594">
      <c r="A594" s="149"/>
      <c r="B594" s="150"/>
      <c r="C594" s="151"/>
      <c r="D594" s="140"/>
      <c r="E594" s="152"/>
      <c r="F594" s="60"/>
      <c r="G594" s="60"/>
      <c r="H594" s="60"/>
      <c r="I594" s="60"/>
      <c r="J594" s="60"/>
      <c r="K594" s="60"/>
      <c r="L594" s="60"/>
      <c r="M594" s="60"/>
      <c r="N594" s="60"/>
      <c r="O594" s="60"/>
      <c r="P594" s="60"/>
      <c r="Q594" s="60"/>
      <c r="R594" s="60"/>
      <c r="S594" s="60"/>
      <c r="T594" s="60"/>
      <c r="U594" s="60"/>
      <c r="V594" s="60"/>
      <c r="W594" s="60"/>
      <c r="X594" s="60"/>
      <c r="Y594" s="60"/>
      <c r="Z594" s="60"/>
    </row>
    <row r="595">
      <c r="A595" s="149"/>
      <c r="B595" s="150"/>
      <c r="C595" s="151"/>
      <c r="D595" s="140"/>
      <c r="E595" s="152"/>
      <c r="F595" s="60"/>
      <c r="G595" s="60"/>
      <c r="H595" s="60"/>
      <c r="I595" s="60"/>
      <c r="J595" s="60"/>
      <c r="K595" s="60"/>
      <c r="L595" s="60"/>
      <c r="M595" s="60"/>
      <c r="N595" s="60"/>
      <c r="O595" s="60"/>
      <c r="P595" s="60"/>
      <c r="Q595" s="60"/>
      <c r="R595" s="60"/>
      <c r="S595" s="60"/>
      <c r="T595" s="60"/>
      <c r="U595" s="60"/>
      <c r="V595" s="60"/>
      <c r="W595" s="60"/>
      <c r="X595" s="60"/>
      <c r="Y595" s="60"/>
      <c r="Z595" s="60"/>
    </row>
    <row r="596">
      <c r="A596" s="149"/>
      <c r="B596" s="150"/>
      <c r="C596" s="151"/>
      <c r="D596" s="140"/>
      <c r="E596" s="152"/>
      <c r="F596" s="60"/>
      <c r="G596" s="60"/>
      <c r="H596" s="60"/>
      <c r="I596" s="60"/>
      <c r="J596" s="60"/>
      <c r="K596" s="60"/>
      <c r="L596" s="60"/>
      <c r="M596" s="60"/>
      <c r="N596" s="60"/>
      <c r="O596" s="60"/>
      <c r="P596" s="60"/>
      <c r="Q596" s="60"/>
      <c r="R596" s="60"/>
      <c r="S596" s="60"/>
      <c r="T596" s="60"/>
      <c r="U596" s="60"/>
      <c r="V596" s="60"/>
      <c r="W596" s="60"/>
      <c r="X596" s="60"/>
      <c r="Y596" s="60"/>
      <c r="Z596" s="60"/>
    </row>
    <row r="597">
      <c r="A597" s="149"/>
      <c r="B597" s="150"/>
      <c r="C597" s="151"/>
      <c r="D597" s="140"/>
      <c r="E597" s="152"/>
      <c r="F597" s="60"/>
      <c r="G597" s="60"/>
      <c r="H597" s="60"/>
      <c r="I597" s="60"/>
      <c r="J597" s="60"/>
      <c r="K597" s="60"/>
      <c r="L597" s="60"/>
      <c r="M597" s="60"/>
      <c r="N597" s="60"/>
      <c r="O597" s="60"/>
      <c r="P597" s="60"/>
      <c r="Q597" s="60"/>
      <c r="R597" s="60"/>
      <c r="S597" s="60"/>
      <c r="T597" s="60"/>
      <c r="U597" s="60"/>
      <c r="V597" s="60"/>
      <c r="W597" s="60"/>
      <c r="X597" s="60"/>
      <c r="Y597" s="60"/>
      <c r="Z597" s="60"/>
    </row>
    <row r="598">
      <c r="A598" s="149"/>
      <c r="B598" s="150"/>
      <c r="C598" s="151"/>
      <c r="D598" s="140"/>
      <c r="E598" s="152"/>
      <c r="F598" s="60"/>
      <c r="G598" s="60"/>
      <c r="H598" s="60"/>
      <c r="I598" s="60"/>
      <c r="J598" s="60"/>
      <c r="K598" s="60"/>
      <c r="L598" s="60"/>
      <c r="M598" s="60"/>
      <c r="N598" s="60"/>
      <c r="O598" s="60"/>
      <c r="P598" s="60"/>
      <c r="Q598" s="60"/>
      <c r="R598" s="60"/>
      <c r="S598" s="60"/>
      <c r="T598" s="60"/>
      <c r="U598" s="60"/>
      <c r="V598" s="60"/>
      <c r="W598" s="60"/>
      <c r="X598" s="60"/>
      <c r="Y598" s="60"/>
      <c r="Z598" s="60"/>
    </row>
    <row r="599">
      <c r="A599" s="149"/>
      <c r="B599" s="150"/>
      <c r="C599" s="151"/>
      <c r="D599" s="140"/>
      <c r="E599" s="152"/>
      <c r="F599" s="60"/>
      <c r="G599" s="60"/>
      <c r="H599" s="60"/>
      <c r="I599" s="60"/>
      <c r="J599" s="60"/>
      <c r="K599" s="60"/>
      <c r="L599" s="60"/>
      <c r="M599" s="60"/>
      <c r="N599" s="60"/>
      <c r="O599" s="60"/>
      <c r="P599" s="60"/>
      <c r="Q599" s="60"/>
      <c r="R599" s="60"/>
      <c r="S599" s="60"/>
      <c r="T599" s="60"/>
      <c r="U599" s="60"/>
      <c r="V599" s="60"/>
      <c r="W599" s="60"/>
      <c r="X599" s="60"/>
      <c r="Y599" s="60"/>
      <c r="Z599" s="60"/>
    </row>
    <row r="600">
      <c r="A600" s="149"/>
      <c r="B600" s="150"/>
      <c r="C600" s="151"/>
      <c r="D600" s="140"/>
      <c r="E600" s="152"/>
      <c r="F600" s="60"/>
      <c r="G600" s="60"/>
      <c r="H600" s="60"/>
      <c r="I600" s="60"/>
      <c r="J600" s="60"/>
      <c r="K600" s="60"/>
      <c r="L600" s="60"/>
      <c r="M600" s="60"/>
      <c r="N600" s="60"/>
      <c r="O600" s="60"/>
      <c r="P600" s="60"/>
      <c r="Q600" s="60"/>
      <c r="R600" s="60"/>
      <c r="S600" s="60"/>
      <c r="T600" s="60"/>
      <c r="U600" s="60"/>
      <c r="V600" s="60"/>
      <c r="W600" s="60"/>
      <c r="X600" s="60"/>
      <c r="Y600" s="60"/>
      <c r="Z600" s="60"/>
    </row>
    <row r="601">
      <c r="A601" s="149"/>
      <c r="B601" s="150"/>
      <c r="C601" s="151"/>
      <c r="D601" s="140"/>
      <c r="E601" s="152"/>
      <c r="F601" s="60"/>
      <c r="G601" s="60"/>
      <c r="H601" s="60"/>
      <c r="I601" s="60"/>
      <c r="J601" s="60"/>
      <c r="K601" s="60"/>
      <c r="L601" s="60"/>
      <c r="M601" s="60"/>
      <c r="N601" s="60"/>
      <c r="O601" s="60"/>
      <c r="P601" s="60"/>
      <c r="Q601" s="60"/>
      <c r="R601" s="60"/>
      <c r="S601" s="60"/>
      <c r="T601" s="60"/>
      <c r="U601" s="60"/>
      <c r="V601" s="60"/>
      <c r="W601" s="60"/>
      <c r="X601" s="60"/>
      <c r="Y601" s="60"/>
      <c r="Z601" s="60"/>
    </row>
    <row r="602">
      <c r="A602" s="149"/>
      <c r="B602" s="150"/>
      <c r="C602" s="151"/>
      <c r="D602" s="140"/>
      <c r="E602" s="152"/>
      <c r="F602" s="60"/>
      <c r="G602" s="60"/>
      <c r="H602" s="60"/>
      <c r="I602" s="60"/>
      <c r="J602" s="60"/>
      <c r="K602" s="60"/>
      <c r="L602" s="60"/>
      <c r="M602" s="60"/>
      <c r="N602" s="60"/>
      <c r="O602" s="60"/>
      <c r="P602" s="60"/>
      <c r="Q602" s="60"/>
      <c r="R602" s="60"/>
      <c r="S602" s="60"/>
      <c r="T602" s="60"/>
      <c r="U602" s="60"/>
      <c r="V602" s="60"/>
      <c r="W602" s="60"/>
      <c r="X602" s="60"/>
      <c r="Y602" s="60"/>
      <c r="Z602" s="60"/>
    </row>
    <row r="603">
      <c r="A603" s="149"/>
      <c r="B603" s="150"/>
      <c r="C603" s="151"/>
      <c r="D603" s="140"/>
      <c r="E603" s="152"/>
      <c r="F603" s="60"/>
      <c r="G603" s="60"/>
      <c r="H603" s="60"/>
      <c r="I603" s="60"/>
      <c r="J603" s="60"/>
      <c r="K603" s="60"/>
      <c r="L603" s="60"/>
      <c r="M603" s="60"/>
      <c r="N603" s="60"/>
      <c r="O603" s="60"/>
      <c r="P603" s="60"/>
      <c r="Q603" s="60"/>
      <c r="R603" s="60"/>
      <c r="S603" s="60"/>
      <c r="T603" s="60"/>
      <c r="U603" s="60"/>
      <c r="V603" s="60"/>
      <c r="W603" s="60"/>
      <c r="X603" s="60"/>
      <c r="Y603" s="60"/>
      <c r="Z603" s="60"/>
    </row>
    <row r="604">
      <c r="A604" s="149"/>
      <c r="B604" s="150"/>
      <c r="C604" s="151"/>
      <c r="D604" s="140"/>
      <c r="E604" s="152"/>
      <c r="F604" s="60"/>
      <c r="G604" s="60"/>
      <c r="H604" s="60"/>
      <c r="I604" s="60"/>
      <c r="J604" s="60"/>
      <c r="K604" s="60"/>
      <c r="L604" s="60"/>
      <c r="M604" s="60"/>
      <c r="N604" s="60"/>
      <c r="O604" s="60"/>
      <c r="P604" s="60"/>
      <c r="Q604" s="60"/>
      <c r="R604" s="60"/>
      <c r="S604" s="60"/>
      <c r="T604" s="60"/>
      <c r="U604" s="60"/>
      <c r="V604" s="60"/>
      <c r="W604" s="60"/>
      <c r="X604" s="60"/>
      <c r="Y604" s="60"/>
      <c r="Z604" s="60"/>
    </row>
    <row r="605">
      <c r="A605" s="149"/>
      <c r="B605" s="150"/>
      <c r="C605" s="151"/>
      <c r="D605" s="140"/>
      <c r="E605" s="152"/>
      <c r="F605" s="60"/>
      <c r="G605" s="60"/>
      <c r="H605" s="60"/>
      <c r="I605" s="60"/>
      <c r="J605" s="60"/>
      <c r="K605" s="60"/>
      <c r="L605" s="60"/>
      <c r="M605" s="60"/>
      <c r="N605" s="60"/>
      <c r="O605" s="60"/>
      <c r="P605" s="60"/>
      <c r="Q605" s="60"/>
      <c r="R605" s="60"/>
      <c r="S605" s="60"/>
      <c r="T605" s="60"/>
      <c r="U605" s="60"/>
      <c r="V605" s="60"/>
      <c r="W605" s="60"/>
      <c r="X605" s="60"/>
      <c r="Y605" s="60"/>
      <c r="Z605" s="60"/>
    </row>
    <row r="606">
      <c r="A606" s="149"/>
      <c r="B606" s="150"/>
      <c r="C606" s="151"/>
      <c r="D606" s="140"/>
      <c r="E606" s="152"/>
      <c r="F606" s="60"/>
      <c r="G606" s="60"/>
      <c r="H606" s="60"/>
      <c r="I606" s="60"/>
      <c r="J606" s="60"/>
      <c r="K606" s="60"/>
      <c r="L606" s="60"/>
      <c r="M606" s="60"/>
      <c r="N606" s="60"/>
      <c r="O606" s="60"/>
      <c r="P606" s="60"/>
      <c r="Q606" s="60"/>
      <c r="R606" s="60"/>
      <c r="S606" s="60"/>
      <c r="T606" s="60"/>
      <c r="U606" s="60"/>
      <c r="V606" s="60"/>
      <c r="W606" s="60"/>
      <c r="X606" s="60"/>
      <c r="Y606" s="60"/>
      <c r="Z606" s="60"/>
    </row>
    <row r="607">
      <c r="A607" s="149"/>
      <c r="B607" s="150"/>
      <c r="C607" s="151"/>
      <c r="D607" s="140"/>
      <c r="E607" s="152"/>
      <c r="F607" s="60"/>
      <c r="G607" s="60"/>
      <c r="H607" s="60"/>
      <c r="I607" s="60"/>
      <c r="J607" s="60"/>
      <c r="K607" s="60"/>
      <c r="L607" s="60"/>
      <c r="M607" s="60"/>
      <c r="N607" s="60"/>
      <c r="O607" s="60"/>
      <c r="P607" s="60"/>
      <c r="Q607" s="60"/>
      <c r="R607" s="60"/>
      <c r="S607" s="60"/>
      <c r="T607" s="60"/>
      <c r="U607" s="60"/>
      <c r="V607" s="60"/>
      <c r="W607" s="60"/>
      <c r="X607" s="60"/>
      <c r="Y607" s="60"/>
      <c r="Z607" s="60"/>
    </row>
    <row r="608">
      <c r="A608" s="149"/>
      <c r="B608" s="150"/>
      <c r="C608" s="151"/>
      <c r="D608" s="140"/>
      <c r="E608" s="152"/>
      <c r="F608" s="60"/>
      <c r="G608" s="60"/>
      <c r="H608" s="60"/>
      <c r="I608" s="60"/>
      <c r="J608" s="60"/>
      <c r="K608" s="60"/>
      <c r="L608" s="60"/>
      <c r="M608" s="60"/>
      <c r="N608" s="60"/>
      <c r="O608" s="60"/>
      <c r="P608" s="60"/>
      <c r="Q608" s="60"/>
      <c r="R608" s="60"/>
      <c r="S608" s="60"/>
      <c r="T608" s="60"/>
      <c r="U608" s="60"/>
      <c r="V608" s="60"/>
      <c r="W608" s="60"/>
      <c r="X608" s="60"/>
      <c r="Y608" s="60"/>
      <c r="Z608" s="60"/>
    </row>
    <row r="609">
      <c r="A609" s="149"/>
      <c r="B609" s="150"/>
      <c r="C609" s="151"/>
      <c r="D609" s="140"/>
      <c r="E609" s="152"/>
      <c r="F609" s="60"/>
      <c r="G609" s="60"/>
      <c r="H609" s="60"/>
      <c r="I609" s="60"/>
      <c r="J609" s="60"/>
      <c r="K609" s="60"/>
      <c r="L609" s="60"/>
      <c r="M609" s="60"/>
      <c r="N609" s="60"/>
      <c r="O609" s="60"/>
      <c r="P609" s="60"/>
      <c r="Q609" s="60"/>
      <c r="R609" s="60"/>
      <c r="S609" s="60"/>
      <c r="T609" s="60"/>
      <c r="U609" s="60"/>
      <c r="V609" s="60"/>
      <c r="W609" s="60"/>
      <c r="X609" s="60"/>
      <c r="Y609" s="60"/>
      <c r="Z609" s="60"/>
    </row>
    <row r="610">
      <c r="A610" s="149"/>
      <c r="B610" s="150"/>
      <c r="C610" s="151"/>
      <c r="D610" s="140"/>
      <c r="E610" s="152"/>
      <c r="F610" s="60"/>
      <c r="G610" s="60"/>
      <c r="H610" s="60"/>
      <c r="I610" s="60"/>
      <c r="J610" s="60"/>
      <c r="K610" s="60"/>
      <c r="L610" s="60"/>
      <c r="M610" s="60"/>
      <c r="N610" s="60"/>
      <c r="O610" s="60"/>
      <c r="P610" s="60"/>
      <c r="Q610" s="60"/>
      <c r="R610" s="60"/>
      <c r="S610" s="60"/>
      <c r="T610" s="60"/>
      <c r="U610" s="60"/>
      <c r="V610" s="60"/>
      <c r="W610" s="60"/>
      <c r="X610" s="60"/>
      <c r="Y610" s="60"/>
      <c r="Z610" s="60"/>
    </row>
    <row r="611">
      <c r="A611" s="149"/>
      <c r="B611" s="150"/>
      <c r="C611" s="151"/>
      <c r="D611" s="140"/>
      <c r="E611" s="152"/>
      <c r="F611" s="60"/>
      <c r="G611" s="60"/>
      <c r="H611" s="60"/>
      <c r="I611" s="60"/>
      <c r="J611" s="60"/>
      <c r="K611" s="60"/>
      <c r="L611" s="60"/>
      <c r="M611" s="60"/>
      <c r="N611" s="60"/>
      <c r="O611" s="60"/>
      <c r="P611" s="60"/>
      <c r="Q611" s="60"/>
      <c r="R611" s="60"/>
      <c r="S611" s="60"/>
      <c r="T611" s="60"/>
      <c r="U611" s="60"/>
      <c r="V611" s="60"/>
      <c r="W611" s="60"/>
      <c r="X611" s="60"/>
      <c r="Y611" s="60"/>
      <c r="Z611" s="60"/>
    </row>
    <row r="612">
      <c r="A612" s="149"/>
      <c r="B612" s="150"/>
      <c r="C612" s="151"/>
      <c r="D612" s="140"/>
      <c r="E612" s="152"/>
      <c r="F612" s="60"/>
      <c r="G612" s="60"/>
      <c r="H612" s="60"/>
      <c r="I612" s="60"/>
      <c r="J612" s="60"/>
      <c r="K612" s="60"/>
      <c r="L612" s="60"/>
      <c r="M612" s="60"/>
      <c r="N612" s="60"/>
      <c r="O612" s="60"/>
      <c r="P612" s="60"/>
      <c r="Q612" s="60"/>
      <c r="R612" s="60"/>
      <c r="S612" s="60"/>
      <c r="T612" s="60"/>
      <c r="U612" s="60"/>
      <c r="V612" s="60"/>
      <c r="W612" s="60"/>
      <c r="X612" s="60"/>
      <c r="Y612" s="60"/>
      <c r="Z612" s="60"/>
    </row>
    <row r="613">
      <c r="A613" s="149"/>
      <c r="B613" s="150"/>
      <c r="C613" s="151"/>
      <c r="D613" s="140"/>
      <c r="E613" s="152"/>
      <c r="F613" s="60"/>
      <c r="G613" s="60"/>
      <c r="H613" s="60"/>
      <c r="I613" s="60"/>
      <c r="J613" s="60"/>
      <c r="K613" s="60"/>
      <c r="L613" s="60"/>
      <c r="M613" s="60"/>
      <c r="N613" s="60"/>
      <c r="O613" s="60"/>
      <c r="P613" s="60"/>
      <c r="Q613" s="60"/>
      <c r="R613" s="60"/>
      <c r="S613" s="60"/>
      <c r="T613" s="60"/>
      <c r="U613" s="60"/>
      <c r="V613" s="60"/>
      <c r="W613" s="60"/>
      <c r="X613" s="60"/>
      <c r="Y613" s="60"/>
      <c r="Z613" s="60"/>
    </row>
    <row r="614">
      <c r="A614" s="149"/>
      <c r="B614" s="150"/>
      <c r="C614" s="151"/>
      <c r="D614" s="140"/>
      <c r="E614" s="152"/>
      <c r="F614" s="60"/>
      <c r="G614" s="60"/>
      <c r="H614" s="60"/>
      <c r="I614" s="60"/>
      <c r="J614" s="60"/>
      <c r="K614" s="60"/>
      <c r="L614" s="60"/>
      <c r="M614" s="60"/>
      <c r="N614" s="60"/>
      <c r="O614" s="60"/>
      <c r="P614" s="60"/>
      <c r="Q614" s="60"/>
      <c r="R614" s="60"/>
      <c r="S614" s="60"/>
      <c r="T614" s="60"/>
      <c r="U614" s="60"/>
      <c r="V614" s="60"/>
      <c r="W614" s="60"/>
      <c r="X614" s="60"/>
      <c r="Y614" s="60"/>
      <c r="Z614" s="60"/>
    </row>
    <row r="615">
      <c r="A615" s="149"/>
      <c r="B615" s="150"/>
      <c r="C615" s="151"/>
      <c r="D615" s="140"/>
      <c r="E615" s="152"/>
      <c r="F615" s="60"/>
      <c r="G615" s="60"/>
      <c r="H615" s="60"/>
      <c r="I615" s="60"/>
      <c r="J615" s="60"/>
      <c r="K615" s="60"/>
      <c r="L615" s="60"/>
      <c r="M615" s="60"/>
      <c r="N615" s="60"/>
      <c r="O615" s="60"/>
      <c r="P615" s="60"/>
      <c r="Q615" s="60"/>
      <c r="R615" s="60"/>
      <c r="S615" s="60"/>
      <c r="T615" s="60"/>
      <c r="U615" s="60"/>
      <c r="V615" s="60"/>
      <c r="W615" s="60"/>
      <c r="X615" s="60"/>
      <c r="Y615" s="60"/>
      <c r="Z615" s="60"/>
    </row>
    <row r="616">
      <c r="A616" s="149"/>
      <c r="B616" s="150"/>
      <c r="C616" s="151"/>
      <c r="D616" s="140"/>
      <c r="E616" s="152"/>
      <c r="F616" s="60"/>
      <c r="G616" s="60"/>
      <c r="H616" s="60"/>
      <c r="I616" s="60"/>
      <c r="J616" s="60"/>
      <c r="K616" s="60"/>
      <c r="L616" s="60"/>
      <c r="M616" s="60"/>
      <c r="N616" s="60"/>
      <c r="O616" s="60"/>
      <c r="P616" s="60"/>
      <c r="Q616" s="60"/>
      <c r="R616" s="60"/>
      <c r="S616" s="60"/>
      <c r="T616" s="60"/>
      <c r="U616" s="60"/>
      <c r="V616" s="60"/>
      <c r="W616" s="60"/>
      <c r="X616" s="60"/>
      <c r="Y616" s="60"/>
      <c r="Z616" s="60"/>
    </row>
    <row r="617">
      <c r="A617" s="149"/>
      <c r="B617" s="150"/>
      <c r="C617" s="151"/>
      <c r="D617" s="140"/>
      <c r="E617" s="152"/>
      <c r="F617" s="60"/>
      <c r="G617" s="60"/>
      <c r="H617" s="60"/>
      <c r="I617" s="60"/>
      <c r="J617" s="60"/>
      <c r="K617" s="60"/>
      <c r="L617" s="60"/>
      <c r="M617" s="60"/>
      <c r="N617" s="60"/>
      <c r="O617" s="60"/>
      <c r="P617" s="60"/>
      <c r="Q617" s="60"/>
      <c r="R617" s="60"/>
      <c r="S617" s="60"/>
      <c r="T617" s="60"/>
      <c r="U617" s="60"/>
      <c r="V617" s="60"/>
      <c r="W617" s="60"/>
      <c r="X617" s="60"/>
      <c r="Y617" s="60"/>
      <c r="Z617" s="60"/>
    </row>
    <row r="618">
      <c r="A618" s="149"/>
      <c r="B618" s="150"/>
      <c r="C618" s="151"/>
      <c r="D618" s="140"/>
      <c r="E618" s="152"/>
      <c r="F618" s="60"/>
      <c r="G618" s="60"/>
      <c r="H618" s="60"/>
      <c r="I618" s="60"/>
      <c r="J618" s="60"/>
      <c r="K618" s="60"/>
      <c r="L618" s="60"/>
      <c r="M618" s="60"/>
      <c r="N618" s="60"/>
      <c r="O618" s="60"/>
      <c r="P618" s="60"/>
      <c r="Q618" s="60"/>
      <c r="R618" s="60"/>
      <c r="S618" s="60"/>
      <c r="T618" s="60"/>
      <c r="U618" s="60"/>
      <c r="V618" s="60"/>
      <c r="W618" s="60"/>
      <c r="X618" s="60"/>
      <c r="Y618" s="60"/>
      <c r="Z618" s="60"/>
    </row>
    <row r="619">
      <c r="A619" s="149"/>
      <c r="B619" s="150"/>
      <c r="C619" s="151"/>
      <c r="D619" s="140"/>
      <c r="E619" s="152"/>
      <c r="F619" s="60"/>
      <c r="G619" s="60"/>
      <c r="H619" s="60"/>
      <c r="I619" s="60"/>
      <c r="J619" s="60"/>
      <c r="K619" s="60"/>
      <c r="L619" s="60"/>
      <c r="M619" s="60"/>
      <c r="N619" s="60"/>
      <c r="O619" s="60"/>
      <c r="P619" s="60"/>
      <c r="Q619" s="60"/>
      <c r="R619" s="60"/>
      <c r="S619" s="60"/>
      <c r="T619" s="60"/>
      <c r="U619" s="60"/>
      <c r="V619" s="60"/>
      <c r="W619" s="60"/>
      <c r="X619" s="60"/>
      <c r="Y619" s="60"/>
      <c r="Z619" s="60"/>
    </row>
    <row r="620">
      <c r="A620" s="149"/>
      <c r="B620" s="150"/>
      <c r="C620" s="151"/>
      <c r="D620" s="140"/>
      <c r="E620" s="152"/>
      <c r="F620" s="60"/>
      <c r="G620" s="60"/>
      <c r="H620" s="60"/>
      <c r="I620" s="60"/>
      <c r="J620" s="60"/>
      <c r="K620" s="60"/>
      <c r="L620" s="60"/>
      <c r="M620" s="60"/>
      <c r="N620" s="60"/>
      <c r="O620" s="60"/>
      <c r="P620" s="60"/>
      <c r="Q620" s="60"/>
      <c r="R620" s="60"/>
      <c r="S620" s="60"/>
      <c r="T620" s="60"/>
      <c r="U620" s="60"/>
      <c r="V620" s="60"/>
      <c r="W620" s="60"/>
      <c r="X620" s="60"/>
      <c r="Y620" s="60"/>
      <c r="Z620" s="60"/>
    </row>
    <row r="621">
      <c r="A621" s="149"/>
      <c r="B621" s="150"/>
      <c r="C621" s="151"/>
      <c r="D621" s="140"/>
      <c r="E621" s="152"/>
      <c r="F621" s="60"/>
      <c r="G621" s="60"/>
      <c r="H621" s="60"/>
      <c r="I621" s="60"/>
      <c r="J621" s="60"/>
      <c r="K621" s="60"/>
      <c r="L621" s="60"/>
      <c r="M621" s="60"/>
      <c r="N621" s="60"/>
      <c r="O621" s="60"/>
      <c r="P621" s="60"/>
      <c r="Q621" s="60"/>
      <c r="R621" s="60"/>
      <c r="S621" s="60"/>
      <c r="T621" s="60"/>
      <c r="U621" s="60"/>
      <c r="V621" s="60"/>
      <c r="W621" s="60"/>
      <c r="X621" s="60"/>
      <c r="Y621" s="60"/>
      <c r="Z621" s="60"/>
    </row>
    <row r="622">
      <c r="A622" s="149"/>
      <c r="B622" s="150"/>
      <c r="C622" s="151"/>
      <c r="D622" s="140"/>
      <c r="E622" s="152"/>
      <c r="F622" s="60"/>
      <c r="G622" s="60"/>
      <c r="H622" s="60"/>
      <c r="I622" s="60"/>
      <c r="J622" s="60"/>
      <c r="K622" s="60"/>
      <c r="L622" s="60"/>
      <c r="M622" s="60"/>
      <c r="N622" s="60"/>
      <c r="O622" s="60"/>
      <c r="P622" s="60"/>
      <c r="Q622" s="60"/>
      <c r="R622" s="60"/>
      <c r="S622" s="60"/>
      <c r="T622" s="60"/>
      <c r="U622" s="60"/>
      <c r="V622" s="60"/>
      <c r="W622" s="60"/>
      <c r="X622" s="60"/>
      <c r="Y622" s="60"/>
      <c r="Z622" s="60"/>
    </row>
    <row r="623">
      <c r="A623" s="149"/>
      <c r="B623" s="150"/>
      <c r="C623" s="151"/>
      <c r="D623" s="140"/>
      <c r="E623" s="152"/>
      <c r="F623" s="60"/>
      <c r="G623" s="60"/>
      <c r="H623" s="60"/>
      <c r="I623" s="60"/>
      <c r="J623" s="60"/>
      <c r="K623" s="60"/>
      <c r="L623" s="60"/>
      <c r="M623" s="60"/>
      <c r="N623" s="60"/>
      <c r="O623" s="60"/>
      <c r="P623" s="60"/>
      <c r="Q623" s="60"/>
      <c r="R623" s="60"/>
      <c r="S623" s="60"/>
      <c r="T623" s="60"/>
      <c r="U623" s="60"/>
      <c r="V623" s="60"/>
      <c r="W623" s="60"/>
      <c r="X623" s="60"/>
      <c r="Y623" s="60"/>
      <c r="Z623" s="60"/>
    </row>
    <row r="624">
      <c r="A624" s="149"/>
      <c r="B624" s="150"/>
      <c r="C624" s="151"/>
      <c r="D624" s="140"/>
      <c r="E624" s="152"/>
      <c r="F624" s="60"/>
      <c r="G624" s="60"/>
      <c r="H624" s="60"/>
      <c r="I624" s="60"/>
      <c r="J624" s="60"/>
      <c r="K624" s="60"/>
      <c r="L624" s="60"/>
      <c r="M624" s="60"/>
      <c r="N624" s="60"/>
      <c r="O624" s="60"/>
      <c r="P624" s="60"/>
      <c r="Q624" s="60"/>
      <c r="R624" s="60"/>
      <c r="S624" s="60"/>
      <c r="T624" s="60"/>
      <c r="U624" s="60"/>
      <c r="V624" s="60"/>
      <c r="W624" s="60"/>
      <c r="X624" s="60"/>
      <c r="Y624" s="60"/>
      <c r="Z624" s="60"/>
    </row>
    <row r="625">
      <c r="A625" s="149"/>
      <c r="B625" s="150"/>
      <c r="C625" s="151"/>
      <c r="D625" s="140"/>
      <c r="E625" s="152"/>
      <c r="F625" s="60"/>
      <c r="G625" s="60"/>
      <c r="H625" s="60"/>
      <c r="I625" s="60"/>
      <c r="J625" s="60"/>
      <c r="K625" s="60"/>
      <c r="L625" s="60"/>
      <c r="M625" s="60"/>
      <c r="N625" s="60"/>
      <c r="O625" s="60"/>
      <c r="P625" s="60"/>
      <c r="Q625" s="60"/>
      <c r="R625" s="60"/>
      <c r="S625" s="60"/>
      <c r="T625" s="60"/>
      <c r="U625" s="60"/>
      <c r="V625" s="60"/>
      <c r="W625" s="60"/>
      <c r="X625" s="60"/>
      <c r="Y625" s="60"/>
      <c r="Z625" s="60"/>
    </row>
    <row r="626">
      <c r="A626" s="149"/>
      <c r="B626" s="150"/>
      <c r="C626" s="151"/>
      <c r="D626" s="140"/>
      <c r="E626" s="152"/>
      <c r="F626" s="60"/>
      <c r="G626" s="60"/>
      <c r="H626" s="60"/>
      <c r="I626" s="60"/>
      <c r="J626" s="60"/>
      <c r="K626" s="60"/>
      <c r="L626" s="60"/>
      <c r="M626" s="60"/>
      <c r="N626" s="60"/>
      <c r="O626" s="60"/>
      <c r="P626" s="60"/>
      <c r="Q626" s="60"/>
      <c r="R626" s="60"/>
      <c r="S626" s="60"/>
      <c r="T626" s="60"/>
      <c r="U626" s="60"/>
      <c r="V626" s="60"/>
      <c r="W626" s="60"/>
      <c r="X626" s="60"/>
      <c r="Y626" s="60"/>
      <c r="Z626" s="60"/>
    </row>
    <row r="627">
      <c r="A627" s="149"/>
      <c r="B627" s="150"/>
      <c r="C627" s="151"/>
      <c r="D627" s="140"/>
      <c r="E627" s="152"/>
      <c r="F627" s="60"/>
      <c r="G627" s="60"/>
      <c r="H627" s="60"/>
      <c r="I627" s="60"/>
      <c r="J627" s="60"/>
      <c r="K627" s="60"/>
      <c r="L627" s="60"/>
      <c r="M627" s="60"/>
      <c r="N627" s="60"/>
      <c r="O627" s="60"/>
      <c r="P627" s="60"/>
      <c r="Q627" s="60"/>
      <c r="R627" s="60"/>
      <c r="S627" s="60"/>
      <c r="T627" s="60"/>
      <c r="U627" s="60"/>
      <c r="V627" s="60"/>
      <c r="W627" s="60"/>
      <c r="X627" s="60"/>
      <c r="Y627" s="60"/>
      <c r="Z627" s="60"/>
    </row>
    <row r="628">
      <c r="A628" s="149"/>
      <c r="B628" s="150"/>
      <c r="C628" s="151"/>
      <c r="D628" s="140"/>
      <c r="E628" s="152"/>
      <c r="F628" s="60"/>
      <c r="G628" s="60"/>
      <c r="H628" s="60"/>
      <c r="I628" s="60"/>
      <c r="J628" s="60"/>
      <c r="K628" s="60"/>
      <c r="L628" s="60"/>
      <c r="M628" s="60"/>
      <c r="N628" s="60"/>
      <c r="O628" s="60"/>
      <c r="P628" s="60"/>
      <c r="Q628" s="60"/>
      <c r="R628" s="60"/>
      <c r="S628" s="60"/>
      <c r="T628" s="60"/>
      <c r="U628" s="60"/>
      <c r="V628" s="60"/>
      <c r="W628" s="60"/>
      <c r="X628" s="60"/>
      <c r="Y628" s="60"/>
      <c r="Z628" s="60"/>
    </row>
    <row r="629">
      <c r="A629" s="149"/>
      <c r="B629" s="150"/>
      <c r="C629" s="151"/>
      <c r="D629" s="140"/>
      <c r="E629" s="152"/>
      <c r="F629" s="60"/>
      <c r="G629" s="60"/>
      <c r="H629" s="60"/>
      <c r="I629" s="60"/>
      <c r="J629" s="60"/>
      <c r="K629" s="60"/>
      <c r="L629" s="60"/>
      <c r="M629" s="60"/>
      <c r="N629" s="60"/>
      <c r="O629" s="60"/>
      <c r="P629" s="60"/>
      <c r="Q629" s="60"/>
      <c r="R629" s="60"/>
      <c r="S629" s="60"/>
      <c r="T629" s="60"/>
      <c r="U629" s="60"/>
      <c r="V629" s="60"/>
      <c r="W629" s="60"/>
      <c r="X629" s="60"/>
      <c r="Y629" s="60"/>
      <c r="Z629" s="60"/>
    </row>
    <row r="630">
      <c r="A630" s="149"/>
      <c r="B630" s="150"/>
      <c r="C630" s="151"/>
      <c r="D630" s="140"/>
      <c r="E630" s="152"/>
      <c r="F630" s="60"/>
      <c r="G630" s="60"/>
      <c r="H630" s="60"/>
      <c r="I630" s="60"/>
      <c r="J630" s="60"/>
      <c r="K630" s="60"/>
      <c r="L630" s="60"/>
      <c r="M630" s="60"/>
      <c r="N630" s="60"/>
      <c r="O630" s="60"/>
      <c r="P630" s="60"/>
      <c r="Q630" s="60"/>
      <c r="R630" s="60"/>
      <c r="S630" s="60"/>
      <c r="T630" s="60"/>
      <c r="U630" s="60"/>
      <c r="V630" s="60"/>
      <c r="W630" s="60"/>
      <c r="X630" s="60"/>
      <c r="Y630" s="60"/>
      <c r="Z630" s="60"/>
    </row>
    <row r="631">
      <c r="A631" s="149"/>
      <c r="B631" s="150"/>
      <c r="C631" s="151"/>
      <c r="D631" s="140"/>
      <c r="E631" s="152"/>
      <c r="F631" s="60"/>
      <c r="G631" s="60"/>
      <c r="H631" s="60"/>
      <c r="I631" s="60"/>
      <c r="J631" s="60"/>
      <c r="K631" s="60"/>
      <c r="L631" s="60"/>
      <c r="M631" s="60"/>
      <c r="N631" s="60"/>
      <c r="O631" s="60"/>
      <c r="P631" s="60"/>
      <c r="Q631" s="60"/>
      <c r="R631" s="60"/>
      <c r="S631" s="60"/>
      <c r="T631" s="60"/>
      <c r="U631" s="60"/>
      <c r="V631" s="60"/>
      <c r="W631" s="60"/>
      <c r="X631" s="60"/>
      <c r="Y631" s="60"/>
      <c r="Z631" s="60"/>
    </row>
    <row r="632">
      <c r="A632" s="149"/>
      <c r="B632" s="150"/>
      <c r="C632" s="151"/>
      <c r="D632" s="140"/>
      <c r="E632" s="152"/>
      <c r="F632" s="60"/>
      <c r="G632" s="60"/>
      <c r="H632" s="60"/>
      <c r="I632" s="60"/>
      <c r="J632" s="60"/>
      <c r="K632" s="60"/>
      <c r="L632" s="60"/>
      <c r="M632" s="60"/>
      <c r="N632" s="60"/>
      <c r="O632" s="60"/>
      <c r="P632" s="60"/>
      <c r="Q632" s="60"/>
      <c r="R632" s="60"/>
      <c r="S632" s="60"/>
      <c r="T632" s="60"/>
      <c r="U632" s="60"/>
      <c r="V632" s="60"/>
      <c r="W632" s="60"/>
      <c r="X632" s="60"/>
      <c r="Y632" s="60"/>
      <c r="Z632" s="60"/>
    </row>
    <row r="633">
      <c r="A633" s="149"/>
      <c r="B633" s="150"/>
      <c r="C633" s="151"/>
      <c r="D633" s="140"/>
      <c r="E633" s="152"/>
      <c r="F633" s="60"/>
      <c r="G633" s="60"/>
      <c r="H633" s="60"/>
      <c r="I633" s="60"/>
      <c r="J633" s="60"/>
      <c r="K633" s="60"/>
      <c r="L633" s="60"/>
      <c r="M633" s="60"/>
      <c r="N633" s="60"/>
      <c r="O633" s="60"/>
      <c r="P633" s="60"/>
      <c r="Q633" s="60"/>
      <c r="R633" s="60"/>
      <c r="S633" s="60"/>
      <c r="T633" s="60"/>
      <c r="U633" s="60"/>
      <c r="V633" s="60"/>
      <c r="W633" s="60"/>
      <c r="X633" s="60"/>
      <c r="Y633" s="60"/>
      <c r="Z633" s="60"/>
    </row>
    <row r="634">
      <c r="A634" s="149"/>
      <c r="B634" s="150"/>
      <c r="C634" s="151"/>
      <c r="D634" s="140"/>
      <c r="E634" s="152"/>
      <c r="F634" s="60"/>
      <c r="G634" s="60"/>
      <c r="H634" s="60"/>
      <c r="I634" s="60"/>
      <c r="J634" s="60"/>
      <c r="K634" s="60"/>
      <c r="L634" s="60"/>
      <c r="M634" s="60"/>
      <c r="N634" s="60"/>
      <c r="O634" s="60"/>
      <c r="P634" s="60"/>
      <c r="Q634" s="60"/>
      <c r="R634" s="60"/>
      <c r="S634" s="60"/>
      <c r="T634" s="60"/>
      <c r="U634" s="60"/>
      <c r="V634" s="60"/>
      <c r="W634" s="60"/>
      <c r="X634" s="60"/>
      <c r="Y634" s="60"/>
      <c r="Z634" s="60"/>
    </row>
    <row r="635">
      <c r="A635" s="149"/>
      <c r="B635" s="150"/>
      <c r="C635" s="151"/>
      <c r="D635" s="140"/>
      <c r="E635" s="152"/>
      <c r="F635" s="60"/>
      <c r="G635" s="60"/>
      <c r="H635" s="60"/>
      <c r="I635" s="60"/>
      <c r="J635" s="60"/>
      <c r="K635" s="60"/>
      <c r="L635" s="60"/>
      <c r="M635" s="60"/>
      <c r="N635" s="60"/>
      <c r="O635" s="60"/>
      <c r="P635" s="60"/>
      <c r="Q635" s="60"/>
      <c r="R635" s="60"/>
      <c r="S635" s="60"/>
      <c r="T635" s="60"/>
      <c r="U635" s="60"/>
      <c r="V635" s="60"/>
      <c r="W635" s="60"/>
      <c r="X635" s="60"/>
      <c r="Y635" s="60"/>
      <c r="Z635" s="60"/>
    </row>
    <row r="636">
      <c r="A636" s="149"/>
      <c r="B636" s="150"/>
      <c r="C636" s="151"/>
      <c r="D636" s="140"/>
      <c r="E636" s="152"/>
      <c r="F636" s="60"/>
      <c r="G636" s="60"/>
      <c r="H636" s="60"/>
      <c r="I636" s="60"/>
      <c r="J636" s="60"/>
      <c r="K636" s="60"/>
      <c r="L636" s="60"/>
      <c r="M636" s="60"/>
      <c r="N636" s="60"/>
      <c r="O636" s="60"/>
      <c r="P636" s="60"/>
      <c r="Q636" s="60"/>
      <c r="R636" s="60"/>
      <c r="S636" s="60"/>
      <c r="T636" s="60"/>
      <c r="U636" s="60"/>
      <c r="V636" s="60"/>
      <c r="W636" s="60"/>
      <c r="X636" s="60"/>
      <c r="Y636" s="60"/>
      <c r="Z636" s="60"/>
    </row>
    <row r="637">
      <c r="A637" s="149"/>
      <c r="B637" s="150"/>
      <c r="C637" s="151"/>
      <c r="D637" s="140"/>
      <c r="E637" s="152"/>
      <c r="F637" s="60"/>
      <c r="G637" s="60"/>
      <c r="H637" s="60"/>
      <c r="I637" s="60"/>
      <c r="J637" s="60"/>
      <c r="K637" s="60"/>
      <c r="L637" s="60"/>
      <c r="M637" s="60"/>
      <c r="N637" s="60"/>
      <c r="O637" s="60"/>
      <c r="P637" s="60"/>
      <c r="Q637" s="60"/>
      <c r="R637" s="60"/>
      <c r="S637" s="60"/>
      <c r="T637" s="60"/>
      <c r="U637" s="60"/>
      <c r="V637" s="60"/>
      <c r="W637" s="60"/>
      <c r="X637" s="60"/>
      <c r="Y637" s="60"/>
      <c r="Z637" s="60"/>
    </row>
    <row r="638">
      <c r="A638" s="149"/>
      <c r="B638" s="150"/>
      <c r="C638" s="151"/>
      <c r="D638" s="140"/>
      <c r="E638" s="152"/>
      <c r="F638" s="60"/>
      <c r="G638" s="60"/>
      <c r="H638" s="60"/>
      <c r="I638" s="60"/>
      <c r="J638" s="60"/>
      <c r="K638" s="60"/>
      <c r="L638" s="60"/>
      <c r="M638" s="60"/>
      <c r="N638" s="60"/>
      <c r="O638" s="60"/>
      <c r="P638" s="60"/>
      <c r="Q638" s="60"/>
      <c r="R638" s="60"/>
      <c r="S638" s="60"/>
      <c r="T638" s="60"/>
      <c r="U638" s="60"/>
      <c r="V638" s="60"/>
      <c r="W638" s="60"/>
      <c r="X638" s="60"/>
      <c r="Y638" s="60"/>
      <c r="Z638" s="60"/>
    </row>
    <row r="639">
      <c r="A639" s="149"/>
      <c r="B639" s="150"/>
      <c r="C639" s="151"/>
      <c r="D639" s="140"/>
      <c r="E639" s="152"/>
      <c r="F639" s="60"/>
      <c r="G639" s="60"/>
      <c r="H639" s="60"/>
      <c r="I639" s="60"/>
      <c r="J639" s="60"/>
      <c r="K639" s="60"/>
      <c r="L639" s="60"/>
      <c r="M639" s="60"/>
      <c r="N639" s="60"/>
      <c r="O639" s="60"/>
      <c r="P639" s="60"/>
      <c r="Q639" s="60"/>
      <c r="R639" s="60"/>
      <c r="S639" s="60"/>
      <c r="T639" s="60"/>
      <c r="U639" s="60"/>
      <c r="V639" s="60"/>
      <c r="W639" s="60"/>
      <c r="X639" s="60"/>
      <c r="Y639" s="60"/>
      <c r="Z639" s="60"/>
    </row>
    <row r="640">
      <c r="A640" s="149"/>
      <c r="B640" s="150"/>
      <c r="C640" s="151"/>
      <c r="D640" s="140"/>
      <c r="E640" s="152"/>
      <c r="F640" s="60"/>
      <c r="G640" s="60"/>
      <c r="H640" s="60"/>
      <c r="I640" s="60"/>
      <c r="J640" s="60"/>
      <c r="K640" s="60"/>
      <c r="L640" s="60"/>
      <c r="M640" s="60"/>
      <c r="N640" s="60"/>
      <c r="O640" s="60"/>
      <c r="P640" s="60"/>
      <c r="Q640" s="60"/>
      <c r="R640" s="60"/>
      <c r="S640" s="60"/>
      <c r="T640" s="60"/>
      <c r="U640" s="60"/>
      <c r="V640" s="60"/>
      <c r="W640" s="60"/>
      <c r="X640" s="60"/>
      <c r="Y640" s="60"/>
      <c r="Z640" s="60"/>
    </row>
    <row r="641">
      <c r="A641" s="149"/>
      <c r="B641" s="150"/>
      <c r="C641" s="151"/>
      <c r="D641" s="140"/>
      <c r="E641" s="152"/>
      <c r="F641" s="60"/>
      <c r="G641" s="60"/>
      <c r="H641" s="60"/>
      <c r="I641" s="60"/>
      <c r="J641" s="60"/>
      <c r="K641" s="60"/>
      <c r="L641" s="60"/>
      <c r="M641" s="60"/>
      <c r="N641" s="60"/>
      <c r="O641" s="60"/>
      <c r="P641" s="60"/>
      <c r="Q641" s="60"/>
      <c r="R641" s="60"/>
      <c r="S641" s="60"/>
      <c r="T641" s="60"/>
      <c r="U641" s="60"/>
      <c r="V641" s="60"/>
      <c r="W641" s="60"/>
      <c r="X641" s="60"/>
      <c r="Y641" s="60"/>
      <c r="Z641" s="60"/>
    </row>
    <row r="642">
      <c r="A642" s="149"/>
      <c r="B642" s="150"/>
      <c r="C642" s="151"/>
      <c r="D642" s="140"/>
      <c r="E642" s="152"/>
      <c r="F642" s="60"/>
      <c r="G642" s="60"/>
      <c r="H642" s="60"/>
      <c r="I642" s="60"/>
      <c r="J642" s="60"/>
      <c r="K642" s="60"/>
      <c r="L642" s="60"/>
      <c r="M642" s="60"/>
      <c r="N642" s="60"/>
      <c r="O642" s="60"/>
      <c r="P642" s="60"/>
      <c r="Q642" s="60"/>
      <c r="R642" s="60"/>
      <c r="S642" s="60"/>
      <c r="T642" s="60"/>
      <c r="U642" s="60"/>
      <c r="V642" s="60"/>
      <c r="W642" s="60"/>
      <c r="X642" s="60"/>
      <c r="Y642" s="60"/>
      <c r="Z642" s="60"/>
    </row>
    <row r="643">
      <c r="A643" s="149"/>
      <c r="B643" s="150"/>
      <c r="C643" s="151"/>
      <c r="D643" s="140"/>
      <c r="E643" s="152"/>
      <c r="F643" s="60"/>
      <c r="G643" s="60"/>
      <c r="H643" s="60"/>
      <c r="I643" s="60"/>
      <c r="J643" s="60"/>
      <c r="K643" s="60"/>
      <c r="L643" s="60"/>
      <c r="M643" s="60"/>
      <c r="N643" s="60"/>
      <c r="O643" s="60"/>
      <c r="P643" s="60"/>
      <c r="Q643" s="60"/>
      <c r="R643" s="60"/>
      <c r="S643" s="60"/>
      <c r="T643" s="60"/>
      <c r="U643" s="60"/>
      <c r="V643" s="60"/>
      <c r="W643" s="60"/>
      <c r="X643" s="60"/>
      <c r="Y643" s="60"/>
      <c r="Z643" s="60"/>
    </row>
    <row r="644">
      <c r="A644" s="149"/>
      <c r="B644" s="150"/>
      <c r="C644" s="151"/>
      <c r="D644" s="140"/>
      <c r="E644" s="152"/>
      <c r="F644" s="60"/>
      <c r="G644" s="60"/>
      <c r="H644" s="60"/>
      <c r="I644" s="60"/>
      <c r="J644" s="60"/>
      <c r="K644" s="60"/>
      <c r="L644" s="60"/>
      <c r="M644" s="60"/>
      <c r="N644" s="60"/>
      <c r="O644" s="60"/>
      <c r="P644" s="60"/>
      <c r="Q644" s="60"/>
      <c r="R644" s="60"/>
      <c r="S644" s="60"/>
      <c r="T644" s="60"/>
      <c r="U644" s="60"/>
      <c r="V644" s="60"/>
      <c r="W644" s="60"/>
      <c r="X644" s="60"/>
      <c r="Y644" s="60"/>
      <c r="Z644" s="60"/>
    </row>
    <row r="645">
      <c r="A645" s="149"/>
      <c r="B645" s="150"/>
      <c r="C645" s="151"/>
      <c r="D645" s="140"/>
      <c r="E645" s="152"/>
      <c r="F645" s="60"/>
      <c r="G645" s="60"/>
      <c r="H645" s="60"/>
      <c r="I645" s="60"/>
      <c r="J645" s="60"/>
      <c r="K645" s="60"/>
      <c r="L645" s="60"/>
      <c r="M645" s="60"/>
      <c r="N645" s="60"/>
      <c r="O645" s="60"/>
      <c r="P645" s="60"/>
      <c r="Q645" s="60"/>
      <c r="R645" s="60"/>
      <c r="S645" s="60"/>
      <c r="T645" s="60"/>
      <c r="U645" s="60"/>
      <c r="V645" s="60"/>
      <c r="W645" s="60"/>
      <c r="X645" s="60"/>
      <c r="Y645" s="60"/>
      <c r="Z645" s="60"/>
    </row>
    <row r="646">
      <c r="A646" s="149"/>
      <c r="B646" s="150"/>
      <c r="C646" s="151"/>
      <c r="D646" s="140"/>
      <c r="E646" s="152"/>
      <c r="F646" s="60"/>
      <c r="G646" s="60"/>
      <c r="H646" s="60"/>
      <c r="I646" s="60"/>
      <c r="J646" s="60"/>
      <c r="K646" s="60"/>
      <c r="L646" s="60"/>
      <c r="M646" s="60"/>
      <c r="N646" s="60"/>
      <c r="O646" s="60"/>
      <c r="P646" s="60"/>
      <c r="Q646" s="60"/>
      <c r="R646" s="60"/>
      <c r="S646" s="60"/>
      <c r="T646" s="60"/>
      <c r="U646" s="60"/>
      <c r="V646" s="60"/>
      <c r="W646" s="60"/>
      <c r="X646" s="60"/>
      <c r="Y646" s="60"/>
      <c r="Z646" s="60"/>
    </row>
    <row r="647">
      <c r="A647" s="149"/>
      <c r="B647" s="150"/>
      <c r="C647" s="151"/>
      <c r="D647" s="140"/>
      <c r="E647" s="152"/>
      <c r="F647" s="60"/>
      <c r="G647" s="60"/>
      <c r="H647" s="60"/>
      <c r="I647" s="60"/>
      <c r="J647" s="60"/>
      <c r="K647" s="60"/>
      <c r="L647" s="60"/>
      <c r="M647" s="60"/>
      <c r="N647" s="60"/>
      <c r="O647" s="60"/>
      <c r="P647" s="60"/>
      <c r="Q647" s="60"/>
      <c r="R647" s="60"/>
      <c r="S647" s="60"/>
      <c r="T647" s="60"/>
      <c r="U647" s="60"/>
      <c r="V647" s="60"/>
      <c r="W647" s="60"/>
      <c r="X647" s="60"/>
      <c r="Y647" s="60"/>
      <c r="Z647" s="60"/>
    </row>
    <row r="648">
      <c r="A648" s="149"/>
      <c r="B648" s="150"/>
      <c r="C648" s="151"/>
      <c r="D648" s="140"/>
      <c r="E648" s="152"/>
      <c r="F648" s="60"/>
      <c r="G648" s="60"/>
      <c r="H648" s="60"/>
      <c r="I648" s="60"/>
      <c r="J648" s="60"/>
      <c r="K648" s="60"/>
      <c r="L648" s="60"/>
      <c r="M648" s="60"/>
      <c r="N648" s="60"/>
      <c r="O648" s="60"/>
      <c r="P648" s="60"/>
      <c r="Q648" s="60"/>
      <c r="R648" s="60"/>
      <c r="S648" s="60"/>
      <c r="T648" s="60"/>
      <c r="U648" s="60"/>
      <c r="V648" s="60"/>
      <c r="W648" s="60"/>
      <c r="X648" s="60"/>
      <c r="Y648" s="60"/>
      <c r="Z648" s="60"/>
    </row>
    <row r="649">
      <c r="A649" s="149"/>
      <c r="B649" s="150"/>
      <c r="C649" s="151"/>
      <c r="D649" s="140"/>
      <c r="E649" s="152"/>
      <c r="F649" s="60"/>
      <c r="G649" s="60"/>
      <c r="H649" s="60"/>
      <c r="I649" s="60"/>
      <c r="J649" s="60"/>
      <c r="K649" s="60"/>
      <c r="L649" s="60"/>
      <c r="M649" s="60"/>
      <c r="N649" s="60"/>
      <c r="O649" s="60"/>
      <c r="P649" s="60"/>
      <c r="Q649" s="60"/>
      <c r="R649" s="60"/>
      <c r="S649" s="60"/>
      <c r="T649" s="60"/>
      <c r="U649" s="60"/>
      <c r="V649" s="60"/>
      <c r="W649" s="60"/>
      <c r="X649" s="60"/>
      <c r="Y649" s="60"/>
      <c r="Z649" s="60"/>
    </row>
    <row r="650">
      <c r="A650" s="149"/>
      <c r="B650" s="150"/>
      <c r="C650" s="151"/>
      <c r="D650" s="140"/>
      <c r="E650" s="152"/>
      <c r="F650" s="60"/>
      <c r="G650" s="60"/>
      <c r="H650" s="60"/>
      <c r="I650" s="60"/>
      <c r="J650" s="60"/>
      <c r="K650" s="60"/>
      <c r="L650" s="60"/>
      <c r="M650" s="60"/>
      <c r="N650" s="60"/>
      <c r="O650" s="60"/>
      <c r="P650" s="60"/>
      <c r="Q650" s="60"/>
      <c r="R650" s="60"/>
      <c r="S650" s="60"/>
      <c r="T650" s="60"/>
      <c r="U650" s="60"/>
      <c r="V650" s="60"/>
      <c r="W650" s="60"/>
      <c r="X650" s="60"/>
      <c r="Y650" s="60"/>
      <c r="Z650" s="60"/>
    </row>
    <row r="651">
      <c r="A651" s="149"/>
      <c r="B651" s="150"/>
      <c r="C651" s="151"/>
      <c r="D651" s="140"/>
      <c r="E651" s="152"/>
      <c r="F651" s="60"/>
      <c r="G651" s="60"/>
      <c r="H651" s="60"/>
      <c r="I651" s="60"/>
      <c r="J651" s="60"/>
      <c r="K651" s="60"/>
      <c r="L651" s="60"/>
      <c r="M651" s="60"/>
      <c r="N651" s="60"/>
      <c r="O651" s="60"/>
      <c r="P651" s="60"/>
      <c r="Q651" s="60"/>
      <c r="R651" s="60"/>
      <c r="S651" s="60"/>
      <c r="T651" s="60"/>
      <c r="U651" s="60"/>
      <c r="V651" s="60"/>
      <c r="W651" s="60"/>
      <c r="X651" s="60"/>
      <c r="Y651" s="60"/>
      <c r="Z651" s="60"/>
    </row>
    <row r="652">
      <c r="A652" s="149"/>
      <c r="B652" s="150"/>
      <c r="C652" s="151"/>
      <c r="D652" s="140"/>
      <c r="E652" s="152"/>
      <c r="F652" s="60"/>
      <c r="G652" s="60"/>
      <c r="H652" s="60"/>
      <c r="I652" s="60"/>
      <c r="J652" s="60"/>
      <c r="K652" s="60"/>
      <c r="L652" s="60"/>
      <c r="M652" s="60"/>
      <c r="N652" s="60"/>
      <c r="O652" s="60"/>
      <c r="P652" s="60"/>
      <c r="Q652" s="60"/>
      <c r="R652" s="60"/>
      <c r="S652" s="60"/>
      <c r="T652" s="60"/>
      <c r="U652" s="60"/>
      <c r="V652" s="60"/>
      <c r="W652" s="60"/>
      <c r="X652" s="60"/>
      <c r="Y652" s="60"/>
      <c r="Z652" s="60"/>
    </row>
    <row r="653">
      <c r="A653" s="149"/>
      <c r="B653" s="150"/>
      <c r="C653" s="151"/>
      <c r="D653" s="140"/>
      <c r="E653" s="152"/>
      <c r="F653" s="60"/>
      <c r="G653" s="60"/>
      <c r="H653" s="60"/>
      <c r="I653" s="60"/>
      <c r="J653" s="60"/>
      <c r="K653" s="60"/>
      <c r="L653" s="60"/>
      <c r="M653" s="60"/>
      <c r="N653" s="60"/>
      <c r="O653" s="60"/>
      <c r="P653" s="60"/>
      <c r="Q653" s="60"/>
      <c r="R653" s="60"/>
      <c r="S653" s="60"/>
      <c r="T653" s="60"/>
      <c r="U653" s="60"/>
      <c r="V653" s="60"/>
      <c r="W653" s="60"/>
      <c r="X653" s="60"/>
      <c r="Y653" s="60"/>
      <c r="Z653" s="60"/>
    </row>
    <row r="654">
      <c r="A654" s="149"/>
      <c r="B654" s="150"/>
      <c r="C654" s="151"/>
      <c r="D654" s="140"/>
      <c r="E654" s="152"/>
      <c r="F654" s="60"/>
      <c r="G654" s="60"/>
      <c r="H654" s="60"/>
      <c r="I654" s="60"/>
      <c r="J654" s="60"/>
      <c r="K654" s="60"/>
      <c r="L654" s="60"/>
      <c r="M654" s="60"/>
      <c r="N654" s="60"/>
      <c r="O654" s="60"/>
      <c r="P654" s="60"/>
      <c r="Q654" s="60"/>
      <c r="R654" s="60"/>
      <c r="S654" s="60"/>
      <c r="T654" s="60"/>
      <c r="U654" s="60"/>
      <c r="V654" s="60"/>
      <c r="W654" s="60"/>
      <c r="X654" s="60"/>
      <c r="Y654" s="60"/>
      <c r="Z654" s="60"/>
    </row>
    <row r="655">
      <c r="A655" s="149"/>
      <c r="B655" s="150"/>
      <c r="C655" s="151"/>
      <c r="D655" s="140"/>
      <c r="E655" s="152"/>
      <c r="F655" s="60"/>
      <c r="G655" s="60"/>
      <c r="H655" s="60"/>
      <c r="I655" s="60"/>
      <c r="J655" s="60"/>
      <c r="K655" s="60"/>
      <c r="L655" s="60"/>
      <c r="M655" s="60"/>
      <c r="N655" s="60"/>
      <c r="O655" s="60"/>
      <c r="P655" s="60"/>
      <c r="Q655" s="60"/>
      <c r="R655" s="60"/>
      <c r="S655" s="60"/>
      <c r="T655" s="60"/>
      <c r="U655" s="60"/>
      <c r="V655" s="60"/>
      <c r="W655" s="60"/>
      <c r="X655" s="60"/>
      <c r="Y655" s="60"/>
      <c r="Z655" s="60"/>
    </row>
    <row r="656">
      <c r="A656" s="149"/>
      <c r="B656" s="150"/>
      <c r="C656" s="151"/>
      <c r="D656" s="140"/>
      <c r="E656" s="152"/>
      <c r="F656" s="60"/>
      <c r="G656" s="60"/>
      <c r="H656" s="60"/>
      <c r="I656" s="60"/>
      <c r="J656" s="60"/>
      <c r="K656" s="60"/>
      <c r="L656" s="60"/>
      <c r="M656" s="60"/>
      <c r="N656" s="60"/>
      <c r="O656" s="60"/>
      <c r="P656" s="60"/>
      <c r="Q656" s="60"/>
      <c r="R656" s="60"/>
      <c r="S656" s="60"/>
      <c r="T656" s="60"/>
      <c r="U656" s="60"/>
      <c r="V656" s="60"/>
      <c r="W656" s="60"/>
      <c r="X656" s="60"/>
      <c r="Y656" s="60"/>
      <c r="Z656" s="60"/>
    </row>
    <row r="657">
      <c r="A657" s="149"/>
      <c r="B657" s="150"/>
      <c r="C657" s="151"/>
      <c r="D657" s="140"/>
      <c r="E657" s="152"/>
      <c r="F657" s="60"/>
      <c r="G657" s="60"/>
      <c r="H657" s="60"/>
      <c r="I657" s="60"/>
      <c r="J657" s="60"/>
      <c r="K657" s="60"/>
      <c r="L657" s="60"/>
      <c r="M657" s="60"/>
      <c r="N657" s="60"/>
      <c r="O657" s="60"/>
      <c r="P657" s="60"/>
      <c r="Q657" s="60"/>
      <c r="R657" s="60"/>
      <c r="S657" s="60"/>
      <c r="T657" s="60"/>
      <c r="U657" s="60"/>
      <c r="V657" s="60"/>
      <c r="W657" s="60"/>
      <c r="X657" s="60"/>
      <c r="Y657" s="60"/>
      <c r="Z657" s="60"/>
    </row>
    <row r="658">
      <c r="A658" s="149"/>
      <c r="B658" s="150"/>
      <c r="C658" s="151"/>
      <c r="D658" s="140"/>
      <c r="E658" s="152"/>
      <c r="F658" s="60"/>
      <c r="G658" s="60"/>
      <c r="H658" s="60"/>
      <c r="I658" s="60"/>
      <c r="J658" s="60"/>
      <c r="K658" s="60"/>
      <c r="L658" s="60"/>
      <c r="M658" s="60"/>
      <c r="N658" s="60"/>
      <c r="O658" s="60"/>
      <c r="P658" s="60"/>
      <c r="Q658" s="60"/>
      <c r="R658" s="60"/>
      <c r="S658" s="60"/>
      <c r="T658" s="60"/>
      <c r="U658" s="60"/>
      <c r="V658" s="60"/>
      <c r="W658" s="60"/>
      <c r="X658" s="60"/>
      <c r="Y658" s="60"/>
      <c r="Z658" s="60"/>
    </row>
    <row r="659">
      <c r="A659" s="149"/>
      <c r="B659" s="150"/>
      <c r="C659" s="151"/>
      <c r="D659" s="140"/>
      <c r="E659" s="152"/>
      <c r="F659" s="60"/>
      <c r="G659" s="60"/>
      <c r="H659" s="60"/>
      <c r="I659" s="60"/>
      <c r="J659" s="60"/>
      <c r="K659" s="60"/>
      <c r="L659" s="60"/>
      <c r="M659" s="60"/>
      <c r="N659" s="60"/>
      <c r="O659" s="60"/>
      <c r="P659" s="60"/>
      <c r="Q659" s="60"/>
      <c r="R659" s="60"/>
      <c r="S659" s="60"/>
      <c r="T659" s="60"/>
      <c r="U659" s="60"/>
      <c r="V659" s="60"/>
      <c r="W659" s="60"/>
      <c r="X659" s="60"/>
      <c r="Y659" s="60"/>
      <c r="Z659" s="60"/>
    </row>
    <row r="660">
      <c r="A660" s="149"/>
      <c r="B660" s="150"/>
      <c r="C660" s="151"/>
      <c r="D660" s="140"/>
      <c r="E660" s="152"/>
      <c r="F660" s="60"/>
      <c r="G660" s="60"/>
      <c r="H660" s="60"/>
      <c r="I660" s="60"/>
      <c r="J660" s="60"/>
      <c r="K660" s="60"/>
      <c r="L660" s="60"/>
      <c r="M660" s="60"/>
      <c r="N660" s="60"/>
      <c r="O660" s="60"/>
      <c r="P660" s="60"/>
      <c r="Q660" s="60"/>
      <c r="R660" s="60"/>
      <c r="S660" s="60"/>
      <c r="T660" s="60"/>
      <c r="U660" s="60"/>
      <c r="V660" s="60"/>
      <c r="W660" s="60"/>
      <c r="X660" s="60"/>
      <c r="Y660" s="60"/>
      <c r="Z660" s="60"/>
    </row>
    <row r="661">
      <c r="A661" s="149"/>
      <c r="B661" s="150"/>
      <c r="C661" s="151"/>
      <c r="D661" s="140"/>
      <c r="E661" s="152"/>
      <c r="F661" s="60"/>
      <c r="G661" s="60"/>
      <c r="H661" s="60"/>
      <c r="I661" s="60"/>
      <c r="J661" s="60"/>
      <c r="K661" s="60"/>
      <c r="L661" s="60"/>
      <c r="M661" s="60"/>
      <c r="N661" s="60"/>
      <c r="O661" s="60"/>
      <c r="P661" s="60"/>
      <c r="Q661" s="60"/>
      <c r="R661" s="60"/>
      <c r="S661" s="60"/>
      <c r="T661" s="60"/>
      <c r="U661" s="60"/>
      <c r="V661" s="60"/>
      <c r="W661" s="60"/>
      <c r="X661" s="60"/>
      <c r="Y661" s="60"/>
      <c r="Z661" s="60"/>
    </row>
    <row r="662">
      <c r="A662" s="149"/>
      <c r="B662" s="150"/>
      <c r="C662" s="151"/>
      <c r="D662" s="140"/>
      <c r="E662" s="152"/>
      <c r="F662" s="60"/>
      <c r="G662" s="60"/>
      <c r="H662" s="60"/>
      <c r="I662" s="60"/>
      <c r="J662" s="60"/>
      <c r="K662" s="60"/>
      <c r="L662" s="60"/>
      <c r="M662" s="60"/>
      <c r="N662" s="60"/>
      <c r="O662" s="60"/>
      <c r="P662" s="60"/>
      <c r="Q662" s="60"/>
      <c r="R662" s="60"/>
      <c r="S662" s="60"/>
      <c r="T662" s="60"/>
      <c r="U662" s="60"/>
      <c r="V662" s="60"/>
      <c r="W662" s="60"/>
      <c r="X662" s="60"/>
      <c r="Y662" s="60"/>
      <c r="Z662" s="60"/>
    </row>
    <row r="663">
      <c r="A663" s="149"/>
      <c r="B663" s="150"/>
      <c r="C663" s="151"/>
      <c r="D663" s="140"/>
      <c r="E663" s="152"/>
      <c r="F663" s="60"/>
      <c r="G663" s="60"/>
      <c r="H663" s="60"/>
      <c r="I663" s="60"/>
      <c r="J663" s="60"/>
      <c r="K663" s="60"/>
      <c r="L663" s="60"/>
      <c r="M663" s="60"/>
      <c r="N663" s="60"/>
      <c r="O663" s="60"/>
      <c r="P663" s="60"/>
      <c r="Q663" s="60"/>
      <c r="R663" s="60"/>
      <c r="S663" s="60"/>
      <c r="T663" s="60"/>
      <c r="U663" s="60"/>
      <c r="V663" s="60"/>
      <c r="W663" s="60"/>
      <c r="X663" s="60"/>
      <c r="Y663" s="60"/>
      <c r="Z663" s="60"/>
    </row>
    <row r="664">
      <c r="A664" s="149"/>
      <c r="B664" s="150"/>
      <c r="C664" s="151"/>
      <c r="D664" s="140"/>
      <c r="E664" s="152"/>
      <c r="F664" s="60"/>
      <c r="G664" s="60"/>
      <c r="H664" s="60"/>
      <c r="I664" s="60"/>
      <c r="J664" s="60"/>
      <c r="K664" s="60"/>
      <c r="L664" s="60"/>
      <c r="M664" s="60"/>
      <c r="N664" s="60"/>
      <c r="O664" s="60"/>
      <c r="P664" s="60"/>
      <c r="Q664" s="60"/>
      <c r="R664" s="60"/>
      <c r="S664" s="60"/>
      <c r="T664" s="60"/>
      <c r="U664" s="60"/>
      <c r="V664" s="60"/>
      <c r="W664" s="60"/>
      <c r="X664" s="60"/>
      <c r="Y664" s="60"/>
      <c r="Z664" s="60"/>
    </row>
    <row r="665">
      <c r="A665" s="149"/>
      <c r="B665" s="150"/>
      <c r="C665" s="151"/>
      <c r="D665" s="140"/>
      <c r="E665" s="152"/>
      <c r="F665" s="60"/>
      <c r="G665" s="60"/>
      <c r="H665" s="60"/>
      <c r="I665" s="60"/>
      <c r="J665" s="60"/>
      <c r="K665" s="60"/>
      <c r="L665" s="60"/>
      <c r="M665" s="60"/>
      <c r="N665" s="60"/>
      <c r="O665" s="60"/>
      <c r="P665" s="60"/>
      <c r="Q665" s="60"/>
      <c r="R665" s="60"/>
      <c r="S665" s="60"/>
      <c r="T665" s="60"/>
      <c r="U665" s="60"/>
      <c r="V665" s="60"/>
      <c r="W665" s="60"/>
      <c r="X665" s="60"/>
      <c r="Y665" s="60"/>
      <c r="Z665" s="60"/>
    </row>
    <row r="666">
      <c r="A666" s="149"/>
      <c r="B666" s="150"/>
      <c r="C666" s="151"/>
      <c r="D666" s="140"/>
      <c r="E666" s="152"/>
      <c r="F666" s="60"/>
      <c r="G666" s="60"/>
      <c r="H666" s="60"/>
      <c r="I666" s="60"/>
      <c r="J666" s="60"/>
      <c r="K666" s="60"/>
      <c r="L666" s="60"/>
      <c r="M666" s="60"/>
      <c r="N666" s="60"/>
      <c r="O666" s="60"/>
      <c r="P666" s="60"/>
      <c r="Q666" s="60"/>
      <c r="R666" s="60"/>
      <c r="S666" s="60"/>
      <c r="T666" s="60"/>
      <c r="U666" s="60"/>
      <c r="V666" s="60"/>
      <c r="W666" s="60"/>
      <c r="X666" s="60"/>
      <c r="Y666" s="60"/>
      <c r="Z666" s="60"/>
    </row>
    <row r="667">
      <c r="A667" s="149"/>
      <c r="B667" s="150"/>
      <c r="C667" s="151"/>
      <c r="D667" s="140"/>
      <c r="E667" s="152"/>
      <c r="F667" s="60"/>
      <c r="G667" s="60"/>
      <c r="H667" s="60"/>
      <c r="I667" s="60"/>
      <c r="J667" s="60"/>
      <c r="K667" s="60"/>
      <c r="L667" s="60"/>
      <c r="M667" s="60"/>
      <c r="N667" s="60"/>
      <c r="O667" s="60"/>
      <c r="P667" s="60"/>
      <c r="Q667" s="60"/>
      <c r="R667" s="60"/>
      <c r="S667" s="60"/>
      <c r="T667" s="60"/>
      <c r="U667" s="60"/>
      <c r="V667" s="60"/>
      <c r="W667" s="60"/>
      <c r="X667" s="60"/>
      <c r="Y667" s="60"/>
      <c r="Z667" s="60"/>
    </row>
    <row r="668">
      <c r="A668" s="149"/>
      <c r="B668" s="150"/>
      <c r="C668" s="151"/>
      <c r="D668" s="140"/>
      <c r="E668" s="152"/>
      <c r="F668" s="60"/>
      <c r="G668" s="60"/>
      <c r="H668" s="60"/>
      <c r="I668" s="60"/>
      <c r="J668" s="60"/>
      <c r="K668" s="60"/>
      <c r="L668" s="60"/>
      <c r="M668" s="60"/>
      <c r="N668" s="60"/>
      <c r="O668" s="60"/>
      <c r="P668" s="60"/>
      <c r="Q668" s="60"/>
      <c r="R668" s="60"/>
      <c r="S668" s="60"/>
      <c r="T668" s="60"/>
      <c r="U668" s="60"/>
      <c r="V668" s="60"/>
      <c r="W668" s="60"/>
      <c r="X668" s="60"/>
      <c r="Y668" s="60"/>
      <c r="Z668" s="60"/>
    </row>
    <row r="669">
      <c r="A669" s="149"/>
      <c r="B669" s="150"/>
      <c r="C669" s="151"/>
      <c r="D669" s="140"/>
      <c r="E669" s="152"/>
      <c r="F669" s="60"/>
      <c r="G669" s="60"/>
      <c r="H669" s="60"/>
      <c r="I669" s="60"/>
      <c r="J669" s="60"/>
      <c r="K669" s="60"/>
      <c r="L669" s="60"/>
      <c r="M669" s="60"/>
      <c r="N669" s="60"/>
      <c r="O669" s="60"/>
      <c r="P669" s="60"/>
      <c r="Q669" s="60"/>
      <c r="R669" s="60"/>
      <c r="S669" s="60"/>
      <c r="T669" s="60"/>
      <c r="U669" s="60"/>
      <c r="V669" s="60"/>
      <c r="W669" s="60"/>
      <c r="X669" s="60"/>
      <c r="Y669" s="60"/>
      <c r="Z669" s="60"/>
    </row>
    <row r="670">
      <c r="A670" s="149"/>
      <c r="B670" s="150"/>
      <c r="C670" s="151"/>
      <c r="D670" s="140"/>
      <c r="E670" s="152"/>
      <c r="F670" s="60"/>
      <c r="G670" s="60"/>
      <c r="H670" s="60"/>
      <c r="I670" s="60"/>
      <c r="J670" s="60"/>
      <c r="K670" s="60"/>
      <c r="L670" s="60"/>
      <c r="M670" s="60"/>
      <c r="N670" s="60"/>
      <c r="O670" s="60"/>
      <c r="P670" s="60"/>
      <c r="Q670" s="60"/>
      <c r="R670" s="60"/>
      <c r="S670" s="60"/>
      <c r="T670" s="60"/>
      <c r="U670" s="60"/>
      <c r="V670" s="60"/>
      <c r="W670" s="60"/>
      <c r="X670" s="60"/>
      <c r="Y670" s="60"/>
      <c r="Z670" s="60"/>
    </row>
    <row r="671">
      <c r="A671" s="149"/>
      <c r="B671" s="150"/>
      <c r="C671" s="151"/>
      <c r="D671" s="140"/>
      <c r="E671" s="152"/>
      <c r="F671" s="60"/>
      <c r="G671" s="60"/>
      <c r="H671" s="60"/>
      <c r="I671" s="60"/>
      <c r="J671" s="60"/>
      <c r="K671" s="60"/>
      <c r="L671" s="60"/>
      <c r="M671" s="60"/>
      <c r="N671" s="60"/>
      <c r="O671" s="60"/>
      <c r="P671" s="60"/>
      <c r="Q671" s="60"/>
      <c r="R671" s="60"/>
      <c r="S671" s="60"/>
      <c r="T671" s="60"/>
      <c r="U671" s="60"/>
      <c r="V671" s="60"/>
      <c r="W671" s="60"/>
      <c r="X671" s="60"/>
      <c r="Y671" s="60"/>
      <c r="Z671" s="60"/>
    </row>
    <row r="672">
      <c r="A672" s="149"/>
      <c r="B672" s="150"/>
      <c r="C672" s="151"/>
      <c r="D672" s="140"/>
      <c r="E672" s="152"/>
      <c r="F672" s="60"/>
      <c r="G672" s="60"/>
      <c r="H672" s="60"/>
      <c r="I672" s="60"/>
      <c r="J672" s="60"/>
      <c r="K672" s="60"/>
      <c r="L672" s="60"/>
      <c r="M672" s="60"/>
      <c r="N672" s="60"/>
      <c r="O672" s="60"/>
      <c r="P672" s="60"/>
      <c r="Q672" s="60"/>
      <c r="R672" s="60"/>
      <c r="S672" s="60"/>
      <c r="T672" s="60"/>
      <c r="U672" s="60"/>
      <c r="V672" s="60"/>
      <c r="W672" s="60"/>
      <c r="X672" s="60"/>
      <c r="Y672" s="60"/>
      <c r="Z672" s="60"/>
    </row>
    <row r="673">
      <c r="A673" s="149"/>
      <c r="B673" s="150"/>
      <c r="C673" s="151"/>
      <c r="D673" s="140"/>
      <c r="E673" s="152"/>
      <c r="F673" s="60"/>
      <c r="G673" s="60"/>
      <c r="H673" s="60"/>
      <c r="I673" s="60"/>
      <c r="J673" s="60"/>
      <c r="K673" s="60"/>
      <c r="L673" s="60"/>
      <c r="M673" s="60"/>
      <c r="N673" s="60"/>
      <c r="O673" s="60"/>
      <c r="P673" s="60"/>
      <c r="Q673" s="60"/>
      <c r="R673" s="60"/>
      <c r="S673" s="60"/>
      <c r="T673" s="60"/>
      <c r="U673" s="60"/>
      <c r="V673" s="60"/>
      <c r="W673" s="60"/>
      <c r="X673" s="60"/>
      <c r="Y673" s="60"/>
      <c r="Z673" s="60"/>
    </row>
    <row r="674">
      <c r="A674" s="149"/>
      <c r="B674" s="150"/>
      <c r="C674" s="151"/>
      <c r="D674" s="140"/>
      <c r="E674" s="152"/>
      <c r="F674" s="60"/>
      <c r="G674" s="60"/>
      <c r="H674" s="60"/>
      <c r="I674" s="60"/>
      <c r="J674" s="60"/>
      <c r="K674" s="60"/>
      <c r="L674" s="60"/>
      <c r="M674" s="60"/>
      <c r="N674" s="60"/>
      <c r="O674" s="60"/>
      <c r="P674" s="60"/>
      <c r="Q674" s="60"/>
      <c r="R674" s="60"/>
      <c r="S674" s="60"/>
      <c r="T674" s="60"/>
      <c r="U674" s="60"/>
      <c r="V674" s="60"/>
      <c r="W674" s="60"/>
      <c r="X674" s="60"/>
      <c r="Y674" s="60"/>
      <c r="Z674" s="60"/>
    </row>
    <row r="675">
      <c r="A675" s="149"/>
      <c r="B675" s="150"/>
      <c r="C675" s="151"/>
      <c r="D675" s="140"/>
      <c r="E675" s="152"/>
      <c r="F675" s="60"/>
      <c r="G675" s="60"/>
      <c r="H675" s="60"/>
      <c r="I675" s="60"/>
      <c r="J675" s="60"/>
      <c r="K675" s="60"/>
      <c r="L675" s="60"/>
      <c r="M675" s="60"/>
      <c r="N675" s="60"/>
      <c r="O675" s="60"/>
      <c r="P675" s="60"/>
      <c r="Q675" s="60"/>
      <c r="R675" s="60"/>
      <c r="S675" s="60"/>
      <c r="T675" s="60"/>
      <c r="U675" s="60"/>
      <c r="V675" s="60"/>
      <c r="W675" s="60"/>
      <c r="X675" s="60"/>
      <c r="Y675" s="60"/>
      <c r="Z675" s="60"/>
    </row>
    <row r="676">
      <c r="A676" s="149"/>
      <c r="B676" s="150"/>
      <c r="C676" s="151"/>
      <c r="D676" s="140"/>
      <c r="E676" s="152"/>
      <c r="F676" s="60"/>
      <c r="G676" s="60"/>
      <c r="H676" s="60"/>
      <c r="I676" s="60"/>
      <c r="J676" s="60"/>
      <c r="K676" s="60"/>
      <c r="L676" s="60"/>
      <c r="M676" s="60"/>
      <c r="N676" s="60"/>
      <c r="O676" s="60"/>
      <c r="P676" s="60"/>
      <c r="Q676" s="60"/>
      <c r="R676" s="60"/>
      <c r="S676" s="60"/>
      <c r="T676" s="60"/>
      <c r="U676" s="60"/>
      <c r="V676" s="60"/>
      <c r="W676" s="60"/>
      <c r="X676" s="60"/>
      <c r="Y676" s="60"/>
      <c r="Z676" s="60"/>
    </row>
    <row r="677">
      <c r="A677" s="149"/>
      <c r="B677" s="150"/>
      <c r="C677" s="151"/>
      <c r="D677" s="140"/>
      <c r="E677" s="152"/>
      <c r="F677" s="60"/>
      <c r="G677" s="60"/>
      <c r="H677" s="60"/>
      <c r="I677" s="60"/>
      <c r="J677" s="60"/>
      <c r="K677" s="60"/>
      <c r="L677" s="60"/>
      <c r="M677" s="60"/>
      <c r="N677" s="60"/>
      <c r="O677" s="60"/>
      <c r="P677" s="60"/>
      <c r="Q677" s="60"/>
      <c r="R677" s="60"/>
      <c r="S677" s="60"/>
      <c r="T677" s="60"/>
      <c r="U677" s="60"/>
      <c r="V677" s="60"/>
      <c r="W677" s="60"/>
      <c r="X677" s="60"/>
      <c r="Y677" s="60"/>
      <c r="Z677" s="60"/>
    </row>
    <row r="678">
      <c r="A678" s="149"/>
      <c r="B678" s="150"/>
      <c r="C678" s="151"/>
      <c r="D678" s="140"/>
      <c r="E678" s="152"/>
      <c r="F678" s="60"/>
      <c r="G678" s="60"/>
      <c r="H678" s="60"/>
      <c r="I678" s="60"/>
      <c r="J678" s="60"/>
      <c r="K678" s="60"/>
      <c r="L678" s="60"/>
      <c r="M678" s="60"/>
      <c r="N678" s="60"/>
      <c r="O678" s="60"/>
      <c r="P678" s="60"/>
      <c r="Q678" s="60"/>
      <c r="R678" s="60"/>
      <c r="S678" s="60"/>
      <c r="T678" s="60"/>
      <c r="U678" s="60"/>
      <c r="V678" s="60"/>
      <c r="W678" s="60"/>
      <c r="X678" s="60"/>
      <c r="Y678" s="60"/>
      <c r="Z678" s="60"/>
    </row>
    <row r="679">
      <c r="A679" s="149"/>
      <c r="B679" s="150"/>
      <c r="C679" s="151"/>
      <c r="D679" s="140"/>
      <c r="E679" s="152"/>
      <c r="F679" s="60"/>
      <c r="G679" s="60"/>
      <c r="H679" s="60"/>
      <c r="I679" s="60"/>
      <c r="J679" s="60"/>
      <c r="K679" s="60"/>
      <c r="L679" s="60"/>
      <c r="M679" s="60"/>
      <c r="N679" s="60"/>
      <c r="O679" s="60"/>
      <c r="P679" s="60"/>
      <c r="Q679" s="60"/>
      <c r="R679" s="60"/>
      <c r="S679" s="60"/>
      <c r="T679" s="60"/>
      <c r="U679" s="60"/>
      <c r="V679" s="60"/>
      <c r="W679" s="60"/>
      <c r="X679" s="60"/>
      <c r="Y679" s="60"/>
      <c r="Z679" s="60"/>
    </row>
    <row r="680">
      <c r="A680" s="149"/>
      <c r="B680" s="150"/>
      <c r="C680" s="151"/>
      <c r="D680" s="140"/>
      <c r="E680" s="152"/>
      <c r="F680" s="60"/>
      <c r="G680" s="60"/>
      <c r="H680" s="60"/>
      <c r="I680" s="60"/>
      <c r="J680" s="60"/>
      <c r="K680" s="60"/>
      <c r="L680" s="60"/>
      <c r="M680" s="60"/>
      <c r="N680" s="60"/>
      <c r="O680" s="60"/>
      <c r="P680" s="60"/>
      <c r="Q680" s="60"/>
      <c r="R680" s="60"/>
      <c r="S680" s="60"/>
      <c r="T680" s="60"/>
      <c r="U680" s="60"/>
      <c r="V680" s="60"/>
      <c r="W680" s="60"/>
      <c r="X680" s="60"/>
      <c r="Y680" s="60"/>
      <c r="Z680" s="60"/>
    </row>
    <row r="681">
      <c r="A681" s="149"/>
      <c r="B681" s="150"/>
      <c r="C681" s="151"/>
      <c r="D681" s="140"/>
      <c r="E681" s="152"/>
      <c r="F681" s="60"/>
      <c r="G681" s="60"/>
      <c r="H681" s="60"/>
      <c r="I681" s="60"/>
      <c r="J681" s="60"/>
      <c r="K681" s="60"/>
      <c r="L681" s="60"/>
      <c r="M681" s="60"/>
      <c r="N681" s="60"/>
      <c r="O681" s="60"/>
      <c r="P681" s="60"/>
      <c r="Q681" s="60"/>
      <c r="R681" s="60"/>
      <c r="S681" s="60"/>
      <c r="T681" s="60"/>
      <c r="U681" s="60"/>
      <c r="V681" s="60"/>
      <c r="W681" s="60"/>
      <c r="X681" s="60"/>
      <c r="Y681" s="60"/>
      <c r="Z681" s="60"/>
    </row>
    <row r="682">
      <c r="A682" s="149"/>
      <c r="B682" s="150"/>
      <c r="C682" s="151"/>
      <c r="D682" s="140"/>
      <c r="E682" s="152"/>
      <c r="F682" s="60"/>
      <c r="G682" s="60"/>
      <c r="H682" s="60"/>
      <c r="I682" s="60"/>
      <c r="J682" s="60"/>
      <c r="K682" s="60"/>
      <c r="L682" s="60"/>
      <c r="M682" s="60"/>
      <c r="N682" s="60"/>
      <c r="O682" s="60"/>
      <c r="P682" s="60"/>
      <c r="Q682" s="60"/>
      <c r="R682" s="60"/>
      <c r="S682" s="60"/>
      <c r="T682" s="60"/>
      <c r="U682" s="60"/>
      <c r="V682" s="60"/>
      <c r="W682" s="60"/>
      <c r="X682" s="60"/>
      <c r="Y682" s="60"/>
      <c r="Z682" s="60"/>
    </row>
    <row r="683">
      <c r="A683" s="149"/>
      <c r="B683" s="150"/>
      <c r="C683" s="151"/>
      <c r="D683" s="140"/>
      <c r="E683" s="152"/>
      <c r="F683" s="60"/>
      <c r="G683" s="60"/>
      <c r="H683" s="60"/>
      <c r="I683" s="60"/>
      <c r="J683" s="60"/>
      <c r="K683" s="60"/>
      <c r="L683" s="60"/>
      <c r="M683" s="60"/>
      <c r="N683" s="60"/>
      <c r="O683" s="60"/>
      <c r="P683" s="60"/>
      <c r="Q683" s="60"/>
      <c r="R683" s="60"/>
      <c r="S683" s="60"/>
      <c r="T683" s="60"/>
      <c r="U683" s="60"/>
      <c r="V683" s="60"/>
      <c r="W683" s="60"/>
      <c r="X683" s="60"/>
      <c r="Y683" s="60"/>
      <c r="Z683" s="60"/>
    </row>
    <row r="684">
      <c r="A684" s="149"/>
      <c r="B684" s="150"/>
      <c r="C684" s="151"/>
      <c r="D684" s="140"/>
      <c r="E684" s="152"/>
      <c r="F684" s="60"/>
      <c r="G684" s="60"/>
      <c r="H684" s="60"/>
      <c r="I684" s="60"/>
      <c r="J684" s="60"/>
      <c r="K684" s="60"/>
      <c r="L684" s="60"/>
      <c r="M684" s="60"/>
      <c r="N684" s="60"/>
      <c r="O684" s="60"/>
      <c r="P684" s="60"/>
      <c r="Q684" s="60"/>
      <c r="R684" s="60"/>
      <c r="S684" s="60"/>
      <c r="T684" s="60"/>
      <c r="U684" s="60"/>
      <c r="V684" s="60"/>
      <c r="W684" s="60"/>
      <c r="X684" s="60"/>
      <c r="Y684" s="60"/>
      <c r="Z684" s="60"/>
    </row>
    <row r="685">
      <c r="A685" s="149"/>
      <c r="B685" s="150"/>
      <c r="C685" s="151"/>
      <c r="D685" s="140"/>
      <c r="E685" s="152"/>
      <c r="F685" s="60"/>
      <c r="G685" s="60"/>
      <c r="H685" s="60"/>
      <c r="I685" s="60"/>
      <c r="J685" s="60"/>
      <c r="K685" s="60"/>
      <c r="L685" s="60"/>
      <c r="M685" s="60"/>
      <c r="N685" s="60"/>
      <c r="O685" s="60"/>
      <c r="P685" s="60"/>
      <c r="Q685" s="60"/>
      <c r="R685" s="60"/>
      <c r="S685" s="60"/>
      <c r="T685" s="60"/>
      <c r="U685" s="60"/>
      <c r="V685" s="60"/>
      <c r="W685" s="60"/>
      <c r="X685" s="60"/>
      <c r="Y685" s="60"/>
      <c r="Z685" s="60"/>
    </row>
    <row r="686">
      <c r="A686" s="149"/>
      <c r="B686" s="150"/>
      <c r="C686" s="151"/>
      <c r="D686" s="140"/>
      <c r="E686" s="152"/>
      <c r="F686" s="60"/>
      <c r="G686" s="60"/>
      <c r="H686" s="60"/>
      <c r="I686" s="60"/>
      <c r="J686" s="60"/>
      <c r="K686" s="60"/>
      <c r="L686" s="60"/>
      <c r="M686" s="60"/>
      <c r="N686" s="60"/>
      <c r="O686" s="60"/>
      <c r="P686" s="60"/>
      <c r="Q686" s="60"/>
      <c r="R686" s="60"/>
      <c r="S686" s="60"/>
      <c r="T686" s="60"/>
      <c r="U686" s="60"/>
      <c r="V686" s="60"/>
      <c r="W686" s="60"/>
      <c r="X686" s="60"/>
      <c r="Y686" s="60"/>
      <c r="Z686" s="60"/>
    </row>
    <row r="687">
      <c r="A687" s="149"/>
      <c r="B687" s="150"/>
      <c r="C687" s="151"/>
      <c r="D687" s="140"/>
      <c r="E687" s="152"/>
      <c r="F687" s="60"/>
      <c r="G687" s="60"/>
      <c r="H687" s="60"/>
      <c r="I687" s="60"/>
      <c r="J687" s="60"/>
      <c r="K687" s="60"/>
      <c r="L687" s="60"/>
      <c r="M687" s="60"/>
      <c r="N687" s="60"/>
      <c r="O687" s="60"/>
      <c r="P687" s="60"/>
      <c r="Q687" s="60"/>
      <c r="R687" s="60"/>
      <c r="S687" s="60"/>
      <c r="T687" s="60"/>
      <c r="U687" s="60"/>
      <c r="V687" s="60"/>
      <c r="W687" s="60"/>
      <c r="X687" s="60"/>
      <c r="Y687" s="60"/>
      <c r="Z687" s="60"/>
    </row>
    <row r="688">
      <c r="A688" s="149"/>
      <c r="B688" s="150"/>
      <c r="C688" s="151"/>
      <c r="D688" s="140"/>
      <c r="E688" s="152"/>
      <c r="F688" s="60"/>
      <c r="G688" s="60"/>
      <c r="H688" s="60"/>
      <c r="I688" s="60"/>
      <c r="J688" s="60"/>
      <c r="K688" s="60"/>
      <c r="L688" s="60"/>
      <c r="M688" s="60"/>
      <c r="N688" s="60"/>
      <c r="O688" s="60"/>
      <c r="P688" s="60"/>
      <c r="Q688" s="60"/>
      <c r="R688" s="60"/>
      <c r="S688" s="60"/>
      <c r="T688" s="60"/>
      <c r="U688" s="60"/>
      <c r="V688" s="60"/>
      <c r="W688" s="60"/>
      <c r="X688" s="60"/>
      <c r="Y688" s="60"/>
      <c r="Z688" s="60"/>
    </row>
    <row r="689">
      <c r="A689" s="149"/>
      <c r="B689" s="150"/>
      <c r="C689" s="151"/>
      <c r="D689" s="140"/>
      <c r="E689" s="152"/>
      <c r="F689" s="60"/>
      <c r="G689" s="60"/>
      <c r="H689" s="60"/>
      <c r="I689" s="60"/>
      <c r="J689" s="60"/>
      <c r="K689" s="60"/>
      <c r="L689" s="60"/>
      <c r="M689" s="60"/>
      <c r="N689" s="60"/>
      <c r="O689" s="60"/>
      <c r="P689" s="60"/>
      <c r="Q689" s="60"/>
      <c r="R689" s="60"/>
      <c r="S689" s="60"/>
      <c r="T689" s="60"/>
      <c r="U689" s="60"/>
      <c r="V689" s="60"/>
      <c r="W689" s="60"/>
      <c r="X689" s="60"/>
      <c r="Y689" s="60"/>
      <c r="Z689" s="60"/>
    </row>
    <row r="690">
      <c r="A690" s="149"/>
      <c r="B690" s="150"/>
      <c r="C690" s="151"/>
      <c r="D690" s="140"/>
      <c r="E690" s="152"/>
      <c r="F690" s="60"/>
      <c r="G690" s="60"/>
      <c r="H690" s="60"/>
      <c r="I690" s="60"/>
      <c r="J690" s="60"/>
      <c r="K690" s="60"/>
      <c r="L690" s="60"/>
      <c r="M690" s="60"/>
      <c r="N690" s="60"/>
      <c r="O690" s="60"/>
      <c r="P690" s="60"/>
      <c r="Q690" s="60"/>
      <c r="R690" s="60"/>
      <c r="S690" s="60"/>
      <c r="T690" s="60"/>
      <c r="U690" s="60"/>
      <c r="V690" s="60"/>
      <c r="W690" s="60"/>
      <c r="X690" s="60"/>
      <c r="Y690" s="60"/>
      <c r="Z690" s="60"/>
    </row>
    <row r="691">
      <c r="A691" s="149"/>
      <c r="B691" s="150"/>
      <c r="C691" s="151"/>
      <c r="D691" s="140"/>
      <c r="E691" s="152"/>
      <c r="F691" s="60"/>
      <c r="G691" s="60"/>
      <c r="H691" s="60"/>
      <c r="I691" s="60"/>
      <c r="J691" s="60"/>
      <c r="K691" s="60"/>
      <c r="L691" s="60"/>
      <c r="M691" s="60"/>
      <c r="N691" s="60"/>
      <c r="O691" s="60"/>
      <c r="P691" s="60"/>
      <c r="Q691" s="60"/>
      <c r="R691" s="60"/>
      <c r="S691" s="60"/>
      <c r="T691" s="60"/>
      <c r="U691" s="60"/>
      <c r="V691" s="60"/>
      <c r="W691" s="60"/>
      <c r="X691" s="60"/>
      <c r="Y691" s="60"/>
      <c r="Z691" s="60"/>
    </row>
    <row r="692">
      <c r="A692" s="149"/>
      <c r="B692" s="150"/>
      <c r="C692" s="151"/>
      <c r="D692" s="140"/>
      <c r="E692" s="152"/>
      <c r="F692" s="60"/>
      <c r="G692" s="60"/>
      <c r="H692" s="60"/>
      <c r="I692" s="60"/>
      <c r="J692" s="60"/>
      <c r="K692" s="60"/>
      <c r="L692" s="60"/>
      <c r="M692" s="60"/>
      <c r="N692" s="60"/>
      <c r="O692" s="60"/>
      <c r="P692" s="60"/>
      <c r="Q692" s="60"/>
      <c r="R692" s="60"/>
      <c r="S692" s="60"/>
      <c r="T692" s="60"/>
      <c r="U692" s="60"/>
      <c r="V692" s="60"/>
      <c r="W692" s="60"/>
      <c r="X692" s="60"/>
      <c r="Y692" s="60"/>
      <c r="Z692" s="60"/>
    </row>
    <row r="693">
      <c r="A693" s="149"/>
      <c r="B693" s="150"/>
      <c r="C693" s="151"/>
      <c r="D693" s="140"/>
      <c r="E693" s="152"/>
      <c r="F693" s="60"/>
      <c r="G693" s="60"/>
      <c r="H693" s="60"/>
      <c r="I693" s="60"/>
      <c r="J693" s="60"/>
      <c r="K693" s="60"/>
      <c r="L693" s="60"/>
      <c r="M693" s="60"/>
      <c r="N693" s="60"/>
      <c r="O693" s="60"/>
      <c r="P693" s="60"/>
      <c r="Q693" s="60"/>
      <c r="R693" s="60"/>
      <c r="S693" s="60"/>
      <c r="T693" s="60"/>
      <c r="U693" s="60"/>
      <c r="V693" s="60"/>
      <c r="W693" s="60"/>
      <c r="X693" s="60"/>
      <c r="Y693" s="60"/>
      <c r="Z693" s="60"/>
    </row>
    <row r="694">
      <c r="A694" s="149"/>
      <c r="B694" s="150"/>
      <c r="C694" s="151"/>
      <c r="D694" s="140"/>
      <c r="E694" s="152"/>
      <c r="F694" s="60"/>
      <c r="G694" s="60"/>
      <c r="H694" s="60"/>
      <c r="I694" s="60"/>
      <c r="J694" s="60"/>
      <c r="K694" s="60"/>
      <c r="L694" s="60"/>
      <c r="M694" s="60"/>
      <c r="N694" s="60"/>
      <c r="O694" s="60"/>
      <c r="P694" s="60"/>
      <c r="Q694" s="60"/>
      <c r="R694" s="60"/>
      <c r="S694" s="60"/>
      <c r="T694" s="60"/>
      <c r="U694" s="60"/>
      <c r="V694" s="60"/>
      <c r="W694" s="60"/>
      <c r="X694" s="60"/>
      <c r="Y694" s="60"/>
      <c r="Z694" s="60"/>
    </row>
    <row r="695">
      <c r="A695" s="149"/>
      <c r="B695" s="150"/>
      <c r="C695" s="151"/>
      <c r="D695" s="140"/>
      <c r="E695" s="152"/>
      <c r="F695" s="60"/>
      <c r="G695" s="60"/>
      <c r="H695" s="60"/>
      <c r="I695" s="60"/>
      <c r="J695" s="60"/>
      <c r="K695" s="60"/>
      <c r="L695" s="60"/>
      <c r="M695" s="60"/>
      <c r="N695" s="60"/>
      <c r="O695" s="60"/>
      <c r="P695" s="60"/>
      <c r="Q695" s="60"/>
      <c r="R695" s="60"/>
      <c r="S695" s="60"/>
      <c r="T695" s="60"/>
      <c r="U695" s="60"/>
      <c r="V695" s="60"/>
      <c r="W695" s="60"/>
      <c r="X695" s="60"/>
      <c r="Y695" s="60"/>
      <c r="Z695" s="60"/>
    </row>
    <row r="696">
      <c r="A696" s="149"/>
      <c r="B696" s="150"/>
      <c r="C696" s="151"/>
      <c r="D696" s="140"/>
      <c r="E696" s="152"/>
      <c r="F696" s="60"/>
      <c r="G696" s="60"/>
      <c r="H696" s="60"/>
      <c r="I696" s="60"/>
      <c r="J696" s="60"/>
      <c r="K696" s="60"/>
      <c r="L696" s="60"/>
      <c r="M696" s="60"/>
      <c r="N696" s="60"/>
      <c r="O696" s="60"/>
      <c r="P696" s="60"/>
      <c r="Q696" s="60"/>
      <c r="R696" s="60"/>
      <c r="S696" s="60"/>
      <c r="T696" s="60"/>
      <c r="U696" s="60"/>
      <c r="V696" s="60"/>
      <c r="W696" s="60"/>
      <c r="X696" s="60"/>
      <c r="Y696" s="60"/>
      <c r="Z696" s="60"/>
    </row>
    <row r="697">
      <c r="A697" s="149"/>
      <c r="B697" s="150"/>
      <c r="C697" s="151"/>
      <c r="D697" s="140"/>
      <c r="E697" s="152"/>
      <c r="F697" s="60"/>
      <c r="G697" s="60"/>
      <c r="H697" s="60"/>
      <c r="I697" s="60"/>
      <c r="J697" s="60"/>
      <c r="K697" s="60"/>
      <c r="L697" s="60"/>
      <c r="M697" s="60"/>
      <c r="N697" s="60"/>
      <c r="O697" s="60"/>
      <c r="P697" s="60"/>
      <c r="Q697" s="60"/>
      <c r="R697" s="60"/>
      <c r="S697" s="60"/>
      <c r="T697" s="60"/>
      <c r="U697" s="60"/>
      <c r="V697" s="60"/>
      <c r="W697" s="60"/>
      <c r="X697" s="60"/>
      <c r="Y697" s="60"/>
      <c r="Z697" s="60"/>
    </row>
    <row r="698">
      <c r="A698" s="149"/>
      <c r="B698" s="150"/>
      <c r="C698" s="151"/>
      <c r="D698" s="140"/>
      <c r="E698" s="152"/>
      <c r="F698" s="60"/>
      <c r="G698" s="60"/>
      <c r="H698" s="60"/>
      <c r="I698" s="60"/>
      <c r="J698" s="60"/>
      <c r="K698" s="60"/>
      <c r="L698" s="60"/>
      <c r="M698" s="60"/>
      <c r="N698" s="60"/>
      <c r="O698" s="60"/>
      <c r="P698" s="60"/>
      <c r="Q698" s="60"/>
      <c r="R698" s="60"/>
      <c r="S698" s="60"/>
      <c r="T698" s="60"/>
      <c r="U698" s="60"/>
      <c r="V698" s="60"/>
      <c r="W698" s="60"/>
      <c r="X698" s="60"/>
      <c r="Y698" s="60"/>
      <c r="Z698" s="60"/>
    </row>
    <row r="699">
      <c r="A699" s="149"/>
      <c r="B699" s="150"/>
      <c r="C699" s="151"/>
      <c r="D699" s="140"/>
      <c r="E699" s="152"/>
      <c r="F699" s="60"/>
      <c r="G699" s="60"/>
      <c r="H699" s="60"/>
      <c r="I699" s="60"/>
      <c r="J699" s="60"/>
      <c r="K699" s="60"/>
      <c r="L699" s="60"/>
      <c r="M699" s="60"/>
      <c r="N699" s="60"/>
      <c r="O699" s="60"/>
      <c r="P699" s="60"/>
      <c r="Q699" s="60"/>
      <c r="R699" s="60"/>
      <c r="S699" s="60"/>
      <c r="T699" s="60"/>
      <c r="U699" s="60"/>
      <c r="V699" s="60"/>
      <c r="W699" s="60"/>
      <c r="X699" s="60"/>
      <c r="Y699" s="60"/>
      <c r="Z699" s="60"/>
    </row>
    <row r="700">
      <c r="A700" s="149"/>
      <c r="B700" s="150"/>
      <c r="C700" s="151"/>
      <c r="D700" s="140"/>
      <c r="E700" s="152"/>
      <c r="F700" s="60"/>
      <c r="G700" s="60"/>
      <c r="H700" s="60"/>
      <c r="I700" s="60"/>
      <c r="J700" s="60"/>
      <c r="K700" s="60"/>
      <c r="L700" s="60"/>
      <c r="M700" s="60"/>
      <c r="N700" s="60"/>
      <c r="O700" s="60"/>
      <c r="P700" s="60"/>
      <c r="Q700" s="60"/>
      <c r="R700" s="60"/>
      <c r="S700" s="60"/>
      <c r="T700" s="60"/>
      <c r="U700" s="60"/>
      <c r="V700" s="60"/>
      <c r="W700" s="60"/>
      <c r="X700" s="60"/>
      <c r="Y700" s="60"/>
      <c r="Z700" s="60"/>
    </row>
    <row r="701">
      <c r="A701" s="149"/>
      <c r="B701" s="150"/>
      <c r="C701" s="151"/>
      <c r="D701" s="140"/>
      <c r="E701" s="152"/>
      <c r="F701" s="60"/>
      <c r="G701" s="60"/>
      <c r="H701" s="60"/>
      <c r="I701" s="60"/>
      <c r="J701" s="60"/>
      <c r="K701" s="60"/>
      <c r="L701" s="60"/>
      <c r="M701" s="60"/>
      <c r="N701" s="60"/>
      <c r="O701" s="60"/>
      <c r="P701" s="60"/>
      <c r="Q701" s="60"/>
      <c r="R701" s="60"/>
      <c r="S701" s="60"/>
      <c r="T701" s="60"/>
      <c r="U701" s="60"/>
      <c r="V701" s="60"/>
      <c r="W701" s="60"/>
      <c r="X701" s="60"/>
      <c r="Y701" s="60"/>
      <c r="Z701" s="60"/>
    </row>
    <row r="702">
      <c r="A702" s="149"/>
      <c r="B702" s="150"/>
      <c r="C702" s="151"/>
      <c r="D702" s="140"/>
      <c r="E702" s="152"/>
      <c r="F702" s="60"/>
      <c r="G702" s="60"/>
      <c r="H702" s="60"/>
      <c r="I702" s="60"/>
      <c r="J702" s="60"/>
      <c r="K702" s="60"/>
      <c r="L702" s="60"/>
      <c r="M702" s="60"/>
      <c r="N702" s="60"/>
      <c r="O702" s="60"/>
      <c r="P702" s="60"/>
      <c r="Q702" s="60"/>
      <c r="R702" s="60"/>
      <c r="S702" s="60"/>
      <c r="T702" s="60"/>
      <c r="U702" s="60"/>
      <c r="V702" s="60"/>
      <c r="W702" s="60"/>
      <c r="X702" s="60"/>
      <c r="Y702" s="60"/>
      <c r="Z702" s="60"/>
    </row>
    <row r="703">
      <c r="A703" s="149"/>
      <c r="B703" s="150"/>
      <c r="C703" s="151"/>
      <c r="D703" s="140"/>
      <c r="E703" s="152"/>
      <c r="F703" s="60"/>
      <c r="G703" s="60"/>
      <c r="H703" s="60"/>
      <c r="I703" s="60"/>
      <c r="J703" s="60"/>
      <c r="K703" s="60"/>
      <c r="L703" s="60"/>
      <c r="M703" s="60"/>
      <c r="N703" s="60"/>
      <c r="O703" s="60"/>
      <c r="P703" s="60"/>
      <c r="Q703" s="60"/>
      <c r="R703" s="60"/>
      <c r="S703" s="60"/>
      <c r="T703" s="60"/>
      <c r="U703" s="60"/>
      <c r="V703" s="60"/>
      <c r="W703" s="60"/>
      <c r="X703" s="60"/>
      <c r="Y703" s="60"/>
      <c r="Z703" s="60"/>
    </row>
    <row r="704">
      <c r="A704" s="149"/>
      <c r="B704" s="150"/>
      <c r="C704" s="151"/>
      <c r="D704" s="140"/>
      <c r="E704" s="152"/>
      <c r="F704" s="60"/>
      <c r="G704" s="60"/>
      <c r="H704" s="60"/>
      <c r="I704" s="60"/>
      <c r="J704" s="60"/>
      <c r="K704" s="60"/>
      <c r="L704" s="60"/>
      <c r="M704" s="60"/>
      <c r="N704" s="60"/>
      <c r="O704" s="60"/>
      <c r="P704" s="60"/>
      <c r="Q704" s="60"/>
      <c r="R704" s="60"/>
      <c r="S704" s="60"/>
      <c r="T704" s="60"/>
      <c r="U704" s="60"/>
      <c r="V704" s="60"/>
      <c r="W704" s="60"/>
      <c r="X704" s="60"/>
      <c r="Y704" s="60"/>
      <c r="Z704" s="60"/>
    </row>
    <row r="705">
      <c r="A705" s="149"/>
      <c r="B705" s="150"/>
      <c r="C705" s="151"/>
      <c r="D705" s="140"/>
      <c r="E705" s="152"/>
      <c r="F705" s="60"/>
      <c r="G705" s="60"/>
      <c r="H705" s="60"/>
      <c r="I705" s="60"/>
      <c r="J705" s="60"/>
      <c r="K705" s="60"/>
      <c r="L705" s="60"/>
      <c r="M705" s="60"/>
      <c r="N705" s="60"/>
      <c r="O705" s="60"/>
      <c r="P705" s="60"/>
      <c r="Q705" s="60"/>
      <c r="R705" s="60"/>
      <c r="S705" s="60"/>
      <c r="T705" s="60"/>
      <c r="U705" s="60"/>
      <c r="V705" s="60"/>
      <c r="W705" s="60"/>
      <c r="X705" s="60"/>
      <c r="Y705" s="60"/>
      <c r="Z705" s="60"/>
    </row>
    <row r="706">
      <c r="A706" s="149"/>
      <c r="B706" s="150"/>
      <c r="C706" s="151"/>
      <c r="D706" s="140"/>
      <c r="E706" s="152"/>
      <c r="F706" s="60"/>
      <c r="G706" s="60"/>
      <c r="H706" s="60"/>
      <c r="I706" s="60"/>
      <c r="J706" s="60"/>
      <c r="K706" s="60"/>
      <c r="L706" s="60"/>
      <c r="M706" s="60"/>
      <c r="N706" s="60"/>
      <c r="O706" s="60"/>
      <c r="P706" s="60"/>
      <c r="Q706" s="60"/>
      <c r="R706" s="60"/>
      <c r="S706" s="60"/>
      <c r="T706" s="60"/>
      <c r="U706" s="60"/>
      <c r="V706" s="60"/>
      <c r="W706" s="60"/>
      <c r="X706" s="60"/>
      <c r="Y706" s="60"/>
      <c r="Z706" s="60"/>
    </row>
    <row r="707">
      <c r="A707" s="149"/>
      <c r="B707" s="150"/>
      <c r="C707" s="151"/>
      <c r="D707" s="140"/>
      <c r="E707" s="152"/>
      <c r="F707" s="60"/>
      <c r="G707" s="60"/>
      <c r="H707" s="60"/>
      <c r="I707" s="60"/>
      <c r="J707" s="60"/>
      <c r="K707" s="60"/>
      <c r="L707" s="60"/>
      <c r="M707" s="60"/>
      <c r="N707" s="60"/>
      <c r="O707" s="60"/>
      <c r="P707" s="60"/>
      <c r="Q707" s="60"/>
      <c r="R707" s="60"/>
      <c r="S707" s="60"/>
      <c r="T707" s="60"/>
      <c r="U707" s="60"/>
      <c r="V707" s="60"/>
      <c r="W707" s="60"/>
      <c r="X707" s="60"/>
      <c r="Y707" s="60"/>
      <c r="Z707" s="60"/>
    </row>
    <row r="708">
      <c r="A708" s="149"/>
      <c r="B708" s="150"/>
      <c r="C708" s="151"/>
      <c r="D708" s="140"/>
      <c r="E708" s="152"/>
      <c r="F708" s="60"/>
      <c r="G708" s="60"/>
      <c r="H708" s="60"/>
      <c r="I708" s="60"/>
      <c r="J708" s="60"/>
      <c r="K708" s="60"/>
      <c r="L708" s="60"/>
      <c r="M708" s="60"/>
      <c r="N708" s="60"/>
      <c r="O708" s="60"/>
      <c r="P708" s="60"/>
      <c r="Q708" s="60"/>
      <c r="R708" s="60"/>
      <c r="S708" s="60"/>
      <c r="T708" s="60"/>
      <c r="U708" s="60"/>
      <c r="V708" s="60"/>
      <c r="W708" s="60"/>
      <c r="X708" s="60"/>
      <c r="Y708" s="60"/>
      <c r="Z708" s="60"/>
    </row>
    <row r="709">
      <c r="A709" s="149"/>
      <c r="B709" s="150"/>
      <c r="C709" s="151"/>
      <c r="D709" s="140"/>
      <c r="E709" s="152"/>
      <c r="F709" s="60"/>
      <c r="G709" s="60"/>
      <c r="H709" s="60"/>
      <c r="I709" s="60"/>
      <c r="J709" s="60"/>
      <c r="K709" s="60"/>
      <c r="L709" s="60"/>
      <c r="M709" s="60"/>
      <c r="N709" s="60"/>
      <c r="O709" s="60"/>
      <c r="P709" s="60"/>
      <c r="Q709" s="60"/>
      <c r="R709" s="60"/>
      <c r="S709" s="60"/>
      <c r="T709" s="60"/>
      <c r="U709" s="60"/>
      <c r="V709" s="60"/>
      <c r="W709" s="60"/>
      <c r="X709" s="60"/>
      <c r="Y709" s="60"/>
      <c r="Z709" s="60"/>
    </row>
    <row r="710">
      <c r="A710" s="149"/>
      <c r="B710" s="150"/>
      <c r="C710" s="151"/>
      <c r="D710" s="140"/>
      <c r="E710" s="152"/>
      <c r="F710" s="60"/>
      <c r="G710" s="60"/>
      <c r="H710" s="60"/>
      <c r="I710" s="60"/>
      <c r="J710" s="60"/>
      <c r="K710" s="60"/>
      <c r="L710" s="60"/>
      <c r="M710" s="60"/>
      <c r="N710" s="60"/>
      <c r="O710" s="60"/>
      <c r="P710" s="60"/>
      <c r="Q710" s="60"/>
      <c r="R710" s="60"/>
      <c r="S710" s="60"/>
      <c r="T710" s="60"/>
      <c r="U710" s="60"/>
      <c r="V710" s="60"/>
      <c r="W710" s="60"/>
      <c r="X710" s="60"/>
      <c r="Y710" s="60"/>
      <c r="Z710" s="60"/>
    </row>
    <row r="711">
      <c r="A711" s="149"/>
      <c r="B711" s="150"/>
      <c r="C711" s="151"/>
      <c r="D711" s="140"/>
      <c r="E711" s="152"/>
      <c r="F711" s="60"/>
      <c r="G711" s="60"/>
      <c r="H711" s="60"/>
      <c r="I711" s="60"/>
      <c r="J711" s="60"/>
      <c r="K711" s="60"/>
      <c r="L711" s="60"/>
      <c r="M711" s="60"/>
      <c r="N711" s="60"/>
      <c r="O711" s="60"/>
      <c r="P711" s="60"/>
      <c r="Q711" s="60"/>
      <c r="R711" s="60"/>
      <c r="S711" s="60"/>
      <c r="T711" s="60"/>
      <c r="U711" s="60"/>
      <c r="V711" s="60"/>
      <c r="W711" s="60"/>
      <c r="X711" s="60"/>
      <c r="Y711" s="60"/>
      <c r="Z711" s="60"/>
    </row>
    <row r="712">
      <c r="A712" s="149"/>
      <c r="B712" s="150"/>
      <c r="C712" s="151"/>
      <c r="D712" s="140"/>
      <c r="E712" s="152"/>
      <c r="F712" s="60"/>
      <c r="G712" s="60"/>
      <c r="H712" s="60"/>
      <c r="I712" s="60"/>
      <c r="J712" s="60"/>
      <c r="K712" s="60"/>
      <c r="L712" s="60"/>
      <c r="M712" s="60"/>
      <c r="N712" s="60"/>
      <c r="O712" s="60"/>
      <c r="P712" s="60"/>
      <c r="Q712" s="60"/>
      <c r="R712" s="60"/>
      <c r="S712" s="60"/>
      <c r="T712" s="60"/>
      <c r="U712" s="60"/>
      <c r="V712" s="60"/>
      <c r="W712" s="60"/>
      <c r="X712" s="60"/>
      <c r="Y712" s="60"/>
      <c r="Z712" s="60"/>
    </row>
    <row r="713">
      <c r="A713" s="149"/>
      <c r="B713" s="150"/>
      <c r="C713" s="151"/>
      <c r="D713" s="140"/>
      <c r="E713" s="152"/>
      <c r="F713" s="60"/>
      <c r="G713" s="60"/>
      <c r="H713" s="60"/>
      <c r="I713" s="60"/>
      <c r="J713" s="60"/>
      <c r="K713" s="60"/>
      <c r="L713" s="60"/>
      <c r="M713" s="60"/>
      <c r="N713" s="60"/>
      <c r="O713" s="60"/>
      <c r="P713" s="60"/>
      <c r="Q713" s="60"/>
      <c r="R713" s="60"/>
      <c r="S713" s="60"/>
      <c r="T713" s="60"/>
      <c r="U713" s="60"/>
      <c r="V713" s="60"/>
      <c r="W713" s="60"/>
      <c r="X713" s="60"/>
      <c r="Y713" s="60"/>
      <c r="Z713" s="60"/>
    </row>
    <row r="714">
      <c r="A714" s="149"/>
      <c r="B714" s="150"/>
      <c r="C714" s="151"/>
      <c r="D714" s="140"/>
      <c r="E714" s="152"/>
      <c r="F714" s="60"/>
      <c r="G714" s="60"/>
      <c r="H714" s="60"/>
      <c r="I714" s="60"/>
      <c r="J714" s="60"/>
      <c r="K714" s="60"/>
      <c r="L714" s="60"/>
      <c r="M714" s="60"/>
      <c r="N714" s="60"/>
      <c r="O714" s="60"/>
      <c r="P714" s="60"/>
      <c r="Q714" s="60"/>
      <c r="R714" s="60"/>
      <c r="S714" s="60"/>
      <c r="T714" s="60"/>
      <c r="U714" s="60"/>
      <c r="V714" s="60"/>
      <c r="W714" s="60"/>
      <c r="X714" s="60"/>
      <c r="Y714" s="60"/>
      <c r="Z714" s="60"/>
    </row>
    <row r="715">
      <c r="A715" s="149"/>
      <c r="B715" s="150"/>
      <c r="C715" s="151"/>
      <c r="D715" s="140"/>
      <c r="E715" s="152"/>
      <c r="F715" s="60"/>
      <c r="G715" s="60"/>
      <c r="H715" s="60"/>
      <c r="I715" s="60"/>
      <c r="J715" s="60"/>
      <c r="K715" s="60"/>
      <c r="L715" s="60"/>
      <c r="M715" s="60"/>
      <c r="N715" s="60"/>
      <c r="O715" s="60"/>
      <c r="P715" s="60"/>
      <c r="Q715" s="60"/>
      <c r="R715" s="60"/>
      <c r="S715" s="60"/>
      <c r="T715" s="60"/>
      <c r="U715" s="60"/>
      <c r="V715" s="60"/>
      <c r="W715" s="60"/>
      <c r="X715" s="60"/>
      <c r="Y715" s="60"/>
      <c r="Z715" s="60"/>
    </row>
    <row r="716">
      <c r="A716" s="149"/>
      <c r="B716" s="150"/>
      <c r="C716" s="151"/>
      <c r="D716" s="140"/>
      <c r="E716" s="152"/>
      <c r="F716" s="60"/>
      <c r="G716" s="60"/>
      <c r="H716" s="60"/>
      <c r="I716" s="60"/>
      <c r="J716" s="60"/>
      <c r="K716" s="60"/>
      <c r="L716" s="60"/>
      <c r="M716" s="60"/>
      <c r="N716" s="60"/>
      <c r="O716" s="60"/>
      <c r="P716" s="60"/>
      <c r="Q716" s="60"/>
      <c r="R716" s="60"/>
      <c r="S716" s="60"/>
      <c r="T716" s="60"/>
      <c r="U716" s="60"/>
      <c r="V716" s="60"/>
      <c r="W716" s="60"/>
      <c r="X716" s="60"/>
      <c r="Y716" s="60"/>
      <c r="Z716" s="60"/>
    </row>
    <row r="717">
      <c r="A717" s="149"/>
      <c r="B717" s="150"/>
      <c r="C717" s="151"/>
      <c r="D717" s="140"/>
      <c r="E717" s="152"/>
      <c r="F717" s="60"/>
      <c r="G717" s="60"/>
      <c r="H717" s="60"/>
      <c r="I717" s="60"/>
      <c r="J717" s="60"/>
      <c r="K717" s="60"/>
      <c r="L717" s="60"/>
      <c r="M717" s="60"/>
      <c r="N717" s="60"/>
      <c r="O717" s="60"/>
      <c r="P717" s="60"/>
      <c r="Q717" s="60"/>
      <c r="R717" s="60"/>
      <c r="S717" s="60"/>
      <c r="T717" s="60"/>
      <c r="U717" s="60"/>
      <c r="V717" s="60"/>
      <c r="W717" s="60"/>
      <c r="X717" s="60"/>
      <c r="Y717" s="60"/>
      <c r="Z717" s="60"/>
    </row>
    <row r="718">
      <c r="A718" s="149"/>
      <c r="B718" s="150"/>
      <c r="C718" s="151"/>
      <c r="D718" s="140"/>
      <c r="E718" s="152"/>
      <c r="F718" s="60"/>
      <c r="G718" s="60"/>
      <c r="H718" s="60"/>
      <c r="I718" s="60"/>
      <c r="J718" s="60"/>
      <c r="K718" s="60"/>
      <c r="L718" s="60"/>
      <c r="M718" s="60"/>
      <c r="N718" s="60"/>
      <c r="O718" s="60"/>
      <c r="P718" s="60"/>
      <c r="Q718" s="60"/>
      <c r="R718" s="60"/>
      <c r="S718" s="60"/>
      <c r="T718" s="60"/>
      <c r="U718" s="60"/>
      <c r="V718" s="60"/>
      <c r="W718" s="60"/>
      <c r="X718" s="60"/>
      <c r="Y718" s="60"/>
      <c r="Z718" s="60"/>
    </row>
    <row r="719">
      <c r="A719" s="149"/>
      <c r="B719" s="150"/>
      <c r="C719" s="151"/>
      <c r="D719" s="140"/>
      <c r="E719" s="152"/>
      <c r="F719" s="60"/>
      <c r="G719" s="60"/>
      <c r="H719" s="60"/>
      <c r="I719" s="60"/>
      <c r="J719" s="60"/>
      <c r="K719" s="60"/>
      <c r="L719" s="60"/>
      <c r="M719" s="60"/>
      <c r="N719" s="60"/>
      <c r="O719" s="60"/>
      <c r="P719" s="60"/>
      <c r="Q719" s="60"/>
      <c r="R719" s="60"/>
      <c r="S719" s="60"/>
      <c r="T719" s="60"/>
      <c r="U719" s="60"/>
      <c r="V719" s="60"/>
      <c r="W719" s="60"/>
      <c r="X719" s="60"/>
      <c r="Y719" s="60"/>
      <c r="Z719" s="60"/>
    </row>
    <row r="720">
      <c r="A720" s="149"/>
      <c r="B720" s="150"/>
      <c r="C720" s="151"/>
      <c r="D720" s="140"/>
      <c r="E720" s="152"/>
      <c r="F720" s="60"/>
      <c r="G720" s="60"/>
      <c r="H720" s="60"/>
      <c r="I720" s="60"/>
      <c r="J720" s="60"/>
      <c r="K720" s="60"/>
      <c r="L720" s="60"/>
      <c r="M720" s="60"/>
      <c r="N720" s="60"/>
      <c r="O720" s="60"/>
      <c r="P720" s="60"/>
      <c r="Q720" s="60"/>
      <c r="R720" s="60"/>
      <c r="S720" s="60"/>
      <c r="T720" s="60"/>
      <c r="U720" s="60"/>
      <c r="V720" s="60"/>
      <c r="W720" s="60"/>
      <c r="X720" s="60"/>
      <c r="Y720" s="60"/>
      <c r="Z720" s="60"/>
    </row>
    <row r="721">
      <c r="A721" s="149"/>
      <c r="B721" s="150"/>
      <c r="C721" s="151"/>
      <c r="D721" s="140"/>
      <c r="E721" s="152"/>
      <c r="F721" s="60"/>
      <c r="G721" s="60"/>
      <c r="H721" s="60"/>
      <c r="I721" s="60"/>
      <c r="J721" s="60"/>
      <c r="K721" s="60"/>
      <c r="L721" s="60"/>
      <c r="M721" s="60"/>
      <c r="N721" s="60"/>
      <c r="O721" s="60"/>
      <c r="P721" s="60"/>
      <c r="Q721" s="60"/>
      <c r="R721" s="60"/>
      <c r="S721" s="60"/>
      <c r="T721" s="60"/>
      <c r="U721" s="60"/>
      <c r="V721" s="60"/>
      <c r="W721" s="60"/>
      <c r="X721" s="60"/>
      <c r="Y721" s="60"/>
      <c r="Z721" s="60"/>
    </row>
    <row r="722">
      <c r="A722" s="149"/>
      <c r="B722" s="150"/>
      <c r="C722" s="151"/>
      <c r="D722" s="140"/>
      <c r="E722" s="152"/>
      <c r="F722" s="60"/>
      <c r="G722" s="60"/>
      <c r="H722" s="60"/>
      <c r="I722" s="60"/>
      <c r="J722" s="60"/>
      <c r="K722" s="60"/>
      <c r="L722" s="60"/>
      <c r="M722" s="60"/>
      <c r="N722" s="60"/>
      <c r="O722" s="60"/>
      <c r="P722" s="60"/>
      <c r="Q722" s="60"/>
      <c r="R722" s="60"/>
      <c r="S722" s="60"/>
      <c r="T722" s="60"/>
      <c r="U722" s="60"/>
      <c r="V722" s="60"/>
      <c r="W722" s="60"/>
      <c r="X722" s="60"/>
      <c r="Y722" s="60"/>
      <c r="Z722" s="60"/>
    </row>
    <row r="723">
      <c r="A723" s="149"/>
      <c r="B723" s="150"/>
      <c r="C723" s="151"/>
      <c r="D723" s="140"/>
      <c r="E723" s="152"/>
      <c r="F723" s="60"/>
      <c r="G723" s="60"/>
      <c r="H723" s="60"/>
      <c r="I723" s="60"/>
      <c r="J723" s="60"/>
      <c r="K723" s="60"/>
      <c r="L723" s="60"/>
      <c r="M723" s="60"/>
      <c r="N723" s="60"/>
      <c r="O723" s="60"/>
      <c r="P723" s="60"/>
      <c r="Q723" s="60"/>
      <c r="R723" s="60"/>
      <c r="S723" s="60"/>
      <c r="T723" s="60"/>
      <c r="U723" s="60"/>
      <c r="V723" s="60"/>
      <c r="W723" s="60"/>
      <c r="X723" s="60"/>
      <c r="Y723" s="60"/>
      <c r="Z723" s="60"/>
    </row>
    <row r="724">
      <c r="A724" s="149"/>
      <c r="B724" s="150"/>
      <c r="C724" s="151"/>
      <c r="D724" s="140"/>
      <c r="E724" s="152"/>
      <c r="F724" s="60"/>
      <c r="G724" s="60"/>
      <c r="H724" s="60"/>
      <c r="I724" s="60"/>
      <c r="J724" s="60"/>
      <c r="K724" s="60"/>
      <c r="L724" s="60"/>
      <c r="M724" s="60"/>
      <c r="N724" s="60"/>
      <c r="O724" s="60"/>
      <c r="P724" s="60"/>
      <c r="Q724" s="60"/>
      <c r="R724" s="60"/>
      <c r="S724" s="60"/>
      <c r="T724" s="60"/>
      <c r="U724" s="60"/>
      <c r="V724" s="60"/>
      <c r="W724" s="60"/>
      <c r="X724" s="60"/>
      <c r="Y724" s="60"/>
      <c r="Z724" s="60"/>
    </row>
    <row r="725">
      <c r="A725" s="149"/>
      <c r="B725" s="150"/>
      <c r="C725" s="151"/>
      <c r="D725" s="140"/>
      <c r="E725" s="152"/>
      <c r="F725" s="60"/>
      <c r="G725" s="60"/>
      <c r="H725" s="60"/>
      <c r="I725" s="60"/>
      <c r="J725" s="60"/>
      <c r="K725" s="60"/>
      <c r="L725" s="60"/>
      <c r="M725" s="60"/>
      <c r="N725" s="60"/>
      <c r="O725" s="60"/>
      <c r="P725" s="60"/>
      <c r="Q725" s="60"/>
      <c r="R725" s="60"/>
      <c r="S725" s="60"/>
      <c r="T725" s="60"/>
      <c r="U725" s="60"/>
      <c r="V725" s="60"/>
      <c r="W725" s="60"/>
      <c r="X725" s="60"/>
      <c r="Y725" s="60"/>
      <c r="Z725" s="60"/>
    </row>
    <row r="726">
      <c r="A726" s="149"/>
      <c r="B726" s="150"/>
      <c r="C726" s="151"/>
      <c r="D726" s="140"/>
      <c r="E726" s="152"/>
      <c r="F726" s="60"/>
      <c r="G726" s="60"/>
      <c r="H726" s="60"/>
      <c r="I726" s="60"/>
      <c r="J726" s="60"/>
      <c r="K726" s="60"/>
      <c r="L726" s="60"/>
      <c r="M726" s="60"/>
      <c r="N726" s="60"/>
      <c r="O726" s="60"/>
      <c r="P726" s="60"/>
      <c r="Q726" s="60"/>
      <c r="R726" s="60"/>
      <c r="S726" s="60"/>
      <c r="T726" s="60"/>
      <c r="U726" s="60"/>
      <c r="V726" s="60"/>
      <c r="W726" s="60"/>
      <c r="X726" s="60"/>
      <c r="Y726" s="60"/>
      <c r="Z726" s="60"/>
    </row>
    <row r="727">
      <c r="A727" s="149"/>
      <c r="B727" s="150"/>
      <c r="C727" s="151"/>
      <c r="D727" s="140"/>
      <c r="E727" s="152"/>
      <c r="F727" s="60"/>
      <c r="G727" s="60"/>
      <c r="H727" s="60"/>
      <c r="I727" s="60"/>
      <c r="J727" s="60"/>
      <c r="K727" s="60"/>
      <c r="L727" s="60"/>
      <c r="M727" s="60"/>
      <c r="N727" s="60"/>
      <c r="O727" s="60"/>
      <c r="P727" s="60"/>
      <c r="Q727" s="60"/>
      <c r="R727" s="60"/>
      <c r="S727" s="60"/>
      <c r="T727" s="60"/>
      <c r="U727" s="60"/>
      <c r="V727" s="60"/>
      <c r="W727" s="60"/>
      <c r="X727" s="60"/>
      <c r="Y727" s="60"/>
      <c r="Z727" s="60"/>
    </row>
    <row r="728">
      <c r="A728" s="149"/>
      <c r="B728" s="150"/>
      <c r="C728" s="151"/>
      <c r="D728" s="140"/>
      <c r="E728" s="152"/>
      <c r="F728" s="60"/>
      <c r="G728" s="60"/>
      <c r="H728" s="60"/>
      <c r="I728" s="60"/>
      <c r="J728" s="60"/>
      <c r="K728" s="60"/>
      <c r="L728" s="60"/>
      <c r="M728" s="60"/>
      <c r="N728" s="60"/>
      <c r="O728" s="60"/>
      <c r="P728" s="60"/>
      <c r="Q728" s="60"/>
      <c r="R728" s="60"/>
      <c r="S728" s="60"/>
      <c r="T728" s="60"/>
      <c r="U728" s="60"/>
      <c r="V728" s="60"/>
      <c r="W728" s="60"/>
      <c r="X728" s="60"/>
      <c r="Y728" s="60"/>
      <c r="Z728" s="60"/>
    </row>
    <row r="729">
      <c r="A729" s="149"/>
      <c r="B729" s="150"/>
      <c r="C729" s="151"/>
      <c r="D729" s="140"/>
      <c r="E729" s="152"/>
      <c r="F729" s="60"/>
      <c r="G729" s="60"/>
      <c r="H729" s="60"/>
      <c r="I729" s="60"/>
      <c r="J729" s="60"/>
      <c r="K729" s="60"/>
      <c r="L729" s="60"/>
      <c r="M729" s="60"/>
      <c r="N729" s="60"/>
      <c r="O729" s="60"/>
      <c r="P729" s="60"/>
      <c r="Q729" s="60"/>
      <c r="R729" s="60"/>
      <c r="S729" s="60"/>
      <c r="T729" s="60"/>
      <c r="U729" s="60"/>
      <c r="V729" s="60"/>
      <c r="W729" s="60"/>
      <c r="X729" s="60"/>
      <c r="Y729" s="60"/>
      <c r="Z729" s="60"/>
    </row>
    <row r="730">
      <c r="A730" s="149"/>
      <c r="B730" s="150"/>
      <c r="C730" s="151"/>
      <c r="D730" s="140"/>
      <c r="E730" s="152"/>
      <c r="F730" s="60"/>
      <c r="G730" s="60"/>
      <c r="H730" s="60"/>
      <c r="I730" s="60"/>
      <c r="J730" s="60"/>
      <c r="K730" s="60"/>
      <c r="L730" s="60"/>
      <c r="M730" s="60"/>
      <c r="N730" s="60"/>
      <c r="O730" s="60"/>
      <c r="P730" s="60"/>
      <c r="Q730" s="60"/>
      <c r="R730" s="60"/>
      <c r="S730" s="60"/>
      <c r="T730" s="60"/>
      <c r="U730" s="60"/>
      <c r="V730" s="60"/>
      <c r="W730" s="60"/>
      <c r="X730" s="60"/>
      <c r="Y730" s="60"/>
      <c r="Z730" s="60"/>
    </row>
    <row r="731">
      <c r="A731" s="149"/>
      <c r="B731" s="150"/>
      <c r="C731" s="151"/>
      <c r="D731" s="140"/>
      <c r="E731" s="152"/>
      <c r="F731" s="60"/>
      <c r="G731" s="60"/>
      <c r="H731" s="60"/>
      <c r="I731" s="60"/>
      <c r="J731" s="60"/>
      <c r="K731" s="60"/>
      <c r="L731" s="60"/>
      <c r="M731" s="60"/>
      <c r="N731" s="60"/>
      <c r="O731" s="60"/>
      <c r="P731" s="60"/>
      <c r="Q731" s="60"/>
      <c r="R731" s="60"/>
      <c r="S731" s="60"/>
      <c r="T731" s="60"/>
      <c r="U731" s="60"/>
      <c r="V731" s="60"/>
      <c r="W731" s="60"/>
      <c r="X731" s="60"/>
      <c r="Y731" s="60"/>
      <c r="Z731" s="60"/>
    </row>
    <row r="732">
      <c r="A732" s="149"/>
      <c r="B732" s="150"/>
      <c r="C732" s="151"/>
      <c r="D732" s="140"/>
      <c r="E732" s="152"/>
      <c r="F732" s="60"/>
      <c r="G732" s="60"/>
      <c r="H732" s="60"/>
      <c r="I732" s="60"/>
      <c r="J732" s="60"/>
      <c r="K732" s="60"/>
      <c r="L732" s="60"/>
      <c r="M732" s="60"/>
      <c r="N732" s="60"/>
      <c r="O732" s="60"/>
      <c r="P732" s="60"/>
      <c r="Q732" s="60"/>
      <c r="R732" s="60"/>
      <c r="S732" s="60"/>
      <c r="T732" s="60"/>
      <c r="U732" s="60"/>
      <c r="V732" s="60"/>
      <c r="W732" s="60"/>
      <c r="X732" s="60"/>
      <c r="Y732" s="60"/>
      <c r="Z732" s="60"/>
    </row>
    <row r="733">
      <c r="A733" s="149"/>
      <c r="B733" s="150"/>
      <c r="C733" s="151"/>
      <c r="D733" s="140"/>
      <c r="E733" s="152"/>
      <c r="F733" s="60"/>
      <c r="G733" s="60"/>
      <c r="H733" s="60"/>
      <c r="I733" s="60"/>
      <c r="J733" s="60"/>
      <c r="K733" s="60"/>
      <c r="L733" s="60"/>
      <c r="M733" s="60"/>
      <c r="N733" s="60"/>
      <c r="O733" s="60"/>
      <c r="P733" s="60"/>
      <c r="Q733" s="60"/>
      <c r="R733" s="60"/>
      <c r="S733" s="60"/>
      <c r="T733" s="60"/>
      <c r="U733" s="60"/>
      <c r="V733" s="60"/>
      <c r="W733" s="60"/>
      <c r="X733" s="60"/>
      <c r="Y733" s="60"/>
      <c r="Z733" s="60"/>
    </row>
    <row r="734">
      <c r="A734" s="149"/>
      <c r="B734" s="150"/>
      <c r="C734" s="151"/>
      <c r="D734" s="140"/>
      <c r="E734" s="152"/>
      <c r="F734" s="60"/>
      <c r="G734" s="60"/>
      <c r="H734" s="60"/>
      <c r="I734" s="60"/>
      <c r="J734" s="60"/>
      <c r="K734" s="60"/>
      <c r="L734" s="60"/>
      <c r="M734" s="60"/>
      <c r="N734" s="60"/>
      <c r="O734" s="60"/>
      <c r="P734" s="60"/>
      <c r="Q734" s="60"/>
      <c r="R734" s="60"/>
      <c r="S734" s="60"/>
      <c r="T734" s="60"/>
      <c r="U734" s="60"/>
      <c r="V734" s="60"/>
      <c r="W734" s="60"/>
      <c r="X734" s="60"/>
      <c r="Y734" s="60"/>
      <c r="Z734" s="60"/>
    </row>
    <row r="735">
      <c r="A735" s="149"/>
      <c r="B735" s="150"/>
      <c r="C735" s="151"/>
      <c r="D735" s="140"/>
      <c r="E735" s="152"/>
      <c r="F735" s="60"/>
      <c r="G735" s="60"/>
      <c r="H735" s="60"/>
      <c r="I735" s="60"/>
      <c r="J735" s="60"/>
      <c r="K735" s="60"/>
      <c r="L735" s="60"/>
      <c r="M735" s="60"/>
      <c r="N735" s="60"/>
      <c r="O735" s="60"/>
      <c r="P735" s="60"/>
      <c r="Q735" s="60"/>
      <c r="R735" s="60"/>
      <c r="S735" s="60"/>
      <c r="T735" s="60"/>
      <c r="U735" s="60"/>
      <c r="V735" s="60"/>
      <c r="W735" s="60"/>
      <c r="X735" s="60"/>
      <c r="Y735" s="60"/>
      <c r="Z735" s="60"/>
    </row>
    <row r="736">
      <c r="A736" s="149"/>
      <c r="B736" s="150"/>
      <c r="C736" s="151"/>
      <c r="D736" s="140"/>
      <c r="E736" s="152"/>
      <c r="F736" s="60"/>
      <c r="G736" s="60"/>
      <c r="H736" s="60"/>
      <c r="I736" s="60"/>
      <c r="J736" s="60"/>
      <c r="K736" s="60"/>
      <c r="L736" s="60"/>
      <c r="M736" s="60"/>
      <c r="N736" s="60"/>
      <c r="O736" s="60"/>
      <c r="P736" s="60"/>
      <c r="Q736" s="60"/>
      <c r="R736" s="60"/>
      <c r="S736" s="60"/>
      <c r="T736" s="60"/>
      <c r="U736" s="60"/>
      <c r="V736" s="60"/>
      <c r="W736" s="60"/>
      <c r="X736" s="60"/>
      <c r="Y736" s="60"/>
      <c r="Z736" s="60"/>
    </row>
    <row r="737">
      <c r="A737" s="149"/>
      <c r="B737" s="150"/>
      <c r="C737" s="151"/>
      <c r="D737" s="140"/>
      <c r="E737" s="152"/>
      <c r="F737" s="60"/>
      <c r="G737" s="60"/>
      <c r="H737" s="60"/>
      <c r="I737" s="60"/>
      <c r="J737" s="60"/>
      <c r="K737" s="60"/>
      <c r="L737" s="60"/>
      <c r="M737" s="60"/>
      <c r="N737" s="60"/>
      <c r="O737" s="60"/>
      <c r="P737" s="60"/>
      <c r="Q737" s="60"/>
      <c r="R737" s="60"/>
      <c r="S737" s="60"/>
      <c r="T737" s="60"/>
      <c r="U737" s="60"/>
      <c r="V737" s="60"/>
      <c r="W737" s="60"/>
      <c r="X737" s="60"/>
      <c r="Y737" s="60"/>
      <c r="Z737" s="60"/>
    </row>
    <row r="738">
      <c r="A738" s="149"/>
      <c r="B738" s="150"/>
      <c r="C738" s="151"/>
      <c r="D738" s="140"/>
      <c r="E738" s="152"/>
      <c r="F738" s="60"/>
      <c r="G738" s="60"/>
      <c r="H738" s="60"/>
      <c r="I738" s="60"/>
      <c r="J738" s="60"/>
      <c r="K738" s="60"/>
      <c r="L738" s="60"/>
      <c r="M738" s="60"/>
      <c r="N738" s="60"/>
      <c r="O738" s="60"/>
      <c r="P738" s="60"/>
      <c r="Q738" s="60"/>
      <c r="R738" s="60"/>
      <c r="S738" s="60"/>
      <c r="T738" s="60"/>
      <c r="U738" s="60"/>
      <c r="V738" s="60"/>
      <c r="W738" s="60"/>
      <c r="X738" s="60"/>
      <c r="Y738" s="60"/>
      <c r="Z738" s="60"/>
    </row>
    <row r="739">
      <c r="A739" s="149"/>
      <c r="B739" s="150"/>
      <c r="C739" s="151"/>
      <c r="D739" s="140"/>
      <c r="E739" s="152"/>
      <c r="F739" s="60"/>
      <c r="G739" s="60"/>
      <c r="H739" s="60"/>
      <c r="I739" s="60"/>
      <c r="J739" s="60"/>
      <c r="K739" s="60"/>
      <c r="L739" s="60"/>
      <c r="M739" s="60"/>
      <c r="N739" s="60"/>
      <c r="O739" s="60"/>
      <c r="P739" s="60"/>
      <c r="Q739" s="60"/>
      <c r="R739" s="60"/>
      <c r="S739" s="60"/>
      <c r="T739" s="60"/>
      <c r="U739" s="60"/>
      <c r="V739" s="60"/>
      <c r="W739" s="60"/>
      <c r="X739" s="60"/>
      <c r="Y739" s="60"/>
      <c r="Z739" s="60"/>
    </row>
    <row r="740">
      <c r="A740" s="149"/>
      <c r="B740" s="150"/>
      <c r="C740" s="151"/>
      <c r="D740" s="140"/>
      <c r="E740" s="152"/>
      <c r="F740" s="60"/>
      <c r="G740" s="60"/>
      <c r="H740" s="60"/>
      <c r="I740" s="60"/>
      <c r="J740" s="60"/>
      <c r="K740" s="60"/>
      <c r="L740" s="60"/>
      <c r="M740" s="60"/>
      <c r="N740" s="60"/>
      <c r="O740" s="60"/>
      <c r="P740" s="60"/>
      <c r="Q740" s="60"/>
      <c r="R740" s="60"/>
      <c r="S740" s="60"/>
      <c r="T740" s="60"/>
      <c r="U740" s="60"/>
      <c r="V740" s="60"/>
      <c r="W740" s="60"/>
      <c r="X740" s="60"/>
      <c r="Y740" s="60"/>
      <c r="Z740" s="60"/>
    </row>
    <row r="741">
      <c r="A741" s="149"/>
      <c r="B741" s="150"/>
      <c r="C741" s="151"/>
      <c r="D741" s="140"/>
      <c r="E741" s="152"/>
      <c r="F741" s="60"/>
      <c r="G741" s="60"/>
      <c r="H741" s="60"/>
      <c r="I741" s="60"/>
      <c r="J741" s="60"/>
      <c r="K741" s="60"/>
      <c r="L741" s="60"/>
      <c r="M741" s="60"/>
      <c r="N741" s="60"/>
      <c r="O741" s="60"/>
      <c r="P741" s="60"/>
      <c r="Q741" s="60"/>
      <c r="R741" s="60"/>
      <c r="S741" s="60"/>
      <c r="T741" s="60"/>
      <c r="U741" s="60"/>
      <c r="V741" s="60"/>
      <c r="W741" s="60"/>
      <c r="X741" s="60"/>
      <c r="Y741" s="60"/>
      <c r="Z741" s="60"/>
    </row>
    <row r="742">
      <c r="A742" s="149"/>
      <c r="B742" s="150"/>
      <c r="C742" s="151"/>
      <c r="D742" s="140"/>
      <c r="E742" s="152"/>
      <c r="F742" s="60"/>
      <c r="G742" s="60"/>
      <c r="H742" s="60"/>
      <c r="I742" s="60"/>
      <c r="J742" s="60"/>
      <c r="K742" s="60"/>
      <c r="L742" s="60"/>
      <c r="M742" s="60"/>
      <c r="N742" s="60"/>
      <c r="O742" s="60"/>
      <c r="P742" s="60"/>
      <c r="Q742" s="60"/>
      <c r="R742" s="60"/>
      <c r="S742" s="60"/>
      <c r="T742" s="60"/>
      <c r="U742" s="60"/>
      <c r="V742" s="60"/>
      <c r="W742" s="60"/>
      <c r="X742" s="60"/>
      <c r="Y742" s="60"/>
      <c r="Z742" s="60"/>
    </row>
    <row r="743">
      <c r="A743" s="149"/>
      <c r="B743" s="150"/>
      <c r="C743" s="151"/>
      <c r="D743" s="140"/>
      <c r="E743" s="152"/>
      <c r="F743" s="60"/>
      <c r="G743" s="60"/>
      <c r="H743" s="60"/>
      <c r="I743" s="60"/>
      <c r="J743" s="60"/>
      <c r="K743" s="60"/>
      <c r="L743" s="60"/>
      <c r="M743" s="60"/>
      <c r="N743" s="60"/>
      <c r="O743" s="60"/>
      <c r="P743" s="60"/>
      <c r="Q743" s="60"/>
      <c r="R743" s="60"/>
      <c r="S743" s="60"/>
      <c r="T743" s="60"/>
      <c r="U743" s="60"/>
      <c r="V743" s="60"/>
      <c r="W743" s="60"/>
      <c r="X743" s="60"/>
      <c r="Y743" s="60"/>
      <c r="Z743" s="60"/>
    </row>
    <row r="744">
      <c r="A744" s="149"/>
      <c r="B744" s="150"/>
      <c r="C744" s="151"/>
      <c r="D744" s="140"/>
      <c r="E744" s="152"/>
      <c r="F744" s="60"/>
      <c r="G744" s="60"/>
      <c r="H744" s="60"/>
      <c r="I744" s="60"/>
      <c r="J744" s="60"/>
      <c r="K744" s="60"/>
      <c r="L744" s="60"/>
      <c r="M744" s="60"/>
      <c r="N744" s="60"/>
      <c r="O744" s="60"/>
      <c r="P744" s="60"/>
      <c r="Q744" s="60"/>
      <c r="R744" s="60"/>
      <c r="S744" s="60"/>
      <c r="T744" s="60"/>
      <c r="U744" s="60"/>
      <c r="V744" s="60"/>
      <c r="W744" s="60"/>
      <c r="X744" s="60"/>
      <c r="Y744" s="60"/>
      <c r="Z744" s="60"/>
    </row>
    <row r="745">
      <c r="A745" s="149"/>
      <c r="B745" s="150"/>
      <c r="C745" s="151"/>
      <c r="D745" s="140"/>
      <c r="E745" s="152"/>
      <c r="F745" s="60"/>
      <c r="G745" s="60"/>
      <c r="H745" s="60"/>
      <c r="I745" s="60"/>
      <c r="J745" s="60"/>
      <c r="K745" s="60"/>
      <c r="L745" s="60"/>
      <c r="M745" s="60"/>
      <c r="N745" s="60"/>
      <c r="O745" s="60"/>
      <c r="P745" s="60"/>
      <c r="Q745" s="60"/>
      <c r="R745" s="60"/>
      <c r="S745" s="60"/>
      <c r="T745" s="60"/>
      <c r="U745" s="60"/>
      <c r="V745" s="60"/>
      <c r="W745" s="60"/>
      <c r="X745" s="60"/>
      <c r="Y745" s="60"/>
      <c r="Z745" s="60"/>
    </row>
    <row r="746">
      <c r="A746" s="149"/>
      <c r="B746" s="150"/>
      <c r="C746" s="151"/>
      <c r="D746" s="140"/>
      <c r="E746" s="152"/>
      <c r="F746" s="60"/>
      <c r="G746" s="60"/>
      <c r="H746" s="60"/>
      <c r="I746" s="60"/>
      <c r="J746" s="60"/>
      <c r="K746" s="60"/>
      <c r="L746" s="60"/>
      <c r="M746" s="60"/>
      <c r="N746" s="60"/>
      <c r="O746" s="60"/>
      <c r="P746" s="60"/>
      <c r="Q746" s="60"/>
      <c r="R746" s="60"/>
      <c r="S746" s="60"/>
      <c r="T746" s="60"/>
      <c r="U746" s="60"/>
      <c r="V746" s="60"/>
      <c r="W746" s="60"/>
      <c r="X746" s="60"/>
      <c r="Y746" s="60"/>
      <c r="Z746" s="60"/>
    </row>
    <row r="747">
      <c r="A747" s="149"/>
      <c r="B747" s="150"/>
      <c r="C747" s="151"/>
      <c r="D747" s="140"/>
      <c r="E747" s="152"/>
      <c r="F747" s="60"/>
      <c r="G747" s="60"/>
      <c r="H747" s="60"/>
      <c r="I747" s="60"/>
      <c r="J747" s="60"/>
      <c r="K747" s="60"/>
      <c r="L747" s="60"/>
      <c r="M747" s="60"/>
      <c r="N747" s="60"/>
      <c r="O747" s="60"/>
      <c r="P747" s="60"/>
      <c r="Q747" s="60"/>
      <c r="R747" s="60"/>
      <c r="S747" s="60"/>
      <c r="T747" s="60"/>
      <c r="U747" s="60"/>
      <c r="V747" s="60"/>
      <c r="W747" s="60"/>
      <c r="X747" s="60"/>
      <c r="Y747" s="60"/>
      <c r="Z747" s="60"/>
    </row>
    <row r="748">
      <c r="A748" s="149"/>
      <c r="B748" s="150"/>
      <c r="C748" s="151"/>
      <c r="D748" s="140"/>
      <c r="E748" s="152"/>
      <c r="F748" s="60"/>
      <c r="G748" s="60"/>
      <c r="H748" s="60"/>
      <c r="I748" s="60"/>
      <c r="J748" s="60"/>
      <c r="K748" s="60"/>
      <c r="L748" s="60"/>
      <c r="M748" s="60"/>
      <c r="N748" s="60"/>
      <c r="O748" s="60"/>
      <c r="P748" s="60"/>
      <c r="Q748" s="60"/>
      <c r="R748" s="60"/>
      <c r="S748" s="60"/>
      <c r="T748" s="60"/>
      <c r="U748" s="60"/>
      <c r="V748" s="60"/>
      <c r="W748" s="60"/>
      <c r="X748" s="60"/>
      <c r="Y748" s="60"/>
      <c r="Z748" s="60"/>
    </row>
    <row r="749">
      <c r="A749" s="149"/>
      <c r="B749" s="150"/>
      <c r="C749" s="151"/>
      <c r="D749" s="140"/>
      <c r="E749" s="152"/>
      <c r="F749" s="60"/>
      <c r="G749" s="60"/>
      <c r="H749" s="60"/>
      <c r="I749" s="60"/>
      <c r="J749" s="60"/>
      <c r="K749" s="60"/>
      <c r="L749" s="60"/>
      <c r="M749" s="60"/>
      <c r="N749" s="60"/>
      <c r="O749" s="60"/>
      <c r="P749" s="60"/>
      <c r="Q749" s="60"/>
      <c r="R749" s="60"/>
      <c r="S749" s="60"/>
      <c r="T749" s="60"/>
      <c r="U749" s="60"/>
      <c r="V749" s="60"/>
      <c r="W749" s="60"/>
      <c r="X749" s="60"/>
      <c r="Y749" s="60"/>
      <c r="Z749" s="60"/>
    </row>
    <row r="750">
      <c r="A750" s="149"/>
      <c r="B750" s="150"/>
      <c r="C750" s="151"/>
      <c r="D750" s="140"/>
      <c r="E750" s="152"/>
      <c r="F750" s="60"/>
      <c r="G750" s="60"/>
      <c r="H750" s="60"/>
      <c r="I750" s="60"/>
      <c r="J750" s="60"/>
      <c r="K750" s="60"/>
      <c r="L750" s="60"/>
      <c r="M750" s="60"/>
      <c r="N750" s="60"/>
      <c r="O750" s="60"/>
      <c r="P750" s="60"/>
      <c r="Q750" s="60"/>
      <c r="R750" s="60"/>
      <c r="S750" s="60"/>
      <c r="T750" s="60"/>
      <c r="U750" s="60"/>
      <c r="V750" s="60"/>
      <c r="W750" s="60"/>
      <c r="X750" s="60"/>
      <c r="Y750" s="60"/>
      <c r="Z750" s="60"/>
    </row>
    <row r="751">
      <c r="A751" s="149"/>
      <c r="B751" s="150"/>
      <c r="C751" s="151"/>
      <c r="D751" s="140"/>
      <c r="E751" s="152"/>
      <c r="F751" s="60"/>
      <c r="G751" s="60"/>
      <c r="H751" s="60"/>
      <c r="I751" s="60"/>
      <c r="J751" s="60"/>
      <c r="K751" s="60"/>
      <c r="L751" s="60"/>
      <c r="M751" s="60"/>
      <c r="N751" s="60"/>
      <c r="O751" s="60"/>
      <c r="P751" s="60"/>
      <c r="Q751" s="60"/>
      <c r="R751" s="60"/>
      <c r="S751" s="60"/>
      <c r="T751" s="60"/>
      <c r="U751" s="60"/>
      <c r="V751" s="60"/>
      <c r="W751" s="60"/>
      <c r="X751" s="60"/>
      <c r="Y751" s="60"/>
      <c r="Z751" s="60"/>
    </row>
    <row r="752">
      <c r="A752" s="149"/>
      <c r="B752" s="150"/>
      <c r="C752" s="151"/>
      <c r="D752" s="140"/>
      <c r="E752" s="152"/>
      <c r="F752" s="60"/>
      <c r="G752" s="60"/>
      <c r="H752" s="60"/>
      <c r="I752" s="60"/>
      <c r="J752" s="60"/>
      <c r="K752" s="60"/>
      <c r="L752" s="60"/>
      <c r="M752" s="60"/>
      <c r="N752" s="60"/>
      <c r="O752" s="60"/>
      <c r="P752" s="60"/>
      <c r="Q752" s="60"/>
      <c r="R752" s="60"/>
      <c r="S752" s="60"/>
      <c r="T752" s="60"/>
      <c r="U752" s="60"/>
      <c r="V752" s="60"/>
      <c r="W752" s="60"/>
      <c r="X752" s="60"/>
      <c r="Y752" s="60"/>
      <c r="Z752" s="60"/>
    </row>
    <row r="753">
      <c r="A753" s="149"/>
      <c r="B753" s="150"/>
      <c r="C753" s="151"/>
      <c r="D753" s="140"/>
      <c r="E753" s="152"/>
      <c r="F753" s="60"/>
      <c r="G753" s="60"/>
      <c r="H753" s="60"/>
      <c r="I753" s="60"/>
      <c r="J753" s="60"/>
      <c r="K753" s="60"/>
      <c r="L753" s="60"/>
      <c r="M753" s="60"/>
      <c r="N753" s="60"/>
      <c r="O753" s="60"/>
      <c r="P753" s="60"/>
      <c r="Q753" s="60"/>
      <c r="R753" s="60"/>
      <c r="S753" s="60"/>
      <c r="T753" s="60"/>
      <c r="U753" s="60"/>
      <c r="V753" s="60"/>
      <c r="W753" s="60"/>
      <c r="X753" s="60"/>
      <c r="Y753" s="60"/>
      <c r="Z753" s="60"/>
    </row>
    <row r="754">
      <c r="A754" s="149"/>
      <c r="B754" s="150"/>
      <c r="C754" s="151"/>
      <c r="D754" s="140"/>
      <c r="E754" s="152"/>
      <c r="F754" s="60"/>
      <c r="G754" s="60"/>
      <c r="H754" s="60"/>
      <c r="I754" s="60"/>
      <c r="J754" s="60"/>
      <c r="K754" s="60"/>
      <c r="L754" s="60"/>
      <c r="M754" s="60"/>
      <c r="N754" s="60"/>
      <c r="O754" s="60"/>
      <c r="P754" s="60"/>
      <c r="Q754" s="60"/>
      <c r="R754" s="60"/>
      <c r="S754" s="60"/>
      <c r="T754" s="60"/>
      <c r="U754" s="60"/>
      <c r="V754" s="60"/>
      <c r="W754" s="60"/>
      <c r="X754" s="60"/>
      <c r="Y754" s="60"/>
      <c r="Z754" s="60"/>
    </row>
    <row r="755">
      <c r="A755" s="149"/>
      <c r="B755" s="150"/>
      <c r="C755" s="151"/>
      <c r="D755" s="140"/>
      <c r="E755" s="152"/>
      <c r="F755" s="60"/>
      <c r="G755" s="60"/>
      <c r="H755" s="60"/>
      <c r="I755" s="60"/>
      <c r="J755" s="60"/>
      <c r="K755" s="60"/>
      <c r="L755" s="60"/>
      <c r="M755" s="60"/>
      <c r="N755" s="60"/>
      <c r="O755" s="60"/>
      <c r="P755" s="60"/>
      <c r="Q755" s="60"/>
      <c r="R755" s="60"/>
      <c r="S755" s="60"/>
      <c r="T755" s="60"/>
      <c r="U755" s="60"/>
      <c r="V755" s="60"/>
      <c r="W755" s="60"/>
      <c r="X755" s="60"/>
      <c r="Y755" s="60"/>
      <c r="Z755" s="60"/>
    </row>
    <row r="756">
      <c r="A756" s="149"/>
      <c r="B756" s="150"/>
      <c r="C756" s="151"/>
      <c r="D756" s="140"/>
      <c r="E756" s="152"/>
      <c r="F756" s="60"/>
      <c r="G756" s="60"/>
      <c r="H756" s="60"/>
      <c r="I756" s="60"/>
      <c r="J756" s="60"/>
      <c r="K756" s="60"/>
      <c r="L756" s="60"/>
      <c r="M756" s="60"/>
      <c r="N756" s="60"/>
      <c r="O756" s="60"/>
      <c r="P756" s="60"/>
      <c r="Q756" s="60"/>
      <c r="R756" s="60"/>
      <c r="S756" s="60"/>
      <c r="T756" s="60"/>
      <c r="U756" s="60"/>
      <c r="V756" s="60"/>
      <c r="W756" s="60"/>
      <c r="X756" s="60"/>
      <c r="Y756" s="60"/>
      <c r="Z756" s="60"/>
    </row>
    <row r="757">
      <c r="A757" s="149"/>
      <c r="B757" s="150"/>
      <c r="C757" s="151"/>
      <c r="D757" s="140"/>
      <c r="E757" s="152"/>
      <c r="F757" s="60"/>
      <c r="G757" s="60"/>
      <c r="H757" s="60"/>
      <c r="I757" s="60"/>
      <c r="J757" s="60"/>
      <c r="K757" s="60"/>
      <c r="L757" s="60"/>
      <c r="M757" s="60"/>
      <c r="N757" s="60"/>
      <c r="O757" s="60"/>
      <c r="P757" s="60"/>
      <c r="Q757" s="60"/>
      <c r="R757" s="60"/>
      <c r="S757" s="60"/>
      <c r="T757" s="60"/>
      <c r="U757" s="60"/>
      <c r="V757" s="60"/>
      <c r="W757" s="60"/>
      <c r="X757" s="60"/>
      <c r="Y757" s="60"/>
      <c r="Z757" s="60"/>
    </row>
    <row r="758">
      <c r="A758" s="149"/>
      <c r="B758" s="150"/>
      <c r="C758" s="151"/>
      <c r="D758" s="140"/>
      <c r="E758" s="152"/>
      <c r="F758" s="60"/>
      <c r="G758" s="60"/>
      <c r="H758" s="60"/>
      <c r="I758" s="60"/>
      <c r="J758" s="60"/>
      <c r="K758" s="60"/>
      <c r="L758" s="60"/>
      <c r="M758" s="60"/>
      <c r="N758" s="60"/>
      <c r="O758" s="60"/>
      <c r="P758" s="60"/>
      <c r="Q758" s="60"/>
      <c r="R758" s="60"/>
      <c r="S758" s="60"/>
      <c r="T758" s="60"/>
      <c r="U758" s="60"/>
      <c r="V758" s="60"/>
      <c r="W758" s="60"/>
      <c r="X758" s="60"/>
      <c r="Y758" s="60"/>
      <c r="Z758" s="60"/>
    </row>
    <row r="759">
      <c r="A759" s="149"/>
      <c r="B759" s="150"/>
      <c r="C759" s="151"/>
      <c r="D759" s="140"/>
      <c r="E759" s="152"/>
      <c r="F759" s="60"/>
      <c r="G759" s="60"/>
      <c r="H759" s="60"/>
      <c r="I759" s="60"/>
      <c r="J759" s="60"/>
      <c r="K759" s="60"/>
      <c r="L759" s="60"/>
      <c r="M759" s="60"/>
      <c r="N759" s="60"/>
      <c r="O759" s="60"/>
      <c r="P759" s="60"/>
      <c r="Q759" s="60"/>
      <c r="R759" s="60"/>
      <c r="S759" s="60"/>
      <c r="T759" s="60"/>
      <c r="U759" s="60"/>
      <c r="V759" s="60"/>
      <c r="W759" s="60"/>
      <c r="X759" s="60"/>
      <c r="Y759" s="60"/>
      <c r="Z759" s="60"/>
    </row>
    <row r="760">
      <c r="A760" s="149"/>
      <c r="B760" s="150"/>
      <c r="C760" s="151"/>
      <c r="D760" s="140"/>
      <c r="E760" s="152"/>
      <c r="F760" s="60"/>
      <c r="G760" s="60"/>
      <c r="H760" s="60"/>
      <c r="I760" s="60"/>
      <c r="J760" s="60"/>
      <c r="K760" s="60"/>
      <c r="L760" s="60"/>
      <c r="M760" s="60"/>
      <c r="N760" s="60"/>
      <c r="O760" s="60"/>
      <c r="P760" s="60"/>
      <c r="Q760" s="60"/>
      <c r="R760" s="60"/>
      <c r="S760" s="60"/>
      <c r="T760" s="60"/>
      <c r="U760" s="60"/>
      <c r="V760" s="60"/>
      <c r="W760" s="60"/>
      <c r="X760" s="60"/>
      <c r="Y760" s="60"/>
      <c r="Z760" s="60"/>
    </row>
    <row r="761">
      <c r="A761" s="149"/>
      <c r="B761" s="150"/>
      <c r="C761" s="151"/>
      <c r="D761" s="140"/>
      <c r="E761" s="152"/>
      <c r="F761" s="60"/>
      <c r="G761" s="60"/>
      <c r="H761" s="60"/>
      <c r="I761" s="60"/>
      <c r="J761" s="60"/>
      <c r="K761" s="60"/>
      <c r="L761" s="60"/>
      <c r="M761" s="60"/>
      <c r="N761" s="60"/>
      <c r="O761" s="60"/>
      <c r="P761" s="60"/>
      <c r="Q761" s="60"/>
      <c r="R761" s="60"/>
      <c r="S761" s="60"/>
      <c r="T761" s="60"/>
      <c r="U761" s="60"/>
      <c r="V761" s="60"/>
      <c r="W761" s="60"/>
      <c r="X761" s="60"/>
      <c r="Y761" s="60"/>
      <c r="Z761" s="60"/>
    </row>
    <row r="762">
      <c r="A762" s="149"/>
      <c r="B762" s="150"/>
      <c r="C762" s="151"/>
      <c r="D762" s="140"/>
      <c r="E762" s="152"/>
      <c r="F762" s="60"/>
      <c r="G762" s="60"/>
      <c r="H762" s="60"/>
      <c r="I762" s="60"/>
      <c r="J762" s="60"/>
      <c r="K762" s="60"/>
      <c r="L762" s="60"/>
      <c r="M762" s="60"/>
      <c r="N762" s="60"/>
      <c r="O762" s="60"/>
      <c r="P762" s="60"/>
      <c r="Q762" s="60"/>
      <c r="R762" s="60"/>
      <c r="S762" s="60"/>
      <c r="T762" s="60"/>
      <c r="U762" s="60"/>
      <c r="V762" s="60"/>
      <c r="W762" s="60"/>
      <c r="X762" s="60"/>
      <c r="Y762" s="60"/>
      <c r="Z762" s="60"/>
    </row>
    <row r="763">
      <c r="A763" s="149"/>
      <c r="B763" s="150"/>
      <c r="C763" s="151"/>
      <c r="D763" s="140"/>
      <c r="E763" s="152"/>
      <c r="F763" s="60"/>
      <c r="G763" s="60"/>
      <c r="H763" s="60"/>
      <c r="I763" s="60"/>
      <c r="J763" s="60"/>
      <c r="K763" s="60"/>
      <c r="L763" s="60"/>
      <c r="M763" s="60"/>
      <c r="N763" s="60"/>
      <c r="O763" s="60"/>
      <c r="P763" s="60"/>
      <c r="Q763" s="60"/>
      <c r="R763" s="60"/>
      <c r="S763" s="60"/>
      <c r="T763" s="60"/>
      <c r="U763" s="60"/>
      <c r="V763" s="60"/>
      <c r="W763" s="60"/>
      <c r="X763" s="60"/>
      <c r="Y763" s="60"/>
      <c r="Z763" s="60"/>
    </row>
    <row r="764">
      <c r="A764" s="149"/>
      <c r="B764" s="150"/>
      <c r="C764" s="151"/>
      <c r="D764" s="140"/>
      <c r="E764" s="152"/>
      <c r="F764" s="60"/>
      <c r="G764" s="60"/>
      <c r="H764" s="60"/>
      <c r="I764" s="60"/>
      <c r="J764" s="60"/>
      <c r="K764" s="60"/>
      <c r="L764" s="60"/>
      <c r="M764" s="60"/>
      <c r="N764" s="60"/>
      <c r="O764" s="60"/>
      <c r="P764" s="60"/>
      <c r="Q764" s="60"/>
      <c r="R764" s="60"/>
      <c r="S764" s="60"/>
      <c r="T764" s="60"/>
      <c r="U764" s="60"/>
      <c r="V764" s="60"/>
      <c r="W764" s="60"/>
      <c r="X764" s="60"/>
      <c r="Y764" s="60"/>
      <c r="Z764" s="60"/>
    </row>
    <row r="765">
      <c r="A765" s="149"/>
      <c r="B765" s="150"/>
      <c r="C765" s="151"/>
      <c r="D765" s="140"/>
      <c r="E765" s="152"/>
      <c r="F765" s="60"/>
      <c r="G765" s="60"/>
      <c r="H765" s="60"/>
      <c r="I765" s="60"/>
      <c r="J765" s="60"/>
      <c r="K765" s="60"/>
      <c r="L765" s="60"/>
      <c r="M765" s="60"/>
      <c r="N765" s="60"/>
      <c r="O765" s="60"/>
      <c r="P765" s="60"/>
      <c r="Q765" s="60"/>
      <c r="R765" s="60"/>
      <c r="S765" s="60"/>
      <c r="T765" s="60"/>
      <c r="U765" s="60"/>
      <c r="V765" s="60"/>
      <c r="W765" s="60"/>
      <c r="X765" s="60"/>
      <c r="Y765" s="60"/>
      <c r="Z765" s="60"/>
    </row>
    <row r="766">
      <c r="A766" s="149"/>
      <c r="B766" s="150"/>
      <c r="C766" s="151"/>
      <c r="D766" s="140"/>
      <c r="E766" s="152"/>
      <c r="F766" s="60"/>
      <c r="G766" s="60"/>
      <c r="H766" s="60"/>
      <c r="I766" s="60"/>
      <c r="J766" s="60"/>
      <c r="K766" s="60"/>
      <c r="L766" s="60"/>
      <c r="M766" s="60"/>
      <c r="N766" s="60"/>
      <c r="O766" s="60"/>
      <c r="P766" s="60"/>
      <c r="Q766" s="60"/>
      <c r="R766" s="60"/>
      <c r="S766" s="60"/>
      <c r="T766" s="60"/>
      <c r="U766" s="60"/>
      <c r="V766" s="60"/>
      <c r="W766" s="60"/>
      <c r="X766" s="60"/>
      <c r="Y766" s="60"/>
      <c r="Z766" s="60"/>
    </row>
    <row r="767">
      <c r="A767" s="149"/>
      <c r="B767" s="150"/>
      <c r="C767" s="151"/>
      <c r="D767" s="140"/>
      <c r="E767" s="152"/>
      <c r="F767" s="60"/>
      <c r="G767" s="60"/>
      <c r="H767" s="60"/>
      <c r="I767" s="60"/>
      <c r="J767" s="60"/>
      <c r="K767" s="60"/>
      <c r="L767" s="60"/>
      <c r="M767" s="60"/>
      <c r="N767" s="60"/>
      <c r="O767" s="60"/>
      <c r="P767" s="60"/>
      <c r="Q767" s="60"/>
      <c r="R767" s="60"/>
      <c r="S767" s="60"/>
      <c r="T767" s="60"/>
      <c r="U767" s="60"/>
      <c r="V767" s="60"/>
      <c r="W767" s="60"/>
      <c r="X767" s="60"/>
      <c r="Y767" s="60"/>
      <c r="Z767" s="60"/>
    </row>
    <row r="768">
      <c r="A768" s="149"/>
      <c r="B768" s="150"/>
      <c r="C768" s="151"/>
      <c r="D768" s="140"/>
      <c r="E768" s="152"/>
      <c r="F768" s="60"/>
      <c r="G768" s="60"/>
      <c r="H768" s="60"/>
      <c r="I768" s="60"/>
      <c r="J768" s="60"/>
      <c r="K768" s="60"/>
      <c r="L768" s="60"/>
      <c r="M768" s="60"/>
      <c r="N768" s="60"/>
      <c r="O768" s="60"/>
      <c r="P768" s="60"/>
      <c r="Q768" s="60"/>
      <c r="R768" s="60"/>
      <c r="S768" s="60"/>
      <c r="T768" s="60"/>
      <c r="U768" s="60"/>
      <c r="V768" s="60"/>
      <c r="W768" s="60"/>
      <c r="X768" s="60"/>
      <c r="Y768" s="60"/>
      <c r="Z768" s="60"/>
    </row>
    <row r="769">
      <c r="A769" s="149"/>
      <c r="B769" s="150"/>
      <c r="C769" s="151"/>
      <c r="D769" s="140"/>
      <c r="E769" s="152"/>
      <c r="F769" s="60"/>
      <c r="G769" s="60"/>
      <c r="H769" s="60"/>
      <c r="I769" s="60"/>
      <c r="J769" s="60"/>
      <c r="K769" s="60"/>
      <c r="L769" s="60"/>
      <c r="M769" s="60"/>
      <c r="N769" s="60"/>
      <c r="O769" s="60"/>
      <c r="P769" s="60"/>
      <c r="Q769" s="60"/>
      <c r="R769" s="60"/>
      <c r="S769" s="60"/>
      <c r="T769" s="60"/>
      <c r="U769" s="60"/>
      <c r="V769" s="60"/>
      <c r="W769" s="60"/>
      <c r="X769" s="60"/>
      <c r="Y769" s="60"/>
      <c r="Z769" s="60"/>
    </row>
    <row r="770">
      <c r="A770" s="149"/>
      <c r="B770" s="150"/>
      <c r="C770" s="151"/>
      <c r="D770" s="140"/>
      <c r="E770" s="152"/>
      <c r="F770" s="60"/>
      <c r="G770" s="60"/>
      <c r="H770" s="60"/>
      <c r="I770" s="60"/>
      <c r="J770" s="60"/>
      <c r="K770" s="60"/>
      <c r="L770" s="60"/>
      <c r="M770" s="60"/>
      <c r="N770" s="60"/>
      <c r="O770" s="60"/>
      <c r="P770" s="60"/>
      <c r="Q770" s="60"/>
      <c r="R770" s="60"/>
      <c r="S770" s="60"/>
      <c r="T770" s="60"/>
      <c r="U770" s="60"/>
      <c r="V770" s="60"/>
      <c r="W770" s="60"/>
      <c r="X770" s="60"/>
      <c r="Y770" s="60"/>
      <c r="Z770" s="60"/>
    </row>
    <row r="771">
      <c r="A771" s="149"/>
      <c r="B771" s="150"/>
      <c r="C771" s="151"/>
      <c r="D771" s="140"/>
      <c r="E771" s="152"/>
      <c r="F771" s="60"/>
      <c r="G771" s="60"/>
      <c r="H771" s="60"/>
      <c r="I771" s="60"/>
      <c r="J771" s="60"/>
      <c r="K771" s="60"/>
      <c r="L771" s="60"/>
      <c r="M771" s="60"/>
      <c r="N771" s="60"/>
      <c r="O771" s="60"/>
      <c r="P771" s="60"/>
      <c r="Q771" s="60"/>
      <c r="R771" s="60"/>
      <c r="S771" s="60"/>
      <c r="T771" s="60"/>
      <c r="U771" s="60"/>
      <c r="V771" s="60"/>
      <c r="W771" s="60"/>
      <c r="X771" s="60"/>
      <c r="Y771" s="60"/>
      <c r="Z771" s="60"/>
    </row>
    <row r="772">
      <c r="A772" s="149"/>
      <c r="B772" s="150"/>
      <c r="C772" s="151"/>
      <c r="D772" s="140"/>
      <c r="E772" s="152"/>
      <c r="F772" s="60"/>
      <c r="G772" s="60"/>
      <c r="H772" s="60"/>
      <c r="I772" s="60"/>
      <c r="J772" s="60"/>
      <c r="K772" s="60"/>
      <c r="L772" s="60"/>
      <c r="M772" s="60"/>
      <c r="N772" s="60"/>
      <c r="O772" s="60"/>
      <c r="P772" s="60"/>
      <c r="Q772" s="60"/>
      <c r="R772" s="60"/>
      <c r="S772" s="60"/>
      <c r="T772" s="60"/>
      <c r="U772" s="60"/>
      <c r="V772" s="60"/>
      <c r="W772" s="60"/>
      <c r="X772" s="60"/>
      <c r="Y772" s="60"/>
      <c r="Z772" s="60"/>
    </row>
    <row r="773">
      <c r="A773" s="149"/>
      <c r="B773" s="150"/>
      <c r="C773" s="151"/>
      <c r="D773" s="140"/>
      <c r="E773" s="152"/>
      <c r="F773" s="60"/>
      <c r="G773" s="60"/>
      <c r="H773" s="60"/>
      <c r="I773" s="60"/>
      <c r="J773" s="60"/>
      <c r="K773" s="60"/>
      <c r="L773" s="60"/>
      <c r="M773" s="60"/>
      <c r="N773" s="60"/>
      <c r="O773" s="60"/>
      <c r="P773" s="60"/>
      <c r="Q773" s="60"/>
      <c r="R773" s="60"/>
      <c r="S773" s="60"/>
      <c r="T773" s="60"/>
      <c r="U773" s="60"/>
      <c r="V773" s="60"/>
      <c r="W773" s="60"/>
      <c r="X773" s="60"/>
      <c r="Y773" s="60"/>
      <c r="Z773" s="60"/>
    </row>
    <row r="774">
      <c r="A774" s="149"/>
      <c r="B774" s="150"/>
      <c r="C774" s="151"/>
      <c r="D774" s="140"/>
      <c r="E774" s="152"/>
      <c r="F774" s="60"/>
      <c r="G774" s="60"/>
      <c r="H774" s="60"/>
      <c r="I774" s="60"/>
      <c r="J774" s="60"/>
      <c r="K774" s="60"/>
      <c r="L774" s="60"/>
      <c r="M774" s="60"/>
      <c r="N774" s="60"/>
      <c r="O774" s="60"/>
      <c r="P774" s="60"/>
      <c r="Q774" s="60"/>
      <c r="R774" s="60"/>
      <c r="S774" s="60"/>
      <c r="T774" s="60"/>
      <c r="U774" s="60"/>
      <c r="V774" s="60"/>
      <c r="W774" s="60"/>
      <c r="X774" s="60"/>
      <c r="Y774" s="60"/>
      <c r="Z774" s="60"/>
    </row>
    <row r="775">
      <c r="A775" s="149"/>
      <c r="B775" s="150"/>
      <c r="C775" s="151"/>
      <c r="D775" s="140"/>
      <c r="E775" s="152"/>
      <c r="F775" s="60"/>
      <c r="G775" s="60"/>
      <c r="H775" s="60"/>
      <c r="I775" s="60"/>
      <c r="J775" s="60"/>
      <c r="K775" s="60"/>
      <c r="L775" s="60"/>
      <c r="M775" s="60"/>
      <c r="N775" s="60"/>
      <c r="O775" s="60"/>
      <c r="P775" s="60"/>
      <c r="Q775" s="60"/>
      <c r="R775" s="60"/>
      <c r="S775" s="60"/>
      <c r="T775" s="60"/>
      <c r="U775" s="60"/>
      <c r="V775" s="60"/>
      <c r="W775" s="60"/>
      <c r="X775" s="60"/>
      <c r="Y775" s="60"/>
      <c r="Z775" s="60"/>
    </row>
    <row r="776">
      <c r="A776" s="149"/>
      <c r="B776" s="150"/>
      <c r="C776" s="151"/>
      <c r="D776" s="140"/>
      <c r="E776" s="152"/>
      <c r="F776" s="60"/>
      <c r="G776" s="60"/>
      <c r="H776" s="60"/>
      <c r="I776" s="60"/>
      <c r="J776" s="60"/>
      <c r="K776" s="60"/>
      <c r="L776" s="60"/>
      <c r="M776" s="60"/>
      <c r="N776" s="60"/>
      <c r="O776" s="60"/>
      <c r="P776" s="60"/>
      <c r="Q776" s="60"/>
      <c r="R776" s="60"/>
      <c r="S776" s="60"/>
      <c r="T776" s="60"/>
      <c r="U776" s="60"/>
      <c r="V776" s="60"/>
      <c r="W776" s="60"/>
      <c r="X776" s="60"/>
      <c r="Y776" s="60"/>
      <c r="Z776" s="60"/>
    </row>
    <row r="777">
      <c r="A777" s="149"/>
      <c r="B777" s="150"/>
      <c r="C777" s="151"/>
      <c r="D777" s="140"/>
      <c r="E777" s="152"/>
      <c r="F777" s="60"/>
      <c r="G777" s="60"/>
      <c r="H777" s="60"/>
      <c r="I777" s="60"/>
      <c r="J777" s="60"/>
      <c r="K777" s="60"/>
      <c r="L777" s="60"/>
      <c r="M777" s="60"/>
      <c r="N777" s="60"/>
      <c r="O777" s="60"/>
      <c r="P777" s="60"/>
      <c r="Q777" s="60"/>
      <c r="R777" s="60"/>
      <c r="S777" s="60"/>
      <c r="T777" s="60"/>
      <c r="U777" s="60"/>
      <c r="V777" s="60"/>
      <c r="W777" s="60"/>
      <c r="X777" s="60"/>
      <c r="Y777" s="60"/>
      <c r="Z777" s="60"/>
    </row>
    <row r="778">
      <c r="A778" s="149"/>
      <c r="B778" s="150"/>
      <c r="C778" s="60"/>
      <c r="D778" s="151"/>
      <c r="E778" s="152"/>
      <c r="F778" s="60"/>
      <c r="G778" s="60"/>
      <c r="H778" s="60"/>
      <c r="I778" s="60"/>
      <c r="J778" s="60"/>
      <c r="K778" s="60"/>
      <c r="L778" s="60"/>
      <c r="M778" s="60"/>
      <c r="N778" s="60"/>
      <c r="O778" s="60"/>
      <c r="P778" s="60"/>
      <c r="Q778" s="60"/>
      <c r="R778" s="60"/>
      <c r="S778" s="60"/>
      <c r="T778" s="60"/>
      <c r="U778" s="60"/>
      <c r="V778" s="60"/>
      <c r="W778" s="60"/>
      <c r="X778" s="60"/>
      <c r="Y778" s="60"/>
      <c r="Z778" s="60"/>
    </row>
    <row r="779">
      <c r="A779" s="149"/>
      <c r="B779" s="150"/>
      <c r="C779" s="151"/>
      <c r="D779" s="140"/>
      <c r="E779" s="152"/>
      <c r="F779" s="60"/>
      <c r="G779" s="60"/>
      <c r="H779" s="60"/>
      <c r="I779" s="60"/>
      <c r="J779" s="60"/>
      <c r="K779" s="60"/>
      <c r="L779" s="60"/>
      <c r="M779" s="60"/>
      <c r="N779" s="60"/>
      <c r="O779" s="60"/>
      <c r="P779" s="60"/>
      <c r="Q779" s="60"/>
      <c r="R779" s="60"/>
      <c r="S779" s="60"/>
      <c r="T779" s="60"/>
      <c r="U779" s="60"/>
      <c r="V779" s="60"/>
      <c r="W779" s="60"/>
      <c r="X779" s="60"/>
      <c r="Y779" s="60"/>
      <c r="Z779" s="60"/>
    </row>
    <row r="780">
      <c r="A780" s="149"/>
      <c r="B780" s="150"/>
      <c r="C780" s="151"/>
      <c r="D780" s="140"/>
      <c r="E780" s="152"/>
      <c r="F780" s="60"/>
      <c r="G780" s="60"/>
      <c r="H780" s="60"/>
      <c r="I780" s="60"/>
      <c r="J780" s="60"/>
      <c r="K780" s="60"/>
      <c r="L780" s="60"/>
      <c r="M780" s="60"/>
      <c r="N780" s="60"/>
      <c r="O780" s="60"/>
      <c r="P780" s="60"/>
      <c r="Q780" s="60"/>
      <c r="R780" s="60"/>
      <c r="S780" s="60"/>
      <c r="T780" s="60"/>
      <c r="U780" s="60"/>
      <c r="V780" s="60"/>
      <c r="W780" s="60"/>
      <c r="X780" s="60"/>
      <c r="Y780" s="60"/>
      <c r="Z780" s="60"/>
    </row>
    <row r="781">
      <c r="A781" s="149"/>
      <c r="B781" s="150"/>
      <c r="C781" s="151"/>
      <c r="D781" s="140"/>
      <c r="E781" s="152"/>
      <c r="F781" s="60"/>
      <c r="G781" s="60"/>
      <c r="H781" s="60"/>
      <c r="I781" s="60"/>
      <c r="J781" s="60"/>
      <c r="K781" s="60"/>
      <c r="L781" s="60"/>
      <c r="M781" s="60"/>
      <c r="N781" s="60"/>
      <c r="O781" s="60"/>
      <c r="P781" s="60"/>
      <c r="Q781" s="60"/>
      <c r="R781" s="60"/>
      <c r="S781" s="60"/>
      <c r="T781" s="60"/>
      <c r="U781" s="60"/>
      <c r="V781" s="60"/>
      <c r="W781" s="60"/>
      <c r="X781" s="60"/>
      <c r="Y781" s="60"/>
      <c r="Z781" s="60"/>
    </row>
    <row r="782">
      <c r="A782" s="149"/>
      <c r="B782" s="150"/>
      <c r="C782" s="151"/>
      <c r="D782" s="140"/>
      <c r="E782" s="152"/>
      <c r="F782" s="60"/>
      <c r="G782" s="60"/>
      <c r="H782" s="60"/>
      <c r="I782" s="60"/>
      <c r="J782" s="60"/>
      <c r="K782" s="60"/>
      <c r="L782" s="60"/>
      <c r="M782" s="60"/>
      <c r="N782" s="60"/>
      <c r="O782" s="60"/>
      <c r="P782" s="60"/>
      <c r="Q782" s="60"/>
      <c r="R782" s="60"/>
      <c r="S782" s="60"/>
      <c r="T782" s="60"/>
      <c r="U782" s="60"/>
      <c r="V782" s="60"/>
      <c r="W782" s="60"/>
      <c r="X782" s="60"/>
      <c r="Y782" s="60"/>
      <c r="Z782" s="60"/>
    </row>
    <row r="783">
      <c r="A783" s="149"/>
      <c r="B783" s="150"/>
      <c r="C783" s="151"/>
      <c r="D783" s="140"/>
      <c r="E783" s="152"/>
      <c r="F783" s="60"/>
      <c r="G783" s="60"/>
      <c r="H783" s="60"/>
      <c r="I783" s="60"/>
      <c r="J783" s="60"/>
      <c r="K783" s="60"/>
      <c r="L783" s="60"/>
      <c r="M783" s="60"/>
      <c r="N783" s="60"/>
      <c r="O783" s="60"/>
      <c r="P783" s="60"/>
      <c r="Q783" s="60"/>
      <c r="R783" s="60"/>
      <c r="S783" s="60"/>
      <c r="T783" s="60"/>
      <c r="U783" s="60"/>
      <c r="V783" s="60"/>
      <c r="W783" s="60"/>
      <c r="X783" s="60"/>
      <c r="Y783" s="60"/>
      <c r="Z783" s="60"/>
    </row>
    <row r="784">
      <c r="A784" s="149"/>
      <c r="B784" s="150"/>
      <c r="C784" s="151"/>
      <c r="D784" s="140"/>
      <c r="E784" s="152"/>
      <c r="F784" s="60"/>
      <c r="G784" s="60"/>
      <c r="H784" s="60"/>
      <c r="I784" s="60"/>
      <c r="J784" s="60"/>
      <c r="K784" s="60"/>
      <c r="L784" s="60"/>
      <c r="M784" s="60"/>
      <c r="N784" s="60"/>
      <c r="O784" s="60"/>
      <c r="P784" s="60"/>
      <c r="Q784" s="60"/>
      <c r="R784" s="60"/>
      <c r="S784" s="60"/>
      <c r="T784" s="60"/>
      <c r="U784" s="60"/>
      <c r="V784" s="60"/>
      <c r="W784" s="60"/>
      <c r="X784" s="60"/>
      <c r="Y784" s="60"/>
      <c r="Z784" s="60"/>
    </row>
    <row r="785">
      <c r="A785" s="149"/>
      <c r="B785" s="150"/>
      <c r="C785" s="151"/>
      <c r="D785" s="140"/>
      <c r="E785" s="152"/>
      <c r="F785" s="60"/>
      <c r="G785" s="60"/>
      <c r="H785" s="60"/>
      <c r="I785" s="60"/>
      <c r="J785" s="60"/>
      <c r="K785" s="60"/>
      <c r="L785" s="60"/>
      <c r="M785" s="60"/>
      <c r="N785" s="60"/>
      <c r="O785" s="60"/>
      <c r="P785" s="60"/>
      <c r="Q785" s="60"/>
      <c r="R785" s="60"/>
      <c r="S785" s="60"/>
      <c r="T785" s="60"/>
      <c r="U785" s="60"/>
      <c r="V785" s="60"/>
      <c r="W785" s="60"/>
      <c r="X785" s="60"/>
      <c r="Y785" s="60"/>
      <c r="Z785" s="60"/>
    </row>
    <row r="786">
      <c r="A786" s="149"/>
      <c r="B786" s="150"/>
      <c r="C786" s="151"/>
      <c r="D786" s="140"/>
      <c r="E786" s="152"/>
      <c r="F786" s="60"/>
      <c r="G786" s="60"/>
      <c r="H786" s="60"/>
      <c r="I786" s="60"/>
      <c r="J786" s="60"/>
      <c r="K786" s="60"/>
      <c r="L786" s="60"/>
      <c r="M786" s="60"/>
      <c r="N786" s="60"/>
      <c r="O786" s="60"/>
      <c r="P786" s="60"/>
      <c r="Q786" s="60"/>
      <c r="R786" s="60"/>
      <c r="S786" s="60"/>
      <c r="T786" s="60"/>
      <c r="U786" s="60"/>
      <c r="V786" s="60"/>
      <c r="W786" s="60"/>
      <c r="X786" s="60"/>
      <c r="Y786" s="60"/>
      <c r="Z786" s="60"/>
    </row>
    <row r="787">
      <c r="A787" s="149"/>
      <c r="B787" s="150"/>
      <c r="C787" s="151"/>
      <c r="D787" s="140"/>
      <c r="E787" s="152"/>
      <c r="F787" s="60"/>
      <c r="G787" s="60"/>
      <c r="H787" s="60"/>
      <c r="I787" s="60"/>
      <c r="J787" s="60"/>
      <c r="K787" s="60"/>
      <c r="L787" s="60"/>
      <c r="M787" s="60"/>
      <c r="N787" s="60"/>
      <c r="O787" s="60"/>
      <c r="P787" s="60"/>
      <c r="Q787" s="60"/>
      <c r="R787" s="60"/>
      <c r="S787" s="60"/>
      <c r="T787" s="60"/>
      <c r="U787" s="60"/>
      <c r="V787" s="60"/>
      <c r="W787" s="60"/>
      <c r="X787" s="60"/>
      <c r="Y787" s="60"/>
      <c r="Z787" s="60"/>
    </row>
    <row r="788">
      <c r="A788" s="149"/>
      <c r="B788" s="150"/>
      <c r="C788" s="151"/>
      <c r="D788" s="140"/>
      <c r="E788" s="152"/>
      <c r="F788" s="60"/>
      <c r="G788" s="60"/>
      <c r="H788" s="60"/>
      <c r="I788" s="60"/>
      <c r="J788" s="60"/>
      <c r="K788" s="60"/>
      <c r="L788" s="60"/>
      <c r="M788" s="60"/>
      <c r="N788" s="60"/>
      <c r="O788" s="60"/>
      <c r="P788" s="60"/>
      <c r="Q788" s="60"/>
      <c r="R788" s="60"/>
      <c r="S788" s="60"/>
      <c r="T788" s="60"/>
      <c r="U788" s="60"/>
      <c r="V788" s="60"/>
      <c r="W788" s="60"/>
      <c r="X788" s="60"/>
      <c r="Y788" s="60"/>
      <c r="Z788" s="60"/>
    </row>
    <row r="789">
      <c r="A789" s="149"/>
      <c r="B789" s="150"/>
      <c r="C789" s="151"/>
      <c r="D789" s="140"/>
      <c r="E789" s="152"/>
      <c r="F789" s="60"/>
      <c r="G789" s="60"/>
      <c r="H789" s="60"/>
      <c r="I789" s="60"/>
      <c r="J789" s="60"/>
      <c r="K789" s="60"/>
      <c r="L789" s="60"/>
      <c r="M789" s="60"/>
      <c r="N789" s="60"/>
      <c r="O789" s="60"/>
      <c r="P789" s="60"/>
      <c r="Q789" s="60"/>
      <c r="R789" s="60"/>
      <c r="S789" s="60"/>
      <c r="T789" s="60"/>
      <c r="U789" s="60"/>
      <c r="V789" s="60"/>
      <c r="W789" s="60"/>
      <c r="X789" s="60"/>
      <c r="Y789" s="60"/>
      <c r="Z789" s="60"/>
    </row>
    <row r="790">
      <c r="A790" s="149"/>
      <c r="B790" s="150"/>
      <c r="C790" s="151"/>
      <c r="D790" s="140"/>
      <c r="E790" s="152"/>
      <c r="F790" s="60"/>
      <c r="G790" s="60"/>
      <c r="H790" s="60"/>
      <c r="I790" s="60"/>
      <c r="J790" s="60"/>
      <c r="K790" s="60"/>
      <c r="L790" s="60"/>
      <c r="M790" s="60"/>
      <c r="N790" s="60"/>
      <c r="O790" s="60"/>
      <c r="P790" s="60"/>
      <c r="Q790" s="60"/>
      <c r="R790" s="60"/>
      <c r="S790" s="60"/>
      <c r="T790" s="60"/>
      <c r="U790" s="60"/>
      <c r="V790" s="60"/>
      <c r="W790" s="60"/>
      <c r="X790" s="60"/>
      <c r="Y790" s="60"/>
      <c r="Z790" s="60"/>
    </row>
    <row r="791">
      <c r="A791" s="149"/>
      <c r="B791" s="150"/>
      <c r="C791" s="151"/>
      <c r="D791" s="140"/>
      <c r="E791" s="152"/>
      <c r="F791" s="60"/>
      <c r="G791" s="60"/>
      <c r="H791" s="60"/>
      <c r="I791" s="60"/>
      <c r="J791" s="60"/>
      <c r="K791" s="60"/>
      <c r="L791" s="60"/>
      <c r="M791" s="60"/>
      <c r="N791" s="60"/>
      <c r="O791" s="60"/>
      <c r="P791" s="60"/>
      <c r="Q791" s="60"/>
      <c r="R791" s="60"/>
      <c r="S791" s="60"/>
      <c r="T791" s="60"/>
      <c r="U791" s="60"/>
      <c r="V791" s="60"/>
      <c r="W791" s="60"/>
      <c r="X791" s="60"/>
      <c r="Y791" s="60"/>
      <c r="Z791" s="60"/>
    </row>
    <row r="792">
      <c r="A792" s="149"/>
      <c r="B792" s="150"/>
      <c r="C792" s="151"/>
      <c r="D792" s="140"/>
      <c r="E792" s="152"/>
      <c r="F792" s="60"/>
      <c r="G792" s="60"/>
      <c r="H792" s="60"/>
      <c r="I792" s="60"/>
      <c r="J792" s="60"/>
      <c r="K792" s="60"/>
      <c r="L792" s="60"/>
      <c r="M792" s="60"/>
      <c r="N792" s="60"/>
      <c r="O792" s="60"/>
      <c r="P792" s="60"/>
      <c r="Q792" s="60"/>
      <c r="R792" s="60"/>
      <c r="S792" s="60"/>
      <c r="T792" s="60"/>
      <c r="U792" s="60"/>
      <c r="V792" s="60"/>
      <c r="W792" s="60"/>
      <c r="X792" s="60"/>
      <c r="Y792" s="60"/>
      <c r="Z792" s="60"/>
    </row>
    <row r="793">
      <c r="A793" s="149"/>
      <c r="B793" s="150"/>
      <c r="C793" s="151"/>
      <c r="D793" s="140"/>
      <c r="E793" s="152"/>
      <c r="F793" s="60"/>
      <c r="G793" s="60"/>
      <c r="H793" s="60"/>
      <c r="I793" s="60"/>
      <c r="J793" s="60"/>
      <c r="K793" s="60"/>
      <c r="L793" s="60"/>
      <c r="M793" s="60"/>
      <c r="N793" s="60"/>
      <c r="O793" s="60"/>
      <c r="P793" s="60"/>
      <c r="Q793" s="60"/>
      <c r="R793" s="60"/>
      <c r="S793" s="60"/>
      <c r="T793" s="60"/>
      <c r="U793" s="60"/>
      <c r="V793" s="60"/>
      <c r="W793" s="60"/>
      <c r="X793" s="60"/>
      <c r="Y793" s="60"/>
      <c r="Z793" s="60"/>
    </row>
    <row r="794">
      <c r="A794" s="149"/>
      <c r="B794" s="150"/>
      <c r="C794" s="151"/>
      <c r="D794" s="140"/>
      <c r="E794" s="152"/>
      <c r="F794" s="60"/>
      <c r="G794" s="60"/>
      <c r="H794" s="60"/>
      <c r="I794" s="60"/>
      <c r="J794" s="60"/>
      <c r="K794" s="60"/>
      <c r="L794" s="60"/>
      <c r="M794" s="60"/>
      <c r="N794" s="60"/>
      <c r="O794" s="60"/>
      <c r="P794" s="60"/>
      <c r="Q794" s="60"/>
      <c r="R794" s="60"/>
      <c r="S794" s="60"/>
      <c r="T794" s="60"/>
      <c r="U794" s="60"/>
      <c r="V794" s="60"/>
      <c r="W794" s="60"/>
      <c r="X794" s="60"/>
      <c r="Y794" s="60"/>
      <c r="Z794" s="60"/>
    </row>
    <row r="795">
      <c r="A795" s="149"/>
      <c r="B795" s="150"/>
      <c r="C795" s="151"/>
      <c r="D795" s="140"/>
      <c r="E795" s="152"/>
      <c r="F795" s="60"/>
      <c r="G795" s="60"/>
      <c r="H795" s="60"/>
      <c r="I795" s="60"/>
      <c r="J795" s="60"/>
      <c r="K795" s="60"/>
      <c r="L795" s="60"/>
      <c r="M795" s="60"/>
      <c r="N795" s="60"/>
      <c r="O795" s="60"/>
      <c r="P795" s="60"/>
      <c r="Q795" s="60"/>
      <c r="R795" s="60"/>
      <c r="S795" s="60"/>
      <c r="T795" s="60"/>
      <c r="U795" s="60"/>
      <c r="V795" s="60"/>
      <c r="W795" s="60"/>
      <c r="X795" s="60"/>
      <c r="Y795" s="60"/>
      <c r="Z795" s="60"/>
    </row>
    <row r="796">
      <c r="A796" s="149"/>
      <c r="B796" s="150"/>
      <c r="C796" s="151"/>
      <c r="D796" s="140"/>
      <c r="E796" s="152"/>
      <c r="F796" s="60"/>
      <c r="G796" s="60"/>
      <c r="H796" s="60"/>
      <c r="I796" s="60"/>
      <c r="J796" s="60"/>
      <c r="K796" s="60"/>
      <c r="L796" s="60"/>
      <c r="M796" s="60"/>
      <c r="N796" s="60"/>
      <c r="O796" s="60"/>
      <c r="P796" s="60"/>
      <c r="Q796" s="60"/>
      <c r="R796" s="60"/>
      <c r="S796" s="60"/>
      <c r="T796" s="60"/>
      <c r="U796" s="60"/>
      <c r="V796" s="60"/>
      <c r="W796" s="60"/>
      <c r="X796" s="60"/>
      <c r="Y796" s="60"/>
      <c r="Z796" s="60"/>
    </row>
    <row r="797">
      <c r="A797" s="149"/>
      <c r="B797" s="150"/>
      <c r="C797" s="151"/>
      <c r="D797" s="140"/>
      <c r="E797" s="152"/>
      <c r="F797" s="60"/>
      <c r="G797" s="60"/>
      <c r="H797" s="60"/>
      <c r="I797" s="60"/>
      <c r="J797" s="60"/>
      <c r="K797" s="60"/>
      <c r="L797" s="60"/>
      <c r="M797" s="60"/>
      <c r="N797" s="60"/>
      <c r="O797" s="60"/>
      <c r="P797" s="60"/>
      <c r="Q797" s="60"/>
      <c r="R797" s="60"/>
      <c r="S797" s="60"/>
      <c r="T797" s="60"/>
      <c r="U797" s="60"/>
      <c r="V797" s="60"/>
      <c r="W797" s="60"/>
      <c r="X797" s="60"/>
      <c r="Y797" s="60"/>
      <c r="Z797" s="60"/>
    </row>
    <row r="798">
      <c r="A798" s="149"/>
      <c r="B798" s="150"/>
      <c r="C798" s="151"/>
      <c r="D798" s="140"/>
      <c r="E798" s="152"/>
      <c r="F798" s="60"/>
      <c r="G798" s="60"/>
      <c r="H798" s="60"/>
      <c r="I798" s="60"/>
      <c r="J798" s="60"/>
      <c r="K798" s="60"/>
      <c r="L798" s="60"/>
      <c r="M798" s="60"/>
      <c r="N798" s="60"/>
      <c r="O798" s="60"/>
      <c r="P798" s="60"/>
      <c r="Q798" s="60"/>
      <c r="R798" s="60"/>
      <c r="S798" s="60"/>
      <c r="T798" s="60"/>
      <c r="U798" s="60"/>
      <c r="V798" s="60"/>
      <c r="W798" s="60"/>
      <c r="X798" s="60"/>
      <c r="Y798" s="60"/>
      <c r="Z798" s="60"/>
    </row>
    <row r="799">
      <c r="A799" s="149"/>
      <c r="B799" s="150"/>
      <c r="C799" s="151"/>
      <c r="D799" s="140"/>
      <c r="E799" s="152"/>
      <c r="F799" s="60"/>
      <c r="G799" s="60"/>
      <c r="H799" s="60"/>
      <c r="I799" s="60"/>
      <c r="J799" s="60"/>
      <c r="K799" s="60"/>
      <c r="L799" s="60"/>
      <c r="M799" s="60"/>
      <c r="N799" s="60"/>
      <c r="O799" s="60"/>
      <c r="P799" s="60"/>
      <c r="Q799" s="60"/>
      <c r="R799" s="60"/>
      <c r="S799" s="60"/>
      <c r="T799" s="60"/>
      <c r="U799" s="60"/>
      <c r="V799" s="60"/>
      <c r="W799" s="60"/>
      <c r="X799" s="60"/>
      <c r="Y799" s="60"/>
      <c r="Z799" s="60"/>
    </row>
    <row r="800">
      <c r="A800" s="149"/>
      <c r="B800" s="150"/>
      <c r="C800" s="151"/>
      <c r="D800" s="140"/>
      <c r="E800" s="152"/>
      <c r="F800" s="60"/>
      <c r="G800" s="60"/>
      <c r="H800" s="60"/>
      <c r="I800" s="60"/>
      <c r="J800" s="60"/>
      <c r="K800" s="60"/>
      <c r="L800" s="60"/>
      <c r="M800" s="60"/>
      <c r="N800" s="60"/>
      <c r="O800" s="60"/>
      <c r="P800" s="60"/>
      <c r="Q800" s="60"/>
      <c r="R800" s="60"/>
      <c r="S800" s="60"/>
      <c r="T800" s="60"/>
      <c r="U800" s="60"/>
      <c r="V800" s="60"/>
      <c r="W800" s="60"/>
      <c r="X800" s="60"/>
      <c r="Y800" s="60"/>
      <c r="Z800" s="60"/>
    </row>
    <row r="801">
      <c r="A801" s="149"/>
      <c r="B801" s="150"/>
      <c r="C801" s="151"/>
      <c r="D801" s="140"/>
      <c r="E801" s="152"/>
      <c r="F801" s="60"/>
      <c r="G801" s="60"/>
      <c r="H801" s="60"/>
      <c r="I801" s="60"/>
      <c r="J801" s="60"/>
      <c r="K801" s="60"/>
      <c r="L801" s="60"/>
      <c r="M801" s="60"/>
      <c r="N801" s="60"/>
      <c r="O801" s="60"/>
      <c r="P801" s="60"/>
      <c r="Q801" s="60"/>
      <c r="R801" s="60"/>
      <c r="S801" s="60"/>
      <c r="T801" s="60"/>
      <c r="U801" s="60"/>
      <c r="V801" s="60"/>
      <c r="W801" s="60"/>
      <c r="X801" s="60"/>
      <c r="Y801" s="60"/>
      <c r="Z801" s="60"/>
    </row>
    <row r="802">
      <c r="A802" s="149"/>
      <c r="B802" s="150"/>
      <c r="C802" s="151"/>
      <c r="D802" s="140"/>
      <c r="E802" s="152"/>
      <c r="F802" s="60"/>
      <c r="G802" s="60"/>
      <c r="H802" s="60"/>
      <c r="I802" s="60"/>
      <c r="J802" s="60"/>
      <c r="K802" s="60"/>
      <c r="L802" s="60"/>
      <c r="M802" s="60"/>
      <c r="N802" s="60"/>
      <c r="O802" s="60"/>
      <c r="P802" s="60"/>
      <c r="Q802" s="60"/>
      <c r="R802" s="60"/>
      <c r="S802" s="60"/>
      <c r="T802" s="60"/>
      <c r="U802" s="60"/>
      <c r="V802" s="60"/>
      <c r="W802" s="60"/>
      <c r="X802" s="60"/>
      <c r="Y802" s="60"/>
      <c r="Z802" s="60"/>
    </row>
    <row r="803">
      <c r="A803" s="149"/>
      <c r="B803" s="150"/>
      <c r="C803" s="151"/>
      <c r="D803" s="140"/>
      <c r="E803" s="152"/>
      <c r="F803" s="60"/>
      <c r="G803" s="60"/>
      <c r="H803" s="60"/>
      <c r="I803" s="60"/>
      <c r="J803" s="60"/>
      <c r="K803" s="60"/>
      <c r="L803" s="60"/>
      <c r="M803" s="60"/>
      <c r="N803" s="60"/>
      <c r="O803" s="60"/>
      <c r="P803" s="60"/>
      <c r="Q803" s="60"/>
      <c r="R803" s="60"/>
      <c r="S803" s="60"/>
      <c r="T803" s="60"/>
      <c r="U803" s="60"/>
      <c r="V803" s="60"/>
      <c r="W803" s="60"/>
      <c r="X803" s="60"/>
      <c r="Y803" s="60"/>
      <c r="Z803" s="60"/>
    </row>
    <row r="804">
      <c r="A804" s="149"/>
      <c r="B804" s="150"/>
      <c r="C804" s="151"/>
      <c r="D804" s="140"/>
      <c r="E804" s="152"/>
      <c r="F804" s="60"/>
      <c r="G804" s="60"/>
      <c r="H804" s="60"/>
      <c r="I804" s="60"/>
      <c r="J804" s="60"/>
      <c r="K804" s="60"/>
      <c r="L804" s="60"/>
      <c r="M804" s="60"/>
      <c r="N804" s="60"/>
      <c r="O804" s="60"/>
      <c r="P804" s="60"/>
      <c r="Q804" s="60"/>
      <c r="R804" s="60"/>
      <c r="S804" s="60"/>
      <c r="T804" s="60"/>
      <c r="U804" s="60"/>
      <c r="V804" s="60"/>
      <c r="W804" s="60"/>
      <c r="X804" s="60"/>
      <c r="Y804" s="60"/>
      <c r="Z804" s="60"/>
    </row>
    <row r="805">
      <c r="A805" s="149"/>
      <c r="B805" s="150"/>
      <c r="C805" s="151"/>
      <c r="D805" s="140"/>
      <c r="E805" s="152"/>
      <c r="F805" s="60"/>
      <c r="G805" s="60"/>
      <c r="H805" s="60"/>
      <c r="I805" s="60"/>
      <c r="J805" s="60"/>
      <c r="K805" s="60"/>
      <c r="L805" s="60"/>
      <c r="M805" s="60"/>
      <c r="N805" s="60"/>
      <c r="O805" s="60"/>
      <c r="P805" s="60"/>
      <c r="Q805" s="60"/>
      <c r="R805" s="60"/>
      <c r="S805" s="60"/>
      <c r="T805" s="60"/>
      <c r="U805" s="60"/>
      <c r="V805" s="60"/>
      <c r="W805" s="60"/>
      <c r="X805" s="60"/>
      <c r="Y805" s="60"/>
      <c r="Z805" s="60"/>
    </row>
    <row r="806">
      <c r="A806" s="149"/>
      <c r="B806" s="150"/>
      <c r="C806" s="151"/>
      <c r="D806" s="140"/>
      <c r="E806" s="152"/>
      <c r="F806" s="60"/>
      <c r="G806" s="60"/>
      <c r="H806" s="60"/>
      <c r="I806" s="60"/>
      <c r="J806" s="60"/>
      <c r="K806" s="60"/>
      <c r="L806" s="60"/>
      <c r="M806" s="60"/>
      <c r="N806" s="60"/>
      <c r="O806" s="60"/>
      <c r="P806" s="60"/>
      <c r="Q806" s="60"/>
      <c r="R806" s="60"/>
      <c r="S806" s="60"/>
      <c r="T806" s="60"/>
      <c r="U806" s="60"/>
      <c r="V806" s="60"/>
      <c r="W806" s="60"/>
      <c r="X806" s="60"/>
      <c r="Y806" s="60"/>
      <c r="Z806" s="60"/>
    </row>
    <row r="807">
      <c r="A807" s="149"/>
      <c r="B807" s="150"/>
      <c r="C807" s="151"/>
      <c r="D807" s="140"/>
      <c r="E807" s="152"/>
      <c r="F807" s="60"/>
      <c r="G807" s="60"/>
      <c r="H807" s="60"/>
      <c r="I807" s="60"/>
      <c r="J807" s="60"/>
      <c r="K807" s="60"/>
      <c r="L807" s="60"/>
      <c r="M807" s="60"/>
      <c r="N807" s="60"/>
      <c r="O807" s="60"/>
      <c r="P807" s="60"/>
      <c r="Q807" s="60"/>
      <c r="R807" s="60"/>
      <c r="S807" s="60"/>
      <c r="T807" s="60"/>
      <c r="U807" s="60"/>
      <c r="V807" s="60"/>
      <c r="W807" s="60"/>
      <c r="X807" s="60"/>
      <c r="Y807" s="60"/>
      <c r="Z807" s="60"/>
    </row>
    <row r="808">
      <c r="A808" s="149"/>
      <c r="B808" s="150"/>
      <c r="C808" s="151"/>
      <c r="D808" s="140"/>
      <c r="E808" s="152"/>
      <c r="F808" s="60"/>
      <c r="G808" s="60"/>
      <c r="H808" s="60"/>
      <c r="I808" s="60"/>
      <c r="J808" s="60"/>
      <c r="K808" s="60"/>
      <c r="L808" s="60"/>
      <c r="M808" s="60"/>
      <c r="N808" s="60"/>
      <c r="O808" s="60"/>
      <c r="P808" s="60"/>
      <c r="Q808" s="60"/>
      <c r="R808" s="60"/>
      <c r="S808" s="60"/>
      <c r="T808" s="60"/>
      <c r="U808" s="60"/>
      <c r="V808" s="60"/>
      <c r="W808" s="60"/>
      <c r="X808" s="60"/>
      <c r="Y808" s="60"/>
      <c r="Z808" s="60"/>
    </row>
    <row r="809">
      <c r="A809" s="149"/>
      <c r="B809" s="150"/>
      <c r="C809" s="151"/>
      <c r="D809" s="140"/>
      <c r="E809" s="152"/>
      <c r="F809" s="60"/>
      <c r="G809" s="60"/>
      <c r="H809" s="60"/>
      <c r="I809" s="60"/>
      <c r="J809" s="60"/>
      <c r="K809" s="60"/>
      <c r="L809" s="60"/>
      <c r="M809" s="60"/>
      <c r="N809" s="60"/>
      <c r="O809" s="60"/>
      <c r="P809" s="60"/>
      <c r="Q809" s="60"/>
      <c r="R809" s="60"/>
      <c r="S809" s="60"/>
      <c r="T809" s="60"/>
      <c r="U809" s="60"/>
      <c r="V809" s="60"/>
      <c r="W809" s="60"/>
      <c r="X809" s="60"/>
      <c r="Y809" s="60"/>
      <c r="Z809" s="60"/>
    </row>
    <row r="810">
      <c r="A810" s="149"/>
      <c r="B810" s="150"/>
      <c r="C810" s="151"/>
      <c r="D810" s="140"/>
      <c r="E810" s="152"/>
      <c r="F810" s="60"/>
      <c r="G810" s="60"/>
      <c r="H810" s="60"/>
      <c r="I810" s="60"/>
      <c r="J810" s="60"/>
      <c r="K810" s="60"/>
      <c r="L810" s="60"/>
      <c r="M810" s="60"/>
      <c r="N810" s="60"/>
      <c r="O810" s="60"/>
      <c r="P810" s="60"/>
      <c r="Q810" s="60"/>
      <c r="R810" s="60"/>
      <c r="S810" s="60"/>
      <c r="T810" s="60"/>
      <c r="U810" s="60"/>
      <c r="V810" s="60"/>
      <c r="W810" s="60"/>
      <c r="X810" s="60"/>
      <c r="Y810" s="60"/>
      <c r="Z810" s="60"/>
    </row>
    <row r="811">
      <c r="A811" s="149"/>
      <c r="B811" s="150"/>
      <c r="C811" s="151"/>
      <c r="D811" s="140"/>
      <c r="E811" s="152"/>
      <c r="F811" s="60"/>
      <c r="G811" s="60"/>
      <c r="H811" s="60"/>
      <c r="I811" s="60"/>
      <c r="J811" s="60"/>
      <c r="K811" s="60"/>
      <c r="L811" s="60"/>
      <c r="M811" s="60"/>
      <c r="N811" s="60"/>
      <c r="O811" s="60"/>
      <c r="P811" s="60"/>
      <c r="Q811" s="60"/>
      <c r="R811" s="60"/>
      <c r="S811" s="60"/>
      <c r="T811" s="60"/>
      <c r="U811" s="60"/>
      <c r="V811" s="60"/>
      <c r="W811" s="60"/>
      <c r="X811" s="60"/>
      <c r="Y811" s="60"/>
      <c r="Z811" s="60"/>
    </row>
    <row r="812">
      <c r="A812" s="149"/>
      <c r="B812" s="150"/>
      <c r="C812" s="151"/>
      <c r="D812" s="140"/>
      <c r="E812" s="152"/>
      <c r="F812" s="60"/>
      <c r="G812" s="60"/>
      <c r="H812" s="60"/>
      <c r="I812" s="60"/>
      <c r="J812" s="60"/>
      <c r="K812" s="60"/>
      <c r="L812" s="60"/>
      <c r="M812" s="60"/>
      <c r="N812" s="60"/>
      <c r="O812" s="60"/>
      <c r="P812" s="60"/>
      <c r="Q812" s="60"/>
      <c r="R812" s="60"/>
      <c r="S812" s="60"/>
      <c r="T812" s="60"/>
      <c r="U812" s="60"/>
      <c r="V812" s="60"/>
      <c r="W812" s="60"/>
      <c r="X812" s="60"/>
      <c r="Y812" s="60"/>
      <c r="Z812" s="60"/>
    </row>
    <row r="813">
      <c r="A813" s="149"/>
      <c r="B813" s="150"/>
      <c r="C813" s="151"/>
      <c r="D813" s="140"/>
      <c r="E813" s="152"/>
      <c r="F813" s="60"/>
      <c r="G813" s="60"/>
      <c r="H813" s="60"/>
      <c r="I813" s="60"/>
      <c r="J813" s="60"/>
      <c r="K813" s="60"/>
      <c r="L813" s="60"/>
      <c r="M813" s="60"/>
      <c r="N813" s="60"/>
      <c r="O813" s="60"/>
      <c r="P813" s="60"/>
      <c r="Q813" s="60"/>
      <c r="R813" s="60"/>
      <c r="S813" s="60"/>
      <c r="T813" s="60"/>
      <c r="U813" s="60"/>
      <c r="V813" s="60"/>
      <c r="W813" s="60"/>
      <c r="X813" s="60"/>
      <c r="Y813" s="60"/>
      <c r="Z813" s="60"/>
    </row>
    <row r="814">
      <c r="A814" s="149"/>
      <c r="B814" s="150"/>
      <c r="C814" s="151"/>
      <c r="D814" s="140"/>
      <c r="E814" s="152"/>
      <c r="F814" s="60"/>
      <c r="G814" s="60"/>
      <c r="H814" s="60"/>
      <c r="I814" s="60"/>
      <c r="J814" s="60"/>
      <c r="K814" s="60"/>
      <c r="L814" s="60"/>
      <c r="M814" s="60"/>
      <c r="N814" s="60"/>
      <c r="O814" s="60"/>
      <c r="P814" s="60"/>
      <c r="Q814" s="60"/>
      <c r="R814" s="60"/>
      <c r="S814" s="60"/>
      <c r="T814" s="60"/>
      <c r="U814" s="60"/>
      <c r="V814" s="60"/>
      <c r="W814" s="60"/>
      <c r="X814" s="60"/>
      <c r="Y814" s="60"/>
      <c r="Z814" s="60"/>
    </row>
    <row r="815">
      <c r="A815" s="149"/>
      <c r="B815" s="150"/>
      <c r="C815" s="151"/>
      <c r="D815" s="140"/>
      <c r="E815" s="152"/>
      <c r="F815" s="60"/>
      <c r="G815" s="60"/>
      <c r="H815" s="60"/>
      <c r="I815" s="60"/>
      <c r="J815" s="60"/>
      <c r="K815" s="60"/>
      <c r="L815" s="60"/>
      <c r="M815" s="60"/>
      <c r="N815" s="60"/>
      <c r="O815" s="60"/>
      <c r="P815" s="60"/>
      <c r="Q815" s="60"/>
      <c r="R815" s="60"/>
      <c r="S815" s="60"/>
      <c r="T815" s="60"/>
      <c r="U815" s="60"/>
      <c r="V815" s="60"/>
      <c r="W815" s="60"/>
      <c r="X815" s="60"/>
      <c r="Y815" s="60"/>
      <c r="Z815" s="60"/>
    </row>
    <row r="816">
      <c r="A816" s="149"/>
      <c r="B816" s="150"/>
      <c r="C816" s="151"/>
      <c r="D816" s="140"/>
      <c r="E816" s="152"/>
      <c r="F816" s="60"/>
      <c r="G816" s="60"/>
      <c r="H816" s="60"/>
      <c r="I816" s="60"/>
      <c r="J816" s="60"/>
      <c r="K816" s="60"/>
      <c r="L816" s="60"/>
      <c r="M816" s="60"/>
      <c r="N816" s="60"/>
      <c r="O816" s="60"/>
      <c r="P816" s="60"/>
      <c r="Q816" s="60"/>
      <c r="R816" s="60"/>
      <c r="S816" s="60"/>
      <c r="T816" s="60"/>
      <c r="U816" s="60"/>
      <c r="V816" s="60"/>
      <c r="W816" s="60"/>
      <c r="X816" s="60"/>
      <c r="Y816" s="60"/>
      <c r="Z816" s="60"/>
    </row>
    <row r="817">
      <c r="A817" s="149"/>
      <c r="B817" s="150"/>
      <c r="C817" s="151"/>
      <c r="D817" s="140"/>
      <c r="E817" s="152"/>
      <c r="F817" s="60"/>
      <c r="G817" s="60"/>
      <c r="H817" s="60"/>
      <c r="I817" s="60"/>
      <c r="J817" s="60"/>
      <c r="K817" s="60"/>
      <c r="L817" s="60"/>
      <c r="M817" s="60"/>
      <c r="N817" s="60"/>
      <c r="O817" s="60"/>
      <c r="P817" s="60"/>
      <c r="Q817" s="60"/>
      <c r="R817" s="60"/>
      <c r="S817" s="60"/>
      <c r="T817" s="60"/>
      <c r="U817" s="60"/>
      <c r="V817" s="60"/>
      <c r="W817" s="60"/>
      <c r="X817" s="60"/>
      <c r="Y817" s="60"/>
      <c r="Z817" s="60"/>
    </row>
    <row r="818">
      <c r="A818" s="149"/>
      <c r="B818" s="150"/>
      <c r="C818" s="151"/>
      <c r="D818" s="140"/>
      <c r="E818" s="152"/>
      <c r="F818" s="60"/>
      <c r="G818" s="60"/>
      <c r="H818" s="60"/>
      <c r="I818" s="60"/>
      <c r="J818" s="60"/>
      <c r="K818" s="60"/>
      <c r="L818" s="60"/>
      <c r="M818" s="60"/>
      <c r="N818" s="60"/>
      <c r="O818" s="60"/>
      <c r="P818" s="60"/>
      <c r="Q818" s="60"/>
      <c r="R818" s="60"/>
      <c r="S818" s="60"/>
      <c r="T818" s="60"/>
      <c r="U818" s="60"/>
      <c r="V818" s="60"/>
      <c r="W818" s="60"/>
      <c r="X818" s="60"/>
      <c r="Y818" s="60"/>
      <c r="Z818" s="60"/>
    </row>
    <row r="819">
      <c r="A819" s="149"/>
      <c r="B819" s="150"/>
      <c r="C819" s="151"/>
      <c r="D819" s="140"/>
      <c r="E819" s="152"/>
      <c r="F819" s="60"/>
      <c r="G819" s="60"/>
      <c r="H819" s="60"/>
      <c r="I819" s="60"/>
      <c r="J819" s="60"/>
      <c r="K819" s="60"/>
      <c r="L819" s="60"/>
      <c r="M819" s="60"/>
      <c r="N819" s="60"/>
      <c r="O819" s="60"/>
      <c r="P819" s="60"/>
      <c r="Q819" s="60"/>
      <c r="R819" s="60"/>
      <c r="S819" s="60"/>
      <c r="T819" s="60"/>
      <c r="U819" s="60"/>
      <c r="V819" s="60"/>
      <c r="W819" s="60"/>
      <c r="X819" s="60"/>
      <c r="Y819" s="60"/>
      <c r="Z819" s="60"/>
    </row>
    <row r="820">
      <c r="A820" s="149"/>
      <c r="B820" s="150"/>
      <c r="C820" s="151"/>
      <c r="D820" s="140"/>
      <c r="E820" s="152"/>
      <c r="F820" s="60"/>
      <c r="G820" s="60"/>
      <c r="H820" s="60"/>
      <c r="I820" s="60"/>
      <c r="J820" s="60"/>
      <c r="K820" s="60"/>
      <c r="L820" s="60"/>
      <c r="M820" s="60"/>
      <c r="N820" s="60"/>
      <c r="O820" s="60"/>
      <c r="P820" s="60"/>
      <c r="Q820" s="60"/>
      <c r="R820" s="60"/>
      <c r="S820" s="60"/>
      <c r="T820" s="60"/>
      <c r="U820" s="60"/>
      <c r="V820" s="60"/>
      <c r="W820" s="60"/>
      <c r="X820" s="60"/>
      <c r="Y820" s="60"/>
      <c r="Z820" s="60"/>
    </row>
    <row r="821">
      <c r="A821" s="149"/>
      <c r="B821" s="150"/>
      <c r="C821" s="151"/>
      <c r="D821" s="140"/>
      <c r="E821" s="152"/>
      <c r="F821" s="60"/>
      <c r="G821" s="60"/>
      <c r="H821" s="60"/>
      <c r="I821" s="60"/>
      <c r="J821" s="60"/>
      <c r="K821" s="60"/>
      <c r="L821" s="60"/>
      <c r="M821" s="60"/>
      <c r="N821" s="60"/>
      <c r="O821" s="60"/>
      <c r="P821" s="60"/>
      <c r="Q821" s="60"/>
      <c r="R821" s="60"/>
      <c r="S821" s="60"/>
      <c r="T821" s="60"/>
      <c r="U821" s="60"/>
      <c r="V821" s="60"/>
      <c r="W821" s="60"/>
      <c r="X821" s="60"/>
      <c r="Y821" s="60"/>
      <c r="Z821" s="60"/>
    </row>
    <row r="822">
      <c r="A822" s="149"/>
      <c r="B822" s="150"/>
      <c r="C822" s="151"/>
      <c r="D822" s="140"/>
      <c r="E822" s="152"/>
      <c r="F822" s="60"/>
      <c r="G822" s="60"/>
      <c r="H822" s="60"/>
      <c r="I822" s="60"/>
      <c r="J822" s="60"/>
      <c r="K822" s="60"/>
      <c r="L822" s="60"/>
      <c r="M822" s="60"/>
      <c r="N822" s="60"/>
      <c r="O822" s="60"/>
      <c r="P822" s="60"/>
      <c r="Q822" s="60"/>
      <c r="R822" s="60"/>
      <c r="S822" s="60"/>
      <c r="T822" s="60"/>
      <c r="U822" s="60"/>
      <c r="V822" s="60"/>
      <c r="W822" s="60"/>
      <c r="X822" s="60"/>
      <c r="Y822" s="60"/>
      <c r="Z822" s="60"/>
    </row>
    <row r="823">
      <c r="A823" s="149"/>
      <c r="B823" s="150"/>
      <c r="C823" s="151"/>
      <c r="D823" s="140"/>
      <c r="E823" s="152"/>
      <c r="F823" s="60"/>
      <c r="G823" s="60"/>
      <c r="H823" s="60"/>
      <c r="I823" s="60"/>
      <c r="J823" s="60"/>
      <c r="K823" s="60"/>
      <c r="L823" s="60"/>
      <c r="M823" s="60"/>
      <c r="N823" s="60"/>
      <c r="O823" s="60"/>
      <c r="P823" s="60"/>
      <c r="Q823" s="60"/>
      <c r="R823" s="60"/>
      <c r="S823" s="60"/>
      <c r="T823" s="60"/>
      <c r="U823" s="60"/>
      <c r="V823" s="60"/>
      <c r="W823" s="60"/>
      <c r="X823" s="60"/>
      <c r="Y823" s="60"/>
      <c r="Z823" s="60"/>
    </row>
    <row r="824">
      <c r="A824" s="149"/>
      <c r="B824" s="150"/>
      <c r="C824" s="151"/>
      <c r="D824" s="140"/>
      <c r="E824" s="152"/>
      <c r="F824" s="60"/>
      <c r="G824" s="60"/>
      <c r="H824" s="60"/>
      <c r="I824" s="60"/>
      <c r="J824" s="60"/>
      <c r="K824" s="60"/>
      <c r="L824" s="60"/>
      <c r="M824" s="60"/>
      <c r="N824" s="60"/>
      <c r="O824" s="60"/>
      <c r="P824" s="60"/>
      <c r="Q824" s="60"/>
      <c r="R824" s="60"/>
      <c r="S824" s="60"/>
      <c r="T824" s="60"/>
      <c r="U824" s="60"/>
      <c r="V824" s="60"/>
      <c r="W824" s="60"/>
      <c r="X824" s="60"/>
      <c r="Y824" s="60"/>
      <c r="Z824" s="60"/>
    </row>
    <row r="825">
      <c r="A825" s="149"/>
      <c r="B825" s="150"/>
      <c r="C825" s="151"/>
      <c r="D825" s="140"/>
      <c r="E825" s="152"/>
      <c r="F825" s="60"/>
      <c r="G825" s="60"/>
      <c r="H825" s="60"/>
      <c r="I825" s="60"/>
      <c r="J825" s="60"/>
      <c r="K825" s="60"/>
      <c r="L825" s="60"/>
      <c r="M825" s="60"/>
      <c r="N825" s="60"/>
      <c r="O825" s="60"/>
      <c r="P825" s="60"/>
      <c r="Q825" s="60"/>
      <c r="R825" s="60"/>
      <c r="S825" s="60"/>
      <c r="T825" s="60"/>
      <c r="U825" s="60"/>
      <c r="V825" s="60"/>
      <c r="W825" s="60"/>
      <c r="X825" s="60"/>
      <c r="Y825" s="60"/>
      <c r="Z825" s="60"/>
    </row>
    <row r="826">
      <c r="A826" s="149"/>
      <c r="B826" s="150"/>
      <c r="C826" s="151"/>
      <c r="D826" s="140"/>
      <c r="E826" s="152"/>
      <c r="F826" s="60"/>
      <c r="G826" s="60"/>
      <c r="H826" s="60"/>
      <c r="I826" s="60"/>
      <c r="J826" s="60"/>
      <c r="K826" s="60"/>
      <c r="L826" s="60"/>
      <c r="M826" s="60"/>
      <c r="N826" s="60"/>
      <c r="O826" s="60"/>
      <c r="P826" s="60"/>
      <c r="Q826" s="60"/>
      <c r="R826" s="60"/>
      <c r="S826" s="60"/>
      <c r="T826" s="60"/>
      <c r="U826" s="60"/>
      <c r="V826" s="60"/>
      <c r="W826" s="60"/>
      <c r="X826" s="60"/>
      <c r="Y826" s="60"/>
      <c r="Z826" s="60"/>
    </row>
    <row r="827">
      <c r="A827" s="149"/>
      <c r="B827" s="150"/>
      <c r="C827" s="151"/>
      <c r="D827" s="140"/>
      <c r="E827" s="152"/>
      <c r="F827" s="60"/>
      <c r="G827" s="60"/>
      <c r="H827" s="60"/>
      <c r="I827" s="60"/>
      <c r="J827" s="60"/>
      <c r="K827" s="60"/>
      <c r="L827" s="60"/>
      <c r="M827" s="60"/>
      <c r="N827" s="60"/>
      <c r="O827" s="60"/>
      <c r="P827" s="60"/>
      <c r="Q827" s="60"/>
      <c r="R827" s="60"/>
      <c r="S827" s="60"/>
      <c r="T827" s="60"/>
      <c r="U827" s="60"/>
      <c r="V827" s="60"/>
      <c r="W827" s="60"/>
      <c r="X827" s="60"/>
      <c r="Y827" s="60"/>
      <c r="Z827" s="60"/>
    </row>
    <row r="828">
      <c r="A828" s="149"/>
      <c r="B828" s="150"/>
      <c r="C828" s="151"/>
      <c r="D828" s="140"/>
      <c r="E828" s="152"/>
      <c r="F828" s="60"/>
      <c r="G828" s="60"/>
      <c r="H828" s="60"/>
      <c r="I828" s="60"/>
      <c r="J828" s="60"/>
      <c r="K828" s="60"/>
      <c r="L828" s="60"/>
      <c r="M828" s="60"/>
      <c r="N828" s="60"/>
      <c r="O828" s="60"/>
      <c r="P828" s="60"/>
      <c r="Q828" s="60"/>
      <c r="R828" s="60"/>
      <c r="S828" s="60"/>
      <c r="T828" s="60"/>
      <c r="U828" s="60"/>
      <c r="V828" s="60"/>
      <c r="W828" s="60"/>
      <c r="X828" s="60"/>
      <c r="Y828" s="60"/>
      <c r="Z828" s="60"/>
    </row>
    <row r="829">
      <c r="A829" s="149"/>
      <c r="B829" s="150"/>
      <c r="C829" s="151"/>
      <c r="D829" s="140"/>
      <c r="E829" s="152"/>
      <c r="F829" s="60"/>
      <c r="G829" s="60"/>
      <c r="H829" s="60"/>
      <c r="I829" s="60"/>
      <c r="J829" s="60"/>
      <c r="K829" s="60"/>
      <c r="L829" s="60"/>
      <c r="M829" s="60"/>
      <c r="N829" s="60"/>
      <c r="O829" s="60"/>
      <c r="P829" s="60"/>
      <c r="Q829" s="60"/>
      <c r="R829" s="60"/>
      <c r="S829" s="60"/>
      <c r="T829" s="60"/>
      <c r="U829" s="60"/>
      <c r="V829" s="60"/>
      <c r="W829" s="60"/>
      <c r="X829" s="60"/>
      <c r="Y829" s="60"/>
      <c r="Z829" s="60"/>
    </row>
    <row r="830">
      <c r="A830" s="149"/>
      <c r="B830" s="150"/>
      <c r="C830" s="151"/>
      <c r="D830" s="140"/>
      <c r="E830" s="152"/>
      <c r="F830" s="60"/>
      <c r="G830" s="60"/>
      <c r="H830" s="60"/>
      <c r="I830" s="60"/>
      <c r="J830" s="60"/>
      <c r="K830" s="60"/>
      <c r="L830" s="60"/>
      <c r="M830" s="60"/>
      <c r="N830" s="60"/>
      <c r="O830" s="60"/>
      <c r="P830" s="60"/>
      <c r="Q830" s="60"/>
      <c r="R830" s="60"/>
      <c r="S830" s="60"/>
      <c r="T830" s="60"/>
      <c r="U830" s="60"/>
      <c r="V830" s="60"/>
      <c r="W830" s="60"/>
      <c r="X830" s="60"/>
      <c r="Y830" s="60"/>
      <c r="Z830" s="60"/>
    </row>
    <row r="831">
      <c r="A831" s="149"/>
      <c r="B831" s="150"/>
      <c r="C831" s="151"/>
      <c r="D831" s="140"/>
      <c r="E831" s="152"/>
      <c r="F831" s="60"/>
      <c r="G831" s="60"/>
      <c r="H831" s="60"/>
      <c r="I831" s="60"/>
      <c r="J831" s="60"/>
      <c r="K831" s="60"/>
      <c r="L831" s="60"/>
      <c r="M831" s="60"/>
      <c r="N831" s="60"/>
      <c r="O831" s="60"/>
      <c r="P831" s="60"/>
      <c r="Q831" s="60"/>
      <c r="R831" s="60"/>
      <c r="S831" s="60"/>
      <c r="T831" s="60"/>
      <c r="U831" s="60"/>
      <c r="V831" s="60"/>
      <c r="W831" s="60"/>
      <c r="X831" s="60"/>
      <c r="Y831" s="60"/>
      <c r="Z831" s="60"/>
    </row>
    <row r="832">
      <c r="A832" s="149"/>
      <c r="B832" s="150"/>
      <c r="C832" s="151"/>
      <c r="D832" s="140"/>
      <c r="E832" s="152"/>
      <c r="F832" s="60"/>
      <c r="G832" s="60"/>
      <c r="H832" s="60"/>
      <c r="I832" s="60"/>
      <c r="J832" s="60"/>
      <c r="K832" s="60"/>
      <c r="L832" s="60"/>
      <c r="M832" s="60"/>
      <c r="N832" s="60"/>
      <c r="O832" s="60"/>
      <c r="P832" s="60"/>
      <c r="Q832" s="60"/>
      <c r="R832" s="60"/>
      <c r="S832" s="60"/>
      <c r="T832" s="60"/>
      <c r="U832" s="60"/>
      <c r="V832" s="60"/>
      <c r="W832" s="60"/>
      <c r="X832" s="60"/>
      <c r="Y832" s="60"/>
      <c r="Z832" s="60"/>
    </row>
    <row r="833">
      <c r="A833" s="149"/>
      <c r="B833" s="150"/>
      <c r="C833" s="151"/>
      <c r="D833" s="140"/>
      <c r="E833" s="152"/>
      <c r="F833" s="60"/>
      <c r="G833" s="60"/>
      <c r="H833" s="60"/>
      <c r="I833" s="60"/>
      <c r="J833" s="60"/>
      <c r="K833" s="60"/>
      <c r="L833" s="60"/>
      <c r="M833" s="60"/>
      <c r="N833" s="60"/>
      <c r="O833" s="60"/>
      <c r="P833" s="60"/>
      <c r="Q833" s="60"/>
      <c r="R833" s="60"/>
      <c r="S833" s="60"/>
      <c r="T833" s="60"/>
      <c r="U833" s="60"/>
      <c r="V833" s="60"/>
      <c r="W833" s="60"/>
      <c r="X833" s="60"/>
      <c r="Y833" s="60"/>
      <c r="Z833" s="60"/>
    </row>
    <row r="834">
      <c r="A834" s="149"/>
      <c r="B834" s="150"/>
      <c r="C834" s="151"/>
      <c r="D834" s="140"/>
      <c r="E834" s="152"/>
      <c r="F834" s="60"/>
      <c r="G834" s="60"/>
      <c r="H834" s="60"/>
      <c r="I834" s="60"/>
      <c r="J834" s="60"/>
      <c r="K834" s="60"/>
      <c r="L834" s="60"/>
      <c r="M834" s="60"/>
      <c r="N834" s="60"/>
      <c r="O834" s="60"/>
      <c r="P834" s="60"/>
      <c r="Q834" s="60"/>
      <c r="R834" s="60"/>
      <c r="S834" s="60"/>
      <c r="T834" s="60"/>
      <c r="U834" s="60"/>
      <c r="V834" s="60"/>
      <c r="W834" s="60"/>
      <c r="X834" s="60"/>
      <c r="Y834" s="60"/>
      <c r="Z834" s="60"/>
    </row>
    <row r="835">
      <c r="A835" s="149"/>
      <c r="B835" s="150"/>
      <c r="C835" s="151"/>
      <c r="D835" s="140"/>
      <c r="E835" s="152"/>
      <c r="F835" s="60"/>
      <c r="G835" s="60"/>
      <c r="H835" s="60"/>
      <c r="I835" s="60"/>
      <c r="J835" s="60"/>
      <c r="K835" s="60"/>
      <c r="L835" s="60"/>
      <c r="M835" s="60"/>
      <c r="N835" s="60"/>
      <c r="O835" s="60"/>
      <c r="P835" s="60"/>
      <c r="Q835" s="60"/>
      <c r="R835" s="60"/>
      <c r="S835" s="60"/>
      <c r="T835" s="60"/>
      <c r="U835" s="60"/>
      <c r="V835" s="60"/>
      <c r="W835" s="60"/>
      <c r="X835" s="60"/>
      <c r="Y835" s="60"/>
      <c r="Z835" s="60"/>
    </row>
    <row r="836">
      <c r="A836" s="149"/>
      <c r="B836" s="150"/>
      <c r="C836" s="151"/>
      <c r="D836" s="140"/>
      <c r="E836" s="152"/>
      <c r="F836" s="60"/>
      <c r="G836" s="60"/>
      <c r="H836" s="60"/>
      <c r="I836" s="60"/>
      <c r="J836" s="60"/>
      <c r="K836" s="60"/>
      <c r="L836" s="60"/>
      <c r="M836" s="60"/>
      <c r="N836" s="60"/>
      <c r="O836" s="60"/>
      <c r="P836" s="60"/>
      <c r="Q836" s="60"/>
      <c r="R836" s="60"/>
      <c r="S836" s="60"/>
      <c r="T836" s="60"/>
      <c r="U836" s="60"/>
      <c r="V836" s="60"/>
      <c r="W836" s="60"/>
      <c r="X836" s="60"/>
      <c r="Y836" s="60"/>
      <c r="Z836" s="60"/>
    </row>
    <row r="837">
      <c r="A837" s="149"/>
      <c r="B837" s="150"/>
      <c r="C837" s="151"/>
      <c r="D837" s="140"/>
      <c r="E837" s="152"/>
      <c r="F837" s="60"/>
      <c r="G837" s="60"/>
      <c r="H837" s="60"/>
      <c r="I837" s="60"/>
      <c r="J837" s="60"/>
      <c r="K837" s="60"/>
      <c r="L837" s="60"/>
      <c r="M837" s="60"/>
      <c r="N837" s="60"/>
      <c r="O837" s="60"/>
      <c r="P837" s="60"/>
      <c r="Q837" s="60"/>
      <c r="R837" s="60"/>
      <c r="S837" s="60"/>
      <c r="T837" s="60"/>
      <c r="U837" s="60"/>
      <c r="V837" s="60"/>
      <c r="W837" s="60"/>
      <c r="X837" s="60"/>
      <c r="Y837" s="60"/>
      <c r="Z837" s="60"/>
    </row>
    <row r="838">
      <c r="A838" s="149"/>
      <c r="B838" s="150"/>
      <c r="C838" s="151"/>
      <c r="D838" s="140"/>
      <c r="E838" s="152"/>
      <c r="F838" s="60"/>
      <c r="G838" s="60"/>
      <c r="H838" s="60"/>
      <c r="I838" s="60"/>
      <c r="J838" s="60"/>
      <c r="K838" s="60"/>
      <c r="L838" s="60"/>
      <c r="M838" s="60"/>
      <c r="N838" s="60"/>
      <c r="O838" s="60"/>
      <c r="P838" s="60"/>
      <c r="Q838" s="60"/>
      <c r="R838" s="60"/>
      <c r="S838" s="60"/>
      <c r="T838" s="60"/>
      <c r="U838" s="60"/>
      <c r="V838" s="60"/>
      <c r="W838" s="60"/>
      <c r="X838" s="60"/>
      <c r="Y838" s="60"/>
      <c r="Z838" s="60"/>
    </row>
    <row r="839">
      <c r="A839" s="149"/>
      <c r="B839" s="150"/>
      <c r="C839" s="151"/>
      <c r="D839" s="140"/>
      <c r="E839" s="152"/>
      <c r="F839" s="60"/>
      <c r="G839" s="60"/>
      <c r="H839" s="60"/>
      <c r="I839" s="60"/>
      <c r="J839" s="60"/>
      <c r="K839" s="60"/>
      <c r="L839" s="60"/>
      <c r="M839" s="60"/>
      <c r="N839" s="60"/>
      <c r="O839" s="60"/>
      <c r="P839" s="60"/>
      <c r="Q839" s="60"/>
      <c r="R839" s="60"/>
      <c r="S839" s="60"/>
      <c r="T839" s="60"/>
      <c r="U839" s="60"/>
      <c r="V839" s="60"/>
      <c r="W839" s="60"/>
      <c r="X839" s="60"/>
      <c r="Y839" s="60"/>
      <c r="Z839" s="60"/>
    </row>
    <row r="840">
      <c r="A840" s="149"/>
      <c r="B840" s="150"/>
      <c r="C840" s="151"/>
      <c r="D840" s="140"/>
      <c r="E840" s="152"/>
      <c r="F840" s="60"/>
      <c r="G840" s="60"/>
      <c r="H840" s="60"/>
      <c r="I840" s="60"/>
      <c r="J840" s="60"/>
      <c r="K840" s="60"/>
      <c r="L840" s="60"/>
      <c r="M840" s="60"/>
      <c r="N840" s="60"/>
      <c r="O840" s="60"/>
      <c r="P840" s="60"/>
      <c r="Q840" s="60"/>
      <c r="R840" s="60"/>
      <c r="S840" s="60"/>
      <c r="T840" s="60"/>
      <c r="U840" s="60"/>
      <c r="V840" s="60"/>
      <c r="W840" s="60"/>
      <c r="X840" s="60"/>
      <c r="Y840" s="60"/>
      <c r="Z840" s="60"/>
    </row>
    <row r="841">
      <c r="A841" s="149"/>
      <c r="B841" s="150"/>
      <c r="C841" s="151"/>
      <c r="D841" s="140"/>
      <c r="E841" s="152"/>
      <c r="F841" s="60"/>
      <c r="G841" s="60"/>
      <c r="H841" s="60"/>
      <c r="I841" s="60"/>
      <c r="J841" s="60"/>
      <c r="K841" s="60"/>
      <c r="L841" s="60"/>
      <c r="M841" s="60"/>
      <c r="N841" s="60"/>
      <c r="O841" s="60"/>
      <c r="P841" s="60"/>
      <c r="Q841" s="60"/>
      <c r="R841" s="60"/>
      <c r="S841" s="60"/>
      <c r="T841" s="60"/>
      <c r="U841" s="60"/>
      <c r="V841" s="60"/>
      <c r="W841" s="60"/>
      <c r="X841" s="60"/>
      <c r="Y841" s="60"/>
      <c r="Z841" s="60"/>
    </row>
    <row r="842">
      <c r="A842" s="149"/>
      <c r="B842" s="150"/>
      <c r="C842" s="151"/>
      <c r="D842" s="140"/>
      <c r="E842" s="152"/>
      <c r="F842" s="60"/>
      <c r="G842" s="60"/>
      <c r="H842" s="60"/>
      <c r="I842" s="60"/>
      <c r="J842" s="60"/>
      <c r="K842" s="60"/>
      <c r="L842" s="60"/>
      <c r="M842" s="60"/>
      <c r="N842" s="60"/>
      <c r="O842" s="60"/>
      <c r="P842" s="60"/>
      <c r="Q842" s="60"/>
      <c r="R842" s="60"/>
      <c r="S842" s="60"/>
      <c r="T842" s="60"/>
      <c r="U842" s="60"/>
      <c r="V842" s="60"/>
      <c r="W842" s="60"/>
      <c r="X842" s="60"/>
      <c r="Y842" s="60"/>
      <c r="Z842" s="60"/>
    </row>
    <row r="843">
      <c r="A843" s="149"/>
      <c r="B843" s="150"/>
      <c r="C843" s="151"/>
      <c r="D843" s="140"/>
      <c r="E843" s="152"/>
      <c r="F843" s="60"/>
      <c r="G843" s="60"/>
      <c r="H843" s="60"/>
      <c r="I843" s="60"/>
      <c r="J843" s="60"/>
      <c r="K843" s="60"/>
      <c r="L843" s="60"/>
      <c r="M843" s="60"/>
      <c r="N843" s="60"/>
      <c r="O843" s="60"/>
      <c r="P843" s="60"/>
      <c r="Q843" s="60"/>
      <c r="R843" s="60"/>
      <c r="S843" s="60"/>
      <c r="T843" s="60"/>
      <c r="U843" s="60"/>
      <c r="V843" s="60"/>
      <c r="W843" s="60"/>
      <c r="X843" s="60"/>
      <c r="Y843" s="60"/>
      <c r="Z843" s="60"/>
    </row>
    <row r="844">
      <c r="A844" s="149"/>
      <c r="B844" s="150"/>
      <c r="C844" s="151"/>
      <c r="D844" s="140"/>
      <c r="E844" s="152"/>
      <c r="F844" s="60"/>
      <c r="G844" s="60"/>
      <c r="H844" s="60"/>
      <c r="I844" s="60"/>
      <c r="J844" s="60"/>
      <c r="K844" s="60"/>
      <c r="L844" s="60"/>
      <c r="M844" s="60"/>
      <c r="N844" s="60"/>
      <c r="O844" s="60"/>
      <c r="P844" s="60"/>
      <c r="Q844" s="60"/>
      <c r="R844" s="60"/>
      <c r="S844" s="60"/>
      <c r="T844" s="60"/>
      <c r="U844" s="60"/>
      <c r="V844" s="60"/>
      <c r="W844" s="60"/>
      <c r="X844" s="60"/>
      <c r="Y844" s="60"/>
      <c r="Z844" s="60"/>
    </row>
    <row r="845">
      <c r="A845" s="149"/>
      <c r="B845" s="150"/>
      <c r="C845" s="151"/>
      <c r="D845" s="140"/>
      <c r="E845" s="152"/>
      <c r="F845" s="60"/>
      <c r="G845" s="60"/>
      <c r="H845" s="60"/>
      <c r="I845" s="60"/>
      <c r="J845" s="60"/>
      <c r="K845" s="60"/>
      <c r="L845" s="60"/>
      <c r="M845" s="60"/>
      <c r="N845" s="60"/>
      <c r="O845" s="60"/>
      <c r="P845" s="60"/>
      <c r="Q845" s="60"/>
      <c r="R845" s="60"/>
      <c r="S845" s="60"/>
      <c r="T845" s="60"/>
      <c r="U845" s="60"/>
      <c r="V845" s="60"/>
      <c r="W845" s="60"/>
      <c r="X845" s="60"/>
      <c r="Y845" s="60"/>
      <c r="Z845" s="60"/>
    </row>
    <row r="846">
      <c r="A846" s="149"/>
      <c r="B846" s="150"/>
      <c r="C846" s="151"/>
      <c r="D846" s="140"/>
      <c r="E846" s="152"/>
      <c r="F846" s="60"/>
      <c r="G846" s="60"/>
      <c r="H846" s="60"/>
      <c r="I846" s="60"/>
      <c r="J846" s="60"/>
      <c r="K846" s="60"/>
      <c r="L846" s="60"/>
      <c r="M846" s="60"/>
      <c r="N846" s="60"/>
      <c r="O846" s="60"/>
      <c r="P846" s="60"/>
      <c r="Q846" s="60"/>
      <c r="R846" s="60"/>
      <c r="S846" s="60"/>
      <c r="T846" s="60"/>
      <c r="U846" s="60"/>
      <c r="V846" s="60"/>
      <c r="W846" s="60"/>
      <c r="X846" s="60"/>
      <c r="Y846" s="60"/>
      <c r="Z846" s="60"/>
    </row>
    <row r="847">
      <c r="A847" s="149"/>
      <c r="B847" s="150"/>
      <c r="C847" s="151"/>
      <c r="D847" s="140"/>
      <c r="E847" s="152"/>
      <c r="F847" s="60"/>
      <c r="G847" s="60"/>
      <c r="H847" s="60"/>
      <c r="I847" s="60"/>
      <c r="J847" s="60"/>
      <c r="K847" s="60"/>
      <c r="L847" s="60"/>
      <c r="M847" s="60"/>
      <c r="N847" s="60"/>
      <c r="O847" s="60"/>
      <c r="P847" s="60"/>
      <c r="Q847" s="60"/>
      <c r="R847" s="60"/>
      <c r="S847" s="60"/>
      <c r="T847" s="60"/>
      <c r="U847" s="60"/>
      <c r="V847" s="60"/>
      <c r="W847" s="60"/>
      <c r="X847" s="60"/>
      <c r="Y847" s="60"/>
      <c r="Z847" s="60"/>
    </row>
    <row r="848">
      <c r="A848" s="149"/>
      <c r="B848" s="150"/>
      <c r="C848" s="151"/>
      <c r="D848" s="140"/>
      <c r="E848" s="152"/>
      <c r="F848" s="60"/>
      <c r="G848" s="60"/>
      <c r="H848" s="60"/>
      <c r="I848" s="60"/>
      <c r="J848" s="60"/>
      <c r="K848" s="60"/>
      <c r="L848" s="60"/>
      <c r="M848" s="60"/>
      <c r="N848" s="60"/>
      <c r="O848" s="60"/>
      <c r="P848" s="60"/>
      <c r="Q848" s="60"/>
      <c r="R848" s="60"/>
      <c r="S848" s="60"/>
      <c r="T848" s="60"/>
      <c r="U848" s="60"/>
      <c r="V848" s="60"/>
      <c r="W848" s="60"/>
      <c r="X848" s="60"/>
      <c r="Y848" s="60"/>
      <c r="Z848" s="60"/>
    </row>
    <row r="849">
      <c r="A849" s="149"/>
      <c r="B849" s="150"/>
      <c r="C849" s="151"/>
      <c r="D849" s="140"/>
      <c r="E849" s="152"/>
      <c r="F849" s="60"/>
      <c r="G849" s="60"/>
      <c r="H849" s="60"/>
      <c r="I849" s="60"/>
      <c r="J849" s="60"/>
      <c r="K849" s="60"/>
      <c r="L849" s="60"/>
      <c r="M849" s="60"/>
      <c r="N849" s="60"/>
      <c r="O849" s="60"/>
      <c r="P849" s="60"/>
      <c r="Q849" s="60"/>
      <c r="R849" s="60"/>
      <c r="S849" s="60"/>
      <c r="T849" s="60"/>
      <c r="U849" s="60"/>
      <c r="V849" s="60"/>
      <c r="W849" s="60"/>
      <c r="X849" s="60"/>
      <c r="Y849" s="60"/>
      <c r="Z849" s="60"/>
    </row>
    <row r="850">
      <c r="A850" s="149"/>
      <c r="B850" s="150"/>
      <c r="C850" s="151"/>
      <c r="D850" s="140"/>
      <c r="E850" s="152"/>
      <c r="F850" s="60"/>
      <c r="G850" s="60"/>
      <c r="H850" s="60"/>
      <c r="I850" s="60"/>
      <c r="J850" s="60"/>
      <c r="K850" s="60"/>
      <c r="L850" s="60"/>
      <c r="M850" s="60"/>
      <c r="N850" s="60"/>
      <c r="O850" s="60"/>
      <c r="P850" s="60"/>
      <c r="Q850" s="60"/>
      <c r="R850" s="60"/>
      <c r="S850" s="60"/>
      <c r="T850" s="60"/>
      <c r="U850" s="60"/>
      <c r="V850" s="60"/>
      <c r="W850" s="60"/>
      <c r="X850" s="60"/>
      <c r="Y850" s="60"/>
      <c r="Z850" s="60"/>
    </row>
    <row r="851">
      <c r="A851" s="149"/>
      <c r="B851" s="150"/>
      <c r="C851" s="151"/>
      <c r="D851" s="140"/>
      <c r="E851" s="152"/>
      <c r="F851" s="60"/>
      <c r="G851" s="60"/>
      <c r="H851" s="60"/>
      <c r="I851" s="60"/>
      <c r="J851" s="60"/>
      <c r="K851" s="60"/>
      <c r="L851" s="60"/>
      <c r="M851" s="60"/>
      <c r="N851" s="60"/>
      <c r="O851" s="60"/>
      <c r="P851" s="60"/>
      <c r="Q851" s="60"/>
      <c r="R851" s="60"/>
      <c r="S851" s="60"/>
      <c r="T851" s="60"/>
      <c r="U851" s="60"/>
      <c r="V851" s="60"/>
      <c r="W851" s="60"/>
      <c r="X851" s="60"/>
      <c r="Y851" s="60"/>
      <c r="Z851" s="60"/>
    </row>
    <row r="852">
      <c r="A852" s="149"/>
      <c r="B852" s="150"/>
      <c r="C852" s="151"/>
      <c r="D852" s="140"/>
      <c r="E852" s="152"/>
      <c r="F852" s="60"/>
      <c r="G852" s="60"/>
      <c r="H852" s="60"/>
      <c r="I852" s="60"/>
      <c r="J852" s="60"/>
      <c r="K852" s="60"/>
      <c r="L852" s="60"/>
      <c r="M852" s="60"/>
      <c r="N852" s="60"/>
      <c r="O852" s="60"/>
      <c r="P852" s="60"/>
      <c r="Q852" s="60"/>
      <c r="R852" s="60"/>
      <c r="S852" s="60"/>
      <c r="T852" s="60"/>
      <c r="U852" s="60"/>
      <c r="V852" s="60"/>
      <c r="W852" s="60"/>
      <c r="X852" s="60"/>
      <c r="Y852" s="60"/>
      <c r="Z852" s="60"/>
    </row>
    <row r="853">
      <c r="A853" s="149"/>
      <c r="B853" s="150"/>
      <c r="C853" s="151"/>
      <c r="D853" s="140"/>
      <c r="E853" s="152"/>
      <c r="F853" s="60"/>
      <c r="G853" s="60"/>
      <c r="H853" s="60"/>
      <c r="I853" s="60"/>
      <c r="J853" s="60"/>
      <c r="K853" s="60"/>
      <c r="L853" s="60"/>
      <c r="M853" s="60"/>
      <c r="N853" s="60"/>
      <c r="O853" s="60"/>
      <c r="P853" s="60"/>
      <c r="Q853" s="60"/>
      <c r="R853" s="60"/>
      <c r="S853" s="60"/>
      <c r="T853" s="60"/>
      <c r="U853" s="60"/>
      <c r="V853" s="60"/>
      <c r="W853" s="60"/>
      <c r="X853" s="60"/>
      <c r="Y853" s="60"/>
      <c r="Z853" s="60"/>
    </row>
    <row r="854">
      <c r="A854" s="149"/>
      <c r="B854" s="150"/>
      <c r="C854" s="151"/>
      <c r="D854" s="140"/>
      <c r="E854" s="152"/>
      <c r="F854" s="60"/>
      <c r="G854" s="60"/>
      <c r="H854" s="60"/>
      <c r="I854" s="60"/>
      <c r="J854" s="60"/>
      <c r="K854" s="60"/>
      <c r="L854" s="60"/>
      <c r="M854" s="60"/>
      <c r="N854" s="60"/>
      <c r="O854" s="60"/>
      <c r="P854" s="60"/>
      <c r="Q854" s="60"/>
      <c r="R854" s="60"/>
      <c r="S854" s="60"/>
      <c r="T854" s="60"/>
      <c r="U854" s="60"/>
      <c r="V854" s="60"/>
      <c r="W854" s="60"/>
      <c r="X854" s="60"/>
      <c r="Y854" s="60"/>
      <c r="Z854" s="60"/>
    </row>
    <row r="855">
      <c r="A855" s="149"/>
      <c r="B855" s="150"/>
      <c r="C855" s="151"/>
      <c r="D855" s="140"/>
      <c r="E855" s="152"/>
      <c r="F855" s="60"/>
      <c r="G855" s="60"/>
      <c r="H855" s="60"/>
      <c r="I855" s="60"/>
      <c r="J855" s="60"/>
      <c r="K855" s="60"/>
      <c r="L855" s="60"/>
      <c r="M855" s="60"/>
      <c r="N855" s="60"/>
      <c r="O855" s="60"/>
      <c r="P855" s="60"/>
      <c r="Q855" s="60"/>
      <c r="R855" s="60"/>
      <c r="S855" s="60"/>
      <c r="T855" s="60"/>
      <c r="U855" s="60"/>
      <c r="V855" s="60"/>
      <c r="W855" s="60"/>
      <c r="X855" s="60"/>
      <c r="Y855" s="60"/>
      <c r="Z855" s="60"/>
    </row>
    <row r="856">
      <c r="A856" s="149"/>
      <c r="B856" s="150"/>
      <c r="C856" s="151"/>
      <c r="D856" s="140"/>
      <c r="E856" s="152"/>
      <c r="F856" s="60"/>
      <c r="G856" s="60"/>
      <c r="H856" s="60"/>
      <c r="I856" s="60"/>
      <c r="J856" s="60"/>
      <c r="K856" s="60"/>
      <c r="L856" s="60"/>
      <c r="M856" s="60"/>
      <c r="N856" s="60"/>
      <c r="O856" s="60"/>
      <c r="P856" s="60"/>
      <c r="Q856" s="60"/>
      <c r="R856" s="60"/>
      <c r="S856" s="60"/>
      <c r="T856" s="60"/>
      <c r="U856" s="60"/>
      <c r="V856" s="60"/>
      <c r="W856" s="60"/>
      <c r="X856" s="60"/>
      <c r="Y856" s="60"/>
      <c r="Z856" s="60"/>
    </row>
    <row r="857">
      <c r="A857" s="149"/>
      <c r="B857" s="150"/>
      <c r="C857" s="151"/>
      <c r="D857" s="140"/>
      <c r="E857" s="152"/>
      <c r="F857" s="60"/>
      <c r="G857" s="60"/>
      <c r="H857" s="60"/>
      <c r="I857" s="60"/>
      <c r="J857" s="60"/>
      <c r="K857" s="60"/>
      <c r="L857" s="60"/>
      <c r="M857" s="60"/>
      <c r="N857" s="60"/>
      <c r="O857" s="60"/>
      <c r="P857" s="60"/>
      <c r="Q857" s="60"/>
      <c r="R857" s="60"/>
      <c r="S857" s="60"/>
      <c r="T857" s="60"/>
      <c r="U857" s="60"/>
      <c r="V857" s="60"/>
      <c r="W857" s="60"/>
      <c r="X857" s="60"/>
      <c r="Y857" s="60"/>
      <c r="Z857" s="60"/>
    </row>
    <row r="858">
      <c r="A858" s="149"/>
      <c r="B858" s="150"/>
      <c r="C858" s="151"/>
      <c r="D858" s="140"/>
      <c r="E858" s="152"/>
      <c r="F858" s="60"/>
      <c r="G858" s="60"/>
      <c r="H858" s="60"/>
      <c r="I858" s="60"/>
      <c r="J858" s="60"/>
      <c r="K858" s="60"/>
      <c r="L858" s="60"/>
      <c r="M858" s="60"/>
      <c r="N858" s="60"/>
      <c r="O858" s="60"/>
      <c r="P858" s="60"/>
      <c r="Q858" s="60"/>
      <c r="R858" s="60"/>
      <c r="S858" s="60"/>
      <c r="T858" s="60"/>
      <c r="U858" s="60"/>
      <c r="V858" s="60"/>
      <c r="W858" s="60"/>
      <c r="X858" s="60"/>
      <c r="Y858" s="60"/>
      <c r="Z858" s="60"/>
    </row>
    <row r="859">
      <c r="A859" s="149"/>
      <c r="B859" s="150"/>
      <c r="C859" s="151"/>
      <c r="D859" s="140"/>
      <c r="E859" s="152"/>
      <c r="F859" s="60"/>
      <c r="G859" s="60"/>
      <c r="H859" s="60"/>
      <c r="I859" s="60"/>
      <c r="J859" s="60"/>
      <c r="K859" s="60"/>
      <c r="L859" s="60"/>
      <c r="M859" s="60"/>
      <c r="N859" s="60"/>
      <c r="O859" s="60"/>
      <c r="P859" s="60"/>
      <c r="Q859" s="60"/>
      <c r="R859" s="60"/>
      <c r="S859" s="60"/>
      <c r="T859" s="60"/>
      <c r="U859" s="60"/>
      <c r="V859" s="60"/>
      <c r="W859" s="60"/>
      <c r="X859" s="60"/>
      <c r="Y859" s="60"/>
      <c r="Z859" s="60"/>
    </row>
    <row r="860">
      <c r="A860" s="149"/>
      <c r="B860" s="150"/>
      <c r="C860" s="151"/>
      <c r="D860" s="140"/>
      <c r="E860" s="152"/>
      <c r="F860" s="60"/>
      <c r="G860" s="60"/>
      <c r="H860" s="60"/>
      <c r="I860" s="60"/>
      <c r="J860" s="60"/>
      <c r="K860" s="60"/>
      <c r="L860" s="60"/>
      <c r="M860" s="60"/>
      <c r="N860" s="60"/>
      <c r="O860" s="60"/>
      <c r="P860" s="60"/>
      <c r="Q860" s="60"/>
      <c r="R860" s="60"/>
      <c r="S860" s="60"/>
      <c r="T860" s="60"/>
      <c r="U860" s="60"/>
      <c r="V860" s="60"/>
      <c r="W860" s="60"/>
      <c r="X860" s="60"/>
      <c r="Y860" s="60"/>
      <c r="Z860" s="60"/>
    </row>
    <row r="861">
      <c r="A861" s="149"/>
      <c r="B861" s="150"/>
      <c r="C861" s="151"/>
      <c r="D861" s="140"/>
      <c r="E861" s="152"/>
      <c r="F861" s="60"/>
      <c r="G861" s="60"/>
      <c r="H861" s="60"/>
      <c r="I861" s="60"/>
      <c r="J861" s="60"/>
      <c r="K861" s="60"/>
      <c r="L861" s="60"/>
      <c r="M861" s="60"/>
      <c r="N861" s="60"/>
      <c r="O861" s="60"/>
      <c r="P861" s="60"/>
      <c r="Q861" s="60"/>
      <c r="R861" s="60"/>
      <c r="S861" s="60"/>
      <c r="T861" s="60"/>
      <c r="U861" s="60"/>
      <c r="V861" s="60"/>
      <c r="W861" s="60"/>
      <c r="X861" s="60"/>
      <c r="Y861" s="60"/>
      <c r="Z861" s="60"/>
    </row>
    <row r="862">
      <c r="A862" s="149"/>
      <c r="B862" s="150"/>
      <c r="C862" s="151"/>
      <c r="D862" s="140"/>
      <c r="E862" s="152"/>
      <c r="F862" s="60"/>
      <c r="G862" s="60"/>
      <c r="H862" s="60"/>
      <c r="I862" s="60"/>
      <c r="J862" s="60"/>
      <c r="K862" s="60"/>
      <c r="L862" s="60"/>
      <c r="M862" s="60"/>
      <c r="N862" s="60"/>
      <c r="O862" s="60"/>
      <c r="P862" s="60"/>
      <c r="Q862" s="60"/>
      <c r="R862" s="60"/>
      <c r="S862" s="60"/>
      <c r="T862" s="60"/>
      <c r="U862" s="60"/>
      <c r="V862" s="60"/>
      <c r="W862" s="60"/>
      <c r="X862" s="60"/>
      <c r="Y862" s="60"/>
      <c r="Z862" s="60"/>
    </row>
    <row r="863">
      <c r="A863" s="149"/>
      <c r="B863" s="150"/>
      <c r="C863" s="151"/>
      <c r="D863" s="140"/>
      <c r="E863" s="152"/>
      <c r="F863" s="60"/>
      <c r="G863" s="60"/>
      <c r="H863" s="60"/>
      <c r="I863" s="60"/>
      <c r="J863" s="60"/>
      <c r="K863" s="60"/>
      <c r="L863" s="60"/>
      <c r="M863" s="60"/>
      <c r="N863" s="60"/>
      <c r="O863" s="60"/>
      <c r="P863" s="60"/>
      <c r="Q863" s="60"/>
      <c r="R863" s="60"/>
      <c r="S863" s="60"/>
      <c r="T863" s="60"/>
      <c r="U863" s="60"/>
      <c r="V863" s="60"/>
      <c r="W863" s="60"/>
      <c r="X863" s="60"/>
      <c r="Y863" s="60"/>
      <c r="Z863" s="60"/>
    </row>
    <row r="864">
      <c r="A864" s="149"/>
      <c r="B864" s="150"/>
      <c r="C864" s="151"/>
      <c r="D864" s="140"/>
      <c r="E864" s="152"/>
      <c r="F864" s="60"/>
      <c r="G864" s="60"/>
      <c r="H864" s="60"/>
      <c r="I864" s="60"/>
      <c r="J864" s="60"/>
      <c r="K864" s="60"/>
      <c r="L864" s="60"/>
      <c r="M864" s="60"/>
      <c r="N864" s="60"/>
      <c r="O864" s="60"/>
      <c r="P864" s="60"/>
      <c r="Q864" s="60"/>
      <c r="R864" s="60"/>
      <c r="S864" s="60"/>
      <c r="T864" s="60"/>
      <c r="U864" s="60"/>
      <c r="V864" s="60"/>
      <c r="W864" s="60"/>
      <c r="X864" s="60"/>
      <c r="Y864" s="60"/>
      <c r="Z864" s="60"/>
    </row>
    <row r="865">
      <c r="A865" s="149"/>
      <c r="B865" s="150"/>
      <c r="C865" s="151"/>
      <c r="D865" s="140"/>
      <c r="E865" s="152"/>
      <c r="F865" s="60"/>
      <c r="G865" s="60"/>
      <c r="H865" s="60"/>
      <c r="I865" s="60"/>
      <c r="J865" s="60"/>
      <c r="K865" s="60"/>
      <c r="L865" s="60"/>
      <c r="M865" s="60"/>
      <c r="N865" s="60"/>
      <c r="O865" s="60"/>
      <c r="P865" s="60"/>
      <c r="Q865" s="60"/>
      <c r="R865" s="60"/>
      <c r="S865" s="60"/>
      <c r="T865" s="60"/>
      <c r="U865" s="60"/>
      <c r="V865" s="60"/>
      <c r="W865" s="60"/>
      <c r="X865" s="60"/>
      <c r="Y865" s="60"/>
      <c r="Z865" s="60"/>
    </row>
    <row r="866">
      <c r="A866" s="149"/>
      <c r="B866" s="150"/>
      <c r="C866" s="151"/>
      <c r="D866" s="140"/>
      <c r="E866" s="152"/>
      <c r="F866" s="60"/>
      <c r="G866" s="60"/>
      <c r="H866" s="60"/>
      <c r="I866" s="60"/>
      <c r="J866" s="60"/>
      <c r="K866" s="60"/>
      <c r="L866" s="60"/>
      <c r="M866" s="60"/>
      <c r="N866" s="60"/>
      <c r="O866" s="60"/>
      <c r="P866" s="60"/>
      <c r="Q866" s="60"/>
      <c r="R866" s="60"/>
      <c r="S866" s="60"/>
      <c r="T866" s="60"/>
      <c r="U866" s="60"/>
      <c r="V866" s="60"/>
      <c r="W866" s="60"/>
      <c r="X866" s="60"/>
      <c r="Y866" s="60"/>
      <c r="Z866" s="60"/>
    </row>
    <row r="867">
      <c r="A867" s="149"/>
      <c r="B867" s="150"/>
      <c r="C867" s="151"/>
      <c r="D867" s="140"/>
      <c r="E867" s="152"/>
      <c r="F867" s="60"/>
      <c r="G867" s="60"/>
      <c r="H867" s="60"/>
      <c r="I867" s="60"/>
      <c r="J867" s="60"/>
      <c r="K867" s="60"/>
      <c r="L867" s="60"/>
      <c r="M867" s="60"/>
      <c r="N867" s="60"/>
      <c r="O867" s="60"/>
      <c r="P867" s="60"/>
      <c r="Q867" s="60"/>
      <c r="R867" s="60"/>
      <c r="S867" s="60"/>
      <c r="T867" s="60"/>
      <c r="U867" s="60"/>
      <c r="V867" s="60"/>
      <c r="W867" s="60"/>
      <c r="X867" s="60"/>
      <c r="Y867" s="60"/>
      <c r="Z867" s="60"/>
    </row>
    <row r="868">
      <c r="A868" s="149"/>
      <c r="B868" s="150"/>
      <c r="C868" s="151"/>
      <c r="D868" s="140"/>
      <c r="E868" s="152"/>
      <c r="F868" s="60"/>
      <c r="G868" s="60"/>
      <c r="H868" s="60"/>
      <c r="I868" s="60"/>
      <c r="J868" s="60"/>
      <c r="K868" s="60"/>
      <c r="L868" s="60"/>
      <c r="M868" s="60"/>
      <c r="N868" s="60"/>
      <c r="O868" s="60"/>
      <c r="P868" s="60"/>
      <c r="Q868" s="60"/>
      <c r="R868" s="60"/>
      <c r="S868" s="60"/>
      <c r="T868" s="60"/>
      <c r="U868" s="60"/>
      <c r="V868" s="60"/>
      <c r="W868" s="60"/>
      <c r="X868" s="60"/>
      <c r="Y868" s="60"/>
      <c r="Z868" s="60"/>
    </row>
    <row r="869">
      <c r="A869" s="149"/>
      <c r="B869" s="150"/>
      <c r="C869" s="151"/>
      <c r="D869" s="140"/>
      <c r="E869" s="152"/>
      <c r="F869" s="60"/>
      <c r="G869" s="60"/>
      <c r="H869" s="60"/>
      <c r="I869" s="60"/>
      <c r="J869" s="60"/>
      <c r="K869" s="60"/>
      <c r="L869" s="60"/>
      <c r="M869" s="60"/>
      <c r="N869" s="60"/>
      <c r="O869" s="60"/>
      <c r="P869" s="60"/>
      <c r="Q869" s="60"/>
      <c r="R869" s="60"/>
      <c r="S869" s="60"/>
      <c r="T869" s="60"/>
      <c r="U869" s="60"/>
      <c r="V869" s="60"/>
      <c r="W869" s="60"/>
      <c r="X869" s="60"/>
      <c r="Y869" s="60"/>
      <c r="Z869" s="60"/>
    </row>
    <row r="870">
      <c r="A870" s="149"/>
      <c r="B870" s="150"/>
      <c r="C870" s="151"/>
      <c r="D870" s="140"/>
      <c r="E870" s="152"/>
      <c r="F870" s="60"/>
      <c r="G870" s="60"/>
      <c r="H870" s="60"/>
      <c r="I870" s="60"/>
      <c r="J870" s="60"/>
      <c r="K870" s="60"/>
      <c r="L870" s="60"/>
      <c r="M870" s="60"/>
      <c r="N870" s="60"/>
      <c r="O870" s="60"/>
      <c r="P870" s="60"/>
      <c r="Q870" s="60"/>
      <c r="R870" s="60"/>
      <c r="S870" s="60"/>
      <c r="T870" s="60"/>
      <c r="U870" s="60"/>
      <c r="V870" s="60"/>
      <c r="W870" s="60"/>
      <c r="X870" s="60"/>
      <c r="Y870" s="60"/>
      <c r="Z870" s="60"/>
    </row>
    <row r="871">
      <c r="A871" s="149"/>
      <c r="B871" s="150"/>
      <c r="C871" s="151"/>
      <c r="D871" s="140"/>
      <c r="E871" s="152"/>
      <c r="F871" s="60"/>
      <c r="G871" s="60"/>
      <c r="H871" s="60"/>
      <c r="I871" s="60"/>
      <c r="J871" s="60"/>
      <c r="K871" s="60"/>
      <c r="L871" s="60"/>
      <c r="M871" s="60"/>
      <c r="N871" s="60"/>
      <c r="O871" s="60"/>
      <c r="P871" s="60"/>
      <c r="Q871" s="60"/>
      <c r="R871" s="60"/>
      <c r="S871" s="60"/>
      <c r="T871" s="60"/>
      <c r="U871" s="60"/>
      <c r="V871" s="60"/>
      <c r="W871" s="60"/>
      <c r="X871" s="60"/>
      <c r="Y871" s="60"/>
      <c r="Z871" s="60"/>
    </row>
    <row r="872">
      <c r="A872" s="149"/>
      <c r="B872" s="150"/>
      <c r="C872" s="151"/>
      <c r="D872" s="140"/>
      <c r="E872" s="152"/>
      <c r="F872" s="60"/>
      <c r="G872" s="60"/>
      <c r="H872" s="60"/>
      <c r="I872" s="60"/>
      <c r="J872" s="60"/>
      <c r="K872" s="60"/>
      <c r="L872" s="60"/>
      <c r="M872" s="60"/>
      <c r="N872" s="60"/>
      <c r="O872" s="60"/>
      <c r="P872" s="60"/>
      <c r="Q872" s="60"/>
      <c r="R872" s="60"/>
      <c r="S872" s="60"/>
      <c r="T872" s="60"/>
      <c r="U872" s="60"/>
      <c r="V872" s="60"/>
      <c r="W872" s="60"/>
      <c r="X872" s="60"/>
      <c r="Y872" s="60"/>
      <c r="Z872" s="60"/>
    </row>
    <row r="873">
      <c r="A873" s="149"/>
      <c r="B873" s="150"/>
      <c r="C873" s="151"/>
      <c r="D873" s="140"/>
      <c r="E873" s="152"/>
      <c r="F873" s="60"/>
      <c r="G873" s="60"/>
      <c r="H873" s="60"/>
      <c r="I873" s="60"/>
      <c r="J873" s="60"/>
      <c r="K873" s="60"/>
      <c r="L873" s="60"/>
      <c r="M873" s="60"/>
      <c r="N873" s="60"/>
      <c r="O873" s="60"/>
      <c r="P873" s="60"/>
      <c r="Q873" s="60"/>
      <c r="R873" s="60"/>
      <c r="S873" s="60"/>
      <c r="T873" s="60"/>
      <c r="U873" s="60"/>
      <c r="V873" s="60"/>
      <c r="W873" s="60"/>
      <c r="X873" s="60"/>
      <c r="Y873" s="60"/>
      <c r="Z873" s="60"/>
    </row>
    <row r="874">
      <c r="A874" s="149"/>
      <c r="B874" s="150"/>
      <c r="C874" s="151"/>
      <c r="D874" s="140"/>
      <c r="E874" s="152"/>
      <c r="F874" s="60"/>
      <c r="G874" s="60"/>
      <c r="H874" s="60"/>
      <c r="I874" s="60"/>
      <c r="J874" s="60"/>
      <c r="K874" s="60"/>
      <c r="L874" s="60"/>
      <c r="M874" s="60"/>
      <c r="N874" s="60"/>
      <c r="O874" s="60"/>
      <c r="P874" s="60"/>
      <c r="Q874" s="60"/>
      <c r="R874" s="60"/>
      <c r="S874" s="60"/>
      <c r="T874" s="60"/>
      <c r="U874" s="60"/>
      <c r="V874" s="60"/>
      <c r="W874" s="60"/>
      <c r="X874" s="60"/>
      <c r="Y874" s="60"/>
      <c r="Z874" s="60"/>
    </row>
    <row r="875">
      <c r="A875" s="149"/>
      <c r="B875" s="150"/>
      <c r="C875" s="151"/>
      <c r="D875" s="140"/>
      <c r="E875" s="152"/>
      <c r="F875" s="60"/>
      <c r="G875" s="60"/>
      <c r="H875" s="60"/>
      <c r="I875" s="60"/>
      <c r="J875" s="60"/>
      <c r="K875" s="60"/>
      <c r="L875" s="60"/>
      <c r="M875" s="60"/>
      <c r="N875" s="60"/>
      <c r="O875" s="60"/>
      <c r="P875" s="60"/>
      <c r="Q875" s="60"/>
      <c r="R875" s="60"/>
      <c r="S875" s="60"/>
      <c r="T875" s="60"/>
      <c r="U875" s="60"/>
      <c r="V875" s="60"/>
      <c r="W875" s="60"/>
      <c r="X875" s="60"/>
      <c r="Y875" s="60"/>
      <c r="Z875" s="60"/>
    </row>
    <row r="876">
      <c r="A876" s="149"/>
      <c r="B876" s="150"/>
      <c r="C876" s="151"/>
      <c r="D876" s="140"/>
      <c r="E876" s="152"/>
      <c r="F876" s="60"/>
      <c r="G876" s="60"/>
      <c r="H876" s="60"/>
      <c r="I876" s="60"/>
      <c r="J876" s="60"/>
      <c r="K876" s="60"/>
      <c r="L876" s="60"/>
      <c r="M876" s="60"/>
      <c r="N876" s="60"/>
      <c r="O876" s="60"/>
      <c r="P876" s="60"/>
      <c r="Q876" s="60"/>
      <c r="R876" s="60"/>
      <c r="S876" s="60"/>
      <c r="T876" s="60"/>
      <c r="U876" s="60"/>
      <c r="V876" s="60"/>
      <c r="W876" s="60"/>
      <c r="X876" s="60"/>
      <c r="Y876" s="60"/>
      <c r="Z876" s="60"/>
    </row>
    <row r="877">
      <c r="A877" s="149"/>
      <c r="B877" s="150"/>
      <c r="C877" s="151"/>
      <c r="D877" s="140"/>
      <c r="E877" s="152"/>
      <c r="F877" s="60"/>
      <c r="G877" s="60"/>
      <c r="H877" s="60"/>
      <c r="I877" s="60"/>
      <c r="J877" s="60"/>
      <c r="K877" s="60"/>
      <c r="L877" s="60"/>
      <c r="M877" s="60"/>
      <c r="N877" s="60"/>
      <c r="O877" s="60"/>
      <c r="P877" s="60"/>
      <c r="Q877" s="60"/>
      <c r="R877" s="60"/>
      <c r="S877" s="60"/>
      <c r="T877" s="60"/>
      <c r="U877" s="60"/>
      <c r="V877" s="60"/>
      <c r="W877" s="60"/>
      <c r="X877" s="60"/>
      <c r="Y877" s="60"/>
      <c r="Z877" s="60"/>
    </row>
    <row r="878">
      <c r="A878" s="149"/>
      <c r="B878" s="150"/>
      <c r="C878" s="151"/>
      <c r="D878" s="140"/>
      <c r="E878" s="152"/>
      <c r="F878" s="60"/>
      <c r="G878" s="60"/>
      <c r="H878" s="60"/>
      <c r="I878" s="60"/>
      <c r="J878" s="60"/>
      <c r="K878" s="60"/>
      <c r="L878" s="60"/>
      <c r="M878" s="60"/>
      <c r="N878" s="60"/>
      <c r="O878" s="60"/>
      <c r="P878" s="60"/>
      <c r="Q878" s="60"/>
      <c r="R878" s="60"/>
      <c r="S878" s="60"/>
      <c r="T878" s="60"/>
      <c r="U878" s="60"/>
      <c r="V878" s="60"/>
      <c r="W878" s="60"/>
      <c r="X878" s="60"/>
      <c r="Y878" s="60"/>
      <c r="Z878" s="60"/>
    </row>
    <row r="879">
      <c r="A879" s="149"/>
      <c r="B879" s="150"/>
      <c r="C879" s="151"/>
      <c r="D879" s="140"/>
      <c r="E879" s="152"/>
      <c r="F879" s="60"/>
      <c r="G879" s="60"/>
      <c r="H879" s="60"/>
      <c r="I879" s="60"/>
      <c r="J879" s="60"/>
      <c r="K879" s="60"/>
      <c r="L879" s="60"/>
      <c r="M879" s="60"/>
      <c r="N879" s="60"/>
      <c r="O879" s="60"/>
      <c r="P879" s="60"/>
      <c r="Q879" s="60"/>
      <c r="R879" s="60"/>
      <c r="S879" s="60"/>
      <c r="T879" s="60"/>
      <c r="U879" s="60"/>
      <c r="V879" s="60"/>
      <c r="W879" s="60"/>
      <c r="X879" s="60"/>
      <c r="Y879" s="60"/>
      <c r="Z879" s="60"/>
    </row>
    <row r="880">
      <c r="A880" s="149"/>
      <c r="B880" s="150"/>
      <c r="C880" s="151"/>
      <c r="D880" s="140"/>
      <c r="E880" s="152"/>
      <c r="F880" s="60"/>
      <c r="G880" s="60"/>
      <c r="H880" s="60"/>
      <c r="I880" s="60"/>
      <c r="J880" s="60"/>
      <c r="K880" s="60"/>
      <c r="L880" s="60"/>
      <c r="M880" s="60"/>
      <c r="N880" s="60"/>
      <c r="O880" s="60"/>
      <c r="P880" s="60"/>
      <c r="Q880" s="60"/>
      <c r="R880" s="60"/>
      <c r="S880" s="60"/>
      <c r="T880" s="60"/>
      <c r="U880" s="60"/>
      <c r="V880" s="60"/>
      <c r="W880" s="60"/>
      <c r="X880" s="60"/>
      <c r="Y880" s="60"/>
      <c r="Z880" s="60"/>
    </row>
    <row r="881">
      <c r="A881" s="149"/>
      <c r="B881" s="150"/>
      <c r="C881" s="151"/>
      <c r="D881" s="140"/>
      <c r="E881" s="152"/>
      <c r="F881" s="60"/>
      <c r="G881" s="60"/>
      <c r="H881" s="60"/>
      <c r="I881" s="60"/>
      <c r="J881" s="60"/>
      <c r="K881" s="60"/>
      <c r="L881" s="60"/>
      <c r="M881" s="60"/>
      <c r="N881" s="60"/>
      <c r="O881" s="60"/>
      <c r="P881" s="60"/>
      <c r="Q881" s="60"/>
      <c r="R881" s="60"/>
      <c r="S881" s="60"/>
      <c r="T881" s="60"/>
      <c r="U881" s="60"/>
      <c r="V881" s="60"/>
      <c r="W881" s="60"/>
      <c r="X881" s="60"/>
      <c r="Y881" s="60"/>
      <c r="Z881" s="60"/>
    </row>
    <row r="882">
      <c r="A882" s="149"/>
      <c r="B882" s="150"/>
      <c r="C882" s="151"/>
      <c r="D882" s="140"/>
      <c r="E882" s="152"/>
      <c r="F882" s="60"/>
      <c r="G882" s="60"/>
      <c r="H882" s="60"/>
      <c r="I882" s="60"/>
      <c r="J882" s="60"/>
      <c r="K882" s="60"/>
      <c r="L882" s="60"/>
      <c r="M882" s="60"/>
      <c r="N882" s="60"/>
      <c r="O882" s="60"/>
      <c r="P882" s="60"/>
      <c r="Q882" s="60"/>
      <c r="R882" s="60"/>
      <c r="S882" s="60"/>
      <c r="T882" s="60"/>
      <c r="U882" s="60"/>
      <c r="V882" s="60"/>
      <c r="W882" s="60"/>
      <c r="X882" s="60"/>
      <c r="Y882" s="60"/>
      <c r="Z882" s="60"/>
    </row>
    <row r="883">
      <c r="A883" s="149"/>
      <c r="B883" s="150"/>
      <c r="C883" s="151"/>
      <c r="D883" s="140"/>
      <c r="E883" s="152"/>
      <c r="F883" s="60"/>
      <c r="G883" s="60"/>
      <c r="H883" s="60"/>
      <c r="I883" s="60"/>
      <c r="J883" s="60"/>
      <c r="K883" s="60"/>
      <c r="L883" s="60"/>
      <c r="M883" s="60"/>
      <c r="N883" s="60"/>
      <c r="O883" s="60"/>
      <c r="P883" s="60"/>
      <c r="Q883" s="60"/>
      <c r="R883" s="60"/>
      <c r="S883" s="60"/>
      <c r="T883" s="60"/>
      <c r="U883" s="60"/>
      <c r="V883" s="60"/>
      <c r="W883" s="60"/>
      <c r="X883" s="60"/>
      <c r="Y883" s="60"/>
      <c r="Z883" s="60"/>
    </row>
    <row r="884">
      <c r="A884" s="149"/>
      <c r="B884" s="150"/>
      <c r="C884" s="151"/>
      <c r="D884" s="140"/>
      <c r="E884" s="152"/>
      <c r="F884" s="60"/>
      <c r="G884" s="60"/>
      <c r="H884" s="60"/>
      <c r="I884" s="60"/>
      <c r="J884" s="60"/>
      <c r="K884" s="60"/>
      <c r="L884" s="60"/>
      <c r="M884" s="60"/>
      <c r="N884" s="60"/>
      <c r="O884" s="60"/>
      <c r="P884" s="60"/>
      <c r="Q884" s="60"/>
      <c r="R884" s="60"/>
      <c r="S884" s="60"/>
      <c r="T884" s="60"/>
      <c r="U884" s="60"/>
      <c r="V884" s="60"/>
      <c r="W884" s="60"/>
      <c r="X884" s="60"/>
      <c r="Y884" s="60"/>
      <c r="Z884" s="60"/>
    </row>
    <row r="885">
      <c r="A885" s="149"/>
      <c r="B885" s="150"/>
      <c r="C885" s="151"/>
      <c r="D885" s="140"/>
      <c r="E885" s="152"/>
      <c r="F885" s="60"/>
      <c r="G885" s="60"/>
      <c r="H885" s="60"/>
      <c r="I885" s="60"/>
      <c r="J885" s="60"/>
      <c r="K885" s="60"/>
      <c r="L885" s="60"/>
      <c r="M885" s="60"/>
      <c r="N885" s="60"/>
      <c r="O885" s="60"/>
      <c r="P885" s="60"/>
      <c r="Q885" s="60"/>
      <c r="R885" s="60"/>
      <c r="S885" s="60"/>
      <c r="T885" s="60"/>
      <c r="U885" s="60"/>
      <c r="V885" s="60"/>
      <c r="W885" s="60"/>
      <c r="X885" s="60"/>
      <c r="Y885" s="60"/>
      <c r="Z885" s="60"/>
    </row>
    <row r="886">
      <c r="A886" s="149"/>
      <c r="B886" s="150"/>
      <c r="C886" s="151"/>
      <c r="D886" s="140"/>
      <c r="E886" s="152"/>
      <c r="F886" s="60"/>
      <c r="G886" s="60"/>
      <c r="H886" s="60"/>
      <c r="I886" s="60"/>
      <c r="J886" s="60"/>
      <c r="K886" s="60"/>
      <c r="L886" s="60"/>
      <c r="M886" s="60"/>
      <c r="N886" s="60"/>
      <c r="O886" s="60"/>
      <c r="P886" s="60"/>
      <c r="Q886" s="60"/>
      <c r="R886" s="60"/>
      <c r="S886" s="60"/>
      <c r="T886" s="60"/>
      <c r="U886" s="60"/>
      <c r="V886" s="60"/>
      <c r="W886" s="60"/>
      <c r="X886" s="60"/>
      <c r="Y886" s="60"/>
      <c r="Z886" s="60"/>
    </row>
    <row r="887">
      <c r="A887" s="149"/>
      <c r="B887" s="150"/>
      <c r="C887" s="151"/>
      <c r="D887" s="140"/>
      <c r="E887" s="152"/>
      <c r="F887" s="60"/>
      <c r="G887" s="60"/>
      <c r="H887" s="60"/>
      <c r="I887" s="60"/>
      <c r="J887" s="60"/>
      <c r="K887" s="60"/>
      <c r="L887" s="60"/>
      <c r="M887" s="60"/>
      <c r="N887" s="60"/>
      <c r="O887" s="60"/>
      <c r="P887" s="60"/>
      <c r="Q887" s="60"/>
      <c r="R887" s="60"/>
      <c r="S887" s="60"/>
      <c r="T887" s="60"/>
      <c r="U887" s="60"/>
      <c r="V887" s="60"/>
      <c r="W887" s="60"/>
      <c r="X887" s="60"/>
      <c r="Y887" s="60"/>
      <c r="Z887" s="60"/>
    </row>
    <row r="888">
      <c r="A888" s="149"/>
      <c r="B888" s="150"/>
      <c r="C888" s="151"/>
      <c r="D888" s="140"/>
      <c r="E888" s="152"/>
      <c r="F888" s="60"/>
      <c r="G888" s="60"/>
      <c r="H888" s="60"/>
      <c r="I888" s="60"/>
      <c r="J888" s="60"/>
      <c r="K888" s="60"/>
      <c r="L888" s="60"/>
      <c r="M888" s="60"/>
      <c r="N888" s="60"/>
      <c r="O888" s="60"/>
      <c r="P888" s="60"/>
      <c r="Q888" s="60"/>
      <c r="R888" s="60"/>
      <c r="S888" s="60"/>
      <c r="T888" s="60"/>
      <c r="U888" s="60"/>
      <c r="V888" s="60"/>
      <c r="W888" s="60"/>
      <c r="X888" s="60"/>
      <c r="Y888" s="60"/>
      <c r="Z888" s="60"/>
    </row>
    <row r="889">
      <c r="A889" s="149"/>
      <c r="B889" s="150"/>
      <c r="C889" s="151"/>
      <c r="D889" s="140"/>
      <c r="E889" s="152"/>
      <c r="F889" s="60"/>
      <c r="G889" s="60"/>
      <c r="H889" s="60"/>
      <c r="I889" s="60"/>
      <c r="J889" s="60"/>
      <c r="K889" s="60"/>
      <c r="L889" s="60"/>
      <c r="M889" s="60"/>
      <c r="N889" s="60"/>
      <c r="O889" s="60"/>
      <c r="P889" s="60"/>
      <c r="Q889" s="60"/>
      <c r="R889" s="60"/>
      <c r="S889" s="60"/>
      <c r="T889" s="60"/>
      <c r="U889" s="60"/>
      <c r="V889" s="60"/>
      <c r="W889" s="60"/>
      <c r="X889" s="60"/>
      <c r="Y889" s="60"/>
      <c r="Z889" s="60"/>
    </row>
    <row r="890">
      <c r="A890" s="149"/>
      <c r="B890" s="150"/>
      <c r="C890" s="151"/>
      <c r="D890" s="140"/>
      <c r="E890" s="152"/>
      <c r="F890" s="60"/>
      <c r="G890" s="60"/>
      <c r="H890" s="60"/>
      <c r="I890" s="60"/>
      <c r="J890" s="60"/>
      <c r="K890" s="60"/>
      <c r="L890" s="60"/>
      <c r="M890" s="60"/>
      <c r="N890" s="60"/>
      <c r="O890" s="60"/>
      <c r="P890" s="60"/>
      <c r="Q890" s="60"/>
      <c r="R890" s="60"/>
      <c r="S890" s="60"/>
      <c r="T890" s="60"/>
      <c r="U890" s="60"/>
      <c r="V890" s="60"/>
      <c r="W890" s="60"/>
      <c r="X890" s="60"/>
      <c r="Y890" s="60"/>
      <c r="Z890" s="60"/>
    </row>
    <row r="891">
      <c r="A891" s="149"/>
      <c r="B891" s="150"/>
      <c r="C891" s="151"/>
      <c r="D891" s="140"/>
      <c r="E891" s="152"/>
      <c r="F891" s="60"/>
      <c r="G891" s="60"/>
      <c r="H891" s="60"/>
      <c r="I891" s="60"/>
      <c r="J891" s="60"/>
      <c r="K891" s="60"/>
      <c r="L891" s="60"/>
      <c r="M891" s="60"/>
      <c r="N891" s="60"/>
      <c r="O891" s="60"/>
      <c r="P891" s="60"/>
      <c r="Q891" s="60"/>
      <c r="R891" s="60"/>
      <c r="S891" s="60"/>
      <c r="T891" s="60"/>
      <c r="U891" s="60"/>
      <c r="V891" s="60"/>
      <c r="W891" s="60"/>
      <c r="X891" s="60"/>
      <c r="Y891" s="60"/>
      <c r="Z891" s="60"/>
    </row>
    <row r="892">
      <c r="A892" s="149"/>
      <c r="B892" s="150"/>
      <c r="C892" s="151"/>
      <c r="D892" s="140"/>
      <c r="E892" s="152"/>
      <c r="F892" s="60"/>
      <c r="G892" s="60"/>
      <c r="H892" s="60"/>
      <c r="I892" s="60"/>
      <c r="J892" s="60"/>
      <c r="K892" s="60"/>
      <c r="L892" s="60"/>
      <c r="M892" s="60"/>
      <c r="N892" s="60"/>
      <c r="O892" s="60"/>
      <c r="P892" s="60"/>
      <c r="Q892" s="60"/>
      <c r="R892" s="60"/>
      <c r="S892" s="60"/>
      <c r="T892" s="60"/>
      <c r="U892" s="60"/>
      <c r="V892" s="60"/>
      <c r="W892" s="60"/>
      <c r="X892" s="60"/>
      <c r="Y892" s="60"/>
      <c r="Z892" s="60"/>
    </row>
    <row r="893">
      <c r="A893" s="149"/>
      <c r="B893" s="150"/>
      <c r="C893" s="151"/>
      <c r="D893" s="140"/>
      <c r="E893" s="152"/>
      <c r="F893" s="60"/>
      <c r="G893" s="60"/>
      <c r="H893" s="60"/>
      <c r="I893" s="60"/>
      <c r="J893" s="60"/>
      <c r="K893" s="60"/>
      <c r="L893" s="60"/>
      <c r="M893" s="60"/>
      <c r="N893" s="60"/>
      <c r="O893" s="60"/>
      <c r="P893" s="60"/>
      <c r="Q893" s="60"/>
      <c r="R893" s="60"/>
      <c r="S893" s="60"/>
      <c r="T893" s="60"/>
      <c r="U893" s="60"/>
      <c r="V893" s="60"/>
      <c r="W893" s="60"/>
      <c r="X893" s="60"/>
      <c r="Y893" s="60"/>
      <c r="Z893" s="60"/>
    </row>
    <row r="894">
      <c r="A894" s="149"/>
      <c r="B894" s="150"/>
      <c r="C894" s="151"/>
      <c r="D894" s="140"/>
      <c r="E894" s="152"/>
      <c r="F894" s="60"/>
      <c r="G894" s="60"/>
      <c r="H894" s="60"/>
      <c r="I894" s="60"/>
      <c r="J894" s="60"/>
      <c r="K894" s="60"/>
      <c r="L894" s="60"/>
      <c r="M894" s="60"/>
      <c r="N894" s="60"/>
      <c r="O894" s="60"/>
      <c r="P894" s="60"/>
      <c r="Q894" s="60"/>
      <c r="R894" s="60"/>
      <c r="S894" s="60"/>
      <c r="T894" s="60"/>
      <c r="U894" s="60"/>
      <c r="V894" s="60"/>
      <c r="W894" s="60"/>
      <c r="X894" s="60"/>
      <c r="Y894" s="60"/>
      <c r="Z894" s="60"/>
    </row>
    <row r="895">
      <c r="A895" s="149"/>
      <c r="B895" s="150"/>
      <c r="C895" s="151"/>
      <c r="D895" s="140"/>
      <c r="E895" s="152"/>
      <c r="F895" s="60"/>
      <c r="G895" s="60"/>
      <c r="H895" s="60"/>
      <c r="I895" s="60"/>
      <c r="J895" s="60"/>
      <c r="K895" s="60"/>
      <c r="L895" s="60"/>
      <c r="M895" s="60"/>
      <c r="N895" s="60"/>
      <c r="O895" s="60"/>
      <c r="P895" s="60"/>
      <c r="Q895" s="60"/>
      <c r="R895" s="60"/>
      <c r="S895" s="60"/>
      <c r="T895" s="60"/>
      <c r="U895" s="60"/>
      <c r="V895" s="60"/>
      <c r="W895" s="60"/>
      <c r="X895" s="60"/>
      <c r="Y895" s="60"/>
      <c r="Z895" s="60"/>
    </row>
    <row r="896">
      <c r="A896" s="149"/>
      <c r="B896" s="150"/>
      <c r="C896" s="151"/>
      <c r="D896" s="140"/>
      <c r="E896" s="152"/>
      <c r="F896" s="60"/>
      <c r="G896" s="60"/>
      <c r="H896" s="60"/>
      <c r="I896" s="60"/>
      <c r="J896" s="60"/>
      <c r="K896" s="60"/>
      <c r="L896" s="60"/>
      <c r="M896" s="60"/>
      <c r="N896" s="60"/>
      <c r="O896" s="60"/>
      <c r="P896" s="60"/>
      <c r="Q896" s="60"/>
      <c r="R896" s="60"/>
      <c r="S896" s="60"/>
      <c r="T896" s="60"/>
      <c r="U896" s="60"/>
      <c r="V896" s="60"/>
      <c r="W896" s="60"/>
      <c r="X896" s="60"/>
      <c r="Y896" s="60"/>
      <c r="Z896" s="60"/>
    </row>
    <row r="897">
      <c r="A897" s="149"/>
      <c r="B897" s="150"/>
      <c r="C897" s="151"/>
      <c r="D897" s="140"/>
      <c r="E897" s="152"/>
      <c r="F897" s="60"/>
      <c r="G897" s="60"/>
      <c r="H897" s="60"/>
      <c r="I897" s="60"/>
      <c r="J897" s="60"/>
      <c r="K897" s="60"/>
      <c r="L897" s="60"/>
      <c r="M897" s="60"/>
      <c r="N897" s="60"/>
      <c r="O897" s="60"/>
      <c r="P897" s="60"/>
      <c r="Q897" s="60"/>
      <c r="R897" s="60"/>
      <c r="S897" s="60"/>
      <c r="T897" s="60"/>
      <c r="U897" s="60"/>
      <c r="V897" s="60"/>
      <c r="W897" s="60"/>
      <c r="X897" s="60"/>
      <c r="Y897" s="60"/>
      <c r="Z897" s="60"/>
    </row>
    <row r="898">
      <c r="A898" s="149"/>
      <c r="B898" s="150"/>
      <c r="C898" s="151"/>
      <c r="D898" s="140"/>
      <c r="E898" s="152"/>
      <c r="F898" s="60"/>
      <c r="G898" s="60"/>
      <c r="H898" s="60"/>
      <c r="I898" s="60"/>
      <c r="J898" s="60"/>
      <c r="K898" s="60"/>
      <c r="L898" s="60"/>
      <c r="M898" s="60"/>
      <c r="N898" s="60"/>
      <c r="O898" s="60"/>
      <c r="P898" s="60"/>
      <c r="Q898" s="60"/>
      <c r="R898" s="60"/>
      <c r="S898" s="60"/>
      <c r="T898" s="60"/>
      <c r="U898" s="60"/>
      <c r="V898" s="60"/>
      <c r="W898" s="60"/>
      <c r="X898" s="60"/>
      <c r="Y898" s="60"/>
      <c r="Z898" s="60"/>
    </row>
    <row r="899">
      <c r="A899" s="149"/>
      <c r="B899" s="150"/>
      <c r="C899" s="151"/>
      <c r="D899" s="140"/>
      <c r="E899" s="152"/>
      <c r="F899" s="60"/>
      <c r="G899" s="60"/>
      <c r="H899" s="60"/>
      <c r="I899" s="60"/>
      <c r="J899" s="60"/>
      <c r="K899" s="60"/>
      <c r="L899" s="60"/>
      <c r="M899" s="60"/>
      <c r="N899" s="60"/>
      <c r="O899" s="60"/>
      <c r="P899" s="60"/>
      <c r="Q899" s="60"/>
      <c r="R899" s="60"/>
      <c r="S899" s="60"/>
      <c r="T899" s="60"/>
      <c r="U899" s="60"/>
      <c r="V899" s="60"/>
      <c r="W899" s="60"/>
      <c r="X899" s="60"/>
      <c r="Y899" s="60"/>
      <c r="Z899" s="60"/>
    </row>
    <row r="900">
      <c r="A900" s="149"/>
      <c r="B900" s="150"/>
      <c r="C900" s="151"/>
      <c r="D900" s="140"/>
      <c r="E900" s="152"/>
      <c r="F900" s="60"/>
      <c r="G900" s="60"/>
      <c r="H900" s="60"/>
      <c r="I900" s="60"/>
      <c r="J900" s="60"/>
      <c r="K900" s="60"/>
      <c r="L900" s="60"/>
      <c r="M900" s="60"/>
      <c r="N900" s="60"/>
      <c r="O900" s="60"/>
      <c r="P900" s="60"/>
      <c r="Q900" s="60"/>
      <c r="R900" s="60"/>
      <c r="S900" s="60"/>
      <c r="T900" s="60"/>
      <c r="U900" s="60"/>
      <c r="V900" s="60"/>
      <c r="W900" s="60"/>
      <c r="X900" s="60"/>
      <c r="Y900" s="60"/>
      <c r="Z900" s="60"/>
    </row>
    <row r="901">
      <c r="A901" s="149"/>
      <c r="B901" s="150"/>
      <c r="C901" s="151"/>
      <c r="D901" s="140"/>
      <c r="E901" s="152"/>
      <c r="F901" s="60"/>
      <c r="G901" s="60"/>
      <c r="H901" s="60"/>
      <c r="I901" s="60"/>
      <c r="J901" s="60"/>
      <c r="K901" s="60"/>
      <c r="L901" s="60"/>
      <c r="M901" s="60"/>
      <c r="N901" s="60"/>
      <c r="O901" s="60"/>
      <c r="P901" s="60"/>
      <c r="Q901" s="60"/>
      <c r="R901" s="60"/>
      <c r="S901" s="60"/>
      <c r="T901" s="60"/>
      <c r="U901" s="60"/>
      <c r="V901" s="60"/>
      <c r="W901" s="60"/>
      <c r="X901" s="60"/>
      <c r="Y901" s="60"/>
      <c r="Z901" s="60"/>
    </row>
    <row r="902">
      <c r="A902" s="149"/>
      <c r="B902" s="150"/>
      <c r="C902" s="151"/>
      <c r="D902" s="140"/>
      <c r="E902" s="152"/>
      <c r="F902" s="60"/>
      <c r="G902" s="60"/>
      <c r="H902" s="60"/>
      <c r="I902" s="60"/>
      <c r="J902" s="60"/>
      <c r="K902" s="60"/>
      <c r="L902" s="60"/>
      <c r="M902" s="60"/>
      <c r="N902" s="60"/>
      <c r="O902" s="60"/>
      <c r="P902" s="60"/>
      <c r="Q902" s="60"/>
      <c r="R902" s="60"/>
      <c r="S902" s="60"/>
      <c r="T902" s="60"/>
      <c r="U902" s="60"/>
      <c r="V902" s="60"/>
      <c r="W902" s="60"/>
      <c r="X902" s="60"/>
      <c r="Y902" s="60"/>
      <c r="Z902" s="60"/>
    </row>
    <row r="903">
      <c r="A903" s="149"/>
      <c r="B903" s="150"/>
      <c r="C903" s="151"/>
      <c r="D903" s="140"/>
      <c r="E903" s="152"/>
      <c r="F903" s="60"/>
      <c r="G903" s="60"/>
      <c r="H903" s="60"/>
      <c r="I903" s="60"/>
      <c r="J903" s="60"/>
      <c r="K903" s="60"/>
      <c r="L903" s="60"/>
      <c r="M903" s="60"/>
      <c r="N903" s="60"/>
      <c r="O903" s="60"/>
      <c r="P903" s="60"/>
      <c r="Q903" s="60"/>
      <c r="R903" s="60"/>
      <c r="S903" s="60"/>
      <c r="T903" s="60"/>
      <c r="U903" s="60"/>
      <c r="V903" s="60"/>
      <c r="W903" s="60"/>
      <c r="X903" s="60"/>
      <c r="Y903" s="60"/>
      <c r="Z903" s="60"/>
    </row>
    <row r="904">
      <c r="A904" s="149"/>
      <c r="B904" s="150"/>
      <c r="C904" s="151"/>
      <c r="D904" s="140"/>
      <c r="E904" s="152"/>
      <c r="F904" s="60"/>
      <c r="G904" s="60"/>
      <c r="H904" s="60"/>
      <c r="I904" s="60"/>
      <c r="J904" s="60"/>
      <c r="K904" s="60"/>
      <c r="L904" s="60"/>
      <c r="M904" s="60"/>
      <c r="N904" s="60"/>
      <c r="O904" s="60"/>
      <c r="P904" s="60"/>
      <c r="Q904" s="60"/>
      <c r="R904" s="60"/>
      <c r="S904" s="60"/>
      <c r="T904" s="60"/>
      <c r="U904" s="60"/>
      <c r="V904" s="60"/>
      <c r="W904" s="60"/>
      <c r="X904" s="60"/>
      <c r="Y904" s="60"/>
      <c r="Z904" s="60"/>
    </row>
    <row r="905">
      <c r="A905" s="149"/>
      <c r="B905" s="150"/>
      <c r="C905" s="151"/>
      <c r="D905" s="140"/>
      <c r="E905" s="152"/>
      <c r="F905" s="60"/>
      <c r="G905" s="60"/>
      <c r="H905" s="60"/>
      <c r="I905" s="60"/>
      <c r="J905" s="60"/>
      <c r="K905" s="60"/>
      <c r="L905" s="60"/>
      <c r="M905" s="60"/>
      <c r="N905" s="60"/>
      <c r="O905" s="60"/>
      <c r="P905" s="60"/>
      <c r="Q905" s="60"/>
      <c r="R905" s="60"/>
      <c r="S905" s="60"/>
      <c r="T905" s="60"/>
      <c r="U905" s="60"/>
      <c r="V905" s="60"/>
      <c r="W905" s="60"/>
      <c r="X905" s="60"/>
      <c r="Y905" s="60"/>
      <c r="Z905" s="60"/>
    </row>
    <row r="906">
      <c r="A906" s="149"/>
      <c r="B906" s="150"/>
      <c r="C906" s="151"/>
      <c r="D906" s="140"/>
      <c r="E906" s="152"/>
      <c r="F906" s="60"/>
      <c r="G906" s="60"/>
      <c r="H906" s="60"/>
      <c r="I906" s="60"/>
      <c r="J906" s="60"/>
      <c r="K906" s="60"/>
      <c r="L906" s="60"/>
      <c r="M906" s="60"/>
      <c r="N906" s="60"/>
      <c r="O906" s="60"/>
      <c r="P906" s="60"/>
      <c r="Q906" s="60"/>
      <c r="R906" s="60"/>
      <c r="S906" s="60"/>
      <c r="T906" s="60"/>
      <c r="U906" s="60"/>
      <c r="V906" s="60"/>
      <c r="W906" s="60"/>
      <c r="X906" s="60"/>
      <c r="Y906" s="60"/>
      <c r="Z906" s="60"/>
    </row>
    <row r="907">
      <c r="A907" s="149"/>
      <c r="B907" s="150"/>
      <c r="C907" s="151"/>
      <c r="D907" s="140"/>
      <c r="E907" s="152"/>
      <c r="F907" s="60"/>
      <c r="G907" s="60"/>
      <c r="H907" s="60"/>
      <c r="I907" s="60"/>
      <c r="J907" s="60"/>
      <c r="K907" s="60"/>
      <c r="L907" s="60"/>
      <c r="M907" s="60"/>
      <c r="N907" s="60"/>
      <c r="O907" s="60"/>
      <c r="P907" s="60"/>
      <c r="Q907" s="60"/>
      <c r="R907" s="60"/>
      <c r="S907" s="60"/>
      <c r="T907" s="60"/>
      <c r="U907" s="60"/>
      <c r="V907" s="60"/>
      <c r="W907" s="60"/>
      <c r="X907" s="60"/>
      <c r="Y907" s="60"/>
      <c r="Z907" s="60"/>
    </row>
    <row r="908">
      <c r="A908" s="149"/>
      <c r="B908" s="150"/>
      <c r="C908" s="151"/>
      <c r="D908" s="140"/>
      <c r="E908" s="152"/>
      <c r="F908" s="60"/>
      <c r="G908" s="60"/>
      <c r="H908" s="60"/>
      <c r="I908" s="60"/>
      <c r="J908" s="60"/>
      <c r="K908" s="60"/>
      <c r="L908" s="60"/>
      <c r="M908" s="60"/>
      <c r="N908" s="60"/>
      <c r="O908" s="60"/>
      <c r="P908" s="60"/>
      <c r="Q908" s="60"/>
      <c r="R908" s="60"/>
      <c r="S908" s="60"/>
      <c r="T908" s="60"/>
      <c r="U908" s="60"/>
      <c r="V908" s="60"/>
      <c r="W908" s="60"/>
      <c r="X908" s="60"/>
      <c r="Y908" s="60"/>
      <c r="Z908" s="60"/>
    </row>
    <row r="909">
      <c r="A909" s="149"/>
      <c r="B909" s="150"/>
      <c r="C909" s="151"/>
      <c r="D909" s="140"/>
      <c r="E909" s="152"/>
      <c r="F909" s="60"/>
      <c r="G909" s="60"/>
      <c r="H909" s="60"/>
      <c r="I909" s="60"/>
      <c r="J909" s="60"/>
      <c r="K909" s="60"/>
      <c r="L909" s="60"/>
      <c r="M909" s="60"/>
      <c r="N909" s="60"/>
      <c r="O909" s="60"/>
      <c r="P909" s="60"/>
      <c r="Q909" s="60"/>
      <c r="R909" s="60"/>
      <c r="S909" s="60"/>
      <c r="T909" s="60"/>
      <c r="U909" s="60"/>
      <c r="V909" s="60"/>
      <c r="W909" s="60"/>
      <c r="X909" s="60"/>
      <c r="Y909" s="60"/>
      <c r="Z909" s="60"/>
    </row>
    <row r="910">
      <c r="A910" s="149"/>
      <c r="B910" s="150"/>
      <c r="C910" s="151"/>
      <c r="D910" s="140"/>
      <c r="E910" s="152"/>
      <c r="F910" s="60"/>
      <c r="G910" s="60"/>
      <c r="H910" s="60"/>
      <c r="I910" s="60"/>
      <c r="J910" s="60"/>
      <c r="K910" s="60"/>
      <c r="L910" s="60"/>
      <c r="M910" s="60"/>
      <c r="N910" s="60"/>
      <c r="O910" s="60"/>
      <c r="P910" s="60"/>
      <c r="Q910" s="60"/>
      <c r="R910" s="60"/>
      <c r="S910" s="60"/>
      <c r="T910" s="60"/>
      <c r="U910" s="60"/>
      <c r="V910" s="60"/>
      <c r="W910" s="60"/>
      <c r="X910" s="60"/>
      <c r="Y910" s="60"/>
      <c r="Z910" s="60"/>
    </row>
    <row r="911">
      <c r="A911" s="149"/>
      <c r="B911" s="150"/>
      <c r="C911" s="151"/>
      <c r="D911" s="140"/>
      <c r="E911" s="152"/>
      <c r="F911" s="60"/>
      <c r="G911" s="60"/>
      <c r="H911" s="60"/>
      <c r="I911" s="60"/>
      <c r="J911" s="60"/>
      <c r="K911" s="60"/>
      <c r="L911" s="60"/>
      <c r="M911" s="60"/>
      <c r="N911" s="60"/>
      <c r="O911" s="60"/>
      <c r="P911" s="60"/>
      <c r="Q911" s="60"/>
      <c r="R911" s="60"/>
      <c r="S911" s="60"/>
      <c r="T911" s="60"/>
      <c r="U911" s="60"/>
      <c r="V911" s="60"/>
      <c r="W911" s="60"/>
      <c r="X911" s="60"/>
      <c r="Y911" s="60"/>
      <c r="Z911" s="60"/>
    </row>
    <row r="912">
      <c r="A912" s="149"/>
      <c r="B912" s="150"/>
      <c r="C912" s="151"/>
      <c r="D912" s="140"/>
      <c r="E912" s="152"/>
      <c r="F912" s="60"/>
      <c r="G912" s="60"/>
      <c r="H912" s="60"/>
      <c r="I912" s="60"/>
      <c r="J912" s="60"/>
      <c r="K912" s="60"/>
      <c r="L912" s="60"/>
      <c r="M912" s="60"/>
      <c r="N912" s="60"/>
      <c r="O912" s="60"/>
      <c r="P912" s="60"/>
      <c r="Q912" s="60"/>
      <c r="R912" s="60"/>
      <c r="S912" s="60"/>
      <c r="T912" s="60"/>
      <c r="U912" s="60"/>
      <c r="V912" s="60"/>
      <c r="W912" s="60"/>
      <c r="X912" s="60"/>
      <c r="Y912" s="60"/>
      <c r="Z912" s="60"/>
    </row>
    <row r="913">
      <c r="A913" s="149"/>
      <c r="B913" s="150"/>
      <c r="C913" s="151"/>
      <c r="D913" s="140"/>
      <c r="E913" s="152"/>
      <c r="F913" s="60"/>
      <c r="G913" s="60"/>
      <c r="H913" s="60"/>
      <c r="I913" s="60"/>
      <c r="J913" s="60"/>
      <c r="K913" s="60"/>
      <c r="L913" s="60"/>
      <c r="M913" s="60"/>
      <c r="N913" s="60"/>
      <c r="O913" s="60"/>
      <c r="P913" s="60"/>
      <c r="Q913" s="60"/>
      <c r="R913" s="60"/>
      <c r="S913" s="60"/>
      <c r="T913" s="60"/>
      <c r="U913" s="60"/>
      <c r="V913" s="60"/>
      <c r="W913" s="60"/>
      <c r="X913" s="60"/>
      <c r="Y913" s="60"/>
      <c r="Z913" s="60"/>
    </row>
    <row r="914">
      <c r="A914" s="149"/>
      <c r="B914" s="150"/>
      <c r="C914" s="151"/>
      <c r="D914" s="140"/>
      <c r="E914" s="152"/>
      <c r="F914" s="60"/>
      <c r="G914" s="60"/>
      <c r="H914" s="60"/>
      <c r="I914" s="60"/>
      <c r="J914" s="60"/>
      <c r="K914" s="60"/>
      <c r="L914" s="60"/>
      <c r="M914" s="60"/>
      <c r="N914" s="60"/>
      <c r="O914" s="60"/>
      <c r="P914" s="60"/>
      <c r="Q914" s="60"/>
      <c r="R914" s="60"/>
      <c r="S914" s="60"/>
      <c r="T914" s="60"/>
      <c r="U914" s="60"/>
      <c r="V914" s="60"/>
      <c r="W914" s="60"/>
      <c r="X914" s="60"/>
      <c r="Y914" s="60"/>
      <c r="Z914" s="60"/>
    </row>
    <row r="915">
      <c r="A915" s="149"/>
      <c r="B915" s="150"/>
      <c r="C915" s="151"/>
      <c r="D915" s="140"/>
      <c r="E915" s="152"/>
      <c r="F915" s="60"/>
      <c r="G915" s="60"/>
      <c r="H915" s="60"/>
      <c r="I915" s="60"/>
      <c r="J915" s="60"/>
      <c r="K915" s="60"/>
      <c r="L915" s="60"/>
      <c r="M915" s="60"/>
      <c r="N915" s="60"/>
      <c r="O915" s="60"/>
      <c r="P915" s="60"/>
      <c r="Q915" s="60"/>
      <c r="R915" s="60"/>
      <c r="S915" s="60"/>
      <c r="T915" s="60"/>
      <c r="U915" s="60"/>
      <c r="V915" s="60"/>
      <c r="W915" s="60"/>
      <c r="X915" s="60"/>
      <c r="Y915" s="60"/>
      <c r="Z915" s="60"/>
    </row>
    <row r="916">
      <c r="A916" s="149"/>
      <c r="B916" s="150"/>
      <c r="C916" s="151"/>
      <c r="D916" s="140"/>
      <c r="E916" s="152"/>
      <c r="F916" s="60"/>
      <c r="G916" s="60"/>
      <c r="H916" s="60"/>
      <c r="I916" s="60"/>
      <c r="J916" s="60"/>
      <c r="K916" s="60"/>
      <c r="L916" s="60"/>
      <c r="M916" s="60"/>
      <c r="N916" s="60"/>
      <c r="O916" s="60"/>
      <c r="P916" s="60"/>
      <c r="Q916" s="60"/>
      <c r="R916" s="60"/>
      <c r="S916" s="60"/>
      <c r="T916" s="60"/>
      <c r="U916" s="60"/>
      <c r="V916" s="60"/>
      <c r="W916" s="60"/>
      <c r="X916" s="60"/>
      <c r="Y916" s="60"/>
      <c r="Z916" s="60"/>
    </row>
    <row r="917">
      <c r="A917" s="149"/>
      <c r="B917" s="150"/>
      <c r="C917" s="151"/>
      <c r="D917" s="140"/>
      <c r="E917" s="152"/>
      <c r="F917" s="60"/>
      <c r="G917" s="60"/>
      <c r="H917" s="60"/>
      <c r="I917" s="60"/>
      <c r="J917" s="60"/>
      <c r="K917" s="60"/>
      <c r="L917" s="60"/>
      <c r="M917" s="60"/>
      <c r="N917" s="60"/>
      <c r="O917" s="60"/>
      <c r="P917" s="60"/>
      <c r="Q917" s="60"/>
      <c r="R917" s="60"/>
      <c r="S917" s="60"/>
      <c r="T917" s="60"/>
      <c r="U917" s="60"/>
      <c r="V917" s="60"/>
      <c r="W917" s="60"/>
      <c r="X917" s="60"/>
      <c r="Y917" s="60"/>
      <c r="Z917" s="60"/>
    </row>
    <row r="918">
      <c r="A918" s="149"/>
      <c r="B918" s="150"/>
      <c r="C918" s="151"/>
      <c r="D918" s="140"/>
      <c r="E918" s="152"/>
      <c r="F918" s="60"/>
      <c r="G918" s="60"/>
      <c r="H918" s="60"/>
      <c r="I918" s="60"/>
      <c r="J918" s="60"/>
      <c r="K918" s="60"/>
      <c r="L918" s="60"/>
      <c r="M918" s="60"/>
      <c r="N918" s="60"/>
      <c r="O918" s="60"/>
      <c r="P918" s="60"/>
      <c r="Q918" s="60"/>
      <c r="R918" s="60"/>
      <c r="S918" s="60"/>
      <c r="T918" s="60"/>
      <c r="U918" s="60"/>
      <c r="V918" s="60"/>
      <c r="W918" s="60"/>
      <c r="X918" s="60"/>
      <c r="Y918" s="60"/>
      <c r="Z918" s="60"/>
    </row>
    <row r="919">
      <c r="A919" s="149"/>
      <c r="B919" s="150"/>
      <c r="C919" s="151"/>
      <c r="D919" s="140"/>
      <c r="E919" s="152"/>
      <c r="F919" s="60"/>
      <c r="G919" s="60"/>
      <c r="H919" s="60"/>
      <c r="I919" s="60"/>
      <c r="J919" s="60"/>
      <c r="K919" s="60"/>
      <c r="L919" s="60"/>
      <c r="M919" s="60"/>
      <c r="N919" s="60"/>
      <c r="O919" s="60"/>
      <c r="P919" s="60"/>
      <c r="Q919" s="60"/>
      <c r="R919" s="60"/>
      <c r="S919" s="60"/>
      <c r="T919" s="60"/>
      <c r="U919" s="60"/>
      <c r="V919" s="60"/>
      <c r="W919" s="60"/>
      <c r="X919" s="60"/>
      <c r="Y919" s="60"/>
      <c r="Z919" s="60"/>
    </row>
    <row r="920">
      <c r="A920" s="149"/>
      <c r="B920" s="150"/>
      <c r="C920" s="151"/>
      <c r="D920" s="140"/>
      <c r="E920" s="152"/>
      <c r="F920" s="60"/>
      <c r="G920" s="60"/>
      <c r="H920" s="60"/>
      <c r="I920" s="60"/>
      <c r="J920" s="60"/>
      <c r="K920" s="60"/>
      <c r="L920" s="60"/>
      <c r="M920" s="60"/>
      <c r="N920" s="60"/>
      <c r="O920" s="60"/>
      <c r="P920" s="60"/>
      <c r="Q920" s="60"/>
      <c r="R920" s="60"/>
      <c r="S920" s="60"/>
      <c r="T920" s="60"/>
      <c r="U920" s="60"/>
      <c r="V920" s="60"/>
      <c r="W920" s="60"/>
      <c r="X920" s="60"/>
      <c r="Y920" s="60"/>
      <c r="Z920" s="60"/>
    </row>
    <row r="921">
      <c r="A921" s="149"/>
      <c r="B921" s="150"/>
      <c r="C921" s="151"/>
      <c r="D921" s="140"/>
      <c r="E921" s="152"/>
      <c r="F921" s="60"/>
      <c r="G921" s="60"/>
      <c r="H921" s="60"/>
      <c r="I921" s="60"/>
      <c r="J921" s="60"/>
      <c r="K921" s="60"/>
      <c r="L921" s="60"/>
      <c r="M921" s="60"/>
      <c r="N921" s="60"/>
      <c r="O921" s="60"/>
      <c r="P921" s="60"/>
      <c r="Q921" s="60"/>
      <c r="R921" s="60"/>
      <c r="S921" s="60"/>
      <c r="T921" s="60"/>
      <c r="U921" s="60"/>
      <c r="V921" s="60"/>
      <c r="W921" s="60"/>
      <c r="X921" s="60"/>
      <c r="Y921" s="60"/>
      <c r="Z921" s="60"/>
    </row>
    <row r="922">
      <c r="A922" s="149"/>
      <c r="B922" s="150"/>
      <c r="C922" s="151"/>
      <c r="D922" s="140"/>
      <c r="E922" s="152"/>
      <c r="F922" s="60"/>
      <c r="G922" s="60"/>
      <c r="H922" s="60"/>
      <c r="I922" s="60"/>
      <c r="J922" s="60"/>
      <c r="K922" s="60"/>
      <c r="L922" s="60"/>
      <c r="M922" s="60"/>
      <c r="N922" s="60"/>
      <c r="O922" s="60"/>
      <c r="P922" s="60"/>
      <c r="Q922" s="60"/>
      <c r="R922" s="60"/>
      <c r="S922" s="60"/>
      <c r="T922" s="60"/>
      <c r="U922" s="60"/>
      <c r="V922" s="60"/>
      <c r="W922" s="60"/>
      <c r="X922" s="60"/>
      <c r="Y922" s="60"/>
      <c r="Z922" s="60"/>
    </row>
    <row r="923">
      <c r="A923" s="149"/>
      <c r="B923" s="150"/>
      <c r="C923" s="151"/>
      <c r="D923" s="140"/>
      <c r="E923" s="152"/>
      <c r="F923" s="60"/>
      <c r="G923" s="60"/>
      <c r="H923" s="60"/>
      <c r="I923" s="60"/>
      <c r="J923" s="60"/>
      <c r="K923" s="60"/>
      <c r="L923" s="60"/>
      <c r="M923" s="60"/>
      <c r="N923" s="60"/>
      <c r="O923" s="60"/>
      <c r="P923" s="60"/>
      <c r="Q923" s="60"/>
      <c r="R923" s="60"/>
      <c r="S923" s="60"/>
      <c r="T923" s="60"/>
      <c r="U923" s="60"/>
      <c r="V923" s="60"/>
      <c r="W923" s="60"/>
      <c r="X923" s="60"/>
      <c r="Y923" s="60"/>
      <c r="Z923" s="60"/>
    </row>
    <row r="924">
      <c r="A924" s="149"/>
      <c r="B924" s="150"/>
      <c r="C924" s="151"/>
      <c r="D924" s="140"/>
      <c r="E924" s="152"/>
      <c r="F924" s="60"/>
      <c r="G924" s="60"/>
      <c r="H924" s="60"/>
      <c r="I924" s="60"/>
      <c r="J924" s="60"/>
      <c r="K924" s="60"/>
      <c r="L924" s="60"/>
      <c r="M924" s="60"/>
      <c r="N924" s="60"/>
      <c r="O924" s="60"/>
      <c r="P924" s="60"/>
      <c r="Q924" s="60"/>
      <c r="R924" s="60"/>
      <c r="S924" s="60"/>
      <c r="T924" s="60"/>
      <c r="U924" s="60"/>
      <c r="V924" s="60"/>
      <c r="W924" s="60"/>
      <c r="X924" s="60"/>
      <c r="Y924" s="60"/>
      <c r="Z924" s="60"/>
    </row>
    <row r="925">
      <c r="A925" s="149"/>
      <c r="B925" s="150"/>
      <c r="C925" s="151"/>
      <c r="D925" s="140"/>
      <c r="E925" s="152"/>
      <c r="F925" s="60"/>
      <c r="G925" s="60"/>
      <c r="H925" s="60"/>
      <c r="I925" s="60"/>
      <c r="J925" s="60"/>
      <c r="K925" s="60"/>
      <c r="L925" s="60"/>
      <c r="M925" s="60"/>
      <c r="N925" s="60"/>
      <c r="O925" s="60"/>
      <c r="P925" s="60"/>
      <c r="Q925" s="60"/>
      <c r="R925" s="60"/>
      <c r="S925" s="60"/>
      <c r="T925" s="60"/>
      <c r="U925" s="60"/>
      <c r="V925" s="60"/>
      <c r="W925" s="60"/>
      <c r="X925" s="60"/>
      <c r="Y925" s="60"/>
      <c r="Z925" s="60"/>
    </row>
    <row r="926">
      <c r="A926" s="149"/>
      <c r="B926" s="150"/>
      <c r="C926" s="151"/>
      <c r="D926" s="140"/>
      <c r="E926" s="152"/>
      <c r="F926" s="60"/>
      <c r="G926" s="60"/>
      <c r="H926" s="60"/>
      <c r="I926" s="60"/>
      <c r="J926" s="60"/>
      <c r="K926" s="60"/>
      <c r="L926" s="60"/>
      <c r="M926" s="60"/>
      <c r="N926" s="60"/>
      <c r="O926" s="60"/>
      <c r="P926" s="60"/>
      <c r="Q926" s="60"/>
      <c r="R926" s="60"/>
      <c r="S926" s="60"/>
      <c r="T926" s="60"/>
      <c r="U926" s="60"/>
      <c r="V926" s="60"/>
      <c r="W926" s="60"/>
      <c r="X926" s="60"/>
      <c r="Y926" s="60"/>
      <c r="Z926" s="60"/>
    </row>
    <row r="927">
      <c r="A927" s="149"/>
      <c r="B927" s="150"/>
      <c r="C927" s="151"/>
      <c r="D927" s="140"/>
      <c r="E927" s="152"/>
      <c r="F927" s="60"/>
      <c r="G927" s="60"/>
      <c r="H927" s="60"/>
      <c r="I927" s="60"/>
      <c r="J927" s="60"/>
      <c r="K927" s="60"/>
      <c r="L927" s="60"/>
      <c r="M927" s="60"/>
      <c r="N927" s="60"/>
      <c r="O927" s="60"/>
      <c r="P927" s="60"/>
      <c r="Q927" s="60"/>
      <c r="R927" s="60"/>
      <c r="S927" s="60"/>
      <c r="T927" s="60"/>
      <c r="U927" s="60"/>
      <c r="V927" s="60"/>
      <c r="W927" s="60"/>
      <c r="X927" s="60"/>
      <c r="Y927" s="60"/>
      <c r="Z927" s="60"/>
    </row>
    <row r="928">
      <c r="A928" s="149"/>
      <c r="B928" s="150"/>
      <c r="C928" s="151"/>
      <c r="D928" s="140"/>
      <c r="E928" s="152"/>
      <c r="F928" s="60"/>
      <c r="G928" s="60"/>
      <c r="H928" s="60"/>
      <c r="I928" s="60"/>
      <c r="J928" s="60"/>
      <c r="K928" s="60"/>
      <c r="L928" s="60"/>
      <c r="M928" s="60"/>
      <c r="N928" s="60"/>
      <c r="O928" s="60"/>
      <c r="P928" s="60"/>
      <c r="Q928" s="60"/>
      <c r="R928" s="60"/>
      <c r="S928" s="60"/>
      <c r="T928" s="60"/>
      <c r="U928" s="60"/>
      <c r="V928" s="60"/>
      <c r="W928" s="60"/>
      <c r="X928" s="60"/>
      <c r="Y928" s="60"/>
      <c r="Z928" s="60"/>
    </row>
    <row r="929">
      <c r="A929" s="149"/>
      <c r="B929" s="150"/>
      <c r="C929" s="151"/>
      <c r="D929" s="140"/>
      <c r="E929" s="152"/>
      <c r="F929" s="60"/>
      <c r="G929" s="60"/>
      <c r="H929" s="60"/>
      <c r="I929" s="60"/>
      <c r="J929" s="60"/>
      <c r="K929" s="60"/>
      <c r="L929" s="60"/>
      <c r="M929" s="60"/>
      <c r="N929" s="60"/>
      <c r="O929" s="60"/>
      <c r="P929" s="60"/>
      <c r="Q929" s="60"/>
      <c r="R929" s="60"/>
      <c r="S929" s="60"/>
      <c r="T929" s="60"/>
      <c r="U929" s="60"/>
      <c r="V929" s="60"/>
      <c r="W929" s="60"/>
      <c r="X929" s="60"/>
      <c r="Y929" s="60"/>
      <c r="Z929" s="60"/>
    </row>
    <row r="930">
      <c r="A930" s="149"/>
      <c r="B930" s="150"/>
      <c r="C930" s="151"/>
      <c r="D930" s="140"/>
      <c r="E930" s="152"/>
      <c r="F930" s="60"/>
      <c r="G930" s="60"/>
      <c r="H930" s="60"/>
      <c r="I930" s="60"/>
      <c r="J930" s="60"/>
      <c r="K930" s="60"/>
      <c r="L930" s="60"/>
      <c r="M930" s="60"/>
      <c r="N930" s="60"/>
      <c r="O930" s="60"/>
      <c r="P930" s="60"/>
      <c r="Q930" s="60"/>
      <c r="R930" s="60"/>
      <c r="S930" s="60"/>
      <c r="T930" s="60"/>
      <c r="U930" s="60"/>
      <c r="V930" s="60"/>
      <c r="W930" s="60"/>
      <c r="X930" s="60"/>
      <c r="Y930" s="60"/>
      <c r="Z930" s="60"/>
    </row>
    <row r="931">
      <c r="A931" s="149"/>
      <c r="B931" s="150"/>
      <c r="C931" s="151"/>
      <c r="D931" s="140"/>
      <c r="E931" s="152"/>
      <c r="F931" s="60"/>
      <c r="G931" s="60"/>
      <c r="H931" s="60"/>
      <c r="I931" s="60"/>
      <c r="J931" s="60"/>
      <c r="K931" s="60"/>
      <c r="L931" s="60"/>
      <c r="M931" s="60"/>
      <c r="N931" s="60"/>
      <c r="O931" s="60"/>
      <c r="P931" s="60"/>
      <c r="Q931" s="60"/>
      <c r="R931" s="60"/>
      <c r="S931" s="60"/>
      <c r="T931" s="60"/>
      <c r="U931" s="60"/>
      <c r="V931" s="60"/>
      <c r="W931" s="60"/>
      <c r="X931" s="60"/>
      <c r="Y931" s="60"/>
      <c r="Z931" s="60"/>
    </row>
    <row r="932">
      <c r="A932" s="149"/>
      <c r="B932" s="150"/>
      <c r="C932" s="151"/>
      <c r="D932" s="140"/>
      <c r="E932" s="152"/>
      <c r="F932" s="60"/>
      <c r="G932" s="60"/>
      <c r="H932" s="60"/>
      <c r="I932" s="60"/>
      <c r="J932" s="60"/>
      <c r="K932" s="60"/>
      <c r="L932" s="60"/>
      <c r="M932" s="60"/>
      <c r="N932" s="60"/>
      <c r="O932" s="60"/>
      <c r="P932" s="60"/>
      <c r="Q932" s="60"/>
      <c r="R932" s="60"/>
      <c r="S932" s="60"/>
      <c r="T932" s="60"/>
      <c r="U932" s="60"/>
      <c r="V932" s="60"/>
      <c r="W932" s="60"/>
      <c r="X932" s="60"/>
      <c r="Y932" s="60"/>
      <c r="Z932" s="60"/>
    </row>
    <row r="933">
      <c r="A933" s="149"/>
      <c r="B933" s="150"/>
      <c r="C933" s="151"/>
      <c r="D933" s="140"/>
      <c r="E933" s="152"/>
      <c r="F933" s="60"/>
      <c r="G933" s="60"/>
      <c r="H933" s="60"/>
      <c r="I933" s="60"/>
      <c r="J933" s="60"/>
      <c r="K933" s="60"/>
      <c r="L933" s="60"/>
      <c r="M933" s="60"/>
      <c r="N933" s="60"/>
      <c r="O933" s="60"/>
      <c r="P933" s="60"/>
      <c r="Q933" s="60"/>
      <c r="R933" s="60"/>
      <c r="S933" s="60"/>
      <c r="T933" s="60"/>
      <c r="U933" s="60"/>
      <c r="V933" s="60"/>
      <c r="W933" s="60"/>
      <c r="X933" s="60"/>
      <c r="Y933" s="60"/>
      <c r="Z933" s="60"/>
    </row>
    <row r="934">
      <c r="A934" s="149"/>
      <c r="B934" s="150"/>
      <c r="C934" s="151"/>
      <c r="D934" s="140"/>
      <c r="E934" s="152"/>
      <c r="F934" s="60"/>
      <c r="G934" s="60"/>
      <c r="H934" s="60"/>
      <c r="I934" s="60"/>
      <c r="J934" s="60"/>
      <c r="K934" s="60"/>
      <c r="L934" s="60"/>
      <c r="M934" s="60"/>
      <c r="N934" s="60"/>
      <c r="O934" s="60"/>
      <c r="P934" s="60"/>
      <c r="Q934" s="60"/>
      <c r="R934" s="60"/>
      <c r="S934" s="60"/>
      <c r="T934" s="60"/>
      <c r="U934" s="60"/>
      <c r="V934" s="60"/>
      <c r="W934" s="60"/>
      <c r="X934" s="60"/>
      <c r="Y934" s="60"/>
      <c r="Z934" s="60"/>
    </row>
    <row r="935">
      <c r="A935" s="149"/>
      <c r="B935" s="150"/>
      <c r="C935" s="151"/>
      <c r="D935" s="140"/>
      <c r="E935" s="152"/>
      <c r="F935" s="60"/>
      <c r="G935" s="60"/>
      <c r="H935" s="60"/>
      <c r="I935" s="60"/>
      <c r="J935" s="60"/>
      <c r="K935" s="60"/>
      <c r="L935" s="60"/>
      <c r="M935" s="60"/>
      <c r="N935" s="60"/>
      <c r="O935" s="60"/>
      <c r="P935" s="60"/>
      <c r="Q935" s="60"/>
      <c r="R935" s="60"/>
      <c r="S935" s="60"/>
      <c r="T935" s="60"/>
      <c r="U935" s="60"/>
      <c r="V935" s="60"/>
      <c r="W935" s="60"/>
      <c r="X935" s="60"/>
      <c r="Y935" s="60"/>
      <c r="Z935" s="60"/>
    </row>
    <row r="936">
      <c r="A936" s="149"/>
      <c r="B936" s="150"/>
      <c r="C936" s="151"/>
      <c r="D936" s="140"/>
      <c r="E936" s="152"/>
      <c r="F936" s="60"/>
      <c r="G936" s="60"/>
      <c r="H936" s="60"/>
      <c r="I936" s="60"/>
      <c r="J936" s="60"/>
      <c r="K936" s="60"/>
      <c r="L936" s="60"/>
      <c r="M936" s="60"/>
      <c r="N936" s="60"/>
      <c r="O936" s="60"/>
      <c r="P936" s="60"/>
      <c r="Q936" s="60"/>
      <c r="R936" s="60"/>
      <c r="S936" s="60"/>
      <c r="T936" s="60"/>
      <c r="U936" s="60"/>
      <c r="V936" s="60"/>
      <c r="W936" s="60"/>
      <c r="X936" s="60"/>
      <c r="Y936" s="60"/>
      <c r="Z936" s="60"/>
    </row>
    <row r="937">
      <c r="A937" s="149"/>
      <c r="B937" s="150"/>
      <c r="C937" s="151"/>
      <c r="D937" s="140"/>
      <c r="E937" s="152"/>
      <c r="F937" s="60"/>
      <c r="G937" s="60"/>
      <c r="H937" s="60"/>
      <c r="I937" s="60"/>
      <c r="J937" s="60"/>
      <c r="K937" s="60"/>
      <c r="L937" s="60"/>
      <c r="M937" s="60"/>
      <c r="N937" s="60"/>
      <c r="O937" s="60"/>
      <c r="P937" s="60"/>
      <c r="Q937" s="60"/>
      <c r="R937" s="60"/>
      <c r="S937" s="60"/>
      <c r="T937" s="60"/>
      <c r="U937" s="60"/>
      <c r="V937" s="60"/>
      <c r="W937" s="60"/>
      <c r="X937" s="60"/>
      <c r="Y937" s="60"/>
      <c r="Z937" s="60"/>
    </row>
    <row r="938">
      <c r="A938" s="149"/>
      <c r="B938" s="150"/>
      <c r="C938" s="151"/>
      <c r="D938" s="140"/>
      <c r="E938" s="152"/>
      <c r="F938" s="60"/>
      <c r="G938" s="60"/>
      <c r="H938" s="60"/>
      <c r="I938" s="60"/>
      <c r="J938" s="60"/>
      <c r="K938" s="60"/>
      <c r="L938" s="60"/>
      <c r="M938" s="60"/>
      <c r="N938" s="60"/>
      <c r="O938" s="60"/>
      <c r="P938" s="60"/>
      <c r="Q938" s="60"/>
      <c r="R938" s="60"/>
      <c r="S938" s="60"/>
      <c r="T938" s="60"/>
      <c r="U938" s="60"/>
      <c r="V938" s="60"/>
      <c r="W938" s="60"/>
      <c r="X938" s="60"/>
      <c r="Y938" s="60"/>
      <c r="Z938" s="60"/>
    </row>
    <row r="939">
      <c r="A939" s="149"/>
      <c r="B939" s="150"/>
      <c r="C939" s="151"/>
      <c r="D939" s="140"/>
      <c r="E939" s="152"/>
      <c r="F939" s="60"/>
      <c r="G939" s="60"/>
      <c r="H939" s="60"/>
      <c r="I939" s="60"/>
      <c r="J939" s="60"/>
      <c r="K939" s="60"/>
      <c r="L939" s="60"/>
      <c r="M939" s="60"/>
      <c r="N939" s="60"/>
      <c r="O939" s="60"/>
      <c r="P939" s="60"/>
      <c r="Q939" s="60"/>
      <c r="R939" s="60"/>
      <c r="S939" s="60"/>
      <c r="T939" s="60"/>
      <c r="U939" s="60"/>
      <c r="V939" s="60"/>
      <c r="W939" s="60"/>
      <c r="X939" s="60"/>
      <c r="Y939" s="60"/>
      <c r="Z939" s="60"/>
    </row>
    <row r="940">
      <c r="A940" s="149"/>
      <c r="B940" s="150"/>
      <c r="C940" s="151"/>
      <c r="D940" s="140"/>
      <c r="E940" s="152"/>
      <c r="F940" s="60"/>
      <c r="G940" s="60"/>
      <c r="H940" s="60"/>
      <c r="I940" s="60"/>
      <c r="J940" s="60"/>
      <c r="K940" s="60"/>
      <c r="L940" s="60"/>
      <c r="M940" s="60"/>
      <c r="N940" s="60"/>
      <c r="O940" s="60"/>
      <c r="P940" s="60"/>
      <c r="Q940" s="60"/>
      <c r="R940" s="60"/>
      <c r="S940" s="60"/>
      <c r="T940" s="60"/>
      <c r="U940" s="60"/>
      <c r="V940" s="60"/>
      <c r="W940" s="60"/>
      <c r="X940" s="60"/>
      <c r="Y940" s="60"/>
      <c r="Z940" s="60"/>
    </row>
    <row r="941">
      <c r="A941" s="149"/>
      <c r="B941" s="150"/>
      <c r="C941" s="151"/>
      <c r="D941" s="140"/>
      <c r="E941" s="152"/>
      <c r="F941" s="60"/>
      <c r="G941" s="60"/>
      <c r="H941" s="60"/>
      <c r="I941" s="60"/>
      <c r="J941" s="60"/>
      <c r="K941" s="60"/>
      <c r="L941" s="60"/>
      <c r="M941" s="60"/>
      <c r="N941" s="60"/>
      <c r="O941" s="60"/>
      <c r="P941" s="60"/>
      <c r="Q941" s="60"/>
      <c r="R941" s="60"/>
      <c r="S941" s="60"/>
      <c r="T941" s="60"/>
      <c r="U941" s="60"/>
      <c r="V941" s="60"/>
      <c r="W941" s="60"/>
      <c r="X941" s="60"/>
      <c r="Y941" s="60"/>
      <c r="Z941" s="60"/>
    </row>
    <row r="942">
      <c r="A942" s="149"/>
      <c r="B942" s="150"/>
      <c r="C942" s="151"/>
      <c r="D942" s="140"/>
      <c r="E942" s="152"/>
      <c r="F942" s="60"/>
      <c r="G942" s="60"/>
      <c r="H942" s="60"/>
      <c r="I942" s="60"/>
      <c r="J942" s="60"/>
      <c r="K942" s="60"/>
      <c r="L942" s="60"/>
      <c r="M942" s="60"/>
      <c r="N942" s="60"/>
      <c r="O942" s="60"/>
      <c r="P942" s="60"/>
      <c r="Q942" s="60"/>
      <c r="R942" s="60"/>
      <c r="S942" s="60"/>
      <c r="T942" s="60"/>
      <c r="U942" s="60"/>
      <c r="V942" s="60"/>
      <c r="W942" s="60"/>
      <c r="X942" s="60"/>
      <c r="Y942" s="60"/>
      <c r="Z942" s="60"/>
    </row>
    <row r="943">
      <c r="A943" s="149"/>
      <c r="B943" s="150"/>
      <c r="C943" s="151"/>
      <c r="D943" s="140"/>
      <c r="E943" s="152"/>
      <c r="F943" s="60"/>
      <c r="G943" s="60"/>
      <c r="H943" s="60"/>
      <c r="I943" s="60"/>
      <c r="J943" s="60"/>
      <c r="K943" s="60"/>
      <c r="L943" s="60"/>
      <c r="M943" s="60"/>
      <c r="N943" s="60"/>
      <c r="O943" s="60"/>
      <c r="P943" s="60"/>
      <c r="Q943" s="60"/>
      <c r="R943" s="60"/>
      <c r="S943" s="60"/>
      <c r="T943" s="60"/>
      <c r="U943" s="60"/>
      <c r="V943" s="60"/>
      <c r="W943" s="60"/>
      <c r="X943" s="60"/>
      <c r="Y943" s="60"/>
      <c r="Z943" s="60"/>
    </row>
    <row r="944">
      <c r="A944" s="149"/>
      <c r="B944" s="150"/>
      <c r="C944" s="151"/>
      <c r="D944" s="140"/>
      <c r="E944" s="152"/>
      <c r="F944" s="60"/>
      <c r="G944" s="60"/>
      <c r="H944" s="60"/>
      <c r="I944" s="60"/>
      <c r="J944" s="60"/>
      <c r="K944" s="60"/>
      <c r="L944" s="60"/>
      <c r="M944" s="60"/>
      <c r="N944" s="60"/>
      <c r="O944" s="60"/>
      <c r="P944" s="60"/>
      <c r="Q944" s="60"/>
      <c r="R944" s="60"/>
      <c r="S944" s="60"/>
      <c r="T944" s="60"/>
      <c r="U944" s="60"/>
      <c r="V944" s="60"/>
      <c r="W944" s="60"/>
      <c r="X944" s="60"/>
      <c r="Y944" s="60"/>
      <c r="Z944" s="60"/>
    </row>
    <row r="945">
      <c r="A945" s="149"/>
      <c r="B945" s="150"/>
      <c r="C945" s="151"/>
      <c r="D945" s="140"/>
      <c r="E945" s="152"/>
      <c r="F945" s="60"/>
      <c r="G945" s="60"/>
      <c r="H945" s="60"/>
      <c r="I945" s="60"/>
      <c r="J945" s="60"/>
      <c r="K945" s="60"/>
      <c r="L945" s="60"/>
      <c r="M945" s="60"/>
      <c r="N945" s="60"/>
      <c r="O945" s="60"/>
      <c r="P945" s="60"/>
      <c r="Q945" s="60"/>
      <c r="R945" s="60"/>
      <c r="S945" s="60"/>
      <c r="T945" s="60"/>
      <c r="U945" s="60"/>
      <c r="V945" s="60"/>
      <c r="W945" s="60"/>
      <c r="X945" s="60"/>
      <c r="Y945" s="60"/>
      <c r="Z945" s="60"/>
    </row>
    <row r="946">
      <c r="A946" s="149"/>
      <c r="B946" s="150"/>
      <c r="C946" s="151"/>
      <c r="D946" s="140"/>
      <c r="E946" s="152"/>
      <c r="F946" s="60"/>
      <c r="G946" s="60"/>
      <c r="H946" s="60"/>
      <c r="I946" s="60"/>
      <c r="J946" s="60"/>
      <c r="K946" s="60"/>
      <c r="L946" s="60"/>
      <c r="M946" s="60"/>
      <c r="N946" s="60"/>
      <c r="O946" s="60"/>
      <c r="P946" s="60"/>
      <c r="Q946" s="60"/>
      <c r="R946" s="60"/>
      <c r="S946" s="60"/>
      <c r="T946" s="60"/>
      <c r="U946" s="60"/>
      <c r="V946" s="60"/>
      <c r="W946" s="60"/>
      <c r="X946" s="60"/>
      <c r="Y946" s="60"/>
      <c r="Z946" s="60"/>
    </row>
    <row r="947">
      <c r="A947" s="149"/>
      <c r="B947" s="150"/>
      <c r="C947" s="151"/>
      <c r="D947" s="140"/>
      <c r="E947" s="152"/>
      <c r="F947" s="60"/>
      <c r="G947" s="60"/>
      <c r="H947" s="60"/>
      <c r="I947" s="60"/>
      <c r="J947" s="60"/>
      <c r="K947" s="60"/>
      <c r="L947" s="60"/>
      <c r="M947" s="60"/>
      <c r="N947" s="60"/>
      <c r="O947" s="60"/>
      <c r="P947" s="60"/>
      <c r="Q947" s="60"/>
      <c r="R947" s="60"/>
      <c r="S947" s="60"/>
      <c r="T947" s="60"/>
      <c r="U947" s="60"/>
      <c r="V947" s="60"/>
      <c r="W947" s="60"/>
      <c r="X947" s="60"/>
      <c r="Y947" s="60"/>
      <c r="Z947" s="60"/>
    </row>
    <row r="948">
      <c r="A948" s="149"/>
      <c r="B948" s="150"/>
      <c r="C948" s="151"/>
      <c r="D948" s="140"/>
      <c r="E948" s="152"/>
      <c r="F948" s="60"/>
      <c r="G948" s="60"/>
      <c r="H948" s="60"/>
      <c r="I948" s="60"/>
      <c r="J948" s="60"/>
      <c r="K948" s="60"/>
      <c r="L948" s="60"/>
      <c r="M948" s="60"/>
      <c r="N948" s="60"/>
      <c r="O948" s="60"/>
      <c r="P948" s="60"/>
      <c r="Q948" s="60"/>
      <c r="R948" s="60"/>
      <c r="S948" s="60"/>
      <c r="T948" s="60"/>
      <c r="U948" s="60"/>
      <c r="V948" s="60"/>
      <c r="W948" s="60"/>
      <c r="X948" s="60"/>
      <c r="Y948" s="60"/>
      <c r="Z948" s="60"/>
    </row>
    <row r="949">
      <c r="A949" s="149"/>
      <c r="B949" s="150"/>
      <c r="C949" s="151"/>
      <c r="D949" s="140"/>
      <c r="E949" s="152"/>
      <c r="F949" s="60"/>
      <c r="G949" s="60"/>
      <c r="H949" s="60"/>
      <c r="I949" s="60"/>
      <c r="J949" s="60"/>
      <c r="K949" s="60"/>
      <c r="L949" s="60"/>
      <c r="M949" s="60"/>
      <c r="N949" s="60"/>
      <c r="O949" s="60"/>
      <c r="P949" s="60"/>
      <c r="Q949" s="60"/>
      <c r="R949" s="60"/>
      <c r="S949" s="60"/>
      <c r="T949" s="60"/>
      <c r="U949" s="60"/>
      <c r="V949" s="60"/>
      <c r="W949" s="60"/>
      <c r="X949" s="60"/>
      <c r="Y949" s="60"/>
      <c r="Z949" s="60"/>
    </row>
    <row r="950">
      <c r="A950" s="149"/>
      <c r="B950" s="150"/>
      <c r="C950" s="151"/>
      <c r="D950" s="140"/>
      <c r="E950" s="152"/>
      <c r="F950" s="60"/>
      <c r="G950" s="60"/>
      <c r="H950" s="60"/>
      <c r="I950" s="60"/>
      <c r="J950" s="60"/>
      <c r="K950" s="60"/>
      <c r="L950" s="60"/>
      <c r="M950" s="60"/>
      <c r="N950" s="60"/>
      <c r="O950" s="60"/>
      <c r="P950" s="60"/>
      <c r="Q950" s="60"/>
      <c r="R950" s="60"/>
      <c r="S950" s="60"/>
      <c r="T950" s="60"/>
      <c r="U950" s="60"/>
      <c r="V950" s="60"/>
      <c r="W950" s="60"/>
      <c r="X950" s="60"/>
      <c r="Y950" s="60"/>
      <c r="Z950" s="60"/>
    </row>
    <row r="951">
      <c r="A951" s="149"/>
      <c r="B951" s="150"/>
      <c r="C951" s="151"/>
      <c r="D951" s="140"/>
      <c r="E951" s="152"/>
      <c r="F951" s="60"/>
      <c r="G951" s="60"/>
      <c r="H951" s="60"/>
      <c r="I951" s="60"/>
      <c r="J951" s="60"/>
      <c r="K951" s="60"/>
      <c r="L951" s="60"/>
      <c r="M951" s="60"/>
      <c r="N951" s="60"/>
      <c r="O951" s="60"/>
      <c r="P951" s="60"/>
      <c r="Q951" s="60"/>
      <c r="R951" s="60"/>
      <c r="S951" s="60"/>
      <c r="T951" s="60"/>
      <c r="U951" s="60"/>
      <c r="V951" s="60"/>
      <c r="W951" s="60"/>
      <c r="X951" s="60"/>
      <c r="Y951" s="60"/>
      <c r="Z951" s="60"/>
    </row>
    <row r="952">
      <c r="A952" s="149"/>
      <c r="B952" s="150"/>
      <c r="C952" s="151"/>
      <c r="D952" s="140"/>
      <c r="E952" s="152"/>
      <c r="F952" s="60"/>
      <c r="G952" s="60"/>
      <c r="H952" s="60"/>
      <c r="I952" s="60"/>
      <c r="J952" s="60"/>
      <c r="K952" s="60"/>
      <c r="L952" s="60"/>
      <c r="M952" s="60"/>
      <c r="N952" s="60"/>
      <c r="O952" s="60"/>
      <c r="P952" s="60"/>
      <c r="Q952" s="60"/>
      <c r="R952" s="60"/>
      <c r="S952" s="60"/>
      <c r="T952" s="60"/>
      <c r="U952" s="60"/>
      <c r="V952" s="60"/>
      <c r="W952" s="60"/>
      <c r="X952" s="60"/>
      <c r="Y952" s="60"/>
      <c r="Z952" s="60"/>
    </row>
    <row r="953">
      <c r="A953" s="149"/>
      <c r="B953" s="150"/>
      <c r="C953" s="151"/>
      <c r="D953" s="140"/>
      <c r="E953" s="152"/>
      <c r="F953" s="60"/>
      <c r="G953" s="60"/>
      <c r="H953" s="60"/>
      <c r="I953" s="60"/>
      <c r="J953" s="60"/>
      <c r="K953" s="60"/>
      <c r="L953" s="60"/>
      <c r="M953" s="60"/>
      <c r="N953" s="60"/>
      <c r="O953" s="60"/>
      <c r="P953" s="60"/>
      <c r="Q953" s="60"/>
      <c r="R953" s="60"/>
      <c r="S953" s="60"/>
      <c r="T953" s="60"/>
      <c r="U953" s="60"/>
      <c r="V953" s="60"/>
      <c r="W953" s="60"/>
      <c r="X953" s="60"/>
      <c r="Y953" s="60"/>
      <c r="Z953" s="60"/>
    </row>
    <row r="954">
      <c r="A954" s="149"/>
      <c r="B954" s="150"/>
      <c r="C954" s="151"/>
      <c r="D954" s="140"/>
      <c r="E954" s="152"/>
      <c r="F954" s="60"/>
      <c r="G954" s="60"/>
      <c r="H954" s="60"/>
      <c r="I954" s="60"/>
      <c r="J954" s="60"/>
      <c r="K954" s="60"/>
      <c r="L954" s="60"/>
      <c r="M954" s="60"/>
      <c r="N954" s="60"/>
      <c r="O954" s="60"/>
      <c r="P954" s="60"/>
      <c r="Q954" s="60"/>
      <c r="R954" s="60"/>
      <c r="S954" s="60"/>
      <c r="T954" s="60"/>
      <c r="U954" s="60"/>
      <c r="V954" s="60"/>
      <c r="W954" s="60"/>
      <c r="X954" s="60"/>
      <c r="Y954" s="60"/>
      <c r="Z954" s="60"/>
    </row>
    <row r="955">
      <c r="A955" s="149"/>
      <c r="B955" s="150"/>
      <c r="C955" s="151"/>
      <c r="D955" s="140"/>
      <c r="E955" s="152"/>
      <c r="F955" s="60"/>
      <c r="G955" s="60"/>
      <c r="H955" s="60"/>
      <c r="I955" s="60"/>
      <c r="J955" s="60"/>
      <c r="K955" s="60"/>
      <c r="L955" s="60"/>
      <c r="M955" s="60"/>
      <c r="N955" s="60"/>
      <c r="O955" s="60"/>
      <c r="P955" s="60"/>
      <c r="Q955" s="60"/>
      <c r="R955" s="60"/>
      <c r="S955" s="60"/>
      <c r="T955" s="60"/>
      <c r="U955" s="60"/>
      <c r="V955" s="60"/>
      <c r="W955" s="60"/>
      <c r="X955" s="60"/>
      <c r="Y955" s="60"/>
      <c r="Z955" s="60"/>
    </row>
    <row r="956">
      <c r="A956" s="149"/>
      <c r="B956" s="150"/>
      <c r="C956" s="151"/>
      <c r="D956" s="140"/>
      <c r="E956" s="152"/>
      <c r="F956" s="60"/>
      <c r="G956" s="60"/>
      <c r="H956" s="60"/>
      <c r="I956" s="60"/>
      <c r="J956" s="60"/>
      <c r="K956" s="60"/>
      <c r="L956" s="60"/>
      <c r="M956" s="60"/>
      <c r="N956" s="60"/>
      <c r="O956" s="60"/>
      <c r="P956" s="60"/>
      <c r="Q956" s="60"/>
      <c r="R956" s="60"/>
      <c r="S956" s="60"/>
      <c r="T956" s="60"/>
      <c r="U956" s="60"/>
      <c r="V956" s="60"/>
      <c r="W956" s="60"/>
      <c r="X956" s="60"/>
      <c r="Y956" s="60"/>
      <c r="Z956" s="60"/>
    </row>
    <row r="957">
      <c r="A957" s="149"/>
      <c r="B957" s="150"/>
      <c r="C957" s="151"/>
      <c r="D957" s="140"/>
      <c r="E957" s="152"/>
      <c r="F957" s="60"/>
      <c r="G957" s="60"/>
      <c r="H957" s="60"/>
      <c r="I957" s="60"/>
      <c r="J957" s="60"/>
      <c r="K957" s="60"/>
      <c r="L957" s="60"/>
      <c r="M957" s="60"/>
      <c r="N957" s="60"/>
      <c r="O957" s="60"/>
      <c r="P957" s="60"/>
      <c r="Q957" s="60"/>
      <c r="R957" s="60"/>
      <c r="S957" s="60"/>
      <c r="T957" s="60"/>
      <c r="U957" s="60"/>
      <c r="V957" s="60"/>
      <c r="W957" s="60"/>
      <c r="X957" s="60"/>
      <c r="Y957" s="60"/>
      <c r="Z957" s="60"/>
    </row>
    <row r="958">
      <c r="A958" s="149"/>
      <c r="B958" s="150"/>
      <c r="C958" s="151"/>
      <c r="D958" s="140"/>
      <c r="E958" s="152"/>
      <c r="F958" s="60"/>
      <c r="G958" s="60"/>
      <c r="H958" s="60"/>
      <c r="I958" s="60"/>
      <c r="J958" s="60"/>
      <c r="K958" s="60"/>
      <c r="L958" s="60"/>
      <c r="M958" s="60"/>
      <c r="N958" s="60"/>
      <c r="O958" s="60"/>
      <c r="P958" s="60"/>
      <c r="Q958" s="60"/>
      <c r="R958" s="60"/>
      <c r="S958" s="60"/>
      <c r="T958" s="60"/>
      <c r="U958" s="60"/>
      <c r="V958" s="60"/>
      <c r="W958" s="60"/>
      <c r="X958" s="60"/>
      <c r="Y958" s="60"/>
      <c r="Z958" s="60"/>
    </row>
    <row r="959">
      <c r="A959" s="149"/>
      <c r="B959" s="150"/>
      <c r="C959" s="151"/>
      <c r="D959" s="140"/>
      <c r="E959" s="152"/>
      <c r="F959" s="60"/>
      <c r="G959" s="60"/>
      <c r="H959" s="60"/>
      <c r="I959" s="60"/>
      <c r="J959" s="60"/>
      <c r="K959" s="60"/>
      <c r="L959" s="60"/>
      <c r="M959" s="60"/>
      <c r="N959" s="60"/>
      <c r="O959" s="60"/>
      <c r="P959" s="60"/>
      <c r="Q959" s="60"/>
      <c r="R959" s="60"/>
      <c r="S959" s="60"/>
      <c r="T959" s="60"/>
      <c r="U959" s="60"/>
      <c r="V959" s="60"/>
      <c r="W959" s="60"/>
      <c r="X959" s="60"/>
      <c r="Y959" s="60"/>
      <c r="Z959" s="60"/>
    </row>
    <row r="960">
      <c r="A960" s="149"/>
      <c r="B960" s="150"/>
      <c r="C960" s="151"/>
      <c r="D960" s="140"/>
      <c r="E960" s="152"/>
      <c r="F960" s="60"/>
      <c r="G960" s="60"/>
      <c r="H960" s="60"/>
      <c r="I960" s="60"/>
      <c r="J960" s="60"/>
      <c r="K960" s="60"/>
      <c r="L960" s="60"/>
      <c r="M960" s="60"/>
      <c r="N960" s="60"/>
      <c r="O960" s="60"/>
      <c r="P960" s="60"/>
      <c r="Q960" s="60"/>
      <c r="R960" s="60"/>
      <c r="S960" s="60"/>
      <c r="T960" s="60"/>
      <c r="U960" s="60"/>
      <c r="V960" s="60"/>
      <c r="W960" s="60"/>
      <c r="X960" s="60"/>
      <c r="Y960" s="60"/>
      <c r="Z960" s="60"/>
    </row>
    <row r="961">
      <c r="A961" s="149"/>
      <c r="B961" s="150"/>
      <c r="C961" s="151"/>
      <c r="D961" s="140"/>
      <c r="E961" s="152"/>
      <c r="F961" s="60"/>
      <c r="G961" s="60"/>
      <c r="H961" s="60"/>
      <c r="I961" s="60"/>
      <c r="J961" s="60"/>
      <c r="K961" s="60"/>
      <c r="L961" s="60"/>
      <c r="M961" s="60"/>
      <c r="N961" s="60"/>
      <c r="O961" s="60"/>
      <c r="P961" s="60"/>
      <c r="Q961" s="60"/>
      <c r="R961" s="60"/>
      <c r="S961" s="60"/>
      <c r="T961" s="60"/>
      <c r="U961" s="60"/>
      <c r="V961" s="60"/>
      <c r="W961" s="60"/>
      <c r="X961" s="60"/>
      <c r="Y961" s="60"/>
      <c r="Z961" s="60"/>
    </row>
    <row r="962">
      <c r="A962" s="149"/>
      <c r="B962" s="150"/>
      <c r="C962" s="151"/>
      <c r="D962" s="140"/>
      <c r="E962" s="152"/>
      <c r="F962" s="60"/>
      <c r="G962" s="60"/>
      <c r="H962" s="60"/>
      <c r="I962" s="60"/>
      <c r="J962" s="60"/>
      <c r="K962" s="60"/>
      <c r="L962" s="60"/>
      <c r="M962" s="60"/>
      <c r="N962" s="60"/>
      <c r="O962" s="60"/>
      <c r="P962" s="60"/>
      <c r="Q962" s="60"/>
      <c r="R962" s="60"/>
      <c r="S962" s="60"/>
      <c r="T962" s="60"/>
      <c r="U962" s="60"/>
      <c r="V962" s="60"/>
      <c r="W962" s="60"/>
      <c r="X962" s="60"/>
      <c r="Y962" s="60"/>
      <c r="Z962" s="60"/>
    </row>
    <row r="963">
      <c r="A963" s="149"/>
      <c r="B963" s="150"/>
      <c r="C963" s="151"/>
      <c r="D963" s="140"/>
      <c r="E963" s="152"/>
      <c r="F963" s="60"/>
      <c r="G963" s="60"/>
      <c r="H963" s="60"/>
      <c r="I963" s="60"/>
      <c r="J963" s="60"/>
      <c r="K963" s="60"/>
      <c r="L963" s="60"/>
      <c r="M963" s="60"/>
      <c r="N963" s="60"/>
      <c r="O963" s="60"/>
      <c r="P963" s="60"/>
      <c r="Q963" s="60"/>
      <c r="R963" s="60"/>
      <c r="S963" s="60"/>
      <c r="T963" s="60"/>
      <c r="U963" s="60"/>
      <c r="V963" s="60"/>
      <c r="W963" s="60"/>
      <c r="X963" s="60"/>
      <c r="Y963" s="60"/>
      <c r="Z963" s="60"/>
    </row>
    <row r="964">
      <c r="A964" s="149"/>
      <c r="B964" s="150"/>
      <c r="C964" s="151"/>
      <c r="D964" s="140"/>
      <c r="E964" s="152"/>
      <c r="F964" s="60"/>
      <c r="G964" s="60"/>
      <c r="H964" s="60"/>
      <c r="I964" s="60"/>
      <c r="J964" s="60"/>
      <c r="K964" s="60"/>
      <c r="L964" s="60"/>
      <c r="M964" s="60"/>
      <c r="N964" s="60"/>
      <c r="O964" s="60"/>
      <c r="P964" s="60"/>
      <c r="Q964" s="60"/>
      <c r="R964" s="60"/>
      <c r="S964" s="60"/>
      <c r="T964" s="60"/>
      <c r="U964" s="60"/>
      <c r="V964" s="60"/>
      <c r="W964" s="60"/>
      <c r="X964" s="60"/>
      <c r="Y964" s="60"/>
      <c r="Z964" s="60"/>
    </row>
    <row r="965">
      <c r="A965" s="149"/>
      <c r="B965" s="150"/>
      <c r="C965" s="151"/>
      <c r="D965" s="140"/>
      <c r="E965" s="152"/>
      <c r="F965" s="60"/>
      <c r="G965" s="60"/>
      <c r="H965" s="60"/>
      <c r="I965" s="60"/>
      <c r="J965" s="60"/>
      <c r="K965" s="60"/>
      <c r="L965" s="60"/>
      <c r="M965" s="60"/>
      <c r="N965" s="60"/>
      <c r="O965" s="60"/>
      <c r="P965" s="60"/>
      <c r="Q965" s="60"/>
      <c r="R965" s="60"/>
      <c r="S965" s="60"/>
      <c r="T965" s="60"/>
      <c r="U965" s="60"/>
      <c r="V965" s="60"/>
      <c r="W965" s="60"/>
      <c r="X965" s="60"/>
      <c r="Y965" s="60"/>
      <c r="Z965" s="60"/>
    </row>
    <row r="966">
      <c r="A966" s="149"/>
      <c r="B966" s="150"/>
      <c r="C966" s="151"/>
      <c r="D966" s="140"/>
      <c r="E966" s="152"/>
      <c r="F966" s="60"/>
      <c r="G966" s="60"/>
      <c r="H966" s="60"/>
      <c r="I966" s="60"/>
      <c r="J966" s="60"/>
      <c r="K966" s="60"/>
      <c r="L966" s="60"/>
      <c r="M966" s="60"/>
      <c r="N966" s="60"/>
      <c r="O966" s="60"/>
      <c r="P966" s="60"/>
      <c r="Q966" s="60"/>
      <c r="R966" s="60"/>
      <c r="S966" s="60"/>
      <c r="T966" s="60"/>
      <c r="U966" s="60"/>
      <c r="V966" s="60"/>
      <c r="W966" s="60"/>
      <c r="X966" s="60"/>
      <c r="Y966" s="60"/>
      <c r="Z966" s="60"/>
    </row>
    <row r="967">
      <c r="A967" s="149"/>
      <c r="B967" s="150"/>
      <c r="C967" s="151"/>
      <c r="D967" s="140"/>
      <c r="E967" s="152"/>
      <c r="F967" s="60"/>
      <c r="G967" s="60"/>
      <c r="H967" s="60"/>
      <c r="I967" s="60"/>
      <c r="J967" s="60"/>
      <c r="K967" s="60"/>
      <c r="L967" s="60"/>
      <c r="M967" s="60"/>
      <c r="N967" s="60"/>
      <c r="O967" s="60"/>
      <c r="P967" s="60"/>
      <c r="Q967" s="60"/>
      <c r="R967" s="60"/>
      <c r="S967" s="60"/>
      <c r="T967" s="60"/>
      <c r="U967" s="60"/>
      <c r="V967" s="60"/>
      <c r="W967" s="60"/>
      <c r="X967" s="60"/>
      <c r="Y967" s="60"/>
      <c r="Z967" s="60"/>
    </row>
    <row r="968">
      <c r="A968" s="149"/>
      <c r="B968" s="150"/>
      <c r="C968" s="151"/>
      <c r="D968" s="140"/>
      <c r="E968" s="152"/>
      <c r="F968" s="60"/>
      <c r="G968" s="60"/>
      <c r="H968" s="60"/>
      <c r="I968" s="60"/>
      <c r="J968" s="60"/>
      <c r="K968" s="60"/>
      <c r="L968" s="60"/>
      <c r="M968" s="60"/>
      <c r="N968" s="60"/>
      <c r="O968" s="60"/>
      <c r="P968" s="60"/>
      <c r="Q968" s="60"/>
      <c r="R968" s="60"/>
      <c r="S968" s="60"/>
      <c r="T968" s="60"/>
      <c r="U968" s="60"/>
      <c r="V968" s="60"/>
      <c r="W968" s="60"/>
      <c r="X968" s="60"/>
      <c r="Y968" s="60"/>
      <c r="Z968" s="60"/>
    </row>
    <row r="969">
      <c r="A969" s="149"/>
      <c r="B969" s="150"/>
      <c r="C969" s="151"/>
      <c r="D969" s="140"/>
      <c r="E969" s="152"/>
      <c r="F969" s="60"/>
      <c r="G969" s="60"/>
      <c r="H969" s="60"/>
      <c r="I969" s="60"/>
      <c r="J969" s="60"/>
      <c r="K969" s="60"/>
      <c r="L969" s="60"/>
      <c r="M969" s="60"/>
      <c r="N969" s="60"/>
      <c r="O969" s="60"/>
      <c r="P969" s="60"/>
      <c r="Q969" s="60"/>
      <c r="R969" s="60"/>
      <c r="S969" s="60"/>
      <c r="T969" s="60"/>
      <c r="U969" s="60"/>
      <c r="V969" s="60"/>
      <c r="W969" s="60"/>
      <c r="X969" s="60"/>
      <c r="Y969" s="60"/>
      <c r="Z969" s="60"/>
    </row>
    <row r="970">
      <c r="A970" s="149"/>
      <c r="B970" s="150"/>
      <c r="C970" s="151"/>
      <c r="D970" s="140"/>
      <c r="E970" s="152"/>
      <c r="F970" s="60"/>
      <c r="G970" s="60"/>
      <c r="H970" s="60"/>
      <c r="I970" s="60"/>
      <c r="J970" s="60"/>
      <c r="K970" s="60"/>
      <c r="L970" s="60"/>
      <c r="M970" s="60"/>
      <c r="N970" s="60"/>
      <c r="O970" s="60"/>
      <c r="P970" s="60"/>
      <c r="Q970" s="60"/>
      <c r="R970" s="60"/>
      <c r="S970" s="60"/>
      <c r="T970" s="60"/>
      <c r="U970" s="60"/>
      <c r="V970" s="60"/>
      <c r="W970" s="60"/>
      <c r="X970" s="60"/>
      <c r="Y970" s="60"/>
      <c r="Z970" s="60"/>
    </row>
    <row r="971">
      <c r="A971" s="149"/>
      <c r="B971" s="150"/>
      <c r="C971" s="151"/>
      <c r="D971" s="140"/>
      <c r="E971" s="152"/>
      <c r="F971" s="60"/>
      <c r="G971" s="60"/>
      <c r="H971" s="60"/>
      <c r="I971" s="60"/>
      <c r="J971" s="60"/>
      <c r="K971" s="60"/>
      <c r="L971" s="60"/>
      <c r="M971" s="60"/>
      <c r="N971" s="60"/>
      <c r="O971" s="60"/>
      <c r="P971" s="60"/>
      <c r="Q971" s="60"/>
      <c r="R971" s="60"/>
      <c r="S971" s="60"/>
      <c r="T971" s="60"/>
      <c r="U971" s="60"/>
      <c r="V971" s="60"/>
      <c r="W971" s="60"/>
      <c r="X971" s="60"/>
      <c r="Y971" s="60"/>
      <c r="Z971" s="60"/>
    </row>
    <row r="972">
      <c r="A972" s="149"/>
      <c r="B972" s="150"/>
      <c r="C972" s="151"/>
      <c r="D972" s="140"/>
      <c r="E972" s="152"/>
      <c r="F972" s="60"/>
      <c r="G972" s="60"/>
      <c r="H972" s="60"/>
      <c r="I972" s="60"/>
      <c r="J972" s="60"/>
      <c r="K972" s="60"/>
      <c r="L972" s="60"/>
      <c r="M972" s="60"/>
      <c r="N972" s="60"/>
      <c r="O972" s="60"/>
      <c r="P972" s="60"/>
      <c r="Q972" s="60"/>
      <c r="R972" s="60"/>
      <c r="S972" s="60"/>
      <c r="T972" s="60"/>
      <c r="U972" s="60"/>
      <c r="V972" s="60"/>
      <c r="W972" s="60"/>
      <c r="X972" s="60"/>
      <c r="Y972" s="60"/>
      <c r="Z972" s="60"/>
    </row>
    <row r="973">
      <c r="A973" s="149"/>
      <c r="B973" s="150"/>
      <c r="C973" s="151"/>
      <c r="D973" s="140"/>
      <c r="E973" s="152"/>
      <c r="F973" s="60"/>
      <c r="G973" s="60"/>
      <c r="H973" s="60"/>
      <c r="I973" s="60"/>
      <c r="J973" s="60"/>
      <c r="K973" s="60"/>
      <c r="L973" s="60"/>
      <c r="M973" s="60"/>
      <c r="N973" s="60"/>
      <c r="O973" s="60"/>
      <c r="P973" s="60"/>
      <c r="Q973" s="60"/>
      <c r="R973" s="60"/>
      <c r="S973" s="60"/>
      <c r="T973" s="60"/>
      <c r="U973" s="60"/>
      <c r="V973" s="60"/>
      <c r="W973" s="60"/>
      <c r="X973" s="60"/>
      <c r="Y973" s="60"/>
      <c r="Z973" s="60"/>
    </row>
    <row r="974">
      <c r="A974" s="149"/>
      <c r="B974" s="150"/>
      <c r="C974" s="151"/>
      <c r="D974" s="140"/>
      <c r="E974" s="152"/>
      <c r="F974" s="60"/>
      <c r="G974" s="60"/>
      <c r="H974" s="60"/>
      <c r="I974" s="60"/>
      <c r="J974" s="60"/>
      <c r="K974" s="60"/>
      <c r="L974" s="60"/>
      <c r="M974" s="60"/>
      <c r="N974" s="60"/>
      <c r="O974" s="60"/>
      <c r="P974" s="60"/>
      <c r="Q974" s="60"/>
      <c r="R974" s="60"/>
      <c r="S974" s="60"/>
      <c r="T974" s="60"/>
      <c r="U974" s="60"/>
      <c r="V974" s="60"/>
      <c r="W974" s="60"/>
      <c r="X974" s="60"/>
      <c r="Y974" s="60"/>
      <c r="Z974" s="60"/>
    </row>
    <row r="975">
      <c r="A975" s="149"/>
      <c r="B975" s="150"/>
      <c r="C975" s="151"/>
      <c r="D975" s="140"/>
      <c r="E975" s="152"/>
      <c r="F975" s="60"/>
      <c r="G975" s="60"/>
      <c r="H975" s="60"/>
      <c r="I975" s="60"/>
      <c r="J975" s="60"/>
      <c r="K975" s="60"/>
      <c r="L975" s="60"/>
      <c r="M975" s="60"/>
      <c r="N975" s="60"/>
      <c r="O975" s="60"/>
      <c r="P975" s="60"/>
      <c r="Q975" s="60"/>
      <c r="R975" s="60"/>
      <c r="S975" s="60"/>
      <c r="T975" s="60"/>
      <c r="U975" s="60"/>
      <c r="V975" s="60"/>
      <c r="W975" s="60"/>
      <c r="X975" s="60"/>
      <c r="Y975" s="60"/>
      <c r="Z975" s="60"/>
    </row>
    <row r="976">
      <c r="A976" s="149"/>
      <c r="B976" s="150"/>
      <c r="C976" s="151"/>
      <c r="D976" s="140"/>
      <c r="E976" s="152"/>
      <c r="F976" s="60"/>
      <c r="G976" s="60"/>
      <c r="H976" s="60"/>
      <c r="I976" s="60"/>
      <c r="J976" s="60"/>
      <c r="K976" s="60"/>
      <c r="L976" s="60"/>
      <c r="M976" s="60"/>
      <c r="N976" s="60"/>
      <c r="O976" s="60"/>
      <c r="P976" s="60"/>
      <c r="Q976" s="60"/>
      <c r="R976" s="60"/>
      <c r="S976" s="60"/>
      <c r="T976" s="60"/>
      <c r="U976" s="60"/>
      <c r="V976" s="60"/>
      <c r="W976" s="60"/>
      <c r="X976" s="60"/>
      <c r="Y976" s="60"/>
      <c r="Z976" s="60"/>
    </row>
    <row r="977">
      <c r="A977" s="149"/>
      <c r="B977" s="150"/>
      <c r="C977" s="151"/>
      <c r="D977" s="140"/>
      <c r="E977" s="152"/>
      <c r="F977" s="60"/>
      <c r="G977" s="60"/>
      <c r="H977" s="60"/>
      <c r="I977" s="60"/>
      <c r="J977" s="60"/>
      <c r="K977" s="60"/>
      <c r="L977" s="60"/>
      <c r="M977" s="60"/>
      <c r="N977" s="60"/>
      <c r="O977" s="60"/>
      <c r="P977" s="60"/>
      <c r="Q977" s="60"/>
      <c r="R977" s="60"/>
      <c r="S977" s="60"/>
      <c r="T977" s="60"/>
      <c r="U977" s="60"/>
      <c r="V977" s="60"/>
      <c r="W977" s="60"/>
      <c r="X977" s="60"/>
      <c r="Y977" s="60"/>
      <c r="Z977" s="60"/>
    </row>
    <row r="978">
      <c r="A978" s="149"/>
      <c r="B978" s="150"/>
      <c r="C978" s="151"/>
      <c r="D978" s="140"/>
      <c r="E978" s="152"/>
      <c r="F978" s="60"/>
      <c r="G978" s="60"/>
      <c r="H978" s="60"/>
      <c r="I978" s="60"/>
      <c r="J978" s="60"/>
      <c r="K978" s="60"/>
      <c r="L978" s="60"/>
      <c r="M978" s="60"/>
      <c r="N978" s="60"/>
      <c r="O978" s="60"/>
      <c r="P978" s="60"/>
      <c r="Q978" s="60"/>
      <c r="R978" s="60"/>
      <c r="S978" s="60"/>
      <c r="T978" s="60"/>
      <c r="U978" s="60"/>
      <c r="V978" s="60"/>
      <c r="W978" s="60"/>
      <c r="X978" s="60"/>
      <c r="Y978" s="60"/>
      <c r="Z978" s="60"/>
    </row>
    <row r="979">
      <c r="A979" s="149"/>
      <c r="B979" s="150"/>
      <c r="C979" s="151"/>
      <c r="D979" s="140"/>
      <c r="E979" s="152"/>
      <c r="F979" s="60"/>
      <c r="G979" s="60"/>
      <c r="H979" s="60"/>
      <c r="I979" s="60"/>
      <c r="J979" s="60"/>
      <c r="K979" s="60"/>
      <c r="L979" s="60"/>
      <c r="M979" s="60"/>
      <c r="N979" s="60"/>
      <c r="O979" s="60"/>
      <c r="P979" s="60"/>
      <c r="Q979" s="60"/>
      <c r="R979" s="60"/>
      <c r="S979" s="60"/>
      <c r="T979" s="60"/>
      <c r="U979" s="60"/>
      <c r="V979" s="60"/>
      <c r="W979" s="60"/>
      <c r="X979" s="60"/>
      <c r="Y979" s="60"/>
      <c r="Z979" s="60"/>
    </row>
    <row r="980">
      <c r="A980" s="149"/>
      <c r="B980" s="150"/>
      <c r="C980" s="151"/>
      <c r="D980" s="140"/>
      <c r="E980" s="152"/>
      <c r="F980" s="60"/>
      <c r="G980" s="60"/>
      <c r="H980" s="60"/>
      <c r="I980" s="60"/>
      <c r="J980" s="60"/>
      <c r="K980" s="60"/>
      <c r="L980" s="60"/>
      <c r="M980" s="60"/>
      <c r="N980" s="60"/>
      <c r="O980" s="60"/>
      <c r="P980" s="60"/>
      <c r="Q980" s="60"/>
      <c r="R980" s="60"/>
      <c r="S980" s="60"/>
      <c r="T980" s="60"/>
      <c r="U980" s="60"/>
      <c r="V980" s="60"/>
      <c r="W980" s="60"/>
      <c r="X980" s="60"/>
      <c r="Y980" s="60"/>
      <c r="Z980" s="60"/>
    </row>
    <row r="981">
      <c r="A981" s="149"/>
      <c r="B981" s="150"/>
      <c r="C981" s="151"/>
      <c r="D981" s="140"/>
      <c r="E981" s="152"/>
      <c r="F981" s="60"/>
      <c r="G981" s="60"/>
      <c r="H981" s="60"/>
      <c r="I981" s="60"/>
      <c r="J981" s="60"/>
      <c r="K981" s="60"/>
      <c r="L981" s="60"/>
      <c r="M981" s="60"/>
      <c r="N981" s="60"/>
      <c r="O981" s="60"/>
      <c r="P981" s="60"/>
      <c r="Q981" s="60"/>
      <c r="R981" s="60"/>
      <c r="S981" s="60"/>
      <c r="T981" s="60"/>
      <c r="U981" s="60"/>
      <c r="V981" s="60"/>
      <c r="W981" s="60"/>
      <c r="X981" s="60"/>
      <c r="Y981" s="60"/>
      <c r="Z981" s="60"/>
    </row>
    <row r="982">
      <c r="A982" s="149"/>
      <c r="B982" s="150"/>
      <c r="C982" s="151"/>
      <c r="D982" s="140"/>
      <c r="E982" s="152"/>
      <c r="F982" s="60"/>
      <c r="G982" s="60"/>
      <c r="H982" s="60"/>
      <c r="I982" s="60"/>
      <c r="J982" s="60"/>
      <c r="K982" s="60"/>
      <c r="L982" s="60"/>
      <c r="M982" s="60"/>
      <c r="N982" s="60"/>
      <c r="O982" s="60"/>
      <c r="P982" s="60"/>
      <c r="Q982" s="60"/>
      <c r="R982" s="60"/>
      <c r="S982" s="60"/>
      <c r="T982" s="60"/>
      <c r="U982" s="60"/>
      <c r="V982" s="60"/>
      <c r="W982" s="60"/>
      <c r="X982" s="60"/>
      <c r="Y982" s="60"/>
      <c r="Z982" s="60"/>
    </row>
    <row r="983">
      <c r="A983" s="149"/>
      <c r="B983" s="150"/>
      <c r="C983" s="151"/>
      <c r="D983" s="140"/>
      <c r="E983" s="152"/>
      <c r="F983" s="60"/>
      <c r="G983" s="60"/>
      <c r="H983" s="60"/>
      <c r="I983" s="60"/>
      <c r="J983" s="60"/>
      <c r="K983" s="60"/>
      <c r="L983" s="60"/>
      <c r="M983" s="60"/>
      <c r="N983" s="60"/>
      <c r="O983" s="60"/>
      <c r="P983" s="60"/>
      <c r="Q983" s="60"/>
      <c r="R983" s="60"/>
      <c r="S983" s="60"/>
      <c r="T983" s="60"/>
      <c r="U983" s="60"/>
      <c r="V983" s="60"/>
      <c r="W983" s="60"/>
      <c r="X983" s="60"/>
      <c r="Y983" s="60"/>
      <c r="Z983" s="60"/>
    </row>
    <row r="984">
      <c r="A984" s="149"/>
      <c r="B984" s="150"/>
      <c r="C984" s="151"/>
      <c r="D984" s="140"/>
      <c r="E984" s="152"/>
      <c r="F984" s="60"/>
      <c r="G984" s="60"/>
      <c r="H984" s="60"/>
      <c r="I984" s="60"/>
      <c r="J984" s="60"/>
      <c r="K984" s="60"/>
      <c r="L984" s="60"/>
      <c r="M984" s="60"/>
      <c r="N984" s="60"/>
      <c r="O984" s="60"/>
      <c r="P984" s="60"/>
      <c r="Q984" s="60"/>
      <c r="R984" s="60"/>
      <c r="S984" s="60"/>
      <c r="T984" s="60"/>
      <c r="U984" s="60"/>
      <c r="V984" s="60"/>
      <c r="W984" s="60"/>
      <c r="X984" s="60"/>
      <c r="Y984" s="60"/>
      <c r="Z984" s="60"/>
    </row>
    <row r="985">
      <c r="A985" s="149"/>
      <c r="B985" s="150"/>
      <c r="C985" s="151"/>
      <c r="D985" s="140"/>
      <c r="E985" s="152"/>
      <c r="F985" s="60"/>
      <c r="G985" s="60"/>
      <c r="H985" s="60"/>
      <c r="I985" s="60"/>
      <c r="J985" s="60"/>
      <c r="K985" s="60"/>
      <c r="L985" s="60"/>
      <c r="M985" s="60"/>
      <c r="N985" s="60"/>
      <c r="O985" s="60"/>
      <c r="P985" s="60"/>
      <c r="Q985" s="60"/>
      <c r="R985" s="60"/>
      <c r="S985" s="60"/>
      <c r="T985" s="60"/>
      <c r="U985" s="60"/>
      <c r="V985" s="60"/>
      <c r="W985" s="60"/>
      <c r="X985" s="60"/>
      <c r="Y985" s="60"/>
      <c r="Z985" s="60"/>
    </row>
    <row r="986">
      <c r="A986" s="149"/>
      <c r="B986" s="150"/>
      <c r="C986" s="151"/>
      <c r="D986" s="140"/>
      <c r="E986" s="152"/>
      <c r="F986" s="60"/>
      <c r="G986" s="60"/>
      <c r="H986" s="60"/>
      <c r="I986" s="60"/>
      <c r="J986" s="60"/>
      <c r="K986" s="60"/>
      <c r="L986" s="60"/>
      <c r="M986" s="60"/>
      <c r="N986" s="60"/>
      <c r="O986" s="60"/>
      <c r="P986" s="60"/>
      <c r="Q986" s="60"/>
      <c r="R986" s="60"/>
      <c r="S986" s="60"/>
      <c r="T986" s="60"/>
      <c r="U986" s="60"/>
      <c r="V986" s="60"/>
      <c r="W986" s="60"/>
      <c r="X986" s="60"/>
      <c r="Y986" s="60"/>
      <c r="Z986" s="60"/>
    </row>
    <row r="987">
      <c r="A987" s="149"/>
      <c r="B987" s="150"/>
      <c r="C987" s="151"/>
      <c r="D987" s="140"/>
      <c r="E987" s="152"/>
      <c r="F987" s="60"/>
      <c r="G987" s="60"/>
      <c r="H987" s="60"/>
      <c r="I987" s="60"/>
      <c r="J987" s="60"/>
      <c r="K987" s="60"/>
      <c r="L987" s="60"/>
      <c r="M987" s="60"/>
      <c r="N987" s="60"/>
      <c r="O987" s="60"/>
      <c r="P987" s="60"/>
      <c r="Q987" s="60"/>
      <c r="R987" s="60"/>
      <c r="S987" s="60"/>
      <c r="T987" s="60"/>
      <c r="U987" s="60"/>
      <c r="V987" s="60"/>
      <c r="W987" s="60"/>
      <c r="X987" s="60"/>
      <c r="Y987" s="60"/>
      <c r="Z987" s="60"/>
    </row>
    <row r="988">
      <c r="A988" s="149"/>
      <c r="B988" s="150"/>
      <c r="C988" s="151"/>
      <c r="D988" s="140"/>
      <c r="E988" s="152"/>
      <c r="F988" s="60"/>
      <c r="G988" s="60"/>
      <c r="H988" s="60"/>
      <c r="I988" s="60"/>
      <c r="J988" s="60"/>
      <c r="K988" s="60"/>
      <c r="L988" s="60"/>
      <c r="M988" s="60"/>
      <c r="N988" s="60"/>
      <c r="O988" s="60"/>
      <c r="P988" s="60"/>
      <c r="Q988" s="60"/>
      <c r="R988" s="60"/>
      <c r="S988" s="60"/>
      <c r="T988" s="60"/>
      <c r="U988" s="60"/>
      <c r="V988" s="60"/>
      <c r="W988" s="60"/>
      <c r="X988" s="60"/>
      <c r="Y988" s="60"/>
      <c r="Z988" s="60"/>
    </row>
    <row r="989">
      <c r="A989" s="149"/>
      <c r="B989" s="150"/>
      <c r="C989" s="151"/>
      <c r="D989" s="140"/>
      <c r="E989" s="152"/>
      <c r="F989" s="60"/>
      <c r="G989" s="60"/>
      <c r="H989" s="60"/>
      <c r="I989" s="60"/>
      <c r="J989" s="60"/>
      <c r="K989" s="60"/>
      <c r="L989" s="60"/>
      <c r="M989" s="60"/>
      <c r="N989" s="60"/>
      <c r="O989" s="60"/>
      <c r="P989" s="60"/>
      <c r="Q989" s="60"/>
      <c r="R989" s="60"/>
      <c r="S989" s="60"/>
      <c r="T989" s="60"/>
      <c r="U989" s="60"/>
      <c r="V989" s="60"/>
      <c r="W989" s="60"/>
      <c r="X989" s="60"/>
      <c r="Y989" s="60"/>
      <c r="Z989" s="60"/>
    </row>
    <row r="990">
      <c r="A990" s="149"/>
      <c r="B990" s="150"/>
      <c r="C990" s="151"/>
      <c r="D990" s="140"/>
      <c r="E990" s="152"/>
      <c r="F990" s="60"/>
      <c r="G990" s="60"/>
      <c r="H990" s="60"/>
      <c r="I990" s="60"/>
      <c r="J990" s="60"/>
      <c r="K990" s="60"/>
      <c r="L990" s="60"/>
      <c r="M990" s="60"/>
      <c r="N990" s="60"/>
      <c r="O990" s="60"/>
      <c r="P990" s="60"/>
      <c r="Q990" s="60"/>
      <c r="R990" s="60"/>
      <c r="S990" s="60"/>
      <c r="T990" s="60"/>
      <c r="U990" s="60"/>
      <c r="V990" s="60"/>
      <c r="W990" s="60"/>
      <c r="X990" s="60"/>
      <c r="Y990" s="60"/>
      <c r="Z990" s="60"/>
    </row>
    <row r="991">
      <c r="A991" s="149"/>
      <c r="B991" s="150"/>
      <c r="C991" s="151"/>
      <c r="D991" s="140"/>
      <c r="E991" s="152"/>
      <c r="F991" s="60"/>
      <c r="G991" s="60"/>
      <c r="H991" s="60"/>
      <c r="I991" s="60"/>
      <c r="J991" s="60"/>
      <c r="K991" s="60"/>
      <c r="L991" s="60"/>
      <c r="M991" s="60"/>
      <c r="N991" s="60"/>
      <c r="O991" s="60"/>
      <c r="P991" s="60"/>
      <c r="Q991" s="60"/>
      <c r="R991" s="60"/>
      <c r="S991" s="60"/>
      <c r="T991" s="60"/>
      <c r="U991" s="60"/>
      <c r="V991" s="60"/>
      <c r="W991" s="60"/>
      <c r="X991" s="60"/>
      <c r="Y991" s="60"/>
      <c r="Z991" s="60"/>
    </row>
    <row r="992">
      <c r="A992" s="149"/>
      <c r="B992" s="150"/>
      <c r="C992" s="151"/>
      <c r="D992" s="140"/>
      <c r="E992" s="152"/>
      <c r="F992" s="60"/>
      <c r="G992" s="60"/>
      <c r="H992" s="60"/>
      <c r="I992" s="60"/>
      <c r="J992" s="60"/>
      <c r="K992" s="60"/>
      <c r="L992" s="60"/>
      <c r="M992" s="60"/>
      <c r="N992" s="60"/>
      <c r="O992" s="60"/>
      <c r="P992" s="60"/>
      <c r="Q992" s="60"/>
      <c r="R992" s="60"/>
      <c r="S992" s="60"/>
      <c r="T992" s="60"/>
      <c r="U992" s="60"/>
      <c r="V992" s="60"/>
      <c r="W992" s="60"/>
      <c r="X992" s="60"/>
      <c r="Y992" s="60"/>
      <c r="Z992" s="60"/>
    </row>
    <row r="993">
      <c r="A993" s="149"/>
      <c r="B993" s="150"/>
      <c r="C993" s="151"/>
      <c r="D993" s="140"/>
      <c r="E993" s="152"/>
      <c r="F993" s="60"/>
      <c r="G993" s="60"/>
      <c r="H993" s="60"/>
      <c r="I993" s="60"/>
      <c r="J993" s="60"/>
      <c r="K993" s="60"/>
      <c r="L993" s="60"/>
      <c r="M993" s="60"/>
      <c r="N993" s="60"/>
      <c r="O993" s="60"/>
      <c r="P993" s="60"/>
      <c r="Q993" s="60"/>
      <c r="R993" s="60"/>
      <c r="S993" s="60"/>
      <c r="T993" s="60"/>
      <c r="U993" s="60"/>
      <c r="V993" s="60"/>
      <c r="W993" s="60"/>
      <c r="X993" s="60"/>
      <c r="Y993" s="60"/>
      <c r="Z993" s="60"/>
    </row>
    <row r="994">
      <c r="A994" s="149"/>
      <c r="B994" s="150"/>
      <c r="C994" s="151"/>
      <c r="D994" s="140"/>
      <c r="E994" s="152"/>
      <c r="F994" s="60"/>
      <c r="G994" s="60"/>
      <c r="H994" s="60"/>
      <c r="I994" s="60"/>
      <c r="J994" s="60"/>
      <c r="K994" s="60"/>
      <c r="L994" s="60"/>
      <c r="M994" s="60"/>
      <c r="N994" s="60"/>
      <c r="O994" s="60"/>
      <c r="P994" s="60"/>
      <c r="Q994" s="60"/>
      <c r="R994" s="60"/>
      <c r="S994" s="60"/>
      <c r="T994" s="60"/>
      <c r="U994" s="60"/>
      <c r="V994" s="60"/>
      <c r="W994" s="60"/>
      <c r="X994" s="60"/>
      <c r="Y994" s="60"/>
      <c r="Z994" s="60"/>
    </row>
    <row r="995">
      <c r="A995" s="149"/>
      <c r="B995" s="150"/>
      <c r="C995" s="151"/>
      <c r="D995" s="140"/>
      <c r="E995" s="152"/>
      <c r="F995" s="60"/>
      <c r="G995" s="60"/>
      <c r="H995" s="60"/>
      <c r="I995" s="60"/>
      <c r="J995" s="60"/>
      <c r="K995" s="60"/>
      <c r="L995" s="60"/>
      <c r="M995" s="60"/>
      <c r="N995" s="60"/>
      <c r="O995" s="60"/>
      <c r="P995" s="60"/>
      <c r="Q995" s="60"/>
      <c r="R995" s="60"/>
      <c r="S995" s="60"/>
      <c r="T995" s="60"/>
      <c r="U995" s="60"/>
      <c r="V995" s="60"/>
      <c r="W995" s="60"/>
      <c r="X995" s="60"/>
      <c r="Y995" s="60"/>
      <c r="Z995" s="60"/>
    </row>
    <row r="996">
      <c r="A996" s="149"/>
      <c r="B996" s="150"/>
      <c r="C996" s="151"/>
      <c r="D996" s="140"/>
      <c r="E996" s="152"/>
      <c r="F996" s="60"/>
      <c r="G996" s="60"/>
      <c r="H996" s="60"/>
      <c r="I996" s="60"/>
      <c r="J996" s="60"/>
      <c r="K996" s="60"/>
      <c r="L996" s="60"/>
      <c r="M996" s="60"/>
      <c r="N996" s="60"/>
      <c r="O996" s="60"/>
      <c r="P996" s="60"/>
      <c r="Q996" s="60"/>
      <c r="R996" s="60"/>
      <c r="S996" s="60"/>
      <c r="T996" s="60"/>
      <c r="U996" s="60"/>
      <c r="V996" s="60"/>
      <c r="W996" s="60"/>
      <c r="X996" s="60"/>
      <c r="Y996" s="60"/>
      <c r="Z996" s="60"/>
    </row>
    <row r="997">
      <c r="A997" s="149"/>
      <c r="B997" s="150"/>
      <c r="C997" s="151"/>
      <c r="D997" s="140"/>
      <c r="E997" s="152"/>
      <c r="F997" s="60"/>
      <c r="G997" s="60"/>
      <c r="H997" s="60"/>
      <c r="I997" s="60"/>
      <c r="J997" s="60"/>
      <c r="K997" s="60"/>
      <c r="L997" s="60"/>
      <c r="M997" s="60"/>
      <c r="N997" s="60"/>
      <c r="O997" s="60"/>
      <c r="P997" s="60"/>
      <c r="Q997" s="60"/>
      <c r="R997" s="60"/>
      <c r="S997" s="60"/>
      <c r="T997" s="60"/>
      <c r="U997" s="60"/>
      <c r="V997" s="60"/>
      <c r="W997" s="60"/>
      <c r="X997" s="60"/>
      <c r="Y997" s="60"/>
      <c r="Z997" s="60"/>
    </row>
    <row r="998">
      <c r="A998" s="149"/>
      <c r="B998" s="150"/>
      <c r="C998" s="151"/>
      <c r="D998" s="140"/>
      <c r="E998" s="152"/>
      <c r="F998" s="60"/>
      <c r="G998" s="60"/>
      <c r="H998" s="60"/>
      <c r="I998" s="60"/>
      <c r="J998" s="60"/>
      <c r="K998" s="60"/>
      <c r="L998" s="60"/>
      <c r="M998" s="60"/>
      <c r="N998" s="60"/>
      <c r="O998" s="60"/>
      <c r="P998" s="60"/>
      <c r="Q998" s="60"/>
      <c r="R998" s="60"/>
      <c r="S998" s="60"/>
      <c r="T998" s="60"/>
      <c r="U998" s="60"/>
      <c r="V998" s="60"/>
      <c r="W998" s="60"/>
      <c r="X998" s="60"/>
      <c r="Y998" s="60"/>
      <c r="Z998" s="60"/>
    </row>
    <row r="999">
      <c r="A999" s="149"/>
      <c r="B999" s="150"/>
      <c r="C999" s="151"/>
      <c r="D999" s="140"/>
      <c r="E999" s="152"/>
      <c r="F999" s="60"/>
      <c r="G999" s="60"/>
      <c r="H999" s="60"/>
      <c r="I999" s="60"/>
      <c r="J999" s="60"/>
      <c r="K999" s="60"/>
      <c r="L999" s="60"/>
      <c r="M999" s="60"/>
      <c r="N999" s="60"/>
      <c r="O999" s="60"/>
      <c r="P999" s="60"/>
      <c r="Q999" s="60"/>
      <c r="R999" s="60"/>
      <c r="S999" s="60"/>
      <c r="T999" s="60"/>
      <c r="U999" s="60"/>
      <c r="V999" s="60"/>
      <c r="W999" s="60"/>
      <c r="X999" s="60"/>
      <c r="Y999" s="60"/>
      <c r="Z999" s="60"/>
    </row>
    <row r="1000">
      <c r="A1000" s="149"/>
      <c r="B1000" s="150"/>
      <c r="C1000" s="151"/>
      <c r="D1000" s="140"/>
      <c r="E1000" s="152"/>
      <c r="F1000" s="60"/>
      <c r="G1000" s="60"/>
      <c r="H1000" s="60"/>
      <c r="I1000" s="60"/>
      <c r="J1000" s="60"/>
      <c r="K1000" s="60"/>
      <c r="L1000" s="60"/>
      <c r="M1000" s="60"/>
      <c r="N1000" s="60"/>
      <c r="O1000" s="60"/>
      <c r="P1000" s="60"/>
      <c r="Q1000" s="60"/>
      <c r="R1000" s="60"/>
      <c r="S1000" s="60"/>
      <c r="T1000" s="60"/>
      <c r="U1000" s="60"/>
      <c r="V1000" s="60"/>
      <c r="W1000" s="60"/>
      <c r="X1000" s="60"/>
      <c r="Y1000" s="60"/>
      <c r="Z1000" s="60"/>
    </row>
    <row r="1001">
      <c r="A1001" s="149"/>
      <c r="B1001" s="150"/>
      <c r="C1001" s="151"/>
      <c r="D1001" s="140"/>
      <c r="E1001" s="152"/>
      <c r="F1001" s="60"/>
      <c r="G1001" s="60"/>
      <c r="H1001" s="60"/>
      <c r="I1001" s="60"/>
      <c r="J1001" s="60"/>
      <c r="K1001" s="60"/>
      <c r="L1001" s="60"/>
      <c r="M1001" s="60"/>
      <c r="N1001" s="60"/>
      <c r="O1001" s="60"/>
      <c r="P1001" s="60"/>
      <c r="Q1001" s="60"/>
      <c r="R1001" s="60"/>
      <c r="S1001" s="60"/>
      <c r="T1001" s="60"/>
      <c r="U1001" s="60"/>
      <c r="V1001" s="60"/>
      <c r="W1001" s="60"/>
      <c r="X1001" s="60"/>
      <c r="Y1001" s="60"/>
      <c r="Z1001" s="60"/>
    </row>
    <row r="1002">
      <c r="A1002" s="149"/>
      <c r="B1002" s="150"/>
      <c r="C1002" s="151"/>
      <c r="D1002" s="140"/>
      <c r="E1002" s="152"/>
      <c r="F1002" s="60"/>
      <c r="G1002" s="60"/>
      <c r="H1002" s="60"/>
      <c r="I1002" s="60"/>
      <c r="J1002" s="60"/>
      <c r="K1002" s="60"/>
      <c r="L1002" s="60"/>
      <c r="M1002" s="60"/>
      <c r="N1002" s="60"/>
      <c r="O1002" s="60"/>
      <c r="P1002" s="60"/>
      <c r="Q1002" s="60"/>
      <c r="R1002" s="60"/>
      <c r="S1002" s="60"/>
      <c r="T1002" s="60"/>
      <c r="U1002" s="60"/>
      <c r="V1002" s="60"/>
      <c r="W1002" s="60"/>
      <c r="X1002" s="60"/>
      <c r="Y1002" s="60"/>
      <c r="Z1002" s="60"/>
    </row>
    <row r="1003">
      <c r="A1003" s="149"/>
      <c r="B1003" s="150"/>
      <c r="C1003" s="151"/>
      <c r="D1003" s="140"/>
      <c r="E1003" s="152"/>
      <c r="F1003" s="60"/>
      <c r="G1003" s="60"/>
      <c r="H1003" s="60"/>
      <c r="I1003" s="60"/>
      <c r="J1003" s="60"/>
      <c r="K1003" s="60"/>
      <c r="L1003" s="60"/>
      <c r="M1003" s="60"/>
      <c r="N1003" s="60"/>
      <c r="O1003" s="60"/>
      <c r="P1003" s="60"/>
      <c r="Q1003" s="60"/>
      <c r="R1003" s="60"/>
      <c r="S1003" s="60"/>
      <c r="T1003" s="60"/>
      <c r="U1003" s="60"/>
      <c r="V1003" s="60"/>
      <c r="W1003" s="60"/>
      <c r="X1003" s="60"/>
      <c r="Y1003" s="60"/>
      <c r="Z1003" s="60"/>
    </row>
    <row r="1004">
      <c r="A1004" s="149"/>
      <c r="B1004" s="150"/>
      <c r="C1004" s="151"/>
      <c r="D1004" s="140"/>
      <c r="E1004" s="152"/>
      <c r="F1004" s="60"/>
      <c r="G1004" s="60"/>
      <c r="H1004" s="60"/>
      <c r="I1004" s="60"/>
      <c r="J1004" s="60"/>
      <c r="K1004" s="60"/>
      <c r="L1004" s="60"/>
      <c r="M1004" s="60"/>
      <c r="N1004" s="60"/>
      <c r="O1004" s="60"/>
      <c r="P1004" s="60"/>
      <c r="Q1004" s="60"/>
      <c r="R1004" s="60"/>
      <c r="S1004" s="60"/>
      <c r="T1004" s="60"/>
      <c r="U1004" s="60"/>
      <c r="V1004" s="60"/>
      <c r="W1004" s="60"/>
      <c r="X1004" s="60"/>
      <c r="Y1004" s="60"/>
      <c r="Z1004" s="60"/>
    </row>
    <row r="1005">
      <c r="A1005" s="149"/>
      <c r="B1005" s="150"/>
      <c r="C1005" s="151"/>
      <c r="D1005" s="140"/>
      <c r="E1005" s="152"/>
      <c r="F1005" s="60"/>
      <c r="G1005" s="60"/>
      <c r="H1005" s="60"/>
      <c r="I1005" s="60"/>
      <c r="J1005" s="60"/>
      <c r="K1005" s="60"/>
      <c r="L1005" s="60"/>
      <c r="M1005" s="60"/>
      <c r="N1005" s="60"/>
      <c r="O1005" s="60"/>
      <c r="P1005" s="60"/>
      <c r="Q1005" s="60"/>
      <c r="R1005" s="60"/>
      <c r="S1005" s="60"/>
      <c r="T1005" s="60"/>
      <c r="U1005" s="60"/>
      <c r="V1005" s="60"/>
      <c r="W1005" s="60"/>
      <c r="X1005" s="60"/>
      <c r="Y1005" s="60"/>
      <c r="Z1005" s="60"/>
    </row>
    <row r="1006">
      <c r="A1006" s="149"/>
      <c r="B1006" s="150"/>
      <c r="C1006" s="151"/>
      <c r="D1006" s="140"/>
      <c r="E1006" s="152"/>
      <c r="F1006" s="60"/>
      <c r="G1006" s="60"/>
      <c r="H1006" s="60"/>
      <c r="I1006" s="60"/>
      <c r="J1006" s="60"/>
      <c r="K1006" s="60"/>
      <c r="L1006" s="60"/>
      <c r="M1006" s="60"/>
      <c r="N1006" s="60"/>
      <c r="O1006" s="60"/>
      <c r="P1006" s="60"/>
      <c r="Q1006" s="60"/>
      <c r="R1006" s="60"/>
      <c r="S1006" s="60"/>
      <c r="T1006" s="60"/>
      <c r="U1006" s="60"/>
      <c r="V1006" s="60"/>
      <c r="W1006" s="60"/>
      <c r="X1006" s="60"/>
      <c r="Y1006" s="60"/>
      <c r="Z1006" s="60"/>
    </row>
    <row r="1007">
      <c r="A1007" s="149"/>
      <c r="B1007" s="150"/>
      <c r="C1007" s="151"/>
      <c r="D1007" s="140"/>
      <c r="E1007" s="152"/>
      <c r="F1007" s="60"/>
      <c r="G1007" s="60"/>
      <c r="H1007" s="60"/>
      <c r="I1007" s="60"/>
      <c r="J1007" s="60"/>
      <c r="K1007" s="60"/>
      <c r="L1007" s="60"/>
      <c r="M1007" s="60"/>
      <c r="N1007" s="60"/>
      <c r="O1007" s="60"/>
      <c r="P1007" s="60"/>
      <c r="Q1007" s="60"/>
      <c r="R1007" s="60"/>
      <c r="S1007" s="60"/>
      <c r="T1007" s="60"/>
      <c r="U1007" s="60"/>
      <c r="V1007" s="60"/>
      <c r="W1007" s="60"/>
      <c r="X1007" s="60"/>
      <c r="Y1007" s="60"/>
      <c r="Z1007" s="60"/>
    </row>
    <row r="1008">
      <c r="A1008" s="149"/>
      <c r="B1008" s="150"/>
      <c r="C1008" s="151"/>
      <c r="D1008" s="140"/>
      <c r="E1008" s="152"/>
      <c r="F1008" s="60"/>
      <c r="G1008" s="60"/>
      <c r="H1008" s="60"/>
      <c r="I1008" s="60"/>
      <c r="J1008" s="60"/>
      <c r="K1008" s="60"/>
      <c r="L1008" s="60"/>
      <c r="M1008" s="60"/>
      <c r="N1008" s="60"/>
      <c r="O1008" s="60"/>
      <c r="P1008" s="60"/>
      <c r="Q1008" s="60"/>
      <c r="R1008" s="60"/>
      <c r="S1008" s="60"/>
      <c r="T1008" s="60"/>
      <c r="U1008" s="60"/>
      <c r="V1008" s="60"/>
      <c r="W1008" s="60"/>
      <c r="X1008" s="60"/>
      <c r="Y1008" s="60"/>
      <c r="Z1008" s="60"/>
    </row>
    <row r="1009">
      <c r="A1009" s="149"/>
      <c r="B1009" s="150"/>
      <c r="C1009" s="151"/>
      <c r="D1009" s="140"/>
      <c r="E1009" s="152"/>
      <c r="F1009" s="60"/>
      <c r="G1009" s="60"/>
      <c r="H1009" s="60"/>
      <c r="I1009" s="60"/>
      <c r="J1009" s="60"/>
      <c r="K1009" s="60"/>
      <c r="L1009" s="60"/>
      <c r="M1009" s="60"/>
      <c r="N1009" s="60"/>
      <c r="O1009" s="60"/>
      <c r="P1009" s="60"/>
      <c r="Q1009" s="60"/>
      <c r="R1009" s="60"/>
      <c r="S1009" s="60"/>
      <c r="T1009" s="60"/>
      <c r="U1009" s="60"/>
      <c r="V1009" s="60"/>
      <c r="W1009" s="60"/>
      <c r="X1009" s="60"/>
      <c r="Y1009" s="60"/>
      <c r="Z1009" s="60"/>
    </row>
    <row r="1010">
      <c r="A1010" s="149"/>
      <c r="B1010" s="150"/>
      <c r="C1010" s="151"/>
      <c r="D1010" s="140"/>
      <c r="E1010" s="152"/>
      <c r="F1010" s="60"/>
      <c r="G1010" s="60"/>
      <c r="H1010" s="60"/>
      <c r="I1010" s="60"/>
      <c r="J1010" s="60"/>
      <c r="K1010" s="60"/>
      <c r="L1010" s="60"/>
      <c r="M1010" s="60"/>
      <c r="N1010" s="60"/>
      <c r="O1010" s="60"/>
      <c r="P1010" s="60"/>
      <c r="Q1010" s="60"/>
      <c r="R1010" s="60"/>
      <c r="S1010" s="60"/>
      <c r="T1010" s="60"/>
      <c r="U1010" s="60"/>
      <c r="V1010" s="60"/>
      <c r="W1010" s="60"/>
      <c r="X1010" s="60"/>
      <c r="Y1010" s="60"/>
      <c r="Z1010" s="60"/>
    </row>
    <row r="1011">
      <c r="A1011" s="149"/>
      <c r="B1011" s="150"/>
      <c r="C1011" s="151"/>
      <c r="D1011" s="140"/>
      <c r="E1011" s="152"/>
      <c r="F1011" s="60"/>
      <c r="G1011" s="60"/>
      <c r="H1011" s="60"/>
      <c r="I1011" s="60"/>
      <c r="J1011" s="60"/>
      <c r="K1011" s="60"/>
      <c r="L1011" s="60"/>
      <c r="M1011" s="60"/>
      <c r="N1011" s="60"/>
      <c r="O1011" s="60"/>
      <c r="P1011" s="60"/>
      <c r="Q1011" s="60"/>
      <c r="R1011" s="60"/>
      <c r="S1011" s="60"/>
      <c r="T1011" s="60"/>
      <c r="U1011" s="60"/>
      <c r="V1011" s="60"/>
      <c r="W1011" s="60"/>
      <c r="X1011" s="60"/>
      <c r="Y1011" s="60"/>
      <c r="Z1011" s="60"/>
    </row>
    <row r="1012">
      <c r="A1012" s="149"/>
      <c r="B1012" s="150"/>
      <c r="C1012" s="151"/>
      <c r="D1012" s="140"/>
      <c r="E1012" s="152"/>
      <c r="F1012" s="60"/>
      <c r="G1012" s="60"/>
      <c r="H1012" s="60"/>
      <c r="I1012" s="60"/>
      <c r="J1012" s="60"/>
      <c r="K1012" s="60"/>
      <c r="L1012" s="60"/>
      <c r="M1012" s="60"/>
      <c r="N1012" s="60"/>
      <c r="O1012" s="60"/>
      <c r="P1012" s="60"/>
      <c r="Q1012" s="60"/>
      <c r="R1012" s="60"/>
      <c r="S1012" s="60"/>
      <c r="T1012" s="60"/>
      <c r="U1012" s="60"/>
      <c r="V1012" s="60"/>
      <c r="W1012" s="60"/>
      <c r="X1012" s="60"/>
      <c r="Y1012" s="60"/>
      <c r="Z1012" s="60"/>
    </row>
    <row r="1013">
      <c r="A1013" s="149"/>
      <c r="B1013" s="150"/>
      <c r="C1013" s="151"/>
      <c r="D1013" s="140"/>
      <c r="E1013" s="152"/>
      <c r="F1013" s="60"/>
      <c r="G1013" s="60"/>
      <c r="H1013" s="60"/>
      <c r="I1013" s="60"/>
      <c r="J1013" s="60"/>
      <c r="K1013" s="60"/>
      <c r="L1013" s="60"/>
      <c r="M1013" s="60"/>
      <c r="N1013" s="60"/>
      <c r="O1013" s="60"/>
      <c r="P1013" s="60"/>
      <c r="Q1013" s="60"/>
      <c r="R1013" s="60"/>
      <c r="S1013" s="60"/>
      <c r="T1013" s="60"/>
      <c r="U1013" s="60"/>
      <c r="V1013" s="60"/>
      <c r="W1013" s="60"/>
      <c r="X1013" s="60"/>
      <c r="Y1013" s="60"/>
      <c r="Z1013" s="60"/>
    </row>
    <row r="1014">
      <c r="A1014" s="149"/>
      <c r="B1014" s="150"/>
      <c r="C1014" s="151"/>
      <c r="D1014" s="140"/>
      <c r="E1014" s="152"/>
      <c r="F1014" s="60"/>
      <c r="G1014" s="60"/>
      <c r="H1014" s="60"/>
      <c r="I1014" s="60"/>
      <c r="J1014" s="60"/>
      <c r="K1014" s="60"/>
      <c r="L1014" s="60"/>
      <c r="M1014" s="60"/>
      <c r="N1014" s="60"/>
      <c r="O1014" s="60"/>
      <c r="P1014" s="60"/>
      <c r="Q1014" s="60"/>
      <c r="R1014" s="60"/>
      <c r="S1014" s="60"/>
      <c r="T1014" s="60"/>
      <c r="U1014" s="60"/>
      <c r="V1014" s="60"/>
      <c r="W1014" s="60"/>
      <c r="X1014" s="60"/>
      <c r="Y1014" s="60"/>
      <c r="Z1014" s="60"/>
    </row>
    <row r="1015">
      <c r="A1015" s="149"/>
      <c r="B1015" s="150"/>
      <c r="C1015" s="151"/>
      <c r="D1015" s="140"/>
      <c r="E1015" s="152"/>
      <c r="F1015" s="60"/>
      <c r="G1015" s="60"/>
      <c r="H1015" s="60"/>
      <c r="I1015" s="60"/>
      <c r="J1015" s="60"/>
      <c r="K1015" s="60"/>
      <c r="L1015" s="60"/>
      <c r="M1015" s="60"/>
      <c r="N1015" s="60"/>
      <c r="O1015" s="60"/>
      <c r="P1015" s="60"/>
      <c r="Q1015" s="60"/>
      <c r="R1015" s="60"/>
      <c r="S1015" s="60"/>
      <c r="T1015" s="60"/>
      <c r="U1015" s="60"/>
      <c r="V1015" s="60"/>
      <c r="W1015" s="60"/>
      <c r="X1015" s="60"/>
      <c r="Y1015" s="60"/>
      <c r="Z1015" s="60"/>
    </row>
    <row r="1016">
      <c r="A1016" s="149"/>
      <c r="B1016" s="150"/>
      <c r="C1016" s="151"/>
      <c r="D1016" s="140"/>
      <c r="E1016" s="152"/>
      <c r="F1016" s="60"/>
      <c r="G1016" s="60"/>
      <c r="H1016" s="60"/>
      <c r="I1016" s="60"/>
      <c r="J1016" s="60"/>
      <c r="K1016" s="60"/>
      <c r="L1016" s="60"/>
      <c r="M1016" s="60"/>
      <c r="N1016" s="60"/>
      <c r="O1016" s="60"/>
      <c r="P1016" s="60"/>
      <c r="Q1016" s="60"/>
      <c r="R1016" s="60"/>
      <c r="S1016" s="60"/>
      <c r="T1016" s="60"/>
      <c r="U1016" s="60"/>
      <c r="V1016" s="60"/>
      <c r="W1016" s="60"/>
      <c r="X1016" s="60"/>
      <c r="Y1016" s="60"/>
      <c r="Z1016" s="60"/>
    </row>
    <row r="1017">
      <c r="A1017" s="149"/>
      <c r="B1017" s="150"/>
      <c r="C1017" s="151"/>
      <c r="D1017" s="140"/>
      <c r="E1017" s="152"/>
      <c r="F1017" s="60"/>
      <c r="G1017" s="60"/>
      <c r="H1017" s="60"/>
      <c r="I1017" s="60"/>
      <c r="J1017" s="60"/>
      <c r="K1017" s="60"/>
      <c r="L1017" s="60"/>
      <c r="M1017" s="60"/>
      <c r="N1017" s="60"/>
      <c r="O1017" s="60"/>
      <c r="P1017" s="60"/>
      <c r="Q1017" s="60"/>
      <c r="R1017" s="60"/>
      <c r="S1017" s="60"/>
      <c r="T1017" s="60"/>
      <c r="U1017" s="60"/>
      <c r="V1017" s="60"/>
      <c r="W1017" s="60"/>
      <c r="X1017" s="60"/>
      <c r="Y1017" s="60"/>
      <c r="Z1017" s="60"/>
    </row>
    <row r="1018">
      <c r="A1018" s="149"/>
      <c r="B1018" s="150"/>
      <c r="C1018" s="151"/>
      <c r="D1018" s="140"/>
      <c r="E1018" s="152"/>
      <c r="F1018" s="60"/>
      <c r="G1018" s="60"/>
      <c r="H1018" s="60"/>
      <c r="I1018" s="60"/>
      <c r="J1018" s="60"/>
      <c r="K1018" s="60"/>
      <c r="L1018" s="60"/>
      <c r="M1018" s="60"/>
      <c r="N1018" s="60"/>
      <c r="O1018" s="60"/>
      <c r="P1018" s="60"/>
      <c r="Q1018" s="60"/>
      <c r="R1018" s="60"/>
      <c r="S1018" s="60"/>
      <c r="T1018" s="60"/>
      <c r="U1018" s="60"/>
      <c r="V1018" s="60"/>
      <c r="W1018" s="60"/>
      <c r="X1018" s="60"/>
      <c r="Y1018" s="60"/>
      <c r="Z1018" s="60"/>
    </row>
    <row r="1019">
      <c r="A1019" s="149"/>
      <c r="B1019" s="150"/>
      <c r="C1019" s="151"/>
      <c r="D1019" s="140"/>
      <c r="E1019" s="152"/>
      <c r="F1019" s="60"/>
      <c r="G1019" s="60"/>
      <c r="H1019" s="60"/>
      <c r="I1019" s="60"/>
      <c r="J1019" s="60"/>
      <c r="K1019" s="60"/>
      <c r="L1019" s="60"/>
      <c r="M1019" s="60"/>
      <c r="N1019" s="60"/>
      <c r="O1019" s="60"/>
      <c r="P1019" s="60"/>
      <c r="Q1019" s="60"/>
      <c r="R1019" s="60"/>
      <c r="S1019" s="60"/>
      <c r="T1019" s="60"/>
      <c r="U1019" s="60"/>
      <c r="V1019" s="60"/>
      <c r="W1019" s="60"/>
      <c r="X1019" s="60"/>
      <c r="Y1019" s="60"/>
      <c r="Z1019" s="60"/>
    </row>
    <row r="1020">
      <c r="A1020" s="149"/>
      <c r="B1020" s="150"/>
      <c r="C1020" s="151"/>
      <c r="D1020" s="140"/>
      <c r="E1020" s="152"/>
      <c r="F1020" s="60"/>
      <c r="G1020" s="60"/>
      <c r="H1020" s="60"/>
      <c r="I1020" s="60"/>
      <c r="J1020" s="60"/>
      <c r="K1020" s="60"/>
      <c r="L1020" s="60"/>
      <c r="M1020" s="60"/>
      <c r="N1020" s="60"/>
      <c r="O1020" s="60"/>
      <c r="P1020" s="60"/>
      <c r="Q1020" s="60"/>
      <c r="R1020" s="60"/>
      <c r="S1020" s="60"/>
      <c r="T1020" s="60"/>
      <c r="U1020" s="60"/>
      <c r="V1020" s="60"/>
      <c r="W1020" s="60"/>
      <c r="X1020" s="60"/>
      <c r="Y1020" s="60"/>
      <c r="Z1020" s="60"/>
    </row>
    <row r="1021">
      <c r="A1021" s="149"/>
      <c r="B1021" s="150"/>
      <c r="C1021" s="151"/>
      <c r="D1021" s="140"/>
      <c r="E1021" s="152"/>
      <c r="F1021" s="60"/>
      <c r="G1021" s="60"/>
      <c r="H1021" s="60"/>
      <c r="I1021" s="60"/>
      <c r="J1021" s="60"/>
      <c r="K1021" s="60"/>
      <c r="L1021" s="60"/>
      <c r="M1021" s="60"/>
      <c r="N1021" s="60"/>
      <c r="O1021" s="60"/>
      <c r="P1021" s="60"/>
      <c r="Q1021" s="60"/>
      <c r="R1021" s="60"/>
      <c r="S1021" s="60"/>
      <c r="T1021" s="60"/>
      <c r="U1021" s="60"/>
      <c r="V1021" s="60"/>
      <c r="W1021" s="60"/>
      <c r="X1021" s="60"/>
      <c r="Y1021" s="60"/>
      <c r="Z1021" s="60"/>
    </row>
    <row r="1022">
      <c r="A1022" s="149"/>
      <c r="B1022" s="150"/>
      <c r="C1022" s="151"/>
      <c r="D1022" s="140"/>
      <c r="E1022" s="152"/>
      <c r="F1022" s="60"/>
      <c r="G1022" s="60"/>
      <c r="H1022" s="60"/>
      <c r="I1022" s="60"/>
      <c r="J1022" s="60"/>
      <c r="K1022" s="60"/>
      <c r="L1022" s="60"/>
      <c r="M1022" s="60"/>
      <c r="N1022" s="60"/>
      <c r="O1022" s="60"/>
      <c r="P1022" s="60"/>
      <c r="Q1022" s="60"/>
      <c r="R1022" s="60"/>
      <c r="S1022" s="60"/>
      <c r="T1022" s="60"/>
      <c r="U1022" s="60"/>
      <c r="V1022" s="60"/>
      <c r="W1022" s="60"/>
      <c r="X1022" s="60"/>
      <c r="Y1022" s="60"/>
      <c r="Z1022" s="60"/>
    </row>
    <row r="1023">
      <c r="A1023" s="149"/>
      <c r="B1023" s="150"/>
      <c r="C1023" s="151"/>
      <c r="D1023" s="140"/>
      <c r="E1023" s="152"/>
      <c r="F1023" s="60"/>
      <c r="G1023" s="60"/>
      <c r="H1023" s="60"/>
      <c r="I1023" s="60"/>
      <c r="J1023" s="60"/>
      <c r="K1023" s="60"/>
      <c r="L1023" s="60"/>
      <c r="M1023" s="60"/>
      <c r="N1023" s="60"/>
      <c r="O1023" s="60"/>
      <c r="P1023" s="60"/>
      <c r="Q1023" s="60"/>
      <c r="R1023" s="60"/>
      <c r="S1023" s="60"/>
      <c r="T1023" s="60"/>
      <c r="U1023" s="60"/>
      <c r="V1023" s="60"/>
      <c r="W1023" s="60"/>
      <c r="X1023" s="60"/>
      <c r="Y1023" s="60"/>
      <c r="Z1023" s="60"/>
    </row>
    <row r="1024">
      <c r="A1024" s="149"/>
      <c r="B1024" s="150"/>
      <c r="C1024" s="151"/>
      <c r="D1024" s="140"/>
      <c r="E1024" s="152"/>
      <c r="F1024" s="60"/>
      <c r="G1024" s="60"/>
      <c r="H1024" s="60"/>
      <c r="I1024" s="60"/>
      <c r="J1024" s="60"/>
      <c r="K1024" s="60"/>
      <c r="L1024" s="60"/>
      <c r="M1024" s="60"/>
      <c r="N1024" s="60"/>
      <c r="O1024" s="60"/>
      <c r="P1024" s="60"/>
      <c r="Q1024" s="60"/>
      <c r="R1024" s="60"/>
      <c r="S1024" s="60"/>
      <c r="T1024" s="60"/>
      <c r="U1024" s="60"/>
      <c r="V1024" s="60"/>
      <c r="W1024" s="60"/>
      <c r="X1024" s="60"/>
      <c r="Y1024" s="60"/>
      <c r="Z1024" s="60"/>
    </row>
    <row r="1025">
      <c r="A1025" s="149"/>
      <c r="B1025" s="150"/>
      <c r="C1025" s="151"/>
      <c r="D1025" s="140"/>
      <c r="E1025" s="152"/>
      <c r="F1025" s="60"/>
      <c r="G1025" s="60"/>
      <c r="H1025" s="60"/>
      <c r="I1025" s="60"/>
      <c r="J1025" s="60"/>
      <c r="K1025" s="60"/>
      <c r="L1025" s="60"/>
      <c r="M1025" s="60"/>
      <c r="N1025" s="60"/>
      <c r="O1025" s="60"/>
      <c r="P1025" s="60"/>
      <c r="Q1025" s="60"/>
      <c r="R1025" s="60"/>
      <c r="S1025" s="60"/>
      <c r="T1025" s="60"/>
      <c r="U1025" s="60"/>
      <c r="V1025" s="60"/>
      <c r="W1025" s="60"/>
      <c r="X1025" s="60"/>
      <c r="Y1025" s="60"/>
      <c r="Z1025" s="60"/>
    </row>
    <row r="1026">
      <c r="A1026" s="149"/>
      <c r="B1026" s="150"/>
      <c r="C1026" s="151"/>
      <c r="D1026" s="140"/>
      <c r="E1026" s="152"/>
      <c r="F1026" s="60"/>
      <c r="G1026" s="60"/>
      <c r="H1026" s="60"/>
      <c r="I1026" s="60"/>
      <c r="J1026" s="60"/>
      <c r="K1026" s="60"/>
      <c r="L1026" s="60"/>
      <c r="M1026" s="60"/>
      <c r="N1026" s="60"/>
      <c r="O1026" s="60"/>
      <c r="P1026" s="60"/>
      <c r="Q1026" s="60"/>
      <c r="R1026" s="60"/>
      <c r="S1026" s="60"/>
      <c r="T1026" s="60"/>
      <c r="U1026" s="60"/>
      <c r="V1026" s="60"/>
      <c r="W1026" s="60"/>
      <c r="X1026" s="60"/>
      <c r="Y1026" s="60"/>
      <c r="Z1026" s="60"/>
    </row>
    <row r="1027">
      <c r="A1027" s="149"/>
      <c r="B1027" s="150"/>
      <c r="C1027" s="151"/>
      <c r="D1027" s="140"/>
      <c r="E1027" s="152"/>
      <c r="F1027" s="60"/>
      <c r="G1027" s="60"/>
      <c r="H1027" s="60"/>
      <c r="I1027" s="60"/>
      <c r="J1027" s="60"/>
      <c r="K1027" s="60"/>
      <c r="L1027" s="60"/>
      <c r="M1027" s="60"/>
      <c r="N1027" s="60"/>
      <c r="O1027" s="60"/>
      <c r="P1027" s="60"/>
      <c r="Q1027" s="60"/>
      <c r="R1027" s="60"/>
      <c r="S1027" s="60"/>
      <c r="T1027" s="60"/>
      <c r="U1027" s="60"/>
      <c r="V1027" s="60"/>
      <c r="W1027" s="60"/>
      <c r="X1027" s="60"/>
      <c r="Y1027" s="60"/>
      <c r="Z1027" s="60"/>
    </row>
    <row r="1028">
      <c r="A1028" s="149"/>
      <c r="B1028" s="150"/>
      <c r="C1028" s="151"/>
      <c r="D1028" s="140"/>
      <c r="E1028" s="152"/>
      <c r="F1028" s="60"/>
      <c r="G1028" s="60"/>
      <c r="H1028" s="60"/>
      <c r="I1028" s="60"/>
      <c r="J1028" s="60"/>
      <c r="K1028" s="60"/>
      <c r="L1028" s="60"/>
      <c r="M1028" s="60"/>
      <c r="N1028" s="60"/>
      <c r="O1028" s="60"/>
      <c r="P1028" s="60"/>
      <c r="Q1028" s="60"/>
      <c r="R1028" s="60"/>
      <c r="S1028" s="60"/>
      <c r="T1028" s="60"/>
      <c r="U1028" s="60"/>
      <c r="V1028" s="60"/>
      <c r="W1028" s="60"/>
      <c r="X1028" s="60"/>
      <c r="Y1028" s="60"/>
      <c r="Z1028" s="60"/>
    </row>
    <row r="1029">
      <c r="A1029" s="149"/>
      <c r="B1029" s="150"/>
      <c r="C1029" s="151"/>
      <c r="D1029" s="140"/>
      <c r="E1029" s="152"/>
      <c r="F1029" s="60"/>
      <c r="G1029" s="60"/>
      <c r="H1029" s="60"/>
      <c r="I1029" s="60"/>
      <c r="J1029" s="60"/>
      <c r="K1029" s="60"/>
      <c r="L1029" s="60"/>
      <c r="M1029" s="60"/>
      <c r="N1029" s="60"/>
      <c r="O1029" s="60"/>
      <c r="P1029" s="60"/>
      <c r="Q1029" s="60"/>
      <c r="R1029" s="60"/>
      <c r="S1029" s="60"/>
      <c r="T1029" s="60"/>
      <c r="U1029" s="60"/>
      <c r="V1029" s="60"/>
      <c r="W1029" s="60"/>
      <c r="X1029" s="60"/>
      <c r="Y1029" s="60"/>
      <c r="Z1029" s="60"/>
    </row>
    <row r="1030">
      <c r="A1030" s="149"/>
      <c r="B1030" s="150"/>
      <c r="C1030" s="151"/>
      <c r="D1030" s="140"/>
      <c r="E1030" s="152"/>
      <c r="F1030" s="60"/>
      <c r="G1030" s="60"/>
      <c r="H1030" s="60"/>
      <c r="I1030" s="60"/>
      <c r="J1030" s="60"/>
      <c r="K1030" s="60"/>
      <c r="L1030" s="60"/>
      <c r="M1030" s="60"/>
      <c r="N1030" s="60"/>
      <c r="O1030" s="60"/>
      <c r="P1030" s="60"/>
      <c r="Q1030" s="60"/>
      <c r="R1030" s="60"/>
      <c r="S1030" s="60"/>
      <c r="T1030" s="60"/>
      <c r="U1030" s="60"/>
      <c r="V1030" s="60"/>
      <c r="W1030" s="60"/>
      <c r="X1030" s="60"/>
      <c r="Y1030" s="60"/>
      <c r="Z1030" s="60"/>
    </row>
    <row r="1031">
      <c r="A1031" s="149"/>
      <c r="B1031" s="150"/>
      <c r="C1031" s="151"/>
      <c r="D1031" s="140"/>
      <c r="E1031" s="152"/>
      <c r="F1031" s="60"/>
      <c r="G1031" s="60"/>
      <c r="H1031" s="60"/>
      <c r="I1031" s="60"/>
      <c r="J1031" s="60"/>
      <c r="K1031" s="60"/>
      <c r="L1031" s="60"/>
      <c r="M1031" s="60"/>
      <c r="N1031" s="60"/>
      <c r="O1031" s="60"/>
      <c r="P1031" s="60"/>
      <c r="Q1031" s="60"/>
      <c r="R1031" s="60"/>
      <c r="S1031" s="60"/>
      <c r="T1031" s="60"/>
      <c r="U1031" s="60"/>
      <c r="V1031" s="60"/>
      <c r="W1031" s="60"/>
      <c r="X1031" s="60"/>
      <c r="Y1031" s="60"/>
      <c r="Z1031" s="60"/>
    </row>
    <row r="1032">
      <c r="A1032" s="149"/>
      <c r="B1032" s="150"/>
      <c r="C1032" s="151"/>
      <c r="D1032" s="140"/>
      <c r="E1032" s="152"/>
      <c r="F1032" s="60"/>
      <c r="G1032" s="60"/>
      <c r="H1032" s="60"/>
      <c r="I1032" s="60"/>
      <c r="J1032" s="60"/>
      <c r="K1032" s="60"/>
      <c r="L1032" s="60"/>
      <c r="M1032" s="60"/>
      <c r="N1032" s="60"/>
      <c r="O1032" s="60"/>
      <c r="P1032" s="60"/>
      <c r="Q1032" s="60"/>
      <c r="R1032" s="60"/>
      <c r="S1032" s="60"/>
      <c r="T1032" s="60"/>
      <c r="U1032" s="60"/>
      <c r="V1032" s="60"/>
      <c r="W1032" s="60"/>
      <c r="X1032" s="60"/>
      <c r="Y1032" s="60"/>
      <c r="Z1032" s="60"/>
    </row>
    <row r="1033">
      <c r="A1033" s="149"/>
      <c r="B1033" s="150"/>
      <c r="C1033" s="151"/>
      <c r="D1033" s="140"/>
      <c r="E1033" s="152"/>
      <c r="F1033" s="60"/>
      <c r="G1033" s="60"/>
      <c r="H1033" s="60"/>
      <c r="I1033" s="60"/>
      <c r="J1033" s="60"/>
      <c r="K1033" s="60"/>
      <c r="L1033" s="60"/>
      <c r="M1033" s="60"/>
      <c r="N1033" s="60"/>
      <c r="O1033" s="60"/>
      <c r="P1033" s="60"/>
      <c r="Q1033" s="60"/>
      <c r="R1033" s="60"/>
      <c r="S1033" s="60"/>
      <c r="T1033" s="60"/>
      <c r="U1033" s="60"/>
      <c r="V1033" s="60"/>
      <c r="W1033" s="60"/>
      <c r="X1033" s="60"/>
      <c r="Y1033" s="60"/>
      <c r="Z1033" s="60"/>
    </row>
    <row r="1034">
      <c r="A1034" s="149"/>
      <c r="B1034" s="150"/>
      <c r="C1034" s="151"/>
      <c r="D1034" s="140"/>
      <c r="E1034" s="152"/>
      <c r="F1034" s="60"/>
      <c r="G1034" s="60"/>
      <c r="H1034" s="60"/>
      <c r="I1034" s="60"/>
      <c r="J1034" s="60"/>
      <c r="K1034" s="60"/>
      <c r="L1034" s="60"/>
      <c r="M1034" s="60"/>
      <c r="N1034" s="60"/>
      <c r="O1034" s="60"/>
      <c r="P1034" s="60"/>
      <c r="Q1034" s="60"/>
      <c r="R1034" s="60"/>
      <c r="S1034" s="60"/>
      <c r="T1034" s="60"/>
      <c r="U1034" s="60"/>
      <c r="V1034" s="60"/>
      <c r="W1034" s="60"/>
      <c r="X1034" s="60"/>
      <c r="Y1034" s="60"/>
      <c r="Z1034" s="60"/>
    </row>
    <row r="1035">
      <c r="A1035" s="149"/>
      <c r="B1035" s="150"/>
      <c r="C1035" s="151"/>
      <c r="D1035" s="140"/>
      <c r="E1035" s="152"/>
      <c r="F1035" s="60"/>
      <c r="G1035" s="60"/>
      <c r="H1035" s="60"/>
      <c r="I1035" s="60"/>
      <c r="J1035" s="60"/>
      <c r="K1035" s="60"/>
      <c r="L1035" s="60"/>
      <c r="M1035" s="60"/>
      <c r="N1035" s="60"/>
      <c r="O1035" s="60"/>
      <c r="P1035" s="60"/>
      <c r="Q1035" s="60"/>
      <c r="R1035" s="60"/>
      <c r="S1035" s="60"/>
      <c r="T1035" s="60"/>
      <c r="U1035" s="60"/>
      <c r="V1035" s="60"/>
      <c r="W1035" s="60"/>
      <c r="X1035" s="60"/>
      <c r="Y1035" s="60"/>
      <c r="Z1035" s="60"/>
    </row>
    <row r="1036">
      <c r="A1036" s="149"/>
      <c r="B1036" s="150"/>
      <c r="C1036" s="151"/>
      <c r="D1036" s="140"/>
      <c r="E1036" s="152"/>
      <c r="F1036" s="60"/>
      <c r="G1036" s="60"/>
      <c r="H1036" s="60"/>
      <c r="I1036" s="60"/>
      <c r="J1036" s="60"/>
      <c r="K1036" s="60"/>
      <c r="L1036" s="60"/>
      <c r="M1036" s="60"/>
      <c r="N1036" s="60"/>
      <c r="O1036" s="60"/>
      <c r="P1036" s="60"/>
      <c r="Q1036" s="60"/>
      <c r="R1036" s="60"/>
      <c r="S1036" s="60"/>
      <c r="T1036" s="60"/>
      <c r="U1036" s="60"/>
      <c r="V1036" s="60"/>
      <c r="W1036" s="60"/>
      <c r="X1036" s="60"/>
      <c r="Y1036" s="60"/>
      <c r="Z1036" s="60"/>
    </row>
    <row r="1037">
      <c r="A1037" s="149"/>
      <c r="B1037" s="150"/>
      <c r="C1037" s="151"/>
      <c r="D1037" s="140"/>
      <c r="E1037" s="152"/>
      <c r="F1037" s="60"/>
      <c r="G1037" s="60"/>
      <c r="H1037" s="60"/>
      <c r="I1037" s="60"/>
      <c r="J1037" s="60"/>
      <c r="K1037" s="60"/>
      <c r="L1037" s="60"/>
      <c r="M1037" s="60"/>
      <c r="N1037" s="60"/>
      <c r="O1037" s="60"/>
      <c r="P1037" s="60"/>
      <c r="Q1037" s="60"/>
      <c r="R1037" s="60"/>
      <c r="S1037" s="60"/>
      <c r="T1037" s="60"/>
      <c r="U1037" s="60"/>
      <c r="V1037" s="60"/>
      <c r="W1037" s="60"/>
      <c r="X1037" s="60"/>
      <c r="Y1037" s="60"/>
      <c r="Z1037" s="60"/>
    </row>
    <row r="1038">
      <c r="A1038" s="149"/>
      <c r="B1038" s="150"/>
      <c r="C1038" s="151"/>
      <c r="D1038" s="140"/>
      <c r="E1038" s="152"/>
      <c r="F1038" s="60"/>
      <c r="G1038" s="60"/>
      <c r="H1038" s="60"/>
      <c r="I1038" s="60"/>
      <c r="J1038" s="60"/>
      <c r="K1038" s="60"/>
      <c r="L1038" s="60"/>
      <c r="M1038" s="60"/>
      <c r="N1038" s="60"/>
      <c r="O1038" s="60"/>
      <c r="P1038" s="60"/>
      <c r="Q1038" s="60"/>
      <c r="R1038" s="60"/>
      <c r="S1038" s="60"/>
      <c r="T1038" s="60"/>
      <c r="U1038" s="60"/>
      <c r="V1038" s="60"/>
      <c r="W1038" s="60"/>
      <c r="X1038" s="60"/>
      <c r="Y1038" s="60"/>
      <c r="Z1038" s="60"/>
    </row>
    <row r="1039">
      <c r="A1039" s="149"/>
      <c r="B1039" s="150"/>
      <c r="C1039" s="151"/>
      <c r="D1039" s="140"/>
      <c r="E1039" s="152"/>
      <c r="F1039" s="60"/>
      <c r="G1039" s="60"/>
      <c r="H1039" s="60"/>
      <c r="I1039" s="60"/>
      <c r="J1039" s="60"/>
      <c r="K1039" s="60"/>
      <c r="L1039" s="60"/>
      <c r="M1039" s="60"/>
      <c r="N1039" s="60"/>
      <c r="O1039" s="60"/>
      <c r="P1039" s="60"/>
      <c r="Q1039" s="60"/>
      <c r="R1039" s="60"/>
      <c r="S1039" s="60"/>
      <c r="T1039" s="60"/>
      <c r="U1039" s="60"/>
      <c r="V1039" s="60"/>
      <c r="W1039" s="60"/>
      <c r="X1039" s="60"/>
      <c r="Y1039" s="60"/>
      <c r="Z1039" s="60"/>
    </row>
    <row r="1040">
      <c r="A1040" s="149"/>
      <c r="B1040" s="150"/>
      <c r="C1040" s="151"/>
      <c r="D1040" s="140"/>
      <c r="E1040" s="152"/>
      <c r="F1040" s="60"/>
      <c r="G1040" s="60"/>
      <c r="H1040" s="60"/>
      <c r="I1040" s="60"/>
      <c r="J1040" s="60"/>
      <c r="K1040" s="60"/>
      <c r="L1040" s="60"/>
      <c r="M1040" s="60"/>
      <c r="N1040" s="60"/>
      <c r="O1040" s="60"/>
      <c r="P1040" s="60"/>
      <c r="Q1040" s="60"/>
      <c r="R1040" s="60"/>
      <c r="S1040" s="60"/>
      <c r="T1040" s="60"/>
      <c r="U1040" s="60"/>
      <c r="V1040" s="60"/>
      <c r="W1040" s="60"/>
      <c r="X1040" s="60"/>
      <c r="Y1040" s="60"/>
      <c r="Z1040" s="60"/>
    </row>
    <row r="1041">
      <c r="A1041" s="149"/>
      <c r="B1041" s="150"/>
      <c r="C1041" s="151"/>
      <c r="D1041" s="140"/>
      <c r="E1041" s="152"/>
      <c r="F1041" s="60"/>
      <c r="G1041" s="60"/>
      <c r="H1041" s="60"/>
      <c r="I1041" s="60"/>
      <c r="J1041" s="60"/>
      <c r="K1041" s="60"/>
      <c r="L1041" s="60"/>
      <c r="M1041" s="60"/>
      <c r="N1041" s="60"/>
      <c r="O1041" s="60"/>
      <c r="P1041" s="60"/>
      <c r="Q1041" s="60"/>
      <c r="R1041" s="60"/>
      <c r="S1041" s="60"/>
      <c r="T1041" s="60"/>
      <c r="U1041" s="60"/>
      <c r="V1041" s="60"/>
      <c r="W1041" s="60"/>
      <c r="X1041" s="60"/>
      <c r="Y1041" s="60"/>
      <c r="Z1041" s="60"/>
    </row>
    <row r="1042">
      <c r="A1042" s="149"/>
      <c r="B1042" s="150"/>
      <c r="C1042" s="151"/>
      <c r="D1042" s="140"/>
      <c r="E1042" s="152"/>
      <c r="F1042" s="60"/>
      <c r="G1042" s="60"/>
      <c r="H1042" s="60"/>
      <c r="I1042" s="60"/>
      <c r="J1042" s="60"/>
      <c r="K1042" s="60"/>
      <c r="L1042" s="60"/>
      <c r="M1042" s="60"/>
      <c r="N1042" s="60"/>
      <c r="O1042" s="60"/>
      <c r="P1042" s="60"/>
      <c r="Q1042" s="60"/>
      <c r="R1042" s="60"/>
      <c r="S1042" s="60"/>
      <c r="T1042" s="60"/>
      <c r="U1042" s="60"/>
      <c r="V1042" s="60"/>
      <c r="W1042" s="60"/>
      <c r="X1042" s="60"/>
      <c r="Y1042" s="60"/>
      <c r="Z1042" s="60"/>
    </row>
    <row r="1043">
      <c r="A1043" s="149"/>
      <c r="B1043" s="150"/>
      <c r="C1043" s="151"/>
      <c r="D1043" s="140"/>
      <c r="E1043" s="152"/>
      <c r="F1043" s="60"/>
      <c r="G1043" s="60"/>
      <c r="H1043" s="60"/>
      <c r="I1043" s="60"/>
      <c r="J1043" s="60"/>
      <c r="K1043" s="60"/>
      <c r="L1043" s="60"/>
      <c r="M1043" s="60"/>
      <c r="N1043" s="60"/>
      <c r="O1043" s="60"/>
      <c r="P1043" s="60"/>
      <c r="Q1043" s="60"/>
      <c r="R1043" s="60"/>
      <c r="S1043" s="60"/>
      <c r="T1043" s="60"/>
      <c r="U1043" s="60"/>
      <c r="V1043" s="60"/>
      <c r="W1043" s="60"/>
      <c r="X1043" s="60"/>
      <c r="Y1043" s="60"/>
      <c r="Z1043" s="60"/>
    </row>
    <row r="1044">
      <c r="A1044" s="149"/>
      <c r="B1044" s="150"/>
      <c r="C1044" s="151"/>
      <c r="D1044" s="140"/>
      <c r="E1044" s="152"/>
      <c r="F1044" s="60"/>
      <c r="G1044" s="60"/>
      <c r="H1044" s="60"/>
      <c r="I1044" s="60"/>
      <c r="J1044" s="60"/>
      <c r="K1044" s="60"/>
      <c r="L1044" s="60"/>
      <c r="M1044" s="60"/>
      <c r="N1044" s="60"/>
      <c r="O1044" s="60"/>
      <c r="P1044" s="60"/>
      <c r="Q1044" s="60"/>
      <c r="R1044" s="60"/>
      <c r="S1044" s="60"/>
      <c r="T1044" s="60"/>
      <c r="U1044" s="60"/>
      <c r="V1044" s="60"/>
      <c r="W1044" s="60"/>
      <c r="X1044" s="60"/>
      <c r="Y1044" s="60"/>
      <c r="Z1044" s="60"/>
    </row>
    <row r="1045">
      <c r="A1045" s="149"/>
      <c r="B1045" s="150"/>
      <c r="C1045" s="151"/>
      <c r="D1045" s="140"/>
      <c r="E1045" s="152"/>
      <c r="F1045" s="60"/>
      <c r="G1045" s="60"/>
      <c r="H1045" s="60"/>
      <c r="I1045" s="60"/>
      <c r="J1045" s="60"/>
      <c r="K1045" s="60"/>
      <c r="L1045" s="60"/>
      <c r="M1045" s="60"/>
      <c r="N1045" s="60"/>
      <c r="O1045" s="60"/>
      <c r="P1045" s="60"/>
      <c r="Q1045" s="60"/>
      <c r="R1045" s="60"/>
      <c r="S1045" s="60"/>
      <c r="T1045" s="60"/>
      <c r="U1045" s="60"/>
      <c r="V1045" s="60"/>
      <c r="W1045" s="60"/>
      <c r="X1045" s="60"/>
      <c r="Y1045" s="60"/>
      <c r="Z1045" s="60"/>
    </row>
    <row r="1046">
      <c r="A1046" s="149"/>
      <c r="B1046" s="150"/>
      <c r="C1046" s="151"/>
      <c r="D1046" s="140"/>
      <c r="E1046" s="152"/>
      <c r="F1046" s="60"/>
      <c r="G1046" s="60"/>
      <c r="H1046" s="60"/>
      <c r="I1046" s="60"/>
      <c r="J1046" s="60"/>
      <c r="K1046" s="60"/>
      <c r="L1046" s="60"/>
      <c r="M1046" s="60"/>
      <c r="N1046" s="60"/>
      <c r="O1046" s="60"/>
      <c r="P1046" s="60"/>
      <c r="Q1046" s="60"/>
      <c r="R1046" s="60"/>
      <c r="S1046" s="60"/>
      <c r="T1046" s="60"/>
      <c r="U1046" s="60"/>
      <c r="V1046" s="60"/>
      <c r="W1046" s="60"/>
      <c r="X1046" s="60"/>
      <c r="Y1046" s="60"/>
      <c r="Z1046" s="60"/>
    </row>
    <row r="1047">
      <c r="A1047" s="149"/>
      <c r="B1047" s="150"/>
      <c r="C1047" s="151"/>
      <c r="D1047" s="140"/>
      <c r="E1047" s="152"/>
      <c r="F1047" s="60"/>
      <c r="G1047" s="60"/>
      <c r="H1047" s="60"/>
      <c r="I1047" s="60"/>
      <c r="J1047" s="60"/>
      <c r="K1047" s="60"/>
      <c r="L1047" s="60"/>
      <c r="M1047" s="60"/>
      <c r="N1047" s="60"/>
      <c r="O1047" s="60"/>
      <c r="P1047" s="60"/>
      <c r="Q1047" s="60"/>
      <c r="R1047" s="60"/>
      <c r="S1047" s="60"/>
      <c r="T1047" s="60"/>
      <c r="U1047" s="60"/>
      <c r="V1047" s="60"/>
      <c r="W1047" s="60"/>
      <c r="X1047" s="60"/>
      <c r="Y1047" s="60"/>
      <c r="Z1047" s="60"/>
    </row>
    <row r="1048">
      <c r="A1048" s="149"/>
      <c r="B1048" s="150"/>
      <c r="C1048" s="151"/>
      <c r="D1048" s="140"/>
      <c r="E1048" s="152"/>
      <c r="F1048" s="60"/>
      <c r="G1048" s="60"/>
      <c r="H1048" s="60"/>
      <c r="I1048" s="60"/>
      <c r="J1048" s="60"/>
      <c r="K1048" s="60"/>
      <c r="L1048" s="60"/>
      <c r="M1048" s="60"/>
      <c r="N1048" s="60"/>
      <c r="O1048" s="60"/>
      <c r="P1048" s="60"/>
      <c r="Q1048" s="60"/>
      <c r="R1048" s="60"/>
      <c r="S1048" s="60"/>
      <c r="T1048" s="60"/>
      <c r="U1048" s="60"/>
      <c r="V1048" s="60"/>
      <c r="W1048" s="60"/>
      <c r="X1048" s="60"/>
      <c r="Y1048" s="60"/>
      <c r="Z1048" s="60"/>
    </row>
    <row r="1049">
      <c r="A1049" s="149"/>
      <c r="B1049" s="150"/>
      <c r="C1049" s="151"/>
      <c r="D1049" s="140"/>
      <c r="E1049" s="152"/>
      <c r="F1049" s="60"/>
      <c r="G1049" s="60"/>
      <c r="H1049" s="60"/>
      <c r="I1049" s="60"/>
      <c r="J1049" s="60"/>
      <c r="K1049" s="60"/>
      <c r="L1049" s="60"/>
      <c r="M1049" s="60"/>
      <c r="N1049" s="60"/>
      <c r="O1049" s="60"/>
      <c r="P1049" s="60"/>
      <c r="Q1049" s="60"/>
      <c r="R1049" s="60"/>
      <c r="S1049" s="60"/>
      <c r="T1049" s="60"/>
      <c r="U1049" s="60"/>
      <c r="V1049" s="60"/>
      <c r="W1049" s="60"/>
      <c r="X1049" s="60"/>
      <c r="Y1049" s="60"/>
      <c r="Z1049" s="60"/>
    </row>
    <row r="1050">
      <c r="A1050" s="149"/>
      <c r="B1050" s="150"/>
      <c r="C1050" s="151"/>
      <c r="D1050" s="140"/>
      <c r="E1050" s="152"/>
      <c r="F1050" s="60"/>
      <c r="G1050" s="60"/>
      <c r="H1050" s="60"/>
      <c r="I1050" s="60"/>
      <c r="J1050" s="60"/>
      <c r="K1050" s="60"/>
      <c r="L1050" s="60"/>
      <c r="M1050" s="60"/>
      <c r="N1050" s="60"/>
      <c r="O1050" s="60"/>
      <c r="P1050" s="60"/>
      <c r="Q1050" s="60"/>
      <c r="R1050" s="60"/>
      <c r="S1050" s="60"/>
      <c r="T1050" s="60"/>
      <c r="U1050" s="60"/>
      <c r="V1050" s="60"/>
      <c r="W1050" s="60"/>
      <c r="X1050" s="60"/>
      <c r="Y1050" s="60"/>
      <c r="Z1050" s="60"/>
    </row>
    <row r="1051">
      <c r="A1051" s="149"/>
      <c r="B1051" s="150"/>
      <c r="C1051" s="151"/>
      <c r="D1051" s="140"/>
      <c r="E1051" s="152"/>
      <c r="F1051" s="60"/>
      <c r="G1051" s="60"/>
      <c r="H1051" s="60"/>
      <c r="I1051" s="60"/>
      <c r="J1051" s="60"/>
      <c r="K1051" s="60"/>
      <c r="L1051" s="60"/>
      <c r="M1051" s="60"/>
      <c r="N1051" s="60"/>
      <c r="O1051" s="60"/>
      <c r="P1051" s="60"/>
      <c r="Q1051" s="60"/>
      <c r="R1051" s="60"/>
      <c r="S1051" s="60"/>
      <c r="T1051" s="60"/>
      <c r="U1051" s="60"/>
      <c r="V1051" s="60"/>
      <c r="W1051" s="60"/>
      <c r="X1051" s="60"/>
      <c r="Y1051" s="60"/>
      <c r="Z1051" s="60"/>
    </row>
    <row r="1052">
      <c r="A1052" s="149"/>
      <c r="B1052" s="150"/>
      <c r="C1052" s="151"/>
      <c r="D1052" s="140"/>
      <c r="E1052" s="152"/>
      <c r="F1052" s="60"/>
      <c r="G1052" s="60"/>
      <c r="H1052" s="60"/>
      <c r="I1052" s="60"/>
      <c r="J1052" s="60"/>
      <c r="K1052" s="60"/>
      <c r="L1052" s="60"/>
      <c r="M1052" s="60"/>
      <c r="N1052" s="60"/>
      <c r="O1052" s="60"/>
      <c r="P1052" s="60"/>
      <c r="Q1052" s="60"/>
      <c r="R1052" s="60"/>
      <c r="S1052" s="60"/>
      <c r="T1052" s="60"/>
      <c r="U1052" s="60"/>
      <c r="V1052" s="60"/>
      <c r="W1052" s="60"/>
      <c r="X1052" s="60"/>
      <c r="Y1052" s="60"/>
      <c r="Z1052" s="60"/>
    </row>
    <row r="1053">
      <c r="A1053" s="149"/>
      <c r="B1053" s="150"/>
      <c r="C1053" s="151"/>
      <c r="D1053" s="140"/>
      <c r="E1053" s="152"/>
      <c r="F1053" s="60"/>
      <c r="G1053" s="60"/>
      <c r="H1053" s="60"/>
      <c r="I1053" s="60"/>
      <c r="J1053" s="60"/>
      <c r="K1053" s="60"/>
      <c r="L1053" s="60"/>
      <c r="M1053" s="60"/>
      <c r="N1053" s="60"/>
      <c r="O1053" s="60"/>
      <c r="P1053" s="60"/>
      <c r="Q1053" s="60"/>
      <c r="R1053" s="60"/>
      <c r="S1053" s="60"/>
      <c r="T1053" s="60"/>
      <c r="U1053" s="60"/>
      <c r="V1053" s="60"/>
      <c r="W1053" s="60"/>
      <c r="X1053" s="60"/>
      <c r="Y1053" s="60"/>
      <c r="Z1053" s="60"/>
    </row>
    <row r="1054">
      <c r="A1054" s="149"/>
      <c r="B1054" s="150"/>
      <c r="C1054" s="151"/>
      <c r="D1054" s="140"/>
      <c r="E1054" s="152"/>
      <c r="F1054" s="60"/>
      <c r="G1054" s="60"/>
      <c r="H1054" s="60"/>
      <c r="I1054" s="60"/>
      <c r="J1054" s="60"/>
      <c r="K1054" s="60"/>
      <c r="L1054" s="60"/>
      <c r="M1054" s="60"/>
      <c r="N1054" s="60"/>
      <c r="O1054" s="60"/>
      <c r="P1054" s="60"/>
      <c r="Q1054" s="60"/>
      <c r="R1054" s="60"/>
      <c r="S1054" s="60"/>
      <c r="T1054" s="60"/>
      <c r="U1054" s="60"/>
      <c r="V1054" s="60"/>
      <c r="W1054" s="60"/>
      <c r="X1054" s="60"/>
      <c r="Y1054" s="60"/>
      <c r="Z1054" s="60"/>
    </row>
    <row r="1055">
      <c r="A1055" s="149"/>
      <c r="B1055" s="150"/>
      <c r="C1055" s="151"/>
      <c r="D1055" s="140"/>
      <c r="E1055" s="152"/>
      <c r="F1055" s="60"/>
      <c r="G1055" s="60"/>
      <c r="H1055" s="60"/>
      <c r="I1055" s="60"/>
      <c r="J1055" s="60"/>
      <c r="K1055" s="60"/>
      <c r="L1055" s="60"/>
      <c r="M1055" s="60"/>
      <c r="N1055" s="60"/>
      <c r="O1055" s="60"/>
      <c r="P1055" s="60"/>
      <c r="Q1055" s="60"/>
      <c r="R1055" s="60"/>
      <c r="S1055" s="60"/>
      <c r="T1055" s="60"/>
      <c r="U1055" s="60"/>
      <c r="V1055" s="60"/>
      <c r="W1055" s="60"/>
      <c r="X1055" s="60"/>
      <c r="Y1055" s="60"/>
      <c r="Z1055" s="60"/>
    </row>
    <row r="1056">
      <c r="A1056" s="149"/>
      <c r="B1056" s="150"/>
      <c r="C1056" s="151"/>
      <c r="D1056" s="140"/>
      <c r="E1056" s="152"/>
      <c r="F1056" s="60"/>
      <c r="G1056" s="60"/>
      <c r="H1056" s="60"/>
      <c r="I1056" s="60"/>
      <c r="J1056" s="60"/>
      <c r="K1056" s="60"/>
      <c r="L1056" s="60"/>
      <c r="M1056" s="60"/>
      <c r="N1056" s="60"/>
      <c r="O1056" s="60"/>
      <c r="P1056" s="60"/>
      <c r="Q1056" s="60"/>
      <c r="R1056" s="60"/>
      <c r="S1056" s="60"/>
      <c r="T1056" s="60"/>
      <c r="U1056" s="60"/>
      <c r="V1056" s="60"/>
      <c r="W1056" s="60"/>
      <c r="X1056" s="60"/>
      <c r="Y1056" s="60"/>
      <c r="Z1056" s="60"/>
    </row>
    <row r="1057">
      <c r="A1057" s="149"/>
      <c r="B1057" s="150"/>
      <c r="C1057" s="151"/>
      <c r="D1057" s="140"/>
      <c r="E1057" s="152"/>
      <c r="F1057" s="60"/>
      <c r="G1057" s="60"/>
      <c r="H1057" s="60"/>
      <c r="I1057" s="60"/>
      <c r="J1057" s="60"/>
      <c r="K1057" s="60"/>
      <c r="L1057" s="60"/>
      <c r="M1057" s="60"/>
      <c r="N1057" s="60"/>
      <c r="O1057" s="60"/>
      <c r="P1057" s="60"/>
      <c r="Q1057" s="60"/>
      <c r="R1057" s="60"/>
      <c r="S1057" s="60"/>
      <c r="T1057" s="60"/>
      <c r="U1057" s="60"/>
      <c r="V1057" s="60"/>
      <c r="W1057" s="60"/>
      <c r="X1057" s="60"/>
      <c r="Y1057" s="60"/>
      <c r="Z1057" s="60"/>
    </row>
    <row r="1058">
      <c r="A1058" s="149"/>
      <c r="B1058" s="150"/>
      <c r="C1058" s="151"/>
      <c r="D1058" s="140"/>
      <c r="E1058" s="152"/>
      <c r="F1058" s="60"/>
      <c r="G1058" s="60"/>
      <c r="H1058" s="60"/>
      <c r="I1058" s="60"/>
      <c r="J1058" s="60"/>
      <c r="K1058" s="60"/>
      <c r="L1058" s="60"/>
      <c r="M1058" s="60"/>
      <c r="N1058" s="60"/>
      <c r="O1058" s="60"/>
      <c r="P1058" s="60"/>
      <c r="Q1058" s="60"/>
      <c r="R1058" s="60"/>
      <c r="S1058" s="60"/>
      <c r="T1058" s="60"/>
      <c r="U1058" s="60"/>
      <c r="V1058" s="60"/>
      <c r="W1058" s="60"/>
      <c r="X1058" s="60"/>
      <c r="Y1058" s="60"/>
      <c r="Z1058" s="60"/>
    </row>
    <row r="1059">
      <c r="A1059" s="149"/>
      <c r="B1059" s="150"/>
      <c r="C1059" s="151"/>
      <c r="D1059" s="140"/>
      <c r="E1059" s="152"/>
      <c r="F1059" s="60"/>
      <c r="G1059" s="60"/>
      <c r="H1059" s="60"/>
      <c r="I1059" s="60"/>
      <c r="J1059" s="60"/>
      <c r="K1059" s="60"/>
      <c r="L1059" s="60"/>
      <c r="M1059" s="60"/>
      <c r="N1059" s="60"/>
      <c r="O1059" s="60"/>
      <c r="P1059" s="60"/>
      <c r="Q1059" s="60"/>
      <c r="R1059" s="60"/>
      <c r="S1059" s="60"/>
      <c r="T1059" s="60"/>
      <c r="U1059" s="60"/>
      <c r="V1059" s="60"/>
      <c r="W1059" s="60"/>
      <c r="X1059" s="60"/>
      <c r="Y1059" s="60"/>
      <c r="Z1059" s="60"/>
    </row>
    <row r="1060">
      <c r="A1060" s="149"/>
      <c r="B1060" s="150"/>
      <c r="C1060" s="151"/>
      <c r="D1060" s="140"/>
      <c r="E1060" s="152"/>
      <c r="F1060" s="60"/>
      <c r="G1060" s="60"/>
      <c r="H1060" s="60"/>
      <c r="I1060" s="60"/>
      <c r="J1060" s="60"/>
      <c r="K1060" s="60"/>
      <c r="L1060" s="60"/>
      <c r="M1060" s="60"/>
      <c r="N1060" s="60"/>
      <c r="O1060" s="60"/>
      <c r="P1060" s="60"/>
      <c r="Q1060" s="60"/>
      <c r="R1060" s="60"/>
      <c r="S1060" s="60"/>
      <c r="T1060" s="60"/>
      <c r="U1060" s="60"/>
      <c r="V1060" s="60"/>
      <c r="W1060" s="60"/>
      <c r="X1060" s="60"/>
      <c r="Y1060" s="60"/>
      <c r="Z1060" s="60"/>
    </row>
    <row r="1061">
      <c r="A1061" s="149"/>
      <c r="B1061" s="150"/>
      <c r="C1061" s="151"/>
      <c r="D1061" s="140"/>
      <c r="E1061" s="152"/>
      <c r="F1061" s="60"/>
      <c r="G1061" s="60"/>
      <c r="H1061" s="60"/>
      <c r="I1061" s="60"/>
      <c r="J1061" s="60"/>
      <c r="K1061" s="60"/>
      <c r="L1061" s="60"/>
      <c r="M1061" s="60"/>
      <c r="N1061" s="60"/>
      <c r="O1061" s="60"/>
      <c r="P1061" s="60"/>
      <c r="Q1061" s="60"/>
      <c r="R1061" s="60"/>
      <c r="S1061" s="60"/>
      <c r="T1061" s="60"/>
      <c r="U1061" s="60"/>
      <c r="V1061" s="60"/>
      <c r="W1061" s="60"/>
      <c r="X1061" s="60"/>
      <c r="Y1061" s="60"/>
      <c r="Z1061" s="60"/>
    </row>
    <row r="1062">
      <c r="A1062" s="149"/>
      <c r="B1062" s="150"/>
      <c r="C1062" s="151"/>
      <c r="D1062" s="140"/>
      <c r="E1062" s="152"/>
      <c r="F1062" s="60"/>
      <c r="G1062" s="60"/>
      <c r="H1062" s="60"/>
      <c r="I1062" s="60"/>
      <c r="J1062" s="60"/>
      <c r="K1062" s="60"/>
      <c r="L1062" s="60"/>
      <c r="M1062" s="60"/>
      <c r="N1062" s="60"/>
      <c r="O1062" s="60"/>
      <c r="P1062" s="60"/>
      <c r="Q1062" s="60"/>
      <c r="R1062" s="60"/>
      <c r="S1062" s="60"/>
      <c r="T1062" s="60"/>
      <c r="U1062" s="60"/>
      <c r="V1062" s="60"/>
      <c r="W1062" s="60"/>
      <c r="X1062" s="60"/>
      <c r="Y1062" s="60"/>
      <c r="Z1062" s="60"/>
    </row>
    <row r="1063">
      <c r="A1063" s="149"/>
      <c r="B1063" s="150"/>
      <c r="C1063" s="151"/>
      <c r="D1063" s="140"/>
      <c r="E1063" s="152"/>
      <c r="F1063" s="60"/>
      <c r="G1063" s="60"/>
      <c r="H1063" s="60"/>
      <c r="I1063" s="60"/>
      <c r="J1063" s="60"/>
      <c r="K1063" s="60"/>
      <c r="L1063" s="60"/>
      <c r="M1063" s="60"/>
      <c r="N1063" s="60"/>
      <c r="O1063" s="60"/>
      <c r="P1063" s="60"/>
      <c r="Q1063" s="60"/>
      <c r="R1063" s="60"/>
      <c r="S1063" s="60"/>
      <c r="T1063" s="60"/>
      <c r="U1063" s="60"/>
      <c r="V1063" s="60"/>
      <c r="W1063" s="60"/>
      <c r="X1063" s="60"/>
      <c r="Y1063" s="60"/>
      <c r="Z1063" s="60"/>
    </row>
    <row r="1064">
      <c r="A1064" s="149"/>
      <c r="B1064" s="150"/>
      <c r="C1064" s="151"/>
      <c r="D1064" s="140"/>
      <c r="E1064" s="152"/>
      <c r="F1064" s="60"/>
      <c r="G1064" s="60"/>
      <c r="H1064" s="60"/>
      <c r="I1064" s="60"/>
      <c r="J1064" s="60"/>
      <c r="K1064" s="60"/>
      <c r="L1064" s="60"/>
      <c r="M1064" s="60"/>
      <c r="N1064" s="60"/>
      <c r="O1064" s="60"/>
      <c r="P1064" s="60"/>
      <c r="Q1064" s="60"/>
      <c r="R1064" s="60"/>
      <c r="S1064" s="60"/>
      <c r="T1064" s="60"/>
      <c r="U1064" s="60"/>
      <c r="V1064" s="60"/>
      <c r="W1064" s="60"/>
      <c r="X1064" s="60"/>
      <c r="Y1064" s="60"/>
      <c r="Z1064" s="60"/>
    </row>
    <row r="1065">
      <c r="A1065" s="149"/>
      <c r="B1065" s="150"/>
      <c r="C1065" s="151"/>
      <c r="D1065" s="140"/>
      <c r="E1065" s="152"/>
      <c r="F1065" s="60"/>
      <c r="G1065" s="60"/>
      <c r="H1065" s="60"/>
      <c r="I1065" s="60"/>
      <c r="J1065" s="60"/>
      <c r="K1065" s="60"/>
      <c r="L1065" s="60"/>
      <c r="M1065" s="60"/>
      <c r="N1065" s="60"/>
      <c r="O1065" s="60"/>
      <c r="P1065" s="60"/>
      <c r="Q1065" s="60"/>
      <c r="R1065" s="60"/>
      <c r="S1065" s="60"/>
      <c r="T1065" s="60"/>
      <c r="U1065" s="60"/>
      <c r="V1065" s="60"/>
      <c r="W1065" s="60"/>
      <c r="X1065" s="60"/>
      <c r="Y1065" s="60"/>
      <c r="Z1065" s="60"/>
    </row>
    <row r="1066">
      <c r="A1066" s="149"/>
      <c r="B1066" s="150"/>
      <c r="C1066" s="151"/>
      <c r="D1066" s="140"/>
      <c r="E1066" s="152"/>
      <c r="F1066" s="60"/>
      <c r="G1066" s="60"/>
      <c r="H1066" s="60"/>
      <c r="I1066" s="60"/>
      <c r="J1066" s="60"/>
      <c r="K1066" s="60"/>
      <c r="L1066" s="60"/>
      <c r="M1066" s="60"/>
      <c r="N1066" s="60"/>
      <c r="O1066" s="60"/>
      <c r="P1066" s="60"/>
      <c r="Q1066" s="60"/>
      <c r="R1066" s="60"/>
      <c r="S1066" s="60"/>
      <c r="T1066" s="60"/>
      <c r="U1066" s="60"/>
      <c r="V1066" s="60"/>
      <c r="W1066" s="60"/>
      <c r="X1066" s="60"/>
      <c r="Y1066" s="60"/>
      <c r="Z1066" s="60"/>
    </row>
    <row r="1067">
      <c r="A1067" s="149"/>
      <c r="B1067" s="150"/>
      <c r="C1067" s="151"/>
      <c r="D1067" s="140"/>
      <c r="E1067" s="152"/>
      <c r="F1067" s="60"/>
      <c r="G1067" s="60"/>
      <c r="H1067" s="60"/>
      <c r="I1067" s="60"/>
      <c r="J1067" s="60"/>
      <c r="K1067" s="60"/>
      <c r="L1067" s="60"/>
      <c r="M1067" s="60"/>
      <c r="N1067" s="60"/>
      <c r="O1067" s="60"/>
      <c r="P1067" s="60"/>
      <c r="Q1067" s="60"/>
      <c r="R1067" s="60"/>
      <c r="S1067" s="60"/>
      <c r="T1067" s="60"/>
      <c r="U1067" s="60"/>
      <c r="V1067" s="60"/>
      <c r="W1067" s="60"/>
      <c r="X1067" s="60"/>
      <c r="Y1067" s="60"/>
      <c r="Z1067" s="60"/>
    </row>
    <row r="1068">
      <c r="A1068" s="149"/>
      <c r="B1068" s="150"/>
      <c r="C1068" s="151"/>
      <c r="D1068" s="140"/>
      <c r="E1068" s="152"/>
      <c r="F1068" s="60"/>
      <c r="G1068" s="60"/>
      <c r="H1068" s="60"/>
      <c r="I1068" s="60"/>
      <c r="J1068" s="60"/>
      <c r="K1068" s="60"/>
      <c r="L1068" s="60"/>
      <c r="M1068" s="60"/>
      <c r="N1068" s="60"/>
      <c r="O1068" s="60"/>
      <c r="P1068" s="60"/>
      <c r="Q1068" s="60"/>
      <c r="R1068" s="60"/>
      <c r="S1068" s="60"/>
      <c r="T1068" s="60"/>
      <c r="U1068" s="60"/>
      <c r="V1068" s="60"/>
      <c r="W1068" s="60"/>
      <c r="X1068" s="60"/>
      <c r="Y1068" s="60"/>
      <c r="Z1068" s="60"/>
    </row>
    <row r="1069">
      <c r="A1069" s="149"/>
      <c r="B1069" s="150"/>
      <c r="C1069" s="151"/>
      <c r="D1069" s="140"/>
      <c r="E1069" s="152"/>
      <c r="F1069" s="60"/>
      <c r="G1069" s="60"/>
      <c r="H1069" s="60"/>
      <c r="I1069" s="60"/>
      <c r="J1069" s="60"/>
      <c r="K1069" s="60"/>
      <c r="L1069" s="60"/>
      <c r="M1069" s="60"/>
      <c r="N1069" s="60"/>
      <c r="O1069" s="60"/>
      <c r="P1069" s="60"/>
      <c r="Q1069" s="60"/>
      <c r="R1069" s="60"/>
      <c r="S1069" s="60"/>
      <c r="T1069" s="60"/>
      <c r="U1069" s="60"/>
      <c r="V1069" s="60"/>
      <c r="W1069" s="60"/>
      <c r="X1069" s="60"/>
      <c r="Y1069" s="60"/>
      <c r="Z1069" s="60"/>
    </row>
    <row r="1070">
      <c r="A1070" s="149"/>
      <c r="B1070" s="150"/>
      <c r="C1070" s="151"/>
      <c r="D1070" s="140"/>
      <c r="E1070" s="152"/>
      <c r="F1070" s="60"/>
      <c r="G1070" s="60"/>
      <c r="H1070" s="60"/>
      <c r="I1070" s="60"/>
      <c r="J1070" s="60"/>
      <c r="K1070" s="60"/>
      <c r="L1070" s="60"/>
      <c r="M1070" s="60"/>
      <c r="N1070" s="60"/>
      <c r="O1070" s="60"/>
      <c r="P1070" s="60"/>
      <c r="Q1070" s="60"/>
      <c r="R1070" s="60"/>
      <c r="S1070" s="60"/>
      <c r="T1070" s="60"/>
      <c r="U1070" s="60"/>
      <c r="V1070" s="60"/>
      <c r="W1070" s="60"/>
      <c r="X1070" s="60"/>
      <c r="Y1070" s="60"/>
      <c r="Z1070" s="60"/>
    </row>
    <row r="1071">
      <c r="A1071" s="149"/>
      <c r="B1071" s="150"/>
      <c r="C1071" s="151"/>
      <c r="D1071" s="140"/>
      <c r="E1071" s="152"/>
      <c r="F1071" s="60"/>
      <c r="G1071" s="60"/>
      <c r="H1071" s="60"/>
      <c r="I1071" s="60"/>
      <c r="J1071" s="60"/>
      <c r="K1071" s="60"/>
      <c r="L1071" s="60"/>
      <c r="M1071" s="60"/>
      <c r="N1071" s="60"/>
      <c r="O1071" s="60"/>
      <c r="P1071" s="60"/>
      <c r="Q1071" s="60"/>
      <c r="R1071" s="60"/>
      <c r="S1071" s="60"/>
      <c r="T1071" s="60"/>
      <c r="U1071" s="60"/>
      <c r="V1071" s="60"/>
      <c r="W1071" s="60"/>
      <c r="X1071" s="60"/>
      <c r="Y1071" s="60"/>
      <c r="Z1071" s="60"/>
    </row>
    <row r="1072">
      <c r="A1072" s="149"/>
      <c r="B1072" s="150"/>
      <c r="C1072" s="151"/>
      <c r="D1072" s="140"/>
      <c r="E1072" s="152"/>
      <c r="F1072" s="60"/>
      <c r="G1072" s="60"/>
      <c r="H1072" s="60"/>
      <c r="I1072" s="60"/>
      <c r="J1072" s="60"/>
      <c r="K1072" s="60"/>
      <c r="L1072" s="60"/>
      <c r="M1072" s="60"/>
      <c r="N1072" s="60"/>
      <c r="O1072" s="60"/>
      <c r="P1072" s="60"/>
      <c r="Q1072" s="60"/>
      <c r="R1072" s="60"/>
      <c r="S1072" s="60"/>
      <c r="T1072" s="60"/>
      <c r="U1072" s="60"/>
      <c r="V1072" s="60"/>
      <c r="W1072" s="60"/>
      <c r="X1072" s="60"/>
      <c r="Y1072" s="60"/>
      <c r="Z1072" s="60"/>
    </row>
    <row r="1073">
      <c r="A1073" s="149"/>
      <c r="B1073" s="150"/>
      <c r="C1073" s="151"/>
      <c r="D1073" s="140"/>
      <c r="E1073" s="152"/>
      <c r="F1073" s="60"/>
      <c r="G1073" s="60"/>
      <c r="H1073" s="60"/>
      <c r="I1073" s="60"/>
      <c r="J1073" s="60"/>
      <c r="K1073" s="60"/>
      <c r="L1073" s="60"/>
      <c r="M1073" s="60"/>
      <c r="N1073" s="60"/>
      <c r="O1073" s="60"/>
      <c r="P1073" s="60"/>
      <c r="Q1073" s="60"/>
      <c r="R1073" s="60"/>
      <c r="S1073" s="60"/>
      <c r="T1073" s="60"/>
      <c r="U1073" s="60"/>
      <c r="V1073" s="60"/>
      <c r="W1073" s="60"/>
      <c r="X1073" s="60"/>
      <c r="Y1073" s="60"/>
      <c r="Z1073" s="60"/>
    </row>
    <row r="1074">
      <c r="A1074" s="149"/>
      <c r="B1074" s="150"/>
      <c r="C1074" s="151"/>
      <c r="D1074" s="140"/>
      <c r="E1074" s="152"/>
      <c r="F1074" s="60"/>
      <c r="G1074" s="60"/>
      <c r="H1074" s="60"/>
      <c r="I1074" s="60"/>
      <c r="J1074" s="60"/>
      <c r="K1074" s="60"/>
      <c r="L1074" s="60"/>
      <c r="M1074" s="60"/>
      <c r="N1074" s="60"/>
      <c r="O1074" s="60"/>
      <c r="P1074" s="60"/>
      <c r="Q1074" s="60"/>
      <c r="R1074" s="60"/>
      <c r="S1074" s="60"/>
      <c r="T1074" s="60"/>
      <c r="U1074" s="60"/>
      <c r="V1074" s="60"/>
      <c r="W1074" s="60"/>
      <c r="X1074" s="60"/>
      <c r="Y1074" s="60"/>
      <c r="Z1074" s="60"/>
    </row>
    <row r="1075">
      <c r="A1075" s="149"/>
      <c r="B1075" s="150"/>
      <c r="C1075" s="151"/>
      <c r="D1075" s="140"/>
      <c r="E1075" s="152"/>
      <c r="F1075" s="60"/>
      <c r="G1075" s="60"/>
      <c r="H1075" s="60"/>
      <c r="I1075" s="60"/>
      <c r="J1075" s="60"/>
      <c r="K1075" s="60"/>
      <c r="L1075" s="60"/>
      <c r="M1075" s="60"/>
      <c r="N1075" s="60"/>
      <c r="O1075" s="60"/>
      <c r="P1075" s="60"/>
      <c r="Q1075" s="60"/>
      <c r="R1075" s="60"/>
      <c r="S1075" s="60"/>
      <c r="T1075" s="60"/>
      <c r="U1075" s="60"/>
      <c r="V1075" s="60"/>
      <c r="W1075" s="60"/>
      <c r="X1075" s="60"/>
      <c r="Y1075" s="60"/>
      <c r="Z1075" s="60"/>
    </row>
    <row r="1076">
      <c r="A1076" s="149"/>
      <c r="B1076" s="150"/>
      <c r="C1076" s="151"/>
      <c r="D1076" s="140"/>
      <c r="E1076" s="152"/>
      <c r="F1076" s="60"/>
      <c r="G1076" s="60"/>
      <c r="H1076" s="60"/>
      <c r="I1076" s="60"/>
      <c r="J1076" s="60"/>
      <c r="K1076" s="60"/>
      <c r="L1076" s="60"/>
      <c r="M1076" s="60"/>
      <c r="N1076" s="60"/>
      <c r="O1076" s="60"/>
      <c r="P1076" s="60"/>
      <c r="Q1076" s="60"/>
      <c r="R1076" s="60"/>
      <c r="S1076" s="60"/>
      <c r="T1076" s="60"/>
      <c r="U1076" s="60"/>
      <c r="V1076" s="60"/>
      <c r="W1076" s="60"/>
      <c r="X1076" s="60"/>
      <c r="Y1076" s="60"/>
      <c r="Z1076" s="60"/>
    </row>
    <row r="1077">
      <c r="A1077" s="149"/>
      <c r="B1077" s="150"/>
      <c r="C1077" s="151"/>
      <c r="D1077" s="140"/>
      <c r="E1077" s="152"/>
      <c r="F1077" s="60"/>
      <c r="G1077" s="60"/>
      <c r="H1077" s="60"/>
      <c r="I1077" s="60"/>
      <c r="J1077" s="60"/>
      <c r="K1077" s="60"/>
      <c r="L1077" s="60"/>
      <c r="M1077" s="60"/>
      <c r="N1077" s="60"/>
      <c r="O1077" s="60"/>
      <c r="P1077" s="60"/>
      <c r="Q1077" s="60"/>
      <c r="R1077" s="60"/>
      <c r="S1077" s="60"/>
      <c r="T1077" s="60"/>
      <c r="U1077" s="60"/>
      <c r="V1077" s="60"/>
      <c r="W1077" s="60"/>
      <c r="X1077" s="60"/>
      <c r="Y1077" s="60"/>
      <c r="Z1077" s="60"/>
    </row>
    <row r="1078">
      <c r="A1078" s="149"/>
      <c r="B1078" s="150"/>
      <c r="C1078" s="151"/>
      <c r="D1078" s="140"/>
      <c r="E1078" s="152"/>
      <c r="F1078" s="60"/>
      <c r="G1078" s="60"/>
      <c r="H1078" s="60"/>
      <c r="I1078" s="60"/>
      <c r="J1078" s="60"/>
      <c r="K1078" s="60"/>
      <c r="L1078" s="60"/>
      <c r="M1078" s="60"/>
      <c r="N1078" s="60"/>
      <c r="O1078" s="60"/>
      <c r="P1078" s="60"/>
      <c r="Q1078" s="60"/>
      <c r="R1078" s="60"/>
      <c r="S1078" s="60"/>
      <c r="T1078" s="60"/>
      <c r="U1078" s="60"/>
      <c r="V1078" s="60"/>
      <c r="W1078" s="60"/>
      <c r="X1078" s="60"/>
      <c r="Y1078" s="60"/>
      <c r="Z1078" s="60"/>
    </row>
    <row r="1079">
      <c r="A1079" s="149"/>
      <c r="B1079" s="150"/>
      <c r="C1079" s="151"/>
      <c r="D1079" s="140"/>
      <c r="E1079" s="152"/>
      <c r="F1079" s="60"/>
      <c r="G1079" s="60"/>
      <c r="H1079" s="60"/>
      <c r="I1079" s="60"/>
      <c r="J1079" s="60"/>
      <c r="K1079" s="60"/>
      <c r="L1079" s="60"/>
      <c r="M1079" s="60"/>
      <c r="N1079" s="60"/>
      <c r="O1079" s="60"/>
      <c r="P1079" s="60"/>
      <c r="Q1079" s="60"/>
      <c r="R1079" s="60"/>
      <c r="S1079" s="60"/>
      <c r="T1079" s="60"/>
      <c r="U1079" s="60"/>
      <c r="V1079" s="60"/>
      <c r="W1079" s="60"/>
      <c r="X1079" s="60"/>
      <c r="Y1079" s="60"/>
      <c r="Z1079" s="60"/>
    </row>
    <row r="1080">
      <c r="A1080" s="149"/>
      <c r="B1080" s="150"/>
      <c r="C1080" s="151"/>
      <c r="D1080" s="140"/>
      <c r="E1080" s="152"/>
      <c r="F1080" s="60"/>
      <c r="G1080" s="60"/>
      <c r="H1080" s="60"/>
      <c r="I1080" s="60"/>
      <c r="J1080" s="60"/>
      <c r="K1080" s="60"/>
      <c r="L1080" s="60"/>
      <c r="M1080" s="60"/>
      <c r="N1080" s="60"/>
      <c r="O1080" s="60"/>
      <c r="P1080" s="60"/>
      <c r="Q1080" s="60"/>
      <c r="R1080" s="60"/>
      <c r="S1080" s="60"/>
      <c r="T1080" s="60"/>
      <c r="U1080" s="60"/>
      <c r="V1080" s="60"/>
      <c r="W1080" s="60"/>
      <c r="X1080" s="60"/>
      <c r="Y1080" s="60"/>
      <c r="Z1080" s="60"/>
    </row>
    <row r="1081">
      <c r="A1081" s="149"/>
      <c r="B1081" s="150"/>
      <c r="C1081" s="151"/>
      <c r="D1081" s="140"/>
      <c r="E1081" s="152"/>
      <c r="F1081" s="60"/>
      <c r="G1081" s="60"/>
      <c r="H1081" s="60"/>
      <c r="I1081" s="60"/>
      <c r="J1081" s="60"/>
      <c r="K1081" s="60"/>
      <c r="L1081" s="60"/>
      <c r="M1081" s="60"/>
      <c r="N1081" s="60"/>
      <c r="O1081" s="60"/>
      <c r="P1081" s="60"/>
      <c r="Q1081" s="60"/>
      <c r="R1081" s="60"/>
      <c r="S1081" s="60"/>
      <c r="T1081" s="60"/>
      <c r="U1081" s="60"/>
      <c r="V1081" s="60"/>
      <c r="W1081" s="60"/>
      <c r="X1081" s="60"/>
      <c r="Y1081" s="60"/>
      <c r="Z1081" s="60"/>
    </row>
    <row r="1082">
      <c r="A1082" s="149"/>
      <c r="B1082" s="150"/>
      <c r="C1082" s="151"/>
      <c r="D1082" s="140"/>
      <c r="E1082" s="152"/>
      <c r="F1082" s="60"/>
      <c r="G1082" s="60"/>
      <c r="H1082" s="60"/>
      <c r="I1082" s="60"/>
      <c r="J1082" s="60"/>
      <c r="K1082" s="60"/>
      <c r="L1082" s="60"/>
      <c r="M1082" s="60"/>
      <c r="N1082" s="60"/>
      <c r="O1082" s="60"/>
      <c r="P1082" s="60"/>
      <c r="Q1082" s="60"/>
      <c r="R1082" s="60"/>
      <c r="S1082" s="60"/>
      <c r="T1082" s="60"/>
      <c r="U1082" s="60"/>
      <c r="V1082" s="60"/>
      <c r="W1082" s="60"/>
      <c r="X1082" s="60"/>
      <c r="Y1082" s="60"/>
      <c r="Z1082" s="60"/>
    </row>
    <row r="1083">
      <c r="A1083" s="149"/>
      <c r="B1083" s="150"/>
      <c r="C1083" s="151"/>
      <c r="D1083" s="140"/>
      <c r="E1083" s="152"/>
      <c r="F1083" s="60"/>
      <c r="G1083" s="60"/>
      <c r="H1083" s="60"/>
      <c r="I1083" s="60"/>
      <c r="J1083" s="60"/>
      <c r="K1083" s="60"/>
      <c r="L1083" s="60"/>
      <c r="M1083" s="60"/>
      <c r="N1083" s="60"/>
      <c r="O1083" s="60"/>
      <c r="P1083" s="60"/>
      <c r="Q1083" s="60"/>
      <c r="R1083" s="60"/>
      <c r="S1083" s="60"/>
      <c r="T1083" s="60"/>
      <c r="U1083" s="60"/>
      <c r="V1083" s="60"/>
      <c r="W1083" s="60"/>
      <c r="X1083" s="60"/>
      <c r="Y1083" s="60"/>
      <c r="Z1083" s="60"/>
    </row>
    <row r="1084">
      <c r="A1084" s="149"/>
      <c r="B1084" s="150"/>
      <c r="C1084" s="151"/>
      <c r="D1084" s="140"/>
      <c r="E1084" s="152"/>
      <c r="F1084" s="60"/>
      <c r="G1084" s="60"/>
      <c r="H1084" s="60"/>
      <c r="I1084" s="60"/>
      <c r="J1084" s="60"/>
      <c r="K1084" s="60"/>
      <c r="L1084" s="60"/>
      <c r="M1084" s="60"/>
      <c r="N1084" s="60"/>
      <c r="O1084" s="60"/>
      <c r="P1084" s="60"/>
      <c r="Q1084" s="60"/>
      <c r="R1084" s="60"/>
      <c r="S1084" s="60"/>
      <c r="T1084" s="60"/>
      <c r="U1084" s="60"/>
      <c r="V1084" s="60"/>
      <c r="W1084" s="60"/>
      <c r="X1084" s="60"/>
      <c r="Y1084" s="60"/>
      <c r="Z1084" s="60"/>
    </row>
    <row r="1085">
      <c r="A1085" s="149"/>
      <c r="B1085" s="150"/>
      <c r="C1085" s="151"/>
      <c r="D1085" s="140"/>
      <c r="E1085" s="152"/>
      <c r="F1085" s="60"/>
      <c r="G1085" s="60"/>
      <c r="H1085" s="60"/>
      <c r="I1085" s="60"/>
      <c r="J1085" s="60"/>
      <c r="K1085" s="60"/>
      <c r="L1085" s="60"/>
      <c r="M1085" s="60"/>
      <c r="N1085" s="60"/>
      <c r="O1085" s="60"/>
      <c r="P1085" s="60"/>
      <c r="Q1085" s="60"/>
      <c r="R1085" s="60"/>
      <c r="S1085" s="60"/>
      <c r="T1085" s="60"/>
      <c r="U1085" s="60"/>
      <c r="V1085" s="60"/>
      <c r="W1085" s="60"/>
      <c r="X1085" s="60"/>
      <c r="Y1085" s="60"/>
      <c r="Z1085" s="60"/>
    </row>
    <row r="1086">
      <c r="A1086" s="149"/>
      <c r="B1086" s="150"/>
      <c r="C1086" s="151"/>
      <c r="D1086" s="140"/>
      <c r="E1086" s="152"/>
      <c r="F1086" s="60"/>
      <c r="G1086" s="60"/>
      <c r="H1086" s="60"/>
      <c r="I1086" s="60"/>
      <c r="J1086" s="60"/>
      <c r="K1086" s="60"/>
      <c r="L1086" s="60"/>
      <c r="M1086" s="60"/>
      <c r="N1086" s="60"/>
      <c r="O1086" s="60"/>
      <c r="P1086" s="60"/>
      <c r="Q1086" s="60"/>
      <c r="R1086" s="60"/>
      <c r="S1086" s="60"/>
      <c r="T1086" s="60"/>
      <c r="U1086" s="60"/>
      <c r="V1086" s="60"/>
      <c r="W1086" s="60"/>
      <c r="X1086" s="60"/>
      <c r="Y1086" s="60"/>
      <c r="Z1086" s="60"/>
    </row>
    <row r="1087">
      <c r="A1087" s="149"/>
      <c r="B1087" s="150"/>
      <c r="C1087" s="151"/>
      <c r="D1087" s="140"/>
      <c r="E1087" s="152"/>
      <c r="F1087" s="60"/>
      <c r="G1087" s="60"/>
      <c r="H1087" s="60"/>
      <c r="I1087" s="60"/>
      <c r="J1087" s="60"/>
      <c r="K1087" s="60"/>
      <c r="L1087" s="60"/>
      <c r="M1087" s="60"/>
      <c r="N1087" s="60"/>
      <c r="O1087" s="60"/>
      <c r="P1087" s="60"/>
      <c r="Q1087" s="60"/>
      <c r="R1087" s="60"/>
      <c r="S1087" s="60"/>
      <c r="T1087" s="60"/>
      <c r="U1087" s="60"/>
      <c r="V1087" s="60"/>
      <c r="W1087" s="60"/>
      <c r="X1087" s="60"/>
      <c r="Y1087" s="60"/>
      <c r="Z1087" s="60"/>
    </row>
    <row r="1088">
      <c r="A1088" s="149"/>
      <c r="B1088" s="150"/>
      <c r="C1088" s="151"/>
      <c r="D1088" s="140"/>
      <c r="E1088" s="152"/>
      <c r="F1088" s="60"/>
      <c r="G1088" s="60"/>
      <c r="H1088" s="60"/>
      <c r="I1088" s="60"/>
      <c r="J1088" s="60"/>
      <c r="K1088" s="60"/>
      <c r="L1088" s="60"/>
      <c r="M1088" s="60"/>
      <c r="N1088" s="60"/>
      <c r="O1088" s="60"/>
      <c r="P1088" s="60"/>
      <c r="Q1088" s="60"/>
      <c r="R1088" s="60"/>
      <c r="S1088" s="60"/>
      <c r="T1088" s="60"/>
      <c r="U1088" s="60"/>
      <c r="V1088" s="60"/>
      <c r="W1088" s="60"/>
      <c r="X1088" s="60"/>
      <c r="Y1088" s="60"/>
      <c r="Z1088" s="60"/>
    </row>
    <row r="1089">
      <c r="A1089" s="149"/>
      <c r="B1089" s="150"/>
      <c r="C1089" s="151"/>
      <c r="D1089" s="140"/>
      <c r="E1089" s="152"/>
      <c r="F1089" s="60"/>
      <c r="G1089" s="60"/>
      <c r="H1089" s="60"/>
      <c r="I1089" s="60"/>
      <c r="J1089" s="60"/>
      <c r="K1089" s="60"/>
      <c r="L1089" s="60"/>
      <c r="M1089" s="60"/>
      <c r="N1089" s="60"/>
      <c r="O1089" s="60"/>
      <c r="P1089" s="60"/>
      <c r="Q1089" s="60"/>
      <c r="R1089" s="60"/>
      <c r="S1089" s="60"/>
      <c r="T1089" s="60"/>
      <c r="U1089" s="60"/>
      <c r="V1089" s="60"/>
      <c r="W1089" s="60"/>
      <c r="X1089" s="60"/>
      <c r="Y1089" s="60"/>
      <c r="Z1089" s="60"/>
    </row>
    <row r="1090">
      <c r="A1090" s="149"/>
      <c r="B1090" s="150"/>
      <c r="C1090" s="151"/>
      <c r="D1090" s="140"/>
      <c r="E1090" s="152"/>
      <c r="F1090" s="60"/>
      <c r="G1090" s="60"/>
      <c r="H1090" s="60"/>
      <c r="I1090" s="60"/>
      <c r="J1090" s="60"/>
      <c r="K1090" s="60"/>
      <c r="L1090" s="60"/>
      <c r="M1090" s="60"/>
      <c r="N1090" s="60"/>
      <c r="O1090" s="60"/>
      <c r="P1090" s="60"/>
      <c r="Q1090" s="60"/>
      <c r="R1090" s="60"/>
      <c r="S1090" s="60"/>
      <c r="T1090" s="60"/>
      <c r="U1090" s="60"/>
      <c r="V1090" s="60"/>
      <c r="W1090" s="60"/>
      <c r="X1090" s="60"/>
      <c r="Y1090" s="60"/>
      <c r="Z1090" s="60"/>
    </row>
    <row r="1091">
      <c r="A1091" s="149"/>
      <c r="B1091" s="150"/>
      <c r="C1091" s="151"/>
      <c r="D1091" s="140"/>
      <c r="E1091" s="152"/>
      <c r="F1091" s="60"/>
      <c r="G1091" s="60"/>
      <c r="H1091" s="60"/>
      <c r="I1091" s="60"/>
      <c r="J1091" s="60"/>
      <c r="K1091" s="60"/>
      <c r="L1091" s="60"/>
      <c r="M1091" s="60"/>
      <c r="N1091" s="60"/>
      <c r="O1091" s="60"/>
      <c r="P1091" s="60"/>
      <c r="Q1091" s="60"/>
      <c r="R1091" s="60"/>
      <c r="S1091" s="60"/>
      <c r="T1091" s="60"/>
      <c r="U1091" s="60"/>
      <c r="V1091" s="60"/>
      <c r="W1091" s="60"/>
      <c r="X1091" s="60"/>
      <c r="Y1091" s="60"/>
      <c r="Z1091" s="60"/>
    </row>
    <row r="1092">
      <c r="A1092" s="149"/>
      <c r="B1092" s="150"/>
      <c r="C1092" s="151"/>
      <c r="D1092" s="140"/>
      <c r="E1092" s="152"/>
      <c r="F1092" s="60"/>
      <c r="G1092" s="60"/>
      <c r="H1092" s="60"/>
      <c r="I1092" s="60"/>
      <c r="J1092" s="60"/>
      <c r="K1092" s="60"/>
      <c r="L1092" s="60"/>
      <c r="M1092" s="60"/>
      <c r="N1092" s="60"/>
      <c r="O1092" s="60"/>
      <c r="P1092" s="60"/>
      <c r="Q1092" s="60"/>
      <c r="R1092" s="60"/>
      <c r="S1092" s="60"/>
      <c r="T1092" s="60"/>
      <c r="U1092" s="60"/>
      <c r="V1092" s="60"/>
      <c r="W1092" s="60"/>
      <c r="X1092" s="60"/>
      <c r="Y1092" s="60"/>
      <c r="Z1092" s="60"/>
    </row>
    <row r="1093">
      <c r="A1093" s="149"/>
      <c r="B1093" s="150"/>
      <c r="C1093" s="151"/>
      <c r="D1093" s="140"/>
      <c r="E1093" s="152"/>
      <c r="F1093" s="60"/>
      <c r="G1093" s="60"/>
      <c r="H1093" s="60"/>
      <c r="I1093" s="60"/>
      <c r="J1093" s="60"/>
      <c r="K1093" s="60"/>
      <c r="L1093" s="60"/>
      <c r="M1093" s="60"/>
      <c r="N1093" s="60"/>
      <c r="O1093" s="60"/>
      <c r="P1093" s="60"/>
      <c r="Q1093" s="60"/>
      <c r="R1093" s="60"/>
      <c r="S1093" s="60"/>
      <c r="T1093" s="60"/>
      <c r="U1093" s="60"/>
      <c r="V1093" s="60"/>
      <c r="W1093" s="60"/>
      <c r="X1093" s="60"/>
      <c r="Y1093" s="60"/>
      <c r="Z1093" s="60"/>
    </row>
    <row r="1094">
      <c r="A1094" s="149"/>
      <c r="B1094" s="150"/>
      <c r="C1094" s="151"/>
      <c r="D1094" s="140"/>
      <c r="E1094" s="152"/>
      <c r="F1094" s="60"/>
      <c r="G1094" s="60"/>
      <c r="H1094" s="60"/>
      <c r="I1094" s="60"/>
      <c r="J1094" s="60"/>
      <c r="K1094" s="60"/>
      <c r="L1094" s="60"/>
      <c r="M1094" s="60"/>
      <c r="N1094" s="60"/>
      <c r="O1094" s="60"/>
      <c r="P1094" s="60"/>
      <c r="Q1094" s="60"/>
      <c r="R1094" s="60"/>
      <c r="S1094" s="60"/>
      <c r="T1094" s="60"/>
      <c r="U1094" s="60"/>
      <c r="V1094" s="60"/>
      <c r="W1094" s="60"/>
      <c r="X1094" s="60"/>
      <c r="Y1094" s="60"/>
      <c r="Z1094" s="60"/>
    </row>
    <row r="1095">
      <c r="A1095" s="149"/>
      <c r="B1095" s="150"/>
      <c r="C1095" s="151"/>
      <c r="D1095" s="140"/>
      <c r="E1095" s="152"/>
      <c r="F1095" s="60"/>
      <c r="G1095" s="60"/>
      <c r="H1095" s="60"/>
      <c r="I1095" s="60"/>
      <c r="J1095" s="60"/>
      <c r="K1095" s="60"/>
      <c r="L1095" s="60"/>
      <c r="M1095" s="60"/>
      <c r="N1095" s="60"/>
      <c r="O1095" s="60"/>
      <c r="P1095" s="60"/>
      <c r="Q1095" s="60"/>
      <c r="R1095" s="60"/>
      <c r="S1095" s="60"/>
      <c r="T1095" s="60"/>
      <c r="U1095" s="60"/>
      <c r="V1095" s="60"/>
      <c r="W1095" s="60"/>
      <c r="X1095" s="60"/>
      <c r="Y1095" s="60"/>
      <c r="Z1095" s="60"/>
    </row>
    <row r="1096">
      <c r="A1096" s="149"/>
      <c r="B1096" s="150"/>
      <c r="C1096" s="151"/>
      <c r="D1096" s="140"/>
      <c r="E1096" s="152"/>
      <c r="F1096" s="60"/>
      <c r="G1096" s="60"/>
      <c r="H1096" s="60"/>
      <c r="I1096" s="60"/>
      <c r="J1096" s="60"/>
      <c r="K1096" s="60"/>
      <c r="L1096" s="60"/>
      <c r="M1096" s="60"/>
      <c r="N1096" s="60"/>
      <c r="O1096" s="60"/>
      <c r="P1096" s="60"/>
      <c r="Q1096" s="60"/>
      <c r="R1096" s="60"/>
      <c r="S1096" s="60"/>
      <c r="T1096" s="60"/>
      <c r="U1096" s="60"/>
      <c r="V1096" s="60"/>
      <c r="W1096" s="60"/>
      <c r="X1096" s="60"/>
      <c r="Y1096" s="60"/>
      <c r="Z1096" s="60"/>
    </row>
    <row r="1097">
      <c r="A1097" s="149"/>
      <c r="B1097" s="150"/>
      <c r="C1097" s="151"/>
      <c r="D1097" s="140"/>
      <c r="E1097" s="152"/>
      <c r="F1097" s="60"/>
      <c r="G1097" s="60"/>
      <c r="H1097" s="60"/>
      <c r="I1097" s="60"/>
      <c r="J1097" s="60"/>
      <c r="K1097" s="60"/>
      <c r="L1097" s="60"/>
      <c r="M1097" s="60"/>
      <c r="N1097" s="60"/>
      <c r="O1097" s="60"/>
      <c r="P1097" s="60"/>
      <c r="Q1097" s="60"/>
      <c r="R1097" s="60"/>
      <c r="S1097" s="60"/>
      <c r="T1097" s="60"/>
      <c r="U1097" s="60"/>
      <c r="V1097" s="60"/>
      <c r="W1097" s="60"/>
      <c r="X1097" s="60"/>
      <c r="Y1097" s="60"/>
      <c r="Z1097" s="60"/>
    </row>
    <row r="1098">
      <c r="A1098" s="149"/>
      <c r="B1098" s="150"/>
      <c r="C1098" s="151"/>
      <c r="D1098" s="140"/>
      <c r="E1098" s="152"/>
      <c r="F1098" s="60"/>
      <c r="G1098" s="60"/>
      <c r="H1098" s="60"/>
      <c r="I1098" s="60"/>
      <c r="J1098" s="60"/>
      <c r="K1098" s="60"/>
      <c r="L1098" s="60"/>
      <c r="M1098" s="60"/>
      <c r="N1098" s="60"/>
      <c r="O1098" s="60"/>
      <c r="P1098" s="60"/>
      <c r="Q1098" s="60"/>
      <c r="R1098" s="60"/>
      <c r="S1098" s="60"/>
      <c r="T1098" s="60"/>
      <c r="U1098" s="60"/>
      <c r="V1098" s="60"/>
      <c r="W1098" s="60"/>
      <c r="X1098" s="60"/>
      <c r="Y1098" s="60"/>
      <c r="Z1098" s="60"/>
    </row>
    <row r="1099">
      <c r="A1099" s="149"/>
      <c r="B1099" s="150"/>
      <c r="C1099" s="151"/>
      <c r="D1099" s="140"/>
      <c r="E1099" s="152"/>
      <c r="F1099" s="60"/>
      <c r="G1099" s="60"/>
      <c r="H1099" s="60"/>
      <c r="I1099" s="60"/>
      <c r="J1099" s="60"/>
      <c r="K1099" s="60"/>
      <c r="L1099" s="60"/>
      <c r="M1099" s="60"/>
      <c r="N1099" s="60"/>
      <c r="O1099" s="60"/>
      <c r="P1099" s="60"/>
      <c r="Q1099" s="60"/>
      <c r="R1099" s="60"/>
      <c r="S1099" s="60"/>
      <c r="T1099" s="60"/>
      <c r="U1099" s="60"/>
      <c r="V1099" s="60"/>
      <c r="W1099" s="60"/>
      <c r="X1099" s="60"/>
      <c r="Y1099" s="60"/>
      <c r="Z1099" s="60"/>
    </row>
    <row r="1100">
      <c r="A1100" s="149"/>
      <c r="B1100" s="150"/>
      <c r="C1100" s="151"/>
      <c r="D1100" s="140"/>
      <c r="E1100" s="152"/>
      <c r="F1100" s="60"/>
      <c r="G1100" s="60"/>
      <c r="H1100" s="60"/>
      <c r="I1100" s="60"/>
      <c r="J1100" s="60"/>
      <c r="K1100" s="60"/>
      <c r="L1100" s="60"/>
      <c r="M1100" s="60"/>
      <c r="N1100" s="60"/>
      <c r="O1100" s="60"/>
      <c r="P1100" s="60"/>
      <c r="Q1100" s="60"/>
      <c r="R1100" s="60"/>
      <c r="S1100" s="60"/>
      <c r="T1100" s="60"/>
      <c r="U1100" s="60"/>
      <c r="V1100" s="60"/>
      <c r="W1100" s="60"/>
      <c r="X1100" s="60"/>
      <c r="Y1100" s="60"/>
      <c r="Z1100" s="60"/>
    </row>
    <row r="1101">
      <c r="A1101" s="149"/>
      <c r="B1101" s="150"/>
      <c r="C1101" s="151"/>
      <c r="D1101" s="140"/>
      <c r="E1101" s="152"/>
      <c r="F1101" s="60"/>
      <c r="G1101" s="60"/>
      <c r="H1101" s="60"/>
      <c r="I1101" s="60"/>
      <c r="J1101" s="60"/>
      <c r="K1101" s="60"/>
      <c r="L1101" s="60"/>
      <c r="M1101" s="60"/>
      <c r="N1101" s="60"/>
      <c r="O1101" s="60"/>
      <c r="P1101" s="60"/>
      <c r="Q1101" s="60"/>
      <c r="R1101" s="60"/>
      <c r="S1101" s="60"/>
      <c r="T1101" s="60"/>
      <c r="U1101" s="60"/>
      <c r="V1101" s="60"/>
      <c r="W1101" s="60"/>
      <c r="X1101" s="60"/>
      <c r="Y1101" s="60"/>
      <c r="Z1101" s="60"/>
    </row>
    <row r="1102">
      <c r="A1102" s="149"/>
      <c r="B1102" s="150"/>
      <c r="C1102" s="151"/>
      <c r="D1102" s="140"/>
      <c r="E1102" s="152"/>
      <c r="F1102" s="60"/>
      <c r="G1102" s="60"/>
      <c r="H1102" s="60"/>
      <c r="I1102" s="60"/>
      <c r="J1102" s="60"/>
      <c r="K1102" s="60"/>
      <c r="L1102" s="60"/>
      <c r="M1102" s="60"/>
      <c r="N1102" s="60"/>
      <c r="O1102" s="60"/>
      <c r="P1102" s="60"/>
      <c r="Q1102" s="60"/>
      <c r="R1102" s="60"/>
      <c r="S1102" s="60"/>
      <c r="T1102" s="60"/>
      <c r="U1102" s="60"/>
      <c r="V1102" s="60"/>
      <c r="W1102" s="60"/>
      <c r="X1102" s="60"/>
      <c r="Y1102" s="60"/>
      <c r="Z1102" s="60"/>
    </row>
    <row r="1103">
      <c r="A1103" s="149"/>
      <c r="B1103" s="150"/>
      <c r="C1103" s="151"/>
      <c r="D1103" s="140"/>
      <c r="E1103" s="152"/>
      <c r="F1103" s="60"/>
      <c r="G1103" s="60"/>
      <c r="H1103" s="60"/>
      <c r="I1103" s="60"/>
      <c r="J1103" s="60"/>
      <c r="K1103" s="60"/>
      <c r="L1103" s="60"/>
      <c r="M1103" s="60"/>
      <c r="N1103" s="60"/>
      <c r="O1103" s="60"/>
      <c r="P1103" s="60"/>
      <c r="Q1103" s="60"/>
      <c r="R1103" s="60"/>
      <c r="S1103" s="60"/>
      <c r="T1103" s="60"/>
      <c r="U1103" s="60"/>
      <c r="V1103" s="60"/>
      <c r="W1103" s="60"/>
      <c r="X1103" s="60"/>
      <c r="Y1103" s="60"/>
      <c r="Z1103" s="60"/>
    </row>
    <row r="1104">
      <c r="A1104" s="149"/>
      <c r="B1104" s="150"/>
      <c r="C1104" s="151"/>
      <c r="D1104" s="140"/>
      <c r="E1104" s="152"/>
      <c r="F1104" s="60"/>
      <c r="G1104" s="60"/>
      <c r="H1104" s="60"/>
      <c r="I1104" s="60"/>
      <c r="J1104" s="60"/>
      <c r="K1104" s="60"/>
      <c r="L1104" s="60"/>
      <c r="M1104" s="60"/>
      <c r="N1104" s="60"/>
      <c r="O1104" s="60"/>
      <c r="P1104" s="60"/>
      <c r="Q1104" s="60"/>
      <c r="R1104" s="60"/>
      <c r="S1104" s="60"/>
      <c r="T1104" s="60"/>
      <c r="U1104" s="60"/>
      <c r="V1104" s="60"/>
      <c r="W1104" s="60"/>
      <c r="X1104" s="60"/>
      <c r="Y1104" s="60"/>
      <c r="Z1104" s="60"/>
    </row>
    <row r="1105">
      <c r="A1105" s="149"/>
      <c r="B1105" s="150"/>
      <c r="C1105" s="151"/>
      <c r="D1105" s="140"/>
      <c r="E1105" s="152"/>
      <c r="F1105" s="60"/>
      <c r="G1105" s="60"/>
      <c r="H1105" s="60"/>
      <c r="I1105" s="60"/>
      <c r="J1105" s="60"/>
      <c r="K1105" s="60"/>
      <c r="L1105" s="60"/>
      <c r="M1105" s="60"/>
      <c r="N1105" s="60"/>
      <c r="O1105" s="60"/>
      <c r="P1105" s="60"/>
      <c r="Q1105" s="60"/>
      <c r="R1105" s="60"/>
      <c r="S1105" s="60"/>
      <c r="T1105" s="60"/>
      <c r="U1105" s="60"/>
      <c r="V1105" s="60"/>
      <c r="W1105" s="60"/>
      <c r="X1105" s="60"/>
      <c r="Y1105" s="60"/>
      <c r="Z1105" s="60"/>
    </row>
    <row r="1106">
      <c r="A1106" s="149"/>
      <c r="B1106" s="150"/>
      <c r="C1106" s="151"/>
      <c r="D1106" s="140"/>
      <c r="E1106" s="152"/>
      <c r="F1106" s="60"/>
      <c r="G1106" s="60"/>
      <c r="H1106" s="60"/>
      <c r="I1106" s="60"/>
      <c r="J1106" s="60"/>
      <c r="K1106" s="60"/>
      <c r="L1106" s="60"/>
      <c r="M1106" s="60"/>
      <c r="N1106" s="60"/>
      <c r="O1106" s="60"/>
      <c r="P1106" s="60"/>
      <c r="Q1106" s="60"/>
      <c r="R1106" s="60"/>
      <c r="S1106" s="60"/>
      <c r="T1106" s="60"/>
      <c r="U1106" s="60"/>
      <c r="V1106" s="60"/>
      <c r="W1106" s="60"/>
      <c r="X1106" s="60"/>
      <c r="Y1106" s="60"/>
      <c r="Z1106" s="60"/>
    </row>
    <row r="1107">
      <c r="A1107" s="149"/>
      <c r="B1107" s="150"/>
      <c r="C1107" s="151"/>
      <c r="D1107" s="140"/>
      <c r="E1107" s="152"/>
      <c r="F1107" s="60"/>
      <c r="G1107" s="60"/>
      <c r="H1107" s="60"/>
      <c r="I1107" s="60"/>
      <c r="J1107" s="60"/>
      <c r="K1107" s="60"/>
      <c r="L1107" s="60"/>
      <c r="M1107" s="60"/>
      <c r="N1107" s="60"/>
      <c r="O1107" s="60"/>
      <c r="P1107" s="60"/>
      <c r="Q1107" s="60"/>
      <c r="R1107" s="60"/>
      <c r="S1107" s="60"/>
      <c r="T1107" s="60"/>
      <c r="U1107" s="60"/>
      <c r="V1107" s="60"/>
      <c r="W1107" s="60"/>
      <c r="X1107" s="60"/>
      <c r="Y1107" s="60"/>
      <c r="Z1107" s="60"/>
    </row>
    <row r="1108">
      <c r="A1108" s="149"/>
      <c r="B1108" s="150"/>
      <c r="C1108" s="151"/>
      <c r="D1108" s="140"/>
      <c r="E1108" s="152"/>
      <c r="F1108" s="60"/>
      <c r="G1108" s="60"/>
      <c r="H1108" s="60"/>
      <c r="I1108" s="60"/>
      <c r="J1108" s="60"/>
      <c r="K1108" s="60"/>
      <c r="L1108" s="60"/>
      <c r="M1108" s="60"/>
      <c r="N1108" s="60"/>
      <c r="O1108" s="60"/>
      <c r="P1108" s="60"/>
      <c r="Q1108" s="60"/>
      <c r="R1108" s="60"/>
      <c r="S1108" s="60"/>
      <c r="T1108" s="60"/>
      <c r="U1108" s="60"/>
      <c r="V1108" s="60"/>
      <c r="W1108" s="60"/>
      <c r="X1108" s="60"/>
      <c r="Y1108" s="60"/>
      <c r="Z1108" s="60"/>
    </row>
    <row r="1109">
      <c r="A1109" s="149"/>
      <c r="B1109" s="150"/>
      <c r="C1109" s="151"/>
      <c r="D1109" s="140"/>
      <c r="E1109" s="152"/>
      <c r="F1109" s="60"/>
      <c r="G1109" s="60"/>
      <c r="H1109" s="60"/>
      <c r="I1109" s="60"/>
      <c r="J1109" s="60"/>
      <c r="K1109" s="60"/>
      <c r="L1109" s="60"/>
      <c r="M1109" s="60"/>
      <c r="N1109" s="60"/>
      <c r="O1109" s="60"/>
      <c r="P1109" s="60"/>
      <c r="Q1109" s="60"/>
      <c r="R1109" s="60"/>
      <c r="S1109" s="60"/>
      <c r="T1109" s="60"/>
      <c r="U1109" s="60"/>
      <c r="V1109" s="60"/>
      <c r="W1109" s="60"/>
      <c r="X1109" s="60"/>
      <c r="Y1109" s="60"/>
      <c r="Z1109" s="60"/>
    </row>
    <row r="1110">
      <c r="A1110" s="149"/>
      <c r="B1110" s="150"/>
      <c r="C1110" s="151"/>
      <c r="D1110" s="140"/>
      <c r="E1110" s="152"/>
      <c r="F1110" s="60"/>
      <c r="G1110" s="60"/>
      <c r="H1110" s="60"/>
      <c r="I1110" s="60"/>
      <c r="J1110" s="60"/>
      <c r="K1110" s="60"/>
      <c r="L1110" s="60"/>
      <c r="M1110" s="60"/>
      <c r="N1110" s="60"/>
      <c r="O1110" s="60"/>
      <c r="P1110" s="60"/>
      <c r="Q1110" s="60"/>
      <c r="R1110" s="60"/>
      <c r="S1110" s="60"/>
      <c r="T1110" s="60"/>
      <c r="U1110" s="60"/>
      <c r="V1110" s="60"/>
      <c r="W1110" s="60"/>
      <c r="X1110" s="60"/>
      <c r="Y1110" s="60"/>
      <c r="Z1110" s="60"/>
    </row>
    <row r="1111">
      <c r="A1111" s="149"/>
      <c r="B1111" s="150"/>
      <c r="C1111" s="151"/>
      <c r="D1111" s="140"/>
      <c r="E1111" s="152"/>
      <c r="F1111" s="60"/>
      <c r="G1111" s="60"/>
      <c r="H1111" s="60"/>
      <c r="I1111" s="60"/>
      <c r="J1111" s="60"/>
      <c r="K1111" s="60"/>
      <c r="L1111" s="60"/>
      <c r="M1111" s="60"/>
      <c r="N1111" s="60"/>
      <c r="O1111" s="60"/>
      <c r="P1111" s="60"/>
      <c r="Q1111" s="60"/>
      <c r="R1111" s="60"/>
      <c r="S1111" s="60"/>
      <c r="T1111" s="60"/>
      <c r="U1111" s="60"/>
      <c r="V1111" s="60"/>
      <c r="W1111" s="60"/>
      <c r="X1111" s="60"/>
      <c r="Y1111" s="60"/>
      <c r="Z1111" s="60"/>
    </row>
    <row r="1112">
      <c r="A1112" s="149"/>
      <c r="B1112" s="150"/>
      <c r="C1112" s="151"/>
      <c r="D1112" s="140"/>
      <c r="E1112" s="152"/>
      <c r="F1112" s="60"/>
      <c r="G1112" s="60"/>
      <c r="H1112" s="60"/>
      <c r="I1112" s="60"/>
      <c r="J1112" s="60"/>
      <c r="K1112" s="60"/>
      <c r="L1112" s="60"/>
      <c r="M1112" s="60"/>
      <c r="N1112" s="60"/>
      <c r="O1112" s="60"/>
      <c r="P1112" s="60"/>
      <c r="Q1112" s="60"/>
      <c r="R1112" s="60"/>
      <c r="S1112" s="60"/>
      <c r="T1112" s="60"/>
      <c r="U1112" s="60"/>
      <c r="V1112" s="60"/>
      <c r="W1112" s="60"/>
      <c r="X1112" s="60"/>
      <c r="Y1112" s="60"/>
      <c r="Z1112" s="60"/>
    </row>
    <row r="1113">
      <c r="A1113" s="149"/>
      <c r="B1113" s="150"/>
      <c r="C1113" s="151"/>
      <c r="D1113" s="140"/>
      <c r="E1113" s="152"/>
      <c r="F1113" s="60"/>
      <c r="G1113" s="60"/>
      <c r="H1113" s="60"/>
      <c r="I1113" s="60"/>
      <c r="J1113" s="60"/>
      <c r="K1113" s="60"/>
      <c r="L1113" s="60"/>
      <c r="M1113" s="60"/>
      <c r="N1113" s="60"/>
      <c r="O1113" s="60"/>
      <c r="P1113" s="60"/>
      <c r="Q1113" s="60"/>
      <c r="R1113" s="60"/>
      <c r="S1113" s="60"/>
      <c r="T1113" s="60"/>
      <c r="U1113" s="60"/>
      <c r="V1113" s="60"/>
      <c r="W1113" s="60"/>
      <c r="X1113" s="60"/>
      <c r="Y1113" s="60"/>
      <c r="Z1113" s="60"/>
    </row>
    <row r="1114">
      <c r="A1114" s="149"/>
      <c r="B1114" s="150"/>
      <c r="C1114" s="151"/>
      <c r="D1114" s="140"/>
      <c r="E1114" s="152"/>
      <c r="F1114" s="60"/>
      <c r="G1114" s="60"/>
      <c r="H1114" s="60"/>
      <c r="I1114" s="60"/>
      <c r="J1114" s="60"/>
      <c r="K1114" s="60"/>
      <c r="L1114" s="60"/>
      <c r="M1114" s="60"/>
      <c r="N1114" s="60"/>
      <c r="O1114" s="60"/>
      <c r="P1114" s="60"/>
      <c r="Q1114" s="60"/>
      <c r="R1114" s="60"/>
      <c r="S1114" s="60"/>
      <c r="T1114" s="60"/>
      <c r="U1114" s="60"/>
      <c r="V1114" s="60"/>
      <c r="W1114" s="60"/>
      <c r="X1114" s="60"/>
      <c r="Y1114" s="60"/>
      <c r="Z1114" s="60"/>
    </row>
    <row r="1115">
      <c r="A1115" s="149"/>
      <c r="B1115" s="150"/>
      <c r="C1115" s="151"/>
      <c r="D1115" s="140"/>
      <c r="E1115" s="152"/>
      <c r="F1115" s="60"/>
      <c r="G1115" s="60"/>
      <c r="H1115" s="60"/>
      <c r="I1115" s="60"/>
      <c r="J1115" s="60"/>
      <c r="K1115" s="60"/>
      <c r="L1115" s="60"/>
      <c r="M1115" s="60"/>
      <c r="N1115" s="60"/>
      <c r="O1115" s="60"/>
      <c r="P1115" s="60"/>
      <c r="Q1115" s="60"/>
      <c r="R1115" s="60"/>
      <c r="S1115" s="60"/>
      <c r="T1115" s="60"/>
      <c r="U1115" s="60"/>
      <c r="V1115" s="60"/>
      <c r="W1115" s="60"/>
      <c r="X1115" s="60"/>
      <c r="Y1115" s="60"/>
      <c r="Z1115" s="60"/>
    </row>
    <row r="1116">
      <c r="A1116" s="149"/>
      <c r="B1116" s="150"/>
      <c r="C1116" s="151"/>
      <c r="D1116" s="140"/>
      <c r="E1116" s="152"/>
      <c r="F1116" s="60"/>
      <c r="G1116" s="60"/>
      <c r="H1116" s="60"/>
      <c r="I1116" s="60"/>
      <c r="J1116" s="60"/>
      <c r="K1116" s="60"/>
      <c r="L1116" s="60"/>
      <c r="M1116" s="60"/>
      <c r="N1116" s="60"/>
      <c r="O1116" s="60"/>
      <c r="P1116" s="60"/>
      <c r="Q1116" s="60"/>
      <c r="R1116" s="60"/>
      <c r="S1116" s="60"/>
      <c r="T1116" s="60"/>
      <c r="U1116" s="60"/>
      <c r="V1116" s="60"/>
      <c r="W1116" s="60"/>
      <c r="X1116" s="60"/>
      <c r="Y1116" s="60"/>
      <c r="Z1116" s="60"/>
    </row>
    <row r="1117">
      <c r="A1117" s="149"/>
      <c r="B1117" s="150"/>
      <c r="C1117" s="151"/>
      <c r="D1117" s="140"/>
      <c r="E1117" s="152"/>
      <c r="F1117" s="60"/>
      <c r="G1117" s="60"/>
      <c r="H1117" s="60"/>
      <c r="I1117" s="60"/>
      <c r="J1117" s="60"/>
      <c r="K1117" s="60"/>
      <c r="L1117" s="60"/>
      <c r="M1117" s="60"/>
      <c r="N1117" s="60"/>
      <c r="O1117" s="60"/>
      <c r="P1117" s="60"/>
      <c r="Q1117" s="60"/>
      <c r="R1117" s="60"/>
      <c r="S1117" s="60"/>
      <c r="T1117" s="60"/>
      <c r="U1117" s="60"/>
      <c r="V1117" s="60"/>
      <c r="W1117" s="60"/>
      <c r="X1117" s="60"/>
      <c r="Y1117" s="60"/>
      <c r="Z1117" s="60"/>
    </row>
    <row r="1118">
      <c r="A1118" s="149"/>
      <c r="B1118" s="150"/>
      <c r="C1118" s="151"/>
      <c r="D1118" s="140"/>
      <c r="E1118" s="152"/>
      <c r="F1118" s="60"/>
      <c r="G1118" s="60"/>
      <c r="H1118" s="60"/>
      <c r="I1118" s="60"/>
      <c r="J1118" s="60"/>
      <c r="K1118" s="60"/>
      <c r="L1118" s="60"/>
      <c r="M1118" s="60"/>
      <c r="N1118" s="60"/>
      <c r="O1118" s="60"/>
      <c r="P1118" s="60"/>
      <c r="Q1118" s="60"/>
      <c r="R1118" s="60"/>
      <c r="S1118" s="60"/>
      <c r="T1118" s="60"/>
      <c r="U1118" s="60"/>
      <c r="V1118" s="60"/>
      <c r="W1118" s="60"/>
      <c r="X1118" s="60"/>
      <c r="Y1118" s="60"/>
      <c r="Z1118" s="60"/>
    </row>
    <row r="1119">
      <c r="A1119" s="149"/>
      <c r="B1119" s="150"/>
      <c r="C1119" s="151"/>
      <c r="D1119" s="140"/>
      <c r="E1119" s="152"/>
      <c r="F1119" s="60"/>
      <c r="G1119" s="60"/>
      <c r="H1119" s="60"/>
      <c r="I1119" s="60"/>
      <c r="J1119" s="60"/>
      <c r="K1119" s="60"/>
      <c r="L1119" s="60"/>
      <c r="M1119" s="60"/>
      <c r="N1119" s="60"/>
      <c r="O1119" s="60"/>
      <c r="P1119" s="60"/>
      <c r="Q1119" s="60"/>
      <c r="R1119" s="60"/>
      <c r="S1119" s="60"/>
      <c r="T1119" s="60"/>
      <c r="U1119" s="60"/>
      <c r="V1119" s="60"/>
      <c r="W1119" s="60"/>
      <c r="X1119" s="60"/>
      <c r="Y1119" s="60"/>
      <c r="Z1119" s="60"/>
    </row>
    <row r="1120">
      <c r="A1120" s="149"/>
      <c r="B1120" s="150"/>
      <c r="C1120" s="151"/>
      <c r="D1120" s="140"/>
      <c r="E1120" s="152"/>
      <c r="F1120" s="60"/>
      <c r="G1120" s="60"/>
      <c r="H1120" s="60"/>
      <c r="I1120" s="60"/>
      <c r="J1120" s="60"/>
      <c r="K1120" s="60"/>
      <c r="L1120" s="60"/>
      <c r="M1120" s="60"/>
      <c r="N1120" s="60"/>
      <c r="O1120" s="60"/>
      <c r="P1120" s="60"/>
      <c r="Q1120" s="60"/>
      <c r="R1120" s="60"/>
      <c r="S1120" s="60"/>
      <c r="T1120" s="60"/>
      <c r="U1120" s="60"/>
      <c r="V1120" s="60"/>
      <c r="W1120" s="60"/>
      <c r="X1120" s="60"/>
      <c r="Y1120" s="60"/>
      <c r="Z1120" s="60"/>
    </row>
    <row r="1121">
      <c r="A1121" s="149"/>
      <c r="B1121" s="150"/>
      <c r="C1121" s="151"/>
      <c r="D1121" s="140"/>
      <c r="E1121" s="152"/>
      <c r="F1121" s="60"/>
      <c r="G1121" s="60"/>
      <c r="H1121" s="60"/>
      <c r="I1121" s="60"/>
      <c r="J1121" s="60"/>
      <c r="K1121" s="60"/>
      <c r="L1121" s="60"/>
      <c r="M1121" s="60"/>
      <c r="N1121" s="60"/>
      <c r="O1121" s="60"/>
      <c r="P1121" s="60"/>
      <c r="Q1121" s="60"/>
      <c r="R1121" s="60"/>
      <c r="S1121" s="60"/>
      <c r="T1121" s="60"/>
      <c r="U1121" s="60"/>
      <c r="V1121" s="60"/>
      <c r="W1121" s="60"/>
      <c r="X1121" s="60"/>
      <c r="Y1121" s="60"/>
      <c r="Z1121" s="60"/>
    </row>
    <row r="1122">
      <c r="A1122" s="149"/>
      <c r="B1122" s="150"/>
      <c r="C1122" s="151"/>
      <c r="D1122" s="140"/>
      <c r="E1122" s="152"/>
      <c r="F1122" s="60"/>
      <c r="G1122" s="60"/>
      <c r="H1122" s="60"/>
      <c r="I1122" s="60"/>
      <c r="J1122" s="60"/>
      <c r="K1122" s="60"/>
      <c r="L1122" s="60"/>
      <c r="M1122" s="60"/>
      <c r="N1122" s="60"/>
      <c r="O1122" s="60"/>
      <c r="P1122" s="60"/>
      <c r="Q1122" s="60"/>
      <c r="R1122" s="60"/>
      <c r="S1122" s="60"/>
      <c r="T1122" s="60"/>
      <c r="U1122" s="60"/>
      <c r="V1122" s="60"/>
      <c r="W1122" s="60"/>
      <c r="X1122" s="60"/>
      <c r="Y1122" s="60"/>
      <c r="Z1122" s="60"/>
    </row>
    <row r="1123">
      <c r="A1123" s="149"/>
      <c r="B1123" s="150"/>
      <c r="C1123" s="151"/>
      <c r="D1123" s="140"/>
      <c r="E1123" s="152"/>
      <c r="F1123" s="60"/>
      <c r="G1123" s="60"/>
      <c r="H1123" s="60"/>
      <c r="I1123" s="60"/>
      <c r="J1123" s="60"/>
      <c r="K1123" s="60"/>
      <c r="L1123" s="60"/>
      <c r="M1123" s="60"/>
      <c r="N1123" s="60"/>
      <c r="O1123" s="60"/>
      <c r="P1123" s="60"/>
      <c r="Q1123" s="60"/>
      <c r="R1123" s="60"/>
      <c r="S1123" s="60"/>
      <c r="T1123" s="60"/>
      <c r="U1123" s="60"/>
      <c r="V1123" s="60"/>
      <c r="W1123" s="60"/>
      <c r="X1123" s="60"/>
      <c r="Y1123" s="60"/>
      <c r="Z1123" s="60"/>
    </row>
    <row r="1124">
      <c r="A1124" s="149"/>
      <c r="B1124" s="150"/>
      <c r="C1124" s="151"/>
      <c r="D1124" s="140"/>
      <c r="E1124" s="152"/>
      <c r="F1124" s="60"/>
      <c r="G1124" s="60"/>
      <c r="H1124" s="60"/>
      <c r="I1124" s="60"/>
      <c r="J1124" s="60"/>
      <c r="K1124" s="60"/>
      <c r="L1124" s="60"/>
      <c r="M1124" s="60"/>
      <c r="N1124" s="60"/>
      <c r="O1124" s="60"/>
      <c r="P1124" s="60"/>
      <c r="Q1124" s="60"/>
      <c r="R1124" s="60"/>
      <c r="S1124" s="60"/>
      <c r="T1124" s="60"/>
      <c r="U1124" s="60"/>
      <c r="V1124" s="60"/>
      <c r="W1124" s="60"/>
      <c r="X1124" s="60"/>
      <c r="Y1124" s="60"/>
      <c r="Z1124" s="60"/>
    </row>
    <row r="1125">
      <c r="A1125" s="149"/>
      <c r="B1125" s="150"/>
      <c r="C1125" s="151"/>
      <c r="D1125" s="140"/>
      <c r="E1125" s="152"/>
      <c r="F1125" s="60"/>
      <c r="G1125" s="60"/>
      <c r="H1125" s="60"/>
      <c r="I1125" s="60"/>
      <c r="J1125" s="60"/>
      <c r="K1125" s="60"/>
      <c r="L1125" s="60"/>
      <c r="M1125" s="60"/>
      <c r="N1125" s="60"/>
      <c r="O1125" s="60"/>
      <c r="P1125" s="60"/>
      <c r="Q1125" s="60"/>
      <c r="R1125" s="60"/>
      <c r="S1125" s="60"/>
      <c r="T1125" s="60"/>
      <c r="U1125" s="60"/>
      <c r="V1125" s="60"/>
      <c r="W1125" s="60"/>
      <c r="X1125" s="60"/>
      <c r="Y1125" s="60"/>
      <c r="Z1125" s="60"/>
    </row>
    <row r="1126">
      <c r="A1126" s="149"/>
      <c r="B1126" s="150"/>
      <c r="C1126" s="151"/>
      <c r="D1126" s="140"/>
      <c r="E1126" s="152"/>
      <c r="F1126" s="60"/>
      <c r="G1126" s="60"/>
      <c r="H1126" s="60"/>
      <c r="I1126" s="60"/>
      <c r="J1126" s="60"/>
      <c r="K1126" s="60"/>
      <c r="L1126" s="60"/>
      <c r="M1126" s="60"/>
      <c r="N1126" s="60"/>
      <c r="O1126" s="60"/>
      <c r="P1126" s="60"/>
      <c r="Q1126" s="60"/>
      <c r="R1126" s="60"/>
      <c r="S1126" s="60"/>
      <c r="T1126" s="60"/>
      <c r="U1126" s="60"/>
      <c r="V1126" s="60"/>
      <c r="W1126" s="60"/>
      <c r="X1126" s="60"/>
      <c r="Y1126" s="60"/>
      <c r="Z1126" s="60"/>
    </row>
    <row r="1127">
      <c r="A1127" s="149"/>
      <c r="B1127" s="150"/>
      <c r="C1127" s="151"/>
      <c r="D1127" s="140"/>
      <c r="E1127" s="152"/>
      <c r="F1127" s="60"/>
      <c r="G1127" s="60"/>
      <c r="H1127" s="60"/>
      <c r="I1127" s="60"/>
      <c r="J1127" s="60"/>
      <c r="K1127" s="60"/>
      <c r="L1127" s="60"/>
      <c r="M1127" s="60"/>
      <c r="N1127" s="60"/>
      <c r="O1127" s="60"/>
      <c r="P1127" s="60"/>
      <c r="Q1127" s="60"/>
      <c r="R1127" s="60"/>
      <c r="S1127" s="60"/>
      <c r="T1127" s="60"/>
      <c r="U1127" s="60"/>
      <c r="V1127" s="60"/>
      <c r="W1127" s="60"/>
      <c r="X1127" s="60"/>
      <c r="Y1127" s="60"/>
      <c r="Z1127" s="60"/>
    </row>
    <row r="1128">
      <c r="A1128" s="149"/>
      <c r="B1128" s="150"/>
      <c r="C1128" s="151"/>
      <c r="D1128" s="140"/>
      <c r="E1128" s="152"/>
      <c r="F1128" s="60"/>
      <c r="G1128" s="60"/>
      <c r="H1128" s="60"/>
      <c r="I1128" s="60"/>
      <c r="J1128" s="60"/>
      <c r="K1128" s="60"/>
      <c r="L1128" s="60"/>
      <c r="M1128" s="60"/>
      <c r="N1128" s="60"/>
      <c r="O1128" s="60"/>
      <c r="P1128" s="60"/>
      <c r="Q1128" s="60"/>
      <c r="R1128" s="60"/>
      <c r="S1128" s="60"/>
      <c r="T1128" s="60"/>
      <c r="U1128" s="60"/>
      <c r="V1128" s="60"/>
      <c r="W1128" s="60"/>
      <c r="X1128" s="60"/>
      <c r="Y1128" s="60"/>
      <c r="Z1128" s="60"/>
    </row>
    <row r="1129">
      <c r="A1129" s="149"/>
      <c r="B1129" s="150"/>
      <c r="C1129" s="151"/>
      <c r="D1129" s="140"/>
      <c r="E1129" s="152"/>
      <c r="F1129" s="60"/>
      <c r="G1129" s="60"/>
      <c r="H1129" s="60"/>
      <c r="I1129" s="60"/>
      <c r="J1129" s="60"/>
      <c r="K1129" s="60"/>
      <c r="L1129" s="60"/>
      <c r="M1129" s="60"/>
      <c r="N1129" s="60"/>
      <c r="O1129" s="60"/>
      <c r="P1129" s="60"/>
      <c r="Q1129" s="60"/>
      <c r="R1129" s="60"/>
      <c r="S1129" s="60"/>
      <c r="T1129" s="60"/>
      <c r="U1129" s="60"/>
      <c r="V1129" s="60"/>
      <c r="W1129" s="60"/>
      <c r="X1129" s="60"/>
      <c r="Y1129" s="60"/>
      <c r="Z1129" s="60"/>
    </row>
    <row r="1130">
      <c r="A1130" s="149"/>
      <c r="B1130" s="150"/>
      <c r="C1130" s="151"/>
      <c r="D1130" s="140"/>
      <c r="E1130" s="152"/>
      <c r="F1130" s="60"/>
      <c r="G1130" s="60"/>
      <c r="H1130" s="60"/>
      <c r="I1130" s="60"/>
      <c r="J1130" s="60"/>
      <c r="K1130" s="60"/>
      <c r="L1130" s="60"/>
      <c r="M1130" s="60"/>
      <c r="N1130" s="60"/>
      <c r="O1130" s="60"/>
      <c r="P1130" s="60"/>
      <c r="Q1130" s="60"/>
      <c r="R1130" s="60"/>
      <c r="S1130" s="60"/>
      <c r="T1130" s="60"/>
      <c r="U1130" s="60"/>
      <c r="V1130" s="60"/>
      <c r="W1130" s="60"/>
      <c r="X1130" s="60"/>
      <c r="Y1130" s="60"/>
      <c r="Z1130" s="60"/>
    </row>
    <row r="1131">
      <c r="A1131" s="149"/>
      <c r="B1131" s="150"/>
      <c r="C1131" s="151"/>
      <c r="D1131" s="140"/>
      <c r="E1131" s="152"/>
      <c r="F1131" s="60"/>
      <c r="G1131" s="60"/>
      <c r="H1131" s="60"/>
      <c r="I1131" s="60"/>
      <c r="J1131" s="60"/>
      <c r="K1131" s="60"/>
      <c r="L1131" s="60"/>
      <c r="M1131" s="60"/>
      <c r="N1131" s="60"/>
      <c r="O1131" s="60"/>
      <c r="P1131" s="60"/>
      <c r="Q1131" s="60"/>
      <c r="R1131" s="60"/>
      <c r="S1131" s="60"/>
      <c r="T1131" s="60"/>
      <c r="U1131" s="60"/>
      <c r="V1131" s="60"/>
      <c r="W1131" s="60"/>
      <c r="X1131" s="60"/>
      <c r="Y1131" s="60"/>
      <c r="Z1131" s="60"/>
    </row>
    <row r="1132">
      <c r="A1132" s="149"/>
      <c r="B1132" s="150"/>
      <c r="C1132" s="151"/>
      <c r="D1132" s="140"/>
      <c r="E1132" s="152"/>
      <c r="F1132" s="60"/>
      <c r="G1132" s="60"/>
      <c r="H1132" s="60"/>
      <c r="I1132" s="60"/>
      <c r="J1132" s="60"/>
      <c r="K1132" s="60"/>
      <c r="L1132" s="60"/>
      <c r="M1132" s="60"/>
      <c r="N1132" s="60"/>
      <c r="O1132" s="60"/>
      <c r="P1132" s="60"/>
      <c r="Q1132" s="60"/>
      <c r="R1132" s="60"/>
      <c r="S1132" s="60"/>
      <c r="T1132" s="60"/>
      <c r="U1132" s="60"/>
      <c r="V1132" s="60"/>
      <c r="W1132" s="60"/>
      <c r="X1132" s="60"/>
      <c r="Y1132" s="60"/>
      <c r="Z1132" s="60"/>
    </row>
    <row r="1133">
      <c r="A1133" s="149"/>
      <c r="B1133" s="150"/>
      <c r="C1133" s="151"/>
      <c r="D1133" s="140"/>
      <c r="E1133" s="152"/>
      <c r="F1133" s="60"/>
      <c r="G1133" s="60"/>
      <c r="H1133" s="60"/>
      <c r="I1133" s="60"/>
      <c r="J1133" s="60"/>
      <c r="K1133" s="60"/>
      <c r="L1133" s="60"/>
      <c r="M1133" s="60"/>
      <c r="N1133" s="60"/>
      <c r="O1133" s="60"/>
      <c r="P1133" s="60"/>
      <c r="Q1133" s="60"/>
      <c r="R1133" s="60"/>
      <c r="S1133" s="60"/>
      <c r="T1133" s="60"/>
      <c r="U1133" s="60"/>
      <c r="V1133" s="60"/>
      <c r="W1133" s="60"/>
      <c r="X1133" s="60"/>
      <c r="Y1133" s="60"/>
      <c r="Z1133" s="60"/>
    </row>
    <row r="1134">
      <c r="A1134" s="149"/>
      <c r="B1134" s="150"/>
      <c r="C1134" s="151"/>
      <c r="D1134" s="140"/>
      <c r="E1134" s="152"/>
      <c r="F1134" s="60"/>
      <c r="G1134" s="60"/>
      <c r="H1134" s="60"/>
      <c r="I1134" s="60"/>
      <c r="J1134" s="60"/>
      <c r="K1134" s="60"/>
      <c r="L1134" s="60"/>
      <c r="M1134" s="60"/>
      <c r="N1134" s="60"/>
      <c r="O1134" s="60"/>
      <c r="P1134" s="60"/>
      <c r="Q1134" s="60"/>
      <c r="R1134" s="60"/>
      <c r="S1134" s="60"/>
      <c r="T1134" s="60"/>
      <c r="U1134" s="60"/>
      <c r="V1134" s="60"/>
      <c r="W1134" s="60"/>
      <c r="X1134" s="60"/>
      <c r="Y1134" s="60"/>
      <c r="Z1134" s="60"/>
    </row>
    <row r="1135">
      <c r="A1135" s="149"/>
      <c r="B1135" s="150"/>
      <c r="C1135" s="151"/>
      <c r="D1135" s="140"/>
      <c r="E1135" s="152"/>
      <c r="F1135" s="60"/>
      <c r="G1135" s="60"/>
      <c r="H1135" s="60"/>
      <c r="I1135" s="60"/>
      <c r="J1135" s="60"/>
      <c r="K1135" s="60"/>
      <c r="L1135" s="60"/>
      <c r="M1135" s="60"/>
      <c r="N1135" s="60"/>
      <c r="O1135" s="60"/>
      <c r="P1135" s="60"/>
      <c r="Q1135" s="60"/>
      <c r="R1135" s="60"/>
      <c r="S1135" s="60"/>
      <c r="T1135" s="60"/>
      <c r="U1135" s="60"/>
      <c r="V1135" s="60"/>
      <c r="W1135" s="60"/>
      <c r="X1135" s="60"/>
      <c r="Y1135" s="60"/>
      <c r="Z1135" s="60"/>
    </row>
    <row r="1136">
      <c r="A1136" s="149"/>
      <c r="B1136" s="150"/>
      <c r="C1136" s="151"/>
      <c r="D1136" s="140"/>
      <c r="E1136" s="152"/>
      <c r="F1136" s="60"/>
      <c r="G1136" s="60"/>
      <c r="H1136" s="60"/>
      <c r="I1136" s="60"/>
      <c r="J1136" s="60"/>
      <c r="K1136" s="60"/>
      <c r="L1136" s="60"/>
      <c r="M1136" s="60"/>
      <c r="N1136" s="60"/>
      <c r="O1136" s="60"/>
      <c r="P1136" s="60"/>
      <c r="Q1136" s="60"/>
      <c r="R1136" s="60"/>
      <c r="S1136" s="60"/>
      <c r="T1136" s="60"/>
      <c r="U1136" s="60"/>
      <c r="V1136" s="60"/>
      <c r="W1136" s="60"/>
      <c r="X1136" s="60"/>
      <c r="Y1136" s="60"/>
      <c r="Z1136" s="60"/>
    </row>
    <row r="1137">
      <c r="A1137" s="149"/>
      <c r="B1137" s="150"/>
      <c r="C1137" s="151"/>
      <c r="D1137" s="140"/>
      <c r="E1137" s="152"/>
      <c r="F1137" s="60"/>
      <c r="G1137" s="60"/>
      <c r="H1137" s="60"/>
      <c r="I1137" s="60"/>
      <c r="J1137" s="60"/>
      <c r="K1137" s="60"/>
      <c r="L1137" s="60"/>
      <c r="M1137" s="60"/>
      <c r="N1137" s="60"/>
      <c r="O1137" s="60"/>
      <c r="P1137" s="60"/>
      <c r="Q1137" s="60"/>
      <c r="R1137" s="60"/>
      <c r="S1137" s="60"/>
      <c r="T1137" s="60"/>
      <c r="U1137" s="60"/>
      <c r="V1137" s="60"/>
      <c r="W1137" s="60"/>
      <c r="X1137" s="60"/>
      <c r="Y1137" s="60"/>
      <c r="Z1137" s="60"/>
    </row>
    <row r="1138">
      <c r="A1138" s="149"/>
      <c r="B1138" s="150"/>
      <c r="C1138" s="151"/>
      <c r="D1138" s="140"/>
      <c r="E1138" s="152"/>
      <c r="F1138" s="60"/>
      <c r="G1138" s="60"/>
      <c r="H1138" s="60"/>
      <c r="I1138" s="60"/>
      <c r="J1138" s="60"/>
      <c r="K1138" s="60"/>
      <c r="L1138" s="60"/>
      <c r="M1138" s="60"/>
      <c r="N1138" s="60"/>
      <c r="O1138" s="60"/>
      <c r="P1138" s="60"/>
      <c r="Q1138" s="60"/>
      <c r="R1138" s="60"/>
      <c r="S1138" s="60"/>
      <c r="T1138" s="60"/>
      <c r="U1138" s="60"/>
      <c r="V1138" s="60"/>
      <c r="W1138" s="60"/>
      <c r="X1138" s="60"/>
      <c r="Y1138" s="60"/>
      <c r="Z1138" s="60"/>
    </row>
    <row r="1139">
      <c r="A1139" s="149"/>
      <c r="B1139" s="150"/>
      <c r="C1139" s="151"/>
      <c r="D1139" s="140"/>
      <c r="E1139" s="152"/>
      <c r="F1139" s="60"/>
      <c r="G1139" s="60"/>
      <c r="H1139" s="60"/>
      <c r="I1139" s="60"/>
      <c r="J1139" s="60"/>
      <c r="K1139" s="60"/>
      <c r="L1139" s="60"/>
      <c r="M1139" s="60"/>
      <c r="N1139" s="60"/>
      <c r="O1139" s="60"/>
      <c r="P1139" s="60"/>
      <c r="Q1139" s="60"/>
      <c r="R1139" s="60"/>
      <c r="S1139" s="60"/>
      <c r="T1139" s="60"/>
      <c r="U1139" s="60"/>
      <c r="V1139" s="60"/>
      <c r="W1139" s="60"/>
      <c r="X1139" s="60"/>
      <c r="Y1139" s="60"/>
      <c r="Z1139" s="60"/>
    </row>
    <row r="1140">
      <c r="A1140" s="149"/>
      <c r="B1140" s="150"/>
      <c r="C1140" s="151"/>
      <c r="D1140" s="140"/>
      <c r="E1140" s="152"/>
      <c r="F1140" s="60"/>
      <c r="G1140" s="60"/>
      <c r="H1140" s="60"/>
      <c r="I1140" s="60"/>
      <c r="J1140" s="60"/>
      <c r="K1140" s="60"/>
      <c r="L1140" s="60"/>
      <c r="M1140" s="60"/>
      <c r="N1140" s="60"/>
      <c r="O1140" s="60"/>
      <c r="P1140" s="60"/>
      <c r="Q1140" s="60"/>
      <c r="R1140" s="60"/>
      <c r="S1140" s="60"/>
      <c r="T1140" s="60"/>
      <c r="U1140" s="60"/>
      <c r="V1140" s="60"/>
      <c r="W1140" s="60"/>
      <c r="X1140" s="60"/>
      <c r="Y1140" s="60"/>
      <c r="Z1140" s="60"/>
    </row>
    <row r="1141">
      <c r="A1141" s="149"/>
      <c r="B1141" s="150"/>
      <c r="C1141" s="151"/>
      <c r="D1141" s="140"/>
      <c r="E1141" s="152"/>
      <c r="F1141" s="60"/>
      <c r="G1141" s="60"/>
      <c r="H1141" s="60"/>
      <c r="I1141" s="60"/>
      <c r="J1141" s="60"/>
      <c r="K1141" s="60"/>
      <c r="L1141" s="60"/>
      <c r="M1141" s="60"/>
      <c r="N1141" s="60"/>
      <c r="O1141" s="60"/>
      <c r="P1141" s="60"/>
      <c r="Q1141" s="60"/>
      <c r="R1141" s="60"/>
      <c r="S1141" s="60"/>
      <c r="T1141" s="60"/>
      <c r="U1141" s="60"/>
      <c r="V1141" s="60"/>
      <c r="W1141" s="60"/>
      <c r="X1141" s="60"/>
      <c r="Y1141" s="60"/>
      <c r="Z1141" s="60"/>
    </row>
    <row r="1142">
      <c r="A1142" s="149"/>
      <c r="B1142" s="150"/>
      <c r="C1142" s="151"/>
      <c r="D1142" s="140"/>
      <c r="E1142" s="152"/>
      <c r="F1142" s="60"/>
      <c r="G1142" s="60"/>
      <c r="H1142" s="60"/>
      <c r="I1142" s="60"/>
      <c r="J1142" s="60"/>
      <c r="K1142" s="60"/>
      <c r="L1142" s="60"/>
      <c r="M1142" s="60"/>
      <c r="N1142" s="60"/>
      <c r="O1142" s="60"/>
      <c r="P1142" s="60"/>
      <c r="Q1142" s="60"/>
      <c r="R1142" s="60"/>
      <c r="S1142" s="60"/>
      <c r="T1142" s="60"/>
      <c r="U1142" s="60"/>
      <c r="V1142" s="60"/>
      <c r="W1142" s="60"/>
      <c r="X1142" s="60"/>
      <c r="Y1142" s="60"/>
      <c r="Z1142" s="60"/>
    </row>
    <row r="1143">
      <c r="A1143" s="149"/>
      <c r="B1143" s="150"/>
      <c r="C1143" s="151"/>
      <c r="D1143" s="140"/>
      <c r="E1143" s="152"/>
      <c r="F1143" s="60"/>
      <c r="G1143" s="60"/>
      <c r="H1143" s="60"/>
      <c r="I1143" s="60"/>
      <c r="J1143" s="60"/>
      <c r="K1143" s="60"/>
      <c r="L1143" s="60"/>
      <c r="M1143" s="60"/>
      <c r="N1143" s="60"/>
      <c r="O1143" s="60"/>
      <c r="P1143" s="60"/>
      <c r="Q1143" s="60"/>
      <c r="R1143" s="60"/>
      <c r="S1143" s="60"/>
      <c r="T1143" s="60"/>
      <c r="U1143" s="60"/>
      <c r="V1143" s="60"/>
      <c r="W1143" s="60"/>
      <c r="X1143" s="60"/>
      <c r="Y1143" s="60"/>
      <c r="Z1143" s="60"/>
    </row>
    <row r="1144">
      <c r="A1144" s="149"/>
      <c r="B1144" s="150"/>
      <c r="C1144" s="151"/>
      <c r="D1144" s="140"/>
      <c r="E1144" s="152"/>
      <c r="F1144" s="60"/>
      <c r="G1144" s="60"/>
      <c r="H1144" s="60"/>
      <c r="I1144" s="60"/>
      <c r="J1144" s="60"/>
      <c r="K1144" s="60"/>
      <c r="L1144" s="60"/>
      <c r="M1144" s="60"/>
      <c r="N1144" s="60"/>
      <c r="O1144" s="60"/>
      <c r="P1144" s="60"/>
      <c r="Q1144" s="60"/>
      <c r="R1144" s="60"/>
      <c r="S1144" s="60"/>
      <c r="T1144" s="60"/>
      <c r="U1144" s="60"/>
      <c r="V1144" s="60"/>
      <c r="W1144" s="60"/>
      <c r="X1144" s="60"/>
      <c r="Y1144" s="60"/>
      <c r="Z1144" s="60"/>
    </row>
    <row r="1145">
      <c r="A1145" s="149"/>
      <c r="B1145" s="150"/>
      <c r="C1145" s="151"/>
      <c r="D1145" s="140"/>
      <c r="E1145" s="152"/>
      <c r="F1145" s="60"/>
      <c r="G1145" s="60"/>
      <c r="H1145" s="60"/>
      <c r="I1145" s="60"/>
      <c r="J1145" s="60"/>
      <c r="K1145" s="60"/>
      <c r="L1145" s="60"/>
      <c r="M1145" s="60"/>
      <c r="N1145" s="60"/>
      <c r="O1145" s="60"/>
      <c r="P1145" s="60"/>
      <c r="Q1145" s="60"/>
      <c r="R1145" s="60"/>
      <c r="S1145" s="60"/>
      <c r="T1145" s="60"/>
      <c r="U1145" s="60"/>
      <c r="V1145" s="60"/>
      <c r="W1145" s="60"/>
      <c r="X1145" s="60"/>
      <c r="Y1145" s="60"/>
      <c r="Z1145" s="60"/>
    </row>
    <row r="1146">
      <c r="A1146" s="149"/>
      <c r="B1146" s="150"/>
      <c r="C1146" s="151"/>
      <c r="D1146" s="140"/>
      <c r="E1146" s="152"/>
      <c r="F1146" s="60"/>
      <c r="G1146" s="60"/>
      <c r="H1146" s="60"/>
      <c r="I1146" s="60"/>
      <c r="J1146" s="60"/>
      <c r="K1146" s="60"/>
      <c r="L1146" s="60"/>
      <c r="M1146" s="60"/>
      <c r="N1146" s="60"/>
      <c r="O1146" s="60"/>
      <c r="P1146" s="60"/>
      <c r="Q1146" s="60"/>
      <c r="R1146" s="60"/>
      <c r="S1146" s="60"/>
      <c r="T1146" s="60"/>
      <c r="U1146" s="60"/>
      <c r="V1146" s="60"/>
      <c r="W1146" s="60"/>
      <c r="X1146" s="60"/>
      <c r="Y1146" s="60"/>
      <c r="Z1146" s="60"/>
    </row>
    <row r="1147">
      <c r="A1147" s="149"/>
      <c r="B1147" s="150"/>
      <c r="C1147" s="151"/>
      <c r="D1147" s="140"/>
      <c r="E1147" s="152"/>
      <c r="F1147" s="60"/>
      <c r="G1147" s="60"/>
      <c r="H1147" s="60"/>
      <c r="I1147" s="60"/>
      <c r="J1147" s="60"/>
      <c r="K1147" s="60"/>
      <c r="L1147" s="60"/>
      <c r="M1147" s="60"/>
      <c r="N1147" s="60"/>
      <c r="O1147" s="60"/>
      <c r="P1147" s="60"/>
      <c r="Q1147" s="60"/>
      <c r="R1147" s="60"/>
      <c r="S1147" s="60"/>
      <c r="T1147" s="60"/>
      <c r="U1147" s="60"/>
      <c r="V1147" s="60"/>
      <c r="W1147" s="60"/>
      <c r="X1147" s="60"/>
      <c r="Y1147" s="60"/>
      <c r="Z1147" s="60"/>
    </row>
    <row r="1148">
      <c r="A1148" s="149"/>
      <c r="B1148" s="150"/>
      <c r="C1148" s="151"/>
      <c r="D1148" s="140"/>
      <c r="E1148" s="152"/>
      <c r="F1148" s="60"/>
      <c r="G1148" s="60"/>
      <c r="H1148" s="60"/>
      <c r="I1148" s="60"/>
      <c r="J1148" s="60"/>
      <c r="K1148" s="60"/>
      <c r="L1148" s="60"/>
      <c r="M1148" s="60"/>
      <c r="N1148" s="60"/>
      <c r="O1148" s="60"/>
      <c r="P1148" s="60"/>
      <c r="Q1148" s="60"/>
      <c r="R1148" s="60"/>
      <c r="S1148" s="60"/>
      <c r="T1148" s="60"/>
      <c r="U1148" s="60"/>
      <c r="V1148" s="60"/>
      <c r="W1148" s="60"/>
      <c r="X1148" s="60"/>
      <c r="Y1148" s="60"/>
      <c r="Z1148" s="60"/>
    </row>
    <row r="1149">
      <c r="A1149" s="149"/>
      <c r="B1149" s="150"/>
      <c r="C1149" s="151"/>
      <c r="D1149" s="140"/>
      <c r="E1149" s="152"/>
      <c r="F1149" s="60"/>
      <c r="G1149" s="60"/>
      <c r="H1149" s="60"/>
      <c r="I1149" s="60"/>
      <c r="J1149" s="60"/>
      <c r="K1149" s="60"/>
      <c r="L1149" s="60"/>
      <c r="M1149" s="60"/>
      <c r="N1149" s="60"/>
      <c r="O1149" s="60"/>
      <c r="P1149" s="60"/>
      <c r="Q1149" s="60"/>
      <c r="R1149" s="60"/>
      <c r="S1149" s="60"/>
      <c r="T1149" s="60"/>
      <c r="U1149" s="60"/>
      <c r="V1149" s="60"/>
      <c r="W1149" s="60"/>
      <c r="X1149" s="60"/>
      <c r="Y1149" s="60"/>
      <c r="Z1149" s="60"/>
    </row>
    <row r="1150">
      <c r="A1150" s="149"/>
      <c r="B1150" s="150"/>
      <c r="C1150" s="151"/>
      <c r="D1150" s="140"/>
      <c r="E1150" s="152"/>
      <c r="F1150" s="60"/>
      <c r="G1150" s="60"/>
      <c r="H1150" s="60"/>
      <c r="I1150" s="60"/>
      <c r="J1150" s="60"/>
      <c r="K1150" s="60"/>
      <c r="L1150" s="60"/>
      <c r="M1150" s="60"/>
      <c r="N1150" s="60"/>
      <c r="O1150" s="60"/>
      <c r="P1150" s="60"/>
      <c r="Q1150" s="60"/>
      <c r="R1150" s="60"/>
      <c r="S1150" s="60"/>
      <c r="T1150" s="60"/>
      <c r="U1150" s="60"/>
      <c r="V1150" s="60"/>
      <c r="W1150" s="60"/>
      <c r="X1150" s="60"/>
      <c r="Y1150" s="60"/>
      <c r="Z1150" s="60"/>
    </row>
    <row r="1151">
      <c r="A1151" s="149"/>
      <c r="B1151" s="150"/>
      <c r="C1151" s="151"/>
      <c r="D1151" s="140"/>
      <c r="E1151" s="152"/>
      <c r="F1151" s="60"/>
      <c r="G1151" s="60"/>
      <c r="H1151" s="60"/>
      <c r="I1151" s="60"/>
      <c r="J1151" s="60"/>
      <c r="K1151" s="60"/>
      <c r="L1151" s="60"/>
      <c r="M1151" s="60"/>
      <c r="N1151" s="60"/>
      <c r="O1151" s="60"/>
      <c r="P1151" s="60"/>
      <c r="Q1151" s="60"/>
      <c r="R1151" s="60"/>
      <c r="S1151" s="60"/>
      <c r="T1151" s="60"/>
      <c r="U1151" s="60"/>
      <c r="V1151" s="60"/>
      <c r="W1151" s="60"/>
      <c r="X1151" s="60"/>
      <c r="Y1151" s="60"/>
      <c r="Z1151" s="60"/>
    </row>
    <row r="1152">
      <c r="A1152" s="149"/>
      <c r="B1152" s="150"/>
      <c r="C1152" s="151"/>
      <c r="D1152" s="140"/>
      <c r="E1152" s="152"/>
      <c r="F1152" s="60"/>
      <c r="G1152" s="60"/>
      <c r="H1152" s="60"/>
      <c r="I1152" s="60"/>
      <c r="J1152" s="60"/>
      <c r="K1152" s="60"/>
      <c r="L1152" s="60"/>
      <c r="M1152" s="60"/>
      <c r="N1152" s="60"/>
      <c r="O1152" s="60"/>
      <c r="P1152" s="60"/>
      <c r="Q1152" s="60"/>
      <c r="R1152" s="60"/>
      <c r="S1152" s="60"/>
      <c r="T1152" s="60"/>
      <c r="U1152" s="60"/>
      <c r="V1152" s="60"/>
      <c r="W1152" s="60"/>
      <c r="X1152" s="60"/>
      <c r="Y1152" s="60"/>
      <c r="Z1152" s="60"/>
    </row>
    <row r="1153">
      <c r="A1153" s="149"/>
      <c r="B1153" s="150"/>
      <c r="C1153" s="151"/>
      <c r="D1153" s="140"/>
      <c r="E1153" s="152"/>
      <c r="F1153" s="60"/>
      <c r="G1153" s="60"/>
      <c r="H1153" s="60"/>
      <c r="I1153" s="60"/>
      <c r="J1153" s="60"/>
      <c r="K1153" s="60"/>
      <c r="L1153" s="60"/>
      <c r="M1153" s="60"/>
      <c r="N1153" s="60"/>
      <c r="O1153" s="60"/>
      <c r="P1153" s="60"/>
      <c r="Q1153" s="60"/>
      <c r="R1153" s="60"/>
      <c r="S1153" s="60"/>
      <c r="T1153" s="60"/>
      <c r="U1153" s="60"/>
      <c r="V1153" s="60"/>
      <c r="W1153" s="60"/>
      <c r="X1153" s="60"/>
      <c r="Y1153" s="60"/>
      <c r="Z1153" s="60"/>
    </row>
    <row r="1154">
      <c r="A1154" s="149"/>
      <c r="B1154" s="150"/>
      <c r="C1154" s="151"/>
      <c r="D1154" s="140"/>
      <c r="E1154" s="152"/>
      <c r="F1154" s="60"/>
      <c r="G1154" s="60"/>
      <c r="H1154" s="60"/>
      <c r="I1154" s="60"/>
      <c r="J1154" s="60"/>
      <c r="K1154" s="60"/>
      <c r="L1154" s="60"/>
      <c r="M1154" s="60"/>
      <c r="N1154" s="60"/>
      <c r="O1154" s="60"/>
      <c r="P1154" s="60"/>
      <c r="Q1154" s="60"/>
      <c r="R1154" s="60"/>
      <c r="S1154" s="60"/>
      <c r="T1154" s="60"/>
      <c r="U1154" s="60"/>
      <c r="V1154" s="60"/>
      <c r="W1154" s="60"/>
      <c r="X1154" s="60"/>
      <c r="Y1154" s="60"/>
      <c r="Z1154" s="60"/>
    </row>
    <row r="1155">
      <c r="A1155" s="149"/>
      <c r="B1155" s="150"/>
      <c r="C1155" s="151"/>
      <c r="D1155" s="140"/>
      <c r="E1155" s="152"/>
      <c r="F1155" s="60"/>
      <c r="G1155" s="60"/>
      <c r="H1155" s="60"/>
      <c r="I1155" s="60"/>
      <c r="J1155" s="60"/>
      <c r="K1155" s="60"/>
      <c r="L1155" s="60"/>
      <c r="M1155" s="60"/>
      <c r="N1155" s="60"/>
      <c r="O1155" s="60"/>
      <c r="P1155" s="60"/>
      <c r="Q1155" s="60"/>
      <c r="R1155" s="60"/>
      <c r="S1155" s="60"/>
      <c r="T1155" s="60"/>
      <c r="U1155" s="60"/>
      <c r="V1155" s="60"/>
      <c r="W1155" s="60"/>
      <c r="X1155" s="60"/>
      <c r="Y1155" s="60"/>
      <c r="Z1155" s="60"/>
    </row>
    <row r="1156">
      <c r="A1156" s="149"/>
      <c r="B1156" s="150"/>
      <c r="C1156" s="151"/>
      <c r="D1156" s="140"/>
      <c r="E1156" s="152"/>
      <c r="F1156" s="60"/>
      <c r="G1156" s="60"/>
      <c r="H1156" s="60"/>
      <c r="I1156" s="60"/>
      <c r="J1156" s="60"/>
      <c r="K1156" s="60"/>
      <c r="L1156" s="60"/>
      <c r="M1156" s="60"/>
      <c r="N1156" s="60"/>
      <c r="O1156" s="60"/>
      <c r="P1156" s="60"/>
      <c r="Q1156" s="60"/>
      <c r="R1156" s="60"/>
      <c r="S1156" s="60"/>
      <c r="T1156" s="60"/>
      <c r="U1156" s="60"/>
      <c r="V1156" s="60"/>
      <c r="W1156" s="60"/>
      <c r="X1156" s="60"/>
      <c r="Y1156" s="60"/>
      <c r="Z1156" s="60"/>
    </row>
    <row r="1157">
      <c r="A1157" s="149"/>
      <c r="B1157" s="150"/>
      <c r="C1157" s="151"/>
      <c r="D1157" s="140"/>
      <c r="E1157" s="152"/>
      <c r="F1157" s="60"/>
      <c r="G1157" s="60"/>
      <c r="H1157" s="60"/>
      <c r="I1157" s="60"/>
      <c r="J1157" s="60"/>
      <c r="K1157" s="60"/>
      <c r="L1157" s="60"/>
      <c r="M1157" s="60"/>
      <c r="N1157" s="60"/>
      <c r="O1157" s="60"/>
      <c r="P1157" s="60"/>
      <c r="Q1157" s="60"/>
      <c r="R1157" s="60"/>
      <c r="S1157" s="60"/>
      <c r="T1157" s="60"/>
      <c r="U1157" s="60"/>
      <c r="V1157" s="60"/>
      <c r="W1157" s="60"/>
      <c r="X1157" s="60"/>
      <c r="Y1157" s="60"/>
      <c r="Z1157" s="60"/>
    </row>
    <row r="1158">
      <c r="A1158" s="149"/>
      <c r="B1158" s="150"/>
      <c r="C1158" s="151"/>
      <c r="D1158" s="140"/>
      <c r="E1158" s="152"/>
      <c r="F1158" s="60"/>
      <c r="G1158" s="60"/>
      <c r="H1158" s="60"/>
      <c r="I1158" s="60"/>
      <c r="J1158" s="60"/>
      <c r="K1158" s="60"/>
      <c r="L1158" s="60"/>
      <c r="M1158" s="60"/>
      <c r="N1158" s="60"/>
      <c r="O1158" s="60"/>
      <c r="P1158" s="60"/>
      <c r="Q1158" s="60"/>
      <c r="R1158" s="60"/>
      <c r="S1158" s="60"/>
      <c r="T1158" s="60"/>
      <c r="U1158" s="60"/>
      <c r="V1158" s="60"/>
      <c r="W1158" s="60"/>
      <c r="X1158" s="60"/>
      <c r="Y1158" s="60"/>
      <c r="Z1158" s="60"/>
    </row>
    <row r="1159">
      <c r="A1159" s="149"/>
      <c r="B1159" s="150"/>
      <c r="C1159" s="151"/>
      <c r="D1159" s="140"/>
      <c r="E1159" s="152"/>
      <c r="F1159" s="60"/>
      <c r="G1159" s="60"/>
      <c r="H1159" s="60"/>
      <c r="I1159" s="60"/>
      <c r="J1159" s="60"/>
      <c r="K1159" s="60"/>
      <c r="L1159" s="60"/>
      <c r="M1159" s="60"/>
      <c r="N1159" s="60"/>
      <c r="O1159" s="60"/>
      <c r="P1159" s="60"/>
      <c r="Q1159" s="60"/>
      <c r="R1159" s="60"/>
      <c r="S1159" s="60"/>
      <c r="T1159" s="60"/>
      <c r="U1159" s="60"/>
      <c r="V1159" s="60"/>
      <c r="W1159" s="60"/>
      <c r="X1159" s="60"/>
      <c r="Y1159" s="60"/>
      <c r="Z1159" s="60"/>
    </row>
    <row r="1160">
      <c r="A1160" s="149"/>
      <c r="B1160" s="150"/>
      <c r="C1160" s="151"/>
      <c r="D1160" s="140"/>
      <c r="E1160" s="152"/>
      <c r="F1160" s="60"/>
      <c r="G1160" s="60"/>
      <c r="H1160" s="60"/>
      <c r="I1160" s="60"/>
      <c r="J1160" s="60"/>
      <c r="K1160" s="60"/>
      <c r="L1160" s="60"/>
      <c r="M1160" s="60"/>
      <c r="N1160" s="60"/>
      <c r="O1160" s="60"/>
      <c r="P1160" s="60"/>
      <c r="Q1160" s="60"/>
      <c r="R1160" s="60"/>
      <c r="S1160" s="60"/>
      <c r="T1160" s="60"/>
      <c r="U1160" s="60"/>
      <c r="V1160" s="60"/>
      <c r="W1160" s="60"/>
      <c r="X1160" s="60"/>
      <c r="Y1160" s="60"/>
      <c r="Z1160" s="60"/>
    </row>
    <row r="1161">
      <c r="A1161" s="149"/>
      <c r="B1161" s="150"/>
      <c r="C1161" s="151"/>
      <c r="D1161" s="140"/>
      <c r="E1161" s="152"/>
      <c r="F1161" s="60"/>
      <c r="G1161" s="60"/>
      <c r="H1161" s="60"/>
      <c r="I1161" s="60"/>
      <c r="J1161" s="60"/>
      <c r="K1161" s="60"/>
      <c r="L1161" s="60"/>
      <c r="M1161" s="60"/>
      <c r="N1161" s="60"/>
      <c r="O1161" s="60"/>
      <c r="P1161" s="60"/>
      <c r="Q1161" s="60"/>
      <c r="R1161" s="60"/>
      <c r="S1161" s="60"/>
      <c r="T1161" s="60"/>
      <c r="U1161" s="60"/>
      <c r="V1161" s="60"/>
      <c r="W1161" s="60"/>
      <c r="X1161" s="60"/>
      <c r="Y1161" s="60"/>
      <c r="Z1161" s="60"/>
    </row>
    <row r="1162">
      <c r="A1162" s="149"/>
      <c r="B1162" s="150"/>
      <c r="C1162" s="151"/>
      <c r="D1162" s="140"/>
      <c r="E1162" s="152"/>
      <c r="F1162" s="60"/>
      <c r="G1162" s="60"/>
      <c r="H1162" s="60"/>
      <c r="I1162" s="60"/>
      <c r="J1162" s="60"/>
      <c r="K1162" s="60"/>
      <c r="L1162" s="60"/>
      <c r="M1162" s="60"/>
      <c r="N1162" s="60"/>
      <c r="O1162" s="60"/>
      <c r="P1162" s="60"/>
      <c r="Q1162" s="60"/>
      <c r="R1162" s="60"/>
      <c r="S1162" s="60"/>
      <c r="T1162" s="60"/>
      <c r="U1162" s="60"/>
      <c r="V1162" s="60"/>
      <c r="W1162" s="60"/>
      <c r="X1162" s="60"/>
      <c r="Y1162" s="60"/>
      <c r="Z1162" s="60"/>
    </row>
    <row r="1163">
      <c r="A1163" s="149"/>
      <c r="B1163" s="150"/>
      <c r="C1163" s="151"/>
      <c r="D1163" s="140"/>
      <c r="E1163" s="152"/>
      <c r="F1163" s="60"/>
      <c r="G1163" s="60"/>
      <c r="H1163" s="60"/>
      <c r="I1163" s="60"/>
      <c r="J1163" s="60"/>
      <c r="K1163" s="60"/>
      <c r="L1163" s="60"/>
      <c r="M1163" s="60"/>
      <c r="N1163" s="60"/>
      <c r="O1163" s="60"/>
      <c r="P1163" s="60"/>
      <c r="Q1163" s="60"/>
      <c r="R1163" s="60"/>
      <c r="S1163" s="60"/>
      <c r="T1163" s="60"/>
      <c r="U1163" s="60"/>
      <c r="V1163" s="60"/>
      <c r="W1163" s="60"/>
      <c r="X1163" s="60"/>
      <c r="Y1163" s="60"/>
      <c r="Z1163" s="60"/>
    </row>
    <row r="1164">
      <c r="A1164" s="149"/>
      <c r="B1164" s="150"/>
      <c r="C1164" s="151"/>
      <c r="D1164" s="140"/>
      <c r="E1164" s="152"/>
      <c r="F1164" s="60"/>
      <c r="G1164" s="60"/>
      <c r="H1164" s="60"/>
      <c r="I1164" s="60"/>
      <c r="J1164" s="60"/>
      <c r="K1164" s="60"/>
      <c r="L1164" s="60"/>
      <c r="M1164" s="60"/>
      <c r="N1164" s="60"/>
      <c r="O1164" s="60"/>
      <c r="P1164" s="60"/>
      <c r="Q1164" s="60"/>
      <c r="R1164" s="60"/>
      <c r="S1164" s="60"/>
      <c r="T1164" s="60"/>
      <c r="U1164" s="60"/>
      <c r="V1164" s="60"/>
      <c r="W1164" s="60"/>
      <c r="X1164" s="60"/>
      <c r="Y1164" s="60"/>
      <c r="Z1164" s="60"/>
    </row>
    <row r="1165">
      <c r="A1165" s="149"/>
      <c r="B1165" s="150"/>
      <c r="C1165" s="151"/>
      <c r="D1165" s="140"/>
      <c r="E1165" s="152"/>
      <c r="F1165" s="60"/>
      <c r="G1165" s="60"/>
      <c r="H1165" s="60"/>
      <c r="I1165" s="60"/>
      <c r="J1165" s="60"/>
      <c r="K1165" s="60"/>
      <c r="L1165" s="60"/>
      <c r="M1165" s="60"/>
      <c r="N1165" s="60"/>
      <c r="O1165" s="60"/>
      <c r="P1165" s="60"/>
      <c r="Q1165" s="60"/>
      <c r="R1165" s="60"/>
      <c r="S1165" s="60"/>
      <c r="T1165" s="60"/>
      <c r="U1165" s="60"/>
      <c r="V1165" s="60"/>
      <c r="W1165" s="60"/>
      <c r="X1165" s="60"/>
      <c r="Y1165" s="60"/>
      <c r="Z1165" s="60"/>
    </row>
    <row r="1166">
      <c r="A1166" s="149"/>
      <c r="B1166" s="150"/>
      <c r="C1166" s="151"/>
      <c r="D1166" s="140"/>
      <c r="E1166" s="152"/>
      <c r="F1166" s="60"/>
      <c r="G1166" s="60"/>
      <c r="H1166" s="60"/>
      <c r="I1166" s="60"/>
      <c r="J1166" s="60"/>
      <c r="K1166" s="60"/>
      <c r="L1166" s="60"/>
      <c r="M1166" s="60"/>
      <c r="N1166" s="60"/>
      <c r="O1166" s="60"/>
      <c r="P1166" s="60"/>
      <c r="Q1166" s="60"/>
      <c r="R1166" s="60"/>
      <c r="S1166" s="60"/>
      <c r="T1166" s="60"/>
      <c r="U1166" s="60"/>
      <c r="V1166" s="60"/>
      <c r="W1166" s="60"/>
      <c r="X1166" s="60"/>
      <c r="Y1166" s="60"/>
      <c r="Z1166" s="60"/>
    </row>
    <row r="1167">
      <c r="A1167" s="149"/>
      <c r="B1167" s="150"/>
      <c r="C1167" s="151"/>
      <c r="D1167" s="140"/>
      <c r="E1167" s="152"/>
      <c r="F1167" s="60"/>
      <c r="G1167" s="60"/>
      <c r="H1167" s="60"/>
      <c r="I1167" s="60"/>
      <c r="J1167" s="60"/>
      <c r="K1167" s="60"/>
      <c r="L1167" s="60"/>
      <c r="M1167" s="60"/>
      <c r="N1167" s="60"/>
      <c r="O1167" s="60"/>
      <c r="P1167" s="60"/>
      <c r="Q1167" s="60"/>
      <c r="R1167" s="60"/>
      <c r="S1167" s="60"/>
      <c r="T1167" s="60"/>
      <c r="U1167" s="60"/>
      <c r="V1167" s="60"/>
      <c r="W1167" s="60"/>
      <c r="X1167" s="60"/>
      <c r="Y1167" s="60"/>
      <c r="Z1167" s="60"/>
    </row>
    <row r="1168">
      <c r="A1168" s="149"/>
      <c r="B1168" s="150"/>
      <c r="C1168" s="151"/>
      <c r="D1168" s="140"/>
      <c r="E1168" s="152"/>
      <c r="F1168" s="60"/>
      <c r="G1168" s="60"/>
      <c r="H1168" s="60"/>
      <c r="I1168" s="60"/>
      <c r="J1168" s="60"/>
      <c r="K1168" s="60"/>
      <c r="L1168" s="60"/>
      <c r="M1168" s="60"/>
      <c r="N1168" s="60"/>
      <c r="O1168" s="60"/>
      <c r="P1168" s="60"/>
      <c r="Q1168" s="60"/>
      <c r="R1168" s="60"/>
      <c r="S1168" s="60"/>
      <c r="T1168" s="60"/>
      <c r="U1168" s="60"/>
      <c r="V1168" s="60"/>
      <c r="W1168" s="60"/>
      <c r="X1168" s="60"/>
      <c r="Y1168" s="60"/>
      <c r="Z1168" s="60"/>
    </row>
    <row r="1169">
      <c r="A1169" s="149"/>
      <c r="B1169" s="150"/>
      <c r="C1169" s="151"/>
      <c r="D1169" s="140"/>
      <c r="E1169" s="152"/>
      <c r="F1169" s="60"/>
      <c r="G1169" s="60"/>
      <c r="H1169" s="60"/>
      <c r="I1169" s="60"/>
      <c r="J1169" s="60"/>
      <c r="K1169" s="60"/>
      <c r="L1169" s="60"/>
      <c r="M1169" s="60"/>
      <c r="N1169" s="60"/>
      <c r="O1169" s="60"/>
      <c r="P1169" s="60"/>
      <c r="Q1169" s="60"/>
      <c r="R1169" s="60"/>
      <c r="S1169" s="60"/>
      <c r="T1169" s="60"/>
      <c r="U1169" s="60"/>
      <c r="V1169" s="60"/>
      <c r="W1169" s="60"/>
      <c r="X1169" s="60"/>
      <c r="Y1169" s="60"/>
      <c r="Z1169" s="60"/>
    </row>
    <row r="1170">
      <c r="A1170" s="149"/>
      <c r="B1170" s="150"/>
      <c r="C1170" s="151"/>
      <c r="D1170" s="140"/>
      <c r="E1170" s="152"/>
      <c r="F1170" s="60"/>
      <c r="G1170" s="60"/>
      <c r="H1170" s="60"/>
      <c r="I1170" s="60"/>
      <c r="J1170" s="60"/>
      <c r="K1170" s="60"/>
      <c r="L1170" s="60"/>
      <c r="M1170" s="60"/>
      <c r="N1170" s="60"/>
      <c r="O1170" s="60"/>
      <c r="P1170" s="60"/>
      <c r="Q1170" s="60"/>
      <c r="R1170" s="60"/>
      <c r="S1170" s="60"/>
      <c r="T1170" s="60"/>
      <c r="U1170" s="60"/>
      <c r="V1170" s="60"/>
      <c r="W1170" s="60"/>
      <c r="X1170" s="60"/>
      <c r="Y1170" s="60"/>
      <c r="Z1170" s="60"/>
    </row>
    <row r="1171">
      <c r="A1171" s="149"/>
      <c r="B1171" s="150"/>
      <c r="C1171" s="151"/>
      <c r="D1171" s="140"/>
      <c r="E1171" s="152"/>
      <c r="F1171" s="60"/>
      <c r="G1171" s="60"/>
      <c r="H1171" s="60"/>
      <c r="I1171" s="60"/>
      <c r="J1171" s="60"/>
      <c r="K1171" s="60"/>
      <c r="L1171" s="60"/>
      <c r="M1171" s="60"/>
      <c r="N1171" s="60"/>
      <c r="O1171" s="60"/>
      <c r="P1171" s="60"/>
      <c r="Q1171" s="60"/>
      <c r="R1171" s="60"/>
      <c r="S1171" s="60"/>
      <c r="T1171" s="60"/>
      <c r="U1171" s="60"/>
      <c r="V1171" s="60"/>
      <c r="W1171" s="60"/>
      <c r="X1171" s="60"/>
      <c r="Y1171" s="60"/>
      <c r="Z1171" s="60"/>
    </row>
    <row r="1172">
      <c r="A1172" s="149"/>
      <c r="B1172" s="150"/>
      <c r="C1172" s="151"/>
      <c r="D1172" s="140"/>
      <c r="E1172" s="152"/>
      <c r="F1172" s="60"/>
      <c r="G1172" s="60"/>
      <c r="H1172" s="60"/>
      <c r="I1172" s="60"/>
      <c r="J1172" s="60"/>
      <c r="K1172" s="60"/>
      <c r="L1172" s="60"/>
      <c r="M1172" s="60"/>
      <c r="N1172" s="60"/>
      <c r="O1172" s="60"/>
      <c r="P1172" s="60"/>
      <c r="Q1172" s="60"/>
      <c r="R1172" s="60"/>
      <c r="S1172" s="60"/>
      <c r="T1172" s="60"/>
      <c r="U1172" s="60"/>
      <c r="V1172" s="60"/>
      <c r="W1172" s="60"/>
      <c r="X1172" s="60"/>
      <c r="Y1172" s="60"/>
      <c r="Z1172" s="60"/>
    </row>
    <row r="1173">
      <c r="A1173" s="149"/>
      <c r="B1173" s="150"/>
      <c r="C1173" s="151"/>
      <c r="D1173" s="140"/>
      <c r="E1173" s="152"/>
      <c r="F1173" s="60"/>
      <c r="G1173" s="60"/>
      <c r="H1173" s="60"/>
      <c r="I1173" s="60"/>
      <c r="J1173" s="60"/>
      <c r="K1173" s="60"/>
      <c r="L1173" s="60"/>
      <c r="M1173" s="60"/>
      <c r="N1173" s="60"/>
      <c r="O1173" s="60"/>
      <c r="P1173" s="60"/>
      <c r="Q1173" s="60"/>
      <c r="R1173" s="60"/>
      <c r="S1173" s="60"/>
      <c r="T1173" s="60"/>
      <c r="U1173" s="60"/>
      <c r="V1173" s="60"/>
      <c r="W1173" s="60"/>
      <c r="X1173" s="60"/>
      <c r="Y1173" s="60"/>
      <c r="Z1173" s="60"/>
    </row>
    <row r="1174">
      <c r="A1174" s="149"/>
      <c r="B1174" s="150"/>
      <c r="C1174" s="151"/>
      <c r="D1174" s="140"/>
      <c r="E1174" s="152"/>
      <c r="F1174" s="60"/>
      <c r="G1174" s="60"/>
      <c r="H1174" s="60"/>
      <c r="I1174" s="60"/>
      <c r="J1174" s="60"/>
      <c r="K1174" s="60"/>
      <c r="L1174" s="60"/>
      <c r="M1174" s="60"/>
      <c r="N1174" s="60"/>
      <c r="O1174" s="60"/>
      <c r="P1174" s="60"/>
      <c r="Q1174" s="60"/>
      <c r="R1174" s="60"/>
      <c r="S1174" s="60"/>
      <c r="T1174" s="60"/>
      <c r="U1174" s="60"/>
      <c r="V1174" s="60"/>
      <c r="W1174" s="60"/>
      <c r="X1174" s="60"/>
      <c r="Y1174" s="60"/>
      <c r="Z1174" s="60"/>
    </row>
    <row r="1175">
      <c r="A1175" s="149"/>
      <c r="B1175" s="150"/>
      <c r="C1175" s="151"/>
      <c r="D1175" s="140"/>
      <c r="E1175" s="152"/>
      <c r="F1175" s="60"/>
      <c r="G1175" s="60"/>
      <c r="H1175" s="60"/>
      <c r="I1175" s="60"/>
      <c r="J1175" s="60"/>
      <c r="K1175" s="60"/>
      <c r="L1175" s="60"/>
      <c r="M1175" s="60"/>
      <c r="N1175" s="60"/>
      <c r="O1175" s="60"/>
      <c r="P1175" s="60"/>
      <c r="Q1175" s="60"/>
      <c r="R1175" s="60"/>
      <c r="S1175" s="60"/>
      <c r="T1175" s="60"/>
      <c r="U1175" s="60"/>
      <c r="V1175" s="60"/>
      <c r="W1175" s="60"/>
      <c r="X1175" s="60"/>
      <c r="Y1175" s="60"/>
      <c r="Z1175" s="60"/>
    </row>
    <row r="1176">
      <c r="A1176" s="149"/>
      <c r="B1176" s="150"/>
      <c r="C1176" s="151"/>
      <c r="D1176" s="140"/>
      <c r="E1176" s="152"/>
      <c r="F1176" s="60"/>
      <c r="G1176" s="60"/>
      <c r="H1176" s="60"/>
      <c r="I1176" s="60"/>
      <c r="J1176" s="60"/>
      <c r="K1176" s="60"/>
      <c r="L1176" s="60"/>
      <c r="M1176" s="60"/>
      <c r="N1176" s="60"/>
      <c r="O1176" s="60"/>
      <c r="P1176" s="60"/>
      <c r="Q1176" s="60"/>
      <c r="R1176" s="60"/>
      <c r="S1176" s="60"/>
      <c r="T1176" s="60"/>
      <c r="U1176" s="60"/>
      <c r="V1176" s="60"/>
      <c r="W1176" s="60"/>
      <c r="X1176" s="60"/>
      <c r="Y1176" s="60"/>
      <c r="Z1176" s="60"/>
    </row>
    <row r="1177">
      <c r="A1177" s="149"/>
      <c r="B1177" s="150"/>
      <c r="C1177" s="151"/>
      <c r="D1177" s="140"/>
      <c r="E1177" s="152"/>
      <c r="F1177" s="60"/>
      <c r="G1177" s="60"/>
      <c r="H1177" s="60"/>
      <c r="I1177" s="60"/>
      <c r="J1177" s="60"/>
      <c r="K1177" s="60"/>
      <c r="L1177" s="60"/>
      <c r="M1177" s="60"/>
      <c r="N1177" s="60"/>
      <c r="O1177" s="60"/>
      <c r="P1177" s="60"/>
      <c r="Q1177" s="60"/>
      <c r="R1177" s="60"/>
      <c r="S1177" s="60"/>
      <c r="T1177" s="60"/>
      <c r="U1177" s="60"/>
      <c r="V1177" s="60"/>
      <c r="W1177" s="60"/>
      <c r="X1177" s="60"/>
      <c r="Y1177" s="60"/>
      <c r="Z1177" s="60"/>
    </row>
    <row r="1178">
      <c r="A1178" s="149"/>
      <c r="B1178" s="150"/>
      <c r="C1178" s="151"/>
      <c r="D1178" s="140"/>
      <c r="E1178" s="152"/>
      <c r="F1178" s="60"/>
      <c r="G1178" s="60"/>
      <c r="H1178" s="60"/>
      <c r="I1178" s="60"/>
      <c r="J1178" s="60"/>
      <c r="K1178" s="60"/>
      <c r="L1178" s="60"/>
      <c r="M1178" s="60"/>
      <c r="N1178" s="60"/>
      <c r="O1178" s="60"/>
      <c r="P1178" s="60"/>
      <c r="Q1178" s="60"/>
      <c r="R1178" s="60"/>
      <c r="S1178" s="60"/>
      <c r="T1178" s="60"/>
      <c r="U1178" s="60"/>
      <c r="V1178" s="60"/>
      <c r="W1178" s="60"/>
      <c r="X1178" s="60"/>
      <c r="Y1178" s="60"/>
      <c r="Z1178" s="60"/>
    </row>
    <row r="1179">
      <c r="A1179" s="149"/>
      <c r="B1179" s="150"/>
      <c r="C1179" s="151"/>
      <c r="D1179" s="140"/>
      <c r="E1179" s="152"/>
      <c r="F1179" s="60"/>
      <c r="G1179" s="60"/>
      <c r="H1179" s="60"/>
      <c r="I1179" s="60"/>
      <c r="J1179" s="60"/>
      <c r="K1179" s="60"/>
      <c r="L1179" s="60"/>
      <c r="M1179" s="60"/>
      <c r="N1179" s="60"/>
      <c r="O1179" s="60"/>
      <c r="P1179" s="60"/>
      <c r="Q1179" s="60"/>
      <c r="R1179" s="60"/>
      <c r="S1179" s="60"/>
      <c r="T1179" s="60"/>
      <c r="U1179" s="60"/>
      <c r="V1179" s="60"/>
      <c r="W1179" s="60"/>
      <c r="X1179" s="60"/>
      <c r="Y1179" s="60"/>
      <c r="Z1179" s="60"/>
    </row>
    <row r="1180">
      <c r="A1180" s="149"/>
      <c r="B1180" s="150"/>
      <c r="C1180" s="151"/>
      <c r="D1180" s="140"/>
      <c r="E1180" s="152"/>
      <c r="F1180" s="60"/>
      <c r="G1180" s="60"/>
      <c r="H1180" s="60"/>
      <c r="I1180" s="60"/>
      <c r="J1180" s="60"/>
      <c r="K1180" s="60"/>
      <c r="L1180" s="60"/>
      <c r="M1180" s="60"/>
      <c r="N1180" s="60"/>
      <c r="O1180" s="60"/>
      <c r="P1180" s="60"/>
      <c r="Q1180" s="60"/>
      <c r="R1180" s="60"/>
      <c r="S1180" s="60"/>
      <c r="T1180" s="60"/>
      <c r="U1180" s="60"/>
      <c r="V1180" s="60"/>
      <c r="W1180" s="60"/>
      <c r="X1180" s="60"/>
      <c r="Y1180" s="60"/>
      <c r="Z1180" s="60"/>
    </row>
    <row r="1181">
      <c r="A1181" s="149"/>
      <c r="B1181" s="150"/>
      <c r="C1181" s="151"/>
      <c r="D1181" s="140"/>
      <c r="E1181" s="152"/>
      <c r="F1181" s="60"/>
      <c r="G1181" s="60"/>
      <c r="H1181" s="60"/>
      <c r="I1181" s="60"/>
      <c r="J1181" s="60"/>
      <c r="K1181" s="60"/>
      <c r="L1181" s="60"/>
      <c r="M1181" s="60"/>
      <c r="N1181" s="60"/>
      <c r="O1181" s="60"/>
      <c r="P1181" s="60"/>
      <c r="Q1181" s="60"/>
      <c r="R1181" s="60"/>
      <c r="S1181" s="60"/>
      <c r="T1181" s="60"/>
      <c r="U1181" s="60"/>
      <c r="V1181" s="60"/>
      <c r="W1181" s="60"/>
      <c r="X1181" s="60"/>
      <c r="Y1181" s="60"/>
      <c r="Z1181" s="60"/>
    </row>
    <row r="1182">
      <c r="A1182" s="149"/>
      <c r="B1182" s="150"/>
      <c r="C1182" s="151"/>
      <c r="D1182" s="140"/>
      <c r="E1182" s="152"/>
      <c r="F1182" s="60"/>
      <c r="G1182" s="60"/>
      <c r="H1182" s="60"/>
      <c r="I1182" s="60"/>
      <c r="J1182" s="60"/>
      <c r="K1182" s="60"/>
      <c r="L1182" s="60"/>
      <c r="M1182" s="60"/>
      <c r="N1182" s="60"/>
      <c r="O1182" s="60"/>
      <c r="P1182" s="60"/>
      <c r="Q1182" s="60"/>
      <c r="R1182" s="60"/>
      <c r="S1182" s="60"/>
      <c r="T1182" s="60"/>
      <c r="U1182" s="60"/>
      <c r="V1182" s="60"/>
      <c r="W1182" s="60"/>
      <c r="X1182" s="60"/>
      <c r="Y1182" s="60"/>
      <c r="Z1182" s="60"/>
    </row>
    <row r="1183">
      <c r="A1183" s="149"/>
      <c r="B1183" s="150"/>
      <c r="C1183" s="151"/>
      <c r="D1183" s="140"/>
      <c r="E1183" s="152"/>
      <c r="F1183" s="60"/>
      <c r="G1183" s="60"/>
      <c r="H1183" s="60"/>
      <c r="I1183" s="60"/>
      <c r="J1183" s="60"/>
      <c r="K1183" s="60"/>
      <c r="L1183" s="60"/>
      <c r="M1183" s="60"/>
      <c r="N1183" s="60"/>
      <c r="O1183" s="60"/>
      <c r="P1183" s="60"/>
      <c r="Q1183" s="60"/>
      <c r="R1183" s="60"/>
      <c r="S1183" s="60"/>
      <c r="T1183" s="60"/>
      <c r="U1183" s="60"/>
      <c r="V1183" s="60"/>
      <c r="W1183" s="60"/>
      <c r="X1183" s="60"/>
      <c r="Y1183" s="60"/>
      <c r="Z1183" s="60"/>
    </row>
    <row r="1184">
      <c r="A1184" s="149"/>
      <c r="B1184" s="150"/>
      <c r="C1184" s="151"/>
      <c r="D1184" s="140"/>
      <c r="E1184" s="152"/>
      <c r="F1184" s="60"/>
      <c r="G1184" s="60"/>
      <c r="H1184" s="60"/>
      <c r="I1184" s="60"/>
      <c r="J1184" s="60"/>
      <c r="K1184" s="60"/>
      <c r="L1184" s="60"/>
      <c r="M1184" s="60"/>
      <c r="N1184" s="60"/>
      <c r="O1184" s="60"/>
      <c r="P1184" s="60"/>
      <c r="Q1184" s="60"/>
      <c r="R1184" s="60"/>
      <c r="S1184" s="60"/>
      <c r="T1184" s="60"/>
      <c r="U1184" s="60"/>
      <c r="V1184" s="60"/>
      <c r="W1184" s="60"/>
      <c r="X1184" s="60"/>
      <c r="Y1184" s="60"/>
      <c r="Z1184" s="60"/>
    </row>
    <row r="1185">
      <c r="A1185" s="149"/>
      <c r="B1185" s="150"/>
      <c r="C1185" s="151"/>
      <c r="D1185" s="140"/>
      <c r="E1185" s="152"/>
      <c r="F1185" s="60"/>
      <c r="G1185" s="60"/>
      <c r="H1185" s="60"/>
      <c r="I1185" s="60"/>
      <c r="J1185" s="60"/>
      <c r="K1185" s="60"/>
      <c r="L1185" s="60"/>
      <c r="M1185" s="60"/>
      <c r="N1185" s="60"/>
      <c r="O1185" s="60"/>
      <c r="P1185" s="60"/>
      <c r="Q1185" s="60"/>
      <c r="R1185" s="60"/>
      <c r="S1185" s="60"/>
      <c r="T1185" s="60"/>
      <c r="U1185" s="60"/>
      <c r="V1185" s="60"/>
      <c r="W1185" s="60"/>
      <c r="X1185" s="60"/>
      <c r="Y1185" s="60"/>
      <c r="Z1185" s="60"/>
    </row>
    <row r="1186">
      <c r="A1186" s="149"/>
      <c r="B1186" s="150"/>
      <c r="C1186" s="151"/>
      <c r="D1186" s="14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1186" s="60"/>
    </row>
    <row r="1187">
      <c r="A1187" s="149"/>
      <c r="B1187" s="150"/>
      <c r="C1187" s="151"/>
      <c r="D1187" s="140"/>
      <c r="E1187" s="152"/>
      <c r="F1187" s="60"/>
      <c r="G1187" s="60"/>
      <c r="H1187" s="60"/>
      <c r="I1187" s="60"/>
      <c r="J1187" s="60"/>
      <c r="K1187" s="60"/>
      <c r="L1187" s="60"/>
      <c r="M1187" s="60"/>
      <c r="N1187" s="60"/>
      <c r="O1187" s="60"/>
      <c r="P1187" s="60"/>
      <c r="Q1187" s="60"/>
      <c r="R1187" s="60"/>
      <c r="S1187" s="60"/>
      <c r="T1187" s="60"/>
      <c r="U1187" s="60"/>
      <c r="V1187" s="60"/>
      <c r="W1187" s="60"/>
      <c r="X1187" s="60"/>
      <c r="Y1187" s="60"/>
      <c r="Z1187" s="60"/>
    </row>
    <row r="1188">
      <c r="A1188" s="149"/>
      <c r="B1188" s="150"/>
      <c r="C1188" s="151"/>
      <c r="D1188" s="140"/>
      <c r="E1188" s="152"/>
      <c r="F1188" s="60"/>
      <c r="G1188" s="60"/>
      <c r="H1188" s="60"/>
      <c r="I1188" s="60"/>
      <c r="J1188" s="60"/>
      <c r="K1188" s="60"/>
      <c r="L1188" s="60"/>
      <c r="M1188" s="60"/>
      <c r="N1188" s="60"/>
      <c r="O1188" s="60"/>
      <c r="P1188" s="60"/>
      <c r="Q1188" s="60"/>
      <c r="R1188" s="60"/>
      <c r="S1188" s="60"/>
      <c r="T1188" s="60"/>
      <c r="U1188" s="60"/>
      <c r="V1188" s="60"/>
      <c r="W1188" s="60"/>
      <c r="X1188" s="60"/>
      <c r="Y1188" s="60"/>
      <c r="Z1188" s="60"/>
    </row>
    <row r="1189">
      <c r="A1189" s="149"/>
      <c r="B1189" s="150"/>
      <c r="C1189" s="151"/>
      <c r="D1189" s="140"/>
      <c r="E1189" s="152"/>
      <c r="F1189" s="60"/>
      <c r="G1189" s="60"/>
      <c r="H1189" s="60"/>
      <c r="I1189" s="60"/>
      <c r="J1189" s="60"/>
      <c r="K1189" s="60"/>
      <c r="L1189" s="60"/>
      <c r="M1189" s="60"/>
      <c r="N1189" s="60"/>
      <c r="O1189" s="60"/>
      <c r="P1189" s="60"/>
      <c r="Q1189" s="60"/>
      <c r="R1189" s="60"/>
      <c r="S1189" s="60"/>
      <c r="T1189" s="60"/>
      <c r="U1189" s="60"/>
      <c r="V1189" s="60"/>
      <c r="W1189" s="60"/>
      <c r="X1189" s="60"/>
      <c r="Y1189" s="60"/>
      <c r="Z1189" s="60"/>
    </row>
    <row r="1190">
      <c r="A1190" s="149"/>
      <c r="B1190" s="150"/>
      <c r="C1190" s="151"/>
      <c r="D1190" s="140"/>
      <c r="E1190" s="152"/>
      <c r="F1190" s="60"/>
      <c r="G1190" s="60"/>
      <c r="H1190" s="60"/>
      <c r="I1190" s="60"/>
      <c r="J1190" s="60"/>
      <c r="K1190" s="60"/>
      <c r="L1190" s="60"/>
      <c r="M1190" s="60"/>
      <c r="N1190" s="60"/>
      <c r="O1190" s="60"/>
      <c r="P1190" s="60"/>
      <c r="Q1190" s="60"/>
      <c r="R1190" s="60"/>
      <c r="S1190" s="60"/>
      <c r="T1190" s="60"/>
      <c r="U1190" s="60"/>
      <c r="V1190" s="60"/>
      <c r="W1190" s="60"/>
      <c r="X1190" s="60"/>
      <c r="Y1190" s="60"/>
      <c r="Z1190" s="60"/>
    </row>
    <row r="1191">
      <c r="A1191" s="149"/>
      <c r="B1191" s="150"/>
      <c r="C1191" s="151"/>
      <c r="D1191" s="140"/>
      <c r="E1191" s="152"/>
      <c r="F1191" s="60"/>
      <c r="G1191" s="60"/>
      <c r="H1191" s="60"/>
      <c r="I1191" s="60"/>
      <c r="J1191" s="60"/>
      <c r="K1191" s="60"/>
      <c r="L1191" s="60"/>
      <c r="M1191" s="60"/>
      <c r="N1191" s="60"/>
      <c r="O1191" s="60"/>
      <c r="P1191" s="60"/>
      <c r="Q1191" s="60"/>
      <c r="R1191" s="60"/>
      <c r="S1191" s="60"/>
      <c r="T1191" s="60"/>
      <c r="U1191" s="60"/>
      <c r="V1191" s="60"/>
      <c r="W1191" s="60"/>
      <c r="X1191" s="60"/>
      <c r="Y1191" s="60"/>
      <c r="Z1191" s="60"/>
    </row>
    <row r="1192">
      <c r="A1192" s="149"/>
      <c r="B1192" s="150"/>
      <c r="C1192" s="151"/>
      <c r="D1192" s="140"/>
      <c r="E1192" s="152"/>
      <c r="F1192" s="60"/>
      <c r="G1192" s="60"/>
      <c r="H1192" s="60"/>
      <c r="I1192" s="60"/>
      <c r="J1192" s="60"/>
      <c r="K1192" s="60"/>
      <c r="L1192" s="60"/>
      <c r="M1192" s="60"/>
      <c r="N1192" s="60"/>
      <c r="O1192" s="60"/>
      <c r="P1192" s="60"/>
      <c r="Q1192" s="60"/>
      <c r="R1192" s="60"/>
      <c r="S1192" s="60"/>
      <c r="T1192" s="60"/>
      <c r="U1192" s="60"/>
      <c r="V1192" s="60"/>
      <c r="W1192" s="60"/>
      <c r="X1192" s="60"/>
      <c r="Y1192" s="60"/>
      <c r="Z1192" s="60"/>
    </row>
    <row r="1193">
      <c r="A1193" s="149"/>
      <c r="B1193" s="150"/>
      <c r="C1193" s="151"/>
      <c r="D1193" s="140"/>
      <c r="E1193" s="152"/>
      <c r="F1193" s="60"/>
      <c r="G1193" s="60"/>
      <c r="H1193" s="60"/>
      <c r="I1193" s="60"/>
      <c r="J1193" s="60"/>
      <c r="K1193" s="60"/>
      <c r="L1193" s="60"/>
      <c r="M1193" s="60"/>
      <c r="N1193" s="60"/>
      <c r="O1193" s="60"/>
      <c r="P1193" s="60"/>
      <c r="Q1193" s="60"/>
      <c r="R1193" s="60"/>
      <c r="S1193" s="60"/>
      <c r="T1193" s="60"/>
      <c r="U1193" s="60"/>
      <c r="V1193" s="60"/>
      <c r="W1193" s="60"/>
      <c r="X1193" s="60"/>
      <c r="Y1193" s="60"/>
      <c r="Z1193" s="60"/>
    </row>
    <row r="1194">
      <c r="A1194" s="149"/>
      <c r="B1194" s="150"/>
      <c r="C1194" s="151"/>
      <c r="D1194" s="140"/>
      <c r="E1194" s="152"/>
      <c r="F1194" s="60"/>
      <c r="G1194" s="60"/>
      <c r="H1194" s="60"/>
      <c r="I1194" s="60"/>
      <c r="J1194" s="60"/>
      <c r="K1194" s="60"/>
      <c r="L1194" s="60"/>
      <c r="M1194" s="60"/>
      <c r="N1194" s="60"/>
      <c r="O1194" s="60"/>
      <c r="P1194" s="60"/>
      <c r="Q1194" s="60"/>
      <c r="R1194" s="60"/>
      <c r="S1194" s="60"/>
      <c r="T1194" s="60"/>
      <c r="U1194" s="60"/>
      <c r="V1194" s="60"/>
      <c r="W1194" s="60"/>
      <c r="X1194" s="60"/>
      <c r="Y1194" s="60"/>
      <c r="Z1194" s="60"/>
    </row>
    <row r="1195">
      <c r="A1195" s="149"/>
      <c r="B1195" s="150"/>
      <c r="C1195" s="151"/>
      <c r="D1195" s="140"/>
      <c r="E1195" s="152"/>
      <c r="F1195" s="60"/>
      <c r="G1195" s="60"/>
      <c r="H1195" s="60"/>
      <c r="I1195" s="60"/>
      <c r="J1195" s="60"/>
      <c r="K1195" s="60"/>
      <c r="L1195" s="60"/>
      <c r="M1195" s="60"/>
      <c r="N1195" s="60"/>
      <c r="O1195" s="60"/>
      <c r="P1195" s="60"/>
      <c r="Q1195" s="60"/>
      <c r="R1195" s="60"/>
      <c r="S1195" s="60"/>
      <c r="T1195" s="60"/>
      <c r="U1195" s="60"/>
      <c r="V1195" s="60"/>
      <c r="W1195" s="60"/>
      <c r="X1195" s="60"/>
      <c r="Y1195" s="60"/>
      <c r="Z1195" s="60"/>
    </row>
    <row r="1196">
      <c r="A1196" s="149"/>
      <c r="B1196" s="150"/>
      <c r="C1196" s="151"/>
      <c r="D1196" s="140"/>
      <c r="E1196" s="152"/>
      <c r="F1196" s="60"/>
      <c r="G1196" s="60"/>
      <c r="H1196" s="60"/>
      <c r="I1196" s="60"/>
      <c r="J1196" s="60"/>
      <c r="K1196" s="60"/>
      <c r="L1196" s="60"/>
      <c r="M1196" s="60"/>
      <c r="N1196" s="60"/>
      <c r="O1196" s="60"/>
      <c r="P1196" s="60"/>
      <c r="Q1196" s="60"/>
      <c r="R1196" s="60"/>
      <c r="S1196" s="60"/>
      <c r="T1196" s="60"/>
      <c r="U1196" s="60"/>
      <c r="V1196" s="60"/>
      <c r="W1196" s="60"/>
      <c r="X1196" s="60"/>
      <c r="Y1196" s="60"/>
      <c r="Z1196" s="60"/>
    </row>
    <row r="1197">
      <c r="A1197" s="149"/>
      <c r="B1197" s="150"/>
      <c r="C1197" s="151"/>
      <c r="D1197" s="140"/>
      <c r="E1197" s="152"/>
      <c r="F1197" s="60"/>
      <c r="G1197" s="60"/>
      <c r="H1197" s="60"/>
      <c r="I1197" s="60"/>
      <c r="J1197" s="60"/>
      <c r="K1197" s="60"/>
      <c r="L1197" s="60"/>
      <c r="M1197" s="60"/>
      <c r="N1197" s="60"/>
      <c r="O1197" s="60"/>
      <c r="P1197" s="60"/>
      <c r="Q1197" s="60"/>
      <c r="R1197" s="60"/>
      <c r="S1197" s="60"/>
      <c r="T1197" s="60"/>
      <c r="U1197" s="60"/>
      <c r="V1197" s="60"/>
      <c r="W1197" s="60"/>
      <c r="X1197" s="60"/>
      <c r="Y1197" s="60"/>
      <c r="Z1197" s="60"/>
    </row>
    <row r="1198">
      <c r="A1198" s="149"/>
      <c r="B1198" s="150"/>
      <c r="C1198" s="151"/>
      <c r="D1198" s="140"/>
      <c r="E1198" s="152"/>
      <c r="F1198" s="60"/>
      <c r="G1198" s="60"/>
      <c r="H1198" s="60"/>
      <c r="I1198" s="60"/>
      <c r="J1198" s="60"/>
      <c r="K1198" s="60"/>
      <c r="L1198" s="60"/>
      <c r="M1198" s="60"/>
      <c r="N1198" s="60"/>
      <c r="O1198" s="60"/>
      <c r="P1198" s="60"/>
      <c r="Q1198" s="60"/>
      <c r="R1198" s="60"/>
      <c r="S1198" s="60"/>
      <c r="T1198" s="60"/>
      <c r="U1198" s="60"/>
      <c r="V1198" s="60"/>
      <c r="W1198" s="60"/>
      <c r="X1198" s="60"/>
      <c r="Y1198" s="60"/>
      <c r="Z1198" s="60"/>
    </row>
    <row r="1199">
      <c r="A1199" s="149"/>
      <c r="B1199" s="150"/>
      <c r="C1199" s="151"/>
      <c r="D1199" s="140"/>
      <c r="E1199" s="152"/>
      <c r="F1199" s="60"/>
      <c r="G1199" s="60"/>
      <c r="H1199" s="60"/>
      <c r="I1199" s="60"/>
      <c r="J1199" s="60"/>
      <c r="K1199" s="60"/>
      <c r="L1199" s="60"/>
      <c r="M1199" s="60"/>
      <c r="N1199" s="60"/>
      <c r="O1199" s="60"/>
      <c r="P1199" s="60"/>
      <c r="Q1199" s="60"/>
      <c r="R1199" s="60"/>
      <c r="S1199" s="60"/>
      <c r="T1199" s="60"/>
      <c r="U1199" s="60"/>
      <c r="V1199" s="60"/>
      <c r="W1199" s="60"/>
      <c r="X1199" s="60"/>
      <c r="Y1199" s="60"/>
      <c r="Z1199" s="60"/>
    </row>
    <row r="1200">
      <c r="A1200" s="149"/>
      <c r="B1200" s="150"/>
      <c r="C1200" s="151"/>
      <c r="D1200" s="140"/>
      <c r="E1200" s="152"/>
      <c r="F1200" s="60"/>
      <c r="G1200" s="60"/>
      <c r="H1200" s="60"/>
      <c r="I1200" s="60"/>
      <c r="J1200" s="60"/>
      <c r="K1200" s="60"/>
      <c r="L1200" s="60"/>
      <c r="M1200" s="60"/>
      <c r="N1200" s="60"/>
      <c r="O1200" s="60"/>
      <c r="P1200" s="60"/>
      <c r="Q1200" s="60"/>
      <c r="R1200" s="60"/>
      <c r="S1200" s="60"/>
      <c r="T1200" s="60"/>
      <c r="U1200" s="60"/>
      <c r="V1200" s="60"/>
      <c r="W1200" s="60"/>
      <c r="X1200" s="60"/>
      <c r="Y1200" s="60"/>
      <c r="Z1200" s="60"/>
    </row>
    <row r="1201">
      <c r="A1201" s="149"/>
      <c r="B1201" s="150"/>
      <c r="C1201" s="151"/>
      <c r="D1201" s="140"/>
      <c r="E1201" s="152"/>
      <c r="F1201" s="60"/>
      <c r="G1201" s="60"/>
      <c r="H1201" s="60"/>
      <c r="I1201" s="60"/>
      <c r="J1201" s="60"/>
      <c r="K1201" s="60"/>
      <c r="L1201" s="60"/>
      <c r="M1201" s="60"/>
      <c r="N1201" s="60"/>
      <c r="O1201" s="60"/>
      <c r="P1201" s="60"/>
      <c r="Q1201" s="60"/>
      <c r="R1201" s="60"/>
      <c r="S1201" s="60"/>
      <c r="T1201" s="60"/>
      <c r="U1201" s="60"/>
      <c r="V1201" s="60"/>
      <c r="W1201" s="60"/>
      <c r="X1201" s="60"/>
      <c r="Y1201" s="60"/>
      <c r="Z1201" s="60"/>
    </row>
    <row r="1202">
      <c r="A1202" s="149"/>
      <c r="B1202" s="150"/>
      <c r="C1202" s="151"/>
      <c r="D1202" s="140"/>
      <c r="E1202" s="152"/>
      <c r="F1202" s="60"/>
      <c r="G1202" s="60"/>
      <c r="H1202" s="60"/>
      <c r="I1202" s="60"/>
      <c r="J1202" s="60"/>
      <c r="K1202" s="60"/>
      <c r="L1202" s="60"/>
      <c r="M1202" s="60"/>
      <c r="N1202" s="60"/>
      <c r="O1202" s="60"/>
      <c r="P1202" s="60"/>
      <c r="Q1202" s="60"/>
      <c r="R1202" s="60"/>
      <c r="S1202" s="60"/>
      <c r="T1202" s="60"/>
      <c r="U1202" s="60"/>
      <c r="V1202" s="60"/>
      <c r="W1202" s="60"/>
      <c r="X1202" s="60"/>
      <c r="Y1202" s="60"/>
      <c r="Z1202" s="60"/>
    </row>
    <row r="1203">
      <c r="A1203" s="149"/>
      <c r="B1203" s="150"/>
      <c r="C1203" s="151"/>
      <c r="D1203" s="140"/>
      <c r="E1203" s="152"/>
      <c r="F1203" s="60"/>
      <c r="G1203" s="60"/>
      <c r="H1203" s="60"/>
      <c r="I1203" s="60"/>
      <c r="J1203" s="60"/>
      <c r="K1203" s="60"/>
      <c r="L1203" s="60"/>
      <c r="M1203" s="60"/>
      <c r="N1203" s="60"/>
      <c r="O1203" s="60"/>
      <c r="P1203" s="60"/>
      <c r="Q1203" s="60"/>
      <c r="R1203" s="60"/>
      <c r="S1203" s="60"/>
      <c r="T1203" s="60"/>
      <c r="U1203" s="60"/>
      <c r="V1203" s="60"/>
      <c r="W1203" s="60"/>
      <c r="X1203" s="60"/>
      <c r="Y1203" s="60"/>
      <c r="Z1203" s="60"/>
    </row>
    <row r="1204">
      <c r="A1204" s="149"/>
      <c r="B1204" s="150"/>
      <c r="C1204" s="151"/>
      <c r="D1204" s="140"/>
      <c r="E1204" s="152"/>
      <c r="F1204" s="60"/>
      <c r="G1204" s="60"/>
      <c r="H1204" s="60"/>
      <c r="I1204" s="60"/>
      <c r="J1204" s="60"/>
      <c r="K1204" s="60"/>
      <c r="L1204" s="60"/>
      <c r="M1204" s="60"/>
      <c r="N1204" s="60"/>
      <c r="O1204" s="60"/>
      <c r="P1204" s="60"/>
      <c r="Q1204" s="60"/>
      <c r="R1204" s="60"/>
      <c r="S1204" s="60"/>
      <c r="T1204" s="60"/>
      <c r="U1204" s="60"/>
      <c r="V1204" s="60"/>
      <c r="W1204" s="60"/>
      <c r="X1204" s="60"/>
      <c r="Y1204" s="60"/>
      <c r="Z1204" s="60"/>
    </row>
    <row r="1205">
      <c r="A1205" s="149"/>
      <c r="B1205" s="150"/>
      <c r="C1205" s="151"/>
      <c r="D1205" s="140"/>
      <c r="E1205" s="152"/>
      <c r="F1205" s="60"/>
      <c r="G1205" s="60"/>
      <c r="H1205" s="60"/>
      <c r="I1205" s="60"/>
      <c r="J1205" s="60"/>
      <c r="K1205" s="60"/>
      <c r="L1205" s="60"/>
      <c r="M1205" s="60"/>
      <c r="N1205" s="60"/>
      <c r="O1205" s="60"/>
      <c r="P1205" s="60"/>
      <c r="Q1205" s="60"/>
      <c r="R1205" s="60"/>
      <c r="S1205" s="60"/>
      <c r="T1205" s="60"/>
      <c r="U1205" s="60"/>
      <c r="V1205" s="60"/>
      <c r="W1205" s="60"/>
      <c r="X1205" s="60"/>
      <c r="Y1205" s="60"/>
      <c r="Z1205" s="60"/>
    </row>
    <row r="1206">
      <c r="A1206" s="149"/>
      <c r="B1206" s="150"/>
      <c r="C1206" s="151"/>
      <c r="D1206" s="140"/>
      <c r="E1206" s="152"/>
      <c r="F1206" s="60"/>
      <c r="G1206" s="60"/>
      <c r="H1206" s="60"/>
      <c r="I1206" s="60"/>
      <c r="J1206" s="60"/>
      <c r="K1206" s="60"/>
      <c r="L1206" s="60"/>
      <c r="M1206" s="60"/>
      <c r="N1206" s="60"/>
      <c r="O1206" s="60"/>
      <c r="P1206" s="60"/>
      <c r="Q1206" s="60"/>
      <c r="R1206" s="60"/>
      <c r="S1206" s="60"/>
      <c r="T1206" s="60"/>
      <c r="U1206" s="60"/>
      <c r="V1206" s="60"/>
      <c r="W1206" s="60"/>
      <c r="X1206" s="60"/>
      <c r="Y1206" s="60"/>
      <c r="Z1206" s="60"/>
    </row>
    <row r="1207">
      <c r="A1207" s="149"/>
      <c r="B1207" s="150"/>
      <c r="C1207" s="151"/>
      <c r="D1207" s="140"/>
      <c r="E1207" s="152"/>
      <c r="F1207" s="60"/>
      <c r="G1207" s="60"/>
      <c r="H1207" s="60"/>
      <c r="I1207" s="60"/>
      <c r="J1207" s="60"/>
      <c r="K1207" s="60"/>
      <c r="L1207" s="60"/>
      <c r="M1207" s="60"/>
      <c r="N1207" s="60"/>
      <c r="O1207" s="60"/>
      <c r="P1207" s="60"/>
      <c r="Q1207" s="60"/>
      <c r="R1207" s="60"/>
      <c r="S1207" s="60"/>
      <c r="T1207" s="60"/>
      <c r="U1207" s="60"/>
      <c r="V1207" s="60"/>
      <c r="W1207" s="60"/>
      <c r="X1207" s="60"/>
      <c r="Y1207" s="60"/>
      <c r="Z1207" s="60"/>
    </row>
    <row r="1208">
      <c r="A1208" s="149"/>
      <c r="B1208" s="150"/>
      <c r="C1208" s="151"/>
      <c r="D1208" s="140"/>
      <c r="E1208" s="152"/>
      <c r="F1208" s="60"/>
      <c r="G1208" s="60"/>
      <c r="H1208" s="60"/>
      <c r="I1208" s="60"/>
      <c r="J1208" s="60"/>
      <c r="K1208" s="60"/>
      <c r="L1208" s="60"/>
      <c r="M1208" s="60"/>
      <c r="N1208" s="60"/>
      <c r="O1208" s="60"/>
      <c r="P1208" s="60"/>
      <c r="Q1208" s="60"/>
      <c r="R1208" s="60"/>
      <c r="S1208" s="60"/>
      <c r="T1208" s="60"/>
      <c r="U1208" s="60"/>
      <c r="V1208" s="60"/>
      <c r="W1208" s="60"/>
      <c r="X1208" s="60"/>
      <c r="Y1208" s="60"/>
      <c r="Z1208" s="60"/>
    </row>
    <row r="1209">
      <c r="A1209" s="149"/>
      <c r="B1209" s="150"/>
      <c r="C1209" s="151"/>
      <c r="D1209" s="140"/>
      <c r="E1209" s="152"/>
      <c r="F1209" s="60"/>
      <c r="G1209" s="60"/>
      <c r="H1209" s="60"/>
      <c r="I1209" s="60"/>
      <c r="J1209" s="60"/>
      <c r="K1209" s="60"/>
      <c r="L1209" s="60"/>
      <c r="M1209" s="60"/>
      <c r="N1209" s="60"/>
      <c r="O1209" s="60"/>
      <c r="P1209" s="60"/>
      <c r="Q1209" s="60"/>
      <c r="R1209" s="60"/>
      <c r="S1209" s="60"/>
      <c r="T1209" s="60"/>
      <c r="U1209" s="60"/>
      <c r="V1209" s="60"/>
      <c r="W1209" s="60"/>
      <c r="X1209" s="60"/>
      <c r="Y1209" s="60"/>
      <c r="Z1209" s="60"/>
    </row>
    <row r="1210">
      <c r="A1210" s="149"/>
      <c r="B1210" s="150"/>
      <c r="C1210" s="151"/>
      <c r="D1210" s="140"/>
      <c r="E1210" s="152"/>
      <c r="F1210" s="60"/>
      <c r="G1210" s="60"/>
      <c r="H1210" s="60"/>
      <c r="I1210" s="60"/>
      <c r="J1210" s="60"/>
      <c r="K1210" s="60"/>
      <c r="L1210" s="60"/>
      <c r="M1210" s="60"/>
      <c r="N1210" s="60"/>
      <c r="O1210" s="60"/>
      <c r="P1210" s="60"/>
      <c r="Q1210" s="60"/>
      <c r="R1210" s="60"/>
      <c r="S1210" s="60"/>
      <c r="T1210" s="60"/>
      <c r="U1210" s="60"/>
      <c r="V1210" s="60"/>
      <c r="W1210" s="60"/>
      <c r="X1210" s="60"/>
      <c r="Y1210" s="60"/>
      <c r="Z1210" s="60"/>
    </row>
    <row r="1211">
      <c r="A1211" s="149"/>
      <c r="B1211" s="150"/>
      <c r="C1211" s="151"/>
      <c r="D1211" s="140"/>
      <c r="E1211" s="152"/>
      <c r="F1211" s="60"/>
      <c r="G1211" s="60"/>
      <c r="H1211" s="60"/>
      <c r="I1211" s="60"/>
      <c r="J1211" s="60"/>
      <c r="K1211" s="60"/>
      <c r="L1211" s="60"/>
      <c r="M1211" s="60"/>
      <c r="N1211" s="60"/>
      <c r="O1211" s="60"/>
      <c r="P1211" s="60"/>
      <c r="Q1211" s="60"/>
      <c r="R1211" s="60"/>
      <c r="S1211" s="60"/>
      <c r="T1211" s="60"/>
      <c r="U1211" s="60"/>
      <c r="V1211" s="60"/>
      <c r="W1211" s="60"/>
      <c r="X1211" s="60"/>
      <c r="Y1211" s="60"/>
      <c r="Z1211" s="60"/>
    </row>
    <row r="1212">
      <c r="A1212" s="149"/>
      <c r="B1212" s="150"/>
      <c r="C1212" s="151"/>
      <c r="D1212" s="140"/>
      <c r="E1212" s="152"/>
      <c r="F1212" s="60"/>
      <c r="G1212" s="60"/>
      <c r="H1212" s="60"/>
      <c r="I1212" s="60"/>
      <c r="J1212" s="60"/>
      <c r="K1212" s="60"/>
      <c r="L1212" s="60"/>
      <c r="M1212" s="60"/>
      <c r="N1212" s="60"/>
      <c r="O1212" s="60"/>
      <c r="P1212" s="60"/>
      <c r="Q1212" s="60"/>
      <c r="R1212" s="60"/>
      <c r="S1212" s="60"/>
      <c r="T1212" s="60"/>
      <c r="U1212" s="60"/>
      <c r="V1212" s="60"/>
      <c r="W1212" s="60"/>
      <c r="X1212" s="60"/>
      <c r="Y1212" s="60"/>
      <c r="Z1212" s="60"/>
    </row>
    <row r="1213">
      <c r="A1213" s="149"/>
      <c r="B1213" s="150"/>
      <c r="C1213" s="151"/>
      <c r="D1213" s="140"/>
      <c r="E1213" s="152"/>
      <c r="F1213" s="60"/>
      <c r="G1213" s="60"/>
      <c r="H1213" s="60"/>
      <c r="I1213" s="60"/>
      <c r="J1213" s="60"/>
      <c r="K1213" s="60"/>
      <c r="L1213" s="60"/>
      <c r="M1213" s="60"/>
      <c r="N1213" s="60"/>
      <c r="O1213" s="60"/>
      <c r="P1213" s="60"/>
      <c r="Q1213" s="60"/>
      <c r="R1213" s="60"/>
      <c r="S1213" s="60"/>
      <c r="T1213" s="60"/>
      <c r="U1213" s="60"/>
      <c r="V1213" s="60"/>
      <c r="W1213" s="60"/>
      <c r="X1213" s="60"/>
      <c r="Y1213" s="60"/>
      <c r="Z1213" s="60"/>
    </row>
    <row r="1214">
      <c r="A1214" s="149"/>
      <c r="B1214" s="150"/>
      <c r="C1214" s="151"/>
      <c r="D1214" s="140"/>
      <c r="E1214" s="152"/>
      <c r="F1214" s="60"/>
      <c r="G1214" s="60"/>
      <c r="H1214" s="60"/>
      <c r="I1214" s="60"/>
      <c r="J1214" s="60"/>
      <c r="K1214" s="60"/>
      <c r="L1214" s="60"/>
      <c r="M1214" s="60"/>
      <c r="N1214" s="60"/>
      <c r="O1214" s="60"/>
      <c r="P1214" s="60"/>
      <c r="Q1214" s="60"/>
      <c r="R1214" s="60"/>
      <c r="S1214" s="60"/>
      <c r="T1214" s="60"/>
      <c r="U1214" s="60"/>
      <c r="V1214" s="60"/>
      <c r="W1214" s="60"/>
      <c r="X1214" s="60"/>
      <c r="Y1214" s="60"/>
      <c r="Z1214" s="60"/>
    </row>
    <row r="1215">
      <c r="A1215" s="149"/>
      <c r="B1215" s="150"/>
      <c r="C1215" s="151"/>
      <c r="D1215" s="140"/>
      <c r="E1215" s="152"/>
      <c r="F1215" s="60"/>
      <c r="G1215" s="60"/>
      <c r="H1215" s="60"/>
      <c r="I1215" s="60"/>
      <c r="J1215" s="60"/>
      <c r="K1215" s="60"/>
      <c r="L1215" s="60"/>
      <c r="M1215" s="60"/>
      <c r="N1215" s="60"/>
      <c r="O1215" s="60"/>
      <c r="P1215" s="60"/>
      <c r="Q1215" s="60"/>
      <c r="R1215" s="60"/>
      <c r="S1215" s="60"/>
      <c r="T1215" s="60"/>
      <c r="U1215" s="60"/>
      <c r="V1215" s="60"/>
      <c r="W1215" s="60"/>
      <c r="X1215" s="60"/>
      <c r="Y1215" s="60"/>
      <c r="Z1215" s="60"/>
    </row>
    <row r="1216">
      <c r="A1216" s="149"/>
      <c r="B1216" s="150"/>
      <c r="C1216" s="151"/>
      <c r="D1216" s="140"/>
      <c r="E1216" s="152"/>
      <c r="F1216" s="60"/>
      <c r="G1216" s="60"/>
      <c r="H1216" s="60"/>
      <c r="I1216" s="60"/>
      <c r="J1216" s="60"/>
      <c r="K1216" s="60"/>
      <c r="L1216" s="60"/>
      <c r="M1216" s="60"/>
      <c r="N1216" s="60"/>
      <c r="O1216" s="60"/>
      <c r="P1216" s="60"/>
      <c r="Q1216" s="60"/>
      <c r="R1216" s="60"/>
      <c r="S1216" s="60"/>
      <c r="T1216" s="60"/>
      <c r="U1216" s="60"/>
      <c r="V1216" s="60"/>
      <c r="W1216" s="60"/>
      <c r="X1216" s="60"/>
      <c r="Y1216" s="60"/>
      <c r="Z1216" s="60"/>
    </row>
    <row r="1217">
      <c r="A1217" s="149"/>
      <c r="B1217" s="150"/>
      <c r="C1217" s="151"/>
      <c r="D1217" s="140"/>
      <c r="E1217" s="152"/>
      <c r="F1217" s="60"/>
      <c r="G1217" s="60"/>
      <c r="H1217" s="60"/>
      <c r="I1217" s="60"/>
      <c r="J1217" s="60"/>
      <c r="K1217" s="60"/>
      <c r="L1217" s="60"/>
      <c r="M1217" s="60"/>
      <c r="N1217" s="60"/>
      <c r="O1217" s="60"/>
      <c r="P1217" s="60"/>
      <c r="Q1217" s="60"/>
      <c r="R1217" s="60"/>
      <c r="S1217" s="60"/>
      <c r="T1217" s="60"/>
      <c r="U1217" s="60"/>
      <c r="V1217" s="60"/>
      <c r="W1217" s="60"/>
      <c r="X1217" s="60"/>
      <c r="Y1217" s="60"/>
      <c r="Z1217" s="60"/>
    </row>
    <row r="1218">
      <c r="A1218" s="149"/>
      <c r="B1218" s="150"/>
      <c r="C1218" s="151"/>
      <c r="D1218" s="140"/>
      <c r="E1218" s="152"/>
      <c r="F1218" s="60"/>
      <c r="G1218" s="60"/>
      <c r="H1218" s="60"/>
      <c r="I1218" s="60"/>
      <c r="J1218" s="60"/>
      <c r="K1218" s="60"/>
      <c r="L1218" s="60"/>
      <c r="M1218" s="60"/>
      <c r="N1218" s="60"/>
      <c r="O1218" s="60"/>
      <c r="P1218" s="60"/>
      <c r="Q1218" s="60"/>
      <c r="R1218" s="60"/>
      <c r="S1218" s="60"/>
      <c r="T1218" s="60"/>
      <c r="U1218" s="60"/>
      <c r="V1218" s="60"/>
      <c r="W1218" s="60"/>
      <c r="X1218" s="60"/>
      <c r="Y1218" s="60"/>
      <c r="Z1218" s="60"/>
    </row>
    <row r="1219">
      <c r="A1219" s="149"/>
      <c r="B1219" s="150"/>
      <c r="C1219" s="151"/>
      <c r="D1219" s="140"/>
      <c r="E1219" s="152"/>
      <c r="F1219" s="60"/>
      <c r="G1219" s="60"/>
      <c r="H1219" s="60"/>
      <c r="I1219" s="60"/>
      <c r="J1219" s="60"/>
      <c r="K1219" s="60"/>
      <c r="L1219" s="60"/>
      <c r="M1219" s="60"/>
      <c r="N1219" s="60"/>
      <c r="O1219" s="60"/>
      <c r="P1219" s="60"/>
      <c r="Q1219" s="60"/>
      <c r="R1219" s="60"/>
      <c r="S1219" s="60"/>
      <c r="T1219" s="60"/>
      <c r="U1219" s="60"/>
      <c r="V1219" s="60"/>
      <c r="W1219" s="60"/>
      <c r="X1219" s="60"/>
      <c r="Y1219" s="60"/>
      <c r="Z1219" s="60"/>
    </row>
    <row r="1220">
      <c r="A1220" s="149"/>
      <c r="B1220" s="150"/>
      <c r="C1220" s="151"/>
      <c r="D1220" s="140"/>
      <c r="E1220" s="152"/>
      <c r="F1220" s="60"/>
      <c r="G1220" s="60"/>
      <c r="H1220" s="60"/>
      <c r="I1220" s="60"/>
      <c r="J1220" s="60"/>
      <c r="K1220" s="60"/>
      <c r="L1220" s="60"/>
      <c r="M1220" s="60"/>
      <c r="N1220" s="60"/>
      <c r="O1220" s="60"/>
      <c r="P1220" s="60"/>
      <c r="Q1220" s="60"/>
      <c r="R1220" s="60"/>
      <c r="S1220" s="60"/>
      <c r="T1220" s="60"/>
      <c r="U1220" s="60"/>
      <c r="V1220" s="60"/>
      <c r="W1220" s="60"/>
      <c r="X1220" s="60"/>
      <c r="Y1220" s="60"/>
      <c r="Z1220" s="60"/>
    </row>
    <row r="1221">
      <c r="A1221" s="149"/>
      <c r="B1221" s="150"/>
      <c r="C1221" s="151"/>
      <c r="D1221" s="140"/>
      <c r="E1221" s="152"/>
      <c r="F1221" s="60"/>
      <c r="G1221" s="60"/>
      <c r="H1221" s="60"/>
      <c r="I1221" s="60"/>
      <c r="J1221" s="60"/>
      <c r="K1221" s="60"/>
      <c r="L1221" s="60"/>
      <c r="M1221" s="60"/>
      <c r="N1221" s="60"/>
      <c r="O1221" s="60"/>
      <c r="P1221" s="60"/>
      <c r="Q1221" s="60"/>
      <c r="R1221" s="60"/>
      <c r="S1221" s="60"/>
      <c r="T1221" s="60"/>
      <c r="U1221" s="60"/>
      <c r="V1221" s="60"/>
      <c r="W1221" s="60"/>
      <c r="X1221" s="60"/>
      <c r="Y1221" s="60"/>
      <c r="Z1221" s="60"/>
    </row>
    <row r="1222">
      <c r="A1222" s="149"/>
      <c r="B1222" s="150"/>
      <c r="C1222" s="151"/>
      <c r="D1222" s="140"/>
      <c r="E1222" s="152"/>
      <c r="F1222" s="60"/>
      <c r="G1222" s="60"/>
      <c r="H1222" s="60"/>
      <c r="I1222" s="60"/>
      <c r="J1222" s="60"/>
      <c r="K1222" s="60"/>
      <c r="L1222" s="60"/>
      <c r="M1222" s="60"/>
      <c r="N1222" s="60"/>
      <c r="O1222" s="60"/>
      <c r="P1222" s="60"/>
      <c r="Q1222" s="60"/>
      <c r="R1222" s="60"/>
      <c r="S1222" s="60"/>
      <c r="T1222" s="60"/>
      <c r="U1222" s="60"/>
      <c r="V1222" s="60"/>
      <c r="W1222" s="60"/>
      <c r="X1222" s="60"/>
      <c r="Y1222" s="60"/>
      <c r="Z1222" s="60"/>
    </row>
    <row r="1223">
      <c r="A1223" s="149"/>
      <c r="B1223" s="150"/>
      <c r="C1223" s="151"/>
      <c r="D1223" s="140"/>
      <c r="E1223" s="152"/>
      <c r="F1223" s="60"/>
      <c r="G1223" s="60"/>
      <c r="H1223" s="60"/>
      <c r="I1223" s="60"/>
      <c r="J1223" s="60"/>
      <c r="K1223" s="60"/>
      <c r="L1223" s="60"/>
      <c r="M1223" s="60"/>
      <c r="N1223" s="60"/>
      <c r="O1223" s="60"/>
      <c r="P1223" s="60"/>
      <c r="Q1223" s="60"/>
      <c r="R1223" s="60"/>
      <c r="S1223" s="60"/>
      <c r="T1223" s="60"/>
      <c r="U1223" s="60"/>
      <c r="V1223" s="60"/>
      <c r="W1223" s="60"/>
      <c r="X1223" s="60"/>
      <c r="Y1223" s="60"/>
      <c r="Z1223" s="60"/>
    </row>
    <row r="1224">
      <c r="A1224" s="149"/>
      <c r="B1224" s="150"/>
      <c r="C1224" s="151"/>
      <c r="D1224" s="140"/>
      <c r="E1224" s="152"/>
      <c r="F1224" s="60"/>
      <c r="G1224" s="60"/>
      <c r="H1224" s="60"/>
      <c r="I1224" s="60"/>
      <c r="J1224" s="60"/>
      <c r="K1224" s="60"/>
      <c r="L1224" s="60"/>
      <c r="M1224" s="60"/>
      <c r="N1224" s="60"/>
      <c r="O1224" s="60"/>
      <c r="P1224" s="60"/>
      <c r="Q1224" s="60"/>
      <c r="R1224" s="60"/>
      <c r="S1224" s="60"/>
      <c r="T1224" s="60"/>
      <c r="U1224" s="60"/>
      <c r="V1224" s="60"/>
      <c r="W1224" s="60"/>
      <c r="X1224" s="60"/>
      <c r="Y1224" s="60"/>
      <c r="Z1224" s="60"/>
    </row>
    <row r="1225">
      <c r="A1225" s="149"/>
      <c r="B1225" s="150"/>
      <c r="C1225" s="151"/>
      <c r="D1225" s="140"/>
      <c r="E1225" s="152"/>
      <c r="F1225" s="60"/>
      <c r="G1225" s="60"/>
      <c r="H1225" s="60"/>
      <c r="I1225" s="60"/>
      <c r="J1225" s="60"/>
      <c r="K1225" s="60"/>
      <c r="L1225" s="60"/>
      <c r="M1225" s="60"/>
      <c r="N1225" s="60"/>
      <c r="O1225" s="60"/>
      <c r="P1225" s="60"/>
      <c r="Q1225" s="60"/>
      <c r="R1225" s="60"/>
      <c r="S1225" s="60"/>
      <c r="T1225" s="60"/>
      <c r="U1225" s="60"/>
      <c r="V1225" s="60"/>
      <c r="W1225" s="60"/>
      <c r="X1225" s="60"/>
      <c r="Y1225" s="60"/>
      <c r="Z1225" s="60"/>
    </row>
    <row r="1226">
      <c r="A1226" s="149"/>
      <c r="B1226" s="150"/>
      <c r="C1226" s="151"/>
      <c r="D1226" s="140"/>
      <c r="E1226" s="152"/>
      <c r="F1226" s="60"/>
      <c r="G1226" s="60"/>
      <c r="H1226" s="60"/>
      <c r="I1226" s="60"/>
      <c r="J1226" s="60"/>
      <c r="K1226" s="60"/>
      <c r="L1226" s="60"/>
      <c r="M1226" s="60"/>
      <c r="N1226" s="60"/>
      <c r="O1226" s="60"/>
      <c r="P1226" s="60"/>
      <c r="Q1226" s="60"/>
      <c r="R1226" s="60"/>
      <c r="S1226" s="60"/>
      <c r="T1226" s="60"/>
      <c r="U1226" s="60"/>
      <c r="V1226" s="60"/>
      <c r="W1226" s="60"/>
      <c r="X1226" s="60"/>
      <c r="Y1226" s="60"/>
      <c r="Z1226" s="60"/>
    </row>
    <row r="1227">
      <c r="A1227" s="149"/>
      <c r="B1227" s="150"/>
      <c r="C1227" s="151"/>
      <c r="D1227" s="140"/>
      <c r="E1227" s="152"/>
      <c r="F1227" s="60"/>
      <c r="G1227" s="60"/>
      <c r="H1227" s="60"/>
      <c r="I1227" s="60"/>
      <c r="J1227" s="60"/>
      <c r="K1227" s="60"/>
      <c r="L1227" s="60"/>
      <c r="M1227" s="60"/>
      <c r="N1227" s="60"/>
      <c r="O1227" s="60"/>
      <c r="P1227" s="60"/>
      <c r="Q1227" s="60"/>
      <c r="R1227" s="60"/>
      <c r="S1227" s="60"/>
      <c r="T1227" s="60"/>
      <c r="U1227" s="60"/>
      <c r="V1227" s="60"/>
      <c r="W1227" s="60"/>
      <c r="X1227" s="60"/>
      <c r="Y1227" s="60"/>
      <c r="Z1227" s="60"/>
    </row>
    <row r="1228">
      <c r="A1228" s="149"/>
      <c r="B1228" s="150"/>
      <c r="C1228" s="151"/>
      <c r="D1228" s="140"/>
      <c r="E1228" s="152"/>
      <c r="F1228" s="60"/>
      <c r="G1228" s="60"/>
      <c r="H1228" s="60"/>
      <c r="I1228" s="60"/>
      <c r="J1228" s="60"/>
      <c r="K1228" s="60"/>
      <c r="L1228" s="60"/>
      <c r="M1228" s="60"/>
      <c r="N1228" s="60"/>
      <c r="O1228" s="60"/>
      <c r="P1228" s="60"/>
      <c r="Q1228" s="60"/>
      <c r="R1228" s="60"/>
      <c r="S1228" s="60"/>
      <c r="T1228" s="60"/>
      <c r="U1228" s="60"/>
      <c r="V1228" s="60"/>
      <c r="W1228" s="60"/>
      <c r="X1228" s="60"/>
      <c r="Y1228" s="60"/>
      <c r="Z1228" s="60"/>
    </row>
    <row r="1229">
      <c r="A1229" s="149"/>
      <c r="B1229" s="150"/>
      <c r="C1229" s="151"/>
      <c r="D1229" s="140"/>
      <c r="E1229" s="152"/>
      <c r="F1229" s="60"/>
      <c r="G1229" s="60"/>
      <c r="H1229" s="60"/>
      <c r="I1229" s="60"/>
      <c r="J1229" s="60"/>
      <c r="K1229" s="60"/>
      <c r="L1229" s="60"/>
      <c r="M1229" s="60"/>
      <c r="N1229" s="60"/>
      <c r="O1229" s="60"/>
      <c r="P1229" s="60"/>
      <c r="Q1229" s="60"/>
      <c r="R1229" s="60"/>
      <c r="S1229" s="60"/>
      <c r="T1229" s="60"/>
      <c r="U1229" s="60"/>
      <c r="V1229" s="60"/>
      <c r="W1229" s="60"/>
      <c r="X1229" s="60"/>
      <c r="Y1229" s="60"/>
      <c r="Z1229" s="60"/>
    </row>
    <row r="1230">
      <c r="A1230" s="149"/>
      <c r="B1230" s="150"/>
      <c r="C1230" s="151"/>
      <c r="D1230" s="140"/>
      <c r="E1230" s="152"/>
      <c r="F1230" s="60"/>
      <c r="G1230" s="60"/>
      <c r="H1230" s="60"/>
      <c r="I1230" s="60"/>
      <c r="J1230" s="60"/>
      <c r="K1230" s="60"/>
      <c r="L1230" s="60"/>
      <c r="M1230" s="60"/>
      <c r="N1230" s="60"/>
      <c r="O1230" s="60"/>
      <c r="P1230" s="60"/>
      <c r="Q1230" s="60"/>
      <c r="R1230" s="60"/>
      <c r="S1230" s="60"/>
      <c r="T1230" s="60"/>
      <c r="U1230" s="60"/>
      <c r="V1230" s="60"/>
      <c r="W1230" s="60"/>
      <c r="X1230" s="60"/>
      <c r="Y1230" s="60"/>
      <c r="Z1230" s="60"/>
    </row>
    <row r="1231">
      <c r="A1231" s="149"/>
      <c r="B1231" s="150"/>
      <c r="C1231" s="151"/>
      <c r="D1231" s="140"/>
      <c r="E1231" s="152"/>
      <c r="F1231" s="60"/>
      <c r="G1231" s="60"/>
      <c r="H1231" s="60"/>
      <c r="I1231" s="60"/>
      <c r="J1231" s="60"/>
      <c r="K1231" s="60"/>
      <c r="L1231" s="60"/>
      <c r="M1231" s="60"/>
      <c r="N1231" s="60"/>
      <c r="O1231" s="60"/>
      <c r="P1231" s="60"/>
      <c r="Q1231" s="60"/>
      <c r="R1231" s="60"/>
      <c r="S1231" s="60"/>
      <c r="T1231" s="60"/>
      <c r="U1231" s="60"/>
      <c r="V1231" s="60"/>
      <c r="W1231" s="60"/>
      <c r="X1231" s="60"/>
      <c r="Y1231" s="60"/>
      <c r="Z1231" s="60"/>
    </row>
    <row r="1232">
      <c r="A1232" s="149"/>
      <c r="B1232" s="150"/>
      <c r="C1232" s="151"/>
      <c r="D1232" s="140"/>
      <c r="E1232" s="152"/>
      <c r="F1232" s="60"/>
      <c r="G1232" s="60"/>
      <c r="H1232" s="60"/>
      <c r="I1232" s="60"/>
      <c r="J1232" s="60"/>
      <c r="K1232" s="60"/>
      <c r="L1232" s="60"/>
      <c r="M1232" s="60"/>
      <c r="N1232" s="60"/>
      <c r="O1232" s="60"/>
      <c r="P1232" s="60"/>
      <c r="Q1232" s="60"/>
      <c r="R1232" s="60"/>
      <c r="S1232" s="60"/>
      <c r="T1232" s="60"/>
      <c r="U1232" s="60"/>
      <c r="V1232" s="60"/>
      <c r="W1232" s="60"/>
      <c r="X1232" s="60"/>
      <c r="Y1232" s="60"/>
      <c r="Z1232" s="60"/>
    </row>
    <row r="1233">
      <c r="A1233" s="149"/>
      <c r="B1233" s="150"/>
      <c r="C1233" s="151"/>
      <c r="D1233" s="140"/>
      <c r="E1233" s="152"/>
      <c r="F1233" s="60"/>
      <c r="G1233" s="60"/>
      <c r="H1233" s="60"/>
      <c r="I1233" s="60"/>
      <c r="J1233" s="60"/>
      <c r="K1233" s="60"/>
      <c r="L1233" s="60"/>
      <c r="M1233" s="60"/>
      <c r="N1233" s="60"/>
      <c r="O1233" s="60"/>
      <c r="P1233" s="60"/>
      <c r="Q1233" s="60"/>
      <c r="R1233" s="60"/>
      <c r="S1233" s="60"/>
      <c r="T1233" s="60"/>
      <c r="U1233" s="60"/>
      <c r="V1233" s="60"/>
      <c r="W1233" s="60"/>
      <c r="X1233" s="60"/>
      <c r="Y1233" s="60"/>
      <c r="Z1233" s="60"/>
    </row>
    <row r="1234">
      <c r="A1234" s="149"/>
      <c r="B1234" s="150"/>
      <c r="C1234" s="151"/>
      <c r="D1234" s="140"/>
      <c r="E1234" s="152"/>
      <c r="F1234" s="60"/>
      <c r="G1234" s="60"/>
      <c r="H1234" s="60"/>
      <c r="I1234" s="60"/>
      <c r="J1234" s="60"/>
      <c r="K1234" s="60"/>
      <c r="L1234" s="60"/>
      <c r="M1234" s="60"/>
      <c r="N1234" s="60"/>
      <c r="O1234" s="60"/>
      <c r="P1234" s="60"/>
      <c r="Q1234" s="60"/>
      <c r="R1234" s="60"/>
      <c r="S1234" s="60"/>
      <c r="T1234" s="60"/>
      <c r="U1234" s="60"/>
      <c r="V1234" s="60"/>
      <c r="W1234" s="60"/>
      <c r="X1234" s="60"/>
      <c r="Y1234" s="60"/>
      <c r="Z1234" s="60"/>
    </row>
    <row r="1235">
      <c r="A1235" s="149"/>
      <c r="B1235" s="150"/>
      <c r="C1235" s="151"/>
      <c r="D1235" s="140"/>
      <c r="E1235" s="152"/>
      <c r="F1235" s="60"/>
      <c r="G1235" s="60"/>
      <c r="H1235" s="60"/>
      <c r="I1235" s="60"/>
      <c r="J1235" s="60"/>
      <c r="K1235" s="60"/>
      <c r="L1235" s="60"/>
      <c r="M1235" s="60"/>
      <c r="N1235" s="60"/>
      <c r="O1235" s="60"/>
      <c r="P1235" s="60"/>
      <c r="Q1235" s="60"/>
      <c r="R1235" s="60"/>
      <c r="S1235" s="60"/>
      <c r="T1235" s="60"/>
      <c r="U1235" s="60"/>
      <c r="V1235" s="60"/>
      <c r="W1235" s="60"/>
      <c r="X1235" s="60"/>
      <c r="Y1235" s="60"/>
      <c r="Z1235" s="60"/>
    </row>
    <row r="1236">
      <c r="A1236" s="149"/>
      <c r="B1236" s="150"/>
      <c r="C1236" s="151"/>
      <c r="D1236" s="140"/>
      <c r="E1236" s="152"/>
      <c r="F1236" s="60"/>
      <c r="G1236" s="60"/>
      <c r="H1236" s="60"/>
      <c r="I1236" s="60"/>
      <c r="J1236" s="60"/>
      <c r="K1236" s="60"/>
      <c r="L1236" s="60"/>
      <c r="M1236" s="60"/>
      <c r="N1236" s="60"/>
      <c r="O1236" s="60"/>
      <c r="P1236" s="60"/>
      <c r="Q1236" s="60"/>
      <c r="R1236" s="60"/>
      <c r="S1236" s="60"/>
      <c r="T1236" s="60"/>
      <c r="U1236" s="60"/>
      <c r="V1236" s="60"/>
      <c r="W1236" s="60"/>
      <c r="X1236" s="60"/>
      <c r="Y1236" s="60"/>
      <c r="Z1236" s="60"/>
    </row>
    <row r="1237">
      <c r="A1237" s="149"/>
      <c r="B1237" s="150"/>
      <c r="C1237" s="151"/>
      <c r="D1237" s="140"/>
      <c r="E1237" s="152"/>
      <c r="F1237" s="60"/>
      <c r="G1237" s="60"/>
      <c r="H1237" s="60"/>
      <c r="I1237" s="60"/>
      <c r="J1237" s="60"/>
      <c r="K1237" s="60"/>
      <c r="L1237" s="60"/>
      <c r="M1237" s="60"/>
      <c r="N1237" s="60"/>
      <c r="O1237" s="60"/>
      <c r="P1237" s="60"/>
      <c r="Q1237" s="60"/>
      <c r="R1237" s="60"/>
      <c r="S1237" s="60"/>
      <c r="T1237" s="60"/>
      <c r="U1237" s="60"/>
      <c r="V1237" s="60"/>
      <c r="W1237" s="60"/>
      <c r="X1237" s="60"/>
      <c r="Y1237" s="60"/>
      <c r="Z1237" s="60"/>
    </row>
    <row r="1238">
      <c r="A1238" s="149"/>
      <c r="B1238" s="150"/>
      <c r="C1238" s="151"/>
      <c r="D1238" s="140"/>
      <c r="E1238" s="152"/>
      <c r="F1238" s="60"/>
      <c r="G1238" s="60"/>
      <c r="H1238" s="60"/>
      <c r="I1238" s="60"/>
      <c r="J1238" s="60"/>
      <c r="K1238" s="60"/>
      <c r="L1238" s="60"/>
      <c r="M1238" s="60"/>
      <c r="N1238" s="60"/>
      <c r="O1238" s="60"/>
      <c r="P1238" s="60"/>
      <c r="Q1238" s="60"/>
      <c r="R1238" s="60"/>
      <c r="S1238" s="60"/>
      <c r="T1238" s="60"/>
      <c r="U1238" s="60"/>
      <c r="V1238" s="60"/>
      <c r="W1238" s="60"/>
      <c r="X1238" s="60"/>
      <c r="Y1238" s="60"/>
      <c r="Z1238" s="60"/>
    </row>
    <row r="1239">
      <c r="A1239" s="149"/>
      <c r="B1239" s="150"/>
      <c r="C1239" s="151"/>
      <c r="D1239" s="140"/>
      <c r="E1239" s="152"/>
      <c r="F1239" s="60"/>
      <c r="G1239" s="60"/>
      <c r="H1239" s="60"/>
      <c r="I1239" s="60"/>
      <c r="J1239" s="60"/>
      <c r="K1239" s="60"/>
      <c r="L1239" s="60"/>
      <c r="M1239" s="60"/>
      <c r="N1239" s="60"/>
      <c r="O1239" s="60"/>
      <c r="P1239" s="60"/>
      <c r="Q1239" s="60"/>
      <c r="R1239" s="60"/>
      <c r="S1239" s="60"/>
      <c r="T1239" s="60"/>
      <c r="U1239" s="60"/>
      <c r="V1239" s="60"/>
      <c r="W1239" s="60"/>
      <c r="X1239" s="60"/>
      <c r="Y1239" s="60"/>
      <c r="Z1239" s="60"/>
    </row>
    <row r="1240">
      <c r="A1240" s="149"/>
      <c r="B1240" s="150"/>
      <c r="C1240" s="151"/>
      <c r="D1240" s="140"/>
      <c r="E1240" s="152"/>
      <c r="F1240" s="60"/>
      <c r="G1240" s="60"/>
      <c r="H1240" s="60"/>
      <c r="I1240" s="60"/>
      <c r="J1240" s="60"/>
      <c r="K1240" s="60"/>
      <c r="L1240" s="60"/>
      <c r="M1240" s="60"/>
      <c r="N1240" s="60"/>
      <c r="O1240" s="60"/>
      <c r="P1240" s="60"/>
      <c r="Q1240" s="60"/>
      <c r="R1240" s="60"/>
      <c r="S1240" s="60"/>
      <c r="T1240" s="60"/>
      <c r="U1240" s="60"/>
      <c r="V1240" s="60"/>
      <c r="W1240" s="60"/>
      <c r="X1240" s="60"/>
      <c r="Y1240" s="60"/>
      <c r="Z1240" s="60"/>
    </row>
    <row r="1241">
      <c r="A1241" s="149"/>
      <c r="B1241" s="150"/>
      <c r="C1241" s="151"/>
      <c r="D1241" s="140"/>
      <c r="E1241" s="152"/>
      <c r="F1241" s="60"/>
      <c r="G1241" s="60"/>
      <c r="H1241" s="60"/>
      <c r="I1241" s="60"/>
      <c r="J1241" s="60"/>
      <c r="K1241" s="60"/>
      <c r="L1241" s="60"/>
      <c r="M1241" s="60"/>
      <c r="N1241" s="60"/>
      <c r="O1241" s="60"/>
      <c r="P1241" s="60"/>
      <c r="Q1241" s="60"/>
      <c r="R1241" s="60"/>
      <c r="S1241" s="60"/>
      <c r="T1241" s="60"/>
      <c r="U1241" s="60"/>
      <c r="V1241" s="60"/>
      <c r="W1241" s="60"/>
      <c r="X1241" s="60"/>
      <c r="Y1241" s="60"/>
      <c r="Z1241" s="60"/>
    </row>
    <row r="1242">
      <c r="A1242" s="149"/>
      <c r="B1242" s="150"/>
      <c r="C1242" s="151"/>
      <c r="D1242" s="140"/>
      <c r="E1242" s="152"/>
      <c r="F1242" s="60"/>
      <c r="G1242" s="60"/>
      <c r="H1242" s="60"/>
      <c r="I1242" s="60"/>
      <c r="J1242" s="60"/>
      <c r="K1242" s="60"/>
      <c r="L1242" s="60"/>
      <c r="M1242" s="60"/>
      <c r="N1242" s="60"/>
      <c r="O1242" s="60"/>
      <c r="P1242" s="60"/>
      <c r="Q1242" s="60"/>
      <c r="R1242" s="60"/>
      <c r="S1242" s="60"/>
      <c r="T1242" s="60"/>
      <c r="U1242" s="60"/>
      <c r="V1242" s="60"/>
      <c r="W1242" s="60"/>
      <c r="X1242" s="60"/>
      <c r="Y1242" s="60"/>
      <c r="Z1242" s="60"/>
    </row>
    <row r="1243">
      <c r="A1243" s="149"/>
      <c r="B1243" s="150"/>
      <c r="C1243" s="151"/>
      <c r="D1243" s="140"/>
      <c r="E1243" s="152"/>
      <c r="F1243" s="60"/>
      <c r="G1243" s="60"/>
      <c r="H1243" s="60"/>
      <c r="I1243" s="60"/>
      <c r="J1243" s="60"/>
      <c r="K1243" s="60"/>
      <c r="L1243" s="60"/>
      <c r="M1243" s="60"/>
      <c r="N1243" s="60"/>
      <c r="O1243" s="60"/>
      <c r="P1243" s="60"/>
      <c r="Q1243" s="60"/>
      <c r="R1243" s="60"/>
      <c r="S1243" s="60"/>
      <c r="T1243" s="60"/>
      <c r="U1243" s="60"/>
      <c r="V1243" s="60"/>
      <c r="W1243" s="60"/>
      <c r="X1243" s="60"/>
      <c r="Y1243" s="60"/>
      <c r="Z1243" s="60"/>
    </row>
    <row r="1244">
      <c r="A1244" s="149"/>
      <c r="B1244" s="150"/>
      <c r="C1244" s="151"/>
      <c r="D1244" s="140"/>
      <c r="E1244" s="152"/>
      <c r="F1244" s="60"/>
      <c r="G1244" s="60"/>
      <c r="H1244" s="60"/>
      <c r="I1244" s="60"/>
      <c r="J1244" s="60"/>
      <c r="K1244" s="60"/>
      <c r="L1244" s="60"/>
      <c r="M1244" s="60"/>
      <c r="N1244" s="60"/>
      <c r="O1244" s="60"/>
      <c r="P1244" s="60"/>
      <c r="Q1244" s="60"/>
      <c r="R1244" s="60"/>
      <c r="S1244" s="60"/>
      <c r="T1244" s="60"/>
      <c r="U1244" s="60"/>
      <c r="V1244" s="60"/>
      <c r="W1244" s="60"/>
      <c r="X1244" s="60"/>
      <c r="Y1244" s="60"/>
      <c r="Z1244" s="60"/>
    </row>
    <row r="1245">
      <c r="A1245" s="149"/>
      <c r="B1245" s="150"/>
      <c r="C1245" s="151"/>
      <c r="D1245" s="140"/>
      <c r="E1245" s="152"/>
      <c r="F1245" s="60"/>
      <c r="G1245" s="60"/>
      <c r="H1245" s="60"/>
      <c r="I1245" s="60"/>
      <c r="J1245" s="60"/>
      <c r="K1245" s="60"/>
      <c r="L1245" s="60"/>
      <c r="M1245" s="60"/>
      <c r="N1245" s="60"/>
      <c r="O1245" s="60"/>
      <c r="P1245" s="60"/>
      <c r="Q1245" s="60"/>
      <c r="R1245" s="60"/>
      <c r="S1245" s="60"/>
      <c r="T1245" s="60"/>
      <c r="U1245" s="60"/>
      <c r="V1245" s="60"/>
      <c r="W1245" s="60"/>
      <c r="X1245" s="60"/>
      <c r="Y1245" s="60"/>
      <c r="Z1245" s="60"/>
    </row>
    <row r="1246">
      <c r="A1246" s="149"/>
      <c r="B1246" s="150"/>
      <c r="C1246" s="151"/>
      <c r="D1246" s="140"/>
      <c r="E1246" s="152"/>
      <c r="F1246" s="60"/>
      <c r="G1246" s="60"/>
      <c r="H1246" s="60"/>
      <c r="I1246" s="60"/>
      <c r="J1246" s="60"/>
      <c r="K1246" s="60"/>
      <c r="L1246" s="60"/>
      <c r="M1246" s="60"/>
      <c r="N1246" s="60"/>
      <c r="O1246" s="60"/>
      <c r="P1246" s="60"/>
      <c r="Q1246" s="60"/>
      <c r="R1246" s="60"/>
      <c r="S1246" s="60"/>
      <c r="T1246" s="60"/>
      <c r="U1246" s="60"/>
      <c r="V1246" s="60"/>
      <c r="W1246" s="60"/>
      <c r="X1246" s="60"/>
      <c r="Y1246" s="60"/>
      <c r="Z1246" s="60"/>
    </row>
    <row r="1247">
      <c r="A1247" s="149"/>
      <c r="B1247" s="150"/>
      <c r="C1247" s="151"/>
      <c r="D1247" s="140"/>
      <c r="E1247" s="152"/>
      <c r="F1247" s="60"/>
      <c r="G1247" s="60"/>
      <c r="H1247" s="60"/>
      <c r="I1247" s="60"/>
      <c r="J1247" s="60"/>
      <c r="K1247" s="60"/>
      <c r="L1247" s="60"/>
      <c r="M1247" s="60"/>
      <c r="N1247" s="60"/>
      <c r="O1247" s="60"/>
      <c r="P1247" s="60"/>
      <c r="Q1247" s="60"/>
      <c r="R1247" s="60"/>
      <c r="S1247" s="60"/>
      <c r="T1247" s="60"/>
      <c r="U1247" s="60"/>
      <c r="V1247" s="60"/>
      <c r="W1247" s="60"/>
      <c r="X1247" s="60"/>
      <c r="Y1247" s="60"/>
      <c r="Z1247" s="60"/>
    </row>
    <row r="1248">
      <c r="A1248" s="149"/>
      <c r="B1248" s="150"/>
      <c r="C1248" s="151"/>
      <c r="D1248" s="140"/>
      <c r="E1248" s="152"/>
      <c r="F1248" s="60"/>
      <c r="G1248" s="60"/>
      <c r="H1248" s="60"/>
      <c r="I1248" s="60"/>
      <c r="J1248" s="60"/>
      <c r="K1248" s="60"/>
      <c r="L1248" s="60"/>
      <c r="M1248" s="60"/>
      <c r="N1248" s="60"/>
      <c r="O1248" s="60"/>
      <c r="P1248" s="60"/>
      <c r="Q1248" s="60"/>
      <c r="R1248" s="60"/>
      <c r="S1248" s="60"/>
      <c r="T1248" s="60"/>
      <c r="U1248" s="60"/>
      <c r="V1248" s="60"/>
      <c r="W1248" s="60"/>
      <c r="X1248" s="60"/>
      <c r="Y1248" s="60"/>
      <c r="Z1248" s="60"/>
    </row>
    <row r="1249">
      <c r="A1249" s="149"/>
      <c r="B1249" s="150"/>
      <c r="C1249" s="151"/>
      <c r="D1249" s="140"/>
      <c r="E1249" s="152"/>
      <c r="F1249" s="60"/>
      <c r="G1249" s="60"/>
      <c r="H1249" s="60"/>
      <c r="I1249" s="60"/>
      <c r="J1249" s="60"/>
      <c r="K1249" s="60"/>
      <c r="L1249" s="60"/>
      <c r="M1249" s="60"/>
      <c r="N1249" s="60"/>
      <c r="O1249" s="60"/>
      <c r="P1249" s="60"/>
      <c r="Q1249" s="60"/>
      <c r="R1249" s="60"/>
      <c r="S1249" s="60"/>
      <c r="T1249" s="60"/>
      <c r="U1249" s="60"/>
      <c r="V1249" s="60"/>
      <c r="W1249" s="60"/>
      <c r="X1249" s="60"/>
      <c r="Y1249" s="60"/>
      <c r="Z1249" s="60"/>
    </row>
    <row r="1250">
      <c r="A1250" s="149"/>
      <c r="B1250" s="150"/>
      <c r="C1250" s="151"/>
      <c r="D1250" s="140"/>
      <c r="E1250" s="152"/>
      <c r="F1250" s="60"/>
      <c r="G1250" s="60"/>
      <c r="H1250" s="60"/>
      <c r="I1250" s="60"/>
      <c r="J1250" s="60"/>
      <c r="K1250" s="60"/>
      <c r="L1250" s="60"/>
      <c r="M1250" s="60"/>
      <c r="N1250" s="60"/>
      <c r="O1250" s="60"/>
      <c r="P1250" s="60"/>
      <c r="Q1250" s="60"/>
      <c r="R1250" s="60"/>
      <c r="S1250" s="60"/>
      <c r="T1250" s="60"/>
      <c r="U1250" s="60"/>
      <c r="V1250" s="60"/>
      <c r="W1250" s="60"/>
      <c r="X1250" s="60"/>
      <c r="Y1250" s="60"/>
      <c r="Z1250" s="60"/>
    </row>
    <row r="1251">
      <c r="A1251" s="149"/>
      <c r="B1251" s="150"/>
      <c r="C1251" s="151"/>
      <c r="D1251" s="140"/>
      <c r="E1251" s="152"/>
      <c r="F1251" s="60"/>
      <c r="G1251" s="60"/>
      <c r="H1251" s="60"/>
      <c r="I1251" s="60"/>
      <c r="J1251" s="60"/>
      <c r="K1251" s="60"/>
      <c r="L1251" s="60"/>
      <c r="M1251" s="60"/>
      <c r="N1251" s="60"/>
      <c r="O1251" s="60"/>
      <c r="P1251" s="60"/>
      <c r="Q1251" s="60"/>
      <c r="R1251" s="60"/>
      <c r="S1251" s="60"/>
      <c r="T1251" s="60"/>
      <c r="U1251" s="60"/>
      <c r="V1251" s="60"/>
      <c r="W1251" s="60"/>
      <c r="X1251" s="60"/>
      <c r="Y1251" s="60"/>
      <c r="Z1251" s="60"/>
    </row>
    <row r="1252">
      <c r="A1252" s="149"/>
      <c r="B1252" s="150"/>
      <c r="C1252" s="151"/>
      <c r="D1252" s="140"/>
      <c r="E1252" s="152"/>
      <c r="F1252" s="60"/>
      <c r="G1252" s="60"/>
      <c r="H1252" s="60"/>
      <c r="I1252" s="60"/>
      <c r="J1252" s="60"/>
      <c r="K1252" s="60"/>
      <c r="L1252" s="60"/>
      <c r="M1252" s="60"/>
      <c r="N1252" s="60"/>
      <c r="O1252" s="60"/>
      <c r="P1252" s="60"/>
      <c r="Q1252" s="60"/>
      <c r="R1252" s="60"/>
      <c r="S1252" s="60"/>
      <c r="T1252" s="60"/>
      <c r="U1252" s="60"/>
      <c r="V1252" s="60"/>
      <c r="W1252" s="60"/>
      <c r="X1252" s="60"/>
      <c r="Y1252" s="60"/>
      <c r="Z1252" s="60"/>
    </row>
    <row r="1253">
      <c r="A1253" s="149"/>
      <c r="B1253" s="150"/>
      <c r="C1253" s="151"/>
      <c r="D1253" s="140"/>
      <c r="E1253" s="152"/>
      <c r="F1253" s="60"/>
      <c r="G1253" s="60"/>
      <c r="H1253" s="60"/>
      <c r="I1253" s="60"/>
      <c r="J1253" s="60"/>
      <c r="K1253" s="60"/>
      <c r="L1253" s="60"/>
      <c r="M1253" s="60"/>
      <c r="N1253" s="60"/>
      <c r="O1253" s="60"/>
      <c r="P1253" s="60"/>
      <c r="Q1253" s="60"/>
      <c r="R1253" s="60"/>
      <c r="S1253" s="60"/>
      <c r="T1253" s="60"/>
      <c r="U1253" s="60"/>
      <c r="V1253" s="60"/>
      <c r="W1253" s="60"/>
      <c r="X1253" s="60"/>
      <c r="Y1253" s="60"/>
      <c r="Z1253" s="60"/>
    </row>
    <row r="1254">
      <c r="A1254" s="149"/>
      <c r="B1254" s="150"/>
      <c r="C1254" s="151"/>
      <c r="D1254" s="140"/>
      <c r="E1254" s="152"/>
      <c r="F1254" s="60"/>
      <c r="G1254" s="60"/>
      <c r="H1254" s="60"/>
      <c r="I1254" s="60"/>
      <c r="J1254" s="60"/>
      <c r="K1254" s="60"/>
      <c r="L1254" s="60"/>
      <c r="M1254" s="60"/>
      <c r="N1254" s="60"/>
      <c r="O1254" s="60"/>
      <c r="P1254" s="60"/>
      <c r="Q1254" s="60"/>
      <c r="R1254" s="60"/>
      <c r="S1254" s="60"/>
      <c r="T1254" s="60"/>
      <c r="U1254" s="60"/>
      <c r="V1254" s="60"/>
      <c r="W1254" s="60"/>
      <c r="X1254" s="60"/>
      <c r="Y1254" s="60"/>
      <c r="Z1254" s="60"/>
    </row>
    <row r="1255">
      <c r="A1255" s="149"/>
      <c r="B1255" s="150"/>
      <c r="C1255" s="151"/>
      <c r="D1255" s="140"/>
      <c r="E1255" s="152"/>
      <c r="F1255" s="60"/>
      <c r="G1255" s="60"/>
      <c r="H1255" s="60"/>
      <c r="I1255" s="60"/>
      <c r="J1255" s="60"/>
      <c r="K1255" s="60"/>
      <c r="L1255" s="60"/>
      <c r="M1255" s="60"/>
      <c r="N1255" s="60"/>
      <c r="O1255" s="60"/>
      <c r="P1255" s="60"/>
      <c r="Q1255" s="60"/>
      <c r="R1255" s="60"/>
      <c r="S1255" s="60"/>
      <c r="T1255" s="60"/>
      <c r="U1255" s="60"/>
      <c r="V1255" s="60"/>
      <c r="W1255" s="60"/>
      <c r="X1255" s="60"/>
      <c r="Y1255" s="60"/>
      <c r="Z1255" s="60"/>
    </row>
    <row r="1256">
      <c r="A1256" s="149"/>
      <c r="B1256" s="150"/>
      <c r="C1256" s="151"/>
      <c r="D1256" s="140"/>
      <c r="E1256" s="152"/>
      <c r="F1256" s="60"/>
      <c r="G1256" s="60"/>
      <c r="H1256" s="60"/>
      <c r="I1256" s="60"/>
      <c r="J1256" s="60"/>
      <c r="K1256" s="60"/>
      <c r="L1256" s="60"/>
      <c r="M1256" s="60"/>
      <c r="N1256" s="60"/>
      <c r="O1256" s="60"/>
      <c r="P1256" s="60"/>
      <c r="Q1256" s="60"/>
      <c r="R1256" s="60"/>
      <c r="S1256" s="60"/>
      <c r="T1256" s="60"/>
      <c r="U1256" s="60"/>
      <c r="V1256" s="60"/>
      <c r="W1256" s="60"/>
      <c r="X1256" s="60"/>
      <c r="Y1256" s="60"/>
      <c r="Z1256" s="60"/>
    </row>
    <row r="1257">
      <c r="A1257" s="149"/>
      <c r="B1257" s="150"/>
      <c r="C1257" s="151"/>
      <c r="D1257" s="140"/>
      <c r="E1257" s="152"/>
      <c r="F1257" s="60"/>
      <c r="G1257" s="60"/>
      <c r="H1257" s="60"/>
      <c r="I1257" s="60"/>
      <c r="J1257" s="60"/>
      <c r="K1257" s="60"/>
      <c r="L1257" s="60"/>
      <c r="M1257" s="60"/>
      <c r="N1257" s="60"/>
      <c r="O1257" s="60"/>
      <c r="P1257" s="60"/>
      <c r="Q1257" s="60"/>
      <c r="R1257" s="60"/>
      <c r="S1257" s="60"/>
      <c r="T1257" s="60"/>
      <c r="U1257" s="60"/>
      <c r="V1257" s="60"/>
      <c r="W1257" s="60"/>
      <c r="X1257" s="60"/>
      <c r="Y1257" s="60"/>
      <c r="Z1257" s="60"/>
    </row>
    <row r="1258">
      <c r="A1258" s="149"/>
      <c r="B1258" s="150"/>
      <c r="C1258" s="151"/>
      <c r="D1258" s="140"/>
      <c r="E1258" s="152"/>
      <c r="F1258" s="60"/>
      <c r="G1258" s="60"/>
      <c r="H1258" s="60"/>
      <c r="I1258" s="60"/>
      <c r="J1258" s="60"/>
      <c r="K1258" s="60"/>
      <c r="L1258" s="60"/>
      <c r="M1258" s="60"/>
      <c r="N1258" s="60"/>
      <c r="O1258" s="60"/>
      <c r="P1258" s="60"/>
      <c r="Q1258" s="60"/>
      <c r="R1258" s="60"/>
      <c r="S1258" s="60"/>
      <c r="T1258" s="60"/>
      <c r="U1258" s="60"/>
      <c r="V1258" s="60"/>
      <c r="W1258" s="60"/>
      <c r="X1258" s="60"/>
      <c r="Y1258" s="60"/>
      <c r="Z1258" s="60"/>
    </row>
  </sheetData>
  <mergeCells count="34">
    <mergeCell ref="B9:B10"/>
    <mergeCell ref="C9:C10"/>
    <mergeCell ref="B12:B13"/>
    <mergeCell ref="C12:C13"/>
    <mergeCell ref="B14:B19"/>
    <mergeCell ref="C14:C19"/>
    <mergeCell ref="C20:C38"/>
    <mergeCell ref="B197:B206"/>
    <mergeCell ref="B207:B220"/>
    <mergeCell ref="B221:B235"/>
    <mergeCell ref="A236:A252"/>
    <mergeCell ref="B236:B252"/>
    <mergeCell ref="A253:A258"/>
    <mergeCell ref="B253:B258"/>
    <mergeCell ref="B20:B38"/>
    <mergeCell ref="B39:B48"/>
    <mergeCell ref="B49:B54"/>
    <mergeCell ref="B55:B82"/>
    <mergeCell ref="B83:B169"/>
    <mergeCell ref="B170:B193"/>
    <mergeCell ref="B194:B196"/>
    <mergeCell ref="C207:C220"/>
    <mergeCell ref="C221:C235"/>
    <mergeCell ref="C236:C246"/>
    <mergeCell ref="C247:C252"/>
    <mergeCell ref="C253:C258"/>
    <mergeCell ref="C39:C48"/>
    <mergeCell ref="C49:C54"/>
    <mergeCell ref="C55:C82"/>
    <mergeCell ref="C83:C169"/>
    <mergeCell ref="C170:C193"/>
    <mergeCell ref="C194:C196"/>
    <mergeCell ref="C197:C206"/>
    <mergeCell ref="B1:C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0202"/>
    <outlinePr summaryBelow="0" summaryRight="0"/>
  </sheetPr>
  <sheetViews>
    <sheetView workbookViewId="0"/>
  </sheetViews>
  <sheetFormatPr customHeight="1" defaultColWidth="11.22" defaultRowHeight="15.0"/>
  <cols>
    <col customWidth="1" min="1" max="1" width="19.44"/>
    <col customWidth="1" min="4" max="4" width="4.44"/>
    <col customWidth="1" min="9" max="9" width="5.33"/>
    <col customWidth="1" min="12" max="12" width="27.33"/>
  </cols>
  <sheetData>
    <row r="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row>
    <row r="2">
      <c r="D2" s="153"/>
      <c r="I2" s="153"/>
      <c r="O2" s="153"/>
      <c r="P2" s="153"/>
      <c r="Q2" s="153"/>
      <c r="R2" s="153"/>
      <c r="S2" s="153"/>
      <c r="T2" s="153"/>
      <c r="U2" s="153"/>
      <c r="V2" s="153"/>
      <c r="W2" s="153"/>
      <c r="X2" s="153"/>
      <c r="Y2" s="153"/>
      <c r="Z2" s="153"/>
    </row>
    <row r="3">
      <c r="D3" s="153"/>
      <c r="I3" s="153"/>
      <c r="O3" s="153"/>
      <c r="P3" s="153"/>
      <c r="Q3" s="153"/>
      <c r="R3" s="153"/>
      <c r="S3" s="153"/>
      <c r="T3" s="153"/>
      <c r="U3" s="153"/>
      <c r="V3" s="153"/>
      <c r="W3" s="153"/>
      <c r="X3" s="153"/>
      <c r="Y3" s="153"/>
      <c r="Z3" s="153"/>
    </row>
    <row r="4">
      <c r="D4" s="153"/>
      <c r="I4" s="153"/>
      <c r="O4" s="153"/>
      <c r="P4" s="153"/>
      <c r="Q4" s="153"/>
      <c r="R4" s="153"/>
      <c r="S4" s="153"/>
      <c r="T4" s="153"/>
      <c r="U4" s="153"/>
      <c r="V4" s="153"/>
      <c r="W4" s="153"/>
      <c r="X4" s="153"/>
      <c r="Y4" s="153"/>
      <c r="Z4" s="153"/>
    </row>
    <row r="5">
      <c r="D5" s="153"/>
      <c r="I5" s="153"/>
      <c r="O5" s="153"/>
      <c r="P5" s="153"/>
      <c r="Q5" s="153"/>
      <c r="R5" s="153"/>
      <c r="S5" s="153"/>
      <c r="T5" s="153"/>
      <c r="U5" s="153"/>
      <c r="V5" s="153"/>
      <c r="W5" s="153"/>
      <c r="X5" s="153"/>
      <c r="Y5" s="153"/>
      <c r="Z5" s="153"/>
    </row>
    <row r="6">
      <c r="D6" s="153"/>
      <c r="I6" s="153"/>
      <c r="O6" s="153"/>
      <c r="P6" s="153"/>
      <c r="Q6" s="153"/>
      <c r="R6" s="153"/>
      <c r="S6" s="153"/>
      <c r="T6" s="153"/>
      <c r="U6" s="153"/>
      <c r="V6" s="153"/>
      <c r="W6" s="153"/>
      <c r="X6" s="153"/>
      <c r="Y6" s="153"/>
      <c r="Z6" s="153"/>
    </row>
    <row r="7">
      <c r="D7" s="153"/>
      <c r="E7" s="153"/>
      <c r="F7" s="153"/>
      <c r="G7" s="153"/>
      <c r="H7" s="153"/>
      <c r="I7" s="153"/>
      <c r="J7" s="153"/>
      <c r="K7" s="153"/>
      <c r="L7" s="153"/>
      <c r="M7" s="153"/>
      <c r="N7" s="153"/>
      <c r="O7" s="153"/>
      <c r="P7" s="153"/>
      <c r="Q7" s="153"/>
      <c r="R7" s="153"/>
      <c r="S7" s="153"/>
      <c r="T7" s="153"/>
      <c r="U7" s="153"/>
      <c r="V7" s="153"/>
      <c r="W7" s="153"/>
      <c r="X7" s="153"/>
      <c r="Y7" s="153"/>
      <c r="Z7" s="153"/>
    </row>
    <row r="8">
      <c r="A8" s="153"/>
      <c r="B8" s="153"/>
      <c r="C8" s="153"/>
      <c r="D8" s="153"/>
      <c r="E8" s="153"/>
      <c r="F8" s="153"/>
      <c r="G8" s="153"/>
      <c r="H8" s="153"/>
      <c r="I8" s="153"/>
      <c r="J8" s="153"/>
      <c r="K8" s="153"/>
      <c r="L8" s="153"/>
      <c r="M8" s="153"/>
      <c r="N8" s="153"/>
      <c r="O8" s="153"/>
      <c r="P8" s="153"/>
      <c r="Q8" s="153"/>
      <c r="R8" s="153"/>
      <c r="S8" s="153"/>
      <c r="T8" s="153"/>
      <c r="U8" s="153"/>
      <c r="V8" s="153"/>
      <c r="W8" s="153"/>
      <c r="X8" s="153"/>
      <c r="Y8" s="153"/>
      <c r="Z8" s="153"/>
    </row>
    <row r="9">
      <c r="A9" s="153"/>
      <c r="B9" s="153"/>
      <c r="C9" s="153"/>
      <c r="D9" s="153"/>
      <c r="E9" s="153"/>
      <c r="F9" s="153"/>
      <c r="G9" s="153"/>
      <c r="H9" s="153"/>
      <c r="I9" s="153"/>
      <c r="J9" s="153"/>
      <c r="K9" s="153"/>
      <c r="L9" s="153"/>
      <c r="M9" s="153"/>
      <c r="N9" s="153"/>
      <c r="O9" s="153"/>
      <c r="P9" s="153"/>
      <c r="Q9" s="153"/>
      <c r="R9" s="153"/>
      <c r="S9" s="153"/>
      <c r="T9" s="153"/>
      <c r="U9" s="153"/>
      <c r="V9" s="153"/>
      <c r="W9" s="153"/>
      <c r="X9" s="153"/>
      <c r="Y9" s="153"/>
      <c r="Z9" s="153"/>
    </row>
    <row r="10">
      <c r="A10" s="153"/>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row>
    <row r="11">
      <c r="A11" s="153"/>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row>
    <row r="12">
      <c r="A12" s="153"/>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3"/>
    </row>
    <row r="13">
      <c r="A13" s="153"/>
      <c r="B13" s="153"/>
      <c r="C13" s="153"/>
      <c r="D13" s="153"/>
      <c r="E13" s="153"/>
      <c r="F13" s="153"/>
      <c r="G13" s="153"/>
      <c r="H13" s="153"/>
      <c r="I13" s="153"/>
      <c r="J13" s="153"/>
      <c r="K13" s="153"/>
      <c r="L13" s="153"/>
      <c r="M13" s="153"/>
      <c r="N13" s="153"/>
      <c r="O13" s="153"/>
      <c r="P13" s="153"/>
      <c r="Q13" s="153"/>
      <c r="R13" s="153"/>
      <c r="S13" s="153"/>
      <c r="T13" s="153"/>
      <c r="U13" s="153"/>
      <c r="V13" s="153"/>
      <c r="W13" s="153"/>
      <c r="X13" s="153"/>
      <c r="Y13" s="153"/>
      <c r="Z13" s="153"/>
    </row>
    <row r="14">
      <c r="A14" s="153"/>
      <c r="B14" s="153"/>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row>
    <row r="15">
      <c r="A15" s="153"/>
      <c r="B15" s="153"/>
      <c r="C15" s="153"/>
      <c r="D15" s="153"/>
      <c r="E15" s="153"/>
      <c r="F15" s="153"/>
      <c r="G15" s="153"/>
      <c r="H15" s="153"/>
      <c r="I15" s="153"/>
      <c r="J15" s="153"/>
      <c r="K15" s="153"/>
      <c r="L15" s="153"/>
      <c r="M15" s="153"/>
      <c r="N15" s="153"/>
      <c r="O15" s="153"/>
      <c r="P15" s="153"/>
      <c r="Q15" s="153"/>
      <c r="R15" s="153"/>
      <c r="S15" s="153"/>
      <c r="T15" s="153"/>
      <c r="U15" s="153"/>
      <c r="V15" s="153"/>
      <c r="W15" s="153"/>
      <c r="X15" s="153"/>
      <c r="Y15" s="153"/>
      <c r="Z15" s="153"/>
    </row>
    <row r="16">
      <c r="A16" s="153"/>
      <c r="B16" s="153"/>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row>
    <row r="17">
      <c r="A17" s="153"/>
      <c r="B17" s="153"/>
      <c r="C17" s="153"/>
      <c r="D17" s="153"/>
      <c r="E17" s="153"/>
      <c r="F17" s="153"/>
      <c r="G17" s="153"/>
      <c r="H17" s="153"/>
      <c r="I17" s="153"/>
      <c r="J17" s="153"/>
      <c r="K17" s="153"/>
      <c r="L17" s="153"/>
      <c r="M17" s="153"/>
      <c r="N17" s="153"/>
      <c r="O17" s="153"/>
      <c r="P17" s="153"/>
      <c r="Q17" s="153"/>
      <c r="R17" s="153"/>
      <c r="S17" s="153"/>
      <c r="T17" s="153"/>
      <c r="U17" s="153"/>
      <c r="V17" s="153"/>
      <c r="W17" s="153"/>
      <c r="X17" s="153"/>
      <c r="Y17" s="153"/>
      <c r="Z17" s="153"/>
    </row>
    <row r="18">
      <c r="A18" s="153"/>
      <c r="B18" s="153"/>
      <c r="C18" s="153"/>
      <c r="D18" s="153"/>
      <c r="E18" s="153"/>
      <c r="F18" s="153"/>
      <c r="G18" s="153"/>
      <c r="H18" s="153"/>
      <c r="I18" s="153"/>
      <c r="J18" s="153"/>
      <c r="K18" s="153"/>
      <c r="L18" s="153"/>
      <c r="M18" s="153"/>
      <c r="N18" s="153"/>
      <c r="O18" s="153"/>
      <c r="P18" s="153"/>
      <c r="Q18" s="153"/>
      <c r="R18" s="153"/>
      <c r="S18" s="153"/>
      <c r="T18" s="153"/>
      <c r="U18" s="153"/>
      <c r="V18" s="153"/>
      <c r="W18" s="153"/>
      <c r="X18" s="153"/>
      <c r="Y18" s="153"/>
      <c r="Z18" s="153"/>
    </row>
    <row r="19">
      <c r="A19" s="153"/>
      <c r="B19" s="153"/>
      <c r="C19" s="153"/>
      <c r="D19" s="153"/>
      <c r="E19" s="153"/>
      <c r="F19" s="153"/>
      <c r="G19" s="153"/>
      <c r="H19" s="153"/>
      <c r="I19" s="153"/>
      <c r="J19" s="153"/>
      <c r="K19" s="153"/>
      <c r="L19" s="153"/>
      <c r="M19" s="153"/>
      <c r="N19" s="153"/>
      <c r="O19" s="153"/>
      <c r="P19" s="153"/>
      <c r="Q19" s="153"/>
      <c r="R19" s="153"/>
      <c r="S19" s="153"/>
      <c r="T19" s="153"/>
      <c r="U19" s="153"/>
      <c r="V19" s="153"/>
      <c r="W19" s="153"/>
      <c r="X19" s="153"/>
      <c r="Y19" s="153"/>
      <c r="Z19" s="153"/>
    </row>
    <row r="20">
      <c r="A20" s="153"/>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row>
    <row r="21">
      <c r="A21" s="153"/>
      <c r="B21" s="153"/>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row>
    <row r="22">
      <c r="A22" s="153"/>
      <c r="B22" s="153"/>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row>
    <row r="23">
      <c r="A23" s="153"/>
      <c r="B23" s="153"/>
      <c r="C23" s="153"/>
      <c r="D23" s="153"/>
      <c r="E23" s="153"/>
      <c r="F23" s="153"/>
      <c r="G23" s="153"/>
      <c r="H23" s="153"/>
      <c r="I23" s="153"/>
      <c r="J23" s="153"/>
      <c r="K23" s="153"/>
      <c r="L23" s="153"/>
      <c r="M23" s="153"/>
      <c r="N23" s="153"/>
      <c r="O23" s="153"/>
      <c r="P23" s="153"/>
      <c r="Q23" s="153"/>
      <c r="R23" s="153"/>
      <c r="S23" s="153"/>
      <c r="T23" s="153"/>
      <c r="U23" s="153"/>
      <c r="V23" s="153"/>
      <c r="W23" s="153"/>
      <c r="X23" s="153"/>
      <c r="Y23" s="153"/>
      <c r="Z23" s="153"/>
    </row>
    <row r="24">
      <c r="A24" s="153"/>
      <c r="B24" s="153"/>
      <c r="C24" s="153"/>
      <c r="D24" s="153"/>
      <c r="E24" s="153"/>
      <c r="F24" s="153"/>
      <c r="G24" s="153"/>
      <c r="H24" s="153"/>
      <c r="I24" s="153"/>
      <c r="J24" s="153"/>
      <c r="K24" s="153"/>
      <c r="L24" s="153"/>
      <c r="M24" s="153"/>
      <c r="N24" s="153"/>
      <c r="O24" s="153"/>
      <c r="P24" s="153"/>
      <c r="Q24" s="153"/>
      <c r="R24" s="153"/>
      <c r="S24" s="153"/>
      <c r="T24" s="153"/>
      <c r="U24" s="153"/>
      <c r="V24" s="153"/>
      <c r="W24" s="153"/>
      <c r="X24" s="153"/>
      <c r="Y24" s="153"/>
      <c r="Z24" s="153"/>
    </row>
    <row r="25">
      <c r="A25" s="153"/>
      <c r="B25" s="153"/>
      <c r="C25" s="153"/>
      <c r="D25" s="153"/>
      <c r="E25" s="153"/>
      <c r="F25" s="153"/>
      <c r="G25" s="153"/>
      <c r="H25" s="153"/>
      <c r="I25" s="153"/>
      <c r="J25" s="153"/>
      <c r="K25" s="153"/>
      <c r="L25" s="153"/>
      <c r="M25" s="153"/>
      <c r="N25" s="153"/>
      <c r="O25" s="153"/>
      <c r="P25" s="153"/>
      <c r="Q25" s="153"/>
      <c r="R25" s="153"/>
      <c r="S25" s="153"/>
      <c r="T25" s="153"/>
      <c r="U25" s="153"/>
      <c r="V25" s="153"/>
      <c r="W25" s="153"/>
      <c r="X25" s="153"/>
      <c r="Y25" s="153"/>
      <c r="Z25" s="153"/>
    </row>
    <row r="26">
      <c r="A26" s="153"/>
      <c r="B26" s="153"/>
      <c r="C26" s="153"/>
      <c r="D26" s="153"/>
      <c r="E26" s="153"/>
      <c r="F26" s="153"/>
      <c r="G26" s="153"/>
      <c r="H26" s="153"/>
      <c r="I26" s="153"/>
      <c r="J26" s="153"/>
      <c r="K26" s="153"/>
      <c r="L26" s="153"/>
      <c r="M26" s="153"/>
      <c r="N26" s="153"/>
      <c r="O26" s="153"/>
      <c r="P26" s="153"/>
      <c r="Q26" s="153"/>
      <c r="R26" s="153"/>
      <c r="S26" s="153"/>
      <c r="T26" s="153"/>
      <c r="U26" s="153"/>
      <c r="V26" s="153"/>
      <c r="W26" s="153"/>
      <c r="X26" s="153"/>
      <c r="Y26" s="153"/>
      <c r="Z26" s="153"/>
    </row>
    <row r="27">
      <c r="A27" s="153"/>
      <c r="B27" s="153"/>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row>
    <row r="28">
      <c r="A28" s="153"/>
      <c r="B28" s="153"/>
      <c r="C28" s="153"/>
      <c r="D28" s="153"/>
      <c r="E28" s="153"/>
      <c r="F28" s="153"/>
      <c r="G28" s="153"/>
      <c r="H28" s="153"/>
      <c r="I28" s="153"/>
      <c r="J28" s="153"/>
      <c r="K28" s="153"/>
      <c r="L28" s="153"/>
      <c r="M28" s="153"/>
      <c r="N28" s="153"/>
      <c r="O28" s="153"/>
      <c r="P28" s="153"/>
      <c r="Q28" s="153"/>
      <c r="R28" s="153"/>
      <c r="S28" s="153"/>
      <c r="T28" s="153"/>
      <c r="U28" s="153"/>
      <c r="V28" s="153"/>
      <c r="W28" s="153"/>
      <c r="X28" s="153"/>
      <c r="Y28" s="153"/>
      <c r="Z28" s="153"/>
    </row>
    <row r="29">
      <c r="A29" s="153"/>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row>
    <row r="30">
      <c r="A30" s="153"/>
      <c r="B30" s="153"/>
      <c r="C30" s="153"/>
      <c r="D30" s="153"/>
      <c r="E30" s="153"/>
      <c r="F30" s="153"/>
      <c r="G30" s="153"/>
      <c r="H30" s="153"/>
      <c r="I30" s="153"/>
      <c r="J30" s="153"/>
      <c r="K30" s="153"/>
      <c r="L30" s="153"/>
      <c r="M30" s="153"/>
      <c r="N30" s="153"/>
      <c r="O30" s="153"/>
      <c r="P30" s="153"/>
      <c r="Q30" s="153"/>
      <c r="R30" s="153"/>
      <c r="S30" s="153"/>
      <c r="T30" s="153"/>
      <c r="U30" s="153"/>
      <c r="V30" s="153"/>
      <c r="W30" s="153"/>
      <c r="X30" s="153"/>
      <c r="Y30" s="153"/>
      <c r="Z30" s="153"/>
    </row>
    <row r="31">
      <c r="A31" s="153"/>
      <c r="B31" s="153"/>
      <c r="C31" s="153"/>
      <c r="D31" s="153"/>
      <c r="E31" s="153"/>
      <c r="F31" s="153"/>
      <c r="G31" s="153"/>
      <c r="H31" s="153"/>
      <c r="I31" s="153"/>
      <c r="J31" s="153"/>
      <c r="K31" s="153"/>
      <c r="L31" s="153"/>
      <c r="M31" s="153"/>
      <c r="N31" s="153"/>
      <c r="O31" s="153"/>
      <c r="P31" s="153"/>
      <c r="Q31" s="153"/>
      <c r="R31" s="153"/>
      <c r="S31" s="153"/>
      <c r="T31" s="153"/>
      <c r="U31" s="153"/>
      <c r="V31" s="153"/>
      <c r="W31" s="153"/>
      <c r="X31" s="153"/>
      <c r="Y31" s="153"/>
      <c r="Z31" s="153"/>
    </row>
    <row r="32">
      <c r="A32" s="153"/>
      <c r="B32" s="153"/>
      <c r="C32" s="153"/>
      <c r="D32" s="153"/>
      <c r="E32" s="153"/>
      <c r="F32" s="153"/>
      <c r="G32" s="153"/>
      <c r="H32" s="153"/>
      <c r="I32" s="153"/>
      <c r="J32" s="153"/>
      <c r="K32" s="153"/>
      <c r="L32" s="153"/>
      <c r="M32" s="153"/>
      <c r="N32" s="153"/>
      <c r="O32" s="153"/>
      <c r="P32" s="153"/>
      <c r="Q32" s="153"/>
      <c r="R32" s="153"/>
      <c r="S32" s="153"/>
      <c r="T32" s="153"/>
      <c r="U32" s="153"/>
      <c r="V32" s="153"/>
      <c r="W32" s="153"/>
      <c r="X32" s="153"/>
      <c r="Y32" s="153"/>
      <c r="Z32" s="153"/>
    </row>
    <row r="33">
      <c r="A33" s="153"/>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row>
    <row r="34">
      <c r="A34" s="153"/>
      <c r="B34" s="153"/>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row>
    <row r="35">
      <c r="A35" s="153"/>
      <c r="B35" s="153"/>
      <c r="C35" s="153"/>
      <c r="D35" s="153"/>
      <c r="E35" s="153"/>
      <c r="F35" s="153"/>
      <c r="G35" s="153"/>
      <c r="H35" s="153"/>
      <c r="I35" s="153"/>
      <c r="J35" s="153"/>
      <c r="K35" s="153"/>
      <c r="L35" s="153"/>
      <c r="M35" s="153"/>
      <c r="N35" s="153"/>
      <c r="O35" s="153"/>
      <c r="P35" s="153"/>
      <c r="Q35" s="153"/>
      <c r="R35" s="153"/>
      <c r="S35" s="153"/>
      <c r="T35" s="153"/>
      <c r="U35" s="153"/>
      <c r="V35" s="153"/>
      <c r="W35" s="153"/>
      <c r="X35" s="153"/>
      <c r="Y35" s="153"/>
      <c r="Z35" s="153"/>
    </row>
    <row r="36">
      <c r="A36" s="153"/>
      <c r="B36" s="153"/>
      <c r="C36" s="153"/>
      <c r="D36" s="153"/>
      <c r="E36" s="153"/>
      <c r="F36" s="153"/>
      <c r="G36" s="153"/>
      <c r="H36" s="153"/>
      <c r="I36" s="153"/>
      <c r="J36" s="153"/>
      <c r="K36" s="153"/>
      <c r="L36" s="153"/>
      <c r="M36" s="153"/>
      <c r="N36" s="153"/>
      <c r="O36" s="153"/>
      <c r="P36" s="153"/>
      <c r="Q36" s="153"/>
      <c r="R36" s="153"/>
      <c r="S36" s="153"/>
      <c r="T36" s="153"/>
      <c r="U36" s="153"/>
      <c r="V36" s="153"/>
      <c r="W36" s="153"/>
      <c r="X36" s="153"/>
      <c r="Y36" s="153"/>
      <c r="Z36" s="153"/>
    </row>
    <row r="37">
      <c r="A37" s="153"/>
      <c r="B37" s="153"/>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row>
    <row r="38">
      <c r="A38" s="153"/>
      <c r="B38" s="153"/>
      <c r="C38" s="153"/>
      <c r="D38" s="153"/>
      <c r="E38" s="153"/>
      <c r="F38" s="153"/>
      <c r="G38" s="153"/>
      <c r="H38" s="153"/>
      <c r="I38" s="153"/>
      <c r="J38" s="153"/>
      <c r="K38" s="153"/>
      <c r="L38" s="153"/>
      <c r="M38" s="153"/>
      <c r="N38" s="153"/>
      <c r="O38" s="153"/>
      <c r="P38" s="153"/>
      <c r="Q38" s="153"/>
      <c r="R38" s="153"/>
      <c r="S38" s="153"/>
      <c r="T38" s="153"/>
      <c r="U38" s="153"/>
      <c r="V38" s="153"/>
      <c r="W38" s="153"/>
      <c r="X38" s="153"/>
      <c r="Y38" s="153"/>
      <c r="Z38" s="153"/>
    </row>
    <row r="39">
      <c r="A39" s="153"/>
      <c r="B39" s="153"/>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row>
    <row r="40">
      <c r="A40" s="153"/>
      <c r="B40" s="153"/>
      <c r="C40" s="153"/>
      <c r="D40" s="153"/>
      <c r="E40" s="153"/>
      <c r="F40" s="153"/>
      <c r="G40" s="153"/>
      <c r="H40" s="153"/>
      <c r="I40" s="153"/>
      <c r="J40" s="153"/>
      <c r="K40" s="153"/>
      <c r="L40" s="153"/>
      <c r="M40" s="153"/>
      <c r="N40" s="153"/>
      <c r="O40" s="153"/>
      <c r="P40" s="153"/>
      <c r="Q40" s="153"/>
      <c r="R40" s="153"/>
      <c r="S40" s="153"/>
      <c r="T40" s="153"/>
      <c r="U40" s="153"/>
      <c r="V40" s="153"/>
      <c r="W40" s="153"/>
      <c r="X40" s="153"/>
      <c r="Y40" s="153"/>
      <c r="Z40" s="153"/>
    </row>
    <row r="41">
      <c r="A41" s="153"/>
      <c r="B41" s="153"/>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row>
    <row r="42">
      <c r="A42" s="153"/>
      <c r="B42" s="153"/>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row>
    <row r="43">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row>
    <row r="44">
      <c r="A44" s="153"/>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row>
    <row r="45">
      <c r="A45" s="153"/>
      <c r="B45" s="153"/>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row>
    <row r="46">
      <c r="A46" s="153"/>
      <c r="B46" s="153"/>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row>
    <row r="47">
      <c r="A47" s="153"/>
      <c r="B47" s="153"/>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row>
    <row r="48">
      <c r="A48" s="153"/>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row>
    <row r="49">
      <c r="A49" s="153"/>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c r="A50" s="153"/>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row>
    <row r="51">
      <c r="A51" s="153"/>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c r="A52" s="153"/>
      <c r="B52" s="153"/>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row>
    <row r="53">
      <c r="A53" s="153"/>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c r="A54" s="153"/>
      <c r="B54" s="153"/>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row>
    <row r="55">
      <c r="A55" s="153"/>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row>
    <row r="56">
      <c r="A56" s="153"/>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c r="A57" s="153"/>
      <c r="B57" s="153"/>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c r="A58" s="153"/>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c r="A59" s="153"/>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c r="A60" s="153"/>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row>
    <row r="61">
      <c r="A61" s="153"/>
      <c r="B61" s="153"/>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row>
    <row r="62">
      <c r="A62" s="153"/>
      <c r="B62" s="153"/>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c r="A63" s="153"/>
      <c r="B63" s="153"/>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c r="A64" s="153"/>
      <c r="B64" s="153"/>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row>
    <row r="65">
      <c r="A65" s="153"/>
      <c r="B65" s="153"/>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row>
    <row r="66">
      <c r="A66" s="153"/>
      <c r="B66" s="153"/>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row>
    <row r="67">
      <c r="A67" s="153"/>
      <c r="B67" s="153"/>
      <c r="C67" s="153"/>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c r="A68" s="153"/>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c r="A69" s="153"/>
      <c r="B69" s="153"/>
      <c r="C69" s="153"/>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c r="A70" s="153"/>
      <c r="B70" s="153"/>
      <c r="C70" s="153"/>
      <c r="D70" s="153"/>
      <c r="E70" s="153"/>
      <c r="F70" s="153"/>
      <c r="G70" s="153"/>
      <c r="H70" s="153"/>
      <c r="I70" s="153"/>
      <c r="J70" s="153"/>
      <c r="K70" s="153"/>
      <c r="L70" s="153"/>
      <c r="M70" s="153"/>
      <c r="N70" s="153"/>
      <c r="O70" s="153"/>
      <c r="P70" s="153"/>
      <c r="Q70" s="153"/>
      <c r="R70" s="153"/>
      <c r="S70" s="153"/>
      <c r="T70" s="153"/>
      <c r="U70" s="153"/>
      <c r="V70" s="153"/>
      <c r="W70" s="153"/>
      <c r="X70" s="153"/>
      <c r="Y70" s="153"/>
      <c r="Z70" s="153"/>
    </row>
    <row r="71">
      <c r="A71" s="153"/>
      <c r="B71" s="153"/>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c r="A72" s="153"/>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c r="A73" s="153"/>
      <c r="B73" s="153"/>
      <c r="C73" s="153"/>
      <c r="D73" s="153"/>
      <c r="E73" s="153"/>
      <c r="F73" s="153"/>
      <c r="G73" s="153"/>
      <c r="H73" s="153"/>
      <c r="I73" s="153"/>
      <c r="J73" s="153"/>
      <c r="K73" s="153"/>
      <c r="L73" s="153"/>
      <c r="M73" s="153"/>
      <c r="N73" s="153"/>
      <c r="O73" s="153"/>
      <c r="P73" s="153"/>
      <c r="Q73" s="153"/>
      <c r="R73" s="153"/>
      <c r="S73" s="153"/>
      <c r="T73" s="153"/>
      <c r="U73" s="153"/>
      <c r="V73" s="153"/>
      <c r="W73" s="153"/>
      <c r="X73" s="153"/>
      <c r="Y73" s="153"/>
      <c r="Z73" s="153"/>
    </row>
    <row r="74">
      <c r="A74" s="153"/>
      <c r="B74" s="153"/>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c r="A75" s="153"/>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row>
    <row r="76">
      <c r="A76" s="153"/>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c r="A77" s="153"/>
      <c r="B77" s="153"/>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row>
    <row r="78">
      <c r="A78" s="153"/>
      <c r="B78" s="153"/>
      <c r="C78" s="153"/>
      <c r="D78" s="153"/>
      <c r="E78" s="153"/>
      <c r="F78" s="153"/>
      <c r="G78" s="153"/>
      <c r="H78" s="153"/>
      <c r="I78" s="153"/>
      <c r="J78" s="153"/>
      <c r="K78" s="153"/>
      <c r="L78" s="153"/>
      <c r="M78" s="153"/>
      <c r="N78" s="153"/>
      <c r="O78" s="153"/>
      <c r="P78" s="153"/>
      <c r="Q78" s="153"/>
      <c r="R78" s="153"/>
      <c r="S78" s="153"/>
      <c r="T78" s="153"/>
      <c r="U78" s="153"/>
      <c r="V78" s="153"/>
      <c r="W78" s="153"/>
      <c r="X78" s="153"/>
      <c r="Y78" s="153"/>
      <c r="Z78" s="153"/>
    </row>
    <row r="79">
      <c r="A79" s="153"/>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c r="A80" s="153"/>
      <c r="B80" s="153"/>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c r="A81" s="153"/>
      <c r="B81" s="153"/>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row>
    <row r="82">
      <c r="A82" s="153"/>
      <c r="B82" s="153"/>
      <c r="C82" s="153"/>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c r="A83" s="153"/>
      <c r="B83" s="153"/>
      <c r="C83" s="153"/>
      <c r="D83" s="153"/>
      <c r="E83" s="153"/>
      <c r="F83" s="153"/>
      <c r="G83" s="153"/>
      <c r="H83" s="153"/>
      <c r="I83" s="153"/>
      <c r="J83" s="153"/>
      <c r="K83" s="153"/>
      <c r="L83" s="153"/>
      <c r="M83" s="153"/>
      <c r="N83" s="153"/>
      <c r="O83" s="153"/>
      <c r="P83" s="153"/>
      <c r="Q83" s="153"/>
      <c r="R83" s="153"/>
      <c r="S83" s="153"/>
      <c r="T83" s="153"/>
      <c r="U83" s="153"/>
      <c r="V83" s="153"/>
      <c r="W83" s="153"/>
      <c r="X83" s="153"/>
      <c r="Y83" s="153"/>
      <c r="Z83" s="153"/>
    </row>
    <row r="84">
      <c r="A84" s="153"/>
      <c r="B84" s="153"/>
      <c r="C84" s="153"/>
      <c r="D84" s="153"/>
      <c r="E84" s="153"/>
      <c r="F84" s="153"/>
      <c r="G84" s="153"/>
      <c r="H84" s="153"/>
      <c r="I84" s="153"/>
      <c r="J84" s="153"/>
      <c r="K84" s="153"/>
      <c r="L84" s="153"/>
      <c r="M84" s="153"/>
      <c r="N84" s="153"/>
      <c r="O84" s="153"/>
      <c r="P84" s="153"/>
      <c r="Q84" s="153"/>
      <c r="R84" s="153"/>
      <c r="S84" s="153"/>
      <c r="T84" s="153"/>
      <c r="U84" s="153"/>
      <c r="V84" s="153"/>
      <c r="W84" s="153"/>
      <c r="X84" s="153"/>
      <c r="Y84" s="153"/>
      <c r="Z84" s="153"/>
    </row>
    <row r="85">
      <c r="A85" s="153"/>
      <c r="B85" s="153"/>
      <c r="C85" s="153"/>
      <c r="D85" s="153"/>
      <c r="E85" s="153"/>
      <c r="F85" s="153"/>
      <c r="G85" s="153"/>
      <c r="H85" s="153"/>
      <c r="I85" s="153"/>
      <c r="J85" s="153"/>
      <c r="K85" s="153"/>
      <c r="L85" s="153"/>
      <c r="M85" s="153"/>
      <c r="N85" s="153"/>
      <c r="O85" s="153"/>
      <c r="P85" s="153"/>
      <c r="Q85" s="153"/>
      <c r="R85" s="153"/>
      <c r="S85" s="153"/>
      <c r="T85" s="153"/>
      <c r="U85" s="153"/>
      <c r="V85" s="153"/>
      <c r="W85" s="153"/>
      <c r="X85" s="153"/>
      <c r="Y85" s="153"/>
      <c r="Z85" s="153"/>
    </row>
    <row r="86">
      <c r="A86" s="153"/>
      <c r="B86" s="153"/>
      <c r="C86" s="153"/>
      <c r="D86" s="153"/>
      <c r="E86" s="153"/>
      <c r="F86" s="153"/>
      <c r="G86" s="153"/>
      <c r="H86" s="153"/>
      <c r="I86" s="153"/>
      <c r="J86" s="153"/>
      <c r="K86" s="153"/>
      <c r="L86" s="153"/>
      <c r="M86" s="153"/>
      <c r="N86" s="153"/>
      <c r="O86" s="153"/>
      <c r="P86" s="153"/>
      <c r="Q86" s="153"/>
      <c r="R86" s="153"/>
      <c r="S86" s="153"/>
      <c r="T86" s="153"/>
      <c r="U86" s="153"/>
      <c r="V86" s="153"/>
      <c r="W86" s="153"/>
      <c r="X86" s="153"/>
      <c r="Y86" s="153"/>
      <c r="Z86" s="153"/>
    </row>
    <row r="87">
      <c r="A87" s="153"/>
      <c r="B87" s="153"/>
      <c r="C87" s="153"/>
      <c r="D87" s="153"/>
      <c r="E87" s="153"/>
      <c r="F87" s="153"/>
      <c r="G87" s="153"/>
      <c r="H87" s="153"/>
      <c r="I87" s="153"/>
      <c r="J87" s="153"/>
      <c r="K87" s="153"/>
      <c r="L87" s="153"/>
      <c r="M87" s="153"/>
      <c r="N87" s="153"/>
      <c r="O87" s="153"/>
      <c r="P87" s="153"/>
      <c r="Q87" s="153"/>
      <c r="R87" s="153"/>
      <c r="S87" s="153"/>
      <c r="T87" s="153"/>
      <c r="U87" s="153"/>
      <c r="V87" s="153"/>
      <c r="W87" s="153"/>
      <c r="X87" s="153"/>
      <c r="Y87" s="153"/>
      <c r="Z87" s="153"/>
    </row>
    <row r="88">
      <c r="A88" s="153"/>
      <c r="B88" s="153"/>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row>
    <row r="89">
      <c r="A89" s="153"/>
      <c r="B89" s="153"/>
      <c r="C89" s="153"/>
      <c r="D89" s="153"/>
      <c r="E89" s="153"/>
      <c r="F89" s="153"/>
      <c r="G89" s="153"/>
      <c r="H89" s="153"/>
      <c r="I89" s="153"/>
      <c r="J89" s="153"/>
      <c r="K89" s="153"/>
      <c r="L89" s="153"/>
      <c r="M89" s="153"/>
      <c r="N89" s="153"/>
      <c r="O89" s="153"/>
      <c r="P89" s="153"/>
      <c r="Q89" s="153"/>
      <c r="R89" s="153"/>
      <c r="S89" s="153"/>
      <c r="T89" s="153"/>
      <c r="U89" s="153"/>
      <c r="V89" s="153"/>
      <c r="W89" s="153"/>
      <c r="X89" s="153"/>
      <c r="Y89" s="153"/>
      <c r="Z89" s="153"/>
    </row>
    <row r="90">
      <c r="A90" s="153"/>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row>
    <row r="91">
      <c r="A91" s="153"/>
      <c r="B91" s="153"/>
      <c r="C91" s="153"/>
      <c r="D91" s="153"/>
      <c r="E91" s="153"/>
      <c r="F91" s="153"/>
      <c r="G91" s="153"/>
      <c r="H91" s="153"/>
      <c r="I91" s="153"/>
      <c r="J91" s="153"/>
      <c r="K91" s="153"/>
      <c r="L91" s="153"/>
      <c r="M91" s="153"/>
      <c r="N91" s="153"/>
      <c r="O91" s="153"/>
      <c r="P91" s="153"/>
      <c r="Q91" s="153"/>
      <c r="R91" s="153"/>
      <c r="S91" s="153"/>
      <c r="T91" s="153"/>
      <c r="U91" s="153"/>
      <c r="V91" s="153"/>
      <c r="W91" s="153"/>
      <c r="X91" s="153"/>
      <c r="Y91" s="153"/>
      <c r="Z91" s="153"/>
    </row>
    <row r="92">
      <c r="A92" s="153"/>
      <c r="B92" s="153"/>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c r="A93" s="153"/>
      <c r="B93" s="153"/>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row>
    <row r="94">
      <c r="A94" s="153"/>
      <c r="B94" s="153"/>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row>
    <row r="95">
      <c r="A95" s="153"/>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row>
    <row r="96">
      <c r="A96" s="153"/>
      <c r="B96" s="153"/>
      <c r="C96" s="153"/>
      <c r="D96" s="153"/>
      <c r="E96" s="153"/>
      <c r="F96" s="153"/>
      <c r="G96" s="153"/>
      <c r="H96" s="153"/>
      <c r="I96" s="153"/>
      <c r="J96" s="153"/>
      <c r="K96" s="153"/>
      <c r="L96" s="153"/>
      <c r="M96" s="153"/>
      <c r="N96" s="153"/>
      <c r="O96" s="153"/>
      <c r="P96" s="153"/>
      <c r="Q96" s="153"/>
      <c r="R96" s="153"/>
      <c r="S96" s="153"/>
      <c r="T96" s="153"/>
      <c r="U96" s="153"/>
      <c r="V96" s="153"/>
      <c r="W96" s="153"/>
      <c r="X96" s="153"/>
      <c r="Y96" s="153"/>
      <c r="Z96" s="153"/>
    </row>
    <row r="97">
      <c r="A97" s="153"/>
      <c r="B97" s="153"/>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row>
    <row r="98">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row>
    <row r="99">
      <c r="A99" s="153"/>
      <c r="B99" s="153"/>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row>
    <row r="100">
      <c r="A100" s="153"/>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row>
    <row r="101">
      <c r="A101" s="153"/>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row>
    <row r="102">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c r="A103" s="153"/>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row>
    <row r="104">
      <c r="A104" s="153"/>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row>
    <row r="105">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c r="A106" s="153"/>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row>
    <row r="107">
      <c r="A107" s="153"/>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c r="A108" s="153"/>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row>
    <row r="109">
      <c r="A109" s="153"/>
      <c r="B109" s="153"/>
      <c r="C109" s="153"/>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row>
    <row r="110">
      <c r="A110" s="153"/>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c r="A111" s="153"/>
      <c r="B111" s="153"/>
      <c r="C111" s="153"/>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c r="A112" s="153"/>
      <c r="B112" s="153"/>
      <c r="C112" s="153"/>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c r="A113" s="153"/>
      <c r="B113" s="153"/>
      <c r="C113" s="153"/>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row>
    <row r="114">
      <c r="A114" s="153"/>
      <c r="B114" s="153"/>
      <c r="C114" s="153"/>
      <c r="D114" s="153"/>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row>
    <row r="115">
      <c r="A115" s="153"/>
      <c r="B115" s="153"/>
      <c r="C115" s="153"/>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row>
    <row r="116">
      <c r="A116" s="153"/>
      <c r="B116" s="153"/>
      <c r="C116" s="153"/>
      <c r="D116" s="153"/>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row>
    <row r="117">
      <c r="A117" s="153"/>
      <c r="B117" s="153"/>
      <c r="C117" s="153"/>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row>
    <row r="118">
      <c r="A118" s="153"/>
      <c r="B118" s="153"/>
      <c r="C118" s="153"/>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row>
    <row r="119">
      <c r="A119" s="153"/>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row>
    <row r="120">
      <c r="A120" s="153"/>
      <c r="B120" s="153"/>
      <c r="C120" s="153"/>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row>
    <row r="121">
      <c r="A121" s="153"/>
      <c r="B121" s="153"/>
      <c r="C121" s="153"/>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c r="A122" s="153"/>
      <c r="B122" s="153"/>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row>
    <row r="123">
      <c r="A123" s="153"/>
      <c r="B123" s="153"/>
      <c r="C123" s="153"/>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c r="A124" s="153"/>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c r="A125" s="153"/>
      <c r="B125" s="153"/>
      <c r="C125" s="153"/>
      <c r="D125" s="153"/>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row>
    <row r="126">
      <c r="A126" s="153"/>
      <c r="B126" s="153"/>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c r="A127" s="153"/>
      <c r="B127" s="153"/>
      <c r="C127" s="153"/>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row>
    <row r="128">
      <c r="A128" s="153"/>
      <c r="B128" s="153"/>
      <c r="C128" s="153"/>
      <c r="D128" s="153"/>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row>
    <row r="129">
      <c r="A129" s="153"/>
      <c r="B129" s="153"/>
      <c r="C129" s="153"/>
      <c r="D129" s="153"/>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row>
    <row r="130">
      <c r="A130" s="153"/>
      <c r="B130" s="153"/>
      <c r="C130" s="153"/>
      <c r="D130" s="153"/>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row>
    <row r="131">
      <c r="A131" s="153"/>
      <c r="B131" s="153"/>
      <c r="C131" s="153"/>
      <c r="D131" s="153"/>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row>
    <row r="132">
      <c r="A132" s="153"/>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c r="A133" s="153"/>
      <c r="B133" s="153"/>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row>
    <row r="134">
      <c r="A134" s="153"/>
      <c r="B134" s="153"/>
      <c r="C134" s="153"/>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row>
    <row r="135">
      <c r="A135" s="153"/>
      <c r="B135" s="153"/>
      <c r="C135" s="153"/>
      <c r="D135" s="153"/>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row>
    <row r="136">
      <c r="A136" s="153"/>
      <c r="B136" s="153"/>
      <c r="C136" s="153"/>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row>
    <row r="138">
      <c r="A138" s="153"/>
      <c r="B138" s="153"/>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row>
    <row r="139">
      <c r="A139" s="153"/>
      <c r="B139" s="153"/>
      <c r="C139" s="153"/>
      <c r="D139" s="153"/>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row>
    <row r="140">
      <c r="A140" s="153"/>
      <c r="B140" s="153"/>
      <c r="C140" s="153"/>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row>
    <row r="141">
      <c r="A141" s="153"/>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c r="A142" s="153"/>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c r="A143" s="153"/>
      <c r="B143" s="153"/>
      <c r="C143" s="153"/>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row>
    <row r="144">
      <c r="A144" s="153"/>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row>
    <row r="145">
      <c r="A145" s="153"/>
      <c r="B145" s="153"/>
      <c r="C145" s="153"/>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row>
    <row r="146">
      <c r="A146" s="153"/>
      <c r="B146" s="153"/>
      <c r="C146" s="153"/>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c r="A147" s="153"/>
      <c r="B147" s="153"/>
      <c r="C147" s="153"/>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row>
    <row r="148">
      <c r="A148" s="153"/>
      <c r="B148" s="153"/>
      <c r="C148" s="153"/>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row>
    <row r="149">
      <c r="A149" s="153"/>
      <c r="B149" s="153"/>
      <c r="C149" s="153"/>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row>
    <row r="150">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c r="A151" s="153"/>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row>
    <row r="152">
      <c r="A152" s="153"/>
      <c r="B152" s="153"/>
      <c r="C152" s="153"/>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row>
    <row r="153">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c r="A154" s="153"/>
      <c r="B154" s="153"/>
      <c r="C154" s="153"/>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row>
    <row r="155">
      <c r="A155" s="153"/>
      <c r="B155" s="153"/>
      <c r="C155" s="153"/>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row>
    <row r="156">
      <c r="A156" s="153"/>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row>
    <row r="157">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c r="A158" s="153"/>
      <c r="B158" s="153"/>
      <c r="C158" s="153"/>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row>
    <row r="159">
      <c r="A159" s="153"/>
      <c r="B159" s="153"/>
      <c r="C159" s="153"/>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row>
    <row r="160">
      <c r="A160" s="153"/>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c r="A162" s="153"/>
      <c r="B162" s="153"/>
      <c r="C162" s="153"/>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row>
    <row r="163">
      <c r="A163" s="153"/>
      <c r="B163" s="153"/>
      <c r="C163" s="153"/>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row>
    <row r="164">
      <c r="A164" s="153"/>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c r="A165" s="153"/>
      <c r="B165" s="153"/>
      <c r="C165" s="153"/>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row>
    <row r="166">
      <c r="A166" s="153"/>
      <c r="B166" s="15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row>
    <row r="167">
      <c r="A167" s="153"/>
      <c r="B167" s="153"/>
      <c r="C167" s="153"/>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row>
    <row r="168">
      <c r="A168" s="153"/>
      <c r="B168" s="153"/>
      <c r="C168" s="153"/>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c r="A169" s="153"/>
      <c r="B169" s="153"/>
      <c r="C169" s="153"/>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row>
    <row r="170">
      <c r="A170" s="153"/>
      <c r="B170" s="153"/>
      <c r="C170" s="153"/>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row>
    <row r="171">
      <c r="A171" s="153"/>
      <c r="B171" s="153"/>
      <c r="C171" s="153"/>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c r="A173" s="153"/>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row>
    <row r="174">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c r="A175" s="153"/>
      <c r="B175" s="153"/>
      <c r="C175" s="153"/>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c r="A176" s="153"/>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row>
    <row r="177">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row>
    <row r="179">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row r="251">
      <c r="A251" s="153"/>
      <c r="B251" s="153"/>
      <c r="C251" s="153"/>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row>
    <row r="252">
      <c r="A252" s="153"/>
      <c r="B252" s="153"/>
      <c r="C252" s="153"/>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row>
    <row r="253">
      <c r="A253" s="153"/>
      <c r="B253" s="153"/>
      <c r="C253" s="153"/>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row>
    <row r="254">
      <c r="A254" s="153"/>
      <c r="B254" s="153"/>
      <c r="C254" s="153"/>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row>
    <row r="255">
      <c r="A255" s="153"/>
      <c r="B255" s="153"/>
      <c r="C255" s="153"/>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row>
    <row r="256">
      <c r="A256" s="153"/>
      <c r="B256" s="153"/>
      <c r="C256" s="153"/>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row>
    <row r="257">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row r="993">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row>
    <row r="994">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row>
    <row r="995">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row>
    <row r="996">
      <c r="A996" s="153"/>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row>
    <row r="997">
      <c r="A997" s="153"/>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row>
    <row r="998">
      <c r="A998" s="153"/>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row>
    <row r="999">
      <c r="A999" s="153"/>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row>
    <row r="1000">
      <c r="A1000" s="153"/>
      <c r="B1000" s="153"/>
      <c r="C1000" s="153"/>
      <c r="D1000" s="153"/>
      <c r="E1000" s="153"/>
      <c r="F1000" s="153"/>
      <c r="G1000" s="153"/>
      <c r="H1000" s="153"/>
      <c r="I1000" s="153"/>
      <c r="J1000" s="153"/>
      <c r="K1000" s="153"/>
      <c r="L1000" s="153"/>
      <c r="M1000" s="153"/>
      <c r="N1000" s="153"/>
      <c r="O1000" s="153"/>
      <c r="P1000" s="153"/>
      <c r="Q1000" s="153"/>
      <c r="R1000" s="153"/>
      <c r="S1000" s="153"/>
      <c r="T1000" s="153"/>
      <c r="U1000" s="153"/>
      <c r="V1000" s="153"/>
      <c r="W1000" s="153"/>
      <c r="X1000" s="153"/>
      <c r="Y1000" s="153"/>
      <c r="Z1000" s="153"/>
    </row>
  </sheetData>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5.22"/>
    <col customWidth="1" min="2" max="2" width="18.44"/>
    <col customWidth="1" min="4" max="4" width="12.67"/>
    <col customWidth="1" min="5" max="5" width="26.89"/>
  </cols>
  <sheetData>
    <row r="1">
      <c r="A1" s="76"/>
      <c r="B1" s="76"/>
      <c r="C1" s="76"/>
      <c r="D1" s="76"/>
      <c r="F1" s="76"/>
      <c r="G1" s="76"/>
      <c r="H1" s="76"/>
      <c r="I1" s="76"/>
      <c r="J1" s="76"/>
      <c r="K1" s="76"/>
      <c r="L1" s="76"/>
      <c r="M1" s="76"/>
      <c r="N1" s="76"/>
      <c r="O1" s="76"/>
      <c r="P1" s="76"/>
      <c r="Q1" s="76"/>
      <c r="R1" s="76"/>
      <c r="S1" s="76"/>
      <c r="T1" s="76"/>
      <c r="U1" s="76"/>
      <c r="V1" s="76"/>
      <c r="W1" s="76"/>
      <c r="X1" s="76"/>
      <c r="Y1" s="76"/>
      <c r="Z1" s="76"/>
    </row>
    <row r="2">
      <c r="N2" s="76"/>
      <c r="O2" s="76"/>
      <c r="P2" s="76"/>
      <c r="Q2" s="76"/>
      <c r="R2" s="76"/>
      <c r="S2" s="76"/>
      <c r="T2" s="76"/>
      <c r="U2" s="76"/>
      <c r="V2" s="76"/>
      <c r="W2" s="76"/>
      <c r="X2" s="76"/>
      <c r="Y2" s="76"/>
      <c r="Z2" s="76"/>
    </row>
    <row r="3">
      <c r="N3" s="76"/>
      <c r="O3" s="76"/>
      <c r="P3" s="76"/>
      <c r="Q3" s="76"/>
      <c r="R3" s="76"/>
      <c r="S3" s="76"/>
      <c r="T3" s="76"/>
      <c r="U3" s="76"/>
      <c r="V3" s="76"/>
      <c r="W3" s="76"/>
      <c r="X3" s="76"/>
      <c r="Y3" s="76"/>
      <c r="Z3" s="76"/>
    </row>
    <row r="4">
      <c r="N4" s="76"/>
      <c r="O4" s="76"/>
      <c r="P4" s="76"/>
      <c r="Q4" s="76"/>
      <c r="R4" s="76"/>
      <c r="S4" s="76"/>
      <c r="T4" s="76"/>
      <c r="U4" s="76"/>
      <c r="V4" s="76"/>
      <c r="W4" s="76"/>
      <c r="X4" s="76"/>
      <c r="Y4" s="76"/>
      <c r="Z4" s="76"/>
    </row>
    <row r="5">
      <c r="N5" s="76"/>
      <c r="O5" s="76"/>
      <c r="P5" s="76"/>
      <c r="Q5" s="76"/>
      <c r="R5" s="76"/>
      <c r="S5" s="76"/>
      <c r="T5" s="76"/>
      <c r="U5" s="76"/>
      <c r="V5" s="76"/>
      <c r="W5" s="76"/>
      <c r="X5" s="76"/>
      <c r="Y5" s="76"/>
      <c r="Z5" s="76"/>
    </row>
    <row r="6">
      <c r="N6" s="76"/>
      <c r="O6" s="76"/>
      <c r="P6" s="76"/>
      <c r="Q6" s="76"/>
      <c r="R6" s="76"/>
      <c r="S6" s="76"/>
      <c r="T6" s="76"/>
      <c r="U6" s="76"/>
      <c r="V6" s="76"/>
      <c r="W6" s="76"/>
      <c r="X6" s="76"/>
      <c r="Y6" s="76"/>
      <c r="Z6" s="76"/>
    </row>
    <row r="7">
      <c r="N7" s="76"/>
      <c r="O7" s="76"/>
      <c r="P7" s="76"/>
      <c r="Q7" s="76"/>
      <c r="R7" s="76"/>
      <c r="S7" s="76"/>
      <c r="T7" s="76"/>
      <c r="U7" s="76"/>
      <c r="V7" s="76"/>
      <c r="W7" s="76"/>
      <c r="X7" s="76"/>
      <c r="Y7" s="76"/>
      <c r="Z7" s="76"/>
    </row>
    <row r="8">
      <c r="N8" s="76"/>
      <c r="O8" s="76"/>
      <c r="P8" s="76"/>
      <c r="Q8" s="76"/>
      <c r="R8" s="76"/>
      <c r="S8" s="76"/>
      <c r="T8" s="76"/>
      <c r="U8" s="76"/>
      <c r="V8" s="76"/>
      <c r="W8" s="76"/>
      <c r="X8" s="76"/>
      <c r="Y8" s="76"/>
      <c r="Z8" s="76"/>
    </row>
    <row r="9">
      <c r="N9" s="76"/>
      <c r="O9" s="76"/>
      <c r="P9" s="76"/>
      <c r="Q9" s="76"/>
      <c r="R9" s="76"/>
      <c r="S9" s="76"/>
      <c r="T9" s="76"/>
      <c r="U9" s="76"/>
      <c r="V9" s="76"/>
      <c r="W9" s="76"/>
      <c r="X9" s="76"/>
      <c r="Y9" s="76"/>
      <c r="Z9" s="76"/>
    </row>
    <row r="10">
      <c r="N10" s="76"/>
      <c r="O10" s="76"/>
      <c r="P10" s="76"/>
      <c r="Q10" s="76"/>
      <c r="R10" s="76"/>
      <c r="S10" s="76"/>
      <c r="T10" s="76"/>
      <c r="U10" s="76"/>
      <c r="V10" s="76"/>
      <c r="W10" s="76"/>
      <c r="X10" s="76"/>
      <c r="Y10" s="76"/>
      <c r="Z10" s="76"/>
    </row>
    <row r="11">
      <c r="N11" s="76"/>
      <c r="O11" s="76"/>
      <c r="P11" s="76"/>
      <c r="Q11" s="76"/>
      <c r="R11" s="76"/>
      <c r="S11" s="76"/>
      <c r="T11" s="76"/>
      <c r="U11" s="76"/>
      <c r="V11" s="76"/>
      <c r="W11" s="76"/>
      <c r="X11" s="76"/>
      <c r="Y11" s="76"/>
      <c r="Z11" s="76"/>
    </row>
    <row r="12">
      <c r="N12" s="76"/>
      <c r="O12" s="76"/>
      <c r="P12" s="76"/>
      <c r="Q12" s="76"/>
      <c r="R12" s="76"/>
      <c r="S12" s="76"/>
      <c r="T12" s="76"/>
      <c r="U12" s="76"/>
      <c r="V12" s="76"/>
      <c r="W12" s="76"/>
      <c r="X12" s="76"/>
      <c r="Y12" s="76"/>
      <c r="Z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C15" s="80"/>
      <c r="G15" s="80"/>
      <c r="H15" s="80"/>
      <c r="I15" s="80"/>
      <c r="J15" s="80"/>
      <c r="K15" s="80"/>
      <c r="L15" s="80"/>
      <c r="M15" s="80"/>
      <c r="N15" s="76"/>
      <c r="O15" s="76"/>
      <c r="P15" s="76"/>
      <c r="Q15" s="76"/>
      <c r="R15" s="76"/>
      <c r="S15" s="76"/>
      <c r="T15" s="76"/>
      <c r="U15" s="76"/>
      <c r="V15" s="76"/>
      <c r="W15" s="76"/>
      <c r="X15" s="76"/>
      <c r="Y15" s="76"/>
      <c r="Z15" s="76"/>
    </row>
    <row r="16">
      <c r="C16" s="80"/>
      <c r="G16" s="80"/>
      <c r="H16" s="80"/>
      <c r="I16" s="80"/>
      <c r="J16" s="80"/>
      <c r="K16" s="80"/>
      <c r="L16" s="80"/>
      <c r="M16" s="80"/>
      <c r="N16" s="76"/>
      <c r="O16" s="76"/>
      <c r="P16" s="76"/>
      <c r="Q16" s="76"/>
      <c r="R16" s="76"/>
      <c r="S16" s="76"/>
      <c r="T16" s="76"/>
      <c r="U16" s="76"/>
      <c r="V16" s="76"/>
      <c r="W16" s="76"/>
      <c r="X16" s="76"/>
      <c r="Y16" s="76"/>
      <c r="Z16" s="76"/>
    </row>
    <row r="17">
      <c r="C17" s="80"/>
      <c r="G17" s="80"/>
      <c r="H17" s="80"/>
      <c r="I17" s="80"/>
      <c r="J17" s="80"/>
      <c r="K17" s="80"/>
      <c r="L17" s="80"/>
      <c r="M17" s="80"/>
      <c r="N17" s="76"/>
      <c r="O17" s="76"/>
      <c r="P17" s="76"/>
      <c r="Q17" s="76"/>
      <c r="R17" s="76"/>
      <c r="S17" s="76"/>
      <c r="T17" s="76"/>
      <c r="U17" s="76"/>
      <c r="V17" s="76"/>
      <c r="W17" s="76"/>
      <c r="X17" s="76"/>
      <c r="Y17" s="76"/>
      <c r="Z17" s="76"/>
    </row>
    <row r="18">
      <c r="C18" s="80"/>
      <c r="G18" s="80"/>
      <c r="H18" s="80"/>
      <c r="I18" s="80"/>
      <c r="J18" s="80"/>
      <c r="K18" s="80"/>
      <c r="L18" s="80"/>
      <c r="M18" s="80"/>
      <c r="N18" s="76"/>
      <c r="O18" s="76"/>
      <c r="P18" s="76"/>
      <c r="Q18" s="76"/>
      <c r="R18" s="76"/>
      <c r="S18" s="76"/>
      <c r="T18" s="76"/>
      <c r="U18" s="76"/>
      <c r="V18" s="76"/>
      <c r="W18" s="76"/>
      <c r="X18" s="76"/>
      <c r="Y18" s="76"/>
      <c r="Z18" s="76"/>
    </row>
    <row r="19">
      <c r="C19" s="80"/>
      <c r="G19" s="80"/>
      <c r="H19" s="80"/>
      <c r="I19" s="80"/>
      <c r="J19" s="80"/>
      <c r="K19" s="80"/>
      <c r="L19" s="80"/>
      <c r="M19" s="80"/>
      <c r="N19" s="76"/>
      <c r="O19" s="76"/>
      <c r="P19" s="76"/>
      <c r="Q19" s="76"/>
      <c r="R19" s="76"/>
      <c r="S19" s="76"/>
      <c r="T19" s="76"/>
      <c r="U19" s="76"/>
      <c r="V19" s="76"/>
      <c r="W19" s="76"/>
      <c r="X19" s="76"/>
      <c r="Y19" s="76"/>
      <c r="Z19" s="76"/>
    </row>
    <row r="20">
      <c r="C20" s="80"/>
      <c r="G20" s="80"/>
      <c r="H20" s="80"/>
      <c r="I20" s="80"/>
      <c r="J20" s="80"/>
      <c r="K20" s="80"/>
      <c r="L20" s="80"/>
      <c r="M20" s="80"/>
      <c r="N20" s="76"/>
      <c r="O20" s="76"/>
      <c r="P20" s="76"/>
      <c r="Q20" s="76"/>
      <c r="R20" s="76"/>
      <c r="S20" s="76"/>
      <c r="T20" s="76"/>
      <c r="U20" s="76"/>
      <c r="V20" s="76"/>
      <c r="W20" s="76"/>
      <c r="X20" s="76"/>
      <c r="Y20" s="76"/>
      <c r="Z20" s="76"/>
    </row>
    <row r="21">
      <c r="C21" s="80"/>
      <c r="G21" s="80"/>
      <c r="H21" s="80"/>
      <c r="I21" s="80"/>
      <c r="J21" s="80"/>
      <c r="K21" s="80"/>
      <c r="L21" s="80"/>
      <c r="M21" s="80"/>
      <c r="N21" s="76"/>
      <c r="O21" s="76"/>
      <c r="P21" s="76"/>
      <c r="Q21" s="76"/>
      <c r="R21" s="76"/>
      <c r="S21" s="76"/>
      <c r="T21" s="76"/>
      <c r="U21" s="76"/>
      <c r="V21" s="76"/>
      <c r="W21" s="76"/>
      <c r="X21" s="76"/>
      <c r="Y21" s="76"/>
      <c r="Z21" s="76"/>
    </row>
    <row r="22">
      <c r="C22" s="80"/>
      <c r="G22" s="80"/>
      <c r="H22" s="80"/>
      <c r="I22" s="80"/>
      <c r="J22" s="80"/>
      <c r="K22" s="80"/>
      <c r="L22" s="80"/>
      <c r="M22" s="80"/>
      <c r="N22" s="76"/>
      <c r="O22" s="76"/>
      <c r="P22" s="76"/>
      <c r="Q22" s="76"/>
      <c r="R22" s="76"/>
      <c r="S22" s="76"/>
      <c r="T22" s="76"/>
      <c r="U22" s="76"/>
      <c r="V22" s="76"/>
      <c r="W22" s="76"/>
      <c r="X22" s="76"/>
      <c r="Y22" s="76"/>
      <c r="Z22" s="76"/>
    </row>
    <row r="23">
      <c r="C23" s="80"/>
      <c r="G23" s="80"/>
      <c r="H23" s="80"/>
      <c r="I23" s="80"/>
      <c r="J23" s="80"/>
      <c r="K23" s="80"/>
      <c r="L23" s="80"/>
      <c r="M23" s="80"/>
      <c r="N23" s="76"/>
      <c r="O23" s="76"/>
      <c r="P23" s="76"/>
      <c r="Q23" s="76"/>
      <c r="R23" s="76"/>
      <c r="S23" s="76"/>
      <c r="T23" s="76"/>
      <c r="U23" s="76"/>
      <c r="V23" s="76"/>
      <c r="W23" s="76"/>
      <c r="X23" s="76"/>
      <c r="Y23" s="76"/>
      <c r="Z23" s="76"/>
    </row>
    <row r="24">
      <c r="C24" s="80"/>
      <c r="G24" s="80"/>
      <c r="H24" s="80"/>
      <c r="I24" s="80"/>
      <c r="J24" s="80"/>
      <c r="K24" s="80"/>
      <c r="L24" s="80"/>
      <c r="M24" s="80"/>
      <c r="N24" s="76"/>
      <c r="O24" s="76"/>
      <c r="P24" s="76"/>
      <c r="Q24" s="76"/>
      <c r="R24" s="76"/>
      <c r="S24" s="76"/>
      <c r="T24" s="76"/>
      <c r="U24" s="76"/>
      <c r="V24" s="76"/>
      <c r="W24" s="76"/>
      <c r="X24" s="76"/>
      <c r="Y24" s="76"/>
      <c r="Z24" s="76"/>
    </row>
    <row r="25">
      <c r="C25" s="80"/>
      <c r="G25" s="80"/>
      <c r="H25" s="80"/>
      <c r="I25" s="80"/>
      <c r="J25" s="80"/>
      <c r="K25" s="80"/>
      <c r="L25" s="80"/>
      <c r="M25" s="80"/>
      <c r="N25" s="76"/>
      <c r="O25" s="76"/>
      <c r="P25" s="76"/>
      <c r="Q25" s="76"/>
      <c r="R25" s="76"/>
      <c r="S25" s="76"/>
      <c r="T25" s="76"/>
      <c r="U25" s="76"/>
      <c r="V25" s="76"/>
      <c r="W25" s="76"/>
      <c r="X25" s="76"/>
      <c r="Y25" s="76"/>
      <c r="Z25" s="76"/>
    </row>
    <row r="26">
      <c r="A26" s="76"/>
      <c r="B26" s="76"/>
      <c r="C26" s="76"/>
      <c r="G26" s="76"/>
      <c r="H26" s="76"/>
      <c r="I26" s="76"/>
      <c r="J26" s="76"/>
      <c r="K26" s="76"/>
      <c r="L26" s="76"/>
      <c r="M26" s="76"/>
      <c r="N26" s="76"/>
      <c r="O26" s="76"/>
      <c r="P26" s="76"/>
      <c r="Q26" s="76"/>
      <c r="R26" s="76"/>
      <c r="S26" s="76"/>
      <c r="T26" s="76"/>
      <c r="U26" s="76"/>
      <c r="V26" s="76"/>
      <c r="W26" s="76"/>
      <c r="X26" s="76"/>
      <c r="Y26" s="76"/>
      <c r="Z26" s="76"/>
    </row>
    <row r="27">
      <c r="A27" s="76"/>
      <c r="B27" s="76"/>
      <c r="C27" s="76"/>
      <c r="G27" s="76"/>
      <c r="H27" s="76"/>
      <c r="I27" s="76"/>
      <c r="J27" s="76"/>
      <c r="K27" s="76"/>
      <c r="L27" s="76"/>
      <c r="M27" s="76"/>
      <c r="N27" s="76"/>
      <c r="O27" s="76"/>
      <c r="P27" s="76"/>
      <c r="Q27" s="76"/>
      <c r="R27" s="76"/>
      <c r="S27" s="76"/>
      <c r="T27" s="76"/>
      <c r="U27" s="76"/>
      <c r="V27" s="76"/>
      <c r="W27" s="76"/>
      <c r="X27" s="76"/>
      <c r="Y27" s="76"/>
      <c r="Z27" s="76"/>
    </row>
    <row r="28">
      <c r="A28" s="76"/>
      <c r="B28" s="76"/>
      <c r="C28" s="76"/>
      <c r="G28" s="76"/>
      <c r="H28" s="76"/>
      <c r="I28" s="76"/>
      <c r="J28" s="76"/>
      <c r="K28" s="76"/>
      <c r="L28" s="76"/>
      <c r="M28" s="76"/>
      <c r="N28" s="76"/>
      <c r="O28" s="76"/>
      <c r="P28" s="76"/>
      <c r="Q28" s="76"/>
      <c r="R28" s="76"/>
      <c r="S28" s="76"/>
      <c r="T28" s="76"/>
      <c r="U28" s="76"/>
      <c r="V28" s="76"/>
      <c r="W28" s="76"/>
      <c r="X28" s="76"/>
      <c r="Y28" s="76"/>
      <c r="Z28" s="76"/>
    </row>
    <row r="29">
      <c r="A29" s="76"/>
      <c r="B29" s="76"/>
      <c r="C29" s="76"/>
      <c r="G29" s="76"/>
      <c r="H29" s="76"/>
      <c r="I29" s="76"/>
      <c r="J29" s="76"/>
      <c r="K29" s="76"/>
      <c r="L29" s="76"/>
      <c r="M29" s="76"/>
      <c r="N29" s="76"/>
      <c r="O29" s="76"/>
      <c r="P29" s="76"/>
      <c r="Q29" s="76"/>
      <c r="R29" s="76"/>
      <c r="S29" s="76"/>
      <c r="T29" s="76"/>
      <c r="U29" s="76"/>
      <c r="V29" s="76"/>
      <c r="W29" s="76"/>
      <c r="X29" s="76"/>
      <c r="Y29" s="76"/>
      <c r="Z29" s="76"/>
    </row>
    <row r="30">
      <c r="A30" s="76"/>
      <c r="B30" s="76"/>
      <c r="C30" s="76"/>
      <c r="G30" s="76"/>
      <c r="H30" s="76"/>
      <c r="I30" s="76"/>
      <c r="J30" s="76"/>
      <c r="K30" s="76"/>
      <c r="L30" s="76"/>
      <c r="M30" s="76"/>
      <c r="N30" s="76"/>
      <c r="O30" s="76"/>
      <c r="P30" s="76"/>
      <c r="Q30" s="76"/>
      <c r="R30" s="76"/>
      <c r="S30" s="76"/>
      <c r="T30" s="76"/>
      <c r="U30" s="76"/>
      <c r="V30" s="76"/>
      <c r="W30" s="76"/>
      <c r="X30" s="76"/>
      <c r="Y30" s="76"/>
      <c r="Z30" s="76"/>
    </row>
    <row r="31">
      <c r="A31" s="76"/>
      <c r="B31" s="76"/>
      <c r="C31" s="76"/>
      <c r="G31" s="76"/>
      <c r="H31" s="76"/>
      <c r="I31" s="76"/>
      <c r="J31" s="76"/>
      <c r="K31" s="76"/>
      <c r="L31" s="76"/>
      <c r="M31" s="76"/>
      <c r="N31" s="76"/>
      <c r="O31" s="76"/>
      <c r="P31" s="76"/>
      <c r="Q31" s="76"/>
      <c r="R31" s="76"/>
      <c r="S31" s="76"/>
      <c r="T31" s="76"/>
      <c r="U31" s="76"/>
      <c r="V31" s="76"/>
      <c r="W31" s="76"/>
      <c r="X31" s="76"/>
      <c r="Y31" s="76"/>
      <c r="Z31" s="76"/>
    </row>
    <row r="32">
      <c r="A32" s="76"/>
      <c r="B32" s="76"/>
      <c r="C32" s="76"/>
      <c r="G32" s="76"/>
      <c r="H32" s="76"/>
      <c r="I32" s="76"/>
      <c r="J32" s="76"/>
      <c r="K32" s="76"/>
      <c r="L32" s="76"/>
      <c r="M32" s="76"/>
      <c r="N32" s="76"/>
      <c r="O32" s="76"/>
      <c r="P32" s="76"/>
      <c r="Q32" s="76"/>
      <c r="R32" s="76"/>
      <c r="S32" s="76"/>
      <c r="T32" s="76"/>
      <c r="U32" s="76"/>
      <c r="V32" s="76"/>
      <c r="W32" s="76"/>
      <c r="X32" s="76"/>
      <c r="Y32" s="76"/>
      <c r="Z32" s="76"/>
    </row>
    <row r="33">
      <c r="A33" s="76"/>
      <c r="B33" s="76"/>
      <c r="C33" s="76"/>
      <c r="G33" s="76"/>
      <c r="H33" s="76"/>
      <c r="I33" s="76"/>
      <c r="J33" s="76"/>
      <c r="K33" s="76"/>
      <c r="L33" s="76"/>
      <c r="M33" s="76"/>
      <c r="N33" s="76"/>
      <c r="O33" s="76"/>
      <c r="P33" s="76"/>
      <c r="Q33" s="76"/>
      <c r="R33" s="76"/>
      <c r="S33" s="76"/>
      <c r="T33" s="76"/>
      <c r="U33" s="76"/>
      <c r="V33" s="76"/>
      <c r="W33" s="76"/>
      <c r="X33" s="76"/>
      <c r="Y33" s="76"/>
      <c r="Z33" s="76"/>
    </row>
    <row r="34">
      <c r="A34" s="76"/>
      <c r="B34" s="76"/>
      <c r="C34" s="76"/>
      <c r="G34" s="76"/>
      <c r="H34" s="76"/>
      <c r="I34" s="76"/>
      <c r="J34" s="76"/>
      <c r="K34" s="76"/>
      <c r="L34" s="76"/>
      <c r="M34" s="76"/>
      <c r="N34" s="76"/>
      <c r="O34" s="76"/>
      <c r="P34" s="76"/>
      <c r="Q34" s="76"/>
      <c r="R34" s="76"/>
      <c r="S34" s="76"/>
      <c r="T34" s="76"/>
      <c r="U34" s="76"/>
      <c r="V34" s="76"/>
      <c r="W34" s="76"/>
      <c r="X34" s="76"/>
      <c r="Y34" s="76"/>
      <c r="Z34" s="76"/>
    </row>
    <row r="35">
      <c r="A35" s="76"/>
      <c r="B35" s="76"/>
      <c r="C35" s="76"/>
      <c r="G35" s="76"/>
      <c r="H35" s="76"/>
      <c r="I35" s="76"/>
      <c r="J35" s="76"/>
      <c r="K35" s="76"/>
      <c r="L35" s="76"/>
      <c r="M35" s="76"/>
      <c r="N35" s="76"/>
      <c r="O35" s="76"/>
      <c r="P35" s="76"/>
      <c r="Q35" s="76"/>
      <c r="R35" s="76"/>
      <c r="S35" s="76"/>
      <c r="T35" s="76"/>
      <c r="U35" s="76"/>
      <c r="V35" s="76"/>
      <c r="W35" s="76"/>
      <c r="X35" s="76"/>
      <c r="Y35" s="76"/>
      <c r="Z35" s="76"/>
    </row>
    <row r="36">
      <c r="A36" s="76"/>
      <c r="B36" s="76"/>
      <c r="C36" s="76"/>
      <c r="G36" s="76"/>
      <c r="H36" s="76"/>
      <c r="I36" s="76"/>
      <c r="J36" s="76"/>
      <c r="K36" s="76"/>
      <c r="L36" s="76"/>
      <c r="M36" s="76"/>
      <c r="N36" s="76"/>
      <c r="O36" s="76"/>
      <c r="P36" s="76"/>
      <c r="Q36" s="76"/>
      <c r="R36" s="76"/>
      <c r="S36" s="76"/>
      <c r="T36" s="76"/>
      <c r="U36" s="76"/>
      <c r="V36" s="76"/>
      <c r="W36" s="76"/>
      <c r="X36" s="76"/>
      <c r="Y36" s="76"/>
      <c r="Z36" s="76"/>
    </row>
    <row r="37">
      <c r="A37" s="76"/>
      <c r="B37" s="76"/>
      <c r="C37" s="76"/>
      <c r="G37" s="76"/>
      <c r="H37" s="76"/>
      <c r="I37" s="76"/>
      <c r="J37" s="76"/>
      <c r="K37" s="76"/>
      <c r="L37" s="76"/>
      <c r="M37" s="76"/>
      <c r="N37" s="76"/>
      <c r="O37" s="76"/>
      <c r="P37" s="76"/>
      <c r="Q37" s="76"/>
      <c r="R37" s="76"/>
      <c r="S37" s="76"/>
      <c r="T37" s="76"/>
      <c r="U37" s="76"/>
      <c r="V37" s="76"/>
      <c r="W37" s="76"/>
      <c r="X37" s="76"/>
      <c r="Y37" s="76"/>
      <c r="Z37" s="76"/>
    </row>
    <row r="38">
      <c r="A38" s="76"/>
      <c r="B38" s="76"/>
      <c r="C38" s="76"/>
      <c r="G38" s="76"/>
      <c r="H38" s="76"/>
      <c r="I38" s="76"/>
      <c r="J38" s="76"/>
      <c r="K38" s="76"/>
      <c r="L38" s="76"/>
      <c r="M38" s="76"/>
      <c r="N38" s="76"/>
      <c r="O38" s="76"/>
      <c r="P38" s="76"/>
      <c r="Q38" s="76"/>
      <c r="R38" s="76"/>
      <c r="S38" s="76"/>
      <c r="T38" s="76"/>
      <c r="U38" s="76"/>
      <c r="V38" s="76"/>
      <c r="W38" s="76"/>
      <c r="X38" s="76"/>
      <c r="Y38" s="76"/>
      <c r="Z38" s="76"/>
    </row>
    <row r="39">
      <c r="A39" s="76"/>
      <c r="B39" s="76"/>
      <c r="C39" s="76"/>
      <c r="G39" s="76"/>
      <c r="H39" s="76"/>
      <c r="I39" s="76"/>
      <c r="J39" s="76"/>
      <c r="K39" s="76"/>
      <c r="L39" s="76"/>
      <c r="M39" s="76"/>
      <c r="N39" s="76"/>
      <c r="O39" s="76"/>
      <c r="P39" s="76"/>
      <c r="Q39" s="76"/>
      <c r="R39" s="76"/>
      <c r="S39" s="76"/>
      <c r="T39" s="76"/>
      <c r="U39" s="76"/>
      <c r="V39" s="76"/>
      <c r="W39" s="76"/>
      <c r="X39" s="76"/>
      <c r="Y39" s="76"/>
      <c r="Z39" s="76"/>
    </row>
    <row r="40">
      <c r="A40" s="76"/>
      <c r="B40" s="76"/>
      <c r="C40" s="76"/>
      <c r="G40" s="76"/>
      <c r="H40" s="76"/>
      <c r="I40" s="76"/>
      <c r="J40" s="76"/>
      <c r="K40" s="76"/>
      <c r="L40" s="76"/>
      <c r="M40" s="76"/>
      <c r="N40" s="76"/>
      <c r="O40" s="76"/>
      <c r="P40" s="76"/>
      <c r="Q40" s="76"/>
      <c r="R40" s="76"/>
      <c r="S40" s="76"/>
      <c r="T40" s="76"/>
      <c r="U40" s="76"/>
      <c r="V40" s="76"/>
      <c r="W40" s="76"/>
      <c r="X40" s="76"/>
      <c r="Y40" s="76"/>
      <c r="Z40" s="76"/>
    </row>
    <row r="41">
      <c r="A41" s="76"/>
      <c r="B41" s="76"/>
      <c r="C41" s="76"/>
      <c r="G41" s="76"/>
      <c r="H41" s="76"/>
      <c r="I41" s="76"/>
      <c r="J41" s="76"/>
      <c r="K41" s="76"/>
      <c r="L41" s="76"/>
      <c r="M41" s="76"/>
      <c r="N41" s="76"/>
      <c r="O41" s="76"/>
      <c r="P41" s="76"/>
      <c r="Q41" s="76"/>
      <c r="R41" s="76"/>
      <c r="S41" s="76"/>
      <c r="T41" s="76"/>
      <c r="U41" s="76"/>
      <c r="V41" s="76"/>
      <c r="W41" s="76"/>
      <c r="X41" s="76"/>
      <c r="Y41" s="76"/>
      <c r="Z41" s="76"/>
    </row>
    <row r="42">
      <c r="A42" s="76"/>
      <c r="B42" s="76"/>
      <c r="C42" s="76"/>
      <c r="G42" s="76"/>
      <c r="H42" s="76"/>
      <c r="I42" s="76"/>
      <c r="J42" s="76"/>
      <c r="K42" s="76"/>
      <c r="L42" s="76"/>
      <c r="M42" s="76"/>
      <c r="N42" s="76"/>
      <c r="O42" s="76"/>
      <c r="P42" s="76"/>
      <c r="Q42" s="76"/>
      <c r="R42" s="76"/>
      <c r="S42" s="76"/>
      <c r="T42" s="76"/>
      <c r="U42" s="76"/>
      <c r="V42" s="76"/>
      <c r="W42" s="76"/>
      <c r="X42" s="76"/>
      <c r="Y42" s="76"/>
      <c r="Z42" s="76"/>
    </row>
    <row r="43">
      <c r="A43" s="76"/>
      <c r="B43" s="76"/>
      <c r="C43" s="76"/>
      <c r="G43" s="76"/>
      <c r="H43" s="76"/>
      <c r="I43" s="76"/>
      <c r="J43" s="76"/>
      <c r="K43" s="76"/>
      <c r="L43" s="76"/>
      <c r="M43" s="76"/>
      <c r="N43" s="76"/>
      <c r="O43" s="76"/>
      <c r="P43" s="76"/>
      <c r="Q43" s="76"/>
      <c r="R43" s="76"/>
      <c r="S43" s="76"/>
      <c r="T43" s="76"/>
      <c r="U43" s="76"/>
      <c r="V43" s="76"/>
      <c r="W43" s="76"/>
      <c r="X43" s="76"/>
      <c r="Y43" s="76"/>
      <c r="Z43" s="76"/>
    </row>
    <row r="44">
      <c r="A44" s="76"/>
      <c r="B44" s="76"/>
      <c r="C44" s="76"/>
      <c r="G44" s="76"/>
      <c r="H44" s="76"/>
      <c r="I44" s="76"/>
      <c r="J44" s="76"/>
      <c r="K44" s="76"/>
      <c r="L44" s="76"/>
      <c r="M44" s="76"/>
      <c r="N44" s="76"/>
      <c r="O44" s="76"/>
      <c r="P44" s="76"/>
      <c r="Q44" s="76"/>
      <c r="R44" s="76"/>
      <c r="S44" s="76"/>
      <c r="T44" s="76"/>
      <c r="U44" s="76"/>
      <c r="V44" s="76"/>
      <c r="W44" s="76"/>
      <c r="X44" s="76"/>
      <c r="Y44" s="76"/>
      <c r="Z44" s="76"/>
    </row>
    <row r="45">
      <c r="A45" s="76"/>
      <c r="B45" s="76"/>
      <c r="C45" s="76"/>
      <c r="G45" s="76"/>
      <c r="H45" s="76"/>
      <c r="I45" s="76"/>
      <c r="J45" s="76"/>
      <c r="K45" s="76"/>
      <c r="L45" s="76"/>
      <c r="M45" s="76"/>
      <c r="N45" s="76"/>
      <c r="O45" s="76"/>
      <c r="P45" s="76"/>
      <c r="Q45" s="76"/>
      <c r="R45" s="76"/>
      <c r="S45" s="76"/>
      <c r="T45" s="76"/>
      <c r="U45" s="76"/>
      <c r="V45" s="76"/>
      <c r="W45" s="76"/>
      <c r="X45" s="76"/>
      <c r="Y45" s="76"/>
      <c r="Z45" s="76"/>
    </row>
    <row r="46">
      <c r="A46" s="76"/>
      <c r="B46" s="76"/>
      <c r="C46" s="76"/>
      <c r="G46" s="76"/>
      <c r="H46" s="76"/>
      <c r="I46" s="76"/>
      <c r="J46" s="76"/>
      <c r="K46" s="76"/>
      <c r="L46" s="76"/>
      <c r="M46" s="76"/>
      <c r="N46" s="76"/>
      <c r="O46" s="76"/>
      <c r="P46" s="76"/>
      <c r="Q46" s="76"/>
      <c r="R46" s="76"/>
      <c r="S46" s="76"/>
      <c r="T46" s="76"/>
      <c r="U46" s="76"/>
      <c r="V46" s="76"/>
      <c r="W46" s="76"/>
      <c r="X46" s="76"/>
      <c r="Y46" s="76"/>
      <c r="Z46" s="76"/>
    </row>
    <row r="47">
      <c r="A47" s="76"/>
      <c r="B47" s="76"/>
      <c r="C47" s="76"/>
      <c r="G47" s="76"/>
      <c r="H47" s="76"/>
      <c r="I47" s="76"/>
      <c r="J47" s="76"/>
      <c r="K47" s="76"/>
      <c r="L47" s="76"/>
      <c r="M47" s="76"/>
      <c r="N47" s="76"/>
      <c r="O47" s="76"/>
      <c r="P47" s="76"/>
      <c r="Q47" s="76"/>
      <c r="R47" s="76"/>
      <c r="S47" s="76"/>
      <c r="T47" s="76"/>
      <c r="U47" s="76"/>
      <c r="V47" s="76"/>
      <c r="W47" s="76"/>
      <c r="X47" s="76"/>
      <c r="Y47" s="76"/>
      <c r="Z47" s="76"/>
    </row>
    <row r="48">
      <c r="A48" s="76"/>
      <c r="B48" s="76"/>
      <c r="C48" s="76"/>
      <c r="G48" s="76"/>
      <c r="H48" s="76"/>
      <c r="I48" s="76"/>
      <c r="J48" s="76"/>
      <c r="K48" s="76"/>
      <c r="L48" s="76"/>
      <c r="M48" s="76"/>
      <c r="N48" s="76"/>
      <c r="O48" s="76"/>
      <c r="P48" s="76"/>
      <c r="Q48" s="76"/>
      <c r="R48" s="76"/>
      <c r="S48" s="76"/>
      <c r="T48" s="76"/>
      <c r="U48" s="76"/>
      <c r="V48" s="76"/>
      <c r="W48" s="76"/>
      <c r="X48" s="76"/>
      <c r="Y48" s="76"/>
      <c r="Z48" s="76"/>
    </row>
    <row r="49">
      <c r="A49" s="76"/>
      <c r="B49" s="76"/>
      <c r="C49" s="76"/>
      <c r="G49" s="76"/>
      <c r="H49" s="76"/>
      <c r="I49" s="76"/>
      <c r="J49" s="76"/>
      <c r="K49" s="76"/>
      <c r="L49" s="76"/>
      <c r="M49" s="76"/>
      <c r="N49" s="76"/>
      <c r="O49" s="76"/>
      <c r="P49" s="76"/>
      <c r="Q49" s="76"/>
      <c r="R49" s="76"/>
      <c r="S49" s="76"/>
      <c r="T49" s="76"/>
      <c r="U49" s="76"/>
      <c r="V49" s="76"/>
      <c r="W49" s="76"/>
      <c r="X49" s="76"/>
      <c r="Y49" s="76"/>
      <c r="Z49" s="76"/>
    </row>
    <row r="50">
      <c r="A50" s="76"/>
      <c r="B50" s="76"/>
      <c r="C50" s="76"/>
      <c r="G50" s="76"/>
      <c r="H50" s="76"/>
      <c r="I50" s="76"/>
      <c r="J50" s="76"/>
      <c r="K50" s="76"/>
      <c r="L50" s="76"/>
      <c r="M50" s="76"/>
      <c r="N50" s="76"/>
      <c r="O50" s="76"/>
      <c r="P50" s="76"/>
      <c r="Q50" s="76"/>
      <c r="R50" s="76"/>
      <c r="S50" s="76"/>
      <c r="T50" s="76"/>
      <c r="U50" s="76"/>
      <c r="V50" s="76"/>
      <c r="W50" s="76"/>
      <c r="X50" s="76"/>
      <c r="Y50" s="76"/>
      <c r="Z50" s="76"/>
    </row>
    <row r="51">
      <c r="A51" s="76"/>
      <c r="B51" s="76"/>
      <c r="C51" s="76"/>
      <c r="G51" s="76"/>
      <c r="H51" s="76"/>
      <c r="I51" s="76"/>
      <c r="J51" s="76"/>
      <c r="K51" s="76"/>
      <c r="L51" s="76"/>
      <c r="M51" s="76"/>
      <c r="N51" s="76"/>
      <c r="O51" s="76"/>
      <c r="P51" s="76"/>
      <c r="Q51" s="76"/>
      <c r="R51" s="76"/>
      <c r="S51" s="76"/>
      <c r="T51" s="76"/>
      <c r="U51" s="76"/>
      <c r="V51" s="76"/>
      <c r="W51" s="76"/>
      <c r="X51" s="76"/>
      <c r="Y51" s="76"/>
      <c r="Z51" s="76"/>
    </row>
    <row r="52">
      <c r="A52" s="76"/>
      <c r="B52" s="76"/>
      <c r="C52" s="76"/>
      <c r="G52" s="76"/>
      <c r="H52" s="76"/>
      <c r="I52" s="76"/>
      <c r="J52" s="76"/>
      <c r="K52" s="76"/>
      <c r="L52" s="76"/>
      <c r="M52" s="76"/>
      <c r="N52" s="76"/>
      <c r="O52" s="76"/>
      <c r="P52" s="76"/>
      <c r="Q52" s="76"/>
      <c r="R52" s="76"/>
      <c r="S52" s="76"/>
      <c r="T52" s="76"/>
      <c r="U52" s="76"/>
      <c r="V52" s="76"/>
      <c r="W52" s="76"/>
      <c r="X52" s="76"/>
      <c r="Y52" s="76"/>
      <c r="Z52" s="76"/>
    </row>
    <row r="53">
      <c r="A53" s="76"/>
      <c r="B53" s="76"/>
      <c r="C53" s="76"/>
      <c r="G53" s="76"/>
      <c r="H53" s="76"/>
      <c r="I53" s="76"/>
      <c r="J53" s="76"/>
      <c r="K53" s="76"/>
      <c r="L53" s="76"/>
      <c r="M53" s="76"/>
      <c r="N53" s="76"/>
      <c r="O53" s="76"/>
      <c r="P53" s="76"/>
      <c r="Q53" s="76"/>
      <c r="R53" s="76"/>
      <c r="S53" s="76"/>
      <c r="T53" s="76"/>
      <c r="U53" s="76"/>
      <c r="V53" s="76"/>
      <c r="W53" s="76"/>
      <c r="X53" s="76"/>
      <c r="Y53" s="76"/>
      <c r="Z53" s="76"/>
    </row>
    <row r="54">
      <c r="A54" s="76"/>
      <c r="B54" s="76"/>
      <c r="C54" s="76"/>
      <c r="G54" s="76"/>
      <c r="H54" s="76"/>
      <c r="I54" s="76"/>
      <c r="J54" s="76"/>
      <c r="K54" s="76"/>
      <c r="L54" s="76"/>
      <c r="M54" s="76"/>
      <c r="N54" s="76"/>
      <c r="O54" s="76"/>
      <c r="P54" s="76"/>
      <c r="Q54" s="76"/>
      <c r="R54" s="76"/>
      <c r="S54" s="76"/>
      <c r="T54" s="76"/>
      <c r="U54" s="76"/>
      <c r="V54" s="76"/>
      <c r="W54" s="76"/>
      <c r="X54" s="76"/>
      <c r="Y54" s="76"/>
      <c r="Z54" s="76"/>
    </row>
    <row r="55">
      <c r="A55" s="76"/>
      <c r="B55" s="76"/>
      <c r="C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80"/>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O131" s="76"/>
      <c r="P131" s="76"/>
      <c r="Q131" s="76"/>
      <c r="R131" s="76"/>
      <c r="S131" s="76"/>
      <c r="T131" s="76"/>
      <c r="U131" s="76"/>
      <c r="V131" s="76"/>
      <c r="W131" s="76"/>
      <c r="X131" s="76"/>
      <c r="Y131" s="76"/>
      <c r="Z131" s="76"/>
    </row>
    <row r="132">
      <c r="O132" s="76"/>
      <c r="P132" s="76"/>
      <c r="Q132" s="76"/>
      <c r="R132" s="76"/>
      <c r="S132" s="76"/>
      <c r="T132" s="76"/>
      <c r="U132" s="76"/>
      <c r="V132" s="76"/>
      <c r="W132" s="76"/>
      <c r="X132" s="76"/>
      <c r="Y132" s="76"/>
      <c r="Z132" s="76"/>
    </row>
    <row r="133">
      <c r="O133" s="76"/>
      <c r="P133" s="76"/>
      <c r="Q133" s="76"/>
      <c r="R133" s="76"/>
      <c r="S133" s="76"/>
      <c r="T133" s="76"/>
      <c r="U133" s="76"/>
      <c r="V133" s="76"/>
      <c r="W133" s="76"/>
      <c r="X133" s="76"/>
      <c r="Y133" s="76"/>
      <c r="Z133" s="76"/>
    </row>
    <row r="134">
      <c r="O134" s="76"/>
      <c r="P134" s="76"/>
      <c r="Q134" s="76"/>
      <c r="R134" s="76"/>
      <c r="S134" s="76"/>
      <c r="T134" s="76"/>
      <c r="U134" s="76"/>
      <c r="V134" s="76"/>
      <c r="W134" s="76"/>
      <c r="X134" s="76"/>
      <c r="Y134" s="76"/>
      <c r="Z134" s="76"/>
    </row>
    <row r="135">
      <c r="O135" s="76"/>
      <c r="P135" s="76"/>
      <c r="Q135" s="76"/>
      <c r="R135" s="76"/>
      <c r="S135" s="76"/>
      <c r="T135" s="76"/>
      <c r="U135" s="76"/>
      <c r="V135" s="76"/>
      <c r="W135" s="76"/>
      <c r="X135" s="76"/>
      <c r="Y135" s="76"/>
      <c r="Z135" s="76"/>
    </row>
    <row r="136">
      <c r="O136" s="76"/>
      <c r="P136" s="76"/>
      <c r="Q136" s="76"/>
      <c r="R136" s="76"/>
      <c r="S136" s="76"/>
      <c r="T136" s="76"/>
      <c r="U136" s="76"/>
      <c r="V136" s="76"/>
      <c r="W136" s="76"/>
      <c r="X136" s="76"/>
      <c r="Y136" s="76"/>
      <c r="Z136" s="76"/>
    </row>
    <row r="137">
      <c r="O137" s="76"/>
      <c r="P137" s="76"/>
      <c r="Q137" s="76"/>
      <c r="R137" s="76"/>
      <c r="S137" s="76"/>
      <c r="T137" s="76"/>
      <c r="U137" s="76"/>
      <c r="V137" s="76"/>
      <c r="W137" s="76"/>
      <c r="X137" s="76"/>
      <c r="Y137" s="76"/>
      <c r="Z137" s="76"/>
    </row>
    <row r="138">
      <c r="O138" s="76"/>
      <c r="P138" s="76"/>
      <c r="Q138" s="76"/>
      <c r="R138" s="76"/>
      <c r="S138" s="76"/>
      <c r="T138" s="76"/>
      <c r="U138" s="76"/>
      <c r="V138" s="76"/>
      <c r="W138" s="76"/>
      <c r="X138" s="76"/>
      <c r="Y138" s="76"/>
      <c r="Z138" s="76"/>
    </row>
    <row r="139">
      <c r="O139" s="76"/>
      <c r="P139" s="76"/>
      <c r="Q139" s="76"/>
      <c r="R139" s="76"/>
      <c r="S139" s="76"/>
      <c r="T139" s="76"/>
      <c r="U139" s="76"/>
      <c r="V139" s="76"/>
      <c r="W139" s="76"/>
      <c r="X139" s="76"/>
      <c r="Y139" s="76"/>
      <c r="Z139" s="76"/>
    </row>
    <row r="140">
      <c r="O140" s="76"/>
      <c r="P140" s="76"/>
      <c r="Q140" s="76"/>
      <c r="R140" s="76"/>
      <c r="S140" s="76"/>
      <c r="T140" s="76"/>
      <c r="U140" s="76"/>
      <c r="V140" s="76"/>
      <c r="W140" s="76"/>
      <c r="X140" s="76"/>
      <c r="Y140" s="76"/>
      <c r="Z140" s="76"/>
    </row>
    <row r="141">
      <c r="O141" s="76"/>
      <c r="P141" s="76"/>
      <c r="Q141" s="76"/>
      <c r="R141" s="76"/>
      <c r="S141" s="76"/>
      <c r="T141" s="76"/>
      <c r="U141" s="76"/>
      <c r="V141" s="76"/>
      <c r="W141" s="76"/>
      <c r="X141" s="76"/>
      <c r="Y141" s="76"/>
      <c r="Z141" s="76"/>
    </row>
    <row r="142">
      <c r="O142" s="76"/>
      <c r="P142" s="76"/>
      <c r="Q142" s="76"/>
      <c r="R142" s="76"/>
      <c r="S142" s="76"/>
      <c r="T142" s="76"/>
      <c r="U142" s="76"/>
      <c r="V142" s="76"/>
      <c r="W142" s="76"/>
      <c r="X142" s="76"/>
      <c r="Y142" s="76"/>
      <c r="Z142" s="76"/>
    </row>
    <row r="143">
      <c r="O143" s="76"/>
      <c r="P143" s="76"/>
      <c r="Q143" s="76"/>
      <c r="R143" s="76"/>
      <c r="S143" s="76"/>
      <c r="T143" s="76"/>
      <c r="U143" s="76"/>
      <c r="V143" s="76"/>
      <c r="W143" s="76"/>
      <c r="X143" s="76"/>
      <c r="Y143" s="76"/>
      <c r="Z143" s="76"/>
    </row>
    <row r="144">
      <c r="O144" s="76"/>
      <c r="P144" s="76"/>
      <c r="Q144" s="76"/>
      <c r="R144" s="76"/>
      <c r="S144" s="76"/>
      <c r="T144" s="76"/>
      <c r="U144" s="76"/>
      <c r="V144" s="76"/>
      <c r="W144" s="76"/>
      <c r="X144" s="76"/>
      <c r="Y144" s="76"/>
      <c r="Z144" s="76"/>
    </row>
    <row r="145">
      <c r="O145" s="76"/>
      <c r="P145" s="76"/>
      <c r="Q145" s="76"/>
      <c r="R145" s="76"/>
      <c r="S145" s="76"/>
      <c r="T145" s="76"/>
      <c r="U145" s="76"/>
      <c r="V145" s="76"/>
      <c r="W145" s="76"/>
      <c r="X145" s="76"/>
      <c r="Y145" s="76"/>
      <c r="Z145" s="76"/>
    </row>
    <row r="146">
      <c r="O146" s="76"/>
      <c r="P146" s="76"/>
      <c r="Q146" s="76"/>
      <c r="R146" s="76"/>
      <c r="S146" s="76"/>
      <c r="T146" s="76"/>
      <c r="U146" s="76"/>
      <c r="V146" s="76"/>
      <c r="W146" s="76"/>
      <c r="X146" s="76"/>
      <c r="Y146" s="76"/>
      <c r="Z146" s="76"/>
    </row>
    <row r="147">
      <c r="O147" s="76"/>
      <c r="P147" s="76"/>
      <c r="Q147" s="76"/>
      <c r="R147" s="76"/>
      <c r="S147" s="76"/>
      <c r="T147" s="76"/>
      <c r="U147" s="76"/>
      <c r="V147" s="76"/>
      <c r="W147" s="76"/>
      <c r="X147" s="76"/>
      <c r="Y147" s="76"/>
      <c r="Z147" s="76"/>
    </row>
    <row r="148">
      <c r="O148" s="76"/>
      <c r="P148" s="76"/>
      <c r="Q148" s="76"/>
      <c r="R148" s="76"/>
      <c r="S148" s="76"/>
      <c r="T148" s="76"/>
      <c r="U148" s="76"/>
      <c r="V148" s="76"/>
      <c r="W148" s="76"/>
      <c r="X148" s="76"/>
      <c r="Y148" s="76"/>
      <c r="Z148" s="76"/>
    </row>
    <row r="149">
      <c r="O149" s="76"/>
      <c r="P149" s="76"/>
      <c r="Q149" s="76"/>
      <c r="R149" s="76"/>
      <c r="S149" s="76"/>
      <c r="T149" s="76"/>
      <c r="U149" s="76"/>
      <c r="V149" s="76"/>
      <c r="W149" s="76"/>
      <c r="X149" s="76"/>
      <c r="Y149" s="76"/>
      <c r="Z149" s="76"/>
    </row>
    <row r="150">
      <c r="O150" s="76"/>
      <c r="P150" s="76"/>
      <c r="Q150" s="76"/>
      <c r="R150" s="76"/>
      <c r="S150" s="76"/>
      <c r="T150" s="76"/>
      <c r="U150" s="76"/>
      <c r="V150" s="76"/>
      <c r="W150" s="76"/>
      <c r="X150" s="76"/>
      <c r="Y150" s="76"/>
      <c r="Z150" s="76"/>
    </row>
    <row r="151">
      <c r="O151" s="76"/>
      <c r="P151" s="76"/>
      <c r="Q151" s="76"/>
      <c r="R151" s="76"/>
      <c r="S151" s="76"/>
      <c r="T151" s="76"/>
      <c r="U151" s="76"/>
      <c r="V151" s="76"/>
      <c r="W151" s="76"/>
      <c r="X151" s="76"/>
      <c r="Y151" s="76"/>
      <c r="Z151" s="76"/>
    </row>
    <row r="152">
      <c r="O152" s="76"/>
      <c r="P152" s="76"/>
      <c r="Q152" s="76"/>
      <c r="R152" s="76"/>
      <c r="S152" s="76"/>
      <c r="T152" s="76"/>
      <c r="U152" s="76"/>
      <c r="V152" s="76"/>
      <c r="W152" s="76"/>
      <c r="X152" s="76"/>
      <c r="Y152" s="76"/>
      <c r="Z152" s="76"/>
    </row>
    <row r="153">
      <c r="O153" s="76"/>
      <c r="P153" s="76"/>
      <c r="Q153" s="76"/>
      <c r="R153" s="76"/>
      <c r="S153" s="76"/>
      <c r="T153" s="76"/>
      <c r="U153" s="76"/>
      <c r="V153" s="76"/>
      <c r="W153" s="76"/>
      <c r="X153" s="76"/>
      <c r="Y153" s="76"/>
      <c r="Z153" s="76"/>
    </row>
    <row r="154">
      <c r="O154" s="76"/>
      <c r="P154" s="76"/>
      <c r="Q154" s="76"/>
      <c r="R154" s="76"/>
      <c r="S154" s="76"/>
      <c r="T154" s="76"/>
      <c r="U154" s="76"/>
      <c r="V154" s="76"/>
      <c r="W154" s="76"/>
      <c r="X154" s="76"/>
      <c r="Y154" s="76"/>
      <c r="Z154" s="76"/>
    </row>
    <row r="155">
      <c r="O155" s="76"/>
      <c r="P155" s="76"/>
      <c r="Q155" s="76"/>
      <c r="R155" s="76"/>
      <c r="S155" s="76"/>
      <c r="T155" s="76"/>
      <c r="U155" s="76"/>
      <c r="V155" s="76"/>
      <c r="W155" s="76"/>
      <c r="X155" s="76"/>
      <c r="Y155" s="76"/>
      <c r="Z155" s="76"/>
    </row>
    <row r="156">
      <c r="O156" s="76"/>
      <c r="P156" s="76"/>
      <c r="Q156" s="76"/>
      <c r="R156" s="76"/>
      <c r="S156" s="76"/>
      <c r="T156" s="76"/>
      <c r="U156" s="76"/>
      <c r="V156" s="76"/>
      <c r="W156" s="76"/>
      <c r="X156" s="76"/>
      <c r="Y156" s="76"/>
      <c r="Z156" s="76"/>
    </row>
    <row r="157">
      <c r="O157" s="76"/>
      <c r="P157" s="76"/>
      <c r="Q157" s="76"/>
      <c r="R157" s="76"/>
      <c r="S157" s="76"/>
      <c r="T157" s="76"/>
      <c r="U157" s="76"/>
      <c r="V157" s="76"/>
      <c r="W157" s="76"/>
      <c r="X157" s="76"/>
      <c r="Y157" s="76"/>
      <c r="Z157" s="76"/>
    </row>
    <row r="158">
      <c r="O158" s="76"/>
      <c r="P158" s="76"/>
      <c r="Q158" s="76"/>
      <c r="R158" s="76"/>
      <c r="S158" s="76"/>
      <c r="T158" s="76"/>
      <c r="U158" s="76"/>
      <c r="V158" s="76"/>
      <c r="W158" s="76"/>
      <c r="X158" s="76"/>
      <c r="Y158" s="76"/>
      <c r="Z158" s="76"/>
    </row>
    <row r="159">
      <c r="O159" s="76"/>
      <c r="P159" s="76"/>
      <c r="Q159" s="76"/>
      <c r="R159" s="76"/>
      <c r="S159" s="76"/>
      <c r="T159" s="76"/>
      <c r="U159" s="76"/>
      <c r="V159" s="76"/>
      <c r="W159" s="76"/>
      <c r="X159" s="76"/>
      <c r="Y159" s="76"/>
      <c r="Z159" s="76"/>
    </row>
    <row r="160">
      <c r="O160" s="76"/>
      <c r="P160" s="76"/>
      <c r="Q160" s="76"/>
      <c r="R160" s="76"/>
      <c r="S160" s="76"/>
      <c r="T160" s="76"/>
      <c r="U160" s="76"/>
      <c r="V160" s="76"/>
      <c r="W160" s="76"/>
      <c r="X160" s="76"/>
      <c r="Y160" s="76"/>
      <c r="Z160" s="76"/>
    </row>
    <row r="161">
      <c r="O161" s="76"/>
      <c r="P161" s="76"/>
      <c r="Q161" s="76"/>
      <c r="R161" s="76"/>
      <c r="S161" s="76"/>
      <c r="T161" s="76"/>
      <c r="U161" s="76"/>
      <c r="V161" s="76"/>
      <c r="W161" s="76"/>
      <c r="X161" s="76"/>
      <c r="Y161" s="76"/>
      <c r="Z161" s="76"/>
    </row>
    <row r="162">
      <c r="O162" s="76"/>
      <c r="P162" s="76"/>
      <c r="Q162" s="76"/>
      <c r="R162" s="76"/>
      <c r="S162" s="76"/>
      <c r="T162" s="76"/>
      <c r="U162" s="76"/>
      <c r="V162" s="76"/>
      <c r="W162" s="76"/>
      <c r="X162" s="76"/>
      <c r="Y162" s="76"/>
      <c r="Z162" s="76"/>
    </row>
    <row r="163">
      <c r="O163" s="76"/>
      <c r="P163" s="76"/>
      <c r="Q163" s="76"/>
      <c r="R163" s="76"/>
      <c r="S163" s="76"/>
      <c r="T163" s="76"/>
      <c r="U163" s="76"/>
      <c r="V163" s="76"/>
      <c r="W163" s="76"/>
      <c r="X163" s="76"/>
      <c r="Y163" s="76"/>
      <c r="Z163" s="76"/>
    </row>
    <row r="164">
      <c r="O164" s="76"/>
      <c r="P164" s="76"/>
      <c r="Q164" s="76"/>
      <c r="R164" s="76"/>
      <c r="S164" s="76"/>
      <c r="T164" s="76"/>
      <c r="U164" s="76"/>
      <c r="V164" s="76"/>
      <c r="W164" s="76"/>
      <c r="X164" s="76"/>
      <c r="Y164" s="76"/>
      <c r="Z164" s="76"/>
    </row>
    <row r="165">
      <c r="O165" s="76"/>
      <c r="P165" s="76"/>
      <c r="Q165" s="76"/>
      <c r="R165" s="76"/>
      <c r="S165" s="76"/>
      <c r="T165" s="76"/>
      <c r="U165" s="76"/>
      <c r="V165" s="76"/>
      <c r="W165" s="76"/>
      <c r="X165" s="76"/>
      <c r="Y165" s="76"/>
      <c r="Z165" s="76"/>
    </row>
    <row r="166">
      <c r="O166" s="76"/>
      <c r="P166" s="76"/>
      <c r="Q166" s="76"/>
      <c r="R166" s="76"/>
      <c r="S166" s="76"/>
      <c r="T166" s="76"/>
      <c r="U166" s="76"/>
      <c r="V166" s="76"/>
      <c r="W166" s="76"/>
      <c r="X166" s="76"/>
      <c r="Y166" s="76"/>
      <c r="Z166" s="76"/>
    </row>
    <row r="167">
      <c r="O167" s="76"/>
      <c r="P167" s="76"/>
      <c r="Q167" s="76"/>
      <c r="R167" s="76"/>
      <c r="S167" s="76"/>
      <c r="T167" s="76"/>
      <c r="U167" s="76"/>
      <c r="V167" s="76"/>
      <c r="W167" s="76"/>
      <c r="X167" s="76"/>
      <c r="Y167" s="76"/>
      <c r="Z167" s="76"/>
    </row>
    <row r="168">
      <c r="O168" s="76"/>
      <c r="P168" s="76"/>
      <c r="Q168" s="76"/>
      <c r="R168" s="76"/>
      <c r="S168" s="76"/>
      <c r="T168" s="76"/>
      <c r="U168" s="76"/>
      <c r="V168" s="76"/>
      <c r="W168" s="76"/>
      <c r="X168" s="76"/>
      <c r="Y168" s="76"/>
      <c r="Z168" s="76"/>
    </row>
    <row r="169">
      <c r="O169" s="76"/>
      <c r="P169" s="76"/>
      <c r="Q169" s="76"/>
      <c r="R169" s="76"/>
      <c r="S169" s="76"/>
      <c r="T169" s="76"/>
      <c r="U169" s="76"/>
      <c r="V169" s="76"/>
      <c r="W169" s="76"/>
      <c r="X169" s="76"/>
      <c r="Y169" s="76"/>
      <c r="Z169" s="76"/>
    </row>
    <row r="170">
      <c r="O170" s="76"/>
      <c r="P170" s="76"/>
      <c r="Q170" s="76"/>
      <c r="R170" s="76"/>
      <c r="S170" s="76"/>
      <c r="T170" s="76"/>
      <c r="U170" s="76"/>
      <c r="V170" s="76"/>
      <c r="W170" s="76"/>
      <c r="X170" s="76"/>
      <c r="Y170" s="76"/>
      <c r="Z170" s="76"/>
    </row>
    <row r="171">
      <c r="O171" s="76"/>
      <c r="P171" s="76"/>
      <c r="Q171" s="76"/>
      <c r="R171" s="76"/>
      <c r="S171" s="76"/>
      <c r="T171" s="76"/>
      <c r="U171" s="76"/>
      <c r="V171" s="76"/>
      <c r="W171" s="76"/>
      <c r="X171" s="76"/>
      <c r="Y171" s="76"/>
      <c r="Z171" s="76"/>
    </row>
    <row r="172">
      <c r="O172" s="76"/>
      <c r="P172" s="76"/>
      <c r="Q172" s="76"/>
      <c r="R172" s="76"/>
      <c r="S172" s="76"/>
      <c r="T172" s="76"/>
      <c r="U172" s="76"/>
      <c r="V172" s="76"/>
      <c r="W172" s="76"/>
      <c r="X172" s="76"/>
      <c r="Y172" s="76"/>
      <c r="Z172" s="76"/>
    </row>
    <row r="173">
      <c r="O173" s="76"/>
      <c r="P173" s="76"/>
      <c r="Q173" s="76"/>
      <c r="R173" s="76"/>
      <c r="S173" s="76"/>
      <c r="T173" s="76"/>
      <c r="U173" s="76"/>
      <c r="V173" s="76"/>
      <c r="W173" s="76"/>
      <c r="X173" s="76"/>
      <c r="Y173" s="76"/>
      <c r="Z173" s="76"/>
    </row>
    <row r="174">
      <c r="O174" s="76"/>
      <c r="P174" s="76"/>
      <c r="Q174" s="76"/>
      <c r="R174" s="76"/>
      <c r="S174" s="76"/>
      <c r="T174" s="76"/>
      <c r="U174" s="76"/>
      <c r="V174" s="76"/>
      <c r="W174" s="76"/>
      <c r="X174" s="76"/>
      <c r="Y174" s="76"/>
      <c r="Z174" s="76"/>
    </row>
    <row r="175">
      <c r="O175" s="76"/>
      <c r="P175" s="76"/>
      <c r="Q175" s="76"/>
      <c r="R175" s="76"/>
      <c r="S175" s="76"/>
      <c r="T175" s="76"/>
      <c r="U175" s="76"/>
      <c r="V175" s="76"/>
      <c r="W175" s="76"/>
      <c r="X175" s="76"/>
      <c r="Y175" s="76"/>
      <c r="Z175" s="76"/>
    </row>
    <row r="176">
      <c r="O176" s="76"/>
      <c r="P176" s="76"/>
      <c r="Q176" s="76"/>
      <c r="R176" s="76"/>
      <c r="S176" s="76"/>
      <c r="T176" s="76"/>
      <c r="U176" s="76"/>
      <c r="V176" s="76"/>
      <c r="W176" s="76"/>
      <c r="X176" s="76"/>
      <c r="Y176" s="76"/>
      <c r="Z176" s="76"/>
    </row>
    <row r="177">
      <c r="O177" s="76"/>
      <c r="P177" s="76"/>
      <c r="Q177" s="76"/>
      <c r="R177" s="76"/>
      <c r="S177" s="76"/>
      <c r="T177" s="76"/>
      <c r="U177" s="76"/>
      <c r="V177" s="76"/>
      <c r="W177" s="76"/>
      <c r="X177" s="76"/>
      <c r="Y177" s="76"/>
      <c r="Z177" s="76"/>
    </row>
    <row r="178">
      <c r="O178" s="76"/>
      <c r="P178" s="76"/>
      <c r="Q178" s="76"/>
      <c r="R178" s="76"/>
      <c r="S178" s="76"/>
      <c r="T178" s="76"/>
      <c r="U178" s="76"/>
      <c r="V178" s="76"/>
      <c r="W178" s="76"/>
      <c r="X178" s="76"/>
      <c r="Y178" s="76"/>
      <c r="Z178" s="76"/>
    </row>
    <row r="179">
      <c r="O179" s="76"/>
      <c r="P179" s="76"/>
      <c r="Q179" s="76"/>
      <c r="R179" s="76"/>
      <c r="S179" s="76"/>
      <c r="T179" s="76"/>
      <c r="U179" s="76"/>
      <c r="V179" s="76"/>
      <c r="W179" s="76"/>
      <c r="X179" s="76"/>
      <c r="Y179" s="76"/>
      <c r="Z179" s="76"/>
    </row>
    <row r="180">
      <c r="O180" s="76"/>
      <c r="P180" s="76"/>
      <c r="Q180" s="76"/>
      <c r="R180" s="76"/>
      <c r="S180" s="76"/>
      <c r="T180" s="76"/>
      <c r="U180" s="76"/>
      <c r="V180" s="76"/>
      <c r="W180" s="76"/>
      <c r="X180" s="76"/>
      <c r="Y180" s="76"/>
      <c r="Z180" s="76"/>
    </row>
    <row r="181">
      <c r="O181" s="76"/>
      <c r="P181" s="76"/>
      <c r="Q181" s="76"/>
      <c r="R181" s="76"/>
      <c r="S181" s="76"/>
      <c r="T181" s="76"/>
      <c r="U181" s="76"/>
      <c r="V181" s="76"/>
      <c r="W181" s="76"/>
      <c r="X181" s="76"/>
      <c r="Y181" s="76"/>
      <c r="Z181" s="76"/>
    </row>
    <row r="182">
      <c r="O182" s="76"/>
      <c r="P182" s="76"/>
      <c r="Q182" s="76"/>
      <c r="R182" s="76"/>
      <c r="S182" s="76"/>
      <c r="T182" s="76"/>
      <c r="U182" s="76"/>
      <c r="V182" s="76"/>
      <c r="W182" s="76"/>
      <c r="X182" s="76"/>
      <c r="Y182" s="76"/>
      <c r="Z182" s="76"/>
    </row>
    <row r="183">
      <c r="O183" s="76"/>
      <c r="P183" s="76"/>
      <c r="Q183" s="76"/>
      <c r="R183" s="76"/>
      <c r="S183" s="76"/>
      <c r="T183" s="76"/>
      <c r="U183" s="76"/>
      <c r="V183" s="76"/>
      <c r="W183" s="76"/>
      <c r="X183" s="76"/>
      <c r="Y183" s="76"/>
      <c r="Z183" s="76"/>
    </row>
    <row r="184">
      <c r="O184" s="76"/>
      <c r="P184" s="76"/>
      <c r="Q184" s="76"/>
      <c r="R184" s="76"/>
      <c r="S184" s="76"/>
      <c r="T184" s="76"/>
      <c r="U184" s="76"/>
      <c r="V184" s="76"/>
      <c r="W184" s="76"/>
      <c r="X184" s="76"/>
      <c r="Y184" s="76"/>
      <c r="Z184" s="76"/>
    </row>
    <row r="185">
      <c r="O185" s="76"/>
      <c r="P185" s="76"/>
      <c r="Q185" s="76"/>
      <c r="R185" s="76"/>
      <c r="S185" s="76"/>
      <c r="T185" s="76"/>
      <c r="U185" s="76"/>
      <c r="V185" s="76"/>
      <c r="W185" s="76"/>
      <c r="X185" s="76"/>
      <c r="Y185" s="76"/>
      <c r="Z185" s="76"/>
    </row>
    <row r="186">
      <c r="O186" s="76"/>
      <c r="P186" s="76"/>
      <c r="Q186" s="76"/>
      <c r="R186" s="76"/>
      <c r="S186" s="76"/>
      <c r="T186" s="76"/>
      <c r="U186" s="76"/>
      <c r="V186" s="76"/>
      <c r="W186" s="76"/>
      <c r="X186" s="76"/>
      <c r="Y186" s="76"/>
      <c r="Z186" s="76"/>
    </row>
    <row r="187">
      <c r="O187" s="76"/>
      <c r="P187" s="76"/>
      <c r="Q187" s="76"/>
      <c r="R187" s="76"/>
      <c r="S187" s="76"/>
      <c r="T187" s="76"/>
      <c r="U187" s="76"/>
      <c r="V187" s="76"/>
      <c r="W187" s="76"/>
      <c r="X187" s="76"/>
      <c r="Y187" s="76"/>
      <c r="Z187" s="76"/>
    </row>
    <row r="188">
      <c r="O188" s="76"/>
      <c r="P188" s="76"/>
      <c r="Q188" s="76"/>
      <c r="R188" s="76"/>
      <c r="S188" s="76"/>
      <c r="T188" s="76"/>
      <c r="U188" s="76"/>
      <c r="V188" s="76"/>
      <c r="W188" s="76"/>
      <c r="X188" s="76"/>
      <c r="Y188" s="76"/>
      <c r="Z188" s="76"/>
    </row>
    <row r="189">
      <c r="O189" s="76"/>
      <c r="P189" s="76"/>
      <c r="Q189" s="76"/>
      <c r="R189" s="76"/>
      <c r="S189" s="76"/>
      <c r="T189" s="76"/>
      <c r="U189" s="76"/>
      <c r="V189" s="76"/>
      <c r="W189" s="76"/>
      <c r="X189" s="76"/>
      <c r="Y189" s="76"/>
      <c r="Z189" s="76"/>
    </row>
    <row r="190">
      <c r="O190" s="76"/>
      <c r="P190" s="76"/>
      <c r="Q190" s="76"/>
      <c r="R190" s="76"/>
      <c r="S190" s="76"/>
      <c r="T190" s="76"/>
      <c r="U190" s="76"/>
      <c r="V190" s="76"/>
      <c r="W190" s="76"/>
      <c r="X190" s="76"/>
      <c r="Y190" s="76"/>
      <c r="Z190" s="76"/>
    </row>
    <row r="191">
      <c r="O191" s="76"/>
      <c r="P191" s="76"/>
      <c r="Q191" s="76"/>
      <c r="R191" s="76"/>
      <c r="S191" s="76"/>
      <c r="T191" s="76"/>
      <c r="U191" s="76"/>
      <c r="V191" s="76"/>
      <c r="W191" s="76"/>
      <c r="X191" s="76"/>
      <c r="Y191" s="76"/>
      <c r="Z191" s="76"/>
    </row>
    <row r="192">
      <c r="O192" s="76"/>
      <c r="P192" s="76"/>
      <c r="Q192" s="76"/>
      <c r="R192" s="76"/>
      <c r="S192" s="76"/>
      <c r="T192" s="76"/>
      <c r="U192" s="76"/>
      <c r="V192" s="76"/>
      <c r="W192" s="76"/>
      <c r="X192" s="76"/>
      <c r="Y192" s="76"/>
      <c r="Z192" s="76"/>
    </row>
    <row r="193">
      <c r="O193" s="76"/>
      <c r="P193" s="76"/>
      <c r="Q193" s="76"/>
      <c r="R193" s="76"/>
      <c r="S193" s="76"/>
      <c r="T193" s="76"/>
      <c r="U193" s="76"/>
      <c r="V193" s="76"/>
      <c r="W193" s="76"/>
      <c r="X193" s="76"/>
      <c r="Y193" s="76"/>
      <c r="Z193" s="76"/>
    </row>
    <row r="194">
      <c r="O194" s="76"/>
      <c r="P194" s="76"/>
      <c r="Q194" s="76"/>
      <c r="R194" s="76"/>
      <c r="S194" s="76"/>
      <c r="T194" s="76"/>
      <c r="U194" s="76"/>
      <c r="V194" s="76"/>
      <c r="W194" s="76"/>
      <c r="X194" s="76"/>
      <c r="Y194" s="76"/>
      <c r="Z194" s="76"/>
    </row>
    <row r="195">
      <c r="O195" s="76"/>
      <c r="P195" s="76"/>
      <c r="Q195" s="76"/>
      <c r="R195" s="76"/>
      <c r="S195" s="76"/>
      <c r="T195" s="76"/>
      <c r="U195" s="76"/>
      <c r="V195" s="76"/>
      <c r="W195" s="76"/>
      <c r="X195" s="76"/>
      <c r="Y195" s="76"/>
      <c r="Z195" s="76"/>
    </row>
    <row r="196">
      <c r="O196" s="76"/>
      <c r="P196" s="76"/>
      <c r="Q196" s="76"/>
      <c r="R196" s="76"/>
      <c r="S196" s="76"/>
      <c r="T196" s="76"/>
      <c r="U196" s="76"/>
      <c r="V196" s="76"/>
      <c r="W196" s="76"/>
      <c r="X196" s="76"/>
      <c r="Y196" s="76"/>
      <c r="Z196" s="76"/>
    </row>
    <row r="197">
      <c r="O197" s="76"/>
      <c r="P197" s="76"/>
      <c r="Q197" s="76"/>
      <c r="R197" s="76"/>
      <c r="S197" s="76"/>
      <c r="T197" s="76"/>
      <c r="U197" s="76"/>
      <c r="V197" s="76"/>
      <c r="W197" s="76"/>
      <c r="X197" s="76"/>
      <c r="Y197" s="76"/>
      <c r="Z197" s="76"/>
    </row>
    <row r="198">
      <c r="O198" s="76"/>
      <c r="P198" s="76"/>
      <c r="Q198" s="76"/>
      <c r="R198" s="76"/>
      <c r="S198" s="76"/>
      <c r="T198" s="76"/>
      <c r="U198" s="76"/>
      <c r="V198" s="76"/>
      <c r="W198" s="76"/>
      <c r="X198" s="76"/>
      <c r="Y198" s="76"/>
      <c r="Z198" s="76"/>
    </row>
    <row r="199">
      <c r="O199" s="76"/>
      <c r="P199" s="76"/>
      <c r="Q199" s="76"/>
      <c r="R199" s="76"/>
      <c r="S199" s="76"/>
      <c r="T199" s="76"/>
      <c r="U199" s="76"/>
      <c r="V199" s="76"/>
      <c r="W199" s="76"/>
      <c r="X199" s="76"/>
      <c r="Y199" s="76"/>
      <c r="Z199" s="76"/>
    </row>
    <row r="200">
      <c r="O200" s="76"/>
      <c r="P200" s="76"/>
      <c r="Q200" s="76"/>
      <c r="R200" s="76"/>
      <c r="S200" s="76"/>
      <c r="T200" s="76"/>
      <c r="U200" s="76"/>
      <c r="V200" s="76"/>
      <c r="W200" s="76"/>
      <c r="X200" s="76"/>
      <c r="Y200" s="76"/>
      <c r="Z200" s="76"/>
    </row>
    <row r="201">
      <c r="O201" s="76"/>
      <c r="P201" s="76"/>
      <c r="Q201" s="76"/>
      <c r="R201" s="76"/>
      <c r="S201" s="76"/>
      <c r="T201" s="76"/>
      <c r="U201" s="76"/>
      <c r="V201" s="76"/>
      <c r="W201" s="76"/>
      <c r="X201" s="76"/>
      <c r="Y201" s="76"/>
      <c r="Z201" s="76"/>
    </row>
    <row r="202">
      <c r="O202" s="76"/>
      <c r="P202" s="76"/>
      <c r="Q202" s="76"/>
      <c r="R202" s="76"/>
      <c r="S202" s="76"/>
      <c r="T202" s="76"/>
      <c r="U202" s="76"/>
      <c r="V202" s="76"/>
      <c r="W202" s="76"/>
      <c r="X202" s="76"/>
      <c r="Y202" s="76"/>
      <c r="Z202" s="76"/>
    </row>
    <row r="203">
      <c r="O203" s="76"/>
      <c r="P203" s="76"/>
      <c r="Q203" s="76"/>
      <c r="R203" s="76"/>
      <c r="S203" s="76"/>
      <c r="T203" s="76"/>
      <c r="U203" s="76"/>
      <c r="V203" s="76"/>
      <c r="W203" s="76"/>
      <c r="X203" s="76"/>
      <c r="Y203" s="76"/>
      <c r="Z203" s="76"/>
    </row>
    <row r="204">
      <c r="O204" s="76"/>
      <c r="P204" s="76"/>
      <c r="Q204" s="76"/>
      <c r="R204" s="76"/>
      <c r="S204" s="76"/>
      <c r="T204" s="76"/>
      <c r="U204" s="76"/>
      <c r="V204" s="76"/>
      <c r="W204" s="76"/>
      <c r="X204" s="76"/>
      <c r="Y204" s="76"/>
      <c r="Z204" s="76"/>
    </row>
    <row r="205">
      <c r="O205" s="76"/>
      <c r="P205" s="76"/>
      <c r="Q205" s="76"/>
      <c r="R205" s="76"/>
      <c r="S205" s="76"/>
      <c r="T205" s="76"/>
      <c r="U205" s="76"/>
      <c r="V205" s="76"/>
      <c r="W205" s="76"/>
      <c r="X205" s="76"/>
      <c r="Y205" s="76"/>
      <c r="Z205" s="76"/>
    </row>
    <row r="206">
      <c r="O206" s="76"/>
      <c r="P206" s="76"/>
      <c r="Q206" s="76"/>
      <c r="R206" s="76"/>
      <c r="S206" s="76"/>
      <c r="T206" s="76"/>
      <c r="U206" s="76"/>
      <c r="V206" s="76"/>
      <c r="W206" s="76"/>
      <c r="X206" s="76"/>
      <c r="Y206" s="76"/>
      <c r="Z206" s="76"/>
    </row>
    <row r="207">
      <c r="O207" s="76"/>
      <c r="P207" s="76"/>
      <c r="Q207" s="76"/>
      <c r="R207" s="76"/>
      <c r="S207" s="76"/>
      <c r="T207" s="76"/>
      <c r="U207" s="76"/>
      <c r="V207" s="76"/>
      <c r="W207" s="76"/>
      <c r="X207" s="76"/>
      <c r="Y207" s="76"/>
      <c r="Z207" s="76"/>
    </row>
    <row r="208">
      <c r="O208" s="76"/>
      <c r="P208" s="76"/>
      <c r="Q208" s="76"/>
      <c r="R208" s="76"/>
      <c r="S208" s="76"/>
      <c r="T208" s="76"/>
      <c r="U208" s="76"/>
      <c r="V208" s="76"/>
      <c r="W208" s="76"/>
      <c r="X208" s="76"/>
      <c r="Y208" s="76"/>
      <c r="Z208" s="76"/>
    </row>
    <row r="209">
      <c r="O209" s="76"/>
      <c r="P209" s="76"/>
      <c r="Q209" s="76"/>
      <c r="R209" s="76"/>
      <c r="S209" s="76"/>
      <c r="T209" s="76"/>
      <c r="U209" s="76"/>
      <c r="V209" s="76"/>
      <c r="W209" s="76"/>
      <c r="X209" s="76"/>
      <c r="Y209" s="76"/>
      <c r="Z209" s="76"/>
    </row>
    <row r="210">
      <c r="O210" s="76"/>
      <c r="P210" s="76"/>
      <c r="Q210" s="76"/>
      <c r="R210" s="76"/>
      <c r="S210" s="76"/>
      <c r="T210" s="76"/>
      <c r="U210" s="76"/>
      <c r="V210" s="76"/>
      <c r="W210" s="76"/>
      <c r="X210" s="76"/>
      <c r="Y210" s="76"/>
      <c r="Z210" s="76"/>
    </row>
    <row r="211">
      <c r="O211" s="76"/>
      <c r="P211" s="76"/>
      <c r="Q211" s="76"/>
      <c r="R211" s="76"/>
      <c r="S211" s="76"/>
      <c r="T211" s="76"/>
      <c r="U211" s="76"/>
      <c r="V211" s="76"/>
      <c r="W211" s="76"/>
      <c r="X211" s="76"/>
      <c r="Y211" s="76"/>
      <c r="Z211" s="76"/>
    </row>
    <row r="212">
      <c r="O212" s="76"/>
      <c r="P212" s="76"/>
      <c r="Q212" s="76"/>
      <c r="R212" s="76"/>
      <c r="S212" s="76"/>
      <c r="T212" s="76"/>
      <c r="U212" s="76"/>
      <c r="V212" s="76"/>
      <c r="W212" s="76"/>
      <c r="X212" s="76"/>
      <c r="Y212" s="76"/>
      <c r="Z212" s="76"/>
    </row>
    <row r="213">
      <c r="O213" s="76"/>
      <c r="P213" s="76"/>
      <c r="Q213" s="76"/>
      <c r="R213" s="76"/>
      <c r="S213" s="76"/>
      <c r="T213" s="76"/>
      <c r="U213" s="76"/>
      <c r="V213" s="76"/>
      <c r="W213" s="76"/>
      <c r="X213" s="76"/>
      <c r="Y213" s="76"/>
      <c r="Z213" s="76"/>
    </row>
    <row r="214">
      <c r="O214" s="76"/>
      <c r="P214" s="76"/>
      <c r="Q214" s="76"/>
      <c r="R214" s="76"/>
      <c r="S214" s="76"/>
      <c r="T214" s="76"/>
      <c r="U214" s="76"/>
      <c r="V214" s="76"/>
      <c r="W214" s="76"/>
      <c r="X214" s="76"/>
      <c r="Y214" s="76"/>
      <c r="Z214" s="76"/>
    </row>
    <row r="215">
      <c r="O215" s="76"/>
      <c r="P215" s="76"/>
      <c r="Q215" s="76"/>
      <c r="R215" s="76"/>
      <c r="S215" s="76"/>
      <c r="T215" s="76"/>
      <c r="U215" s="76"/>
      <c r="V215" s="76"/>
      <c r="W215" s="76"/>
      <c r="X215" s="76"/>
      <c r="Y215" s="76"/>
      <c r="Z215" s="76"/>
    </row>
    <row r="216">
      <c r="O216" s="76"/>
      <c r="P216" s="76"/>
      <c r="Q216" s="76"/>
      <c r="R216" s="76"/>
      <c r="S216" s="76"/>
      <c r="T216" s="76"/>
      <c r="U216" s="76"/>
      <c r="V216" s="76"/>
      <c r="W216" s="76"/>
      <c r="X216" s="76"/>
      <c r="Y216" s="76"/>
      <c r="Z216" s="76"/>
    </row>
    <row r="217">
      <c r="O217" s="76"/>
      <c r="P217" s="76"/>
      <c r="Q217" s="76"/>
      <c r="R217" s="76"/>
      <c r="S217" s="76"/>
      <c r="T217" s="76"/>
      <c r="U217" s="76"/>
      <c r="V217" s="76"/>
      <c r="W217" s="76"/>
      <c r="X217" s="76"/>
      <c r="Y217" s="76"/>
      <c r="Z217" s="76"/>
    </row>
    <row r="218">
      <c r="O218" s="76"/>
      <c r="P218" s="76"/>
      <c r="Q218" s="76"/>
      <c r="R218" s="76"/>
      <c r="S218" s="76"/>
      <c r="T218" s="76"/>
      <c r="U218" s="76"/>
      <c r="V218" s="76"/>
      <c r="W218" s="76"/>
      <c r="X218" s="76"/>
      <c r="Y218" s="76"/>
      <c r="Z218" s="76"/>
    </row>
    <row r="219">
      <c r="O219" s="76"/>
      <c r="P219" s="76"/>
      <c r="Q219" s="76"/>
      <c r="R219" s="76"/>
      <c r="S219" s="76"/>
      <c r="T219" s="76"/>
      <c r="U219" s="76"/>
      <c r="V219" s="76"/>
      <c r="W219" s="76"/>
      <c r="X219" s="76"/>
      <c r="Y219" s="76"/>
      <c r="Z219" s="76"/>
    </row>
    <row r="220">
      <c r="O220" s="76"/>
      <c r="P220" s="76"/>
      <c r="Q220" s="76"/>
      <c r="R220" s="76"/>
      <c r="S220" s="76"/>
      <c r="T220" s="76"/>
      <c r="U220" s="76"/>
      <c r="V220" s="76"/>
      <c r="W220" s="76"/>
      <c r="X220" s="76"/>
      <c r="Y220" s="76"/>
      <c r="Z220" s="76"/>
    </row>
    <row r="221">
      <c r="O221" s="76"/>
      <c r="P221" s="76"/>
      <c r="Q221" s="76"/>
      <c r="R221" s="76"/>
      <c r="S221" s="76"/>
      <c r="T221" s="76"/>
      <c r="U221" s="76"/>
      <c r="V221" s="76"/>
      <c r="W221" s="76"/>
      <c r="X221" s="76"/>
      <c r="Y221" s="76"/>
      <c r="Z221" s="76"/>
    </row>
    <row r="222">
      <c r="O222" s="76"/>
      <c r="P222" s="76"/>
      <c r="Q222" s="76"/>
      <c r="R222" s="76"/>
      <c r="S222" s="76"/>
      <c r="T222" s="76"/>
      <c r="U222" s="76"/>
      <c r="V222" s="76"/>
      <c r="W222" s="76"/>
      <c r="X222" s="76"/>
      <c r="Y222" s="76"/>
      <c r="Z222" s="76"/>
    </row>
    <row r="223">
      <c r="O223" s="76"/>
      <c r="P223" s="76"/>
      <c r="Q223" s="76"/>
      <c r="R223" s="76"/>
      <c r="S223" s="76"/>
      <c r="T223" s="76"/>
      <c r="U223" s="76"/>
      <c r="V223" s="76"/>
      <c r="W223" s="76"/>
      <c r="X223" s="76"/>
      <c r="Y223" s="76"/>
      <c r="Z223" s="76"/>
    </row>
    <row r="224">
      <c r="O224" s="76"/>
      <c r="P224" s="76"/>
      <c r="Q224" s="76"/>
      <c r="R224" s="76"/>
      <c r="S224" s="76"/>
      <c r="T224" s="76"/>
      <c r="U224" s="76"/>
      <c r="V224" s="76"/>
      <c r="W224" s="76"/>
      <c r="X224" s="76"/>
      <c r="Y224" s="76"/>
      <c r="Z224" s="76"/>
    </row>
    <row r="225">
      <c r="O225" s="76"/>
      <c r="P225" s="76"/>
      <c r="Q225" s="76"/>
      <c r="R225" s="76"/>
      <c r="S225" s="76"/>
      <c r="T225" s="76"/>
      <c r="U225" s="76"/>
      <c r="V225" s="76"/>
      <c r="W225" s="76"/>
      <c r="X225" s="76"/>
      <c r="Y225" s="76"/>
      <c r="Z225" s="76"/>
    </row>
    <row r="226">
      <c r="O226" s="76"/>
      <c r="P226" s="76"/>
      <c r="Q226" s="76"/>
      <c r="R226" s="76"/>
      <c r="S226" s="76"/>
      <c r="T226" s="76"/>
      <c r="U226" s="76"/>
      <c r="V226" s="76"/>
      <c r="W226" s="76"/>
      <c r="X226" s="76"/>
      <c r="Y226" s="76"/>
      <c r="Z226" s="76"/>
    </row>
    <row r="227">
      <c r="O227" s="76"/>
      <c r="P227" s="76"/>
      <c r="Q227" s="76"/>
      <c r="R227" s="76"/>
      <c r="S227" s="76"/>
      <c r="T227" s="76"/>
      <c r="U227" s="76"/>
      <c r="V227" s="76"/>
      <c r="W227" s="76"/>
      <c r="X227" s="76"/>
      <c r="Y227" s="76"/>
      <c r="Z227" s="76"/>
    </row>
    <row r="228">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row r="1003">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row>
    <row r="1004">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row>
    <row r="1005">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row>
    <row r="1006">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row>
    <row r="1007">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row>
    <row r="1008">
      <c r="A1008" s="76"/>
      <c r="B1008" s="76"/>
      <c r="C1008" s="76"/>
      <c r="D1008" s="76"/>
      <c r="E1008" s="76"/>
      <c r="F1008" s="76"/>
      <c r="G1008" s="76"/>
      <c r="H1008" s="76"/>
      <c r="I1008" s="76"/>
      <c r="J1008" s="76"/>
      <c r="K1008" s="76"/>
      <c r="L1008" s="76"/>
      <c r="M1008" s="76"/>
      <c r="N1008" s="76"/>
      <c r="O1008" s="76"/>
      <c r="P1008" s="76"/>
      <c r="Q1008" s="76"/>
      <c r="R1008" s="76"/>
      <c r="S1008" s="76"/>
      <c r="T1008" s="76"/>
      <c r="U1008" s="76"/>
      <c r="V1008" s="76"/>
      <c r="W1008" s="76"/>
      <c r="X1008" s="76"/>
      <c r="Y1008" s="76"/>
      <c r="Z1008" s="76"/>
    </row>
    <row r="1009">
      <c r="A1009" s="76"/>
      <c r="B1009" s="76"/>
      <c r="C1009" s="76"/>
      <c r="D1009" s="76"/>
      <c r="E1009" s="76"/>
      <c r="F1009" s="76"/>
      <c r="G1009" s="76"/>
      <c r="H1009" s="76"/>
      <c r="I1009" s="76"/>
      <c r="J1009" s="76"/>
      <c r="K1009" s="76"/>
      <c r="L1009" s="76"/>
      <c r="M1009" s="76"/>
      <c r="N1009" s="76"/>
      <c r="O1009" s="76"/>
      <c r="P1009" s="76"/>
      <c r="Q1009" s="76"/>
      <c r="R1009" s="76"/>
      <c r="S1009" s="76"/>
      <c r="T1009" s="76"/>
      <c r="U1009" s="76"/>
      <c r="V1009" s="76"/>
      <c r="W1009" s="76"/>
      <c r="X1009" s="76"/>
      <c r="Y1009" s="76"/>
      <c r="Z1009" s="76"/>
    </row>
    <row r="1010">
      <c r="A1010" s="76"/>
      <c r="B1010" s="76"/>
      <c r="C1010" s="76"/>
      <c r="D1010" s="76"/>
      <c r="E1010" s="76"/>
      <c r="F1010" s="76"/>
      <c r="G1010" s="76"/>
      <c r="H1010" s="76"/>
      <c r="I1010" s="76"/>
      <c r="J1010" s="76"/>
      <c r="K1010" s="76"/>
      <c r="L1010" s="76"/>
      <c r="M1010" s="76"/>
      <c r="N1010" s="76"/>
      <c r="O1010" s="76"/>
      <c r="P1010" s="76"/>
      <c r="Q1010" s="76"/>
      <c r="R1010" s="76"/>
      <c r="S1010" s="76"/>
      <c r="T1010" s="76"/>
      <c r="U1010" s="76"/>
      <c r="V1010" s="76"/>
      <c r="W1010" s="76"/>
      <c r="X1010" s="76"/>
      <c r="Y1010" s="76"/>
      <c r="Z1010" s="76"/>
    </row>
    <row r="1011">
      <c r="A1011" s="76"/>
      <c r="B1011" s="76"/>
      <c r="C1011" s="76"/>
      <c r="D1011" s="76"/>
      <c r="E1011" s="76"/>
      <c r="F1011" s="76"/>
      <c r="G1011" s="76"/>
      <c r="H1011" s="76"/>
      <c r="I1011" s="76"/>
      <c r="J1011" s="76"/>
      <c r="K1011" s="76"/>
      <c r="L1011" s="76"/>
      <c r="M1011" s="76"/>
      <c r="N1011" s="76"/>
      <c r="O1011" s="76"/>
      <c r="P1011" s="76"/>
      <c r="Q1011" s="76"/>
      <c r="R1011" s="76"/>
      <c r="S1011" s="76"/>
      <c r="T1011" s="76"/>
      <c r="U1011" s="76"/>
      <c r="V1011" s="76"/>
      <c r="W1011" s="76"/>
      <c r="X1011" s="76"/>
      <c r="Y1011" s="76"/>
      <c r="Z1011" s="76"/>
    </row>
    <row r="1012">
      <c r="A1012" s="76"/>
      <c r="B1012" s="76"/>
      <c r="C1012" s="76"/>
      <c r="D1012" s="76"/>
      <c r="E1012" s="76"/>
      <c r="F1012" s="76"/>
      <c r="G1012" s="76"/>
      <c r="H1012" s="76"/>
      <c r="I1012" s="76"/>
      <c r="J1012" s="76"/>
      <c r="K1012" s="76"/>
      <c r="L1012" s="76"/>
      <c r="M1012" s="76"/>
      <c r="N1012" s="76"/>
      <c r="O1012" s="76"/>
      <c r="P1012" s="76"/>
      <c r="Q1012" s="76"/>
      <c r="R1012" s="76"/>
      <c r="S1012" s="76"/>
      <c r="T1012" s="76"/>
      <c r="U1012" s="76"/>
      <c r="V1012" s="76"/>
      <c r="W1012" s="76"/>
      <c r="X1012" s="76"/>
      <c r="Y1012" s="76"/>
      <c r="Z1012" s="76"/>
    </row>
    <row r="1013">
      <c r="A1013" s="76"/>
      <c r="B1013" s="76"/>
      <c r="C1013" s="76"/>
      <c r="D1013" s="76"/>
      <c r="E1013" s="76"/>
      <c r="F1013" s="76"/>
      <c r="G1013" s="76"/>
      <c r="H1013" s="76"/>
      <c r="I1013" s="76"/>
      <c r="J1013" s="76"/>
      <c r="K1013" s="76"/>
      <c r="L1013" s="76"/>
      <c r="M1013" s="76"/>
      <c r="N1013" s="76"/>
      <c r="O1013" s="76"/>
      <c r="P1013" s="76"/>
      <c r="Q1013" s="76"/>
      <c r="R1013" s="76"/>
      <c r="S1013" s="76"/>
      <c r="T1013" s="76"/>
      <c r="U1013" s="76"/>
      <c r="V1013" s="76"/>
      <c r="W1013" s="76"/>
      <c r="X1013" s="76"/>
      <c r="Y1013" s="76"/>
      <c r="Z1013" s="76"/>
    </row>
  </sheetData>
  <drawing r:id="rId6"/>
  <legacy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56"/>
    <col customWidth="1" min="2" max="2" width="17.89"/>
    <col customWidth="1" min="3" max="3" width="13.56"/>
    <col customWidth="1" min="4" max="4" width="3.78"/>
    <col customWidth="1" min="5" max="5" width="12.89"/>
    <col customWidth="1" min="6" max="6" width="31.67"/>
    <col customWidth="1" min="7" max="7" width="15.56"/>
    <col customWidth="1" min="9" max="9" width="3.89"/>
    <col customWidth="1" min="10" max="10" width="12.67"/>
    <col customWidth="1" min="11" max="11" width="11.0"/>
    <col customWidth="1" min="12" max="12" width="19.89"/>
    <col customWidth="1" min="13" max="13" width="52.44"/>
    <col customWidth="1" min="17" max="17" width="13.44"/>
    <col customWidth="1" min="18" max="18" width="19.22"/>
    <col customWidth="1" min="19" max="19" width="19.89"/>
    <col customWidth="1" min="20" max="20" width="52.44"/>
    <col customWidth="1" min="22" max="22" width="14.89"/>
  </cols>
  <sheetData>
    <row r="1">
      <c r="A1" s="66"/>
      <c r="B1" s="66"/>
      <c r="C1" s="66"/>
      <c r="D1" s="66"/>
      <c r="E1" s="66"/>
      <c r="F1" s="66"/>
      <c r="G1" s="66"/>
      <c r="H1" s="66"/>
      <c r="I1" s="66"/>
      <c r="J1" s="66"/>
      <c r="K1" s="66"/>
      <c r="L1" s="66"/>
      <c r="M1" s="66"/>
      <c r="N1" s="66"/>
      <c r="O1" s="66"/>
      <c r="P1" s="66"/>
      <c r="Q1" s="66"/>
      <c r="R1" s="66"/>
      <c r="S1" s="66"/>
      <c r="T1" s="66"/>
      <c r="U1" s="66"/>
      <c r="V1" s="66"/>
      <c r="W1" s="66"/>
      <c r="X1" s="66"/>
      <c r="Y1" s="66"/>
      <c r="Z1" s="66"/>
    </row>
    <row r="2">
      <c r="A2" s="93" t="s">
        <v>83</v>
      </c>
      <c r="B2" s="93" t="s">
        <v>89</v>
      </c>
      <c r="C2" s="66" t="s">
        <v>713</v>
      </c>
      <c r="D2" s="66"/>
      <c r="E2" s="93" t="s">
        <v>83</v>
      </c>
      <c r="F2" s="93" t="s">
        <v>84</v>
      </c>
      <c r="G2" s="93" t="s">
        <v>89</v>
      </c>
      <c r="H2" s="66" t="s">
        <v>713</v>
      </c>
      <c r="I2" s="66"/>
      <c r="J2" s="93" t="s">
        <v>83</v>
      </c>
      <c r="K2" s="93" t="s">
        <v>84</v>
      </c>
      <c r="L2" s="93" t="s">
        <v>89</v>
      </c>
      <c r="M2" s="93" t="s">
        <v>86</v>
      </c>
      <c r="N2" s="93" t="s">
        <v>14</v>
      </c>
      <c r="O2" s="66" t="s">
        <v>713</v>
      </c>
      <c r="P2" s="66"/>
      <c r="Q2" s="93" t="s">
        <v>83</v>
      </c>
      <c r="R2" s="93" t="s">
        <v>84</v>
      </c>
      <c r="S2" s="93" t="s">
        <v>89</v>
      </c>
      <c r="T2" s="93" t="s">
        <v>85</v>
      </c>
      <c r="U2" s="93" t="s">
        <v>14</v>
      </c>
      <c r="V2" s="66" t="s">
        <v>713</v>
      </c>
      <c r="W2" s="66"/>
      <c r="X2" s="66"/>
      <c r="Y2" s="66"/>
      <c r="Z2" s="66"/>
    </row>
    <row r="3">
      <c r="A3" s="157" t="s">
        <v>714</v>
      </c>
      <c r="B3" s="158" t="s">
        <v>30</v>
      </c>
      <c r="C3" s="66">
        <v>1.0</v>
      </c>
      <c r="D3" s="66"/>
      <c r="E3" s="157" t="s">
        <v>714</v>
      </c>
      <c r="F3" s="93" t="s">
        <v>104</v>
      </c>
      <c r="G3" s="158" t="s">
        <v>30</v>
      </c>
      <c r="H3" s="66">
        <v>1.0</v>
      </c>
      <c r="I3" s="66"/>
      <c r="J3" s="157" t="s">
        <v>714</v>
      </c>
      <c r="K3" s="93" t="s">
        <v>104</v>
      </c>
      <c r="L3" s="158" t="s">
        <v>30</v>
      </c>
      <c r="M3" s="157" t="s">
        <v>715</v>
      </c>
      <c r="N3" s="158">
        <v>46234.0</v>
      </c>
      <c r="O3" s="66">
        <v>1.0</v>
      </c>
      <c r="P3" s="66"/>
      <c r="Q3" s="157" t="s">
        <v>714</v>
      </c>
      <c r="R3" s="93" t="s">
        <v>104</v>
      </c>
      <c r="S3" s="158" t="s">
        <v>30</v>
      </c>
      <c r="T3" s="157" t="s">
        <v>220</v>
      </c>
      <c r="U3" s="158">
        <v>46234.0</v>
      </c>
      <c r="V3" s="66">
        <v>1.0</v>
      </c>
      <c r="W3" s="66"/>
      <c r="X3" s="66"/>
      <c r="Y3" s="66"/>
      <c r="Z3" s="66"/>
    </row>
    <row r="4">
      <c r="A4" s="66"/>
      <c r="B4" s="158" t="s">
        <v>716</v>
      </c>
      <c r="C4" s="66">
        <v>4.0</v>
      </c>
      <c r="D4" s="66"/>
      <c r="E4" s="66"/>
      <c r="F4" s="66"/>
      <c r="G4" s="158" t="s">
        <v>716</v>
      </c>
      <c r="H4" s="66">
        <v>4.0</v>
      </c>
      <c r="I4" s="66"/>
      <c r="J4" s="66"/>
      <c r="K4" s="66"/>
      <c r="L4" s="66" t="s">
        <v>717</v>
      </c>
      <c r="M4" s="66"/>
      <c r="N4" s="66"/>
      <c r="O4" s="66">
        <v>1.0</v>
      </c>
      <c r="P4" s="66"/>
      <c r="Q4" s="66"/>
      <c r="R4" s="66"/>
      <c r="S4" s="158" t="s">
        <v>716</v>
      </c>
      <c r="T4" s="157" t="s">
        <v>110</v>
      </c>
      <c r="U4" s="93"/>
      <c r="V4" s="66">
        <v>3.0</v>
      </c>
      <c r="W4" s="66"/>
      <c r="X4" s="66"/>
      <c r="Y4" s="66"/>
      <c r="Z4" s="66"/>
    </row>
    <row r="5">
      <c r="A5" s="66"/>
      <c r="B5" s="158" t="s">
        <v>718</v>
      </c>
      <c r="C5" s="66">
        <v>2.0</v>
      </c>
      <c r="D5" s="66"/>
      <c r="E5" s="66"/>
      <c r="F5" s="66"/>
      <c r="G5" s="158" t="s">
        <v>718</v>
      </c>
      <c r="H5" s="66">
        <v>2.0</v>
      </c>
      <c r="I5" s="66"/>
      <c r="J5" s="66"/>
      <c r="K5" s="66"/>
      <c r="L5" s="158" t="s">
        <v>716</v>
      </c>
      <c r="M5" s="157" t="s">
        <v>719</v>
      </c>
      <c r="N5" s="93"/>
      <c r="O5" s="66">
        <v>1.0</v>
      </c>
      <c r="P5" s="66"/>
      <c r="Q5" s="66"/>
      <c r="R5" s="66"/>
      <c r="S5" s="66"/>
      <c r="T5" s="157" t="s">
        <v>720</v>
      </c>
      <c r="U5" s="158"/>
      <c r="V5" s="66">
        <v>1.0</v>
      </c>
      <c r="W5" s="66"/>
      <c r="X5" s="66"/>
      <c r="Y5" s="66"/>
      <c r="Z5" s="66"/>
    </row>
    <row r="6">
      <c r="A6" s="66"/>
      <c r="B6" s="158" t="s">
        <v>721</v>
      </c>
      <c r="C6" s="66">
        <v>246.0</v>
      </c>
      <c r="D6" s="66"/>
      <c r="E6" s="66"/>
      <c r="F6" s="66"/>
      <c r="G6" s="158" t="s">
        <v>721</v>
      </c>
      <c r="H6" s="66">
        <v>229.0</v>
      </c>
      <c r="I6" s="66"/>
      <c r="J6" s="66"/>
      <c r="K6" s="66"/>
      <c r="L6" s="66"/>
      <c r="M6" s="157" t="s">
        <v>722</v>
      </c>
      <c r="N6" s="93"/>
      <c r="O6" s="66">
        <v>1.0</v>
      </c>
      <c r="P6" s="66"/>
      <c r="Q6" s="66"/>
      <c r="R6" s="66"/>
      <c r="S6" s="158" t="s">
        <v>718</v>
      </c>
      <c r="T6" s="157" t="s">
        <v>723</v>
      </c>
      <c r="U6" s="158">
        <v>46203.0</v>
      </c>
      <c r="V6" s="66">
        <v>2.0</v>
      </c>
      <c r="W6" s="66"/>
      <c r="X6" s="66"/>
      <c r="Y6" s="66"/>
      <c r="Z6" s="66"/>
    </row>
    <row r="7">
      <c r="A7" s="66"/>
      <c r="B7" s="158" t="s">
        <v>724</v>
      </c>
      <c r="C7" s="66">
        <v>11.0</v>
      </c>
      <c r="D7" s="66"/>
      <c r="E7" s="66"/>
      <c r="F7" s="66"/>
      <c r="G7" s="158" t="s">
        <v>724</v>
      </c>
      <c r="H7" s="66">
        <v>5.0</v>
      </c>
      <c r="I7" s="66"/>
      <c r="J7" s="66"/>
      <c r="K7" s="66"/>
      <c r="L7" s="66"/>
      <c r="M7" s="157" t="s">
        <v>725</v>
      </c>
      <c r="N7" s="93"/>
      <c r="O7" s="66">
        <v>1.0</v>
      </c>
      <c r="P7" s="66"/>
      <c r="Q7" s="66"/>
      <c r="R7" s="66"/>
      <c r="S7" s="158" t="s">
        <v>721</v>
      </c>
      <c r="T7" s="66" t="s">
        <v>726</v>
      </c>
      <c r="U7" s="158">
        <v>46142.0</v>
      </c>
      <c r="V7" s="66">
        <v>11.0</v>
      </c>
      <c r="W7" s="66"/>
      <c r="X7" s="66"/>
      <c r="Y7" s="66"/>
      <c r="Z7" s="66"/>
    </row>
    <row r="8">
      <c r="A8" s="66" t="s">
        <v>727</v>
      </c>
      <c r="B8" s="66"/>
      <c r="C8" s="66">
        <v>264.0</v>
      </c>
      <c r="D8" s="66"/>
      <c r="E8" s="66"/>
      <c r="F8" s="93" t="s">
        <v>265</v>
      </c>
      <c r="G8" s="158" t="s">
        <v>721</v>
      </c>
      <c r="H8" s="66">
        <v>17.0</v>
      </c>
      <c r="I8" s="66"/>
      <c r="J8" s="66"/>
      <c r="K8" s="66"/>
      <c r="L8" s="66"/>
      <c r="M8" s="157" t="s">
        <v>728</v>
      </c>
      <c r="N8" s="158"/>
      <c r="O8" s="66">
        <v>1.0</v>
      </c>
      <c r="P8" s="66"/>
      <c r="Q8" s="66"/>
      <c r="R8" s="66"/>
      <c r="S8" s="66"/>
      <c r="T8" s="157" t="s">
        <v>729</v>
      </c>
      <c r="U8" s="158">
        <v>46112.0</v>
      </c>
      <c r="V8" s="66">
        <v>14.0</v>
      </c>
      <c r="W8" s="66"/>
      <c r="X8" s="66"/>
      <c r="Y8" s="66"/>
      <c r="Z8" s="66"/>
    </row>
    <row r="9">
      <c r="A9" s="66" t="s">
        <v>99</v>
      </c>
      <c r="B9" s="158" t="s">
        <v>30</v>
      </c>
      <c r="C9" s="66">
        <v>445.0</v>
      </c>
      <c r="D9" s="66"/>
      <c r="E9" s="66"/>
      <c r="F9" s="93" t="s">
        <v>730</v>
      </c>
      <c r="G9" s="158" t="s">
        <v>724</v>
      </c>
      <c r="H9" s="66">
        <v>6.0</v>
      </c>
      <c r="I9" s="66"/>
      <c r="J9" s="66"/>
      <c r="K9" s="66"/>
      <c r="L9" s="66" t="s">
        <v>731</v>
      </c>
      <c r="M9" s="66"/>
      <c r="N9" s="66"/>
      <c r="O9" s="66">
        <v>4.0</v>
      </c>
      <c r="P9" s="66"/>
      <c r="Q9" s="66"/>
      <c r="R9" s="66"/>
      <c r="S9" s="66"/>
      <c r="T9" s="66"/>
      <c r="U9" s="158">
        <v>46142.0</v>
      </c>
      <c r="V9" s="66">
        <v>2.0</v>
      </c>
      <c r="W9" s="66"/>
      <c r="X9" s="66"/>
      <c r="Y9" s="66"/>
      <c r="Z9" s="66"/>
    </row>
    <row r="10">
      <c r="A10" s="66"/>
      <c r="B10" s="158" t="s">
        <v>716</v>
      </c>
      <c r="C10" s="66">
        <v>2.0</v>
      </c>
      <c r="D10" s="66"/>
      <c r="E10" s="66" t="s">
        <v>727</v>
      </c>
      <c r="F10" s="66"/>
      <c r="G10" s="66"/>
      <c r="H10" s="66">
        <v>264.0</v>
      </c>
      <c r="I10" s="66"/>
      <c r="J10" s="66"/>
      <c r="K10" s="66"/>
      <c r="L10" s="158" t="s">
        <v>718</v>
      </c>
      <c r="M10" s="157" t="s">
        <v>186</v>
      </c>
      <c r="N10" s="158">
        <v>46203.0</v>
      </c>
      <c r="O10" s="66">
        <v>1.0</v>
      </c>
      <c r="P10" s="66"/>
      <c r="Q10" s="66"/>
      <c r="R10" s="66"/>
      <c r="S10" s="66"/>
      <c r="T10" s="157" t="s">
        <v>732</v>
      </c>
      <c r="U10" s="158">
        <v>46165.0</v>
      </c>
      <c r="V10" s="66">
        <v>28.0</v>
      </c>
      <c r="W10" s="66"/>
      <c r="X10" s="66"/>
      <c r="Y10" s="66"/>
      <c r="Z10" s="66"/>
    </row>
    <row r="11">
      <c r="A11" s="66"/>
      <c r="B11" s="158" t="s">
        <v>718</v>
      </c>
      <c r="C11" s="66">
        <v>43.0</v>
      </c>
      <c r="D11" s="66"/>
      <c r="E11" s="66" t="s">
        <v>99</v>
      </c>
      <c r="F11" s="66" t="s">
        <v>664</v>
      </c>
      <c r="G11" s="158" t="s">
        <v>718</v>
      </c>
      <c r="H11" s="66">
        <v>8.0</v>
      </c>
      <c r="I11" s="66"/>
      <c r="J11" s="66"/>
      <c r="K11" s="66"/>
      <c r="L11" s="66"/>
      <c r="M11" s="157" t="s">
        <v>199</v>
      </c>
      <c r="N11" s="158">
        <v>46203.0</v>
      </c>
      <c r="O11" s="66">
        <v>1.0</v>
      </c>
      <c r="P11" s="66"/>
      <c r="Q11" s="66"/>
      <c r="R11" s="66"/>
      <c r="S11" s="66"/>
      <c r="T11" s="157" t="s">
        <v>733</v>
      </c>
      <c r="U11" s="158">
        <v>46127.0</v>
      </c>
      <c r="V11" s="66">
        <v>6.0</v>
      </c>
      <c r="W11" s="66"/>
      <c r="X11" s="66"/>
      <c r="Y11" s="66"/>
      <c r="Z11" s="66"/>
    </row>
    <row r="12">
      <c r="A12" s="66"/>
      <c r="B12" s="158" t="s">
        <v>721</v>
      </c>
      <c r="C12" s="66">
        <v>17.0</v>
      </c>
      <c r="D12" s="66"/>
      <c r="E12" s="66"/>
      <c r="F12" s="66" t="s">
        <v>673</v>
      </c>
      <c r="G12" s="158" t="s">
        <v>30</v>
      </c>
      <c r="H12" s="66">
        <v>3.0</v>
      </c>
      <c r="I12" s="66"/>
      <c r="J12" s="66"/>
      <c r="K12" s="66"/>
      <c r="L12" s="66" t="s">
        <v>734</v>
      </c>
      <c r="M12" s="66"/>
      <c r="N12" s="66"/>
      <c r="O12" s="66">
        <v>2.0</v>
      </c>
      <c r="P12" s="66"/>
      <c r="Q12" s="66"/>
      <c r="R12" s="66"/>
      <c r="S12" s="66"/>
      <c r="T12" s="157" t="s">
        <v>735</v>
      </c>
      <c r="U12" s="158">
        <v>46127.0</v>
      </c>
      <c r="V12" s="66">
        <v>5.0</v>
      </c>
      <c r="W12" s="66"/>
      <c r="X12" s="66"/>
      <c r="Y12" s="66"/>
      <c r="Z12" s="66"/>
    </row>
    <row r="13">
      <c r="A13" s="66" t="s">
        <v>736</v>
      </c>
      <c r="B13" s="66"/>
      <c r="C13" s="66">
        <v>507.0</v>
      </c>
      <c r="D13" s="66"/>
      <c r="E13" s="66"/>
      <c r="F13" s="66" t="s">
        <v>677</v>
      </c>
      <c r="G13" s="158" t="s">
        <v>30</v>
      </c>
      <c r="H13" s="66">
        <v>6.0</v>
      </c>
      <c r="I13" s="66"/>
      <c r="J13" s="66"/>
      <c r="K13" s="66"/>
      <c r="L13" s="158" t="s">
        <v>721</v>
      </c>
      <c r="M13" s="157" t="s">
        <v>737</v>
      </c>
      <c r="N13" s="158">
        <v>46142.0</v>
      </c>
      <c r="O13" s="66">
        <v>1.0</v>
      </c>
      <c r="P13" s="66"/>
      <c r="Q13" s="66"/>
      <c r="R13" s="66"/>
      <c r="S13" s="66"/>
      <c r="T13" s="66"/>
      <c r="U13" s="158">
        <v>46165.0</v>
      </c>
      <c r="V13" s="66">
        <v>19.0</v>
      </c>
      <c r="W13" s="66"/>
      <c r="X13" s="66"/>
      <c r="Y13" s="66"/>
      <c r="Z13" s="66"/>
    </row>
    <row r="14">
      <c r="A14" s="66" t="s">
        <v>699</v>
      </c>
      <c r="B14" s="66"/>
      <c r="C14" s="66">
        <v>771.0</v>
      </c>
      <c r="D14" s="66"/>
      <c r="E14" s="66"/>
      <c r="F14" s="66" t="s">
        <v>306</v>
      </c>
      <c r="G14" s="158" t="s">
        <v>30</v>
      </c>
      <c r="H14" s="66">
        <v>181.0</v>
      </c>
      <c r="I14" s="66"/>
      <c r="J14" s="66"/>
      <c r="K14" s="66"/>
      <c r="L14" s="66"/>
      <c r="M14" s="157" t="s">
        <v>738</v>
      </c>
      <c r="N14" s="158">
        <v>46068.0</v>
      </c>
      <c r="O14" s="66">
        <v>1.0</v>
      </c>
      <c r="P14" s="66"/>
      <c r="Q14" s="66"/>
      <c r="R14" s="66"/>
      <c r="S14" s="66"/>
      <c r="T14" s="157" t="s">
        <v>211</v>
      </c>
      <c r="U14" s="158">
        <v>46081.0</v>
      </c>
      <c r="V14" s="66">
        <v>4.0</v>
      </c>
      <c r="W14" s="66"/>
      <c r="X14" s="66"/>
      <c r="Y14" s="66"/>
      <c r="Z14" s="66"/>
    </row>
    <row r="15">
      <c r="A15" s="66"/>
      <c r="B15" s="66"/>
      <c r="C15" s="66"/>
      <c r="D15" s="66"/>
      <c r="E15" s="66"/>
      <c r="F15" s="66" t="s">
        <v>104</v>
      </c>
      <c r="G15" s="158" t="s">
        <v>30</v>
      </c>
      <c r="H15" s="66">
        <v>119.0</v>
      </c>
      <c r="I15" s="66"/>
      <c r="J15" s="66"/>
      <c r="K15" s="66"/>
      <c r="L15" s="66"/>
      <c r="M15" s="157" t="s">
        <v>739</v>
      </c>
      <c r="N15" s="158">
        <v>46068.0</v>
      </c>
      <c r="O15" s="66">
        <v>1.0</v>
      </c>
      <c r="P15" s="66"/>
      <c r="Q15" s="66"/>
      <c r="R15" s="66"/>
      <c r="S15" s="66"/>
      <c r="T15" s="66"/>
      <c r="U15" s="158">
        <v>46096.0</v>
      </c>
      <c r="V15" s="66">
        <v>5.0</v>
      </c>
      <c r="W15" s="66"/>
      <c r="X15" s="66"/>
      <c r="Y15" s="66"/>
      <c r="Z15" s="66"/>
    </row>
    <row r="16">
      <c r="F16" s="66" t="s">
        <v>100</v>
      </c>
      <c r="G16" s="158" t="s">
        <v>30</v>
      </c>
      <c r="H16" s="66">
        <v>3.0</v>
      </c>
      <c r="I16" s="66"/>
      <c r="J16" s="66"/>
      <c r="K16" s="66"/>
      <c r="L16" s="66"/>
      <c r="M16" s="157" t="s">
        <v>740</v>
      </c>
      <c r="N16" s="158">
        <v>46142.0</v>
      </c>
      <c r="O16" s="66">
        <v>1.0</v>
      </c>
      <c r="P16" s="66"/>
      <c r="Q16" s="66"/>
      <c r="R16" s="66"/>
      <c r="S16" s="66"/>
      <c r="T16" s="66"/>
      <c r="U16" s="158">
        <v>46112.0</v>
      </c>
      <c r="V16" s="66">
        <v>1.0</v>
      </c>
      <c r="W16" s="66"/>
      <c r="X16" s="66"/>
      <c r="Y16" s="66"/>
      <c r="Z16" s="66"/>
    </row>
    <row r="17">
      <c r="F17" s="66" t="s">
        <v>511</v>
      </c>
      <c r="G17" s="158" t="s">
        <v>721</v>
      </c>
      <c r="H17" s="66">
        <v>17.0</v>
      </c>
      <c r="I17" s="66"/>
      <c r="J17" s="66"/>
      <c r="K17" s="66"/>
      <c r="L17" s="66"/>
      <c r="M17" s="157" t="s">
        <v>245</v>
      </c>
      <c r="N17" s="158">
        <v>46165.0</v>
      </c>
      <c r="O17" s="66">
        <v>1.0</v>
      </c>
      <c r="P17" s="66"/>
      <c r="Q17" s="66"/>
      <c r="R17" s="66"/>
      <c r="S17" s="66"/>
      <c r="T17" s="66"/>
      <c r="U17" s="158">
        <v>46157.0</v>
      </c>
      <c r="V17" s="66">
        <v>3.0</v>
      </c>
      <c r="W17" s="66"/>
      <c r="X17" s="66"/>
      <c r="Y17" s="66"/>
      <c r="Z17" s="66"/>
    </row>
    <row r="18">
      <c r="F18" s="66" t="s">
        <v>532</v>
      </c>
      <c r="G18" s="158" t="s">
        <v>718</v>
      </c>
      <c r="H18" s="66">
        <v>35.0</v>
      </c>
      <c r="I18" s="66"/>
      <c r="J18" s="66"/>
      <c r="K18" s="66"/>
      <c r="L18" s="66"/>
      <c r="M18" s="157" t="s">
        <v>741</v>
      </c>
      <c r="N18" s="158">
        <v>46165.0</v>
      </c>
      <c r="O18" s="66">
        <v>1.0</v>
      </c>
      <c r="P18" s="66"/>
      <c r="Q18" s="66"/>
      <c r="R18" s="66"/>
      <c r="S18" s="66"/>
      <c r="T18" s="157" t="s">
        <v>110</v>
      </c>
      <c r="U18" s="158">
        <v>46068.0</v>
      </c>
      <c r="V18" s="66">
        <v>2.0</v>
      </c>
      <c r="W18" s="66"/>
      <c r="X18" s="66"/>
      <c r="Y18" s="66"/>
      <c r="Z18" s="66"/>
    </row>
    <row r="19">
      <c r="F19" s="66" t="s">
        <v>568</v>
      </c>
      <c r="G19" s="158" t="s">
        <v>30</v>
      </c>
      <c r="H19" s="66">
        <v>96.0</v>
      </c>
      <c r="I19" s="66"/>
      <c r="J19" s="66"/>
      <c r="K19" s="66"/>
      <c r="L19" s="66"/>
      <c r="M19" s="157" t="s">
        <v>742</v>
      </c>
      <c r="N19" s="158">
        <v>46165.0</v>
      </c>
      <c r="O19" s="66">
        <v>1.0</v>
      </c>
      <c r="P19" s="66"/>
      <c r="Q19" s="66"/>
      <c r="R19" s="66"/>
      <c r="S19" s="66"/>
      <c r="T19" s="157" t="s">
        <v>220</v>
      </c>
      <c r="U19" s="158">
        <v>46142.0</v>
      </c>
      <c r="V19" s="66">
        <v>14.0</v>
      </c>
      <c r="W19" s="66"/>
      <c r="X19" s="66"/>
      <c r="Y19" s="66"/>
      <c r="Z19" s="66"/>
    </row>
    <row r="20">
      <c r="F20" s="66" t="s">
        <v>279</v>
      </c>
      <c r="G20" s="158" t="s">
        <v>30</v>
      </c>
      <c r="H20" s="66">
        <v>26.0</v>
      </c>
      <c r="I20" s="66"/>
      <c r="J20" s="66"/>
      <c r="K20" s="66"/>
      <c r="L20" s="66"/>
      <c r="M20" s="157" t="s">
        <v>743</v>
      </c>
      <c r="N20" s="158">
        <v>46165.0</v>
      </c>
      <c r="O20" s="66">
        <v>1.0</v>
      </c>
      <c r="P20" s="66"/>
      <c r="Q20" s="66"/>
      <c r="R20" s="66"/>
      <c r="S20" s="66"/>
      <c r="T20" s="157" t="s">
        <v>720</v>
      </c>
      <c r="U20" s="158">
        <v>46142.0</v>
      </c>
      <c r="V20" s="66">
        <v>5.0</v>
      </c>
      <c r="W20" s="66"/>
      <c r="X20" s="66"/>
      <c r="Y20" s="66"/>
      <c r="Z20" s="66"/>
    </row>
    <row r="21">
      <c r="F21" s="66" t="s">
        <v>265</v>
      </c>
      <c r="G21" s="158" t="s">
        <v>30</v>
      </c>
      <c r="H21" s="66">
        <v>11.0</v>
      </c>
      <c r="I21" s="66"/>
      <c r="J21" s="66"/>
      <c r="K21" s="66"/>
      <c r="L21" s="66"/>
      <c r="M21" s="157" t="s">
        <v>744</v>
      </c>
      <c r="N21" s="158">
        <v>46165.0</v>
      </c>
      <c r="O21" s="66">
        <v>1.0</v>
      </c>
      <c r="P21" s="66"/>
      <c r="Q21" s="66"/>
      <c r="R21" s="66"/>
      <c r="S21" s="66"/>
      <c r="T21" s="66"/>
      <c r="U21" s="158">
        <v>46165.0</v>
      </c>
      <c r="V21" s="66">
        <v>81.0</v>
      </c>
      <c r="W21" s="66"/>
      <c r="X21" s="66"/>
      <c r="Y21" s="66"/>
      <c r="Z21" s="66"/>
    </row>
    <row r="22">
      <c r="F22" s="66"/>
      <c r="G22" s="158" t="s">
        <v>716</v>
      </c>
      <c r="H22" s="66">
        <v>2.0</v>
      </c>
      <c r="I22" s="66"/>
      <c r="J22" s="66"/>
      <c r="K22" s="66"/>
      <c r="L22" s="66"/>
      <c r="M22" s="157" t="s">
        <v>745</v>
      </c>
      <c r="N22" s="158">
        <v>46165.0</v>
      </c>
      <c r="O22" s="66">
        <v>1.0</v>
      </c>
      <c r="P22" s="66"/>
      <c r="Q22" s="66"/>
      <c r="R22" s="66"/>
      <c r="S22" s="66"/>
      <c r="T22" s="157" t="s">
        <v>746</v>
      </c>
      <c r="U22" s="158">
        <v>46112.0</v>
      </c>
      <c r="V22" s="66">
        <v>1.0</v>
      </c>
      <c r="W22" s="66"/>
      <c r="X22" s="66"/>
      <c r="Y22" s="66"/>
      <c r="Z22" s="66"/>
    </row>
    <row r="23">
      <c r="F23" s="66"/>
      <c r="G23" s="66"/>
      <c r="H23" s="66">
        <v>507.0</v>
      </c>
      <c r="I23" s="66"/>
      <c r="J23" s="66"/>
      <c r="K23" s="66"/>
      <c r="L23" s="66"/>
      <c r="M23" s="157" t="s">
        <v>747</v>
      </c>
      <c r="N23" s="158">
        <v>46165.0</v>
      </c>
      <c r="O23" s="66">
        <v>1.0</v>
      </c>
      <c r="P23" s="66"/>
      <c r="Q23" s="66"/>
      <c r="R23" s="66"/>
      <c r="S23" s="66"/>
      <c r="T23" s="66"/>
      <c r="U23" s="158">
        <v>46142.0</v>
      </c>
      <c r="V23" s="66">
        <v>2.0</v>
      </c>
      <c r="W23" s="66"/>
      <c r="X23" s="66"/>
      <c r="Y23" s="66"/>
      <c r="Z23" s="66"/>
    </row>
    <row r="24">
      <c r="A24" s="66"/>
      <c r="B24" s="66"/>
      <c r="C24" s="66"/>
      <c r="D24" s="66"/>
      <c r="E24" s="66" t="s">
        <v>699</v>
      </c>
      <c r="F24" s="66"/>
      <c r="G24" s="66"/>
      <c r="H24" s="66">
        <v>771.0</v>
      </c>
      <c r="I24" s="66"/>
      <c r="J24" s="66"/>
      <c r="K24" s="66"/>
      <c r="L24" s="66"/>
      <c r="M24" s="157" t="s">
        <v>748</v>
      </c>
      <c r="N24" s="158">
        <v>46165.0</v>
      </c>
      <c r="O24" s="66">
        <v>1.0</v>
      </c>
      <c r="P24" s="66"/>
      <c r="Q24" s="66"/>
      <c r="R24" s="66"/>
      <c r="S24" s="66"/>
      <c r="T24" s="157" t="s">
        <v>105</v>
      </c>
      <c r="U24" s="158">
        <v>46142.0</v>
      </c>
      <c r="V24" s="66">
        <v>2.0</v>
      </c>
      <c r="W24" s="66"/>
      <c r="X24" s="66"/>
      <c r="Y24" s="66"/>
      <c r="Z24" s="66"/>
    </row>
    <row r="25">
      <c r="A25" s="66"/>
      <c r="B25" s="66"/>
      <c r="C25" s="66"/>
      <c r="D25" s="66"/>
      <c r="E25" s="66"/>
      <c r="F25" s="66"/>
      <c r="G25" s="66"/>
      <c r="H25" s="66"/>
      <c r="I25" s="66"/>
      <c r="J25" s="66"/>
      <c r="K25" s="66"/>
      <c r="L25" s="66"/>
      <c r="M25" s="157" t="s">
        <v>481</v>
      </c>
      <c r="N25" s="158">
        <v>46165.0</v>
      </c>
      <c r="O25" s="66">
        <v>1.0</v>
      </c>
      <c r="P25" s="66"/>
      <c r="Q25" s="66"/>
      <c r="R25" s="66"/>
      <c r="S25" s="66"/>
      <c r="T25" s="157" t="s">
        <v>749</v>
      </c>
      <c r="U25" s="158">
        <v>46142.0</v>
      </c>
      <c r="V25" s="66">
        <v>7.0</v>
      </c>
      <c r="W25" s="66"/>
      <c r="X25" s="66"/>
      <c r="Y25" s="66"/>
      <c r="Z25" s="66"/>
    </row>
    <row r="26">
      <c r="A26" s="66"/>
      <c r="B26" s="66"/>
      <c r="C26" s="66"/>
      <c r="D26" s="66"/>
      <c r="E26" s="66"/>
      <c r="F26" s="66"/>
      <c r="G26" s="66"/>
      <c r="H26" s="66"/>
      <c r="I26" s="66"/>
      <c r="J26" s="66"/>
      <c r="K26" s="66"/>
      <c r="L26" s="66"/>
      <c r="M26" s="157" t="s">
        <v>750</v>
      </c>
      <c r="N26" s="158">
        <v>46165.0</v>
      </c>
      <c r="O26" s="66">
        <v>1.0</v>
      </c>
      <c r="P26" s="66"/>
      <c r="Q26" s="66"/>
      <c r="R26" s="66"/>
      <c r="S26" s="66"/>
      <c r="T26" s="157" t="s">
        <v>723</v>
      </c>
      <c r="U26" s="158">
        <v>46068.0</v>
      </c>
      <c r="V26" s="66">
        <v>1.0</v>
      </c>
      <c r="W26" s="66"/>
      <c r="X26" s="66"/>
      <c r="Y26" s="66"/>
      <c r="Z26" s="66"/>
    </row>
    <row r="27">
      <c r="A27" s="66"/>
      <c r="B27" s="66"/>
      <c r="C27" s="66"/>
      <c r="D27" s="66"/>
      <c r="E27" s="66"/>
      <c r="F27" s="66"/>
      <c r="G27" s="66"/>
      <c r="H27" s="66"/>
      <c r="I27" s="66"/>
      <c r="J27" s="66"/>
      <c r="K27" s="66"/>
      <c r="L27" s="66"/>
      <c r="M27" s="157" t="s">
        <v>751</v>
      </c>
      <c r="N27" s="158">
        <v>46165.0</v>
      </c>
      <c r="O27" s="66">
        <v>1.0</v>
      </c>
      <c r="P27" s="66"/>
      <c r="Q27" s="66"/>
      <c r="R27" s="66"/>
      <c r="S27" s="66"/>
      <c r="T27" s="66"/>
      <c r="U27" s="158">
        <v>46119.0</v>
      </c>
      <c r="V27" s="66">
        <v>2.0</v>
      </c>
      <c r="W27" s="66"/>
      <c r="X27" s="66"/>
      <c r="Y27" s="66"/>
      <c r="Z27" s="66"/>
    </row>
    <row r="28">
      <c r="A28" s="66"/>
      <c r="B28" s="66"/>
      <c r="C28" s="66"/>
      <c r="D28" s="66"/>
      <c r="E28" s="66"/>
      <c r="F28" s="66"/>
      <c r="G28" s="66"/>
      <c r="H28" s="66"/>
      <c r="I28" s="66"/>
      <c r="J28" s="66"/>
      <c r="K28" s="66"/>
      <c r="L28" s="66"/>
      <c r="M28" s="157" t="s">
        <v>752</v>
      </c>
      <c r="N28" s="158">
        <v>46165.0</v>
      </c>
      <c r="O28" s="66">
        <v>1.0</v>
      </c>
      <c r="P28" s="66"/>
      <c r="Q28" s="66"/>
      <c r="R28" s="66"/>
      <c r="S28" s="66"/>
      <c r="T28" s="66"/>
      <c r="U28" s="158">
        <v>46142.0</v>
      </c>
      <c r="V28" s="66">
        <v>1.0</v>
      </c>
      <c r="W28" s="66"/>
      <c r="X28" s="66"/>
      <c r="Y28" s="66"/>
      <c r="Z28" s="66"/>
    </row>
    <row r="29">
      <c r="A29" s="66"/>
      <c r="B29" s="66"/>
      <c r="C29" s="66"/>
      <c r="D29" s="66"/>
      <c r="E29" s="66"/>
      <c r="F29" s="66"/>
      <c r="G29" s="66"/>
      <c r="H29" s="66"/>
      <c r="I29" s="66"/>
      <c r="J29" s="66"/>
      <c r="K29" s="66"/>
      <c r="L29" s="66"/>
      <c r="M29" s="157" t="s">
        <v>753</v>
      </c>
      <c r="N29" s="158">
        <v>46157.0</v>
      </c>
      <c r="O29" s="66">
        <v>1.0</v>
      </c>
      <c r="P29" s="66"/>
      <c r="Q29" s="66"/>
      <c r="R29" s="66"/>
      <c r="S29" s="66"/>
      <c r="T29" s="66"/>
      <c r="U29" s="158">
        <v>46165.0</v>
      </c>
      <c r="V29" s="66">
        <v>3.0</v>
      </c>
      <c r="W29" s="66"/>
      <c r="X29" s="66"/>
      <c r="Y29" s="66"/>
      <c r="Z29" s="66"/>
    </row>
    <row r="30">
      <c r="A30" s="66"/>
      <c r="B30" s="66"/>
      <c r="C30" s="66"/>
      <c r="D30" s="66"/>
      <c r="E30" s="66"/>
      <c r="F30" s="66"/>
      <c r="G30" s="66"/>
      <c r="H30" s="66"/>
      <c r="I30" s="66"/>
      <c r="J30" s="66"/>
      <c r="K30" s="66"/>
      <c r="L30" s="66"/>
      <c r="M30" s="157" t="s">
        <v>754</v>
      </c>
      <c r="N30" s="158">
        <v>46112.0</v>
      </c>
      <c r="O30" s="66">
        <v>1.0</v>
      </c>
      <c r="P30" s="66"/>
      <c r="Q30" s="66"/>
      <c r="R30" s="66"/>
      <c r="S30" s="66"/>
      <c r="T30" s="157" t="s">
        <v>755</v>
      </c>
      <c r="U30" s="158">
        <v>46157.0</v>
      </c>
      <c r="V30" s="66">
        <v>10.0</v>
      </c>
      <c r="W30" s="66"/>
      <c r="X30" s="66"/>
      <c r="Y30" s="66"/>
      <c r="Z30" s="66"/>
    </row>
    <row r="31">
      <c r="A31" s="66"/>
      <c r="B31" s="66"/>
      <c r="C31" s="66"/>
      <c r="D31" s="66"/>
      <c r="E31" s="66"/>
      <c r="F31" s="66"/>
      <c r="G31" s="66"/>
      <c r="H31" s="66"/>
      <c r="I31" s="66"/>
      <c r="J31" s="66"/>
      <c r="K31" s="66"/>
      <c r="L31" s="66"/>
      <c r="M31" s="157" t="s">
        <v>756</v>
      </c>
      <c r="N31" s="158">
        <v>46112.0</v>
      </c>
      <c r="O31" s="66">
        <v>1.0</v>
      </c>
      <c r="P31" s="66"/>
      <c r="Q31" s="66"/>
      <c r="R31" s="66"/>
      <c r="S31" s="158" t="s">
        <v>724</v>
      </c>
      <c r="T31" s="157" t="s">
        <v>729</v>
      </c>
      <c r="U31" s="158">
        <v>46173.0</v>
      </c>
      <c r="V31" s="66">
        <v>2.0</v>
      </c>
      <c r="W31" s="66"/>
      <c r="X31" s="66"/>
      <c r="Y31" s="66"/>
      <c r="Z31" s="66"/>
    </row>
    <row r="32">
      <c r="A32" s="66"/>
      <c r="B32" s="66"/>
      <c r="C32" s="66"/>
      <c r="D32" s="66"/>
      <c r="E32" s="66"/>
      <c r="F32" s="66"/>
      <c r="G32" s="66"/>
      <c r="H32" s="66"/>
      <c r="I32" s="66"/>
      <c r="J32" s="66"/>
      <c r="K32" s="66"/>
      <c r="L32" s="66"/>
      <c r="M32" s="157" t="s">
        <v>757</v>
      </c>
      <c r="N32" s="158">
        <v>46127.0</v>
      </c>
      <c r="O32" s="66">
        <v>1.0</v>
      </c>
      <c r="P32" s="66"/>
      <c r="Q32" s="66"/>
      <c r="R32" s="66"/>
      <c r="S32" s="66"/>
      <c r="T32" s="157" t="s">
        <v>211</v>
      </c>
      <c r="U32" s="158">
        <v>46172.0</v>
      </c>
      <c r="V32" s="66">
        <v>1.0</v>
      </c>
      <c r="W32" s="66"/>
      <c r="X32" s="66"/>
      <c r="Y32" s="66"/>
      <c r="Z32" s="66"/>
    </row>
    <row r="33">
      <c r="A33" s="66"/>
      <c r="B33" s="66"/>
      <c r="C33" s="66"/>
      <c r="D33" s="66"/>
      <c r="E33" s="66"/>
      <c r="F33" s="66"/>
      <c r="G33" s="66"/>
      <c r="H33" s="66"/>
      <c r="I33" s="66"/>
      <c r="J33" s="66"/>
      <c r="K33" s="66"/>
      <c r="L33" s="66"/>
      <c r="M33" s="157" t="s">
        <v>758</v>
      </c>
      <c r="N33" s="158">
        <v>46127.0</v>
      </c>
      <c r="O33" s="66">
        <v>1.0</v>
      </c>
      <c r="P33" s="66"/>
      <c r="Q33" s="66"/>
      <c r="R33" s="66"/>
      <c r="S33" s="66"/>
      <c r="T33" s="157" t="s">
        <v>749</v>
      </c>
      <c r="U33" s="158">
        <v>46173.0</v>
      </c>
      <c r="V33" s="66">
        <v>1.0</v>
      </c>
      <c r="W33" s="66"/>
      <c r="X33" s="66"/>
      <c r="Y33" s="66"/>
      <c r="Z33" s="66"/>
    </row>
    <row r="34">
      <c r="A34" s="66"/>
      <c r="B34" s="66"/>
      <c r="C34" s="66"/>
      <c r="D34" s="66"/>
      <c r="E34" s="66"/>
      <c r="F34" s="66"/>
      <c r="G34" s="66"/>
      <c r="H34" s="66"/>
      <c r="I34" s="66"/>
      <c r="J34" s="66"/>
      <c r="K34" s="66"/>
      <c r="L34" s="66"/>
      <c r="M34" s="157" t="s">
        <v>759</v>
      </c>
      <c r="N34" s="158">
        <v>46127.0</v>
      </c>
      <c r="O34" s="66">
        <v>1.0</v>
      </c>
      <c r="P34" s="66"/>
      <c r="Q34" s="66"/>
      <c r="R34" s="66"/>
      <c r="S34" s="66"/>
      <c r="T34" s="157" t="s">
        <v>723</v>
      </c>
      <c r="U34" s="158">
        <v>46173.0</v>
      </c>
      <c r="V34" s="66">
        <v>1.0</v>
      </c>
      <c r="W34" s="66"/>
      <c r="X34" s="66"/>
      <c r="Y34" s="66"/>
      <c r="Z34" s="66"/>
    </row>
    <row r="35">
      <c r="A35" s="66"/>
      <c r="B35" s="66"/>
      <c r="C35" s="66"/>
      <c r="D35" s="66"/>
      <c r="E35" s="66"/>
      <c r="F35" s="66"/>
      <c r="G35" s="66"/>
      <c r="H35" s="66"/>
      <c r="I35" s="66"/>
      <c r="J35" s="66"/>
      <c r="K35" s="66"/>
      <c r="L35" s="66"/>
      <c r="M35" s="157" t="s">
        <v>760</v>
      </c>
      <c r="N35" s="158">
        <v>46127.0</v>
      </c>
      <c r="O35" s="66">
        <v>1.0</v>
      </c>
      <c r="P35" s="66"/>
      <c r="Q35" s="66"/>
      <c r="R35" s="93" t="s">
        <v>265</v>
      </c>
      <c r="S35" s="158" t="s">
        <v>721</v>
      </c>
      <c r="T35" s="157" t="s">
        <v>761</v>
      </c>
      <c r="U35" s="158">
        <v>46157.0</v>
      </c>
      <c r="V35" s="66">
        <v>11.0</v>
      </c>
      <c r="W35" s="66"/>
      <c r="X35" s="66"/>
      <c r="Y35" s="66"/>
      <c r="Z35" s="66"/>
    </row>
    <row r="36">
      <c r="A36" s="66"/>
      <c r="B36" s="66"/>
      <c r="C36" s="66"/>
      <c r="D36" s="66"/>
      <c r="E36" s="66"/>
      <c r="F36" s="66"/>
      <c r="G36" s="66"/>
      <c r="H36" s="66"/>
      <c r="I36" s="66"/>
      <c r="J36" s="66"/>
      <c r="K36" s="66"/>
      <c r="L36" s="66"/>
      <c r="M36" s="157" t="s">
        <v>762</v>
      </c>
      <c r="N36" s="158">
        <v>46127.0</v>
      </c>
      <c r="O36" s="66">
        <v>1.0</v>
      </c>
      <c r="P36" s="66"/>
      <c r="Q36" s="66"/>
      <c r="R36" s="66"/>
      <c r="S36" s="66"/>
      <c r="T36" s="157" t="s">
        <v>763</v>
      </c>
      <c r="U36" s="158">
        <v>46157.0</v>
      </c>
      <c r="V36" s="66">
        <v>6.0</v>
      </c>
      <c r="W36" s="66"/>
      <c r="X36" s="66"/>
      <c r="Y36" s="66"/>
      <c r="Z36" s="66"/>
    </row>
    <row r="37">
      <c r="A37" s="66"/>
      <c r="B37" s="66"/>
      <c r="C37" s="66"/>
      <c r="D37" s="66"/>
      <c r="E37" s="66"/>
      <c r="F37" s="66"/>
      <c r="G37" s="66"/>
      <c r="H37" s="66"/>
      <c r="I37" s="66"/>
      <c r="J37" s="66"/>
      <c r="K37" s="66"/>
      <c r="L37" s="66"/>
      <c r="M37" s="157" t="s">
        <v>764</v>
      </c>
      <c r="N37" s="158">
        <v>46127.0</v>
      </c>
      <c r="O37" s="66">
        <v>1.0</v>
      </c>
      <c r="P37" s="66"/>
      <c r="Q37" s="66"/>
      <c r="R37" s="93" t="s">
        <v>730</v>
      </c>
      <c r="S37" s="158" t="s">
        <v>724</v>
      </c>
      <c r="T37" s="66" t="s">
        <v>765</v>
      </c>
      <c r="U37" s="158">
        <v>46172.0</v>
      </c>
      <c r="V37" s="66">
        <v>6.0</v>
      </c>
      <c r="W37" s="66"/>
      <c r="X37" s="66"/>
      <c r="Y37" s="66"/>
      <c r="Z37" s="66"/>
    </row>
    <row r="38">
      <c r="A38" s="66"/>
      <c r="B38" s="66"/>
      <c r="C38" s="66"/>
      <c r="D38" s="66"/>
      <c r="E38" s="66"/>
      <c r="F38" s="66"/>
      <c r="G38" s="66"/>
      <c r="H38" s="66"/>
      <c r="I38" s="66"/>
      <c r="J38" s="66"/>
      <c r="K38" s="66"/>
      <c r="L38" s="66"/>
      <c r="M38" s="157" t="s">
        <v>766</v>
      </c>
      <c r="N38" s="158">
        <v>46165.0</v>
      </c>
      <c r="O38" s="66">
        <v>1.0</v>
      </c>
      <c r="P38" s="66"/>
      <c r="Q38" s="66" t="s">
        <v>727</v>
      </c>
      <c r="R38" s="66"/>
      <c r="S38" s="66"/>
      <c r="T38" s="66"/>
      <c r="U38" s="66"/>
      <c r="V38" s="66">
        <v>264.0</v>
      </c>
      <c r="W38" s="66"/>
      <c r="X38" s="66"/>
      <c r="Y38" s="66"/>
      <c r="Z38" s="66"/>
    </row>
    <row r="39">
      <c r="A39" s="66"/>
      <c r="B39" s="66"/>
      <c r="C39" s="66"/>
      <c r="D39" s="66"/>
      <c r="E39" s="66"/>
      <c r="F39" s="66"/>
      <c r="G39" s="66"/>
      <c r="H39" s="66"/>
      <c r="I39" s="66"/>
      <c r="J39" s="66"/>
      <c r="K39" s="66"/>
      <c r="L39" s="66"/>
      <c r="M39" s="157" t="s">
        <v>767</v>
      </c>
      <c r="N39" s="158">
        <v>46165.0</v>
      </c>
      <c r="O39" s="66">
        <v>1.0</v>
      </c>
      <c r="P39" s="66"/>
      <c r="Q39" s="66" t="s">
        <v>99</v>
      </c>
      <c r="R39" s="66" t="s">
        <v>664</v>
      </c>
      <c r="S39" s="158" t="s">
        <v>718</v>
      </c>
      <c r="T39" s="66" t="s">
        <v>664</v>
      </c>
      <c r="U39" s="158">
        <v>46234.0</v>
      </c>
      <c r="V39" s="66">
        <v>8.0</v>
      </c>
      <c r="W39" s="66"/>
      <c r="X39" s="66"/>
      <c r="Y39" s="66"/>
      <c r="Z39" s="66"/>
    </row>
    <row r="40">
      <c r="A40" s="66"/>
      <c r="B40" s="66"/>
      <c r="C40" s="66"/>
      <c r="D40" s="66"/>
      <c r="E40" s="66"/>
      <c r="F40" s="66"/>
      <c r="G40" s="66"/>
      <c r="H40" s="66"/>
      <c r="I40" s="66"/>
      <c r="J40" s="66"/>
      <c r="K40" s="66"/>
      <c r="L40" s="66"/>
      <c r="M40" s="66" t="s">
        <v>768</v>
      </c>
      <c r="N40" s="158">
        <v>46142.0</v>
      </c>
      <c r="O40" s="66">
        <v>1.0</v>
      </c>
      <c r="P40" s="66"/>
      <c r="Q40" s="66"/>
      <c r="R40" s="66" t="s">
        <v>673</v>
      </c>
      <c r="S40" s="158" t="s">
        <v>30</v>
      </c>
      <c r="T40" s="66" t="s">
        <v>673</v>
      </c>
      <c r="U40" s="158">
        <v>46265.0</v>
      </c>
      <c r="V40" s="66">
        <v>3.0</v>
      </c>
      <c r="W40" s="66"/>
      <c r="X40" s="66"/>
      <c r="Y40" s="66"/>
      <c r="Z40" s="66"/>
    </row>
    <row r="41">
      <c r="A41" s="66"/>
      <c r="B41" s="66"/>
      <c r="C41" s="66"/>
      <c r="D41" s="66"/>
      <c r="E41" s="66"/>
      <c r="F41" s="66"/>
      <c r="G41" s="66"/>
      <c r="H41" s="66"/>
      <c r="I41" s="66"/>
      <c r="J41" s="66"/>
      <c r="K41" s="66"/>
      <c r="L41" s="66"/>
      <c r="M41" s="66" t="s">
        <v>769</v>
      </c>
      <c r="N41" s="158">
        <v>46142.0</v>
      </c>
      <c r="O41" s="66">
        <v>1.0</v>
      </c>
      <c r="P41" s="66"/>
      <c r="Q41" s="66"/>
      <c r="R41" s="66" t="s">
        <v>677</v>
      </c>
      <c r="S41" s="158" t="s">
        <v>30</v>
      </c>
      <c r="T41" s="66" t="s">
        <v>678</v>
      </c>
      <c r="U41" s="158">
        <v>46234.0</v>
      </c>
      <c r="V41" s="66">
        <v>2.0</v>
      </c>
      <c r="W41" s="66"/>
      <c r="X41" s="66"/>
      <c r="Y41" s="66"/>
      <c r="Z41" s="66"/>
    </row>
    <row r="42">
      <c r="A42" s="66"/>
      <c r="B42" s="66"/>
      <c r="C42" s="66"/>
      <c r="D42" s="66"/>
      <c r="E42" s="66"/>
      <c r="F42" s="66"/>
      <c r="G42" s="66"/>
      <c r="H42" s="66"/>
      <c r="I42" s="66"/>
      <c r="J42" s="66"/>
      <c r="K42" s="66"/>
      <c r="L42" s="66"/>
      <c r="M42" s="157" t="s">
        <v>770</v>
      </c>
      <c r="N42" s="158">
        <v>46142.0</v>
      </c>
      <c r="O42" s="66">
        <v>1.0</v>
      </c>
      <c r="P42" s="66"/>
      <c r="Q42" s="66"/>
      <c r="R42" s="66"/>
      <c r="S42" s="66"/>
      <c r="T42" s="66" t="s">
        <v>681</v>
      </c>
      <c r="U42" s="158">
        <v>46295.0</v>
      </c>
      <c r="V42" s="66">
        <v>3.0</v>
      </c>
      <c r="W42" s="66"/>
      <c r="X42" s="66"/>
      <c r="Y42" s="66"/>
      <c r="Z42" s="66"/>
    </row>
    <row r="43">
      <c r="A43" s="66"/>
      <c r="B43" s="66"/>
      <c r="C43" s="66"/>
      <c r="D43" s="66"/>
      <c r="E43" s="66"/>
      <c r="F43" s="66"/>
      <c r="G43" s="66"/>
      <c r="H43" s="66"/>
      <c r="I43" s="66"/>
      <c r="J43" s="66"/>
      <c r="K43" s="66"/>
      <c r="L43" s="66"/>
      <c r="M43" s="66" t="s">
        <v>771</v>
      </c>
      <c r="N43" s="158">
        <v>46142.0</v>
      </c>
      <c r="O43" s="66">
        <v>1.0</v>
      </c>
      <c r="P43" s="66"/>
      <c r="Q43" s="66"/>
      <c r="R43" s="66"/>
      <c r="S43" s="66"/>
      <c r="T43" s="66"/>
      <c r="U43" s="158">
        <v>46356.0</v>
      </c>
      <c r="V43" s="66">
        <v>1.0</v>
      </c>
      <c r="W43" s="66"/>
      <c r="X43" s="66"/>
      <c r="Y43" s="66"/>
      <c r="Z43" s="66"/>
    </row>
    <row r="44">
      <c r="A44" s="66"/>
      <c r="B44" s="66"/>
      <c r="C44" s="66"/>
      <c r="D44" s="66"/>
      <c r="E44" s="66"/>
      <c r="F44" s="66"/>
      <c r="G44" s="66"/>
      <c r="H44" s="66"/>
      <c r="I44" s="66"/>
      <c r="J44" s="66"/>
      <c r="K44" s="66"/>
      <c r="L44" s="66"/>
      <c r="M44" s="157" t="s">
        <v>772</v>
      </c>
      <c r="N44" s="158">
        <v>46142.0</v>
      </c>
      <c r="O44" s="66">
        <v>1.0</v>
      </c>
      <c r="P44" s="66"/>
      <c r="Q44" s="66"/>
      <c r="R44" s="66" t="s">
        <v>306</v>
      </c>
      <c r="S44" s="158" t="s">
        <v>30</v>
      </c>
      <c r="T44" s="66"/>
      <c r="U44" s="158">
        <v>46280.0</v>
      </c>
      <c r="V44" s="66">
        <v>94.0</v>
      </c>
      <c r="W44" s="66"/>
      <c r="X44" s="66"/>
      <c r="Y44" s="66"/>
      <c r="Z44" s="66"/>
    </row>
    <row r="45">
      <c r="A45" s="66"/>
      <c r="B45" s="66"/>
      <c r="C45" s="66"/>
      <c r="D45" s="66"/>
      <c r="E45" s="66"/>
      <c r="F45" s="66"/>
      <c r="G45" s="66"/>
      <c r="H45" s="66"/>
      <c r="I45" s="66"/>
      <c r="J45" s="66"/>
      <c r="K45" s="66"/>
      <c r="L45" s="66"/>
      <c r="M45" s="66" t="s">
        <v>773</v>
      </c>
      <c r="N45" s="158">
        <v>46142.0</v>
      </c>
      <c r="O45" s="66">
        <v>1.0</v>
      </c>
      <c r="P45" s="66"/>
      <c r="Q45" s="66"/>
      <c r="R45" s="66"/>
      <c r="S45" s="66"/>
      <c r="T45" s="66" t="s">
        <v>495</v>
      </c>
      <c r="U45" s="158">
        <v>46280.0</v>
      </c>
      <c r="V45" s="66">
        <v>13.0</v>
      </c>
      <c r="W45" s="66"/>
      <c r="X45" s="66"/>
      <c r="Y45" s="66"/>
      <c r="Z45" s="66"/>
    </row>
    <row r="46">
      <c r="A46" s="66"/>
      <c r="B46" s="66"/>
      <c r="C46" s="66"/>
      <c r="D46" s="66"/>
      <c r="E46" s="66"/>
      <c r="F46" s="66"/>
      <c r="G46" s="66"/>
      <c r="H46" s="66"/>
      <c r="I46" s="66"/>
      <c r="J46" s="66"/>
      <c r="K46" s="66"/>
      <c r="L46" s="66"/>
      <c r="M46" s="66" t="s">
        <v>774</v>
      </c>
      <c r="N46" s="158">
        <v>46142.0</v>
      </c>
      <c r="O46" s="66">
        <v>1.0</v>
      </c>
      <c r="P46" s="66"/>
      <c r="Q46" s="66"/>
      <c r="R46" s="66"/>
      <c r="S46" s="66"/>
      <c r="T46" s="66" t="s">
        <v>509</v>
      </c>
      <c r="U46" s="158">
        <v>46280.0</v>
      </c>
      <c r="V46" s="66">
        <v>1.0</v>
      </c>
      <c r="W46" s="66"/>
      <c r="X46" s="66"/>
      <c r="Y46" s="66"/>
      <c r="Z46" s="66"/>
    </row>
    <row r="47">
      <c r="A47" s="66"/>
      <c r="B47" s="66"/>
      <c r="C47" s="66"/>
      <c r="D47" s="66"/>
      <c r="E47" s="66"/>
      <c r="F47" s="66"/>
      <c r="G47" s="66"/>
      <c r="H47" s="66"/>
      <c r="I47" s="66"/>
      <c r="J47" s="66"/>
      <c r="K47" s="66"/>
      <c r="L47" s="66"/>
      <c r="M47" s="157" t="s">
        <v>775</v>
      </c>
      <c r="N47" s="158">
        <v>46081.0</v>
      </c>
      <c r="O47" s="66">
        <v>1.0</v>
      </c>
      <c r="P47" s="66"/>
      <c r="Q47" s="66"/>
      <c r="R47" s="66"/>
      <c r="S47" s="66"/>
      <c r="T47" s="66" t="s">
        <v>481</v>
      </c>
      <c r="U47" s="158">
        <v>46280.0</v>
      </c>
      <c r="V47" s="66">
        <v>4.0</v>
      </c>
      <c r="W47" s="66"/>
      <c r="X47" s="66"/>
      <c r="Y47" s="66"/>
      <c r="Z47" s="66"/>
    </row>
    <row r="48">
      <c r="A48" s="66"/>
      <c r="B48" s="66"/>
      <c r="C48" s="66"/>
      <c r="D48" s="66"/>
      <c r="E48" s="66"/>
      <c r="F48" s="66"/>
      <c r="G48" s="66"/>
      <c r="H48" s="66"/>
      <c r="I48" s="66"/>
      <c r="J48" s="66"/>
      <c r="K48" s="66"/>
      <c r="L48" s="66"/>
      <c r="M48" s="66" t="s">
        <v>776</v>
      </c>
      <c r="N48" s="158">
        <v>46142.0</v>
      </c>
      <c r="O48" s="66">
        <v>1.0</v>
      </c>
      <c r="P48" s="66"/>
      <c r="Q48" s="66"/>
      <c r="R48" s="66"/>
      <c r="S48" s="66"/>
      <c r="T48" s="66" t="s">
        <v>329</v>
      </c>
      <c r="U48" s="158">
        <v>46280.0</v>
      </c>
      <c r="V48" s="66">
        <v>2.0</v>
      </c>
      <c r="W48" s="66"/>
      <c r="X48" s="66"/>
      <c r="Y48" s="66"/>
      <c r="Z48" s="66"/>
    </row>
    <row r="49">
      <c r="A49" s="66"/>
      <c r="B49" s="66"/>
      <c r="C49" s="66"/>
      <c r="D49" s="66"/>
      <c r="E49" s="66"/>
      <c r="F49" s="66"/>
      <c r="G49" s="66"/>
      <c r="H49" s="66"/>
      <c r="I49" s="66"/>
      <c r="J49" s="66"/>
      <c r="K49" s="66"/>
      <c r="L49" s="66"/>
      <c r="M49" s="66" t="s">
        <v>777</v>
      </c>
      <c r="N49" s="158">
        <v>46142.0</v>
      </c>
      <c r="O49" s="66">
        <v>1.0</v>
      </c>
      <c r="P49" s="66"/>
      <c r="Q49" s="66"/>
      <c r="R49" s="66"/>
      <c r="S49" s="66"/>
      <c r="T49" s="66" t="s">
        <v>332</v>
      </c>
      <c r="U49" s="158">
        <v>46280.0</v>
      </c>
      <c r="V49" s="66">
        <v>3.0</v>
      </c>
      <c r="W49" s="66"/>
      <c r="X49" s="66"/>
      <c r="Y49" s="66"/>
      <c r="Z49" s="66"/>
    </row>
    <row r="50">
      <c r="A50" s="66"/>
      <c r="B50" s="66"/>
      <c r="C50" s="66"/>
      <c r="D50" s="66"/>
      <c r="E50" s="66"/>
      <c r="F50" s="66"/>
      <c r="G50" s="66"/>
      <c r="H50" s="66"/>
      <c r="I50" s="66"/>
      <c r="J50" s="66"/>
      <c r="K50" s="66"/>
      <c r="L50" s="66"/>
      <c r="M50" s="66" t="s">
        <v>778</v>
      </c>
      <c r="N50" s="158">
        <v>46142.0</v>
      </c>
      <c r="O50" s="66">
        <v>1.0</v>
      </c>
      <c r="P50" s="66"/>
      <c r="Q50" s="66"/>
      <c r="R50" s="66"/>
      <c r="S50" s="66"/>
      <c r="T50" s="66" t="s">
        <v>307</v>
      </c>
      <c r="U50" s="158">
        <v>46280.0</v>
      </c>
      <c r="V50" s="66">
        <v>2.0</v>
      </c>
      <c r="W50" s="66"/>
      <c r="X50" s="66"/>
      <c r="Y50" s="66"/>
      <c r="Z50" s="66"/>
    </row>
    <row r="51">
      <c r="A51" s="66"/>
      <c r="B51" s="66"/>
      <c r="C51" s="66"/>
      <c r="D51" s="66"/>
      <c r="E51" s="66"/>
      <c r="F51" s="66"/>
      <c r="G51" s="66"/>
      <c r="H51" s="66"/>
      <c r="I51" s="66"/>
      <c r="J51" s="66"/>
      <c r="K51" s="66"/>
      <c r="L51" s="66"/>
      <c r="M51" s="157" t="s">
        <v>779</v>
      </c>
      <c r="N51" s="158">
        <v>46081.0</v>
      </c>
      <c r="O51" s="66">
        <v>1.0</v>
      </c>
      <c r="P51" s="66"/>
      <c r="Q51" s="66"/>
      <c r="R51" s="66"/>
      <c r="S51" s="66"/>
      <c r="T51" s="66" t="s">
        <v>318</v>
      </c>
      <c r="U51" s="158">
        <v>46280.0</v>
      </c>
      <c r="V51" s="66">
        <v>3.0</v>
      </c>
      <c r="W51" s="66"/>
      <c r="X51" s="66"/>
      <c r="Y51" s="66"/>
      <c r="Z51" s="66"/>
    </row>
    <row r="52">
      <c r="A52" s="66"/>
      <c r="B52" s="66"/>
      <c r="C52" s="66"/>
      <c r="D52" s="66"/>
      <c r="E52" s="66"/>
      <c r="F52" s="66"/>
      <c r="G52" s="66"/>
      <c r="H52" s="66"/>
      <c r="I52" s="66"/>
      <c r="J52" s="66"/>
      <c r="K52" s="66"/>
      <c r="L52" s="66"/>
      <c r="M52" s="66" t="s">
        <v>780</v>
      </c>
      <c r="N52" s="158">
        <v>46142.0</v>
      </c>
      <c r="O52" s="66">
        <v>1.0</v>
      </c>
      <c r="P52" s="66"/>
      <c r="Q52" s="66"/>
      <c r="R52" s="66"/>
      <c r="S52" s="66"/>
      <c r="T52" s="66" t="s">
        <v>314</v>
      </c>
      <c r="U52" s="158">
        <v>46280.0</v>
      </c>
      <c r="V52" s="66">
        <v>3.0</v>
      </c>
      <c r="W52" s="66"/>
      <c r="X52" s="66"/>
      <c r="Y52" s="66"/>
      <c r="Z52" s="66"/>
    </row>
    <row r="53">
      <c r="A53" s="66"/>
      <c r="B53" s="66"/>
      <c r="C53" s="66"/>
      <c r="D53" s="66"/>
      <c r="E53" s="66"/>
      <c r="F53" s="66"/>
      <c r="G53" s="66"/>
      <c r="H53" s="66"/>
      <c r="I53" s="66"/>
      <c r="J53" s="66"/>
      <c r="K53" s="66"/>
      <c r="L53" s="66"/>
      <c r="M53" s="66" t="s">
        <v>781</v>
      </c>
      <c r="N53" s="158">
        <v>46142.0</v>
      </c>
      <c r="O53" s="66">
        <v>1.0</v>
      </c>
      <c r="P53" s="66"/>
      <c r="Q53" s="66"/>
      <c r="R53" s="66"/>
      <c r="S53" s="66"/>
      <c r="T53" s="66" t="s">
        <v>326</v>
      </c>
      <c r="U53" s="158">
        <v>46280.0</v>
      </c>
      <c r="V53" s="66">
        <v>2.0</v>
      </c>
      <c r="W53" s="66"/>
      <c r="X53" s="66"/>
      <c r="Y53" s="66"/>
      <c r="Z53" s="66"/>
    </row>
    <row r="54">
      <c r="A54" s="66"/>
      <c r="B54" s="66"/>
      <c r="C54" s="66"/>
      <c r="D54" s="66"/>
      <c r="E54" s="66"/>
      <c r="F54" s="66"/>
      <c r="G54" s="66"/>
      <c r="H54" s="66"/>
      <c r="I54" s="66"/>
      <c r="J54" s="66"/>
      <c r="K54" s="66"/>
      <c r="L54" s="66"/>
      <c r="M54" s="157" t="s">
        <v>782</v>
      </c>
      <c r="N54" s="158">
        <v>46081.0</v>
      </c>
      <c r="O54" s="66">
        <v>1.0</v>
      </c>
      <c r="P54" s="66"/>
      <c r="Q54" s="66"/>
      <c r="R54" s="66"/>
      <c r="S54" s="66"/>
      <c r="T54" s="66" t="s">
        <v>336</v>
      </c>
      <c r="U54" s="158">
        <v>46280.0</v>
      </c>
      <c r="V54" s="66">
        <v>2.0</v>
      </c>
      <c r="W54" s="66"/>
      <c r="X54" s="66"/>
      <c r="Y54" s="66"/>
      <c r="Z54" s="66"/>
    </row>
    <row r="55">
      <c r="A55" s="66"/>
      <c r="B55" s="66"/>
      <c r="C55" s="66"/>
      <c r="D55" s="66"/>
      <c r="E55" s="66"/>
      <c r="F55" s="66"/>
      <c r="G55" s="66"/>
      <c r="H55" s="66"/>
      <c r="I55" s="66"/>
      <c r="J55" s="66"/>
      <c r="K55" s="66"/>
      <c r="L55" s="66"/>
      <c r="M55" s="157" t="s">
        <v>783</v>
      </c>
      <c r="N55" s="158">
        <v>46142.0</v>
      </c>
      <c r="O55" s="66">
        <v>1.0</v>
      </c>
      <c r="P55" s="66"/>
      <c r="Q55" s="66"/>
      <c r="R55" s="66"/>
      <c r="S55" s="66"/>
      <c r="T55" s="66" t="s">
        <v>310</v>
      </c>
      <c r="U55" s="158">
        <v>46280.0</v>
      </c>
      <c r="V55" s="66">
        <v>4.0</v>
      </c>
      <c r="W55" s="66"/>
      <c r="X55" s="66"/>
      <c r="Y55" s="66"/>
      <c r="Z55" s="66"/>
    </row>
    <row r="56">
      <c r="A56" s="66"/>
      <c r="B56" s="66"/>
      <c r="C56" s="66"/>
      <c r="D56" s="66"/>
      <c r="E56" s="66"/>
      <c r="F56" s="66"/>
      <c r="G56" s="66"/>
      <c r="H56" s="66"/>
      <c r="I56" s="66"/>
      <c r="J56" s="66"/>
      <c r="K56" s="66"/>
      <c r="L56" s="66"/>
      <c r="M56" s="157" t="s">
        <v>784</v>
      </c>
      <c r="N56" s="158">
        <v>46142.0</v>
      </c>
      <c r="O56" s="66">
        <v>1.0</v>
      </c>
      <c r="P56" s="66"/>
      <c r="Q56" s="66"/>
      <c r="R56" s="66"/>
      <c r="S56" s="66"/>
      <c r="T56" s="66" t="s">
        <v>322</v>
      </c>
      <c r="U56" s="158">
        <v>46280.0</v>
      </c>
      <c r="V56" s="66">
        <v>3.0</v>
      </c>
      <c r="W56" s="66"/>
      <c r="X56" s="66"/>
      <c r="Y56" s="66"/>
      <c r="Z56" s="66"/>
    </row>
    <row r="57">
      <c r="A57" s="66"/>
      <c r="B57" s="66"/>
      <c r="C57" s="66"/>
      <c r="D57" s="66"/>
      <c r="E57" s="66"/>
      <c r="F57" s="66"/>
      <c r="G57" s="66"/>
      <c r="H57" s="66"/>
      <c r="I57" s="66"/>
      <c r="J57" s="66"/>
      <c r="K57" s="66"/>
      <c r="L57" s="66"/>
      <c r="M57" s="157" t="s">
        <v>785</v>
      </c>
      <c r="N57" s="158">
        <v>46142.0</v>
      </c>
      <c r="O57" s="66">
        <v>1.0</v>
      </c>
      <c r="P57" s="66"/>
      <c r="Q57" s="66"/>
      <c r="R57" s="66"/>
      <c r="S57" s="66"/>
      <c r="T57" s="66" t="s">
        <v>485</v>
      </c>
      <c r="U57" s="158">
        <v>46280.0</v>
      </c>
      <c r="V57" s="66">
        <v>4.0</v>
      </c>
      <c r="W57" s="66"/>
      <c r="X57" s="66"/>
      <c r="Y57" s="66"/>
      <c r="Z57" s="66"/>
    </row>
    <row r="58">
      <c r="A58" s="66"/>
      <c r="B58" s="66"/>
      <c r="C58" s="66"/>
      <c r="D58" s="66"/>
      <c r="E58" s="66"/>
      <c r="F58" s="66"/>
      <c r="G58" s="66"/>
      <c r="H58" s="66"/>
      <c r="I58" s="66"/>
      <c r="J58" s="66"/>
      <c r="K58" s="66"/>
      <c r="L58" s="66"/>
      <c r="M58" s="157" t="s">
        <v>786</v>
      </c>
      <c r="N58" s="158">
        <v>46142.0</v>
      </c>
      <c r="O58" s="66">
        <v>1.0</v>
      </c>
      <c r="P58" s="66"/>
      <c r="Q58" s="66"/>
      <c r="R58" s="66"/>
      <c r="S58" s="66"/>
      <c r="T58" s="66" t="s">
        <v>442</v>
      </c>
      <c r="U58" s="158">
        <v>46280.0</v>
      </c>
      <c r="V58" s="66">
        <v>7.0</v>
      </c>
      <c r="W58" s="66"/>
      <c r="X58" s="66"/>
      <c r="Y58" s="66"/>
      <c r="Z58" s="66"/>
    </row>
    <row r="59">
      <c r="A59" s="66"/>
      <c r="B59" s="66"/>
      <c r="C59" s="66"/>
      <c r="D59" s="66"/>
      <c r="E59" s="66"/>
      <c r="F59" s="66"/>
      <c r="G59" s="66"/>
      <c r="H59" s="66"/>
      <c r="I59" s="66"/>
      <c r="J59" s="66"/>
      <c r="K59" s="66"/>
      <c r="L59" s="66"/>
      <c r="M59" s="66"/>
      <c r="N59" s="158">
        <v>46165.0</v>
      </c>
      <c r="O59" s="66">
        <v>1.0</v>
      </c>
      <c r="P59" s="66"/>
      <c r="Q59" s="66"/>
      <c r="R59" s="66"/>
      <c r="S59" s="66"/>
      <c r="T59" s="66" t="s">
        <v>464</v>
      </c>
      <c r="U59" s="158">
        <v>46280.0</v>
      </c>
      <c r="V59" s="66">
        <v>7.0</v>
      </c>
      <c r="W59" s="66"/>
      <c r="X59" s="66"/>
      <c r="Y59" s="66"/>
      <c r="Z59" s="66"/>
    </row>
    <row r="60">
      <c r="A60" s="66"/>
      <c r="B60" s="66"/>
      <c r="C60" s="66"/>
      <c r="D60" s="66"/>
      <c r="E60" s="66"/>
      <c r="F60" s="66"/>
      <c r="G60" s="66"/>
      <c r="H60" s="66"/>
      <c r="I60" s="66"/>
      <c r="J60" s="66"/>
      <c r="K60" s="66"/>
      <c r="L60" s="66"/>
      <c r="M60" s="157" t="s">
        <v>787</v>
      </c>
      <c r="N60" s="158">
        <v>46157.0</v>
      </c>
      <c r="O60" s="66">
        <v>1.0</v>
      </c>
      <c r="P60" s="66"/>
      <c r="Q60" s="66"/>
      <c r="R60" s="66"/>
      <c r="S60" s="66"/>
      <c r="T60" s="66" t="s">
        <v>449</v>
      </c>
      <c r="U60" s="158">
        <v>46280.0</v>
      </c>
      <c r="V60" s="66">
        <v>7.0</v>
      </c>
      <c r="W60" s="66"/>
      <c r="X60" s="66"/>
      <c r="Y60" s="66"/>
      <c r="Z60" s="66"/>
    </row>
    <row r="61">
      <c r="A61" s="66"/>
      <c r="B61" s="66"/>
      <c r="C61" s="66"/>
      <c r="D61" s="66"/>
      <c r="E61" s="66"/>
      <c r="F61" s="66"/>
      <c r="G61" s="66"/>
      <c r="H61" s="66"/>
      <c r="I61" s="66"/>
      <c r="J61" s="66"/>
      <c r="K61" s="66"/>
      <c r="L61" s="66"/>
      <c r="M61" s="157" t="s">
        <v>788</v>
      </c>
      <c r="N61" s="158">
        <v>46112.0</v>
      </c>
      <c r="O61" s="66">
        <v>1.0</v>
      </c>
      <c r="P61" s="66"/>
      <c r="Q61" s="66"/>
      <c r="R61" s="66"/>
      <c r="S61" s="66"/>
      <c r="T61" s="66" t="s">
        <v>456</v>
      </c>
      <c r="U61" s="158">
        <v>46280.0</v>
      </c>
      <c r="V61" s="66">
        <v>8.0</v>
      </c>
      <c r="W61" s="66"/>
      <c r="X61" s="66"/>
      <c r="Y61" s="66"/>
      <c r="Z61" s="66"/>
    </row>
    <row r="62">
      <c r="A62" s="66"/>
      <c r="B62" s="66"/>
      <c r="C62" s="66"/>
      <c r="D62" s="66"/>
      <c r="E62" s="66"/>
      <c r="F62" s="66"/>
      <c r="G62" s="66"/>
      <c r="H62" s="66"/>
      <c r="I62" s="66"/>
      <c r="J62" s="66"/>
      <c r="K62" s="66"/>
      <c r="L62" s="66"/>
      <c r="M62" s="157" t="s">
        <v>789</v>
      </c>
      <c r="N62" s="158">
        <v>46165.0</v>
      </c>
      <c r="O62" s="66">
        <v>1.0</v>
      </c>
      <c r="P62" s="66"/>
      <c r="Q62" s="66"/>
      <c r="R62" s="66"/>
      <c r="S62" s="66"/>
      <c r="T62" s="66" t="s">
        <v>493</v>
      </c>
      <c r="U62" s="158">
        <v>46280.0</v>
      </c>
      <c r="V62" s="66">
        <v>1.0</v>
      </c>
      <c r="W62" s="66"/>
      <c r="X62" s="66"/>
      <c r="Y62" s="66"/>
      <c r="Z62" s="66"/>
    </row>
    <row r="63">
      <c r="A63" s="66"/>
      <c r="B63" s="66"/>
      <c r="C63" s="66"/>
      <c r="D63" s="66"/>
      <c r="E63" s="66"/>
      <c r="F63" s="66"/>
      <c r="G63" s="66"/>
      <c r="H63" s="66"/>
      <c r="I63" s="66"/>
      <c r="J63" s="66"/>
      <c r="K63" s="66"/>
      <c r="L63" s="66"/>
      <c r="M63" s="157" t="s">
        <v>790</v>
      </c>
      <c r="N63" s="158">
        <v>46112.0</v>
      </c>
      <c r="O63" s="66">
        <v>1.0</v>
      </c>
      <c r="P63" s="66"/>
      <c r="Q63" s="66"/>
      <c r="R63" s="66"/>
      <c r="S63" s="66"/>
      <c r="T63" s="66" t="s">
        <v>477</v>
      </c>
      <c r="U63" s="158">
        <v>46280.0</v>
      </c>
      <c r="V63" s="66">
        <v>4.0</v>
      </c>
      <c r="W63" s="66"/>
      <c r="X63" s="66"/>
      <c r="Y63" s="66"/>
      <c r="Z63" s="66"/>
    </row>
    <row r="64">
      <c r="A64" s="66"/>
      <c r="B64" s="66"/>
      <c r="C64" s="66"/>
      <c r="D64" s="66"/>
      <c r="E64" s="66"/>
      <c r="F64" s="66"/>
      <c r="G64" s="66"/>
      <c r="H64" s="66"/>
      <c r="I64" s="66"/>
      <c r="J64" s="66"/>
      <c r="K64" s="66"/>
      <c r="L64" s="66"/>
      <c r="M64" s="157" t="s">
        <v>791</v>
      </c>
      <c r="N64" s="158">
        <v>46112.0</v>
      </c>
      <c r="O64" s="66">
        <v>1.0</v>
      </c>
      <c r="P64" s="66"/>
      <c r="Q64" s="66"/>
      <c r="R64" s="66"/>
      <c r="S64" s="66"/>
      <c r="T64" s="66" t="s">
        <v>471</v>
      </c>
      <c r="U64" s="158">
        <v>46280.0</v>
      </c>
      <c r="V64" s="66">
        <v>5.0</v>
      </c>
      <c r="W64" s="66"/>
      <c r="X64" s="66"/>
      <c r="Y64" s="66"/>
      <c r="Z64" s="66"/>
    </row>
    <row r="65">
      <c r="A65" s="66"/>
      <c r="B65" s="66"/>
      <c r="C65" s="66"/>
      <c r="D65" s="66"/>
      <c r="E65" s="66"/>
      <c r="F65" s="66"/>
      <c r="G65" s="66"/>
      <c r="H65" s="66"/>
      <c r="I65" s="66"/>
      <c r="J65" s="66"/>
      <c r="K65" s="66"/>
      <c r="L65" s="66"/>
      <c r="M65" s="157" t="s">
        <v>792</v>
      </c>
      <c r="N65" s="158">
        <v>46112.0</v>
      </c>
      <c r="O65" s="66">
        <v>1.0</v>
      </c>
      <c r="P65" s="66"/>
      <c r="Q65" s="66"/>
      <c r="R65" s="66"/>
      <c r="S65" s="66"/>
      <c r="T65" s="66" t="s">
        <v>490</v>
      </c>
      <c r="U65" s="158">
        <v>46280.0</v>
      </c>
      <c r="V65" s="66">
        <v>2.0</v>
      </c>
      <c r="W65" s="66"/>
      <c r="X65" s="66"/>
      <c r="Y65" s="66"/>
      <c r="Z65" s="66"/>
    </row>
    <row r="66">
      <c r="A66" s="66"/>
      <c r="B66" s="66"/>
      <c r="C66" s="66"/>
      <c r="D66" s="66"/>
      <c r="E66" s="66"/>
      <c r="F66" s="66"/>
      <c r="G66" s="66"/>
      <c r="H66" s="66"/>
      <c r="I66" s="66"/>
      <c r="J66" s="66"/>
      <c r="K66" s="66"/>
      <c r="L66" s="66"/>
      <c r="M66" s="157" t="s">
        <v>793</v>
      </c>
      <c r="N66" s="158">
        <v>46157.0</v>
      </c>
      <c r="O66" s="66">
        <v>1.0</v>
      </c>
      <c r="P66" s="66"/>
      <c r="Q66" s="66"/>
      <c r="R66" s="66" t="s">
        <v>104</v>
      </c>
      <c r="S66" s="158" t="s">
        <v>30</v>
      </c>
      <c r="T66" s="66"/>
      <c r="U66" s="158">
        <v>46218.0</v>
      </c>
      <c r="V66" s="66">
        <v>8.0</v>
      </c>
      <c r="W66" s="66"/>
      <c r="X66" s="66"/>
      <c r="Y66" s="66"/>
      <c r="Z66" s="66"/>
    </row>
    <row r="67">
      <c r="A67" s="66"/>
      <c r="B67" s="66"/>
      <c r="C67" s="66"/>
      <c r="D67" s="66"/>
      <c r="E67" s="66"/>
      <c r="F67" s="66"/>
      <c r="G67" s="66"/>
      <c r="H67" s="66"/>
      <c r="I67" s="66"/>
      <c r="J67" s="66"/>
      <c r="K67" s="66"/>
      <c r="L67" s="66"/>
      <c r="M67" s="157" t="s">
        <v>794</v>
      </c>
      <c r="N67" s="158">
        <v>46157.0</v>
      </c>
      <c r="O67" s="66">
        <v>1.0</v>
      </c>
      <c r="P67" s="66"/>
      <c r="Q67" s="66"/>
      <c r="R67" s="66"/>
      <c r="S67" s="66"/>
      <c r="T67" s="66" t="s">
        <v>223</v>
      </c>
      <c r="U67" s="158">
        <v>46265.0</v>
      </c>
      <c r="V67" s="66">
        <v>1.0</v>
      </c>
      <c r="W67" s="66"/>
      <c r="X67" s="66"/>
      <c r="Y67" s="66"/>
      <c r="Z67" s="66"/>
    </row>
    <row r="68">
      <c r="A68" s="66"/>
      <c r="B68" s="66"/>
      <c r="C68" s="66"/>
      <c r="D68" s="66"/>
      <c r="E68" s="66"/>
      <c r="F68" s="66"/>
      <c r="G68" s="66"/>
      <c r="H68" s="66"/>
      <c r="I68" s="66"/>
      <c r="J68" s="66"/>
      <c r="K68" s="66"/>
      <c r="L68" s="66"/>
      <c r="M68" s="157" t="s">
        <v>795</v>
      </c>
      <c r="N68" s="158">
        <v>46157.0</v>
      </c>
      <c r="O68" s="66">
        <v>1.0</v>
      </c>
      <c r="P68" s="66"/>
      <c r="Q68" s="66"/>
      <c r="R68" s="66"/>
      <c r="S68" s="66"/>
      <c r="T68" s="66" t="s">
        <v>222</v>
      </c>
      <c r="U68" s="158">
        <v>46265.0</v>
      </c>
      <c r="V68" s="66">
        <v>1.0</v>
      </c>
      <c r="W68" s="66"/>
      <c r="X68" s="66"/>
      <c r="Y68" s="66"/>
      <c r="Z68" s="66"/>
    </row>
    <row r="69">
      <c r="A69" s="66"/>
      <c r="B69" s="66"/>
      <c r="C69" s="66"/>
      <c r="D69" s="66"/>
      <c r="E69" s="66"/>
      <c r="F69" s="66"/>
      <c r="G69" s="66"/>
      <c r="H69" s="66"/>
      <c r="I69" s="66"/>
      <c r="J69" s="66"/>
      <c r="K69" s="66"/>
      <c r="L69" s="66"/>
      <c r="M69" s="157" t="s">
        <v>796</v>
      </c>
      <c r="N69" s="158">
        <v>46142.0</v>
      </c>
      <c r="O69" s="66">
        <v>1.0</v>
      </c>
      <c r="P69" s="66"/>
      <c r="Q69" s="66"/>
      <c r="R69" s="66"/>
      <c r="S69" s="66"/>
      <c r="T69" s="66" t="s">
        <v>221</v>
      </c>
      <c r="U69" s="158">
        <v>46265.0</v>
      </c>
      <c r="V69" s="66">
        <v>1.0</v>
      </c>
      <c r="W69" s="66"/>
      <c r="X69" s="66"/>
      <c r="Y69" s="66"/>
      <c r="Z69" s="66"/>
    </row>
    <row r="70">
      <c r="A70" s="66"/>
      <c r="B70" s="66"/>
      <c r="C70" s="66"/>
      <c r="D70" s="66"/>
      <c r="E70" s="66"/>
      <c r="F70" s="66"/>
      <c r="G70" s="66"/>
      <c r="H70" s="66"/>
      <c r="I70" s="66"/>
      <c r="J70" s="66"/>
      <c r="K70" s="66"/>
      <c r="L70" s="66"/>
      <c r="M70" s="66" t="s">
        <v>797</v>
      </c>
      <c r="N70" s="158">
        <v>46142.0</v>
      </c>
      <c r="O70" s="66">
        <v>1.0</v>
      </c>
      <c r="P70" s="66"/>
      <c r="Q70" s="66"/>
      <c r="R70" s="66"/>
      <c r="S70" s="66"/>
      <c r="T70" s="66" t="s">
        <v>119</v>
      </c>
      <c r="U70" s="158">
        <v>46203.0</v>
      </c>
      <c r="V70" s="66">
        <v>1.0</v>
      </c>
      <c r="W70" s="66"/>
      <c r="X70" s="66"/>
      <c r="Y70" s="66"/>
      <c r="Z70" s="66"/>
    </row>
    <row r="71">
      <c r="A71" s="66"/>
      <c r="B71" s="66"/>
      <c r="C71" s="66"/>
      <c r="D71" s="66"/>
      <c r="E71" s="66"/>
      <c r="F71" s="66"/>
      <c r="G71" s="66"/>
      <c r="H71" s="66"/>
      <c r="I71" s="66"/>
      <c r="J71" s="66"/>
      <c r="K71" s="66"/>
      <c r="L71" s="66"/>
      <c r="M71" s="157" t="s">
        <v>798</v>
      </c>
      <c r="N71" s="158">
        <v>46112.0</v>
      </c>
      <c r="O71" s="66">
        <v>1.0</v>
      </c>
      <c r="P71" s="66"/>
      <c r="Q71" s="66"/>
      <c r="R71" s="66"/>
      <c r="S71" s="66"/>
      <c r="T71" s="66" t="s">
        <v>187</v>
      </c>
      <c r="U71" s="158">
        <v>46249.0</v>
      </c>
      <c r="V71" s="66">
        <v>10.0</v>
      </c>
      <c r="W71" s="66"/>
      <c r="X71" s="66"/>
      <c r="Y71" s="66"/>
      <c r="Z71" s="66"/>
    </row>
    <row r="72">
      <c r="A72" s="66"/>
      <c r="B72" s="66"/>
      <c r="C72" s="66"/>
      <c r="D72" s="66"/>
      <c r="E72" s="66"/>
      <c r="F72" s="66"/>
      <c r="G72" s="66"/>
      <c r="H72" s="66"/>
      <c r="I72" s="66"/>
      <c r="J72" s="66"/>
      <c r="K72" s="66"/>
      <c r="L72" s="66"/>
      <c r="M72" s="157" t="s">
        <v>799</v>
      </c>
      <c r="N72" s="158">
        <v>46165.0</v>
      </c>
      <c r="O72" s="66">
        <v>1.0</v>
      </c>
      <c r="P72" s="66"/>
      <c r="Q72" s="66"/>
      <c r="R72" s="66"/>
      <c r="S72" s="66"/>
      <c r="T72" s="66" t="s">
        <v>225</v>
      </c>
      <c r="U72" s="158">
        <v>46249.0</v>
      </c>
      <c r="V72" s="66">
        <v>1.0</v>
      </c>
      <c r="W72" s="66"/>
      <c r="X72" s="66"/>
      <c r="Y72" s="66"/>
      <c r="Z72" s="66"/>
    </row>
    <row r="73">
      <c r="A73" s="66"/>
      <c r="B73" s="66"/>
      <c r="C73" s="66"/>
      <c r="D73" s="66"/>
      <c r="E73" s="66"/>
      <c r="F73" s="66"/>
      <c r="G73" s="66"/>
      <c r="H73" s="66"/>
      <c r="I73" s="66"/>
      <c r="J73" s="66"/>
      <c r="K73" s="66"/>
      <c r="L73" s="66"/>
      <c r="M73" s="157" t="s">
        <v>800</v>
      </c>
      <c r="N73" s="158">
        <v>46142.0</v>
      </c>
      <c r="O73" s="66">
        <v>1.0</v>
      </c>
      <c r="P73" s="66"/>
      <c r="Q73" s="66"/>
      <c r="R73" s="66"/>
      <c r="S73" s="66"/>
      <c r="T73" s="66" t="s">
        <v>155</v>
      </c>
      <c r="U73" s="158">
        <v>46249.0</v>
      </c>
      <c r="V73" s="66">
        <v>10.0</v>
      </c>
      <c r="W73" s="66"/>
      <c r="X73" s="66"/>
      <c r="Y73" s="66"/>
      <c r="Z73" s="66"/>
    </row>
    <row r="74">
      <c r="A74" s="66"/>
      <c r="B74" s="66"/>
      <c r="C74" s="66"/>
      <c r="D74" s="66"/>
      <c r="E74" s="66"/>
      <c r="F74" s="66"/>
      <c r="G74" s="66"/>
      <c r="H74" s="66"/>
      <c r="I74" s="66"/>
      <c r="J74" s="66"/>
      <c r="K74" s="66"/>
      <c r="L74" s="66"/>
      <c r="M74" s="157" t="s">
        <v>801</v>
      </c>
      <c r="N74" s="158">
        <v>46096.0</v>
      </c>
      <c r="O74" s="66">
        <v>1.0</v>
      </c>
      <c r="P74" s="66"/>
      <c r="Q74" s="66"/>
      <c r="R74" s="66"/>
      <c r="S74" s="66"/>
      <c r="T74" s="66" t="s">
        <v>235</v>
      </c>
      <c r="U74" s="158">
        <v>46249.0</v>
      </c>
      <c r="V74" s="66">
        <v>1.0</v>
      </c>
      <c r="W74" s="66"/>
      <c r="X74" s="66"/>
      <c r="Y74" s="66"/>
      <c r="Z74" s="66"/>
    </row>
    <row r="75">
      <c r="A75" s="66"/>
      <c r="B75" s="66"/>
      <c r="C75" s="66"/>
      <c r="D75" s="66"/>
      <c r="E75" s="66"/>
      <c r="F75" s="66"/>
      <c r="G75" s="66"/>
      <c r="H75" s="66"/>
      <c r="I75" s="66"/>
      <c r="J75" s="66"/>
      <c r="K75" s="66"/>
      <c r="L75" s="66"/>
      <c r="M75" s="157" t="s">
        <v>155</v>
      </c>
      <c r="N75" s="158">
        <v>46165.0</v>
      </c>
      <c r="O75" s="66">
        <v>1.0</v>
      </c>
      <c r="P75" s="66"/>
      <c r="Q75" s="66"/>
      <c r="R75" s="66"/>
      <c r="S75" s="66"/>
      <c r="T75" s="66" t="s">
        <v>233</v>
      </c>
      <c r="U75" s="158">
        <v>46249.0</v>
      </c>
      <c r="V75" s="66">
        <v>1.0</v>
      </c>
      <c r="W75" s="66"/>
      <c r="X75" s="66"/>
      <c r="Y75" s="66"/>
      <c r="Z75" s="66"/>
    </row>
    <row r="76">
      <c r="A76" s="66"/>
      <c r="B76" s="66"/>
      <c r="C76" s="66"/>
      <c r="D76" s="66"/>
      <c r="E76" s="66"/>
      <c r="F76" s="66"/>
      <c r="G76" s="66"/>
      <c r="H76" s="66"/>
      <c r="I76" s="66"/>
      <c r="J76" s="66"/>
      <c r="K76" s="66"/>
      <c r="L76" s="66"/>
      <c r="M76" s="157" t="s">
        <v>802</v>
      </c>
      <c r="N76" s="158">
        <v>46096.0</v>
      </c>
      <c r="O76" s="66">
        <v>1.0</v>
      </c>
      <c r="P76" s="66"/>
      <c r="Q76" s="66"/>
      <c r="R76" s="66"/>
      <c r="S76" s="66"/>
      <c r="T76" s="66" t="s">
        <v>126</v>
      </c>
      <c r="U76" s="158">
        <v>46203.0</v>
      </c>
      <c r="V76" s="66">
        <v>1.0</v>
      </c>
      <c r="W76" s="66"/>
      <c r="X76" s="66"/>
      <c r="Y76" s="66"/>
      <c r="Z76" s="66"/>
    </row>
    <row r="77">
      <c r="A77" s="66"/>
      <c r="B77" s="66"/>
      <c r="C77" s="66"/>
      <c r="D77" s="66"/>
      <c r="E77" s="66"/>
      <c r="F77" s="66"/>
      <c r="G77" s="66"/>
      <c r="H77" s="66"/>
      <c r="I77" s="66"/>
      <c r="J77" s="66"/>
      <c r="K77" s="66"/>
      <c r="L77" s="66"/>
      <c r="M77" s="157" t="s">
        <v>803</v>
      </c>
      <c r="N77" s="158">
        <v>46096.0</v>
      </c>
      <c r="O77" s="66">
        <v>1.0</v>
      </c>
      <c r="P77" s="66"/>
      <c r="Q77" s="66"/>
      <c r="R77" s="66"/>
      <c r="S77" s="66"/>
      <c r="T77" s="66" t="s">
        <v>111</v>
      </c>
      <c r="U77" s="158">
        <v>46203.0</v>
      </c>
      <c r="V77" s="66">
        <v>7.0</v>
      </c>
      <c r="W77" s="66"/>
      <c r="X77" s="66"/>
      <c r="Y77" s="66"/>
      <c r="Z77" s="66"/>
    </row>
    <row r="78">
      <c r="A78" s="66"/>
      <c r="B78" s="66"/>
      <c r="C78" s="66"/>
      <c r="D78" s="66"/>
      <c r="E78" s="66"/>
      <c r="F78" s="66"/>
      <c r="G78" s="66"/>
      <c r="H78" s="66"/>
      <c r="I78" s="66"/>
      <c r="J78" s="66"/>
      <c r="K78" s="66"/>
      <c r="L78" s="66"/>
      <c r="M78" s="157" t="s">
        <v>804</v>
      </c>
      <c r="N78" s="158">
        <v>46157.0</v>
      </c>
      <c r="O78" s="66">
        <v>1.0</v>
      </c>
      <c r="P78" s="66"/>
      <c r="Q78" s="66"/>
      <c r="R78" s="66"/>
      <c r="S78" s="66"/>
      <c r="T78" s="66" t="s">
        <v>106</v>
      </c>
      <c r="U78" s="158">
        <v>46203.0</v>
      </c>
      <c r="V78" s="66">
        <v>3.0</v>
      </c>
      <c r="W78" s="66"/>
      <c r="X78" s="66"/>
      <c r="Y78" s="66"/>
      <c r="Z78" s="66"/>
    </row>
    <row r="79">
      <c r="A79" s="66"/>
      <c r="B79" s="66"/>
      <c r="C79" s="66"/>
      <c r="D79" s="66"/>
      <c r="E79" s="66"/>
      <c r="F79" s="66"/>
      <c r="G79" s="66"/>
      <c r="H79" s="66"/>
      <c r="I79" s="66"/>
      <c r="J79" s="66"/>
      <c r="K79" s="66"/>
      <c r="L79" s="66"/>
      <c r="M79" s="157" t="s">
        <v>126</v>
      </c>
      <c r="N79" s="158">
        <v>46165.0</v>
      </c>
      <c r="O79" s="66">
        <v>1.0</v>
      </c>
      <c r="P79" s="66"/>
      <c r="Q79" s="66"/>
      <c r="R79" s="66"/>
      <c r="S79" s="66"/>
      <c r="T79" s="66" t="s">
        <v>122</v>
      </c>
      <c r="U79" s="158">
        <v>46203.0</v>
      </c>
      <c r="V79" s="66">
        <v>1.0</v>
      </c>
      <c r="W79" s="66"/>
      <c r="X79" s="66"/>
      <c r="Y79" s="66"/>
      <c r="Z79" s="66"/>
    </row>
    <row r="80">
      <c r="A80" s="66"/>
      <c r="B80" s="66"/>
      <c r="C80" s="66"/>
      <c r="D80" s="66"/>
      <c r="E80" s="66"/>
      <c r="F80" s="66"/>
      <c r="G80" s="66"/>
      <c r="H80" s="66"/>
      <c r="I80" s="66"/>
      <c r="J80" s="66"/>
      <c r="K80" s="66"/>
      <c r="L80" s="66"/>
      <c r="M80" s="157" t="s">
        <v>805</v>
      </c>
      <c r="N80" s="158">
        <v>46165.0</v>
      </c>
      <c r="O80" s="66">
        <v>1.0</v>
      </c>
      <c r="P80" s="66"/>
      <c r="Q80" s="66"/>
      <c r="R80" s="66"/>
      <c r="S80" s="66"/>
      <c r="T80" s="66" t="s">
        <v>212</v>
      </c>
      <c r="U80" s="158">
        <v>46280.0</v>
      </c>
      <c r="V80" s="66">
        <v>7.0</v>
      </c>
      <c r="W80" s="66"/>
      <c r="X80" s="66"/>
      <c r="Y80" s="66"/>
      <c r="Z80" s="66"/>
    </row>
    <row r="81">
      <c r="A81" s="66"/>
      <c r="B81" s="66"/>
      <c r="C81" s="66"/>
      <c r="D81" s="66"/>
      <c r="E81" s="66"/>
      <c r="F81" s="66"/>
      <c r="G81" s="66"/>
      <c r="H81" s="66"/>
      <c r="I81" s="66"/>
      <c r="J81" s="66"/>
      <c r="K81" s="66"/>
      <c r="L81" s="66"/>
      <c r="M81" s="157" t="s">
        <v>806</v>
      </c>
      <c r="N81" s="158">
        <v>46165.0</v>
      </c>
      <c r="O81" s="66">
        <v>1.0</v>
      </c>
      <c r="P81" s="66"/>
      <c r="Q81" s="66"/>
      <c r="R81" s="66"/>
      <c r="S81" s="66"/>
      <c r="T81" s="66" t="s">
        <v>167</v>
      </c>
      <c r="U81" s="158">
        <v>46249.0</v>
      </c>
      <c r="V81" s="66">
        <v>18.0</v>
      </c>
      <c r="W81" s="66"/>
      <c r="X81" s="66"/>
      <c r="Y81" s="66"/>
      <c r="Z81" s="66"/>
    </row>
    <row r="82">
      <c r="A82" s="66"/>
      <c r="B82" s="66"/>
      <c r="C82" s="66"/>
      <c r="D82" s="66"/>
      <c r="E82" s="66"/>
      <c r="F82" s="66"/>
      <c r="G82" s="66"/>
      <c r="H82" s="66"/>
      <c r="I82" s="66"/>
      <c r="J82" s="66"/>
      <c r="K82" s="66"/>
      <c r="L82" s="66"/>
      <c r="M82" s="157" t="s">
        <v>382</v>
      </c>
      <c r="N82" s="158">
        <v>46165.0</v>
      </c>
      <c r="O82" s="66">
        <v>1.0</v>
      </c>
      <c r="P82" s="66"/>
      <c r="Q82" s="66"/>
      <c r="R82" s="66"/>
      <c r="S82" s="66"/>
      <c r="T82" s="66" t="s">
        <v>199</v>
      </c>
      <c r="U82" s="158">
        <v>46249.0</v>
      </c>
      <c r="V82" s="66">
        <v>11.0</v>
      </c>
      <c r="W82" s="66"/>
      <c r="X82" s="66"/>
      <c r="Y82" s="66"/>
      <c r="Z82" s="66"/>
    </row>
    <row r="83">
      <c r="A83" s="66"/>
      <c r="B83" s="66"/>
      <c r="C83" s="66"/>
      <c r="D83" s="66"/>
      <c r="E83" s="66"/>
      <c r="F83" s="66"/>
      <c r="G83" s="66"/>
      <c r="H83" s="66"/>
      <c r="I83" s="66"/>
      <c r="J83" s="66"/>
      <c r="K83" s="66"/>
      <c r="L83" s="66"/>
      <c r="M83" s="157" t="s">
        <v>807</v>
      </c>
      <c r="N83" s="158">
        <v>46165.0</v>
      </c>
      <c r="O83" s="66">
        <v>2.0</v>
      </c>
      <c r="P83" s="66"/>
      <c r="Q83" s="66"/>
      <c r="R83" s="66"/>
      <c r="S83" s="66"/>
      <c r="T83" s="66" t="s">
        <v>237</v>
      </c>
      <c r="U83" s="158">
        <v>46249.0</v>
      </c>
      <c r="V83" s="66">
        <v>1.0</v>
      </c>
      <c r="W83" s="66"/>
      <c r="X83" s="66"/>
      <c r="Y83" s="66"/>
      <c r="Z83" s="66"/>
    </row>
    <row r="84">
      <c r="A84" s="66"/>
      <c r="B84" s="66"/>
      <c r="C84" s="66"/>
      <c r="D84" s="66"/>
      <c r="E84" s="66"/>
      <c r="F84" s="66"/>
      <c r="G84" s="66"/>
      <c r="H84" s="66"/>
      <c r="I84" s="66"/>
      <c r="J84" s="66"/>
      <c r="K84" s="66"/>
      <c r="L84" s="66"/>
      <c r="M84" s="157" t="s">
        <v>808</v>
      </c>
      <c r="N84" s="158">
        <v>46165.0</v>
      </c>
      <c r="O84" s="66">
        <v>1.0</v>
      </c>
      <c r="P84" s="66"/>
      <c r="Q84" s="66"/>
      <c r="R84" s="66"/>
      <c r="S84" s="66"/>
      <c r="T84" s="66" t="s">
        <v>145</v>
      </c>
      <c r="U84" s="158">
        <v>46203.0</v>
      </c>
      <c r="V84" s="66">
        <v>8.0</v>
      </c>
      <c r="W84" s="66"/>
      <c r="X84" s="66"/>
      <c r="Y84" s="66"/>
      <c r="Z84" s="66"/>
    </row>
    <row r="85">
      <c r="A85" s="66"/>
      <c r="B85" s="66"/>
      <c r="C85" s="66"/>
      <c r="D85" s="66"/>
      <c r="E85" s="66"/>
      <c r="F85" s="66"/>
      <c r="G85" s="66"/>
      <c r="H85" s="66"/>
      <c r="I85" s="66"/>
      <c r="J85" s="66"/>
      <c r="K85" s="66"/>
      <c r="L85" s="66"/>
      <c r="M85" s="157" t="s">
        <v>809</v>
      </c>
      <c r="N85" s="158">
        <v>46165.0</v>
      </c>
      <c r="O85" s="66">
        <v>1.0</v>
      </c>
      <c r="P85" s="66"/>
      <c r="Q85" s="66"/>
      <c r="R85" s="66"/>
      <c r="S85" s="66"/>
      <c r="T85" s="66" t="s">
        <v>128</v>
      </c>
      <c r="U85" s="158">
        <v>46203.0</v>
      </c>
      <c r="V85" s="66">
        <v>2.0</v>
      </c>
      <c r="W85" s="66"/>
      <c r="X85" s="66"/>
      <c r="Y85" s="66"/>
      <c r="Z85" s="66"/>
    </row>
    <row r="86">
      <c r="A86" s="66"/>
      <c r="B86" s="66"/>
      <c r="C86" s="66"/>
      <c r="D86" s="66"/>
      <c r="E86" s="66"/>
      <c r="F86" s="66"/>
      <c r="G86" s="66"/>
      <c r="H86" s="66"/>
      <c r="I86" s="66"/>
      <c r="J86" s="66"/>
      <c r="K86" s="66"/>
      <c r="L86" s="66"/>
      <c r="M86" s="157" t="s">
        <v>810</v>
      </c>
      <c r="N86" s="158">
        <v>46165.0</v>
      </c>
      <c r="O86" s="66">
        <v>1.0</v>
      </c>
      <c r="P86" s="66"/>
      <c r="Q86" s="66"/>
      <c r="R86" s="66"/>
      <c r="S86" s="66"/>
      <c r="T86" s="66"/>
      <c r="U86" s="158">
        <v>46234.0</v>
      </c>
      <c r="V86" s="66">
        <v>1.0</v>
      </c>
      <c r="W86" s="66"/>
      <c r="X86" s="66"/>
      <c r="Y86" s="66"/>
      <c r="Z86" s="66"/>
    </row>
    <row r="87">
      <c r="A87" s="66"/>
      <c r="B87" s="66"/>
      <c r="C87" s="66"/>
      <c r="D87" s="66"/>
      <c r="E87" s="66"/>
      <c r="F87" s="66"/>
      <c r="G87" s="66"/>
      <c r="H87" s="66"/>
      <c r="I87" s="66"/>
      <c r="J87" s="66"/>
      <c r="K87" s="66"/>
      <c r="L87" s="66"/>
      <c r="M87" s="157" t="s">
        <v>811</v>
      </c>
      <c r="N87" s="158">
        <v>46165.0</v>
      </c>
      <c r="O87" s="66">
        <v>1.0</v>
      </c>
      <c r="P87" s="66"/>
      <c r="Q87" s="66"/>
      <c r="R87" s="66"/>
      <c r="S87" s="66"/>
      <c r="T87" s="66" t="s">
        <v>260</v>
      </c>
      <c r="U87" s="158">
        <v>46218.0</v>
      </c>
      <c r="V87" s="66">
        <v>4.0</v>
      </c>
      <c r="W87" s="66"/>
      <c r="X87" s="66"/>
      <c r="Y87" s="66"/>
      <c r="Z87" s="66"/>
    </row>
    <row r="88">
      <c r="A88" s="66"/>
      <c r="B88" s="66"/>
      <c r="C88" s="66"/>
      <c r="D88" s="66"/>
      <c r="E88" s="66"/>
      <c r="F88" s="66"/>
      <c r="G88" s="66"/>
      <c r="H88" s="66"/>
      <c r="I88" s="66"/>
      <c r="J88" s="66"/>
      <c r="K88" s="66"/>
      <c r="L88" s="66"/>
      <c r="M88" s="157" t="s">
        <v>812</v>
      </c>
      <c r="N88" s="158">
        <v>46165.0</v>
      </c>
      <c r="O88" s="66">
        <v>1.0</v>
      </c>
      <c r="P88" s="66"/>
      <c r="Q88" s="66"/>
      <c r="R88" s="66"/>
      <c r="S88" s="66"/>
      <c r="T88" s="66" t="s">
        <v>124</v>
      </c>
      <c r="U88" s="158">
        <v>46203.0</v>
      </c>
      <c r="V88" s="66">
        <v>1.0</v>
      </c>
      <c r="W88" s="66"/>
      <c r="X88" s="66"/>
      <c r="Y88" s="66"/>
      <c r="Z88" s="66"/>
    </row>
    <row r="89">
      <c r="A89" s="66"/>
      <c r="B89" s="66"/>
      <c r="C89" s="66"/>
      <c r="D89" s="66"/>
      <c r="E89" s="66"/>
      <c r="F89" s="66"/>
      <c r="G89" s="66"/>
      <c r="H89" s="66"/>
      <c r="I89" s="66"/>
      <c r="J89" s="66"/>
      <c r="K89" s="66"/>
      <c r="L89" s="66"/>
      <c r="M89" s="157" t="s">
        <v>813</v>
      </c>
      <c r="N89" s="158">
        <v>46165.0</v>
      </c>
      <c r="O89" s="66">
        <v>1.0</v>
      </c>
      <c r="P89" s="66"/>
      <c r="Q89" s="66"/>
      <c r="R89" s="66"/>
      <c r="S89" s="66"/>
      <c r="T89" s="66" t="s">
        <v>229</v>
      </c>
      <c r="U89" s="158">
        <v>46249.0</v>
      </c>
      <c r="V89" s="66">
        <v>1.0</v>
      </c>
      <c r="W89" s="66"/>
      <c r="X89" s="66"/>
      <c r="Y89" s="66"/>
      <c r="Z89" s="66"/>
    </row>
    <row r="90">
      <c r="A90" s="66"/>
      <c r="B90" s="66"/>
      <c r="C90" s="66"/>
      <c r="D90" s="66"/>
      <c r="E90" s="66"/>
      <c r="F90" s="66"/>
      <c r="G90" s="66"/>
      <c r="H90" s="66"/>
      <c r="I90" s="66"/>
      <c r="J90" s="66"/>
      <c r="K90" s="66"/>
      <c r="L90" s="66"/>
      <c r="M90" s="157" t="s">
        <v>814</v>
      </c>
      <c r="N90" s="158">
        <v>46165.0</v>
      </c>
      <c r="O90" s="66">
        <v>1.0</v>
      </c>
      <c r="P90" s="66"/>
      <c r="Q90" s="66"/>
      <c r="R90" s="66"/>
      <c r="S90" s="66"/>
      <c r="T90" s="66" t="s">
        <v>227</v>
      </c>
      <c r="U90" s="158">
        <v>46249.0</v>
      </c>
      <c r="V90" s="66">
        <v>1.0</v>
      </c>
      <c r="W90" s="66"/>
      <c r="X90" s="66"/>
      <c r="Y90" s="66"/>
      <c r="Z90" s="66"/>
    </row>
    <row r="91">
      <c r="A91" s="66"/>
      <c r="B91" s="66"/>
      <c r="C91" s="66"/>
      <c r="D91" s="66"/>
      <c r="E91" s="66"/>
      <c r="F91" s="66"/>
      <c r="G91" s="66"/>
      <c r="H91" s="66"/>
      <c r="I91" s="66"/>
      <c r="J91" s="66"/>
      <c r="K91" s="66"/>
      <c r="L91" s="66"/>
      <c r="M91" s="157" t="s">
        <v>815</v>
      </c>
      <c r="N91" s="158">
        <v>46096.0</v>
      </c>
      <c r="O91" s="66">
        <v>1.0</v>
      </c>
      <c r="P91" s="66"/>
      <c r="Q91" s="66"/>
      <c r="R91" s="66"/>
      <c r="S91" s="66"/>
      <c r="T91" s="66" t="s">
        <v>133</v>
      </c>
      <c r="U91" s="158">
        <v>46249.0</v>
      </c>
      <c r="V91" s="66">
        <v>8.0</v>
      </c>
      <c r="W91" s="66"/>
      <c r="X91" s="66"/>
      <c r="Y91" s="66"/>
      <c r="Z91" s="66"/>
    </row>
    <row r="92">
      <c r="A92" s="66"/>
      <c r="B92" s="66"/>
      <c r="C92" s="66"/>
      <c r="D92" s="66"/>
      <c r="E92" s="66"/>
      <c r="F92" s="66"/>
      <c r="G92" s="66"/>
      <c r="H92" s="66"/>
      <c r="I92" s="66"/>
      <c r="J92" s="66"/>
      <c r="K92" s="66"/>
      <c r="L92" s="66"/>
      <c r="M92" s="157" t="s">
        <v>816</v>
      </c>
      <c r="N92" s="158">
        <v>46165.0</v>
      </c>
      <c r="O92" s="66">
        <v>1.0</v>
      </c>
      <c r="P92" s="66"/>
      <c r="Q92" s="66"/>
      <c r="R92" s="66"/>
      <c r="S92" s="66"/>
      <c r="T92" s="66" t="s">
        <v>142</v>
      </c>
      <c r="U92" s="158">
        <v>46249.0</v>
      </c>
      <c r="V92" s="66">
        <v>8.0</v>
      </c>
      <c r="W92" s="66"/>
      <c r="X92" s="66"/>
      <c r="Y92" s="66"/>
      <c r="Z92" s="66"/>
    </row>
    <row r="93">
      <c r="A93" s="66"/>
      <c r="B93" s="66"/>
      <c r="C93" s="66"/>
      <c r="D93" s="66"/>
      <c r="E93" s="66"/>
      <c r="F93" s="66"/>
      <c r="G93" s="66"/>
      <c r="H93" s="66"/>
      <c r="I93" s="66"/>
      <c r="J93" s="66"/>
      <c r="K93" s="66"/>
      <c r="L93" s="66"/>
      <c r="M93" s="157" t="s">
        <v>817</v>
      </c>
      <c r="N93" s="158">
        <v>46142.0</v>
      </c>
      <c r="O93" s="66">
        <v>1.0</v>
      </c>
      <c r="P93" s="66"/>
      <c r="Q93" s="66"/>
      <c r="R93" s="66"/>
      <c r="S93" s="66"/>
      <c r="T93" s="66" t="s">
        <v>231</v>
      </c>
      <c r="U93" s="158">
        <v>46249.0</v>
      </c>
      <c r="V93" s="66">
        <v>1.0</v>
      </c>
      <c r="W93" s="66"/>
      <c r="X93" s="66"/>
      <c r="Y93" s="66"/>
      <c r="Z93" s="66"/>
    </row>
    <row r="94">
      <c r="A94" s="66"/>
      <c r="B94" s="66"/>
      <c r="C94" s="66"/>
      <c r="D94" s="66"/>
      <c r="E94" s="66"/>
      <c r="F94" s="66"/>
      <c r="G94" s="66"/>
      <c r="H94" s="66"/>
      <c r="I94" s="66"/>
      <c r="J94" s="66"/>
      <c r="K94" s="66"/>
      <c r="L94" s="66"/>
      <c r="M94" s="157" t="s">
        <v>818</v>
      </c>
      <c r="N94" s="158">
        <v>46165.0</v>
      </c>
      <c r="O94" s="66">
        <v>1.0</v>
      </c>
      <c r="P94" s="66"/>
      <c r="Q94" s="66"/>
      <c r="R94" s="66" t="s">
        <v>100</v>
      </c>
      <c r="S94" s="158" t="s">
        <v>30</v>
      </c>
      <c r="T94" s="66" t="s">
        <v>100</v>
      </c>
      <c r="U94" s="158">
        <v>46295.0</v>
      </c>
      <c r="V94" s="66">
        <v>3.0</v>
      </c>
      <c r="W94" s="66"/>
      <c r="X94" s="66"/>
      <c r="Y94" s="66"/>
      <c r="Z94" s="66"/>
    </row>
    <row r="95">
      <c r="A95" s="66"/>
      <c r="B95" s="66"/>
      <c r="C95" s="66"/>
      <c r="D95" s="66"/>
      <c r="E95" s="66"/>
      <c r="F95" s="66"/>
      <c r="G95" s="66"/>
      <c r="H95" s="66"/>
      <c r="I95" s="66"/>
      <c r="J95" s="66"/>
      <c r="K95" s="66"/>
      <c r="L95" s="66"/>
      <c r="M95" s="157" t="s">
        <v>819</v>
      </c>
      <c r="N95" s="158">
        <v>46142.0</v>
      </c>
      <c r="O95" s="66">
        <v>1.0</v>
      </c>
      <c r="P95" s="66"/>
      <c r="Q95" s="66"/>
      <c r="R95" s="66" t="s">
        <v>511</v>
      </c>
      <c r="S95" s="158" t="s">
        <v>721</v>
      </c>
      <c r="T95" s="66" t="s">
        <v>516</v>
      </c>
      <c r="U95" s="158">
        <v>46157.0</v>
      </c>
      <c r="V95" s="66">
        <v>8.0</v>
      </c>
      <c r="W95" s="66"/>
      <c r="X95" s="66"/>
      <c r="Y95" s="66"/>
      <c r="Z95" s="66"/>
    </row>
    <row r="96">
      <c r="A96" s="66"/>
      <c r="B96" s="66"/>
      <c r="C96" s="66"/>
      <c r="D96" s="66"/>
      <c r="E96" s="66"/>
      <c r="F96" s="66"/>
      <c r="G96" s="66"/>
      <c r="H96" s="66"/>
      <c r="I96" s="66"/>
      <c r="J96" s="66"/>
      <c r="K96" s="66"/>
      <c r="L96" s="66"/>
      <c r="M96" s="157" t="s">
        <v>820</v>
      </c>
      <c r="N96" s="158">
        <v>46142.0</v>
      </c>
      <c r="O96" s="66">
        <v>1.0</v>
      </c>
      <c r="P96" s="66"/>
      <c r="Q96" s="66"/>
      <c r="R96" s="66"/>
      <c r="S96" s="66"/>
      <c r="T96" s="66" t="s">
        <v>512</v>
      </c>
      <c r="U96" s="158">
        <v>46157.0</v>
      </c>
      <c r="V96" s="66">
        <v>3.0</v>
      </c>
      <c r="W96" s="66"/>
      <c r="X96" s="66"/>
      <c r="Y96" s="66"/>
      <c r="Z96" s="66"/>
    </row>
    <row r="97">
      <c r="A97" s="66"/>
      <c r="B97" s="66"/>
      <c r="C97" s="66"/>
      <c r="D97" s="66"/>
      <c r="E97" s="66"/>
      <c r="F97" s="66"/>
      <c r="G97" s="66"/>
      <c r="H97" s="66"/>
      <c r="I97" s="66"/>
      <c r="J97" s="66"/>
      <c r="K97" s="66"/>
      <c r="L97" s="66"/>
      <c r="M97" s="157" t="s">
        <v>821</v>
      </c>
      <c r="N97" s="158">
        <v>46165.0</v>
      </c>
      <c r="O97" s="66">
        <v>1.0</v>
      </c>
      <c r="P97" s="66"/>
      <c r="Q97" s="66"/>
      <c r="R97" s="66"/>
      <c r="S97" s="66"/>
      <c r="T97" s="66" t="s">
        <v>525</v>
      </c>
      <c r="U97" s="158">
        <v>46157.0</v>
      </c>
      <c r="V97" s="66">
        <v>6.0</v>
      </c>
      <c r="W97" s="66"/>
      <c r="X97" s="66"/>
      <c r="Y97" s="66"/>
      <c r="Z97" s="66"/>
    </row>
    <row r="98">
      <c r="A98" s="66"/>
      <c r="B98" s="66"/>
      <c r="C98" s="66"/>
      <c r="D98" s="66"/>
      <c r="E98" s="66"/>
      <c r="F98" s="66"/>
      <c r="G98" s="66"/>
      <c r="H98" s="66"/>
      <c r="I98" s="66"/>
      <c r="J98" s="66"/>
      <c r="K98" s="66"/>
      <c r="L98" s="66"/>
      <c r="M98" s="157" t="s">
        <v>822</v>
      </c>
      <c r="N98" s="158">
        <v>46165.0</v>
      </c>
      <c r="O98" s="66">
        <v>1.0</v>
      </c>
      <c r="P98" s="66"/>
      <c r="Q98" s="66"/>
      <c r="R98" s="66" t="s">
        <v>532</v>
      </c>
      <c r="S98" s="158" t="s">
        <v>718</v>
      </c>
      <c r="T98" s="66" t="s">
        <v>537</v>
      </c>
      <c r="U98" s="159">
        <v>46203.0</v>
      </c>
      <c r="V98" s="66">
        <v>1.0</v>
      </c>
      <c r="W98" s="66"/>
      <c r="X98" s="66"/>
      <c r="Y98" s="66"/>
      <c r="Z98" s="66"/>
    </row>
    <row r="99">
      <c r="A99" s="66"/>
      <c r="B99" s="66"/>
      <c r="C99" s="66"/>
      <c r="D99" s="66"/>
      <c r="E99" s="66"/>
      <c r="F99" s="66"/>
      <c r="G99" s="66"/>
      <c r="H99" s="66"/>
      <c r="I99" s="66"/>
      <c r="J99" s="66"/>
      <c r="K99" s="66"/>
      <c r="L99" s="66"/>
      <c r="M99" s="157" t="s">
        <v>823</v>
      </c>
      <c r="N99" s="158">
        <v>46165.0</v>
      </c>
      <c r="O99" s="66">
        <v>1.0</v>
      </c>
      <c r="P99" s="66"/>
      <c r="Q99" s="66"/>
      <c r="R99" s="66"/>
      <c r="S99" s="66"/>
      <c r="T99" s="66" t="s">
        <v>549</v>
      </c>
      <c r="U99" s="159">
        <v>46203.0</v>
      </c>
      <c r="V99" s="66">
        <v>1.0</v>
      </c>
      <c r="W99" s="66"/>
      <c r="X99" s="66"/>
      <c r="Y99" s="66"/>
      <c r="Z99" s="66"/>
    </row>
    <row r="100">
      <c r="A100" s="66"/>
      <c r="B100" s="66"/>
      <c r="C100" s="66"/>
      <c r="D100" s="66"/>
      <c r="E100" s="66"/>
      <c r="F100" s="66"/>
      <c r="G100" s="66"/>
      <c r="H100" s="66"/>
      <c r="I100" s="66"/>
      <c r="J100" s="66"/>
      <c r="K100" s="66"/>
      <c r="L100" s="66"/>
      <c r="M100" s="157" t="s">
        <v>824</v>
      </c>
      <c r="N100" s="158">
        <v>46142.0</v>
      </c>
      <c r="O100" s="66">
        <v>1.0</v>
      </c>
      <c r="P100" s="66"/>
      <c r="Q100" s="66"/>
      <c r="R100" s="66"/>
      <c r="S100" s="66"/>
      <c r="T100" s="66" t="s">
        <v>556</v>
      </c>
      <c r="U100" s="159">
        <v>46203.0</v>
      </c>
      <c r="V100" s="66">
        <v>1.0</v>
      </c>
      <c r="W100" s="66"/>
      <c r="X100" s="66"/>
      <c r="Y100" s="66"/>
      <c r="Z100" s="66"/>
    </row>
    <row r="101">
      <c r="A101" s="66"/>
      <c r="B101" s="66"/>
      <c r="C101" s="66"/>
      <c r="D101" s="66"/>
      <c r="E101" s="66"/>
      <c r="F101" s="66"/>
      <c r="G101" s="66"/>
      <c r="H101" s="66"/>
      <c r="I101" s="66"/>
      <c r="J101" s="66"/>
      <c r="K101" s="66"/>
      <c r="L101" s="66"/>
      <c r="M101" s="157" t="s">
        <v>825</v>
      </c>
      <c r="N101" s="158">
        <v>46165.0</v>
      </c>
      <c r="O101" s="66">
        <v>1.0</v>
      </c>
      <c r="P101" s="66"/>
      <c r="Q101" s="66"/>
      <c r="R101" s="66"/>
      <c r="S101" s="66"/>
      <c r="T101" s="66" t="s">
        <v>554</v>
      </c>
      <c r="U101" s="159">
        <v>46203.0</v>
      </c>
      <c r="V101" s="66">
        <v>1.0</v>
      </c>
      <c r="W101" s="66"/>
      <c r="X101" s="66"/>
      <c r="Y101" s="66"/>
      <c r="Z101" s="66"/>
    </row>
    <row r="102">
      <c r="A102" s="66"/>
      <c r="B102" s="66"/>
      <c r="C102" s="66"/>
      <c r="D102" s="66"/>
      <c r="E102" s="66"/>
      <c r="F102" s="66"/>
      <c r="G102" s="66"/>
      <c r="H102" s="66"/>
      <c r="I102" s="66"/>
      <c r="J102" s="66"/>
      <c r="K102" s="66"/>
      <c r="L102" s="66"/>
      <c r="M102" s="157" t="s">
        <v>826</v>
      </c>
      <c r="N102" s="158">
        <v>46142.0</v>
      </c>
      <c r="O102" s="66">
        <v>1.0</v>
      </c>
      <c r="P102" s="66"/>
      <c r="Q102" s="66"/>
      <c r="R102" s="66"/>
      <c r="S102" s="66"/>
      <c r="T102" s="66" t="s">
        <v>536</v>
      </c>
      <c r="U102" s="159">
        <v>46203.0</v>
      </c>
      <c r="V102" s="66">
        <v>1.0</v>
      </c>
      <c r="W102" s="66"/>
      <c r="X102" s="66"/>
      <c r="Y102" s="66"/>
      <c r="Z102" s="66"/>
    </row>
    <row r="103">
      <c r="A103" s="66"/>
      <c r="B103" s="66"/>
      <c r="C103" s="66"/>
      <c r="D103" s="66"/>
      <c r="E103" s="66"/>
      <c r="F103" s="66"/>
      <c r="G103" s="66"/>
      <c r="H103" s="66"/>
      <c r="I103" s="66"/>
      <c r="J103" s="66"/>
      <c r="K103" s="66"/>
      <c r="L103" s="66"/>
      <c r="M103" s="157" t="s">
        <v>827</v>
      </c>
      <c r="N103" s="158">
        <v>46165.0</v>
      </c>
      <c r="O103" s="66">
        <v>1.0</v>
      </c>
      <c r="P103" s="66"/>
      <c r="Q103" s="66"/>
      <c r="R103" s="66"/>
      <c r="S103" s="66"/>
      <c r="T103" s="66" t="s">
        <v>548</v>
      </c>
      <c r="U103" s="159">
        <v>46203.0</v>
      </c>
      <c r="V103" s="66">
        <v>1.0</v>
      </c>
      <c r="W103" s="66"/>
      <c r="X103" s="66"/>
      <c r="Y103" s="66"/>
      <c r="Z103" s="66"/>
    </row>
    <row r="104">
      <c r="A104" s="66"/>
      <c r="B104" s="66"/>
      <c r="C104" s="66"/>
      <c r="D104" s="66"/>
      <c r="E104" s="66"/>
      <c r="F104" s="66"/>
      <c r="G104" s="66"/>
      <c r="H104" s="66"/>
      <c r="I104" s="66"/>
      <c r="J104" s="66"/>
      <c r="K104" s="66"/>
      <c r="L104" s="66"/>
      <c r="M104" s="157" t="s">
        <v>828</v>
      </c>
      <c r="N104" s="158">
        <v>46165.0</v>
      </c>
      <c r="O104" s="66">
        <v>1.0</v>
      </c>
      <c r="P104" s="66"/>
      <c r="Q104" s="66"/>
      <c r="R104" s="66"/>
      <c r="S104" s="66"/>
      <c r="T104" s="66" t="s">
        <v>550</v>
      </c>
      <c r="U104" s="159">
        <v>46203.0</v>
      </c>
      <c r="V104" s="66">
        <v>1.0</v>
      </c>
      <c r="W104" s="66"/>
      <c r="X104" s="66"/>
      <c r="Y104" s="66"/>
      <c r="Z104" s="66"/>
    </row>
    <row r="105">
      <c r="A105" s="66"/>
      <c r="B105" s="66"/>
      <c r="C105" s="66"/>
      <c r="D105" s="66"/>
      <c r="E105" s="66"/>
      <c r="F105" s="66"/>
      <c r="G105" s="66"/>
      <c r="H105" s="66"/>
      <c r="I105" s="66"/>
      <c r="J105" s="66"/>
      <c r="K105" s="66"/>
      <c r="L105" s="66"/>
      <c r="M105" s="157" t="s">
        <v>829</v>
      </c>
      <c r="N105" s="158">
        <v>46142.0</v>
      </c>
      <c r="O105" s="66">
        <v>1.0</v>
      </c>
      <c r="P105" s="66"/>
      <c r="Q105" s="66"/>
      <c r="R105" s="66"/>
      <c r="S105" s="66"/>
      <c r="T105" s="66" t="s">
        <v>538</v>
      </c>
      <c r="U105" s="159">
        <v>46203.0</v>
      </c>
      <c r="V105" s="66">
        <v>1.0</v>
      </c>
      <c r="W105" s="66"/>
      <c r="X105" s="66"/>
      <c r="Y105" s="66"/>
      <c r="Z105" s="66"/>
    </row>
    <row r="106">
      <c r="A106" s="66"/>
      <c r="B106" s="66"/>
      <c r="C106" s="66"/>
      <c r="D106" s="66"/>
      <c r="E106" s="66"/>
      <c r="F106" s="66"/>
      <c r="G106" s="66"/>
      <c r="H106" s="66"/>
      <c r="I106" s="66"/>
      <c r="J106" s="66"/>
      <c r="K106" s="66"/>
      <c r="L106" s="66"/>
      <c r="M106" s="157" t="s">
        <v>830</v>
      </c>
      <c r="N106" s="158">
        <v>46157.0</v>
      </c>
      <c r="O106" s="66">
        <v>1.0</v>
      </c>
      <c r="P106" s="66"/>
      <c r="Q106" s="66"/>
      <c r="R106" s="66"/>
      <c r="S106" s="66"/>
      <c r="T106" s="66" t="s">
        <v>534</v>
      </c>
      <c r="U106" s="159">
        <v>46203.0</v>
      </c>
      <c r="V106" s="66">
        <v>1.0</v>
      </c>
      <c r="W106" s="66"/>
      <c r="X106" s="66"/>
      <c r="Y106" s="66"/>
      <c r="Z106" s="66"/>
    </row>
    <row r="107">
      <c r="A107" s="66"/>
      <c r="B107" s="66"/>
      <c r="C107" s="66"/>
      <c r="D107" s="66"/>
      <c r="E107" s="66"/>
      <c r="F107" s="66"/>
      <c r="G107" s="66"/>
      <c r="H107" s="66"/>
      <c r="I107" s="66"/>
      <c r="J107" s="66"/>
      <c r="K107" s="66"/>
      <c r="L107" s="66"/>
      <c r="M107" s="157" t="s">
        <v>831</v>
      </c>
      <c r="N107" s="158">
        <v>46157.0</v>
      </c>
      <c r="O107" s="66">
        <v>1.0</v>
      </c>
      <c r="P107" s="66"/>
      <c r="Q107" s="66"/>
      <c r="R107" s="66"/>
      <c r="S107" s="66"/>
      <c r="T107" s="66" t="s">
        <v>547</v>
      </c>
      <c r="U107" s="159">
        <v>46203.0</v>
      </c>
      <c r="V107" s="66">
        <v>1.0</v>
      </c>
      <c r="W107" s="66"/>
      <c r="X107" s="66"/>
      <c r="Y107" s="66"/>
      <c r="Z107" s="66"/>
    </row>
    <row r="108">
      <c r="A108" s="66"/>
      <c r="B108" s="66"/>
      <c r="C108" s="66"/>
      <c r="D108" s="66"/>
      <c r="E108" s="66"/>
      <c r="F108" s="66"/>
      <c r="G108" s="66"/>
      <c r="H108" s="66"/>
      <c r="I108" s="66"/>
      <c r="J108" s="66"/>
      <c r="K108" s="66"/>
      <c r="L108" s="66"/>
      <c r="M108" s="157" t="s">
        <v>832</v>
      </c>
      <c r="N108" s="158">
        <v>46157.0</v>
      </c>
      <c r="O108" s="66">
        <v>1.0</v>
      </c>
      <c r="P108" s="66"/>
      <c r="Q108" s="66"/>
      <c r="R108" s="66"/>
      <c r="S108" s="66"/>
      <c r="T108" s="66" t="s">
        <v>553</v>
      </c>
      <c r="U108" s="159">
        <v>46203.0</v>
      </c>
      <c r="V108" s="66">
        <v>1.0</v>
      </c>
      <c r="W108" s="66"/>
      <c r="X108" s="66"/>
      <c r="Y108" s="66"/>
      <c r="Z108" s="66"/>
    </row>
    <row r="109">
      <c r="A109" s="66"/>
      <c r="B109" s="66"/>
      <c r="C109" s="66"/>
      <c r="D109" s="66"/>
      <c r="E109" s="66"/>
      <c r="F109" s="66"/>
      <c r="G109" s="66"/>
      <c r="H109" s="66"/>
      <c r="I109" s="66"/>
      <c r="J109" s="66"/>
      <c r="K109" s="66"/>
      <c r="L109" s="66"/>
      <c r="M109" s="157" t="s">
        <v>833</v>
      </c>
      <c r="N109" s="158">
        <v>46157.0</v>
      </c>
      <c r="O109" s="66">
        <v>1.0</v>
      </c>
      <c r="P109" s="66"/>
      <c r="Q109" s="66"/>
      <c r="R109" s="66"/>
      <c r="S109" s="66"/>
      <c r="T109" s="66" t="s">
        <v>541</v>
      </c>
      <c r="U109" s="159">
        <v>46203.0</v>
      </c>
      <c r="V109" s="66">
        <v>1.0</v>
      </c>
      <c r="W109" s="66"/>
      <c r="X109" s="66"/>
      <c r="Y109" s="66"/>
      <c r="Z109" s="66"/>
    </row>
    <row r="110">
      <c r="A110" s="66"/>
      <c r="B110" s="66"/>
      <c r="C110" s="66"/>
      <c r="D110" s="66"/>
      <c r="E110" s="66"/>
      <c r="F110" s="66"/>
      <c r="G110" s="66"/>
      <c r="H110" s="66"/>
      <c r="I110" s="66"/>
      <c r="J110" s="66"/>
      <c r="K110" s="66"/>
      <c r="L110" s="66"/>
      <c r="M110" s="157" t="s">
        <v>834</v>
      </c>
      <c r="N110" s="158">
        <v>46165.0</v>
      </c>
      <c r="O110" s="66">
        <v>1.0</v>
      </c>
      <c r="P110" s="66"/>
      <c r="Q110" s="66"/>
      <c r="R110" s="66"/>
      <c r="S110" s="66"/>
      <c r="T110" s="66" t="s">
        <v>551</v>
      </c>
      <c r="U110" s="159">
        <v>46203.0</v>
      </c>
      <c r="V110" s="66">
        <v>1.0</v>
      </c>
      <c r="W110" s="66"/>
      <c r="X110" s="66"/>
      <c r="Y110" s="66"/>
      <c r="Z110" s="66"/>
    </row>
    <row r="111">
      <c r="A111" s="66"/>
      <c r="B111" s="66"/>
      <c r="C111" s="66"/>
      <c r="D111" s="66"/>
      <c r="E111" s="66"/>
      <c r="F111" s="66"/>
      <c r="G111" s="66"/>
      <c r="H111" s="66"/>
      <c r="I111" s="66"/>
      <c r="J111" s="66"/>
      <c r="K111" s="66"/>
      <c r="L111" s="66"/>
      <c r="M111" s="157" t="s">
        <v>835</v>
      </c>
      <c r="N111" s="158">
        <v>46165.0</v>
      </c>
      <c r="O111" s="66">
        <v>1.0</v>
      </c>
      <c r="P111" s="66"/>
      <c r="Q111" s="66"/>
      <c r="R111" s="66"/>
      <c r="S111" s="66"/>
      <c r="T111" s="66" t="s">
        <v>555</v>
      </c>
      <c r="U111" s="159">
        <v>46203.0</v>
      </c>
      <c r="V111" s="66">
        <v>1.0</v>
      </c>
      <c r="W111" s="66"/>
      <c r="X111" s="66"/>
      <c r="Y111" s="66"/>
      <c r="Z111" s="66"/>
    </row>
    <row r="112">
      <c r="A112" s="66"/>
      <c r="B112" s="66"/>
      <c r="C112" s="66"/>
      <c r="D112" s="66"/>
      <c r="E112" s="66"/>
      <c r="F112" s="66"/>
      <c r="G112" s="66"/>
      <c r="H112" s="66"/>
      <c r="I112" s="66"/>
      <c r="J112" s="66"/>
      <c r="K112" s="66"/>
      <c r="L112" s="66"/>
      <c r="M112" s="157" t="s">
        <v>836</v>
      </c>
      <c r="N112" s="158">
        <v>46142.0</v>
      </c>
      <c r="O112" s="66">
        <v>1.0</v>
      </c>
      <c r="P112" s="66"/>
      <c r="Q112" s="66"/>
      <c r="R112" s="66"/>
      <c r="S112" s="66"/>
      <c r="T112" s="66" t="s">
        <v>535</v>
      </c>
      <c r="U112" s="159">
        <v>46203.0</v>
      </c>
      <c r="V112" s="66">
        <v>1.0</v>
      </c>
      <c r="W112" s="66"/>
      <c r="X112" s="66"/>
      <c r="Y112" s="66"/>
      <c r="Z112" s="66"/>
    </row>
    <row r="113">
      <c r="A113" s="66"/>
      <c r="B113" s="66"/>
      <c r="C113" s="66"/>
      <c r="D113" s="66"/>
      <c r="E113" s="66"/>
      <c r="F113" s="66"/>
      <c r="G113" s="66"/>
      <c r="H113" s="66"/>
      <c r="I113" s="66"/>
      <c r="J113" s="66"/>
      <c r="K113" s="66"/>
      <c r="L113" s="66"/>
      <c r="M113" s="157" t="s">
        <v>216</v>
      </c>
      <c r="N113" s="158">
        <v>46096.0</v>
      </c>
      <c r="O113" s="66">
        <v>1.0</v>
      </c>
      <c r="P113" s="66"/>
      <c r="Q113" s="66"/>
      <c r="R113" s="66"/>
      <c r="S113" s="66"/>
      <c r="T113" s="66" t="s">
        <v>542</v>
      </c>
      <c r="U113" s="159">
        <v>46203.0</v>
      </c>
      <c r="V113" s="66">
        <v>1.0</v>
      </c>
      <c r="W113" s="66"/>
      <c r="X113" s="66"/>
      <c r="Y113" s="66"/>
      <c r="Z113" s="66"/>
    </row>
    <row r="114">
      <c r="A114" s="66"/>
      <c r="B114" s="66"/>
      <c r="C114" s="66"/>
      <c r="D114" s="66"/>
      <c r="E114" s="66"/>
      <c r="F114" s="66"/>
      <c r="G114" s="66"/>
      <c r="H114" s="66"/>
      <c r="I114" s="66"/>
      <c r="J114" s="66"/>
      <c r="K114" s="66"/>
      <c r="L114" s="66"/>
      <c r="M114" s="157" t="s">
        <v>837</v>
      </c>
      <c r="N114" s="158">
        <v>46165.0</v>
      </c>
      <c r="O114" s="66">
        <v>1.0</v>
      </c>
      <c r="P114" s="66"/>
      <c r="Q114" s="66"/>
      <c r="R114" s="66"/>
      <c r="S114" s="66"/>
      <c r="T114" s="66" t="s">
        <v>545</v>
      </c>
      <c r="U114" s="159">
        <v>46203.0</v>
      </c>
      <c r="V114" s="66">
        <v>1.0</v>
      </c>
      <c r="W114" s="66"/>
      <c r="X114" s="66"/>
      <c r="Y114" s="66"/>
      <c r="Z114" s="66"/>
    </row>
    <row r="115">
      <c r="A115" s="66"/>
      <c r="B115" s="66"/>
      <c r="C115" s="66"/>
      <c r="D115" s="66"/>
      <c r="E115" s="66"/>
      <c r="F115" s="66"/>
      <c r="G115" s="66"/>
      <c r="H115" s="66"/>
      <c r="I115" s="66"/>
      <c r="J115" s="66"/>
      <c r="K115" s="66"/>
      <c r="L115" s="66"/>
      <c r="M115" s="157" t="s">
        <v>838</v>
      </c>
      <c r="N115" s="158">
        <v>46142.0</v>
      </c>
      <c r="O115" s="66">
        <v>1.0</v>
      </c>
      <c r="P115" s="66"/>
      <c r="Q115" s="66"/>
      <c r="R115" s="66"/>
      <c r="S115" s="66"/>
      <c r="T115" s="66" t="s">
        <v>543</v>
      </c>
      <c r="U115" s="159">
        <v>46203.0</v>
      </c>
      <c r="V115" s="66">
        <v>1.0</v>
      </c>
      <c r="W115" s="66"/>
      <c r="X115" s="66"/>
      <c r="Y115" s="66"/>
      <c r="Z115" s="66"/>
    </row>
    <row r="116">
      <c r="A116" s="66"/>
      <c r="B116" s="66"/>
      <c r="C116" s="66"/>
      <c r="D116" s="66"/>
      <c r="E116" s="66"/>
      <c r="F116" s="66"/>
      <c r="G116" s="66"/>
      <c r="H116" s="66"/>
      <c r="I116" s="66"/>
      <c r="J116" s="66"/>
      <c r="K116" s="66"/>
      <c r="L116" s="66"/>
      <c r="M116" s="157" t="s">
        <v>839</v>
      </c>
      <c r="N116" s="158">
        <v>46142.0</v>
      </c>
      <c r="O116" s="66">
        <v>1.0</v>
      </c>
      <c r="P116" s="66"/>
      <c r="Q116" s="66"/>
      <c r="R116" s="66"/>
      <c r="S116" s="66"/>
      <c r="T116" s="66" t="s">
        <v>539</v>
      </c>
      <c r="U116" s="159">
        <v>46203.0</v>
      </c>
      <c r="V116" s="66">
        <v>1.0</v>
      </c>
      <c r="W116" s="66"/>
      <c r="X116" s="66"/>
      <c r="Y116" s="66"/>
      <c r="Z116" s="66"/>
    </row>
    <row r="117">
      <c r="A117" s="66"/>
      <c r="B117" s="66"/>
      <c r="C117" s="66"/>
      <c r="D117" s="66"/>
      <c r="E117" s="66"/>
      <c r="F117" s="66"/>
      <c r="G117" s="66"/>
      <c r="H117" s="66"/>
      <c r="I117" s="66"/>
      <c r="J117" s="66"/>
      <c r="K117" s="66"/>
      <c r="L117" s="66"/>
      <c r="M117" s="157" t="s">
        <v>840</v>
      </c>
      <c r="N117" s="158">
        <v>46142.0</v>
      </c>
      <c r="O117" s="66">
        <v>1.0</v>
      </c>
      <c r="P117" s="66"/>
      <c r="Q117" s="66"/>
      <c r="R117" s="66"/>
      <c r="S117" s="66"/>
      <c r="T117" s="66" t="s">
        <v>544</v>
      </c>
      <c r="U117" s="159">
        <v>46203.0</v>
      </c>
      <c r="V117" s="66">
        <v>1.0</v>
      </c>
      <c r="W117" s="66"/>
      <c r="X117" s="66"/>
      <c r="Y117" s="66"/>
      <c r="Z117" s="66"/>
    </row>
    <row r="118">
      <c r="A118" s="66"/>
      <c r="B118" s="66"/>
      <c r="C118" s="66"/>
      <c r="D118" s="66"/>
      <c r="E118" s="66"/>
      <c r="F118" s="66"/>
      <c r="G118" s="66"/>
      <c r="H118" s="66"/>
      <c r="I118" s="66"/>
      <c r="J118" s="66"/>
      <c r="K118" s="66"/>
      <c r="L118" s="66"/>
      <c r="M118" s="157" t="s">
        <v>841</v>
      </c>
      <c r="N118" s="158">
        <v>46142.0</v>
      </c>
      <c r="O118" s="66">
        <v>1.0</v>
      </c>
      <c r="P118" s="66"/>
      <c r="Q118" s="66"/>
      <c r="R118" s="66"/>
      <c r="S118" s="66"/>
      <c r="T118" s="66" t="s">
        <v>540</v>
      </c>
      <c r="U118" s="159">
        <v>46203.0</v>
      </c>
      <c r="V118" s="66">
        <v>1.0</v>
      </c>
      <c r="W118" s="66"/>
      <c r="X118" s="66"/>
      <c r="Y118" s="66"/>
      <c r="Z118" s="66"/>
    </row>
    <row r="119">
      <c r="A119" s="66"/>
      <c r="B119" s="66"/>
      <c r="C119" s="66"/>
      <c r="D119" s="66"/>
      <c r="E119" s="66"/>
      <c r="F119" s="66"/>
      <c r="G119" s="66"/>
      <c r="H119" s="66"/>
      <c r="I119" s="66"/>
      <c r="J119" s="66"/>
      <c r="K119" s="66"/>
      <c r="L119" s="66"/>
      <c r="M119" s="157" t="s">
        <v>842</v>
      </c>
      <c r="N119" s="158">
        <v>46142.0</v>
      </c>
      <c r="O119" s="66">
        <v>1.0</v>
      </c>
      <c r="P119" s="66"/>
      <c r="Q119" s="66"/>
      <c r="R119" s="66"/>
      <c r="S119" s="66"/>
      <c r="T119" s="66" t="s">
        <v>546</v>
      </c>
      <c r="U119" s="159">
        <v>46203.0</v>
      </c>
      <c r="V119" s="66">
        <v>1.0</v>
      </c>
      <c r="W119" s="66"/>
      <c r="X119" s="66"/>
      <c r="Y119" s="66"/>
      <c r="Z119" s="66"/>
    </row>
    <row r="120">
      <c r="A120" s="66"/>
      <c r="B120" s="66"/>
      <c r="C120" s="66"/>
      <c r="D120" s="66"/>
      <c r="E120" s="66"/>
      <c r="F120" s="66"/>
      <c r="G120" s="66"/>
      <c r="H120" s="66"/>
      <c r="I120" s="66"/>
      <c r="J120" s="66"/>
      <c r="K120" s="66"/>
      <c r="L120" s="66"/>
      <c r="M120" s="157" t="s">
        <v>843</v>
      </c>
      <c r="N120" s="158">
        <v>46142.0</v>
      </c>
      <c r="O120" s="66">
        <v>1.0</v>
      </c>
      <c r="P120" s="66"/>
      <c r="Q120" s="66"/>
      <c r="R120" s="66"/>
      <c r="S120" s="66"/>
      <c r="T120" s="66" t="s">
        <v>565</v>
      </c>
      <c r="U120" s="159">
        <v>46203.0</v>
      </c>
      <c r="V120" s="66">
        <v>1.0</v>
      </c>
      <c r="W120" s="66"/>
      <c r="X120" s="66"/>
      <c r="Y120" s="66"/>
      <c r="Z120" s="66"/>
    </row>
    <row r="121">
      <c r="A121" s="66"/>
      <c r="B121" s="66"/>
      <c r="C121" s="66"/>
      <c r="D121" s="66"/>
      <c r="E121" s="66"/>
      <c r="F121" s="66"/>
      <c r="G121" s="66"/>
      <c r="H121" s="66"/>
      <c r="I121" s="66"/>
      <c r="J121" s="66"/>
      <c r="K121" s="66"/>
      <c r="L121" s="66"/>
      <c r="M121" s="157" t="s">
        <v>844</v>
      </c>
      <c r="N121" s="158">
        <v>46142.0</v>
      </c>
      <c r="O121" s="66">
        <v>1.0</v>
      </c>
      <c r="P121" s="66"/>
      <c r="Q121" s="66"/>
      <c r="R121" s="66"/>
      <c r="S121" s="66"/>
      <c r="T121" s="66" t="s">
        <v>559</v>
      </c>
      <c r="U121" s="159">
        <v>46203.0</v>
      </c>
      <c r="V121" s="66">
        <v>1.0</v>
      </c>
      <c r="W121" s="66"/>
      <c r="X121" s="66"/>
      <c r="Y121" s="66"/>
      <c r="Z121" s="66"/>
    </row>
    <row r="122">
      <c r="A122" s="66"/>
      <c r="B122" s="66"/>
      <c r="C122" s="66"/>
      <c r="D122" s="66"/>
      <c r="E122" s="66"/>
      <c r="F122" s="66"/>
      <c r="G122" s="66"/>
      <c r="H122" s="66"/>
      <c r="I122" s="66"/>
      <c r="J122" s="66"/>
      <c r="K122" s="66"/>
      <c r="L122" s="66"/>
      <c r="M122" s="157" t="s">
        <v>145</v>
      </c>
      <c r="N122" s="158">
        <v>46165.0</v>
      </c>
      <c r="O122" s="66">
        <v>1.0</v>
      </c>
      <c r="P122" s="66"/>
      <c r="Q122" s="66"/>
      <c r="R122" s="66"/>
      <c r="S122" s="66"/>
      <c r="T122" s="66" t="s">
        <v>560</v>
      </c>
      <c r="U122" s="159">
        <v>46203.0</v>
      </c>
      <c r="V122" s="66">
        <v>1.0</v>
      </c>
      <c r="W122" s="66"/>
      <c r="X122" s="66"/>
      <c r="Y122" s="66"/>
      <c r="Z122" s="66"/>
    </row>
    <row r="123">
      <c r="A123" s="66"/>
      <c r="B123" s="66"/>
      <c r="C123" s="66"/>
      <c r="D123" s="66"/>
      <c r="E123" s="66"/>
      <c r="F123" s="66"/>
      <c r="G123" s="66"/>
      <c r="H123" s="66"/>
      <c r="I123" s="66"/>
      <c r="J123" s="66"/>
      <c r="K123" s="66"/>
      <c r="L123" s="66"/>
      <c r="M123" s="157" t="s">
        <v>845</v>
      </c>
      <c r="N123" s="158">
        <v>46157.0</v>
      </c>
      <c r="O123" s="66">
        <v>1.0</v>
      </c>
      <c r="P123" s="66"/>
      <c r="Q123" s="66"/>
      <c r="R123" s="66"/>
      <c r="S123" s="66"/>
      <c r="T123" s="66" t="s">
        <v>558</v>
      </c>
      <c r="U123" s="159">
        <v>46203.0</v>
      </c>
      <c r="V123" s="66">
        <v>1.0</v>
      </c>
      <c r="W123" s="66"/>
      <c r="X123" s="66"/>
      <c r="Y123" s="66"/>
      <c r="Z123" s="66"/>
    </row>
    <row r="124">
      <c r="A124" s="66"/>
      <c r="B124" s="66"/>
      <c r="C124" s="66"/>
      <c r="D124" s="66"/>
      <c r="E124" s="66"/>
      <c r="F124" s="66"/>
      <c r="G124" s="66"/>
      <c r="H124" s="66"/>
      <c r="I124" s="66"/>
      <c r="J124" s="66"/>
      <c r="K124" s="66"/>
      <c r="L124" s="66"/>
      <c r="M124" s="157" t="s">
        <v>846</v>
      </c>
      <c r="N124" s="158">
        <v>46165.0</v>
      </c>
      <c r="O124" s="66">
        <v>1.0</v>
      </c>
      <c r="P124" s="66"/>
      <c r="Q124" s="66"/>
      <c r="R124" s="66"/>
      <c r="S124" s="66"/>
      <c r="T124" s="66" t="s">
        <v>557</v>
      </c>
      <c r="U124" s="159">
        <v>46203.0</v>
      </c>
      <c r="V124" s="66">
        <v>1.0</v>
      </c>
      <c r="W124" s="66"/>
      <c r="X124" s="66"/>
      <c r="Y124" s="66"/>
      <c r="Z124" s="66"/>
    </row>
    <row r="125">
      <c r="A125" s="66"/>
      <c r="B125" s="66"/>
      <c r="C125" s="66"/>
      <c r="D125" s="66"/>
      <c r="E125" s="66"/>
      <c r="F125" s="66"/>
      <c r="G125" s="66"/>
      <c r="H125" s="66"/>
      <c r="I125" s="66"/>
      <c r="J125" s="66"/>
      <c r="K125" s="66"/>
      <c r="L125" s="66"/>
      <c r="M125" s="157" t="s">
        <v>847</v>
      </c>
      <c r="N125" s="158">
        <v>46165.0</v>
      </c>
      <c r="O125" s="66">
        <v>1.0</v>
      </c>
      <c r="P125" s="66"/>
      <c r="Q125" s="66"/>
      <c r="R125" s="66"/>
      <c r="S125" s="66"/>
      <c r="T125" s="66" t="s">
        <v>561</v>
      </c>
      <c r="U125" s="159">
        <v>46203.0</v>
      </c>
      <c r="V125" s="66">
        <v>1.0</v>
      </c>
      <c r="W125" s="66"/>
      <c r="X125" s="66"/>
      <c r="Y125" s="66"/>
      <c r="Z125" s="66"/>
    </row>
    <row r="126">
      <c r="A126" s="66"/>
      <c r="B126" s="66"/>
      <c r="C126" s="66"/>
      <c r="D126" s="66"/>
      <c r="E126" s="66"/>
      <c r="F126" s="66"/>
      <c r="G126" s="66"/>
      <c r="H126" s="66"/>
      <c r="I126" s="66"/>
      <c r="J126" s="66"/>
      <c r="K126" s="66"/>
      <c r="L126" s="66"/>
      <c r="M126" s="157" t="s">
        <v>848</v>
      </c>
      <c r="N126" s="158">
        <v>46165.0</v>
      </c>
      <c r="O126" s="66">
        <v>1.0</v>
      </c>
      <c r="P126" s="66"/>
      <c r="Q126" s="66"/>
      <c r="R126" s="66"/>
      <c r="S126" s="66"/>
      <c r="T126" s="66" t="s">
        <v>563</v>
      </c>
      <c r="U126" s="159">
        <v>46203.0</v>
      </c>
      <c r="V126" s="66">
        <v>1.0</v>
      </c>
      <c r="W126" s="66"/>
      <c r="X126" s="66"/>
      <c r="Y126" s="66"/>
      <c r="Z126" s="66"/>
    </row>
    <row r="127">
      <c r="A127" s="66"/>
      <c r="B127" s="66"/>
      <c r="C127" s="66"/>
      <c r="D127" s="66"/>
      <c r="E127" s="66"/>
      <c r="F127" s="66"/>
      <c r="G127" s="66"/>
      <c r="H127" s="66"/>
      <c r="I127" s="66"/>
      <c r="J127" s="66"/>
      <c r="K127" s="66"/>
      <c r="L127" s="66"/>
      <c r="M127" s="157" t="s">
        <v>849</v>
      </c>
      <c r="N127" s="158">
        <v>46165.0</v>
      </c>
      <c r="O127" s="66">
        <v>1.0</v>
      </c>
      <c r="P127" s="66"/>
      <c r="Q127" s="66"/>
      <c r="R127" s="66"/>
      <c r="S127" s="66"/>
      <c r="T127" s="66" t="s">
        <v>552</v>
      </c>
      <c r="U127" s="159">
        <v>46203.0</v>
      </c>
      <c r="V127" s="66">
        <v>1.0</v>
      </c>
      <c r="W127" s="66"/>
      <c r="X127" s="66"/>
      <c r="Y127" s="66"/>
      <c r="Z127" s="66"/>
    </row>
    <row r="128">
      <c r="A128" s="66"/>
      <c r="B128" s="66"/>
      <c r="C128" s="66"/>
      <c r="D128" s="66"/>
      <c r="E128" s="66"/>
      <c r="F128" s="66"/>
      <c r="G128" s="66"/>
      <c r="H128" s="66"/>
      <c r="I128" s="66"/>
      <c r="J128" s="66"/>
      <c r="K128" s="66"/>
      <c r="L128" s="66"/>
      <c r="M128" s="157" t="s">
        <v>850</v>
      </c>
      <c r="N128" s="158">
        <v>46165.0</v>
      </c>
      <c r="O128" s="66">
        <v>1.0</v>
      </c>
      <c r="P128" s="66"/>
      <c r="Q128" s="66"/>
      <c r="R128" s="66"/>
      <c r="S128" s="66"/>
      <c r="T128" s="66" t="s">
        <v>533</v>
      </c>
      <c r="U128" s="159">
        <v>46203.0</v>
      </c>
      <c r="V128" s="66">
        <v>1.0</v>
      </c>
      <c r="W128" s="66"/>
      <c r="X128" s="66"/>
      <c r="Y128" s="66"/>
      <c r="Z128" s="66"/>
    </row>
    <row r="129">
      <c r="A129" s="66"/>
      <c r="B129" s="66"/>
      <c r="C129" s="66"/>
      <c r="D129" s="66"/>
      <c r="E129" s="66"/>
      <c r="F129" s="66"/>
      <c r="G129" s="66"/>
      <c r="H129" s="66"/>
      <c r="I129" s="66"/>
      <c r="J129" s="66"/>
      <c r="K129" s="66"/>
      <c r="L129" s="66"/>
      <c r="M129" s="157" t="s">
        <v>851</v>
      </c>
      <c r="N129" s="158">
        <v>46165.0</v>
      </c>
      <c r="O129" s="66">
        <v>1.0</v>
      </c>
      <c r="P129" s="66"/>
      <c r="Q129" s="66"/>
      <c r="R129" s="66"/>
      <c r="S129" s="66"/>
      <c r="T129" s="66" t="s">
        <v>566</v>
      </c>
      <c r="U129" s="159">
        <v>46203.0</v>
      </c>
      <c r="V129" s="66">
        <v>1.0</v>
      </c>
      <c r="W129" s="66"/>
      <c r="X129" s="66"/>
      <c r="Y129" s="66"/>
      <c r="Z129" s="66"/>
    </row>
    <row r="130">
      <c r="A130" s="66"/>
      <c r="B130" s="66"/>
      <c r="C130" s="66"/>
      <c r="D130" s="66"/>
      <c r="E130" s="66"/>
      <c r="F130" s="66"/>
      <c r="G130" s="66"/>
      <c r="H130" s="66"/>
      <c r="I130" s="66"/>
      <c r="J130" s="66"/>
      <c r="K130" s="66"/>
      <c r="L130" s="66"/>
      <c r="M130" s="157" t="s">
        <v>852</v>
      </c>
      <c r="N130" s="158">
        <v>46165.0</v>
      </c>
      <c r="O130" s="66">
        <v>1.0</v>
      </c>
      <c r="P130" s="66"/>
      <c r="Q130" s="66"/>
      <c r="R130" s="66"/>
      <c r="S130" s="66"/>
      <c r="T130" s="66" t="s">
        <v>567</v>
      </c>
      <c r="U130" s="159">
        <v>46203.0</v>
      </c>
      <c r="V130" s="66">
        <v>1.0</v>
      </c>
      <c r="W130" s="66"/>
      <c r="X130" s="66"/>
      <c r="Y130" s="66"/>
      <c r="Z130" s="66"/>
    </row>
    <row r="131">
      <c r="A131" s="66"/>
      <c r="B131" s="66"/>
      <c r="C131" s="66"/>
      <c r="D131" s="66"/>
      <c r="E131" s="66"/>
      <c r="F131" s="66"/>
      <c r="G131" s="66"/>
      <c r="H131" s="66"/>
      <c r="I131" s="66"/>
      <c r="J131" s="66"/>
      <c r="K131" s="66"/>
      <c r="L131" s="66"/>
      <c r="M131" s="157" t="s">
        <v>853</v>
      </c>
      <c r="N131" s="158">
        <v>46165.0</v>
      </c>
      <c r="O131" s="66">
        <v>1.0</v>
      </c>
      <c r="P131" s="66"/>
      <c r="Q131" s="66"/>
      <c r="R131" s="66"/>
      <c r="S131" s="66"/>
      <c r="T131" s="66" t="s">
        <v>562</v>
      </c>
      <c r="U131" s="159">
        <v>46203.0</v>
      </c>
      <c r="V131" s="66">
        <v>1.0</v>
      </c>
      <c r="W131" s="66"/>
      <c r="X131" s="66"/>
      <c r="Y131" s="66"/>
      <c r="Z131" s="66"/>
    </row>
    <row r="132">
      <c r="A132" s="66"/>
      <c r="B132" s="66"/>
      <c r="C132" s="66"/>
      <c r="D132" s="66"/>
      <c r="E132" s="66"/>
      <c r="F132" s="66"/>
      <c r="G132" s="66"/>
      <c r="H132" s="66"/>
      <c r="I132" s="66"/>
      <c r="J132" s="66"/>
      <c r="K132" s="66"/>
      <c r="L132" s="66"/>
      <c r="M132" s="157" t="s">
        <v>854</v>
      </c>
      <c r="N132" s="158">
        <v>46165.0</v>
      </c>
      <c r="O132" s="66">
        <v>2.0</v>
      </c>
      <c r="P132" s="66"/>
      <c r="Q132" s="66"/>
      <c r="R132" s="66"/>
      <c r="S132" s="66"/>
      <c r="T132" s="66" t="s">
        <v>564</v>
      </c>
      <c r="U132" s="159">
        <v>46203.0</v>
      </c>
      <c r="V132" s="66">
        <v>1.0</v>
      </c>
      <c r="W132" s="66"/>
      <c r="X132" s="66"/>
      <c r="Y132" s="66"/>
      <c r="Z132" s="66"/>
    </row>
    <row r="133">
      <c r="A133" s="66"/>
      <c r="B133" s="66"/>
      <c r="C133" s="66"/>
      <c r="D133" s="66"/>
      <c r="E133" s="66"/>
      <c r="F133" s="66"/>
      <c r="G133" s="66"/>
      <c r="H133" s="66"/>
      <c r="I133" s="66"/>
      <c r="J133" s="66"/>
      <c r="K133" s="66"/>
      <c r="L133" s="66"/>
      <c r="M133" s="157" t="s">
        <v>855</v>
      </c>
      <c r="N133" s="158">
        <v>46165.0</v>
      </c>
      <c r="O133" s="66">
        <v>1.0</v>
      </c>
      <c r="P133" s="66"/>
      <c r="Q133" s="66"/>
      <c r="R133" s="66" t="s">
        <v>568</v>
      </c>
      <c r="S133" s="158" t="s">
        <v>30</v>
      </c>
      <c r="T133" s="66" t="s">
        <v>663</v>
      </c>
      <c r="U133" s="158">
        <v>46218.0</v>
      </c>
      <c r="V133" s="66">
        <v>1.0</v>
      </c>
      <c r="W133" s="66"/>
      <c r="X133" s="66"/>
      <c r="Y133" s="66"/>
      <c r="Z133" s="66"/>
    </row>
    <row r="134">
      <c r="A134" s="66"/>
      <c r="B134" s="66"/>
      <c r="C134" s="66"/>
      <c r="D134" s="66"/>
      <c r="E134" s="66"/>
      <c r="F134" s="66"/>
      <c r="G134" s="66"/>
      <c r="H134" s="66"/>
      <c r="I134" s="66"/>
      <c r="J134" s="66"/>
      <c r="K134" s="66"/>
      <c r="L134" s="66"/>
      <c r="M134" s="157" t="s">
        <v>856</v>
      </c>
      <c r="N134" s="158">
        <v>46165.0</v>
      </c>
      <c r="O134" s="66">
        <v>1.0</v>
      </c>
      <c r="P134" s="66"/>
      <c r="Q134" s="66"/>
      <c r="R134" s="66"/>
      <c r="S134" s="66"/>
      <c r="T134" s="66" t="s">
        <v>662</v>
      </c>
      <c r="U134" s="158">
        <v>46218.0</v>
      </c>
      <c r="V134" s="66">
        <v>1.0</v>
      </c>
      <c r="W134" s="66"/>
      <c r="X134" s="66"/>
      <c r="Y134" s="66"/>
      <c r="Z134" s="66"/>
    </row>
    <row r="135">
      <c r="A135" s="66"/>
      <c r="B135" s="66"/>
      <c r="C135" s="66"/>
      <c r="D135" s="66"/>
      <c r="E135" s="66"/>
      <c r="F135" s="66"/>
      <c r="G135" s="66"/>
      <c r="H135" s="66"/>
      <c r="I135" s="66"/>
      <c r="J135" s="66"/>
      <c r="K135" s="66"/>
      <c r="L135" s="66"/>
      <c r="M135" s="157" t="s">
        <v>857</v>
      </c>
      <c r="N135" s="158">
        <v>46165.0</v>
      </c>
      <c r="O135" s="66">
        <v>2.0</v>
      </c>
      <c r="P135" s="66"/>
      <c r="Q135" s="66"/>
      <c r="R135" s="66"/>
      <c r="S135" s="66"/>
      <c r="T135" s="66" t="s">
        <v>661</v>
      </c>
      <c r="U135" s="158">
        <v>46218.0</v>
      </c>
      <c r="V135" s="66">
        <v>1.0</v>
      </c>
      <c r="W135" s="66"/>
      <c r="X135" s="66"/>
      <c r="Y135" s="66"/>
      <c r="Z135" s="66"/>
    </row>
    <row r="136">
      <c r="A136" s="66"/>
      <c r="B136" s="66"/>
      <c r="C136" s="66"/>
      <c r="D136" s="66"/>
      <c r="E136" s="66"/>
      <c r="F136" s="66"/>
      <c r="G136" s="66"/>
      <c r="H136" s="66"/>
      <c r="I136" s="66"/>
      <c r="J136" s="66"/>
      <c r="K136" s="66"/>
      <c r="L136" s="66"/>
      <c r="M136" s="157" t="s">
        <v>858</v>
      </c>
      <c r="N136" s="158">
        <v>46165.0</v>
      </c>
      <c r="O136" s="66">
        <v>1.0</v>
      </c>
      <c r="P136" s="66"/>
      <c r="Q136" s="66"/>
      <c r="R136" s="66"/>
      <c r="S136" s="66"/>
      <c r="T136" s="66" t="s">
        <v>574</v>
      </c>
      <c r="U136" s="158">
        <v>46218.0</v>
      </c>
      <c r="V136" s="66">
        <v>1.0</v>
      </c>
      <c r="W136" s="66"/>
      <c r="X136" s="66"/>
      <c r="Y136" s="66"/>
      <c r="Z136" s="66"/>
    </row>
    <row r="137">
      <c r="A137" s="66"/>
      <c r="B137" s="66"/>
      <c r="C137" s="66"/>
      <c r="D137" s="66"/>
      <c r="E137" s="66"/>
      <c r="F137" s="66"/>
      <c r="G137" s="66"/>
      <c r="H137" s="66"/>
      <c r="I137" s="66"/>
      <c r="J137" s="66"/>
      <c r="K137" s="66"/>
      <c r="L137" s="66"/>
      <c r="M137" s="157" t="s">
        <v>859</v>
      </c>
      <c r="N137" s="158">
        <v>46165.0</v>
      </c>
      <c r="O137" s="66">
        <v>1.0</v>
      </c>
      <c r="P137" s="66"/>
      <c r="Q137" s="66"/>
      <c r="R137" s="66"/>
      <c r="S137" s="66"/>
      <c r="T137" s="66" t="s">
        <v>614</v>
      </c>
      <c r="U137" s="158">
        <v>46218.0</v>
      </c>
      <c r="V137" s="66">
        <v>1.0</v>
      </c>
      <c r="W137" s="66"/>
      <c r="X137" s="66"/>
      <c r="Y137" s="66"/>
      <c r="Z137" s="66"/>
    </row>
    <row r="138">
      <c r="A138" s="66"/>
      <c r="B138" s="66"/>
      <c r="C138" s="66"/>
      <c r="D138" s="66"/>
      <c r="E138" s="66"/>
      <c r="F138" s="66"/>
      <c r="G138" s="66"/>
      <c r="H138" s="66"/>
      <c r="I138" s="66"/>
      <c r="J138" s="66"/>
      <c r="K138" s="66"/>
      <c r="L138" s="66"/>
      <c r="M138" s="157" t="s">
        <v>128</v>
      </c>
      <c r="N138" s="158">
        <v>46165.0</v>
      </c>
      <c r="O138" s="66">
        <v>1.0</v>
      </c>
      <c r="P138" s="66"/>
      <c r="Q138" s="66"/>
      <c r="R138" s="66"/>
      <c r="S138" s="66"/>
      <c r="T138" s="66" t="s">
        <v>633</v>
      </c>
      <c r="U138" s="158">
        <v>46218.0</v>
      </c>
      <c r="V138" s="66">
        <v>1.0</v>
      </c>
      <c r="W138" s="66"/>
      <c r="X138" s="66"/>
      <c r="Y138" s="66"/>
      <c r="Z138" s="66"/>
    </row>
    <row r="139">
      <c r="A139" s="66"/>
      <c r="B139" s="66"/>
      <c r="C139" s="66"/>
      <c r="D139" s="66"/>
      <c r="E139" s="66"/>
      <c r="F139" s="66"/>
      <c r="G139" s="66"/>
      <c r="H139" s="66"/>
      <c r="I139" s="66"/>
      <c r="J139" s="66"/>
      <c r="K139" s="66"/>
      <c r="L139" s="66"/>
      <c r="M139" s="157" t="s">
        <v>860</v>
      </c>
      <c r="N139" s="158">
        <v>46165.0</v>
      </c>
      <c r="O139" s="66">
        <v>1.0</v>
      </c>
      <c r="P139" s="66"/>
      <c r="Q139" s="66"/>
      <c r="R139" s="66"/>
      <c r="S139" s="66"/>
      <c r="T139" s="66" t="s">
        <v>641</v>
      </c>
      <c r="U139" s="158">
        <v>46218.0</v>
      </c>
      <c r="V139" s="66">
        <v>1.0</v>
      </c>
      <c r="W139" s="66"/>
      <c r="X139" s="66"/>
      <c r="Y139" s="66"/>
      <c r="Z139" s="66"/>
    </row>
    <row r="140">
      <c r="A140" s="66"/>
      <c r="B140" s="66"/>
      <c r="C140" s="66"/>
      <c r="D140" s="66"/>
      <c r="E140" s="66"/>
      <c r="F140" s="66"/>
      <c r="G140" s="66"/>
      <c r="H140" s="66"/>
      <c r="I140" s="66"/>
      <c r="J140" s="66"/>
      <c r="K140" s="66"/>
      <c r="L140" s="66"/>
      <c r="M140" s="157" t="s">
        <v>861</v>
      </c>
      <c r="N140" s="158">
        <v>46165.0</v>
      </c>
      <c r="O140" s="66">
        <v>1.0</v>
      </c>
      <c r="P140" s="66"/>
      <c r="Q140" s="66"/>
      <c r="R140" s="66"/>
      <c r="S140" s="66"/>
      <c r="T140" s="66" t="s">
        <v>629</v>
      </c>
      <c r="U140" s="158">
        <v>46218.0</v>
      </c>
      <c r="V140" s="66">
        <v>1.0</v>
      </c>
      <c r="W140" s="66"/>
      <c r="X140" s="66"/>
      <c r="Y140" s="66"/>
      <c r="Z140" s="66"/>
    </row>
    <row r="141">
      <c r="A141" s="66"/>
      <c r="B141" s="66"/>
      <c r="C141" s="66"/>
      <c r="D141" s="66"/>
      <c r="E141" s="66"/>
      <c r="F141" s="66"/>
      <c r="G141" s="66"/>
      <c r="H141" s="66"/>
      <c r="I141" s="66"/>
      <c r="J141" s="66"/>
      <c r="K141" s="66"/>
      <c r="L141" s="66"/>
      <c r="M141" s="157" t="s">
        <v>862</v>
      </c>
      <c r="N141" s="158">
        <v>46165.0</v>
      </c>
      <c r="O141" s="66">
        <v>1.0</v>
      </c>
      <c r="P141" s="66"/>
      <c r="Q141" s="66"/>
      <c r="R141" s="66"/>
      <c r="S141" s="66"/>
      <c r="T141" s="66" t="s">
        <v>631</v>
      </c>
      <c r="U141" s="158">
        <v>46218.0</v>
      </c>
      <c r="V141" s="66">
        <v>1.0</v>
      </c>
      <c r="W141" s="66"/>
      <c r="X141" s="66"/>
      <c r="Y141" s="66"/>
      <c r="Z141" s="66"/>
    </row>
    <row r="142">
      <c r="A142" s="66"/>
      <c r="B142" s="66"/>
      <c r="C142" s="66"/>
      <c r="D142" s="66"/>
      <c r="E142" s="66"/>
      <c r="F142" s="66"/>
      <c r="G142" s="66"/>
      <c r="H142" s="66"/>
      <c r="I142" s="66"/>
      <c r="J142" s="66"/>
      <c r="K142" s="66"/>
      <c r="L142" s="66"/>
      <c r="M142" s="157" t="s">
        <v>863</v>
      </c>
      <c r="N142" s="158">
        <v>46165.0</v>
      </c>
      <c r="O142" s="66">
        <v>1.0</v>
      </c>
      <c r="P142" s="66"/>
      <c r="Q142" s="66"/>
      <c r="R142" s="66"/>
      <c r="S142" s="66"/>
      <c r="T142" s="66" t="s">
        <v>643</v>
      </c>
      <c r="U142" s="158">
        <v>46218.0</v>
      </c>
      <c r="V142" s="66">
        <v>1.0</v>
      </c>
      <c r="W142" s="66"/>
      <c r="X142" s="66"/>
      <c r="Y142" s="66"/>
      <c r="Z142" s="66"/>
    </row>
    <row r="143">
      <c r="A143" s="66"/>
      <c r="B143" s="66"/>
      <c r="C143" s="66"/>
      <c r="D143" s="66"/>
      <c r="E143" s="66"/>
      <c r="F143" s="66"/>
      <c r="G143" s="66"/>
      <c r="H143" s="66"/>
      <c r="I143" s="66"/>
      <c r="J143" s="66"/>
      <c r="K143" s="66"/>
      <c r="L143" s="66"/>
      <c r="M143" s="157" t="s">
        <v>864</v>
      </c>
      <c r="N143" s="158">
        <v>46165.0</v>
      </c>
      <c r="O143" s="66">
        <v>1.0</v>
      </c>
      <c r="P143" s="66"/>
      <c r="Q143" s="66"/>
      <c r="R143" s="66"/>
      <c r="S143" s="66"/>
      <c r="T143" s="66" t="s">
        <v>635</v>
      </c>
      <c r="U143" s="158">
        <v>46218.0</v>
      </c>
      <c r="V143" s="66">
        <v>1.0</v>
      </c>
      <c r="W143" s="66"/>
      <c r="X143" s="66"/>
      <c r="Y143" s="66"/>
      <c r="Z143" s="66"/>
    </row>
    <row r="144">
      <c r="A144" s="66"/>
      <c r="B144" s="66"/>
      <c r="C144" s="66"/>
      <c r="D144" s="66"/>
      <c r="E144" s="66"/>
      <c r="F144" s="66"/>
      <c r="G144" s="66"/>
      <c r="H144" s="66"/>
      <c r="I144" s="66"/>
      <c r="J144" s="66"/>
      <c r="K144" s="66"/>
      <c r="L144" s="66"/>
      <c r="M144" s="157" t="s">
        <v>865</v>
      </c>
      <c r="N144" s="158">
        <v>46165.0</v>
      </c>
      <c r="O144" s="66">
        <v>1.0</v>
      </c>
      <c r="P144" s="66"/>
      <c r="Q144" s="66"/>
      <c r="R144" s="66"/>
      <c r="S144" s="66"/>
      <c r="T144" s="66" t="s">
        <v>639</v>
      </c>
      <c r="U144" s="158">
        <v>46218.0</v>
      </c>
      <c r="V144" s="66">
        <v>1.0</v>
      </c>
      <c r="W144" s="66"/>
      <c r="X144" s="66"/>
      <c r="Y144" s="66"/>
      <c r="Z144" s="66"/>
    </row>
    <row r="145">
      <c r="A145" s="66"/>
      <c r="B145" s="66"/>
      <c r="C145" s="66"/>
      <c r="D145" s="66"/>
      <c r="E145" s="66"/>
      <c r="F145" s="66"/>
      <c r="G145" s="66"/>
      <c r="H145" s="66"/>
      <c r="I145" s="66"/>
      <c r="J145" s="66"/>
      <c r="K145" s="66"/>
      <c r="L145" s="66"/>
      <c r="M145" s="157" t="s">
        <v>866</v>
      </c>
      <c r="N145" s="158">
        <v>46165.0</v>
      </c>
      <c r="O145" s="66">
        <v>1.0</v>
      </c>
      <c r="P145" s="66"/>
      <c r="Q145" s="66"/>
      <c r="R145" s="66"/>
      <c r="S145" s="66"/>
      <c r="T145" s="66" t="s">
        <v>627</v>
      </c>
      <c r="U145" s="158">
        <v>46218.0</v>
      </c>
      <c r="V145" s="66">
        <v>1.0</v>
      </c>
      <c r="W145" s="66"/>
      <c r="X145" s="66"/>
      <c r="Y145" s="66"/>
      <c r="Z145" s="66"/>
    </row>
    <row r="146">
      <c r="A146" s="66"/>
      <c r="B146" s="66"/>
      <c r="C146" s="66"/>
      <c r="D146" s="66"/>
      <c r="E146" s="66"/>
      <c r="F146" s="66"/>
      <c r="G146" s="66"/>
      <c r="H146" s="66"/>
      <c r="I146" s="66"/>
      <c r="J146" s="66"/>
      <c r="K146" s="66"/>
      <c r="L146" s="66"/>
      <c r="M146" s="157" t="s">
        <v>867</v>
      </c>
      <c r="N146" s="158">
        <v>46165.0</v>
      </c>
      <c r="O146" s="66">
        <v>1.0</v>
      </c>
      <c r="P146" s="66"/>
      <c r="Q146" s="66"/>
      <c r="R146" s="66"/>
      <c r="S146" s="66"/>
      <c r="T146" s="66" t="s">
        <v>660</v>
      </c>
      <c r="U146" s="158">
        <v>46218.0</v>
      </c>
      <c r="V146" s="66">
        <v>1.0</v>
      </c>
      <c r="W146" s="66"/>
      <c r="X146" s="66"/>
      <c r="Y146" s="66"/>
      <c r="Z146" s="66"/>
    </row>
    <row r="147">
      <c r="A147" s="66"/>
      <c r="B147" s="66"/>
      <c r="C147" s="66"/>
      <c r="D147" s="66"/>
      <c r="E147" s="66"/>
      <c r="F147" s="66"/>
      <c r="G147" s="66"/>
      <c r="H147" s="66"/>
      <c r="I147" s="66"/>
      <c r="J147" s="66"/>
      <c r="K147" s="66"/>
      <c r="L147" s="66"/>
      <c r="M147" s="157" t="s">
        <v>868</v>
      </c>
      <c r="N147" s="158">
        <v>46165.0</v>
      </c>
      <c r="O147" s="66">
        <v>1.0</v>
      </c>
      <c r="P147" s="66"/>
      <c r="Q147" s="66"/>
      <c r="R147" s="66"/>
      <c r="S147" s="66"/>
      <c r="T147" s="66" t="s">
        <v>659</v>
      </c>
      <c r="U147" s="158">
        <v>46218.0</v>
      </c>
      <c r="V147" s="66">
        <v>1.0</v>
      </c>
      <c r="W147" s="66"/>
      <c r="X147" s="66"/>
      <c r="Y147" s="66"/>
      <c r="Z147" s="66"/>
    </row>
    <row r="148">
      <c r="A148" s="66"/>
      <c r="B148" s="66"/>
      <c r="C148" s="66"/>
      <c r="D148" s="66"/>
      <c r="E148" s="66"/>
      <c r="F148" s="66"/>
      <c r="G148" s="66"/>
      <c r="H148" s="66"/>
      <c r="I148" s="66"/>
      <c r="J148" s="66"/>
      <c r="K148" s="66"/>
      <c r="L148" s="66"/>
      <c r="M148" s="157" t="s">
        <v>869</v>
      </c>
      <c r="N148" s="158">
        <v>46165.0</v>
      </c>
      <c r="O148" s="66">
        <v>1.0</v>
      </c>
      <c r="P148" s="66"/>
      <c r="Q148" s="66"/>
      <c r="R148" s="66"/>
      <c r="S148" s="66"/>
      <c r="T148" s="66" t="s">
        <v>575</v>
      </c>
      <c r="U148" s="158">
        <v>46218.0</v>
      </c>
      <c r="V148" s="66">
        <v>1.0</v>
      </c>
      <c r="W148" s="66"/>
      <c r="X148" s="66"/>
      <c r="Y148" s="66"/>
      <c r="Z148" s="66"/>
    </row>
    <row r="149">
      <c r="A149" s="66"/>
      <c r="B149" s="66"/>
      <c r="C149" s="66"/>
      <c r="D149" s="66"/>
      <c r="E149" s="66"/>
      <c r="F149" s="66"/>
      <c r="G149" s="66"/>
      <c r="H149" s="66"/>
      <c r="I149" s="66"/>
      <c r="J149" s="66"/>
      <c r="K149" s="66"/>
      <c r="L149" s="66"/>
      <c r="M149" s="157" t="s">
        <v>870</v>
      </c>
      <c r="N149" s="158">
        <v>46165.0</v>
      </c>
      <c r="O149" s="66">
        <v>1.0</v>
      </c>
      <c r="P149" s="66"/>
      <c r="Q149" s="66"/>
      <c r="R149" s="66"/>
      <c r="S149" s="66"/>
      <c r="T149" s="66" t="s">
        <v>577</v>
      </c>
      <c r="U149" s="158">
        <v>46218.0</v>
      </c>
      <c r="V149" s="66">
        <v>1.0</v>
      </c>
      <c r="W149" s="66"/>
      <c r="X149" s="66"/>
      <c r="Y149" s="66"/>
      <c r="Z149" s="66"/>
    </row>
    <row r="150">
      <c r="A150" s="66"/>
      <c r="B150" s="66"/>
      <c r="C150" s="66"/>
      <c r="D150" s="66"/>
      <c r="E150" s="66"/>
      <c r="F150" s="66"/>
      <c r="G150" s="66"/>
      <c r="H150" s="66"/>
      <c r="I150" s="66"/>
      <c r="J150" s="66"/>
      <c r="K150" s="66"/>
      <c r="L150" s="66"/>
      <c r="M150" s="157" t="s">
        <v>871</v>
      </c>
      <c r="N150" s="158">
        <v>46165.0</v>
      </c>
      <c r="O150" s="66">
        <v>1.0</v>
      </c>
      <c r="P150" s="66"/>
      <c r="Q150" s="66"/>
      <c r="R150" s="66"/>
      <c r="S150" s="66"/>
      <c r="T150" s="66" t="s">
        <v>576</v>
      </c>
      <c r="U150" s="158">
        <v>46218.0</v>
      </c>
      <c r="V150" s="66">
        <v>1.0</v>
      </c>
      <c r="W150" s="66"/>
      <c r="X150" s="66"/>
      <c r="Y150" s="66"/>
      <c r="Z150" s="66"/>
    </row>
    <row r="151">
      <c r="A151" s="66"/>
      <c r="B151" s="66"/>
      <c r="C151" s="66"/>
      <c r="D151" s="66"/>
      <c r="E151" s="66"/>
      <c r="F151" s="66"/>
      <c r="G151" s="66"/>
      <c r="H151" s="66"/>
      <c r="I151" s="66"/>
      <c r="J151" s="66"/>
      <c r="K151" s="66"/>
      <c r="L151" s="66"/>
      <c r="M151" s="157" t="s">
        <v>872</v>
      </c>
      <c r="N151" s="158">
        <v>46165.0</v>
      </c>
      <c r="O151" s="66">
        <v>1.0</v>
      </c>
      <c r="P151" s="66"/>
      <c r="Q151" s="66"/>
      <c r="R151" s="66"/>
      <c r="S151" s="66"/>
      <c r="T151" s="66" t="s">
        <v>623</v>
      </c>
      <c r="U151" s="158">
        <v>46218.0</v>
      </c>
      <c r="V151" s="66">
        <v>1.0</v>
      </c>
      <c r="W151" s="66"/>
      <c r="X151" s="66"/>
      <c r="Y151" s="66"/>
      <c r="Z151" s="66"/>
    </row>
    <row r="152">
      <c r="A152" s="66"/>
      <c r="B152" s="66"/>
      <c r="C152" s="66"/>
      <c r="D152" s="66"/>
      <c r="E152" s="66"/>
      <c r="F152" s="66"/>
      <c r="G152" s="66"/>
      <c r="H152" s="66"/>
      <c r="I152" s="66"/>
      <c r="J152" s="66"/>
      <c r="K152" s="66"/>
      <c r="L152" s="66"/>
      <c r="M152" s="157" t="s">
        <v>873</v>
      </c>
      <c r="N152" s="158">
        <v>46165.0</v>
      </c>
      <c r="O152" s="66">
        <v>1.0</v>
      </c>
      <c r="P152" s="66"/>
      <c r="Q152" s="66"/>
      <c r="R152" s="66"/>
      <c r="S152" s="66"/>
      <c r="T152" s="66" t="s">
        <v>619</v>
      </c>
      <c r="U152" s="158">
        <v>46218.0</v>
      </c>
      <c r="V152" s="66">
        <v>1.0</v>
      </c>
      <c r="W152" s="66"/>
      <c r="X152" s="66"/>
      <c r="Y152" s="66"/>
      <c r="Z152" s="66"/>
    </row>
    <row r="153">
      <c r="A153" s="66"/>
      <c r="B153" s="66"/>
      <c r="C153" s="66"/>
      <c r="D153" s="66"/>
      <c r="E153" s="66"/>
      <c r="F153" s="66"/>
      <c r="G153" s="66"/>
      <c r="H153" s="66"/>
      <c r="I153" s="66"/>
      <c r="J153" s="66"/>
      <c r="K153" s="66"/>
      <c r="L153" s="66"/>
      <c r="M153" s="157" t="s">
        <v>874</v>
      </c>
      <c r="N153" s="158">
        <v>46165.0</v>
      </c>
      <c r="O153" s="66">
        <v>1.0</v>
      </c>
      <c r="P153" s="66"/>
      <c r="Q153" s="66"/>
      <c r="R153" s="66"/>
      <c r="S153" s="66"/>
      <c r="T153" s="66" t="s">
        <v>637</v>
      </c>
      <c r="U153" s="158">
        <v>46218.0</v>
      </c>
      <c r="V153" s="66">
        <v>1.0</v>
      </c>
      <c r="W153" s="66"/>
      <c r="X153" s="66"/>
      <c r="Y153" s="66"/>
      <c r="Z153" s="66"/>
    </row>
    <row r="154">
      <c r="A154" s="66"/>
      <c r="B154" s="66"/>
      <c r="C154" s="66"/>
      <c r="D154" s="66"/>
      <c r="E154" s="66"/>
      <c r="F154" s="66"/>
      <c r="G154" s="66"/>
      <c r="H154" s="66"/>
      <c r="I154" s="66"/>
      <c r="J154" s="66"/>
      <c r="K154" s="66"/>
      <c r="L154" s="66"/>
      <c r="M154" s="157" t="s">
        <v>875</v>
      </c>
      <c r="N154" s="158">
        <v>46165.0</v>
      </c>
      <c r="O154" s="66">
        <v>1.0</v>
      </c>
      <c r="P154" s="66"/>
      <c r="Q154" s="66"/>
      <c r="R154" s="66"/>
      <c r="S154" s="66"/>
      <c r="T154" s="66" t="s">
        <v>624</v>
      </c>
      <c r="U154" s="158">
        <v>46218.0</v>
      </c>
      <c r="V154" s="66">
        <v>1.0</v>
      </c>
      <c r="W154" s="66"/>
      <c r="X154" s="66"/>
      <c r="Y154" s="66"/>
      <c r="Z154" s="66"/>
    </row>
    <row r="155">
      <c r="A155" s="66"/>
      <c r="B155" s="66"/>
      <c r="C155" s="66"/>
      <c r="D155" s="66"/>
      <c r="E155" s="66"/>
      <c r="F155" s="66"/>
      <c r="G155" s="66"/>
      <c r="H155" s="66"/>
      <c r="I155" s="66"/>
      <c r="J155" s="66"/>
      <c r="K155" s="66"/>
      <c r="L155" s="66"/>
      <c r="M155" s="157" t="s">
        <v>876</v>
      </c>
      <c r="N155" s="158">
        <v>46165.0</v>
      </c>
      <c r="O155" s="66">
        <v>1.0</v>
      </c>
      <c r="P155" s="66"/>
      <c r="Q155" s="66"/>
      <c r="R155" s="66"/>
      <c r="S155" s="66"/>
      <c r="T155" s="66" t="s">
        <v>621</v>
      </c>
      <c r="U155" s="158">
        <v>46218.0</v>
      </c>
      <c r="V155" s="66">
        <v>1.0</v>
      </c>
      <c r="W155" s="66"/>
      <c r="X155" s="66"/>
      <c r="Y155" s="66"/>
      <c r="Z155" s="66"/>
    </row>
    <row r="156">
      <c r="A156" s="66"/>
      <c r="B156" s="66"/>
      <c r="C156" s="66"/>
      <c r="D156" s="66"/>
      <c r="E156" s="66"/>
      <c r="F156" s="66"/>
      <c r="G156" s="66"/>
      <c r="H156" s="66"/>
      <c r="I156" s="66"/>
      <c r="J156" s="66"/>
      <c r="K156" s="66"/>
      <c r="L156" s="66"/>
      <c r="M156" s="157" t="s">
        <v>877</v>
      </c>
      <c r="N156" s="158">
        <v>46165.0</v>
      </c>
      <c r="O156" s="66">
        <v>1.0</v>
      </c>
      <c r="P156" s="66"/>
      <c r="Q156" s="66"/>
      <c r="R156" s="66"/>
      <c r="S156" s="66"/>
      <c r="T156" s="66" t="s">
        <v>652</v>
      </c>
      <c r="U156" s="158">
        <v>46218.0</v>
      </c>
      <c r="V156" s="66">
        <v>1.0</v>
      </c>
      <c r="W156" s="66"/>
      <c r="X156" s="66"/>
      <c r="Y156" s="66"/>
      <c r="Z156" s="66"/>
    </row>
    <row r="157">
      <c r="A157" s="66"/>
      <c r="B157" s="66"/>
      <c r="C157" s="66"/>
      <c r="D157" s="66"/>
      <c r="E157" s="66"/>
      <c r="F157" s="66"/>
      <c r="G157" s="66"/>
      <c r="H157" s="66"/>
      <c r="I157" s="66"/>
      <c r="J157" s="66"/>
      <c r="K157" s="66"/>
      <c r="L157" s="66"/>
      <c r="M157" s="157" t="s">
        <v>878</v>
      </c>
      <c r="N157" s="158">
        <v>46165.0</v>
      </c>
      <c r="O157" s="66">
        <v>1.0</v>
      </c>
      <c r="P157" s="66"/>
      <c r="Q157" s="66"/>
      <c r="R157" s="66"/>
      <c r="S157" s="66"/>
      <c r="T157" s="66" t="s">
        <v>648</v>
      </c>
      <c r="U157" s="158">
        <v>46218.0</v>
      </c>
      <c r="V157" s="66">
        <v>1.0</v>
      </c>
      <c r="W157" s="66"/>
      <c r="X157" s="66"/>
      <c r="Y157" s="66"/>
      <c r="Z157" s="66"/>
    </row>
    <row r="158">
      <c r="A158" s="66"/>
      <c r="B158" s="66"/>
      <c r="C158" s="66"/>
      <c r="D158" s="66"/>
      <c r="E158" s="66"/>
      <c r="F158" s="66"/>
      <c r="G158" s="66"/>
      <c r="H158" s="66"/>
      <c r="I158" s="66"/>
      <c r="J158" s="66"/>
      <c r="K158" s="66"/>
      <c r="L158" s="66"/>
      <c r="M158" s="157" t="s">
        <v>879</v>
      </c>
      <c r="N158" s="158">
        <v>46165.0</v>
      </c>
      <c r="O158" s="66">
        <v>2.0</v>
      </c>
      <c r="P158" s="66"/>
      <c r="Q158" s="66"/>
      <c r="R158" s="66"/>
      <c r="S158" s="66"/>
      <c r="T158" s="66" t="s">
        <v>656</v>
      </c>
      <c r="U158" s="158">
        <v>46218.0</v>
      </c>
      <c r="V158" s="66">
        <v>1.0</v>
      </c>
      <c r="W158" s="66"/>
      <c r="X158" s="66"/>
      <c r="Y158" s="66"/>
      <c r="Z158" s="66"/>
    </row>
    <row r="159">
      <c r="A159" s="66"/>
      <c r="B159" s="66"/>
      <c r="C159" s="66"/>
      <c r="D159" s="66"/>
      <c r="E159" s="66"/>
      <c r="F159" s="66"/>
      <c r="G159" s="66"/>
      <c r="H159" s="66"/>
      <c r="I159" s="66"/>
      <c r="J159" s="66"/>
      <c r="K159" s="66"/>
      <c r="L159" s="66"/>
      <c r="M159" s="157" t="s">
        <v>880</v>
      </c>
      <c r="N159" s="158">
        <v>46127.0</v>
      </c>
      <c r="O159" s="66">
        <v>1.0</v>
      </c>
      <c r="P159" s="66"/>
      <c r="Q159" s="66"/>
      <c r="R159" s="66"/>
      <c r="S159" s="66"/>
      <c r="T159" s="66" t="s">
        <v>654</v>
      </c>
      <c r="U159" s="158">
        <v>46218.0</v>
      </c>
      <c r="V159" s="66">
        <v>1.0</v>
      </c>
      <c r="W159" s="66"/>
      <c r="X159" s="66"/>
      <c r="Y159" s="66"/>
      <c r="Z159" s="66"/>
    </row>
    <row r="160">
      <c r="A160" s="66"/>
      <c r="B160" s="66"/>
      <c r="C160" s="66"/>
      <c r="D160" s="66"/>
      <c r="E160" s="66"/>
      <c r="F160" s="66"/>
      <c r="G160" s="66"/>
      <c r="H160" s="66"/>
      <c r="I160" s="66"/>
      <c r="J160" s="66"/>
      <c r="K160" s="66"/>
      <c r="L160" s="66"/>
      <c r="M160" s="66"/>
      <c r="N160" s="158">
        <v>46142.0</v>
      </c>
      <c r="O160" s="66">
        <v>1.0</v>
      </c>
      <c r="P160" s="66"/>
      <c r="Q160" s="66"/>
      <c r="R160" s="66"/>
      <c r="S160" s="66"/>
      <c r="T160" s="66" t="s">
        <v>650</v>
      </c>
      <c r="U160" s="158">
        <v>46218.0</v>
      </c>
      <c r="V160" s="66">
        <v>1.0</v>
      </c>
      <c r="W160" s="66"/>
      <c r="X160" s="66"/>
      <c r="Y160" s="66"/>
      <c r="Z160" s="66"/>
    </row>
    <row r="161">
      <c r="A161" s="66"/>
      <c r="B161" s="66"/>
      <c r="C161" s="66"/>
      <c r="D161" s="66"/>
      <c r="E161" s="66"/>
      <c r="F161" s="66"/>
      <c r="G161" s="66"/>
      <c r="H161" s="66"/>
      <c r="I161" s="66"/>
      <c r="J161" s="66"/>
      <c r="K161" s="66"/>
      <c r="L161" s="66"/>
      <c r="M161" s="157" t="s">
        <v>881</v>
      </c>
      <c r="N161" s="158">
        <v>46127.0</v>
      </c>
      <c r="O161" s="66">
        <v>1.0</v>
      </c>
      <c r="P161" s="66"/>
      <c r="Q161" s="66"/>
      <c r="R161" s="66"/>
      <c r="S161" s="66"/>
      <c r="T161" s="66" t="s">
        <v>646</v>
      </c>
      <c r="U161" s="158">
        <v>46218.0</v>
      </c>
      <c r="V161" s="66">
        <v>1.0</v>
      </c>
      <c r="W161" s="66"/>
      <c r="X161" s="66"/>
      <c r="Y161" s="66"/>
      <c r="Z161" s="66"/>
    </row>
    <row r="162">
      <c r="A162" s="66"/>
      <c r="B162" s="66"/>
      <c r="C162" s="66"/>
      <c r="D162" s="66"/>
      <c r="E162" s="66"/>
      <c r="F162" s="66"/>
      <c r="G162" s="66"/>
      <c r="H162" s="66"/>
      <c r="I162" s="66"/>
      <c r="J162" s="66"/>
      <c r="K162" s="66"/>
      <c r="L162" s="66"/>
      <c r="M162" s="66"/>
      <c r="N162" s="158">
        <v>46142.0</v>
      </c>
      <c r="O162" s="66">
        <v>1.0</v>
      </c>
      <c r="P162" s="66"/>
      <c r="Q162" s="66"/>
      <c r="R162" s="66"/>
      <c r="S162" s="66"/>
      <c r="T162" s="66" t="s">
        <v>658</v>
      </c>
      <c r="U162" s="158">
        <v>46218.0</v>
      </c>
      <c r="V162" s="66">
        <v>1.0</v>
      </c>
      <c r="W162" s="66"/>
      <c r="X162" s="66"/>
      <c r="Y162" s="66"/>
      <c r="Z162" s="66"/>
    </row>
    <row r="163">
      <c r="A163" s="66"/>
      <c r="B163" s="66"/>
      <c r="C163" s="66"/>
      <c r="D163" s="66"/>
      <c r="E163" s="66"/>
      <c r="F163" s="66"/>
      <c r="G163" s="66"/>
      <c r="H163" s="66"/>
      <c r="I163" s="66"/>
      <c r="J163" s="66"/>
      <c r="K163" s="66"/>
      <c r="L163" s="66"/>
      <c r="M163" s="157" t="s">
        <v>882</v>
      </c>
      <c r="N163" s="158">
        <v>46165.0</v>
      </c>
      <c r="O163" s="66">
        <v>1.0</v>
      </c>
      <c r="P163" s="66"/>
      <c r="Q163" s="66"/>
      <c r="R163" s="66"/>
      <c r="S163" s="66"/>
      <c r="T163" s="66" t="s">
        <v>620</v>
      </c>
      <c r="U163" s="158">
        <v>46218.0</v>
      </c>
      <c r="V163" s="66">
        <v>1.0</v>
      </c>
      <c r="W163" s="66"/>
      <c r="X163" s="66"/>
      <c r="Y163" s="66"/>
      <c r="Z163" s="66"/>
    </row>
    <row r="164">
      <c r="A164" s="66"/>
      <c r="B164" s="66"/>
      <c r="C164" s="66"/>
      <c r="D164" s="66"/>
      <c r="E164" s="66"/>
      <c r="F164" s="66"/>
      <c r="G164" s="66"/>
      <c r="H164" s="66"/>
      <c r="I164" s="66"/>
      <c r="J164" s="66"/>
      <c r="K164" s="66"/>
      <c r="L164" s="66"/>
      <c r="M164" s="157" t="s">
        <v>883</v>
      </c>
      <c r="N164" s="158">
        <v>46165.0</v>
      </c>
      <c r="O164" s="66">
        <v>1.0</v>
      </c>
      <c r="P164" s="66"/>
      <c r="Q164" s="66"/>
      <c r="R164" s="66"/>
      <c r="S164" s="66"/>
      <c r="T164" s="66" t="s">
        <v>616</v>
      </c>
      <c r="U164" s="158">
        <v>46218.0</v>
      </c>
      <c r="V164" s="66">
        <v>1.0</v>
      </c>
      <c r="W164" s="66"/>
      <c r="X164" s="66"/>
      <c r="Y164" s="66"/>
      <c r="Z164" s="66"/>
    </row>
    <row r="165">
      <c r="A165" s="66"/>
      <c r="B165" s="66"/>
      <c r="C165" s="66"/>
      <c r="D165" s="66"/>
      <c r="E165" s="66"/>
      <c r="F165" s="66"/>
      <c r="G165" s="66"/>
      <c r="H165" s="66"/>
      <c r="I165" s="66"/>
      <c r="J165" s="66"/>
      <c r="K165" s="66"/>
      <c r="L165" s="66"/>
      <c r="M165" s="157" t="s">
        <v>884</v>
      </c>
      <c r="N165" s="158">
        <v>46165.0</v>
      </c>
      <c r="O165" s="66">
        <v>1.0</v>
      </c>
      <c r="P165" s="66"/>
      <c r="Q165" s="66"/>
      <c r="R165" s="66"/>
      <c r="S165" s="66"/>
      <c r="T165" s="66" t="s">
        <v>634</v>
      </c>
      <c r="U165" s="158">
        <v>46218.0</v>
      </c>
      <c r="V165" s="66">
        <v>1.0</v>
      </c>
      <c r="W165" s="66"/>
      <c r="X165" s="66"/>
      <c r="Y165" s="66"/>
      <c r="Z165" s="66"/>
    </row>
    <row r="166">
      <c r="A166" s="66"/>
      <c r="B166" s="66"/>
      <c r="C166" s="66"/>
      <c r="D166" s="66"/>
      <c r="E166" s="66"/>
      <c r="F166" s="66"/>
      <c r="G166" s="66"/>
      <c r="H166" s="66"/>
      <c r="I166" s="66"/>
      <c r="J166" s="66"/>
      <c r="K166" s="66"/>
      <c r="L166" s="66"/>
      <c r="M166" s="157" t="s">
        <v>885</v>
      </c>
      <c r="N166" s="158">
        <v>46165.0</v>
      </c>
      <c r="O166" s="66">
        <v>1.0</v>
      </c>
      <c r="P166" s="66"/>
      <c r="Q166" s="66"/>
      <c r="R166" s="66"/>
      <c r="S166" s="66"/>
      <c r="T166" s="66" t="s">
        <v>642</v>
      </c>
      <c r="U166" s="158">
        <v>46218.0</v>
      </c>
      <c r="V166" s="66">
        <v>1.0</v>
      </c>
      <c r="W166" s="66"/>
      <c r="X166" s="66"/>
      <c r="Y166" s="66"/>
      <c r="Z166" s="66"/>
    </row>
    <row r="167">
      <c r="A167" s="66"/>
      <c r="B167" s="66"/>
      <c r="C167" s="66"/>
      <c r="D167" s="66"/>
      <c r="E167" s="66"/>
      <c r="F167" s="66"/>
      <c r="G167" s="66"/>
      <c r="H167" s="66"/>
      <c r="I167" s="66"/>
      <c r="J167" s="66"/>
      <c r="K167" s="66"/>
      <c r="L167" s="66"/>
      <c r="M167" s="157" t="s">
        <v>886</v>
      </c>
      <c r="N167" s="158">
        <v>46165.0</v>
      </c>
      <c r="O167" s="66">
        <v>2.0</v>
      </c>
      <c r="P167" s="66"/>
      <c r="Q167" s="66"/>
      <c r="R167" s="66"/>
      <c r="S167" s="66"/>
      <c r="T167" s="66" t="s">
        <v>630</v>
      </c>
      <c r="U167" s="158">
        <v>46218.0</v>
      </c>
      <c r="V167" s="66">
        <v>1.0</v>
      </c>
      <c r="W167" s="66"/>
      <c r="X167" s="66"/>
      <c r="Y167" s="66"/>
      <c r="Z167" s="66"/>
    </row>
    <row r="168">
      <c r="A168" s="66"/>
      <c r="B168" s="66"/>
      <c r="C168" s="66"/>
      <c r="D168" s="66"/>
      <c r="E168" s="66"/>
      <c r="F168" s="66"/>
      <c r="G168" s="66"/>
      <c r="H168" s="66"/>
      <c r="I168" s="66"/>
      <c r="J168" s="66"/>
      <c r="K168" s="66"/>
      <c r="L168" s="66"/>
      <c r="M168" s="157" t="s">
        <v>887</v>
      </c>
      <c r="N168" s="158">
        <v>46165.0</v>
      </c>
      <c r="O168" s="66">
        <v>1.0</v>
      </c>
      <c r="P168" s="66"/>
      <c r="Q168" s="66"/>
      <c r="R168" s="66"/>
      <c r="S168" s="66"/>
      <c r="T168" s="66" t="s">
        <v>632</v>
      </c>
      <c r="U168" s="158">
        <v>46218.0</v>
      </c>
      <c r="V168" s="66">
        <v>1.0</v>
      </c>
      <c r="W168" s="66"/>
      <c r="X168" s="66"/>
      <c r="Y168" s="66"/>
      <c r="Z168" s="66"/>
    </row>
    <row r="169">
      <c r="A169" s="66"/>
      <c r="B169" s="66"/>
      <c r="C169" s="66"/>
      <c r="D169" s="66"/>
      <c r="E169" s="66"/>
      <c r="F169" s="66"/>
      <c r="G169" s="66"/>
      <c r="H169" s="66"/>
      <c r="I169" s="66"/>
      <c r="J169" s="66"/>
      <c r="K169" s="66"/>
      <c r="L169" s="66"/>
      <c r="M169" s="157" t="s">
        <v>888</v>
      </c>
      <c r="N169" s="158">
        <v>46127.0</v>
      </c>
      <c r="O169" s="66">
        <v>1.0</v>
      </c>
      <c r="P169" s="66"/>
      <c r="Q169" s="66"/>
      <c r="R169" s="66"/>
      <c r="S169" s="66"/>
      <c r="T169" s="66" t="s">
        <v>644</v>
      </c>
      <c r="U169" s="158">
        <v>46218.0</v>
      </c>
      <c r="V169" s="66">
        <v>1.0</v>
      </c>
      <c r="W169" s="66"/>
      <c r="X169" s="66"/>
      <c r="Y169" s="66"/>
      <c r="Z169" s="66"/>
    </row>
    <row r="170">
      <c r="A170" s="66"/>
      <c r="B170" s="66"/>
      <c r="C170" s="66"/>
      <c r="D170" s="66"/>
      <c r="E170" s="66"/>
      <c r="F170" s="66"/>
      <c r="G170" s="66"/>
      <c r="H170" s="66"/>
      <c r="I170" s="66"/>
      <c r="J170" s="66"/>
      <c r="K170" s="66"/>
      <c r="L170" s="66"/>
      <c r="M170" s="66"/>
      <c r="N170" s="158">
        <v>46142.0</v>
      </c>
      <c r="O170" s="66">
        <v>1.0</v>
      </c>
      <c r="P170" s="66"/>
      <c r="Q170" s="66"/>
      <c r="R170" s="66"/>
      <c r="S170" s="66"/>
      <c r="T170" s="66" t="s">
        <v>636</v>
      </c>
      <c r="U170" s="158">
        <v>46218.0</v>
      </c>
      <c r="V170" s="66">
        <v>1.0</v>
      </c>
      <c r="W170" s="66"/>
      <c r="X170" s="66"/>
      <c r="Y170" s="66"/>
      <c r="Z170" s="66"/>
    </row>
    <row r="171">
      <c r="A171" s="66"/>
      <c r="B171" s="66"/>
      <c r="C171" s="66"/>
      <c r="D171" s="66"/>
      <c r="E171" s="66"/>
      <c r="F171" s="66"/>
      <c r="G171" s="66"/>
      <c r="H171" s="66"/>
      <c r="I171" s="66"/>
      <c r="J171" s="66"/>
      <c r="K171" s="66"/>
      <c r="L171" s="66"/>
      <c r="M171" s="157" t="s">
        <v>889</v>
      </c>
      <c r="N171" s="158">
        <v>46127.0</v>
      </c>
      <c r="O171" s="66">
        <v>1.0</v>
      </c>
      <c r="P171" s="66"/>
      <c r="Q171" s="66"/>
      <c r="R171" s="66"/>
      <c r="S171" s="66"/>
      <c r="T171" s="66" t="s">
        <v>640</v>
      </c>
      <c r="U171" s="158">
        <v>46218.0</v>
      </c>
      <c r="V171" s="66">
        <v>1.0</v>
      </c>
      <c r="W171" s="66"/>
      <c r="X171" s="66"/>
      <c r="Y171" s="66"/>
      <c r="Z171" s="66"/>
    </row>
    <row r="172">
      <c r="A172" s="66"/>
      <c r="B172" s="66"/>
      <c r="C172" s="66"/>
      <c r="D172" s="66"/>
      <c r="E172" s="66"/>
      <c r="F172" s="66"/>
      <c r="G172" s="66"/>
      <c r="H172" s="66"/>
      <c r="I172" s="66"/>
      <c r="J172" s="66"/>
      <c r="K172" s="66"/>
      <c r="L172" s="66"/>
      <c r="M172" s="66"/>
      <c r="N172" s="158">
        <v>46142.0</v>
      </c>
      <c r="O172" s="66">
        <v>1.0</v>
      </c>
      <c r="P172" s="66"/>
      <c r="Q172" s="66"/>
      <c r="R172" s="66"/>
      <c r="S172" s="66"/>
      <c r="T172" s="66" t="s">
        <v>628</v>
      </c>
      <c r="U172" s="158">
        <v>46218.0</v>
      </c>
      <c r="V172" s="66">
        <v>1.0</v>
      </c>
      <c r="W172" s="66"/>
      <c r="X172" s="66"/>
      <c r="Y172" s="66"/>
      <c r="Z172" s="66"/>
    </row>
    <row r="173">
      <c r="A173" s="66"/>
      <c r="B173" s="66"/>
      <c r="C173" s="66"/>
      <c r="D173" s="66"/>
      <c r="E173" s="66"/>
      <c r="F173" s="66"/>
      <c r="G173" s="66"/>
      <c r="H173" s="66"/>
      <c r="I173" s="66"/>
      <c r="J173" s="66"/>
      <c r="K173" s="66"/>
      <c r="L173" s="66"/>
      <c r="M173" s="157" t="s">
        <v>890</v>
      </c>
      <c r="N173" s="158">
        <v>46165.0</v>
      </c>
      <c r="O173" s="66">
        <v>1.0</v>
      </c>
      <c r="P173" s="66"/>
      <c r="Q173" s="66"/>
      <c r="R173" s="66"/>
      <c r="S173" s="66"/>
      <c r="T173" s="66" t="s">
        <v>638</v>
      </c>
      <c r="U173" s="158">
        <v>46218.0</v>
      </c>
      <c r="V173" s="66">
        <v>1.0</v>
      </c>
      <c r="W173" s="66"/>
      <c r="X173" s="66"/>
      <c r="Y173" s="66"/>
      <c r="Z173" s="66"/>
    </row>
    <row r="174">
      <c r="A174" s="66"/>
      <c r="B174" s="66"/>
      <c r="C174" s="66"/>
      <c r="D174" s="66"/>
      <c r="E174" s="66"/>
      <c r="F174" s="66"/>
      <c r="G174" s="66"/>
      <c r="H174" s="66"/>
      <c r="I174" s="66"/>
      <c r="J174" s="66"/>
      <c r="K174" s="66"/>
      <c r="L174" s="66"/>
      <c r="M174" s="157" t="s">
        <v>891</v>
      </c>
      <c r="N174" s="158">
        <v>46165.0</v>
      </c>
      <c r="O174" s="66">
        <v>2.0</v>
      </c>
      <c r="P174" s="66"/>
      <c r="Q174" s="66"/>
      <c r="R174" s="66"/>
      <c r="S174" s="66"/>
      <c r="T174" s="66" t="s">
        <v>626</v>
      </c>
      <c r="U174" s="158">
        <v>46218.0</v>
      </c>
      <c r="V174" s="66">
        <v>1.0</v>
      </c>
      <c r="W174" s="66"/>
      <c r="X174" s="66"/>
      <c r="Y174" s="66"/>
      <c r="Z174" s="66"/>
    </row>
    <row r="175">
      <c r="A175" s="66"/>
      <c r="B175" s="66"/>
      <c r="C175" s="66"/>
      <c r="D175" s="66"/>
      <c r="E175" s="66"/>
      <c r="F175" s="66"/>
      <c r="G175" s="66"/>
      <c r="H175" s="66"/>
      <c r="I175" s="66"/>
      <c r="J175" s="66"/>
      <c r="K175" s="66"/>
      <c r="L175" s="66"/>
      <c r="M175" s="157" t="s">
        <v>892</v>
      </c>
      <c r="N175" s="158">
        <v>46142.0</v>
      </c>
      <c r="O175" s="66">
        <v>1.0</v>
      </c>
      <c r="P175" s="66"/>
      <c r="Q175" s="66"/>
      <c r="R175" s="66"/>
      <c r="S175" s="66"/>
      <c r="T175" s="66" t="s">
        <v>598</v>
      </c>
      <c r="U175" s="158">
        <v>46218.0</v>
      </c>
      <c r="V175" s="66">
        <v>1.0</v>
      </c>
      <c r="W175" s="66"/>
      <c r="X175" s="66"/>
      <c r="Y175" s="66"/>
      <c r="Z175" s="66"/>
    </row>
    <row r="176">
      <c r="A176" s="66"/>
      <c r="B176" s="66"/>
      <c r="C176" s="66"/>
      <c r="D176" s="66"/>
      <c r="E176" s="66"/>
      <c r="F176" s="66"/>
      <c r="G176" s="66"/>
      <c r="H176" s="66"/>
      <c r="I176" s="66"/>
      <c r="J176" s="66"/>
      <c r="K176" s="66"/>
      <c r="L176" s="66"/>
      <c r="M176" s="157" t="s">
        <v>893</v>
      </c>
      <c r="N176" s="158">
        <v>46081.0</v>
      </c>
      <c r="O176" s="66">
        <v>1.0</v>
      </c>
      <c r="P176" s="66"/>
      <c r="Q176" s="66"/>
      <c r="R176" s="66"/>
      <c r="S176" s="66"/>
      <c r="T176" s="66" t="s">
        <v>571</v>
      </c>
      <c r="U176" s="158">
        <v>46218.0</v>
      </c>
      <c r="V176" s="66">
        <v>1.0</v>
      </c>
      <c r="W176" s="66"/>
      <c r="X176" s="66"/>
      <c r="Y176" s="66"/>
      <c r="Z176" s="66"/>
    </row>
    <row r="177">
      <c r="A177" s="66"/>
      <c r="B177" s="66"/>
      <c r="C177" s="66"/>
      <c r="D177" s="66"/>
      <c r="E177" s="66"/>
      <c r="F177" s="66"/>
      <c r="G177" s="66"/>
      <c r="H177" s="66"/>
      <c r="I177" s="66"/>
      <c r="J177" s="66"/>
      <c r="K177" s="66"/>
      <c r="L177" s="66"/>
      <c r="M177" s="157" t="s">
        <v>894</v>
      </c>
      <c r="N177" s="158">
        <v>46165.0</v>
      </c>
      <c r="O177" s="66">
        <v>2.0</v>
      </c>
      <c r="P177" s="66"/>
      <c r="Q177" s="66"/>
      <c r="R177" s="66"/>
      <c r="S177" s="66"/>
      <c r="T177" s="66" t="s">
        <v>585</v>
      </c>
      <c r="U177" s="158">
        <v>46218.0</v>
      </c>
      <c r="V177" s="66">
        <v>1.0</v>
      </c>
      <c r="W177" s="66"/>
      <c r="X177" s="66"/>
      <c r="Y177" s="66"/>
      <c r="Z177" s="66"/>
    </row>
    <row r="178">
      <c r="A178" s="66"/>
      <c r="B178" s="66"/>
      <c r="C178" s="66"/>
      <c r="D178" s="66"/>
      <c r="E178" s="66"/>
      <c r="F178" s="66"/>
      <c r="G178" s="66"/>
      <c r="H178" s="66"/>
      <c r="I178" s="66"/>
      <c r="J178" s="66"/>
      <c r="K178" s="66"/>
      <c r="L178" s="66"/>
      <c r="M178" s="157" t="s">
        <v>895</v>
      </c>
      <c r="N178" s="158">
        <v>46157.0</v>
      </c>
      <c r="O178" s="66">
        <v>1.0</v>
      </c>
      <c r="P178" s="66"/>
      <c r="Q178" s="66"/>
      <c r="R178" s="66"/>
      <c r="S178" s="66"/>
      <c r="T178" s="66" t="s">
        <v>587</v>
      </c>
      <c r="U178" s="158">
        <v>46218.0</v>
      </c>
      <c r="V178" s="66">
        <v>1.0</v>
      </c>
      <c r="W178" s="66"/>
      <c r="X178" s="66"/>
      <c r="Y178" s="66"/>
      <c r="Z178" s="66"/>
    </row>
    <row r="179">
      <c r="A179" s="66"/>
      <c r="B179" s="66"/>
      <c r="C179" s="66"/>
      <c r="D179" s="66"/>
      <c r="E179" s="66"/>
      <c r="F179" s="66"/>
      <c r="G179" s="66"/>
      <c r="H179" s="66"/>
      <c r="I179" s="66"/>
      <c r="J179" s="66"/>
      <c r="K179" s="66"/>
      <c r="L179" s="66"/>
      <c r="M179" s="157" t="s">
        <v>896</v>
      </c>
      <c r="N179" s="158">
        <v>46157.0</v>
      </c>
      <c r="O179" s="66">
        <v>1.0</v>
      </c>
      <c r="P179" s="66"/>
      <c r="Q179" s="66"/>
      <c r="R179" s="66"/>
      <c r="S179" s="66"/>
      <c r="T179" s="66" t="s">
        <v>605</v>
      </c>
      <c r="U179" s="158">
        <v>46218.0</v>
      </c>
      <c r="V179" s="66">
        <v>1.0</v>
      </c>
      <c r="W179" s="66"/>
      <c r="X179" s="66"/>
      <c r="Y179" s="66"/>
      <c r="Z179" s="66"/>
    </row>
    <row r="180">
      <c r="A180" s="66"/>
      <c r="B180" s="66"/>
      <c r="C180" s="66"/>
      <c r="D180" s="66"/>
      <c r="E180" s="66"/>
      <c r="F180" s="66"/>
      <c r="G180" s="66"/>
      <c r="H180" s="66"/>
      <c r="I180" s="66"/>
      <c r="J180" s="66"/>
      <c r="K180" s="66"/>
      <c r="L180" s="66"/>
      <c r="M180" s="157" t="s">
        <v>897</v>
      </c>
      <c r="N180" s="158">
        <v>46165.0</v>
      </c>
      <c r="O180" s="66">
        <v>2.0</v>
      </c>
      <c r="P180" s="66"/>
      <c r="Q180" s="66"/>
      <c r="R180" s="66"/>
      <c r="S180" s="66"/>
      <c r="T180" s="66" t="s">
        <v>588</v>
      </c>
      <c r="U180" s="158">
        <v>46218.0</v>
      </c>
      <c r="V180" s="66">
        <v>1.0</v>
      </c>
      <c r="W180" s="66"/>
      <c r="X180" s="66"/>
      <c r="Y180" s="66"/>
      <c r="Z180" s="66"/>
    </row>
    <row r="181">
      <c r="A181" s="66"/>
      <c r="B181" s="66"/>
      <c r="C181" s="66"/>
      <c r="D181" s="66"/>
      <c r="E181" s="66"/>
      <c r="F181" s="66"/>
      <c r="G181" s="66"/>
      <c r="H181" s="66"/>
      <c r="I181" s="66"/>
      <c r="J181" s="66"/>
      <c r="K181" s="66"/>
      <c r="L181" s="66"/>
      <c r="M181" s="157" t="s">
        <v>898</v>
      </c>
      <c r="N181" s="158">
        <v>46165.0</v>
      </c>
      <c r="O181" s="66">
        <v>2.0</v>
      </c>
      <c r="P181" s="66"/>
      <c r="Q181" s="66"/>
      <c r="R181" s="66"/>
      <c r="S181" s="66"/>
      <c r="T181" s="66" t="s">
        <v>601</v>
      </c>
      <c r="U181" s="158">
        <v>46218.0</v>
      </c>
      <c r="V181" s="66">
        <v>1.0</v>
      </c>
      <c r="W181" s="66"/>
      <c r="X181" s="66"/>
      <c r="Y181" s="66"/>
      <c r="Z181" s="66"/>
    </row>
    <row r="182">
      <c r="A182" s="66"/>
      <c r="B182" s="66"/>
      <c r="C182" s="66"/>
      <c r="D182" s="66"/>
      <c r="E182" s="66"/>
      <c r="F182" s="66"/>
      <c r="G182" s="66"/>
      <c r="H182" s="66"/>
      <c r="I182" s="66"/>
      <c r="J182" s="66"/>
      <c r="K182" s="66"/>
      <c r="L182" s="66"/>
      <c r="M182" s="157" t="s">
        <v>899</v>
      </c>
      <c r="N182" s="158">
        <v>46165.0</v>
      </c>
      <c r="O182" s="66">
        <v>2.0</v>
      </c>
      <c r="P182" s="66"/>
      <c r="Q182" s="66"/>
      <c r="R182" s="66"/>
      <c r="S182" s="66"/>
      <c r="T182" s="66" t="s">
        <v>590</v>
      </c>
      <c r="U182" s="158">
        <v>46218.0</v>
      </c>
      <c r="V182" s="66">
        <v>1.0</v>
      </c>
      <c r="W182" s="66"/>
      <c r="X182" s="66"/>
      <c r="Y182" s="66"/>
      <c r="Z182" s="66"/>
    </row>
    <row r="183">
      <c r="A183" s="66"/>
      <c r="B183" s="66"/>
      <c r="C183" s="66"/>
      <c r="D183" s="66"/>
      <c r="E183" s="66"/>
      <c r="F183" s="66"/>
      <c r="G183" s="66"/>
      <c r="H183" s="66"/>
      <c r="I183" s="66"/>
      <c r="J183" s="66"/>
      <c r="K183" s="66"/>
      <c r="L183" s="66"/>
      <c r="M183" s="157" t="s">
        <v>900</v>
      </c>
      <c r="N183" s="158">
        <v>46165.0</v>
      </c>
      <c r="O183" s="66">
        <v>2.0</v>
      </c>
      <c r="P183" s="66"/>
      <c r="Q183" s="66"/>
      <c r="R183" s="66"/>
      <c r="S183" s="66"/>
      <c r="T183" s="66" t="s">
        <v>604</v>
      </c>
      <c r="U183" s="158">
        <v>46218.0</v>
      </c>
      <c r="V183" s="66">
        <v>1.0</v>
      </c>
      <c r="W183" s="66"/>
      <c r="X183" s="66"/>
      <c r="Y183" s="66"/>
      <c r="Z183" s="66"/>
    </row>
    <row r="184">
      <c r="A184" s="66"/>
      <c r="B184" s="66"/>
      <c r="C184" s="66"/>
      <c r="D184" s="66"/>
      <c r="E184" s="66"/>
      <c r="F184" s="66"/>
      <c r="G184" s="66"/>
      <c r="H184" s="66"/>
      <c r="I184" s="66"/>
      <c r="J184" s="66"/>
      <c r="K184" s="66"/>
      <c r="L184" s="66"/>
      <c r="M184" s="157" t="s">
        <v>901</v>
      </c>
      <c r="N184" s="158">
        <v>46165.0</v>
      </c>
      <c r="O184" s="66">
        <v>2.0</v>
      </c>
      <c r="P184" s="66"/>
      <c r="Q184" s="66"/>
      <c r="R184" s="66"/>
      <c r="S184" s="66"/>
      <c r="T184" s="66" t="s">
        <v>586</v>
      </c>
      <c r="U184" s="158">
        <v>46218.0</v>
      </c>
      <c r="V184" s="66">
        <v>1.0</v>
      </c>
      <c r="W184" s="66"/>
      <c r="X184" s="66"/>
      <c r="Y184" s="66"/>
      <c r="Z184" s="66"/>
    </row>
    <row r="185">
      <c r="A185" s="66"/>
      <c r="B185" s="66"/>
      <c r="C185" s="66"/>
      <c r="D185" s="66"/>
      <c r="E185" s="66"/>
      <c r="F185" s="66"/>
      <c r="G185" s="66"/>
      <c r="H185" s="66"/>
      <c r="I185" s="66"/>
      <c r="J185" s="66"/>
      <c r="K185" s="66"/>
      <c r="L185" s="66"/>
      <c r="M185" s="157" t="s">
        <v>124</v>
      </c>
      <c r="N185" s="158">
        <v>46165.0</v>
      </c>
      <c r="O185" s="66">
        <v>1.0</v>
      </c>
      <c r="P185" s="66"/>
      <c r="Q185" s="66"/>
      <c r="R185" s="66"/>
      <c r="S185" s="66"/>
      <c r="T185" s="66" t="s">
        <v>602</v>
      </c>
      <c r="U185" s="158">
        <v>46218.0</v>
      </c>
      <c r="V185" s="66">
        <v>1.0</v>
      </c>
      <c r="W185" s="66"/>
      <c r="X185" s="66"/>
      <c r="Y185" s="66"/>
      <c r="Z185" s="66"/>
    </row>
    <row r="186">
      <c r="A186" s="66"/>
      <c r="B186" s="66"/>
      <c r="C186" s="66"/>
      <c r="D186" s="66"/>
      <c r="E186" s="66"/>
      <c r="F186" s="66"/>
      <c r="G186" s="66"/>
      <c r="H186" s="66"/>
      <c r="I186" s="66"/>
      <c r="J186" s="66"/>
      <c r="K186" s="66"/>
      <c r="L186" s="66"/>
      <c r="M186" s="157" t="s">
        <v>902</v>
      </c>
      <c r="N186" s="158">
        <v>46119.0</v>
      </c>
      <c r="O186" s="66">
        <v>1.0</v>
      </c>
      <c r="P186" s="66"/>
      <c r="Q186" s="66"/>
      <c r="R186" s="66"/>
      <c r="S186" s="66"/>
      <c r="T186" s="66" t="s">
        <v>606</v>
      </c>
      <c r="U186" s="158">
        <v>46218.0</v>
      </c>
      <c r="V186" s="66">
        <v>1.0</v>
      </c>
      <c r="W186" s="66"/>
      <c r="X186" s="66"/>
      <c r="Y186" s="66"/>
      <c r="Z186" s="66"/>
    </row>
    <row r="187">
      <c r="A187" s="66"/>
      <c r="B187" s="66"/>
      <c r="C187" s="66"/>
      <c r="D187" s="66"/>
      <c r="E187" s="66"/>
      <c r="F187" s="66"/>
      <c r="G187" s="66"/>
      <c r="H187" s="66"/>
      <c r="I187" s="66"/>
      <c r="J187" s="66"/>
      <c r="K187" s="66"/>
      <c r="L187" s="66"/>
      <c r="M187" s="157" t="s">
        <v>903</v>
      </c>
      <c r="N187" s="158">
        <v>46127.0</v>
      </c>
      <c r="O187" s="66">
        <v>1.0</v>
      </c>
      <c r="P187" s="66"/>
      <c r="Q187" s="66"/>
      <c r="R187" s="66"/>
      <c r="S187" s="66"/>
      <c r="T187" s="66" t="s">
        <v>608</v>
      </c>
      <c r="U187" s="158">
        <v>46218.0</v>
      </c>
      <c r="V187" s="66">
        <v>1.0</v>
      </c>
      <c r="W187" s="66"/>
      <c r="X187" s="66"/>
      <c r="Y187" s="66"/>
      <c r="Z187" s="66"/>
    </row>
    <row r="188">
      <c r="A188" s="66"/>
      <c r="B188" s="66"/>
      <c r="C188" s="66"/>
      <c r="D188" s="66"/>
      <c r="E188" s="66"/>
      <c r="F188" s="66"/>
      <c r="G188" s="66"/>
      <c r="H188" s="66"/>
      <c r="I188" s="66"/>
      <c r="J188" s="66"/>
      <c r="K188" s="66"/>
      <c r="L188" s="66"/>
      <c r="M188" s="66"/>
      <c r="N188" s="158">
        <v>46142.0</v>
      </c>
      <c r="O188" s="66">
        <v>1.0</v>
      </c>
      <c r="P188" s="66"/>
      <c r="Q188" s="66"/>
      <c r="R188" s="66"/>
      <c r="S188" s="66"/>
      <c r="T188" s="66" t="s">
        <v>593</v>
      </c>
      <c r="U188" s="158">
        <v>46218.0</v>
      </c>
      <c r="V188" s="66">
        <v>1.0</v>
      </c>
      <c r="W188" s="66"/>
      <c r="X188" s="66"/>
      <c r="Y188" s="66"/>
      <c r="Z188" s="66"/>
    </row>
    <row r="189">
      <c r="A189" s="66"/>
      <c r="B189" s="66"/>
      <c r="C189" s="66"/>
      <c r="D189" s="66"/>
      <c r="E189" s="66"/>
      <c r="F189" s="66"/>
      <c r="G189" s="66"/>
      <c r="H189" s="66"/>
      <c r="I189" s="66"/>
      <c r="J189" s="66"/>
      <c r="K189" s="66"/>
      <c r="L189" s="66"/>
      <c r="M189" s="157" t="s">
        <v>904</v>
      </c>
      <c r="N189" s="158">
        <v>46165.0</v>
      </c>
      <c r="O189" s="66">
        <v>1.0</v>
      </c>
      <c r="P189" s="66"/>
      <c r="Q189" s="66"/>
      <c r="R189" s="66"/>
      <c r="S189" s="66"/>
      <c r="T189" s="66" t="s">
        <v>589</v>
      </c>
      <c r="U189" s="158">
        <v>46218.0</v>
      </c>
      <c r="V189" s="66">
        <v>1.0</v>
      </c>
      <c r="W189" s="66"/>
      <c r="X189" s="66"/>
      <c r="Y189" s="66"/>
      <c r="Z189" s="66"/>
    </row>
    <row r="190">
      <c r="A190" s="66"/>
      <c r="B190" s="66"/>
      <c r="C190" s="66"/>
      <c r="D190" s="66"/>
      <c r="E190" s="66"/>
      <c r="F190" s="66"/>
      <c r="G190" s="66"/>
      <c r="H190" s="66"/>
      <c r="I190" s="66"/>
      <c r="J190" s="66"/>
      <c r="K190" s="66"/>
      <c r="L190" s="66"/>
      <c r="M190" s="157" t="s">
        <v>905</v>
      </c>
      <c r="N190" s="158">
        <v>46165.0</v>
      </c>
      <c r="O190" s="66">
        <v>1.0</v>
      </c>
      <c r="P190" s="66"/>
      <c r="Q190" s="66"/>
      <c r="R190" s="66"/>
      <c r="S190" s="66"/>
      <c r="T190" s="66" t="s">
        <v>603</v>
      </c>
      <c r="U190" s="158">
        <v>46218.0</v>
      </c>
      <c r="V190" s="66">
        <v>1.0</v>
      </c>
      <c r="W190" s="66"/>
      <c r="X190" s="66"/>
      <c r="Y190" s="66"/>
      <c r="Z190" s="66"/>
    </row>
    <row r="191">
      <c r="A191" s="66"/>
      <c r="B191" s="66"/>
      <c r="C191" s="66"/>
      <c r="D191" s="66"/>
      <c r="E191" s="66"/>
      <c r="F191" s="66"/>
      <c r="G191" s="66"/>
      <c r="H191" s="66"/>
      <c r="I191" s="66"/>
      <c r="J191" s="66"/>
      <c r="K191" s="66"/>
      <c r="L191" s="66"/>
      <c r="M191" s="157" t="s">
        <v>906</v>
      </c>
      <c r="N191" s="158">
        <v>46165.0</v>
      </c>
      <c r="O191" s="66">
        <v>1.0</v>
      </c>
      <c r="P191" s="66"/>
      <c r="Q191" s="66"/>
      <c r="R191" s="66"/>
      <c r="S191" s="66"/>
      <c r="T191" s="66" t="s">
        <v>584</v>
      </c>
      <c r="U191" s="158">
        <v>46218.0</v>
      </c>
      <c r="V191" s="66">
        <v>1.0</v>
      </c>
      <c r="W191" s="66"/>
      <c r="X191" s="66"/>
      <c r="Y191" s="66"/>
      <c r="Z191" s="66"/>
    </row>
    <row r="192">
      <c r="A192" s="66"/>
      <c r="B192" s="66"/>
      <c r="C192" s="66"/>
      <c r="D192" s="66"/>
      <c r="E192" s="66"/>
      <c r="F192" s="66"/>
      <c r="G192" s="66"/>
      <c r="H192" s="66"/>
      <c r="I192" s="66"/>
      <c r="J192" s="66"/>
      <c r="K192" s="66"/>
      <c r="L192" s="66"/>
      <c r="M192" s="157" t="s">
        <v>907</v>
      </c>
      <c r="N192" s="158">
        <v>46165.0</v>
      </c>
      <c r="O192" s="66">
        <v>1.0</v>
      </c>
      <c r="P192" s="66"/>
      <c r="Q192" s="66"/>
      <c r="R192" s="66"/>
      <c r="S192" s="66"/>
      <c r="T192" s="66" t="s">
        <v>594</v>
      </c>
      <c r="U192" s="158">
        <v>46218.0</v>
      </c>
      <c r="V192" s="66">
        <v>1.0</v>
      </c>
      <c r="W192" s="66"/>
      <c r="X192" s="66"/>
      <c r="Y192" s="66"/>
      <c r="Z192" s="66"/>
    </row>
    <row r="193">
      <c r="A193" s="66"/>
      <c r="B193" s="66"/>
      <c r="C193" s="66"/>
      <c r="D193" s="66"/>
      <c r="E193" s="66"/>
      <c r="F193" s="66"/>
      <c r="G193" s="66"/>
      <c r="H193" s="66"/>
      <c r="I193" s="66"/>
      <c r="J193" s="66"/>
      <c r="K193" s="66"/>
      <c r="L193" s="66"/>
      <c r="M193" s="157" t="s">
        <v>908</v>
      </c>
      <c r="N193" s="158">
        <v>46165.0</v>
      </c>
      <c r="O193" s="66">
        <v>1.0</v>
      </c>
      <c r="P193" s="66"/>
      <c r="Q193" s="66"/>
      <c r="R193" s="66"/>
      <c r="S193" s="66"/>
      <c r="T193" s="66" t="s">
        <v>596</v>
      </c>
      <c r="U193" s="158">
        <v>46218.0</v>
      </c>
      <c r="V193" s="66">
        <v>1.0</v>
      </c>
      <c r="W193" s="66"/>
      <c r="X193" s="66"/>
      <c r="Y193" s="66"/>
      <c r="Z193" s="66"/>
    </row>
    <row r="194">
      <c r="A194" s="66"/>
      <c r="B194" s="66"/>
      <c r="C194" s="66"/>
      <c r="D194" s="66"/>
      <c r="E194" s="66"/>
      <c r="F194" s="66"/>
      <c r="G194" s="66"/>
      <c r="H194" s="66"/>
      <c r="I194" s="66"/>
      <c r="J194" s="66"/>
      <c r="K194" s="66"/>
      <c r="L194" s="66"/>
      <c r="M194" s="157" t="s">
        <v>909</v>
      </c>
      <c r="N194" s="158">
        <v>46112.0</v>
      </c>
      <c r="O194" s="66">
        <v>1.0</v>
      </c>
      <c r="P194" s="66"/>
      <c r="Q194" s="66"/>
      <c r="R194" s="66"/>
      <c r="S194" s="66"/>
      <c r="T194" s="66" t="s">
        <v>599</v>
      </c>
      <c r="U194" s="158">
        <v>46218.0</v>
      </c>
      <c r="V194" s="66">
        <v>1.0</v>
      </c>
      <c r="W194" s="66"/>
      <c r="X194" s="66"/>
      <c r="Y194" s="66"/>
      <c r="Z194" s="66"/>
    </row>
    <row r="195">
      <c r="A195" s="66"/>
      <c r="B195" s="66"/>
      <c r="C195" s="66"/>
      <c r="D195" s="66"/>
      <c r="E195" s="66"/>
      <c r="F195" s="66"/>
      <c r="G195" s="66"/>
      <c r="H195" s="66"/>
      <c r="I195" s="66"/>
      <c r="J195" s="66"/>
      <c r="K195" s="66"/>
      <c r="L195" s="66"/>
      <c r="M195" s="157" t="s">
        <v>910</v>
      </c>
      <c r="N195" s="158">
        <v>46165.0</v>
      </c>
      <c r="O195" s="66">
        <v>1.0</v>
      </c>
      <c r="P195" s="66"/>
      <c r="Q195" s="66"/>
      <c r="R195" s="66"/>
      <c r="S195" s="66"/>
      <c r="T195" s="66" t="s">
        <v>595</v>
      </c>
      <c r="U195" s="158">
        <v>46218.0</v>
      </c>
      <c r="V195" s="66">
        <v>1.0</v>
      </c>
      <c r="W195" s="66"/>
      <c r="X195" s="66"/>
      <c r="Y195" s="66"/>
      <c r="Z195" s="66"/>
    </row>
    <row r="196">
      <c r="A196" s="66"/>
      <c r="B196" s="66"/>
      <c r="C196" s="66"/>
      <c r="D196" s="66"/>
      <c r="E196" s="66"/>
      <c r="F196" s="66"/>
      <c r="G196" s="66"/>
      <c r="H196" s="66"/>
      <c r="I196" s="66"/>
      <c r="J196" s="66"/>
      <c r="K196" s="66"/>
      <c r="L196" s="66"/>
      <c r="M196" s="157" t="s">
        <v>911</v>
      </c>
      <c r="N196" s="158">
        <v>46165.0</v>
      </c>
      <c r="O196" s="66">
        <v>1.0</v>
      </c>
      <c r="P196" s="66"/>
      <c r="Q196" s="66"/>
      <c r="R196" s="66"/>
      <c r="S196" s="66"/>
      <c r="T196" s="66" t="s">
        <v>591</v>
      </c>
      <c r="U196" s="158">
        <v>46218.0</v>
      </c>
      <c r="V196" s="66">
        <v>1.0</v>
      </c>
      <c r="W196" s="66"/>
      <c r="X196" s="66"/>
      <c r="Y196" s="66"/>
      <c r="Z196" s="66"/>
    </row>
    <row r="197">
      <c r="A197" s="66"/>
      <c r="B197" s="66"/>
      <c r="C197" s="66"/>
      <c r="D197" s="66"/>
      <c r="E197" s="66"/>
      <c r="F197" s="66"/>
      <c r="G197" s="66"/>
      <c r="H197" s="66"/>
      <c r="I197" s="66"/>
      <c r="J197" s="66"/>
      <c r="K197" s="66"/>
      <c r="L197" s="66"/>
      <c r="M197" s="157" t="s">
        <v>912</v>
      </c>
      <c r="N197" s="158">
        <v>46165.0</v>
      </c>
      <c r="O197" s="66">
        <v>1.0</v>
      </c>
      <c r="P197" s="66"/>
      <c r="Q197" s="66"/>
      <c r="R197" s="66"/>
      <c r="S197" s="66"/>
      <c r="T197" s="66" t="s">
        <v>592</v>
      </c>
      <c r="U197" s="158">
        <v>46218.0</v>
      </c>
      <c r="V197" s="66">
        <v>1.0</v>
      </c>
      <c r="W197" s="66"/>
      <c r="X197" s="66"/>
      <c r="Y197" s="66"/>
      <c r="Z197" s="66"/>
    </row>
    <row r="198">
      <c r="A198" s="66"/>
      <c r="B198" s="66"/>
      <c r="C198" s="66"/>
      <c r="D198" s="66"/>
      <c r="E198" s="66"/>
      <c r="F198" s="66"/>
      <c r="G198" s="66"/>
      <c r="H198" s="66"/>
      <c r="I198" s="66"/>
      <c r="J198" s="66"/>
      <c r="K198" s="66"/>
      <c r="L198" s="66"/>
      <c r="M198" s="157" t="s">
        <v>913</v>
      </c>
      <c r="N198" s="158">
        <v>46165.0</v>
      </c>
      <c r="O198" s="66">
        <v>2.0</v>
      </c>
      <c r="P198" s="66"/>
      <c r="Q198" s="66"/>
      <c r="R198" s="66"/>
      <c r="S198" s="66"/>
      <c r="T198" s="66" t="s">
        <v>600</v>
      </c>
      <c r="U198" s="158">
        <v>46218.0</v>
      </c>
      <c r="V198" s="66">
        <v>1.0</v>
      </c>
      <c r="W198" s="66"/>
      <c r="X198" s="66"/>
      <c r="Y198" s="66"/>
      <c r="Z198" s="66"/>
    </row>
    <row r="199">
      <c r="A199" s="66"/>
      <c r="B199" s="66"/>
      <c r="C199" s="66"/>
      <c r="D199" s="66"/>
      <c r="E199" s="66"/>
      <c r="F199" s="66"/>
      <c r="G199" s="66"/>
      <c r="H199" s="66"/>
      <c r="I199" s="66"/>
      <c r="J199" s="66"/>
      <c r="K199" s="66"/>
      <c r="L199" s="66"/>
      <c r="M199" s="157" t="s">
        <v>914</v>
      </c>
      <c r="N199" s="158">
        <v>46165.0</v>
      </c>
      <c r="O199" s="66">
        <v>2.0</v>
      </c>
      <c r="P199" s="66"/>
      <c r="Q199" s="66"/>
      <c r="R199" s="66"/>
      <c r="S199" s="66"/>
      <c r="T199" s="66" t="s">
        <v>597</v>
      </c>
      <c r="U199" s="158">
        <v>46218.0</v>
      </c>
      <c r="V199" s="66">
        <v>1.0</v>
      </c>
      <c r="W199" s="66"/>
      <c r="X199" s="66"/>
      <c r="Y199" s="66"/>
      <c r="Z199" s="66"/>
    </row>
    <row r="200">
      <c r="A200" s="66"/>
      <c r="B200" s="66"/>
      <c r="C200" s="66"/>
      <c r="D200" s="66"/>
      <c r="E200" s="66"/>
      <c r="F200" s="66"/>
      <c r="G200" s="66"/>
      <c r="H200" s="66"/>
      <c r="I200" s="66"/>
      <c r="J200" s="66"/>
      <c r="K200" s="66"/>
      <c r="L200" s="66"/>
      <c r="M200" s="157" t="s">
        <v>915</v>
      </c>
      <c r="N200" s="158">
        <v>46165.0</v>
      </c>
      <c r="O200" s="66">
        <v>1.0</v>
      </c>
      <c r="P200" s="66"/>
      <c r="Q200" s="66"/>
      <c r="R200" s="66"/>
      <c r="S200" s="66"/>
      <c r="T200" s="66" t="s">
        <v>613</v>
      </c>
      <c r="U200" s="158">
        <v>46218.0</v>
      </c>
      <c r="V200" s="66">
        <v>1.0</v>
      </c>
      <c r="W200" s="66"/>
      <c r="X200" s="66"/>
      <c r="Y200" s="66"/>
      <c r="Z200" s="66"/>
    </row>
    <row r="201">
      <c r="A201" s="66"/>
      <c r="B201" s="66"/>
      <c r="C201" s="66"/>
      <c r="D201" s="66"/>
      <c r="E201" s="66"/>
      <c r="F201" s="66"/>
      <c r="G201" s="66"/>
      <c r="H201" s="66"/>
      <c r="I201" s="66"/>
      <c r="J201" s="66"/>
      <c r="K201" s="66"/>
      <c r="L201" s="66"/>
      <c r="M201" s="157" t="s">
        <v>916</v>
      </c>
      <c r="N201" s="158">
        <v>46165.0</v>
      </c>
      <c r="O201" s="66">
        <v>1.0</v>
      </c>
      <c r="P201" s="66"/>
      <c r="Q201" s="66"/>
      <c r="R201" s="66"/>
      <c r="S201" s="66"/>
      <c r="T201" s="66" t="s">
        <v>610</v>
      </c>
      <c r="U201" s="158">
        <v>46218.0</v>
      </c>
      <c r="V201" s="66">
        <v>2.0</v>
      </c>
      <c r="W201" s="66"/>
      <c r="X201" s="66"/>
      <c r="Y201" s="66"/>
      <c r="Z201" s="66"/>
    </row>
    <row r="202">
      <c r="A202" s="66"/>
      <c r="B202" s="66"/>
      <c r="C202" s="66"/>
      <c r="D202" s="66"/>
      <c r="E202" s="66"/>
      <c r="F202" s="66"/>
      <c r="G202" s="66"/>
      <c r="H202" s="66"/>
      <c r="I202" s="66"/>
      <c r="J202" s="66"/>
      <c r="K202" s="66"/>
      <c r="L202" s="66"/>
      <c r="M202" s="157" t="s">
        <v>917</v>
      </c>
      <c r="N202" s="158">
        <v>46119.0</v>
      </c>
      <c r="O202" s="66">
        <v>1.0</v>
      </c>
      <c r="P202" s="66"/>
      <c r="Q202" s="66"/>
      <c r="R202" s="66"/>
      <c r="S202" s="66"/>
      <c r="T202" s="66" t="s">
        <v>611</v>
      </c>
      <c r="U202" s="158">
        <v>46218.0</v>
      </c>
      <c r="V202" s="66">
        <v>1.0</v>
      </c>
      <c r="W202" s="66"/>
      <c r="X202" s="66"/>
      <c r="Y202" s="66"/>
      <c r="Z202" s="66"/>
    </row>
    <row r="203">
      <c r="A203" s="66"/>
      <c r="B203" s="66"/>
      <c r="C203" s="66"/>
      <c r="D203" s="66"/>
      <c r="E203" s="66"/>
      <c r="F203" s="66"/>
      <c r="G203" s="66"/>
      <c r="H203" s="66"/>
      <c r="I203" s="66"/>
      <c r="J203" s="66"/>
      <c r="K203" s="66"/>
      <c r="L203" s="66"/>
      <c r="M203" s="157" t="s">
        <v>918</v>
      </c>
      <c r="N203" s="158">
        <v>46142.0</v>
      </c>
      <c r="O203" s="66">
        <v>1.0</v>
      </c>
      <c r="P203" s="66"/>
      <c r="Q203" s="66"/>
      <c r="R203" s="66"/>
      <c r="S203" s="66"/>
      <c r="T203" s="66" t="s">
        <v>609</v>
      </c>
      <c r="U203" s="158">
        <v>46218.0</v>
      </c>
      <c r="V203" s="66">
        <v>1.0</v>
      </c>
      <c r="W203" s="66"/>
      <c r="X203" s="66"/>
      <c r="Y203" s="66"/>
      <c r="Z203" s="66"/>
    </row>
    <row r="204">
      <c r="A204" s="66"/>
      <c r="B204" s="66"/>
      <c r="C204" s="66"/>
      <c r="D204" s="66"/>
      <c r="E204" s="66"/>
      <c r="F204" s="66"/>
      <c r="G204" s="66"/>
      <c r="H204" s="66"/>
      <c r="I204" s="66"/>
      <c r="J204" s="66"/>
      <c r="K204" s="66"/>
      <c r="L204" s="66"/>
      <c r="M204" s="157" t="s">
        <v>919</v>
      </c>
      <c r="N204" s="158">
        <v>46112.0</v>
      </c>
      <c r="O204" s="66">
        <v>1.0</v>
      </c>
      <c r="P204" s="66"/>
      <c r="Q204" s="66"/>
      <c r="R204" s="66"/>
      <c r="S204" s="66"/>
      <c r="T204" s="66" t="s">
        <v>655</v>
      </c>
      <c r="U204" s="158">
        <v>46218.0</v>
      </c>
      <c r="V204" s="66">
        <v>1.0</v>
      </c>
      <c r="W204" s="66"/>
      <c r="X204" s="66"/>
      <c r="Y204" s="66"/>
      <c r="Z204" s="66"/>
    </row>
    <row r="205">
      <c r="A205" s="66"/>
      <c r="B205" s="66"/>
      <c r="C205" s="66"/>
      <c r="D205" s="66"/>
      <c r="E205" s="66"/>
      <c r="F205" s="66"/>
      <c r="G205" s="66"/>
      <c r="H205" s="66"/>
      <c r="I205" s="66"/>
      <c r="J205" s="66"/>
      <c r="K205" s="66"/>
      <c r="L205" s="66"/>
      <c r="M205" s="157" t="s">
        <v>920</v>
      </c>
      <c r="N205" s="158">
        <v>46112.0</v>
      </c>
      <c r="O205" s="66">
        <v>1.0</v>
      </c>
      <c r="P205" s="66"/>
      <c r="Q205" s="66"/>
      <c r="R205" s="66"/>
      <c r="S205" s="66"/>
      <c r="T205" s="66" t="s">
        <v>653</v>
      </c>
      <c r="U205" s="158">
        <v>46218.0</v>
      </c>
      <c r="V205" s="66">
        <v>1.0</v>
      </c>
      <c r="W205" s="66"/>
      <c r="X205" s="66"/>
      <c r="Y205" s="66"/>
      <c r="Z205" s="66"/>
    </row>
    <row r="206">
      <c r="A206" s="66"/>
      <c r="B206" s="66"/>
      <c r="C206" s="66"/>
      <c r="D206" s="66"/>
      <c r="E206" s="66"/>
      <c r="F206" s="66"/>
      <c r="G206" s="66"/>
      <c r="H206" s="66"/>
      <c r="I206" s="66"/>
      <c r="J206" s="66"/>
      <c r="K206" s="66"/>
      <c r="L206" s="66"/>
      <c r="M206" s="157" t="s">
        <v>921</v>
      </c>
      <c r="N206" s="158">
        <v>46112.0</v>
      </c>
      <c r="O206" s="66">
        <v>1.0</v>
      </c>
      <c r="P206" s="66"/>
      <c r="Q206" s="66"/>
      <c r="R206" s="66"/>
      <c r="S206" s="66"/>
      <c r="T206" s="66" t="s">
        <v>657</v>
      </c>
      <c r="U206" s="158">
        <v>46218.0</v>
      </c>
      <c r="V206" s="66">
        <v>1.0</v>
      </c>
      <c r="W206" s="66"/>
      <c r="X206" s="66"/>
      <c r="Y206" s="66"/>
      <c r="Z206" s="66"/>
    </row>
    <row r="207">
      <c r="A207" s="66"/>
      <c r="B207" s="66"/>
      <c r="C207" s="66"/>
      <c r="D207" s="66"/>
      <c r="E207" s="66"/>
      <c r="F207" s="66"/>
      <c r="G207" s="66"/>
      <c r="H207" s="66"/>
      <c r="I207" s="66"/>
      <c r="J207" s="66"/>
      <c r="K207" s="66"/>
      <c r="L207" s="66"/>
      <c r="M207" s="157" t="s">
        <v>922</v>
      </c>
      <c r="N207" s="158">
        <v>46112.0</v>
      </c>
      <c r="O207" s="66">
        <v>1.0</v>
      </c>
      <c r="P207" s="66"/>
      <c r="Q207" s="66"/>
      <c r="R207" s="66"/>
      <c r="S207" s="66"/>
      <c r="T207" s="66" t="s">
        <v>651</v>
      </c>
      <c r="U207" s="158">
        <v>46218.0</v>
      </c>
      <c r="V207" s="66">
        <v>1.0</v>
      </c>
      <c r="W207" s="66"/>
      <c r="X207" s="66"/>
      <c r="Y207" s="66"/>
      <c r="Z207" s="66"/>
    </row>
    <row r="208">
      <c r="A208" s="66"/>
      <c r="B208" s="66"/>
      <c r="C208" s="66"/>
      <c r="D208" s="66"/>
      <c r="E208" s="66"/>
      <c r="F208" s="66"/>
      <c r="G208" s="66"/>
      <c r="H208" s="66"/>
      <c r="I208" s="66"/>
      <c r="J208" s="66"/>
      <c r="K208" s="66"/>
      <c r="L208" s="66"/>
      <c r="M208" s="157" t="s">
        <v>923</v>
      </c>
      <c r="N208" s="158">
        <v>46112.0</v>
      </c>
      <c r="O208" s="66">
        <v>1.0</v>
      </c>
      <c r="P208" s="66"/>
      <c r="Q208" s="66"/>
      <c r="R208" s="66"/>
      <c r="S208" s="66"/>
      <c r="T208" s="66" t="s">
        <v>647</v>
      </c>
      <c r="U208" s="158">
        <v>46218.0</v>
      </c>
      <c r="V208" s="66">
        <v>1.0</v>
      </c>
      <c r="W208" s="66"/>
      <c r="X208" s="66"/>
      <c r="Y208" s="66"/>
      <c r="Z208" s="66"/>
    </row>
    <row r="209">
      <c r="A209" s="66"/>
      <c r="B209" s="66"/>
      <c r="C209" s="66"/>
      <c r="D209" s="66"/>
      <c r="E209" s="66"/>
      <c r="F209" s="66"/>
      <c r="G209" s="66"/>
      <c r="H209" s="66"/>
      <c r="I209" s="66"/>
      <c r="J209" s="66"/>
      <c r="K209" s="66"/>
      <c r="L209" s="66"/>
      <c r="M209" s="157" t="s">
        <v>924</v>
      </c>
      <c r="N209" s="158">
        <v>46112.0</v>
      </c>
      <c r="O209" s="66">
        <v>1.0</v>
      </c>
      <c r="P209" s="66"/>
      <c r="Q209" s="66"/>
      <c r="R209" s="66"/>
      <c r="S209" s="66"/>
      <c r="T209" s="66" t="s">
        <v>649</v>
      </c>
      <c r="U209" s="158">
        <v>46218.0</v>
      </c>
      <c r="V209" s="66">
        <v>1.0</v>
      </c>
      <c r="W209" s="66"/>
      <c r="X209" s="66"/>
      <c r="Y209" s="66"/>
      <c r="Z209" s="66"/>
    </row>
    <row r="210">
      <c r="A210" s="66"/>
      <c r="B210" s="66"/>
      <c r="C210" s="66"/>
      <c r="D210" s="66"/>
      <c r="E210" s="66"/>
      <c r="F210" s="66"/>
      <c r="G210" s="66"/>
      <c r="H210" s="66"/>
      <c r="I210" s="66"/>
      <c r="J210" s="66"/>
      <c r="K210" s="66"/>
      <c r="L210" s="66"/>
      <c r="M210" s="157" t="s">
        <v>925</v>
      </c>
      <c r="N210" s="158">
        <v>46112.0</v>
      </c>
      <c r="O210" s="66">
        <v>1.0</v>
      </c>
      <c r="P210" s="66"/>
      <c r="Q210" s="66"/>
      <c r="R210" s="66"/>
      <c r="S210" s="66"/>
      <c r="T210" s="66" t="s">
        <v>645</v>
      </c>
      <c r="U210" s="158">
        <v>46218.0</v>
      </c>
      <c r="V210" s="66">
        <v>1.0</v>
      </c>
      <c r="W210" s="66"/>
      <c r="X210" s="66"/>
      <c r="Y210" s="66"/>
      <c r="Z210" s="66"/>
    </row>
    <row r="211">
      <c r="A211" s="66"/>
      <c r="B211" s="66"/>
      <c r="C211" s="66"/>
      <c r="D211" s="66"/>
      <c r="E211" s="66"/>
      <c r="F211" s="66"/>
      <c r="G211" s="66"/>
      <c r="H211" s="66"/>
      <c r="I211" s="66"/>
      <c r="J211" s="66"/>
      <c r="K211" s="66"/>
      <c r="L211" s="66"/>
      <c r="M211" s="157" t="s">
        <v>926</v>
      </c>
      <c r="N211" s="158">
        <v>46165.0</v>
      </c>
      <c r="O211" s="66">
        <v>2.0</v>
      </c>
      <c r="P211" s="66"/>
      <c r="Q211" s="66"/>
      <c r="R211" s="66"/>
      <c r="S211" s="66"/>
      <c r="T211" s="66" t="s">
        <v>618</v>
      </c>
      <c r="U211" s="158">
        <v>46218.0</v>
      </c>
      <c r="V211" s="66">
        <v>1.0</v>
      </c>
      <c r="W211" s="66"/>
      <c r="X211" s="66"/>
      <c r="Y211" s="66"/>
      <c r="Z211" s="66"/>
    </row>
    <row r="212">
      <c r="A212" s="66"/>
      <c r="B212" s="66"/>
      <c r="C212" s="66"/>
      <c r="D212" s="66"/>
      <c r="E212" s="66"/>
      <c r="F212" s="66"/>
      <c r="G212" s="66"/>
      <c r="H212" s="66"/>
      <c r="I212" s="66"/>
      <c r="J212" s="66"/>
      <c r="K212" s="66"/>
      <c r="L212" s="66"/>
      <c r="M212" s="157" t="s">
        <v>927</v>
      </c>
      <c r="N212" s="158">
        <v>46165.0</v>
      </c>
      <c r="O212" s="66">
        <v>1.0</v>
      </c>
      <c r="P212" s="66"/>
      <c r="Q212" s="66"/>
      <c r="R212" s="66"/>
      <c r="S212" s="66"/>
      <c r="T212" s="66" t="s">
        <v>578</v>
      </c>
      <c r="U212" s="158">
        <v>46218.0</v>
      </c>
      <c r="V212" s="66">
        <v>1.0</v>
      </c>
      <c r="W212" s="66"/>
      <c r="X212" s="66"/>
      <c r="Y212" s="66"/>
      <c r="Z212" s="66"/>
    </row>
    <row r="213">
      <c r="A213" s="66"/>
      <c r="B213" s="66"/>
      <c r="C213" s="66"/>
      <c r="D213" s="66"/>
      <c r="E213" s="66"/>
      <c r="F213" s="66"/>
      <c r="G213" s="66"/>
      <c r="H213" s="66"/>
      <c r="I213" s="66"/>
      <c r="J213" s="66"/>
      <c r="K213" s="66"/>
      <c r="L213" s="66"/>
      <c r="M213" s="157" t="s">
        <v>928</v>
      </c>
      <c r="N213" s="158">
        <v>46142.0</v>
      </c>
      <c r="O213" s="66">
        <v>1.0</v>
      </c>
      <c r="P213" s="66"/>
      <c r="Q213" s="66"/>
      <c r="R213" s="66"/>
      <c r="S213" s="66"/>
      <c r="T213" s="66" t="s">
        <v>607</v>
      </c>
      <c r="U213" s="158">
        <v>46218.0</v>
      </c>
      <c r="V213" s="66">
        <v>1.0</v>
      </c>
      <c r="W213" s="66"/>
      <c r="X213" s="66"/>
      <c r="Y213" s="66"/>
      <c r="Z213" s="66"/>
    </row>
    <row r="214">
      <c r="A214" s="66"/>
      <c r="B214" s="66"/>
      <c r="C214" s="66"/>
      <c r="D214" s="66"/>
      <c r="E214" s="66"/>
      <c r="F214" s="66"/>
      <c r="G214" s="66"/>
      <c r="H214" s="66"/>
      <c r="I214" s="66"/>
      <c r="J214" s="66"/>
      <c r="K214" s="66"/>
      <c r="L214" s="66"/>
      <c r="M214" s="157" t="s">
        <v>929</v>
      </c>
      <c r="N214" s="158">
        <v>46165.0</v>
      </c>
      <c r="O214" s="66">
        <v>1.0</v>
      </c>
      <c r="P214" s="66"/>
      <c r="Q214" s="66"/>
      <c r="R214" s="66"/>
      <c r="S214" s="66"/>
      <c r="T214" s="66" t="s">
        <v>622</v>
      </c>
      <c r="U214" s="158">
        <v>46218.0</v>
      </c>
      <c r="V214" s="66">
        <v>1.0</v>
      </c>
      <c r="W214" s="66"/>
      <c r="X214" s="66"/>
      <c r="Y214" s="66"/>
      <c r="Z214" s="66"/>
    </row>
    <row r="215">
      <c r="A215" s="66"/>
      <c r="B215" s="66"/>
      <c r="C215" s="66"/>
      <c r="D215" s="66"/>
      <c r="E215" s="66"/>
      <c r="F215" s="66"/>
      <c r="G215" s="66"/>
      <c r="H215" s="66"/>
      <c r="I215" s="66"/>
      <c r="J215" s="66"/>
      <c r="K215" s="66"/>
      <c r="L215" s="66"/>
      <c r="M215" s="157" t="s">
        <v>930</v>
      </c>
      <c r="N215" s="158">
        <v>46165.0</v>
      </c>
      <c r="O215" s="66">
        <v>1.0</v>
      </c>
      <c r="P215" s="66"/>
      <c r="Q215" s="66"/>
      <c r="R215" s="66"/>
      <c r="S215" s="66"/>
      <c r="T215" s="66" t="s">
        <v>583</v>
      </c>
      <c r="U215" s="158">
        <v>46218.0</v>
      </c>
      <c r="V215" s="66">
        <v>1.0</v>
      </c>
      <c r="W215" s="66"/>
      <c r="X215" s="66"/>
      <c r="Y215" s="66"/>
      <c r="Z215" s="66"/>
    </row>
    <row r="216">
      <c r="A216" s="66"/>
      <c r="B216" s="66"/>
      <c r="C216" s="66"/>
      <c r="D216" s="66"/>
      <c r="E216" s="66"/>
      <c r="F216" s="66"/>
      <c r="G216" s="66"/>
      <c r="H216" s="66"/>
      <c r="I216" s="66"/>
      <c r="J216" s="66"/>
      <c r="K216" s="66"/>
      <c r="L216" s="66"/>
      <c r="M216" s="157" t="s">
        <v>931</v>
      </c>
      <c r="N216" s="158">
        <v>46165.0</v>
      </c>
      <c r="O216" s="66">
        <v>2.0</v>
      </c>
      <c r="P216" s="66"/>
      <c r="Q216" s="66"/>
      <c r="R216" s="66"/>
      <c r="S216" s="66"/>
      <c r="T216" s="66" t="s">
        <v>612</v>
      </c>
      <c r="U216" s="158">
        <v>46218.0</v>
      </c>
      <c r="V216" s="66">
        <v>1.0</v>
      </c>
      <c r="W216" s="66"/>
      <c r="X216" s="66"/>
      <c r="Y216" s="66"/>
      <c r="Z216" s="66"/>
    </row>
    <row r="217">
      <c r="A217" s="66"/>
      <c r="B217" s="66"/>
      <c r="C217" s="66"/>
      <c r="D217" s="66"/>
      <c r="E217" s="66"/>
      <c r="F217" s="66"/>
      <c r="G217" s="66"/>
      <c r="H217" s="66"/>
      <c r="I217" s="66"/>
      <c r="J217" s="66"/>
      <c r="K217" s="66"/>
      <c r="L217" s="66"/>
      <c r="M217" s="157" t="s">
        <v>932</v>
      </c>
      <c r="N217" s="158">
        <v>46165.0</v>
      </c>
      <c r="O217" s="66">
        <v>1.0</v>
      </c>
      <c r="P217" s="66"/>
      <c r="Q217" s="66"/>
      <c r="R217" s="66"/>
      <c r="S217" s="66"/>
      <c r="T217" s="66" t="s">
        <v>615</v>
      </c>
      <c r="U217" s="158">
        <v>46218.0</v>
      </c>
      <c r="V217" s="66">
        <v>1.0</v>
      </c>
      <c r="W217" s="66"/>
      <c r="X217" s="66"/>
      <c r="Y217" s="66"/>
      <c r="Z217" s="66"/>
    </row>
    <row r="218">
      <c r="A218" s="66"/>
      <c r="B218" s="66"/>
      <c r="C218" s="66"/>
      <c r="D218" s="66"/>
      <c r="E218" s="66"/>
      <c r="F218" s="66"/>
      <c r="G218" s="66"/>
      <c r="H218" s="66"/>
      <c r="I218" s="66"/>
      <c r="J218" s="66"/>
      <c r="K218" s="66"/>
      <c r="L218" s="66"/>
      <c r="M218" s="157" t="s">
        <v>933</v>
      </c>
      <c r="N218" s="158">
        <v>46165.0</v>
      </c>
      <c r="O218" s="66">
        <v>1.0</v>
      </c>
      <c r="P218" s="66"/>
      <c r="Q218" s="66"/>
      <c r="R218" s="66"/>
      <c r="S218" s="66"/>
      <c r="T218" s="66" t="s">
        <v>617</v>
      </c>
      <c r="U218" s="158">
        <v>46218.0</v>
      </c>
      <c r="V218" s="66">
        <v>1.0</v>
      </c>
      <c r="W218" s="66"/>
      <c r="X218" s="66"/>
      <c r="Y218" s="66"/>
      <c r="Z218" s="66"/>
    </row>
    <row r="219">
      <c r="A219" s="66"/>
      <c r="B219" s="66"/>
      <c r="C219" s="66"/>
      <c r="D219" s="66"/>
      <c r="E219" s="66"/>
      <c r="F219" s="66"/>
      <c r="G219" s="66"/>
      <c r="H219" s="66"/>
      <c r="I219" s="66"/>
      <c r="J219" s="66"/>
      <c r="K219" s="66"/>
      <c r="L219" s="66"/>
      <c r="M219" s="157" t="s">
        <v>934</v>
      </c>
      <c r="N219" s="158">
        <v>46112.0</v>
      </c>
      <c r="O219" s="66">
        <v>1.0</v>
      </c>
      <c r="P219" s="66"/>
      <c r="Q219" s="66"/>
      <c r="R219" s="66"/>
      <c r="S219" s="66"/>
      <c r="T219" s="66" t="s">
        <v>573</v>
      </c>
      <c r="U219" s="158">
        <v>46218.0</v>
      </c>
      <c r="V219" s="66">
        <v>1.0</v>
      </c>
      <c r="W219" s="66"/>
      <c r="X219" s="66"/>
      <c r="Y219" s="66"/>
      <c r="Z219" s="66"/>
    </row>
    <row r="220">
      <c r="A220" s="66"/>
      <c r="B220" s="66"/>
      <c r="C220" s="66"/>
      <c r="D220" s="66"/>
      <c r="E220" s="66"/>
      <c r="F220" s="66"/>
      <c r="G220" s="66"/>
      <c r="H220" s="66"/>
      <c r="I220" s="66"/>
      <c r="J220" s="66"/>
      <c r="K220" s="66"/>
      <c r="L220" s="66"/>
      <c r="M220" s="157" t="s">
        <v>935</v>
      </c>
      <c r="N220" s="158">
        <v>46068.0</v>
      </c>
      <c r="O220" s="66">
        <v>1.0</v>
      </c>
      <c r="P220" s="66"/>
      <c r="Q220" s="66"/>
      <c r="R220" s="66"/>
      <c r="S220" s="66"/>
      <c r="T220" s="66" t="s">
        <v>572</v>
      </c>
      <c r="U220" s="158">
        <v>46218.0</v>
      </c>
      <c r="V220" s="66">
        <v>1.0</v>
      </c>
      <c r="W220" s="66"/>
      <c r="X220" s="66"/>
      <c r="Y220" s="66"/>
      <c r="Z220" s="66"/>
    </row>
    <row r="221">
      <c r="A221" s="66"/>
      <c r="B221" s="66"/>
      <c r="C221" s="66"/>
      <c r="D221" s="66"/>
      <c r="E221" s="66"/>
      <c r="F221" s="66"/>
      <c r="G221" s="66"/>
      <c r="H221" s="66"/>
      <c r="I221" s="66"/>
      <c r="J221" s="66"/>
      <c r="K221" s="66"/>
      <c r="L221" s="66"/>
      <c r="M221" s="157" t="s">
        <v>936</v>
      </c>
      <c r="N221" s="158">
        <v>46165.0</v>
      </c>
      <c r="O221" s="66">
        <v>2.0</v>
      </c>
      <c r="P221" s="66"/>
      <c r="Q221" s="66"/>
      <c r="R221" s="66"/>
      <c r="S221" s="66"/>
      <c r="T221" s="66" t="s">
        <v>580</v>
      </c>
      <c r="U221" s="158">
        <v>46218.0</v>
      </c>
      <c r="V221" s="66">
        <v>1.0</v>
      </c>
      <c r="W221" s="66"/>
      <c r="X221" s="66"/>
      <c r="Y221" s="66"/>
      <c r="Z221" s="66"/>
    </row>
    <row r="222">
      <c r="A222" s="66"/>
      <c r="B222" s="66"/>
      <c r="C222" s="66"/>
      <c r="D222" s="66"/>
      <c r="E222" s="66"/>
      <c r="F222" s="66"/>
      <c r="G222" s="66"/>
      <c r="H222" s="66"/>
      <c r="I222" s="66"/>
      <c r="J222" s="66"/>
      <c r="K222" s="66"/>
      <c r="L222" s="66"/>
      <c r="M222" s="157" t="s">
        <v>937</v>
      </c>
      <c r="N222" s="158">
        <v>46165.0</v>
      </c>
      <c r="O222" s="66">
        <v>2.0</v>
      </c>
      <c r="P222" s="66"/>
      <c r="Q222" s="66"/>
      <c r="R222" s="66"/>
      <c r="S222" s="66"/>
      <c r="T222" s="66" t="s">
        <v>579</v>
      </c>
      <c r="U222" s="158">
        <v>46218.0</v>
      </c>
      <c r="V222" s="66">
        <v>1.0</v>
      </c>
      <c r="W222" s="66"/>
      <c r="X222" s="66"/>
      <c r="Y222" s="66"/>
      <c r="Z222" s="66"/>
    </row>
    <row r="223">
      <c r="A223" s="66"/>
      <c r="B223" s="66"/>
      <c r="C223" s="66"/>
      <c r="D223" s="66"/>
      <c r="E223" s="66"/>
      <c r="F223" s="66"/>
      <c r="G223" s="66"/>
      <c r="H223" s="66"/>
      <c r="I223" s="66"/>
      <c r="J223" s="66"/>
      <c r="K223" s="66"/>
      <c r="L223" s="66"/>
      <c r="M223" s="157" t="s">
        <v>938</v>
      </c>
      <c r="N223" s="158">
        <v>46142.0</v>
      </c>
      <c r="O223" s="66">
        <v>1.0</v>
      </c>
      <c r="P223" s="66"/>
      <c r="Q223" s="66"/>
      <c r="R223" s="66"/>
      <c r="S223" s="66"/>
      <c r="T223" s="66" t="s">
        <v>581</v>
      </c>
      <c r="U223" s="158">
        <v>46218.0</v>
      </c>
      <c r="V223" s="66">
        <v>1.0</v>
      </c>
      <c r="W223" s="66"/>
      <c r="X223" s="66"/>
      <c r="Y223" s="66"/>
      <c r="Z223" s="66"/>
    </row>
    <row r="224">
      <c r="A224" s="66"/>
      <c r="B224" s="66"/>
      <c r="C224" s="66"/>
      <c r="D224" s="66"/>
      <c r="E224" s="66"/>
      <c r="F224" s="66"/>
      <c r="G224" s="66"/>
      <c r="H224" s="66"/>
      <c r="I224" s="66"/>
      <c r="J224" s="66"/>
      <c r="K224" s="66"/>
      <c r="L224" s="66" t="s">
        <v>939</v>
      </c>
      <c r="M224" s="66"/>
      <c r="N224" s="66"/>
      <c r="O224" s="66">
        <v>229.0</v>
      </c>
      <c r="P224" s="66"/>
      <c r="Q224" s="66"/>
      <c r="R224" s="66"/>
      <c r="S224" s="66"/>
      <c r="T224" s="66" t="s">
        <v>625</v>
      </c>
      <c r="U224" s="158">
        <v>46218.0</v>
      </c>
      <c r="V224" s="66">
        <v>1.0</v>
      </c>
      <c r="W224" s="66"/>
      <c r="X224" s="66"/>
      <c r="Y224" s="66"/>
      <c r="Z224" s="66"/>
    </row>
    <row r="225">
      <c r="A225" s="66"/>
      <c r="B225" s="66"/>
      <c r="C225" s="66"/>
      <c r="D225" s="66"/>
      <c r="E225" s="66"/>
      <c r="F225" s="66"/>
      <c r="G225" s="66"/>
      <c r="H225" s="66"/>
      <c r="I225" s="66"/>
      <c r="J225" s="66"/>
      <c r="K225" s="66"/>
      <c r="L225" s="158" t="s">
        <v>724</v>
      </c>
      <c r="M225" s="157" t="s">
        <v>940</v>
      </c>
      <c r="N225" s="158">
        <v>46173.0</v>
      </c>
      <c r="O225" s="66">
        <v>1.0</v>
      </c>
      <c r="P225" s="66"/>
      <c r="Q225" s="66"/>
      <c r="R225" s="66"/>
      <c r="S225" s="66"/>
      <c r="T225" s="66" t="s">
        <v>582</v>
      </c>
      <c r="U225" s="158">
        <v>46218.0</v>
      </c>
      <c r="V225" s="66">
        <v>1.0</v>
      </c>
      <c r="W225" s="66"/>
      <c r="X225" s="66"/>
      <c r="Y225" s="66"/>
      <c r="Z225" s="66"/>
    </row>
    <row r="226">
      <c r="A226" s="66"/>
      <c r="B226" s="66"/>
      <c r="C226" s="66"/>
      <c r="D226" s="66"/>
      <c r="E226" s="66"/>
      <c r="F226" s="66"/>
      <c r="G226" s="66"/>
      <c r="H226" s="66"/>
      <c r="I226" s="66"/>
      <c r="J226" s="66"/>
      <c r="K226" s="66"/>
      <c r="L226" s="66"/>
      <c r="M226" s="157" t="s">
        <v>941</v>
      </c>
      <c r="N226" s="158">
        <v>46173.0</v>
      </c>
      <c r="O226" s="66">
        <v>1.0</v>
      </c>
      <c r="P226" s="66"/>
      <c r="Q226" s="66"/>
      <c r="R226" s="66"/>
      <c r="S226" s="66"/>
      <c r="T226" s="66" t="s">
        <v>569</v>
      </c>
      <c r="U226" s="158">
        <v>46218.0</v>
      </c>
      <c r="V226" s="66">
        <v>1.0</v>
      </c>
      <c r="W226" s="66"/>
      <c r="X226" s="66"/>
      <c r="Y226" s="66"/>
      <c r="Z226" s="66"/>
    </row>
    <row r="227">
      <c r="A227" s="66"/>
      <c r="B227" s="66"/>
      <c r="C227" s="66"/>
      <c r="D227" s="66"/>
      <c r="E227" s="66"/>
      <c r="F227" s="66"/>
      <c r="G227" s="66"/>
      <c r="H227" s="66"/>
      <c r="I227" s="66"/>
      <c r="J227" s="66"/>
      <c r="K227" s="66"/>
      <c r="L227" s="66"/>
      <c r="M227" s="157" t="s">
        <v>942</v>
      </c>
      <c r="N227" s="158">
        <v>46173.0</v>
      </c>
      <c r="O227" s="66">
        <v>1.0</v>
      </c>
      <c r="P227" s="66"/>
      <c r="Q227" s="66"/>
      <c r="R227" s="66"/>
      <c r="S227" s="66"/>
      <c r="T227" s="66" t="s">
        <v>570</v>
      </c>
      <c r="U227" s="158">
        <v>46218.0</v>
      </c>
      <c r="V227" s="66">
        <v>1.0</v>
      </c>
      <c r="W227" s="66"/>
      <c r="X227" s="66"/>
      <c r="Y227" s="66"/>
      <c r="Z227" s="66"/>
    </row>
    <row r="228">
      <c r="A228" s="66"/>
      <c r="B228" s="66"/>
      <c r="C228" s="66"/>
      <c r="D228" s="66"/>
      <c r="E228" s="66"/>
      <c r="F228" s="66"/>
      <c r="G228" s="66"/>
      <c r="H228" s="66"/>
      <c r="I228" s="66"/>
      <c r="J228" s="66"/>
      <c r="K228" s="66"/>
      <c r="L228" s="66"/>
      <c r="M228" s="157" t="s">
        <v>167</v>
      </c>
      <c r="N228" s="158">
        <v>46173.0</v>
      </c>
      <c r="O228" s="66">
        <v>1.0</v>
      </c>
      <c r="P228" s="66"/>
      <c r="Q228" s="66"/>
      <c r="R228" s="66" t="s">
        <v>279</v>
      </c>
      <c r="S228" s="158" t="s">
        <v>30</v>
      </c>
      <c r="T228" s="66" t="s">
        <v>285</v>
      </c>
      <c r="U228" s="158">
        <v>46218.0</v>
      </c>
      <c r="V228" s="66">
        <v>1.0</v>
      </c>
      <c r="W228" s="66"/>
      <c r="X228" s="66"/>
      <c r="Y228" s="66"/>
      <c r="Z228" s="66"/>
    </row>
    <row r="229">
      <c r="A229" s="66"/>
      <c r="B229" s="66"/>
      <c r="C229" s="66"/>
      <c r="D229" s="66"/>
      <c r="E229" s="66"/>
      <c r="F229" s="66"/>
      <c r="G229" s="66"/>
      <c r="H229" s="66"/>
      <c r="I229" s="66"/>
      <c r="J229" s="66"/>
      <c r="K229" s="66"/>
      <c r="L229" s="66"/>
      <c r="M229" s="157" t="s">
        <v>943</v>
      </c>
      <c r="N229" s="158">
        <v>46172.0</v>
      </c>
      <c r="O229" s="66">
        <v>1.0</v>
      </c>
      <c r="P229" s="66"/>
      <c r="Q229" s="66"/>
      <c r="R229" s="66"/>
      <c r="S229" s="66"/>
      <c r="T229" s="66" t="s">
        <v>286</v>
      </c>
      <c r="U229" s="158">
        <v>46218.0</v>
      </c>
      <c r="V229" s="66">
        <v>1.0</v>
      </c>
      <c r="W229" s="66"/>
      <c r="X229" s="66"/>
      <c r="Y229" s="66"/>
      <c r="Z229" s="66"/>
    </row>
    <row r="230">
      <c r="A230" s="66"/>
      <c r="B230" s="66"/>
      <c r="C230" s="66"/>
      <c r="D230" s="66"/>
      <c r="E230" s="66"/>
      <c r="F230" s="66"/>
      <c r="G230" s="66"/>
      <c r="H230" s="66"/>
      <c r="I230" s="66"/>
      <c r="J230" s="66"/>
      <c r="K230" s="66"/>
      <c r="L230" s="66" t="s">
        <v>944</v>
      </c>
      <c r="M230" s="66"/>
      <c r="N230" s="66"/>
      <c r="O230" s="66">
        <v>5.0</v>
      </c>
      <c r="P230" s="66"/>
      <c r="Q230" s="66"/>
      <c r="R230" s="66"/>
      <c r="S230" s="66"/>
      <c r="T230" s="66" t="s">
        <v>301</v>
      </c>
      <c r="U230" s="158">
        <v>46218.0</v>
      </c>
      <c r="V230" s="66">
        <v>1.0</v>
      </c>
      <c r="W230" s="66"/>
      <c r="X230" s="66"/>
      <c r="Y230" s="66"/>
      <c r="Z230" s="66"/>
    </row>
    <row r="231">
      <c r="A231" s="66"/>
      <c r="B231" s="66"/>
      <c r="C231" s="66"/>
      <c r="D231" s="66"/>
      <c r="E231" s="66"/>
      <c r="F231" s="66"/>
      <c r="G231" s="66"/>
      <c r="H231" s="66"/>
      <c r="I231" s="66"/>
      <c r="J231" s="66"/>
      <c r="K231" s="93" t="s">
        <v>265</v>
      </c>
      <c r="L231" s="158" t="s">
        <v>721</v>
      </c>
      <c r="M231" s="157" t="s">
        <v>945</v>
      </c>
      <c r="N231" s="158">
        <v>46157.0</v>
      </c>
      <c r="O231" s="66">
        <v>1.0</v>
      </c>
      <c r="P231" s="66"/>
      <c r="Q231" s="66"/>
      <c r="R231" s="66"/>
      <c r="S231" s="66"/>
      <c r="T231" s="66" t="s">
        <v>293</v>
      </c>
      <c r="U231" s="158">
        <v>46218.0</v>
      </c>
      <c r="V231" s="66">
        <v>1.0</v>
      </c>
      <c r="W231" s="66"/>
      <c r="X231" s="66"/>
      <c r="Y231" s="66"/>
      <c r="Z231" s="66"/>
    </row>
    <row r="232">
      <c r="A232" s="66"/>
      <c r="B232" s="66"/>
      <c r="C232" s="66"/>
      <c r="D232" s="66"/>
      <c r="E232" s="66"/>
      <c r="F232" s="66"/>
      <c r="G232" s="66"/>
      <c r="H232" s="66"/>
      <c r="I232" s="66"/>
      <c r="J232" s="66"/>
      <c r="K232" s="66"/>
      <c r="L232" s="66"/>
      <c r="M232" s="157" t="s">
        <v>946</v>
      </c>
      <c r="N232" s="158">
        <v>46157.0</v>
      </c>
      <c r="O232" s="66">
        <v>1.0</v>
      </c>
      <c r="P232" s="66"/>
      <c r="Q232" s="66"/>
      <c r="R232" s="66"/>
      <c r="S232" s="66"/>
      <c r="T232" s="66" t="s">
        <v>292</v>
      </c>
      <c r="U232" s="158">
        <v>46218.0</v>
      </c>
      <c r="V232" s="66">
        <v>1.0</v>
      </c>
      <c r="W232" s="66"/>
      <c r="X232" s="66"/>
      <c r="Y232" s="66"/>
      <c r="Z232" s="66"/>
    </row>
    <row r="233">
      <c r="A233" s="66"/>
      <c r="B233" s="66"/>
      <c r="C233" s="66"/>
      <c r="D233" s="66"/>
      <c r="E233" s="66"/>
      <c r="F233" s="66"/>
      <c r="G233" s="66"/>
      <c r="H233" s="66"/>
      <c r="I233" s="66"/>
      <c r="J233" s="66"/>
      <c r="K233" s="66"/>
      <c r="L233" s="66"/>
      <c r="M233" s="157" t="s">
        <v>947</v>
      </c>
      <c r="N233" s="158">
        <v>46157.0</v>
      </c>
      <c r="O233" s="66">
        <v>1.0</v>
      </c>
      <c r="P233" s="66"/>
      <c r="Q233" s="66"/>
      <c r="R233" s="66"/>
      <c r="S233" s="66"/>
      <c r="T233" s="66" t="s">
        <v>287</v>
      </c>
      <c r="U233" s="158">
        <v>46218.0</v>
      </c>
      <c r="V233" s="66">
        <v>1.0</v>
      </c>
      <c r="W233" s="66"/>
      <c r="X233" s="66"/>
      <c r="Y233" s="66"/>
      <c r="Z233" s="66"/>
    </row>
    <row r="234">
      <c r="A234" s="66"/>
      <c r="B234" s="66"/>
      <c r="C234" s="66"/>
      <c r="D234" s="66"/>
      <c r="E234" s="66"/>
      <c r="F234" s="66"/>
      <c r="G234" s="66"/>
      <c r="H234" s="66"/>
      <c r="I234" s="66"/>
      <c r="J234" s="66"/>
      <c r="K234" s="66"/>
      <c r="L234" s="66"/>
      <c r="M234" s="157" t="s">
        <v>948</v>
      </c>
      <c r="N234" s="158">
        <v>46157.0</v>
      </c>
      <c r="O234" s="66">
        <v>1.0</v>
      </c>
      <c r="P234" s="66"/>
      <c r="Q234" s="66"/>
      <c r="R234" s="66"/>
      <c r="S234" s="66"/>
      <c r="T234" s="66" t="s">
        <v>289</v>
      </c>
      <c r="U234" s="158">
        <v>46218.0</v>
      </c>
      <c r="V234" s="66">
        <v>1.0</v>
      </c>
      <c r="W234" s="66"/>
      <c r="X234" s="66"/>
      <c r="Y234" s="66"/>
      <c r="Z234" s="66"/>
    </row>
    <row r="235">
      <c r="A235" s="66"/>
      <c r="B235" s="66"/>
      <c r="C235" s="66"/>
      <c r="D235" s="66"/>
      <c r="E235" s="66"/>
      <c r="F235" s="66"/>
      <c r="G235" s="66"/>
      <c r="H235" s="66"/>
      <c r="I235" s="66"/>
      <c r="J235" s="66"/>
      <c r="K235" s="66"/>
      <c r="L235" s="66"/>
      <c r="M235" s="157" t="s">
        <v>949</v>
      </c>
      <c r="N235" s="158">
        <v>46157.0</v>
      </c>
      <c r="O235" s="66">
        <v>1.0</v>
      </c>
      <c r="P235" s="66"/>
      <c r="Q235" s="66"/>
      <c r="R235" s="66"/>
      <c r="S235" s="66"/>
      <c r="T235" s="66" t="s">
        <v>291</v>
      </c>
      <c r="U235" s="158">
        <v>46218.0</v>
      </c>
      <c r="V235" s="66">
        <v>1.0</v>
      </c>
      <c r="W235" s="66"/>
      <c r="X235" s="66"/>
      <c r="Y235" s="66"/>
      <c r="Z235" s="66"/>
    </row>
    <row r="236">
      <c r="A236" s="66"/>
      <c r="B236" s="66"/>
      <c r="C236" s="66"/>
      <c r="D236" s="66"/>
      <c r="E236" s="66"/>
      <c r="F236" s="66"/>
      <c r="G236" s="66"/>
      <c r="H236" s="66"/>
      <c r="I236" s="66"/>
      <c r="J236" s="66"/>
      <c r="K236" s="66"/>
      <c r="L236" s="66"/>
      <c r="M236" s="157" t="s">
        <v>318</v>
      </c>
      <c r="N236" s="158">
        <v>46157.0</v>
      </c>
      <c r="O236" s="66">
        <v>2.0</v>
      </c>
      <c r="P236" s="66"/>
      <c r="Q236" s="66"/>
      <c r="R236" s="66"/>
      <c r="S236" s="66"/>
      <c r="T236" s="66" t="s">
        <v>299</v>
      </c>
      <c r="U236" s="158">
        <v>46218.0</v>
      </c>
      <c r="V236" s="66">
        <v>1.0</v>
      </c>
      <c r="W236" s="66"/>
      <c r="X236" s="66"/>
      <c r="Y236" s="66"/>
      <c r="Z236" s="66"/>
    </row>
    <row r="237">
      <c r="A237" s="66"/>
      <c r="B237" s="66"/>
      <c r="C237" s="66"/>
      <c r="D237" s="66"/>
      <c r="E237" s="66"/>
      <c r="F237" s="66"/>
      <c r="G237" s="66"/>
      <c r="H237" s="66"/>
      <c r="I237" s="66"/>
      <c r="J237" s="66"/>
      <c r="K237" s="66"/>
      <c r="L237" s="66"/>
      <c r="M237" s="157" t="s">
        <v>950</v>
      </c>
      <c r="N237" s="158">
        <v>46157.0</v>
      </c>
      <c r="O237" s="66">
        <v>1.0</v>
      </c>
      <c r="P237" s="66"/>
      <c r="Q237" s="66"/>
      <c r="R237" s="66"/>
      <c r="S237" s="66"/>
      <c r="T237" s="66" t="s">
        <v>296</v>
      </c>
      <c r="U237" s="158">
        <v>46218.0</v>
      </c>
      <c r="V237" s="66">
        <v>1.0</v>
      </c>
      <c r="W237" s="66"/>
      <c r="X237" s="66"/>
      <c r="Y237" s="66"/>
      <c r="Z237" s="66"/>
    </row>
    <row r="238">
      <c r="A238" s="66"/>
      <c r="B238" s="66"/>
      <c r="C238" s="66"/>
      <c r="D238" s="66"/>
      <c r="E238" s="66"/>
      <c r="F238" s="66"/>
      <c r="G238" s="66"/>
      <c r="H238" s="66"/>
      <c r="I238" s="66"/>
      <c r="J238" s="66"/>
      <c r="K238" s="66"/>
      <c r="L238" s="66"/>
      <c r="M238" s="157" t="s">
        <v>310</v>
      </c>
      <c r="N238" s="158">
        <v>46157.0</v>
      </c>
      <c r="O238" s="66">
        <v>1.0</v>
      </c>
      <c r="P238" s="66"/>
      <c r="Q238" s="66"/>
      <c r="R238" s="66"/>
      <c r="S238" s="66"/>
      <c r="T238" s="66" t="s">
        <v>297</v>
      </c>
      <c r="U238" s="158">
        <v>46218.0</v>
      </c>
      <c r="V238" s="66">
        <v>1.0</v>
      </c>
      <c r="W238" s="66"/>
      <c r="X238" s="66"/>
      <c r="Y238" s="66"/>
      <c r="Z238" s="66"/>
    </row>
    <row r="239">
      <c r="A239" s="66"/>
      <c r="B239" s="66"/>
      <c r="C239" s="66"/>
      <c r="D239" s="66"/>
      <c r="E239" s="66"/>
      <c r="F239" s="66"/>
      <c r="G239" s="66"/>
      <c r="H239" s="66"/>
      <c r="I239" s="66"/>
      <c r="J239" s="66"/>
      <c r="K239" s="66"/>
      <c r="L239" s="66"/>
      <c r="M239" s="157" t="s">
        <v>951</v>
      </c>
      <c r="N239" s="158">
        <v>46157.0</v>
      </c>
      <c r="O239" s="66">
        <v>1.0</v>
      </c>
      <c r="P239" s="66"/>
      <c r="Q239" s="66"/>
      <c r="R239" s="66"/>
      <c r="S239" s="66"/>
      <c r="T239" s="66" t="s">
        <v>288</v>
      </c>
      <c r="U239" s="158">
        <v>46218.0</v>
      </c>
      <c r="V239" s="66">
        <v>1.0</v>
      </c>
      <c r="W239" s="66"/>
      <c r="X239" s="66"/>
      <c r="Y239" s="66"/>
      <c r="Z239" s="66"/>
    </row>
    <row r="240">
      <c r="A240" s="66"/>
      <c r="B240" s="66"/>
      <c r="C240" s="66"/>
      <c r="D240" s="66"/>
      <c r="E240" s="66"/>
      <c r="F240" s="66"/>
      <c r="G240" s="66"/>
      <c r="H240" s="66"/>
      <c r="I240" s="66"/>
      <c r="J240" s="66"/>
      <c r="K240" s="66"/>
      <c r="L240" s="66"/>
      <c r="M240" s="157" t="s">
        <v>270</v>
      </c>
      <c r="N240" s="158">
        <v>46157.0</v>
      </c>
      <c r="O240" s="66">
        <v>1.0</v>
      </c>
      <c r="P240" s="66"/>
      <c r="Q240" s="66"/>
      <c r="R240" s="66"/>
      <c r="S240" s="66"/>
      <c r="T240" s="66" t="s">
        <v>295</v>
      </c>
      <c r="U240" s="158">
        <v>46218.0</v>
      </c>
      <c r="V240" s="66">
        <v>1.0</v>
      </c>
      <c r="W240" s="66"/>
      <c r="X240" s="66"/>
      <c r="Y240" s="66"/>
      <c r="Z240" s="66"/>
    </row>
    <row r="241">
      <c r="A241" s="66"/>
      <c r="B241" s="66"/>
      <c r="C241" s="66"/>
      <c r="D241" s="66"/>
      <c r="E241" s="66"/>
      <c r="F241" s="66"/>
      <c r="G241" s="66"/>
      <c r="H241" s="66"/>
      <c r="I241" s="66"/>
      <c r="J241" s="66"/>
      <c r="K241" s="66"/>
      <c r="L241" s="66"/>
      <c r="M241" s="157" t="s">
        <v>952</v>
      </c>
      <c r="N241" s="158">
        <v>46157.0</v>
      </c>
      <c r="O241" s="66">
        <v>1.0</v>
      </c>
      <c r="P241" s="66"/>
      <c r="Q241" s="66"/>
      <c r="R241" s="66"/>
      <c r="S241" s="66"/>
      <c r="T241" s="66" t="s">
        <v>294</v>
      </c>
      <c r="U241" s="158">
        <v>46218.0</v>
      </c>
      <c r="V241" s="66">
        <v>1.0</v>
      </c>
      <c r="W241" s="66"/>
      <c r="X241" s="66"/>
      <c r="Y241" s="66"/>
      <c r="Z241" s="66"/>
    </row>
    <row r="242">
      <c r="A242" s="66"/>
      <c r="B242" s="66"/>
      <c r="C242" s="66"/>
      <c r="D242" s="66"/>
      <c r="E242" s="66"/>
      <c r="F242" s="66"/>
      <c r="G242" s="66"/>
      <c r="H242" s="66"/>
      <c r="I242" s="66"/>
      <c r="J242" s="66"/>
      <c r="K242" s="66"/>
      <c r="L242" s="66"/>
      <c r="M242" s="157" t="s">
        <v>953</v>
      </c>
      <c r="N242" s="158">
        <v>46157.0</v>
      </c>
      <c r="O242" s="66">
        <v>1.0</v>
      </c>
      <c r="P242" s="66"/>
      <c r="Q242" s="66"/>
      <c r="R242" s="66"/>
      <c r="S242" s="66"/>
      <c r="T242" s="66" t="s">
        <v>300</v>
      </c>
      <c r="U242" s="158">
        <v>46218.0</v>
      </c>
      <c r="V242" s="66">
        <v>1.0</v>
      </c>
      <c r="W242" s="66"/>
      <c r="X242" s="66"/>
      <c r="Y242" s="66"/>
      <c r="Z242" s="66"/>
    </row>
    <row r="243">
      <c r="A243" s="66"/>
      <c r="B243" s="66"/>
      <c r="C243" s="66"/>
      <c r="D243" s="66"/>
      <c r="E243" s="66"/>
      <c r="F243" s="66"/>
      <c r="G243" s="66"/>
      <c r="H243" s="66"/>
      <c r="I243" s="66"/>
      <c r="J243" s="66"/>
      <c r="K243" s="66"/>
      <c r="L243" s="66"/>
      <c r="M243" s="157" t="s">
        <v>954</v>
      </c>
      <c r="N243" s="158">
        <v>46157.0</v>
      </c>
      <c r="O243" s="66">
        <v>1.0</v>
      </c>
      <c r="P243" s="66"/>
      <c r="Q243" s="66"/>
      <c r="R243" s="66"/>
      <c r="S243" s="66"/>
      <c r="T243" s="66" t="s">
        <v>290</v>
      </c>
      <c r="U243" s="158">
        <v>46218.0</v>
      </c>
      <c r="V243" s="66">
        <v>1.0</v>
      </c>
      <c r="W243" s="66"/>
      <c r="X243" s="66"/>
      <c r="Y243" s="66"/>
      <c r="Z243" s="66"/>
    </row>
    <row r="244">
      <c r="A244" s="66"/>
      <c r="B244" s="66"/>
      <c r="C244" s="66"/>
      <c r="D244" s="66"/>
      <c r="E244" s="66"/>
      <c r="F244" s="66"/>
      <c r="G244" s="66"/>
      <c r="H244" s="66"/>
      <c r="I244" s="66"/>
      <c r="J244" s="66"/>
      <c r="K244" s="66"/>
      <c r="L244" s="66"/>
      <c r="M244" s="157" t="s">
        <v>955</v>
      </c>
      <c r="N244" s="158">
        <v>46157.0</v>
      </c>
      <c r="O244" s="66">
        <v>1.0</v>
      </c>
      <c r="P244" s="66"/>
      <c r="Q244" s="66"/>
      <c r="R244" s="66"/>
      <c r="S244" s="66"/>
      <c r="T244" s="66" t="s">
        <v>304</v>
      </c>
      <c r="U244" s="158">
        <v>46218.0</v>
      </c>
      <c r="V244" s="66">
        <v>1.0</v>
      </c>
      <c r="W244" s="66"/>
      <c r="X244" s="66"/>
      <c r="Y244" s="66"/>
      <c r="Z244" s="66"/>
    </row>
    <row r="245">
      <c r="A245" s="66"/>
      <c r="B245" s="66"/>
      <c r="C245" s="66"/>
      <c r="D245" s="66"/>
      <c r="E245" s="66"/>
      <c r="F245" s="66"/>
      <c r="G245" s="66"/>
      <c r="H245" s="66"/>
      <c r="I245" s="66"/>
      <c r="J245" s="66"/>
      <c r="K245" s="66"/>
      <c r="L245" s="66"/>
      <c r="M245" s="157" t="s">
        <v>956</v>
      </c>
      <c r="N245" s="158">
        <v>46157.0</v>
      </c>
      <c r="O245" s="66">
        <v>1.0</v>
      </c>
      <c r="P245" s="66"/>
      <c r="Q245" s="66"/>
      <c r="R245" s="66"/>
      <c r="S245" s="66"/>
      <c r="T245" s="66" t="s">
        <v>305</v>
      </c>
      <c r="U245" s="158">
        <v>46218.0</v>
      </c>
      <c r="V245" s="66">
        <v>1.0</v>
      </c>
      <c r="W245" s="66"/>
      <c r="X245" s="66"/>
      <c r="Y245" s="66"/>
      <c r="Z245" s="66"/>
    </row>
    <row r="246">
      <c r="A246" s="66"/>
      <c r="B246" s="66"/>
      <c r="C246" s="66"/>
      <c r="D246" s="66"/>
      <c r="E246" s="66"/>
      <c r="F246" s="66"/>
      <c r="G246" s="66"/>
      <c r="H246" s="66"/>
      <c r="I246" s="66"/>
      <c r="J246" s="66"/>
      <c r="K246" s="66"/>
      <c r="L246" s="66"/>
      <c r="M246" s="157" t="s">
        <v>271</v>
      </c>
      <c r="N246" s="158">
        <v>46157.0</v>
      </c>
      <c r="O246" s="66">
        <v>1.0</v>
      </c>
      <c r="P246" s="66"/>
      <c r="Q246" s="66"/>
      <c r="R246" s="66"/>
      <c r="S246" s="66"/>
      <c r="T246" s="66" t="s">
        <v>298</v>
      </c>
      <c r="U246" s="158">
        <v>46218.0</v>
      </c>
      <c r="V246" s="66">
        <v>1.0</v>
      </c>
      <c r="W246" s="66"/>
      <c r="X246" s="66"/>
      <c r="Y246" s="66"/>
      <c r="Z246" s="66"/>
    </row>
    <row r="247">
      <c r="A247" s="66"/>
      <c r="B247" s="66"/>
      <c r="C247" s="66"/>
      <c r="D247" s="66"/>
      <c r="E247" s="66"/>
      <c r="F247" s="66"/>
      <c r="G247" s="66"/>
      <c r="H247" s="66"/>
      <c r="I247" s="66"/>
      <c r="J247" s="66"/>
      <c r="K247" s="66"/>
      <c r="L247" s="66" t="s">
        <v>939</v>
      </c>
      <c r="M247" s="66"/>
      <c r="N247" s="66"/>
      <c r="O247" s="66">
        <v>17.0</v>
      </c>
      <c r="P247" s="66"/>
      <c r="Q247" s="66"/>
      <c r="R247" s="66"/>
      <c r="S247" s="66"/>
      <c r="T247" s="66" t="s">
        <v>280</v>
      </c>
      <c r="U247" s="158">
        <v>46218.0</v>
      </c>
      <c r="V247" s="66">
        <v>1.0</v>
      </c>
      <c r="W247" s="66"/>
      <c r="X247" s="66"/>
      <c r="Y247" s="66"/>
      <c r="Z247" s="66"/>
    </row>
    <row r="248">
      <c r="A248" s="66"/>
      <c r="B248" s="66"/>
      <c r="C248" s="66"/>
      <c r="D248" s="66"/>
      <c r="E248" s="66"/>
      <c r="F248" s="66"/>
      <c r="G248" s="66"/>
      <c r="H248" s="66"/>
      <c r="I248" s="66"/>
      <c r="J248" s="66"/>
      <c r="K248" s="93" t="s">
        <v>730</v>
      </c>
      <c r="L248" s="158" t="s">
        <v>724</v>
      </c>
      <c r="M248" s="157" t="s">
        <v>957</v>
      </c>
      <c r="N248" s="158">
        <v>46172.0</v>
      </c>
      <c r="O248" s="66">
        <v>1.0</v>
      </c>
      <c r="P248" s="66"/>
      <c r="Q248" s="66"/>
      <c r="R248" s="66"/>
      <c r="S248" s="66"/>
      <c r="T248" s="66" t="s">
        <v>281</v>
      </c>
      <c r="U248" s="158">
        <v>46218.0</v>
      </c>
      <c r="V248" s="66">
        <v>1.0</v>
      </c>
      <c r="W248" s="66"/>
      <c r="X248" s="66"/>
      <c r="Y248" s="66"/>
      <c r="Z248" s="66"/>
    </row>
    <row r="249">
      <c r="A249" s="66"/>
      <c r="B249" s="66"/>
      <c r="C249" s="66"/>
      <c r="D249" s="66"/>
      <c r="E249" s="66"/>
      <c r="F249" s="66"/>
      <c r="G249" s="66"/>
      <c r="H249" s="66"/>
      <c r="I249" s="66"/>
      <c r="J249" s="66"/>
      <c r="K249" s="66"/>
      <c r="L249" s="66"/>
      <c r="M249" s="157" t="s">
        <v>958</v>
      </c>
      <c r="N249" s="158">
        <v>46172.0</v>
      </c>
      <c r="O249" s="66">
        <v>1.0</v>
      </c>
      <c r="P249" s="66"/>
      <c r="Q249" s="66"/>
      <c r="R249" s="66"/>
      <c r="S249" s="66"/>
      <c r="T249" s="66" t="s">
        <v>284</v>
      </c>
      <c r="U249" s="158">
        <v>46218.0</v>
      </c>
      <c r="V249" s="66">
        <v>1.0</v>
      </c>
      <c r="W249" s="66"/>
      <c r="X249" s="66"/>
      <c r="Y249" s="66"/>
      <c r="Z249" s="66"/>
    </row>
    <row r="250">
      <c r="A250" s="66"/>
      <c r="B250" s="66"/>
      <c r="C250" s="66"/>
      <c r="D250" s="66"/>
      <c r="E250" s="66"/>
      <c r="F250" s="66"/>
      <c r="G250" s="66"/>
      <c r="H250" s="66"/>
      <c r="I250" s="66"/>
      <c r="J250" s="66"/>
      <c r="K250" s="66"/>
      <c r="L250" s="66"/>
      <c r="M250" s="157" t="s">
        <v>959</v>
      </c>
      <c r="N250" s="158">
        <v>46172.0</v>
      </c>
      <c r="O250" s="66">
        <v>1.0</v>
      </c>
      <c r="P250" s="66"/>
      <c r="Q250" s="66"/>
      <c r="R250" s="66"/>
      <c r="S250" s="66"/>
      <c r="T250" s="66" t="s">
        <v>282</v>
      </c>
      <c r="U250" s="158">
        <v>46218.0</v>
      </c>
      <c r="V250" s="66">
        <v>1.0</v>
      </c>
      <c r="W250" s="66"/>
      <c r="X250" s="66"/>
      <c r="Y250" s="66"/>
      <c r="Z250" s="66"/>
    </row>
    <row r="251">
      <c r="A251" s="66"/>
      <c r="B251" s="66"/>
      <c r="C251" s="66"/>
      <c r="D251" s="66"/>
      <c r="E251" s="66"/>
      <c r="F251" s="66"/>
      <c r="G251" s="66"/>
      <c r="H251" s="66"/>
      <c r="I251" s="66"/>
      <c r="J251" s="66"/>
      <c r="K251" s="66"/>
      <c r="L251" s="66"/>
      <c r="M251" s="157" t="s">
        <v>960</v>
      </c>
      <c r="N251" s="158">
        <v>46172.0</v>
      </c>
      <c r="O251" s="66">
        <v>1.0</v>
      </c>
      <c r="P251" s="66"/>
      <c r="Q251" s="66"/>
      <c r="R251" s="66"/>
      <c r="S251" s="66"/>
      <c r="T251" s="66" t="s">
        <v>303</v>
      </c>
      <c r="U251" s="158">
        <v>46218.0</v>
      </c>
      <c r="V251" s="66">
        <v>1.0</v>
      </c>
      <c r="W251" s="66"/>
      <c r="X251" s="66"/>
      <c r="Y251" s="66"/>
      <c r="Z251" s="66"/>
    </row>
    <row r="252">
      <c r="A252" s="66"/>
      <c r="B252" s="66"/>
      <c r="C252" s="66"/>
      <c r="D252" s="66"/>
      <c r="E252" s="66"/>
      <c r="F252" s="66"/>
      <c r="G252" s="66"/>
      <c r="H252" s="66"/>
      <c r="I252" s="66"/>
      <c r="J252" s="66"/>
      <c r="K252" s="66"/>
      <c r="L252" s="66"/>
      <c r="M252" s="157" t="s">
        <v>961</v>
      </c>
      <c r="N252" s="158">
        <v>46172.0</v>
      </c>
      <c r="O252" s="66">
        <v>1.0</v>
      </c>
      <c r="P252" s="66"/>
      <c r="Q252" s="66"/>
      <c r="R252" s="66"/>
      <c r="S252" s="66"/>
      <c r="T252" s="66" t="s">
        <v>302</v>
      </c>
      <c r="U252" s="158">
        <v>46218.0</v>
      </c>
      <c r="V252" s="66">
        <v>1.0</v>
      </c>
      <c r="W252" s="66"/>
      <c r="X252" s="66"/>
      <c r="Y252" s="66"/>
      <c r="Z252" s="66"/>
    </row>
    <row r="253">
      <c r="A253" s="66"/>
      <c r="B253" s="66"/>
      <c r="C253" s="66"/>
      <c r="D253" s="66"/>
      <c r="E253" s="66"/>
      <c r="F253" s="66"/>
      <c r="G253" s="66"/>
      <c r="H253" s="66"/>
      <c r="I253" s="66"/>
      <c r="J253" s="66"/>
      <c r="K253" s="66"/>
      <c r="L253" s="66"/>
      <c r="M253" s="157" t="s">
        <v>962</v>
      </c>
      <c r="N253" s="158">
        <v>46172.0</v>
      </c>
      <c r="O253" s="66">
        <v>1.0</v>
      </c>
      <c r="P253" s="66"/>
      <c r="Q253" s="66"/>
      <c r="R253" s="66"/>
      <c r="S253" s="66"/>
      <c r="T253" s="66" t="s">
        <v>283</v>
      </c>
      <c r="U253" s="158">
        <v>46218.0</v>
      </c>
      <c r="V253" s="66">
        <v>1.0</v>
      </c>
      <c r="W253" s="66"/>
      <c r="X253" s="66"/>
      <c r="Y253" s="66"/>
      <c r="Z253" s="66"/>
    </row>
    <row r="254">
      <c r="A254" s="66"/>
      <c r="B254" s="66"/>
      <c r="C254" s="66"/>
      <c r="D254" s="66"/>
      <c r="E254" s="66"/>
      <c r="F254" s="66"/>
      <c r="G254" s="66"/>
      <c r="H254" s="66"/>
      <c r="I254" s="66"/>
      <c r="J254" s="66"/>
      <c r="K254" s="66"/>
      <c r="L254" s="66" t="s">
        <v>944</v>
      </c>
      <c r="M254" s="66"/>
      <c r="N254" s="66"/>
      <c r="O254" s="66">
        <v>6.0</v>
      </c>
      <c r="P254" s="66"/>
      <c r="Q254" s="66"/>
      <c r="R254" s="66" t="s">
        <v>265</v>
      </c>
      <c r="S254" s="158" t="s">
        <v>30</v>
      </c>
      <c r="T254" s="66" t="s">
        <v>268</v>
      </c>
      <c r="U254" s="158">
        <v>46218.0</v>
      </c>
      <c r="V254" s="66">
        <v>1.0</v>
      </c>
      <c r="W254" s="66"/>
      <c r="X254" s="66"/>
      <c r="Y254" s="66"/>
      <c r="Z254" s="66"/>
    </row>
    <row r="255">
      <c r="A255" s="66"/>
      <c r="B255" s="66"/>
      <c r="C255" s="66"/>
      <c r="D255" s="66"/>
      <c r="E255" s="66"/>
      <c r="F255" s="66"/>
      <c r="G255" s="66"/>
      <c r="H255" s="66"/>
      <c r="I255" s="66"/>
      <c r="J255" s="66" t="s">
        <v>727</v>
      </c>
      <c r="K255" s="66"/>
      <c r="L255" s="66"/>
      <c r="M255" s="66"/>
      <c r="N255" s="66"/>
      <c r="O255" s="66">
        <v>264.0</v>
      </c>
      <c r="P255" s="66"/>
      <c r="Q255" s="66"/>
      <c r="R255" s="66"/>
      <c r="S255" s="66"/>
      <c r="T255" s="66" t="s">
        <v>267</v>
      </c>
      <c r="U255" s="158">
        <v>46218.0</v>
      </c>
      <c r="V255" s="66">
        <v>1.0</v>
      </c>
      <c r="W255" s="66"/>
      <c r="X255" s="66"/>
      <c r="Y255" s="66"/>
      <c r="Z255" s="66"/>
    </row>
    <row r="256">
      <c r="A256" s="66"/>
      <c r="B256" s="66"/>
      <c r="C256" s="66"/>
      <c r="D256" s="66"/>
      <c r="E256" s="66"/>
      <c r="F256" s="66"/>
      <c r="G256" s="66"/>
      <c r="H256" s="66"/>
      <c r="I256" s="66"/>
      <c r="J256" s="66" t="s">
        <v>99</v>
      </c>
      <c r="K256" s="66" t="s">
        <v>664</v>
      </c>
      <c r="L256" s="158" t="s">
        <v>718</v>
      </c>
      <c r="M256" s="66" t="s">
        <v>672</v>
      </c>
      <c r="N256" s="158">
        <v>46234.0</v>
      </c>
      <c r="O256" s="66">
        <v>1.0</v>
      </c>
      <c r="P256" s="66"/>
      <c r="Q256" s="66"/>
      <c r="R256" s="66"/>
      <c r="S256" s="66"/>
      <c r="T256" s="66" t="s">
        <v>270</v>
      </c>
      <c r="U256" s="158">
        <v>46218.0</v>
      </c>
      <c r="V256" s="66">
        <v>1.0</v>
      </c>
      <c r="W256" s="66"/>
      <c r="X256" s="66"/>
      <c r="Y256" s="66"/>
      <c r="Z256" s="66"/>
    </row>
    <row r="257">
      <c r="A257" s="66"/>
      <c r="B257" s="66"/>
      <c r="C257" s="66"/>
      <c r="D257" s="66"/>
      <c r="E257" s="66"/>
      <c r="F257" s="66"/>
      <c r="G257" s="66"/>
      <c r="H257" s="66"/>
      <c r="I257" s="66"/>
      <c r="J257" s="66"/>
      <c r="K257" s="66"/>
      <c r="L257" s="66"/>
      <c r="M257" s="66" t="s">
        <v>665</v>
      </c>
      <c r="N257" s="158">
        <v>46234.0</v>
      </c>
      <c r="O257" s="66">
        <v>1.0</v>
      </c>
      <c r="P257" s="66"/>
      <c r="Q257" s="66"/>
      <c r="R257" s="66"/>
      <c r="S257" s="66"/>
      <c r="T257" s="66" t="s">
        <v>276</v>
      </c>
      <c r="U257" s="158">
        <v>46218.0</v>
      </c>
      <c r="V257" s="66">
        <v>1.0</v>
      </c>
      <c r="W257" s="66"/>
      <c r="X257" s="66"/>
      <c r="Y257" s="66"/>
      <c r="Z257" s="66"/>
    </row>
    <row r="258">
      <c r="A258" s="66"/>
      <c r="B258" s="66"/>
      <c r="C258" s="66"/>
      <c r="D258" s="66"/>
      <c r="E258" s="66"/>
      <c r="F258" s="66"/>
      <c r="G258" s="66"/>
      <c r="H258" s="66"/>
      <c r="I258" s="66"/>
      <c r="J258" s="66"/>
      <c r="K258" s="66"/>
      <c r="L258" s="66"/>
      <c r="M258" s="66" t="s">
        <v>667</v>
      </c>
      <c r="N258" s="158">
        <v>46234.0</v>
      </c>
      <c r="O258" s="66">
        <v>1.0</v>
      </c>
      <c r="P258" s="66"/>
      <c r="Q258" s="66"/>
      <c r="R258" s="66"/>
      <c r="S258" s="66"/>
      <c r="T258" s="66" t="s">
        <v>266</v>
      </c>
      <c r="U258" s="158">
        <v>46218.0</v>
      </c>
      <c r="V258" s="66">
        <v>1.0</v>
      </c>
      <c r="W258" s="66"/>
      <c r="X258" s="66"/>
      <c r="Y258" s="66"/>
      <c r="Z258" s="66"/>
    </row>
    <row r="259">
      <c r="A259" s="66"/>
      <c r="B259" s="66"/>
      <c r="C259" s="66"/>
      <c r="D259" s="66"/>
      <c r="E259" s="66"/>
      <c r="F259" s="66"/>
      <c r="G259" s="66"/>
      <c r="H259" s="66"/>
      <c r="I259" s="66"/>
      <c r="J259" s="66"/>
      <c r="K259" s="66"/>
      <c r="L259" s="66"/>
      <c r="M259" s="66" t="s">
        <v>669</v>
      </c>
      <c r="N259" s="158">
        <v>46234.0</v>
      </c>
      <c r="O259" s="66">
        <v>1.0</v>
      </c>
      <c r="P259" s="66"/>
      <c r="Q259" s="66"/>
      <c r="R259" s="66"/>
      <c r="S259" s="66"/>
      <c r="T259" s="66" t="s">
        <v>269</v>
      </c>
      <c r="U259" s="158">
        <v>46218.0</v>
      </c>
      <c r="V259" s="66">
        <v>1.0</v>
      </c>
      <c r="W259" s="66"/>
      <c r="X259" s="66"/>
      <c r="Y259" s="66"/>
      <c r="Z259" s="66"/>
    </row>
    <row r="260">
      <c r="A260" s="66"/>
      <c r="B260" s="66"/>
      <c r="C260" s="66"/>
      <c r="D260" s="66"/>
      <c r="E260" s="66"/>
      <c r="F260" s="66"/>
      <c r="G260" s="66"/>
      <c r="H260" s="66"/>
      <c r="I260" s="66"/>
      <c r="J260" s="66"/>
      <c r="K260" s="66"/>
      <c r="L260" s="66"/>
      <c r="M260" s="66" t="s">
        <v>668</v>
      </c>
      <c r="N260" s="158">
        <v>46234.0</v>
      </c>
      <c r="O260" s="66">
        <v>1.0</v>
      </c>
      <c r="P260" s="66"/>
      <c r="Q260" s="66"/>
      <c r="R260" s="66"/>
      <c r="S260" s="66"/>
      <c r="T260" s="66" t="s">
        <v>274</v>
      </c>
      <c r="U260" s="158">
        <v>46218.0</v>
      </c>
      <c r="V260" s="66">
        <v>1.0</v>
      </c>
      <c r="W260" s="66"/>
      <c r="X260" s="66"/>
      <c r="Y260" s="66"/>
      <c r="Z260" s="66"/>
    </row>
    <row r="261">
      <c r="A261" s="66"/>
      <c r="B261" s="66"/>
      <c r="C261" s="66"/>
      <c r="D261" s="66"/>
      <c r="E261" s="66"/>
      <c r="F261" s="66"/>
      <c r="G261" s="66"/>
      <c r="H261" s="66"/>
      <c r="I261" s="66"/>
      <c r="J261" s="66"/>
      <c r="K261" s="66"/>
      <c r="L261" s="66"/>
      <c r="M261" s="66" t="s">
        <v>671</v>
      </c>
      <c r="N261" s="158">
        <v>46234.0</v>
      </c>
      <c r="O261" s="66">
        <v>1.0</v>
      </c>
      <c r="P261" s="66"/>
      <c r="Q261" s="66"/>
      <c r="R261" s="66"/>
      <c r="S261" s="66"/>
      <c r="T261" s="66" t="s">
        <v>275</v>
      </c>
      <c r="U261" s="158">
        <v>46218.0</v>
      </c>
      <c r="V261" s="66">
        <v>1.0</v>
      </c>
      <c r="W261" s="66"/>
      <c r="X261" s="66"/>
      <c r="Y261" s="66"/>
      <c r="Z261" s="66"/>
    </row>
    <row r="262">
      <c r="A262" s="66"/>
      <c r="B262" s="66"/>
      <c r="C262" s="66"/>
      <c r="D262" s="66"/>
      <c r="E262" s="66"/>
      <c r="F262" s="66"/>
      <c r="G262" s="66"/>
      <c r="H262" s="66"/>
      <c r="I262" s="66"/>
      <c r="J262" s="66"/>
      <c r="K262" s="66"/>
      <c r="L262" s="66"/>
      <c r="M262" s="66" t="s">
        <v>666</v>
      </c>
      <c r="N262" s="158">
        <v>46234.0</v>
      </c>
      <c r="O262" s="66">
        <v>1.0</v>
      </c>
      <c r="P262" s="66"/>
      <c r="Q262" s="66"/>
      <c r="R262" s="66"/>
      <c r="S262" s="66"/>
      <c r="T262" s="66" t="s">
        <v>273</v>
      </c>
      <c r="U262" s="158">
        <v>46218.0</v>
      </c>
      <c r="V262" s="66">
        <v>1.0</v>
      </c>
      <c r="W262" s="66"/>
      <c r="X262" s="66"/>
      <c r="Y262" s="66"/>
      <c r="Z262" s="66"/>
    </row>
    <row r="263">
      <c r="A263" s="66"/>
      <c r="B263" s="66"/>
      <c r="C263" s="66"/>
      <c r="D263" s="66"/>
      <c r="E263" s="66"/>
      <c r="F263" s="66"/>
      <c r="G263" s="66"/>
      <c r="H263" s="66"/>
      <c r="I263" s="66"/>
      <c r="J263" s="66"/>
      <c r="K263" s="66"/>
      <c r="L263" s="66"/>
      <c r="M263" s="66" t="s">
        <v>670</v>
      </c>
      <c r="N263" s="158">
        <v>46234.0</v>
      </c>
      <c r="O263" s="66">
        <v>1.0</v>
      </c>
      <c r="P263" s="66"/>
      <c r="Q263" s="66"/>
      <c r="R263" s="66"/>
      <c r="S263" s="66"/>
      <c r="T263" s="66" t="s">
        <v>272</v>
      </c>
      <c r="U263" s="158">
        <v>46218.0</v>
      </c>
      <c r="V263" s="66">
        <v>1.0</v>
      </c>
      <c r="W263" s="66"/>
      <c r="X263" s="66"/>
      <c r="Y263" s="66"/>
      <c r="Z263" s="66"/>
    </row>
    <row r="264">
      <c r="A264" s="66"/>
      <c r="B264" s="66"/>
      <c r="C264" s="66"/>
      <c r="D264" s="66"/>
      <c r="E264" s="66"/>
      <c r="F264" s="66"/>
      <c r="G264" s="66"/>
      <c r="H264" s="66"/>
      <c r="I264" s="66"/>
      <c r="J264" s="66"/>
      <c r="K264" s="66"/>
      <c r="L264" s="66" t="s">
        <v>734</v>
      </c>
      <c r="M264" s="66"/>
      <c r="N264" s="66"/>
      <c r="O264" s="66">
        <v>8.0</v>
      </c>
      <c r="P264" s="66"/>
      <c r="Q264" s="66"/>
      <c r="R264" s="66"/>
      <c r="S264" s="66"/>
      <c r="T264" s="66" t="s">
        <v>271</v>
      </c>
      <c r="U264" s="158">
        <v>46218.0</v>
      </c>
      <c r="V264" s="66">
        <v>1.0</v>
      </c>
      <c r="W264" s="66"/>
      <c r="X264" s="66"/>
      <c r="Y264" s="66"/>
      <c r="Z264" s="66"/>
    </row>
    <row r="265">
      <c r="A265" s="66"/>
      <c r="B265" s="66"/>
      <c r="C265" s="66"/>
      <c r="D265" s="66"/>
      <c r="E265" s="66"/>
      <c r="F265" s="66"/>
      <c r="G265" s="66"/>
      <c r="H265" s="66"/>
      <c r="I265" s="66"/>
      <c r="J265" s="66"/>
      <c r="K265" s="66" t="s">
        <v>673</v>
      </c>
      <c r="L265" s="158" t="s">
        <v>30</v>
      </c>
      <c r="M265" s="66" t="s">
        <v>675</v>
      </c>
      <c r="N265" s="158">
        <v>46265.0</v>
      </c>
      <c r="O265" s="66">
        <v>1.0</v>
      </c>
      <c r="P265" s="66"/>
      <c r="Q265" s="66"/>
      <c r="R265" s="66"/>
      <c r="S265" s="158" t="s">
        <v>716</v>
      </c>
      <c r="T265" s="66" t="s">
        <v>277</v>
      </c>
      <c r="U265" s="158"/>
      <c r="V265" s="66">
        <v>1.0</v>
      </c>
      <c r="W265" s="66"/>
      <c r="X265" s="66"/>
      <c r="Y265" s="66"/>
      <c r="Z265" s="66"/>
    </row>
    <row r="266">
      <c r="A266" s="66"/>
      <c r="B266" s="66"/>
      <c r="C266" s="66"/>
      <c r="D266" s="66"/>
      <c r="E266" s="66"/>
      <c r="F266" s="66"/>
      <c r="G266" s="66"/>
      <c r="H266" s="66"/>
      <c r="I266" s="66"/>
      <c r="J266" s="66"/>
      <c r="K266" s="66"/>
      <c r="L266" s="66"/>
      <c r="M266" s="66" t="s">
        <v>674</v>
      </c>
      <c r="N266" s="158">
        <v>46265.0</v>
      </c>
      <c r="O266" s="66">
        <v>1.0</v>
      </c>
      <c r="P266" s="66"/>
      <c r="Q266" s="66"/>
      <c r="R266" s="66"/>
      <c r="S266" s="66"/>
      <c r="T266" s="66" t="s">
        <v>278</v>
      </c>
      <c r="U266" s="158"/>
      <c r="V266" s="66">
        <v>1.0</v>
      </c>
      <c r="W266" s="66"/>
      <c r="X266" s="66"/>
      <c r="Y266" s="66"/>
      <c r="Z266" s="66"/>
    </row>
    <row r="267">
      <c r="A267" s="66"/>
      <c r="B267" s="66"/>
      <c r="C267" s="66"/>
      <c r="D267" s="66"/>
      <c r="E267" s="66"/>
      <c r="F267" s="66"/>
      <c r="G267" s="66"/>
      <c r="H267" s="66"/>
      <c r="I267" s="66"/>
      <c r="J267" s="66"/>
      <c r="K267" s="66"/>
      <c r="L267" s="66"/>
      <c r="M267" s="66" t="s">
        <v>676</v>
      </c>
      <c r="N267" s="158">
        <v>46265.0</v>
      </c>
      <c r="O267" s="66">
        <v>1.0</v>
      </c>
      <c r="P267" s="66"/>
      <c r="Q267" s="66" t="s">
        <v>736</v>
      </c>
      <c r="R267" s="66"/>
      <c r="S267" s="66"/>
      <c r="T267" s="66"/>
      <c r="U267" s="66"/>
      <c r="V267" s="66">
        <v>507.0</v>
      </c>
      <c r="W267" s="66"/>
      <c r="X267" s="66"/>
      <c r="Y267" s="66"/>
      <c r="Z267" s="66"/>
    </row>
    <row r="268">
      <c r="A268" s="66"/>
      <c r="B268" s="66"/>
      <c r="C268" s="66"/>
      <c r="D268" s="66"/>
      <c r="E268" s="66"/>
      <c r="F268" s="66"/>
      <c r="G268" s="66"/>
      <c r="H268" s="66"/>
      <c r="I268" s="66"/>
      <c r="J268" s="66"/>
      <c r="K268" s="66"/>
      <c r="L268" s="66" t="s">
        <v>717</v>
      </c>
      <c r="M268" s="66"/>
      <c r="N268" s="66"/>
      <c r="O268" s="66">
        <v>3.0</v>
      </c>
      <c r="P268" s="66"/>
      <c r="Q268" s="66" t="s">
        <v>699</v>
      </c>
      <c r="R268" s="66"/>
      <c r="S268" s="66"/>
      <c r="T268" s="66"/>
      <c r="U268" s="66"/>
      <c r="V268" s="66">
        <v>771.0</v>
      </c>
      <c r="W268" s="66"/>
      <c r="X268" s="66"/>
      <c r="Y268" s="66"/>
      <c r="Z268" s="66"/>
    </row>
    <row r="269">
      <c r="A269" s="66"/>
      <c r="B269" s="66"/>
      <c r="C269" s="66"/>
      <c r="D269" s="66"/>
      <c r="E269" s="66"/>
      <c r="F269" s="66"/>
      <c r="G269" s="66"/>
      <c r="H269" s="66"/>
      <c r="I269" s="66"/>
      <c r="J269" s="66"/>
      <c r="K269" s="66" t="s">
        <v>677</v>
      </c>
      <c r="L269" s="158" t="s">
        <v>30</v>
      </c>
      <c r="M269" s="66" t="s">
        <v>684</v>
      </c>
      <c r="N269" s="158">
        <v>46295.0</v>
      </c>
      <c r="O269" s="66">
        <v>1.0</v>
      </c>
      <c r="P269" s="66"/>
      <c r="Q269" s="66"/>
      <c r="R269" s="66"/>
      <c r="S269" s="66"/>
      <c r="T269" s="66"/>
      <c r="U269" s="66"/>
      <c r="V269" s="66"/>
      <c r="W269" s="66"/>
      <c r="X269" s="66"/>
      <c r="Y269" s="66"/>
      <c r="Z269" s="66"/>
    </row>
    <row r="270">
      <c r="A270" s="66"/>
      <c r="B270" s="66"/>
      <c r="C270" s="66"/>
      <c r="D270" s="66"/>
      <c r="E270" s="66"/>
      <c r="F270" s="66"/>
      <c r="G270" s="66"/>
      <c r="H270" s="66"/>
      <c r="I270" s="66"/>
      <c r="J270" s="66"/>
      <c r="K270" s="66"/>
      <c r="L270" s="66"/>
      <c r="M270" s="66" t="s">
        <v>682</v>
      </c>
      <c r="N270" s="158">
        <v>46295.0</v>
      </c>
      <c r="O270" s="66">
        <v>1.0</v>
      </c>
      <c r="P270" s="66"/>
      <c r="Q270" s="66"/>
      <c r="R270" s="66"/>
      <c r="S270" s="66"/>
      <c r="T270" s="66"/>
      <c r="U270" s="66"/>
      <c r="V270" s="66"/>
      <c r="W270" s="66"/>
      <c r="X270" s="66"/>
      <c r="Y270" s="66"/>
      <c r="Z270" s="66"/>
    </row>
    <row r="271">
      <c r="A271" s="66"/>
      <c r="B271" s="66"/>
      <c r="C271" s="66"/>
      <c r="D271" s="66"/>
      <c r="E271" s="66"/>
      <c r="F271" s="66"/>
      <c r="G271" s="66"/>
      <c r="H271" s="66"/>
      <c r="I271" s="66"/>
      <c r="J271" s="66"/>
      <c r="K271" s="66"/>
      <c r="L271" s="66"/>
      <c r="M271" s="66" t="s">
        <v>680</v>
      </c>
      <c r="N271" s="158">
        <v>46234.0</v>
      </c>
      <c r="O271" s="66">
        <v>1.0</v>
      </c>
      <c r="P271" s="66"/>
      <c r="Q271" s="66"/>
      <c r="R271" s="66"/>
      <c r="S271" s="66"/>
      <c r="T271" s="66"/>
      <c r="U271" s="66"/>
      <c r="V271" s="66"/>
      <c r="W271" s="66"/>
      <c r="X271" s="66"/>
      <c r="Y271" s="66"/>
      <c r="Z271" s="66"/>
    </row>
    <row r="272">
      <c r="A272" s="66"/>
      <c r="B272" s="66"/>
      <c r="C272" s="66"/>
      <c r="D272" s="66"/>
      <c r="E272" s="66"/>
      <c r="F272" s="66"/>
      <c r="G272" s="66"/>
      <c r="H272" s="66"/>
      <c r="I272" s="66"/>
      <c r="J272" s="66"/>
      <c r="K272" s="66"/>
      <c r="L272" s="66"/>
      <c r="M272" s="66" t="s">
        <v>683</v>
      </c>
      <c r="N272" s="158">
        <v>46295.0</v>
      </c>
      <c r="O272" s="66">
        <v>1.0</v>
      </c>
      <c r="P272" s="66"/>
      <c r="Q272" s="66"/>
      <c r="R272" s="66"/>
      <c r="S272" s="66"/>
      <c r="T272" s="66"/>
      <c r="U272" s="66"/>
      <c r="V272" s="66"/>
      <c r="W272" s="66"/>
      <c r="X272" s="66"/>
      <c r="Y272" s="66"/>
      <c r="Z272" s="66"/>
    </row>
    <row r="273">
      <c r="A273" s="66"/>
      <c r="B273" s="66"/>
      <c r="C273" s="66"/>
      <c r="D273" s="66"/>
      <c r="E273" s="66"/>
      <c r="F273" s="66"/>
      <c r="G273" s="66"/>
      <c r="H273" s="66"/>
      <c r="I273" s="66"/>
      <c r="J273" s="66"/>
      <c r="K273" s="66"/>
      <c r="L273" s="66"/>
      <c r="M273" s="66" t="s">
        <v>685</v>
      </c>
      <c r="N273" s="158">
        <v>46356.0</v>
      </c>
      <c r="O273" s="66">
        <v>1.0</v>
      </c>
      <c r="P273" s="66"/>
      <c r="Q273" s="66"/>
      <c r="R273" s="66"/>
      <c r="S273" s="66"/>
      <c r="T273" s="66"/>
      <c r="U273" s="66"/>
      <c r="V273" s="66"/>
      <c r="W273" s="66"/>
      <c r="X273" s="66"/>
      <c r="Y273" s="66"/>
      <c r="Z273" s="66"/>
    </row>
    <row r="274">
      <c r="A274" s="66"/>
      <c r="B274" s="66"/>
      <c r="C274" s="66"/>
      <c r="D274" s="66"/>
      <c r="E274" s="66"/>
      <c r="F274" s="66"/>
      <c r="G274" s="66"/>
      <c r="H274" s="66"/>
      <c r="I274" s="66"/>
      <c r="J274" s="66"/>
      <c r="K274" s="66"/>
      <c r="L274" s="66"/>
      <c r="M274" s="66" t="s">
        <v>679</v>
      </c>
      <c r="N274" s="158">
        <v>46234.0</v>
      </c>
      <c r="O274" s="66">
        <v>1.0</v>
      </c>
      <c r="P274" s="66"/>
      <c r="Q274" s="66"/>
      <c r="R274" s="66"/>
      <c r="S274" s="66"/>
      <c r="T274" s="66"/>
      <c r="U274" s="66"/>
      <c r="V274" s="66"/>
      <c r="W274" s="66"/>
      <c r="X274" s="66"/>
      <c r="Y274" s="66"/>
      <c r="Z274" s="66"/>
    </row>
    <row r="275">
      <c r="A275" s="66"/>
      <c r="B275" s="66"/>
      <c r="C275" s="66"/>
      <c r="D275" s="66"/>
      <c r="E275" s="66"/>
      <c r="F275" s="66"/>
      <c r="G275" s="66"/>
      <c r="H275" s="66"/>
      <c r="I275" s="66"/>
      <c r="J275" s="66"/>
      <c r="K275" s="66"/>
      <c r="L275" s="66" t="s">
        <v>717</v>
      </c>
      <c r="M275" s="66"/>
      <c r="N275" s="66"/>
      <c r="O275" s="66">
        <v>6.0</v>
      </c>
      <c r="P275" s="66"/>
      <c r="Q275" s="66"/>
      <c r="R275" s="66"/>
      <c r="S275" s="66"/>
      <c r="T275" s="66"/>
      <c r="U275" s="66"/>
      <c r="V275" s="66"/>
      <c r="W275" s="66"/>
      <c r="X275" s="66"/>
      <c r="Y275" s="66"/>
      <c r="Z275" s="66"/>
    </row>
    <row r="276">
      <c r="A276" s="66"/>
      <c r="B276" s="66"/>
      <c r="C276" s="66"/>
      <c r="D276" s="66"/>
      <c r="E276" s="66"/>
      <c r="F276" s="66"/>
      <c r="G276" s="66"/>
      <c r="H276" s="66"/>
      <c r="I276" s="66"/>
      <c r="J276" s="66"/>
      <c r="K276" s="66" t="s">
        <v>306</v>
      </c>
      <c r="L276" s="158" t="s">
        <v>30</v>
      </c>
      <c r="M276" s="66" t="s">
        <v>364</v>
      </c>
      <c r="N276" s="158">
        <v>46280.0</v>
      </c>
      <c r="O276" s="66">
        <v>1.0</v>
      </c>
      <c r="P276" s="66"/>
      <c r="Q276" s="66"/>
      <c r="R276" s="66"/>
      <c r="S276" s="66"/>
      <c r="T276" s="66"/>
      <c r="U276" s="66"/>
      <c r="V276" s="66"/>
      <c r="W276" s="66"/>
      <c r="X276" s="66"/>
      <c r="Y276" s="66"/>
      <c r="Z276" s="66"/>
    </row>
    <row r="277">
      <c r="A277" s="66"/>
      <c r="B277" s="66"/>
      <c r="C277" s="66"/>
      <c r="D277" s="66"/>
      <c r="E277" s="66"/>
      <c r="F277" s="66"/>
      <c r="G277" s="66"/>
      <c r="H277" s="66"/>
      <c r="I277" s="66"/>
      <c r="J277" s="66"/>
      <c r="K277" s="66"/>
      <c r="L277" s="66"/>
      <c r="M277" s="66" t="s">
        <v>366</v>
      </c>
      <c r="N277" s="158">
        <v>46280.0</v>
      </c>
      <c r="O277" s="66">
        <v>1.0</v>
      </c>
      <c r="P277" s="66"/>
      <c r="Q277" s="66"/>
      <c r="R277" s="66"/>
      <c r="S277" s="66"/>
      <c r="T277" s="66"/>
      <c r="U277" s="66"/>
      <c r="V277" s="66"/>
      <c r="W277" s="66"/>
      <c r="X277" s="66"/>
      <c r="Y277" s="66"/>
      <c r="Z277" s="66"/>
    </row>
    <row r="278">
      <c r="A278" s="66"/>
      <c r="B278" s="66"/>
      <c r="C278" s="66"/>
      <c r="D278" s="66"/>
      <c r="E278" s="66"/>
      <c r="F278" s="66"/>
      <c r="G278" s="66"/>
      <c r="H278" s="66"/>
      <c r="I278" s="66"/>
      <c r="J278" s="66"/>
      <c r="K278" s="66"/>
      <c r="L278" s="66"/>
      <c r="M278" s="66" t="s">
        <v>367</v>
      </c>
      <c r="N278" s="158">
        <v>46280.0</v>
      </c>
      <c r="O278" s="66">
        <v>1.0</v>
      </c>
      <c r="P278" s="66"/>
      <c r="Q278" s="66"/>
      <c r="R278" s="66"/>
      <c r="S278" s="66"/>
      <c r="T278" s="66"/>
      <c r="U278" s="66"/>
      <c r="V278" s="66"/>
      <c r="W278" s="66"/>
      <c r="X278" s="66"/>
      <c r="Y278" s="66"/>
      <c r="Z278" s="66"/>
    </row>
    <row r="279">
      <c r="A279" s="66"/>
      <c r="B279" s="66"/>
      <c r="C279" s="66"/>
      <c r="D279" s="66"/>
      <c r="E279" s="66"/>
      <c r="F279" s="66"/>
      <c r="G279" s="66"/>
      <c r="H279" s="66"/>
      <c r="I279" s="66"/>
      <c r="J279" s="66"/>
      <c r="K279" s="66"/>
      <c r="L279" s="66"/>
      <c r="M279" s="66" t="s">
        <v>365</v>
      </c>
      <c r="N279" s="158">
        <v>46280.0</v>
      </c>
      <c r="O279" s="66">
        <v>1.0</v>
      </c>
      <c r="P279" s="66"/>
      <c r="Q279" s="66"/>
      <c r="R279" s="66"/>
      <c r="S279" s="66"/>
      <c r="T279" s="66"/>
      <c r="U279" s="66"/>
      <c r="V279" s="66"/>
      <c r="W279" s="66"/>
      <c r="X279" s="66"/>
      <c r="Y279" s="66"/>
      <c r="Z279" s="66"/>
    </row>
    <row r="280">
      <c r="A280" s="66"/>
      <c r="B280" s="66"/>
      <c r="C280" s="66"/>
      <c r="D280" s="66"/>
      <c r="E280" s="66"/>
      <c r="F280" s="66"/>
      <c r="G280" s="66"/>
      <c r="H280" s="66"/>
      <c r="I280" s="66"/>
      <c r="J280" s="66"/>
      <c r="K280" s="66"/>
      <c r="L280" s="66"/>
      <c r="M280" s="66" t="s">
        <v>508</v>
      </c>
      <c r="N280" s="158">
        <v>46280.0</v>
      </c>
      <c r="O280" s="66">
        <v>1.0</v>
      </c>
      <c r="P280" s="66"/>
      <c r="Q280" s="66"/>
      <c r="R280" s="66"/>
      <c r="S280" s="66"/>
      <c r="T280" s="66"/>
      <c r="U280" s="66"/>
      <c r="V280" s="66"/>
      <c r="W280" s="66"/>
      <c r="X280" s="66"/>
      <c r="Y280" s="66"/>
      <c r="Z280" s="66"/>
    </row>
    <row r="281">
      <c r="A281" s="66"/>
      <c r="B281" s="66"/>
      <c r="C281" s="66"/>
      <c r="D281" s="66"/>
      <c r="E281" s="66"/>
      <c r="F281" s="66"/>
      <c r="G281" s="66"/>
      <c r="H281" s="66"/>
      <c r="I281" s="66"/>
      <c r="J281" s="66"/>
      <c r="K281" s="66"/>
      <c r="L281" s="66"/>
      <c r="M281" s="66" t="s">
        <v>507</v>
      </c>
      <c r="N281" s="158">
        <v>46280.0</v>
      </c>
      <c r="O281" s="66">
        <v>1.0</v>
      </c>
      <c r="P281" s="66"/>
      <c r="Q281" s="66"/>
      <c r="R281" s="66"/>
      <c r="S281" s="66"/>
      <c r="T281" s="66"/>
      <c r="U281" s="66"/>
      <c r="V281" s="66"/>
      <c r="W281" s="66"/>
      <c r="X281" s="66"/>
      <c r="Y281" s="66"/>
      <c r="Z281" s="66"/>
    </row>
    <row r="282">
      <c r="A282" s="66"/>
      <c r="B282" s="66"/>
      <c r="C282" s="66"/>
      <c r="D282" s="66"/>
      <c r="E282" s="66"/>
      <c r="F282" s="66"/>
      <c r="G282" s="66"/>
      <c r="H282" s="66"/>
      <c r="I282" s="66"/>
      <c r="J282" s="66"/>
      <c r="K282" s="66"/>
      <c r="L282" s="66"/>
      <c r="M282" s="66" t="s">
        <v>501</v>
      </c>
      <c r="N282" s="158">
        <v>46280.0</v>
      </c>
      <c r="O282" s="66">
        <v>1.0</v>
      </c>
      <c r="P282" s="66"/>
      <c r="Q282" s="66"/>
      <c r="R282" s="66"/>
      <c r="S282" s="66"/>
      <c r="T282" s="66"/>
      <c r="U282" s="66"/>
      <c r="V282" s="66"/>
      <c r="W282" s="66"/>
      <c r="X282" s="66"/>
      <c r="Y282" s="66"/>
      <c r="Z282" s="66"/>
    </row>
    <row r="283">
      <c r="A283" s="66"/>
      <c r="B283" s="66"/>
      <c r="C283" s="66"/>
      <c r="D283" s="66"/>
      <c r="E283" s="66"/>
      <c r="F283" s="66"/>
      <c r="G283" s="66"/>
      <c r="H283" s="66"/>
      <c r="I283" s="66"/>
      <c r="J283" s="66"/>
      <c r="K283" s="66"/>
      <c r="L283" s="66"/>
      <c r="M283" s="66" t="s">
        <v>502</v>
      </c>
      <c r="N283" s="158">
        <v>46280.0</v>
      </c>
      <c r="O283" s="66">
        <v>1.0</v>
      </c>
      <c r="P283" s="66"/>
      <c r="Q283" s="66"/>
      <c r="R283" s="66"/>
      <c r="S283" s="66"/>
      <c r="T283" s="66"/>
      <c r="U283" s="66"/>
      <c r="V283" s="66"/>
      <c r="W283" s="66"/>
      <c r="X283" s="66"/>
      <c r="Y283" s="66"/>
      <c r="Z283" s="66"/>
    </row>
    <row r="284">
      <c r="A284" s="66"/>
      <c r="B284" s="66"/>
      <c r="C284" s="66"/>
      <c r="D284" s="66"/>
      <c r="E284" s="66"/>
      <c r="F284" s="66"/>
      <c r="G284" s="66"/>
      <c r="H284" s="66"/>
      <c r="I284" s="66"/>
      <c r="J284" s="66"/>
      <c r="K284" s="66"/>
      <c r="L284" s="66"/>
      <c r="M284" s="66" t="s">
        <v>500</v>
      </c>
      <c r="N284" s="158">
        <v>46280.0</v>
      </c>
      <c r="O284" s="66">
        <v>1.0</v>
      </c>
      <c r="P284" s="66"/>
      <c r="Q284" s="66"/>
      <c r="R284" s="66"/>
      <c r="S284" s="66"/>
      <c r="T284" s="66"/>
      <c r="U284" s="66"/>
      <c r="V284" s="66"/>
      <c r="W284" s="66"/>
      <c r="X284" s="66"/>
      <c r="Y284" s="66"/>
      <c r="Z284" s="66"/>
    </row>
    <row r="285">
      <c r="A285" s="66"/>
      <c r="B285" s="66"/>
      <c r="C285" s="66"/>
      <c r="D285" s="66"/>
      <c r="E285" s="66"/>
      <c r="F285" s="66"/>
      <c r="G285" s="66"/>
      <c r="H285" s="66"/>
      <c r="I285" s="66"/>
      <c r="J285" s="66"/>
      <c r="K285" s="66"/>
      <c r="L285" s="66"/>
      <c r="M285" s="66" t="s">
        <v>505</v>
      </c>
      <c r="N285" s="158">
        <v>46280.0</v>
      </c>
      <c r="O285" s="66">
        <v>1.0</v>
      </c>
      <c r="P285" s="66"/>
      <c r="Q285" s="66"/>
      <c r="R285" s="66"/>
      <c r="S285" s="66"/>
      <c r="T285" s="66"/>
      <c r="U285" s="66"/>
      <c r="V285" s="66"/>
      <c r="W285" s="66"/>
      <c r="X285" s="66"/>
      <c r="Y285" s="66"/>
      <c r="Z285" s="66"/>
    </row>
    <row r="286">
      <c r="A286" s="66"/>
      <c r="B286" s="66"/>
      <c r="C286" s="66"/>
      <c r="D286" s="66"/>
      <c r="E286" s="66"/>
      <c r="F286" s="66"/>
      <c r="G286" s="66"/>
      <c r="H286" s="66"/>
      <c r="I286" s="66"/>
      <c r="J286" s="66"/>
      <c r="K286" s="66"/>
      <c r="L286" s="66"/>
      <c r="M286" s="66" t="s">
        <v>499</v>
      </c>
      <c r="N286" s="158">
        <v>46280.0</v>
      </c>
      <c r="O286" s="66">
        <v>1.0</v>
      </c>
      <c r="P286" s="66"/>
      <c r="Q286" s="66"/>
      <c r="R286" s="66"/>
      <c r="S286" s="66"/>
      <c r="T286" s="66"/>
      <c r="U286" s="66"/>
      <c r="V286" s="66"/>
      <c r="W286" s="66"/>
      <c r="X286" s="66"/>
      <c r="Y286" s="66"/>
      <c r="Z286" s="66"/>
    </row>
    <row r="287">
      <c r="A287" s="66"/>
      <c r="B287" s="66"/>
      <c r="C287" s="66"/>
      <c r="D287" s="66"/>
      <c r="E287" s="66"/>
      <c r="F287" s="66"/>
      <c r="G287" s="66"/>
      <c r="H287" s="66"/>
      <c r="I287" s="66"/>
      <c r="J287" s="66"/>
      <c r="K287" s="66"/>
      <c r="L287" s="66"/>
      <c r="M287" s="66" t="s">
        <v>504</v>
      </c>
      <c r="N287" s="158">
        <v>46280.0</v>
      </c>
      <c r="O287" s="66">
        <v>1.0</v>
      </c>
      <c r="P287" s="66"/>
      <c r="Q287" s="66"/>
      <c r="R287" s="66"/>
      <c r="S287" s="66"/>
      <c r="T287" s="66"/>
      <c r="U287" s="66"/>
      <c r="V287" s="66"/>
      <c r="W287" s="66"/>
      <c r="X287" s="66"/>
      <c r="Y287" s="66"/>
      <c r="Z287" s="66"/>
    </row>
    <row r="288">
      <c r="A288" s="66"/>
      <c r="B288" s="66"/>
      <c r="C288" s="66"/>
      <c r="D288" s="66"/>
      <c r="E288" s="66"/>
      <c r="F288" s="66"/>
      <c r="G288" s="66"/>
      <c r="H288" s="66"/>
      <c r="I288" s="66"/>
      <c r="J288" s="66"/>
      <c r="K288" s="66"/>
      <c r="L288" s="66"/>
      <c r="M288" s="66" t="s">
        <v>496</v>
      </c>
      <c r="N288" s="158">
        <v>46280.0</v>
      </c>
      <c r="O288" s="66">
        <v>1.0</v>
      </c>
      <c r="P288" s="66"/>
      <c r="Q288" s="66"/>
      <c r="R288" s="66"/>
      <c r="S288" s="66"/>
      <c r="T288" s="66"/>
      <c r="U288" s="66"/>
      <c r="V288" s="66"/>
      <c r="W288" s="66"/>
      <c r="X288" s="66"/>
      <c r="Y288" s="66"/>
      <c r="Z288" s="66"/>
    </row>
    <row r="289">
      <c r="A289" s="66"/>
      <c r="B289" s="66"/>
      <c r="C289" s="66"/>
      <c r="D289" s="66"/>
      <c r="E289" s="66"/>
      <c r="F289" s="66"/>
      <c r="G289" s="66"/>
      <c r="H289" s="66"/>
      <c r="I289" s="66"/>
      <c r="J289" s="66"/>
      <c r="K289" s="66"/>
      <c r="L289" s="66"/>
      <c r="M289" s="66" t="s">
        <v>498</v>
      </c>
      <c r="N289" s="158">
        <v>46280.0</v>
      </c>
      <c r="O289" s="66">
        <v>1.0</v>
      </c>
      <c r="P289" s="66"/>
      <c r="Q289" s="66"/>
      <c r="R289" s="66"/>
      <c r="S289" s="66"/>
      <c r="T289" s="66"/>
      <c r="U289" s="66"/>
      <c r="V289" s="66"/>
      <c r="W289" s="66"/>
      <c r="X289" s="66"/>
      <c r="Y289" s="66"/>
      <c r="Z289" s="66"/>
    </row>
    <row r="290">
      <c r="A290" s="66"/>
      <c r="B290" s="66"/>
      <c r="C290" s="66"/>
      <c r="D290" s="66"/>
      <c r="E290" s="66"/>
      <c r="F290" s="66"/>
      <c r="G290" s="66"/>
      <c r="H290" s="66"/>
      <c r="I290" s="66"/>
      <c r="J290" s="66"/>
      <c r="K290" s="66"/>
      <c r="L290" s="66"/>
      <c r="M290" s="66" t="s">
        <v>497</v>
      </c>
      <c r="N290" s="158">
        <v>46280.0</v>
      </c>
      <c r="O290" s="66">
        <v>1.0</v>
      </c>
      <c r="P290" s="66"/>
      <c r="Q290" s="66"/>
      <c r="R290" s="66"/>
      <c r="S290" s="66"/>
      <c r="T290" s="66"/>
      <c r="U290" s="66"/>
      <c r="V290" s="66"/>
      <c r="W290" s="66"/>
      <c r="X290" s="66"/>
      <c r="Y290" s="66"/>
      <c r="Z290" s="66"/>
    </row>
    <row r="291">
      <c r="A291" s="66"/>
      <c r="B291" s="66"/>
      <c r="C291" s="66"/>
      <c r="D291" s="66"/>
      <c r="E291" s="66"/>
      <c r="F291" s="66"/>
      <c r="G291" s="66"/>
      <c r="H291" s="66"/>
      <c r="I291" s="66"/>
      <c r="J291" s="66"/>
      <c r="K291" s="66"/>
      <c r="L291" s="66"/>
      <c r="M291" s="66" t="s">
        <v>506</v>
      </c>
      <c r="N291" s="158">
        <v>46280.0</v>
      </c>
      <c r="O291" s="66">
        <v>1.0</v>
      </c>
      <c r="P291" s="66"/>
      <c r="Q291" s="66"/>
      <c r="R291" s="66"/>
      <c r="S291" s="66"/>
      <c r="T291" s="66"/>
      <c r="U291" s="66"/>
      <c r="V291" s="66"/>
      <c r="W291" s="66"/>
      <c r="X291" s="66"/>
      <c r="Y291" s="66"/>
      <c r="Z291" s="66"/>
    </row>
    <row r="292">
      <c r="A292" s="66"/>
      <c r="B292" s="66"/>
      <c r="C292" s="66"/>
      <c r="D292" s="66"/>
      <c r="E292" s="66"/>
      <c r="F292" s="66"/>
      <c r="G292" s="66"/>
      <c r="H292" s="66"/>
      <c r="I292" s="66"/>
      <c r="J292" s="66"/>
      <c r="K292" s="66"/>
      <c r="L292" s="66"/>
      <c r="M292" s="66" t="s">
        <v>503</v>
      </c>
      <c r="N292" s="158">
        <v>46280.0</v>
      </c>
      <c r="O292" s="66">
        <v>1.0</v>
      </c>
      <c r="P292" s="66"/>
      <c r="Q292" s="66"/>
      <c r="R292" s="66"/>
      <c r="S292" s="66"/>
      <c r="T292" s="66"/>
      <c r="U292" s="66"/>
      <c r="V292" s="66"/>
      <c r="W292" s="66"/>
      <c r="X292" s="66"/>
      <c r="Y292" s="66"/>
      <c r="Z292" s="66"/>
    </row>
    <row r="293">
      <c r="A293" s="66"/>
      <c r="B293" s="66"/>
      <c r="C293" s="66"/>
      <c r="D293" s="66"/>
      <c r="E293" s="66"/>
      <c r="F293" s="66"/>
      <c r="G293" s="66"/>
      <c r="H293" s="66"/>
      <c r="I293" s="66"/>
      <c r="J293" s="66"/>
      <c r="K293" s="66"/>
      <c r="L293" s="66"/>
      <c r="M293" s="66" t="s">
        <v>310</v>
      </c>
      <c r="N293" s="158">
        <v>46280.0</v>
      </c>
      <c r="O293" s="66">
        <v>1.0</v>
      </c>
      <c r="P293" s="66"/>
      <c r="Q293" s="66"/>
      <c r="R293" s="66"/>
      <c r="S293" s="66"/>
      <c r="T293" s="66"/>
      <c r="U293" s="66"/>
      <c r="V293" s="66"/>
      <c r="W293" s="66"/>
      <c r="X293" s="66"/>
      <c r="Y293" s="66"/>
      <c r="Z293" s="66"/>
    </row>
    <row r="294">
      <c r="A294" s="66"/>
      <c r="B294" s="66"/>
      <c r="C294" s="66"/>
      <c r="D294" s="66"/>
      <c r="E294" s="66"/>
      <c r="F294" s="66"/>
      <c r="G294" s="66"/>
      <c r="H294" s="66"/>
      <c r="I294" s="66"/>
      <c r="J294" s="66"/>
      <c r="K294" s="66"/>
      <c r="L294" s="66"/>
      <c r="M294" s="66" t="s">
        <v>370</v>
      </c>
      <c r="N294" s="158">
        <v>46280.0</v>
      </c>
      <c r="O294" s="66">
        <v>1.0</v>
      </c>
      <c r="P294" s="66"/>
      <c r="Q294" s="66"/>
      <c r="R294" s="66"/>
      <c r="S294" s="66"/>
      <c r="T294" s="66"/>
      <c r="U294" s="66"/>
      <c r="V294" s="66"/>
      <c r="W294" s="66"/>
      <c r="X294" s="66"/>
      <c r="Y294" s="66"/>
      <c r="Z294" s="66"/>
    </row>
    <row r="295">
      <c r="A295" s="66"/>
      <c r="B295" s="66"/>
      <c r="C295" s="66"/>
      <c r="D295" s="66"/>
      <c r="E295" s="66"/>
      <c r="F295" s="66"/>
      <c r="G295" s="66"/>
      <c r="H295" s="66"/>
      <c r="I295" s="66"/>
      <c r="J295" s="66"/>
      <c r="K295" s="66"/>
      <c r="L295" s="66"/>
      <c r="M295" s="66" t="s">
        <v>359</v>
      </c>
      <c r="N295" s="158">
        <v>46280.0</v>
      </c>
      <c r="O295" s="66">
        <v>1.0</v>
      </c>
      <c r="P295" s="66"/>
      <c r="Q295" s="66"/>
      <c r="R295" s="66"/>
      <c r="S295" s="66"/>
      <c r="T295" s="66"/>
      <c r="U295" s="66"/>
      <c r="V295" s="66"/>
      <c r="W295" s="66"/>
      <c r="X295" s="66"/>
      <c r="Y295" s="66"/>
      <c r="Z295" s="66"/>
    </row>
    <row r="296">
      <c r="A296" s="66"/>
      <c r="B296" s="66"/>
      <c r="C296" s="66"/>
      <c r="D296" s="66"/>
      <c r="E296" s="66"/>
      <c r="F296" s="66"/>
      <c r="G296" s="66"/>
      <c r="H296" s="66"/>
      <c r="I296" s="66"/>
      <c r="J296" s="66"/>
      <c r="K296" s="66"/>
      <c r="L296" s="66"/>
      <c r="M296" s="66" t="s">
        <v>335</v>
      </c>
      <c r="N296" s="158">
        <v>46280.0</v>
      </c>
      <c r="O296" s="66">
        <v>1.0</v>
      </c>
      <c r="P296" s="66"/>
      <c r="Q296" s="66"/>
      <c r="R296" s="66"/>
      <c r="S296" s="66"/>
      <c r="T296" s="66"/>
      <c r="U296" s="66"/>
      <c r="V296" s="66"/>
      <c r="W296" s="66"/>
      <c r="X296" s="66"/>
      <c r="Y296" s="66"/>
      <c r="Z296" s="66"/>
    </row>
    <row r="297">
      <c r="A297" s="66"/>
      <c r="B297" s="66"/>
      <c r="C297" s="66"/>
      <c r="D297" s="66"/>
      <c r="E297" s="66"/>
      <c r="F297" s="66"/>
      <c r="G297" s="66"/>
      <c r="H297" s="66"/>
      <c r="I297" s="66"/>
      <c r="J297" s="66"/>
      <c r="K297" s="66"/>
      <c r="L297" s="66"/>
      <c r="M297" s="66" t="s">
        <v>321</v>
      </c>
      <c r="N297" s="158">
        <v>46280.0</v>
      </c>
      <c r="O297" s="66">
        <v>1.0</v>
      </c>
      <c r="P297" s="66"/>
      <c r="Q297" s="66"/>
      <c r="R297" s="66"/>
      <c r="S297" s="66"/>
      <c r="T297" s="66"/>
      <c r="U297" s="66"/>
      <c r="V297" s="66"/>
      <c r="W297" s="66"/>
      <c r="X297" s="66"/>
      <c r="Y297" s="66"/>
      <c r="Z297" s="66"/>
    </row>
    <row r="298">
      <c r="A298" s="66"/>
      <c r="B298" s="66"/>
      <c r="C298" s="66"/>
      <c r="D298" s="66"/>
      <c r="E298" s="66"/>
      <c r="F298" s="66"/>
      <c r="G298" s="66"/>
      <c r="H298" s="66"/>
      <c r="I298" s="66"/>
      <c r="J298" s="66"/>
      <c r="K298" s="66"/>
      <c r="L298" s="66"/>
      <c r="M298" s="66" t="s">
        <v>317</v>
      </c>
      <c r="N298" s="158">
        <v>46280.0</v>
      </c>
      <c r="O298" s="66">
        <v>1.0</v>
      </c>
      <c r="P298" s="66"/>
      <c r="Q298" s="66"/>
      <c r="R298" s="66"/>
      <c r="S298" s="66"/>
      <c r="T298" s="66"/>
      <c r="U298" s="66"/>
      <c r="V298" s="66"/>
      <c r="W298" s="66"/>
      <c r="X298" s="66"/>
      <c r="Y298" s="66"/>
      <c r="Z298" s="66"/>
    </row>
    <row r="299">
      <c r="A299" s="66"/>
      <c r="B299" s="66"/>
      <c r="C299" s="66"/>
      <c r="D299" s="66"/>
      <c r="E299" s="66"/>
      <c r="F299" s="66"/>
      <c r="G299" s="66"/>
      <c r="H299" s="66"/>
      <c r="I299" s="66"/>
      <c r="J299" s="66"/>
      <c r="K299" s="66"/>
      <c r="L299" s="66"/>
      <c r="M299" s="66" t="s">
        <v>313</v>
      </c>
      <c r="N299" s="158">
        <v>46280.0</v>
      </c>
      <c r="O299" s="66">
        <v>1.0</v>
      </c>
      <c r="P299" s="66"/>
      <c r="Q299" s="66"/>
      <c r="R299" s="66"/>
      <c r="S299" s="66"/>
      <c r="T299" s="66"/>
      <c r="U299" s="66"/>
      <c r="V299" s="66"/>
      <c r="W299" s="66"/>
      <c r="X299" s="66"/>
      <c r="Y299" s="66"/>
      <c r="Z299" s="66"/>
    </row>
    <row r="300">
      <c r="A300" s="66"/>
      <c r="B300" s="66"/>
      <c r="C300" s="66"/>
      <c r="D300" s="66"/>
      <c r="E300" s="66"/>
      <c r="F300" s="66"/>
      <c r="G300" s="66"/>
      <c r="H300" s="66"/>
      <c r="I300" s="66"/>
      <c r="J300" s="66"/>
      <c r="K300" s="66"/>
      <c r="L300" s="66"/>
      <c r="M300" s="66" t="s">
        <v>325</v>
      </c>
      <c r="N300" s="158">
        <v>46280.0</v>
      </c>
      <c r="O300" s="66">
        <v>1.0</v>
      </c>
      <c r="P300" s="66"/>
      <c r="Q300" s="66"/>
      <c r="R300" s="66"/>
      <c r="S300" s="66"/>
      <c r="T300" s="66"/>
      <c r="U300" s="66"/>
      <c r="V300" s="66"/>
      <c r="W300" s="66"/>
      <c r="X300" s="66"/>
      <c r="Y300" s="66"/>
      <c r="Z300" s="66"/>
    </row>
    <row r="301">
      <c r="A301" s="66"/>
      <c r="B301" s="66"/>
      <c r="C301" s="66"/>
      <c r="D301" s="66"/>
      <c r="E301" s="66"/>
      <c r="F301" s="66"/>
      <c r="G301" s="66"/>
      <c r="H301" s="66"/>
      <c r="I301" s="66"/>
      <c r="J301" s="66"/>
      <c r="K301" s="66"/>
      <c r="L301" s="66"/>
      <c r="M301" s="66" t="s">
        <v>489</v>
      </c>
      <c r="N301" s="158">
        <v>46280.0</v>
      </c>
      <c r="O301" s="66">
        <v>1.0</v>
      </c>
      <c r="P301" s="66"/>
      <c r="Q301" s="66"/>
      <c r="R301" s="66"/>
      <c r="S301" s="66"/>
      <c r="T301" s="66"/>
      <c r="U301" s="66"/>
      <c r="V301" s="66"/>
      <c r="W301" s="66"/>
      <c r="X301" s="66"/>
      <c r="Y301" s="66"/>
      <c r="Z301" s="66"/>
    </row>
    <row r="302">
      <c r="A302" s="66"/>
      <c r="B302" s="66"/>
      <c r="C302" s="66"/>
      <c r="D302" s="66"/>
      <c r="E302" s="66"/>
      <c r="F302" s="66"/>
      <c r="G302" s="66"/>
      <c r="H302" s="66"/>
      <c r="I302" s="66"/>
      <c r="J302" s="66"/>
      <c r="K302" s="66"/>
      <c r="L302" s="66"/>
      <c r="M302" s="66" t="s">
        <v>420</v>
      </c>
      <c r="N302" s="158">
        <v>46280.0</v>
      </c>
      <c r="O302" s="66">
        <v>1.0</v>
      </c>
      <c r="P302" s="66"/>
      <c r="Q302" s="66"/>
      <c r="R302" s="66"/>
      <c r="S302" s="66"/>
      <c r="T302" s="66"/>
      <c r="U302" s="66"/>
      <c r="V302" s="66"/>
      <c r="W302" s="66"/>
      <c r="X302" s="66"/>
      <c r="Y302" s="66"/>
      <c r="Z302" s="66"/>
    </row>
    <row r="303">
      <c r="A303" s="66"/>
      <c r="B303" s="66"/>
      <c r="C303" s="66"/>
      <c r="D303" s="66"/>
      <c r="E303" s="66"/>
      <c r="F303" s="66"/>
      <c r="G303" s="66"/>
      <c r="H303" s="66"/>
      <c r="I303" s="66"/>
      <c r="J303" s="66"/>
      <c r="K303" s="66"/>
      <c r="L303" s="66"/>
      <c r="M303" s="66" t="s">
        <v>434</v>
      </c>
      <c r="N303" s="158">
        <v>46280.0</v>
      </c>
      <c r="O303" s="66">
        <v>1.0</v>
      </c>
      <c r="P303" s="66"/>
      <c r="Q303" s="66"/>
      <c r="R303" s="66"/>
      <c r="S303" s="66"/>
      <c r="T303" s="66"/>
      <c r="U303" s="66"/>
      <c r="V303" s="66"/>
      <c r="W303" s="66"/>
      <c r="X303" s="66"/>
      <c r="Y303" s="66"/>
      <c r="Z303" s="66"/>
    </row>
    <row r="304">
      <c r="A304" s="66"/>
      <c r="B304" s="66"/>
      <c r="C304" s="66"/>
      <c r="D304" s="66"/>
      <c r="E304" s="66"/>
      <c r="F304" s="66"/>
      <c r="G304" s="66"/>
      <c r="H304" s="66"/>
      <c r="I304" s="66"/>
      <c r="J304" s="66"/>
      <c r="K304" s="66"/>
      <c r="L304" s="66"/>
      <c r="M304" s="66" t="s">
        <v>448</v>
      </c>
      <c r="N304" s="158">
        <v>46280.0</v>
      </c>
      <c r="O304" s="66">
        <v>1.0</v>
      </c>
      <c r="P304" s="66"/>
      <c r="Q304" s="66"/>
      <c r="R304" s="66"/>
      <c r="S304" s="66"/>
      <c r="T304" s="66"/>
      <c r="U304" s="66"/>
      <c r="V304" s="66"/>
      <c r="W304" s="66"/>
      <c r="X304" s="66"/>
      <c r="Y304" s="66"/>
      <c r="Z304" s="66"/>
    </row>
    <row r="305">
      <c r="A305" s="66"/>
      <c r="B305" s="66"/>
      <c r="C305" s="66"/>
      <c r="D305" s="66"/>
      <c r="E305" s="66"/>
      <c r="F305" s="66"/>
      <c r="G305" s="66"/>
      <c r="H305" s="66"/>
      <c r="I305" s="66"/>
      <c r="J305" s="66"/>
      <c r="K305" s="66"/>
      <c r="L305" s="66"/>
      <c r="M305" s="66" t="s">
        <v>470</v>
      </c>
      <c r="N305" s="158">
        <v>46280.0</v>
      </c>
      <c r="O305" s="66">
        <v>1.0</v>
      </c>
      <c r="P305" s="66"/>
      <c r="Q305" s="66"/>
      <c r="R305" s="66"/>
      <c r="S305" s="66"/>
      <c r="T305" s="66"/>
      <c r="U305" s="66"/>
      <c r="V305" s="66"/>
      <c r="W305" s="66"/>
      <c r="X305" s="66"/>
      <c r="Y305" s="66"/>
      <c r="Z305" s="66"/>
    </row>
    <row r="306">
      <c r="A306" s="66"/>
      <c r="B306" s="66"/>
      <c r="C306" s="66"/>
      <c r="D306" s="66"/>
      <c r="E306" s="66"/>
      <c r="F306" s="66"/>
      <c r="G306" s="66"/>
      <c r="H306" s="66"/>
      <c r="I306" s="66"/>
      <c r="J306" s="66"/>
      <c r="K306" s="66"/>
      <c r="L306" s="66"/>
      <c r="M306" s="66" t="s">
        <v>427</v>
      </c>
      <c r="N306" s="158">
        <v>46280.0</v>
      </c>
      <c r="O306" s="66">
        <v>1.0</v>
      </c>
      <c r="P306" s="66"/>
      <c r="Q306" s="66"/>
      <c r="R306" s="66"/>
      <c r="S306" s="66"/>
      <c r="T306" s="66"/>
      <c r="U306" s="66"/>
      <c r="V306" s="66"/>
      <c r="W306" s="66"/>
      <c r="X306" s="66"/>
      <c r="Y306" s="66"/>
      <c r="Z306" s="66"/>
    </row>
    <row r="307">
      <c r="A307" s="66"/>
      <c r="B307" s="66"/>
      <c r="C307" s="66"/>
      <c r="D307" s="66"/>
      <c r="E307" s="66"/>
      <c r="F307" s="66"/>
      <c r="G307" s="66"/>
      <c r="H307" s="66"/>
      <c r="I307" s="66"/>
      <c r="J307" s="66"/>
      <c r="K307" s="66"/>
      <c r="L307" s="66"/>
      <c r="M307" s="66" t="s">
        <v>392</v>
      </c>
      <c r="N307" s="158">
        <v>46280.0</v>
      </c>
      <c r="O307" s="66">
        <v>1.0</v>
      </c>
      <c r="P307" s="66"/>
      <c r="Q307" s="66"/>
      <c r="R307" s="66"/>
      <c r="S307" s="66"/>
      <c r="T307" s="66"/>
      <c r="U307" s="66"/>
      <c r="V307" s="66"/>
      <c r="W307" s="66"/>
      <c r="X307" s="66"/>
      <c r="Y307" s="66"/>
      <c r="Z307" s="66"/>
    </row>
    <row r="308">
      <c r="A308" s="66"/>
      <c r="B308" s="66"/>
      <c r="C308" s="66"/>
      <c r="D308" s="66"/>
      <c r="E308" s="66"/>
      <c r="F308" s="66"/>
      <c r="G308" s="66"/>
      <c r="H308" s="66"/>
      <c r="I308" s="66"/>
      <c r="J308" s="66"/>
      <c r="K308" s="66"/>
      <c r="L308" s="66"/>
      <c r="M308" s="66" t="s">
        <v>441</v>
      </c>
      <c r="N308" s="158">
        <v>46280.0</v>
      </c>
      <c r="O308" s="66">
        <v>1.0</v>
      </c>
      <c r="P308" s="66"/>
      <c r="Q308" s="66"/>
      <c r="R308" s="66"/>
      <c r="S308" s="66"/>
      <c r="T308" s="66"/>
      <c r="U308" s="66"/>
      <c r="V308" s="66"/>
      <c r="W308" s="66"/>
      <c r="X308" s="66"/>
      <c r="Y308" s="66"/>
      <c r="Z308" s="66"/>
    </row>
    <row r="309">
      <c r="A309" s="66"/>
      <c r="B309" s="66"/>
      <c r="C309" s="66"/>
      <c r="D309" s="66"/>
      <c r="E309" s="66"/>
      <c r="F309" s="66"/>
      <c r="G309" s="66"/>
      <c r="H309" s="66"/>
      <c r="I309" s="66"/>
      <c r="J309" s="66"/>
      <c r="K309" s="66"/>
      <c r="L309" s="66"/>
      <c r="M309" s="66" t="s">
        <v>406</v>
      </c>
      <c r="N309" s="158">
        <v>46280.0</v>
      </c>
      <c r="O309" s="66">
        <v>1.0</v>
      </c>
      <c r="P309" s="66"/>
      <c r="Q309" s="66"/>
      <c r="R309" s="66"/>
      <c r="S309" s="66"/>
      <c r="T309" s="66"/>
      <c r="U309" s="66"/>
      <c r="V309" s="66"/>
      <c r="W309" s="66"/>
      <c r="X309" s="66"/>
      <c r="Y309" s="66"/>
      <c r="Z309" s="66"/>
    </row>
    <row r="310">
      <c r="A310" s="66"/>
      <c r="B310" s="66"/>
      <c r="C310" s="66"/>
      <c r="D310" s="66"/>
      <c r="E310" s="66"/>
      <c r="F310" s="66"/>
      <c r="G310" s="66"/>
      <c r="H310" s="66"/>
      <c r="I310" s="66"/>
      <c r="J310" s="66"/>
      <c r="K310" s="66"/>
      <c r="L310" s="66"/>
      <c r="M310" s="66" t="s">
        <v>455</v>
      </c>
      <c r="N310" s="158">
        <v>46280.0</v>
      </c>
      <c r="O310" s="66">
        <v>1.0</v>
      </c>
      <c r="P310" s="66"/>
      <c r="Q310" s="66"/>
      <c r="R310" s="66"/>
      <c r="S310" s="66"/>
      <c r="T310" s="66"/>
      <c r="U310" s="66"/>
      <c r="V310" s="66"/>
      <c r="W310" s="66"/>
      <c r="X310" s="66"/>
      <c r="Y310" s="66"/>
      <c r="Z310" s="66"/>
    </row>
    <row r="311">
      <c r="A311" s="66"/>
      <c r="B311" s="66"/>
      <c r="C311" s="66"/>
      <c r="D311" s="66"/>
      <c r="E311" s="66"/>
      <c r="F311" s="66"/>
      <c r="G311" s="66"/>
      <c r="H311" s="66"/>
      <c r="I311" s="66"/>
      <c r="J311" s="66"/>
      <c r="K311" s="66"/>
      <c r="L311" s="66"/>
      <c r="M311" s="66" t="s">
        <v>462</v>
      </c>
      <c r="N311" s="158">
        <v>46280.0</v>
      </c>
      <c r="O311" s="66">
        <v>1.0</v>
      </c>
      <c r="P311" s="66"/>
      <c r="Q311" s="66"/>
      <c r="R311" s="66"/>
      <c r="S311" s="66"/>
      <c r="T311" s="66"/>
      <c r="U311" s="66"/>
      <c r="V311" s="66"/>
      <c r="W311" s="66"/>
      <c r="X311" s="66"/>
      <c r="Y311" s="66"/>
      <c r="Z311" s="66"/>
    </row>
    <row r="312">
      <c r="A312" s="66"/>
      <c r="B312" s="66"/>
      <c r="C312" s="66"/>
      <c r="D312" s="66"/>
      <c r="E312" s="66"/>
      <c r="F312" s="66"/>
      <c r="G312" s="66"/>
      <c r="H312" s="66"/>
      <c r="I312" s="66"/>
      <c r="J312" s="66"/>
      <c r="K312" s="66"/>
      <c r="L312" s="66"/>
      <c r="M312" s="66" t="s">
        <v>413</v>
      </c>
      <c r="N312" s="158">
        <v>46280.0</v>
      </c>
      <c r="O312" s="66">
        <v>1.0</v>
      </c>
      <c r="P312" s="66"/>
      <c r="Q312" s="66"/>
      <c r="R312" s="66"/>
      <c r="S312" s="66"/>
      <c r="T312" s="66"/>
      <c r="U312" s="66"/>
      <c r="V312" s="66"/>
      <c r="W312" s="66"/>
      <c r="X312" s="66"/>
      <c r="Y312" s="66"/>
      <c r="Z312" s="66"/>
    </row>
    <row r="313">
      <c r="A313" s="66"/>
      <c r="B313" s="66"/>
      <c r="C313" s="66"/>
      <c r="D313" s="66"/>
      <c r="E313" s="66"/>
      <c r="F313" s="66"/>
      <c r="G313" s="66"/>
      <c r="H313" s="66"/>
      <c r="I313" s="66"/>
      <c r="J313" s="66"/>
      <c r="K313" s="66"/>
      <c r="L313" s="66"/>
      <c r="M313" s="66" t="s">
        <v>399</v>
      </c>
      <c r="N313" s="158">
        <v>46280.0</v>
      </c>
      <c r="O313" s="66">
        <v>1.0</v>
      </c>
      <c r="P313" s="66"/>
      <c r="Q313" s="66"/>
      <c r="R313" s="66"/>
      <c r="S313" s="66"/>
      <c r="T313" s="66"/>
      <c r="U313" s="66"/>
      <c r="V313" s="66"/>
      <c r="W313" s="66"/>
      <c r="X313" s="66"/>
      <c r="Y313" s="66"/>
      <c r="Z313" s="66"/>
    </row>
    <row r="314">
      <c r="A314" s="66"/>
      <c r="B314" s="66"/>
      <c r="C314" s="66"/>
      <c r="D314" s="66"/>
      <c r="E314" s="66"/>
      <c r="F314" s="66"/>
      <c r="G314" s="66"/>
      <c r="H314" s="66"/>
      <c r="I314" s="66"/>
      <c r="J314" s="66"/>
      <c r="K314" s="66"/>
      <c r="L314" s="66"/>
      <c r="M314" s="66" t="s">
        <v>362</v>
      </c>
      <c r="N314" s="158">
        <v>46280.0</v>
      </c>
      <c r="O314" s="66">
        <v>1.0</v>
      </c>
      <c r="P314" s="66"/>
      <c r="Q314" s="66"/>
      <c r="R314" s="66"/>
      <c r="S314" s="66"/>
      <c r="T314" s="66"/>
      <c r="U314" s="66"/>
      <c r="V314" s="66"/>
      <c r="W314" s="66"/>
      <c r="X314" s="66"/>
      <c r="Y314" s="66"/>
      <c r="Z314" s="66"/>
    </row>
    <row r="315">
      <c r="A315" s="66"/>
      <c r="B315" s="66"/>
      <c r="C315" s="66"/>
      <c r="D315" s="66"/>
      <c r="E315" s="66"/>
      <c r="F315" s="66"/>
      <c r="G315" s="66"/>
      <c r="H315" s="66"/>
      <c r="I315" s="66"/>
      <c r="J315" s="66"/>
      <c r="K315" s="66"/>
      <c r="L315" s="66"/>
      <c r="M315" s="66" t="s">
        <v>418</v>
      </c>
      <c r="N315" s="158">
        <v>46280.0</v>
      </c>
      <c r="O315" s="66">
        <v>1.0</v>
      </c>
      <c r="P315" s="66"/>
      <c r="Q315" s="66"/>
      <c r="R315" s="66"/>
      <c r="S315" s="66"/>
      <c r="T315" s="66"/>
      <c r="U315" s="66"/>
      <c r="V315" s="66"/>
      <c r="W315" s="66"/>
      <c r="X315" s="66"/>
      <c r="Y315" s="66"/>
      <c r="Z315" s="66"/>
    </row>
    <row r="316">
      <c r="A316" s="66"/>
      <c r="B316" s="66"/>
      <c r="C316" s="66"/>
      <c r="D316" s="66"/>
      <c r="E316" s="66"/>
      <c r="F316" s="66"/>
      <c r="G316" s="66"/>
      <c r="H316" s="66"/>
      <c r="I316" s="66"/>
      <c r="J316" s="66"/>
      <c r="K316" s="66"/>
      <c r="L316" s="66"/>
      <c r="M316" s="66" t="s">
        <v>419</v>
      </c>
      <c r="N316" s="158">
        <v>46280.0</v>
      </c>
      <c r="O316" s="66">
        <v>1.0</v>
      </c>
      <c r="P316" s="66"/>
      <c r="Q316" s="66"/>
      <c r="R316" s="66"/>
      <c r="S316" s="66"/>
      <c r="T316" s="66"/>
      <c r="U316" s="66"/>
      <c r="V316" s="66"/>
      <c r="W316" s="66"/>
      <c r="X316" s="66"/>
      <c r="Y316" s="66"/>
      <c r="Z316" s="66"/>
    </row>
    <row r="317">
      <c r="A317" s="66"/>
      <c r="B317" s="66"/>
      <c r="C317" s="66"/>
      <c r="D317" s="66"/>
      <c r="E317" s="66"/>
      <c r="F317" s="66"/>
      <c r="G317" s="66"/>
      <c r="H317" s="66"/>
      <c r="I317" s="66"/>
      <c r="J317" s="66"/>
      <c r="K317" s="66"/>
      <c r="L317" s="66"/>
      <c r="M317" s="66" t="s">
        <v>432</v>
      </c>
      <c r="N317" s="158">
        <v>46280.0</v>
      </c>
      <c r="O317" s="66">
        <v>1.0</v>
      </c>
      <c r="P317" s="66"/>
      <c r="Q317" s="66"/>
      <c r="R317" s="66"/>
      <c r="S317" s="66"/>
      <c r="T317" s="66"/>
      <c r="U317" s="66"/>
      <c r="V317" s="66"/>
      <c r="W317" s="66"/>
      <c r="X317" s="66"/>
      <c r="Y317" s="66"/>
      <c r="Z317" s="66"/>
    </row>
    <row r="318">
      <c r="A318" s="66"/>
      <c r="B318" s="66"/>
      <c r="C318" s="66"/>
      <c r="D318" s="66"/>
      <c r="E318" s="66"/>
      <c r="F318" s="66"/>
      <c r="G318" s="66"/>
      <c r="H318" s="66"/>
      <c r="I318" s="66"/>
      <c r="J318" s="66"/>
      <c r="K318" s="66"/>
      <c r="L318" s="66"/>
      <c r="M318" s="66" t="s">
        <v>433</v>
      </c>
      <c r="N318" s="158">
        <v>46280.0</v>
      </c>
      <c r="O318" s="66">
        <v>1.0</v>
      </c>
      <c r="P318" s="66"/>
      <c r="Q318" s="66"/>
      <c r="R318" s="66"/>
      <c r="S318" s="66"/>
      <c r="T318" s="66"/>
      <c r="U318" s="66"/>
      <c r="V318" s="66"/>
      <c r="W318" s="66"/>
      <c r="X318" s="66"/>
      <c r="Y318" s="66"/>
      <c r="Z318" s="66"/>
    </row>
    <row r="319">
      <c r="A319" s="66"/>
      <c r="B319" s="66"/>
      <c r="C319" s="66"/>
      <c r="D319" s="66"/>
      <c r="E319" s="66"/>
      <c r="F319" s="66"/>
      <c r="G319" s="66"/>
      <c r="H319" s="66"/>
      <c r="I319" s="66"/>
      <c r="J319" s="66"/>
      <c r="K319" s="66"/>
      <c r="L319" s="66"/>
      <c r="M319" s="66" t="s">
        <v>446</v>
      </c>
      <c r="N319" s="158">
        <v>46280.0</v>
      </c>
      <c r="O319" s="66">
        <v>1.0</v>
      </c>
      <c r="P319" s="66"/>
      <c r="Q319" s="66"/>
      <c r="R319" s="66"/>
      <c r="S319" s="66"/>
      <c r="T319" s="66"/>
      <c r="U319" s="66"/>
      <c r="V319" s="66"/>
      <c r="W319" s="66"/>
      <c r="X319" s="66"/>
      <c r="Y319" s="66"/>
      <c r="Z319" s="66"/>
    </row>
    <row r="320">
      <c r="A320" s="66"/>
      <c r="B320" s="66"/>
      <c r="C320" s="66"/>
      <c r="D320" s="66"/>
      <c r="E320" s="66"/>
      <c r="F320" s="66"/>
      <c r="G320" s="66"/>
      <c r="H320" s="66"/>
      <c r="I320" s="66"/>
      <c r="J320" s="66"/>
      <c r="K320" s="66"/>
      <c r="L320" s="66"/>
      <c r="M320" s="66" t="s">
        <v>447</v>
      </c>
      <c r="N320" s="158">
        <v>46280.0</v>
      </c>
      <c r="O320" s="66">
        <v>1.0</v>
      </c>
      <c r="P320" s="66"/>
      <c r="Q320" s="66"/>
      <c r="R320" s="66"/>
      <c r="S320" s="66"/>
      <c r="T320" s="66"/>
      <c r="U320" s="66"/>
      <c r="V320" s="66"/>
      <c r="W320" s="66"/>
      <c r="X320" s="66"/>
      <c r="Y320" s="66"/>
      <c r="Z320" s="66"/>
    </row>
    <row r="321">
      <c r="A321" s="66"/>
      <c r="B321" s="66"/>
      <c r="C321" s="66"/>
      <c r="D321" s="66"/>
      <c r="E321" s="66"/>
      <c r="F321" s="66"/>
      <c r="G321" s="66"/>
      <c r="H321" s="66"/>
      <c r="I321" s="66"/>
      <c r="J321" s="66"/>
      <c r="K321" s="66"/>
      <c r="L321" s="66"/>
      <c r="M321" s="66" t="s">
        <v>468</v>
      </c>
      <c r="N321" s="158">
        <v>46280.0</v>
      </c>
      <c r="O321" s="66">
        <v>1.0</v>
      </c>
      <c r="P321" s="66"/>
      <c r="Q321" s="66"/>
      <c r="R321" s="66"/>
      <c r="S321" s="66"/>
      <c r="T321" s="66"/>
      <c r="U321" s="66"/>
      <c r="V321" s="66"/>
      <c r="W321" s="66"/>
      <c r="X321" s="66"/>
      <c r="Y321" s="66"/>
      <c r="Z321" s="66"/>
    </row>
    <row r="322">
      <c r="A322" s="66"/>
      <c r="B322" s="66"/>
      <c r="C322" s="66"/>
      <c r="D322" s="66"/>
      <c r="E322" s="66"/>
      <c r="F322" s="66"/>
      <c r="G322" s="66"/>
      <c r="H322" s="66"/>
      <c r="I322" s="66"/>
      <c r="J322" s="66"/>
      <c r="K322" s="66"/>
      <c r="L322" s="66"/>
      <c r="M322" s="66" t="s">
        <v>469</v>
      </c>
      <c r="N322" s="158">
        <v>46280.0</v>
      </c>
      <c r="O322" s="66">
        <v>1.0</v>
      </c>
      <c r="P322" s="66"/>
      <c r="Q322" s="66"/>
      <c r="R322" s="66"/>
      <c r="S322" s="66"/>
      <c r="T322" s="66"/>
      <c r="U322" s="66"/>
      <c r="V322" s="66"/>
      <c r="W322" s="66"/>
      <c r="X322" s="66"/>
      <c r="Y322" s="66"/>
      <c r="Z322" s="66"/>
    </row>
    <row r="323">
      <c r="A323" s="66"/>
      <c r="B323" s="66"/>
      <c r="C323" s="66"/>
      <c r="D323" s="66"/>
      <c r="E323" s="66"/>
      <c r="F323" s="66"/>
      <c r="G323" s="66"/>
      <c r="H323" s="66"/>
      <c r="I323" s="66"/>
      <c r="J323" s="66"/>
      <c r="K323" s="66"/>
      <c r="L323" s="66"/>
      <c r="M323" s="66" t="s">
        <v>425</v>
      </c>
      <c r="N323" s="158">
        <v>46280.0</v>
      </c>
      <c r="O323" s="66">
        <v>1.0</v>
      </c>
      <c r="P323" s="66"/>
      <c r="Q323" s="66"/>
      <c r="R323" s="66"/>
      <c r="S323" s="66"/>
      <c r="T323" s="66"/>
      <c r="U323" s="66"/>
      <c r="V323" s="66"/>
      <c r="W323" s="66"/>
      <c r="X323" s="66"/>
      <c r="Y323" s="66"/>
      <c r="Z323" s="66"/>
    </row>
    <row r="324">
      <c r="A324" s="66"/>
      <c r="B324" s="66"/>
      <c r="C324" s="66"/>
      <c r="D324" s="66"/>
      <c r="E324" s="66"/>
      <c r="F324" s="66"/>
      <c r="G324" s="66"/>
      <c r="H324" s="66"/>
      <c r="I324" s="66"/>
      <c r="J324" s="66"/>
      <c r="K324" s="66"/>
      <c r="L324" s="66"/>
      <c r="M324" s="66" t="s">
        <v>426</v>
      </c>
      <c r="N324" s="158">
        <v>46280.0</v>
      </c>
      <c r="O324" s="66">
        <v>1.0</v>
      </c>
      <c r="P324" s="66"/>
      <c r="Q324" s="66"/>
      <c r="R324" s="66"/>
      <c r="S324" s="66"/>
      <c r="T324" s="66"/>
      <c r="U324" s="66"/>
      <c r="V324" s="66"/>
      <c r="W324" s="66"/>
      <c r="X324" s="66"/>
      <c r="Y324" s="66"/>
      <c r="Z324" s="66"/>
    </row>
    <row r="325">
      <c r="A325" s="66"/>
      <c r="B325" s="66"/>
      <c r="C325" s="66"/>
      <c r="D325" s="66"/>
      <c r="E325" s="66"/>
      <c r="F325" s="66"/>
      <c r="G325" s="66"/>
      <c r="H325" s="66"/>
      <c r="I325" s="66"/>
      <c r="J325" s="66"/>
      <c r="K325" s="66"/>
      <c r="L325" s="66"/>
      <c r="M325" s="66" t="s">
        <v>390</v>
      </c>
      <c r="N325" s="158">
        <v>46280.0</v>
      </c>
      <c r="O325" s="66">
        <v>1.0</v>
      </c>
      <c r="P325" s="66"/>
      <c r="Q325" s="66"/>
      <c r="R325" s="66"/>
      <c r="S325" s="66"/>
      <c r="T325" s="66"/>
      <c r="U325" s="66"/>
      <c r="V325" s="66"/>
      <c r="W325" s="66"/>
      <c r="X325" s="66"/>
      <c r="Y325" s="66"/>
      <c r="Z325" s="66"/>
    </row>
    <row r="326">
      <c r="A326" s="66"/>
      <c r="B326" s="66"/>
      <c r="C326" s="66"/>
      <c r="D326" s="66"/>
      <c r="E326" s="66"/>
      <c r="F326" s="66"/>
      <c r="G326" s="66"/>
      <c r="H326" s="66"/>
      <c r="I326" s="66"/>
      <c r="J326" s="66"/>
      <c r="K326" s="66"/>
      <c r="L326" s="66"/>
      <c r="M326" s="66" t="s">
        <v>391</v>
      </c>
      <c r="N326" s="158">
        <v>46280.0</v>
      </c>
      <c r="O326" s="66">
        <v>1.0</v>
      </c>
      <c r="P326" s="66"/>
      <c r="Q326" s="66"/>
      <c r="R326" s="66"/>
      <c r="S326" s="66"/>
      <c r="T326" s="66"/>
      <c r="U326" s="66"/>
      <c r="V326" s="66"/>
      <c r="W326" s="66"/>
      <c r="X326" s="66"/>
      <c r="Y326" s="66"/>
      <c r="Z326" s="66"/>
    </row>
    <row r="327">
      <c r="A327" s="66"/>
      <c r="B327" s="66"/>
      <c r="C327" s="66"/>
      <c r="D327" s="66"/>
      <c r="E327" s="66"/>
      <c r="F327" s="66"/>
      <c r="G327" s="66"/>
      <c r="H327" s="66"/>
      <c r="I327" s="66"/>
      <c r="J327" s="66"/>
      <c r="K327" s="66"/>
      <c r="L327" s="66"/>
      <c r="M327" s="66" t="s">
        <v>439</v>
      </c>
      <c r="N327" s="158">
        <v>46280.0</v>
      </c>
      <c r="O327" s="66">
        <v>1.0</v>
      </c>
      <c r="P327" s="66"/>
      <c r="Q327" s="66"/>
      <c r="R327" s="66"/>
      <c r="S327" s="66"/>
      <c r="T327" s="66"/>
      <c r="U327" s="66"/>
      <c r="V327" s="66"/>
      <c r="W327" s="66"/>
      <c r="X327" s="66"/>
      <c r="Y327" s="66"/>
      <c r="Z327" s="66"/>
    </row>
    <row r="328">
      <c r="A328" s="66"/>
      <c r="B328" s="66"/>
      <c r="C328" s="66"/>
      <c r="D328" s="66"/>
      <c r="E328" s="66"/>
      <c r="F328" s="66"/>
      <c r="G328" s="66"/>
      <c r="H328" s="66"/>
      <c r="I328" s="66"/>
      <c r="J328" s="66"/>
      <c r="K328" s="66"/>
      <c r="L328" s="66"/>
      <c r="M328" s="66" t="s">
        <v>440</v>
      </c>
      <c r="N328" s="158">
        <v>46280.0</v>
      </c>
      <c r="O328" s="66">
        <v>1.0</v>
      </c>
      <c r="P328" s="66"/>
      <c r="Q328" s="66"/>
      <c r="R328" s="66"/>
      <c r="S328" s="66"/>
      <c r="T328" s="66"/>
      <c r="U328" s="66"/>
      <c r="V328" s="66"/>
      <c r="W328" s="66"/>
      <c r="X328" s="66"/>
      <c r="Y328" s="66"/>
      <c r="Z328" s="66"/>
    </row>
    <row r="329">
      <c r="A329" s="66"/>
      <c r="B329" s="66"/>
      <c r="C329" s="66"/>
      <c r="D329" s="66"/>
      <c r="E329" s="66"/>
      <c r="F329" s="66"/>
      <c r="G329" s="66"/>
      <c r="H329" s="66"/>
      <c r="I329" s="66"/>
      <c r="J329" s="66"/>
      <c r="K329" s="66"/>
      <c r="L329" s="66"/>
      <c r="M329" s="66" t="s">
        <v>404</v>
      </c>
      <c r="N329" s="158">
        <v>46280.0</v>
      </c>
      <c r="O329" s="66">
        <v>1.0</v>
      </c>
      <c r="P329" s="66"/>
      <c r="Q329" s="66"/>
      <c r="R329" s="66"/>
      <c r="S329" s="66"/>
      <c r="T329" s="66"/>
      <c r="U329" s="66"/>
      <c r="V329" s="66"/>
      <c r="W329" s="66"/>
      <c r="X329" s="66"/>
      <c r="Y329" s="66"/>
      <c r="Z329" s="66"/>
    </row>
    <row r="330">
      <c r="A330" s="66"/>
      <c r="B330" s="66"/>
      <c r="C330" s="66"/>
      <c r="D330" s="66"/>
      <c r="E330" s="66"/>
      <c r="F330" s="66"/>
      <c r="G330" s="66"/>
      <c r="H330" s="66"/>
      <c r="I330" s="66"/>
      <c r="J330" s="66"/>
      <c r="K330" s="66"/>
      <c r="L330" s="66"/>
      <c r="M330" s="66" t="s">
        <v>405</v>
      </c>
      <c r="N330" s="158">
        <v>46280.0</v>
      </c>
      <c r="O330" s="66">
        <v>1.0</v>
      </c>
      <c r="P330" s="66"/>
      <c r="Q330" s="66"/>
      <c r="R330" s="66"/>
      <c r="S330" s="66"/>
      <c r="T330" s="66"/>
      <c r="U330" s="66"/>
      <c r="V330" s="66"/>
      <c r="W330" s="66"/>
      <c r="X330" s="66"/>
      <c r="Y330" s="66"/>
      <c r="Z330" s="66"/>
    </row>
    <row r="331">
      <c r="A331" s="66"/>
      <c r="B331" s="66"/>
      <c r="C331" s="66"/>
      <c r="D331" s="66"/>
      <c r="E331" s="66"/>
      <c r="F331" s="66"/>
      <c r="G331" s="66"/>
      <c r="H331" s="66"/>
      <c r="I331" s="66"/>
      <c r="J331" s="66"/>
      <c r="K331" s="66"/>
      <c r="L331" s="66"/>
      <c r="M331" s="66" t="s">
        <v>453</v>
      </c>
      <c r="N331" s="158">
        <v>46280.0</v>
      </c>
      <c r="O331" s="66">
        <v>1.0</v>
      </c>
      <c r="P331" s="66"/>
      <c r="Q331" s="66"/>
      <c r="R331" s="66"/>
      <c r="S331" s="66"/>
      <c r="T331" s="66"/>
      <c r="U331" s="66"/>
      <c r="V331" s="66"/>
      <c r="W331" s="66"/>
      <c r="X331" s="66"/>
      <c r="Y331" s="66"/>
      <c r="Z331" s="66"/>
    </row>
    <row r="332">
      <c r="A332" s="66"/>
      <c r="B332" s="66"/>
      <c r="C332" s="66"/>
      <c r="D332" s="66"/>
      <c r="E332" s="66"/>
      <c r="F332" s="66"/>
      <c r="G332" s="66"/>
      <c r="H332" s="66"/>
      <c r="I332" s="66"/>
      <c r="J332" s="66"/>
      <c r="K332" s="66"/>
      <c r="L332" s="66"/>
      <c r="M332" s="66" t="s">
        <v>460</v>
      </c>
      <c r="N332" s="158">
        <v>46280.0</v>
      </c>
      <c r="O332" s="66">
        <v>1.0</v>
      </c>
      <c r="P332" s="66"/>
      <c r="Q332" s="66"/>
      <c r="R332" s="66"/>
      <c r="S332" s="66"/>
      <c r="T332" s="66"/>
      <c r="U332" s="66"/>
      <c r="V332" s="66"/>
      <c r="W332" s="66"/>
      <c r="X332" s="66"/>
      <c r="Y332" s="66"/>
      <c r="Z332" s="66"/>
    </row>
    <row r="333">
      <c r="A333" s="66"/>
      <c r="B333" s="66"/>
      <c r="C333" s="66"/>
      <c r="D333" s="66"/>
      <c r="E333" s="66"/>
      <c r="F333" s="66"/>
      <c r="G333" s="66"/>
      <c r="H333" s="66"/>
      <c r="I333" s="66"/>
      <c r="J333" s="66"/>
      <c r="K333" s="66"/>
      <c r="L333" s="66"/>
      <c r="M333" s="66" t="s">
        <v>461</v>
      </c>
      <c r="N333" s="158">
        <v>46280.0</v>
      </c>
      <c r="O333" s="66">
        <v>1.0</v>
      </c>
      <c r="P333" s="66"/>
      <c r="Q333" s="66"/>
      <c r="R333" s="66"/>
      <c r="S333" s="66"/>
      <c r="T333" s="66"/>
      <c r="U333" s="66"/>
      <c r="V333" s="66"/>
      <c r="W333" s="66"/>
      <c r="X333" s="66"/>
      <c r="Y333" s="66"/>
      <c r="Z333" s="66"/>
    </row>
    <row r="334">
      <c r="A334" s="66"/>
      <c r="B334" s="66"/>
      <c r="C334" s="66"/>
      <c r="D334" s="66"/>
      <c r="E334" s="66"/>
      <c r="F334" s="66"/>
      <c r="G334" s="66"/>
      <c r="H334" s="66"/>
      <c r="I334" s="66"/>
      <c r="J334" s="66"/>
      <c r="K334" s="66"/>
      <c r="L334" s="66"/>
      <c r="M334" s="66" t="s">
        <v>454</v>
      </c>
      <c r="N334" s="158">
        <v>46280.0</v>
      </c>
      <c r="O334" s="66">
        <v>1.0</v>
      </c>
      <c r="P334" s="66"/>
      <c r="Q334" s="66"/>
      <c r="R334" s="66"/>
      <c r="S334" s="66"/>
      <c r="T334" s="66"/>
      <c r="U334" s="66"/>
      <c r="V334" s="66"/>
      <c r="W334" s="66"/>
      <c r="X334" s="66"/>
      <c r="Y334" s="66"/>
      <c r="Z334" s="66"/>
    </row>
    <row r="335">
      <c r="A335" s="66"/>
      <c r="B335" s="66"/>
      <c r="C335" s="66"/>
      <c r="D335" s="66"/>
      <c r="E335" s="66"/>
      <c r="F335" s="66"/>
      <c r="G335" s="66"/>
      <c r="H335" s="66"/>
      <c r="I335" s="66"/>
      <c r="J335" s="66"/>
      <c r="K335" s="66"/>
      <c r="L335" s="66"/>
      <c r="M335" s="66" t="s">
        <v>411</v>
      </c>
      <c r="N335" s="158">
        <v>46280.0</v>
      </c>
      <c r="O335" s="66">
        <v>1.0</v>
      </c>
      <c r="P335" s="66"/>
      <c r="Q335" s="66"/>
      <c r="R335" s="66"/>
      <c r="S335" s="66"/>
      <c r="T335" s="66"/>
      <c r="U335" s="66"/>
      <c r="V335" s="66"/>
      <c r="W335" s="66"/>
      <c r="X335" s="66"/>
      <c r="Y335" s="66"/>
      <c r="Z335" s="66"/>
    </row>
    <row r="336">
      <c r="A336" s="66"/>
      <c r="B336" s="66"/>
      <c r="C336" s="66"/>
      <c r="D336" s="66"/>
      <c r="E336" s="66"/>
      <c r="F336" s="66"/>
      <c r="G336" s="66"/>
      <c r="H336" s="66"/>
      <c r="I336" s="66"/>
      <c r="J336" s="66"/>
      <c r="K336" s="66"/>
      <c r="L336" s="66"/>
      <c r="M336" s="66" t="s">
        <v>412</v>
      </c>
      <c r="N336" s="158">
        <v>46280.0</v>
      </c>
      <c r="O336" s="66">
        <v>1.0</v>
      </c>
      <c r="P336" s="66"/>
      <c r="Q336" s="66"/>
      <c r="R336" s="66"/>
      <c r="S336" s="66"/>
      <c r="T336" s="66"/>
      <c r="U336" s="66"/>
      <c r="V336" s="66"/>
      <c r="W336" s="66"/>
      <c r="X336" s="66"/>
      <c r="Y336" s="66"/>
      <c r="Z336" s="66"/>
    </row>
    <row r="337">
      <c r="A337" s="66"/>
      <c r="B337" s="66"/>
      <c r="C337" s="66"/>
      <c r="D337" s="66"/>
      <c r="E337" s="66"/>
      <c r="F337" s="66"/>
      <c r="G337" s="66"/>
      <c r="H337" s="66"/>
      <c r="I337" s="66"/>
      <c r="J337" s="66"/>
      <c r="K337" s="66"/>
      <c r="L337" s="66"/>
      <c r="M337" s="66" t="s">
        <v>397</v>
      </c>
      <c r="N337" s="158">
        <v>46280.0</v>
      </c>
      <c r="O337" s="66">
        <v>1.0</v>
      </c>
      <c r="P337" s="66"/>
      <c r="Q337" s="66"/>
      <c r="R337" s="66"/>
      <c r="S337" s="66"/>
      <c r="T337" s="66"/>
      <c r="U337" s="66"/>
      <c r="V337" s="66"/>
      <c r="W337" s="66"/>
      <c r="X337" s="66"/>
      <c r="Y337" s="66"/>
      <c r="Z337" s="66"/>
    </row>
    <row r="338">
      <c r="A338" s="66"/>
      <c r="B338" s="66"/>
      <c r="C338" s="66"/>
      <c r="D338" s="66"/>
      <c r="E338" s="66"/>
      <c r="F338" s="66"/>
      <c r="G338" s="66"/>
      <c r="H338" s="66"/>
      <c r="I338" s="66"/>
      <c r="J338" s="66"/>
      <c r="K338" s="66"/>
      <c r="L338" s="66"/>
      <c r="M338" s="66" t="s">
        <v>398</v>
      </c>
      <c r="N338" s="158">
        <v>46280.0</v>
      </c>
      <c r="O338" s="66">
        <v>1.0</v>
      </c>
      <c r="P338" s="66"/>
      <c r="Q338" s="66"/>
      <c r="R338" s="66"/>
      <c r="S338" s="66"/>
      <c r="T338" s="66"/>
      <c r="U338" s="66"/>
      <c r="V338" s="66"/>
      <c r="W338" s="66"/>
      <c r="X338" s="66"/>
      <c r="Y338" s="66"/>
      <c r="Z338" s="66"/>
    </row>
    <row r="339">
      <c r="A339" s="66"/>
      <c r="B339" s="66"/>
      <c r="C339" s="66"/>
      <c r="D339" s="66"/>
      <c r="E339" s="66"/>
      <c r="F339" s="66"/>
      <c r="G339" s="66"/>
      <c r="H339" s="66"/>
      <c r="I339" s="66"/>
      <c r="J339" s="66"/>
      <c r="K339" s="66"/>
      <c r="L339" s="66"/>
      <c r="M339" s="66" t="s">
        <v>331</v>
      </c>
      <c r="N339" s="158">
        <v>46280.0</v>
      </c>
      <c r="O339" s="66">
        <v>1.0</v>
      </c>
      <c r="P339" s="66"/>
      <c r="Q339" s="66"/>
      <c r="R339" s="66"/>
      <c r="S339" s="66"/>
      <c r="T339" s="66"/>
      <c r="U339" s="66"/>
      <c r="V339" s="66"/>
      <c r="W339" s="66"/>
      <c r="X339" s="66"/>
      <c r="Y339" s="66"/>
      <c r="Z339" s="66"/>
    </row>
    <row r="340">
      <c r="A340" s="66"/>
      <c r="B340" s="66"/>
      <c r="C340" s="66"/>
      <c r="D340" s="66"/>
      <c r="E340" s="66"/>
      <c r="F340" s="66"/>
      <c r="G340" s="66"/>
      <c r="H340" s="66"/>
      <c r="I340" s="66"/>
      <c r="J340" s="66"/>
      <c r="K340" s="66"/>
      <c r="L340" s="66"/>
      <c r="M340" s="66" t="s">
        <v>334</v>
      </c>
      <c r="N340" s="158">
        <v>46280.0</v>
      </c>
      <c r="O340" s="66">
        <v>1.0</v>
      </c>
      <c r="P340" s="66"/>
      <c r="Q340" s="66"/>
      <c r="R340" s="66"/>
      <c r="S340" s="66"/>
      <c r="T340" s="66"/>
      <c r="U340" s="66"/>
      <c r="V340" s="66"/>
      <c r="W340" s="66"/>
      <c r="X340" s="66"/>
      <c r="Y340" s="66"/>
      <c r="Z340" s="66"/>
    </row>
    <row r="341">
      <c r="A341" s="66"/>
      <c r="B341" s="66"/>
      <c r="C341" s="66"/>
      <c r="D341" s="66"/>
      <c r="E341" s="66"/>
      <c r="F341" s="66"/>
      <c r="G341" s="66"/>
      <c r="H341" s="66"/>
      <c r="I341" s="66"/>
      <c r="J341" s="66"/>
      <c r="K341" s="66"/>
      <c r="L341" s="66"/>
      <c r="M341" s="66" t="s">
        <v>341</v>
      </c>
      <c r="N341" s="158">
        <v>46280.0</v>
      </c>
      <c r="O341" s="66">
        <v>1.0</v>
      </c>
      <c r="P341" s="66"/>
      <c r="Q341" s="66"/>
      <c r="R341" s="66"/>
      <c r="S341" s="66"/>
      <c r="T341" s="66"/>
      <c r="U341" s="66"/>
      <c r="V341" s="66"/>
      <c r="W341" s="66"/>
      <c r="X341" s="66"/>
      <c r="Y341" s="66"/>
      <c r="Z341" s="66"/>
    </row>
    <row r="342">
      <c r="A342" s="66"/>
      <c r="B342" s="66"/>
      <c r="C342" s="66"/>
      <c r="D342" s="66"/>
      <c r="E342" s="66"/>
      <c r="F342" s="66"/>
      <c r="G342" s="66"/>
      <c r="H342" s="66"/>
      <c r="I342" s="66"/>
      <c r="J342" s="66"/>
      <c r="K342" s="66"/>
      <c r="L342" s="66"/>
      <c r="M342" s="66" t="s">
        <v>309</v>
      </c>
      <c r="N342" s="158">
        <v>46280.0</v>
      </c>
      <c r="O342" s="66">
        <v>1.0</v>
      </c>
      <c r="P342" s="66"/>
      <c r="Q342" s="66"/>
      <c r="R342" s="66"/>
      <c r="S342" s="66"/>
      <c r="T342" s="66"/>
      <c r="U342" s="66"/>
      <c r="V342" s="66"/>
      <c r="W342" s="66"/>
      <c r="X342" s="66"/>
      <c r="Y342" s="66"/>
      <c r="Z342" s="66"/>
    </row>
    <row r="343">
      <c r="A343" s="66"/>
      <c r="B343" s="66"/>
      <c r="C343" s="66"/>
      <c r="D343" s="66"/>
      <c r="E343" s="66"/>
      <c r="F343" s="66"/>
      <c r="G343" s="66"/>
      <c r="H343" s="66"/>
      <c r="I343" s="66"/>
      <c r="J343" s="66"/>
      <c r="K343" s="66"/>
      <c r="L343" s="66"/>
      <c r="M343" s="66" t="s">
        <v>320</v>
      </c>
      <c r="N343" s="158">
        <v>46280.0</v>
      </c>
      <c r="O343" s="66">
        <v>1.0</v>
      </c>
      <c r="P343" s="66"/>
      <c r="Q343" s="66"/>
      <c r="R343" s="66"/>
      <c r="S343" s="66"/>
      <c r="T343" s="66"/>
      <c r="U343" s="66"/>
      <c r="V343" s="66"/>
      <c r="W343" s="66"/>
      <c r="X343" s="66"/>
      <c r="Y343" s="66"/>
      <c r="Z343" s="66"/>
    </row>
    <row r="344">
      <c r="A344" s="66"/>
      <c r="B344" s="66"/>
      <c r="C344" s="66"/>
      <c r="D344" s="66"/>
      <c r="E344" s="66"/>
      <c r="F344" s="66"/>
      <c r="G344" s="66"/>
      <c r="H344" s="66"/>
      <c r="I344" s="66"/>
      <c r="J344" s="66"/>
      <c r="K344" s="66"/>
      <c r="L344" s="66"/>
      <c r="M344" s="66" t="s">
        <v>316</v>
      </c>
      <c r="N344" s="158">
        <v>46280.0</v>
      </c>
      <c r="O344" s="66">
        <v>1.0</v>
      </c>
      <c r="P344" s="66"/>
      <c r="Q344" s="66"/>
      <c r="R344" s="66"/>
      <c r="S344" s="66"/>
      <c r="T344" s="66"/>
      <c r="U344" s="66"/>
      <c r="V344" s="66"/>
      <c r="W344" s="66"/>
      <c r="X344" s="66"/>
      <c r="Y344" s="66"/>
      <c r="Z344" s="66"/>
    </row>
    <row r="345">
      <c r="A345" s="66"/>
      <c r="B345" s="66"/>
      <c r="C345" s="66"/>
      <c r="D345" s="66"/>
      <c r="E345" s="66"/>
      <c r="F345" s="66"/>
      <c r="G345" s="66"/>
      <c r="H345" s="66"/>
      <c r="I345" s="66"/>
      <c r="J345" s="66"/>
      <c r="K345" s="66"/>
      <c r="L345" s="66"/>
      <c r="M345" s="66" t="s">
        <v>328</v>
      </c>
      <c r="N345" s="158">
        <v>46280.0</v>
      </c>
      <c r="O345" s="66">
        <v>1.0</v>
      </c>
      <c r="P345" s="66"/>
      <c r="Q345" s="66"/>
      <c r="R345" s="66"/>
      <c r="S345" s="66"/>
      <c r="T345" s="66"/>
      <c r="U345" s="66"/>
      <c r="V345" s="66"/>
      <c r="W345" s="66"/>
      <c r="X345" s="66"/>
      <c r="Y345" s="66"/>
      <c r="Z345" s="66"/>
    </row>
    <row r="346">
      <c r="A346" s="66"/>
      <c r="B346" s="66"/>
      <c r="C346" s="66"/>
      <c r="D346" s="66"/>
      <c r="E346" s="66"/>
      <c r="F346" s="66"/>
      <c r="G346" s="66"/>
      <c r="H346" s="66"/>
      <c r="I346" s="66"/>
      <c r="J346" s="66"/>
      <c r="K346" s="66"/>
      <c r="L346" s="66"/>
      <c r="M346" s="66" t="s">
        <v>338</v>
      </c>
      <c r="N346" s="158">
        <v>46280.0</v>
      </c>
      <c r="O346" s="66">
        <v>1.0</v>
      </c>
      <c r="P346" s="66"/>
      <c r="Q346" s="66"/>
      <c r="R346" s="66"/>
      <c r="S346" s="66"/>
      <c r="T346" s="66"/>
      <c r="U346" s="66"/>
      <c r="V346" s="66"/>
      <c r="W346" s="66"/>
      <c r="X346" s="66"/>
      <c r="Y346" s="66"/>
      <c r="Z346" s="66"/>
    </row>
    <row r="347">
      <c r="A347" s="66"/>
      <c r="B347" s="66"/>
      <c r="C347" s="66"/>
      <c r="D347" s="66"/>
      <c r="E347" s="66"/>
      <c r="F347" s="66"/>
      <c r="G347" s="66"/>
      <c r="H347" s="66"/>
      <c r="I347" s="66"/>
      <c r="J347" s="66"/>
      <c r="K347" s="66"/>
      <c r="L347" s="66"/>
      <c r="M347" s="66" t="s">
        <v>312</v>
      </c>
      <c r="N347" s="158">
        <v>46280.0</v>
      </c>
      <c r="O347" s="66">
        <v>1.0</v>
      </c>
      <c r="P347" s="66"/>
      <c r="Q347" s="66"/>
      <c r="R347" s="66"/>
      <c r="S347" s="66"/>
      <c r="T347" s="66"/>
      <c r="U347" s="66"/>
      <c r="V347" s="66"/>
      <c r="W347" s="66"/>
      <c r="X347" s="66"/>
      <c r="Y347" s="66"/>
      <c r="Z347" s="66"/>
    </row>
    <row r="348">
      <c r="A348" s="66"/>
      <c r="B348" s="66"/>
      <c r="C348" s="66"/>
      <c r="D348" s="66"/>
      <c r="E348" s="66"/>
      <c r="F348" s="66"/>
      <c r="G348" s="66"/>
      <c r="H348" s="66"/>
      <c r="I348" s="66"/>
      <c r="J348" s="66"/>
      <c r="K348" s="66"/>
      <c r="L348" s="66"/>
      <c r="M348" s="66" t="s">
        <v>324</v>
      </c>
      <c r="N348" s="158">
        <v>46280.0</v>
      </c>
      <c r="O348" s="66">
        <v>1.0</v>
      </c>
      <c r="P348" s="66"/>
      <c r="Q348" s="66"/>
      <c r="R348" s="66"/>
      <c r="S348" s="66"/>
      <c r="T348" s="66"/>
      <c r="U348" s="66"/>
      <c r="V348" s="66"/>
      <c r="W348" s="66"/>
      <c r="X348" s="66"/>
      <c r="Y348" s="66"/>
      <c r="Z348" s="66"/>
    </row>
    <row r="349">
      <c r="A349" s="66"/>
      <c r="B349" s="66"/>
      <c r="C349" s="66"/>
      <c r="D349" s="66"/>
      <c r="E349" s="66"/>
      <c r="F349" s="66"/>
      <c r="G349" s="66"/>
      <c r="H349" s="66"/>
      <c r="I349" s="66"/>
      <c r="J349" s="66"/>
      <c r="K349" s="66"/>
      <c r="L349" s="66"/>
      <c r="M349" s="66" t="s">
        <v>371</v>
      </c>
      <c r="N349" s="158">
        <v>46280.0</v>
      </c>
      <c r="O349" s="66">
        <v>1.0</v>
      </c>
      <c r="P349" s="66"/>
      <c r="Q349" s="66"/>
      <c r="R349" s="66"/>
      <c r="S349" s="66"/>
      <c r="T349" s="66"/>
      <c r="U349" s="66"/>
      <c r="V349" s="66"/>
      <c r="W349" s="66"/>
      <c r="X349" s="66"/>
      <c r="Y349" s="66"/>
      <c r="Z349" s="66"/>
    </row>
    <row r="350">
      <c r="A350" s="66"/>
      <c r="B350" s="66"/>
      <c r="C350" s="66"/>
      <c r="D350" s="66"/>
      <c r="E350" s="66"/>
      <c r="F350" s="66"/>
      <c r="G350" s="66"/>
      <c r="H350" s="66"/>
      <c r="I350" s="66"/>
      <c r="J350" s="66"/>
      <c r="K350" s="66"/>
      <c r="L350" s="66"/>
      <c r="M350" s="66" t="s">
        <v>350</v>
      </c>
      <c r="N350" s="158">
        <v>46280.0</v>
      </c>
      <c r="O350" s="66">
        <v>1.0</v>
      </c>
      <c r="P350" s="66"/>
      <c r="Q350" s="66"/>
      <c r="R350" s="66"/>
      <c r="S350" s="66"/>
      <c r="T350" s="66"/>
      <c r="U350" s="66"/>
      <c r="V350" s="66"/>
      <c r="W350" s="66"/>
      <c r="X350" s="66"/>
      <c r="Y350" s="66"/>
      <c r="Z350" s="66"/>
    </row>
    <row r="351">
      <c r="A351" s="66"/>
      <c r="B351" s="66"/>
      <c r="C351" s="66"/>
      <c r="D351" s="66"/>
      <c r="E351" s="66"/>
      <c r="F351" s="66"/>
      <c r="G351" s="66"/>
      <c r="H351" s="66"/>
      <c r="I351" s="66"/>
      <c r="J351" s="66"/>
      <c r="K351" s="66"/>
      <c r="L351" s="66"/>
      <c r="M351" s="66" t="s">
        <v>353</v>
      </c>
      <c r="N351" s="158">
        <v>46280.0</v>
      </c>
      <c r="O351" s="66">
        <v>1.0</v>
      </c>
      <c r="P351" s="66"/>
      <c r="Q351" s="66"/>
      <c r="R351" s="66"/>
      <c r="S351" s="66"/>
      <c r="T351" s="66"/>
      <c r="U351" s="66"/>
      <c r="V351" s="66"/>
      <c r="W351" s="66"/>
      <c r="X351" s="66"/>
      <c r="Y351" s="66"/>
      <c r="Z351" s="66"/>
    </row>
    <row r="352">
      <c r="A352" s="66"/>
      <c r="B352" s="66"/>
      <c r="C352" s="66"/>
      <c r="D352" s="66"/>
      <c r="E352" s="66"/>
      <c r="F352" s="66"/>
      <c r="G352" s="66"/>
      <c r="H352" s="66"/>
      <c r="I352" s="66"/>
      <c r="J352" s="66"/>
      <c r="K352" s="66"/>
      <c r="L352" s="66"/>
      <c r="M352" s="66" t="s">
        <v>344</v>
      </c>
      <c r="N352" s="158">
        <v>46280.0</v>
      </c>
      <c r="O352" s="66">
        <v>1.0</v>
      </c>
      <c r="P352" s="66"/>
      <c r="Q352" s="66"/>
      <c r="R352" s="66"/>
      <c r="S352" s="66"/>
      <c r="T352" s="66"/>
      <c r="U352" s="66"/>
      <c r="V352" s="66"/>
      <c r="W352" s="66"/>
      <c r="X352" s="66"/>
      <c r="Y352" s="66"/>
      <c r="Z352" s="66"/>
    </row>
    <row r="353">
      <c r="A353" s="66"/>
      <c r="B353" s="66"/>
      <c r="C353" s="66"/>
      <c r="D353" s="66"/>
      <c r="E353" s="66"/>
      <c r="F353" s="66"/>
      <c r="G353" s="66"/>
      <c r="H353" s="66"/>
      <c r="I353" s="66"/>
      <c r="J353" s="66"/>
      <c r="K353" s="66"/>
      <c r="L353" s="66"/>
      <c r="M353" s="66" t="s">
        <v>347</v>
      </c>
      <c r="N353" s="158">
        <v>46280.0</v>
      </c>
      <c r="O353" s="66">
        <v>1.0</v>
      </c>
      <c r="P353" s="66"/>
      <c r="Q353" s="66"/>
      <c r="R353" s="66"/>
      <c r="S353" s="66"/>
      <c r="T353" s="66"/>
      <c r="U353" s="66"/>
      <c r="V353" s="66"/>
      <c r="W353" s="66"/>
      <c r="X353" s="66"/>
      <c r="Y353" s="66"/>
      <c r="Z353" s="66"/>
    </row>
    <row r="354">
      <c r="A354" s="66"/>
      <c r="B354" s="66"/>
      <c r="C354" s="66"/>
      <c r="D354" s="66"/>
      <c r="E354" s="66"/>
      <c r="F354" s="66"/>
      <c r="G354" s="66"/>
      <c r="H354" s="66"/>
      <c r="I354" s="66"/>
      <c r="J354" s="66"/>
      <c r="K354" s="66"/>
      <c r="L354" s="66"/>
      <c r="M354" s="66" t="s">
        <v>484</v>
      </c>
      <c r="N354" s="158">
        <v>46280.0</v>
      </c>
      <c r="O354" s="66">
        <v>1.0</v>
      </c>
      <c r="P354" s="66"/>
      <c r="Q354" s="66"/>
      <c r="R354" s="66"/>
      <c r="S354" s="66"/>
      <c r="T354" s="66"/>
      <c r="U354" s="66"/>
      <c r="V354" s="66"/>
      <c r="W354" s="66"/>
      <c r="X354" s="66"/>
      <c r="Y354" s="66"/>
      <c r="Z354" s="66"/>
    </row>
    <row r="355">
      <c r="A355" s="66"/>
      <c r="B355" s="66"/>
      <c r="C355" s="66"/>
      <c r="D355" s="66"/>
      <c r="E355" s="66"/>
      <c r="F355" s="66"/>
      <c r="G355" s="66"/>
      <c r="H355" s="66"/>
      <c r="I355" s="66"/>
      <c r="J355" s="66"/>
      <c r="K355" s="66"/>
      <c r="L355" s="66"/>
      <c r="M355" s="66" t="s">
        <v>494</v>
      </c>
      <c r="N355" s="158">
        <v>46280.0</v>
      </c>
      <c r="O355" s="66">
        <v>1.0</v>
      </c>
      <c r="P355" s="66"/>
      <c r="Q355" s="66"/>
      <c r="R355" s="66"/>
      <c r="S355" s="66"/>
      <c r="T355" s="66"/>
      <c r="U355" s="66"/>
      <c r="V355" s="66"/>
      <c r="W355" s="66"/>
      <c r="X355" s="66"/>
      <c r="Y355" s="66"/>
      <c r="Z355" s="66"/>
    </row>
    <row r="356">
      <c r="A356" s="66"/>
      <c r="B356" s="66"/>
      <c r="C356" s="66"/>
      <c r="D356" s="66"/>
      <c r="E356" s="66"/>
      <c r="F356" s="66"/>
      <c r="G356" s="66"/>
      <c r="H356" s="66"/>
      <c r="I356" s="66"/>
      <c r="J356" s="66"/>
      <c r="K356" s="66"/>
      <c r="L356" s="66"/>
      <c r="M356" s="66" t="s">
        <v>487</v>
      </c>
      <c r="N356" s="158">
        <v>46280.0</v>
      </c>
      <c r="O356" s="66">
        <v>1.0</v>
      </c>
      <c r="P356" s="66"/>
      <c r="Q356" s="66"/>
      <c r="R356" s="66"/>
      <c r="S356" s="66"/>
      <c r="T356" s="66"/>
      <c r="U356" s="66"/>
      <c r="V356" s="66"/>
      <c r="W356" s="66"/>
      <c r="X356" s="66"/>
      <c r="Y356" s="66"/>
      <c r="Z356" s="66"/>
    </row>
    <row r="357">
      <c r="A357" s="66"/>
      <c r="B357" s="66"/>
      <c r="C357" s="66"/>
      <c r="D357" s="66"/>
      <c r="E357" s="66"/>
      <c r="F357" s="66"/>
      <c r="G357" s="66"/>
      <c r="H357" s="66"/>
      <c r="I357" s="66"/>
      <c r="J357" s="66"/>
      <c r="K357" s="66"/>
      <c r="L357" s="66"/>
      <c r="M357" s="66" t="s">
        <v>385</v>
      </c>
      <c r="N357" s="158">
        <v>46280.0</v>
      </c>
      <c r="O357" s="66">
        <v>1.0</v>
      </c>
      <c r="P357" s="66"/>
      <c r="Q357" s="66"/>
      <c r="R357" s="66"/>
      <c r="S357" s="66"/>
      <c r="T357" s="66"/>
      <c r="U357" s="66"/>
      <c r="V357" s="66"/>
      <c r="W357" s="66"/>
      <c r="X357" s="66"/>
      <c r="Y357" s="66"/>
      <c r="Z357" s="66"/>
    </row>
    <row r="358">
      <c r="A358" s="66"/>
      <c r="B358" s="66"/>
      <c r="C358" s="66"/>
      <c r="D358" s="66"/>
      <c r="E358" s="66"/>
      <c r="F358" s="66"/>
      <c r="G358" s="66"/>
      <c r="H358" s="66"/>
      <c r="I358" s="66"/>
      <c r="J358" s="66"/>
      <c r="K358" s="66"/>
      <c r="L358" s="66"/>
      <c r="M358" s="66" t="s">
        <v>377</v>
      </c>
      <c r="N358" s="158">
        <v>46280.0</v>
      </c>
      <c r="O358" s="66">
        <v>1.0</v>
      </c>
      <c r="P358" s="66"/>
      <c r="Q358" s="66"/>
      <c r="R358" s="66"/>
      <c r="S358" s="66"/>
      <c r="T358" s="66"/>
      <c r="U358" s="66"/>
      <c r="V358" s="66"/>
      <c r="W358" s="66"/>
      <c r="X358" s="66"/>
      <c r="Y358" s="66"/>
      <c r="Z358" s="66"/>
    </row>
    <row r="359">
      <c r="A359" s="66"/>
      <c r="B359" s="66"/>
      <c r="C359" s="66"/>
      <c r="D359" s="66"/>
      <c r="E359" s="66"/>
      <c r="F359" s="66"/>
      <c r="G359" s="66"/>
      <c r="H359" s="66"/>
      <c r="I359" s="66"/>
      <c r="J359" s="66"/>
      <c r="K359" s="66"/>
      <c r="L359" s="66"/>
      <c r="M359" s="66" t="s">
        <v>381</v>
      </c>
      <c r="N359" s="158">
        <v>46280.0</v>
      </c>
      <c r="O359" s="66">
        <v>1.0</v>
      </c>
      <c r="P359" s="66"/>
      <c r="Q359" s="66"/>
      <c r="R359" s="66"/>
      <c r="S359" s="66"/>
      <c r="T359" s="66"/>
      <c r="U359" s="66"/>
      <c r="V359" s="66"/>
      <c r="W359" s="66"/>
      <c r="X359" s="66"/>
      <c r="Y359" s="66"/>
      <c r="Z359" s="66"/>
    </row>
    <row r="360">
      <c r="A360" s="66"/>
      <c r="B360" s="66"/>
      <c r="C360" s="66"/>
      <c r="D360" s="66"/>
      <c r="E360" s="66"/>
      <c r="F360" s="66"/>
      <c r="G360" s="66"/>
      <c r="H360" s="66"/>
      <c r="I360" s="66"/>
      <c r="J360" s="66"/>
      <c r="K360" s="66"/>
      <c r="L360" s="66"/>
      <c r="M360" s="66" t="s">
        <v>417</v>
      </c>
      <c r="N360" s="158">
        <v>46280.0</v>
      </c>
      <c r="O360" s="66">
        <v>1.0</v>
      </c>
      <c r="P360" s="66"/>
      <c r="Q360" s="66"/>
      <c r="R360" s="66"/>
      <c r="S360" s="66"/>
      <c r="T360" s="66"/>
      <c r="U360" s="66"/>
      <c r="V360" s="66"/>
      <c r="W360" s="66"/>
      <c r="X360" s="66"/>
      <c r="Y360" s="66"/>
      <c r="Z360" s="66"/>
    </row>
    <row r="361">
      <c r="A361" s="66"/>
      <c r="B361" s="66"/>
      <c r="C361" s="66"/>
      <c r="D361" s="66"/>
      <c r="E361" s="66"/>
      <c r="F361" s="66"/>
      <c r="G361" s="66"/>
      <c r="H361" s="66"/>
      <c r="I361" s="66"/>
      <c r="J361" s="66"/>
      <c r="K361" s="66"/>
      <c r="L361" s="66"/>
      <c r="M361" s="66" t="s">
        <v>431</v>
      </c>
      <c r="N361" s="158">
        <v>46280.0</v>
      </c>
      <c r="O361" s="66">
        <v>1.0</v>
      </c>
      <c r="P361" s="66"/>
      <c r="Q361" s="66"/>
      <c r="R361" s="66"/>
      <c r="S361" s="66"/>
      <c r="T361" s="66"/>
      <c r="U361" s="66"/>
      <c r="V361" s="66"/>
      <c r="W361" s="66"/>
      <c r="X361" s="66"/>
      <c r="Y361" s="66"/>
      <c r="Z361" s="66"/>
    </row>
    <row r="362">
      <c r="A362" s="66"/>
      <c r="B362" s="66"/>
      <c r="C362" s="66"/>
      <c r="D362" s="66"/>
      <c r="E362" s="66"/>
      <c r="F362" s="66"/>
      <c r="G362" s="66"/>
      <c r="H362" s="66"/>
      <c r="I362" s="66"/>
      <c r="J362" s="66"/>
      <c r="K362" s="66"/>
      <c r="L362" s="66"/>
      <c r="M362" s="66" t="s">
        <v>445</v>
      </c>
      <c r="N362" s="158">
        <v>46280.0</v>
      </c>
      <c r="O362" s="66">
        <v>1.0</v>
      </c>
      <c r="P362" s="66"/>
      <c r="Q362" s="66"/>
      <c r="R362" s="66"/>
      <c r="S362" s="66"/>
      <c r="T362" s="66"/>
      <c r="U362" s="66"/>
      <c r="V362" s="66"/>
      <c r="W362" s="66"/>
      <c r="X362" s="66"/>
      <c r="Y362" s="66"/>
      <c r="Z362" s="66"/>
    </row>
    <row r="363">
      <c r="A363" s="66"/>
      <c r="B363" s="66"/>
      <c r="C363" s="66"/>
      <c r="D363" s="66"/>
      <c r="E363" s="66"/>
      <c r="F363" s="66"/>
      <c r="G363" s="66"/>
      <c r="H363" s="66"/>
      <c r="I363" s="66"/>
      <c r="J363" s="66"/>
      <c r="K363" s="66"/>
      <c r="L363" s="66"/>
      <c r="M363" s="66" t="s">
        <v>467</v>
      </c>
      <c r="N363" s="158">
        <v>46280.0</v>
      </c>
      <c r="O363" s="66">
        <v>1.0</v>
      </c>
      <c r="P363" s="66"/>
      <c r="Q363" s="66"/>
      <c r="R363" s="66"/>
      <c r="S363" s="66"/>
      <c r="T363" s="66"/>
      <c r="U363" s="66"/>
      <c r="V363" s="66"/>
      <c r="W363" s="66"/>
      <c r="X363" s="66"/>
      <c r="Y363" s="66"/>
      <c r="Z363" s="66"/>
    </row>
    <row r="364">
      <c r="A364" s="66"/>
      <c r="B364" s="66"/>
      <c r="C364" s="66"/>
      <c r="D364" s="66"/>
      <c r="E364" s="66"/>
      <c r="F364" s="66"/>
      <c r="G364" s="66"/>
      <c r="H364" s="66"/>
      <c r="I364" s="66"/>
      <c r="J364" s="66"/>
      <c r="K364" s="66"/>
      <c r="L364" s="66"/>
      <c r="M364" s="66" t="s">
        <v>424</v>
      </c>
      <c r="N364" s="158">
        <v>46280.0</v>
      </c>
      <c r="O364" s="66">
        <v>1.0</v>
      </c>
      <c r="P364" s="66"/>
      <c r="Q364" s="66"/>
      <c r="R364" s="66"/>
      <c r="S364" s="66"/>
      <c r="T364" s="66"/>
      <c r="U364" s="66"/>
      <c r="V364" s="66"/>
      <c r="W364" s="66"/>
      <c r="X364" s="66"/>
      <c r="Y364" s="66"/>
      <c r="Z364" s="66"/>
    </row>
    <row r="365">
      <c r="A365" s="66"/>
      <c r="B365" s="66"/>
      <c r="C365" s="66"/>
      <c r="D365" s="66"/>
      <c r="E365" s="66"/>
      <c r="F365" s="66"/>
      <c r="G365" s="66"/>
      <c r="H365" s="66"/>
      <c r="I365" s="66"/>
      <c r="J365" s="66"/>
      <c r="K365" s="66"/>
      <c r="L365" s="66"/>
      <c r="M365" s="66" t="s">
        <v>389</v>
      </c>
      <c r="N365" s="158">
        <v>46280.0</v>
      </c>
      <c r="O365" s="66">
        <v>1.0</v>
      </c>
      <c r="P365" s="66"/>
      <c r="Q365" s="66"/>
      <c r="R365" s="66"/>
      <c r="S365" s="66"/>
      <c r="T365" s="66"/>
      <c r="U365" s="66"/>
      <c r="V365" s="66"/>
      <c r="W365" s="66"/>
      <c r="X365" s="66"/>
      <c r="Y365" s="66"/>
      <c r="Z365" s="66"/>
    </row>
    <row r="366">
      <c r="A366" s="66"/>
      <c r="B366" s="66"/>
      <c r="C366" s="66"/>
      <c r="D366" s="66"/>
      <c r="E366" s="66"/>
      <c r="F366" s="66"/>
      <c r="G366" s="66"/>
      <c r="H366" s="66"/>
      <c r="I366" s="66"/>
      <c r="J366" s="66"/>
      <c r="K366" s="66"/>
      <c r="L366" s="66"/>
      <c r="M366" s="66" t="s">
        <v>438</v>
      </c>
      <c r="N366" s="158">
        <v>46280.0</v>
      </c>
      <c r="O366" s="66">
        <v>1.0</v>
      </c>
      <c r="P366" s="66"/>
      <c r="Q366" s="66"/>
      <c r="R366" s="66"/>
      <c r="S366" s="66"/>
      <c r="T366" s="66"/>
      <c r="U366" s="66"/>
      <c r="V366" s="66"/>
      <c r="W366" s="66"/>
      <c r="X366" s="66"/>
      <c r="Y366" s="66"/>
      <c r="Z366" s="66"/>
    </row>
    <row r="367">
      <c r="A367" s="66"/>
      <c r="B367" s="66"/>
      <c r="C367" s="66"/>
      <c r="D367" s="66"/>
      <c r="E367" s="66"/>
      <c r="F367" s="66"/>
      <c r="G367" s="66"/>
      <c r="H367" s="66"/>
      <c r="I367" s="66"/>
      <c r="J367" s="66"/>
      <c r="K367" s="66"/>
      <c r="L367" s="66"/>
      <c r="M367" s="66" t="s">
        <v>403</v>
      </c>
      <c r="N367" s="158">
        <v>46280.0</v>
      </c>
      <c r="O367" s="66">
        <v>1.0</v>
      </c>
      <c r="P367" s="66"/>
      <c r="Q367" s="66"/>
      <c r="R367" s="66"/>
      <c r="S367" s="66"/>
      <c r="T367" s="66"/>
      <c r="U367" s="66"/>
      <c r="V367" s="66"/>
      <c r="W367" s="66"/>
      <c r="X367" s="66"/>
      <c r="Y367" s="66"/>
      <c r="Z367" s="66"/>
    </row>
    <row r="368">
      <c r="A368" s="66"/>
      <c r="B368" s="66"/>
      <c r="C368" s="66"/>
      <c r="D368" s="66"/>
      <c r="E368" s="66"/>
      <c r="F368" s="66"/>
      <c r="G368" s="66"/>
      <c r="H368" s="66"/>
      <c r="I368" s="66"/>
      <c r="J368" s="66"/>
      <c r="K368" s="66"/>
      <c r="L368" s="66"/>
      <c r="M368" s="66" t="s">
        <v>452</v>
      </c>
      <c r="N368" s="158">
        <v>46280.0</v>
      </c>
      <c r="O368" s="66">
        <v>1.0</v>
      </c>
      <c r="P368" s="66"/>
      <c r="Q368" s="66"/>
      <c r="R368" s="66"/>
      <c r="S368" s="66"/>
      <c r="T368" s="66"/>
      <c r="U368" s="66"/>
      <c r="V368" s="66"/>
      <c r="W368" s="66"/>
      <c r="X368" s="66"/>
      <c r="Y368" s="66"/>
      <c r="Z368" s="66"/>
    </row>
    <row r="369">
      <c r="A369" s="66"/>
      <c r="B369" s="66"/>
      <c r="C369" s="66"/>
      <c r="D369" s="66"/>
      <c r="E369" s="66"/>
      <c r="F369" s="66"/>
      <c r="G369" s="66"/>
      <c r="H369" s="66"/>
      <c r="I369" s="66"/>
      <c r="J369" s="66"/>
      <c r="K369" s="66"/>
      <c r="L369" s="66"/>
      <c r="M369" s="66" t="s">
        <v>459</v>
      </c>
      <c r="N369" s="158">
        <v>46280.0</v>
      </c>
      <c r="O369" s="66">
        <v>1.0</v>
      </c>
      <c r="P369" s="66"/>
      <c r="Q369" s="66"/>
      <c r="R369" s="66"/>
      <c r="S369" s="66"/>
      <c r="T369" s="66"/>
      <c r="U369" s="66"/>
      <c r="V369" s="66"/>
      <c r="W369" s="66"/>
      <c r="X369" s="66"/>
      <c r="Y369" s="66"/>
      <c r="Z369" s="66"/>
    </row>
    <row r="370">
      <c r="A370" s="66"/>
      <c r="B370" s="66"/>
      <c r="C370" s="66"/>
      <c r="D370" s="66"/>
      <c r="E370" s="66"/>
      <c r="F370" s="66"/>
      <c r="G370" s="66"/>
      <c r="H370" s="66"/>
      <c r="I370" s="66"/>
      <c r="J370" s="66"/>
      <c r="K370" s="66"/>
      <c r="L370" s="66"/>
      <c r="M370" s="66" t="s">
        <v>410</v>
      </c>
      <c r="N370" s="158">
        <v>46280.0</v>
      </c>
      <c r="O370" s="66">
        <v>1.0</v>
      </c>
      <c r="P370" s="66"/>
      <c r="Q370" s="66"/>
      <c r="R370" s="66"/>
      <c r="S370" s="66"/>
      <c r="T370" s="66"/>
      <c r="U370" s="66"/>
      <c r="V370" s="66"/>
      <c r="W370" s="66"/>
      <c r="X370" s="66"/>
      <c r="Y370" s="66"/>
      <c r="Z370" s="66"/>
    </row>
    <row r="371">
      <c r="A371" s="66"/>
      <c r="B371" s="66"/>
      <c r="C371" s="66"/>
      <c r="D371" s="66"/>
      <c r="E371" s="66"/>
      <c r="F371" s="66"/>
      <c r="G371" s="66"/>
      <c r="H371" s="66"/>
      <c r="I371" s="66"/>
      <c r="J371" s="66"/>
      <c r="K371" s="66"/>
      <c r="L371" s="66"/>
      <c r="M371" s="66" t="s">
        <v>396</v>
      </c>
      <c r="N371" s="158">
        <v>46280.0</v>
      </c>
      <c r="O371" s="66">
        <v>1.0</v>
      </c>
      <c r="P371" s="66"/>
      <c r="Q371" s="66"/>
      <c r="R371" s="66"/>
      <c r="S371" s="66"/>
      <c r="T371" s="66"/>
      <c r="U371" s="66"/>
      <c r="V371" s="66"/>
      <c r="W371" s="66"/>
      <c r="X371" s="66"/>
      <c r="Y371" s="66"/>
      <c r="Z371" s="66"/>
    </row>
    <row r="372">
      <c r="A372" s="66"/>
      <c r="B372" s="66"/>
      <c r="C372" s="66"/>
      <c r="D372" s="66"/>
      <c r="E372" s="66"/>
      <c r="F372" s="66"/>
      <c r="G372" s="66"/>
      <c r="H372" s="66"/>
      <c r="I372" s="66"/>
      <c r="J372" s="66"/>
      <c r="K372" s="66"/>
      <c r="L372" s="66"/>
      <c r="M372" s="66" t="s">
        <v>480</v>
      </c>
      <c r="N372" s="158">
        <v>46280.0</v>
      </c>
      <c r="O372" s="66">
        <v>1.0</v>
      </c>
      <c r="P372" s="66"/>
      <c r="Q372" s="66"/>
      <c r="R372" s="66"/>
      <c r="S372" s="66"/>
      <c r="T372" s="66"/>
      <c r="U372" s="66"/>
      <c r="V372" s="66"/>
      <c r="W372" s="66"/>
      <c r="X372" s="66"/>
      <c r="Y372" s="66"/>
      <c r="Z372" s="66"/>
    </row>
    <row r="373">
      <c r="A373" s="66"/>
      <c r="B373" s="66"/>
      <c r="C373" s="66"/>
      <c r="D373" s="66"/>
      <c r="E373" s="66"/>
      <c r="F373" s="66"/>
      <c r="G373" s="66"/>
      <c r="H373" s="66"/>
      <c r="I373" s="66"/>
      <c r="J373" s="66"/>
      <c r="K373" s="66"/>
      <c r="L373" s="66"/>
      <c r="M373" s="66" t="s">
        <v>472</v>
      </c>
      <c r="N373" s="158">
        <v>46280.0</v>
      </c>
      <c r="O373" s="66">
        <v>1.0</v>
      </c>
      <c r="P373" s="66"/>
      <c r="Q373" s="66"/>
      <c r="R373" s="66"/>
      <c r="S373" s="66"/>
      <c r="T373" s="66"/>
      <c r="U373" s="66"/>
      <c r="V373" s="66"/>
      <c r="W373" s="66"/>
      <c r="X373" s="66"/>
      <c r="Y373" s="66"/>
      <c r="Z373" s="66"/>
    </row>
    <row r="374">
      <c r="A374" s="66"/>
      <c r="B374" s="66"/>
      <c r="C374" s="66"/>
      <c r="D374" s="66"/>
      <c r="E374" s="66"/>
      <c r="F374" s="66"/>
      <c r="G374" s="66"/>
      <c r="H374" s="66"/>
      <c r="I374" s="66"/>
      <c r="J374" s="66"/>
      <c r="K374" s="66"/>
      <c r="L374" s="66"/>
      <c r="M374" s="66" t="s">
        <v>356</v>
      </c>
      <c r="N374" s="158">
        <v>46280.0</v>
      </c>
      <c r="O374" s="66">
        <v>1.0</v>
      </c>
      <c r="P374" s="66"/>
      <c r="Q374" s="66"/>
      <c r="R374" s="66"/>
      <c r="S374" s="66"/>
      <c r="T374" s="66"/>
      <c r="U374" s="66"/>
      <c r="V374" s="66"/>
      <c r="W374" s="66"/>
      <c r="X374" s="66"/>
      <c r="Y374" s="66"/>
      <c r="Z374" s="66"/>
    </row>
    <row r="375">
      <c r="A375" s="66"/>
      <c r="B375" s="66"/>
      <c r="C375" s="66"/>
      <c r="D375" s="66"/>
      <c r="E375" s="66"/>
      <c r="F375" s="66"/>
      <c r="G375" s="66"/>
      <c r="H375" s="66"/>
      <c r="I375" s="66"/>
      <c r="J375" s="66"/>
      <c r="K375" s="66"/>
      <c r="L375" s="66"/>
      <c r="M375" s="66" t="s">
        <v>483</v>
      </c>
      <c r="N375" s="158">
        <v>46280.0</v>
      </c>
      <c r="O375" s="66">
        <v>1.0</v>
      </c>
      <c r="P375" s="66"/>
      <c r="Q375" s="66"/>
      <c r="R375" s="66"/>
      <c r="S375" s="66"/>
      <c r="T375" s="66"/>
      <c r="U375" s="66"/>
      <c r="V375" s="66"/>
      <c r="W375" s="66"/>
      <c r="X375" s="66"/>
      <c r="Y375" s="66"/>
      <c r="Z375" s="66"/>
    </row>
    <row r="376">
      <c r="A376" s="66"/>
      <c r="B376" s="66"/>
      <c r="C376" s="66"/>
      <c r="D376" s="66"/>
      <c r="E376" s="66"/>
      <c r="F376" s="66"/>
      <c r="G376" s="66"/>
      <c r="H376" s="66"/>
      <c r="I376" s="66"/>
      <c r="J376" s="66"/>
      <c r="K376" s="66"/>
      <c r="L376" s="66"/>
      <c r="M376" s="66" t="s">
        <v>486</v>
      </c>
      <c r="N376" s="158">
        <v>46280.0</v>
      </c>
      <c r="O376" s="66">
        <v>1.0</v>
      </c>
      <c r="P376" s="66"/>
      <c r="Q376" s="66"/>
      <c r="R376" s="66"/>
      <c r="S376" s="66"/>
      <c r="T376" s="66"/>
      <c r="U376" s="66"/>
      <c r="V376" s="66"/>
      <c r="W376" s="66"/>
      <c r="X376" s="66"/>
      <c r="Y376" s="66"/>
      <c r="Z376" s="66"/>
    </row>
    <row r="377">
      <c r="A377" s="66"/>
      <c r="B377" s="66"/>
      <c r="C377" s="66"/>
      <c r="D377" s="66"/>
      <c r="E377" s="66"/>
      <c r="F377" s="66"/>
      <c r="G377" s="66"/>
      <c r="H377" s="66"/>
      <c r="I377" s="66"/>
      <c r="J377" s="66"/>
      <c r="K377" s="66"/>
      <c r="L377" s="66"/>
      <c r="M377" s="66" t="s">
        <v>384</v>
      </c>
      <c r="N377" s="158">
        <v>46280.0</v>
      </c>
      <c r="O377" s="66">
        <v>1.0</v>
      </c>
      <c r="P377" s="66"/>
      <c r="Q377" s="66"/>
      <c r="R377" s="66"/>
      <c r="S377" s="66"/>
      <c r="T377" s="66"/>
      <c r="U377" s="66"/>
      <c r="V377" s="66"/>
      <c r="W377" s="66"/>
      <c r="X377" s="66"/>
      <c r="Y377" s="66"/>
      <c r="Z377" s="66"/>
    </row>
    <row r="378">
      <c r="A378" s="66"/>
      <c r="B378" s="66"/>
      <c r="C378" s="66"/>
      <c r="D378" s="66"/>
      <c r="E378" s="66"/>
      <c r="F378" s="66"/>
      <c r="G378" s="66"/>
      <c r="H378" s="66"/>
      <c r="I378" s="66"/>
      <c r="J378" s="66"/>
      <c r="K378" s="66"/>
      <c r="L378" s="66"/>
      <c r="M378" s="66" t="s">
        <v>376</v>
      </c>
      <c r="N378" s="158">
        <v>46280.0</v>
      </c>
      <c r="O378" s="66">
        <v>1.0</v>
      </c>
      <c r="P378" s="66"/>
      <c r="Q378" s="66"/>
      <c r="R378" s="66"/>
      <c r="S378" s="66"/>
      <c r="T378" s="66"/>
      <c r="U378" s="66"/>
      <c r="V378" s="66"/>
      <c r="W378" s="66"/>
      <c r="X378" s="66"/>
      <c r="Y378" s="66"/>
      <c r="Z378" s="66"/>
    </row>
    <row r="379">
      <c r="A379" s="66"/>
      <c r="B379" s="66"/>
      <c r="C379" s="66"/>
      <c r="D379" s="66"/>
      <c r="E379" s="66"/>
      <c r="F379" s="66"/>
      <c r="G379" s="66"/>
      <c r="H379" s="66"/>
      <c r="I379" s="66"/>
      <c r="J379" s="66"/>
      <c r="K379" s="66"/>
      <c r="L379" s="66"/>
      <c r="M379" s="66" t="s">
        <v>380</v>
      </c>
      <c r="N379" s="158">
        <v>46280.0</v>
      </c>
      <c r="O379" s="66">
        <v>1.0</v>
      </c>
      <c r="P379" s="66"/>
      <c r="Q379" s="66"/>
      <c r="R379" s="66"/>
      <c r="S379" s="66"/>
      <c r="T379" s="66"/>
      <c r="U379" s="66"/>
      <c r="V379" s="66"/>
      <c r="W379" s="66"/>
      <c r="X379" s="66"/>
      <c r="Y379" s="66"/>
      <c r="Z379" s="66"/>
    </row>
    <row r="380">
      <c r="A380" s="66"/>
      <c r="B380" s="66"/>
      <c r="C380" s="66"/>
      <c r="D380" s="66"/>
      <c r="E380" s="66"/>
      <c r="F380" s="66"/>
      <c r="G380" s="66"/>
      <c r="H380" s="66"/>
      <c r="I380" s="66"/>
      <c r="J380" s="66"/>
      <c r="K380" s="66"/>
      <c r="L380" s="66"/>
      <c r="M380" s="66" t="s">
        <v>416</v>
      </c>
      <c r="N380" s="158">
        <v>46280.0</v>
      </c>
      <c r="O380" s="66">
        <v>1.0</v>
      </c>
      <c r="P380" s="66"/>
      <c r="Q380" s="66"/>
      <c r="R380" s="66"/>
      <c r="S380" s="66"/>
      <c r="T380" s="66"/>
      <c r="U380" s="66"/>
      <c r="V380" s="66"/>
      <c r="W380" s="66"/>
      <c r="X380" s="66"/>
      <c r="Y380" s="66"/>
      <c r="Z380" s="66"/>
    </row>
    <row r="381">
      <c r="A381" s="66"/>
      <c r="B381" s="66"/>
      <c r="C381" s="66"/>
      <c r="D381" s="66"/>
      <c r="E381" s="66"/>
      <c r="F381" s="66"/>
      <c r="G381" s="66"/>
      <c r="H381" s="66"/>
      <c r="I381" s="66"/>
      <c r="J381" s="66"/>
      <c r="K381" s="66"/>
      <c r="L381" s="66"/>
      <c r="M381" s="66" t="s">
        <v>430</v>
      </c>
      <c r="N381" s="158">
        <v>46280.0</v>
      </c>
      <c r="O381" s="66">
        <v>1.0</v>
      </c>
      <c r="P381" s="66"/>
      <c r="Q381" s="66"/>
      <c r="R381" s="66"/>
      <c r="S381" s="66"/>
      <c r="T381" s="66"/>
      <c r="U381" s="66"/>
      <c r="V381" s="66"/>
      <c r="W381" s="66"/>
      <c r="X381" s="66"/>
      <c r="Y381" s="66"/>
      <c r="Z381" s="66"/>
    </row>
    <row r="382">
      <c r="A382" s="66"/>
      <c r="B382" s="66"/>
      <c r="C382" s="66"/>
      <c r="D382" s="66"/>
      <c r="E382" s="66"/>
      <c r="F382" s="66"/>
      <c r="G382" s="66"/>
      <c r="H382" s="66"/>
      <c r="I382" s="66"/>
      <c r="J382" s="66"/>
      <c r="K382" s="66"/>
      <c r="L382" s="66"/>
      <c r="M382" s="66" t="s">
        <v>444</v>
      </c>
      <c r="N382" s="158">
        <v>46280.0</v>
      </c>
      <c r="O382" s="66">
        <v>1.0</v>
      </c>
      <c r="P382" s="66"/>
      <c r="Q382" s="66"/>
      <c r="R382" s="66"/>
      <c r="S382" s="66"/>
      <c r="T382" s="66"/>
      <c r="U382" s="66"/>
      <c r="V382" s="66"/>
      <c r="W382" s="66"/>
      <c r="X382" s="66"/>
      <c r="Y382" s="66"/>
      <c r="Z382" s="66"/>
    </row>
    <row r="383">
      <c r="A383" s="66"/>
      <c r="B383" s="66"/>
      <c r="C383" s="66"/>
      <c r="D383" s="66"/>
      <c r="E383" s="66"/>
      <c r="F383" s="66"/>
      <c r="G383" s="66"/>
      <c r="H383" s="66"/>
      <c r="I383" s="66"/>
      <c r="J383" s="66"/>
      <c r="K383" s="66"/>
      <c r="L383" s="66"/>
      <c r="M383" s="66" t="s">
        <v>466</v>
      </c>
      <c r="N383" s="158">
        <v>46280.0</v>
      </c>
      <c r="O383" s="66">
        <v>1.0</v>
      </c>
      <c r="P383" s="66"/>
      <c r="Q383" s="66"/>
      <c r="R383" s="66"/>
      <c r="S383" s="66"/>
      <c r="T383" s="66"/>
      <c r="U383" s="66"/>
      <c r="V383" s="66"/>
      <c r="W383" s="66"/>
      <c r="X383" s="66"/>
      <c r="Y383" s="66"/>
      <c r="Z383" s="66"/>
    </row>
    <row r="384">
      <c r="A384" s="66"/>
      <c r="B384" s="66"/>
      <c r="C384" s="66"/>
      <c r="D384" s="66"/>
      <c r="E384" s="66"/>
      <c r="F384" s="66"/>
      <c r="G384" s="66"/>
      <c r="H384" s="66"/>
      <c r="I384" s="66"/>
      <c r="J384" s="66"/>
      <c r="K384" s="66"/>
      <c r="L384" s="66"/>
      <c r="M384" s="66" t="s">
        <v>423</v>
      </c>
      <c r="N384" s="158">
        <v>46280.0</v>
      </c>
      <c r="O384" s="66">
        <v>1.0</v>
      </c>
      <c r="P384" s="66"/>
      <c r="Q384" s="66"/>
      <c r="R384" s="66"/>
      <c r="S384" s="66"/>
      <c r="T384" s="66"/>
      <c r="U384" s="66"/>
      <c r="V384" s="66"/>
      <c r="W384" s="66"/>
      <c r="X384" s="66"/>
      <c r="Y384" s="66"/>
      <c r="Z384" s="66"/>
    </row>
    <row r="385">
      <c r="A385" s="66"/>
      <c r="B385" s="66"/>
      <c r="C385" s="66"/>
      <c r="D385" s="66"/>
      <c r="E385" s="66"/>
      <c r="F385" s="66"/>
      <c r="G385" s="66"/>
      <c r="H385" s="66"/>
      <c r="I385" s="66"/>
      <c r="J385" s="66"/>
      <c r="K385" s="66"/>
      <c r="L385" s="66"/>
      <c r="M385" s="66" t="s">
        <v>388</v>
      </c>
      <c r="N385" s="158">
        <v>46280.0</v>
      </c>
      <c r="O385" s="66">
        <v>1.0</v>
      </c>
      <c r="P385" s="66"/>
      <c r="Q385" s="66"/>
      <c r="R385" s="66"/>
      <c r="S385" s="66"/>
      <c r="T385" s="66"/>
      <c r="U385" s="66"/>
      <c r="V385" s="66"/>
      <c r="W385" s="66"/>
      <c r="X385" s="66"/>
      <c r="Y385" s="66"/>
      <c r="Z385" s="66"/>
    </row>
    <row r="386">
      <c r="A386" s="66"/>
      <c r="B386" s="66"/>
      <c r="C386" s="66"/>
      <c r="D386" s="66"/>
      <c r="E386" s="66"/>
      <c r="F386" s="66"/>
      <c r="G386" s="66"/>
      <c r="H386" s="66"/>
      <c r="I386" s="66"/>
      <c r="J386" s="66"/>
      <c r="K386" s="66"/>
      <c r="L386" s="66"/>
      <c r="M386" s="66" t="s">
        <v>437</v>
      </c>
      <c r="N386" s="158">
        <v>46280.0</v>
      </c>
      <c r="O386" s="66">
        <v>1.0</v>
      </c>
      <c r="P386" s="66"/>
      <c r="Q386" s="66"/>
      <c r="R386" s="66"/>
      <c r="S386" s="66"/>
      <c r="T386" s="66"/>
      <c r="U386" s="66"/>
      <c r="V386" s="66"/>
      <c r="W386" s="66"/>
      <c r="X386" s="66"/>
      <c r="Y386" s="66"/>
      <c r="Z386" s="66"/>
    </row>
    <row r="387">
      <c r="A387" s="66"/>
      <c r="B387" s="66"/>
      <c r="C387" s="66"/>
      <c r="D387" s="66"/>
      <c r="E387" s="66"/>
      <c r="F387" s="66"/>
      <c r="G387" s="66"/>
      <c r="H387" s="66"/>
      <c r="I387" s="66"/>
      <c r="J387" s="66"/>
      <c r="K387" s="66"/>
      <c r="L387" s="66"/>
      <c r="M387" s="66" t="s">
        <v>402</v>
      </c>
      <c r="N387" s="158">
        <v>46280.0</v>
      </c>
      <c r="O387" s="66">
        <v>1.0</v>
      </c>
      <c r="P387" s="66"/>
      <c r="Q387" s="66"/>
      <c r="R387" s="66"/>
      <c r="S387" s="66"/>
      <c r="T387" s="66"/>
      <c r="U387" s="66"/>
      <c r="V387" s="66"/>
      <c r="W387" s="66"/>
      <c r="X387" s="66"/>
      <c r="Y387" s="66"/>
      <c r="Z387" s="66"/>
    </row>
    <row r="388">
      <c r="A388" s="66"/>
      <c r="B388" s="66"/>
      <c r="C388" s="66"/>
      <c r="D388" s="66"/>
      <c r="E388" s="66"/>
      <c r="F388" s="66"/>
      <c r="G388" s="66"/>
      <c r="H388" s="66"/>
      <c r="I388" s="66"/>
      <c r="J388" s="66"/>
      <c r="K388" s="66"/>
      <c r="L388" s="66"/>
      <c r="M388" s="66" t="s">
        <v>451</v>
      </c>
      <c r="N388" s="158">
        <v>46280.0</v>
      </c>
      <c r="O388" s="66">
        <v>1.0</v>
      </c>
      <c r="P388" s="66"/>
      <c r="Q388" s="66"/>
      <c r="R388" s="66"/>
      <c r="S388" s="66"/>
      <c r="T388" s="66"/>
      <c r="U388" s="66"/>
      <c r="V388" s="66"/>
      <c r="W388" s="66"/>
      <c r="X388" s="66"/>
      <c r="Y388" s="66"/>
      <c r="Z388" s="66"/>
    </row>
    <row r="389">
      <c r="A389" s="66"/>
      <c r="B389" s="66"/>
      <c r="C389" s="66"/>
      <c r="D389" s="66"/>
      <c r="E389" s="66"/>
      <c r="F389" s="66"/>
      <c r="G389" s="66"/>
      <c r="H389" s="66"/>
      <c r="I389" s="66"/>
      <c r="J389" s="66"/>
      <c r="K389" s="66"/>
      <c r="L389" s="66"/>
      <c r="M389" s="66" t="s">
        <v>458</v>
      </c>
      <c r="N389" s="158">
        <v>46280.0</v>
      </c>
      <c r="O389" s="66">
        <v>1.0</v>
      </c>
      <c r="P389" s="66"/>
      <c r="Q389" s="66"/>
      <c r="R389" s="66"/>
      <c r="S389" s="66"/>
      <c r="T389" s="66"/>
      <c r="U389" s="66"/>
      <c r="V389" s="66"/>
      <c r="W389" s="66"/>
      <c r="X389" s="66"/>
      <c r="Y389" s="66"/>
      <c r="Z389" s="66"/>
    </row>
    <row r="390">
      <c r="A390" s="66"/>
      <c r="B390" s="66"/>
      <c r="C390" s="66"/>
      <c r="D390" s="66"/>
      <c r="E390" s="66"/>
      <c r="F390" s="66"/>
      <c r="G390" s="66"/>
      <c r="H390" s="66"/>
      <c r="I390" s="66"/>
      <c r="J390" s="66"/>
      <c r="K390" s="66"/>
      <c r="L390" s="66"/>
      <c r="M390" s="66" t="s">
        <v>409</v>
      </c>
      <c r="N390" s="158">
        <v>46280.0</v>
      </c>
      <c r="O390" s="66">
        <v>1.0</v>
      </c>
      <c r="P390" s="66"/>
      <c r="Q390" s="66"/>
      <c r="R390" s="66"/>
      <c r="S390" s="66"/>
      <c r="T390" s="66"/>
      <c r="U390" s="66"/>
      <c r="V390" s="66"/>
      <c r="W390" s="66"/>
      <c r="X390" s="66"/>
      <c r="Y390" s="66"/>
      <c r="Z390" s="66"/>
    </row>
    <row r="391">
      <c r="A391" s="66"/>
      <c r="B391" s="66"/>
      <c r="C391" s="66"/>
      <c r="D391" s="66"/>
      <c r="E391" s="66"/>
      <c r="F391" s="66"/>
      <c r="G391" s="66"/>
      <c r="H391" s="66"/>
      <c r="I391" s="66"/>
      <c r="J391" s="66"/>
      <c r="K391" s="66"/>
      <c r="L391" s="66"/>
      <c r="M391" s="66" t="s">
        <v>395</v>
      </c>
      <c r="N391" s="158">
        <v>46280.0</v>
      </c>
      <c r="O391" s="66">
        <v>1.0</v>
      </c>
      <c r="P391" s="66"/>
      <c r="Q391" s="66"/>
      <c r="R391" s="66"/>
      <c r="S391" s="66"/>
      <c r="T391" s="66"/>
      <c r="U391" s="66"/>
      <c r="V391" s="66"/>
      <c r="W391" s="66"/>
      <c r="X391" s="66"/>
      <c r="Y391" s="66"/>
      <c r="Z391" s="66"/>
    </row>
    <row r="392">
      <c r="A392" s="66"/>
      <c r="B392" s="66"/>
      <c r="C392" s="66"/>
      <c r="D392" s="66"/>
      <c r="E392" s="66"/>
      <c r="F392" s="66"/>
      <c r="G392" s="66"/>
      <c r="H392" s="66"/>
      <c r="I392" s="66"/>
      <c r="J392" s="66"/>
      <c r="K392" s="66"/>
      <c r="L392" s="66"/>
      <c r="M392" s="66" t="s">
        <v>479</v>
      </c>
      <c r="N392" s="158">
        <v>46280.0</v>
      </c>
      <c r="O392" s="66">
        <v>1.0</v>
      </c>
      <c r="P392" s="66"/>
      <c r="Q392" s="66"/>
      <c r="R392" s="66"/>
      <c r="S392" s="66"/>
      <c r="T392" s="66"/>
      <c r="U392" s="66"/>
      <c r="V392" s="66"/>
      <c r="W392" s="66"/>
      <c r="X392" s="66"/>
      <c r="Y392" s="66"/>
      <c r="Z392" s="66"/>
    </row>
    <row r="393">
      <c r="A393" s="66"/>
      <c r="B393" s="66"/>
      <c r="C393" s="66"/>
      <c r="D393" s="66"/>
      <c r="E393" s="66"/>
      <c r="F393" s="66"/>
      <c r="G393" s="66"/>
      <c r="H393" s="66"/>
      <c r="I393" s="66"/>
      <c r="J393" s="66"/>
      <c r="K393" s="66"/>
      <c r="L393" s="66"/>
      <c r="M393" s="66" t="s">
        <v>474</v>
      </c>
      <c r="N393" s="158">
        <v>46280.0</v>
      </c>
      <c r="O393" s="66">
        <v>1.0</v>
      </c>
      <c r="P393" s="66"/>
      <c r="Q393" s="66"/>
      <c r="R393" s="66"/>
      <c r="S393" s="66"/>
      <c r="T393" s="66"/>
      <c r="U393" s="66"/>
      <c r="V393" s="66"/>
      <c r="W393" s="66"/>
      <c r="X393" s="66"/>
      <c r="Y393" s="66"/>
      <c r="Z393" s="66"/>
    </row>
    <row r="394">
      <c r="A394" s="66"/>
      <c r="B394" s="66"/>
      <c r="C394" s="66"/>
      <c r="D394" s="66"/>
      <c r="E394" s="66"/>
      <c r="F394" s="66"/>
      <c r="G394" s="66"/>
      <c r="H394" s="66"/>
      <c r="I394" s="66"/>
      <c r="J394" s="66"/>
      <c r="K394" s="66"/>
      <c r="L394" s="66"/>
      <c r="M394" s="66" t="s">
        <v>463</v>
      </c>
      <c r="N394" s="158">
        <v>46280.0</v>
      </c>
      <c r="O394" s="66">
        <v>1.0</v>
      </c>
      <c r="P394" s="66"/>
      <c r="Q394" s="66"/>
      <c r="R394" s="66"/>
      <c r="S394" s="66"/>
      <c r="T394" s="66"/>
      <c r="U394" s="66"/>
      <c r="V394" s="66"/>
      <c r="W394" s="66"/>
      <c r="X394" s="66"/>
      <c r="Y394" s="66"/>
      <c r="Z394" s="66"/>
    </row>
    <row r="395">
      <c r="A395" s="66"/>
      <c r="B395" s="66"/>
      <c r="C395" s="66"/>
      <c r="D395" s="66"/>
      <c r="E395" s="66"/>
      <c r="F395" s="66"/>
      <c r="G395" s="66"/>
      <c r="H395" s="66"/>
      <c r="I395" s="66"/>
      <c r="J395" s="66"/>
      <c r="K395" s="66"/>
      <c r="L395" s="66"/>
      <c r="M395" s="66" t="s">
        <v>473</v>
      </c>
      <c r="N395" s="158">
        <v>46280.0</v>
      </c>
      <c r="O395" s="66">
        <v>1.0</v>
      </c>
      <c r="P395" s="66"/>
      <c r="Q395" s="66"/>
      <c r="R395" s="66"/>
      <c r="S395" s="66"/>
      <c r="T395" s="66"/>
      <c r="U395" s="66"/>
      <c r="V395" s="66"/>
      <c r="W395" s="66"/>
      <c r="X395" s="66"/>
      <c r="Y395" s="66"/>
      <c r="Z395" s="66"/>
    </row>
    <row r="396">
      <c r="A396" s="66"/>
      <c r="B396" s="66"/>
      <c r="C396" s="66"/>
      <c r="D396" s="66"/>
      <c r="E396" s="66"/>
      <c r="F396" s="66"/>
      <c r="G396" s="66"/>
      <c r="H396" s="66"/>
      <c r="I396" s="66"/>
      <c r="J396" s="66"/>
      <c r="K396" s="66"/>
      <c r="L396" s="66"/>
      <c r="M396" s="66" t="s">
        <v>375</v>
      </c>
      <c r="N396" s="158">
        <v>46280.0</v>
      </c>
      <c r="O396" s="66">
        <v>18.0</v>
      </c>
      <c r="P396" s="66"/>
      <c r="Q396" s="66"/>
      <c r="R396" s="66"/>
      <c r="S396" s="66"/>
      <c r="T396" s="66"/>
      <c r="U396" s="66"/>
      <c r="V396" s="66"/>
      <c r="W396" s="66"/>
      <c r="X396" s="66"/>
      <c r="Y396" s="66"/>
      <c r="Z396" s="66"/>
    </row>
    <row r="397">
      <c r="A397" s="66"/>
      <c r="B397" s="66"/>
      <c r="C397" s="66"/>
      <c r="D397" s="66"/>
      <c r="E397" s="66"/>
      <c r="F397" s="66"/>
      <c r="G397" s="66"/>
      <c r="H397" s="66"/>
      <c r="I397" s="66"/>
      <c r="J397" s="66"/>
      <c r="K397" s="66"/>
      <c r="L397" s="66"/>
      <c r="M397" s="66" t="s">
        <v>330</v>
      </c>
      <c r="N397" s="158">
        <v>46280.0</v>
      </c>
      <c r="O397" s="66">
        <v>1.0</v>
      </c>
      <c r="P397" s="66"/>
      <c r="Q397" s="66"/>
      <c r="R397" s="66"/>
      <c r="S397" s="66"/>
      <c r="T397" s="66"/>
      <c r="U397" s="66"/>
      <c r="V397" s="66"/>
      <c r="W397" s="66"/>
      <c r="X397" s="66"/>
      <c r="Y397" s="66"/>
      <c r="Z397" s="66"/>
    </row>
    <row r="398">
      <c r="A398" s="66"/>
      <c r="B398" s="66"/>
      <c r="C398" s="66"/>
      <c r="D398" s="66"/>
      <c r="E398" s="66"/>
      <c r="F398" s="66"/>
      <c r="G398" s="66"/>
      <c r="H398" s="66"/>
      <c r="I398" s="66"/>
      <c r="J398" s="66"/>
      <c r="K398" s="66"/>
      <c r="L398" s="66"/>
      <c r="M398" s="66" t="s">
        <v>333</v>
      </c>
      <c r="N398" s="158">
        <v>46280.0</v>
      </c>
      <c r="O398" s="66">
        <v>1.0</v>
      </c>
      <c r="P398" s="66"/>
      <c r="Q398" s="66"/>
      <c r="R398" s="66"/>
      <c r="S398" s="66"/>
      <c r="T398" s="66"/>
      <c r="U398" s="66"/>
      <c r="V398" s="66"/>
      <c r="W398" s="66"/>
      <c r="X398" s="66"/>
      <c r="Y398" s="66"/>
      <c r="Z398" s="66"/>
    </row>
    <row r="399">
      <c r="A399" s="66"/>
      <c r="B399" s="66"/>
      <c r="C399" s="66"/>
      <c r="D399" s="66"/>
      <c r="E399" s="66"/>
      <c r="F399" s="66"/>
      <c r="G399" s="66"/>
      <c r="H399" s="66"/>
      <c r="I399" s="66"/>
      <c r="J399" s="66"/>
      <c r="K399" s="66"/>
      <c r="L399" s="66"/>
      <c r="M399" s="66" t="s">
        <v>340</v>
      </c>
      <c r="N399" s="158">
        <v>46280.0</v>
      </c>
      <c r="O399" s="66">
        <v>1.0</v>
      </c>
      <c r="P399" s="66"/>
      <c r="Q399" s="66"/>
      <c r="R399" s="66"/>
      <c r="S399" s="66"/>
      <c r="T399" s="66"/>
      <c r="U399" s="66"/>
      <c r="V399" s="66"/>
      <c r="W399" s="66"/>
      <c r="X399" s="66"/>
      <c r="Y399" s="66"/>
      <c r="Z399" s="66"/>
    </row>
    <row r="400">
      <c r="A400" s="66"/>
      <c r="B400" s="66"/>
      <c r="C400" s="66"/>
      <c r="D400" s="66"/>
      <c r="E400" s="66"/>
      <c r="F400" s="66"/>
      <c r="G400" s="66"/>
      <c r="H400" s="66"/>
      <c r="I400" s="66"/>
      <c r="J400" s="66"/>
      <c r="K400" s="66"/>
      <c r="L400" s="66"/>
      <c r="M400" s="66" t="s">
        <v>308</v>
      </c>
      <c r="N400" s="158">
        <v>46280.0</v>
      </c>
      <c r="O400" s="66">
        <v>1.0</v>
      </c>
      <c r="P400" s="66"/>
      <c r="Q400" s="66"/>
      <c r="R400" s="66"/>
      <c r="S400" s="66"/>
      <c r="T400" s="66"/>
      <c r="U400" s="66"/>
      <c r="V400" s="66"/>
      <c r="W400" s="66"/>
      <c r="X400" s="66"/>
      <c r="Y400" s="66"/>
      <c r="Z400" s="66"/>
    </row>
    <row r="401">
      <c r="A401" s="66"/>
      <c r="B401" s="66"/>
      <c r="C401" s="66"/>
      <c r="D401" s="66"/>
      <c r="E401" s="66"/>
      <c r="F401" s="66"/>
      <c r="G401" s="66"/>
      <c r="H401" s="66"/>
      <c r="I401" s="66"/>
      <c r="J401" s="66"/>
      <c r="K401" s="66"/>
      <c r="L401" s="66"/>
      <c r="M401" s="66" t="s">
        <v>319</v>
      </c>
      <c r="N401" s="158">
        <v>46280.0</v>
      </c>
      <c r="O401" s="66">
        <v>1.0</v>
      </c>
      <c r="P401" s="66"/>
      <c r="Q401" s="66"/>
      <c r="R401" s="66"/>
      <c r="S401" s="66"/>
      <c r="T401" s="66"/>
      <c r="U401" s="66"/>
      <c r="V401" s="66"/>
      <c r="W401" s="66"/>
      <c r="X401" s="66"/>
      <c r="Y401" s="66"/>
      <c r="Z401" s="66"/>
    </row>
    <row r="402">
      <c r="A402" s="66"/>
      <c r="B402" s="66"/>
      <c r="C402" s="66"/>
      <c r="D402" s="66"/>
      <c r="E402" s="66"/>
      <c r="F402" s="66"/>
      <c r="G402" s="66"/>
      <c r="H402" s="66"/>
      <c r="I402" s="66"/>
      <c r="J402" s="66"/>
      <c r="K402" s="66"/>
      <c r="L402" s="66"/>
      <c r="M402" s="66" t="s">
        <v>315</v>
      </c>
      <c r="N402" s="158">
        <v>46280.0</v>
      </c>
      <c r="O402" s="66">
        <v>1.0</v>
      </c>
      <c r="P402" s="66"/>
      <c r="Q402" s="66"/>
      <c r="R402" s="66"/>
      <c r="S402" s="66"/>
      <c r="T402" s="66"/>
      <c r="U402" s="66"/>
      <c r="V402" s="66"/>
      <c r="W402" s="66"/>
      <c r="X402" s="66"/>
      <c r="Y402" s="66"/>
      <c r="Z402" s="66"/>
    </row>
    <row r="403">
      <c r="A403" s="66"/>
      <c r="B403" s="66"/>
      <c r="C403" s="66"/>
      <c r="D403" s="66"/>
      <c r="E403" s="66"/>
      <c r="F403" s="66"/>
      <c r="G403" s="66"/>
      <c r="H403" s="66"/>
      <c r="I403" s="66"/>
      <c r="J403" s="66"/>
      <c r="K403" s="66"/>
      <c r="L403" s="66"/>
      <c r="M403" s="66" t="s">
        <v>327</v>
      </c>
      <c r="N403" s="158">
        <v>46280.0</v>
      </c>
      <c r="O403" s="66">
        <v>1.0</v>
      </c>
      <c r="P403" s="66"/>
      <c r="Q403" s="66"/>
      <c r="R403" s="66"/>
      <c r="S403" s="66"/>
      <c r="T403" s="66"/>
      <c r="U403" s="66"/>
      <c r="V403" s="66"/>
      <c r="W403" s="66"/>
      <c r="X403" s="66"/>
      <c r="Y403" s="66"/>
      <c r="Z403" s="66"/>
    </row>
    <row r="404">
      <c r="A404" s="66"/>
      <c r="B404" s="66"/>
      <c r="C404" s="66"/>
      <c r="D404" s="66"/>
      <c r="E404" s="66"/>
      <c r="F404" s="66"/>
      <c r="G404" s="66"/>
      <c r="H404" s="66"/>
      <c r="I404" s="66"/>
      <c r="J404" s="66"/>
      <c r="K404" s="66"/>
      <c r="L404" s="66"/>
      <c r="M404" s="66" t="s">
        <v>337</v>
      </c>
      <c r="N404" s="158">
        <v>46280.0</v>
      </c>
      <c r="O404" s="66">
        <v>1.0</v>
      </c>
      <c r="P404" s="66"/>
      <c r="Q404" s="66"/>
      <c r="R404" s="66"/>
      <c r="S404" s="66"/>
      <c r="T404" s="66"/>
      <c r="U404" s="66"/>
      <c r="V404" s="66"/>
      <c r="W404" s="66"/>
      <c r="X404" s="66"/>
      <c r="Y404" s="66"/>
      <c r="Z404" s="66"/>
    </row>
    <row r="405">
      <c r="A405" s="66"/>
      <c r="B405" s="66"/>
      <c r="C405" s="66"/>
      <c r="D405" s="66"/>
      <c r="E405" s="66"/>
      <c r="F405" s="66"/>
      <c r="G405" s="66"/>
      <c r="H405" s="66"/>
      <c r="I405" s="66"/>
      <c r="J405" s="66"/>
      <c r="K405" s="66"/>
      <c r="L405" s="66"/>
      <c r="M405" s="66" t="s">
        <v>311</v>
      </c>
      <c r="N405" s="158">
        <v>46280.0</v>
      </c>
      <c r="O405" s="66">
        <v>1.0</v>
      </c>
      <c r="P405" s="66"/>
      <c r="Q405" s="66"/>
      <c r="R405" s="66"/>
      <c r="S405" s="66"/>
      <c r="T405" s="66"/>
      <c r="U405" s="66"/>
      <c r="V405" s="66"/>
      <c r="W405" s="66"/>
      <c r="X405" s="66"/>
      <c r="Y405" s="66"/>
      <c r="Z405" s="66"/>
    </row>
    <row r="406">
      <c r="A406" s="66"/>
      <c r="B406" s="66"/>
      <c r="C406" s="66"/>
      <c r="D406" s="66"/>
      <c r="E406" s="66"/>
      <c r="F406" s="66"/>
      <c r="G406" s="66"/>
      <c r="H406" s="66"/>
      <c r="I406" s="66"/>
      <c r="J406" s="66"/>
      <c r="K406" s="66"/>
      <c r="L406" s="66"/>
      <c r="M406" s="66" t="s">
        <v>323</v>
      </c>
      <c r="N406" s="158">
        <v>46280.0</v>
      </c>
      <c r="O406" s="66">
        <v>1.0</v>
      </c>
      <c r="P406" s="66"/>
      <c r="Q406" s="66"/>
      <c r="R406" s="66"/>
      <c r="S406" s="66"/>
      <c r="T406" s="66"/>
      <c r="U406" s="66"/>
      <c r="V406" s="66"/>
      <c r="W406" s="66"/>
      <c r="X406" s="66"/>
      <c r="Y406" s="66"/>
      <c r="Z406" s="66"/>
    </row>
    <row r="407">
      <c r="A407" s="66"/>
      <c r="B407" s="66"/>
      <c r="C407" s="66"/>
      <c r="D407" s="66"/>
      <c r="E407" s="66"/>
      <c r="F407" s="66"/>
      <c r="G407" s="66"/>
      <c r="H407" s="66"/>
      <c r="I407" s="66"/>
      <c r="J407" s="66"/>
      <c r="K407" s="66"/>
      <c r="L407" s="66"/>
      <c r="M407" s="66" t="s">
        <v>369</v>
      </c>
      <c r="N407" s="158">
        <v>46280.0</v>
      </c>
      <c r="O407" s="66">
        <v>1.0</v>
      </c>
      <c r="P407" s="66"/>
      <c r="Q407" s="66"/>
      <c r="R407" s="66"/>
      <c r="S407" s="66"/>
      <c r="T407" s="66"/>
      <c r="U407" s="66"/>
      <c r="V407" s="66"/>
      <c r="W407" s="66"/>
      <c r="X407" s="66"/>
      <c r="Y407" s="66"/>
      <c r="Z407" s="66"/>
    </row>
    <row r="408">
      <c r="A408" s="66"/>
      <c r="B408" s="66"/>
      <c r="C408" s="66"/>
      <c r="D408" s="66"/>
      <c r="E408" s="66"/>
      <c r="F408" s="66"/>
      <c r="G408" s="66"/>
      <c r="H408" s="66"/>
      <c r="I408" s="66"/>
      <c r="J408" s="66"/>
      <c r="K408" s="66"/>
      <c r="L408" s="66"/>
      <c r="M408" s="66" t="s">
        <v>358</v>
      </c>
      <c r="N408" s="158">
        <v>46280.0</v>
      </c>
      <c r="O408" s="66">
        <v>1.0</v>
      </c>
      <c r="P408" s="66"/>
      <c r="Q408" s="66"/>
      <c r="R408" s="66"/>
      <c r="S408" s="66"/>
      <c r="T408" s="66"/>
      <c r="U408" s="66"/>
      <c r="V408" s="66"/>
      <c r="W408" s="66"/>
      <c r="X408" s="66"/>
      <c r="Y408" s="66"/>
      <c r="Z408" s="66"/>
    </row>
    <row r="409">
      <c r="A409" s="66"/>
      <c r="B409" s="66"/>
      <c r="C409" s="66"/>
      <c r="D409" s="66"/>
      <c r="E409" s="66"/>
      <c r="F409" s="66"/>
      <c r="G409" s="66"/>
      <c r="H409" s="66"/>
      <c r="I409" s="66"/>
      <c r="J409" s="66"/>
      <c r="K409" s="66"/>
      <c r="L409" s="66"/>
      <c r="M409" s="66" t="s">
        <v>476</v>
      </c>
      <c r="N409" s="158">
        <v>46280.0</v>
      </c>
      <c r="O409" s="66">
        <v>1.0</v>
      </c>
      <c r="P409" s="66"/>
      <c r="Q409" s="66"/>
      <c r="R409" s="66"/>
      <c r="S409" s="66"/>
      <c r="T409" s="66"/>
      <c r="U409" s="66"/>
      <c r="V409" s="66"/>
      <c r="W409" s="66"/>
      <c r="X409" s="66"/>
      <c r="Y409" s="66"/>
      <c r="Z409" s="66"/>
    </row>
    <row r="410">
      <c r="A410" s="66"/>
      <c r="B410" s="66"/>
      <c r="C410" s="66"/>
      <c r="D410" s="66"/>
      <c r="E410" s="66"/>
      <c r="F410" s="66"/>
      <c r="G410" s="66"/>
      <c r="H410" s="66"/>
      <c r="I410" s="66"/>
      <c r="J410" s="66"/>
      <c r="K410" s="66"/>
      <c r="L410" s="66"/>
      <c r="M410" s="66" t="s">
        <v>349</v>
      </c>
      <c r="N410" s="158">
        <v>46280.0</v>
      </c>
      <c r="O410" s="66">
        <v>1.0</v>
      </c>
      <c r="P410" s="66"/>
      <c r="Q410" s="66"/>
      <c r="R410" s="66"/>
      <c r="S410" s="66"/>
      <c r="T410" s="66"/>
      <c r="U410" s="66"/>
      <c r="V410" s="66"/>
      <c r="W410" s="66"/>
      <c r="X410" s="66"/>
      <c r="Y410" s="66"/>
      <c r="Z410" s="66"/>
    </row>
    <row r="411">
      <c r="A411" s="66"/>
      <c r="B411" s="66"/>
      <c r="C411" s="66"/>
      <c r="D411" s="66"/>
      <c r="E411" s="66"/>
      <c r="F411" s="66"/>
      <c r="G411" s="66"/>
      <c r="H411" s="66"/>
      <c r="I411" s="66"/>
      <c r="J411" s="66"/>
      <c r="K411" s="66"/>
      <c r="L411" s="66"/>
      <c r="M411" s="66" t="s">
        <v>352</v>
      </c>
      <c r="N411" s="158">
        <v>46280.0</v>
      </c>
      <c r="O411" s="66">
        <v>1.0</v>
      </c>
      <c r="P411" s="66"/>
      <c r="Q411" s="66"/>
      <c r="R411" s="66"/>
      <c r="S411" s="66"/>
      <c r="T411" s="66"/>
      <c r="U411" s="66"/>
      <c r="V411" s="66"/>
      <c r="W411" s="66"/>
      <c r="X411" s="66"/>
      <c r="Y411" s="66"/>
      <c r="Z411" s="66"/>
    </row>
    <row r="412">
      <c r="A412" s="66"/>
      <c r="B412" s="66"/>
      <c r="C412" s="66"/>
      <c r="D412" s="66"/>
      <c r="E412" s="66"/>
      <c r="F412" s="66"/>
      <c r="G412" s="66"/>
      <c r="H412" s="66"/>
      <c r="I412" s="66"/>
      <c r="J412" s="66"/>
      <c r="K412" s="66"/>
      <c r="L412" s="66"/>
      <c r="M412" s="66" t="s">
        <v>343</v>
      </c>
      <c r="N412" s="158">
        <v>46280.0</v>
      </c>
      <c r="O412" s="66">
        <v>1.0</v>
      </c>
      <c r="P412" s="66"/>
      <c r="Q412" s="66"/>
      <c r="R412" s="66"/>
      <c r="S412" s="66"/>
      <c r="T412" s="66"/>
      <c r="U412" s="66"/>
      <c r="V412" s="66"/>
      <c r="W412" s="66"/>
      <c r="X412" s="66"/>
      <c r="Y412" s="66"/>
      <c r="Z412" s="66"/>
    </row>
    <row r="413">
      <c r="A413" s="66"/>
      <c r="B413" s="66"/>
      <c r="C413" s="66"/>
      <c r="D413" s="66"/>
      <c r="E413" s="66"/>
      <c r="F413" s="66"/>
      <c r="G413" s="66"/>
      <c r="H413" s="66"/>
      <c r="I413" s="66"/>
      <c r="J413" s="66"/>
      <c r="K413" s="66"/>
      <c r="L413" s="66"/>
      <c r="M413" s="66" t="s">
        <v>346</v>
      </c>
      <c r="N413" s="158">
        <v>46280.0</v>
      </c>
      <c r="O413" s="66">
        <v>1.0</v>
      </c>
      <c r="P413" s="66"/>
      <c r="Q413" s="66"/>
      <c r="R413" s="66"/>
      <c r="S413" s="66"/>
      <c r="T413" s="66"/>
      <c r="U413" s="66"/>
      <c r="V413" s="66"/>
      <c r="W413" s="66"/>
      <c r="X413" s="66"/>
      <c r="Y413" s="66"/>
      <c r="Z413" s="66"/>
    </row>
    <row r="414">
      <c r="A414" s="66"/>
      <c r="B414" s="66"/>
      <c r="C414" s="66"/>
      <c r="D414" s="66"/>
      <c r="E414" s="66"/>
      <c r="F414" s="66"/>
      <c r="G414" s="66"/>
      <c r="H414" s="66"/>
      <c r="I414" s="66"/>
      <c r="J414" s="66"/>
      <c r="K414" s="66"/>
      <c r="L414" s="66"/>
      <c r="M414" s="66" t="s">
        <v>482</v>
      </c>
      <c r="N414" s="158">
        <v>46280.0</v>
      </c>
      <c r="O414" s="66">
        <v>1.0</v>
      </c>
      <c r="P414" s="66"/>
      <c r="Q414" s="66"/>
      <c r="R414" s="66"/>
      <c r="S414" s="66"/>
      <c r="T414" s="66"/>
      <c r="U414" s="66"/>
      <c r="V414" s="66"/>
      <c r="W414" s="66"/>
      <c r="X414" s="66"/>
      <c r="Y414" s="66"/>
      <c r="Z414" s="66"/>
    </row>
    <row r="415">
      <c r="A415" s="66"/>
      <c r="B415" s="66"/>
      <c r="C415" s="66"/>
      <c r="D415" s="66"/>
      <c r="E415" s="66"/>
      <c r="F415" s="66"/>
      <c r="G415" s="66"/>
      <c r="H415" s="66"/>
      <c r="I415" s="66"/>
      <c r="J415" s="66"/>
      <c r="K415" s="66"/>
      <c r="L415" s="66"/>
      <c r="M415" s="66" t="s">
        <v>383</v>
      </c>
      <c r="N415" s="158">
        <v>46280.0</v>
      </c>
      <c r="O415" s="66">
        <v>1.0</v>
      </c>
      <c r="P415" s="66"/>
      <c r="Q415" s="66"/>
      <c r="R415" s="66"/>
      <c r="S415" s="66"/>
      <c r="T415" s="66"/>
      <c r="U415" s="66"/>
      <c r="V415" s="66"/>
      <c r="W415" s="66"/>
      <c r="X415" s="66"/>
      <c r="Y415" s="66"/>
      <c r="Z415" s="66"/>
    </row>
    <row r="416">
      <c r="A416" s="66"/>
      <c r="B416" s="66"/>
      <c r="C416" s="66"/>
      <c r="D416" s="66"/>
      <c r="E416" s="66"/>
      <c r="F416" s="66"/>
      <c r="G416" s="66"/>
      <c r="H416" s="66"/>
      <c r="I416" s="66"/>
      <c r="J416" s="66"/>
      <c r="K416" s="66"/>
      <c r="L416" s="66"/>
      <c r="M416" s="66" t="s">
        <v>374</v>
      </c>
      <c r="N416" s="158">
        <v>46280.0</v>
      </c>
      <c r="O416" s="66">
        <v>1.0</v>
      </c>
      <c r="P416" s="66"/>
      <c r="Q416" s="66"/>
      <c r="R416" s="66"/>
      <c r="S416" s="66"/>
      <c r="T416" s="66"/>
      <c r="U416" s="66"/>
      <c r="V416" s="66"/>
      <c r="W416" s="66"/>
      <c r="X416" s="66"/>
      <c r="Y416" s="66"/>
      <c r="Z416" s="66"/>
    </row>
    <row r="417">
      <c r="A417" s="66"/>
      <c r="B417" s="66"/>
      <c r="C417" s="66"/>
      <c r="D417" s="66"/>
      <c r="E417" s="66"/>
      <c r="F417" s="66"/>
      <c r="G417" s="66"/>
      <c r="H417" s="66"/>
      <c r="I417" s="66"/>
      <c r="J417" s="66"/>
      <c r="K417" s="66"/>
      <c r="L417" s="66"/>
      <c r="M417" s="66" t="s">
        <v>379</v>
      </c>
      <c r="N417" s="158">
        <v>46280.0</v>
      </c>
      <c r="O417" s="66">
        <v>1.0</v>
      </c>
      <c r="P417" s="66"/>
      <c r="Q417" s="66"/>
      <c r="R417" s="66"/>
      <c r="S417" s="66"/>
      <c r="T417" s="66"/>
      <c r="U417" s="66"/>
      <c r="V417" s="66"/>
      <c r="W417" s="66"/>
      <c r="X417" s="66"/>
      <c r="Y417" s="66"/>
      <c r="Z417" s="66"/>
    </row>
    <row r="418">
      <c r="A418" s="66"/>
      <c r="B418" s="66"/>
      <c r="C418" s="66"/>
      <c r="D418" s="66"/>
      <c r="E418" s="66"/>
      <c r="F418" s="66"/>
      <c r="G418" s="66"/>
      <c r="H418" s="66"/>
      <c r="I418" s="66"/>
      <c r="J418" s="66"/>
      <c r="K418" s="66"/>
      <c r="L418" s="66"/>
      <c r="M418" s="66" t="s">
        <v>415</v>
      </c>
      <c r="N418" s="158">
        <v>46280.0</v>
      </c>
      <c r="O418" s="66">
        <v>1.0</v>
      </c>
      <c r="P418" s="66"/>
      <c r="Q418" s="66"/>
      <c r="R418" s="66"/>
      <c r="S418" s="66"/>
      <c r="T418" s="66"/>
      <c r="U418" s="66"/>
      <c r="V418" s="66"/>
      <c r="W418" s="66"/>
      <c r="X418" s="66"/>
      <c r="Y418" s="66"/>
      <c r="Z418" s="66"/>
    </row>
    <row r="419">
      <c r="A419" s="66"/>
      <c r="B419" s="66"/>
      <c r="C419" s="66"/>
      <c r="D419" s="66"/>
      <c r="E419" s="66"/>
      <c r="F419" s="66"/>
      <c r="G419" s="66"/>
      <c r="H419" s="66"/>
      <c r="I419" s="66"/>
      <c r="J419" s="66"/>
      <c r="K419" s="66"/>
      <c r="L419" s="66"/>
      <c r="M419" s="66" t="s">
        <v>429</v>
      </c>
      <c r="N419" s="158">
        <v>46280.0</v>
      </c>
      <c r="O419" s="66">
        <v>1.0</v>
      </c>
      <c r="P419" s="66"/>
      <c r="Q419" s="66"/>
      <c r="R419" s="66"/>
      <c r="S419" s="66"/>
      <c r="T419" s="66"/>
      <c r="U419" s="66"/>
      <c r="V419" s="66"/>
      <c r="W419" s="66"/>
      <c r="X419" s="66"/>
      <c r="Y419" s="66"/>
      <c r="Z419" s="66"/>
    </row>
    <row r="420">
      <c r="A420" s="66"/>
      <c r="B420" s="66"/>
      <c r="C420" s="66"/>
      <c r="D420" s="66"/>
      <c r="E420" s="66"/>
      <c r="F420" s="66"/>
      <c r="G420" s="66"/>
      <c r="H420" s="66"/>
      <c r="I420" s="66"/>
      <c r="J420" s="66"/>
      <c r="K420" s="66"/>
      <c r="L420" s="66"/>
      <c r="M420" s="66" t="s">
        <v>443</v>
      </c>
      <c r="N420" s="158">
        <v>46280.0</v>
      </c>
      <c r="O420" s="66">
        <v>1.0</v>
      </c>
      <c r="P420" s="66"/>
      <c r="Q420" s="66"/>
      <c r="R420" s="66"/>
      <c r="S420" s="66"/>
      <c r="T420" s="66"/>
      <c r="U420" s="66"/>
      <c r="V420" s="66"/>
      <c r="W420" s="66"/>
      <c r="X420" s="66"/>
      <c r="Y420" s="66"/>
      <c r="Z420" s="66"/>
    </row>
    <row r="421">
      <c r="A421" s="66"/>
      <c r="B421" s="66"/>
      <c r="C421" s="66"/>
      <c r="D421" s="66"/>
      <c r="E421" s="66"/>
      <c r="F421" s="66"/>
      <c r="G421" s="66"/>
      <c r="H421" s="66"/>
      <c r="I421" s="66"/>
      <c r="J421" s="66"/>
      <c r="K421" s="66"/>
      <c r="L421" s="66"/>
      <c r="M421" s="66" t="s">
        <v>465</v>
      </c>
      <c r="N421" s="158">
        <v>46280.0</v>
      </c>
      <c r="O421" s="66">
        <v>1.0</v>
      </c>
      <c r="P421" s="66"/>
      <c r="Q421" s="66"/>
      <c r="R421" s="66"/>
      <c r="S421" s="66"/>
      <c r="T421" s="66"/>
      <c r="U421" s="66"/>
      <c r="V421" s="66"/>
      <c r="W421" s="66"/>
      <c r="X421" s="66"/>
      <c r="Y421" s="66"/>
      <c r="Z421" s="66"/>
    </row>
    <row r="422">
      <c r="A422" s="66"/>
      <c r="B422" s="66"/>
      <c r="C422" s="66"/>
      <c r="D422" s="66"/>
      <c r="E422" s="66"/>
      <c r="F422" s="66"/>
      <c r="G422" s="66"/>
      <c r="H422" s="66"/>
      <c r="I422" s="66"/>
      <c r="J422" s="66"/>
      <c r="K422" s="66"/>
      <c r="L422" s="66"/>
      <c r="M422" s="66" t="s">
        <v>422</v>
      </c>
      <c r="N422" s="158">
        <v>46280.0</v>
      </c>
      <c r="O422" s="66">
        <v>1.0</v>
      </c>
      <c r="P422" s="66"/>
      <c r="Q422" s="66"/>
      <c r="R422" s="66"/>
      <c r="S422" s="66"/>
      <c r="T422" s="66"/>
      <c r="U422" s="66"/>
      <c r="V422" s="66"/>
      <c r="W422" s="66"/>
      <c r="X422" s="66"/>
      <c r="Y422" s="66"/>
      <c r="Z422" s="66"/>
    </row>
    <row r="423">
      <c r="A423" s="66"/>
      <c r="B423" s="66"/>
      <c r="C423" s="66"/>
      <c r="D423" s="66"/>
      <c r="E423" s="66"/>
      <c r="F423" s="66"/>
      <c r="G423" s="66"/>
      <c r="H423" s="66"/>
      <c r="I423" s="66"/>
      <c r="J423" s="66"/>
      <c r="K423" s="66"/>
      <c r="L423" s="66"/>
      <c r="M423" s="66" t="s">
        <v>387</v>
      </c>
      <c r="N423" s="158">
        <v>46280.0</v>
      </c>
      <c r="O423" s="66">
        <v>1.0</v>
      </c>
      <c r="P423" s="66"/>
      <c r="Q423" s="66"/>
      <c r="R423" s="66"/>
      <c r="S423" s="66"/>
      <c r="T423" s="66"/>
      <c r="U423" s="66"/>
      <c r="V423" s="66"/>
      <c r="W423" s="66"/>
      <c r="X423" s="66"/>
      <c r="Y423" s="66"/>
      <c r="Z423" s="66"/>
    </row>
    <row r="424">
      <c r="A424" s="66"/>
      <c r="B424" s="66"/>
      <c r="C424" s="66"/>
      <c r="D424" s="66"/>
      <c r="E424" s="66"/>
      <c r="F424" s="66"/>
      <c r="G424" s="66"/>
      <c r="H424" s="66"/>
      <c r="I424" s="66"/>
      <c r="J424" s="66"/>
      <c r="K424" s="66"/>
      <c r="L424" s="66"/>
      <c r="M424" s="66" t="s">
        <v>436</v>
      </c>
      <c r="N424" s="158">
        <v>46280.0</v>
      </c>
      <c r="O424" s="66">
        <v>1.0</v>
      </c>
      <c r="P424" s="66"/>
      <c r="Q424" s="66"/>
      <c r="R424" s="66"/>
      <c r="S424" s="66"/>
      <c r="T424" s="66"/>
      <c r="U424" s="66"/>
      <c r="V424" s="66"/>
      <c r="W424" s="66"/>
      <c r="X424" s="66"/>
      <c r="Y424" s="66"/>
      <c r="Z424" s="66"/>
    </row>
    <row r="425">
      <c r="A425" s="66"/>
      <c r="B425" s="66"/>
      <c r="C425" s="66"/>
      <c r="D425" s="66"/>
      <c r="E425" s="66"/>
      <c r="F425" s="66"/>
      <c r="G425" s="66"/>
      <c r="H425" s="66"/>
      <c r="I425" s="66"/>
      <c r="J425" s="66"/>
      <c r="K425" s="66"/>
      <c r="L425" s="66"/>
      <c r="M425" s="66" t="s">
        <v>401</v>
      </c>
      <c r="N425" s="158">
        <v>46280.0</v>
      </c>
      <c r="O425" s="66">
        <v>1.0</v>
      </c>
      <c r="P425" s="66"/>
      <c r="Q425" s="66"/>
      <c r="R425" s="66"/>
      <c r="S425" s="66"/>
      <c r="T425" s="66"/>
      <c r="U425" s="66"/>
      <c r="V425" s="66"/>
      <c r="W425" s="66"/>
      <c r="X425" s="66"/>
      <c r="Y425" s="66"/>
      <c r="Z425" s="66"/>
    </row>
    <row r="426">
      <c r="A426" s="66"/>
      <c r="B426" s="66"/>
      <c r="C426" s="66"/>
      <c r="D426" s="66"/>
      <c r="E426" s="66"/>
      <c r="F426" s="66"/>
      <c r="G426" s="66"/>
      <c r="H426" s="66"/>
      <c r="I426" s="66"/>
      <c r="J426" s="66"/>
      <c r="K426" s="66"/>
      <c r="L426" s="66"/>
      <c r="M426" s="66" t="s">
        <v>450</v>
      </c>
      <c r="N426" s="158">
        <v>46280.0</v>
      </c>
      <c r="O426" s="66">
        <v>1.0</v>
      </c>
      <c r="P426" s="66"/>
      <c r="Q426" s="66"/>
      <c r="R426" s="66"/>
      <c r="S426" s="66"/>
      <c r="T426" s="66"/>
      <c r="U426" s="66"/>
      <c r="V426" s="66"/>
      <c r="W426" s="66"/>
      <c r="X426" s="66"/>
      <c r="Y426" s="66"/>
      <c r="Z426" s="66"/>
    </row>
    <row r="427">
      <c r="A427" s="66"/>
      <c r="B427" s="66"/>
      <c r="C427" s="66"/>
      <c r="D427" s="66"/>
      <c r="E427" s="66"/>
      <c r="F427" s="66"/>
      <c r="G427" s="66"/>
      <c r="H427" s="66"/>
      <c r="I427" s="66"/>
      <c r="J427" s="66"/>
      <c r="K427" s="66"/>
      <c r="L427" s="66"/>
      <c r="M427" s="66" t="s">
        <v>457</v>
      </c>
      <c r="N427" s="158">
        <v>46280.0</v>
      </c>
      <c r="O427" s="66">
        <v>1.0</v>
      </c>
      <c r="P427" s="66"/>
      <c r="Q427" s="66"/>
      <c r="R427" s="66"/>
      <c r="S427" s="66"/>
      <c r="T427" s="66"/>
      <c r="U427" s="66"/>
      <c r="V427" s="66"/>
      <c r="W427" s="66"/>
      <c r="X427" s="66"/>
      <c r="Y427" s="66"/>
      <c r="Z427" s="66"/>
    </row>
    <row r="428">
      <c r="A428" s="66"/>
      <c r="B428" s="66"/>
      <c r="C428" s="66"/>
      <c r="D428" s="66"/>
      <c r="E428" s="66"/>
      <c r="F428" s="66"/>
      <c r="G428" s="66"/>
      <c r="H428" s="66"/>
      <c r="I428" s="66"/>
      <c r="J428" s="66"/>
      <c r="K428" s="66"/>
      <c r="L428" s="66"/>
      <c r="M428" s="66" t="s">
        <v>408</v>
      </c>
      <c r="N428" s="158">
        <v>46280.0</v>
      </c>
      <c r="O428" s="66">
        <v>1.0</v>
      </c>
      <c r="P428" s="66"/>
      <c r="Q428" s="66"/>
      <c r="R428" s="66"/>
      <c r="S428" s="66"/>
      <c r="T428" s="66"/>
      <c r="U428" s="66"/>
      <c r="V428" s="66"/>
      <c r="W428" s="66"/>
      <c r="X428" s="66"/>
      <c r="Y428" s="66"/>
      <c r="Z428" s="66"/>
    </row>
    <row r="429">
      <c r="A429" s="66"/>
      <c r="B429" s="66"/>
      <c r="C429" s="66"/>
      <c r="D429" s="66"/>
      <c r="E429" s="66"/>
      <c r="F429" s="66"/>
      <c r="G429" s="66"/>
      <c r="H429" s="66"/>
      <c r="I429" s="66"/>
      <c r="J429" s="66"/>
      <c r="K429" s="66"/>
      <c r="L429" s="66"/>
      <c r="M429" s="66" t="s">
        <v>394</v>
      </c>
      <c r="N429" s="158">
        <v>46280.0</v>
      </c>
      <c r="O429" s="66">
        <v>1.0</v>
      </c>
      <c r="P429" s="66"/>
      <c r="Q429" s="66"/>
      <c r="R429" s="66"/>
      <c r="S429" s="66"/>
      <c r="T429" s="66"/>
      <c r="U429" s="66"/>
      <c r="V429" s="66"/>
      <c r="W429" s="66"/>
      <c r="X429" s="66"/>
      <c r="Y429" s="66"/>
      <c r="Z429" s="66"/>
    </row>
    <row r="430">
      <c r="A430" s="66"/>
      <c r="B430" s="66"/>
      <c r="C430" s="66"/>
      <c r="D430" s="66"/>
      <c r="E430" s="66"/>
      <c r="F430" s="66"/>
      <c r="G430" s="66"/>
      <c r="H430" s="66"/>
      <c r="I430" s="66"/>
      <c r="J430" s="66"/>
      <c r="K430" s="66"/>
      <c r="L430" s="66"/>
      <c r="M430" s="66" t="s">
        <v>478</v>
      </c>
      <c r="N430" s="158">
        <v>46280.0</v>
      </c>
      <c r="O430" s="66">
        <v>1.0</v>
      </c>
      <c r="P430" s="66"/>
      <c r="Q430" s="66"/>
      <c r="R430" s="66"/>
      <c r="S430" s="66"/>
      <c r="T430" s="66"/>
      <c r="U430" s="66"/>
      <c r="V430" s="66"/>
      <c r="W430" s="66"/>
      <c r="X430" s="66"/>
      <c r="Y430" s="66"/>
      <c r="Z430" s="66"/>
    </row>
    <row r="431">
      <c r="A431" s="66"/>
      <c r="B431" s="66"/>
      <c r="C431" s="66"/>
      <c r="D431" s="66"/>
      <c r="E431" s="66"/>
      <c r="F431" s="66"/>
      <c r="G431" s="66"/>
      <c r="H431" s="66"/>
      <c r="I431" s="66"/>
      <c r="J431" s="66"/>
      <c r="K431" s="66"/>
      <c r="L431" s="66"/>
      <c r="M431" s="66" t="s">
        <v>355</v>
      </c>
      <c r="N431" s="158">
        <v>46280.0</v>
      </c>
      <c r="O431" s="66">
        <v>1.0</v>
      </c>
      <c r="P431" s="66"/>
      <c r="Q431" s="66"/>
      <c r="R431" s="66"/>
      <c r="S431" s="66"/>
      <c r="T431" s="66"/>
      <c r="U431" s="66"/>
      <c r="V431" s="66"/>
      <c r="W431" s="66"/>
      <c r="X431" s="66"/>
      <c r="Y431" s="66"/>
      <c r="Z431" s="66"/>
    </row>
    <row r="432">
      <c r="A432" s="66"/>
      <c r="B432" s="66"/>
      <c r="C432" s="66"/>
      <c r="D432" s="66"/>
      <c r="E432" s="66"/>
      <c r="F432" s="66"/>
      <c r="G432" s="66"/>
      <c r="H432" s="66"/>
      <c r="I432" s="66"/>
      <c r="J432" s="66"/>
      <c r="K432" s="66"/>
      <c r="L432" s="66"/>
      <c r="M432" s="66" t="s">
        <v>491</v>
      </c>
      <c r="N432" s="158">
        <v>46280.0</v>
      </c>
      <c r="O432" s="66">
        <v>1.0</v>
      </c>
      <c r="P432" s="66"/>
      <c r="Q432" s="66"/>
      <c r="R432" s="66"/>
      <c r="S432" s="66"/>
      <c r="T432" s="66"/>
      <c r="U432" s="66"/>
      <c r="V432" s="66"/>
      <c r="W432" s="66"/>
      <c r="X432" s="66"/>
      <c r="Y432" s="66"/>
      <c r="Z432" s="66"/>
    </row>
    <row r="433">
      <c r="A433" s="66"/>
      <c r="B433" s="66"/>
      <c r="C433" s="66"/>
      <c r="D433" s="66"/>
      <c r="E433" s="66"/>
      <c r="F433" s="66"/>
      <c r="G433" s="66"/>
      <c r="H433" s="66"/>
      <c r="I433" s="66"/>
      <c r="J433" s="66"/>
      <c r="K433" s="66"/>
      <c r="L433" s="66"/>
      <c r="M433" s="66" t="s">
        <v>492</v>
      </c>
      <c r="N433" s="158">
        <v>46280.0</v>
      </c>
      <c r="O433" s="66">
        <v>1.0</v>
      </c>
      <c r="P433" s="66"/>
      <c r="Q433" s="66"/>
      <c r="R433" s="66"/>
      <c r="S433" s="66"/>
      <c r="T433" s="66"/>
      <c r="U433" s="66"/>
      <c r="V433" s="66"/>
      <c r="W433" s="66"/>
      <c r="X433" s="66"/>
      <c r="Y433" s="66"/>
      <c r="Z433" s="66"/>
    </row>
    <row r="434">
      <c r="A434" s="66"/>
      <c r="B434" s="66"/>
      <c r="C434" s="66"/>
      <c r="D434" s="66"/>
      <c r="E434" s="66"/>
      <c r="F434" s="66"/>
      <c r="G434" s="66"/>
      <c r="H434" s="66"/>
      <c r="I434" s="66"/>
      <c r="J434" s="66"/>
      <c r="K434" s="66"/>
      <c r="L434" s="66"/>
      <c r="M434" s="66" t="s">
        <v>510</v>
      </c>
      <c r="N434" s="158">
        <v>46280.0</v>
      </c>
      <c r="O434" s="66">
        <v>1.0</v>
      </c>
      <c r="P434" s="66"/>
      <c r="Q434" s="66"/>
      <c r="R434" s="66"/>
      <c r="S434" s="66"/>
      <c r="T434" s="66"/>
      <c r="U434" s="66"/>
      <c r="V434" s="66"/>
      <c r="W434" s="66"/>
      <c r="X434" s="66"/>
      <c r="Y434" s="66"/>
      <c r="Z434" s="66"/>
    </row>
    <row r="435">
      <c r="A435" s="66"/>
      <c r="B435" s="66"/>
      <c r="C435" s="66"/>
      <c r="D435" s="66"/>
      <c r="E435" s="66"/>
      <c r="F435" s="66"/>
      <c r="G435" s="66"/>
      <c r="H435" s="66"/>
      <c r="I435" s="66"/>
      <c r="J435" s="66"/>
      <c r="K435" s="66"/>
      <c r="L435" s="66"/>
      <c r="M435" s="66" t="s">
        <v>361</v>
      </c>
      <c r="N435" s="158">
        <v>46280.0</v>
      </c>
      <c r="O435" s="66">
        <v>1.0</v>
      </c>
      <c r="P435" s="66"/>
      <c r="Q435" s="66"/>
      <c r="R435" s="66"/>
      <c r="S435" s="66"/>
      <c r="T435" s="66"/>
      <c r="U435" s="66"/>
      <c r="V435" s="66"/>
      <c r="W435" s="66"/>
      <c r="X435" s="66"/>
      <c r="Y435" s="66"/>
      <c r="Z435" s="66"/>
    </row>
    <row r="436">
      <c r="A436" s="66"/>
      <c r="B436" s="66"/>
      <c r="C436" s="66"/>
      <c r="D436" s="66"/>
      <c r="E436" s="66"/>
      <c r="F436" s="66"/>
      <c r="G436" s="66"/>
      <c r="H436" s="66"/>
      <c r="I436" s="66"/>
      <c r="J436" s="66"/>
      <c r="K436" s="66"/>
      <c r="L436" s="66"/>
      <c r="M436" s="66" t="s">
        <v>475</v>
      </c>
      <c r="N436" s="158">
        <v>46280.0</v>
      </c>
      <c r="O436" s="66">
        <v>1.0</v>
      </c>
      <c r="P436" s="66"/>
      <c r="Q436" s="66"/>
      <c r="R436" s="66"/>
      <c r="S436" s="66"/>
      <c r="T436" s="66"/>
      <c r="U436" s="66"/>
      <c r="V436" s="66"/>
      <c r="W436" s="66"/>
      <c r="X436" s="66"/>
      <c r="Y436" s="66"/>
      <c r="Z436" s="66"/>
    </row>
    <row r="437">
      <c r="A437" s="66"/>
      <c r="B437" s="66"/>
      <c r="C437" s="66"/>
      <c r="D437" s="66"/>
      <c r="E437" s="66"/>
      <c r="F437" s="66"/>
      <c r="G437" s="66"/>
      <c r="H437" s="66"/>
      <c r="I437" s="66"/>
      <c r="J437" s="66"/>
      <c r="K437" s="66"/>
      <c r="L437" s="66"/>
      <c r="M437" s="66" t="s">
        <v>372</v>
      </c>
      <c r="N437" s="158">
        <v>46280.0</v>
      </c>
      <c r="O437" s="66">
        <v>1.0</v>
      </c>
      <c r="P437" s="66"/>
      <c r="Q437" s="66"/>
      <c r="R437" s="66"/>
      <c r="S437" s="66"/>
      <c r="T437" s="66"/>
      <c r="U437" s="66"/>
      <c r="V437" s="66"/>
      <c r="W437" s="66"/>
      <c r="X437" s="66"/>
      <c r="Y437" s="66"/>
      <c r="Z437" s="66"/>
    </row>
    <row r="438">
      <c r="A438" s="66"/>
      <c r="B438" s="66"/>
      <c r="C438" s="66"/>
      <c r="D438" s="66"/>
      <c r="E438" s="66"/>
      <c r="F438" s="66"/>
      <c r="G438" s="66"/>
      <c r="H438" s="66"/>
      <c r="I438" s="66"/>
      <c r="J438" s="66"/>
      <c r="K438" s="66"/>
      <c r="L438" s="66"/>
      <c r="M438" s="66" t="s">
        <v>360</v>
      </c>
      <c r="N438" s="158">
        <v>46280.0</v>
      </c>
      <c r="O438" s="66">
        <v>1.0</v>
      </c>
      <c r="P438" s="66"/>
      <c r="Q438" s="66"/>
      <c r="R438" s="66"/>
      <c r="S438" s="66"/>
      <c r="T438" s="66"/>
      <c r="U438" s="66"/>
      <c r="V438" s="66"/>
      <c r="W438" s="66"/>
      <c r="X438" s="66"/>
      <c r="Y438" s="66"/>
      <c r="Z438" s="66"/>
    </row>
    <row r="439">
      <c r="A439" s="66"/>
      <c r="B439" s="66"/>
      <c r="C439" s="66"/>
      <c r="D439" s="66"/>
      <c r="E439" s="66"/>
      <c r="F439" s="66"/>
      <c r="G439" s="66"/>
      <c r="H439" s="66"/>
      <c r="I439" s="66"/>
      <c r="J439" s="66"/>
      <c r="K439" s="66"/>
      <c r="L439" s="66"/>
      <c r="M439" s="66" t="s">
        <v>488</v>
      </c>
      <c r="N439" s="158">
        <v>46280.0</v>
      </c>
      <c r="O439" s="66">
        <v>1.0</v>
      </c>
      <c r="P439" s="66"/>
      <c r="Q439" s="66"/>
      <c r="R439" s="66"/>
      <c r="S439" s="66"/>
      <c r="T439" s="66"/>
      <c r="U439" s="66"/>
      <c r="V439" s="66"/>
      <c r="W439" s="66"/>
      <c r="X439" s="66"/>
      <c r="Y439" s="66"/>
      <c r="Z439" s="66"/>
    </row>
    <row r="440">
      <c r="A440" s="66"/>
      <c r="B440" s="66"/>
      <c r="C440" s="66"/>
      <c r="D440" s="66"/>
      <c r="E440" s="66"/>
      <c r="F440" s="66"/>
      <c r="G440" s="66"/>
      <c r="H440" s="66"/>
      <c r="I440" s="66"/>
      <c r="J440" s="66"/>
      <c r="K440" s="66"/>
      <c r="L440" s="66" t="s">
        <v>717</v>
      </c>
      <c r="M440" s="66"/>
      <c r="N440" s="66"/>
      <c r="O440" s="66">
        <v>181.0</v>
      </c>
      <c r="P440" s="66"/>
      <c r="Q440" s="66"/>
      <c r="R440" s="66"/>
      <c r="S440" s="66"/>
      <c r="T440" s="66"/>
      <c r="U440" s="66"/>
      <c r="V440" s="66"/>
      <c r="W440" s="66"/>
      <c r="X440" s="66"/>
      <c r="Y440" s="66"/>
      <c r="Z440" s="66"/>
    </row>
    <row r="441">
      <c r="A441" s="66"/>
      <c r="B441" s="66"/>
      <c r="C441" s="66"/>
      <c r="D441" s="66"/>
      <c r="E441" s="66"/>
      <c r="F441" s="66"/>
      <c r="G441" s="66"/>
      <c r="H441" s="66"/>
      <c r="I441" s="66"/>
      <c r="J441" s="66"/>
      <c r="K441" s="66" t="s">
        <v>104</v>
      </c>
      <c r="L441" s="158" t="s">
        <v>30</v>
      </c>
      <c r="M441" s="66" t="s">
        <v>230</v>
      </c>
      <c r="N441" s="158">
        <v>46249.0</v>
      </c>
      <c r="O441" s="66">
        <v>1.0</v>
      </c>
      <c r="P441" s="66"/>
      <c r="Q441" s="66"/>
      <c r="R441" s="66"/>
      <c r="S441" s="66"/>
      <c r="T441" s="66"/>
      <c r="U441" s="66"/>
      <c r="V441" s="66"/>
      <c r="W441" s="66"/>
      <c r="X441" s="66"/>
      <c r="Y441" s="66"/>
      <c r="Z441" s="66"/>
    </row>
    <row r="442">
      <c r="A442" s="66"/>
      <c r="B442" s="66"/>
      <c r="C442" s="66"/>
      <c r="D442" s="66"/>
      <c r="E442" s="66"/>
      <c r="F442" s="66"/>
      <c r="G442" s="66"/>
      <c r="H442" s="66"/>
      <c r="I442" s="66"/>
      <c r="J442" s="66"/>
      <c r="K442" s="66"/>
      <c r="L442" s="66"/>
      <c r="M442" s="66" t="s">
        <v>236</v>
      </c>
      <c r="N442" s="158">
        <v>46249.0</v>
      </c>
      <c r="O442" s="66">
        <v>1.0</v>
      </c>
      <c r="P442" s="66"/>
      <c r="Q442" s="66"/>
      <c r="R442" s="66"/>
      <c r="S442" s="66"/>
      <c r="T442" s="66"/>
      <c r="U442" s="66"/>
      <c r="V442" s="66"/>
      <c r="W442" s="66"/>
      <c r="X442" s="66"/>
      <c r="Y442" s="66"/>
      <c r="Z442" s="66"/>
    </row>
    <row r="443">
      <c r="A443" s="66"/>
      <c r="B443" s="66"/>
      <c r="C443" s="66"/>
      <c r="D443" s="66"/>
      <c r="E443" s="66"/>
      <c r="F443" s="66"/>
      <c r="G443" s="66"/>
      <c r="H443" s="66"/>
      <c r="I443" s="66"/>
      <c r="J443" s="66"/>
      <c r="K443" s="66"/>
      <c r="L443" s="66"/>
      <c r="M443" s="66" t="s">
        <v>238</v>
      </c>
      <c r="N443" s="158">
        <v>46249.0</v>
      </c>
      <c r="O443" s="66">
        <v>1.0</v>
      </c>
      <c r="P443" s="66"/>
      <c r="Q443" s="66"/>
      <c r="R443" s="66"/>
      <c r="S443" s="66"/>
      <c r="T443" s="66"/>
      <c r="U443" s="66"/>
      <c r="V443" s="66"/>
      <c r="W443" s="66"/>
      <c r="X443" s="66"/>
      <c r="Y443" s="66"/>
      <c r="Z443" s="66"/>
    </row>
    <row r="444">
      <c r="A444" s="66"/>
      <c r="B444" s="66"/>
      <c r="C444" s="66"/>
      <c r="D444" s="66"/>
      <c r="E444" s="66"/>
      <c r="F444" s="66"/>
      <c r="G444" s="66"/>
      <c r="H444" s="66"/>
      <c r="I444" s="66"/>
      <c r="J444" s="66"/>
      <c r="K444" s="66"/>
      <c r="L444" s="66"/>
      <c r="M444" s="66" t="s">
        <v>223</v>
      </c>
      <c r="N444" s="158">
        <v>46265.0</v>
      </c>
      <c r="O444" s="66">
        <v>1.0</v>
      </c>
      <c r="P444" s="66"/>
      <c r="Q444" s="66"/>
      <c r="R444" s="66"/>
      <c r="S444" s="66"/>
      <c r="T444" s="66"/>
      <c r="U444" s="66"/>
      <c r="V444" s="66"/>
      <c r="W444" s="66"/>
      <c r="X444" s="66"/>
      <c r="Y444" s="66"/>
      <c r="Z444" s="66"/>
    </row>
    <row r="445">
      <c r="A445" s="66"/>
      <c r="B445" s="66"/>
      <c r="C445" s="66"/>
      <c r="D445" s="66"/>
      <c r="E445" s="66"/>
      <c r="F445" s="66"/>
      <c r="G445" s="66"/>
      <c r="H445" s="66"/>
      <c r="I445" s="66"/>
      <c r="J445" s="66"/>
      <c r="K445" s="66"/>
      <c r="L445" s="66"/>
      <c r="M445" s="66" t="s">
        <v>222</v>
      </c>
      <c r="N445" s="158">
        <v>46265.0</v>
      </c>
      <c r="O445" s="66">
        <v>1.0</v>
      </c>
      <c r="P445" s="66"/>
      <c r="Q445" s="66"/>
      <c r="R445" s="66"/>
      <c r="S445" s="66"/>
      <c r="T445" s="66"/>
      <c r="U445" s="66"/>
      <c r="V445" s="66"/>
      <c r="W445" s="66"/>
      <c r="X445" s="66"/>
      <c r="Y445" s="66"/>
      <c r="Z445" s="66"/>
    </row>
    <row r="446">
      <c r="A446" s="66"/>
      <c r="B446" s="66"/>
      <c r="C446" s="66"/>
      <c r="D446" s="66"/>
      <c r="E446" s="66"/>
      <c r="F446" s="66"/>
      <c r="G446" s="66"/>
      <c r="H446" s="66"/>
      <c r="I446" s="66"/>
      <c r="J446" s="66"/>
      <c r="K446" s="66"/>
      <c r="L446" s="66"/>
      <c r="M446" s="66" t="s">
        <v>221</v>
      </c>
      <c r="N446" s="158">
        <v>46265.0</v>
      </c>
      <c r="O446" s="66">
        <v>1.0</v>
      </c>
      <c r="P446" s="66"/>
      <c r="Q446" s="66"/>
      <c r="R446" s="66"/>
      <c r="S446" s="66"/>
      <c r="T446" s="66"/>
      <c r="U446" s="66"/>
      <c r="V446" s="66"/>
      <c r="W446" s="66"/>
      <c r="X446" s="66"/>
      <c r="Y446" s="66"/>
      <c r="Z446" s="66"/>
    </row>
    <row r="447">
      <c r="A447" s="66"/>
      <c r="B447" s="66"/>
      <c r="C447" s="66"/>
      <c r="D447" s="66"/>
      <c r="E447" s="66"/>
      <c r="F447" s="66"/>
      <c r="G447" s="66"/>
      <c r="H447" s="66"/>
      <c r="I447" s="66"/>
      <c r="J447" s="66"/>
      <c r="K447" s="66"/>
      <c r="L447" s="66"/>
      <c r="M447" s="66" t="s">
        <v>228</v>
      </c>
      <c r="N447" s="158">
        <v>46249.0</v>
      </c>
      <c r="O447" s="66">
        <v>1.0</v>
      </c>
      <c r="P447" s="66"/>
      <c r="Q447" s="66"/>
      <c r="R447" s="66"/>
      <c r="S447" s="66"/>
      <c r="T447" s="66"/>
      <c r="U447" s="66"/>
      <c r="V447" s="66"/>
      <c r="W447" s="66"/>
      <c r="X447" s="66"/>
      <c r="Y447" s="66"/>
      <c r="Z447" s="66"/>
    </row>
    <row r="448">
      <c r="A448" s="66"/>
      <c r="B448" s="66"/>
      <c r="C448" s="66"/>
      <c r="D448" s="66"/>
      <c r="E448" s="66"/>
      <c r="F448" s="66"/>
      <c r="G448" s="66"/>
      <c r="H448" s="66"/>
      <c r="I448" s="66"/>
      <c r="J448" s="66"/>
      <c r="K448" s="66"/>
      <c r="L448" s="66"/>
      <c r="M448" s="66" t="s">
        <v>217</v>
      </c>
      <c r="N448" s="158">
        <v>46280.0</v>
      </c>
      <c r="O448" s="66">
        <v>1.0</v>
      </c>
      <c r="P448" s="66"/>
      <c r="Q448" s="66"/>
      <c r="R448" s="66"/>
      <c r="S448" s="66"/>
      <c r="T448" s="66"/>
      <c r="U448" s="66"/>
      <c r="V448" s="66"/>
      <c r="W448" s="66"/>
      <c r="X448" s="66"/>
      <c r="Y448" s="66"/>
      <c r="Z448" s="66"/>
    </row>
    <row r="449">
      <c r="A449" s="66"/>
      <c r="B449" s="66"/>
      <c r="C449" s="66"/>
      <c r="D449" s="66"/>
      <c r="E449" s="66"/>
      <c r="F449" s="66"/>
      <c r="G449" s="66"/>
      <c r="H449" s="66"/>
      <c r="I449" s="66"/>
      <c r="J449" s="66"/>
      <c r="K449" s="66"/>
      <c r="L449" s="66"/>
      <c r="M449" s="66" t="s">
        <v>218</v>
      </c>
      <c r="N449" s="158">
        <v>46280.0</v>
      </c>
      <c r="O449" s="66">
        <v>1.0</v>
      </c>
      <c r="P449" s="66"/>
      <c r="Q449" s="66"/>
      <c r="R449" s="66"/>
      <c r="S449" s="66"/>
      <c r="T449" s="66"/>
      <c r="U449" s="66"/>
      <c r="V449" s="66"/>
      <c r="W449" s="66"/>
      <c r="X449" s="66"/>
      <c r="Y449" s="66"/>
      <c r="Z449" s="66"/>
    </row>
    <row r="450">
      <c r="A450" s="66"/>
      <c r="B450" s="66"/>
      <c r="C450" s="66"/>
      <c r="D450" s="66"/>
      <c r="E450" s="66"/>
      <c r="F450" s="66"/>
      <c r="G450" s="66"/>
      <c r="H450" s="66"/>
      <c r="I450" s="66"/>
      <c r="J450" s="66"/>
      <c r="K450" s="66"/>
      <c r="L450" s="66"/>
      <c r="M450" s="66" t="s">
        <v>192</v>
      </c>
      <c r="N450" s="158">
        <v>46249.0</v>
      </c>
      <c r="O450" s="66">
        <v>1.0</v>
      </c>
      <c r="P450" s="66"/>
      <c r="Q450" s="66"/>
      <c r="R450" s="66"/>
      <c r="S450" s="66"/>
      <c r="T450" s="66"/>
      <c r="U450" s="66"/>
      <c r="V450" s="66"/>
      <c r="W450" s="66"/>
      <c r="X450" s="66"/>
      <c r="Y450" s="66"/>
      <c r="Z450" s="66"/>
    </row>
    <row r="451">
      <c r="A451" s="66"/>
      <c r="B451" s="66"/>
      <c r="C451" s="66"/>
      <c r="D451" s="66"/>
      <c r="E451" s="66"/>
      <c r="F451" s="66"/>
      <c r="G451" s="66"/>
      <c r="H451" s="66"/>
      <c r="I451" s="66"/>
      <c r="J451" s="66"/>
      <c r="K451" s="66"/>
      <c r="L451" s="66"/>
      <c r="M451" s="66" t="s">
        <v>262</v>
      </c>
      <c r="N451" s="158">
        <v>46218.0</v>
      </c>
      <c r="O451" s="66">
        <v>1.0</v>
      </c>
      <c r="P451" s="66"/>
      <c r="Q451" s="66"/>
      <c r="R451" s="66"/>
      <c r="S451" s="66"/>
      <c r="T451" s="66"/>
      <c r="U451" s="66"/>
      <c r="V451" s="66"/>
      <c r="W451" s="66"/>
      <c r="X451" s="66"/>
      <c r="Y451" s="66"/>
      <c r="Z451" s="66"/>
    </row>
    <row r="452">
      <c r="A452" s="66"/>
      <c r="B452" s="66"/>
      <c r="C452" s="66"/>
      <c r="D452" s="66"/>
      <c r="E452" s="66"/>
      <c r="F452" s="66"/>
      <c r="G452" s="66"/>
      <c r="H452" s="66"/>
      <c r="I452" s="66"/>
      <c r="J452" s="66"/>
      <c r="K452" s="66"/>
      <c r="L452" s="66"/>
      <c r="M452" s="66" t="s">
        <v>190</v>
      </c>
      <c r="N452" s="158">
        <v>46249.0</v>
      </c>
      <c r="O452" s="66">
        <v>1.0</v>
      </c>
      <c r="P452" s="66"/>
      <c r="Q452" s="66"/>
      <c r="R452" s="66"/>
      <c r="S452" s="66"/>
      <c r="T452" s="66"/>
      <c r="U452" s="66"/>
      <c r="V452" s="66"/>
      <c r="W452" s="66"/>
      <c r="X452" s="66"/>
      <c r="Y452" s="66"/>
      <c r="Z452" s="66"/>
    </row>
    <row r="453">
      <c r="A453" s="66"/>
      <c r="B453" s="66"/>
      <c r="C453" s="66"/>
      <c r="D453" s="66"/>
      <c r="E453" s="66"/>
      <c r="F453" s="66"/>
      <c r="G453" s="66"/>
      <c r="H453" s="66"/>
      <c r="I453" s="66"/>
      <c r="J453" s="66"/>
      <c r="K453" s="66"/>
      <c r="L453" s="66"/>
      <c r="M453" s="66" t="s">
        <v>120</v>
      </c>
      <c r="N453" s="158">
        <v>46203.0</v>
      </c>
      <c r="O453" s="66">
        <v>1.0</v>
      </c>
      <c r="P453" s="66"/>
      <c r="Q453" s="66"/>
      <c r="R453" s="66"/>
      <c r="S453" s="66"/>
      <c r="T453" s="66"/>
      <c r="U453" s="66"/>
      <c r="V453" s="66"/>
      <c r="W453" s="66"/>
      <c r="X453" s="66"/>
      <c r="Y453" s="66"/>
      <c r="Z453" s="66"/>
    </row>
    <row r="454">
      <c r="A454" s="66"/>
      <c r="B454" s="66"/>
      <c r="C454" s="66"/>
      <c r="D454" s="66"/>
      <c r="E454" s="66"/>
      <c r="F454" s="66"/>
      <c r="G454" s="66"/>
      <c r="H454" s="66"/>
      <c r="I454" s="66"/>
      <c r="J454" s="66"/>
      <c r="K454" s="66"/>
      <c r="L454" s="66"/>
      <c r="M454" s="66" t="s">
        <v>191</v>
      </c>
      <c r="N454" s="158">
        <v>46249.0</v>
      </c>
      <c r="O454" s="66">
        <v>1.0</v>
      </c>
      <c r="P454" s="66"/>
      <c r="Q454" s="66"/>
      <c r="R454" s="66"/>
      <c r="S454" s="66"/>
      <c r="T454" s="66"/>
      <c r="U454" s="66"/>
      <c r="V454" s="66"/>
      <c r="W454" s="66"/>
      <c r="X454" s="66"/>
      <c r="Y454" s="66"/>
      <c r="Z454" s="66"/>
    </row>
    <row r="455">
      <c r="A455" s="66"/>
      <c r="B455" s="66"/>
      <c r="C455" s="66"/>
      <c r="D455" s="66"/>
      <c r="E455" s="66"/>
      <c r="F455" s="66"/>
      <c r="G455" s="66"/>
      <c r="H455" s="66"/>
      <c r="I455" s="66"/>
      <c r="J455" s="66"/>
      <c r="K455" s="66"/>
      <c r="L455" s="66"/>
      <c r="M455" s="66" t="s">
        <v>188</v>
      </c>
      <c r="N455" s="158">
        <v>46249.0</v>
      </c>
      <c r="O455" s="66">
        <v>1.0</v>
      </c>
      <c r="P455" s="66"/>
      <c r="Q455" s="66"/>
      <c r="R455" s="66"/>
      <c r="S455" s="66"/>
      <c r="T455" s="66"/>
      <c r="U455" s="66"/>
      <c r="V455" s="66"/>
      <c r="W455" s="66"/>
      <c r="X455" s="66"/>
      <c r="Y455" s="66"/>
      <c r="Z455" s="66"/>
    </row>
    <row r="456">
      <c r="A456" s="66"/>
      <c r="B456" s="66"/>
      <c r="C456" s="66"/>
      <c r="D456" s="66"/>
      <c r="E456" s="66"/>
      <c r="F456" s="66"/>
      <c r="G456" s="66"/>
      <c r="H456" s="66"/>
      <c r="I456" s="66"/>
      <c r="J456" s="66"/>
      <c r="K456" s="66"/>
      <c r="L456" s="66"/>
      <c r="M456" s="66" t="s">
        <v>264</v>
      </c>
      <c r="N456" s="158">
        <v>46218.0</v>
      </c>
      <c r="O456" s="66">
        <v>1.0</v>
      </c>
      <c r="P456" s="66"/>
      <c r="Q456" s="66"/>
      <c r="R456" s="66"/>
      <c r="S456" s="66"/>
      <c r="T456" s="66"/>
      <c r="U456" s="66"/>
      <c r="V456" s="66"/>
      <c r="W456" s="66"/>
      <c r="X456" s="66"/>
      <c r="Y456" s="66"/>
      <c r="Z456" s="66"/>
    </row>
    <row r="457">
      <c r="A457" s="66"/>
      <c r="B457" s="66"/>
      <c r="C457" s="66"/>
      <c r="D457" s="66"/>
      <c r="E457" s="66"/>
      <c r="F457" s="66"/>
      <c r="G457" s="66"/>
      <c r="H457" s="66"/>
      <c r="I457" s="66"/>
      <c r="J457" s="66"/>
      <c r="K457" s="66"/>
      <c r="L457" s="66"/>
      <c r="M457" s="66" t="s">
        <v>263</v>
      </c>
      <c r="N457" s="158">
        <v>46218.0</v>
      </c>
      <c r="O457" s="66">
        <v>1.0</v>
      </c>
      <c r="P457" s="66"/>
      <c r="Q457" s="66"/>
      <c r="R457" s="66"/>
      <c r="S457" s="66"/>
      <c r="T457" s="66"/>
      <c r="U457" s="66"/>
      <c r="V457" s="66"/>
      <c r="W457" s="66"/>
      <c r="X457" s="66"/>
      <c r="Y457" s="66"/>
      <c r="Z457" s="66"/>
    </row>
    <row r="458">
      <c r="A458" s="66"/>
      <c r="B458" s="66"/>
      <c r="C458" s="66"/>
      <c r="D458" s="66"/>
      <c r="E458" s="66"/>
      <c r="F458" s="66"/>
      <c r="G458" s="66"/>
      <c r="H458" s="66"/>
      <c r="I458" s="66"/>
      <c r="J458" s="66"/>
      <c r="K458" s="66"/>
      <c r="L458" s="66"/>
      <c r="M458" s="66" t="s">
        <v>261</v>
      </c>
      <c r="N458" s="158">
        <v>46218.0</v>
      </c>
      <c r="O458" s="66">
        <v>1.0</v>
      </c>
      <c r="P458" s="66"/>
      <c r="Q458" s="66"/>
      <c r="R458" s="66"/>
      <c r="S458" s="66"/>
      <c r="T458" s="66"/>
      <c r="U458" s="66"/>
      <c r="V458" s="66"/>
      <c r="W458" s="66"/>
      <c r="X458" s="66"/>
      <c r="Y458" s="66"/>
      <c r="Z458" s="66"/>
    </row>
    <row r="459">
      <c r="A459" s="66"/>
      <c r="B459" s="66"/>
      <c r="C459" s="66"/>
      <c r="D459" s="66"/>
      <c r="E459" s="66"/>
      <c r="F459" s="66"/>
      <c r="G459" s="66"/>
      <c r="H459" s="66"/>
      <c r="I459" s="66"/>
      <c r="J459" s="66"/>
      <c r="K459" s="66"/>
      <c r="L459" s="66"/>
      <c r="M459" s="66" t="s">
        <v>189</v>
      </c>
      <c r="N459" s="158">
        <v>46249.0</v>
      </c>
      <c r="O459" s="66">
        <v>1.0</v>
      </c>
      <c r="P459" s="66"/>
      <c r="Q459" s="66"/>
      <c r="R459" s="66"/>
      <c r="S459" s="66"/>
      <c r="T459" s="66"/>
      <c r="U459" s="66"/>
      <c r="V459" s="66"/>
      <c r="W459" s="66"/>
      <c r="X459" s="66"/>
      <c r="Y459" s="66"/>
      <c r="Z459" s="66"/>
    </row>
    <row r="460">
      <c r="A460" s="66"/>
      <c r="B460" s="66"/>
      <c r="C460" s="66"/>
      <c r="D460" s="66"/>
      <c r="E460" s="66"/>
      <c r="F460" s="66"/>
      <c r="G460" s="66"/>
      <c r="H460" s="66"/>
      <c r="I460" s="66"/>
      <c r="J460" s="66"/>
      <c r="K460" s="66"/>
      <c r="L460" s="66"/>
      <c r="M460" s="66" t="s">
        <v>114</v>
      </c>
      <c r="N460" s="158">
        <v>46203.0</v>
      </c>
      <c r="O460" s="66">
        <v>1.0</v>
      </c>
      <c r="P460" s="66"/>
      <c r="Q460" s="66"/>
      <c r="R460" s="66"/>
      <c r="S460" s="66"/>
      <c r="T460" s="66"/>
      <c r="U460" s="66"/>
      <c r="V460" s="66"/>
      <c r="W460" s="66"/>
      <c r="X460" s="66"/>
      <c r="Y460" s="66"/>
      <c r="Z460" s="66"/>
    </row>
    <row r="461">
      <c r="A461" s="66"/>
      <c r="B461" s="66"/>
      <c r="C461" s="66"/>
      <c r="D461" s="66"/>
      <c r="E461" s="66"/>
      <c r="F461" s="66"/>
      <c r="G461" s="66"/>
      <c r="H461" s="66"/>
      <c r="I461" s="66"/>
      <c r="J461" s="66"/>
      <c r="K461" s="66"/>
      <c r="L461" s="66"/>
      <c r="M461" s="66" t="s">
        <v>141</v>
      </c>
      <c r="N461" s="158">
        <v>46249.0</v>
      </c>
      <c r="O461" s="66">
        <v>2.0</v>
      </c>
      <c r="P461" s="66"/>
      <c r="Q461" s="66"/>
      <c r="R461" s="66"/>
      <c r="S461" s="66"/>
      <c r="T461" s="66"/>
      <c r="U461" s="66"/>
      <c r="V461" s="66"/>
      <c r="W461" s="66"/>
      <c r="X461" s="66"/>
      <c r="Y461" s="66"/>
      <c r="Z461" s="66"/>
    </row>
    <row r="462">
      <c r="A462" s="66"/>
      <c r="B462" s="66"/>
      <c r="C462" s="66"/>
      <c r="D462" s="66"/>
      <c r="E462" s="66"/>
      <c r="F462" s="66"/>
      <c r="G462" s="66"/>
      <c r="H462" s="66"/>
      <c r="I462" s="66"/>
      <c r="J462" s="66"/>
      <c r="K462" s="66"/>
      <c r="L462" s="66"/>
      <c r="M462" s="66" t="s">
        <v>117</v>
      </c>
      <c r="N462" s="158">
        <v>46203.0</v>
      </c>
      <c r="O462" s="66">
        <v>1.0</v>
      </c>
      <c r="P462" s="66"/>
      <c r="Q462" s="66"/>
      <c r="R462" s="66"/>
      <c r="S462" s="66"/>
      <c r="T462" s="66"/>
      <c r="U462" s="66"/>
      <c r="V462" s="66"/>
      <c r="W462" s="66"/>
      <c r="X462" s="66"/>
      <c r="Y462" s="66"/>
      <c r="Z462" s="66"/>
    </row>
    <row r="463">
      <c r="A463" s="66"/>
      <c r="B463" s="66"/>
      <c r="C463" s="66"/>
      <c r="D463" s="66"/>
      <c r="E463" s="66"/>
      <c r="F463" s="66"/>
      <c r="G463" s="66"/>
      <c r="H463" s="66"/>
      <c r="I463" s="66"/>
      <c r="J463" s="66"/>
      <c r="K463" s="66"/>
      <c r="L463" s="66"/>
      <c r="M463" s="66" t="s">
        <v>219</v>
      </c>
      <c r="N463" s="158">
        <v>46280.0</v>
      </c>
      <c r="O463" s="66">
        <v>1.0</v>
      </c>
      <c r="P463" s="66"/>
      <c r="Q463" s="66"/>
      <c r="R463" s="66"/>
      <c r="S463" s="66"/>
      <c r="T463" s="66"/>
      <c r="U463" s="66"/>
      <c r="V463" s="66"/>
      <c r="W463" s="66"/>
      <c r="X463" s="66"/>
      <c r="Y463" s="66"/>
      <c r="Z463" s="66"/>
    </row>
    <row r="464">
      <c r="A464" s="66"/>
      <c r="B464" s="66"/>
      <c r="C464" s="66"/>
      <c r="D464" s="66"/>
      <c r="E464" s="66"/>
      <c r="F464" s="66"/>
      <c r="G464" s="66"/>
      <c r="H464" s="66"/>
      <c r="I464" s="66"/>
      <c r="J464" s="66"/>
      <c r="K464" s="66"/>
      <c r="L464" s="66"/>
      <c r="M464" s="66" t="s">
        <v>250</v>
      </c>
      <c r="N464" s="158">
        <v>46218.0</v>
      </c>
      <c r="O464" s="66">
        <v>2.0</v>
      </c>
      <c r="P464" s="66"/>
      <c r="Q464" s="66"/>
      <c r="R464" s="66"/>
      <c r="S464" s="66"/>
      <c r="T464" s="66"/>
      <c r="U464" s="66"/>
      <c r="V464" s="66"/>
      <c r="W464" s="66"/>
      <c r="X464" s="66"/>
      <c r="Y464" s="66"/>
      <c r="Z464" s="66"/>
    </row>
    <row r="465">
      <c r="A465" s="66"/>
      <c r="B465" s="66"/>
      <c r="C465" s="66"/>
      <c r="D465" s="66"/>
      <c r="E465" s="66"/>
      <c r="F465" s="66"/>
      <c r="G465" s="66"/>
      <c r="H465" s="66"/>
      <c r="I465" s="66"/>
      <c r="J465" s="66"/>
      <c r="K465" s="66"/>
      <c r="L465" s="66"/>
      <c r="M465" s="66" t="s">
        <v>259</v>
      </c>
      <c r="N465" s="158">
        <v>46218.0</v>
      </c>
      <c r="O465" s="66">
        <v>1.0</v>
      </c>
      <c r="P465" s="66"/>
      <c r="Q465" s="66"/>
      <c r="R465" s="66"/>
      <c r="S465" s="66"/>
      <c r="T465" s="66"/>
      <c r="U465" s="66"/>
      <c r="V465" s="66"/>
      <c r="W465" s="66"/>
      <c r="X465" s="66"/>
      <c r="Y465" s="66"/>
      <c r="Z465" s="66"/>
    </row>
    <row r="466">
      <c r="A466" s="66"/>
      <c r="B466" s="66"/>
      <c r="C466" s="66"/>
      <c r="D466" s="66"/>
      <c r="E466" s="66"/>
      <c r="F466" s="66"/>
      <c r="G466" s="66"/>
      <c r="H466" s="66"/>
      <c r="I466" s="66"/>
      <c r="J466" s="66"/>
      <c r="K466" s="66"/>
      <c r="L466" s="66"/>
      <c r="M466" s="66" t="s">
        <v>256</v>
      </c>
      <c r="N466" s="158">
        <v>46218.0</v>
      </c>
      <c r="O466" s="66">
        <v>1.0</v>
      </c>
      <c r="P466" s="66"/>
      <c r="Q466" s="66"/>
      <c r="R466" s="66"/>
      <c r="S466" s="66"/>
      <c r="T466" s="66"/>
      <c r="U466" s="66"/>
      <c r="V466" s="66"/>
      <c r="W466" s="66"/>
      <c r="X466" s="66"/>
      <c r="Y466" s="66"/>
      <c r="Z466" s="66"/>
    </row>
    <row r="467">
      <c r="A467" s="66"/>
      <c r="B467" s="66"/>
      <c r="C467" s="66"/>
      <c r="D467" s="66"/>
      <c r="E467" s="66"/>
      <c r="F467" s="66"/>
      <c r="G467" s="66"/>
      <c r="H467" s="66"/>
      <c r="I467" s="66"/>
      <c r="J467" s="66"/>
      <c r="K467" s="66"/>
      <c r="L467" s="66"/>
      <c r="M467" s="66" t="s">
        <v>254</v>
      </c>
      <c r="N467" s="158">
        <v>46218.0</v>
      </c>
      <c r="O467" s="66">
        <v>1.0</v>
      </c>
      <c r="P467" s="66"/>
      <c r="Q467" s="66"/>
      <c r="R467" s="66"/>
      <c r="S467" s="66"/>
      <c r="T467" s="66"/>
      <c r="U467" s="66"/>
      <c r="V467" s="66"/>
      <c r="W467" s="66"/>
      <c r="X467" s="66"/>
      <c r="Y467" s="66"/>
      <c r="Z467" s="66"/>
    </row>
    <row r="468">
      <c r="A468" s="66"/>
      <c r="B468" s="66"/>
      <c r="C468" s="66"/>
      <c r="D468" s="66"/>
      <c r="E468" s="66"/>
      <c r="F468" s="66"/>
      <c r="G468" s="66"/>
      <c r="H468" s="66"/>
      <c r="I468" s="66"/>
      <c r="J468" s="66"/>
      <c r="K468" s="66"/>
      <c r="L468" s="66"/>
      <c r="M468" s="66" t="s">
        <v>148</v>
      </c>
      <c r="N468" s="158">
        <v>46203.0</v>
      </c>
      <c r="O468" s="66">
        <v>1.0</v>
      </c>
      <c r="P468" s="66"/>
      <c r="Q468" s="66"/>
      <c r="R468" s="66"/>
      <c r="S468" s="66"/>
      <c r="T468" s="66"/>
      <c r="U468" s="66"/>
      <c r="V468" s="66"/>
      <c r="W468" s="66"/>
      <c r="X468" s="66"/>
      <c r="Y468" s="66"/>
      <c r="Z468" s="66"/>
    </row>
    <row r="469">
      <c r="A469" s="66"/>
      <c r="B469" s="66"/>
      <c r="C469" s="66"/>
      <c r="D469" s="66"/>
      <c r="E469" s="66"/>
      <c r="F469" s="66"/>
      <c r="G469" s="66"/>
      <c r="H469" s="66"/>
      <c r="I469" s="66"/>
      <c r="J469" s="66"/>
      <c r="K469" s="66"/>
      <c r="L469" s="66"/>
      <c r="M469" s="66" t="s">
        <v>127</v>
      </c>
      <c r="N469" s="158">
        <v>46203.0</v>
      </c>
      <c r="O469" s="66">
        <v>1.0</v>
      </c>
      <c r="P469" s="66"/>
      <c r="Q469" s="66"/>
      <c r="R469" s="66"/>
      <c r="S469" s="66"/>
      <c r="T469" s="66"/>
      <c r="U469" s="66"/>
      <c r="V469" s="66"/>
      <c r="W469" s="66"/>
      <c r="X469" s="66"/>
      <c r="Y469" s="66"/>
      <c r="Z469" s="66"/>
    </row>
    <row r="470">
      <c r="A470" s="66"/>
      <c r="B470" s="66"/>
      <c r="C470" s="66"/>
      <c r="D470" s="66"/>
      <c r="E470" s="66"/>
      <c r="F470" s="66"/>
      <c r="G470" s="66"/>
      <c r="H470" s="66"/>
      <c r="I470" s="66"/>
      <c r="J470" s="66"/>
      <c r="K470" s="66"/>
      <c r="L470" s="66"/>
      <c r="M470" s="66" t="s">
        <v>125</v>
      </c>
      <c r="N470" s="158">
        <v>46203.0</v>
      </c>
      <c r="O470" s="66">
        <v>1.0</v>
      </c>
      <c r="P470" s="66"/>
      <c r="Q470" s="66"/>
      <c r="R470" s="66"/>
      <c r="S470" s="66"/>
      <c r="T470" s="66"/>
      <c r="U470" s="66"/>
      <c r="V470" s="66"/>
      <c r="W470" s="66"/>
      <c r="X470" s="66"/>
      <c r="Y470" s="66"/>
      <c r="Z470" s="66"/>
    </row>
    <row r="471">
      <c r="A471" s="66"/>
      <c r="B471" s="66"/>
      <c r="C471" s="66"/>
      <c r="D471" s="66"/>
      <c r="E471" s="66"/>
      <c r="F471" s="66"/>
      <c r="G471" s="66"/>
      <c r="H471" s="66"/>
      <c r="I471" s="66"/>
      <c r="J471" s="66"/>
      <c r="K471" s="66"/>
      <c r="L471" s="66"/>
      <c r="M471" s="66" t="s">
        <v>132</v>
      </c>
      <c r="N471" s="158">
        <v>46234.0</v>
      </c>
      <c r="O471" s="66">
        <v>1.0</v>
      </c>
      <c r="P471" s="66"/>
      <c r="Q471" s="66"/>
      <c r="R471" s="66"/>
      <c r="S471" s="66"/>
      <c r="T471" s="66"/>
      <c r="U471" s="66"/>
      <c r="V471" s="66"/>
      <c r="W471" s="66"/>
      <c r="X471" s="66"/>
      <c r="Y471" s="66"/>
      <c r="Z471" s="66"/>
    </row>
    <row r="472">
      <c r="A472" s="66"/>
      <c r="B472" s="66"/>
      <c r="C472" s="66"/>
      <c r="D472" s="66"/>
      <c r="E472" s="66"/>
      <c r="F472" s="66"/>
      <c r="G472" s="66"/>
      <c r="H472" s="66"/>
      <c r="I472" s="66"/>
      <c r="J472" s="66"/>
      <c r="K472" s="66"/>
      <c r="L472" s="66"/>
      <c r="M472" s="66" t="s">
        <v>115</v>
      </c>
      <c r="N472" s="158">
        <v>46203.0</v>
      </c>
      <c r="O472" s="66">
        <v>1.0</v>
      </c>
      <c r="P472" s="66"/>
      <c r="Q472" s="66"/>
      <c r="R472" s="66"/>
      <c r="S472" s="66"/>
      <c r="T472" s="66"/>
      <c r="U472" s="66"/>
      <c r="V472" s="66"/>
      <c r="W472" s="66"/>
      <c r="X472" s="66"/>
      <c r="Y472" s="66"/>
      <c r="Z472" s="66"/>
    </row>
    <row r="473">
      <c r="A473" s="66"/>
      <c r="B473" s="66"/>
      <c r="C473" s="66"/>
      <c r="D473" s="66"/>
      <c r="E473" s="66"/>
      <c r="F473" s="66"/>
      <c r="G473" s="66"/>
      <c r="H473" s="66"/>
      <c r="I473" s="66"/>
      <c r="J473" s="66"/>
      <c r="K473" s="66"/>
      <c r="L473" s="66"/>
      <c r="M473" s="66" t="s">
        <v>107</v>
      </c>
      <c r="N473" s="158">
        <v>46203.0</v>
      </c>
      <c r="O473" s="66">
        <v>1.0</v>
      </c>
      <c r="P473" s="66"/>
      <c r="Q473" s="66"/>
      <c r="R473" s="66"/>
      <c r="S473" s="66"/>
      <c r="T473" s="66"/>
      <c r="U473" s="66"/>
      <c r="V473" s="66"/>
      <c r="W473" s="66"/>
      <c r="X473" s="66"/>
      <c r="Y473" s="66"/>
      <c r="Z473" s="66"/>
    </row>
    <row r="474">
      <c r="A474" s="66"/>
      <c r="B474" s="66"/>
      <c r="C474" s="66"/>
      <c r="D474" s="66"/>
      <c r="E474" s="66"/>
      <c r="F474" s="66"/>
      <c r="G474" s="66"/>
      <c r="H474" s="66"/>
      <c r="I474" s="66"/>
      <c r="J474" s="66"/>
      <c r="K474" s="66"/>
      <c r="L474" s="66"/>
      <c r="M474" s="66" t="s">
        <v>207</v>
      </c>
      <c r="N474" s="158">
        <v>46249.0</v>
      </c>
      <c r="O474" s="66">
        <v>1.0</v>
      </c>
      <c r="P474" s="66"/>
      <c r="Q474" s="66"/>
      <c r="R474" s="66"/>
      <c r="S474" s="66"/>
      <c r="T474" s="66"/>
      <c r="U474" s="66"/>
      <c r="V474" s="66"/>
      <c r="W474" s="66"/>
      <c r="X474" s="66"/>
      <c r="Y474" s="66"/>
      <c r="Z474" s="66"/>
    </row>
    <row r="475">
      <c r="A475" s="66"/>
      <c r="B475" s="66"/>
      <c r="C475" s="66"/>
      <c r="D475" s="66"/>
      <c r="E475" s="66"/>
      <c r="F475" s="66"/>
      <c r="G475" s="66"/>
      <c r="H475" s="66"/>
      <c r="I475" s="66"/>
      <c r="J475" s="66"/>
      <c r="K475" s="66"/>
      <c r="L475" s="66"/>
      <c r="M475" s="66" t="s">
        <v>129</v>
      </c>
      <c r="N475" s="158">
        <v>46203.0</v>
      </c>
      <c r="O475" s="66">
        <v>1.0</v>
      </c>
      <c r="P475" s="66"/>
      <c r="Q475" s="66"/>
      <c r="R475" s="66"/>
      <c r="S475" s="66"/>
      <c r="T475" s="66"/>
      <c r="U475" s="66"/>
      <c r="V475" s="66"/>
      <c r="W475" s="66"/>
      <c r="X475" s="66"/>
      <c r="Y475" s="66"/>
      <c r="Z475" s="66"/>
    </row>
    <row r="476">
      <c r="A476" s="66"/>
      <c r="B476" s="66"/>
      <c r="C476" s="66"/>
      <c r="D476" s="66"/>
      <c r="E476" s="66"/>
      <c r="F476" s="66"/>
      <c r="G476" s="66"/>
      <c r="H476" s="66"/>
      <c r="I476" s="66"/>
      <c r="J476" s="66"/>
      <c r="K476" s="66"/>
      <c r="L476" s="66"/>
      <c r="M476" s="66" t="s">
        <v>130</v>
      </c>
      <c r="N476" s="158">
        <v>46203.0</v>
      </c>
      <c r="O476" s="66">
        <v>1.0</v>
      </c>
      <c r="P476" s="66"/>
      <c r="Q476" s="66"/>
      <c r="R476" s="66"/>
      <c r="S476" s="66"/>
      <c r="T476" s="66"/>
      <c r="U476" s="66"/>
      <c r="V476" s="66"/>
      <c r="W476" s="66"/>
      <c r="X476" s="66"/>
      <c r="Y476" s="66"/>
      <c r="Z476" s="66"/>
    </row>
    <row r="477">
      <c r="A477" s="66"/>
      <c r="B477" s="66"/>
      <c r="C477" s="66"/>
      <c r="D477" s="66"/>
      <c r="E477" s="66"/>
      <c r="F477" s="66"/>
      <c r="G477" s="66"/>
      <c r="H477" s="66"/>
      <c r="I477" s="66"/>
      <c r="J477" s="66"/>
      <c r="K477" s="66"/>
      <c r="L477" s="66"/>
      <c r="M477" s="66" t="s">
        <v>161</v>
      </c>
      <c r="N477" s="158">
        <v>46249.0</v>
      </c>
      <c r="O477" s="66">
        <v>1.0</v>
      </c>
      <c r="P477" s="66"/>
      <c r="Q477" s="66"/>
      <c r="R477" s="66"/>
      <c r="S477" s="66"/>
      <c r="T477" s="66"/>
      <c r="U477" s="66"/>
      <c r="V477" s="66"/>
      <c r="W477" s="66"/>
      <c r="X477" s="66"/>
      <c r="Y477" s="66"/>
      <c r="Z477" s="66"/>
    </row>
    <row r="478">
      <c r="A478" s="66"/>
      <c r="B478" s="66"/>
      <c r="C478" s="66"/>
      <c r="D478" s="66"/>
      <c r="E478" s="66"/>
      <c r="F478" s="66"/>
      <c r="G478" s="66"/>
      <c r="H478" s="66"/>
      <c r="I478" s="66"/>
      <c r="J478" s="66"/>
      <c r="K478" s="66"/>
      <c r="L478" s="66"/>
      <c r="M478" s="66" t="s">
        <v>234</v>
      </c>
      <c r="N478" s="158">
        <v>46249.0</v>
      </c>
      <c r="O478" s="66">
        <v>1.0</v>
      </c>
      <c r="P478" s="66"/>
      <c r="Q478" s="66"/>
      <c r="R478" s="66"/>
      <c r="S478" s="66"/>
      <c r="T478" s="66"/>
      <c r="U478" s="66"/>
      <c r="V478" s="66"/>
      <c r="W478" s="66"/>
      <c r="X478" s="66"/>
      <c r="Y478" s="66"/>
      <c r="Z478" s="66"/>
    </row>
    <row r="479">
      <c r="A479" s="66"/>
      <c r="B479" s="66"/>
      <c r="C479" s="66"/>
      <c r="D479" s="66"/>
      <c r="E479" s="66"/>
      <c r="F479" s="66"/>
      <c r="G479" s="66"/>
      <c r="H479" s="66"/>
      <c r="I479" s="66"/>
      <c r="J479" s="66"/>
      <c r="K479" s="66"/>
      <c r="L479" s="66"/>
      <c r="M479" s="66" t="s">
        <v>164</v>
      </c>
      <c r="N479" s="158">
        <v>46249.0</v>
      </c>
      <c r="O479" s="66">
        <v>1.0</v>
      </c>
      <c r="P479" s="66"/>
      <c r="Q479" s="66"/>
      <c r="R479" s="66"/>
      <c r="S479" s="66"/>
      <c r="T479" s="66"/>
      <c r="U479" s="66"/>
      <c r="V479" s="66"/>
      <c r="W479" s="66"/>
      <c r="X479" s="66"/>
      <c r="Y479" s="66"/>
      <c r="Z479" s="66"/>
    </row>
    <row r="480">
      <c r="A480" s="66"/>
      <c r="B480" s="66"/>
      <c r="C480" s="66"/>
      <c r="D480" s="66"/>
      <c r="E480" s="66"/>
      <c r="F480" s="66"/>
      <c r="G480" s="66"/>
      <c r="H480" s="66"/>
      <c r="I480" s="66"/>
      <c r="J480" s="66"/>
      <c r="K480" s="66"/>
      <c r="L480" s="66"/>
      <c r="M480" s="66" t="s">
        <v>208</v>
      </c>
      <c r="N480" s="158">
        <v>46249.0</v>
      </c>
      <c r="O480" s="66">
        <v>1.0</v>
      </c>
      <c r="P480" s="66"/>
      <c r="Q480" s="66"/>
      <c r="R480" s="66"/>
      <c r="S480" s="66"/>
      <c r="T480" s="66"/>
      <c r="U480" s="66"/>
      <c r="V480" s="66"/>
      <c r="W480" s="66"/>
      <c r="X480" s="66"/>
      <c r="Y480" s="66"/>
      <c r="Z480" s="66"/>
    </row>
    <row r="481">
      <c r="A481" s="66"/>
      <c r="B481" s="66"/>
      <c r="C481" s="66"/>
      <c r="D481" s="66"/>
      <c r="E481" s="66"/>
      <c r="F481" s="66"/>
      <c r="G481" s="66"/>
      <c r="H481" s="66"/>
      <c r="I481" s="66"/>
      <c r="J481" s="66"/>
      <c r="K481" s="66"/>
      <c r="L481" s="66"/>
      <c r="M481" s="66" t="s">
        <v>165</v>
      </c>
      <c r="N481" s="158">
        <v>46249.0</v>
      </c>
      <c r="O481" s="66">
        <v>1.0</v>
      </c>
      <c r="P481" s="66"/>
      <c r="Q481" s="66"/>
      <c r="R481" s="66"/>
      <c r="S481" s="66"/>
      <c r="T481" s="66"/>
      <c r="U481" s="66"/>
      <c r="V481" s="66"/>
      <c r="W481" s="66"/>
      <c r="X481" s="66"/>
      <c r="Y481" s="66"/>
      <c r="Z481" s="66"/>
    </row>
    <row r="482">
      <c r="A482" s="66"/>
      <c r="B482" s="66"/>
      <c r="C482" s="66"/>
      <c r="D482" s="66"/>
      <c r="E482" s="66"/>
      <c r="F482" s="66"/>
      <c r="G482" s="66"/>
      <c r="H482" s="66"/>
      <c r="I482" s="66"/>
      <c r="J482" s="66"/>
      <c r="K482" s="66"/>
      <c r="L482" s="66"/>
      <c r="M482" s="66" t="s">
        <v>112</v>
      </c>
      <c r="N482" s="158">
        <v>46203.0</v>
      </c>
      <c r="O482" s="66">
        <v>1.0</v>
      </c>
      <c r="P482" s="66"/>
      <c r="Q482" s="66"/>
      <c r="R482" s="66"/>
      <c r="S482" s="66"/>
      <c r="T482" s="66"/>
      <c r="U482" s="66"/>
      <c r="V482" s="66"/>
      <c r="W482" s="66"/>
      <c r="X482" s="66"/>
      <c r="Y482" s="66"/>
      <c r="Z482" s="66"/>
    </row>
    <row r="483">
      <c r="A483" s="66"/>
      <c r="B483" s="66"/>
      <c r="C483" s="66"/>
      <c r="D483" s="66"/>
      <c r="E483" s="66"/>
      <c r="F483" s="66"/>
      <c r="G483" s="66"/>
      <c r="H483" s="66"/>
      <c r="I483" s="66"/>
      <c r="J483" s="66"/>
      <c r="K483" s="66"/>
      <c r="L483" s="66"/>
      <c r="M483" s="66" t="s">
        <v>116</v>
      </c>
      <c r="N483" s="158">
        <v>46203.0</v>
      </c>
      <c r="O483" s="66">
        <v>1.0</v>
      </c>
      <c r="P483" s="66"/>
      <c r="Q483" s="66"/>
      <c r="R483" s="66"/>
      <c r="S483" s="66"/>
      <c r="T483" s="66"/>
      <c r="U483" s="66"/>
      <c r="V483" s="66"/>
      <c r="W483" s="66"/>
      <c r="X483" s="66"/>
      <c r="Y483" s="66"/>
      <c r="Z483" s="66"/>
    </row>
    <row r="484">
      <c r="A484" s="66"/>
      <c r="B484" s="66"/>
      <c r="C484" s="66"/>
      <c r="D484" s="66"/>
      <c r="E484" s="66"/>
      <c r="F484" s="66"/>
      <c r="G484" s="66"/>
      <c r="H484" s="66"/>
      <c r="I484" s="66"/>
      <c r="J484" s="66"/>
      <c r="K484" s="66"/>
      <c r="L484" s="66"/>
      <c r="M484" s="66" t="s">
        <v>205</v>
      </c>
      <c r="N484" s="158">
        <v>46249.0</v>
      </c>
      <c r="O484" s="66">
        <v>1.0</v>
      </c>
      <c r="P484" s="66"/>
      <c r="Q484" s="66"/>
      <c r="R484" s="66"/>
      <c r="S484" s="66"/>
      <c r="T484" s="66"/>
      <c r="U484" s="66"/>
      <c r="V484" s="66"/>
      <c r="W484" s="66"/>
      <c r="X484" s="66"/>
      <c r="Y484" s="66"/>
      <c r="Z484" s="66"/>
    </row>
    <row r="485">
      <c r="A485" s="66"/>
      <c r="B485" s="66"/>
      <c r="C485" s="66"/>
      <c r="D485" s="66"/>
      <c r="E485" s="66"/>
      <c r="F485" s="66"/>
      <c r="G485" s="66"/>
      <c r="H485" s="66"/>
      <c r="I485" s="66"/>
      <c r="J485" s="66"/>
      <c r="K485" s="66"/>
      <c r="L485" s="66"/>
      <c r="M485" s="66" t="s">
        <v>122</v>
      </c>
      <c r="N485" s="158">
        <v>46203.0</v>
      </c>
      <c r="O485" s="66">
        <v>1.0</v>
      </c>
      <c r="P485" s="66"/>
      <c r="Q485" s="66"/>
      <c r="R485" s="66"/>
      <c r="S485" s="66"/>
      <c r="T485" s="66"/>
      <c r="U485" s="66"/>
      <c r="V485" s="66"/>
      <c r="W485" s="66"/>
      <c r="X485" s="66"/>
      <c r="Y485" s="66"/>
      <c r="Z485" s="66"/>
    </row>
    <row r="486">
      <c r="A486" s="66"/>
      <c r="B486" s="66"/>
      <c r="C486" s="66"/>
      <c r="D486" s="66"/>
      <c r="E486" s="66"/>
      <c r="F486" s="66"/>
      <c r="G486" s="66"/>
      <c r="H486" s="66"/>
      <c r="I486" s="66"/>
      <c r="J486" s="66"/>
      <c r="K486" s="66"/>
      <c r="L486" s="66"/>
      <c r="M486" s="66" t="s">
        <v>158</v>
      </c>
      <c r="N486" s="158">
        <v>46249.0</v>
      </c>
      <c r="O486" s="66">
        <v>1.0</v>
      </c>
      <c r="P486" s="66"/>
      <c r="Q486" s="66"/>
      <c r="R486" s="66"/>
      <c r="S486" s="66"/>
      <c r="T486" s="66"/>
      <c r="U486" s="66"/>
      <c r="V486" s="66"/>
      <c r="W486" s="66"/>
      <c r="X486" s="66"/>
      <c r="Y486" s="66"/>
      <c r="Z486" s="66"/>
    </row>
    <row r="487">
      <c r="A487" s="66"/>
      <c r="B487" s="66"/>
      <c r="C487" s="66"/>
      <c r="D487" s="66"/>
      <c r="E487" s="66"/>
      <c r="F487" s="66"/>
      <c r="G487" s="66"/>
      <c r="H487" s="66"/>
      <c r="I487" s="66"/>
      <c r="J487" s="66"/>
      <c r="K487" s="66"/>
      <c r="L487" s="66"/>
      <c r="M487" s="66" t="s">
        <v>168</v>
      </c>
      <c r="N487" s="158">
        <v>46249.0</v>
      </c>
      <c r="O487" s="66">
        <v>1.0</v>
      </c>
      <c r="P487" s="66"/>
      <c r="Q487" s="66"/>
      <c r="R487" s="66"/>
      <c r="S487" s="66"/>
      <c r="T487" s="66"/>
      <c r="U487" s="66"/>
      <c r="V487" s="66"/>
      <c r="W487" s="66"/>
      <c r="X487" s="66"/>
      <c r="Y487" s="66"/>
      <c r="Z487" s="66"/>
    </row>
    <row r="488">
      <c r="A488" s="66"/>
      <c r="B488" s="66"/>
      <c r="C488" s="66"/>
      <c r="D488" s="66"/>
      <c r="E488" s="66"/>
      <c r="F488" s="66"/>
      <c r="G488" s="66"/>
      <c r="H488" s="66"/>
      <c r="I488" s="66"/>
      <c r="J488" s="66"/>
      <c r="K488" s="66"/>
      <c r="L488" s="66"/>
      <c r="M488" s="66" t="s">
        <v>200</v>
      </c>
      <c r="N488" s="158">
        <v>46249.0</v>
      </c>
      <c r="O488" s="66">
        <v>1.0</v>
      </c>
      <c r="P488" s="66"/>
      <c r="Q488" s="66"/>
      <c r="R488" s="66"/>
      <c r="S488" s="66"/>
      <c r="T488" s="66"/>
      <c r="U488" s="66"/>
      <c r="V488" s="66"/>
      <c r="W488" s="66"/>
      <c r="X488" s="66"/>
      <c r="Y488" s="66"/>
      <c r="Z488" s="66"/>
    </row>
    <row r="489">
      <c r="A489" s="66"/>
      <c r="B489" s="66"/>
      <c r="C489" s="66"/>
      <c r="D489" s="66"/>
      <c r="E489" s="66"/>
      <c r="F489" s="66"/>
      <c r="G489" s="66"/>
      <c r="H489" s="66"/>
      <c r="I489" s="66"/>
      <c r="J489" s="66"/>
      <c r="K489" s="66"/>
      <c r="L489" s="66"/>
      <c r="M489" s="66" t="s">
        <v>157</v>
      </c>
      <c r="N489" s="158">
        <v>46249.0</v>
      </c>
      <c r="O489" s="66">
        <v>1.0</v>
      </c>
      <c r="P489" s="66"/>
      <c r="Q489" s="66"/>
      <c r="R489" s="66"/>
      <c r="S489" s="66"/>
      <c r="T489" s="66"/>
      <c r="U489" s="66"/>
      <c r="V489" s="66"/>
      <c r="W489" s="66"/>
      <c r="X489" s="66"/>
      <c r="Y489" s="66"/>
      <c r="Z489" s="66"/>
    </row>
    <row r="490">
      <c r="A490" s="66"/>
      <c r="B490" s="66"/>
      <c r="C490" s="66"/>
      <c r="D490" s="66"/>
      <c r="E490" s="66"/>
      <c r="F490" s="66"/>
      <c r="G490" s="66"/>
      <c r="H490" s="66"/>
      <c r="I490" s="66"/>
      <c r="J490" s="66"/>
      <c r="K490" s="66"/>
      <c r="L490" s="66"/>
      <c r="M490" s="66" t="s">
        <v>147</v>
      </c>
      <c r="N490" s="158">
        <v>46203.0</v>
      </c>
      <c r="O490" s="66">
        <v>1.0</v>
      </c>
      <c r="P490" s="66"/>
      <c r="Q490" s="66"/>
      <c r="R490" s="66"/>
      <c r="S490" s="66"/>
      <c r="T490" s="66"/>
      <c r="U490" s="66"/>
      <c r="V490" s="66"/>
      <c r="W490" s="66"/>
      <c r="X490" s="66"/>
      <c r="Y490" s="66"/>
      <c r="Z490" s="66"/>
    </row>
    <row r="491">
      <c r="A491" s="66"/>
      <c r="B491" s="66"/>
      <c r="C491" s="66"/>
      <c r="D491" s="66"/>
      <c r="E491" s="66"/>
      <c r="F491" s="66"/>
      <c r="G491" s="66"/>
      <c r="H491" s="66"/>
      <c r="I491" s="66"/>
      <c r="J491" s="66"/>
      <c r="K491" s="66"/>
      <c r="L491" s="66"/>
      <c r="M491" s="66" t="s">
        <v>149</v>
      </c>
      <c r="N491" s="158">
        <v>46203.0</v>
      </c>
      <c r="O491" s="66">
        <v>1.0</v>
      </c>
      <c r="P491" s="66"/>
      <c r="Q491" s="66"/>
      <c r="R491" s="66"/>
      <c r="S491" s="66"/>
      <c r="T491" s="66"/>
      <c r="U491" s="66"/>
      <c r="V491" s="66"/>
      <c r="W491" s="66"/>
      <c r="X491" s="66"/>
      <c r="Y491" s="66"/>
      <c r="Z491" s="66"/>
    </row>
    <row r="492">
      <c r="A492" s="66"/>
      <c r="B492" s="66"/>
      <c r="C492" s="66"/>
      <c r="D492" s="66"/>
      <c r="E492" s="66"/>
      <c r="F492" s="66"/>
      <c r="G492" s="66"/>
      <c r="H492" s="66"/>
      <c r="I492" s="66"/>
      <c r="J492" s="66"/>
      <c r="K492" s="66"/>
      <c r="L492" s="66"/>
      <c r="M492" s="66" t="s">
        <v>135</v>
      </c>
      <c r="N492" s="158">
        <v>46249.0</v>
      </c>
      <c r="O492" s="66">
        <v>2.0</v>
      </c>
      <c r="P492" s="66"/>
      <c r="Q492" s="66"/>
      <c r="R492" s="66"/>
      <c r="S492" s="66"/>
      <c r="T492" s="66"/>
      <c r="U492" s="66"/>
      <c r="V492" s="66"/>
      <c r="W492" s="66"/>
      <c r="X492" s="66"/>
      <c r="Y492" s="66"/>
      <c r="Z492" s="66"/>
    </row>
    <row r="493">
      <c r="A493" s="66"/>
      <c r="B493" s="66"/>
      <c r="C493" s="66"/>
      <c r="D493" s="66"/>
      <c r="E493" s="66"/>
      <c r="F493" s="66"/>
      <c r="G493" s="66"/>
      <c r="H493" s="66"/>
      <c r="I493" s="66"/>
      <c r="J493" s="66"/>
      <c r="K493" s="66"/>
      <c r="L493" s="66"/>
      <c r="M493" s="66" t="s">
        <v>232</v>
      </c>
      <c r="N493" s="158">
        <v>46249.0</v>
      </c>
      <c r="O493" s="66">
        <v>1.0</v>
      </c>
      <c r="P493" s="66"/>
      <c r="Q493" s="66"/>
      <c r="R493" s="66"/>
      <c r="S493" s="66"/>
      <c r="T493" s="66"/>
      <c r="U493" s="66"/>
      <c r="V493" s="66"/>
      <c r="W493" s="66"/>
      <c r="X493" s="66"/>
      <c r="Y493" s="66"/>
      <c r="Z493" s="66"/>
    </row>
    <row r="494">
      <c r="A494" s="66"/>
      <c r="B494" s="66"/>
      <c r="C494" s="66"/>
      <c r="D494" s="66"/>
      <c r="E494" s="66"/>
      <c r="F494" s="66"/>
      <c r="G494" s="66"/>
      <c r="H494" s="66"/>
      <c r="I494" s="66"/>
      <c r="J494" s="66"/>
      <c r="K494" s="66"/>
      <c r="L494" s="66"/>
      <c r="M494" s="66" t="s">
        <v>159</v>
      </c>
      <c r="N494" s="158">
        <v>46249.0</v>
      </c>
      <c r="O494" s="66">
        <v>1.0</v>
      </c>
      <c r="P494" s="66"/>
      <c r="Q494" s="66"/>
      <c r="R494" s="66"/>
      <c r="S494" s="66"/>
      <c r="T494" s="66"/>
      <c r="U494" s="66"/>
      <c r="V494" s="66"/>
      <c r="W494" s="66"/>
      <c r="X494" s="66"/>
      <c r="Y494" s="66"/>
      <c r="Z494" s="66"/>
    </row>
    <row r="495">
      <c r="A495" s="66"/>
      <c r="B495" s="66"/>
      <c r="C495" s="66"/>
      <c r="D495" s="66"/>
      <c r="E495" s="66"/>
      <c r="F495" s="66"/>
      <c r="G495" s="66"/>
      <c r="H495" s="66"/>
      <c r="I495" s="66"/>
      <c r="J495" s="66"/>
      <c r="K495" s="66"/>
      <c r="L495" s="66"/>
      <c r="M495" s="66" t="s">
        <v>169</v>
      </c>
      <c r="N495" s="158">
        <v>46249.0</v>
      </c>
      <c r="O495" s="66">
        <v>1.0</v>
      </c>
      <c r="P495" s="66"/>
      <c r="Q495" s="66"/>
      <c r="R495" s="66"/>
      <c r="S495" s="66"/>
      <c r="T495" s="66"/>
      <c r="U495" s="66"/>
      <c r="V495" s="66"/>
      <c r="W495" s="66"/>
      <c r="X495" s="66"/>
      <c r="Y495" s="66"/>
      <c r="Z495" s="66"/>
    </row>
    <row r="496">
      <c r="A496" s="66"/>
      <c r="B496" s="66"/>
      <c r="C496" s="66"/>
      <c r="D496" s="66"/>
      <c r="E496" s="66"/>
      <c r="F496" s="66"/>
      <c r="G496" s="66"/>
      <c r="H496" s="66"/>
      <c r="I496" s="66"/>
      <c r="J496" s="66"/>
      <c r="K496" s="66"/>
      <c r="L496" s="66"/>
      <c r="M496" s="66" t="s">
        <v>113</v>
      </c>
      <c r="N496" s="158">
        <v>46203.0</v>
      </c>
      <c r="O496" s="66">
        <v>1.0</v>
      </c>
      <c r="P496" s="66"/>
      <c r="Q496" s="66"/>
      <c r="R496" s="66"/>
      <c r="S496" s="66"/>
      <c r="T496" s="66"/>
      <c r="U496" s="66"/>
      <c r="V496" s="66"/>
      <c r="W496" s="66"/>
      <c r="X496" s="66"/>
      <c r="Y496" s="66"/>
      <c r="Z496" s="66"/>
    </row>
    <row r="497">
      <c r="A497" s="66"/>
      <c r="B497" s="66"/>
      <c r="C497" s="66"/>
      <c r="D497" s="66"/>
      <c r="E497" s="66"/>
      <c r="F497" s="66"/>
      <c r="G497" s="66"/>
      <c r="H497" s="66"/>
      <c r="I497" s="66"/>
      <c r="J497" s="66"/>
      <c r="K497" s="66"/>
      <c r="L497" s="66"/>
      <c r="M497" s="66" t="s">
        <v>151</v>
      </c>
      <c r="N497" s="158">
        <v>46203.0</v>
      </c>
      <c r="O497" s="66">
        <v>1.0</v>
      </c>
      <c r="P497" s="66"/>
      <c r="Q497" s="66"/>
      <c r="R497" s="66"/>
      <c r="S497" s="66"/>
      <c r="T497" s="66"/>
      <c r="U497" s="66"/>
      <c r="V497" s="66"/>
      <c r="W497" s="66"/>
      <c r="X497" s="66"/>
      <c r="Y497" s="66"/>
      <c r="Z497" s="66"/>
    </row>
    <row r="498">
      <c r="A498" s="66"/>
      <c r="B498" s="66"/>
      <c r="C498" s="66"/>
      <c r="D498" s="66"/>
      <c r="E498" s="66"/>
      <c r="F498" s="66"/>
      <c r="G498" s="66"/>
      <c r="H498" s="66"/>
      <c r="I498" s="66"/>
      <c r="J498" s="66"/>
      <c r="K498" s="66"/>
      <c r="L498" s="66"/>
      <c r="M498" s="66" t="s">
        <v>209</v>
      </c>
      <c r="N498" s="158">
        <v>46249.0</v>
      </c>
      <c r="O498" s="66">
        <v>1.0</v>
      </c>
      <c r="P498" s="66"/>
      <c r="Q498" s="66"/>
      <c r="R498" s="66"/>
      <c r="S498" s="66"/>
      <c r="T498" s="66"/>
      <c r="U498" s="66"/>
      <c r="V498" s="66"/>
      <c r="W498" s="66"/>
      <c r="X498" s="66"/>
      <c r="Y498" s="66"/>
      <c r="Z498" s="66"/>
    </row>
    <row r="499">
      <c r="A499" s="66"/>
      <c r="B499" s="66"/>
      <c r="C499" s="66"/>
      <c r="D499" s="66"/>
      <c r="E499" s="66"/>
      <c r="F499" s="66"/>
      <c r="G499" s="66"/>
      <c r="H499" s="66"/>
      <c r="I499" s="66"/>
      <c r="J499" s="66"/>
      <c r="K499" s="66"/>
      <c r="L499" s="66"/>
      <c r="M499" s="66" t="s">
        <v>162</v>
      </c>
      <c r="N499" s="158">
        <v>46249.0</v>
      </c>
      <c r="O499" s="66">
        <v>1.0</v>
      </c>
      <c r="P499" s="66"/>
      <c r="Q499" s="66"/>
      <c r="R499" s="66"/>
      <c r="S499" s="66"/>
      <c r="T499" s="66"/>
      <c r="U499" s="66"/>
      <c r="V499" s="66"/>
      <c r="W499" s="66"/>
      <c r="X499" s="66"/>
      <c r="Y499" s="66"/>
      <c r="Z499" s="66"/>
    </row>
    <row r="500">
      <c r="A500" s="66"/>
      <c r="B500" s="66"/>
      <c r="C500" s="66"/>
      <c r="D500" s="66"/>
      <c r="E500" s="66"/>
      <c r="F500" s="66"/>
      <c r="G500" s="66"/>
      <c r="H500" s="66"/>
      <c r="I500" s="66"/>
      <c r="J500" s="66"/>
      <c r="K500" s="66"/>
      <c r="L500" s="66"/>
      <c r="M500" s="66" t="s">
        <v>201</v>
      </c>
      <c r="N500" s="158">
        <v>46249.0</v>
      </c>
      <c r="O500" s="66">
        <v>1.0</v>
      </c>
      <c r="P500" s="66"/>
      <c r="Q500" s="66"/>
      <c r="R500" s="66"/>
      <c r="S500" s="66"/>
      <c r="T500" s="66"/>
      <c r="U500" s="66"/>
      <c r="V500" s="66"/>
      <c r="W500" s="66"/>
      <c r="X500" s="66"/>
      <c r="Y500" s="66"/>
      <c r="Z500" s="66"/>
    </row>
    <row r="501">
      <c r="A501" s="66"/>
      <c r="B501" s="66"/>
      <c r="C501" s="66"/>
      <c r="D501" s="66"/>
      <c r="E501" s="66"/>
      <c r="F501" s="66"/>
      <c r="G501" s="66"/>
      <c r="H501" s="66"/>
      <c r="I501" s="66"/>
      <c r="J501" s="66"/>
      <c r="K501" s="66"/>
      <c r="L501" s="66"/>
      <c r="M501" s="66" t="s">
        <v>226</v>
      </c>
      <c r="N501" s="158">
        <v>46249.0</v>
      </c>
      <c r="O501" s="66">
        <v>1.0</v>
      </c>
      <c r="P501" s="66"/>
      <c r="Q501" s="66"/>
      <c r="R501" s="66"/>
      <c r="S501" s="66"/>
      <c r="T501" s="66"/>
      <c r="U501" s="66"/>
      <c r="V501" s="66"/>
      <c r="W501" s="66"/>
      <c r="X501" s="66"/>
      <c r="Y501" s="66"/>
      <c r="Z501" s="66"/>
    </row>
    <row r="502">
      <c r="A502" s="66"/>
      <c r="B502" s="66"/>
      <c r="C502" s="66"/>
      <c r="D502" s="66"/>
      <c r="E502" s="66"/>
      <c r="F502" s="66"/>
      <c r="G502" s="66"/>
      <c r="H502" s="66"/>
      <c r="I502" s="66"/>
      <c r="J502" s="66"/>
      <c r="K502" s="66"/>
      <c r="L502" s="66"/>
      <c r="M502" s="66" t="s">
        <v>163</v>
      </c>
      <c r="N502" s="158">
        <v>46249.0</v>
      </c>
      <c r="O502" s="66">
        <v>1.0</v>
      </c>
      <c r="P502" s="66"/>
      <c r="Q502" s="66"/>
      <c r="R502" s="66"/>
      <c r="S502" s="66"/>
      <c r="T502" s="66"/>
      <c r="U502" s="66"/>
      <c r="V502" s="66"/>
      <c r="W502" s="66"/>
      <c r="X502" s="66"/>
      <c r="Y502" s="66"/>
      <c r="Z502" s="66"/>
    </row>
    <row r="503">
      <c r="A503" s="66"/>
      <c r="B503" s="66"/>
      <c r="C503" s="66"/>
      <c r="D503" s="66"/>
      <c r="E503" s="66"/>
      <c r="F503" s="66"/>
      <c r="G503" s="66"/>
      <c r="H503" s="66"/>
      <c r="I503" s="66"/>
      <c r="J503" s="66"/>
      <c r="K503" s="66"/>
      <c r="L503" s="66"/>
      <c r="M503" s="66" t="s">
        <v>215</v>
      </c>
      <c r="N503" s="158">
        <v>46280.0</v>
      </c>
      <c r="O503" s="66">
        <v>1.0</v>
      </c>
      <c r="P503" s="66"/>
      <c r="Q503" s="66"/>
      <c r="R503" s="66"/>
      <c r="S503" s="66"/>
      <c r="T503" s="66"/>
      <c r="U503" s="66"/>
      <c r="V503" s="66"/>
      <c r="W503" s="66"/>
      <c r="X503" s="66"/>
      <c r="Y503" s="66"/>
      <c r="Z503" s="66"/>
    </row>
    <row r="504">
      <c r="A504" s="66"/>
      <c r="B504" s="66"/>
      <c r="C504" s="66"/>
      <c r="D504" s="66"/>
      <c r="E504" s="66"/>
      <c r="F504" s="66"/>
      <c r="G504" s="66"/>
      <c r="H504" s="66"/>
      <c r="I504" s="66"/>
      <c r="J504" s="66"/>
      <c r="K504" s="66"/>
      <c r="L504" s="66"/>
      <c r="M504" s="66" t="s">
        <v>109</v>
      </c>
      <c r="N504" s="158">
        <v>46203.0</v>
      </c>
      <c r="O504" s="66">
        <v>1.0</v>
      </c>
      <c r="P504" s="66"/>
      <c r="Q504" s="66"/>
      <c r="R504" s="66"/>
      <c r="S504" s="66"/>
      <c r="T504" s="66"/>
      <c r="U504" s="66"/>
      <c r="V504" s="66"/>
      <c r="W504" s="66"/>
      <c r="X504" s="66"/>
      <c r="Y504" s="66"/>
      <c r="Z504" s="66"/>
    </row>
    <row r="505">
      <c r="A505" s="66"/>
      <c r="B505" s="66"/>
      <c r="C505" s="66"/>
      <c r="D505" s="66"/>
      <c r="E505" s="66"/>
      <c r="F505" s="66"/>
      <c r="G505" s="66"/>
      <c r="H505" s="66"/>
      <c r="I505" s="66"/>
      <c r="J505" s="66"/>
      <c r="K505" s="66"/>
      <c r="L505" s="66"/>
      <c r="M505" s="66" t="s">
        <v>108</v>
      </c>
      <c r="N505" s="158">
        <v>46203.0</v>
      </c>
      <c r="O505" s="66">
        <v>1.0</v>
      </c>
      <c r="P505" s="66"/>
      <c r="Q505" s="66"/>
      <c r="R505" s="66"/>
      <c r="S505" s="66"/>
      <c r="T505" s="66"/>
      <c r="U505" s="66"/>
      <c r="V505" s="66"/>
      <c r="W505" s="66"/>
      <c r="X505" s="66"/>
      <c r="Y505" s="66"/>
      <c r="Z505" s="66"/>
    </row>
    <row r="506">
      <c r="A506" s="66"/>
      <c r="B506" s="66"/>
      <c r="C506" s="66"/>
      <c r="D506" s="66"/>
      <c r="E506" s="66"/>
      <c r="F506" s="66"/>
      <c r="G506" s="66"/>
      <c r="H506" s="66"/>
      <c r="I506" s="66"/>
      <c r="J506" s="66"/>
      <c r="K506" s="66"/>
      <c r="L506" s="66"/>
      <c r="M506" s="66" t="s">
        <v>118</v>
      </c>
      <c r="N506" s="158">
        <v>46203.0</v>
      </c>
      <c r="O506" s="66">
        <v>1.0</v>
      </c>
      <c r="P506" s="66"/>
      <c r="Q506" s="66"/>
      <c r="R506" s="66"/>
      <c r="S506" s="66"/>
      <c r="T506" s="66"/>
      <c r="U506" s="66"/>
      <c r="V506" s="66"/>
      <c r="W506" s="66"/>
      <c r="X506" s="66"/>
      <c r="Y506" s="66"/>
      <c r="Z506" s="66"/>
    </row>
    <row r="507">
      <c r="A507" s="66"/>
      <c r="B507" s="66"/>
      <c r="C507" s="66"/>
      <c r="D507" s="66"/>
      <c r="E507" s="66"/>
      <c r="F507" s="66"/>
      <c r="G507" s="66"/>
      <c r="H507" s="66"/>
      <c r="I507" s="66"/>
      <c r="J507" s="66"/>
      <c r="K507" s="66"/>
      <c r="L507" s="66"/>
      <c r="M507" s="66" t="s">
        <v>216</v>
      </c>
      <c r="N507" s="158">
        <v>46280.0</v>
      </c>
      <c r="O507" s="66">
        <v>1.0</v>
      </c>
      <c r="P507" s="66"/>
      <c r="Q507" s="66"/>
      <c r="R507" s="66"/>
      <c r="S507" s="66"/>
      <c r="T507" s="66"/>
      <c r="U507" s="66"/>
      <c r="V507" s="66"/>
      <c r="W507" s="66"/>
      <c r="X507" s="66"/>
      <c r="Y507" s="66"/>
      <c r="Z507" s="66"/>
    </row>
    <row r="508">
      <c r="A508" s="66"/>
      <c r="B508" s="66"/>
      <c r="C508" s="66"/>
      <c r="D508" s="66"/>
      <c r="E508" s="66"/>
      <c r="F508" s="66"/>
      <c r="G508" s="66"/>
      <c r="H508" s="66"/>
      <c r="I508" s="66"/>
      <c r="J508" s="66"/>
      <c r="K508" s="66"/>
      <c r="L508" s="66"/>
      <c r="M508" s="66" t="s">
        <v>152</v>
      </c>
      <c r="N508" s="158">
        <v>46203.0</v>
      </c>
      <c r="O508" s="66">
        <v>1.0</v>
      </c>
      <c r="P508" s="66"/>
      <c r="Q508" s="66"/>
      <c r="R508" s="66"/>
      <c r="S508" s="66"/>
      <c r="T508" s="66"/>
      <c r="U508" s="66"/>
      <c r="V508" s="66"/>
      <c r="W508" s="66"/>
      <c r="X508" s="66"/>
      <c r="Y508" s="66"/>
      <c r="Z508" s="66"/>
    </row>
    <row r="509">
      <c r="A509" s="66"/>
      <c r="B509" s="66"/>
      <c r="C509" s="66"/>
      <c r="D509" s="66"/>
      <c r="E509" s="66"/>
      <c r="F509" s="66"/>
      <c r="G509" s="66"/>
      <c r="H509" s="66"/>
      <c r="I509" s="66"/>
      <c r="J509" s="66"/>
      <c r="K509" s="66"/>
      <c r="L509" s="66"/>
      <c r="M509" s="66" t="s">
        <v>150</v>
      </c>
      <c r="N509" s="158">
        <v>46203.0</v>
      </c>
      <c r="O509" s="66">
        <v>1.0</v>
      </c>
      <c r="P509" s="66"/>
      <c r="Q509" s="66"/>
      <c r="R509" s="66"/>
      <c r="S509" s="66"/>
      <c r="T509" s="66"/>
      <c r="U509" s="66"/>
      <c r="V509" s="66"/>
      <c r="W509" s="66"/>
      <c r="X509" s="66"/>
      <c r="Y509" s="66"/>
      <c r="Z509" s="66"/>
    </row>
    <row r="510">
      <c r="A510" s="66"/>
      <c r="B510" s="66"/>
      <c r="C510" s="66"/>
      <c r="D510" s="66"/>
      <c r="E510" s="66"/>
      <c r="F510" s="66"/>
      <c r="G510" s="66"/>
      <c r="H510" s="66"/>
      <c r="I510" s="66"/>
      <c r="J510" s="66"/>
      <c r="K510" s="66"/>
      <c r="L510" s="66"/>
      <c r="M510" s="66" t="s">
        <v>153</v>
      </c>
      <c r="N510" s="158">
        <v>46203.0</v>
      </c>
      <c r="O510" s="66">
        <v>1.0</v>
      </c>
      <c r="P510" s="66"/>
      <c r="Q510" s="66"/>
      <c r="R510" s="66"/>
      <c r="S510" s="66"/>
      <c r="T510" s="66"/>
      <c r="U510" s="66"/>
      <c r="V510" s="66"/>
      <c r="W510" s="66"/>
      <c r="X510" s="66"/>
      <c r="Y510" s="66"/>
      <c r="Z510" s="66"/>
    </row>
    <row r="511">
      <c r="A511" s="66"/>
      <c r="B511" s="66"/>
      <c r="C511" s="66"/>
      <c r="D511" s="66"/>
      <c r="E511" s="66"/>
      <c r="F511" s="66"/>
      <c r="G511" s="66"/>
      <c r="H511" s="66"/>
      <c r="I511" s="66"/>
      <c r="J511" s="66"/>
      <c r="K511" s="66"/>
      <c r="L511" s="66"/>
      <c r="M511" s="66" t="s">
        <v>214</v>
      </c>
      <c r="N511" s="158">
        <v>46280.0</v>
      </c>
      <c r="O511" s="66">
        <v>1.0</v>
      </c>
      <c r="P511" s="66"/>
      <c r="Q511" s="66"/>
      <c r="R511" s="66"/>
      <c r="S511" s="66"/>
      <c r="T511" s="66"/>
      <c r="U511" s="66"/>
      <c r="V511" s="66"/>
      <c r="W511" s="66"/>
      <c r="X511" s="66"/>
      <c r="Y511" s="66"/>
      <c r="Z511" s="66"/>
    </row>
    <row r="512">
      <c r="A512" s="66"/>
      <c r="B512" s="66"/>
      <c r="C512" s="66"/>
      <c r="D512" s="66"/>
      <c r="E512" s="66"/>
      <c r="F512" s="66"/>
      <c r="G512" s="66"/>
      <c r="H512" s="66"/>
      <c r="I512" s="66"/>
      <c r="J512" s="66"/>
      <c r="K512" s="66"/>
      <c r="L512" s="66"/>
      <c r="M512" s="66" t="s">
        <v>213</v>
      </c>
      <c r="N512" s="158">
        <v>46280.0</v>
      </c>
      <c r="O512" s="66">
        <v>1.0</v>
      </c>
      <c r="P512" s="66"/>
      <c r="Q512" s="66"/>
      <c r="R512" s="66"/>
      <c r="S512" s="66"/>
      <c r="T512" s="66"/>
      <c r="U512" s="66"/>
      <c r="V512" s="66"/>
      <c r="W512" s="66"/>
      <c r="X512" s="66"/>
      <c r="Y512" s="66"/>
      <c r="Z512" s="66"/>
    </row>
    <row r="513">
      <c r="A513" s="66"/>
      <c r="B513" s="66"/>
      <c r="C513" s="66"/>
      <c r="D513" s="66"/>
      <c r="E513" s="66"/>
      <c r="F513" s="66"/>
      <c r="G513" s="66"/>
      <c r="H513" s="66"/>
      <c r="I513" s="66"/>
      <c r="J513" s="66"/>
      <c r="K513" s="66"/>
      <c r="L513" s="66"/>
      <c r="M513" s="66" t="s">
        <v>139</v>
      </c>
      <c r="N513" s="158">
        <v>46249.0</v>
      </c>
      <c r="O513" s="66">
        <v>2.0</v>
      </c>
      <c r="P513" s="66"/>
      <c r="Q513" s="66"/>
      <c r="R513" s="66"/>
      <c r="S513" s="66"/>
      <c r="T513" s="66"/>
      <c r="U513" s="66"/>
      <c r="V513" s="66"/>
      <c r="W513" s="66"/>
      <c r="X513" s="66"/>
      <c r="Y513" s="66"/>
      <c r="Z513" s="66"/>
    </row>
    <row r="514">
      <c r="A514" s="66"/>
      <c r="B514" s="66"/>
      <c r="C514" s="66"/>
      <c r="D514" s="66"/>
      <c r="E514" s="66"/>
      <c r="F514" s="66"/>
      <c r="G514" s="66"/>
      <c r="H514" s="66"/>
      <c r="I514" s="66"/>
      <c r="J514" s="66"/>
      <c r="K514" s="66"/>
      <c r="L514" s="66"/>
      <c r="M514" s="66" t="s">
        <v>138</v>
      </c>
      <c r="N514" s="158">
        <v>46249.0</v>
      </c>
      <c r="O514" s="66">
        <v>2.0</v>
      </c>
      <c r="P514" s="66"/>
      <c r="Q514" s="66"/>
      <c r="R514" s="66"/>
      <c r="S514" s="66"/>
      <c r="T514" s="66"/>
      <c r="U514" s="66"/>
      <c r="V514" s="66"/>
      <c r="W514" s="66"/>
      <c r="X514" s="66"/>
      <c r="Y514" s="66"/>
      <c r="Z514" s="66"/>
    </row>
    <row r="515">
      <c r="A515" s="66"/>
      <c r="B515" s="66"/>
      <c r="C515" s="66"/>
      <c r="D515" s="66"/>
      <c r="E515" s="66"/>
      <c r="F515" s="66"/>
      <c r="G515" s="66"/>
      <c r="H515" s="66"/>
      <c r="I515" s="66"/>
      <c r="J515" s="66"/>
      <c r="K515" s="66"/>
      <c r="L515" s="66"/>
      <c r="M515" s="66" t="s">
        <v>137</v>
      </c>
      <c r="N515" s="158">
        <v>46249.0</v>
      </c>
      <c r="O515" s="66">
        <v>2.0</v>
      </c>
      <c r="P515" s="66"/>
      <c r="Q515" s="66"/>
      <c r="R515" s="66"/>
      <c r="S515" s="66"/>
      <c r="T515" s="66"/>
      <c r="U515" s="66"/>
      <c r="V515" s="66"/>
      <c r="W515" s="66"/>
      <c r="X515" s="66"/>
      <c r="Y515" s="66"/>
      <c r="Z515" s="66"/>
    </row>
    <row r="516">
      <c r="A516" s="66"/>
      <c r="B516" s="66"/>
      <c r="C516" s="66"/>
      <c r="D516" s="66"/>
      <c r="E516" s="66"/>
      <c r="F516" s="66"/>
      <c r="G516" s="66"/>
      <c r="H516" s="66"/>
      <c r="I516" s="66"/>
      <c r="J516" s="66"/>
      <c r="K516" s="66"/>
      <c r="L516" s="66"/>
      <c r="M516" s="66" t="s">
        <v>246</v>
      </c>
      <c r="N516" s="158">
        <v>46218.0</v>
      </c>
      <c r="O516" s="66">
        <v>1.0</v>
      </c>
      <c r="P516" s="66"/>
      <c r="Q516" s="66"/>
      <c r="R516" s="66"/>
      <c r="S516" s="66"/>
      <c r="T516" s="66"/>
      <c r="U516" s="66"/>
      <c r="V516" s="66"/>
      <c r="W516" s="66"/>
      <c r="X516" s="66"/>
      <c r="Y516" s="66"/>
      <c r="Z516" s="66"/>
    </row>
    <row r="517">
      <c r="A517" s="66"/>
      <c r="B517" s="66"/>
      <c r="C517" s="66"/>
      <c r="D517" s="66"/>
      <c r="E517" s="66"/>
      <c r="F517" s="66"/>
      <c r="G517" s="66"/>
      <c r="H517" s="66"/>
      <c r="I517" s="66"/>
      <c r="J517" s="66"/>
      <c r="K517" s="66"/>
      <c r="L517" s="66"/>
      <c r="M517" s="66" t="s">
        <v>252</v>
      </c>
      <c r="N517" s="158">
        <v>46218.0</v>
      </c>
      <c r="O517" s="66">
        <v>1.0</v>
      </c>
      <c r="P517" s="66"/>
      <c r="Q517" s="66"/>
      <c r="R517" s="66"/>
      <c r="S517" s="66"/>
      <c r="T517" s="66"/>
      <c r="U517" s="66"/>
      <c r="V517" s="66"/>
      <c r="W517" s="66"/>
      <c r="X517" s="66"/>
      <c r="Y517" s="66"/>
      <c r="Z517" s="66"/>
    </row>
    <row r="518">
      <c r="A518" s="66"/>
      <c r="B518" s="66"/>
      <c r="C518" s="66"/>
      <c r="D518" s="66"/>
      <c r="E518" s="66"/>
      <c r="F518" s="66"/>
      <c r="G518" s="66"/>
      <c r="H518" s="66"/>
      <c r="I518" s="66"/>
      <c r="J518" s="66"/>
      <c r="K518" s="66"/>
      <c r="L518" s="66"/>
      <c r="M518" s="66" t="s">
        <v>204</v>
      </c>
      <c r="N518" s="158">
        <v>46249.0</v>
      </c>
      <c r="O518" s="66">
        <v>1.0</v>
      </c>
      <c r="P518" s="66"/>
      <c r="Q518" s="66"/>
      <c r="R518" s="66"/>
      <c r="S518" s="66"/>
      <c r="T518" s="66"/>
      <c r="U518" s="66"/>
      <c r="V518" s="66"/>
      <c r="W518" s="66"/>
      <c r="X518" s="66"/>
      <c r="Y518" s="66"/>
      <c r="Z518" s="66"/>
    </row>
    <row r="519">
      <c r="A519" s="66"/>
      <c r="B519" s="66"/>
      <c r="C519" s="66"/>
      <c r="D519" s="66"/>
      <c r="E519" s="66"/>
      <c r="F519" s="66"/>
      <c r="G519" s="66"/>
      <c r="H519" s="66"/>
      <c r="I519" s="66"/>
      <c r="J519" s="66"/>
      <c r="K519" s="66"/>
      <c r="L519" s="66"/>
      <c r="M519" s="66" t="s">
        <v>210</v>
      </c>
      <c r="N519" s="158">
        <v>46249.0</v>
      </c>
      <c r="O519" s="66">
        <v>1.0</v>
      </c>
      <c r="P519" s="66"/>
      <c r="Q519" s="66"/>
      <c r="R519" s="66"/>
      <c r="S519" s="66"/>
      <c r="T519" s="66"/>
      <c r="U519" s="66"/>
      <c r="V519" s="66"/>
      <c r="W519" s="66"/>
      <c r="X519" s="66"/>
      <c r="Y519" s="66"/>
      <c r="Z519" s="66"/>
    </row>
    <row r="520">
      <c r="A520" s="66"/>
      <c r="B520" s="66"/>
      <c r="C520" s="66"/>
      <c r="D520" s="66"/>
      <c r="E520" s="66"/>
      <c r="F520" s="66"/>
      <c r="G520" s="66"/>
      <c r="H520" s="66"/>
      <c r="I520" s="66"/>
      <c r="J520" s="66"/>
      <c r="K520" s="66"/>
      <c r="L520" s="66"/>
      <c r="M520" s="66" t="s">
        <v>146</v>
      </c>
      <c r="N520" s="158">
        <v>46203.0</v>
      </c>
      <c r="O520" s="66">
        <v>1.0</v>
      </c>
      <c r="P520" s="66"/>
      <c r="Q520" s="66"/>
      <c r="R520" s="66"/>
      <c r="S520" s="66"/>
      <c r="T520" s="66"/>
      <c r="U520" s="66"/>
      <c r="V520" s="66"/>
      <c r="W520" s="66"/>
      <c r="X520" s="66"/>
      <c r="Y520" s="66"/>
      <c r="Z520" s="66"/>
    </row>
    <row r="521">
      <c r="A521" s="66"/>
      <c r="B521" s="66"/>
      <c r="C521" s="66"/>
      <c r="D521" s="66"/>
      <c r="E521" s="66"/>
      <c r="F521" s="66"/>
      <c r="G521" s="66"/>
      <c r="H521" s="66"/>
      <c r="I521" s="66"/>
      <c r="J521" s="66"/>
      <c r="K521" s="66"/>
      <c r="L521" s="66"/>
      <c r="M521" s="66" t="s">
        <v>202</v>
      </c>
      <c r="N521" s="158">
        <v>46249.0</v>
      </c>
      <c r="O521" s="66">
        <v>1.0</v>
      </c>
      <c r="P521" s="66"/>
      <c r="Q521" s="66"/>
      <c r="R521" s="66"/>
      <c r="S521" s="66"/>
      <c r="T521" s="66"/>
      <c r="U521" s="66"/>
      <c r="V521" s="66"/>
      <c r="W521" s="66"/>
      <c r="X521" s="66"/>
      <c r="Y521" s="66"/>
      <c r="Z521" s="66"/>
    </row>
    <row r="522">
      <c r="A522" s="66"/>
      <c r="B522" s="66"/>
      <c r="C522" s="66"/>
      <c r="D522" s="66"/>
      <c r="E522" s="66"/>
      <c r="F522" s="66"/>
      <c r="G522" s="66"/>
      <c r="H522" s="66"/>
      <c r="I522" s="66"/>
      <c r="J522" s="66"/>
      <c r="K522" s="66"/>
      <c r="L522" s="66"/>
      <c r="M522" s="66" t="s">
        <v>203</v>
      </c>
      <c r="N522" s="158">
        <v>46249.0</v>
      </c>
      <c r="O522" s="66">
        <v>1.0</v>
      </c>
      <c r="P522" s="66"/>
      <c r="Q522" s="66"/>
      <c r="R522" s="66"/>
      <c r="S522" s="66"/>
      <c r="T522" s="66"/>
      <c r="U522" s="66"/>
      <c r="V522" s="66"/>
      <c r="W522" s="66"/>
      <c r="X522" s="66"/>
      <c r="Y522" s="66"/>
      <c r="Z522" s="66"/>
    </row>
    <row r="523">
      <c r="A523" s="66"/>
      <c r="B523" s="66"/>
      <c r="C523" s="66"/>
      <c r="D523" s="66"/>
      <c r="E523" s="66"/>
      <c r="F523" s="66"/>
      <c r="G523" s="66"/>
      <c r="H523" s="66"/>
      <c r="I523" s="66"/>
      <c r="J523" s="66"/>
      <c r="K523" s="66"/>
      <c r="L523" s="66"/>
      <c r="M523" s="66" t="s">
        <v>136</v>
      </c>
      <c r="N523" s="158">
        <v>46249.0</v>
      </c>
      <c r="O523" s="66">
        <v>2.0</v>
      </c>
      <c r="P523" s="66"/>
      <c r="Q523" s="66"/>
      <c r="R523" s="66"/>
      <c r="S523" s="66"/>
      <c r="T523" s="66"/>
      <c r="U523" s="66"/>
      <c r="V523" s="66"/>
      <c r="W523" s="66"/>
      <c r="X523" s="66"/>
      <c r="Y523" s="66"/>
      <c r="Z523" s="66"/>
    </row>
    <row r="524">
      <c r="A524" s="66"/>
      <c r="B524" s="66"/>
      <c r="C524" s="66"/>
      <c r="D524" s="66"/>
      <c r="E524" s="66"/>
      <c r="F524" s="66"/>
      <c r="G524" s="66"/>
      <c r="H524" s="66"/>
      <c r="I524" s="66"/>
      <c r="J524" s="66"/>
      <c r="K524" s="66"/>
      <c r="L524" s="66"/>
      <c r="M524" s="66" t="s">
        <v>160</v>
      </c>
      <c r="N524" s="158">
        <v>46249.0</v>
      </c>
      <c r="O524" s="66">
        <v>1.0</v>
      </c>
      <c r="P524" s="66"/>
      <c r="Q524" s="66"/>
      <c r="R524" s="66"/>
      <c r="S524" s="66"/>
      <c r="T524" s="66"/>
      <c r="U524" s="66"/>
      <c r="V524" s="66"/>
      <c r="W524" s="66"/>
      <c r="X524" s="66"/>
      <c r="Y524" s="66"/>
      <c r="Z524" s="66"/>
    </row>
    <row r="525">
      <c r="A525" s="66"/>
      <c r="B525" s="66"/>
      <c r="C525" s="66"/>
      <c r="D525" s="66"/>
      <c r="E525" s="66"/>
      <c r="F525" s="66"/>
      <c r="G525" s="66"/>
      <c r="H525" s="66"/>
      <c r="I525" s="66"/>
      <c r="J525" s="66"/>
      <c r="K525" s="66"/>
      <c r="L525" s="66"/>
      <c r="M525" s="66" t="s">
        <v>248</v>
      </c>
      <c r="N525" s="158">
        <v>46218.0</v>
      </c>
      <c r="O525" s="66">
        <v>1.0</v>
      </c>
      <c r="P525" s="66"/>
      <c r="Q525" s="66"/>
      <c r="R525" s="66"/>
      <c r="S525" s="66"/>
      <c r="T525" s="66"/>
      <c r="U525" s="66"/>
      <c r="V525" s="66"/>
      <c r="W525" s="66"/>
      <c r="X525" s="66"/>
      <c r="Y525" s="66"/>
      <c r="Z525" s="66"/>
    </row>
    <row r="526">
      <c r="A526" s="66"/>
      <c r="B526" s="66"/>
      <c r="C526" s="66"/>
      <c r="D526" s="66"/>
      <c r="E526" s="66"/>
      <c r="F526" s="66"/>
      <c r="G526" s="66"/>
      <c r="H526" s="66"/>
      <c r="I526" s="66"/>
      <c r="J526" s="66"/>
      <c r="K526" s="66"/>
      <c r="L526" s="66"/>
      <c r="M526" s="66" t="s">
        <v>206</v>
      </c>
      <c r="N526" s="158">
        <v>46249.0</v>
      </c>
      <c r="O526" s="66">
        <v>1.0</v>
      </c>
      <c r="P526" s="66"/>
      <c r="Q526" s="66"/>
      <c r="R526" s="66"/>
      <c r="S526" s="66"/>
      <c r="T526" s="66"/>
      <c r="U526" s="66"/>
      <c r="V526" s="66"/>
      <c r="W526" s="66"/>
      <c r="X526" s="66"/>
      <c r="Y526" s="66"/>
      <c r="Z526" s="66"/>
    </row>
    <row r="527">
      <c r="A527" s="66"/>
      <c r="B527" s="66"/>
      <c r="C527" s="66"/>
      <c r="D527" s="66"/>
      <c r="E527" s="66"/>
      <c r="F527" s="66"/>
      <c r="G527" s="66"/>
      <c r="H527" s="66"/>
      <c r="I527" s="66"/>
      <c r="J527" s="66"/>
      <c r="K527" s="66"/>
      <c r="L527" s="66"/>
      <c r="M527" s="66" t="s">
        <v>134</v>
      </c>
      <c r="N527" s="158">
        <v>46249.0</v>
      </c>
      <c r="O527" s="66">
        <v>2.0</v>
      </c>
      <c r="P527" s="66"/>
      <c r="Q527" s="66"/>
      <c r="R527" s="66"/>
      <c r="S527" s="66"/>
      <c r="T527" s="66"/>
      <c r="U527" s="66"/>
      <c r="V527" s="66"/>
      <c r="W527" s="66"/>
      <c r="X527" s="66"/>
      <c r="Y527" s="66"/>
      <c r="Z527" s="66"/>
    </row>
    <row r="528">
      <c r="A528" s="66"/>
      <c r="B528" s="66"/>
      <c r="C528" s="66"/>
      <c r="D528" s="66"/>
      <c r="E528" s="66"/>
      <c r="F528" s="66"/>
      <c r="G528" s="66"/>
      <c r="H528" s="66"/>
      <c r="I528" s="66"/>
      <c r="J528" s="66"/>
      <c r="K528" s="66"/>
      <c r="L528" s="66"/>
      <c r="M528" s="66" t="s">
        <v>140</v>
      </c>
      <c r="N528" s="158">
        <v>46249.0</v>
      </c>
      <c r="O528" s="66">
        <v>1.0</v>
      </c>
      <c r="P528" s="66"/>
      <c r="Q528" s="66"/>
      <c r="R528" s="66"/>
      <c r="S528" s="66"/>
      <c r="T528" s="66"/>
      <c r="U528" s="66"/>
      <c r="V528" s="66"/>
      <c r="W528" s="66"/>
      <c r="X528" s="66"/>
      <c r="Y528" s="66"/>
      <c r="Z528" s="66"/>
    </row>
    <row r="529">
      <c r="A529" s="66"/>
      <c r="B529" s="66"/>
      <c r="C529" s="66"/>
      <c r="D529" s="66"/>
      <c r="E529" s="66"/>
      <c r="F529" s="66"/>
      <c r="G529" s="66"/>
      <c r="H529" s="66"/>
      <c r="I529" s="66"/>
      <c r="J529" s="66"/>
      <c r="K529" s="66"/>
      <c r="L529" s="66"/>
      <c r="M529" s="66" t="s">
        <v>143</v>
      </c>
      <c r="N529" s="158">
        <v>46249.0</v>
      </c>
      <c r="O529" s="66">
        <v>1.0</v>
      </c>
      <c r="P529" s="66"/>
      <c r="Q529" s="66"/>
      <c r="R529" s="66"/>
      <c r="S529" s="66"/>
      <c r="T529" s="66"/>
      <c r="U529" s="66"/>
      <c r="V529" s="66"/>
      <c r="W529" s="66"/>
      <c r="X529" s="66"/>
      <c r="Y529" s="66"/>
      <c r="Z529" s="66"/>
    </row>
    <row r="530">
      <c r="A530" s="66"/>
      <c r="B530" s="66"/>
      <c r="C530" s="66"/>
      <c r="D530" s="66"/>
      <c r="E530" s="66"/>
      <c r="F530" s="66"/>
      <c r="G530" s="66"/>
      <c r="H530" s="66"/>
      <c r="I530" s="66"/>
      <c r="J530" s="66"/>
      <c r="K530" s="66"/>
      <c r="L530" s="66"/>
      <c r="M530" s="66" t="s">
        <v>156</v>
      </c>
      <c r="N530" s="158">
        <v>46249.0</v>
      </c>
      <c r="O530" s="66">
        <v>1.0</v>
      </c>
      <c r="P530" s="66"/>
      <c r="Q530" s="66"/>
      <c r="R530" s="66"/>
      <c r="S530" s="66"/>
      <c r="T530" s="66"/>
      <c r="U530" s="66"/>
      <c r="V530" s="66"/>
      <c r="W530" s="66"/>
      <c r="X530" s="66"/>
      <c r="Y530" s="66"/>
      <c r="Z530" s="66"/>
    </row>
    <row r="531">
      <c r="A531" s="66"/>
      <c r="B531" s="66"/>
      <c r="C531" s="66"/>
      <c r="D531" s="66"/>
      <c r="E531" s="66"/>
      <c r="F531" s="66"/>
      <c r="G531" s="66"/>
      <c r="H531" s="66"/>
      <c r="I531" s="66"/>
      <c r="J531" s="66"/>
      <c r="K531" s="66"/>
      <c r="L531" s="66"/>
      <c r="M531" s="66" t="s">
        <v>197</v>
      </c>
      <c r="N531" s="158">
        <v>46249.0</v>
      </c>
      <c r="O531" s="66">
        <v>1.0</v>
      </c>
      <c r="P531" s="66"/>
      <c r="Q531" s="66"/>
      <c r="R531" s="66"/>
      <c r="S531" s="66"/>
      <c r="T531" s="66"/>
      <c r="U531" s="66"/>
      <c r="V531" s="66"/>
      <c r="W531" s="66"/>
      <c r="X531" s="66"/>
      <c r="Y531" s="66"/>
      <c r="Z531" s="66"/>
    </row>
    <row r="532">
      <c r="A532" s="66"/>
      <c r="B532" s="66"/>
      <c r="C532" s="66"/>
      <c r="D532" s="66"/>
      <c r="E532" s="66"/>
      <c r="F532" s="66"/>
      <c r="G532" s="66"/>
      <c r="H532" s="66"/>
      <c r="I532" s="66"/>
      <c r="J532" s="66"/>
      <c r="K532" s="66"/>
      <c r="L532" s="66"/>
      <c r="M532" s="66" t="s">
        <v>196</v>
      </c>
      <c r="N532" s="158">
        <v>46249.0</v>
      </c>
      <c r="O532" s="66">
        <v>1.0</v>
      </c>
      <c r="P532" s="66"/>
      <c r="Q532" s="66"/>
      <c r="R532" s="66"/>
      <c r="S532" s="66"/>
      <c r="T532" s="66"/>
      <c r="U532" s="66"/>
      <c r="V532" s="66"/>
      <c r="W532" s="66"/>
      <c r="X532" s="66"/>
      <c r="Y532" s="66"/>
      <c r="Z532" s="66"/>
    </row>
    <row r="533">
      <c r="A533" s="66"/>
      <c r="B533" s="66"/>
      <c r="C533" s="66"/>
      <c r="D533" s="66"/>
      <c r="E533" s="66"/>
      <c r="F533" s="66"/>
      <c r="G533" s="66"/>
      <c r="H533" s="66"/>
      <c r="I533" s="66"/>
      <c r="J533" s="66"/>
      <c r="K533" s="66"/>
      <c r="L533" s="66"/>
      <c r="M533" s="66" t="s">
        <v>193</v>
      </c>
      <c r="N533" s="158">
        <v>46249.0</v>
      </c>
      <c r="O533" s="66">
        <v>1.0</v>
      </c>
      <c r="P533" s="66"/>
      <c r="Q533" s="66"/>
      <c r="R533" s="66"/>
      <c r="S533" s="66"/>
      <c r="T533" s="66"/>
      <c r="U533" s="66"/>
      <c r="V533" s="66"/>
      <c r="W533" s="66"/>
      <c r="X533" s="66"/>
      <c r="Y533" s="66"/>
      <c r="Z533" s="66"/>
    </row>
    <row r="534">
      <c r="A534" s="66"/>
      <c r="B534" s="66"/>
      <c r="C534" s="66"/>
      <c r="D534" s="66"/>
      <c r="E534" s="66"/>
      <c r="F534" s="66"/>
      <c r="G534" s="66"/>
      <c r="H534" s="66"/>
      <c r="I534" s="66"/>
      <c r="J534" s="66"/>
      <c r="K534" s="66"/>
      <c r="L534" s="66"/>
      <c r="M534" s="66" t="s">
        <v>194</v>
      </c>
      <c r="N534" s="158">
        <v>46249.0</v>
      </c>
      <c r="O534" s="66">
        <v>1.0</v>
      </c>
      <c r="P534" s="66"/>
      <c r="Q534" s="66"/>
      <c r="R534" s="66"/>
      <c r="S534" s="66"/>
      <c r="T534" s="66"/>
      <c r="U534" s="66"/>
      <c r="V534" s="66"/>
      <c r="W534" s="66"/>
      <c r="X534" s="66"/>
      <c r="Y534" s="66"/>
      <c r="Z534" s="66"/>
    </row>
    <row r="535">
      <c r="A535" s="66"/>
      <c r="B535" s="66"/>
      <c r="C535" s="66"/>
      <c r="D535" s="66"/>
      <c r="E535" s="66"/>
      <c r="F535" s="66"/>
      <c r="G535" s="66"/>
      <c r="H535" s="66"/>
      <c r="I535" s="66"/>
      <c r="J535" s="66"/>
      <c r="K535" s="66"/>
      <c r="L535" s="66"/>
      <c r="M535" s="66" t="s">
        <v>195</v>
      </c>
      <c r="N535" s="158">
        <v>46249.0</v>
      </c>
      <c r="O535" s="66">
        <v>1.0</v>
      </c>
      <c r="P535" s="66"/>
      <c r="Q535" s="66"/>
      <c r="R535" s="66"/>
      <c r="S535" s="66"/>
      <c r="T535" s="66"/>
      <c r="U535" s="66"/>
      <c r="V535" s="66"/>
      <c r="W535" s="66"/>
      <c r="X535" s="66"/>
      <c r="Y535" s="66"/>
      <c r="Z535" s="66"/>
    </row>
    <row r="536">
      <c r="A536" s="66"/>
      <c r="B536" s="66"/>
      <c r="C536" s="66"/>
      <c r="D536" s="66"/>
      <c r="E536" s="66"/>
      <c r="F536" s="66"/>
      <c r="G536" s="66"/>
      <c r="H536" s="66"/>
      <c r="I536" s="66"/>
      <c r="J536" s="66"/>
      <c r="K536" s="66"/>
      <c r="L536" s="66"/>
      <c r="M536" s="66" t="s">
        <v>170</v>
      </c>
      <c r="N536" s="158">
        <v>46249.0</v>
      </c>
      <c r="O536" s="66">
        <v>1.0</v>
      </c>
      <c r="P536" s="66"/>
      <c r="Q536" s="66"/>
      <c r="R536" s="66"/>
      <c r="S536" s="66"/>
      <c r="T536" s="66"/>
      <c r="U536" s="66"/>
      <c r="V536" s="66"/>
      <c r="W536" s="66"/>
      <c r="X536" s="66"/>
      <c r="Y536" s="66"/>
      <c r="Z536" s="66"/>
    </row>
    <row r="537">
      <c r="A537" s="66"/>
      <c r="B537" s="66"/>
      <c r="C537" s="66"/>
      <c r="D537" s="66"/>
      <c r="E537" s="66"/>
      <c r="F537" s="66"/>
      <c r="G537" s="66"/>
      <c r="H537" s="66"/>
      <c r="I537" s="66"/>
      <c r="J537" s="66"/>
      <c r="K537" s="66"/>
      <c r="L537" s="66"/>
      <c r="M537" s="66" t="s">
        <v>171</v>
      </c>
      <c r="N537" s="158">
        <v>46249.0</v>
      </c>
      <c r="O537" s="66">
        <v>1.0</v>
      </c>
      <c r="P537" s="66"/>
      <c r="Q537" s="66"/>
      <c r="R537" s="66"/>
      <c r="S537" s="66"/>
      <c r="T537" s="66"/>
      <c r="U537" s="66"/>
      <c r="V537" s="66"/>
      <c r="W537" s="66"/>
      <c r="X537" s="66"/>
      <c r="Y537" s="66"/>
      <c r="Z537" s="66"/>
    </row>
    <row r="538">
      <c r="A538" s="66"/>
      <c r="B538" s="66"/>
      <c r="C538" s="66"/>
      <c r="D538" s="66"/>
      <c r="E538" s="66"/>
      <c r="F538" s="66"/>
      <c r="G538" s="66"/>
      <c r="H538" s="66"/>
      <c r="I538" s="66"/>
      <c r="J538" s="66"/>
      <c r="K538" s="66"/>
      <c r="L538" s="66"/>
      <c r="M538" s="66" t="s">
        <v>180</v>
      </c>
      <c r="N538" s="158">
        <v>46249.0</v>
      </c>
      <c r="O538" s="66">
        <v>1.0</v>
      </c>
      <c r="P538" s="66"/>
      <c r="Q538" s="66"/>
      <c r="R538" s="66"/>
      <c r="S538" s="66"/>
      <c r="T538" s="66"/>
      <c r="U538" s="66"/>
      <c r="V538" s="66"/>
      <c r="W538" s="66"/>
      <c r="X538" s="66"/>
      <c r="Y538" s="66"/>
      <c r="Z538" s="66"/>
    </row>
    <row r="539">
      <c r="A539" s="66"/>
      <c r="B539" s="66"/>
      <c r="C539" s="66"/>
      <c r="D539" s="66"/>
      <c r="E539" s="66"/>
      <c r="F539" s="66"/>
      <c r="G539" s="66"/>
      <c r="H539" s="66"/>
      <c r="I539" s="66"/>
      <c r="J539" s="66"/>
      <c r="K539" s="66"/>
      <c r="L539" s="66"/>
      <c r="M539" s="66" t="s">
        <v>181</v>
      </c>
      <c r="N539" s="158">
        <v>46249.0</v>
      </c>
      <c r="O539" s="66">
        <v>1.0</v>
      </c>
      <c r="P539" s="66"/>
      <c r="Q539" s="66"/>
      <c r="R539" s="66"/>
      <c r="S539" s="66"/>
      <c r="T539" s="66"/>
      <c r="U539" s="66"/>
      <c r="V539" s="66"/>
      <c r="W539" s="66"/>
      <c r="X539" s="66"/>
      <c r="Y539" s="66"/>
      <c r="Z539" s="66"/>
    </row>
    <row r="540">
      <c r="A540" s="66"/>
      <c r="B540" s="66"/>
      <c r="C540" s="66"/>
      <c r="D540" s="66"/>
      <c r="E540" s="66"/>
      <c r="F540" s="66"/>
      <c r="G540" s="66"/>
      <c r="H540" s="66"/>
      <c r="I540" s="66"/>
      <c r="J540" s="66"/>
      <c r="K540" s="66"/>
      <c r="L540" s="66"/>
      <c r="M540" s="66" t="s">
        <v>182</v>
      </c>
      <c r="N540" s="158">
        <v>46249.0</v>
      </c>
      <c r="O540" s="66">
        <v>1.0</v>
      </c>
      <c r="P540" s="66"/>
      <c r="Q540" s="66"/>
      <c r="R540" s="66"/>
      <c r="S540" s="66"/>
      <c r="T540" s="66"/>
      <c r="U540" s="66"/>
      <c r="V540" s="66"/>
      <c r="W540" s="66"/>
      <c r="X540" s="66"/>
      <c r="Y540" s="66"/>
      <c r="Z540" s="66"/>
    </row>
    <row r="541">
      <c r="A541" s="66"/>
      <c r="B541" s="66"/>
      <c r="C541" s="66"/>
      <c r="D541" s="66"/>
      <c r="E541" s="66"/>
      <c r="F541" s="66"/>
      <c r="G541" s="66"/>
      <c r="H541" s="66"/>
      <c r="I541" s="66"/>
      <c r="J541" s="66"/>
      <c r="K541" s="66"/>
      <c r="L541" s="66"/>
      <c r="M541" s="66" t="s">
        <v>183</v>
      </c>
      <c r="N541" s="158">
        <v>46249.0</v>
      </c>
      <c r="O541" s="66">
        <v>1.0</v>
      </c>
      <c r="P541" s="66"/>
      <c r="Q541" s="66"/>
      <c r="R541" s="66"/>
      <c r="S541" s="66"/>
      <c r="T541" s="66"/>
      <c r="U541" s="66"/>
      <c r="V541" s="66"/>
      <c r="W541" s="66"/>
      <c r="X541" s="66"/>
      <c r="Y541" s="66"/>
      <c r="Z541" s="66"/>
    </row>
    <row r="542">
      <c r="A542" s="66"/>
      <c r="B542" s="66"/>
      <c r="C542" s="66"/>
      <c r="D542" s="66"/>
      <c r="E542" s="66"/>
      <c r="F542" s="66"/>
      <c r="G542" s="66"/>
      <c r="H542" s="66"/>
      <c r="I542" s="66"/>
      <c r="J542" s="66"/>
      <c r="K542" s="66"/>
      <c r="L542" s="66"/>
      <c r="M542" s="66" t="s">
        <v>184</v>
      </c>
      <c r="N542" s="158">
        <v>46249.0</v>
      </c>
      <c r="O542" s="66">
        <v>1.0</v>
      </c>
      <c r="P542" s="66"/>
      <c r="Q542" s="66"/>
      <c r="R542" s="66"/>
      <c r="S542" s="66"/>
      <c r="T542" s="66"/>
      <c r="U542" s="66"/>
      <c r="V542" s="66"/>
      <c r="W542" s="66"/>
      <c r="X542" s="66"/>
      <c r="Y542" s="66"/>
      <c r="Z542" s="66"/>
    </row>
    <row r="543">
      <c r="A543" s="66"/>
      <c r="B543" s="66"/>
      <c r="C543" s="66"/>
      <c r="D543" s="66"/>
      <c r="E543" s="66"/>
      <c r="F543" s="66"/>
      <c r="G543" s="66"/>
      <c r="H543" s="66"/>
      <c r="I543" s="66"/>
      <c r="J543" s="66"/>
      <c r="K543" s="66"/>
      <c r="L543" s="66"/>
      <c r="M543" s="66" t="s">
        <v>185</v>
      </c>
      <c r="N543" s="158">
        <v>46249.0</v>
      </c>
      <c r="O543" s="66">
        <v>1.0</v>
      </c>
      <c r="P543" s="66"/>
      <c r="Q543" s="66"/>
      <c r="R543" s="66"/>
      <c r="S543" s="66"/>
      <c r="T543" s="66"/>
      <c r="U543" s="66"/>
      <c r="V543" s="66"/>
      <c r="W543" s="66"/>
      <c r="X543" s="66"/>
      <c r="Y543" s="66"/>
      <c r="Z543" s="66"/>
    </row>
    <row r="544">
      <c r="A544" s="66"/>
      <c r="B544" s="66"/>
      <c r="C544" s="66"/>
      <c r="D544" s="66"/>
      <c r="E544" s="66"/>
      <c r="F544" s="66"/>
      <c r="G544" s="66"/>
      <c r="H544" s="66"/>
      <c r="I544" s="66"/>
      <c r="J544" s="66"/>
      <c r="K544" s="66"/>
      <c r="L544" s="66"/>
      <c r="M544" s="66" t="s">
        <v>172</v>
      </c>
      <c r="N544" s="158">
        <v>46249.0</v>
      </c>
      <c r="O544" s="66">
        <v>1.0</v>
      </c>
      <c r="P544" s="66"/>
      <c r="Q544" s="66"/>
      <c r="R544" s="66"/>
      <c r="S544" s="66"/>
      <c r="T544" s="66"/>
      <c r="U544" s="66"/>
      <c r="V544" s="66"/>
      <c r="W544" s="66"/>
      <c r="X544" s="66"/>
      <c r="Y544" s="66"/>
      <c r="Z544" s="66"/>
    </row>
    <row r="545">
      <c r="A545" s="66"/>
      <c r="B545" s="66"/>
      <c r="C545" s="66"/>
      <c r="D545" s="66"/>
      <c r="E545" s="66"/>
      <c r="F545" s="66"/>
      <c r="G545" s="66"/>
      <c r="H545" s="66"/>
      <c r="I545" s="66"/>
      <c r="J545" s="66"/>
      <c r="K545" s="66"/>
      <c r="L545" s="66"/>
      <c r="M545" s="66" t="s">
        <v>173</v>
      </c>
      <c r="N545" s="158">
        <v>46249.0</v>
      </c>
      <c r="O545" s="66">
        <v>1.0</v>
      </c>
      <c r="P545" s="66"/>
      <c r="Q545" s="66"/>
      <c r="R545" s="66"/>
      <c r="S545" s="66"/>
      <c r="T545" s="66"/>
      <c r="U545" s="66"/>
      <c r="V545" s="66"/>
      <c r="W545" s="66"/>
      <c r="X545" s="66"/>
      <c r="Y545" s="66"/>
      <c r="Z545" s="66"/>
    </row>
    <row r="546">
      <c r="A546" s="66"/>
      <c r="B546" s="66"/>
      <c r="C546" s="66"/>
      <c r="D546" s="66"/>
      <c r="E546" s="66"/>
      <c r="F546" s="66"/>
      <c r="G546" s="66"/>
      <c r="H546" s="66"/>
      <c r="I546" s="66"/>
      <c r="J546" s="66"/>
      <c r="K546" s="66"/>
      <c r="L546" s="66"/>
      <c r="M546" s="66" t="s">
        <v>174</v>
      </c>
      <c r="N546" s="158">
        <v>46249.0</v>
      </c>
      <c r="O546" s="66">
        <v>1.0</v>
      </c>
      <c r="P546" s="66"/>
      <c r="Q546" s="66"/>
      <c r="R546" s="66"/>
      <c r="S546" s="66"/>
      <c r="T546" s="66"/>
      <c r="U546" s="66"/>
      <c r="V546" s="66"/>
      <c r="W546" s="66"/>
      <c r="X546" s="66"/>
      <c r="Y546" s="66"/>
      <c r="Z546" s="66"/>
    </row>
    <row r="547">
      <c r="A547" s="66"/>
      <c r="B547" s="66"/>
      <c r="C547" s="66"/>
      <c r="D547" s="66"/>
      <c r="E547" s="66"/>
      <c r="F547" s="66"/>
      <c r="G547" s="66"/>
      <c r="H547" s="66"/>
      <c r="I547" s="66"/>
      <c r="J547" s="66"/>
      <c r="K547" s="66"/>
      <c r="L547" s="66"/>
      <c r="M547" s="66" t="s">
        <v>175</v>
      </c>
      <c r="N547" s="158">
        <v>46249.0</v>
      </c>
      <c r="O547" s="66">
        <v>1.0</v>
      </c>
      <c r="P547" s="66"/>
      <c r="Q547" s="66"/>
      <c r="R547" s="66"/>
      <c r="S547" s="66"/>
      <c r="T547" s="66"/>
      <c r="U547" s="66"/>
      <c r="V547" s="66"/>
      <c r="W547" s="66"/>
      <c r="X547" s="66"/>
      <c r="Y547" s="66"/>
      <c r="Z547" s="66"/>
    </row>
    <row r="548">
      <c r="A548" s="66"/>
      <c r="B548" s="66"/>
      <c r="C548" s="66"/>
      <c r="D548" s="66"/>
      <c r="E548" s="66"/>
      <c r="F548" s="66"/>
      <c r="G548" s="66"/>
      <c r="H548" s="66"/>
      <c r="I548" s="66"/>
      <c r="J548" s="66"/>
      <c r="K548" s="66"/>
      <c r="L548" s="66"/>
      <c r="M548" s="66" t="s">
        <v>176</v>
      </c>
      <c r="N548" s="158">
        <v>46249.0</v>
      </c>
      <c r="O548" s="66">
        <v>1.0</v>
      </c>
      <c r="P548" s="66"/>
      <c r="Q548" s="66"/>
      <c r="R548" s="66"/>
      <c r="S548" s="66"/>
      <c r="T548" s="66"/>
      <c r="U548" s="66"/>
      <c r="V548" s="66"/>
      <c r="W548" s="66"/>
      <c r="X548" s="66"/>
      <c r="Y548" s="66"/>
      <c r="Z548" s="66"/>
    </row>
    <row r="549">
      <c r="A549" s="66"/>
      <c r="B549" s="66"/>
      <c r="C549" s="66"/>
      <c r="D549" s="66"/>
      <c r="E549" s="66"/>
      <c r="F549" s="66"/>
      <c r="G549" s="66"/>
      <c r="H549" s="66"/>
      <c r="I549" s="66"/>
      <c r="J549" s="66"/>
      <c r="K549" s="66"/>
      <c r="L549" s="66"/>
      <c r="M549" s="66" t="s">
        <v>177</v>
      </c>
      <c r="N549" s="158">
        <v>46249.0</v>
      </c>
      <c r="O549" s="66">
        <v>1.0</v>
      </c>
      <c r="P549" s="66"/>
      <c r="Q549" s="66"/>
      <c r="R549" s="66"/>
      <c r="S549" s="66"/>
      <c r="T549" s="66"/>
      <c r="U549" s="66"/>
      <c r="V549" s="66"/>
      <c r="W549" s="66"/>
      <c r="X549" s="66"/>
      <c r="Y549" s="66"/>
      <c r="Z549" s="66"/>
    </row>
    <row r="550">
      <c r="A550" s="66"/>
      <c r="B550" s="66"/>
      <c r="C550" s="66"/>
      <c r="D550" s="66"/>
      <c r="E550" s="66"/>
      <c r="F550" s="66"/>
      <c r="G550" s="66"/>
      <c r="H550" s="66"/>
      <c r="I550" s="66"/>
      <c r="J550" s="66"/>
      <c r="K550" s="66"/>
      <c r="L550" s="66"/>
      <c r="M550" s="66" t="s">
        <v>178</v>
      </c>
      <c r="N550" s="158">
        <v>46249.0</v>
      </c>
      <c r="O550" s="66">
        <v>1.0</v>
      </c>
      <c r="P550" s="66"/>
      <c r="Q550" s="66"/>
      <c r="R550" s="66"/>
      <c r="S550" s="66"/>
      <c r="T550" s="66"/>
      <c r="U550" s="66"/>
      <c r="V550" s="66"/>
      <c r="W550" s="66"/>
      <c r="X550" s="66"/>
      <c r="Y550" s="66"/>
      <c r="Z550" s="66"/>
    </row>
    <row r="551">
      <c r="A551" s="66"/>
      <c r="B551" s="66"/>
      <c r="C551" s="66"/>
      <c r="D551" s="66"/>
      <c r="E551" s="66"/>
      <c r="F551" s="66"/>
      <c r="G551" s="66"/>
      <c r="H551" s="66"/>
      <c r="I551" s="66"/>
      <c r="J551" s="66"/>
      <c r="K551" s="66"/>
      <c r="L551" s="66"/>
      <c r="M551" s="66" t="s">
        <v>179</v>
      </c>
      <c r="N551" s="158">
        <v>46249.0</v>
      </c>
      <c r="O551" s="66">
        <v>1.0</v>
      </c>
      <c r="P551" s="66"/>
      <c r="Q551" s="66"/>
      <c r="R551" s="66"/>
      <c r="S551" s="66"/>
      <c r="T551" s="66"/>
      <c r="U551" s="66"/>
      <c r="V551" s="66"/>
      <c r="W551" s="66"/>
      <c r="X551" s="66"/>
      <c r="Y551" s="66"/>
      <c r="Z551" s="66"/>
    </row>
    <row r="552">
      <c r="A552" s="66"/>
      <c r="B552" s="66"/>
      <c r="C552" s="66"/>
      <c r="D552" s="66"/>
      <c r="E552" s="66"/>
      <c r="F552" s="66"/>
      <c r="G552" s="66"/>
      <c r="H552" s="66"/>
      <c r="I552" s="66"/>
      <c r="J552" s="66"/>
      <c r="K552" s="66"/>
      <c r="L552" s="66" t="s">
        <v>717</v>
      </c>
      <c r="M552" s="66"/>
      <c r="N552" s="66"/>
      <c r="O552" s="66">
        <v>119.0</v>
      </c>
      <c r="P552" s="66"/>
      <c r="Q552" s="66"/>
      <c r="R552" s="66"/>
      <c r="S552" s="66"/>
      <c r="T552" s="66"/>
      <c r="U552" s="66"/>
      <c r="V552" s="66"/>
      <c r="W552" s="66"/>
      <c r="X552" s="66"/>
      <c r="Y552" s="66"/>
      <c r="Z552" s="66"/>
    </row>
    <row r="553">
      <c r="A553" s="66"/>
      <c r="B553" s="66"/>
      <c r="C553" s="66"/>
      <c r="D553" s="66"/>
      <c r="E553" s="66"/>
      <c r="F553" s="66"/>
      <c r="G553" s="66"/>
      <c r="H553" s="66"/>
      <c r="I553" s="66"/>
      <c r="J553" s="66"/>
      <c r="K553" s="66" t="s">
        <v>100</v>
      </c>
      <c r="L553" s="158" t="s">
        <v>30</v>
      </c>
      <c r="M553" s="66" t="s">
        <v>103</v>
      </c>
      <c r="N553" s="158">
        <v>46295.0</v>
      </c>
      <c r="O553" s="66">
        <v>1.0</v>
      </c>
      <c r="P553" s="66"/>
      <c r="Q553" s="66"/>
      <c r="R553" s="66"/>
      <c r="S553" s="66"/>
      <c r="T553" s="66"/>
      <c r="U553" s="66"/>
      <c r="V553" s="66"/>
      <c r="W553" s="66"/>
      <c r="X553" s="66"/>
      <c r="Y553" s="66"/>
      <c r="Z553" s="66"/>
    </row>
    <row r="554">
      <c r="A554" s="66"/>
      <c r="B554" s="66"/>
      <c r="C554" s="66"/>
      <c r="D554" s="66"/>
      <c r="E554" s="66"/>
      <c r="F554" s="66"/>
      <c r="G554" s="66"/>
      <c r="H554" s="66"/>
      <c r="I554" s="66"/>
      <c r="J554" s="66"/>
      <c r="K554" s="66"/>
      <c r="L554" s="66"/>
      <c r="M554" s="66" t="s">
        <v>102</v>
      </c>
      <c r="N554" s="158">
        <v>46295.0</v>
      </c>
      <c r="O554" s="66">
        <v>1.0</v>
      </c>
      <c r="P554" s="66"/>
      <c r="Q554" s="66"/>
      <c r="R554" s="66"/>
      <c r="S554" s="66"/>
      <c r="T554" s="66"/>
      <c r="U554" s="66"/>
      <c r="V554" s="66"/>
      <c r="W554" s="66"/>
      <c r="X554" s="66"/>
      <c r="Y554" s="66"/>
      <c r="Z554" s="66"/>
    </row>
    <row r="555">
      <c r="A555" s="66"/>
      <c r="B555" s="66"/>
      <c r="C555" s="66"/>
      <c r="D555" s="66"/>
      <c r="E555" s="66"/>
      <c r="F555" s="66"/>
      <c r="G555" s="66"/>
      <c r="H555" s="66"/>
      <c r="I555" s="66"/>
      <c r="J555" s="66"/>
      <c r="K555" s="66"/>
      <c r="L555" s="66"/>
      <c r="M555" s="66" t="s">
        <v>101</v>
      </c>
      <c r="N555" s="158">
        <v>46295.0</v>
      </c>
      <c r="O555" s="66">
        <v>1.0</v>
      </c>
      <c r="P555" s="66"/>
      <c r="Q555" s="66"/>
      <c r="R555" s="66"/>
      <c r="S555" s="66"/>
      <c r="T555" s="66"/>
      <c r="U555" s="66"/>
      <c r="V555" s="66"/>
      <c r="W555" s="66"/>
      <c r="X555" s="66"/>
      <c r="Y555" s="66"/>
      <c r="Z555" s="66"/>
    </row>
    <row r="556">
      <c r="A556" s="66"/>
      <c r="B556" s="66"/>
      <c r="C556" s="66"/>
      <c r="D556" s="66"/>
      <c r="E556" s="66"/>
      <c r="F556" s="66"/>
      <c r="G556" s="66"/>
      <c r="H556" s="66"/>
      <c r="I556" s="66"/>
      <c r="J556" s="66"/>
      <c r="K556" s="66"/>
      <c r="L556" s="66" t="s">
        <v>717</v>
      </c>
      <c r="M556" s="66"/>
      <c r="N556" s="66"/>
      <c r="O556" s="66">
        <v>3.0</v>
      </c>
      <c r="P556" s="66"/>
      <c r="Q556" s="66"/>
      <c r="R556" s="66"/>
      <c r="S556" s="66"/>
      <c r="T556" s="66"/>
      <c r="U556" s="66"/>
      <c r="V556" s="66"/>
      <c r="W556" s="66"/>
      <c r="X556" s="66"/>
      <c r="Y556" s="66"/>
      <c r="Z556" s="66"/>
    </row>
    <row r="557">
      <c r="A557" s="66"/>
      <c r="B557" s="66"/>
      <c r="C557" s="66"/>
      <c r="D557" s="66"/>
      <c r="E557" s="66"/>
      <c r="F557" s="66"/>
      <c r="G557" s="66"/>
      <c r="H557" s="66"/>
      <c r="I557" s="66"/>
      <c r="J557" s="66"/>
      <c r="K557" s="66" t="s">
        <v>511</v>
      </c>
      <c r="L557" s="158" t="s">
        <v>721</v>
      </c>
      <c r="M557" s="66" t="s">
        <v>517</v>
      </c>
      <c r="N557" s="158">
        <v>46157.0</v>
      </c>
      <c r="O557" s="66">
        <v>1.0</v>
      </c>
      <c r="P557" s="66"/>
      <c r="Q557" s="66"/>
      <c r="R557" s="66"/>
      <c r="S557" s="66"/>
      <c r="T557" s="66"/>
      <c r="U557" s="66"/>
      <c r="V557" s="66"/>
      <c r="W557" s="66"/>
      <c r="X557" s="66"/>
      <c r="Y557" s="66"/>
      <c r="Z557" s="66"/>
    </row>
    <row r="558">
      <c r="A558" s="66"/>
      <c r="B558" s="66"/>
      <c r="C558" s="66"/>
      <c r="D558" s="66"/>
      <c r="E558" s="66"/>
      <c r="F558" s="66"/>
      <c r="G558" s="66"/>
      <c r="H558" s="66"/>
      <c r="I558" s="66"/>
      <c r="J558" s="66"/>
      <c r="K558" s="66"/>
      <c r="L558" s="66"/>
      <c r="M558" s="66" t="s">
        <v>518</v>
      </c>
      <c r="N558" s="158">
        <v>46157.0</v>
      </c>
      <c r="O558" s="66">
        <v>1.0</v>
      </c>
      <c r="P558" s="66"/>
      <c r="Q558" s="66"/>
      <c r="R558" s="66"/>
      <c r="S558" s="66"/>
      <c r="T558" s="66"/>
      <c r="U558" s="66"/>
      <c r="V558" s="66"/>
      <c r="W558" s="66"/>
      <c r="X558" s="66"/>
      <c r="Y558" s="66"/>
      <c r="Z558" s="66"/>
    </row>
    <row r="559">
      <c r="A559" s="66"/>
      <c r="B559" s="66"/>
      <c r="C559" s="66"/>
      <c r="D559" s="66"/>
      <c r="E559" s="66"/>
      <c r="F559" s="66"/>
      <c r="G559" s="66"/>
      <c r="H559" s="66"/>
      <c r="I559" s="66"/>
      <c r="J559" s="66"/>
      <c r="K559" s="66"/>
      <c r="L559" s="66"/>
      <c r="M559" s="66" t="s">
        <v>522</v>
      </c>
      <c r="N559" s="158">
        <v>46157.0</v>
      </c>
      <c r="O559" s="66">
        <v>1.0</v>
      </c>
      <c r="P559" s="66"/>
      <c r="Q559" s="66"/>
      <c r="R559" s="66"/>
      <c r="S559" s="66"/>
      <c r="T559" s="66"/>
      <c r="U559" s="66"/>
      <c r="V559" s="66"/>
      <c r="W559" s="66"/>
      <c r="X559" s="66"/>
      <c r="Y559" s="66"/>
      <c r="Z559" s="66"/>
    </row>
    <row r="560">
      <c r="A560" s="66"/>
      <c r="B560" s="66"/>
      <c r="C560" s="66"/>
      <c r="D560" s="66"/>
      <c r="E560" s="66"/>
      <c r="F560" s="66"/>
      <c r="G560" s="66"/>
      <c r="H560" s="66"/>
      <c r="I560" s="66"/>
      <c r="J560" s="66"/>
      <c r="K560" s="66"/>
      <c r="L560" s="66"/>
      <c r="M560" s="66" t="s">
        <v>519</v>
      </c>
      <c r="N560" s="158">
        <v>46157.0</v>
      </c>
      <c r="O560" s="66">
        <v>1.0</v>
      </c>
      <c r="P560" s="66"/>
      <c r="Q560" s="66"/>
      <c r="R560" s="66"/>
      <c r="S560" s="66"/>
      <c r="T560" s="66"/>
      <c r="U560" s="66"/>
      <c r="V560" s="66"/>
      <c r="W560" s="66"/>
      <c r="X560" s="66"/>
      <c r="Y560" s="66"/>
      <c r="Z560" s="66"/>
    </row>
    <row r="561">
      <c r="A561" s="66"/>
      <c r="B561" s="66"/>
      <c r="C561" s="66"/>
      <c r="D561" s="66"/>
      <c r="E561" s="66"/>
      <c r="F561" s="66"/>
      <c r="G561" s="66"/>
      <c r="H561" s="66"/>
      <c r="I561" s="66"/>
      <c r="J561" s="66"/>
      <c r="K561" s="66"/>
      <c r="L561" s="66"/>
      <c r="M561" s="66" t="s">
        <v>524</v>
      </c>
      <c r="N561" s="158">
        <v>46157.0</v>
      </c>
      <c r="O561" s="66">
        <v>1.0</v>
      </c>
      <c r="P561" s="66"/>
      <c r="Q561" s="66"/>
      <c r="R561" s="66"/>
      <c r="S561" s="66"/>
      <c r="T561" s="66"/>
      <c r="U561" s="66"/>
      <c r="V561" s="66"/>
      <c r="W561" s="66"/>
      <c r="X561" s="66"/>
      <c r="Y561" s="66"/>
      <c r="Z561" s="66"/>
    </row>
    <row r="562">
      <c r="A562" s="66"/>
      <c r="B562" s="66"/>
      <c r="C562" s="66"/>
      <c r="D562" s="66"/>
      <c r="E562" s="66"/>
      <c r="F562" s="66"/>
      <c r="G562" s="66"/>
      <c r="H562" s="66"/>
      <c r="I562" s="66"/>
      <c r="J562" s="66"/>
      <c r="K562" s="66"/>
      <c r="L562" s="66"/>
      <c r="M562" s="66" t="s">
        <v>523</v>
      </c>
      <c r="N562" s="158">
        <v>46157.0</v>
      </c>
      <c r="O562" s="66">
        <v>1.0</v>
      </c>
      <c r="P562" s="66"/>
      <c r="Q562" s="66"/>
      <c r="R562" s="66"/>
      <c r="S562" s="66"/>
      <c r="T562" s="66"/>
      <c r="U562" s="66"/>
      <c r="V562" s="66"/>
      <c r="W562" s="66"/>
      <c r="X562" s="66"/>
      <c r="Y562" s="66"/>
      <c r="Z562" s="66"/>
    </row>
    <row r="563">
      <c r="A563" s="66"/>
      <c r="B563" s="66"/>
      <c r="C563" s="66"/>
      <c r="D563" s="66"/>
      <c r="E563" s="66"/>
      <c r="F563" s="66"/>
      <c r="G563" s="66"/>
      <c r="H563" s="66"/>
      <c r="I563" s="66"/>
      <c r="J563" s="66"/>
      <c r="K563" s="66"/>
      <c r="L563" s="66"/>
      <c r="M563" s="66" t="s">
        <v>520</v>
      </c>
      <c r="N563" s="158">
        <v>46157.0</v>
      </c>
      <c r="O563" s="66">
        <v>1.0</v>
      </c>
      <c r="P563" s="66"/>
      <c r="Q563" s="66"/>
      <c r="R563" s="66"/>
      <c r="S563" s="66"/>
      <c r="T563" s="66"/>
      <c r="U563" s="66"/>
      <c r="V563" s="66"/>
      <c r="W563" s="66"/>
      <c r="X563" s="66"/>
      <c r="Y563" s="66"/>
      <c r="Z563" s="66"/>
    </row>
    <row r="564">
      <c r="A564" s="66"/>
      <c r="B564" s="66"/>
      <c r="C564" s="66"/>
      <c r="D564" s="66"/>
      <c r="E564" s="66"/>
      <c r="F564" s="66"/>
      <c r="G564" s="66"/>
      <c r="H564" s="66"/>
      <c r="I564" s="66"/>
      <c r="J564" s="66"/>
      <c r="K564" s="66"/>
      <c r="L564" s="66"/>
      <c r="M564" s="66" t="s">
        <v>529</v>
      </c>
      <c r="N564" s="158">
        <v>46157.0</v>
      </c>
      <c r="O564" s="66">
        <v>1.0</v>
      </c>
      <c r="P564" s="66"/>
      <c r="Q564" s="66"/>
      <c r="R564" s="66"/>
      <c r="S564" s="66"/>
      <c r="T564" s="66"/>
      <c r="U564" s="66"/>
      <c r="V564" s="66"/>
      <c r="W564" s="66"/>
      <c r="X564" s="66"/>
      <c r="Y564" s="66"/>
      <c r="Z564" s="66"/>
    </row>
    <row r="565">
      <c r="A565" s="66"/>
      <c r="B565" s="66"/>
      <c r="C565" s="66"/>
      <c r="D565" s="66"/>
      <c r="E565" s="66"/>
      <c r="F565" s="66"/>
      <c r="G565" s="66"/>
      <c r="H565" s="66"/>
      <c r="I565" s="66"/>
      <c r="J565" s="66"/>
      <c r="K565" s="66"/>
      <c r="L565" s="66"/>
      <c r="M565" s="66" t="s">
        <v>527</v>
      </c>
      <c r="N565" s="158">
        <v>46157.0</v>
      </c>
      <c r="O565" s="66">
        <v>1.0</v>
      </c>
      <c r="P565" s="66"/>
      <c r="Q565" s="66"/>
      <c r="R565" s="66"/>
      <c r="S565" s="66"/>
      <c r="T565" s="66"/>
      <c r="U565" s="66"/>
      <c r="V565" s="66"/>
      <c r="W565" s="66"/>
      <c r="X565" s="66"/>
      <c r="Y565" s="66"/>
      <c r="Z565" s="66"/>
    </row>
    <row r="566">
      <c r="A566" s="66"/>
      <c r="B566" s="66"/>
      <c r="C566" s="66"/>
      <c r="D566" s="66"/>
      <c r="E566" s="66"/>
      <c r="F566" s="66"/>
      <c r="G566" s="66"/>
      <c r="H566" s="66"/>
      <c r="I566" s="66"/>
      <c r="J566" s="66"/>
      <c r="K566" s="66"/>
      <c r="L566" s="66"/>
      <c r="M566" s="66" t="s">
        <v>526</v>
      </c>
      <c r="N566" s="158">
        <v>46157.0</v>
      </c>
      <c r="O566" s="66">
        <v>1.0</v>
      </c>
      <c r="P566" s="66"/>
      <c r="Q566" s="66"/>
      <c r="R566" s="66"/>
      <c r="S566" s="66"/>
      <c r="T566" s="66"/>
      <c r="U566" s="66"/>
      <c r="V566" s="66"/>
      <c r="W566" s="66"/>
      <c r="X566" s="66"/>
      <c r="Y566" s="66"/>
      <c r="Z566" s="66"/>
    </row>
    <row r="567">
      <c r="A567" s="66"/>
      <c r="B567" s="66"/>
      <c r="C567" s="66"/>
      <c r="D567" s="66"/>
      <c r="E567" s="66"/>
      <c r="F567" s="66"/>
      <c r="G567" s="66"/>
      <c r="H567" s="66"/>
      <c r="I567" s="66"/>
      <c r="J567" s="66"/>
      <c r="K567" s="66"/>
      <c r="L567" s="66"/>
      <c r="M567" s="66" t="s">
        <v>528</v>
      </c>
      <c r="N567" s="158">
        <v>46157.0</v>
      </c>
      <c r="O567" s="66">
        <v>1.0</v>
      </c>
      <c r="P567" s="66"/>
      <c r="Q567" s="66"/>
      <c r="R567" s="66"/>
      <c r="S567" s="66"/>
      <c r="T567" s="66"/>
      <c r="U567" s="66"/>
      <c r="V567" s="66"/>
      <c r="W567" s="66"/>
      <c r="X567" s="66"/>
      <c r="Y567" s="66"/>
      <c r="Z567" s="66"/>
    </row>
    <row r="568">
      <c r="A568" s="66"/>
      <c r="B568" s="66"/>
      <c r="C568" s="66"/>
      <c r="D568" s="66"/>
      <c r="E568" s="66"/>
      <c r="F568" s="66"/>
      <c r="G568" s="66"/>
      <c r="H568" s="66"/>
      <c r="I568" s="66"/>
      <c r="J568" s="66"/>
      <c r="K568" s="66"/>
      <c r="L568" s="66"/>
      <c r="M568" s="66" t="s">
        <v>521</v>
      </c>
      <c r="N568" s="158">
        <v>46157.0</v>
      </c>
      <c r="O568" s="66">
        <v>1.0</v>
      </c>
      <c r="P568" s="66"/>
      <c r="Q568" s="66"/>
      <c r="R568" s="66"/>
      <c r="S568" s="66"/>
      <c r="T568" s="66"/>
      <c r="U568" s="66"/>
      <c r="V568" s="66"/>
      <c r="W568" s="66"/>
      <c r="X568" s="66"/>
      <c r="Y568" s="66"/>
      <c r="Z568" s="66"/>
    </row>
    <row r="569">
      <c r="A569" s="66"/>
      <c r="B569" s="66"/>
      <c r="C569" s="66"/>
      <c r="D569" s="66"/>
      <c r="E569" s="66"/>
      <c r="F569" s="66"/>
      <c r="G569" s="66"/>
      <c r="H569" s="66"/>
      <c r="I569" s="66"/>
      <c r="J569" s="66"/>
      <c r="K569" s="66"/>
      <c r="L569" s="66"/>
      <c r="M569" s="66" t="s">
        <v>514</v>
      </c>
      <c r="N569" s="158">
        <v>46157.0</v>
      </c>
      <c r="O569" s="66">
        <v>1.0</v>
      </c>
      <c r="P569" s="66"/>
      <c r="Q569" s="66"/>
      <c r="R569" s="66"/>
      <c r="S569" s="66"/>
      <c r="T569" s="66"/>
      <c r="U569" s="66"/>
      <c r="V569" s="66"/>
      <c r="W569" s="66"/>
      <c r="X569" s="66"/>
      <c r="Y569" s="66"/>
      <c r="Z569" s="66"/>
    </row>
    <row r="570">
      <c r="A570" s="66"/>
      <c r="B570" s="66"/>
      <c r="C570" s="66"/>
      <c r="D570" s="66"/>
      <c r="E570" s="66"/>
      <c r="F570" s="66"/>
      <c r="G570" s="66"/>
      <c r="H570" s="66"/>
      <c r="I570" s="66"/>
      <c r="J570" s="66"/>
      <c r="K570" s="66"/>
      <c r="L570" s="66"/>
      <c r="M570" s="66" t="s">
        <v>531</v>
      </c>
      <c r="N570" s="158">
        <v>46157.0</v>
      </c>
      <c r="O570" s="66">
        <v>1.0</v>
      </c>
      <c r="P570" s="66"/>
      <c r="Q570" s="66"/>
      <c r="R570" s="66"/>
      <c r="S570" s="66"/>
      <c r="T570" s="66"/>
      <c r="U570" s="66"/>
      <c r="V570" s="66"/>
      <c r="W570" s="66"/>
      <c r="X570" s="66"/>
      <c r="Y570" s="66"/>
      <c r="Z570" s="66"/>
    </row>
    <row r="571">
      <c r="A571" s="66"/>
      <c r="B571" s="66"/>
      <c r="C571" s="66"/>
      <c r="D571" s="66"/>
      <c r="E571" s="66"/>
      <c r="F571" s="66"/>
      <c r="G571" s="66"/>
      <c r="H571" s="66"/>
      <c r="I571" s="66"/>
      <c r="J571" s="66"/>
      <c r="K571" s="66"/>
      <c r="L571" s="66"/>
      <c r="M571" s="66" t="s">
        <v>530</v>
      </c>
      <c r="N571" s="158">
        <v>46157.0</v>
      </c>
      <c r="O571" s="66">
        <v>1.0</v>
      </c>
      <c r="P571" s="66"/>
      <c r="Q571" s="66"/>
      <c r="R571" s="66"/>
      <c r="S571" s="66"/>
      <c r="T571" s="66"/>
      <c r="U571" s="66"/>
      <c r="V571" s="66"/>
      <c r="W571" s="66"/>
      <c r="X571" s="66"/>
      <c r="Y571" s="66"/>
      <c r="Z571" s="66"/>
    </row>
    <row r="572">
      <c r="A572" s="66"/>
      <c r="B572" s="66"/>
      <c r="C572" s="66"/>
      <c r="D572" s="66"/>
      <c r="E572" s="66"/>
      <c r="F572" s="66"/>
      <c r="G572" s="66"/>
      <c r="H572" s="66"/>
      <c r="I572" s="66"/>
      <c r="J572" s="66"/>
      <c r="K572" s="66"/>
      <c r="L572" s="66"/>
      <c r="M572" s="66" t="s">
        <v>515</v>
      </c>
      <c r="N572" s="158">
        <v>46157.0</v>
      </c>
      <c r="O572" s="66">
        <v>1.0</v>
      </c>
      <c r="P572" s="66"/>
      <c r="Q572" s="66"/>
      <c r="R572" s="66"/>
      <c r="S572" s="66"/>
      <c r="T572" s="66"/>
      <c r="U572" s="66"/>
      <c r="V572" s="66"/>
      <c r="W572" s="66"/>
      <c r="X572" s="66"/>
      <c r="Y572" s="66"/>
      <c r="Z572" s="66"/>
    </row>
    <row r="573">
      <c r="A573" s="66"/>
      <c r="B573" s="66"/>
      <c r="C573" s="66"/>
      <c r="D573" s="66"/>
      <c r="E573" s="66"/>
      <c r="F573" s="66"/>
      <c r="G573" s="66"/>
      <c r="H573" s="66"/>
      <c r="I573" s="66"/>
      <c r="J573" s="66"/>
      <c r="K573" s="66"/>
      <c r="L573" s="66"/>
      <c r="M573" s="66" t="s">
        <v>513</v>
      </c>
      <c r="N573" s="158">
        <v>46157.0</v>
      </c>
      <c r="O573" s="66">
        <v>1.0</v>
      </c>
      <c r="P573" s="66"/>
      <c r="Q573" s="66"/>
      <c r="R573" s="66"/>
      <c r="S573" s="66"/>
      <c r="T573" s="66"/>
      <c r="U573" s="66"/>
      <c r="V573" s="66"/>
      <c r="W573" s="66"/>
      <c r="X573" s="66"/>
      <c r="Y573" s="66"/>
      <c r="Z573" s="66"/>
    </row>
    <row r="574">
      <c r="A574" s="66"/>
      <c r="B574" s="66"/>
      <c r="C574" s="66"/>
      <c r="D574" s="66"/>
      <c r="E574" s="66"/>
      <c r="F574" s="66"/>
      <c r="G574" s="66"/>
      <c r="H574" s="66"/>
      <c r="I574" s="66"/>
      <c r="J574" s="66"/>
      <c r="K574" s="66"/>
      <c r="L574" s="66" t="s">
        <v>939</v>
      </c>
      <c r="M574" s="66"/>
      <c r="N574" s="66"/>
      <c r="O574" s="66">
        <v>17.0</v>
      </c>
      <c r="P574" s="66"/>
      <c r="Q574" s="66"/>
      <c r="R574" s="66"/>
      <c r="S574" s="66"/>
      <c r="T574" s="66"/>
      <c r="U574" s="66"/>
      <c r="V574" s="66"/>
      <c r="W574" s="66"/>
      <c r="X574" s="66"/>
      <c r="Y574" s="66"/>
      <c r="Z574" s="66"/>
    </row>
    <row r="575">
      <c r="A575" s="66"/>
      <c r="B575" s="66"/>
      <c r="C575" s="66"/>
      <c r="D575" s="66"/>
      <c r="E575" s="66"/>
      <c r="F575" s="66"/>
      <c r="G575" s="66"/>
      <c r="H575" s="66"/>
      <c r="I575" s="66"/>
      <c r="J575" s="66"/>
      <c r="K575" s="66" t="s">
        <v>532</v>
      </c>
      <c r="L575" s="158" t="s">
        <v>718</v>
      </c>
      <c r="M575" s="66" t="s">
        <v>537</v>
      </c>
      <c r="N575" s="159">
        <v>46203.0</v>
      </c>
      <c r="O575" s="66">
        <v>1.0</v>
      </c>
      <c r="P575" s="66"/>
      <c r="Q575" s="66"/>
      <c r="R575" s="66"/>
      <c r="S575" s="66"/>
      <c r="T575" s="66"/>
      <c r="U575" s="66"/>
      <c r="V575" s="66"/>
      <c r="W575" s="66"/>
      <c r="X575" s="66"/>
      <c r="Y575" s="66"/>
      <c r="Z575" s="66"/>
    </row>
    <row r="576">
      <c r="A576" s="66"/>
      <c r="B576" s="66"/>
      <c r="C576" s="66"/>
      <c r="D576" s="66"/>
      <c r="E576" s="66"/>
      <c r="F576" s="66"/>
      <c r="G576" s="66"/>
      <c r="H576" s="66"/>
      <c r="I576" s="66"/>
      <c r="J576" s="66"/>
      <c r="K576" s="66"/>
      <c r="L576" s="66"/>
      <c r="M576" s="66" t="s">
        <v>549</v>
      </c>
      <c r="N576" s="159">
        <v>46203.0</v>
      </c>
      <c r="O576" s="66">
        <v>1.0</v>
      </c>
      <c r="P576" s="66"/>
      <c r="Q576" s="66"/>
      <c r="R576" s="66"/>
      <c r="S576" s="66"/>
      <c r="T576" s="66"/>
      <c r="U576" s="66"/>
      <c r="V576" s="66"/>
      <c r="W576" s="66"/>
      <c r="X576" s="66"/>
      <c r="Y576" s="66"/>
      <c r="Z576" s="66"/>
    </row>
    <row r="577">
      <c r="A577" s="66"/>
      <c r="B577" s="66"/>
      <c r="C577" s="66"/>
      <c r="D577" s="66"/>
      <c r="E577" s="66"/>
      <c r="F577" s="66"/>
      <c r="G577" s="66"/>
      <c r="H577" s="66"/>
      <c r="I577" s="66"/>
      <c r="J577" s="66"/>
      <c r="K577" s="66"/>
      <c r="L577" s="66"/>
      <c r="M577" s="66" t="s">
        <v>556</v>
      </c>
      <c r="N577" s="159">
        <v>46203.0</v>
      </c>
      <c r="O577" s="66">
        <v>1.0</v>
      </c>
      <c r="P577" s="66"/>
      <c r="Q577" s="66"/>
      <c r="R577" s="66"/>
      <c r="S577" s="66"/>
      <c r="T577" s="66"/>
      <c r="U577" s="66"/>
      <c r="V577" s="66"/>
      <c r="W577" s="66"/>
      <c r="X577" s="66"/>
      <c r="Y577" s="66"/>
      <c r="Z577" s="66"/>
    </row>
    <row r="578">
      <c r="A578" s="66"/>
      <c r="B578" s="66"/>
      <c r="C578" s="66"/>
      <c r="D578" s="66"/>
      <c r="E578" s="66"/>
      <c r="F578" s="66"/>
      <c r="G578" s="66"/>
      <c r="H578" s="66"/>
      <c r="I578" s="66"/>
      <c r="J578" s="66"/>
      <c r="K578" s="66"/>
      <c r="L578" s="66"/>
      <c r="M578" s="66" t="s">
        <v>554</v>
      </c>
      <c r="N578" s="159">
        <v>46203.0</v>
      </c>
      <c r="O578" s="66">
        <v>1.0</v>
      </c>
      <c r="P578" s="66"/>
      <c r="Q578" s="66"/>
      <c r="R578" s="66"/>
      <c r="S578" s="66"/>
      <c r="T578" s="66"/>
      <c r="U578" s="66"/>
      <c r="V578" s="66"/>
      <c r="W578" s="66"/>
      <c r="X578" s="66"/>
      <c r="Y578" s="66"/>
      <c r="Z578" s="66"/>
    </row>
    <row r="579">
      <c r="A579" s="66"/>
      <c r="B579" s="66"/>
      <c r="C579" s="66"/>
      <c r="D579" s="66"/>
      <c r="E579" s="66"/>
      <c r="F579" s="66"/>
      <c r="G579" s="66"/>
      <c r="H579" s="66"/>
      <c r="I579" s="66"/>
      <c r="J579" s="66"/>
      <c r="K579" s="66"/>
      <c r="L579" s="66"/>
      <c r="M579" s="66" t="s">
        <v>536</v>
      </c>
      <c r="N579" s="159">
        <v>46203.0</v>
      </c>
      <c r="O579" s="66">
        <v>1.0</v>
      </c>
      <c r="P579" s="66"/>
      <c r="Q579" s="66"/>
      <c r="R579" s="66"/>
      <c r="S579" s="66"/>
      <c r="T579" s="66"/>
      <c r="U579" s="66"/>
      <c r="V579" s="66"/>
      <c r="W579" s="66"/>
      <c r="X579" s="66"/>
      <c r="Y579" s="66"/>
      <c r="Z579" s="66"/>
    </row>
    <row r="580">
      <c r="A580" s="66"/>
      <c r="B580" s="66"/>
      <c r="C580" s="66"/>
      <c r="D580" s="66"/>
      <c r="E580" s="66"/>
      <c r="F580" s="66"/>
      <c r="G580" s="66"/>
      <c r="H580" s="66"/>
      <c r="I580" s="66"/>
      <c r="J580" s="66"/>
      <c r="K580" s="66"/>
      <c r="L580" s="66"/>
      <c r="M580" s="66" t="s">
        <v>548</v>
      </c>
      <c r="N580" s="159">
        <v>46203.0</v>
      </c>
      <c r="O580" s="66">
        <v>1.0</v>
      </c>
      <c r="P580" s="66"/>
      <c r="Q580" s="66"/>
      <c r="R580" s="66"/>
      <c r="S580" s="66"/>
      <c r="T580" s="66"/>
      <c r="U580" s="66"/>
      <c r="V580" s="66"/>
      <c r="W580" s="66"/>
      <c r="X580" s="66"/>
      <c r="Y580" s="66"/>
      <c r="Z580" s="66"/>
    </row>
    <row r="581">
      <c r="A581" s="66"/>
      <c r="B581" s="66"/>
      <c r="C581" s="66"/>
      <c r="D581" s="66"/>
      <c r="E581" s="66"/>
      <c r="F581" s="66"/>
      <c r="G581" s="66"/>
      <c r="H581" s="66"/>
      <c r="I581" s="66"/>
      <c r="J581" s="66"/>
      <c r="K581" s="66"/>
      <c r="L581" s="66"/>
      <c r="M581" s="66" t="s">
        <v>550</v>
      </c>
      <c r="N581" s="159">
        <v>46203.0</v>
      </c>
      <c r="O581" s="66">
        <v>1.0</v>
      </c>
      <c r="P581" s="66"/>
      <c r="Q581" s="66"/>
      <c r="R581" s="66"/>
      <c r="S581" s="66"/>
      <c r="T581" s="66"/>
      <c r="U581" s="66"/>
      <c r="V581" s="66"/>
      <c r="W581" s="66"/>
      <c r="X581" s="66"/>
      <c r="Y581" s="66"/>
      <c r="Z581" s="66"/>
    </row>
    <row r="582">
      <c r="A582" s="66"/>
      <c r="B582" s="66"/>
      <c r="C582" s="66"/>
      <c r="D582" s="66"/>
      <c r="E582" s="66"/>
      <c r="F582" s="66"/>
      <c r="G582" s="66"/>
      <c r="H582" s="66"/>
      <c r="I582" s="66"/>
      <c r="J582" s="66"/>
      <c r="K582" s="66"/>
      <c r="L582" s="66"/>
      <c r="M582" s="66" t="s">
        <v>538</v>
      </c>
      <c r="N582" s="159">
        <v>46203.0</v>
      </c>
      <c r="O582" s="66">
        <v>1.0</v>
      </c>
      <c r="P582" s="66"/>
      <c r="Q582" s="66"/>
      <c r="R582" s="66"/>
      <c r="S582" s="66"/>
      <c r="T582" s="66"/>
      <c r="U582" s="66"/>
      <c r="V582" s="66"/>
      <c r="W582" s="66"/>
      <c r="X582" s="66"/>
      <c r="Y582" s="66"/>
      <c r="Z582" s="66"/>
    </row>
    <row r="583">
      <c r="A583" s="66"/>
      <c r="B583" s="66"/>
      <c r="C583" s="66"/>
      <c r="D583" s="66"/>
      <c r="E583" s="66"/>
      <c r="F583" s="66"/>
      <c r="G583" s="66"/>
      <c r="H583" s="66"/>
      <c r="I583" s="66"/>
      <c r="J583" s="66"/>
      <c r="K583" s="66"/>
      <c r="L583" s="66"/>
      <c r="M583" s="66" t="s">
        <v>534</v>
      </c>
      <c r="N583" s="159">
        <v>46203.0</v>
      </c>
      <c r="O583" s="66">
        <v>1.0</v>
      </c>
      <c r="P583" s="66"/>
      <c r="Q583" s="66"/>
      <c r="R583" s="66"/>
      <c r="S583" s="66"/>
      <c r="T583" s="66"/>
      <c r="U583" s="66"/>
      <c r="V583" s="66"/>
      <c r="W583" s="66"/>
      <c r="X583" s="66"/>
      <c r="Y583" s="66"/>
      <c r="Z583" s="66"/>
    </row>
    <row r="584">
      <c r="A584" s="66"/>
      <c r="B584" s="66"/>
      <c r="C584" s="66"/>
      <c r="D584" s="66"/>
      <c r="E584" s="66"/>
      <c r="F584" s="66"/>
      <c r="G584" s="66"/>
      <c r="H584" s="66"/>
      <c r="I584" s="66"/>
      <c r="J584" s="66"/>
      <c r="K584" s="66"/>
      <c r="L584" s="66"/>
      <c r="M584" s="66" t="s">
        <v>547</v>
      </c>
      <c r="N584" s="159">
        <v>46203.0</v>
      </c>
      <c r="O584" s="66">
        <v>1.0</v>
      </c>
      <c r="P584" s="66"/>
      <c r="Q584" s="66"/>
      <c r="R584" s="66"/>
      <c r="S584" s="66"/>
      <c r="T584" s="66"/>
      <c r="U584" s="66"/>
      <c r="V584" s="66"/>
      <c r="W584" s="66"/>
      <c r="X584" s="66"/>
      <c r="Y584" s="66"/>
      <c r="Z584" s="66"/>
    </row>
    <row r="585">
      <c r="A585" s="66"/>
      <c r="B585" s="66"/>
      <c r="C585" s="66"/>
      <c r="D585" s="66"/>
      <c r="E585" s="66"/>
      <c r="F585" s="66"/>
      <c r="G585" s="66"/>
      <c r="H585" s="66"/>
      <c r="I585" s="66"/>
      <c r="J585" s="66"/>
      <c r="K585" s="66"/>
      <c r="L585" s="66"/>
      <c r="M585" s="66" t="s">
        <v>553</v>
      </c>
      <c r="N585" s="159">
        <v>46203.0</v>
      </c>
      <c r="O585" s="66">
        <v>1.0</v>
      </c>
      <c r="P585" s="66"/>
      <c r="Q585" s="66"/>
      <c r="R585" s="66"/>
      <c r="S585" s="66"/>
      <c r="T585" s="66"/>
      <c r="U585" s="66"/>
      <c r="V585" s="66"/>
      <c r="W585" s="66"/>
      <c r="X585" s="66"/>
      <c r="Y585" s="66"/>
      <c r="Z585" s="66"/>
    </row>
    <row r="586">
      <c r="A586" s="66"/>
      <c r="B586" s="66"/>
      <c r="C586" s="66"/>
      <c r="D586" s="66"/>
      <c r="E586" s="66"/>
      <c r="F586" s="66"/>
      <c r="G586" s="66"/>
      <c r="H586" s="66"/>
      <c r="I586" s="66"/>
      <c r="J586" s="66"/>
      <c r="K586" s="66"/>
      <c r="L586" s="66"/>
      <c r="M586" s="66" t="s">
        <v>541</v>
      </c>
      <c r="N586" s="159">
        <v>46203.0</v>
      </c>
      <c r="O586" s="66">
        <v>1.0</v>
      </c>
      <c r="P586" s="66"/>
      <c r="Q586" s="66"/>
      <c r="R586" s="66"/>
      <c r="S586" s="66"/>
      <c r="T586" s="66"/>
      <c r="U586" s="66"/>
      <c r="V586" s="66"/>
      <c r="W586" s="66"/>
      <c r="X586" s="66"/>
      <c r="Y586" s="66"/>
      <c r="Z586" s="66"/>
    </row>
    <row r="587">
      <c r="A587" s="66"/>
      <c r="B587" s="66"/>
      <c r="C587" s="66"/>
      <c r="D587" s="66"/>
      <c r="E587" s="66"/>
      <c r="F587" s="66"/>
      <c r="G587" s="66"/>
      <c r="H587" s="66"/>
      <c r="I587" s="66"/>
      <c r="J587" s="66"/>
      <c r="K587" s="66"/>
      <c r="L587" s="66"/>
      <c r="M587" s="66" t="s">
        <v>551</v>
      </c>
      <c r="N587" s="159">
        <v>46203.0</v>
      </c>
      <c r="O587" s="66">
        <v>1.0</v>
      </c>
      <c r="P587" s="66"/>
      <c r="Q587" s="66"/>
      <c r="R587" s="66"/>
      <c r="S587" s="66"/>
      <c r="T587" s="66"/>
      <c r="U587" s="66"/>
      <c r="V587" s="66"/>
      <c r="W587" s="66"/>
      <c r="X587" s="66"/>
      <c r="Y587" s="66"/>
      <c r="Z587" s="66"/>
    </row>
    <row r="588">
      <c r="A588" s="66"/>
      <c r="B588" s="66"/>
      <c r="C588" s="66"/>
      <c r="D588" s="66"/>
      <c r="E588" s="66"/>
      <c r="F588" s="66"/>
      <c r="G588" s="66"/>
      <c r="H588" s="66"/>
      <c r="I588" s="66"/>
      <c r="J588" s="66"/>
      <c r="K588" s="66"/>
      <c r="L588" s="66"/>
      <c r="M588" s="66" t="s">
        <v>555</v>
      </c>
      <c r="N588" s="159">
        <v>46203.0</v>
      </c>
      <c r="O588" s="66">
        <v>1.0</v>
      </c>
      <c r="P588" s="66"/>
      <c r="Q588" s="66"/>
      <c r="R588" s="66"/>
      <c r="S588" s="66"/>
      <c r="T588" s="66"/>
      <c r="U588" s="66"/>
      <c r="V588" s="66"/>
      <c r="W588" s="66"/>
      <c r="X588" s="66"/>
      <c r="Y588" s="66"/>
      <c r="Z588" s="66"/>
    </row>
    <row r="589">
      <c r="A589" s="66"/>
      <c r="B589" s="66"/>
      <c r="C589" s="66"/>
      <c r="D589" s="66"/>
      <c r="E589" s="66"/>
      <c r="F589" s="66"/>
      <c r="G589" s="66"/>
      <c r="H589" s="66"/>
      <c r="I589" s="66"/>
      <c r="J589" s="66"/>
      <c r="K589" s="66"/>
      <c r="L589" s="66"/>
      <c r="M589" s="66" t="s">
        <v>535</v>
      </c>
      <c r="N589" s="159">
        <v>46203.0</v>
      </c>
      <c r="O589" s="66">
        <v>1.0</v>
      </c>
      <c r="P589" s="66"/>
      <c r="Q589" s="66"/>
      <c r="R589" s="66"/>
      <c r="S589" s="66"/>
      <c r="T589" s="66"/>
      <c r="U589" s="66"/>
      <c r="V589" s="66"/>
      <c r="W589" s="66"/>
      <c r="X589" s="66"/>
      <c r="Y589" s="66"/>
      <c r="Z589" s="66"/>
    </row>
    <row r="590">
      <c r="A590" s="66"/>
      <c r="B590" s="66"/>
      <c r="C590" s="66"/>
      <c r="D590" s="66"/>
      <c r="E590" s="66"/>
      <c r="F590" s="66"/>
      <c r="G590" s="66"/>
      <c r="H590" s="66"/>
      <c r="I590" s="66"/>
      <c r="J590" s="66"/>
      <c r="K590" s="66"/>
      <c r="L590" s="66"/>
      <c r="M590" s="66" t="s">
        <v>542</v>
      </c>
      <c r="N590" s="159">
        <v>46203.0</v>
      </c>
      <c r="O590" s="66">
        <v>1.0</v>
      </c>
      <c r="P590" s="66"/>
      <c r="Q590" s="66"/>
      <c r="R590" s="66"/>
      <c r="S590" s="66"/>
      <c r="T590" s="66"/>
      <c r="U590" s="66"/>
      <c r="V590" s="66"/>
      <c r="W590" s="66"/>
      <c r="X590" s="66"/>
      <c r="Y590" s="66"/>
      <c r="Z590" s="66"/>
    </row>
    <row r="591">
      <c r="A591" s="66"/>
      <c r="B591" s="66"/>
      <c r="C591" s="66"/>
      <c r="D591" s="66"/>
      <c r="E591" s="66"/>
      <c r="F591" s="66"/>
      <c r="G591" s="66"/>
      <c r="H591" s="66"/>
      <c r="I591" s="66"/>
      <c r="J591" s="66"/>
      <c r="K591" s="66"/>
      <c r="L591" s="66"/>
      <c r="M591" s="66" t="s">
        <v>545</v>
      </c>
      <c r="N591" s="159">
        <v>46203.0</v>
      </c>
      <c r="O591" s="66">
        <v>1.0</v>
      </c>
      <c r="P591" s="66"/>
      <c r="Q591" s="66"/>
      <c r="R591" s="66"/>
      <c r="S591" s="66"/>
      <c r="T591" s="66"/>
      <c r="U591" s="66"/>
      <c r="V591" s="66"/>
      <c r="W591" s="66"/>
      <c r="X591" s="66"/>
      <c r="Y591" s="66"/>
      <c r="Z591" s="66"/>
    </row>
    <row r="592">
      <c r="A592" s="66"/>
      <c r="B592" s="66"/>
      <c r="C592" s="66"/>
      <c r="D592" s="66"/>
      <c r="E592" s="66"/>
      <c r="F592" s="66"/>
      <c r="G592" s="66"/>
      <c r="H592" s="66"/>
      <c r="I592" s="66"/>
      <c r="J592" s="66"/>
      <c r="K592" s="66"/>
      <c r="L592" s="66"/>
      <c r="M592" s="66" t="s">
        <v>543</v>
      </c>
      <c r="N592" s="159">
        <v>46203.0</v>
      </c>
      <c r="O592" s="66">
        <v>1.0</v>
      </c>
      <c r="P592" s="66"/>
      <c r="Q592" s="66"/>
      <c r="R592" s="66"/>
      <c r="S592" s="66"/>
      <c r="T592" s="66"/>
      <c r="U592" s="66"/>
      <c r="V592" s="66"/>
      <c r="W592" s="66"/>
      <c r="X592" s="66"/>
      <c r="Y592" s="66"/>
      <c r="Z592" s="66"/>
    </row>
    <row r="593">
      <c r="A593" s="66"/>
      <c r="B593" s="66"/>
      <c r="C593" s="66"/>
      <c r="D593" s="66"/>
      <c r="E593" s="66"/>
      <c r="F593" s="66"/>
      <c r="G593" s="66"/>
      <c r="H593" s="66"/>
      <c r="I593" s="66"/>
      <c r="J593" s="66"/>
      <c r="K593" s="66"/>
      <c r="L593" s="66"/>
      <c r="M593" s="66" t="s">
        <v>539</v>
      </c>
      <c r="N593" s="159">
        <v>46203.0</v>
      </c>
      <c r="O593" s="66">
        <v>1.0</v>
      </c>
      <c r="P593" s="66"/>
      <c r="Q593" s="66"/>
      <c r="R593" s="66"/>
      <c r="S593" s="66"/>
      <c r="T593" s="66"/>
      <c r="U593" s="66"/>
      <c r="V593" s="66"/>
      <c r="W593" s="66"/>
      <c r="X593" s="66"/>
      <c r="Y593" s="66"/>
      <c r="Z593" s="66"/>
    </row>
    <row r="594">
      <c r="A594" s="66"/>
      <c r="B594" s="66"/>
      <c r="C594" s="66"/>
      <c r="D594" s="66"/>
      <c r="E594" s="66"/>
      <c r="F594" s="66"/>
      <c r="G594" s="66"/>
      <c r="H594" s="66"/>
      <c r="I594" s="66"/>
      <c r="J594" s="66"/>
      <c r="K594" s="66"/>
      <c r="L594" s="66"/>
      <c r="M594" s="66" t="s">
        <v>544</v>
      </c>
      <c r="N594" s="159">
        <v>46203.0</v>
      </c>
      <c r="O594" s="66">
        <v>1.0</v>
      </c>
      <c r="P594" s="66"/>
      <c r="Q594" s="66"/>
      <c r="R594" s="66"/>
      <c r="S594" s="66"/>
      <c r="T594" s="66"/>
      <c r="U594" s="66"/>
      <c r="V594" s="66"/>
      <c r="W594" s="66"/>
      <c r="X594" s="66"/>
      <c r="Y594" s="66"/>
      <c r="Z594" s="66"/>
    </row>
    <row r="595">
      <c r="A595" s="66"/>
      <c r="B595" s="66"/>
      <c r="C595" s="66"/>
      <c r="D595" s="66"/>
      <c r="E595" s="66"/>
      <c r="F595" s="66"/>
      <c r="G595" s="66"/>
      <c r="H595" s="66"/>
      <c r="I595" s="66"/>
      <c r="J595" s="66"/>
      <c r="K595" s="66"/>
      <c r="L595" s="66"/>
      <c r="M595" s="66" t="s">
        <v>540</v>
      </c>
      <c r="N595" s="159">
        <v>46203.0</v>
      </c>
      <c r="O595" s="66">
        <v>1.0</v>
      </c>
      <c r="P595" s="66"/>
      <c r="Q595" s="66"/>
      <c r="R595" s="66"/>
      <c r="S595" s="66"/>
      <c r="T595" s="66"/>
      <c r="U595" s="66"/>
      <c r="V595" s="66"/>
      <c r="W595" s="66"/>
      <c r="X595" s="66"/>
      <c r="Y595" s="66"/>
      <c r="Z595" s="66"/>
    </row>
    <row r="596">
      <c r="A596" s="66"/>
      <c r="B596" s="66"/>
      <c r="C596" s="66"/>
      <c r="D596" s="66"/>
      <c r="E596" s="66"/>
      <c r="F596" s="66"/>
      <c r="G596" s="66"/>
      <c r="H596" s="66"/>
      <c r="I596" s="66"/>
      <c r="J596" s="66"/>
      <c r="K596" s="66"/>
      <c r="L596" s="66"/>
      <c r="M596" s="66" t="s">
        <v>546</v>
      </c>
      <c r="N596" s="159">
        <v>46203.0</v>
      </c>
      <c r="O596" s="66">
        <v>1.0</v>
      </c>
      <c r="P596" s="66"/>
      <c r="Q596" s="66"/>
      <c r="R596" s="66"/>
      <c r="S596" s="66"/>
      <c r="T596" s="66"/>
      <c r="U596" s="66"/>
      <c r="V596" s="66"/>
      <c r="W596" s="66"/>
      <c r="X596" s="66"/>
      <c r="Y596" s="66"/>
      <c r="Z596" s="66"/>
    </row>
    <row r="597">
      <c r="A597" s="66"/>
      <c r="B597" s="66"/>
      <c r="C597" s="66"/>
      <c r="D597" s="66"/>
      <c r="E597" s="66"/>
      <c r="F597" s="66"/>
      <c r="G597" s="66"/>
      <c r="H597" s="66"/>
      <c r="I597" s="66"/>
      <c r="J597" s="66"/>
      <c r="K597" s="66"/>
      <c r="L597" s="66"/>
      <c r="M597" s="66" t="s">
        <v>565</v>
      </c>
      <c r="N597" s="159">
        <v>46203.0</v>
      </c>
      <c r="O597" s="66">
        <v>1.0</v>
      </c>
      <c r="P597" s="66"/>
      <c r="Q597" s="66"/>
      <c r="R597" s="66"/>
      <c r="S597" s="66"/>
      <c r="T597" s="66"/>
      <c r="U597" s="66"/>
      <c r="V597" s="66"/>
      <c r="W597" s="66"/>
      <c r="X597" s="66"/>
      <c r="Y597" s="66"/>
      <c r="Z597" s="66"/>
    </row>
    <row r="598">
      <c r="A598" s="66"/>
      <c r="B598" s="66"/>
      <c r="C598" s="66"/>
      <c r="D598" s="66"/>
      <c r="E598" s="66"/>
      <c r="F598" s="66"/>
      <c r="G598" s="66"/>
      <c r="H598" s="66"/>
      <c r="I598" s="66"/>
      <c r="J598" s="66"/>
      <c r="K598" s="66"/>
      <c r="L598" s="66"/>
      <c r="M598" s="66" t="s">
        <v>559</v>
      </c>
      <c r="N598" s="159">
        <v>46203.0</v>
      </c>
      <c r="O598" s="66">
        <v>1.0</v>
      </c>
      <c r="P598" s="66"/>
      <c r="Q598" s="66"/>
      <c r="R598" s="66"/>
      <c r="S598" s="66"/>
      <c r="T598" s="66"/>
      <c r="U598" s="66"/>
      <c r="V598" s="66"/>
      <c r="W598" s="66"/>
      <c r="X598" s="66"/>
      <c r="Y598" s="66"/>
      <c r="Z598" s="66"/>
    </row>
    <row r="599">
      <c r="A599" s="66"/>
      <c r="B599" s="66"/>
      <c r="C599" s="66"/>
      <c r="D599" s="66"/>
      <c r="E599" s="66"/>
      <c r="F599" s="66"/>
      <c r="G599" s="66"/>
      <c r="H599" s="66"/>
      <c r="I599" s="66"/>
      <c r="J599" s="66"/>
      <c r="K599" s="66"/>
      <c r="L599" s="66"/>
      <c r="M599" s="66" t="s">
        <v>560</v>
      </c>
      <c r="N599" s="159">
        <v>46203.0</v>
      </c>
      <c r="O599" s="66">
        <v>1.0</v>
      </c>
      <c r="P599" s="66"/>
      <c r="Q599" s="66"/>
      <c r="R599" s="66"/>
      <c r="S599" s="66"/>
      <c r="T599" s="66"/>
      <c r="U599" s="66"/>
      <c r="V599" s="66"/>
      <c r="W599" s="66"/>
      <c r="X599" s="66"/>
      <c r="Y599" s="66"/>
      <c r="Z599" s="66"/>
    </row>
    <row r="600">
      <c r="A600" s="66"/>
      <c r="B600" s="66"/>
      <c r="C600" s="66"/>
      <c r="D600" s="66"/>
      <c r="E600" s="66"/>
      <c r="F600" s="66"/>
      <c r="G600" s="66"/>
      <c r="H600" s="66"/>
      <c r="I600" s="66"/>
      <c r="J600" s="66"/>
      <c r="K600" s="66"/>
      <c r="L600" s="66"/>
      <c r="M600" s="66" t="s">
        <v>558</v>
      </c>
      <c r="N600" s="159">
        <v>46203.0</v>
      </c>
      <c r="O600" s="66">
        <v>1.0</v>
      </c>
      <c r="P600" s="66"/>
      <c r="Q600" s="66"/>
      <c r="R600" s="66"/>
      <c r="S600" s="66"/>
      <c r="T600" s="66"/>
      <c r="U600" s="66"/>
      <c r="V600" s="66"/>
      <c r="W600" s="66"/>
      <c r="X600" s="66"/>
      <c r="Y600" s="66"/>
      <c r="Z600" s="66"/>
    </row>
    <row r="601">
      <c r="A601" s="66"/>
      <c r="B601" s="66"/>
      <c r="C601" s="66"/>
      <c r="D601" s="66"/>
      <c r="E601" s="66"/>
      <c r="F601" s="66"/>
      <c r="G601" s="66"/>
      <c r="H601" s="66"/>
      <c r="I601" s="66"/>
      <c r="J601" s="66"/>
      <c r="K601" s="66"/>
      <c r="L601" s="66"/>
      <c r="M601" s="66" t="s">
        <v>557</v>
      </c>
      <c r="N601" s="159">
        <v>46203.0</v>
      </c>
      <c r="O601" s="66">
        <v>1.0</v>
      </c>
      <c r="P601" s="66"/>
      <c r="Q601" s="66"/>
      <c r="R601" s="66"/>
      <c r="S601" s="66"/>
      <c r="T601" s="66"/>
      <c r="U601" s="66"/>
      <c r="V601" s="66"/>
      <c r="W601" s="66"/>
      <c r="X601" s="66"/>
      <c r="Y601" s="66"/>
      <c r="Z601" s="66"/>
    </row>
    <row r="602">
      <c r="A602" s="66"/>
      <c r="B602" s="66"/>
      <c r="C602" s="66"/>
      <c r="D602" s="66"/>
      <c r="E602" s="66"/>
      <c r="F602" s="66"/>
      <c r="G602" s="66"/>
      <c r="H602" s="66"/>
      <c r="I602" s="66"/>
      <c r="J602" s="66"/>
      <c r="K602" s="66"/>
      <c r="L602" s="66"/>
      <c r="M602" s="66" t="s">
        <v>561</v>
      </c>
      <c r="N602" s="159">
        <v>46203.0</v>
      </c>
      <c r="O602" s="66">
        <v>1.0</v>
      </c>
      <c r="P602" s="66"/>
      <c r="Q602" s="66"/>
      <c r="R602" s="66"/>
      <c r="S602" s="66"/>
      <c r="T602" s="66"/>
      <c r="U602" s="66"/>
      <c r="V602" s="66"/>
      <c r="W602" s="66"/>
      <c r="X602" s="66"/>
      <c r="Y602" s="66"/>
      <c r="Z602" s="66"/>
    </row>
    <row r="603">
      <c r="A603" s="66"/>
      <c r="B603" s="66"/>
      <c r="C603" s="66"/>
      <c r="D603" s="66"/>
      <c r="E603" s="66"/>
      <c r="F603" s="66"/>
      <c r="G603" s="66"/>
      <c r="H603" s="66"/>
      <c r="I603" s="66"/>
      <c r="J603" s="66"/>
      <c r="K603" s="66"/>
      <c r="L603" s="66"/>
      <c r="M603" s="66" t="s">
        <v>563</v>
      </c>
      <c r="N603" s="159">
        <v>46203.0</v>
      </c>
      <c r="O603" s="66">
        <v>1.0</v>
      </c>
      <c r="P603" s="66"/>
      <c r="Q603" s="66"/>
      <c r="R603" s="66"/>
      <c r="S603" s="66"/>
      <c r="T603" s="66"/>
      <c r="U603" s="66"/>
      <c r="V603" s="66"/>
      <c r="W603" s="66"/>
      <c r="X603" s="66"/>
      <c r="Y603" s="66"/>
      <c r="Z603" s="66"/>
    </row>
    <row r="604">
      <c r="A604" s="66"/>
      <c r="B604" s="66"/>
      <c r="C604" s="66"/>
      <c r="D604" s="66"/>
      <c r="E604" s="66"/>
      <c r="F604" s="66"/>
      <c r="G604" s="66"/>
      <c r="H604" s="66"/>
      <c r="I604" s="66"/>
      <c r="J604" s="66"/>
      <c r="K604" s="66"/>
      <c r="L604" s="66"/>
      <c r="M604" s="66" t="s">
        <v>552</v>
      </c>
      <c r="N604" s="159">
        <v>46203.0</v>
      </c>
      <c r="O604" s="66">
        <v>1.0</v>
      </c>
      <c r="P604" s="66"/>
      <c r="Q604" s="66"/>
      <c r="R604" s="66"/>
      <c r="S604" s="66"/>
      <c r="T604" s="66"/>
      <c r="U604" s="66"/>
      <c r="V604" s="66"/>
      <c r="W604" s="66"/>
      <c r="X604" s="66"/>
      <c r="Y604" s="66"/>
      <c r="Z604" s="66"/>
    </row>
    <row r="605">
      <c r="A605" s="66"/>
      <c r="B605" s="66"/>
      <c r="C605" s="66"/>
      <c r="D605" s="66"/>
      <c r="E605" s="66"/>
      <c r="F605" s="66"/>
      <c r="G605" s="66"/>
      <c r="H605" s="66"/>
      <c r="I605" s="66"/>
      <c r="J605" s="66"/>
      <c r="K605" s="66"/>
      <c r="L605" s="66"/>
      <c r="M605" s="66" t="s">
        <v>533</v>
      </c>
      <c r="N605" s="159">
        <v>46203.0</v>
      </c>
      <c r="O605" s="66">
        <v>1.0</v>
      </c>
      <c r="P605" s="66"/>
      <c r="Q605" s="66"/>
      <c r="R605" s="66"/>
      <c r="S605" s="66"/>
      <c r="T605" s="66"/>
      <c r="U605" s="66"/>
      <c r="V605" s="66"/>
      <c r="W605" s="66"/>
      <c r="X605" s="66"/>
      <c r="Y605" s="66"/>
      <c r="Z605" s="66"/>
    </row>
    <row r="606">
      <c r="A606" s="66"/>
      <c r="B606" s="66"/>
      <c r="C606" s="66"/>
      <c r="D606" s="66"/>
      <c r="E606" s="66"/>
      <c r="F606" s="66"/>
      <c r="G606" s="66"/>
      <c r="H606" s="66"/>
      <c r="I606" s="66"/>
      <c r="J606" s="66"/>
      <c r="K606" s="66"/>
      <c r="L606" s="66"/>
      <c r="M606" s="66" t="s">
        <v>566</v>
      </c>
      <c r="N606" s="159">
        <v>46203.0</v>
      </c>
      <c r="O606" s="66">
        <v>1.0</v>
      </c>
      <c r="P606" s="66"/>
      <c r="Q606" s="66"/>
      <c r="R606" s="66"/>
      <c r="S606" s="66"/>
      <c r="T606" s="66"/>
      <c r="U606" s="66"/>
      <c r="V606" s="66"/>
      <c r="W606" s="66"/>
      <c r="X606" s="66"/>
      <c r="Y606" s="66"/>
      <c r="Z606" s="66"/>
    </row>
    <row r="607">
      <c r="A607" s="66"/>
      <c r="B607" s="66"/>
      <c r="C607" s="66"/>
      <c r="D607" s="66"/>
      <c r="E607" s="66"/>
      <c r="F607" s="66"/>
      <c r="G607" s="66"/>
      <c r="H607" s="66"/>
      <c r="I607" s="66"/>
      <c r="J607" s="66"/>
      <c r="K607" s="66"/>
      <c r="L607" s="66"/>
      <c r="M607" s="66" t="s">
        <v>567</v>
      </c>
      <c r="N607" s="159">
        <v>46203.0</v>
      </c>
      <c r="O607" s="66">
        <v>1.0</v>
      </c>
      <c r="P607" s="66"/>
      <c r="Q607" s="66"/>
      <c r="R607" s="66"/>
      <c r="S607" s="66"/>
      <c r="T607" s="66"/>
      <c r="U607" s="66"/>
      <c r="V607" s="66"/>
      <c r="W607" s="66"/>
      <c r="X607" s="66"/>
      <c r="Y607" s="66"/>
      <c r="Z607" s="66"/>
    </row>
    <row r="608">
      <c r="A608" s="66"/>
      <c r="B608" s="66"/>
      <c r="C608" s="66"/>
      <c r="D608" s="66"/>
      <c r="E608" s="66"/>
      <c r="F608" s="66"/>
      <c r="G608" s="66"/>
      <c r="H608" s="66"/>
      <c r="I608" s="66"/>
      <c r="J608" s="66"/>
      <c r="K608" s="66"/>
      <c r="L608" s="66"/>
      <c r="M608" s="66" t="s">
        <v>562</v>
      </c>
      <c r="N608" s="159">
        <v>46203.0</v>
      </c>
      <c r="O608" s="66">
        <v>1.0</v>
      </c>
      <c r="P608" s="66"/>
      <c r="Q608" s="66"/>
      <c r="R608" s="66"/>
      <c r="S608" s="66"/>
      <c r="T608" s="66"/>
      <c r="U608" s="66"/>
      <c r="V608" s="66"/>
      <c r="W608" s="66"/>
      <c r="X608" s="66"/>
      <c r="Y608" s="66"/>
      <c r="Z608" s="66"/>
    </row>
    <row r="609">
      <c r="A609" s="66"/>
      <c r="B609" s="66"/>
      <c r="C609" s="66"/>
      <c r="D609" s="66"/>
      <c r="E609" s="66"/>
      <c r="F609" s="66"/>
      <c r="G609" s="66"/>
      <c r="H609" s="66"/>
      <c r="I609" s="66"/>
      <c r="J609" s="66"/>
      <c r="K609" s="66"/>
      <c r="L609" s="66"/>
      <c r="M609" s="66" t="s">
        <v>564</v>
      </c>
      <c r="N609" s="159">
        <v>46203.0</v>
      </c>
      <c r="O609" s="66">
        <v>1.0</v>
      </c>
      <c r="P609" s="66"/>
      <c r="Q609" s="66"/>
      <c r="R609" s="66"/>
      <c r="S609" s="66"/>
      <c r="T609" s="66"/>
      <c r="U609" s="66"/>
      <c r="V609" s="66"/>
      <c r="W609" s="66"/>
      <c r="X609" s="66"/>
      <c r="Y609" s="66"/>
      <c r="Z609" s="66"/>
    </row>
    <row r="610">
      <c r="A610" s="66"/>
      <c r="B610" s="66"/>
      <c r="C610" s="66"/>
      <c r="D610" s="66"/>
      <c r="E610" s="66"/>
      <c r="F610" s="66"/>
      <c r="G610" s="66"/>
      <c r="H610" s="66"/>
      <c r="I610" s="66"/>
      <c r="J610" s="66"/>
      <c r="K610" s="66"/>
      <c r="L610" s="66" t="s">
        <v>734</v>
      </c>
      <c r="M610" s="66"/>
      <c r="N610" s="66"/>
      <c r="O610" s="66">
        <v>35.0</v>
      </c>
      <c r="P610" s="66"/>
      <c r="Q610" s="66"/>
      <c r="R610" s="66"/>
      <c r="S610" s="66"/>
      <c r="T610" s="66"/>
      <c r="U610" s="66"/>
      <c r="V610" s="66"/>
      <c r="W610" s="66"/>
      <c r="X610" s="66"/>
      <c r="Y610" s="66"/>
      <c r="Z610" s="66"/>
    </row>
    <row r="611">
      <c r="A611" s="66"/>
      <c r="B611" s="66"/>
      <c r="C611" s="66"/>
      <c r="D611" s="66"/>
      <c r="E611" s="66"/>
      <c r="F611" s="66"/>
      <c r="G611" s="66"/>
      <c r="H611" s="66"/>
      <c r="I611" s="66"/>
      <c r="J611" s="66"/>
      <c r="K611" s="66" t="s">
        <v>568</v>
      </c>
      <c r="L611" s="158" t="s">
        <v>30</v>
      </c>
      <c r="M611" s="66" t="s">
        <v>663</v>
      </c>
      <c r="N611" s="158">
        <v>46218.0</v>
      </c>
      <c r="O611" s="66">
        <v>1.0</v>
      </c>
      <c r="P611" s="66"/>
      <c r="Q611" s="66"/>
      <c r="R611" s="66"/>
      <c r="S611" s="66"/>
      <c r="T611" s="66"/>
      <c r="U611" s="66"/>
      <c r="V611" s="66"/>
      <c r="W611" s="66"/>
      <c r="X611" s="66"/>
      <c r="Y611" s="66"/>
      <c r="Z611" s="66"/>
    </row>
    <row r="612">
      <c r="A612" s="66"/>
      <c r="B612" s="66"/>
      <c r="C612" s="66"/>
      <c r="D612" s="66"/>
      <c r="E612" s="66"/>
      <c r="F612" s="66"/>
      <c r="G612" s="66"/>
      <c r="H612" s="66"/>
      <c r="I612" s="66"/>
      <c r="J612" s="66"/>
      <c r="K612" s="66"/>
      <c r="L612" s="66"/>
      <c r="M612" s="66" t="s">
        <v>662</v>
      </c>
      <c r="N612" s="158">
        <v>46218.0</v>
      </c>
      <c r="O612" s="66">
        <v>1.0</v>
      </c>
      <c r="P612" s="66"/>
      <c r="Q612" s="66"/>
      <c r="R612" s="66"/>
      <c r="S612" s="66"/>
      <c r="T612" s="66"/>
      <c r="U612" s="66"/>
      <c r="V612" s="66"/>
      <c r="W612" s="66"/>
      <c r="X612" s="66"/>
      <c r="Y612" s="66"/>
      <c r="Z612" s="66"/>
    </row>
    <row r="613">
      <c r="A613" s="66"/>
      <c r="B613" s="66"/>
      <c r="C613" s="66"/>
      <c r="D613" s="66"/>
      <c r="E613" s="66"/>
      <c r="F613" s="66"/>
      <c r="G613" s="66"/>
      <c r="H613" s="66"/>
      <c r="I613" s="66"/>
      <c r="J613" s="66"/>
      <c r="K613" s="66"/>
      <c r="L613" s="66"/>
      <c r="M613" s="66" t="s">
        <v>661</v>
      </c>
      <c r="N613" s="158">
        <v>46218.0</v>
      </c>
      <c r="O613" s="66">
        <v>1.0</v>
      </c>
      <c r="P613" s="66"/>
      <c r="Q613" s="66"/>
      <c r="R613" s="66"/>
      <c r="S613" s="66"/>
      <c r="T613" s="66"/>
      <c r="U613" s="66"/>
      <c r="V613" s="66"/>
      <c r="W613" s="66"/>
      <c r="X613" s="66"/>
      <c r="Y613" s="66"/>
      <c r="Z613" s="66"/>
    </row>
    <row r="614">
      <c r="A614" s="66"/>
      <c r="B614" s="66"/>
      <c r="C614" s="66"/>
      <c r="D614" s="66"/>
      <c r="E614" s="66"/>
      <c r="F614" s="66"/>
      <c r="G614" s="66"/>
      <c r="H614" s="66"/>
      <c r="I614" s="66"/>
      <c r="J614" s="66"/>
      <c r="K614" s="66"/>
      <c r="L614" s="66"/>
      <c r="M614" s="66" t="s">
        <v>574</v>
      </c>
      <c r="N614" s="158">
        <v>46218.0</v>
      </c>
      <c r="O614" s="66">
        <v>1.0</v>
      </c>
      <c r="P614" s="66"/>
      <c r="Q614" s="66"/>
      <c r="R614" s="66"/>
      <c r="S614" s="66"/>
      <c r="T614" s="66"/>
      <c r="U614" s="66"/>
      <c r="V614" s="66"/>
      <c r="W614" s="66"/>
      <c r="X614" s="66"/>
      <c r="Y614" s="66"/>
      <c r="Z614" s="66"/>
    </row>
    <row r="615">
      <c r="A615" s="66"/>
      <c r="B615" s="66"/>
      <c r="C615" s="66"/>
      <c r="D615" s="66"/>
      <c r="E615" s="66"/>
      <c r="F615" s="66"/>
      <c r="G615" s="66"/>
      <c r="H615" s="66"/>
      <c r="I615" s="66"/>
      <c r="J615" s="66"/>
      <c r="K615" s="66"/>
      <c r="L615" s="66"/>
      <c r="M615" s="66" t="s">
        <v>614</v>
      </c>
      <c r="N615" s="158">
        <v>46218.0</v>
      </c>
      <c r="O615" s="66">
        <v>1.0</v>
      </c>
      <c r="P615" s="66"/>
      <c r="Q615" s="66"/>
      <c r="R615" s="66"/>
      <c r="S615" s="66"/>
      <c r="T615" s="66"/>
      <c r="U615" s="66"/>
      <c r="V615" s="66"/>
      <c r="W615" s="66"/>
      <c r="X615" s="66"/>
      <c r="Y615" s="66"/>
      <c r="Z615" s="66"/>
    </row>
    <row r="616">
      <c r="A616" s="66"/>
      <c r="B616" s="66"/>
      <c r="C616" s="66"/>
      <c r="D616" s="66"/>
      <c r="E616" s="66"/>
      <c r="F616" s="66"/>
      <c r="G616" s="66"/>
      <c r="H616" s="66"/>
      <c r="I616" s="66"/>
      <c r="J616" s="66"/>
      <c r="K616" s="66"/>
      <c r="L616" s="66"/>
      <c r="M616" s="66" t="s">
        <v>633</v>
      </c>
      <c r="N616" s="158">
        <v>46218.0</v>
      </c>
      <c r="O616" s="66">
        <v>1.0</v>
      </c>
      <c r="P616" s="66"/>
      <c r="Q616" s="66"/>
      <c r="R616" s="66"/>
      <c r="S616" s="66"/>
      <c r="T616" s="66"/>
      <c r="U616" s="66"/>
      <c r="V616" s="66"/>
      <c r="W616" s="66"/>
      <c r="X616" s="66"/>
      <c r="Y616" s="66"/>
      <c r="Z616" s="66"/>
    </row>
    <row r="617">
      <c r="A617" s="66"/>
      <c r="B617" s="66"/>
      <c r="C617" s="66"/>
      <c r="D617" s="66"/>
      <c r="E617" s="66"/>
      <c r="F617" s="66"/>
      <c r="G617" s="66"/>
      <c r="H617" s="66"/>
      <c r="I617" s="66"/>
      <c r="J617" s="66"/>
      <c r="K617" s="66"/>
      <c r="L617" s="66"/>
      <c r="M617" s="66" t="s">
        <v>641</v>
      </c>
      <c r="N617" s="158">
        <v>46218.0</v>
      </c>
      <c r="O617" s="66">
        <v>1.0</v>
      </c>
      <c r="P617" s="66"/>
      <c r="Q617" s="66"/>
      <c r="R617" s="66"/>
      <c r="S617" s="66"/>
      <c r="T617" s="66"/>
      <c r="U617" s="66"/>
      <c r="V617" s="66"/>
      <c r="W617" s="66"/>
      <c r="X617" s="66"/>
      <c r="Y617" s="66"/>
      <c r="Z617" s="66"/>
    </row>
    <row r="618">
      <c r="A618" s="66"/>
      <c r="B618" s="66"/>
      <c r="C618" s="66"/>
      <c r="D618" s="66"/>
      <c r="E618" s="66"/>
      <c r="F618" s="66"/>
      <c r="G618" s="66"/>
      <c r="H618" s="66"/>
      <c r="I618" s="66"/>
      <c r="J618" s="66"/>
      <c r="K618" s="66"/>
      <c r="L618" s="66"/>
      <c r="M618" s="66" t="s">
        <v>629</v>
      </c>
      <c r="N618" s="158">
        <v>46218.0</v>
      </c>
      <c r="O618" s="66">
        <v>1.0</v>
      </c>
      <c r="P618" s="66"/>
      <c r="Q618" s="66"/>
      <c r="R618" s="66"/>
      <c r="S618" s="66"/>
      <c r="T618" s="66"/>
      <c r="U618" s="66"/>
      <c r="V618" s="66"/>
      <c r="W618" s="66"/>
      <c r="X618" s="66"/>
      <c r="Y618" s="66"/>
      <c r="Z618" s="66"/>
    </row>
    <row r="619">
      <c r="A619" s="66"/>
      <c r="B619" s="66"/>
      <c r="C619" s="66"/>
      <c r="D619" s="66"/>
      <c r="E619" s="66"/>
      <c r="F619" s="66"/>
      <c r="G619" s="66"/>
      <c r="H619" s="66"/>
      <c r="I619" s="66"/>
      <c r="J619" s="66"/>
      <c r="K619" s="66"/>
      <c r="L619" s="66"/>
      <c r="M619" s="66" t="s">
        <v>631</v>
      </c>
      <c r="N619" s="158">
        <v>46218.0</v>
      </c>
      <c r="O619" s="66">
        <v>1.0</v>
      </c>
      <c r="P619" s="66"/>
      <c r="Q619" s="66"/>
      <c r="R619" s="66"/>
      <c r="S619" s="66"/>
      <c r="T619" s="66"/>
      <c r="U619" s="66"/>
      <c r="V619" s="66"/>
      <c r="W619" s="66"/>
      <c r="X619" s="66"/>
      <c r="Y619" s="66"/>
      <c r="Z619" s="66"/>
    </row>
    <row r="620">
      <c r="A620" s="66"/>
      <c r="B620" s="66"/>
      <c r="C620" s="66"/>
      <c r="D620" s="66"/>
      <c r="E620" s="66"/>
      <c r="F620" s="66"/>
      <c r="G620" s="66"/>
      <c r="H620" s="66"/>
      <c r="I620" s="66"/>
      <c r="J620" s="66"/>
      <c r="K620" s="66"/>
      <c r="L620" s="66"/>
      <c r="M620" s="66" t="s">
        <v>643</v>
      </c>
      <c r="N620" s="158">
        <v>46218.0</v>
      </c>
      <c r="O620" s="66">
        <v>1.0</v>
      </c>
      <c r="P620" s="66"/>
      <c r="Q620" s="66"/>
      <c r="R620" s="66"/>
      <c r="S620" s="66"/>
      <c r="T620" s="66"/>
      <c r="U620" s="66"/>
      <c r="V620" s="66"/>
      <c r="W620" s="66"/>
      <c r="X620" s="66"/>
      <c r="Y620" s="66"/>
      <c r="Z620" s="66"/>
    </row>
    <row r="621">
      <c r="A621" s="66"/>
      <c r="B621" s="66"/>
      <c r="C621" s="66"/>
      <c r="D621" s="66"/>
      <c r="E621" s="66"/>
      <c r="F621" s="66"/>
      <c r="G621" s="66"/>
      <c r="H621" s="66"/>
      <c r="I621" s="66"/>
      <c r="J621" s="66"/>
      <c r="K621" s="66"/>
      <c r="L621" s="66"/>
      <c r="M621" s="66" t="s">
        <v>635</v>
      </c>
      <c r="N621" s="158">
        <v>46218.0</v>
      </c>
      <c r="O621" s="66">
        <v>1.0</v>
      </c>
      <c r="P621" s="66"/>
      <c r="Q621" s="66"/>
      <c r="R621" s="66"/>
      <c r="S621" s="66"/>
      <c r="T621" s="66"/>
      <c r="U621" s="66"/>
      <c r="V621" s="66"/>
      <c r="W621" s="66"/>
      <c r="X621" s="66"/>
      <c r="Y621" s="66"/>
      <c r="Z621" s="66"/>
    </row>
    <row r="622">
      <c r="A622" s="66"/>
      <c r="B622" s="66"/>
      <c r="C622" s="66"/>
      <c r="D622" s="66"/>
      <c r="E622" s="66"/>
      <c r="F622" s="66"/>
      <c r="G622" s="66"/>
      <c r="H622" s="66"/>
      <c r="I622" s="66"/>
      <c r="J622" s="66"/>
      <c r="K622" s="66"/>
      <c r="L622" s="66"/>
      <c r="M622" s="66" t="s">
        <v>639</v>
      </c>
      <c r="N622" s="158">
        <v>46218.0</v>
      </c>
      <c r="O622" s="66">
        <v>1.0</v>
      </c>
      <c r="P622" s="66"/>
      <c r="Q622" s="66"/>
      <c r="R622" s="66"/>
      <c r="S622" s="66"/>
      <c r="T622" s="66"/>
      <c r="U622" s="66"/>
      <c r="V622" s="66"/>
      <c r="W622" s="66"/>
      <c r="X622" s="66"/>
      <c r="Y622" s="66"/>
      <c r="Z622" s="66"/>
    </row>
    <row r="623">
      <c r="A623" s="66"/>
      <c r="B623" s="66"/>
      <c r="C623" s="66"/>
      <c r="D623" s="66"/>
      <c r="E623" s="66"/>
      <c r="F623" s="66"/>
      <c r="G623" s="66"/>
      <c r="H623" s="66"/>
      <c r="I623" s="66"/>
      <c r="J623" s="66"/>
      <c r="K623" s="66"/>
      <c r="L623" s="66"/>
      <c r="M623" s="66" t="s">
        <v>627</v>
      </c>
      <c r="N623" s="158">
        <v>46218.0</v>
      </c>
      <c r="O623" s="66">
        <v>1.0</v>
      </c>
      <c r="P623" s="66"/>
      <c r="Q623" s="66"/>
      <c r="R623" s="66"/>
      <c r="S623" s="66"/>
      <c r="T623" s="66"/>
      <c r="U623" s="66"/>
      <c r="V623" s="66"/>
      <c r="W623" s="66"/>
      <c r="X623" s="66"/>
      <c r="Y623" s="66"/>
      <c r="Z623" s="66"/>
    </row>
    <row r="624">
      <c r="A624" s="66"/>
      <c r="B624" s="66"/>
      <c r="C624" s="66"/>
      <c r="D624" s="66"/>
      <c r="E624" s="66"/>
      <c r="F624" s="66"/>
      <c r="G624" s="66"/>
      <c r="H624" s="66"/>
      <c r="I624" s="66"/>
      <c r="J624" s="66"/>
      <c r="K624" s="66"/>
      <c r="L624" s="66"/>
      <c r="M624" s="66" t="s">
        <v>660</v>
      </c>
      <c r="N624" s="158">
        <v>46218.0</v>
      </c>
      <c r="O624" s="66">
        <v>1.0</v>
      </c>
      <c r="P624" s="66"/>
      <c r="Q624" s="66"/>
      <c r="R624" s="66"/>
      <c r="S624" s="66"/>
      <c r="T624" s="66"/>
      <c r="U624" s="66"/>
      <c r="V624" s="66"/>
      <c r="W624" s="66"/>
      <c r="X624" s="66"/>
      <c r="Y624" s="66"/>
      <c r="Z624" s="66"/>
    </row>
    <row r="625">
      <c r="A625" s="66"/>
      <c r="B625" s="66"/>
      <c r="C625" s="66"/>
      <c r="D625" s="66"/>
      <c r="E625" s="66"/>
      <c r="F625" s="66"/>
      <c r="G625" s="66"/>
      <c r="H625" s="66"/>
      <c r="I625" s="66"/>
      <c r="J625" s="66"/>
      <c r="K625" s="66"/>
      <c r="L625" s="66"/>
      <c r="M625" s="66" t="s">
        <v>659</v>
      </c>
      <c r="N625" s="158">
        <v>46218.0</v>
      </c>
      <c r="O625" s="66">
        <v>1.0</v>
      </c>
      <c r="P625" s="66"/>
      <c r="Q625" s="66"/>
      <c r="R625" s="66"/>
      <c r="S625" s="66"/>
      <c r="T625" s="66"/>
      <c r="U625" s="66"/>
      <c r="V625" s="66"/>
      <c r="W625" s="66"/>
      <c r="X625" s="66"/>
      <c r="Y625" s="66"/>
      <c r="Z625" s="66"/>
    </row>
    <row r="626">
      <c r="A626" s="66"/>
      <c r="B626" s="66"/>
      <c r="C626" s="66"/>
      <c r="D626" s="66"/>
      <c r="E626" s="66"/>
      <c r="F626" s="66"/>
      <c r="G626" s="66"/>
      <c r="H626" s="66"/>
      <c r="I626" s="66"/>
      <c r="J626" s="66"/>
      <c r="K626" s="66"/>
      <c r="L626" s="66"/>
      <c r="M626" s="66" t="s">
        <v>575</v>
      </c>
      <c r="N626" s="158">
        <v>46218.0</v>
      </c>
      <c r="O626" s="66">
        <v>1.0</v>
      </c>
      <c r="P626" s="66"/>
      <c r="Q626" s="66"/>
      <c r="R626" s="66"/>
      <c r="S626" s="66"/>
      <c r="T626" s="66"/>
      <c r="U626" s="66"/>
      <c r="V626" s="66"/>
      <c r="W626" s="66"/>
      <c r="X626" s="66"/>
      <c r="Y626" s="66"/>
      <c r="Z626" s="66"/>
    </row>
    <row r="627">
      <c r="A627" s="66"/>
      <c r="B627" s="66"/>
      <c r="C627" s="66"/>
      <c r="D627" s="66"/>
      <c r="E627" s="66"/>
      <c r="F627" s="66"/>
      <c r="G627" s="66"/>
      <c r="H627" s="66"/>
      <c r="I627" s="66"/>
      <c r="J627" s="66"/>
      <c r="K627" s="66"/>
      <c r="L627" s="66"/>
      <c r="M627" s="66" t="s">
        <v>577</v>
      </c>
      <c r="N627" s="158">
        <v>46218.0</v>
      </c>
      <c r="O627" s="66">
        <v>1.0</v>
      </c>
      <c r="P627" s="66"/>
      <c r="Q627" s="66"/>
      <c r="R627" s="66"/>
      <c r="S627" s="66"/>
      <c r="T627" s="66"/>
      <c r="U627" s="66"/>
      <c r="V627" s="66"/>
      <c r="W627" s="66"/>
      <c r="X627" s="66"/>
      <c r="Y627" s="66"/>
      <c r="Z627" s="66"/>
    </row>
    <row r="628">
      <c r="A628" s="66"/>
      <c r="B628" s="66"/>
      <c r="C628" s="66"/>
      <c r="D628" s="66"/>
      <c r="E628" s="66"/>
      <c r="F628" s="66"/>
      <c r="G628" s="66"/>
      <c r="H628" s="66"/>
      <c r="I628" s="66"/>
      <c r="J628" s="66"/>
      <c r="K628" s="66"/>
      <c r="L628" s="66"/>
      <c r="M628" s="66" t="s">
        <v>576</v>
      </c>
      <c r="N628" s="158">
        <v>46218.0</v>
      </c>
      <c r="O628" s="66">
        <v>1.0</v>
      </c>
      <c r="P628" s="66"/>
      <c r="Q628" s="66"/>
      <c r="R628" s="66"/>
      <c r="S628" s="66"/>
      <c r="T628" s="66"/>
      <c r="U628" s="66"/>
      <c r="V628" s="66"/>
      <c r="W628" s="66"/>
      <c r="X628" s="66"/>
      <c r="Y628" s="66"/>
      <c r="Z628" s="66"/>
    </row>
    <row r="629">
      <c r="A629" s="66"/>
      <c r="B629" s="66"/>
      <c r="C629" s="66"/>
      <c r="D629" s="66"/>
      <c r="E629" s="66"/>
      <c r="F629" s="66"/>
      <c r="G629" s="66"/>
      <c r="H629" s="66"/>
      <c r="I629" s="66"/>
      <c r="J629" s="66"/>
      <c r="K629" s="66"/>
      <c r="L629" s="66"/>
      <c r="M629" s="66" t="s">
        <v>623</v>
      </c>
      <c r="N629" s="158">
        <v>46218.0</v>
      </c>
      <c r="O629" s="66">
        <v>1.0</v>
      </c>
      <c r="P629" s="66"/>
      <c r="Q629" s="66"/>
      <c r="R629" s="66"/>
      <c r="S629" s="66"/>
      <c r="T629" s="66"/>
      <c r="U629" s="66"/>
      <c r="V629" s="66"/>
      <c r="W629" s="66"/>
      <c r="X629" s="66"/>
      <c r="Y629" s="66"/>
      <c r="Z629" s="66"/>
    </row>
    <row r="630">
      <c r="A630" s="66"/>
      <c r="B630" s="66"/>
      <c r="C630" s="66"/>
      <c r="D630" s="66"/>
      <c r="E630" s="66"/>
      <c r="F630" s="66"/>
      <c r="G630" s="66"/>
      <c r="H630" s="66"/>
      <c r="I630" s="66"/>
      <c r="J630" s="66"/>
      <c r="K630" s="66"/>
      <c r="L630" s="66"/>
      <c r="M630" s="66" t="s">
        <v>619</v>
      </c>
      <c r="N630" s="158">
        <v>46218.0</v>
      </c>
      <c r="O630" s="66">
        <v>1.0</v>
      </c>
      <c r="P630" s="66"/>
      <c r="Q630" s="66"/>
      <c r="R630" s="66"/>
      <c r="S630" s="66"/>
      <c r="T630" s="66"/>
      <c r="U630" s="66"/>
      <c r="V630" s="66"/>
      <c r="W630" s="66"/>
      <c r="X630" s="66"/>
      <c r="Y630" s="66"/>
      <c r="Z630" s="66"/>
    </row>
    <row r="631">
      <c r="A631" s="66"/>
      <c r="B631" s="66"/>
      <c r="C631" s="66"/>
      <c r="D631" s="66"/>
      <c r="E631" s="66"/>
      <c r="F631" s="66"/>
      <c r="G631" s="66"/>
      <c r="H631" s="66"/>
      <c r="I631" s="66"/>
      <c r="J631" s="66"/>
      <c r="K631" s="66"/>
      <c r="L631" s="66"/>
      <c r="M631" s="66" t="s">
        <v>637</v>
      </c>
      <c r="N631" s="158">
        <v>46218.0</v>
      </c>
      <c r="O631" s="66">
        <v>1.0</v>
      </c>
      <c r="P631" s="66"/>
      <c r="Q631" s="66"/>
      <c r="R631" s="66"/>
      <c r="S631" s="66"/>
      <c r="T631" s="66"/>
      <c r="U631" s="66"/>
      <c r="V631" s="66"/>
      <c r="W631" s="66"/>
      <c r="X631" s="66"/>
      <c r="Y631" s="66"/>
      <c r="Z631" s="66"/>
    </row>
    <row r="632">
      <c r="A632" s="66"/>
      <c r="B632" s="66"/>
      <c r="C632" s="66"/>
      <c r="D632" s="66"/>
      <c r="E632" s="66"/>
      <c r="F632" s="66"/>
      <c r="G632" s="66"/>
      <c r="H632" s="66"/>
      <c r="I632" s="66"/>
      <c r="J632" s="66"/>
      <c r="K632" s="66"/>
      <c r="L632" s="66"/>
      <c r="M632" s="66" t="s">
        <v>624</v>
      </c>
      <c r="N632" s="158">
        <v>46218.0</v>
      </c>
      <c r="O632" s="66">
        <v>1.0</v>
      </c>
      <c r="P632" s="66"/>
      <c r="Q632" s="66"/>
      <c r="R632" s="66"/>
      <c r="S632" s="66"/>
      <c r="T632" s="66"/>
      <c r="U632" s="66"/>
      <c r="V632" s="66"/>
      <c r="W632" s="66"/>
      <c r="X632" s="66"/>
      <c r="Y632" s="66"/>
      <c r="Z632" s="66"/>
    </row>
    <row r="633">
      <c r="A633" s="66"/>
      <c r="B633" s="66"/>
      <c r="C633" s="66"/>
      <c r="D633" s="66"/>
      <c r="E633" s="66"/>
      <c r="F633" s="66"/>
      <c r="G633" s="66"/>
      <c r="H633" s="66"/>
      <c r="I633" s="66"/>
      <c r="J633" s="66"/>
      <c r="K633" s="66"/>
      <c r="L633" s="66"/>
      <c r="M633" s="66" t="s">
        <v>621</v>
      </c>
      <c r="N633" s="158">
        <v>46218.0</v>
      </c>
      <c r="O633" s="66">
        <v>1.0</v>
      </c>
      <c r="P633" s="66"/>
      <c r="Q633" s="66"/>
      <c r="R633" s="66"/>
      <c r="S633" s="66"/>
      <c r="T633" s="66"/>
      <c r="U633" s="66"/>
      <c r="V633" s="66"/>
      <c r="W633" s="66"/>
      <c r="X633" s="66"/>
      <c r="Y633" s="66"/>
      <c r="Z633" s="66"/>
    </row>
    <row r="634">
      <c r="A634" s="66"/>
      <c r="B634" s="66"/>
      <c r="C634" s="66"/>
      <c r="D634" s="66"/>
      <c r="E634" s="66"/>
      <c r="F634" s="66"/>
      <c r="G634" s="66"/>
      <c r="H634" s="66"/>
      <c r="I634" s="66"/>
      <c r="J634" s="66"/>
      <c r="K634" s="66"/>
      <c r="L634" s="66"/>
      <c r="M634" s="66" t="s">
        <v>652</v>
      </c>
      <c r="N634" s="158">
        <v>46218.0</v>
      </c>
      <c r="O634" s="66">
        <v>1.0</v>
      </c>
      <c r="P634" s="66"/>
      <c r="Q634" s="66"/>
      <c r="R634" s="66"/>
      <c r="S634" s="66"/>
      <c r="T634" s="66"/>
      <c r="U634" s="66"/>
      <c r="V634" s="66"/>
      <c r="W634" s="66"/>
      <c r="X634" s="66"/>
      <c r="Y634" s="66"/>
      <c r="Z634" s="66"/>
    </row>
    <row r="635">
      <c r="A635" s="66"/>
      <c r="B635" s="66"/>
      <c r="C635" s="66"/>
      <c r="D635" s="66"/>
      <c r="E635" s="66"/>
      <c r="F635" s="66"/>
      <c r="G635" s="66"/>
      <c r="H635" s="66"/>
      <c r="I635" s="66"/>
      <c r="J635" s="66"/>
      <c r="K635" s="66"/>
      <c r="L635" s="66"/>
      <c r="M635" s="66" t="s">
        <v>648</v>
      </c>
      <c r="N635" s="158">
        <v>46218.0</v>
      </c>
      <c r="O635" s="66">
        <v>1.0</v>
      </c>
      <c r="P635" s="66"/>
      <c r="Q635" s="66"/>
      <c r="R635" s="66"/>
      <c r="S635" s="66"/>
      <c r="T635" s="66"/>
      <c r="U635" s="66"/>
      <c r="V635" s="66"/>
      <c r="W635" s="66"/>
      <c r="X635" s="66"/>
      <c r="Y635" s="66"/>
      <c r="Z635" s="66"/>
    </row>
    <row r="636">
      <c r="A636" s="66"/>
      <c r="B636" s="66"/>
      <c r="C636" s="66"/>
      <c r="D636" s="66"/>
      <c r="E636" s="66"/>
      <c r="F636" s="66"/>
      <c r="G636" s="66"/>
      <c r="H636" s="66"/>
      <c r="I636" s="66"/>
      <c r="J636" s="66"/>
      <c r="K636" s="66"/>
      <c r="L636" s="66"/>
      <c r="M636" s="66" t="s">
        <v>656</v>
      </c>
      <c r="N636" s="158">
        <v>46218.0</v>
      </c>
      <c r="O636" s="66">
        <v>1.0</v>
      </c>
      <c r="P636" s="66"/>
      <c r="Q636" s="66"/>
      <c r="R636" s="66"/>
      <c r="S636" s="66"/>
      <c r="T636" s="66"/>
      <c r="U636" s="66"/>
      <c r="V636" s="66"/>
      <c r="W636" s="66"/>
      <c r="X636" s="66"/>
      <c r="Y636" s="66"/>
      <c r="Z636" s="66"/>
    </row>
    <row r="637">
      <c r="A637" s="66"/>
      <c r="B637" s="66"/>
      <c r="C637" s="66"/>
      <c r="D637" s="66"/>
      <c r="E637" s="66"/>
      <c r="F637" s="66"/>
      <c r="G637" s="66"/>
      <c r="H637" s="66"/>
      <c r="I637" s="66"/>
      <c r="J637" s="66"/>
      <c r="K637" s="66"/>
      <c r="L637" s="66"/>
      <c r="M637" s="66" t="s">
        <v>654</v>
      </c>
      <c r="N637" s="158">
        <v>46218.0</v>
      </c>
      <c r="O637" s="66">
        <v>1.0</v>
      </c>
      <c r="P637" s="66"/>
      <c r="Q637" s="66"/>
      <c r="R637" s="66"/>
      <c r="S637" s="66"/>
      <c r="T637" s="66"/>
      <c r="U637" s="66"/>
      <c r="V637" s="66"/>
      <c r="W637" s="66"/>
      <c r="X637" s="66"/>
      <c r="Y637" s="66"/>
      <c r="Z637" s="66"/>
    </row>
    <row r="638">
      <c r="A638" s="66"/>
      <c r="B638" s="66"/>
      <c r="C638" s="66"/>
      <c r="D638" s="66"/>
      <c r="E638" s="66"/>
      <c r="F638" s="66"/>
      <c r="G638" s="66"/>
      <c r="H638" s="66"/>
      <c r="I638" s="66"/>
      <c r="J638" s="66"/>
      <c r="K638" s="66"/>
      <c r="L638" s="66"/>
      <c r="M638" s="66" t="s">
        <v>650</v>
      </c>
      <c r="N638" s="158">
        <v>46218.0</v>
      </c>
      <c r="O638" s="66">
        <v>1.0</v>
      </c>
      <c r="P638" s="66"/>
      <c r="Q638" s="66"/>
      <c r="R638" s="66"/>
      <c r="S638" s="66"/>
      <c r="T638" s="66"/>
      <c r="U638" s="66"/>
      <c r="V638" s="66"/>
      <c r="W638" s="66"/>
      <c r="X638" s="66"/>
      <c r="Y638" s="66"/>
      <c r="Z638" s="66"/>
    </row>
    <row r="639">
      <c r="A639" s="66"/>
      <c r="B639" s="66"/>
      <c r="C639" s="66"/>
      <c r="D639" s="66"/>
      <c r="E639" s="66"/>
      <c r="F639" s="66"/>
      <c r="G639" s="66"/>
      <c r="H639" s="66"/>
      <c r="I639" s="66"/>
      <c r="J639" s="66"/>
      <c r="K639" s="66"/>
      <c r="L639" s="66"/>
      <c r="M639" s="66" t="s">
        <v>646</v>
      </c>
      <c r="N639" s="158">
        <v>46218.0</v>
      </c>
      <c r="O639" s="66">
        <v>1.0</v>
      </c>
      <c r="P639" s="66"/>
      <c r="Q639" s="66"/>
      <c r="R639" s="66"/>
      <c r="S639" s="66"/>
      <c r="T639" s="66"/>
      <c r="U639" s="66"/>
      <c r="V639" s="66"/>
      <c r="W639" s="66"/>
      <c r="X639" s="66"/>
      <c r="Y639" s="66"/>
      <c r="Z639" s="66"/>
    </row>
    <row r="640">
      <c r="A640" s="66"/>
      <c r="B640" s="66"/>
      <c r="C640" s="66"/>
      <c r="D640" s="66"/>
      <c r="E640" s="66"/>
      <c r="F640" s="66"/>
      <c r="G640" s="66"/>
      <c r="H640" s="66"/>
      <c r="I640" s="66"/>
      <c r="J640" s="66"/>
      <c r="K640" s="66"/>
      <c r="L640" s="66"/>
      <c r="M640" s="66" t="s">
        <v>658</v>
      </c>
      <c r="N640" s="158">
        <v>46218.0</v>
      </c>
      <c r="O640" s="66">
        <v>1.0</v>
      </c>
      <c r="P640" s="66"/>
      <c r="Q640" s="66"/>
      <c r="R640" s="66"/>
      <c r="S640" s="66"/>
      <c r="T640" s="66"/>
      <c r="U640" s="66"/>
      <c r="V640" s="66"/>
      <c r="W640" s="66"/>
      <c r="X640" s="66"/>
      <c r="Y640" s="66"/>
      <c r="Z640" s="66"/>
    </row>
    <row r="641">
      <c r="A641" s="66"/>
      <c r="B641" s="66"/>
      <c r="C641" s="66"/>
      <c r="D641" s="66"/>
      <c r="E641" s="66"/>
      <c r="F641" s="66"/>
      <c r="G641" s="66"/>
      <c r="H641" s="66"/>
      <c r="I641" s="66"/>
      <c r="J641" s="66"/>
      <c r="K641" s="66"/>
      <c r="L641" s="66"/>
      <c r="M641" s="66" t="s">
        <v>620</v>
      </c>
      <c r="N641" s="158">
        <v>46218.0</v>
      </c>
      <c r="O641" s="66">
        <v>1.0</v>
      </c>
      <c r="P641" s="66"/>
      <c r="Q641" s="66"/>
      <c r="R641" s="66"/>
      <c r="S641" s="66"/>
      <c r="T641" s="66"/>
      <c r="U641" s="66"/>
      <c r="V641" s="66"/>
      <c r="W641" s="66"/>
      <c r="X641" s="66"/>
      <c r="Y641" s="66"/>
      <c r="Z641" s="66"/>
    </row>
    <row r="642">
      <c r="A642" s="66"/>
      <c r="B642" s="66"/>
      <c r="C642" s="66"/>
      <c r="D642" s="66"/>
      <c r="E642" s="66"/>
      <c r="F642" s="66"/>
      <c r="G642" s="66"/>
      <c r="H642" s="66"/>
      <c r="I642" s="66"/>
      <c r="J642" s="66"/>
      <c r="K642" s="66"/>
      <c r="L642" s="66"/>
      <c r="M642" s="66" t="s">
        <v>616</v>
      </c>
      <c r="N642" s="158">
        <v>46218.0</v>
      </c>
      <c r="O642" s="66">
        <v>1.0</v>
      </c>
      <c r="P642" s="66"/>
      <c r="Q642" s="66"/>
      <c r="R642" s="66"/>
      <c r="S642" s="66"/>
      <c r="T642" s="66"/>
      <c r="U642" s="66"/>
      <c r="V642" s="66"/>
      <c r="W642" s="66"/>
      <c r="X642" s="66"/>
      <c r="Y642" s="66"/>
      <c r="Z642" s="66"/>
    </row>
    <row r="643">
      <c r="A643" s="66"/>
      <c r="B643" s="66"/>
      <c r="C643" s="66"/>
      <c r="D643" s="66"/>
      <c r="E643" s="66"/>
      <c r="F643" s="66"/>
      <c r="G643" s="66"/>
      <c r="H643" s="66"/>
      <c r="I643" s="66"/>
      <c r="J643" s="66"/>
      <c r="K643" s="66"/>
      <c r="L643" s="66"/>
      <c r="M643" s="66" t="s">
        <v>634</v>
      </c>
      <c r="N643" s="158">
        <v>46218.0</v>
      </c>
      <c r="O643" s="66">
        <v>1.0</v>
      </c>
      <c r="P643" s="66"/>
      <c r="Q643" s="66"/>
      <c r="R643" s="66"/>
      <c r="S643" s="66"/>
      <c r="T643" s="66"/>
      <c r="U643" s="66"/>
      <c r="V643" s="66"/>
      <c r="W643" s="66"/>
      <c r="X643" s="66"/>
      <c r="Y643" s="66"/>
      <c r="Z643" s="66"/>
    </row>
    <row r="644">
      <c r="A644" s="66"/>
      <c r="B644" s="66"/>
      <c r="C644" s="66"/>
      <c r="D644" s="66"/>
      <c r="E644" s="66"/>
      <c r="F644" s="66"/>
      <c r="G644" s="66"/>
      <c r="H644" s="66"/>
      <c r="I644" s="66"/>
      <c r="J644" s="66"/>
      <c r="K644" s="66"/>
      <c r="L644" s="66"/>
      <c r="M644" s="66" t="s">
        <v>642</v>
      </c>
      <c r="N644" s="158">
        <v>46218.0</v>
      </c>
      <c r="O644" s="66">
        <v>1.0</v>
      </c>
      <c r="P644" s="66"/>
      <c r="Q644" s="66"/>
      <c r="R644" s="66"/>
      <c r="S644" s="66"/>
      <c r="T644" s="66"/>
      <c r="U644" s="66"/>
      <c r="V644" s="66"/>
      <c r="W644" s="66"/>
      <c r="X644" s="66"/>
      <c r="Y644" s="66"/>
      <c r="Z644" s="66"/>
    </row>
    <row r="645">
      <c r="A645" s="66"/>
      <c r="B645" s="66"/>
      <c r="C645" s="66"/>
      <c r="D645" s="66"/>
      <c r="E645" s="66"/>
      <c r="F645" s="66"/>
      <c r="G645" s="66"/>
      <c r="H645" s="66"/>
      <c r="I645" s="66"/>
      <c r="J645" s="66"/>
      <c r="K645" s="66"/>
      <c r="L645" s="66"/>
      <c r="M645" s="66" t="s">
        <v>630</v>
      </c>
      <c r="N645" s="158">
        <v>46218.0</v>
      </c>
      <c r="O645" s="66">
        <v>1.0</v>
      </c>
      <c r="P645" s="66"/>
      <c r="Q645" s="66"/>
      <c r="R645" s="66"/>
      <c r="S645" s="66"/>
      <c r="T645" s="66"/>
      <c r="U645" s="66"/>
      <c r="V645" s="66"/>
      <c r="W645" s="66"/>
      <c r="X645" s="66"/>
      <c r="Y645" s="66"/>
      <c r="Z645" s="66"/>
    </row>
    <row r="646">
      <c r="A646" s="66"/>
      <c r="B646" s="66"/>
      <c r="C646" s="66"/>
      <c r="D646" s="66"/>
      <c r="E646" s="66"/>
      <c r="F646" s="66"/>
      <c r="G646" s="66"/>
      <c r="H646" s="66"/>
      <c r="I646" s="66"/>
      <c r="J646" s="66"/>
      <c r="K646" s="66"/>
      <c r="L646" s="66"/>
      <c r="M646" s="66" t="s">
        <v>632</v>
      </c>
      <c r="N646" s="158">
        <v>46218.0</v>
      </c>
      <c r="O646" s="66">
        <v>1.0</v>
      </c>
      <c r="P646" s="66"/>
      <c r="Q646" s="66"/>
      <c r="R646" s="66"/>
      <c r="S646" s="66"/>
      <c r="T646" s="66"/>
      <c r="U646" s="66"/>
      <c r="V646" s="66"/>
      <c r="W646" s="66"/>
      <c r="X646" s="66"/>
      <c r="Y646" s="66"/>
      <c r="Z646" s="66"/>
    </row>
    <row r="647">
      <c r="A647" s="66"/>
      <c r="B647" s="66"/>
      <c r="C647" s="66"/>
      <c r="D647" s="66"/>
      <c r="E647" s="66"/>
      <c r="F647" s="66"/>
      <c r="G647" s="66"/>
      <c r="H647" s="66"/>
      <c r="I647" s="66"/>
      <c r="J647" s="66"/>
      <c r="K647" s="66"/>
      <c r="L647" s="66"/>
      <c r="M647" s="66" t="s">
        <v>644</v>
      </c>
      <c r="N647" s="158">
        <v>46218.0</v>
      </c>
      <c r="O647" s="66">
        <v>1.0</v>
      </c>
      <c r="P647" s="66"/>
      <c r="Q647" s="66"/>
      <c r="R647" s="66"/>
      <c r="S647" s="66"/>
      <c r="T647" s="66"/>
      <c r="U647" s="66"/>
      <c r="V647" s="66"/>
      <c r="W647" s="66"/>
      <c r="X647" s="66"/>
      <c r="Y647" s="66"/>
      <c r="Z647" s="66"/>
    </row>
    <row r="648">
      <c r="A648" s="66"/>
      <c r="B648" s="66"/>
      <c r="C648" s="66"/>
      <c r="D648" s="66"/>
      <c r="E648" s="66"/>
      <c r="F648" s="66"/>
      <c r="G648" s="66"/>
      <c r="H648" s="66"/>
      <c r="I648" s="66"/>
      <c r="J648" s="66"/>
      <c r="K648" s="66"/>
      <c r="L648" s="66"/>
      <c r="M648" s="66" t="s">
        <v>636</v>
      </c>
      <c r="N648" s="158">
        <v>46218.0</v>
      </c>
      <c r="O648" s="66">
        <v>1.0</v>
      </c>
      <c r="P648" s="66"/>
      <c r="Q648" s="66"/>
      <c r="R648" s="66"/>
      <c r="S648" s="66"/>
      <c r="T648" s="66"/>
      <c r="U648" s="66"/>
      <c r="V648" s="66"/>
      <c r="W648" s="66"/>
      <c r="X648" s="66"/>
      <c r="Y648" s="66"/>
      <c r="Z648" s="66"/>
    </row>
    <row r="649">
      <c r="A649" s="66"/>
      <c r="B649" s="66"/>
      <c r="C649" s="66"/>
      <c r="D649" s="66"/>
      <c r="E649" s="66"/>
      <c r="F649" s="66"/>
      <c r="G649" s="66"/>
      <c r="H649" s="66"/>
      <c r="I649" s="66"/>
      <c r="J649" s="66"/>
      <c r="K649" s="66"/>
      <c r="L649" s="66"/>
      <c r="M649" s="66" t="s">
        <v>640</v>
      </c>
      <c r="N649" s="158">
        <v>46218.0</v>
      </c>
      <c r="O649" s="66">
        <v>1.0</v>
      </c>
      <c r="P649" s="66"/>
      <c r="Q649" s="66"/>
      <c r="R649" s="66"/>
      <c r="S649" s="66"/>
      <c r="T649" s="66"/>
      <c r="U649" s="66"/>
      <c r="V649" s="66"/>
      <c r="W649" s="66"/>
      <c r="X649" s="66"/>
      <c r="Y649" s="66"/>
      <c r="Z649" s="66"/>
    </row>
    <row r="650">
      <c r="A650" s="66"/>
      <c r="B650" s="66"/>
      <c r="C650" s="66"/>
      <c r="D650" s="66"/>
      <c r="E650" s="66"/>
      <c r="F650" s="66"/>
      <c r="G650" s="66"/>
      <c r="H650" s="66"/>
      <c r="I650" s="66"/>
      <c r="J650" s="66"/>
      <c r="K650" s="66"/>
      <c r="L650" s="66"/>
      <c r="M650" s="66" t="s">
        <v>628</v>
      </c>
      <c r="N650" s="158">
        <v>46218.0</v>
      </c>
      <c r="O650" s="66">
        <v>1.0</v>
      </c>
      <c r="P650" s="66"/>
      <c r="Q650" s="66"/>
      <c r="R650" s="66"/>
      <c r="S650" s="66"/>
      <c r="T650" s="66"/>
      <c r="U650" s="66"/>
      <c r="V650" s="66"/>
      <c r="W650" s="66"/>
      <c r="X650" s="66"/>
      <c r="Y650" s="66"/>
      <c r="Z650" s="66"/>
    </row>
    <row r="651">
      <c r="A651" s="66"/>
      <c r="B651" s="66"/>
      <c r="C651" s="66"/>
      <c r="D651" s="66"/>
      <c r="E651" s="66"/>
      <c r="F651" s="66"/>
      <c r="G651" s="66"/>
      <c r="H651" s="66"/>
      <c r="I651" s="66"/>
      <c r="J651" s="66"/>
      <c r="K651" s="66"/>
      <c r="L651" s="66"/>
      <c r="M651" s="66" t="s">
        <v>638</v>
      </c>
      <c r="N651" s="158">
        <v>46218.0</v>
      </c>
      <c r="O651" s="66">
        <v>1.0</v>
      </c>
      <c r="P651" s="66"/>
      <c r="Q651" s="66"/>
      <c r="R651" s="66"/>
      <c r="S651" s="66"/>
      <c r="T651" s="66"/>
      <c r="U651" s="66"/>
      <c r="V651" s="66"/>
      <c r="W651" s="66"/>
      <c r="X651" s="66"/>
      <c r="Y651" s="66"/>
      <c r="Z651" s="66"/>
    </row>
    <row r="652">
      <c r="A652" s="66"/>
      <c r="B652" s="66"/>
      <c r="C652" s="66"/>
      <c r="D652" s="66"/>
      <c r="E652" s="66"/>
      <c r="F652" s="66"/>
      <c r="G652" s="66"/>
      <c r="H652" s="66"/>
      <c r="I652" s="66"/>
      <c r="J652" s="66"/>
      <c r="K652" s="66"/>
      <c r="L652" s="66"/>
      <c r="M652" s="66" t="s">
        <v>626</v>
      </c>
      <c r="N652" s="158">
        <v>46218.0</v>
      </c>
      <c r="O652" s="66">
        <v>1.0</v>
      </c>
      <c r="P652" s="66"/>
      <c r="Q652" s="66"/>
      <c r="R652" s="66"/>
      <c r="S652" s="66"/>
      <c r="T652" s="66"/>
      <c r="U652" s="66"/>
      <c r="V652" s="66"/>
      <c r="W652" s="66"/>
      <c r="X652" s="66"/>
      <c r="Y652" s="66"/>
      <c r="Z652" s="66"/>
    </row>
    <row r="653">
      <c r="A653" s="66"/>
      <c r="B653" s="66"/>
      <c r="C653" s="66"/>
      <c r="D653" s="66"/>
      <c r="E653" s="66"/>
      <c r="F653" s="66"/>
      <c r="G653" s="66"/>
      <c r="H653" s="66"/>
      <c r="I653" s="66"/>
      <c r="J653" s="66"/>
      <c r="K653" s="66"/>
      <c r="L653" s="66"/>
      <c r="M653" s="66" t="s">
        <v>598</v>
      </c>
      <c r="N653" s="158">
        <v>46218.0</v>
      </c>
      <c r="O653" s="66">
        <v>1.0</v>
      </c>
      <c r="P653" s="66"/>
      <c r="Q653" s="66"/>
      <c r="R653" s="66"/>
      <c r="S653" s="66"/>
      <c r="T653" s="66"/>
      <c r="U653" s="66"/>
      <c r="V653" s="66"/>
      <c r="W653" s="66"/>
      <c r="X653" s="66"/>
      <c r="Y653" s="66"/>
      <c r="Z653" s="66"/>
    </row>
    <row r="654">
      <c r="A654" s="66"/>
      <c r="B654" s="66"/>
      <c r="C654" s="66"/>
      <c r="D654" s="66"/>
      <c r="E654" s="66"/>
      <c r="F654" s="66"/>
      <c r="G654" s="66"/>
      <c r="H654" s="66"/>
      <c r="I654" s="66"/>
      <c r="J654" s="66"/>
      <c r="K654" s="66"/>
      <c r="L654" s="66"/>
      <c r="M654" s="66" t="s">
        <v>571</v>
      </c>
      <c r="N654" s="158">
        <v>46218.0</v>
      </c>
      <c r="O654" s="66">
        <v>1.0</v>
      </c>
      <c r="P654" s="66"/>
      <c r="Q654" s="66"/>
      <c r="R654" s="66"/>
      <c r="S654" s="66"/>
      <c r="T654" s="66"/>
      <c r="U654" s="66"/>
      <c r="V654" s="66"/>
      <c r="W654" s="66"/>
      <c r="X654" s="66"/>
      <c r="Y654" s="66"/>
      <c r="Z654" s="66"/>
    </row>
    <row r="655">
      <c r="A655" s="66"/>
      <c r="B655" s="66"/>
      <c r="C655" s="66"/>
      <c r="D655" s="66"/>
      <c r="E655" s="66"/>
      <c r="F655" s="66"/>
      <c r="G655" s="66"/>
      <c r="H655" s="66"/>
      <c r="I655" s="66"/>
      <c r="J655" s="66"/>
      <c r="K655" s="66"/>
      <c r="L655" s="66"/>
      <c r="M655" s="66" t="s">
        <v>585</v>
      </c>
      <c r="N655" s="158">
        <v>46218.0</v>
      </c>
      <c r="O655" s="66">
        <v>1.0</v>
      </c>
      <c r="P655" s="66"/>
      <c r="Q655" s="66"/>
      <c r="R655" s="66"/>
      <c r="S655" s="66"/>
      <c r="T655" s="66"/>
      <c r="U655" s="66"/>
      <c r="V655" s="66"/>
      <c r="W655" s="66"/>
      <c r="X655" s="66"/>
      <c r="Y655" s="66"/>
      <c r="Z655" s="66"/>
    </row>
    <row r="656">
      <c r="A656" s="66"/>
      <c r="B656" s="66"/>
      <c r="C656" s="66"/>
      <c r="D656" s="66"/>
      <c r="E656" s="66"/>
      <c r="F656" s="66"/>
      <c r="G656" s="66"/>
      <c r="H656" s="66"/>
      <c r="I656" s="66"/>
      <c r="J656" s="66"/>
      <c r="K656" s="66"/>
      <c r="L656" s="66"/>
      <c r="M656" s="66" t="s">
        <v>587</v>
      </c>
      <c r="N656" s="158">
        <v>46218.0</v>
      </c>
      <c r="O656" s="66">
        <v>1.0</v>
      </c>
      <c r="P656" s="66"/>
      <c r="Q656" s="66"/>
      <c r="R656" s="66"/>
      <c r="S656" s="66"/>
      <c r="T656" s="66"/>
      <c r="U656" s="66"/>
      <c r="V656" s="66"/>
      <c r="W656" s="66"/>
      <c r="X656" s="66"/>
      <c r="Y656" s="66"/>
      <c r="Z656" s="66"/>
    </row>
    <row r="657">
      <c r="A657" s="66"/>
      <c r="B657" s="66"/>
      <c r="C657" s="66"/>
      <c r="D657" s="66"/>
      <c r="E657" s="66"/>
      <c r="F657" s="66"/>
      <c r="G657" s="66"/>
      <c r="H657" s="66"/>
      <c r="I657" s="66"/>
      <c r="J657" s="66"/>
      <c r="K657" s="66"/>
      <c r="L657" s="66"/>
      <c r="M657" s="66" t="s">
        <v>605</v>
      </c>
      <c r="N657" s="158">
        <v>46218.0</v>
      </c>
      <c r="O657" s="66">
        <v>1.0</v>
      </c>
      <c r="P657" s="66"/>
      <c r="Q657" s="66"/>
      <c r="R657" s="66"/>
      <c r="S657" s="66"/>
      <c r="T657" s="66"/>
      <c r="U657" s="66"/>
      <c r="V657" s="66"/>
      <c r="W657" s="66"/>
      <c r="X657" s="66"/>
      <c r="Y657" s="66"/>
      <c r="Z657" s="66"/>
    </row>
    <row r="658">
      <c r="A658" s="66"/>
      <c r="B658" s="66"/>
      <c r="C658" s="66"/>
      <c r="D658" s="66"/>
      <c r="E658" s="66"/>
      <c r="F658" s="66"/>
      <c r="G658" s="66"/>
      <c r="H658" s="66"/>
      <c r="I658" s="66"/>
      <c r="J658" s="66"/>
      <c r="K658" s="66"/>
      <c r="L658" s="66"/>
      <c r="M658" s="66" t="s">
        <v>588</v>
      </c>
      <c r="N658" s="158">
        <v>46218.0</v>
      </c>
      <c r="O658" s="66">
        <v>1.0</v>
      </c>
      <c r="P658" s="66"/>
      <c r="Q658" s="66"/>
      <c r="R658" s="66"/>
      <c r="S658" s="66"/>
      <c r="T658" s="66"/>
      <c r="U658" s="66"/>
      <c r="V658" s="66"/>
      <c r="W658" s="66"/>
      <c r="X658" s="66"/>
      <c r="Y658" s="66"/>
      <c r="Z658" s="66"/>
    </row>
    <row r="659">
      <c r="A659" s="66"/>
      <c r="B659" s="66"/>
      <c r="C659" s="66"/>
      <c r="D659" s="66"/>
      <c r="E659" s="66"/>
      <c r="F659" s="66"/>
      <c r="G659" s="66"/>
      <c r="H659" s="66"/>
      <c r="I659" s="66"/>
      <c r="J659" s="66"/>
      <c r="K659" s="66"/>
      <c r="L659" s="66"/>
      <c r="M659" s="66" t="s">
        <v>601</v>
      </c>
      <c r="N659" s="158">
        <v>46218.0</v>
      </c>
      <c r="O659" s="66">
        <v>1.0</v>
      </c>
      <c r="P659" s="66"/>
      <c r="Q659" s="66"/>
      <c r="R659" s="66"/>
      <c r="S659" s="66"/>
      <c r="T659" s="66"/>
      <c r="U659" s="66"/>
      <c r="V659" s="66"/>
      <c r="W659" s="66"/>
      <c r="X659" s="66"/>
      <c r="Y659" s="66"/>
      <c r="Z659" s="66"/>
    </row>
    <row r="660">
      <c r="A660" s="66"/>
      <c r="B660" s="66"/>
      <c r="C660" s="66"/>
      <c r="D660" s="66"/>
      <c r="E660" s="66"/>
      <c r="F660" s="66"/>
      <c r="G660" s="66"/>
      <c r="H660" s="66"/>
      <c r="I660" s="66"/>
      <c r="J660" s="66"/>
      <c r="K660" s="66"/>
      <c r="L660" s="66"/>
      <c r="M660" s="66" t="s">
        <v>590</v>
      </c>
      <c r="N660" s="158">
        <v>46218.0</v>
      </c>
      <c r="O660" s="66">
        <v>1.0</v>
      </c>
      <c r="P660" s="66"/>
      <c r="Q660" s="66"/>
      <c r="R660" s="66"/>
      <c r="S660" s="66"/>
      <c r="T660" s="66"/>
      <c r="U660" s="66"/>
      <c r="V660" s="66"/>
      <c r="W660" s="66"/>
      <c r="X660" s="66"/>
      <c r="Y660" s="66"/>
      <c r="Z660" s="66"/>
    </row>
    <row r="661">
      <c r="A661" s="66"/>
      <c r="B661" s="66"/>
      <c r="C661" s="66"/>
      <c r="D661" s="66"/>
      <c r="E661" s="66"/>
      <c r="F661" s="66"/>
      <c r="G661" s="66"/>
      <c r="H661" s="66"/>
      <c r="I661" s="66"/>
      <c r="J661" s="66"/>
      <c r="K661" s="66"/>
      <c r="L661" s="66"/>
      <c r="M661" s="66" t="s">
        <v>604</v>
      </c>
      <c r="N661" s="158">
        <v>46218.0</v>
      </c>
      <c r="O661" s="66">
        <v>1.0</v>
      </c>
      <c r="P661" s="66"/>
      <c r="Q661" s="66"/>
      <c r="R661" s="66"/>
      <c r="S661" s="66"/>
      <c r="T661" s="66"/>
      <c r="U661" s="66"/>
      <c r="V661" s="66"/>
      <c r="W661" s="66"/>
      <c r="X661" s="66"/>
      <c r="Y661" s="66"/>
      <c r="Z661" s="66"/>
    </row>
    <row r="662">
      <c r="A662" s="66"/>
      <c r="B662" s="66"/>
      <c r="C662" s="66"/>
      <c r="D662" s="66"/>
      <c r="E662" s="66"/>
      <c r="F662" s="66"/>
      <c r="G662" s="66"/>
      <c r="H662" s="66"/>
      <c r="I662" s="66"/>
      <c r="J662" s="66"/>
      <c r="K662" s="66"/>
      <c r="L662" s="66"/>
      <c r="M662" s="66" t="s">
        <v>586</v>
      </c>
      <c r="N662" s="158">
        <v>46218.0</v>
      </c>
      <c r="O662" s="66">
        <v>1.0</v>
      </c>
      <c r="P662" s="66"/>
      <c r="Q662" s="66"/>
      <c r="R662" s="66"/>
      <c r="S662" s="66"/>
      <c r="T662" s="66"/>
      <c r="U662" s="66"/>
      <c r="V662" s="66"/>
      <c r="W662" s="66"/>
      <c r="X662" s="66"/>
      <c r="Y662" s="66"/>
      <c r="Z662" s="66"/>
    </row>
    <row r="663">
      <c r="A663" s="66"/>
      <c r="B663" s="66"/>
      <c r="C663" s="66"/>
      <c r="D663" s="66"/>
      <c r="E663" s="66"/>
      <c r="F663" s="66"/>
      <c r="G663" s="66"/>
      <c r="H663" s="66"/>
      <c r="I663" s="66"/>
      <c r="J663" s="66"/>
      <c r="K663" s="66"/>
      <c r="L663" s="66"/>
      <c r="M663" s="66" t="s">
        <v>602</v>
      </c>
      <c r="N663" s="158">
        <v>46218.0</v>
      </c>
      <c r="O663" s="66">
        <v>1.0</v>
      </c>
      <c r="P663" s="66"/>
      <c r="Q663" s="66"/>
      <c r="R663" s="66"/>
      <c r="S663" s="66"/>
      <c r="T663" s="66"/>
      <c r="U663" s="66"/>
      <c r="V663" s="66"/>
      <c r="W663" s="66"/>
      <c r="X663" s="66"/>
      <c r="Y663" s="66"/>
      <c r="Z663" s="66"/>
    </row>
    <row r="664">
      <c r="A664" s="66"/>
      <c r="B664" s="66"/>
      <c r="C664" s="66"/>
      <c r="D664" s="66"/>
      <c r="E664" s="66"/>
      <c r="F664" s="66"/>
      <c r="G664" s="66"/>
      <c r="H664" s="66"/>
      <c r="I664" s="66"/>
      <c r="J664" s="66"/>
      <c r="K664" s="66"/>
      <c r="L664" s="66"/>
      <c r="M664" s="66" t="s">
        <v>606</v>
      </c>
      <c r="N664" s="158">
        <v>46218.0</v>
      </c>
      <c r="O664" s="66">
        <v>1.0</v>
      </c>
      <c r="P664" s="66"/>
      <c r="Q664" s="66"/>
      <c r="R664" s="66"/>
      <c r="S664" s="66"/>
      <c r="T664" s="66"/>
      <c r="U664" s="66"/>
      <c r="V664" s="66"/>
      <c r="W664" s="66"/>
      <c r="X664" s="66"/>
      <c r="Y664" s="66"/>
      <c r="Z664" s="66"/>
    </row>
    <row r="665">
      <c r="A665" s="66"/>
      <c r="B665" s="66"/>
      <c r="C665" s="66"/>
      <c r="D665" s="66"/>
      <c r="E665" s="66"/>
      <c r="F665" s="66"/>
      <c r="G665" s="66"/>
      <c r="H665" s="66"/>
      <c r="I665" s="66"/>
      <c r="J665" s="66"/>
      <c r="K665" s="66"/>
      <c r="L665" s="66"/>
      <c r="M665" s="66" t="s">
        <v>608</v>
      </c>
      <c r="N665" s="158">
        <v>46218.0</v>
      </c>
      <c r="O665" s="66">
        <v>1.0</v>
      </c>
      <c r="P665" s="66"/>
      <c r="Q665" s="66"/>
      <c r="R665" s="66"/>
      <c r="S665" s="66"/>
      <c r="T665" s="66"/>
      <c r="U665" s="66"/>
      <c r="V665" s="66"/>
      <c r="W665" s="66"/>
      <c r="X665" s="66"/>
      <c r="Y665" s="66"/>
      <c r="Z665" s="66"/>
    </row>
    <row r="666">
      <c r="A666" s="66"/>
      <c r="B666" s="66"/>
      <c r="C666" s="66"/>
      <c r="D666" s="66"/>
      <c r="E666" s="66"/>
      <c r="F666" s="66"/>
      <c r="G666" s="66"/>
      <c r="H666" s="66"/>
      <c r="I666" s="66"/>
      <c r="J666" s="66"/>
      <c r="K666" s="66"/>
      <c r="L666" s="66"/>
      <c r="M666" s="66" t="s">
        <v>593</v>
      </c>
      <c r="N666" s="158">
        <v>46218.0</v>
      </c>
      <c r="O666" s="66">
        <v>1.0</v>
      </c>
      <c r="P666" s="66"/>
      <c r="Q666" s="66"/>
      <c r="R666" s="66"/>
      <c r="S666" s="66"/>
      <c r="T666" s="66"/>
      <c r="U666" s="66"/>
      <c r="V666" s="66"/>
      <c r="W666" s="66"/>
      <c r="X666" s="66"/>
      <c r="Y666" s="66"/>
      <c r="Z666" s="66"/>
    </row>
    <row r="667">
      <c r="A667" s="66"/>
      <c r="B667" s="66"/>
      <c r="C667" s="66"/>
      <c r="D667" s="66"/>
      <c r="E667" s="66"/>
      <c r="F667" s="66"/>
      <c r="G667" s="66"/>
      <c r="H667" s="66"/>
      <c r="I667" s="66"/>
      <c r="J667" s="66"/>
      <c r="K667" s="66"/>
      <c r="L667" s="66"/>
      <c r="M667" s="66" t="s">
        <v>589</v>
      </c>
      <c r="N667" s="158">
        <v>46218.0</v>
      </c>
      <c r="O667" s="66">
        <v>1.0</v>
      </c>
      <c r="P667" s="66"/>
      <c r="Q667" s="66"/>
      <c r="R667" s="66"/>
      <c r="S667" s="66"/>
      <c r="T667" s="66"/>
      <c r="U667" s="66"/>
      <c r="V667" s="66"/>
      <c r="W667" s="66"/>
      <c r="X667" s="66"/>
      <c r="Y667" s="66"/>
      <c r="Z667" s="66"/>
    </row>
    <row r="668">
      <c r="A668" s="66"/>
      <c r="B668" s="66"/>
      <c r="C668" s="66"/>
      <c r="D668" s="66"/>
      <c r="E668" s="66"/>
      <c r="F668" s="66"/>
      <c r="G668" s="66"/>
      <c r="H668" s="66"/>
      <c r="I668" s="66"/>
      <c r="J668" s="66"/>
      <c r="K668" s="66"/>
      <c r="L668" s="66"/>
      <c r="M668" s="66" t="s">
        <v>603</v>
      </c>
      <c r="N668" s="158">
        <v>46218.0</v>
      </c>
      <c r="O668" s="66">
        <v>1.0</v>
      </c>
      <c r="P668" s="66"/>
      <c r="Q668" s="66"/>
      <c r="R668" s="66"/>
      <c r="S668" s="66"/>
      <c r="T668" s="66"/>
      <c r="U668" s="66"/>
      <c r="V668" s="66"/>
      <c r="W668" s="66"/>
      <c r="X668" s="66"/>
      <c r="Y668" s="66"/>
      <c r="Z668" s="66"/>
    </row>
    <row r="669">
      <c r="A669" s="66"/>
      <c r="B669" s="66"/>
      <c r="C669" s="66"/>
      <c r="D669" s="66"/>
      <c r="E669" s="66"/>
      <c r="F669" s="66"/>
      <c r="G669" s="66"/>
      <c r="H669" s="66"/>
      <c r="I669" s="66"/>
      <c r="J669" s="66"/>
      <c r="K669" s="66"/>
      <c r="L669" s="66"/>
      <c r="M669" s="66" t="s">
        <v>584</v>
      </c>
      <c r="N669" s="158">
        <v>46218.0</v>
      </c>
      <c r="O669" s="66">
        <v>1.0</v>
      </c>
      <c r="P669" s="66"/>
      <c r="Q669" s="66"/>
      <c r="R669" s="66"/>
      <c r="S669" s="66"/>
      <c r="T669" s="66"/>
      <c r="U669" s="66"/>
      <c r="V669" s="66"/>
      <c r="W669" s="66"/>
      <c r="X669" s="66"/>
      <c r="Y669" s="66"/>
      <c r="Z669" s="66"/>
    </row>
    <row r="670">
      <c r="A670" s="66"/>
      <c r="B670" s="66"/>
      <c r="C670" s="66"/>
      <c r="D670" s="66"/>
      <c r="E670" s="66"/>
      <c r="F670" s="66"/>
      <c r="G670" s="66"/>
      <c r="H670" s="66"/>
      <c r="I670" s="66"/>
      <c r="J670" s="66"/>
      <c r="K670" s="66"/>
      <c r="L670" s="66"/>
      <c r="M670" s="66" t="s">
        <v>594</v>
      </c>
      <c r="N670" s="158">
        <v>46218.0</v>
      </c>
      <c r="O670" s="66">
        <v>1.0</v>
      </c>
      <c r="P670" s="66"/>
      <c r="Q670" s="66"/>
      <c r="R670" s="66"/>
      <c r="S670" s="66"/>
      <c r="T670" s="66"/>
      <c r="U670" s="66"/>
      <c r="V670" s="66"/>
      <c r="W670" s="66"/>
      <c r="X670" s="66"/>
      <c r="Y670" s="66"/>
      <c r="Z670" s="66"/>
    </row>
    <row r="671">
      <c r="A671" s="66"/>
      <c r="B671" s="66"/>
      <c r="C671" s="66"/>
      <c r="D671" s="66"/>
      <c r="E671" s="66"/>
      <c r="F671" s="66"/>
      <c r="G671" s="66"/>
      <c r="H671" s="66"/>
      <c r="I671" s="66"/>
      <c r="J671" s="66"/>
      <c r="K671" s="66"/>
      <c r="L671" s="66"/>
      <c r="M671" s="66" t="s">
        <v>596</v>
      </c>
      <c r="N671" s="158">
        <v>46218.0</v>
      </c>
      <c r="O671" s="66">
        <v>1.0</v>
      </c>
      <c r="P671" s="66"/>
      <c r="Q671" s="66"/>
      <c r="R671" s="66"/>
      <c r="S671" s="66"/>
      <c r="T671" s="66"/>
      <c r="U671" s="66"/>
      <c r="V671" s="66"/>
      <c r="W671" s="66"/>
      <c r="X671" s="66"/>
      <c r="Y671" s="66"/>
      <c r="Z671" s="66"/>
    </row>
    <row r="672">
      <c r="A672" s="66"/>
      <c r="B672" s="66"/>
      <c r="C672" s="66"/>
      <c r="D672" s="66"/>
      <c r="E672" s="66"/>
      <c r="F672" s="66"/>
      <c r="G672" s="66"/>
      <c r="H672" s="66"/>
      <c r="I672" s="66"/>
      <c r="J672" s="66"/>
      <c r="K672" s="66"/>
      <c r="L672" s="66"/>
      <c r="M672" s="66" t="s">
        <v>599</v>
      </c>
      <c r="N672" s="158">
        <v>46218.0</v>
      </c>
      <c r="O672" s="66">
        <v>1.0</v>
      </c>
      <c r="P672" s="66"/>
      <c r="Q672" s="66"/>
      <c r="R672" s="66"/>
      <c r="S672" s="66"/>
      <c r="T672" s="66"/>
      <c r="U672" s="66"/>
      <c r="V672" s="66"/>
      <c r="W672" s="66"/>
      <c r="X672" s="66"/>
      <c r="Y672" s="66"/>
      <c r="Z672" s="66"/>
    </row>
    <row r="673">
      <c r="A673" s="66"/>
      <c r="B673" s="66"/>
      <c r="C673" s="66"/>
      <c r="D673" s="66"/>
      <c r="E673" s="66"/>
      <c r="F673" s="66"/>
      <c r="G673" s="66"/>
      <c r="H673" s="66"/>
      <c r="I673" s="66"/>
      <c r="J673" s="66"/>
      <c r="K673" s="66"/>
      <c r="L673" s="66"/>
      <c r="M673" s="66" t="s">
        <v>595</v>
      </c>
      <c r="N673" s="158">
        <v>46218.0</v>
      </c>
      <c r="O673" s="66">
        <v>1.0</v>
      </c>
      <c r="P673" s="66"/>
      <c r="Q673" s="66"/>
      <c r="R673" s="66"/>
      <c r="S673" s="66"/>
      <c r="T673" s="66"/>
      <c r="U673" s="66"/>
      <c r="V673" s="66"/>
      <c r="W673" s="66"/>
      <c r="X673" s="66"/>
      <c r="Y673" s="66"/>
      <c r="Z673" s="66"/>
    </row>
    <row r="674">
      <c r="A674" s="66"/>
      <c r="B674" s="66"/>
      <c r="C674" s="66"/>
      <c r="D674" s="66"/>
      <c r="E674" s="66"/>
      <c r="F674" s="66"/>
      <c r="G674" s="66"/>
      <c r="H674" s="66"/>
      <c r="I674" s="66"/>
      <c r="J674" s="66"/>
      <c r="K674" s="66"/>
      <c r="L674" s="66"/>
      <c r="M674" s="66" t="s">
        <v>591</v>
      </c>
      <c r="N674" s="158">
        <v>46218.0</v>
      </c>
      <c r="O674" s="66">
        <v>1.0</v>
      </c>
      <c r="P674" s="66"/>
      <c r="Q674" s="66"/>
      <c r="R674" s="66"/>
      <c r="S674" s="66"/>
      <c r="T674" s="66"/>
      <c r="U674" s="66"/>
      <c r="V674" s="66"/>
      <c r="W674" s="66"/>
      <c r="X674" s="66"/>
      <c r="Y674" s="66"/>
      <c r="Z674" s="66"/>
    </row>
    <row r="675">
      <c r="A675" s="66"/>
      <c r="B675" s="66"/>
      <c r="C675" s="66"/>
      <c r="D675" s="66"/>
      <c r="E675" s="66"/>
      <c r="F675" s="66"/>
      <c r="G675" s="66"/>
      <c r="H675" s="66"/>
      <c r="I675" s="66"/>
      <c r="J675" s="66"/>
      <c r="K675" s="66"/>
      <c r="L675" s="66"/>
      <c r="M675" s="66" t="s">
        <v>592</v>
      </c>
      <c r="N675" s="158">
        <v>46218.0</v>
      </c>
      <c r="O675" s="66">
        <v>1.0</v>
      </c>
      <c r="P675" s="66"/>
      <c r="Q675" s="66"/>
      <c r="R675" s="66"/>
      <c r="S675" s="66"/>
      <c r="T675" s="66"/>
      <c r="U675" s="66"/>
      <c r="V675" s="66"/>
      <c r="W675" s="66"/>
      <c r="X675" s="66"/>
      <c r="Y675" s="66"/>
      <c r="Z675" s="66"/>
    </row>
    <row r="676">
      <c r="A676" s="66"/>
      <c r="B676" s="66"/>
      <c r="C676" s="66"/>
      <c r="D676" s="66"/>
      <c r="E676" s="66"/>
      <c r="F676" s="66"/>
      <c r="G676" s="66"/>
      <c r="H676" s="66"/>
      <c r="I676" s="66"/>
      <c r="J676" s="66"/>
      <c r="K676" s="66"/>
      <c r="L676" s="66"/>
      <c r="M676" s="66" t="s">
        <v>600</v>
      </c>
      <c r="N676" s="158">
        <v>46218.0</v>
      </c>
      <c r="O676" s="66">
        <v>1.0</v>
      </c>
      <c r="P676" s="66"/>
      <c r="Q676" s="66"/>
      <c r="R676" s="66"/>
      <c r="S676" s="66"/>
      <c r="T676" s="66"/>
      <c r="U676" s="66"/>
      <c r="V676" s="66"/>
      <c r="W676" s="66"/>
      <c r="X676" s="66"/>
      <c r="Y676" s="66"/>
      <c r="Z676" s="66"/>
    </row>
    <row r="677">
      <c r="A677" s="66"/>
      <c r="B677" s="66"/>
      <c r="C677" s="66"/>
      <c r="D677" s="66"/>
      <c r="E677" s="66"/>
      <c r="F677" s="66"/>
      <c r="G677" s="66"/>
      <c r="H677" s="66"/>
      <c r="I677" s="66"/>
      <c r="J677" s="66"/>
      <c r="K677" s="66"/>
      <c r="L677" s="66"/>
      <c r="M677" s="66" t="s">
        <v>597</v>
      </c>
      <c r="N677" s="158">
        <v>46218.0</v>
      </c>
      <c r="O677" s="66">
        <v>1.0</v>
      </c>
      <c r="P677" s="66"/>
      <c r="Q677" s="66"/>
      <c r="R677" s="66"/>
      <c r="S677" s="66"/>
      <c r="T677" s="66"/>
      <c r="U677" s="66"/>
      <c r="V677" s="66"/>
      <c r="W677" s="66"/>
      <c r="X677" s="66"/>
      <c r="Y677" s="66"/>
      <c r="Z677" s="66"/>
    </row>
    <row r="678">
      <c r="A678" s="66"/>
      <c r="B678" s="66"/>
      <c r="C678" s="66"/>
      <c r="D678" s="66"/>
      <c r="E678" s="66"/>
      <c r="F678" s="66"/>
      <c r="G678" s="66"/>
      <c r="H678" s="66"/>
      <c r="I678" s="66"/>
      <c r="J678" s="66"/>
      <c r="K678" s="66"/>
      <c r="L678" s="66"/>
      <c r="M678" s="66" t="s">
        <v>613</v>
      </c>
      <c r="N678" s="158">
        <v>46218.0</v>
      </c>
      <c r="O678" s="66">
        <v>1.0</v>
      </c>
      <c r="P678" s="66"/>
      <c r="Q678" s="66"/>
      <c r="R678" s="66"/>
      <c r="S678" s="66"/>
      <c r="T678" s="66"/>
      <c r="U678" s="66"/>
      <c r="V678" s="66"/>
      <c r="W678" s="66"/>
      <c r="X678" s="66"/>
      <c r="Y678" s="66"/>
      <c r="Z678" s="66"/>
    </row>
    <row r="679">
      <c r="A679" s="66"/>
      <c r="B679" s="66"/>
      <c r="C679" s="66"/>
      <c r="D679" s="66"/>
      <c r="E679" s="66"/>
      <c r="F679" s="66"/>
      <c r="G679" s="66"/>
      <c r="H679" s="66"/>
      <c r="I679" s="66"/>
      <c r="J679" s="66"/>
      <c r="K679" s="66"/>
      <c r="L679" s="66"/>
      <c r="M679" s="66" t="s">
        <v>610</v>
      </c>
      <c r="N679" s="158">
        <v>46218.0</v>
      </c>
      <c r="O679" s="66">
        <v>2.0</v>
      </c>
      <c r="P679" s="66"/>
      <c r="Q679" s="66"/>
      <c r="R679" s="66"/>
      <c r="S679" s="66"/>
      <c r="T679" s="66"/>
      <c r="U679" s="66"/>
      <c r="V679" s="66"/>
      <c r="W679" s="66"/>
      <c r="X679" s="66"/>
      <c r="Y679" s="66"/>
      <c r="Z679" s="66"/>
    </row>
    <row r="680">
      <c r="A680" s="66"/>
      <c r="B680" s="66"/>
      <c r="C680" s="66"/>
      <c r="D680" s="66"/>
      <c r="E680" s="66"/>
      <c r="F680" s="66"/>
      <c r="G680" s="66"/>
      <c r="H680" s="66"/>
      <c r="I680" s="66"/>
      <c r="J680" s="66"/>
      <c r="K680" s="66"/>
      <c r="L680" s="66"/>
      <c r="M680" s="66" t="s">
        <v>611</v>
      </c>
      <c r="N680" s="158">
        <v>46218.0</v>
      </c>
      <c r="O680" s="66">
        <v>1.0</v>
      </c>
      <c r="P680" s="66"/>
      <c r="Q680" s="66"/>
      <c r="R680" s="66"/>
      <c r="S680" s="66"/>
      <c r="T680" s="66"/>
      <c r="U680" s="66"/>
      <c r="V680" s="66"/>
      <c r="W680" s="66"/>
      <c r="X680" s="66"/>
      <c r="Y680" s="66"/>
      <c r="Z680" s="66"/>
    </row>
    <row r="681">
      <c r="A681" s="66"/>
      <c r="B681" s="66"/>
      <c r="C681" s="66"/>
      <c r="D681" s="66"/>
      <c r="E681" s="66"/>
      <c r="F681" s="66"/>
      <c r="G681" s="66"/>
      <c r="H681" s="66"/>
      <c r="I681" s="66"/>
      <c r="J681" s="66"/>
      <c r="K681" s="66"/>
      <c r="L681" s="66"/>
      <c r="M681" s="66" t="s">
        <v>609</v>
      </c>
      <c r="N681" s="158">
        <v>46218.0</v>
      </c>
      <c r="O681" s="66">
        <v>1.0</v>
      </c>
      <c r="P681" s="66"/>
      <c r="Q681" s="66"/>
      <c r="R681" s="66"/>
      <c r="S681" s="66"/>
      <c r="T681" s="66"/>
      <c r="U681" s="66"/>
      <c r="V681" s="66"/>
      <c r="W681" s="66"/>
      <c r="X681" s="66"/>
      <c r="Y681" s="66"/>
      <c r="Z681" s="66"/>
    </row>
    <row r="682">
      <c r="A682" s="66"/>
      <c r="B682" s="66"/>
      <c r="C682" s="66"/>
      <c r="D682" s="66"/>
      <c r="E682" s="66"/>
      <c r="F682" s="66"/>
      <c r="G682" s="66"/>
      <c r="H682" s="66"/>
      <c r="I682" s="66"/>
      <c r="J682" s="66"/>
      <c r="K682" s="66"/>
      <c r="L682" s="66"/>
      <c r="M682" s="66" t="s">
        <v>655</v>
      </c>
      <c r="N682" s="158">
        <v>46218.0</v>
      </c>
      <c r="O682" s="66">
        <v>1.0</v>
      </c>
      <c r="P682" s="66"/>
      <c r="Q682" s="66"/>
      <c r="R682" s="66"/>
      <c r="S682" s="66"/>
      <c r="T682" s="66"/>
      <c r="U682" s="66"/>
      <c r="V682" s="66"/>
      <c r="W682" s="66"/>
      <c r="X682" s="66"/>
      <c r="Y682" s="66"/>
      <c r="Z682" s="66"/>
    </row>
    <row r="683">
      <c r="A683" s="66"/>
      <c r="B683" s="66"/>
      <c r="C683" s="66"/>
      <c r="D683" s="66"/>
      <c r="E683" s="66"/>
      <c r="F683" s="66"/>
      <c r="G683" s="66"/>
      <c r="H683" s="66"/>
      <c r="I683" s="66"/>
      <c r="J683" s="66"/>
      <c r="K683" s="66"/>
      <c r="L683" s="66"/>
      <c r="M683" s="66" t="s">
        <v>653</v>
      </c>
      <c r="N683" s="158">
        <v>46218.0</v>
      </c>
      <c r="O683" s="66">
        <v>1.0</v>
      </c>
      <c r="P683" s="66"/>
      <c r="Q683" s="66"/>
      <c r="R683" s="66"/>
      <c r="S683" s="66"/>
      <c r="T683" s="66"/>
      <c r="U683" s="66"/>
      <c r="V683" s="66"/>
      <c r="W683" s="66"/>
      <c r="X683" s="66"/>
      <c r="Y683" s="66"/>
      <c r="Z683" s="66"/>
    </row>
    <row r="684">
      <c r="A684" s="66"/>
      <c r="B684" s="66"/>
      <c r="C684" s="66"/>
      <c r="D684" s="66"/>
      <c r="E684" s="66"/>
      <c r="F684" s="66"/>
      <c r="G684" s="66"/>
      <c r="H684" s="66"/>
      <c r="I684" s="66"/>
      <c r="J684" s="66"/>
      <c r="K684" s="66"/>
      <c r="L684" s="66"/>
      <c r="M684" s="66" t="s">
        <v>657</v>
      </c>
      <c r="N684" s="158">
        <v>46218.0</v>
      </c>
      <c r="O684" s="66">
        <v>1.0</v>
      </c>
      <c r="P684" s="66"/>
      <c r="Q684" s="66"/>
      <c r="R684" s="66"/>
      <c r="S684" s="66"/>
      <c r="T684" s="66"/>
      <c r="U684" s="66"/>
      <c r="V684" s="66"/>
      <c r="W684" s="66"/>
      <c r="X684" s="66"/>
      <c r="Y684" s="66"/>
      <c r="Z684" s="66"/>
    </row>
    <row r="685">
      <c r="A685" s="66"/>
      <c r="B685" s="66"/>
      <c r="C685" s="66"/>
      <c r="D685" s="66"/>
      <c r="E685" s="66"/>
      <c r="F685" s="66"/>
      <c r="G685" s="66"/>
      <c r="H685" s="66"/>
      <c r="I685" s="66"/>
      <c r="J685" s="66"/>
      <c r="K685" s="66"/>
      <c r="L685" s="66"/>
      <c r="M685" s="66" t="s">
        <v>651</v>
      </c>
      <c r="N685" s="158">
        <v>46218.0</v>
      </c>
      <c r="O685" s="66">
        <v>1.0</v>
      </c>
      <c r="P685" s="66"/>
      <c r="Q685" s="66"/>
      <c r="R685" s="66"/>
      <c r="S685" s="66"/>
      <c r="T685" s="66"/>
      <c r="U685" s="66"/>
      <c r="V685" s="66"/>
      <c r="W685" s="66"/>
      <c r="X685" s="66"/>
      <c r="Y685" s="66"/>
      <c r="Z685" s="66"/>
    </row>
    <row r="686">
      <c r="A686" s="66"/>
      <c r="B686" s="66"/>
      <c r="C686" s="66"/>
      <c r="D686" s="66"/>
      <c r="E686" s="66"/>
      <c r="F686" s="66"/>
      <c r="G686" s="66"/>
      <c r="H686" s="66"/>
      <c r="I686" s="66"/>
      <c r="J686" s="66"/>
      <c r="K686" s="66"/>
      <c r="L686" s="66"/>
      <c r="M686" s="66" t="s">
        <v>647</v>
      </c>
      <c r="N686" s="158">
        <v>46218.0</v>
      </c>
      <c r="O686" s="66">
        <v>1.0</v>
      </c>
      <c r="P686" s="66"/>
      <c r="Q686" s="66"/>
      <c r="R686" s="66"/>
      <c r="S686" s="66"/>
      <c r="T686" s="66"/>
      <c r="U686" s="66"/>
      <c r="V686" s="66"/>
      <c r="W686" s="66"/>
      <c r="X686" s="66"/>
      <c r="Y686" s="66"/>
      <c r="Z686" s="66"/>
    </row>
    <row r="687">
      <c r="A687" s="66"/>
      <c r="B687" s="66"/>
      <c r="C687" s="66"/>
      <c r="D687" s="66"/>
      <c r="E687" s="66"/>
      <c r="F687" s="66"/>
      <c r="G687" s="66"/>
      <c r="H687" s="66"/>
      <c r="I687" s="66"/>
      <c r="J687" s="66"/>
      <c r="K687" s="66"/>
      <c r="L687" s="66"/>
      <c r="M687" s="66" t="s">
        <v>649</v>
      </c>
      <c r="N687" s="158">
        <v>46218.0</v>
      </c>
      <c r="O687" s="66">
        <v>1.0</v>
      </c>
      <c r="P687" s="66"/>
      <c r="Q687" s="66"/>
      <c r="R687" s="66"/>
      <c r="S687" s="66"/>
      <c r="T687" s="66"/>
      <c r="U687" s="66"/>
      <c r="V687" s="66"/>
      <c r="W687" s="66"/>
      <c r="X687" s="66"/>
      <c r="Y687" s="66"/>
      <c r="Z687" s="66"/>
    </row>
    <row r="688">
      <c r="A688" s="66"/>
      <c r="B688" s="66"/>
      <c r="C688" s="66"/>
      <c r="D688" s="66"/>
      <c r="E688" s="66"/>
      <c r="F688" s="66"/>
      <c r="G688" s="66"/>
      <c r="H688" s="66"/>
      <c r="I688" s="66"/>
      <c r="J688" s="66"/>
      <c r="K688" s="66"/>
      <c r="L688" s="66"/>
      <c r="M688" s="66" t="s">
        <v>645</v>
      </c>
      <c r="N688" s="158">
        <v>46218.0</v>
      </c>
      <c r="O688" s="66">
        <v>1.0</v>
      </c>
      <c r="P688" s="66"/>
      <c r="Q688" s="66"/>
      <c r="R688" s="66"/>
      <c r="S688" s="66"/>
      <c r="T688" s="66"/>
      <c r="U688" s="66"/>
      <c r="V688" s="66"/>
      <c r="W688" s="66"/>
      <c r="X688" s="66"/>
      <c r="Y688" s="66"/>
      <c r="Z688" s="66"/>
    </row>
    <row r="689">
      <c r="A689" s="66"/>
      <c r="B689" s="66"/>
      <c r="C689" s="66"/>
      <c r="D689" s="66"/>
      <c r="E689" s="66"/>
      <c r="F689" s="66"/>
      <c r="G689" s="66"/>
      <c r="H689" s="66"/>
      <c r="I689" s="66"/>
      <c r="J689" s="66"/>
      <c r="K689" s="66"/>
      <c r="L689" s="66"/>
      <c r="M689" s="66" t="s">
        <v>618</v>
      </c>
      <c r="N689" s="158">
        <v>46218.0</v>
      </c>
      <c r="O689" s="66">
        <v>1.0</v>
      </c>
      <c r="P689" s="66"/>
      <c r="Q689" s="66"/>
      <c r="R689" s="66"/>
      <c r="S689" s="66"/>
      <c r="T689" s="66"/>
      <c r="U689" s="66"/>
      <c r="V689" s="66"/>
      <c r="W689" s="66"/>
      <c r="X689" s="66"/>
      <c r="Y689" s="66"/>
      <c r="Z689" s="66"/>
    </row>
    <row r="690">
      <c r="A690" s="66"/>
      <c r="B690" s="66"/>
      <c r="C690" s="66"/>
      <c r="D690" s="66"/>
      <c r="E690" s="66"/>
      <c r="F690" s="66"/>
      <c r="G690" s="66"/>
      <c r="H690" s="66"/>
      <c r="I690" s="66"/>
      <c r="J690" s="66"/>
      <c r="K690" s="66"/>
      <c r="L690" s="66"/>
      <c r="M690" s="66" t="s">
        <v>578</v>
      </c>
      <c r="N690" s="158">
        <v>46218.0</v>
      </c>
      <c r="O690" s="66">
        <v>1.0</v>
      </c>
      <c r="P690" s="66"/>
      <c r="Q690" s="66"/>
      <c r="R690" s="66"/>
      <c r="S690" s="66"/>
      <c r="T690" s="66"/>
      <c r="U690" s="66"/>
      <c r="V690" s="66"/>
      <c r="W690" s="66"/>
      <c r="X690" s="66"/>
      <c r="Y690" s="66"/>
      <c r="Z690" s="66"/>
    </row>
    <row r="691">
      <c r="A691" s="66"/>
      <c r="B691" s="66"/>
      <c r="C691" s="66"/>
      <c r="D691" s="66"/>
      <c r="E691" s="66"/>
      <c r="F691" s="66"/>
      <c r="G691" s="66"/>
      <c r="H691" s="66"/>
      <c r="I691" s="66"/>
      <c r="J691" s="66"/>
      <c r="K691" s="66"/>
      <c r="L691" s="66"/>
      <c r="M691" s="66" t="s">
        <v>607</v>
      </c>
      <c r="N691" s="158">
        <v>46218.0</v>
      </c>
      <c r="O691" s="66">
        <v>1.0</v>
      </c>
      <c r="P691" s="66"/>
      <c r="Q691" s="66"/>
      <c r="R691" s="66"/>
      <c r="S691" s="66"/>
      <c r="T691" s="66"/>
      <c r="U691" s="66"/>
      <c r="V691" s="66"/>
      <c r="W691" s="66"/>
      <c r="X691" s="66"/>
      <c r="Y691" s="66"/>
      <c r="Z691" s="66"/>
    </row>
    <row r="692">
      <c r="A692" s="66"/>
      <c r="B692" s="66"/>
      <c r="C692" s="66"/>
      <c r="D692" s="66"/>
      <c r="E692" s="66"/>
      <c r="F692" s="66"/>
      <c r="G692" s="66"/>
      <c r="H692" s="66"/>
      <c r="I692" s="66"/>
      <c r="J692" s="66"/>
      <c r="K692" s="66"/>
      <c r="L692" s="66"/>
      <c r="M692" s="66" t="s">
        <v>622</v>
      </c>
      <c r="N692" s="158">
        <v>46218.0</v>
      </c>
      <c r="O692" s="66">
        <v>1.0</v>
      </c>
      <c r="P692" s="66"/>
      <c r="Q692" s="66"/>
      <c r="R692" s="66"/>
      <c r="S692" s="66"/>
      <c r="T692" s="66"/>
      <c r="U692" s="66"/>
      <c r="V692" s="66"/>
      <c r="W692" s="66"/>
      <c r="X692" s="66"/>
      <c r="Y692" s="66"/>
      <c r="Z692" s="66"/>
    </row>
    <row r="693">
      <c r="A693" s="66"/>
      <c r="B693" s="66"/>
      <c r="C693" s="66"/>
      <c r="D693" s="66"/>
      <c r="E693" s="66"/>
      <c r="F693" s="66"/>
      <c r="G693" s="66"/>
      <c r="H693" s="66"/>
      <c r="I693" s="66"/>
      <c r="J693" s="66"/>
      <c r="K693" s="66"/>
      <c r="L693" s="66"/>
      <c r="M693" s="66" t="s">
        <v>583</v>
      </c>
      <c r="N693" s="158">
        <v>46218.0</v>
      </c>
      <c r="O693" s="66">
        <v>1.0</v>
      </c>
      <c r="P693" s="66"/>
      <c r="Q693" s="66"/>
      <c r="R693" s="66"/>
      <c r="S693" s="66"/>
      <c r="T693" s="66"/>
      <c r="U693" s="66"/>
      <c r="V693" s="66"/>
      <c r="W693" s="66"/>
      <c r="X693" s="66"/>
      <c r="Y693" s="66"/>
      <c r="Z693" s="66"/>
    </row>
    <row r="694">
      <c r="A694" s="66"/>
      <c r="B694" s="66"/>
      <c r="C694" s="66"/>
      <c r="D694" s="66"/>
      <c r="E694" s="66"/>
      <c r="F694" s="66"/>
      <c r="G694" s="66"/>
      <c r="H694" s="66"/>
      <c r="I694" s="66"/>
      <c r="J694" s="66"/>
      <c r="K694" s="66"/>
      <c r="L694" s="66"/>
      <c r="M694" s="66" t="s">
        <v>612</v>
      </c>
      <c r="N694" s="158">
        <v>46218.0</v>
      </c>
      <c r="O694" s="66">
        <v>1.0</v>
      </c>
      <c r="P694" s="66"/>
      <c r="Q694" s="66"/>
      <c r="R694" s="66"/>
      <c r="S694" s="66"/>
      <c r="T694" s="66"/>
      <c r="U694" s="66"/>
      <c r="V694" s="66"/>
      <c r="W694" s="66"/>
      <c r="X694" s="66"/>
      <c r="Y694" s="66"/>
      <c r="Z694" s="66"/>
    </row>
    <row r="695">
      <c r="A695" s="66"/>
      <c r="B695" s="66"/>
      <c r="C695" s="66"/>
      <c r="D695" s="66"/>
      <c r="E695" s="66"/>
      <c r="F695" s="66"/>
      <c r="G695" s="66"/>
      <c r="H695" s="66"/>
      <c r="I695" s="66"/>
      <c r="J695" s="66"/>
      <c r="K695" s="66"/>
      <c r="L695" s="66"/>
      <c r="M695" s="66" t="s">
        <v>615</v>
      </c>
      <c r="N695" s="158">
        <v>46218.0</v>
      </c>
      <c r="O695" s="66">
        <v>1.0</v>
      </c>
      <c r="P695" s="66"/>
      <c r="Q695" s="66"/>
      <c r="R695" s="66"/>
      <c r="S695" s="66"/>
      <c r="T695" s="66"/>
      <c r="U695" s="66"/>
      <c r="V695" s="66"/>
      <c r="W695" s="66"/>
      <c r="X695" s="66"/>
      <c r="Y695" s="66"/>
      <c r="Z695" s="66"/>
    </row>
    <row r="696">
      <c r="A696" s="66"/>
      <c r="B696" s="66"/>
      <c r="C696" s="66"/>
      <c r="D696" s="66"/>
      <c r="E696" s="66"/>
      <c r="F696" s="66"/>
      <c r="G696" s="66"/>
      <c r="H696" s="66"/>
      <c r="I696" s="66"/>
      <c r="J696" s="66"/>
      <c r="K696" s="66"/>
      <c r="L696" s="66"/>
      <c r="M696" s="66" t="s">
        <v>617</v>
      </c>
      <c r="N696" s="158">
        <v>46218.0</v>
      </c>
      <c r="O696" s="66">
        <v>1.0</v>
      </c>
      <c r="P696" s="66"/>
      <c r="Q696" s="66"/>
      <c r="R696" s="66"/>
      <c r="S696" s="66"/>
      <c r="T696" s="66"/>
      <c r="U696" s="66"/>
      <c r="V696" s="66"/>
      <c r="W696" s="66"/>
      <c r="X696" s="66"/>
      <c r="Y696" s="66"/>
      <c r="Z696" s="66"/>
    </row>
    <row r="697">
      <c r="A697" s="66"/>
      <c r="B697" s="66"/>
      <c r="C697" s="66"/>
      <c r="D697" s="66"/>
      <c r="E697" s="66"/>
      <c r="F697" s="66"/>
      <c r="G697" s="66"/>
      <c r="H697" s="66"/>
      <c r="I697" s="66"/>
      <c r="J697" s="66"/>
      <c r="K697" s="66"/>
      <c r="L697" s="66"/>
      <c r="M697" s="66" t="s">
        <v>573</v>
      </c>
      <c r="N697" s="158">
        <v>46218.0</v>
      </c>
      <c r="O697" s="66">
        <v>1.0</v>
      </c>
      <c r="P697" s="66"/>
      <c r="Q697" s="66"/>
      <c r="R697" s="66"/>
      <c r="S697" s="66"/>
      <c r="T697" s="66"/>
      <c r="U697" s="66"/>
      <c r="V697" s="66"/>
      <c r="W697" s="66"/>
      <c r="X697" s="66"/>
      <c r="Y697" s="66"/>
      <c r="Z697" s="66"/>
    </row>
    <row r="698">
      <c r="A698" s="66"/>
      <c r="B698" s="66"/>
      <c r="C698" s="66"/>
      <c r="D698" s="66"/>
      <c r="E698" s="66"/>
      <c r="F698" s="66"/>
      <c r="G698" s="66"/>
      <c r="H698" s="66"/>
      <c r="I698" s="66"/>
      <c r="J698" s="66"/>
      <c r="K698" s="66"/>
      <c r="L698" s="66"/>
      <c r="M698" s="66" t="s">
        <v>572</v>
      </c>
      <c r="N698" s="158">
        <v>46218.0</v>
      </c>
      <c r="O698" s="66">
        <v>1.0</v>
      </c>
      <c r="P698" s="66"/>
      <c r="Q698" s="66"/>
      <c r="R698" s="66"/>
      <c r="S698" s="66"/>
      <c r="T698" s="66"/>
      <c r="U698" s="66"/>
      <c r="V698" s="66"/>
      <c r="W698" s="66"/>
      <c r="X698" s="66"/>
      <c r="Y698" s="66"/>
      <c r="Z698" s="66"/>
    </row>
    <row r="699">
      <c r="A699" s="66"/>
      <c r="B699" s="66"/>
      <c r="C699" s="66"/>
      <c r="D699" s="66"/>
      <c r="E699" s="66"/>
      <c r="F699" s="66"/>
      <c r="G699" s="66"/>
      <c r="H699" s="66"/>
      <c r="I699" s="66"/>
      <c r="J699" s="66"/>
      <c r="K699" s="66"/>
      <c r="L699" s="66"/>
      <c r="M699" s="66" t="s">
        <v>580</v>
      </c>
      <c r="N699" s="158">
        <v>46218.0</v>
      </c>
      <c r="O699" s="66">
        <v>1.0</v>
      </c>
      <c r="P699" s="66"/>
      <c r="Q699" s="66"/>
      <c r="R699" s="66"/>
      <c r="S699" s="66"/>
      <c r="T699" s="66"/>
      <c r="U699" s="66"/>
      <c r="V699" s="66"/>
      <c r="W699" s="66"/>
      <c r="X699" s="66"/>
      <c r="Y699" s="66"/>
      <c r="Z699" s="66"/>
    </row>
    <row r="700">
      <c r="A700" s="66"/>
      <c r="B700" s="66"/>
      <c r="C700" s="66"/>
      <c r="D700" s="66"/>
      <c r="E700" s="66"/>
      <c r="F700" s="66"/>
      <c r="G700" s="66"/>
      <c r="H700" s="66"/>
      <c r="I700" s="66"/>
      <c r="J700" s="66"/>
      <c r="K700" s="66"/>
      <c r="L700" s="66"/>
      <c r="M700" s="66" t="s">
        <v>579</v>
      </c>
      <c r="N700" s="158">
        <v>46218.0</v>
      </c>
      <c r="O700" s="66">
        <v>1.0</v>
      </c>
      <c r="P700" s="66"/>
      <c r="Q700" s="66"/>
      <c r="R700" s="66"/>
      <c r="S700" s="66"/>
      <c r="T700" s="66"/>
      <c r="U700" s="66"/>
      <c r="V700" s="66"/>
      <c r="W700" s="66"/>
      <c r="X700" s="66"/>
      <c r="Y700" s="66"/>
      <c r="Z700" s="66"/>
    </row>
    <row r="701">
      <c r="A701" s="66"/>
      <c r="B701" s="66"/>
      <c r="C701" s="66"/>
      <c r="D701" s="66"/>
      <c r="E701" s="66"/>
      <c r="F701" s="66"/>
      <c r="G701" s="66"/>
      <c r="H701" s="66"/>
      <c r="I701" s="66"/>
      <c r="J701" s="66"/>
      <c r="K701" s="66"/>
      <c r="L701" s="66"/>
      <c r="M701" s="66" t="s">
        <v>581</v>
      </c>
      <c r="N701" s="158">
        <v>46218.0</v>
      </c>
      <c r="O701" s="66">
        <v>1.0</v>
      </c>
      <c r="P701" s="66"/>
      <c r="Q701" s="66"/>
      <c r="R701" s="66"/>
      <c r="S701" s="66"/>
      <c r="T701" s="66"/>
      <c r="U701" s="66"/>
      <c r="V701" s="66"/>
      <c r="W701" s="66"/>
      <c r="X701" s="66"/>
      <c r="Y701" s="66"/>
      <c r="Z701" s="66"/>
    </row>
    <row r="702">
      <c r="A702" s="66"/>
      <c r="B702" s="66"/>
      <c r="C702" s="66"/>
      <c r="D702" s="66"/>
      <c r="E702" s="66"/>
      <c r="F702" s="66"/>
      <c r="G702" s="66"/>
      <c r="H702" s="66"/>
      <c r="I702" s="66"/>
      <c r="J702" s="66"/>
      <c r="K702" s="66"/>
      <c r="L702" s="66"/>
      <c r="M702" s="66" t="s">
        <v>625</v>
      </c>
      <c r="N702" s="158">
        <v>46218.0</v>
      </c>
      <c r="O702" s="66">
        <v>1.0</v>
      </c>
      <c r="P702" s="66"/>
      <c r="Q702" s="66"/>
      <c r="R702" s="66"/>
      <c r="S702" s="66"/>
      <c r="T702" s="66"/>
      <c r="U702" s="66"/>
      <c r="V702" s="66"/>
      <c r="W702" s="66"/>
      <c r="X702" s="66"/>
      <c r="Y702" s="66"/>
      <c r="Z702" s="66"/>
    </row>
    <row r="703">
      <c r="A703" s="66"/>
      <c r="B703" s="66"/>
      <c r="C703" s="66"/>
      <c r="D703" s="66"/>
      <c r="E703" s="66"/>
      <c r="F703" s="66"/>
      <c r="G703" s="66"/>
      <c r="H703" s="66"/>
      <c r="I703" s="66"/>
      <c r="J703" s="66"/>
      <c r="K703" s="66"/>
      <c r="L703" s="66"/>
      <c r="M703" s="66" t="s">
        <v>582</v>
      </c>
      <c r="N703" s="158">
        <v>46218.0</v>
      </c>
      <c r="O703" s="66">
        <v>1.0</v>
      </c>
      <c r="P703" s="66"/>
      <c r="Q703" s="66"/>
      <c r="R703" s="66"/>
      <c r="S703" s="66"/>
      <c r="T703" s="66"/>
      <c r="U703" s="66"/>
      <c r="V703" s="66"/>
      <c r="W703" s="66"/>
      <c r="X703" s="66"/>
      <c r="Y703" s="66"/>
      <c r="Z703" s="66"/>
    </row>
    <row r="704">
      <c r="A704" s="66"/>
      <c r="B704" s="66"/>
      <c r="C704" s="66"/>
      <c r="D704" s="66"/>
      <c r="E704" s="66"/>
      <c r="F704" s="66"/>
      <c r="G704" s="66"/>
      <c r="H704" s="66"/>
      <c r="I704" s="66"/>
      <c r="J704" s="66"/>
      <c r="K704" s="66"/>
      <c r="L704" s="66"/>
      <c r="M704" s="66" t="s">
        <v>569</v>
      </c>
      <c r="N704" s="158">
        <v>46218.0</v>
      </c>
      <c r="O704" s="66">
        <v>1.0</v>
      </c>
      <c r="P704" s="66"/>
      <c r="Q704" s="66"/>
      <c r="R704" s="66"/>
      <c r="S704" s="66"/>
      <c r="T704" s="66"/>
      <c r="U704" s="66"/>
      <c r="V704" s="66"/>
      <c r="W704" s="66"/>
      <c r="X704" s="66"/>
      <c r="Y704" s="66"/>
      <c r="Z704" s="66"/>
    </row>
    <row r="705">
      <c r="A705" s="66"/>
      <c r="B705" s="66"/>
      <c r="C705" s="66"/>
      <c r="D705" s="66"/>
      <c r="E705" s="66"/>
      <c r="F705" s="66"/>
      <c r="G705" s="66"/>
      <c r="H705" s="66"/>
      <c r="I705" s="66"/>
      <c r="J705" s="66"/>
      <c r="K705" s="66"/>
      <c r="L705" s="66"/>
      <c r="M705" s="66" t="s">
        <v>570</v>
      </c>
      <c r="N705" s="158">
        <v>46218.0</v>
      </c>
      <c r="O705" s="66">
        <v>1.0</v>
      </c>
      <c r="P705" s="66"/>
      <c r="Q705" s="66"/>
      <c r="R705" s="66"/>
      <c r="S705" s="66"/>
      <c r="T705" s="66"/>
      <c r="U705" s="66"/>
      <c r="V705" s="66"/>
      <c r="W705" s="66"/>
      <c r="X705" s="66"/>
      <c r="Y705" s="66"/>
      <c r="Z705" s="66"/>
    </row>
    <row r="706">
      <c r="A706" s="66"/>
      <c r="B706" s="66"/>
      <c r="C706" s="66"/>
      <c r="D706" s="66"/>
      <c r="E706" s="66"/>
      <c r="F706" s="66"/>
      <c r="G706" s="66"/>
      <c r="H706" s="66"/>
      <c r="I706" s="66"/>
      <c r="J706" s="66"/>
      <c r="K706" s="66"/>
      <c r="L706" s="66" t="s">
        <v>717</v>
      </c>
      <c r="M706" s="66"/>
      <c r="N706" s="66"/>
      <c r="O706" s="66">
        <v>96.0</v>
      </c>
      <c r="P706" s="66"/>
      <c r="Q706" s="66"/>
      <c r="R706" s="66"/>
      <c r="S706" s="66"/>
      <c r="T706" s="66"/>
      <c r="U706" s="66"/>
      <c r="V706" s="66"/>
      <c r="W706" s="66"/>
      <c r="X706" s="66"/>
      <c r="Y706" s="66"/>
      <c r="Z706" s="66"/>
    </row>
    <row r="707">
      <c r="A707" s="66"/>
      <c r="B707" s="66"/>
      <c r="C707" s="66"/>
      <c r="D707" s="66"/>
      <c r="E707" s="66"/>
      <c r="F707" s="66"/>
      <c r="G707" s="66"/>
      <c r="H707" s="66"/>
      <c r="I707" s="66"/>
      <c r="J707" s="66"/>
      <c r="K707" s="66" t="s">
        <v>279</v>
      </c>
      <c r="L707" s="158" t="s">
        <v>30</v>
      </c>
      <c r="M707" s="66" t="s">
        <v>285</v>
      </c>
      <c r="N707" s="158">
        <v>46218.0</v>
      </c>
      <c r="O707" s="66">
        <v>1.0</v>
      </c>
      <c r="P707" s="66"/>
      <c r="Q707" s="66"/>
      <c r="R707" s="66"/>
      <c r="S707" s="66"/>
      <c r="T707" s="66"/>
      <c r="U707" s="66"/>
      <c r="V707" s="66"/>
      <c r="W707" s="66"/>
      <c r="X707" s="66"/>
      <c r="Y707" s="66"/>
      <c r="Z707" s="66"/>
    </row>
    <row r="708">
      <c r="A708" s="66"/>
      <c r="B708" s="66"/>
      <c r="C708" s="66"/>
      <c r="D708" s="66"/>
      <c r="E708" s="66"/>
      <c r="F708" s="66"/>
      <c r="G708" s="66"/>
      <c r="H708" s="66"/>
      <c r="I708" s="66"/>
      <c r="J708" s="66"/>
      <c r="K708" s="66"/>
      <c r="L708" s="66"/>
      <c r="M708" s="66" t="s">
        <v>286</v>
      </c>
      <c r="N708" s="158">
        <v>46218.0</v>
      </c>
      <c r="O708" s="66">
        <v>1.0</v>
      </c>
      <c r="P708" s="66"/>
      <c r="Q708" s="66"/>
      <c r="R708" s="66"/>
      <c r="S708" s="66"/>
      <c r="T708" s="66"/>
      <c r="U708" s="66"/>
      <c r="V708" s="66"/>
      <c r="W708" s="66"/>
      <c r="X708" s="66"/>
      <c r="Y708" s="66"/>
      <c r="Z708" s="66"/>
    </row>
    <row r="709">
      <c r="A709" s="66"/>
      <c r="B709" s="66"/>
      <c r="C709" s="66"/>
      <c r="D709" s="66"/>
      <c r="E709" s="66"/>
      <c r="F709" s="66"/>
      <c r="G709" s="66"/>
      <c r="H709" s="66"/>
      <c r="I709" s="66"/>
      <c r="J709" s="66"/>
      <c r="K709" s="66"/>
      <c r="L709" s="66"/>
      <c r="M709" s="66" t="s">
        <v>301</v>
      </c>
      <c r="N709" s="158">
        <v>46218.0</v>
      </c>
      <c r="O709" s="66">
        <v>1.0</v>
      </c>
      <c r="P709" s="66"/>
      <c r="Q709" s="66"/>
      <c r="R709" s="66"/>
      <c r="S709" s="66"/>
      <c r="T709" s="66"/>
      <c r="U709" s="66"/>
      <c r="V709" s="66"/>
      <c r="W709" s="66"/>
      <c r="X709" s="66"/>
      <c r="Y709" s="66"/>
      <c r="Z709" s="66"/>
    </row>
    <row r="710">
      <c r="A710" s="66"/>
      <c r="B710" s="66"/>
      <c r="C710" s="66"/>
      <c r="D710" s="66"/>
      <c r="E710" s="66"/>
      <c r="F710" s="66"/>
      <c r="G710" s="66"/>
      <c r="H710" s="66"/>
      <c r="I710" s="66"/>
      <c r="J710" s="66"/>
      <c r="K710" s="66"/>
      <c r="L710" s="66"/>
      <c r="M710" s="66" t="s">
        <v>293</v>
      </c>
      <c r="N710" s="158">
        <v>46218.0</v>
      </c>
      <c r="O710" s="66">
        <v>1.0</v>
      </c>
      <c r="P710" s="66"/>
      <c r="Q710" s="66"/>
      <c r="R710" s="66"/>
      <c r="S710" s="66"/>
      <c r="T710" s="66"/>
      <c r="U710" s="66"/>
      <c r="V710" s="66"/>
      <c r="W710" s="66"/>
      <c r="X710" s="66"/>
      <c r="Y710" s="66"/>
      <c r="Z710" s="66"/>
    </row>
    <row r="711">
      <c r="A711" s="66"/>
      <c r="B711" s="66"/>
      <c r="C711" s="66"/>
      <c r="D711" s="66"/>
      <c r="E711" s="66"/>
      <c r="F711" s="66"/>
      <c r="G711" s="66"/>
      <c r="H711" s="66"/>
      <c r="I711" s="66"/>
      <c r="J711" s="66"/>
      <c r="K711" s="66"/>
      <c r="L711" s="66"/>
      <c r="M711" s="66" t="s">
        <v>292</v>
      </c>
      <c r="N711" s="158">
        <v>46218.0</v>
      </c>
      <c r="O711" s="66">
        <v>1.0</v>
      </c>
      <c r="P711" s="66"/>
      <c r="Q711" s="66"/>
      <c r="R711" s="66"/>
      <c r="S711" s="66"/>
      <c r="T711" s="66"/>
      <c r="U711" s="66"/>
      <c r="V711" s="66"/>
      <c r="W711" s="66"/>
      <c r="X711" s="66"/>
      <c r="Y711" s="66"/>
      <c r="Z711" s="66"/>
    </row>
    <row r="712">
      <c r="A712" s="66"/>
      <c r="B712" s="66"/>
      <c r="C712" s="66"/>
      <c r="D712" s="66"/>
      <c r="E712" s="66"/>
      <c r="F712" s="66"/>
      <c r="G712" s="66"/>
      <c r="H712" s="66"/>
      <c r="I712" s="66"/>
      <c r="J712" s="66"/>
      <c r="K712" s="66"/>
      <c r="L712" s="66"/>
      <c r="M712" s="66" t="s">
        <v>287</v>
      </c>
      <c r="N712" s="158">
        <v>46218.0</v>
      </c>
      <c r="O712" s="66">
        <v>1.0</v>
      </c>
      <c r="P712" s="66"/>
      <c r="Q712" s="66"/>
      <c r="R712" s="66"/>
      <c r="S712" s="66"/>
      <c r="T712" s="66"/>
      <c r="U712" s="66"/>
      <c r="V712" s="66"/>
      <c r="W712" s="66"/>
      <c r="X712" s="66"/>
      <c r="Y712" s="66"/>
      <c r="Z712" s="66"/>
    </row>
    <row r="713">
      <c r="A713" s="66"/>
      <c r="B713" s="66"/>
      <c r="C713" s="66"/>
      <c r="D713" s="66"/>
      <c r="E713" s="66"/>
      <c r="F713" s="66"/>
      <c r="G713" s="66"/>
      <c r="H713" s="66"/>
      <c r="I713" s="66"/>
      <c r="J713" s="66"/>
      <c r="K713" s="66"/>
      <c r="L713" s="66"/>
      <c r="M713" s="66" t="s">
        <v>289</v>
      </c>
      <c r="N713" s="158">
        <v>46218.0</v>
      </c>
      <c r="O713" s="66">
        <v>1.0</v>
      </c>
      <c r="P713" s="66"/>
      <c r="Q713" s="66"/>
      <c r="R713" s="66"/>
      <c r="S713" s="66"/>
      <c r="T713" s="66"/>
      <c r="U713" s="66"/>
      <c r="V713" s="66"/>
      <c r="W713" s="66"/>
      <c r="X713" s="66"/>
      <c r="Y713" s="66"/>
      <c r="Z713" s="66"/>
    </row>
    <row r="714">
      <c r="A714" s="66"/>
      <c r="B714" s="66"/>
      <c r="C714" s="66"/>
      <c r="D714" s="66"/>
      <c r="E714" s="66"/>
      <c r="F714" s="66"/>
      <c r="G714" s="66"/>
      <c r="H714" s="66"/>
      <c r="I714" s="66"/>
      <c r="J714" s="66"/>
      <c r="K714" s="66"/>
      <c r="L714" s="66"/>
      <c r="M714" s="66" t="s">
        <v>291</v>
      </c>
      <c r="N714" s="158">
        <v>46218.0</v>
      </c>
      <c r="O714" s="66">
        <v>1.0</v>
      </c>
      <c r="P714" s="66"/>
      <c r="Q714" s="66"/>
      <c r="R714" s="66"/>
      <c r="S714" s="66"/>
      <c r="T714" s="66"/>
      <c r="U714" s="66"/>
      <c r="V714" s="66"/>
      <c r="W714" s="66"/>
      <c r="X714" s="66"/>
      <c r="Y714" s="66"/>
      <c r="Z714" s="66"/>
    </row>
    <row r="715">
      <c r="A715" s="66"/>
      <c r="B715" s="66"/>
      <c r="C715" s="66"/>
      <c r="D715" s="66"/>
      <c r="E715" s="66"/>
      <c r="F715" s="66"/>
      <c r="G715" s="66"/>
      <c r="H715" s="66"/>
      <c r="I715" s="66"/>
      <c r="J715" s="66"/>
      <c r="K715" s="66"/>
      <c r="L715" s="66"/>
      <c r="M715" s="66" t="s">
        <v>299</v>
      </c>
      <c r="N715" s="158">
        <v>46218.0</v>
      </c>
      <c r="O715" s="66">
        <v>1.0</v>
      </c>
      <c r="P715" s="66"/>
      <c r="Q715" s="66"/>
      <c r="R715" s="66"/>
      <c r="S715" s="66"/>
      <c r="T715" s="66"/>
      <c r="U715" s="66"/>
      <c r="V715" s="66"/>
      <c r="W715" s="66"/>
      <c r="X715" s="66"/>
      <c r="Y715" s="66"/>
      <c r="Z715" s="66"/>
    </row>
    <row r="716">
      <c r="A716" s="66"/>
      <c r="B716" s="66"/>
      <c r="C716" s="66"/>
      <c r="D716" s="66"/>
      <c r="E716" s="66"/>
      <c r="F716" s="66"/>
      <c r="G716" s="66"/>
      <c r="H716" s="66"/>
      <c r="I716" s="66"/>
      <c r="J716" s="66"/>
      <c r="K716" s="66"/>
      <c r="L716" s="66"/>
      <c r="M716" s="66" t="s">
        <v>296</v>
      </c>
      <c r="N716" s="158">
        <v>46218.0</v>
      </c>
      <c r="O716" s="66">
        <v>1.0</v>
      </c>
      <c r="P716" s="66"/>
      <c r="Q716" s="66"/>
      <c r="R716" s="66"/>
      <c r="S716" s="66"/>
      <c r="T716" s="66"/>
      <c r="U716" s="66"/>
      <c r="V716" s="66"/>
      <c r="W716" s="66"/>
      <c r="X716" s="66"/>
      <c r="Y716" s="66"/>
      <c r="Z716" s="66"/>
    </row>
    <row r="717">
      <c r="A717" s="66"/>
      <c r="B717" s="66"/>
      <c r="C717" s="66"/>
      <c r="D717" s="66"/>
      <c r="E717" s="66"/>
      <c r="F717" s="66"/>
      <c r="G717" s="66"/>
      <c r="H717" s="66"/>
      <c r="I717" s="66"/>
      <c r="J717" s="66"/>
      <c r="K717" s="66"/>
      <c r="L717" s="66"/>
      <c r="M717" s="66" t="s">
        <v>297</v>
      </c>
      <c r="N717" s="158">
        <v>46218.0</v>
      </c>
      <c r="O717" s="66">
        <v>1.0</v>
      </c>
      <c r="P717" s="66"/>
      <c r="Q717" s="66"/>
      <c r="R717" s="66"/>
      <c r="S717" s="66"/>
      <c r="T717" s="66"/>
      <c r="U717" s="66"/>
      <c r="V717" s="66"/>
      <c r="W717" s="66"/>
      <c r="X717" s="66"/>
      <c r="Y717" s="66"/>
      <c r="Z717" s="66"/>
    </row>
    <row r="718">
      <c r="A718" s="66"/>
      <c r="B718" s="66"/>
      <c r="C718" s="66"/>
      <c r="D718" s="66"/>
      <c r="E718" s="66"/>
      <c r="F718" s="66"/>
      <c r="G718" s="66"/>
      <c r="H718" s="66"/>
      <c r="I718" s="66"/>
      <c r="J718" s="66"/>
      <c r="K718" s="66"/>
      <c r="L718" s="66"/>
      <c r="M718" s="66" t="s">
        <v>288</v>
      </c>
      <c r="N718" s="158">
        <v>46218.0</v>
      </c>
      <c r="O718" s="66">
        <v>1.0</v>
      </c>
      <c r="P718" s="66"/>
      <c r="Q718" s="66"/>
      <c r="R718" s="66"/>
      <c r="S718" s="66"/>
      <c r="T718" s="66"/>
      <c r="U718" s="66"/>
      <c r="V718" s="66"/>
      <c r="W718" s="66"/>
      <c r="X718" s="66"/>
      <c r="Y718" s="66"/>
      <c r="Z718" s="66"/>
    </row>
    <row r="719">
      <c r="A719" s="66"/>
      <c r="B719" s="66"/>
      <c r="C719" s="66"/>
      <c r="D719" s="66"/>
      <c r="E719" s="66"/>
      <c r="F719" s="66"/>
      <c r="G719" s="66"/>
      <c r="H719" s="66"/>
      <c r="I719" s="66"/>
      <c r="J719" s="66"/>
      <c r="K719" s="66"/>
      <c r="L719" s="66"/>
      <c r="M719" s="66" t="s">
        <v>295</v>
      </c>
      <c r="N719" s="158">
        <v>46218.0</v>
      </c>
      <c r="O719" s="66">
        <v>1.0</v>
      </c>
      <c r="P719" s="66"/>
      <c r="Q719" s="66"/>
      <c r="R719" s="66"/>
      <c r="S719" s="66"/>
      <c r="T719" s="66"/>
      <c r="U719" s="66"/>
      <c r="V719" s="66"/>
      <c r="W719" s="66"/>
      <c r="X719" s="66"/>
      <c r="Y719" s="66"/>
      <c r="Z719" s="66"/>
    </row>
    <row r="720">
      <c r="A720" s="66"/>
      <c r="B720" s="66"/>
      <c r="C720" s="66"/>
      <c r="D720" s="66"/>
      <c r="E720" s="66"/>
      <c r="F720" s="66"/>
      <c r="G720" s="66"/>
      <c r="H720" s="66"/>
      <c r="I720" s="66"/>
      <c r="J720" s="66"/>
      <c r="K720" s="66"/>
      <c r="L720" s="66"/>
      <c r="M720" s="66" t="s">
        <v>294</v>
      </c>
      <c r="N720" s="158">
        <v>46218.0</v>
      </c>
      <c r="O720" s="66">
        <v>1.0</v>
      </c>
      <c r="P720" s="66"/>
      <c r="Q720" s="66"/>
      <c r="R720" s="66"/>
      <c r="S720" s="66"/>
      <c r="T720" s="66"/>
      <c r="U720" s="66"/>
      <c r="V720" s="66"/>
      <c r="W720" s="66"/>
      <c r="X720" s="66"/>
      <c r="Y720" s="66"/>
      <c r="Z720" s="66"/>
    </row>
    <row r="721">
      <c r="A721" s="66"/>
      <c r="B721" s="66"/>
      <c r="C721" s="66"/>
      <c r="D721" s="66"/>
      <c r="E721" s="66"/>
      <c r="F721" s="66"/>
      <c r="G721" s="66"/>
      <c r="H721" s="66"/>
      <c r="I721" s="66"/>
      <c r="J721" s="66"/>
      <c r="K721" s="66"/>
      <c r="L721" s="66"/>
      <c r="M721" s="66" t="s">
        <v>300</v>
      </c>
      <c r="N721" s="158">
        <v>46218.0</v>
      </c>
      <c r="O721" s="66">
        <v>1.0</v>
      </c>
      <c r="P721" s="66"/>
      <c r="Q721" s="66"/>
      <c r="R721" s="66"/>
      <c r="S721" s="66"/>
      <c r="T721" s="66"/>
      <c r="U721" s="66"/>
      <c r="V721" s="66"/>
      <c r="W721" s="66"/>
      <c r="X721" s="66"/>
      <c r="Y721" s="66"/>
      <c r="Z721" s="66"/>
    </row>
    <row r="722">
      <c r="A722" s="66"/>
      <c r="B722" s="66"/>
      <c r="C722" s="66"/>
      <c r="D722" s="66"/>
      <c r="E722" s="66"/>
      <c r="F722" s="66"/>
      <c r="G722" s="66"/>
      <c r="H722" s="66"/>
      <c r="I722" s="66"/>
      <c r="J722" s="66"/>
      <c r="K722" s="66"/>
      <c r="L722" s="66"/>
      <c r="M722" s="66" t="s">
        <v>290</v>
      </c>
      <c r="N722" s="158">
        <v>46218.0</v>
      </c>
      <c r="O722" s="66">
        <v>1.0</v>
      </c>
      <c r="P722" s="66"/>
      <c r="Q722" s="66"/>
      <c r="R722" s="66"/>
      <c r="S722" s="66"/>
      <c r="T722" s="66"/>
      <c r="U722" s="66"/>
      <c r="V722" s="66"/>
      <c r="W722" s="66"/>
      <c r="X722" s="66"/>
      <c r="Y722" s="66"/>
      <c r="Z722" s="66"/>
    </row>
    <row r="723">
      <c r="A723" s="66"/>
      <c r="B723" s="66"/>
      <c r="C723" s="66"/>
      <c r="D723" s="66"/>
      <c r="E723" s="66"/>
      <c r="F723" s="66"/>
      <c r="G723" s="66"/>
      <c r="H723" s="66"/>
      <c r="I723" s="66"/>
      <c r="J723" s="66"/>
      <c r="K723" s="66"/>
      <c r="L723" s="66"/>
      <c r="M723" s="66" t="s">
        <v>304</v>
      </c>
      <c r="N723" s="158">
        <v>46218.0</v>
      </c>
      <c r="O723" s="66">
        <v>1.0</v>
      </c>
      <c r="P723" s="66"/>
      <c r="Q723" s="66"/>
      <c r="R723" s="66"/>
      <c r="S723" s="66"/>
      <c r="T723" s="66"/>
      <c r="U723" s="66"/>
      <c r="V723" s="66"/>
      <c r="W723" s="66"/>
      <c r="X723" s="66"/>
      <c r="Y723" s="66"/>
      <c r="Z723" s="66"/>
    </row>
    <row r="724">
      <c r="A724" s="66"/>
      <c r="B724" s="66"/>
      <c r="C724" s="66"/>
      <c r="D724" s="66"/>
      <c r="E724" s="66"/>
      <c r="F724" s="66"/>
      <c r="G724" s="66"/>
      <c r="H724" s="66"/>
      <c r="I724" s="66"/>
      <c r="J724" s="66"/>
      <c r="K724" s="66"/>
      <c r="L724" s="66"/>
      <c r="M724" s="66" t="s">
        <v>305</v>
      </c>
      <c r="N724" s="158">
        <v>46218.0</v>
      </c>
      <c r="O724" s="66">
        <v>1.0</v>
      </c>
      <c r="P724" s="66"/>
      <c r="Q724" s="66"/>
      <c r="R724" s="66"/>
      <c r="S724" s="66"/>
      <c r="T724" s="66"/>
      <c r="U724" s="66"/>
      <c r="V724" s="66"/>
      <c r="W724" s="66"/>
      <c r="X724" s="66"/>
      <c r="Y724" s="66"/>
      <c r="Z724" s="66"/>
    </row>
    <row r="725">
      <c r="A725" s="66"/>
      <c r="B725" s="66"/>
      <c r="C725" s="66"/>
      <c r="D725" s="66"/>
      <c r="E725" s="66"/>
      <c r="F725" s="66"/>
      <c r="G725" s="66"/>
      <c r="H725" s="66"/>
      <c r="I725" s="66"/>
      <c r="J725" s="66"/>
      <c r="K725" s="66"/>
      <c r="L725" s="66"/>
      <c r="M725" s="66" t="s">
        <v>298</v>
      </c>
      <c r="N725" s="158">
        <v>46218.0</v>
      </c>
      <c r="O725" s="66">
        <v>1.0</v>
      </c>
      <c r="P725" s="66"/>
      <c r="Q725" s="66"/>
      <c r="R725" s="66"/>
      <c r="S725" s="66"/>
      <c r="T725" s="66"/>
      <c r="U725" s="66"/>
      <c r="V725" s="66"/>
      <c r="W725" s="66"/>
      <c r="X725" s="66"/>
      <c r="Y725" s="66"/>
      <c r="Z725" s="66"/>
    </row>
    <row r="726">
      <c r="A726" s="66"/>
      <c r="B726" s="66"/>
      <c r="C726" s="66"/>
      <c r="D726" s="66"/>
      <c r="E726" s="66"/>
      <c r="F726" s="66"/>
      <c r="G726" s="66"/>
      <c r="H726" s="66"/>
      <c r="I726" s="66"/>
      <c r="J726" s="66"/>
      <c r="K726" s="66"/>
      <c r="L726" s="66"/>
      <c r="M726" s="66" t="s">
        <v>280</v>
      </c>
      <c r="N726" s="158">
        <v>46218.0</v>
      </c>
      <c r="O726" s="66">
        <v>1.0</v>
      </c>
      <c r="P726" s="66"/>
      <c r="Q726" s="66"/>
      <c r="R726" s="66"/>
      <c r="S726" s="66"/>
      <c r="T726" s="66"/>
      <c r="U726" s="66"/>
      <c r="V726" s="66"/>
      <c r="W726" s="66"/>
      <c r="X726" s="66"/>
      <c r="Y726" s="66"/>
      <c r="Z726" s="66"/>
    </row>
    <row r="727">
      <c r="A727" s="66"/>
      <c r="B727" s="66"/>
      <c r="C727" s="66"/>
      <c r="D727" s="66"/>
      <c r="E727" s="66"/>
      <c r="F727" s="66"/>
      <c r="G727" s="66"/>
      <c r="H727" s="66"/>
      <c r="I727" s="66"/>
      <c r="J727" s="66"/>
      <c r="K727" s="66"/>
      <c r="L727" s="66"/>
      <c r="M727" s="66" t="s">
        <v>281</v>
      </c>
      <c r="N727" s="158">
        <v>46218.0</v>
      </c>
      <c r="O727" s="66">
        <v>1.0</v>
      </c>
      <c r="P727" s="66"/>
      <c r="Q727" s="66"/>
      <c r="R727" s="66"/>
      <c r="S727" s="66"/>
      <c r="T727" s="66"/>
      <c r="U727" s="66"/>
      <c r="V727" s="66"/>
      <c r="W727" s="66"/>
      <c r="X727" s="66"/>
      <c r="Y727" s="66"/>
      <c r="Z727" s="66"/>
    </row>
    <row r="728">
      <c r="A728" s="66"/>
      <c r="B728" s="66"/>
      <c r="C728" s="66"/>
      <c r="D728" s="66"/>
      <c r="E728" s="66"/>
      <c r="F728" s="66"/>
      <c r="G728" s="66"/>
      <c r="H728" s="66"/>
      <c r="I728" s="66"/>
      <c r="J728" s="66"/>
      <c r="K728" s="66"/>
      <c r="L728" s="66"/>
      <c r="M728" s="66" t="s">
        <v>284</v>
      </c>
      <c r="N728" s="158">
        <v>46218.0</v>
      </c>
      <c r="O728" s="66">
        <v>1.0</v>
      </c>
      <c r="P728" s="66"/>
      <c r="Q728" s="66"/>
      <c r="R728" s="66"/>
      <c r="S728" s="66"/>
      <c r="T728" s="66"/>
      <c r="U728" s="66"/>
      <c r="V728" s="66"/>
      <c r="W728" s="66"/>
      <c r="X728" s="66"/>
      <c r="Y728" s="66"/>
      <c r="Z728" s="66"/>
    </row>
    <row r="729">
      <c r="A729" s="66"/>
      <c r="B729" s="66"/>
      <c r="C729" s="66"/>
      <c r="D729" s="66"/>
      <c r="E729" s="66"/>
      <c r="F729" s="66"/>
      <c r="G729" s="66"/>
      <c r="H729" s="66"/>
      <c r="I729" s="66"/>
      <c r="J729" s="66"/>
      <c r="K729" s="66"/>
      <c r="L729" s="66"/>
      <c r="M729" s="66" t="s">
        <v>282</v>
      </c>
      <c r="N729" s="158">
        <v>46218.0</v>
      </c>
      <c r="O729" s="66">
        <v>1.0</v>
      </c>
      <c r="P729" s="66"/>
      <c r="Q729" s="66"/>
      <c r="R729" s="66"/>
      <c r="S729" s="66"/>
      <c r="T729" s="66"/>
      <c r="U729" s="66"/>
      <c r="V729" s="66"/>
      <c r="W729" s="66"/>
      <c r="X729" s="66"/>
      <c r="Y729" s="66"/>
      <c r="Z729" s="66"/>
    </row>
    <row r="730">
      <c r="A730" s="66"/>
      <c r="B730" s="66"/>
      <c r="C730" s="66"/>
      <c r="D730" s="66"/>
      <c r="E730" s="66"/>
      <c r="F730" s="66"/>
      <c r="G730" s="66"/>
      <c r="H730" s="66"/>
      <c r="I730" s="66"/>
      <c r="J730" s="66"/>
      <c r="K730" s="66"/>
      <c r="L730" s="66"/>
      <c r="M730" s="66" t="s">
        <v>303</v>
      </c>
      <c r="N730" s="158">
        <v>46218.0</v>
      </c>
      <c r="O730" s="66">
        <v>1.0</v>
      </c>
      <c r="P730" s="66"/>
      <c r="Q730" s="66"/>
      <c r="R730" s="66"/>
      <c r="S730" s="66"/>
      <c r="T730" s="66"/>
      <c r="U730" s="66"/>
      <c r="V730" s="66"/>
      <c r="W730" s="66"/>
      <c r="X730" s="66"/>
      <c r="Y730" s="66"/>
      <c r="Z730" s="66"/>
    </row>
    <row r="731">
      <c r="A731" s="66"/>
      <c r="B731" s="66"/>
      <c r="C731" s="66"/>
      <c r="D731" s="66"/>
      <c r="E731" s="66"/>
      <c r="F731" s="66"/>
      <c r="G731" s="66"/>
      <c r="H731" s="66"/>
      <c r="I731" s="66"/>
      <c r="J731" s="66"/>
      <c r="K731" s="66"/>
      <c r="L731" s="66"/>
      <c r="M731" s="66" t="s">
        <v>302</v>
      </c>
      <c r="N731" s="158">
        <v>46218.0</v>
      </c>
      <c r="O731" s="66">
        <v>1.0</v>
      </c>
      <c r="P731" s="66"/>
      <c r="Q731" s="66"/>
      <c r="R731" s="66"/>
      <c r="S731" s="66"/>
      <c r="T731" s="66"/>
      <c r="U731" s="66"/>
      <c r="V731" s="66"/>
      <c r="W731" s="66"/>
      <c r="X731" s="66"/>
      <c r="Y731" s="66"/>
      <c r="Z731" s="66"/>
    </row>
    <row r="732">
      <c r="A732" s="66"/>
      <c r="B732" s="66"/>
      <c r="C732" s="66"/>
      <c r="D732" s="66"/>
      <c r="E732" s="66"/>
      <c r="F732" s="66"/>
      <c r="G732" s="66"/>
      <c r="H732" s="66"/>
      <c r="I732" s="66"/>
      <c r="J732" s="66"/>
      <c r="K732" s="66"/>
      <c r="L732" s="66"/>
      <c r="M732" s="66" t="s">
        <v>283</v>
      </c>
      <c r="N732" s="158">
        <v>46218.0</v>
      </c>
      <c r="O732" s="66">
        <v>1.0</v>
      </c>
      <c r="P732" s="66"/>
      <c r="Q732" s="66"/>
      <c r="R732" s="66"/>
      <c r="S732" s="66"/>
      <c r="T732" s="66"/>
      <c r="U732" s="66"/>
      <c r="V732" s="66"/>
      <c r="W732" s="66"/>
      <c r="X732" s="66"/>
      <c r="Y732" s="66"/>
      <c r="Z732" s="66"/>
    </row>
    <row r="733">
      <c r="A733" s="66"/>
      <c r="B733" s="66"/>
      <c r="C733" s="66"/>
      <c r="D733" s="66"/>
      <c r="E733" s="66"/>
      <c r="F733" s="66"/>
      <c r="G733" s="66"/>
      <c r="H733" s="66"/>
      <c r="I733" s="66"/>
      <c r="J733" s="66"/>
      <c r="K733" s="66"/>
      <c r="L733" s="66" t="s">
        <v>717</v>
      </c>
      <c r="M733" s="66"/>
      <c r="N733" s="66"/>
      <c r="O733" s="66">
        <v>26.0</v>
      </c>
      <c r="P733" s="66"/>
      <c r="Q733" s="66"/>
      <c r="R733" s="66"/>
      <c r="S733" s="66"/>
      <c r="T733" s="66"/>
      <c r="U733" s="66"/>
      <c r="V733" s="66"/>
      <c r="W733" s="66"/>
      <c r="X733" s="66"/>
      <c r="Y733" s="66"/>
      <c r="Z733" s="66"/>
    </row>
    <row r="734">
      <c r="A734" s="66"/>
      <c r="B734" s="66"/>
      <c r="C734" s="66"/>
      <c r="D734" s="66"/>
      <c r="E734" s="66"/>
      <c r="F734" s="66"/>
      <c r="G734" s="66"/>
      <c r="H734" s="66"/>
      <c r="I734" s="66"/>
      <c r="J734" s="66"/>
      <c r="K734" s="66" t="s">
        <v>265</v>
      </c>
      <c r="L734" s="158" t="s">
        <v>30</v>
      </c>
      <c r="M734" s="66" t="s">
        <v>268</v>
      </c>
      <c r="N734" s="158">
        <v>46218.0</v>
      </c>
      <c r="O734" s="66">
        <v>1.0</v>
      </c>
      <c r="P734" s="66"/>
      <c r="Q734" s="66"/>
      <c r="R734" s="66"/>
      <c r="S734" s="66"/>
      <c r="T734" s="66"/>
      <c r="U734" s="66"/>
      <c r="V734" s="66"/>
      <c r="W734" s="66"/>
      <c r="X734" s="66"/>
      <c r="Y734" s="66"/>
      <c r="Z734" s="66"/>
    </row>
    <row r="735">
      <c r="A735" s="66"/>
      <c r="B735" s="66"/>
      <c r="C735" s="66"/>
      <c r="D735" s="66"/>
      <c r="E735" s="66"/>
      <c r="F735" s="66"/>
      <c r="G735" s="66"/>
      <c r="H735" s="66"/>
      <c r="I735" s="66"/>
      <c r="J735" s="66"/>
      <c r="K735" s="66"/>
      <c r="L735" s="66"/>
      <c r="M735" s="66" t="s">
        <v>267</v>
      </c>
      <c r="N735" s="158">
        <v>46218.0</v>
      </c>
      <c r="O735" s="66">
        <v>1.0</v>
      </c>
      <c r="P735" s="66"/>
      <c r="Q735" s="66"/>
      <c r="R735" s="66"/>
      <c r="S735" s="66"/>
      <c r="T735" s="66"/>
      <c r="U735" s="66"/>
      <c r="V735" s="66"/>
      <c r="W735" s="66"/>
      <c r="X735" s="66"/>
      <c r="Y735" s="66"/>
      <c r="Z735" s="66"/>
    </row>
    <row r="736">
      <c r="A736" s="66"/>
      <c r="B736" s="66"/>
      <c r="C736" s="66"/>
      <c r="D736" s="66"/>
      <c r="E736" s="66"/>
      <c r="F736" s="66"/>
      <c r="G736" s="66"/>
      <c r="H736" s="66"/>
      <c r="I736" s="66"/>
      <c r="J736" s="66"/>
      <c r="K736" s="66"/>
      <c r="L736" s="66"/>
      <c r="M736" s="66" t="s">
        <v>270</v>
      </c>
      <c r="N736" s="158">
        <v>46218.0</v>
      </c>
      <c r="O736" s="66">
        <v>1.0</v>
      </c>
      <c r="P736" s="66"/>
      <c r="Q736" s="66"/>
      <c r="R736" s="66"/>
      <c r="S736" s="66"/>
      <c r="T736" s="66"/>
      <c r="U736" s="66"/>
      <c r="V736" s="66"/>
      <c r="W736" s="66"/>
      <c r="X736" s="66"/>
      <c r="Y736" s="66"/>
      <c r="Z736" s="66"/>
    </row>
    <row r="737">
      <c r="A737" s="66"/>
      <c r="B737" s="66"/>
      <c r="C737" s="66"/>
      <c r="D737" s="66"/>
      <c r="E737" s="66"/>
      <c r="F737" s="66"/>
      <c r="G737" s="66"/>
      <c r="H737" s="66"/>
      <c r="I737" s="66"/>
      <c r="J737" s="66"/>
      <c r="K737" s="66"/>
      <c r="L737" s="66"/>
      <c r="M737" s="66" t="s">
        <v>276</v>
      </c>
      <c r="N737" s="158">
        <v>46218.0</v>
      </c>
      <c r="O737" s="66">
        <v>1.0</v>
      </c>
      <c r="P737" s="66"/>
      <c r="Q737" s="66"/>
      <c r="R737" s="66"/>
      <c r="S737" s="66"/>
      <c r="T737" s="66"/>
      <c r="U737" s="66"/>
      <c r="V737" s="66"/>
      <c r="W737" s="66"/>
      <c r="X737" s="66"/>
      <c r="Y737" s="66"/>
      <c r="Z737" s="66"/>
    </row>
    <row r="738">
      <c r="A738" s="66"/>
      <c r="B738" s="66"/>
      <c r="C738" s="66"/>
      <c r="D738" s="66"/>
      <c r="E738" s="66"/>
      <c r="F738" s="66"/>
      <c r="G738" s="66"/>
      <c r="H738" s="66"/>
      <c r="I738" s="66"/>
      <c r="J738" s="66"/>
      <c r="K738" s="66"/>
      <c r="L738" s="66"/>
      <c r="M738" s="66" t="s">
        <v>266</v>
      </c>
      <c r="N738" s="158">
        <v>46218.0</v>
      </c>
      <c r="O738" s="66">
        <v>1.0</v>
      </c>
      <c r="P738" s="66"/>
      <c r="Q738" s="66"/>
      <c r="R738" s="66"/>
      <c r="S738" s="66"/>
      <c r="T738" s="66"/>
      <c r="U738" s="66"/>
      <c r="V738" s="66"/>
      <c r="W738" s="66"/>
      <c r="X738" s="66"/>
      <c r="Y738" s="66"/>
      <c r="Z738" s="66"/>
    </row>
    <row r="739">
      <c r="A739" s="66"/>
      <c r="B739" s="66"/>
      <c r="C739" s="66"/>
      <c r="D739" s="66"/>
      <c r="E739" s="66"/>
      <c r="F739" s="66"/>
      <c r="G739" s="66"/>
      <c r="H739" s="66"/>
      <c r="I739" s="66"/>
      <c r="J739" s="66"/>
      <c r="K739" s="66"/>
      <c r="L739" s="66"/>
      <c r="M739" s="66" t="s">
        <v>269</v>
      </c>
      <c r="N739" s="158">
        <v>46218.0</v>
      </c>
      <c r="O739" s="66">
        <v>1.0</v>
      </c>
      <c r="P739" s="66"/>
      <c r="Q739" s="66"/>
      <c r="R739" s="66"/>
      <c r="S739" s="66"/>
      <c r="T739" s="66"/>
      <c r="U739" s="66"/>
      <c r="V739" s="66"/>
      <c r="W739" s="66"/>
      <c r="X739" s="66"/>
      <c r="Y739" s="66"/>
      <c r="Z739" s="66"/>
    </row>
    <row r="740">
      <c r="A740" s="66"/>
      <c r="B740" s="66"/>
      <c r="C740" s="66"/>
      <c r="D740" s="66"/>
      <c r="E740" s="66"/>
      <c r="F740" s="66"/>
      <c r="G740" s="66"/>
      <c r="H740" s="66"/>
      <c r="I740" s="66"/>
      <c r="J740" s="66"/>
      <c r="K740" s="66"/>
      <c r="L740" s="66"/>
      <c r="M740" s="66" t="s">
        <v>274</v>
      </c>
      <c r="N740" s="158">
        <v>46218.0</v>
      </c>
      <c r="O740" s="66">
        <v>1.0</v>
      </c>
      <c r="P740" s="66"/>
      <c r="Q740" s="66"/>
      <c r="R740" s="66"/>
      <c r="S740" s="66"/>
      <c r="T740" s="66"/>
      <c r="U740" s="66"/>
      <c r="V740" s="66"/>
      <c r="W740" s="66"/>
      <c r="X740" s="66"/>
      <c r="Y740" s="66"/>
      <c r="Z740" s="66"/>
    </row>
    <row r="741">
      <c r="A741" s="66"/>
      <c r="B741" s="66"/>
      <c r="C741" s="66"/>
      <c r="D741" s="66"/>
      <c r="E741" s="66"/>
      <c r="F741" s="66"/>
      <c r="G741" s="66"/>
      <c r="H741" s="66"/>
      <c r="I741" s="66"/>
      <c r="J741" s="66"/>
      <c r="K741" s="66"/>
      <c r="L741" s="66"/>
      <c r="M741" s="66" t="s">
        <v>275</v>
      </c>
      <c r="N741" s="158">
        <v>46218.0</v>
      </c>
      <c r="O741" s="66">
        <v>1.0</v>
      </c>
      <c r="P741" s="66"/>
      <c r="Q741" s="66"/>
      <c r="R741" s="66"/>
      <c r="S741" s="66"/>
      <c r="T741" s="66"/>
      <c r="U741" s="66"/>
      <c r="V741" s="66"/>
      <c r="W741" s="66"/>
      <c r="X741" s="66"/>
      <c r="Y741" s="66"/>
      <c r="Z741" s="66"/>
    </row>
    <row r="742">
      <c r="A742" s="66"/>
      <c r="B742" s="66"/>
      <c r="C742" s="66"/>
      <c r="D742" s="66"/>
      <c r="E742" s="66"/>
      <c r="F742" s="66"/>
      <c r="G742" s="66"/>
      <c r="H742" s="66"/>
      <c r="I742" s="66"/>
      <c r="J742" s="66"/>
      <c r="K742" s="66"/>
      <c r="L742" s="66"/>
      <c r="M742" s="66" t="s">
        <v>273</v>
      </c>
      <c r="N742" s="158">
        <v>46218.0</v>
      </c>
      <c r="O742" s="66">
        <v>1.0</v>
      </c>
      <c r="P742" s="66"/>
      <c r="Q742" s="66"/>
      <c r="R742" s="66"/>
      <c r="S742" s="66"/>
      <c r="T742" s="66"/>
      <c r="U742" s="66"/>
      <c r="V742" s="66"/>
      <c r="W742" s="66"/>
      <c r="X742" s="66"/>
      <c r="Y742" s="66"/>
      <c r="Z742" s="66"/>
    </row>
    <row r="743">
      <c r="A743" s="66"/>
      <c r="B743" s="66"/>
      <c r="C743" s="66"/>
      <c r="D743" s="66"/>
      <c r="E743" s="66"/>
      <c r="F743" s="66"/>
      <c r="G743" s="66"/>
      <c r="H743" s="66"/>
      <c r="I743" s="66"/>
      <c r="J743" s="66"/>
      <c r="K743" s="66"/>
      <c r="L743" s="66"/>
      <c r="M743" s="66" t="s">
        <v>272</v>
      </c>
      <c r="N743" s="158">
        <v>46218.0</v>
      </c>
      <c r="O743" s="66">
        <v>1.0</v>
      </c>
      <c r="P743" s="66"/>
      <c r="Q743" s="66"/>
      <c r="R743" s="66"/>
      <c r="S743" s="66"/>
      <c r="T743" s="66"/>
      <c r="U743" s="66"/>
      <c r="V743" s="66"/>
      <c r="W743" s="66"/>
      <c r="X743" s="66"/>
      <c r="Y743" s="66"/>
      <c r="Z743" s="66"/>
    </row>
    <row r="744">
      <c r="A744" s="66"/>
      <c r="B744" s="66"/>
      <c r="C744" s="66"/>
      <c r="D744" s="66"/>
      <c r="E744" s="66"/>
      <c r="F744" s="66"/>
      <c r="G744" s="66"/>
      <c r="H744" s="66"/>
      <c r="I744" s="66"/>
      <c r="J744" s="66"/>
      <c r="K744" s="66"/>
      <c r="L744" s="66"/>
      <c r="M744" s="66" t="s">
        <v>271</v>
      </c>
      <c r="N744" s="158">
        <v>46218.0</v>
      </c>
      <c r="O744" s="66">
        <v>1.0</v>
      </c>
      <c r="P744" s="66"/>
      <c r="Q744" s="66"/>
      <c r="R744" s="66"/>
      <c r="S744" s="66"/>
      <c r="T744" s="66"/>
      <c r="U744" s="66"/>
      <c r="V744" s="66"/>
      <c r="W744" s="66"/>
      <c r="X744" s="66"/>
      <c r="Y744" s="66"/>
      <c r="Z744" s="66"/>
    </row>
    <row r="745">
      <c r="A745" s="66"/>
      <c r="B745" s="66"/>
      <c r="C745" s="66"/>
      <c r="D745" s="66"/>
      <c r="E745" s="66"/>
      <c r="F745" s="66"/>
      <c r="G745" s="66"/>
      <c r="H745" s="66"/>
      <c r="I745" s="66"/>
      <c r="J745" s="66"/>
      <c r="K745" s="66"/>
      <c r="L745" s="66" t="s">
        <v>717</v>
      </c>
      <c r="M745" s="66"/>
      <c r="N745" s="66"/>
      <c r="O745" s="66">
        <v>11.0</v>
      </c>
      <c r="P745" s="66"/>
      <c r="Q745" s="66"/>
      <c r="R745" s="66"/>
      <c r="S745" s="66"/>
      <c r="T745" s="66"/>
      <c r="U745" s="66"/>
      <c r="V745" s="66"/>
      <c r="W745" s="66"/>
      <c r="X745" s="66"/>
      <c r="Y745" s="66"/>
      <c r="Z745" s="66"/>
    </row>
    <row r="746">
      <c r="A746" s="66"/>
      <c r="B746" s="66"/>
      <c r="C746" s="66"/>
      <c r="D746" s="66"/>
      <c r="E746" s="66"/>
      <c r="F746" s="66"/>
      <c r="G746" s="66"/>
      <c r="H746" s="66"/>
      <c r="I746" s="66"/>
      <c r="J746" s="66"/>
      <c r="K746" s="66"/>
      <c r="L746" s="158" t="s">
        <v>716</v>
      </c>
      <c r="M746" s="66" t="s">
        <v>277</v>
      </c>
      <c r="N746" s="158"/>
      <c r="O746" s="66">
        <v>1.0</v>
      </c>
      <c r="P746" s="66"/>
      <c r="Q746" s="66"/>
      <c r="R746" s="66"/>
      <c r="S746" s="66"/>
      <c r="T746" s="66"/>
      <c r="U746" s="66"/>
      <c r="V746" s="66"/>
      <c r="W746" s="66"/>
      <c r="X746" s="66"/>
      <c r="Y746" s="66"/>
      <c r="Z746" s="66"/>
    </row>
    <row r="747">
      <c r="A747" s="66"/>
      <c r="B747" s="66"/>
      <c r="C747" s="66"/>
      <c r="D747" s="66"/>
      <c r="E747" s="66"/>
      <c r="F747" s="66"/>
      <c r="G747" s="66"/>
      <c r="H747" s="66"/>
      <c r="I747" s="66"/>
      <c r="J747" s="66"/>
      <c r="K747" s="66"/>
      <c r="L747" s="66"/>
      <c r="M747" s="66" t="s">
        <v>278</v>
      </c>
      <c r="N747" s="158"/>
      <c r="O747" s="66">
        <v>1.0</v>
      </c>
      <c r="P747" s="66"/>
      <c r="Q747" s="66"/>
      <c r="R747" s="66"/>
      <c r="S747" s="66"/>
      <c r="T747" s="66"/>
      <c r="U747" s="66"/>
      <c r="V747" s="66"/>
      <c r="W747" s="66"/>
      <c r="X747" s="66"/>
      <c r="Y747" s="66"/>
      <c r="Z747" s="66"/>
    </row>
    <row r="748">
      <c r="A748" s="66"/>
      <c r="B748" s="66"/>
      <c r="C748" s="66"/>
      <c r="D748" s="66"/>
      <c r="E748" s="66"/>
      <c r="F748" s="66"/>
      <c r="G748" s="66"/>
      <c r="H748" s="66"/>
      <c r="I748" s="66"/>
      <c r="J748" s="66"/>
      <c r="K748" s="66"/>
      <c r="L748" s="66" t="s">
        <v>731</v>
      </c>
      <c r="M748" s="66"/>
      <c r="N748" s="66"/>
      <c r="O748" s="66">
        <v>2.0</v>
      </c>
      <c r="P748" s="66"/>
      <c r="Q748" s="66"/>
      <c r="R748" s="66"/>
      <c r="S748" s="66"/>
      <c r="T748" s="66"/>
      <c r="U748" s="66"/>
      <c r="V748" s="66"/>
      <c r="W748" s="66"/>
      <c r="X748" s="66"/>
      <c r="Y748" s="66"/>
      <c r="Z748" s="66"/>
    </row>
    <row r="749">
      <c r="A749" s="66"/>
      <c r="B749" s="66"/>
      <c r="C749" s="66"/>
      <c r="D749" s="66"/>
      <c r="E749" s="66"/>
      <c r="F749" s="66"/>
      <c r="G749" s="66"/>
      <c r="H749" s="66"/>
      <c r="I749" s="66"/>
      <c r="J749" s="66" t="s">
        <v>736</v>
      </c>
      <c r="K749" s="66"/>
      <c r="L749" s="66"/>
      <c r="M749" s="66"/>
      <c r="N749" s="66"/>
      <c r="O749" s="66">
        <v>507.0</v>
      </c>
      <c r="P749" s="66"/>
      <c r="Q749" s="66"/>
      <c r="R749" s="66"/>
      <c r="S749" s="66"/>
      <c r="T749" s="66"/>
      <c r="U749" s="66"/>
      <c r="V749" s="66"/>
      <c r="W749" s="66"/>
      <c r="X749" s="66"/>
      <c r="Y749" s="66"/>
      <c r="Z749" s="66"/>
    </row>
    <row r="750">
      <c r="A750" s="66"/>
      <c r="B750" s="66"/>
      <c r="C750" s="66"/>
      <c r="D750" s="66"/>
      <c r="E750" s="66"/>
      <c r="F750" s="66"/>
      <c r="G750" s="66"/>
      <c r="H750" s="66"/>
      <c r="I750" s="66"/>
      <c r="J750" s="66" t="s">
        <v>699</v>
      </c>
      <c r="K750" s="66"/>
      <c r="L750" s="66"/>
      <c r="M750" s="66"/>
      <c r="N750" s="66"/>
      <c r="O750" s="66">
        <v>771.0</v>
      </c>
      <c r="P750" s="66"/>
      <c r="Q750" s="66"/>
      <c r="R750" s="66"/>
      <c r="S750" s="66"/>
      <c r="T750" s="66"/>
      <c r="U750" s="66"/>
      <c r="V750" s="66"/>
      <c r="W750" s="66"/>
      <c r="X750" s="66"/>
      <c r="Y750" s="66"/>
      <c r="Z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row r="1003">
      <c r="A1003" s="66"/>
      <c r="B1003" s="66"/>
      <c r="C1003" s="66"/>
      <c r="D1003" s="66"/>
      <c r="E1003" s="66"/>
      <c r="F1003" s="66"/>
      <c r="G1003" s="66"/>
      <c r="H1003" s="66"/>
      <c r="I1003" s="66"/>
      <c r="J1003" s="66"/>
      <c r="K1003" s="66"/>
      <c r="L1003" s="66"/>
      <c r="M1003" s="66"/>
      <c r="N1003" s="66"/>
      <c r="O1003" s="66"/>
      <c r="P1003" s="66"/>
      <c r="Q1003" s="66"/>
      <c r="R1003" s="66"/>
      <c r="S1003" s="66"/>
      <c r="T1003" s="66"/>
      <c r="U1003" s="66"/>
      <c r="V1003" s="66"/>
      <c r="W1003" s="66"/>
      <c r="X1003" s="66"/>
      <c r="Y1003" s="66"/>
      <c r="Z1003" s="66"/>
    </row>
    <row r="1004">
      <c r="A1004" s="66"/>
      <c r="B1004" s="66"/>
      <c r="C1004" s="66"/>
      <c r="D1004" s="66"/>
      <c r="E1004" s="66"/>
      <c r="F1004" s="66"/>
      <c r="G1004" s="66"/>
      <c r="H1004" s="66"/>
      <c r="I1004" s="66"/>
      <c r="J1004" s="66"/>
      <c r="K1004" s="66"/>
      <c r="L1004" s="66"/>
      <c r="M1004" s="66"/>
      <c r="N1004" s="66"/>
      <c r="O1004" s="66"/>
      <c r="P1004" s="66"/>
      <c r="Q1004" s="66"/>
      <c r="R1004" s="66"/>
      <c r="S1004" s="66"/>
      <c r="T1004" s="66"/>
      <c r="U1004" s="66"/>
      <c r="V1004" s="66"/>
      <c r="W1004" s="66"/>
      <c r="X1004" s="66"/>
      <c r="Y1004" s="66"/>
      <c r="Z1004" s="66"/>
    </row>
    <row r="1005">
      <c r="A1005" s="66"/>
      <c r="B1005" s="66"/>
      <c r="C1005" s="66"/>
      <c r="D1005" s="66"/>
      <c r="E1005" s="66"/>
      <c r="F1005" s="66"/>
      <c r="G1005" s="66"/>
      <c r="H1005" s="66"/>
      <c r="I1005" s="66"/>
      <c r="J1005" s="66"/>
      <c r="K1005" s="66"/>
      <c r="L1005" s="66"/>
      <c r="M1005" s="66"/>
      <c r="N1005" s="66"/>
      <c r="O1005" s="66"/>
      <c r="P1005" s="66"/>
      <c r="Q1005" s="66"/>
      <c r="R1005" s="66"/>
      <c r="S1005" s="66"/>
      <c r="T1005" s="66"/>
      <c r="U1005" s="66"/>
      <c r="V1005" s="66"/>
      <c r="W1005" s="66"/>
      <c r="X1005" s="66"/>
      <c r="Y1005" s="66"/>
      <c r="Z1005" s="66"/>
    </row>
    <row r="1006">
      <c r="A1006" s="66"/>
      <c r="B1006" s="66"/>
      <c r="C1006" s="66"/>
      <c r="D1006" s="66"/>
      <c r="E1006" s="66"/>
      <c r="F1006" s="66"/>
      <c r="G1006" s="66"/>
      <c r="H1006" s="66"/>
      <c r="I1006" s="66"/>
      <c r="J1006" s="66"/>
      <c r="K1006" s="66"/>
      <c r="L1006" s="66"/>
      <c r="M1006" s="66"/>
      <c r="N1006" s="66"/>
      <c r="O1006" s="66"/>
      <c r="P1006" s="66"/>
      <c r="Q1006" s="66"/>
      <c r="R1006" s="66"/>
      <c r="S1006" s="66"/>
      <c r="T1006" s="66"/>
      <c r="U1006" s="66"/>
      <c r="V1006" s="66"/>
      <c r="W1006" s="66"/>
      <c r="X1006" s="66"/>
      <c r="Y1006" s="66"/>
      <c r="Z1006" s="66"/>
    </row>
    <row r="1007">
      <c r="A1007" s="66"/>
      <c r="B1007" s="66"/>
      <c r="C1007" s="66"/>
      <c r="D1007" s="66"/>
      <c r="E1007" s="66"/>
      <c r="F1007" s="66"/>
      <c r="G1007" s="66"/>
      <c r="H1007" s="66"/>
      <c r="I1007" s="66"/>
      <c r="J1007" s="66"/>
      <c r="K1007" s="66"/>
      <c r="L1007" s="66"/>
      <c r="M1007" s="66"/>
      <c r="N1007" s="66"/>
      <c r="O1007" s="66"/>
      <c r="P1007" s="66"/>
      <c r="Q1007" s="66"/>
      <c r="R1007" s="66"/>
      <c r="S1007" s="66"/>
      <c r="T1007" s="66"/>
      <c r="U1007" s="66"/>
      <c r="V1007" s="66"/>
      <c r="W1007" s="66"/>
      <c r="X1007" s="66"/>
      <c r="Y1007" s="66"/>
      <c r="Z1007" s="66"/>
    </row>
    <row r="1008">
      <c r="A1008" s="66"/>
      <c r="B1008" s="66"/>
      <c r="C1008" s="66"/>
      <c r="D1008" s="66"/>
      <c r="E1008" s="66"/>
      <c r="F1008" s="66"/>
      <c r="G1008" s="66"/>
      <c r="H1008" s="66"/>
      <c r="I1008" s="66"/>
      <c r="J1008" s="66"/>
      <c r="K1008" s="66"/>
      <c r="L1008" s="66"/>
      <c r="M1008" s="66"/>
      <c r="N1008" s="66"/>
      <c r="O1008" s="66"/>
      <c r="P1008" s="66"/>
      <c r="Q1008" s="66"/>
      <c r="R1008" s="66"/>
      <c r="S1008" s="66"/>
      <c r="T1008" s="66"/>
      <c r="U1008" s="66"/>
      <c r="V1008" s="66"/>
      <c r="W1008" s="66"/>
      <c r="X1008" s="66"/>
      <c r="Y1008" s="66"/>
      <c r="Z1008" s="66"/>
    </row>
    <row r="1009">
      <c r="A1009" s="66"/>
      <c r="B1009" s="66"/>
      <c r="C1009" s="66"/>
      <c r="D1009" s="66"/>
      <c r="E1009" s="66"/>
      <c r="F1009" s="66"/>
      <c r="G1009" s="66"/>
      <c r="H1009" s="66"/>
      <c r="I1009" s="66"/>
      <c r="J1009" s="66"/>
      <c r="K1009" s="66"/>
      <c r="L1009" s="66"/>
      <c r="M1009" s="66"/>
      <c r="N1009" s="66"/>
      <c r="O1009" s="66"/>
      <c r="P1009" s="66"/>
      <c r="Q1009" s="66"/>
      <c r="R1009" s="66"/>
      <c r="S1009" s="66"/>
      <c r="T1009" s="66"/>
      <c r="U1009" s="66"/>
      <c r="V1009" s="66"/>
      <c r="W1009" s="66"/>
      <c r="X1009" s="66"/>
      <c r="Y1009" s="66"/>
      <c r="Z1009" s="66"/>
    </row>
    <row r="1010">
      <c r="A1010" s="66"/>
      <c r="B1010" s="66"/>
      <c r="C1010" s="66"/>
      <c r="D1010" s="66"/>
      <c r="E1010" s="66"/>
      <c r="F1010" s="66"/>
      <c r="G1010" s="66"/>
      <c r="H1010" s="66"/>
      <c r="I1010" s="66"/>
      <c r="J1010" s="66"/>
      <c r="K1010" s="66"/>
      <c r="L1010" s="66"/>
      <c r="M1010" s="66"/>
      <c r="N1010" s="66"/>
      <c r="O1010" s="66"/>
      <c r="P1010" s="66"/>
      <c r="Q1010" s="66"/>
      <c r="R1010" s="66"/>
      <c r="S1010" s="66"/>
      <c r="T1010" s="66"/>
      <c r="U1010" s="66"/>
      <c r="V1010" s="66"/>
      <c r="W1010" s="66"/>
      <c r="X1010" s="66"/>
      <c r="Y1010" s="66"/>
      <c r="Z1010" s="66"/>
    </row>
    <row r="1011">
      <c r="A1011" s="66"/>
      <c r="B1011" s="66"/>
      <c r="C1011" s="66"/>
      <c r="D1011" s="66"/>
      <c r="E1011" s="66"/>
      <c r="F1011" s="66"/>
      <c r="G1011" s="66"/>
      <c r="H1011" s="66"/>
      <c r="I1011" s="66"/>
      <c r="J1011" s="66"/>
      <c r="K1011" s="66"/>
      <c r="L1011" s="66"/>
      <c r="M1011" s="66"/>
      <c r="N1011" s="66"/>
      <c r="O1011" s="66"/>
      <c r="P1011" s="66"/>
      <c r="Q1011" s="66"/>
      <c r="R1011" s="66"/>
      <c r="S1011" s="66"/>
      <c r="T1011" s="66"/>
      <c r="U1011" s="66"/>
      <c r="V1011" s="66"/>
      <c r="W1011" s="66"/>
      <c r="X1011" s="66"/>
      <c r="Y1011" s="66"/>
      <c r="Z1011" s="66"/>
    </row>
    <row r="1012">
      <c r="A1012" s="66"/>
      <c r="B1012" s="66"/>
      <c r="C1012" s="66"/>
      <c r="D1012" s="66"/>
      <c r="E1012" s="66"/>
      <c r="F1012" s="66"/>
      <c r="G1012" s="66"/>
      <c r="H1012" s="66"/>
      <c r="I1012" s="66"/>
      <c r="J1012" s="66"/>
      <c r="K1012" s="66"/>
      <c r="L1012" s="66"/>
      <c r="M1012" s="66"/>
      <c r="N1012" s="66"/>
      <c r="O1012" s="66"/>
      <c r="P1012" s="66"/>
      <c r="Q1012" s="66"/>
      <c r="R1012" s="66"/>
      <c r="S1012" s="66"/>
      <c r="T1012" s="66"/>
      <c r="U1012" s="66"/>
      <c r="V1012" s="66"/>
      <c r="W1012" s="66"/>
      <c r="X1012" s="66"/>
      <c r="Y1012" s="66"/>
      <c r="Z1012" s="66"/>
    </row>
    <row r="1013">
      <c r="A1013" s="66"/>
      <c r="B1013" s="66"/>
      <c r="C1013" s="66"/>
      <c r="D1013" s="66"/>
      <c r="E1013" s="66"/>
      <c r="F1013" s="66"/>
      <c r="G1013" s="66"/>
      <c r="H1013" s="66"/>
      <c r="I1013" s="66"/>
      <c r="J1013" s="66"/>
      <c r="K1013" s="66"/>
      <c r="L1013" s="66"/>
      <c r="M1013" s="66"/>
      <c r="N1013" s="66"/>
      <c r="O1013" s="66"/>
      <c r="P1013" s="66"/>
      <c r="Q1013" s="66"/>
      <c r="R1013" s="66"/>
      <c r="S1013" s="66"/>
      <c r="T1013" s="66"/>
      <c r="U1013" s="66"/>
      <c r="V1013" s="66"/>
      <c r="W1013" s="66"/>
      <c r="X1013" s="66"/>
      <c r="Y1013" s="66"/>
      <c r="Z1013" s="66"/>
    </row>
    <row r="1014">
      <c r="A1014" s="66"/>
      <c r="B1014" s="66"/>
      <c r="C1014" s="66"/>
      <c r="D1014" s="66"/>
      <c r="E1014" s="66"/>
      <c r="F1014" s="66"/>
      <c r="G1014" s="66"/>
      <c r="H1014" s="66"/>
      <c r="I1014" s="66"/>
      <c r="J1014" s="66"/>
      <c r="K1014" s="66"/>
      <c r="L1014" s="66"/>
      <c r="M1014" s="66"/>
      <c r="N1014" s="66"/>
      <c r="O1014" s="66"/>
      <c r="P1014" s="66"/>
      <c r="Q1014" s="66"/>
      <c r="R1014" s="66"/>
      <c r="S1014" s="66"/>
      <c r="T1014" s="66"/>
      <c r="U1014" s="66"/>
      <c r="V1014" s="66"/>
      <c r="W1014" s="66"/>
      <c r="X1014" s="66"/>
      <c r="Y1014" s="66"/>
      <c r="Z1014" s="66"/>
    </row>
    <row r="1015">
      <c r="A1015" s="66"/>
      <c r="B1015" s="66"/>
      <c r="C1015" s="66"/>
      <c r="D1015" s="66"/>
      <c r="E1015" s="66"/>
      <c r="F1015" s="66"/>
      <c r="G1015" s="66"/>
      <c r="H1015" s="66"/>
      <c r="I1015" s="66"/>
      <c r="J1015" s="66"/>
      <c r="K1015" s="66"/>
      <c r="L1015" s="66"/>
      <c r="M1015" s="66"/>
      <c r="N1015" s="66"/>
      <c r="O1015" s="66"/>
      <c r="P1015" s="66"/>
      <c r="Q1015" s="66"/>
      <c r="R1015" s="66"/>
      <c r="S1015" s="66"/>
      <c r="T1015" s="66"/>
      <c r="U1015" s="66"/>
      <c r="V1015" s="66"/>
      <c r="W1015" s="66"/>
      <c r="X1015" s="66"/>
      <c r="Y1015" s="66"/>
      <c r="Z1015" s="66"/>
    </row>
    <row r="1016">
      <c r="A1016" s="66"/>
      <c r="B1016" s="66"/>
      <c r="C1016" s="66"/>
      <c r="D1016" s="66"/>
      <c r="E1016" s="66"/>
      <c r="F1016" s="66"/>
      <c r="G1016" s="66"/>
      <c r="H1016" s="66"/>
      <c r="I1016" s="66"/>
      <c r="J1016" s="66"/>
      <c r="K1016" s="66"/>
      <c r="L1016" s="66"/>
      <c r="M1016" s="66"/>
      <c r="N1016" s="66"/>
      <c r="O1016" s="66"/>
      <c r="P1016" s="66"/>
      <c r="Q1016" s="66"/>
      <c r="R1016" s="66"/>
      <c r="S1016" s="66"/>
      <c r="T1016" s="66"/>
      <c r="U1016" s="66"/>
      <c r="V1016" s="66"/>
      <c r="W1016" s="66"/>
      <c r="X1016" s="66"/>
      <c r="Y1016" s="66"/>
      <c r="Z1016" s="66"/>
    </row>
    <row r="1017">
      <c r="A1017" s="66"/>
      <c r="B1017" s="66"/>
      <c r="C1017" s="66"/>
      <c r="D1017" s="66"/>
      <c r="E1017" s="66"/>
      <c r="F1017" s="66"/>
      <c r="G1017" s="66"/>
      <c r="H1017" s="66"/>
      <c r="I1017" s="66"/>
      <c r="J1017" s="66"/>
      <c r="K1017" s="66"/>
      <c r="L1017" s="66"/>
      <c r="M1017" s="66"/>
      <c r="N1017" s="66"/>
      <c r="O1017" s="66"/>
      <c r="P1017" s="66"/>
      <c r="Q1017" s="66"/>
      <c r="R1017" s="66"/>
      <c r="S1017" s="66"/>
      <c r="T1017" s="66"/>
      <c r="U1017" s="66"/>
      <c r="V1017" s="66"/>
      <c r="W1017" s="66"/>
      <c r="X1017" s="66"/>
      <c r="Y1017" s="66"/>
      <c r="Z1017" s="66"/>
    </row>
    <row r="1018">
      <c r="A1018" s="66"/>
      <c r="B1018" s="66"/>
      <c r="C1018" s="66"/>
      <c r="D1018" s="66"/>
      <c r="E1018" s="66"/>
      <c r="F1018" s="66"/>
      <c r="G1018" s="66"/>
      <c r="H1018" s="66"/>
      <c r="I1018" s="66"/>
      <c r="J1018" s="66"/>
      <c r="K1018" s="66"/>
      <c r="L1018" s="66"/>
      <c r="M1018" s="66"/>
      <c r="N1018" s="66"/>
      <c r="O1018" s="66"/>
      <c r="P1018" s="66"/>
      <c r="Q1018" s="66"/>
      <c r="R1018" s="66"/>
      <c r="S1018" s="66"/>
      <c r="T1018" s="66"/>
      <c r="U1018" s="66"/>
      <c r="V1018" s="66"/>
      <c r="W1018" s="66"/>
      <c r="X1018" s="66"/>
      <c r="Y1018" s="66"/>
      <c r="Z1018" s="66"/>
    </row>
    <row r="1019">
      <c r="A1019" s="66"/>
      <c r="B1019" s="66"/>
      <c r="C1019" s="66"/>
      <c r="D1019" s="66"/>
      <c r="E1019" s="66"/>
      <c r="F1019" s="66"/>
      <c r="G1019" s="66"/>
      <c r="H1019" s="66"/>
      <c r="I1019" s="66"/>
      <c r="J1019" s="66"/>
      <c r="K1019" s="66"/>
      <c r="L1019" s="66"/>
      <c r="M1019" s="66"/>
      <c r="N1019" s="66"/>
      <c r="O1019" s="66"/>
      <c r="P1019" s="66"/>
      <c r="Q1019" s="66"/>
      <c r="R1019" s="66"/>
      <c r="S1019" s="66"/>
      <c r="T1019" s="66"/>
      <c r="U1019" s="66"/>
      <c r="V1019" s="66"/>
      <c r="W1019" s="66"/>
      <c r="X1019" s="66"/>
      <c r="Y1019" s="66"/>
      <c r="Z1019" s="66"/>
    </row>
    <row r="1020">
      <c r="A1020" s="66"/>
      <c r="B1020" s="66"/>
      <c r="C1020" s="66"/>
      <c r="D1020" s="66"/>
      <c r="E1020" s="66"/>
      <c r="F1020" s="66"/>
      <c r="G1020" s="66"/>
      <c r="H1020" s="66"/>
      <c r="I1020" s="66"/>
      <c r="J1020" s="66"/>
      <c r="K1020" s="66"/>
      <c r="L1020" s="66"/>
      <c r="M1020" s="66"/>
      <c r="N1020" s="66"/>
      <c r="O1020" s="66"/>
      <c r="P1020" s="66"/>
      <c r="Q1020" s="66"/>
      <c r="R1020" s="66"/>
      <c r="S1020" s="66"/>
      <c r="T1020" s="66"/>
      <c r="U1020" s="66"/>
      <c r="V1020" s="66"/>
      <c r="W1020" s="66"/>
      <c r="X1020" s="66"/>
      <c r="Y1020" s="66"/>
      <c r="Z1020" s="66"/>
    </row>
    <row r="1021">
      <c r="A1021" s="66"/>
      <c r="B1021" s="66"/>
      <c r="C1021" s="66"/>
      <c r="D1021" s="66"/>
      <c r="E1021" s="66"/>
      <c r="F1021" s="66"/>
      <c r="G1021" s="66"/>
      <c r="H1021" s="66"/>
      <c r="I1021" s="66"/>
      <c r="J1021" s="66"/>
      <c r="K1021" s="66"/>
      <c r="L1021" s="66"/>
      <c r="M1021" s="66"/>
      <c r="N1021" s="66"/>
      <c r="O1021" s="66"/>
      <c r="P1021" s="66"/>
      <c r="Q1021" s="66"/>
      <c r="R1021" s="66"/>
      <c r="S1021" s="66"/>
      <c r="T1021" s="66"/>
      <c r="U1021" s="66"/>
      <c r="V1021" s="66"/>
      <c r="W1021" s="66"/>
      <c r="X1021" s="66"/>
      <c r="Y1021" s="66"/>
      <c r="Z1021" s="66"/>
    </row>
    <row r="1022">
      <c r="A1022" s="66"/>
      <c r="B1022" s="66"/>
      <c r="C1022" s="66"/>
      <c r="D1022" s="66"/>
      <c r="E1022" s="66"/>
      <c r="F1022" s="66"/>
      <c r="G1022" s="66"/>
      <c r="H1022" s="66"/>
      <c r="I1022" s="66"/>
      <c r="J1022" s="66"/>
      <c r="K1022" s="66"/>
      <c r="L1022" s="66"/>
      <c r="M1022" s="66"/>
      <c r="N1022" s="66"/>
      <c r="O1022" s="66"/>
      <c r="P1022" s="66"/>
      <c r="Q1022" s="66"/>
      <c r="R1022" s="66"/>
      <c r="S1022" s="66"/>
      <c r="T1022" s="66"/>
      <c r="U1022" s="66"/>
      <c r="V1022" s="66"/>
      <c r="W1022" s="66"/>
      <c r="X1022" s="66"/>
      <c r="Y1022" s="66"/>
      <c r="Z1022" s="66"/>
    </row>
    <row r="1023">
      <c r="A1023" s="66"/>
      <c r="B1023" s="66"/>
      <c r="C1023" s="66"/>
      <c r="D1023" s="66"/>
      <c r="E1023" s="66"/>
      <c r="F1023" s="66"/>
      <c r="G1023" s="66"/>
      <c r="H1023" s="66"/>
      <c r="I1023" s="66"/>
      <c r="J1023" s="66"/>
      <c r="K1023" s="66"/>
      <c r="L1023" s="66"/>
      <c r="M1023" s="66"/>
      <c r="N1023" s="66"/>
      <c r="O1023" s="66"/>
      <c r="P1023" s="66"/>
      <c r="Q1023" s="66"/>
      <c r="R1023" s="66"/>
      <c r="S1023" s="66"/>
      <c r="T1023" s="66"/>
      <c r="U1023" s="66"/>
      <c r="V1023" s="66"/>
      <c r="W1023" s="66"/>
      <c r="X1023" s="66"/>
      <c r="Y1023" s="66"/>
      <c r="Z1023" s="66"/>
    </row>
    <row r="1024">
      <c r="A1024" s="66"/>
      <c r="B1024" s="66"/>
      <c r="C1024" s="66"/>
      <c r="D1024" s="66"/>
      <c r="E1024" s="66"/>
      <c r="F1024" s="66"/>
      <c r="G1024" s="66"/>
      <c r="H1024" s="66"/>
      <c r="I1024" s="66"/>
      <c r="J1024" s="66"/>
      <c r="K1024" s="66"/>
      <c r="L1024" s="66"/>
      <c r="M1024" s="66"/>
      <c r="N1024" s="66"/>
      <c r="O1024" s="66"/>
      <c r="P1024" s="66"/>
      <c r="Q1024" s="66"/>
      <c r="R1024" s="66"/>
      <c r="S1024" s="66"/>
      <c r="T1024" s="66"/>
      <c r="U1024" s="66"/>
      <c r="V1024" s="66"/>
      <c r="W1024" s="66"/>
      <c r="X1024" s="66"/>
      <c r="Y1024" s="66"/>
      <c r="Z1024" s="66"/>
    </row>
    <row r="1025">
      <c r="A1025" s="66"/>
      <c r="B1025" s="66"/>
      <c r="C1025" s="66"/>
      <c r="D1025" s="66"/>
      <c r="E1025" s="66"/>
      <c r="F1025" s="66"/>
      <c r="G1025" s="66"/>
      <c r="H1025" s="66"/>
      <c r="I1025" s="66"/>
      <c r="J1025" s="66"/>
      <c r="K1025" s="66"/>
      <c r="L1025" s="66"/>
      <c r="M1025" s="66"/>
      <c r="N1025" s="66"/>
      <c r="O1025" s="66"/>
      <c r="P1025" s="66"/>
      <c r="Q1025" s="66"/>
      <c r="R1025" s="66"/>
      <c r="S1025" s="66"/>
      <c r="T1025" s="66"/>
      <c r="U1025" s="66"/>
      <c r="V1025" s="66"/>
      <c r="W1025" s="66"/>
      <c r="X1025" s="66"/>
      <c r="Y1025" s="66"/>
      <c r="Z1025" s="66"/>
    </row>
    <row r="1026">
      <c r="A1026" s="66"/>
      <c r="B1026" s="66"/>
      <c r="C1026" s="66"/>
      <c r="D1026" s="66"/>
      <c r="E1026" s="66"/>
      <c r="F1026" s="66"/>
      <c r="G1026" s="66"/>
      <c r="H1026" s="66"/>
      <c r="I1026" s="66"/>
      <c r="J1026" s="66"/>
      <c r="K1026" s="66"/>
      <c r="L1026" s="66"/>
      <c r="M1026" s="66"/>
      <c r="N1026" s="66"/>
      <c r="O1026" s="66"/>
      <c r="P1026" s="66"/>
      <c r="Q1026" s="66"/>
      <c r="R1026" s="66"/>
      <c r="S1026" s="66"/>
      <c r="T1026" s="66"/>
      <c r="U1026" s="66"/>
      <c r="V1026" s="66"/>
      <c r="W1026" s="66"/>
      <c r="X1026" s="66"/>
      <c r="Y1026" s="66"/>
      <c r="Z1026" s="66"/>
    </row>
    <row r="1027">
      <c r="A1027" s="66"/>
      <c r="B1027" s="66"/>
      <c r="C1027" s="66"/>
      <c r="D1027" s="66"/>
      <c r="E1027" s="66"/>
      <c r="F1027" s="66"/>
      <c r="G1027" s="66"/>
      <c r="H1027" s="66"/>
      <c r="I1027" s="66"/>
      <c r="J1027" s="66"/>
      <c r="K1027" s="66"/>
      <c r="L1027" s="66"/>
      <c r="M1027" s="66"/>
      <c r="N1027" s="66"/>
      <c r="O1027" s="66"/>
      <c r="P1027" s="66"/>
      <c r="Q1027" s="66"/>
      <c r="R1027" s="66"/>
      <c r="S1027" s="66"/>
      <c r="T1027" s="66"/>
      <c r="U1027" s="66"/>
      <c r="V1027" s="66"/>
      <c r="W1027" s="66"/>
      <c r="X1027" s="66"/>
      <c r="Y1027" s="66"/>
      <c r="Z1027" s="66"/>
    </row>
    <row r="1028">
      <c r="A1028" s="66"/>
      <c r="B1028" s="66"/>
      <c r="C1028" s="66"/>
      <c r="D1028" s="66"/>
      <c r="E1028" s="66"/>
      <c r="F1028" s="66"/>
      <c r="G1028" s="66"/>
      <c r="H1028" s="66"/>
      <c r="I1028" s="66"/>
      <c r="J1028" s="66"/>
      <c r="K1028" s="66"/>
      <c r="L1028" s="66"/>
      <c r="M1028" s="66"/>
      <c r="N1028" s="66"/>
      <c r="O1028" s="66"/>
      <c r="P1028" s="66"/>
      <c r="Q1028" s="66"/>
      <c r="R1028" s="66"/>
      <c r="S1028" s="66"/>
      <c r="T1028" s="66"/>
      <c r="U1028" s="66"/>
      <c r="V1028" s="66"/>
      <c r="W1028" s="66"/>
      <c r="X1028" s="66"/>
      <c r="Y1028" s="66"/>
      <c r="Z1028" s="66"/>
    </row>
    <row r="1029">
      <c r="A1029" s="66"/>
      <c r="B1029" s="66"/>
      <c r="C1029" s="66"/>
      <c r="D1029" s="66"/>
      <c r="E1029" s="66"/>
      <c r="F1029" s="66"/>
      <c r="G1029" s="66"/>
      <c r="H1029" s="66"/>
      <c r="I1029" s="66"/>
      <c r="J1029" s="66"/>
      <c r="K1029" s="66"/>
      <c r="L1029" s="66"/>
      <c r="M1029" s="66"/>
      <c r="N1029" s="66"/>
      <c r="O1029" s="66"/>
      <c r="P1029" s="66"/>
      <c r="Q1029" s="66"/>
      <c r="R1029" s="66"/>
      <c r="S1029" s="66"/>
      <c r="T1029" s="66"/>
      <c r="U1029" s="66"/>
      <c r="V1029" s="66"/>
      <c r="W1029" s="66"/>
      <c r="X1029" s="66"/>
      <c r="Y1029" s="66"/>
      <c r="Z1029" s="66"/>
    </row>
    <row r="1030">
      <c r="A1030" s="66"/>
      <c r="B1030" s="66"/>
      <c r="C1030" s="66"/>
      <c r="D1030" s="66"/>
      <c r="E1030" s="66"/>
      <c r="F1030" s="66"/>
      <c r="G1030" s="66"/>
      <c r="H1030" s="66"/>
      <c r="I1030" s="66"/>
      <c r="J1030" s="66"/>
      <c r="K1030" s="66"/>
      <c r="L1030" s="66"/>
      <c r="M1030" s="66"/>
      <c r="N1030" s="66"/>
      <c r="O1030" s="66"/>
      <c r="P1030" s="66"/>
      <c r="Q1030" s="66"/>
      <c r="R1030" s="66"/>
      <c r="S1030" s="66"/>
      <c r="T1030" s="66"/>
      <c r="U1030" s="66"/>
      <c r="V1030" s="66"/>
      <c r="W1030" s="66"/>
      <c r="X1030" s="66"/>
      <c r="Y1030" s="66"/>
      <c r="Z1030" s="66"/>
    </row>
    <row r="1031">
      <c r="A1031" s="66"/>
      <c r="B1031" s="66"/>
      <c r="C1031" s="66"/>
      <c r="D1031" s="66"/>
      <c r="E1031" s="66"/>
      <c r="F1031" s="66"/>
      <c r="G1031" s="66"/>
      <c r="H1031" s="66"/>
      <c r="I1031" s="66"/>
      <c r="J1031" s="66"/>
      <c r="K1031" s="66"/>
      <c r="L1031" s="66"/>
      <c r="M1031" s="66"/>
      <c r="N1031" s="66"/>
      <c r="O1031" s="66"/>
      <c r="P1031" s="66"/>
      <c r="Q1031" s="66"/>
      <c r="R1031" s="66"/>
      <c r="S1031" s="66"/>
      <c r="T1031" s="66"/>
      <c r="U1031" s="66"/>
      <c r="V1031" s="66"/>
      <c r="W1031" s="66"/>
      <c r="X1031" s="66"/>
      <c r="Y1031" s="66"/>
      <c r="Z1031" s="66"/>
    </row>
    <row r="1032">
      <c r="A1032" s="66"/>
      <c r="B1032" s="66"/>
      <c r="C1032" s="66"/>
      <c r="D1032" s="66"/>
      <c r="E1032" s="66"/>
      <c r="F1032" s="66"/>
      <c r="G1032" s="66"/>
      <c r="H1032" s="66"/>
      <c r="I1032" s="66"/>
      <c r="J1032" s="66"/>
      <c r="K1032" s="66"/>
      <c r="L1032" s="66"/>
      <c r="M1032" s="66"/>
      <c r="N1032" s="66"/>
      <c r="O1032" s="66"/>
      <c r="P1032" s="66"/>
      <c r="Q1032" s="66"/>
      <c r="R1032" s="66"/>
      <c r="S1032" s="66"/>
      <c r="T1032" s="66"/>
      <c r="U1032" s="66"/>
      <c r="V1032" s="66"/>
      <c r="W1032" s="66"/>
      <c r="X1032" s="66"/>
      <c r="Y1032" s="66"/>
      <c r="Z1032" s="66"/>
    </row>
    <row r="1033">
      <c r="A1033" s="66"/>
      <c r="B1033" s="66"/>
      <c r="C1033" s="66"/>
      <c r="D1033" s="66"/>
      <c r="E1033" s="66"/>
      <c r="F1033" s="66"/>
      <c r="G1033" s="66"/>
      <c r="H1033" s="66"/>
      <c r="I1033" s="66"/>
      <c r="J1033" s="66"/>
      <c r="K1033" s="66"/>
      <c r="L1033" s="66"/>
      <c r="M1033" s="66"/>
      <c r="N1033" s="66"/>
      <c r="O1033" s="66"/>
      <c r="P1033" s="66"/>
      <c r="Q1033" s="66"/>
      <c r="R1033" s="66"/>
      <c r="S1033" s="66"/>
      <c r="T1033" s="66"/>
      <c r="U1033" s="66"/>
      <c r="V1033" s="66"/>
      <c r="W1033" s="66"/>
      <c r="X1033" s="66"/>
      <c r="Y1033" s="66"/>
      <c r="Z1033" s="66"/>
    </row>
    <row r="1034">
      <c r="A1034" s="66"/>
      <c r="B1034" s="66"/>
      <c r="C1034" s="66"/>
      <c r="D1034" s="66"/>
      <c r="E1034" s="66"/>
      <c r="F1034" s="66"/>
      <c r="G1034" s="66"/>
      <c r="H1034" s="66"/>
      <c r="I1034" s="66"/>
      <c r="J1034" s="66"/>
      <c r="K1034" s="66"/>
      <c r="L1034" s="66"/>
      <c r="M1034" s="66"/>
      <c r="N1034" s="66"/>
      <c r="O1034" s="66"/>
      <c r="P1034" s="66"/>
      <c r="Q1034" s="66"/>
      <c r="R1034" s="66"/>
      <c r="S1034" s="66"/>
      <c r="T1034" s="66"/>
      <c r="U1034" s="66"/>
      <c r="V1034" s="66"/>
      <c r="W1034" s="66"/>
      <c r="X1034" s="66"/>
      <c r="Y1034" s="66"/>
      <c r="Z1034" s="66"/>
    </row>
    <row r="1035">
      <c r="A1035" s="66"/>
      <c r="B1035" s="66"/>
      <c r="C1035" s="66"/>
      <c r="D1035" s="66"/>
      <c r="E1035" s="66"/>
      <c r="F1035" s="66"/>
      <c r="G1035" s="66"/>
      <c r="H1035" s="66"/>
      <c r="I1035" s="66"/>
      <c r="J1035" s="66"/>
      <c r="K1035" s="66"/>
      <c r="L1035" s="66"/>
      <c r="M1035" s="66"/>
      <c r="N1035" s="66"/>
      <c r="O1035" s="66"/>
      <c r="P1035" s="66"/>
      <c r="Q1035" s="66"/>
      <c r="R1035" s="66"/>
      <c r="S1035" s="66"/>
      <c r="T1035" s="66"/>
      <c r="U1035" s="66"/>
      <c r="V1035" s="66"/>
      <c r="W1035" s="66"/>
      <c r="X1035" s="66"/>
      <c r="Y1035" s="66"/>
      <c r="Z1035" s="66"/>
    </row>
    <row r="1036">
      <c r="A1036" s="66"/>
      <c r="B1036" s="66"/>
      <c r="C1036" s="66"/>
      <c r="D1036" s="66"/>
      <c r="E1036" s="66"/>
      <c r="F1036" s="66"/>
      <c r="G1036" s="66"/>
      <c r="H1036" s="66"/>
      <c r="I1036" s="66"/>
      <c r="J1036" s="66"/>
      <c r="K1036" s="66"/>
      <c r="L1036" s="66"/>
      <c r="M1036" s="66"/>
      <c r="N1036" s="66"/>
      <c r="O1036" s="66"/>
      <c r="P1036" s="66"/>
      <c r="Q1036" s="66"/>
      <c r="R1036" s="66"/>
      <c r="S1036" s="66"/>
      <c r="T1036" s="66"/>
      <c r="U1036" s="66"/>
      <c r="V1036" s="66"/>
      <c r="W1036" s="66"/>
      <c r="X1036" s="66"/>
      <c r="Y1036" s="66"/>
      <c r="Z1036" s="66"/>
    </row>
    <row r="1037">
      <c r="A1037" s="66"/>
      <c r="B1037" s="66"/>
      <c r="C1037" s="66"/>
      <c r="D1037" s="66"/>
      <c r="E1037" s="66"/>
      <c r="F1037" s="66"/>
      <c r="G1037" s="66"/>
      <c r="H1037" s="66"/>
      <c r="I1037" s="66"/>
      <c r="J1037" s="66"/>
      <c r="K1037" s="66"/>
      <c r="L1037" s="66"/>
      <c r="M1037" s="66"/>
      <c r="N1037" s="66"/>
      <c r="O1037" s="66"/>
      <c r="P1037" s="66"/>
      <c r="Q1037" s="66"/>
      <c r="R1037" s="66"/>
      <c r="S1037" s="66"/>
      <c r="T1037" s="66"/>
      <c r="U1037" s="66"/>
      <c r="V1037" s="66"/>
      <c r="W1037" s="66"/>
      <c r="X1037" s="66"/>
      <c r="Y1037" s="66"/>
      <c r="Z1037" s="66"/>
    </row>
    <row r="1038">
      <c r="A1038" s="66"/>
      <c r="B1038" s="66"/>
      <c r="C1038" s="66"/>
      <c r="D1038" s="66"/>
      <c r="E1038" s="66"/>
      <c r="F1038" s="66"/>
      <c r="G1038" s="66"/>
      <c r="H1038" s="66"/>
      <c r="I1038" s="66"/>
      <c r="J1038" s="66"/>
      <c r="K1038" s="66"/>
      <c r="L1038" s="66"/>
      <c r="M1038" s="66"/>
      <c r="N1038" s="66"/>
      <c r="O1038" s="66"/>
      <c r="P1038" s="66"/>
      <c r="Q1038" s="66"/>
      <c r="R1038" s="66"/>
      <c r="S1038" s="66"/>
      <c r="T1038" s="66"/>
      <c r="U1038" s="66"/>
      <c r="V1038" s="66"/>
      <c r="W1038" s="66"/>
      <c r="X1038" s="66"/>
      <c r="Y1038" s="66"/>
      <c r="Z1038" s="66"/>
    </row>
    <row r="1039">
      <c r="A1039" s="66"/>
      <c r="B1039" s="66"/>
      <c r="C1039" s="66"/>
      <c r="D1039" s="66"/>
      <c r="E1039" s="66"/>
      <c r="F1039" s="66"/>
      <c r="G1039" s="66"/>
      <c r="H1039" s="66"/>
      <c r="I1039" s="66"/>
      <c r="J1039" s="66"/>
      <c r="K1039" s="66"/>
      <c r="L1039" s="66"/>
      <c r="M1039" s="66"/>
      <c r="N1039" s="66"/>
      <c r="O1039" s="66"/>
      <c r="P1039" s="66"/>
      <c r="Q1039" s="66"/>
      <c r="R1039" s="66"/>
      <c r="S1039" s="66"/>
      <c r="T1039" s="66"/>
      <c r="U1039" s="66"/>
      <c r="V1039" s="66"/>
      <c r="W1039" s="66"/>
      <c r="X1039" s="66"/>
      <c r="Y1039" s="66"/>
      <c r="Z1039" s="66"/>
    </row>
    <row r="1040">
      <c r="A1040" s="66"/>
      <c r="B1040" s="66"/>
      <c r="C1040" s="66"/>
      <c r="D1040" s="66"/>
      <c r="E1040" s="66"/>
      <c r="F1040" s="66"/>
      <c r="G1040" s="66"/>
      <c r="H1040" s="66"/>
      <c r="I1040" s="66"/>
      <c r="J1040" s="66"/>
      <c r="K1040" s="66"/>
      <c r="L1040" s="66"/>
      <c r="M1040" s="66"/>
      <c r="N1040" s="66"/>
      <c r="O1040" s="66"/>
      <c r="P1040" s="66"/>
      <c r="Q1040" s="66"/>
      <c r="R1040" s="66"/>
      <c r="S1040" s="66"/>
      <c r="T1040" s="66"/>
      <c r="U1040" s="66"/>
      <c r="V1040" s="66"/>
      <c r="W1040" s="66"/>
      <c r="X1040" s="66"/>
      <c r="Y1040" s="66"/>
      <c r="Z1040" s="66"/>
    </row>
    <row r="1041">
      <c r="A1041" s="66"/>
      <c r="B1041" s="66"/>
      <c r="C1041" s="66"/>
      <c r="D1041" s="66"/>
      <c r="E1041" s="66"/>
      <c r="F1041" s="66"/>
      <c r="G1041" s="66"/>
      <c r="H1041" s="66"/>
      <c r="I1041" s="66"/>
      <c r="J1041" s="66"/>
      <c r="K1041" s="66"/>
      <c r="L1041" s="66"/>
      <c r="M1041" s="66"/>
      <c r="N1041" s="66"/>
      <c r="O1041" s="66"/>
      <c r="P1041" s="66"/>
      <c r="Q1041" s="66"/>
      <c r="R1041" s="66"/>
      <c r="S1041" s="66"/>
      <c r="T1041" s="66"/>
      <c r="U1041" s="66"/>
      <c r="V1041" s="66"/>
      <c r="W1041" s="66"/>
      <c r="X1041" s="66"/>
      <c r="Y1041" s="66"/>
      <c r="Z1041" s="66"/>
    </row>
    <row r="1042">
      <c r="A1042" s="66"/>
      <c r="B1042" s="66"/>
      <c r="C1042" s="66"/>
      <c r="D1042" s="66"/>
      <c r="E1042" s="66"/>
      <c r="F1042" s="66"/>
      <c r="G1042" s="66"/>
      <c r="H1042" s="66"/>
      <c r="I1042" s="66"/>
      <c r="J1042" s="66"/>
      <c r="K1042" s="66"/>
      <c r="L1042" s="66"/>
      <c r="M1042" s="66"/>
      <c r="N1042" s="66"/>
      <c r="O1042" s="66"/>
      <c r="P1042" s="66"/>
      <c r="Q1042" s="66"/>
      <c r="R1042" s="66"/>
      <c r="S1042" s="66"/>
      <c r="T1042" s="66"/>
      <c r="U1042" s="66"/>
      <c r="V1042" s="66"/>
      <c r="W1042" s="66"/>
      <c r="X1042" s="66"/>
      <c r="Y1042" s="66"/>
      <c r="Z1042" s="66"/>
    </row>
    <row r="1043">
      <c r="A1043" s="66"/>
      <c r="B1043" s="66"/>
      <c r="C1043" s="66"/>
      <c r="D1043" s="66"/>
      <c r="E1043" s="66"/>
      <c r="F1043" s="66"/>
      <c r="G1043" s="66"/>
      <c r="H1043" s="66"/>
      <c r="I1043" s="66"/>
      <c r="J1043" s="66"/>
      <c r="K1043" s="66"/>
      <c r="L1043" s="66"/>
      <c r="M1043" s="66"/>
      <c r="N1043" s="66"/>
      <c r="O1043" s="66"/>
      <c r="P1043" s="66"/>
      <c r="Q1043" s="66"/>
      <c r="R1043" s="66"/>
      <c r="S1043" s="66"/>
      <c r="T1043" s="66"/>
      <c r="U1043" s="66"/>
      <c r="V1043" s="66"/>
      <c r="W1043" s="66"/>
      <c r="X1043" s="66"/>
      <c r="Y1043" s="66"/>
      <c r="Z1043" s="66"/>
    </row>
    <row r="1044">
      <c r="A1044" s="66"/>
      <c r="B1044" s="66"/>
      <c r="C1044" s="66"/>
      <c r="D1044" s="66"/>
      <c r="E1044" s="66"/>
      <c r="F1044" s="66"/>
      <c r="G1044" s="66"/>
      <c r="H1044" s="66"/>
      <c r="I1044" s="66"/>
      <c r="J1044" s="66"/>
      <c r="K1044" s="66"/>
      <c r="L1044" s="66"/>
      <c r="M1044" s="66"/>
      <c r="N1044" s="66"/>
      <c r="O1044" s="66"/>
      <c r="P1044" s="66"/>
      <c r="Q1044" s="66"/>
      <c r="R1044" s="66"/>
      <c r="S1044" s="66"/>
      <c r="T1044" s="66"/>
      <c r="U1044" s="66"/>
      <c r="V1044" s="66"/>
      <c r="W1044" s="66"/>
      <c r="X1044" s="66"/>
      <c r="Y1044" s="66"/>
      <c r="Z1044" s="66"/>
    </row>
    <row r="1045">
      <c r="A1045" s="66"/>
      <c r="B1045" s="66"/>
      <c r="C1045" s="66"/>
      <c r="D1045" s="66"/>
      <c r="E1045" s="66"/>
      <c r="F1045" s="66"/>
      <c r="G1045" s="66"/>
      <c r="H1045" s="66"/>
      <c r="I1045" s="66"/>
      <c r="J1045" s="66"/>
      <c r="K1045" s="66"/>
      <c r="L1045" s="66"/>
      <c r="M1045" s="66"/>
      <c r="N1045" s="66"/>
      <c r="O1045" s="66"/>
      <c r="P1045" s="66"/>
      <c r="Q1045" s="66"/>
      <c r="R1045" s="66"/>
      <c r="S1045" s="66"/>
      <c r="T1045" s="66"/>
      <c r="U1045" s="66"/>
      <c r="V1045" s="66"/>
      <c r="W1045" s="66"/>
      <c r="X1045" s="66"/>
      <c r="Y1045" s="66"/>
      <c r="Z1045" s="66"/>
    </row>
    <row r="1046">
      <c r="A1046" s="66"/>
      <c r="B1046" s="66"/>
      <c r="C1046" s="66"/>
      <c r="D1046" s="66"/>
      <c r="E1046" s="66"/>
      <c r="F1046" s="66"/>
      <c r="G1046" s="66"/>
      <c r="H1046" s="66"/>
      <c r="I1046" s="66"/>
      <c r="J1046" s="66"/>
      <c r="K1046" s="66"/>
      <c r="L1046" s="66"/>
      <c r="M1046" s="66"/>
      <c r="N1046" s="66"/>
      <c r="O1046" s="66"/>
      <c r="P1046" s="66"/>
      <c r="Q1046" s="66"/>
      <c r="R1046" s="66"/>
      <c r="S1046" s="66"/>
      <c r="T1046" s="66"/>
      <c r="U1046" s="66"/>
      <c r="V1046" s="66"/>
      <c r="W1046" s="66"/>
      <c r="X1046" s="66"/>
      <c r="Y1046" s="66"/>
      <c r="Z1046" s="66"/>
    </row>
    <row r="1047">
      <c r="A1047" s="66"/>
      <c r="B1047" s="66"/>
      <c r="C1047" s="66"/>
      <c r="D1047" s="66"/>
      <c r="E1047" s="66"/>
      <c r="F1047" s="66"/>
      <c r="G1047" s="66"/>
      <c r="H1047" s="66"/>
      <c r="I1047" s="66"/>
      <c r="J1047" s="66"/>
      <c r="K1047" s="66"/>
      <c r="L1047" s="66"/>
      <c r="M1047" s="66"/>
      <c r="N1047" s="66"/>
      <c r="O1047" s="66"/>
      <c r="P1047" s="66"/>
      <c r="Q1047" s="66"/>
      <c r="R1047" s="66"/>
      <c r="S1047" s="66"/>
      <c r="T1047" s="66"/>
      <c r="U1047" s="66"/>
      <c r="V1047" s="66"/>
      <c r="W1047" s="66"/>
      <c r="X1047" s="66"/>
      <c r="Y1047" s="66"/>
      <c r="Z1047" s="66"/>
    </row>
    <row r="1048">
      <c r="A1048" s="66"/>
      <c r="B1048" s="66"/>
      <c r="C1048" s="66"/>
      <c r="D1048" s="66"/>
      <c r="E1048" s="66"/>
      <c r="F1048" s="66"/>
      <c r="G1048" s="66"/>
      <c r="H1048" s="66"/>
      <c r="I1048" s="66"/>
      <c r="J1048" s="66"/>
      <c r="K1048" s="66"/>
      <c r="L1048" s="66"/>
      <c r="M1048" s="66"/>
      <c r="N1048" s="66"/>
      <c r="O1048" s="66"/>
      <c r="P1048" s="66"/>
      <c r="Q1048" s="66"/>
      <c r="R1048" s="66"/>
      <c r="S1048" s="66"/>
      <c r="T1048" s="66"/>
      <c r="U1048" s="66"/>
      <c r="V1048" s="66"/>
      <c r="W1048" s="66"/>
      <c r="X1048" s="66"/>
      <c r="Y1048" s="66"/>
      <c r="Z1048" s="66"/>
    </row>
    <row r="1049">
      <c r="A1049" s="66"/>
      <c r="B1049" s="66"/>
      <c r="C1049" s="66"/>
      <c r="D1049" s="66"/>
      <c r="E1049" s="66"/>
      <c r="F1049" s="66"/>
      <c r="G1049" s="66"/>
      <c r="H1049" s="66"/>
      <c r="I1049" s="66"/>
      <c r="J1049" s="66"/>
      <c r="K1049" s="66"/>
      <c r="L1049" s="66"/>
      <c r="M1049" s="66"/>
      <c r="N1049" s="66"/>
      <c r="O1049" s="66"/>
      <c r="P1049" s="66"/>
      <c r="Q1049" s="66"/>
      <c r="R1049" s="66"/>
      <c r="S1049" s="66"/>
      <c r="T1049" s="66"/>
      <c r="U1049" s="66"/>
      <c r="V1049" s="66"/>
      <c r="W1049" s="66"/>
      <c r="X1049" s="66"/>
      <c r="Y1049" s="66"/>
      <c r="Z1049" s="66"/>
    </row>
    <row r="1050">
      <c r="A1050" s="66"/>
      <c r="B1050" s="66"/>
      <c r="C1050" s="66"/>
      <c r="D1050" s="66"/>
      <c r="E1050" s="66"/>
      <c r="F1050" s="66"/>
      <c r="G1050" s="66"/>
      <c r="H1050" s="66"/>
      <c r="I1050" s="66"/>
      <c r="J1050" s="66"/>
      <c r="K1050" s="66"/>
      <c r="L1050" s="66"/>
      <c r="M1050" s="66"/>
      <c r="N1050" s="66"/>
      <c r="O1050" s="66"/>
      <c r="P1050" s="66"/>
      <c r="Q1050" s="66"/>
      <c r="R1050" s="66"/>
      <c r="S1050" s="66"/>
      <c r="T1050" s="66"/>
      <c r="U1050" s="66"/>
      <c r="V1050" s="66"/>
      <c r="W1050" s="66"/>
      <c r="X1050" s="66"/>
      <c r="Y1050" s="66"/>
      <c r="Z1050" s="66"/>
    </row>
    <row r="1051">
      <c r="A1051" s="66"/>
      <c r="B1051" s="66"/>
      <c r="C1051" s="66"/>
      <c r="D1051" s="66"/>
      <c r="E1051" s="66"/>
      <c r="F1051" s="66"/>
      <c r="G1051" s="66"/>
      <c r="H1051" s="66"/>
      <c r="I1051" s="66"/>
      <c r="J1051" s="66"/>
      <c r="K1051" s="66"/>
      <c r="L1051" s="66"/>
      <c r="M1051" s="66"/>
      <c r="N1051" s="66"/>
      <c r="O1051" s="66"/>
      <c r="P1051" s="66"/>
      <c r="Q1051" s="66"/>
      <c r="R1051" s="66"/>
      <c r="S1051" s="66"/>
      <c r="T1051" s="66"/>
      <c r="U1051" s="66"/>
      <c r="V1051" s="66"/>
      <c r="W1051" s="66"/>
      <c r="X1051" s="66"/>
      <c r="Y1051" s="66"/>
      <c r="Z1051" s="66"/>
    </row>
    <row r="1052">
      <c r="A1052" s="66"/>
      <c r="B1052" s="66"/>
      <c r="C1052" s="66"/>
      <c r="D1052" s="66"/>
      <c r="E1052" s="66"/>
      <c r="F1052" s="66"/>
      <c r="G1052" s="66"/>
      <c r="H1052" s="66"/>
      <c r="I1052" s="66"/>
      <c r="J1052" s="66"/>
      <c r="K1052" s="66"/>
      <c r="L1052" s="66"/>
      <c r="M1052" s="66"/>
      <c r="N1052" s="66"/>
      <c r="O1052" s="66"/>
      <c r="P1052" s="66"/>
      <c r="Q1052" s="66"/>
      <c r="R1052" s="66"/>
      <c r="S1052" s="66"/>
      <c r="T1052" s="66"/>
      <c r="U1052" s="66"/>
      <c r="V1052" s="66"/>
      <c r="W1052" s="66"/>
      <c r="X1052" s="66"/>
      <c r="Y1052" s="66"/>
      <c r="Z1052" s="66"/>
    </row>
    <row r="1053">
      <c r="A1053" s="66"/>
      <c r="B1053" s="66"/>
      <c r="C1053" s="66"/>
      <c r="D1053" s="66"/>
      <c r="E1053" s="66"/>
      <c r="F1053" s="66"/>
      <c r="G1053" s="66"/>
      <c r="H1053" s="66"/>
      <c r="I1053" s="66"/>
      <c r="J1053" s="66"/>
      <c r="K1053" s="66"/>
      <c r="L1053" s="66"/>
      <c r="M1053" s="66"/>
      <c r="N1053" s="66"/>
      <c r="O1053" s="66"/>
      <c r="P1053" s="66"/>
      <c r="Q1053" s="66"/>
      <c r="R1053" s="66"/>
      <c r="S1053" s="66"/>
      <c r="T1053" s="66"/>
      <c r="U1053" s="66"/>
      <c r="V1053" s="66"/>
      <c r="W1053" s="66"/>
      <c r="X1053" s="66"/>
      <c r="Y1053" s="66"/>
      <c r="Z1053" s="66"/>
    </row>
    <row r="1054">
      <c r="A1054" s="66"/>
      <c r="B1054" s="66"/>
      <c r="C1054" s="66"/>
      <c r="D1054" s="66"/>
      <c r="E1054" s="66"/>
      <c r="F1054" s="66"/>
      <c r="G1054" s="66"/>
      <c r="H1054" s="66"/>
      <c r="I1054" s="66"/>
      <c r="J1054" s="66"/>
      <c r="K1054" s="66"/>
      <c r="L1054" s="66"/>
      <c r="M1054" s="66"/>
      <c r="N1054" s="66"/>
      <c r="O1054" s="66"/>
      <c r="P1054" s="66"/>
      <c r="Q1054" s="66"/>
      <c r="R1054" s="66"/>
      <c r="S1054" s="66"/>
      <c r="T1054" s="66"/>
      <c r="U1054" s="66"/>
      <c r="V1054" s="66"/>
      <c r="W1054" s="66"/>
      <c r="X1054" s="66"/>
      <c r="Y1054" s="66"/>
      <c r="Z1054" s="66"/>
    </row>
    <row r="1055">
      <c r="A1055" s="66"/>
      <c r="B1055" s="66"/>
      <c r="C1055" s="66"/>
      <c r="D1055" s="66"/>
      <c r="E1055" s="66"/>
      <c r="F1055" s="66"/>
      <c r="G1055" s="66"/>
      <c r="H1055" s="66"/>
      <c r="I1055" s="66"/>
      <c r="J1055" s="66"/>
      <c r="K1055" s="66"/>
      <c r="L1055" s="66"/>
      <c r="M1055" s="66"/>
      <c r="N1055" s="66"/>
      <c r="O1055" s="66"/>
      <c r="P1055" s="66"/>
      <c r="Q1055" s="66"/>
      <c r="R1055" s="66"/>
      <c r="S1055" s="66"/>
      <c r="T1055" s="66"/>
      <c r="U1055" s="66"/>
      <c r="V1055" s="66"/>
      <c r="W1055" s="66"/>
      <c r="X1055" s="66"/>
      <c r="Y1055" s="66"/>
      <c r="Z1055" s="66"/>
    </row>
    <row r="1056">
      <c r="A1056" s="66"/>
      <c r="B1056" s="66"/>
      <c r="C1056" s="66"/>
      <c r="D1056" s="66"/>
      <c r="E1056" s="66"/>
      <c r="F1056" s="66"/>
      <c r="G1056" s="66"/>
      <c r="H1056" s="66"/>
      <c r="I1056" s="66"/>
      <c r="J1056" s="66"/>
      <c r="K1056" s="66"/>
      <c r="L1056" s="66"/>
      <c r="M1056" s="66"/>
      <c r="N1056" s="66"/>
      <c r="O1056" s="66"/>
      <c r="P1056" s="66"/>
      <c r="Q1056" s="66"/>
      <c r="R1056" s="66"/>
      <c r="S1056" s="66"/>
      <c r="T1056" s="66"/>
      <c r="U1056" s="66"/>
      <c r="V1056" s="66"/>
      <c r="W1056" s="66"/>
      <c r="X1056" s="66"/>
      <c r="Y1056" s="66"/>
      <c r="Z1056" s="66"/>
    </row>
    <row r="1057">
      <c r="A1057" s="66"/>
      <c r="B1057" s="66"/>
      <c r="C1057" s="66"/>
      <c r="D1057" s="66"/>
      <c r="E1057" s="66"/>
      <c r="F1057" s="66"/>
      <c r="G1057" s="66"/>
      <c r="H1057" s="66"/>
      <c r="I1057" s="66"/>
      <c r="J1057" s="66"/>
      <c r="K1057" s="66"/>
      <c r="L1057" s="66"/>
      <c r="M1057" s="66"/>
      <c r="N1057" s="66"/>
      <c r="O1057" s="66"/>
      <c r="P1057" s="66"/>
      <c r="Q1057" s="66"/>
      <c r="R1057" s="66"/>
      <c r="S1057" s="66"/>
      <c r="T1057" s="66"/>
      <c r="U1057" s="66"/>
      <c r="V1057" s="66"/>
      <c r="W1057" s="66"/>
      <c r="X1057" s="66"/>
      <c r="Y1057" s="66"/>
      <c r="Z1057" s="66"/>
    </row>
    <row r="1058">
      <c r="A1058" s="66"/>
      <c r="B1058" s="66"/>
      <c r="C1058" s="66"/>
      <c r="D1058" s="66"/>
      <c r="E1058" s="66"/>
      <c r="F1058" s="66"/>
      <c r="G1058" s="66"/>
      <c r="H1058" s="66"/>
      <c r="I1058" s="66"/>
      <c r="J1058" s="66"/>
      <c r="K1058" s="66"/>
      <c r="L1058" s="66"/>
      <c r="M1058" s="66"/>
      <c r="N1058" s="66"/>
      <c r="O1058" s="66"/>
      <c r="P1058" s="66"/>
      <c r="Q1058" s="66"/>
      <c r="R1058" s="66"/>
      <c r="S1058" s="66"/>
      <c r="T1058" s="66"/>
      <c r="U1058" s="66"/>
      <c r="V1058" s="66"/>
      <c r="W1058" s="66"/>
      <c r="X1058" s="66"/>
      <c r="Y1058" s="66"/>
      <c r="Z1058" s="66"/>
    </row>
    <row r="1059">
      <c r="A1059" s="66"/>
      <c r="B1059" s="66"/>
      <c r="C1059" s="66"/>
      <c r="D1059" s="66"/>
      <c r="E1059" s="66"/>
      <c r="F1059" s="66"/>
      <c r="G1059" s="66"/>
      <c r="H1059" s="66"/>
      <c r="I1059" s="66"/>
      <c r="J1059" s="66"/>
      <c r="K1059" s="66"/>
      <c r="L1059" s="66"/>
      <c r="M1059" s="66"/>
      <c r="N1059" s="66"/>
      <c r="O1059" s="66"/>
      <c r="P1059" s="66"/>
      <c r="Q1059" s="66"/>
      <c r="R1059" s="66"/>
      <c r="S1059" s="66"/>
      <c r="T1059" s="66"/>
      <c r="U1059" s="66"/>
      <c r="V1059" s="66"/>
      <c r="W1059" s="66"/>
      <c r="X1059" s="66"/>
      <c r="Y1059" s="66"/>
      <c r="Z1059" s="66"/>
    </row>
    <row r="1060">
      <c r="A1060" s="66"/>
      <c r="B1060" s="66"/>
      <c r="C1060" s="66"/>
      <c r="D1060" s="66"/>
      <c r="E1060" s="66"/>
      <c r="F1060" s="66"/>
      <c r="G1060" s="66"/>
      <c r="H1060" s="66"/>
      <c r="I1060" s="66"/>
      <c r="J1060" s="66"/>
      <c r="K1060" s="66"/>
      <c r="L1060" s="66"/>
      <c r="M1060" s="66"/>
      <c r="N1060" s="66"/>
      <c r="O1060" s="66"/>
      <c r="P1060" s="66"/>
      <c r="Q1060" s="66"/>
      <c r="R1060" s="66"/>
      <c r="S1060" s="66"/>
      <c r="T1060" s="66"/>
      <c r="U1060" s="66"/>
      <c r="V1060" s="66"/>
      <c r="W1060" s="66"/>
      <c r="X1060" s="66"/>
      <c r="Y1060" s="66"/>
      <c r="Z1060" s="66"/>
    </row>
    <row r="1061">
      <c r="A1061" s="66"/>
      <c r="B1061" s="66"/>
      <c r="C1061" s="66"/>
      <c r="D1061" s="66"/>
      <c r="E1061" s="66"/>
      <c r="F1061" s="66"/>
      <c r="G1061" s="66"/>
      <c r="H1061" s="66"/>
      <c r="I1061" s="66"/>
      <c r="J1061" s="66"/>
      <c r="K1061" s="66"/>
      <c r="L1061" s="66"/>
      <c r="M1061" s="66"/>
      <c r="N1061" s="66"/>
      <c r="O1061" s="66"/>
      <c r="P1061" s="66"/>
      <c r="Q1061" s="66"/>
      <c r="R1061" s="66"/>
      <c r="S1061" s="66"/>
      <c r="T1061" s="66"/>
      <c r="U1061" s="66"/>
      <c r="V1061" s="66"/>
      <c r="W1061" s="66"/>
      <c r="X1061" s="66"/>
      <c r="Y1061" s="66"/>
      <c r="Z1061" s="66"/>
    </row>
    <row r="1062">
      <c r="A1062" s="66"/>
      <c r="B1062" s="66"/>
      <c r="C1062" s="66"/>
      <c r="D1062" s="66"/>
      <c r="E1062" s="66"/>
      <c r="F1062" s="66"/>
      <c r="G1062" s="66"/>
      <c r="H1062" s="66"/>
      <c r="I1062" s="66"/>
      <c r="J1062" s="66"/>
      <c r="K1062" s="66"/>
      <c r="L1062" s="66"/>
      <c r="M1062" s="66"/>
      <c r="N1062" s="66"/>
      <c r="O1062" s="66"/>
      <c r="P1062" s="66"/>
      <c r="Q1062" s="66"/>
      <c r="R1062" s="66"/>
      <c r="S1062" s="66"/>
      <c r="T1062" s="66"/>
      <c r="U1062" s="66"/>
      <c r="V1062" s="66"/>
      <c r="W1062" s="66"/>
      <c r="X1062" s="66"/>
      <c r="Y1062" s="66"/>
      <c r="Z1062" s="66"/>
    </row>
    <row r="1063">
      <c r="A1063" s="66"/>
      <c r="B1063" s="66"/>
      <c r="C1063" s="66"/>
      <c r="D1063" s="66"/>
      <c r="E1063" s="66"/>
      <c r="F1063" s="66"/>
      <c r="G1063" s="66"/>
      <c r="H1063" s="66"/>
      <c r="I1063" s="66"/>
      <c r="J1063" s="66"/>
      <c r="K1063" s="66"/>
      <c r="L1063" s="66"/>
      <c r="M1063" s="66"/>
      <c r="N1063" s="66"/>
      <c r="O1063" s="66"/>
      <c r="P1063" s="66"/>
      <c r="Q1063" s="66"/>
      <c r="R1063" s="66"/>
      <c r="S1063" s="66"/>
      <c r="T1063" s="66"/>
      <c r="U1063" s="66"/>
      <c r="V1063" s="66"/>
      <c r="W1063" s="66"/>
      <c r="X1063" s="66"/>
      <c r="Y1063" s="66"/>
      <c r="Z1063" s="66"/>
    </row>
    <row r="1064">
      <c r="A1064" s="66"/>
      <c r="B1064" s="66"/>
      <c r="C1064" s="66"/>
      <c r="D1064" s="66"/>
      <c r="E1064" s="66"/>
      <c r="F1064" s="66"/>
      <c r="G1064" s="66"/>
      <c r="H1064" s="66"/>
      <c r="I1064" s="66"/>
      <c r="J1064" s="66"/>
      <c r="K1064" s="66"/>
      <c r="L1064" s="66"/>
      <c r="M1064" s="66"/>
      <c r="N1064" s="66"/>
      <c r="O1064" s="66"/>
      <c r="P1064" s="66"/>
      <c r="Q1064" s="66"/>
      <c r="R1064" s="66"/>
      <c r="S1064" s="66"/>
      <c r="T1064" s="66"/>
      <c r="U1064" s="66"/>
      <c r="V1064" s="66"/>
      <c r="W1064" s="66"/>
      <c r="X1064" s="66"/>
      <c r="Y1064" s="66"/>
      <c r="Z1064" s="66"/>
    </row>
    <row r="1065">
      <c r="A1065" s="66"/>
      <c r="B1065" s="66"/>
      <c r="C1065" s="66"/>
      <c r="D1065" s="66"/>
      <c r="E1065" s="66"/>
      <c r="F1065" s="66"/>
      <c r="G1065" s="66"/>
      <c r="H1065" s="66"/>
      <c r="I1065" s="66"/>
      <c r="J1065" s="66"/>
      <c r="K1065" s="66"/>
      <c r="L1065" s="66"/>
      <c r="M1065" s="66"/>
      <c r="N1065" s="66"/>
      <c r="O1065" s="66"/>
      <c r="P1065" s="66"/>
      <c r="Q1065" s="66"/>
      <c r="R1065" s="66"/>
      <c r="S1065" s="66"/>
      <c r="T1065" s="66"/>
      <c r="U1065" s="66"/>
      <c r="V1065" s="66"/>
      <c r="W1065" s="66"/>
      <c r="X1065" s="66"/>
      <c r="Y1065" s="66"/>
      <c r="Z1065" s="66"/>
    </row>
    <row r="1066">
      <c r="A1066" s="66"/>
      <c r="B1066" s="66"/>
      <c r="C1066" s="66"/>
      <c r="D1066" s="66"/>
      <c r="E1066" s="66"/>
      <c r="F1066" s="66"/>
      <c r="G1066" s="66"/>
      <c r="H1066" s="66"/>
      <c r="I1066" s="66"/>
      <c r="J1066" s="66"/>
      <c r="K1066" s="66"/>
      <c r="L1066" s="66"/>
      <c r="M1066" s="66"/>
      <c r="N1066" s="66"/>
      <c r="O1066" s="66"/>
      <c r="P1066" s="66"/>
      <c r="Q1066" s="66"/>
      <c r="R1066" s="66"/>
      <c r="S1066" s="66"/>
      <c r="T1066" s="66"/>
      <c r="U1066" s="66"/>
      <c r="V1066" s="66"/>
      <c r="W1066" s="66"/>
      <c r="X1066" s="66"/>
      <c r="Y1066" s="66"/>
      <c r="Z1066" s="66"/>
    </row>
    <row r="1067">
      <c r="A1067" s="66"/>
      <c r="B1067" s="66"/>
      <c r="C1067" s="66"/>
      <c r="D1067" s="66"/>
      <c r="E1067" s="66"/>
      <c r="F1067" s="66"/>
      <c r="G1067" s="66"/>
      <c r="H1067" s="66"/>
      <c r="I1067" s="66"/>
      <c r="J1067" s="66"/>
      <c r="K1067" s="66"/>
      <c r="L1067" s="66"/>
      <c r="M1067" s="66"/>
      <c r="N1067" s="66"/>
      <c r="O1067" s="66"/>
      <c r="P1067" s="66"/>
      <c r="Q1067" s="66"/>
      <c r="R1067" s="66"/>
      <c r="S1067" s="66"/>
      <c r="T1067" s="66"/>
      <c r="U1067" s="66"/>
      <c r="V1067" s="66"/>
      <c r="W1067" s="66"/>
      <c r="X1067" s="66"/>
      <c r="Y1067" s="66"/>
      <c r="Z1067" s="66"/>
    </row>
    <row r="1068">
      <c r="A1068" s="66"/>
      <c r="B1068" s="66"/>
      <c r="C1068" s="66"/>
      <c r="D1068" s="66"/>
      <c r="E1068" s="66"/>
      <c r="F1068" s="66"/>
      <c r="G1068" s="66"/>
      <c r="H1068" s="66"/>
      <c r="I1068" s="66"/>
      <c r="J1068" s="66"/>
      <c r="K1068" s="66"/>
      <c r="L1068" s="66"/>
      <c r="M1068" s="66"/>
      <c r="N1068" s="66"/>
      <c r="O1068" s="66"/>
      <c r="P1068" s="66"/>
      <c r="Q1068" s="66"/>
      <c r="R1068" s="66"/>
      <c r="S1068" s="66"/>
      <c r="T1068" s="66"/>
      <c r="U1068" s="66"/>
      <c r="V1068" s="66"/>
      <c r="W1068" s="66"/>
      <c r="X1068" s="66"/>
      <c r="Y1068" s="66"/>
      <c r="Z1068" s="66"/>
    </row>
    <row r="1069">
      <c r="A1069" s="66"/>
      <c r="B1069" s="66"/>
      <c r="C1069" s="66"/>
      <c r="D1069" s="66"/>
      <c r="E1069" s="66"/>
      <c r="F1069" s="66"/>
      <c r="G1069" s="66"/>
      <c r="H1069" s="66"/>
      <c r="I1069" s="66"/>
      <c r="J1069" s="66"/>
      <c r="K1069" s="66"/>
      <c r="L1069" s="66"/>
      <c r="M1069" s="66"/>
      <c r="N1069" s="66"/>
      <c r="O1069" s="66"/>
      <c r="P1069" s="66"/>
      <c r="Q1069" s="66"/>
      <c r="R1069" s="66"/>
      <c r="S1069" s="66"/>
      <c r="T1069" s="66"/>
      <c r="U1069" s="66"/>
      <c r="V1069" s="66"/>
      <c r="W1069" s="66"/>
      <c r="X1069" s="66"/>
      <c r="Y1069" s="66"/>
      <c r="Z1069" s="66"/>
    </row>
    <row r="1070">
      <c r="A1070" s="66"/>
      <c r="B1070" s="66"/>
      <c r="C1070" s="66"/>
      <c r="D1070" s="66"/>
      <c r="E1070" s="66"/>
      <c r="F1070" s="66"/>
      <c r="G1070" s="66"/>
      <c r="H1070" s="66"/>
      <c r="I1070" s="66"/>
      <c r="J1070" s="66"/>
      <c r="K1070" s="66"/>
      <c r="L1070" s="66"/>
      <c r="M1070" s="66"/>
      <c r="N1070" s="66"/>
      <c r="O1070" s="66"/>
      <c r="P1070" s="66"/>
      <c r="Q1070" s="66"/>
      <c r="R1070" s="66"/>
      <c r="S1070" s="66"/>
      <c r="T1070" s="66"/>
      <c r="U1070" s="66"/>
      <c r="V1070" s="66"/>
      <c r="W1070" s="66"/>
      <c r="X1070" s="66"/>
      <c r="Y1070" s="66"/>
      <c r="Z1070" s="66"/>
    </row>
    <row r="1071">
      <c r="A1071" s="66"/>
      <c r="B1071" s="66"/>
      <c r="C1071" s="66"/>
      <c r="D1071" s="66"/>
      <c r="E1071" s="66"/>
      <c r="F1071" s="66"/>
      <c r="G1071" s="66"/>
      <c r="H1071" s="66"/>
      <c r="I1071" s="66"/>
      <c r="J1071" s="66"/>
      <c r="K1071" s="66"/>
      <c r="L1071" s="66"/>
      <c r="M1071" s="66"/>
      <c r="N1071" s="66"/>
      <c r="O1071" s="66"/>
      <c r="P1071" s="66"/>
      <c r="Q1071" s="66"/>
      <c r="R1071" s="66"/>
      <c r="S1071" s="66"/>
      <c r="T1071" s="66"/>
      <c r="U1071" s="66"/>
      <c r="V1071" s="66"/>
      <c r="W1071" s="66"/>
      <c r="X1071" s="66"/>
      <c r="Y1071" s="66"/>
      <c r="Z1071" s="66"/>
    </row>
    <row r="1072">
      <c r="A1072" s="66"/>
      <c r="B1072" s="66"/>
      <c r="C1072" s="66"/>
      <c r="D1072" s="66"/>
      <c r="E1072" s="66"/>
      <c r="F1072" s="66"/>
      <c r="G1072" s="66"/>
      <c r="H1072" s="66"/>
      <c r="I1072" s="66"/>
      <c r="J1072" s="66"/>
      <c r="K1072" s="66"/>
      <c r="L1072" s="66"/>
      <c r="M1072" s="66"/>
      <c r="N1072" s="66"/>
      <c r="O1072" s="66"/>
      <c r="P1072" s="66"/>
      <c r="Q1072" s="66"/>
      <c r="R1072" s="66"/>
      <c r="S1072" s="66"/>
      <c r="T1072" s="66"/>
      <c r="U1072" s="66"/>
      <c r="V1072" s="66"/>
      <c r="W1072" s="66"/>
      <c r="X1072" s="66"/>
      <c r="Y1072" s="66"/>
      <c r="Z1072" s="66"/>
    </row>
    <row r="1073">
      <c r="A1073" s="66"/>
      <c r="B1073" s="66"/>
      <c r="C1073" s="66"/>
      <c r="D1073" s="66"/>
      <c r="E1073" s="66"/>
      <c r="F1073" s="66"/>
      <c r="G1073" s="66"/>
      <c r="H1073" s="66"/>
      <c r="I1073" s="66"/>
      <c r="J1073" s="66"/>
      <c r="K1073" s="66"/>
      <c r="L1073" s="66"/>
      <c r="M1073" s="66"/>
      <c r="N1073" s="66"/>
      <c r="O1073" s="66"/>
      <c r="P1073" s="66"/>
      <c r="Q1073" s="66"/>
      <c r="R1073" s="66"/>
      <c r="S1073" s="66"/>
      <c r="T1073" s="66"/>
      <c r="U1073" s="66"/>
      <c r="V1073" s="66"/>
      <c r="W1073" s="66"/>
      <c r="X1073" s="66"/>
      <c r="Y1073" s="66"/>
      <c r="Z1073" s="66"/>
    </row>
    <row r="1074">
      <c r="A1074" s="66"/>
      <c r="B1074" s="66"/>
      <c r="C1074" s="66"/>
      <c r="D1074" s="66"/>
      <c r="E1074" s="66"/>
      <c r="F1074" s="66"/>
      <c r="G1074" s="66"/>
      <c r="H1074" s="66"/>
      <c r="I1074" s="66"/>
      <c r="J1074" s="66"/>
      <c r="K1074" s="66"/>
      <c r="L1074" s="66"/>
      <c r="M1074" s="66"/>
      <c r="N1074" s="66"/>
      <c r="O1074" s="66"/>
      <c r="P1074" s="66"/>
      <c r="Q1074" s="66"/>
      <c r="R1074" s="66"/>
      <c r="S1074" s="66"/>
      <c r="T1074" s="66"/>
      <c r="U1074" s="66"/>
      <c r="V1074" s="66"/>
      <c r="W1074" s="66"/>
      <c r="X1074" s="66"/>
      <c r="Y1074" s="66"/>
      <c r="Z1074" s="66"/>
    </row>
    <row r="1075">
      <c r="A1075" s="66"/>
      <c r="B1075" s="66"/>
      <c r="C1075" s="66"/>
      <c r="D1075" s="66"/>
      <c r="E1075" s="66"/>
      <c r="F1075" s="66"/>
      <c r="G1075" s="66"/>
      <c r="H1075" s="66"/>
      <c r="I1075" s="66"/>
      <c r="J1075" s="66"/>
      <c r="K1075" s="66"/>
      <c r="L1075" s="66"/>
      <c r="M1075" s="66"/>
      <c r="N1075" s="66"/>
      <c r="O1075" s="66"/>
      <c r="P1075" s="66"/>
      <c r="Q1075" s="66"/>
      <c r="R1075" s="66"/>
      <c r="S1075" s="66"/>
      <c r="T1075" s="66"/>
      <c r="U1075" s="66"/>
      <c r="V1075" s="66"/>
      <c r="W1075" s="66"/>
      <c r="X1075" s="66"/>
      <c r="Y1075" s="66"/>
      <c r="Z1075" s="66"/>
    </row>
    <row r="1076">
      <c r="A1076" s="66"/>
      <c r="B1076" s="66"/>
      <c r="C1076" s="66"/>
      <c r="D1076" s="66"/>
      <c r="E1076" s="66"/>
      <c r="F1076" s="66"/>
      <c r="G1076" s="66"/>
      <c r="H1076" s="66"/>
      <c r="I1076" s="66"/>
      <c r="J1076" s="66"/>
      <c r="K1076" s="66"/>
      <c r="L1076" s="66"/>
      <c r="M1076" s="66"/>
      <c r="N1076" s="66"/>
      <c r="O1076" s="66"/>
      <c r="P1076" s="66"/>
      <c r="Q1076" s="66"/>
      <c r="R1076" s="66"/>
      <c r="S1076" s="66"/>
      <c r="T1076" s="66"/>
      <c r="U1076" s="66"/>
      <c r="V1076" s="66"/>
      <c r="W1076" s="66"/>
      <c r="X1076" s="66"/>
      <c r="Y1076" s="66"/>
      <c r="Z1076" s="66"/>
    </row>
    <row r="1077">
      <c r="A1077" s="66"/>
      <c r="B1077" s="66"/>
      <c r="C1077" s="66"/>
      <c r="D1077" s="66"/>
      <c r="E1077" s="66"/>
      <c r="F1077" s="66"/>
      <c r="G1077" s="66"/>
      <c r="H1077" s="66"/>
      <c r="I1077" s="66"/>
      <c r="J1077" s="66"/>
      <c r="K1077" s="66"/>
      <c r="L1077" s="66"/>
      <c r="M1077" s="66"/>
      <c r="N1077" s="66"/>
      <c r="O1077" s="66"/>
      <c r="P1077" s="66"/>
      <c r="Q1077" s="66"/>
      <c r="R1077" s="66"/>
      <c r="S1077" s="66"/>
      <c r="T1077" s="66"/>
      <c r="U1077" s="66"/>
      <c r="V1077" s="66"/>
      <c r="W1077" s="66"/>
      <c r="X1077" s="66"/>
      <c r="Y1077" s="66"/>
      <c r="Z1077" s="66"/>
    </row>
    <row r="1078">
      <c r="A1078" s="66"/>
      <c r="B1078" s="66"/>
      <c r="C1078" s="66"/>
      <c r="D1078" s="66"/>
      <c r="E1078" s="66"/>
      <c r="F1078" s="66"/>
      <c r="G1078" s="66"/>
      <c r="H1078" s="66"/>
      <c r="I1078" s="66"/>
      <c r="J1078" s="66"/>
      <c r="K1078" s="66"/>
      <c r="L1078" s="66"/>
      <c r="M1078" s="66"/>
      <c r="N1078" s="66"/>
      <c r="O1078" s="66"/>
      <c r="P1078" s="66"/>
      <c r="Q1078" s="66"/>
      <c r="R1078" s="66"/>
      <c r="S1078" s="66"/>
      <c r="T1078" s="66"/>
      <c r="U1078" s="66"/>
      <c r="V1078" s="66"/>
      <c r="W1078" s="66"/>
      <c r="X1078" s="66"/>
      <c r="Y1078" s="66"/>
      <c r="Z1078" s="66"/>
    </row>
    <row r="1079">
      <c r="A1079" s="66"/>
      <c r="B1079" s="66"/>
      <c r="C1079" s="66"/>
      <c r="D1079" s="66"/>
      <c r="E1079" s="66"/>
      <c r="F1079" s="66"/>
      <c r="G1079" s="66"/>
      <c r="H1079" s="66"/>
      <c r="I1079" s="66"/>
      <c r="J1079" s="66"/>
      <c r="K1079" s="66"/>
      <c r="L1079" s="66"/>
      <c r="M1079" s="66"/>
      <c r="N1079" s="66"/>
      <c r="O1079" s="66"/>
      <c r="P1079" s="66"/>
      <c r="Q1079" s="66"/>
      <c r="R1079" s="66"/>
      <c r="S1079" s="66"/>
      <c r="T1079" s="66"/>
      <c r="U1079" s="66"/>
      <c r="V1079" s="66"/>
      <c r="W1079" s="66"/>
      <c r="X1079" s="66"/>
      <c r="Y1079" s="66"/>
      <c r="Z1079" s="66"/>
    </row>
    <row r="1080">
      <c r="A1080" s="66"/>
      <c r="B1080" s="66"/>
      <c r="C1080" s="66"/>
      <c r="D1080" s="66"/>
      <c r="E1080" s="66"/>
      <c r="F1080" s="66"/>
      <c r="G1080" s="66"/>
      <c r="H1080" s="66"/>
      <c r="I1080" s="66"/>
      <c r="J1080" s="66"/>
      <c r="K1080" s="66"/>
      <c r="L1080" s="66"/>
      <c r="M1080" s="66"/>
      <c r="N1080" s="66"/>
      <c r="O1080" s="66"/>
      <c r="P1080" s="66"/>
      <c r="Q1080" s="66"/>
      <c r="R1080" s="66"/>
      <c r="S1080" s="66"/>
      <c r="T1080" s="66"/>
      <c r="U1080" s="66"/>
      <c r="V1080" s="66"/>
      <c r="W1080" s="66"/>
      <c r="X1080" s="66"/>
      <c r="Y1080" s="66"/>
      <c r="Z1080" s="66"/>
    </row>
    <row r="1081">
      <c r="A1081" s="66"/>
      <c r="B1081" s="66"/>
      <c r="C1081" s="66"/>
      <c r="D1081" s="66"/>
      <c r="E1081" s="66"/>
      <c r="F1081" s="66"/>
      <c r="G1081" s="66"/>
      <c r="H1081" s="66"/>
      <c r="I1081" s="66"/>
      <c r="J1081" s="66"/>
      <c r="K1081" s="66"/>
      <c r="L1081" s="66"/>
      <c r="M1081" s="66"/>
      <c r="N1081" s="66"/>
      <c r="O1081" s="66"/>
      <c r="P1081" s="66"/>
      <c r="Q1081" s="66"/>
      <c r="R1081" s="66"/>
      <c r="S1081" s="66"/>
      <c r="T1081" s="66"/>
      <c r="U1081" s="66"/>
      <c r="V1081" s="66"/>
      <c r="W1081" s="66"/>
      <c r="X1081" s="66"/>
      <c r="Y1081" s="66"/>
      <c r="Z1081" s="66"/>
    </row>
    <row r="1082">
      <c r="A1082" s="66"/>
      <c r="B1082" s="66"/>
      <c r="C1082" s="66"/>
      <c r="D1082" s="66"/>
      <c r="E1082" s="66"/>
      <c r="F1082" s="66"/>
      <c r="G1082" s="66"/>
      <c r="H1082" s="66"/>
      <c r="I1082" s="66"/>
      <c r="J1082" s="66"/>
      <c r="K1082" s="66"/>
      <c r="L1082" s="66"/>
      <c r="M1082" s="66"/>
      <c r="N1082" s="66"/>
      <c r="O1082" s="66"/>
      <c r="P1082" s="66"/>
      <c r="Q1082" s="66"/>
      <c r="R1082" s="66"/>
      <c r="S1082" s="66"/>
      <c r="T1082" s="66"/>
      <c r="U1082" s="66"/>
      <c r="V1082" s="66"/>
      <c r="W1082" s="66"/>
      <c r="X1082" s="66"/>
      <c r="Y1082" s="66"/>
      <c r="Z1082" s="66"/>
    </row>
    <row r="1083">
      <c r="A1083" s="66"/>
      <c r="B1083" s="66"/>
      <c r="C1083" s="66"/>
      <c r="D1083" s="66"/>
      <c r="E1083" s="66"/>
      <c r="F1083" s="66"/>
      <c r="G1083" s="66"/>
      <c r="H1083" s="66"/>
      <c r="I1083" s="66"/>
      <c r="J1083" s="66"/>
      <c r="K1083" s="66"/>
      <c r="L1083" s="66"/>
      <c r="M1083" s="66"/>
      <c r="N1083" s="66"/>
      <c r="O1083" s="66"/>
      <c r="P1083" s="66"/>
      <c r="Q1083" s="66"/>
      <c r="R1083" s="66"/>
      <c r="S1083" s="66"/>
      <c r="T1083" s="66"/>
      <c r="U1083" s="66"/>
      <c r="V1083" s="66"/>
      <c r="W1083" s="66"/>
      <c r="X1083" s="66"/>
      <c r="Y1083" s="66"/>
      <c r="Z1083" s="66"/>
    </row>
    <row r="1084">
      <c r="A1084" s="66"/>
      <c r="B1084" s="66"/>
      <c r="C1084" s="66"/>
      <c r="D1084" s="66"/>
      <c r="E1084" s="66"/>
      <c r="F1084" s="66"/>
      <c r="G1084" s="66"/>
      <c r="H1084" s="66"/>
      <c r="I1084" s="66"/>
      <c r="J1084" s="66"/>
      <c r="K1084" s="66"/>
      <c r="L1084" s="66"/>
      <c r="M1084" s="66"/>
      <c r="N1084" s="66"/>
      <c r="O1084" s="66"/>
      <c r="P1084" s="66"/>
      <c r="Q1084" s="66"/>
      <c r="R1084" s="66"/>
      <c r="S1084" s="66"/>
      <c r="T1084" s="66"/>
      <c r="U1084" s="66"/>
      <c r="V1084" s="66"/>
      <c r="W1084" s="66"/>
      <c r="X1084" s="66"/>
      <c r="Y1084" s="66"/>
      <c r="Z1084" s="66"/>
    </row>
    <row r="1085">
      <c r="A1085" s="66"/>
      <c r="B1085" s="66"/>
      <c r="C1085" s="66"/>
      <c r="D1085" s="66"/>
      <c r="E1085" s="66"/>
      <c r="F1085" s="66"/>
      <c r="G1085" s="66"/>
      <c r="H1085" s="66"/>
      <c r="I1085" s="66"/>
      <c r="J1085" s="66"/>
      <c r="K1085" s="66"/>
      <c r="L1085" s="66"/>
      <c r="M1085" s="66"/>
      <c r="N1085" s="66"/>
      <c r="O1085" s="66"/>
      <c r="P1085" s="66"/>
      <c r="Q1085" s="66"/>
      <c r="R1085" s="66"/>
      <c r="S1085" s="66"/>
      <c r="T1085" s="66"/>
      <c r="U1085" s="66"/>
      <c r="V1085" s="66"/>
      <c r="W1085" s="66"/>
      <c r="X1085" s="66"/>
      <c r="Y1085" s="66"/>
      <c r="Z1085" s="66"/>
    </row>
    <row r="1086">
      <c r="A1086" s="66"/>
      <c r="B1086" s="66"/>
      <c r="C1086" s="66"/>
      <c r="D1086" s="66"/>
      <c r="E1086" s="66"/>
      <c r="F1086" s="66"/>
      <c r="G1086" s="66"/>
      <c r="H1086" s="66"/>
      <c r="I1086" s="66"/>
      <c r="J1086" s="66"/>
      <c r="K1086" s="66"/>
      <c r="L1086" s="66"/>
      <c r="M1086" s="66"/>
      <c r="N1086" s="66"/>
      <c r="O1086" s="66"/>
      <c r="P1086" s="66"/>
      <c r="Q1086" s="66"/>
      <c r="R1086" s="66"/>
      <c r="S1086" s="66"/>
      <c r="T1086" s="66"/>
      <c r="U1086" s="66"/>
      <c r="V1086" s="66"/>
      <c r="W1086" s="66"/>
      <c r="X1086" s="66"/>
      <c r="Y1086" s="66"/>
      <c r="Z1086" s="66"/>
    </row>
    <row r="1087">
      <c r="A1087" s="66"/>
      <c r="B1087" s="66"/>
      <c r="C1087" s="66"/>
      <c r="D1087" s="66"/>
      <c r="E1087" s="66"/>
      <c r="F1087" s="66"/>
      <c r="G1087" s="66"/>
      <c r="H1087" s="66"/>
      <c r="I1087" s="66"/>
      <c r="J1087" s="66"/>
      <c r="K1087" s="66"/>
      <c r="L1087" s="66"/>
      <c r="M1087" s="66"/>
      <c r="N1087" s="66"/>
      <c r="O1087" s="66"/>
      <c r="P1087" s="66"/>
      <c r="Q1087" s="66"/>
      <c r="R1087" s="66"/>
      <c r="S1087" s="66"/>
      <c r="T1087" s="66"/>
      <c r="U1087" s="66"/>
      <c r="V1087" s="66"/>
      <c r="W1087" s="66"/>
      <c r="X1087" s="66"/>
      <c r="Y1087" s="66"/>
      <c r="Z1087" s="66"/>
    </row>
    <row r="1088">
      <c r="A1088" s="66"/>
      <c r="B1088" s="66"/>
      <c r="C1088" s="66"/>
      <c r="D1088" s="66"/>
      <c r="E1088" s="66"/>
      <c r="F1088" s="66"/>
      <c r="G1088" s="66"/>
      <c r="H1088" s="66"/>
      <c r="I1088" s="66"/>
      <c r="J1088" s="66"/>
      <c r="K1088" s="66"/>
      <c r="L1088" s="66"/>
      <c r="M1088" s="66"/>
      <c r="N1088" s="66"/>
      <c r="O1088" s="66"/>
      <c r="P1088" s="66"/>
      <c r="Q1088" s="66"/>
      <c r="R1088" s="66"/>
      <c r="S1088" s="66"/>
      <c r="T1088" s="66"/>
      <c r="U1088" s="66"/>
      <c r="V1088" s="66"/>
      <c r="W1088" s="66"/>
      <c r="X1088" s="66"/>
      <c r="Y1088" s="66"/>
      <c r="Z1088" s="66"/>
    </row>
    <row r="1089">
      <c r="A1089" s="66"/>
      <c r="B1089" s="66"/>
      <c r="C1089" s="66"/>
      <c r="D1089" s="66"/>
      <c r="E1089" s="66"/>
      <c r="F1089" s="66"/>
      <c r="G1089" s="66"/>
      <c r="H1089" s="66"/>
      <c r="I1089" s="66"/>
      <c r="J1089" s="66"/>
      <c r="K1089" s="66"/>
      <c r="L1089" s="66"/>
      <c r="M1089" s="66"/>
      <c r="N1089" s="66"/>
      <c r="O1089" s="66"/>
      <c r="P1089" s="66"/>
      <c r="Q1089" s="66"/>
      <c r="R1089" s="66"/>
      <c r="S1089" s="66"/>
      <c r="T1089" s="66"/>
      <c r="U1089" s="66"/>
      <c r="V1089" s="66"/>
      <c r="W1089" s="66"/>
      <c r="X1089" s="66"/>
      <c r="Y1089" s="66"/>
      <c r="Z1089" s="66"/>
    </row>
    <row r="1090">
      <c r="A1090" s="66"/>
      <c r="B1090" s="66"/>
      <c r="C1090" s="66"/>
      <c r="D1090" s="66"/>
      <c r="E1090" s="66"/>
      <c r="F1090" s="66"/>
      <c r="G1090" s="66"/>
      <c r="H1090" s="66"/>
      <c r="I1090" s="66"/>
      <c r="J1090" s="66"/>
      <c r="K1090" s="66"/>
      <c r="L1090" s="66"/>
      <c r="M1090" s="66"/>
      <c r="N1090" s="66"/>
      <c r="O1090" s="66"/>
      <c r="P1090" s="66"/>
      <c r="Q1090" s="66"/>
      <c r="R1090" s="66"/>
      <c r="S1090" s="66"/>
      <c r="T1090" s="66"/>
      <c r="U1090" s="66"/>
      <c r="V1090" s="66"/>
      <c r="W1090" s="66"/>
      <c r="X1090" s="66"/>
      <c r="Y1090" s="66"/>
      <c r="Z1090" s="66"/>
    </row>
    <row r="1091">
      <c r="A1091" s="66"/>
      <c r="B1091" s="66"/>
      <c r="C1091" s="66"/>
      <c r="D1091" s="66"/>
      <c r="E1091" s="66"/>
      <c r="F1091" s="66"/>
      <c r="G1091" s="66"/>
      <c r="H1091" s="66"/>
      <c r="I1091" s="66"/>
      <c r="J1091" s="66"/>
      <c r="K1091" s="66"/>
      <c r="L1091" s="66"/>
      <c r="M1091" s="66"/>
      <c r="N1091" s="66"/>
      <c r="O1091" s="66"/>
      <c r="P1091" s="66"/>
      <c r="Q1091" s="66"/>
      <c r="R1091" s="66"/>
      <c r="S1091" s="66"/>
      <c r="T1091" s="66"/>
      <c r="U1091" s="66"/>
      <c r="V1091" s="66"/>
      <c r="W1091" s="66"/>
      <c r="X1091" s="66"/>
      <c r="Y1091" s="66"/>
      <c r="Z1091" s="66"/>
    </row>
    <row r="1092">
      <c r="A1092" s="66"/>
      <c r="B1092" s="66"/>
      <c r="C1092" s="66"/>
      <c r="D1092" s="66"/>
      <c r="E1092" s="66"/>
      <c r="F1092" s="66"/>
      <c r="G1092" s="66"/>
      <c r="H1092" s="66"/>
      <c r="I1092" s="66"/>
      <c r="J1092" s="66"/>
      <c r="K1092" s="66"/>
      <c r="L1092" s="66"/>
      <c r="M1092" s="66"/>
      <c r="N1092" s="66"/>
      <c r="O1092" s="66"/>
      <c r="P1092" s="66"/>
      <c r="Q1092" s="66"/>
      <c r="R1092" s="66"/>
      <c r="S1092" s="66"/>
      <c r="T1092" s="66"/>
      <c r="U1092" s="66"/>
      <c r="V1092" s="66"/>
      <c r="W1092" s="66"/>
      <c r="X1092" s="66"/>
      <c r="Y1092" s="66"/>
      <c r="Z1092" s="66"/>
    </row>
    <row r="1093">
      <c r="A1093" s="66"/>
      <c r="B1093" s="66"/>
      <c r="C1093" s="66"/>
      <c r="D1093" s="66"/>
      <c r="E1093" s="66"/>
      <c r="F1093" s="66"/>
      <c r="G1093" s="66"/>
      <c r="H1093" s="66"/>
      <c r="I1093" s="66"/>
      <c r="J1093" s="66"/>
      <c r="K1093" s="66"/>
      <c r="L1093" s="66"/>
      <c r="M1093" s="66"/>
      <c r="N1093" s="66"/>
      <c r="O1093" s="66"/>
      <c r="P1093" s="66"/>
      <c r="Q1093" s="66"/>
      <c r="R1093" s="66"/>
      <c r="S1093" s="66"/>
      <c r="T1093" s="66"/>
      <c r="U1093" s="66"/>
      <c r="V1093" s="66"/>
      <c r="W1093" s="66"/>
      <c r="X1093" s="66"/>
      <c r="Y1093" s="66"/>
      <c r="Z1093" s="66"/>
    </row>
    <row r="1094">
      <c r="A1094" s="66"/>
      <c r="B1094" s="66"/>
      <c r="C1094" s="66"/>
      <c r="D1094" s="66"/>
      <c r="E1094" s="66"/>
      <c r="F1094" s="66"/>
      <c r="G1094" s="66"/>
      <c r="H1094" s="66"/>
      <c r="I1094" s="66"/>
      <c r="J1094" s="66"/>
      <c r="K1094" s="66"/>
      <c r="L1094" s="66"/>
      <c r="M1094" s="66"/>
      <c r="N1094" s="66"/>
      <c r="O1094" s="66"/>
      <c r="P1094" s="66"/>
      <c r="Q1094" s="66"/>
      <c r="R1094" s="66"/>
      <c r="S1094" s="66"/>
      <c r="T1094" s="66"/>
      <c r="U1094" s="66"/>
      <c r="V1094" s="66"/>
      <c r="W1094" s="66"/>
      <c r="X1094" s="66"/>
      <c r="Y1094" s="66"/>
      <c r="Z1094" s="66"/>
    </row>
    <row r="1095">
      <c r="A1095" s="66"/>
      <c r="B1095" s="66"/>
      <c r="C1095" s="66"/>
      <c r="D1095" s="66"/>
      <c r="E1095" s="66"/>
      <c r="F1095" s="66"/>
      <c r="G1095" s="66"/>
      <c r="H1095" s="66"/>
      <c r="I1095" s="66"/>
      <c r="J1095" s="66"/>
      <c r="K1095" s="66"/>
      <c r="L1095" s="66"/>
      <c r="M1095" s="66"/>
      <c r="N1095" s="66"/>
      <c r="O1095" s="66"/>
      <c r="P1095" s="66"/>
      <c r="Q1095" s="66"/>
      <c r="R1095" s="66"/>
      <c r="S1095" s="66"/>
      <c r="T1095" s="66"/>
      <c r="U1095" s="66"/>
      <c r="V1095" s="66"/>
      <c r="W1095" s="66"/>
      <c r="X1095" s="66"/>
      <c r="Y1095" s="66"/>
      <c r="Z1095" s="66"/>
    </row>
    <row r="1096">
      <c r="A1096" s="66"/>
      <c r="B1096" s="66"/>
      <c r="C1096" s="66"/>
      <c r="D1096" s="66"/>
      <c r="E1096" s="66"/>
      <c r="F1096" s="66"/>
      <c r="G1096" s="66"/>
      <c r="H1096" s="66"/>
      <c r="I1096" s="66"/>
      <c r="J1096" s="66"/>
      <c r="K1096" s="66"/>
      <c r="L1096" s="66"/>
      <c r="M1096" s="66"/>
      <c r="N1096" s="66"/>
      <c r="O1096" s="66"/>
      <c r="P1096" s="66"/>
      <c r="Q1096" s="66"/>
      <c r="R1096" s="66"/>
      <c r="S1096" s="66"/>
      <c r="T1096" s="66"/>
      <c r="U1096" s="66"/>
      <c r="V1096" s="66"/>
      <c r="W1096" s="66"/>
      <c r="X1096" s="66"/>
      <c r="Y1096" s="66"/>
      <c r="Z1096" s="66"/>
    </row>
    <row r="1097">
      <c r="A1097" s="66"/>
      <c r="B1097" s="66"/>
      <c r="C1097" s="66"/>
      <c r="D1097" s="66"/>
      <c r="E1097" s="66"/>
      <c r="F1097" s="66"/>
      <c r="G1097" s="66"/>
      <c r="H1097" s="66"/>
      <c r="I1097" s="66"/>
      <c r="J1097" s="66"/>
      <c r="K1097" s="66"/>
      <c r="L1097" s="66"/>
      <c r="M1097" s="66"/>
      <c r="N1097" s="66"/>
      <c r="O1097" s="66"/>
      <c r="P1097" s="66"/>
      <c r="Q1097" s="66"/>
      <c r="R1097" s="66"/>
      <c r="S1097" s="66"/>
      <c r="T1097" s="66"/>
      <c r="U1097" s="66"/>
      <c r="V1097" s="66"/>
      <c r="W1097" s="66"/>
      <c r="X1097" s="66"/>
      <c r="Y1097" s="66"/>
      <c r="Z1097" s="66"/>
    </row>
    <row r="1098">
      <c r="A1098" s="66"/>
      <c r="B1098" s="66"/>
      <c r="C1098" s="66"/>
      <c r="D1098" s="66"/>
      <c r="E1098" s="66"/>
      <c r="F1098" s="66"/>
      <c r="G1098" s="66"/>
      <c r="H1098" s="66"/>
      <c r="I1098" s="66"/>
      <c r="J1098" s="66"/>
      <c r="K1098" s="66"/>
      <c r="L1098" s="66"/>
      <c r="M1098" s="66"/>
      <c r="N1098" s="66"/>
      <c r="O1098" s="66"/>
      <c r="P1098" s="66"/>
      <c r="Q1098" s="66"/>
      <c r="R1098" s="66"/>
      <c r="S1098" s="66"/>
      <c r="T1098" s="66"/>
      <c r="U1098" s="66"/>
      <c r="V1098" s="66"/>
      <c r="W1098" s="66"/>
      <c r="X1098" s="66"/>
      <c r="Y1098" s="66"/>
      <c r="Z1098" s="66"/>
    </row>
    <row r="1099">
      <c r="A1099" s="66"/>
      <c r="B1099" s="66"/>
      <c r="C1099" s="66"/>
      <c r="D1099" s="66"/>
      <c r="E1099" s="66"/>
      <c r="F1099" s="66"/>
      <c r="G1099" s="66"/>
      <c r="H1099" s="66"/>
      <c r="I1099" s="66"/>
      <c r="J1099" s="66"/>
      <c r="K1099" s="66"/>
      <c r="L1099" s="66"/>
      <c r="M1099" s="66"/>
      <c r="N1099" s="66"/>
      <c r="O1099" s="66"/>
      <c r="P1099" s="66"/>
      <c r="Q1099" s="66"/>
      <c r="R1099" s="66"/>
      <c r="S1099" s="66"/>
      <c r="T1099" s="66"/>
      <c r="U1099" s="66"/>
      <c r="V1099" s="66"/>
      <c r="W1099" s="66"/>
      <c r="X1099" s="66"/>
      <c r="Y1099" s="66"/>
      <c r="Z1099" s="66"/>
    </row>
    <row r="1100">
      <c r="A1100" s="66"/>
      <c r="B1100" s="66"/>
      <c r="C1100" s="66"/>
      <c r="D1100" s="66"/>
      <c r="E1100" s="66"/>
      <c r="F1100" s="66"/>
      <c r="G1100" s="66"/>
      <c r="H1100" s="66"/>
      <c r="I1100" s="66"/>
      <c r="J1100" s="66"/>
      <c r="K1100" s="66"/>
      <c r="L1100" s="66"/>
      <c r="M1100" s="66"/>
      <c r="N1100" s="66"/>
      <c r="O1100" s="66"/>
      <c r="P1100" s="66"/>
      <c r="Q1100" s="66"/>
      <c r="R1100" s="66"/>
      <c r="S1100" s="66"/>
      <c r="T1100" s="66"/>
      <c r="U1100" s="66"/>
      <c r="V1100" s="66"/>
      <c r="W1100" s="66"/>
      <c r="X1100" s="66"/>
      <c r="Y1100" s="66"/>
      <c r="Z1100" s="66"/>
    </row>
    <row r="1101">
      <c r="A1101" s="66"/>
      <c r="B1101" s="66"/>
      <c r="C1101" s="66"/>
      <c r="D1101" s="66"/>
      <c r="E1101" s="66"/>
      <c r="F1101" s="66"/>
      <c r="G1101" s="66"/>
      <c r="H1101" s="66"/>
      <c r="I1101" s="66"/>
      <c r="J1101" s="66"/>
      <c r="K1101" s="66"/>
      <c r="L1101" s="66"/>
      <c r="M1101" s="66"/>
      <c r="N1101" s="66"/>
      <c r="O1101" s="66"/>
      <c r="P1101" s="66"/>
      <c r="Q1101" s="66"/>
      <c r="R1101" s="66"/>
      <c r="S1101" s="66"/>
      <c r="T1101" s="66"/>
      <c r="U1101" s="66"/>
      <c r="V1101" s="66"/>
      <c r="W1101" s="66"/>
      <c r="X1101" s="66"/>
      <c r="Y1101" s="66"/>
      <c r="Z1101" s="66"/>
    </row>
    <row r="1102">
      <c r="A1102" s="66"/>
      <c r="B1102" s="66"/>
      <c r="C1102" s="66"/>
      <c r="D1102" s="66"/>
      <c r="E1102" s="66"/>
      <c r="F1102" s="66"/>
      <c r="G1102" s="66"/>
      <c r="H1102" s="66"/>
      <c r="I1102" s="66"/>
      <c r="J1102" s="66"/>
      <c r="K1102" s="66"/>
      <c r="L1102" s="66"/>
      <c r="M1102" s="66"/>
      <c r="N1102" s="66"/>
      <c r="O1102" s="66"/>
      <c r="P1102" s="66"/>
      <c r="Q1102" s="66"/>
      <c r="R1102" s="66"/>
      <c r="S1102" s="66"/>
      <c r="T1102" s="66"/>
      <c r="U1102" s="66"/>
      <c r="V1102" s="66"/>
      <c r="W1102" s="66"/>
      <c r="X1102" s="66"/>
      <c r="Y1102" s="66"/>
      <c r="Z1102" s="66"/>
    </row>
    <row r="1103">
      <c r="A1103" s="66"/>
      <c r="B1103" s="66"/>
      <c r="C1103" s="66"/>
      <c r="D1103" s="66"/>
      <c r="E1103" s="66"/>
      <c r="F1103" s="66"/>
      <c r="G1103" s="66"/>
      <c r="H1103" s="66"/>
      <c r="I1103" s="66"/>
      <c r="J1103" s="66"/>
      <c r="K1103" s="66"/>
      <c r="L1103" s="66"/>
      <c r="M1103" s="66"/>
      <c r="N1103" s="66"/>
      <c r="O1103" s="66"/>
      <c r="P1103" s="66"/>
      <c r="Q1103" s="66"/>
      <c r="R1103" s="66"/>
      <c r="S1103" s="66"/>
      <c r="T1103" s="66"/>
      <c r="U1103" s="66"/>
      <c r="V1103" s="66"/>
      <c r="W1103" s="66"/>
      <c r="X1103" s="66"/>
      <c r="Y1103" s="66"/>
      <c r="Z1103" s="66"/>
    </row>
    <row r="1104">
      <c r="A1104" s="66"/>
      <c r="B1104" s="66"/>
      <c r="C1104" s="66"/>
      <c r="D1104" s="66"/>
      <c r="E1104" s="66"/>
      <c r="F1104" s="66"/>
      <c r="G1104" s="66"/>
      <c r="H1104" s="66"/>
      <c r="I1104" s="66"/>
      <c r="J1104" s="66"/>
      <c r="K1104" s="66"/>
      <c r="L1104" s="66"/>
      <c r="M1104" s="66"/>
      <c r="N1104" s="66"/>
      <c r="O1104" s="66"/>
      <c r="P1104" s="66"/>
      <c r="Q1104" s="66"/>
      <c r="R1104" s="66"/>
      <c r="S1104" s="66"/>
      <c r="T1104" s="66"/>
      <c r="U1104" s="66"/>
      <c r="V1104" s="66"/>
      <c r="W1104" s="66"/>
      <c r="X1104" s="66"/>
      <c r="Y1104" s="66"/>
      <c r="Z1104" s="66"/>
    </row>
    <row r="1105">
      <c r="A1105" s="66"/>
      <c r="B1105" s="66"/>
      <c r="C1105" s="66"/>
      <c r="D1105" s="66"/>
      <c r="E1105" s="66"/>
      <c r="F1105" s="66"/>
      <c r="G1105" s="66"/>
      <c r="H1105" s="66"/>
      <c r="I1105" s="66"/>
      <c r="J1105" s="66"/>
      <c r="K1105" s="66"/>
      <c r="L1105" s="66"/>
      <c r="M1105" s="66"/>
      <c r="N1105" s="66"/>
      <c r="O1105" s="66"/>
      <c r="P1105" s="66"/>
      <c r="Q1105" s="66"/>
      <c r="R1105" s="66"/>
      <c r="S1105" s="66"/>
      <c r="T1105" s="66"/>
      <c r="U1105" s="66"/>
      <c r="V1105" s="66"/>
      <c r="W1105" s="66"/>
      <c r="X1105" s="66"/>
      <c r="Y1105" s="66"/>
      <c r="Z1105" s="66"/>
    </row>
    <row r="1106">
      <c r="A1106" s="66"/>
      <c r="B1106" s="66"/>
      <c r="C1106" s="66"/>
      <c r="D1106" s="66"/>
      <c r="E1106" s="66"/>
      <c r="F1106" s="66"/>
      <c r="G1106" s="66"/>
      <c r="H1106" s="66"/>
      <c r="I1106" s="66"/>
      <c r="J1106" s="66"/>
      <c r="K1106" s="66"/>
      <c r="L1106" s="66"/>
      <c r="M1106" s="66"/>
      <c r="N1106" s="66"/>
      <c r="O1106" s="66"/>
      <c r="P1106" s="66"/>
      <c r="Q1106" s="66"/>
      <c r="R1106" s="66"/>
      <c r="S1106" s="66"/>
      <c r="T1106" s="66"/>
      <c r="U1106" s="66"/>
      <c r="V1106" s="66"/>
      <c r="W1106" s="66"/>
      <c r="X1106" s="66"/>
      <c r="Y1106" s="66"/>
      <c r="Z1106" s="66"/>
    </row>
    <row r="1107">
      <c r="A1107" s="66"/>
      <c r="B1107" s="66"/>
      <c r="C1107" s="66"/>
      <c r="D1107" s="66"/>
      <c r="E1107" s="66"/>
      <c r="F1107" s="66"/>
      <c r="G1107" s="66"/>
      <c r="H1107" s="66"/>
      <c r="I1107" s="66"/>
      <c r="J1107" s="66"/>
      <c r="K1107" s="66"/>
      <c r="L1107" s="66"/>
      <c r="M1107" s="66"/>
      <c r="N1107" s="66"/>
      <c r="O1107" s="66"/>
      <c r="P1107" s="66"/>
      <c r="Q1107" s="66"/>
      <c r="R1107" s="66"/>
      <c r="S1107" s="66"/>
      <c r="T1107" s="66"/>
      <c r="U1107" s="66"/>
      <c r="V1107" s="66"/>
      <c r="W1107" s="66"/>
      <c r="X1107" s="66"/>
      <c r="Y1107" s="66"/>
      <c r="Z1107" s="66"/>
    </row>
    <row r="1108">
      <c r="A1108" s="66"/>
      <c r="B1108" s="66"/>
      <c r="C1108" s="66"/>
      <c r="D1108" s="66"/>
      <c r="E1108" s="66"/>
      <c r="F1108" s="66"/>
      <c r="G1108" s="66"/>
      <c r="H1108" s="66"/>
      <c r="I1108" s="66"/>
      <c r="J1108" s="66"/>
      <c r="K1108" s="66"/>
      <c r="L1108" s="66"/>
      <c r="M1108" s="66"/>
      <c r="N1108" s="66"/>
      <c r="O1108" s="66"/>
      <c r="P1108" s="66"/>
      <c r="Q1108" s="66"/>
      <c r="R1108" s="66"/>
      <c r="S1108" s="66"/>
      <c r="T1108" s="66"/>
      <c r="U1108" s="66"/>
      <c r="V1108" s="66"/>
      <c r="W1108" s="66"/>
      <c r="X1108" s="66"/>
      <c r="Y1108" s="66"/>
      <c r="Z1108" s="66"/>
    </row>
    <row r="1109">
      <c r="A1109" s="66"/>
      <c r="B1109" s="66"/>
      <c r="C1109" s="66"/>
      <c r="D1109" s="66"/>
      <c r="E1109" s="66"/>
      <c r="F1109" s="66"/>
      <c r="G1109" s="66"/>
      <c r="H1109" s="66"/>
      <c r="I1109" s="66"/>
      <c r="J1109" s="66"/>
      <c r="K1109" s="66"/>
      <c r="L1109" s="66"/>
      <c r="M1109" s="66"/>
      <c r="N1109" s="66"/>
      <c r="O1109" s="66"/>
      <c r="P1109" s="66"/>
      <c r="Q1109" s="66"/>
      <c r="R1109" s="66"/>
      <c r="S1109" s="66"/>
      <c r="T1109" s="66"/>
      <c r="U1109" s="66"/>
      <c r="V1109" s="66"/>
      <c r="W1109" s="66"/>
      <c r="X1109" s="66"/>
      <c r="Y1109" s="66"/>
      <c r="Z1109" s="66"/>
    </row>
    <row r="1110">
      <c r="A1110" s="66"/>
      <c r="B1110" s="66"/>
      <c r="C1110" s="66"/>
      <c r="D1110" s="66"/>
      <c r="E1110" s="66"/>
      <c r="F1110" s="66"/>
      <c r="G1110" s="66"/>
      <c r="H1110" s="66"/>
      <c r="I1110" s="66"/>
      <c r="J1110" s="66"/>
      <c r="K1110" s="66"/>
      <c r="L1110" s="66"/>
      <c r="M1110" s="66"/>
      <c r="N1110" s="66"/>
      <c r="O1110" s="66"/>
      <c r="P1110" s="66"/>
      <c r="Q1110" s="66"/>
      <c r="R1110" s="66"/>
      <c r="S1110" s="66"/>
      <c r="T1110" s="66"/>
      <c r="U1110" s="66"/>
      <c r="V1110" s="66"/>
      <c r="W1110" s="66"/>
      <c r="X1110" s="66"/>
      <c r="Y1110" s="66"/>
      <c r="Z1110" s="66"/>
    </row>
    <row r="1111">
      <c r="A1111" s="66"/>
      <c r="B1111" s="66"/>
      <c r="C1111" s="66"/>
      <c r="D1111" s="66"/>
      <c r="E1111" s="66"/>
      <c r="F1111" s="66"/>
      <c r="G1111" s="66"/>
      <c r="H1111" s="66"/>
      <c r="I1111" s="66"/>
      <c r="J1111" s="66"/>
      <c r="K1111" s="66"/>
      <c r="L1111" s="66"/>
      <c r="M1111" s="66"/>
      <c r="N1111" s="66"/>
      <c r="O1111" s="66"/>
      <c r="P1111" s="66"/>
      <c r="Q1111" s="66"/>
      <c r="R1111" s="66"/>
      <c r="S1111" s="66"/>
      <c r="T1111" s="66"/>
      <c r="U1111" s="66"/>
      <c r="V1111" s="66"/>
      <c r="W1111" s="66"/>
      <c r="X1111" s="66"/>
      <c r="Y1111" s="66"/>
      <c r="Z1111" s="66"/>
    </row>
    <row r="1112">
      <c r="A1112" s="66"/>
      <c r="B1112" s="66"/>
      <c r="C1112" s="66"/>
      <c r="D1112" s="66"/>
      <c r="E1112" s="66"/>
      <c r="F1112" s="66"/>
      <c r="G1112" s="66"/>
      <c r="H1112" s="66"/>
      <c r="I1112" s="66"/>
      <c r="J1112" s="66"/>
      <c r="K1112" s="66"/>
      <c r="L1112" s="66"/>
      <c r="M1112" s="66"/>
      <c r="N1112" s="66"/>
      <c r="O1112" s="66"/>
      <c r="P1112" s="66"/>
      <c r="Q1112" s="66"/>
      <c r="R1112" s="66"/>
      <c r="S1112" s="66"/>
      <c r="T1112" s="66"/>
      <c r="U1112" s="66"/>
      <c r="V1112" s="66"/>
      <c r="W1112" s="66"/>
      <c r="X1112" s="66"/>
      <c r="Y1112" s="66"/>
      <c r="Z1112" s="66"/>
    </row>
    <row r="1113">
      <c r="A1113" s="66"/>
      <c r="B1113" s="66"/>
      <c r="C1113" s="66"/>
      <c r="D1113" s="66"/>
      <c r="E1113" s="66"/>
      <c r="F1113" s="66"/>
      <c r="G1113" s="66"/>
      <c r="H1113" s="66"/>
      <c r="I1113" s="66"/>
      <c r="J1113" s="66"/>
      <c r="K1113" s="66"/>
      <c r="L1113" s="66"/>
      <c r="M1113" s="66"/>
      <c r="N1113" s="66"/>
      <c r="O1113" s="66"/>
      <c r="P1113" s="66"/>
      <c r="Q1113" s="66"/>
      <c r="R1113" s="66"/>
      <c r="S1113" s="66"/>
      <c r="T1113" s="66"/>
      <c r="U1113" s="66"/>
      <c r="V1113" s="66"/>
      <c r="W1113" s="66"/>
      <c r="X1113" s="66"/>
      <c r="Y1113" s="66"/>
      <c r="Z1113" s="66"/>
    </row>
    <row r="1114">
      <c r="A1114" s="66"/>
      <c r="B1114" s="66"/>
      <c r="C1114" s="66"/>
      <c r="D1114" s="66"/>
      <c r="E1114" s="66"/>
      <c r="F1114" s="66"/>
      <c r="G1114" s="66"/>
      <c r="H1114" s="66"/>
      <c r="I1114" s="66"/>
      <c r="J1114" s="66"/>
      <c r="K1114" s="66"/>
      <c r="L1114" s="66"/>
      <c r="M1114" s="66"/>
      <c r="N1114" s="66"/>
      <c r="O1114" s="66"/>
      <c r="P1114" s="66"/>
      <c r="Q1114" s="66"/>
      <c r="R1114" s="66"/>
      <c r="S1114" s="66"/>
      <c r="T1114" s="66"/>
      <c r="U1114" s="66"/>
      <c r="V1114" s="66"/>
      <c r="W1114" s="66"/>
      <c r="X1114" s="66"/>
      <c r="Y1114" s="66"/>
      <c r="Z1114" s="66"/>
    </row>
    <row r="1115">
      <c r="A1115" s="66"/>
      <c r="B1115" s="66"/>
      <c r="C1115" s="66"/>
      <c r="D1115" s="66"/>
      <c r="E1115" s="66"/>
      <c r="F1115" s="66"/>
      <c r="G1115" s="66"/>
      <c r="H1115" s="66"/>
      <c r="I1115" s="66"/>
      <c r="J1115" s="66"/>
      <c r="K1115" s="66"/>
      <c r="L1115" s="66"/>
      <c r="M1115" s="66"/>
      <c r="N1115" s="66"/>
      <c r="O1115" s="66"/>
      <c r="P1115" s="66"/>
      <c r="Q1115" s="66"/>
      <c r="R1115" s="66"/>
      <c r="S1115" s="66"/>
      <c r="T1115" s="66"/>
      <c r="U1115" s="66"/>
      <c r="V1115" s="66"/>
      <c r="W1115" s="66"/>
      <c r="X1115" s="66"/>
      <c r="Y1115" s="66"/>
      <c r="Z1115" s="66"/>
    </row>
    <row r="1116">
      <c r="A1116" s="66"/>
      <c r="B1116" s="66"/>
      <c r="C1116" s="66"/>
      <c r="D1116" s="66"/>
      <c r="E1116" s="66"/>
      <c r="F1116" s="66"/>
      <c r="G1116" s="66"/>
      <c r="H1116" s="66"/>
      <c r="I1116" s="66"/>
      <c r="J1116" s="66"/>
      <c r="K1116" s="66"/>
      <c r="L1116" s="66"/>
      <c r="M1116" s="66"/>
      <c r="N1116" s="66"/>
      <c r="O1116" s="66"/>
      <c r="P1116" s="66"/>
      <c r="Q1116" s="66"/>
      <c r="R1116" s="66"/>
      <c r="S1116" s="66"/>
      <c r="T1116" s="66"/>
      <c r="U1116" s="66"/>
      <c r="V1116" s="66"/>
      <c r="W1116" s="66"/>
      <c r="X1116" s="66"/>
      <c r="Y1116" s="66"/>
      <c r="Z1116" s="66"/>
    </row>
    <row r="1117">
      <c r="A1117" s="66"/>
      <c r="B1117" s="66"/>
      <c r="C1117" s="66"/>
      <c r="D1117" s="66"/>
      <c r="E1117" s="66"/>
      <c r="F1117" s="66"/>
      <c r="G1117" s="66"/>
      <c r="H1117" s="66"/>
      <c r="I1117" s="66"/>
      <c r="J1117" s="66"/>
      <c r="K1117" s="66"/>
      <c r="L1117" s="66"/>
      <c r="M1117" s="66"/>
      <c r="N1117" s="66"/>
      <c r="O1117" s="66"/>
      <c r="P1117" s="66"/>
      <c r="Q1117" s="66"/>
      <c r="R1117" s="66"/>
      <c r="S1117" s="66"/>
      <c r="T1117" s="66"/>
      <c r="U1117" s="66"/>
      <c r="V1117" s="66"/>
      <c r="W1117" s="66"/>
      <c r="X1117" s="66"/>
      <c r="Y1117" s="66"/>
      <c r="Z1117" s="66"/>
    </row>
    <row r="1118">
      <c r="A1118" s="66"/>
      <c r="B1118" s="66"/>
      <c r="C1118" s="66"/>
      <c r="D1118" s="66"/>
      <c r="E1118" s="66"/>
      <c r="F1118" s="66"/>
      <c r="G1118" s="66"/>
      <c r="H1118" s="66"/>
      <c r="I1118" s="66"/>
      <c r="J1118" s="66"/>
      <c r="K1118" s="66"/>
      <c r="L1118" s="66"/>
      <c r="M1118" s="66"/>
      <c r="N1118" s="66"/>
      <c r="O1118" s="66"/>
      <c r="P1118" s="66"/>
      <c r="Q1118" s="66"/>
      <c r="R1118" s="66"/>
      <c r="S1118" s="66"/>
      <c r="T1118" s="66"/>
      <c r="U1118" s="66"/>
      <c r="V1118" s="66"/>
      <c r="W1118" s="66"/>
      <c r="X1118" s="66"/>
      <c r="Y1118" s="66"/>
      <c r="Z1118" s="66"/>
    </row>
    <row r="1119">
      <c r="A1119" s="66"/>
      <c r="B1119" s="66"/>
      <c r="C1119" s="66"/>
      <c r="D1119" s="66"/>
      <c r="E1119" s="66"/>
      <c r="F1119" s="66"/>
      <c r="G1119" s="66"/>
      <c r="H1119" s="66"/>
      <c r="I1119" s="66"/>
      <c r="J1119" s="66"/>
      <c r="K1119" s="66"/>
      <c r="L1119" s="66"/>
      <c r="M1119" s="66"/>
      <c r="N1119" s="66"/>
      <c r="O1119" s="66"/>
      <c r="P1119" s="66"/>
      <c r="Q1119" s="66"/>
      <c r="R1119" s="66"/>
      <c r="S1119" s="66"/>
      <c r="T1119" s="66"/>
      <c r="U1119" s="66"/>
      <c r="V1119" s="66"/>
      <c r="W1119" s="66"/>
      <c r="X1119" s="66"/>
      <c r="Y1119" s="66"/>
      <c r="Z1119" s="66"/>
    </row>
    <row r="1120">
      <c r="A1120" s="66"/>
      <c r="B1120" s="66"/>
      <c r="C1120" s="66"/>
      <c r="D1120" s="66"/>
      <c r="E1120" s="66"/>
      <c r="F1120" s="66"/>
      <c r="G1120" s="66"/>
      <c r="H1120" s="66"/>
      <c r="I1120" s="66"/>
      <c r="J1120" s="66"/>
      <c r="K1120" s="66"/>
      <c r="L1120" s="66"/>
      <c r="M1120" s="66"/>
      <c r="N1120" s="66"/>
      <c r="O1120" s="66"/>
      <c r="P1120" s="66"/>
      <c r="Q1120" s="66"/>
      <c r="R1120" s="66"/>
      <c r="S1120" s="66"/>
      <c r="T1120" s="66"/>
      <c r="U1120" s="66"/>
      <c r="V1120" s="66"/>
      <c r="W1120" s="66"/>
      <c r="X1120" s="66"/>
      <c r="Y1120" s="66"/>
      <c r="Z1120" s="66"/>
    </row>
    <row r="1121">
      <c r="A1121" s="66"/>
      <c r="B1121" s="66"/>
      <c r="C1121" s="66"/>
      <c r="D1121" s="66"/>
      <c r="E1121" s="66"/>
      <c r="F1121" s="66"/>
      <c r="G1121" s="66"/>
      <c r="H1121" s="66"/>
      <c r="I1121" s="66"/>
      <c r="J1121" s="66"/>
      <c r="K1121" s="66"/>
      <c r="L1121" s="66"/>
      <c r="M1121" s="66"/>
      <c r="N1121" s="66"/>
      <c r="O1121" s="66"/>
      <c r="P1121" s="66"/>
      <c r="Q1121" s="66"/>
      <c r="R1121" s="66"/>
      <c r="S1121" s="66"/>
      <c r="T1121" s="66"/>
      <c r="U1121" s="66"/>
      <c r="V1121" s="66"/>
      <c r="W1121" s="66"/>
      <c r="X1121" s="66"/>
      <c r="Y1121" s="66"/>
      <c r="Z1121" s="66"/>
    </row>
    <row r="1122">
      <c r="A1122" s="66"/>
      <c r="B1122" s="66"/>
      <c r="C1122" s="66"/>
      <c r="D1122" s="66"/>
      <c r="E1122" s="66"/>
      <c r="F1122" s="66"/>
      <c r="G1122" s="66"/>
      <c r="H1122" s="66"/>
      <c r="I1122" s="66"/>
      <c r="J1122" s="66"/>
      <c r="K1122" s="66"/>
      <c r="L1122" s="66"/>
      <c r="M1122" s="66"/>
      <c r="N1122" s="66"/>
      <c r="O1122" s="66"/>
      <c r="P1122" s="66"/>
      <c r="Q1122" s="66"/>
      <c r="R1122" s="66"/>
      <c r="S1122" s="66"/>
      <c r="T1122" s="66"/>
      <c r="U1122" s="66"/>
      <c r="V1122" s="66"/>
      <c r="W1122" s="66"/>
      <c r="X1122" s="66"/>
      <c r="Y1122" s="66"/>
      <c r="Z1122" s="66"/>
    </row>
    <row r="1123">
      <c r="A1123" s="66"/>
      <c r="B1123" s="66"/>
      <c r="C1123" s="66"/>
      <c r="D1123" s="66"/>
      <c r="E1123" s="66"/>
      <c r="F1123" s="66"/>
      <c r="G1123" s="66"/>
      <c r="H1123" s="66"/>
      <c r="I1123" s="66"/>
      <c r="J1123" s="66"/>
      <c r="K1123" s="66"/>
      <c r="L1123" s="66"/>
      <c r="M1123" s="66"/>
      <c r="N1123" s="66"/>
      <c r="O1123" s="66"/>
      <c r="P1123" s="66"/>
      <c r="Q1123" s="66"/>
      <c r="R1123" s="66"/>
      <c r="S1123" s="66"/>
      <c r="T1123" s="66"/>
      <c r="U1123" s="66"/>
      <c r="V1123" s="66"/>
      <c r="W1123" s="66"/>
      <c r="X1123" s="66"/>
      <c r="Y1123" s="66"/>
      <c r="Z1123" s="66"/>
    </row>
    <row r="1124">
      <c r="A1124" s="66"/>
      <c r="B1124" s="66"/>
      <c r="C1124" s="66"/>
      <c r="D1124" s="66"/>
      <c r="E1124" s="66"/>
      <c r="F1124" s="66"/>
      <c r="G1124" s="66"/>
      <c r="H1124" s="66"/>
      <c r="I1124" s="66"/>
      <c r="J1124" s="66"/>
      <c r="K1124" s="66"/>
      <c r="L1124" s="66"/>
      <c r="M1124" s="66"/>
      <c r="N1124" s="66"/>
      <c r="O1124" s="66"/>
      <c r="P1124" s="66"/>
      <c r="Q1124" s="66"/>
      <c r="R1124" s="66"/>
      <c r="S1124" s="66"/>
      <c r="T1124" s="66"/>
      <c r="U1124" s="66"/>
      <c r="V1124" s="66"/>
      <c r="W1124" s="66"/>
      <c r="X1124" s="66"/>
      <c r="Y1124" s="66"/>
      <c r="Z1124" s="66"/>
    </row>
    <row r="1125">
      <c r="A1125" s="66"/>
      <c r="B1125" s="66"/>
      <c r="C1125" s="66"/>
      <c r="D1125" s="66"/>
      <c r="E1125" s="66"/>
      <c r="F1125" s="66"/>
      <c r="G1125" s="66"/>
      <c r="H1125" s="66"/>
      <c r="I1125" s="66"/>
      <c r="J1125" s="66"/>
      <c r="K1125" s="66"/>
      <c r="L1125" s="66"/>
      <c r="M1125" s="66"/>
      <c r="N1125" s="66"/>
      <c r="O1125" s="66"/>
      <c r="P1125" s="66"/>
      <c r="Q1125" s="66"/>
      <c r="R1125" s="66"/>
      <c r="S1125" s="66"/>
      <c r="T1125" s="66"/>
      <c r="U1125" s="66"/>
      <c r="V1125" s="66"/>
      <c r="W1125" s="66"/>
      <c r="X1125" s="66"/>
      <c r="Y1125" s="66"/>
      <c r="Z1125" s="66"/>
    </row>
    <row r="1126">
      <c r="A1126" s="66"/>
      <c r="B1126" s="66"/>
      <c r="C1126" s="66"/>
      <c r="D1126" s="66"/>
      <c r="E1126" s="66"/>
      <c r="F1126" s="66"/>
      <c r="G1126" s="66"/>
      <c r="H1126" s="66"/>
      <c r="I1126" s="66"/>
      <c r="J1126" s="66"/>
      <c r="K1126" s="66"/>
      <c r="L1126" s="66"/>
      <c r="M1126" s="66"/>
      <c r="N1126" s="66"/>
      <c r="O1126" s="66"/>
      <c r="P1126" s="66"/>
      <c r="Q1126" s="66"/>
      <c r="R1126" s="66"/>
      <c r="S1126" s="66"/>
      <c r="T1126" s="66"/>
      <c r="U1126" s="66"/>
      <c r="V1126" s="66"/>
      <c r="W1126" s="66"/>
      <c r="X1126" s="66"/>
      <c r="Y1126" s="66"/>
      <c r="Z1126" s="66"/>
    </row>
    <row r="1127">
      <c r="A1127" s="66"/>
      <c r="B1127" s="66"/>
      <c r="C1127" s="66"/>
      <c r="D1127" s="66"/>
      <c r="E1127" s="66"/>
      <c r="F1127" s="66"/>
      <c r="G1127" s="66"/>
      <c r="H1127" s="66"/>
      <c r="I1127" s="66"/>
      <c r="J1127" s="66"/>
      <c r="K1127" s="66"/>
      <c r="L1127" s="66"/>
      <c r="M1127" s="66"/>
      <c r="N1127" s="66"/>
      <c r="O1127" s="66"/>
      <c r="P1127" s="66"/>
      <c r="Q1127" s="66"/>
      <c r="R1127" s="66"/>
      <c r="S1127" s="66"/>
      <c r="T1127" s="66"/>
      <c r="U1127" s="66"/>
      <c r="V1127" s="66"/>
      <c r="W1127" s="66"/>
      <c r="X1127" s="66"/>
      <c r="Y1127" s="66"/>
      <c r="Z1127" s="66"/>
    </row>
    <row r="1128">
      <c r="A1128" s="66"/>
      <c r="B1128" s="66"/>
      <c r="C1128" s="66"/>
      <c r="D1128" s="66"/>
      <c r="E1128" s="66"/>
      <c r="F1128" s="66"/>
      <c r="G1128" s="66"/>
      <c r="H1128" s="66"/>
      <c r="I1128" s="66"/>
      <c r="J1128" s="66"/>
      <c r="K1128" s="66"/>
      <c r="L1128" s="66"/>
      <c r="M1128" s="66"/>
      <c r="N1128" s="66"/>
      <c r="O1128" s="66"/>
      <c r="P1128" s="66"/>
      <c r="Q1128" s="66"/>
      <c r="R1128" s="66"/>
      <c r="S1128" s="66"/>
      <c r="T1128" s="66"/>
      <c r="U1128" s="66"/>
      <c r="V1128" s="66"/>
      <c r="W1128" s="66"/>
      <c r="X1128" s="66"/>
      <c r="Y1128" s="66"/>
      <c r="Z1128" s="66"/>
    </row>
    <row r="1129">
      <c r="A1129" s="66"/>
      <c r="B1129" s="66"/>
      <c r="C1129" s="66"/>
      <c r="D1129" s="66"/>
      <c r="E1129" s="66"/>
      <c r="F1129" s="66"/>
      <c r="G1129" s="66"/>
      <c r="H1129" s="66"/>
      <c r="I1129" s="66"/>
      <c r="J1129" s="66"/>
      <c r="K1129" s="66"/>
      <c r="L1129" s="66"/>
      <c r="M1129" s="66"/>
      <c r="N1129" s="66"/>
      <c r="O1129" s="66"/>
      <c r="P1129" s="66"/>
      <c r="Q1129" s="66"/>
      <c r="R1129" s="66"/>
      <c r="S1129" s="66"/>
      <c r="T1129" s="66"/>
      <c r="U1129" s="66"/>
      <c r="V1129" s="66"/>
      <c r="W1129" s="66"/>
      <c r="X1129" s="66"/>
      <c r="Y1129" s="66"/>
      <c r="Z1129" s="66"/>
    </row>
    <row r="1130">
      <c r="A1130" s="66"/>
      <c r="B1130" s="66"/>
      <c r="C1130" s="66"/>
      <c r="D1130" s="66"/>
      <c r="E1130" s="66"/>
      <c r="F1130" s="66"/>
      <c r="G1130" s="66"/>
      <c r="H1130" s="66"/>
      <c r="I1130" s="66"/>
      <c r="J1130" s="66"/>
      <c r="K1130" s="66"/>
      <c r="L1130" s="66"/>
      <c r="M1130" s="66"/>
      <c r="N1130" s="66"/>
      <c r="O1130" s="66"/>
      <c r="P1130" s="66"/>
      <c r="Q1130" s="66"/>
      <c r="R1130" s="66"/>
      <c r="S1130" s="66"/>
      <c r="T1130" s="66"/>
      <c r="U1130" s="66"/>
      <c r="V1130" s="66"/>
      <c r="W1130" s="66"/>
      <c r="X1130" s="66"/>
      <c r="Y1130" s="66"/>
      <c r="Z1130" s="66"/>
    </row>
    <row r="1131">
      <c r="A1131" s="66"/>
      <c r="B1131" s="66"/>
      <c r="C1131" s="66"/>
      <c r="D1131" s="66"/>
      <c r="E1131" s="66"/>
      <c r="F1131" s="66"/>
      <c r="G1131" s="66"/>
      <c r="H1131" s="66"/>
      <c r="I1131" s="66"/>
      <c r="J1131" s="66"/>
      <c r="K1131" s="66"/>
      <c r="L1131" s="66"/>
      <c r="M1131" s="66"/>
      <c r="N1131" s="66"/>
      <c r="O1131" s="66"/>
      <c r="P1131" s="66"/>
      <c r="Q1131" s="66"/>
      <c r="R1131" s="66"/>
      <c r="S1131" s="66"/>
      <c r="T1131" s="66"/>
      <c r="U1131" s="66"/>
      <c r="V1131" s="66"/>
      <c r="W1131" s="66"/>
      <c r="X1131" s="66"/>
      <c r="Y1131" s="66"/>
      <c r="Z1131" s="66"/>
    </row>
    <row r="1132">
      <c r="A1132" s="66"/>
      <c r="B1132" s="66"/>
      <c r="C1132" s="66"/>
      <c r="D1132" s="66"/>
      <c r="E1132" s="66"/>
      <c r="F1132" s="66"/>
      <c r="G1132" s="66"/>
      <c r="H1132" s="66"/>
      <c r="I1132" s="66"/>
      <c r="J1132" s="66"/>
      <c r="K1132" s="66"/>
      <c r="L1132" s="66"/>
      <c r="M1132" s="66"/>
      <c r="N1132" s="66"/>
      <c r="O1132" s="66"/>
      <c r="P1132" s="66"/>
      <c r="Q1132" s="66"/>
      <c r="R1132" s="66"/>
      <c r="S1132" s="66"/>
      <c r="T1132" s="66"/>
      <c r="U1132" s="66"/>
      <c r="V1132" s="66"/>
      <c r="W1132" s="66"/>
      <c r="X1132" s="66"/>
      <c r="Y1132" s="66"/>
      <c r="Z1132" s="66"/>
    </row>
    <row r="1133">
      <c r="A1133" s="66"/>
      <c r="B1133" s="66"/>
      <c r="C1133" s="66"/>
      <c r="D1133" s="66"/>
      <c r="E1133" s="66"/>
      <c r="F1133" s="66"/>
      <c r="G1133" s="66"/>
      <c r="H1133" s="66"/>
      <c r="I1133" s="66"/>
      <c r="J1133" s="66"/>
      <c r="K1133" s="66"/>
      <c r="L1133" s="66"/>
      <c r="M1133" s="66"/>
      <c r="N1133" s="66"/>
      <c r="O1133" s="66"/>
      <c r="P1133" s="66"/>
      <c r="Q1133" s="66"/>
      <c r="R1133" s="66"/>
      <c r="S1133" s="66"/>
      <c r="T1133" s="66"/>
      <c r="U1133" s="66"/>
      <c r="V1133" s="66"/>
      <c r="W1133" s="66"/>
      <c r="X1133" s="66"/>
      <c r="Y1133" s="66"/>
      <c r="Z1133" s="66"/>
    </row>
    <row r="1134">
      <c r="A1134" s="66"/>
      <c r="B1134" s="66"/>
      <c r="C1134" s="66"/>
      <c r="D1134" s="66"/>
      <c r="E1134" s="66"/>
      <c r="F1134" s="66"/>
      <c r="G1134" s="66"/>
      <c r="H1134" s="66"/>
      <c r="I1134" s="66"/>
      <c r="J1134" s="66"/>
      <c r="K1134" s="66"/>
      <c r="L1134" s="66"/>
      <c r="M1134" s="66"/>
      <c r="N1134" s="66"/>
      <c r="O1134" s="66"/>
      <c r="P1134" s="66"/>
      <c r="Q1134" s="66"/>
      <c r="R1134" s="66"/>
      <c r="S1134" s="66"/>
      <c r="T1134" s="66"/>
      <c r="U1134" s="66"/>
      <c r="V1134" s="66"/>
      <c r="W1134" s="66"/>
      <c r="X1134" s="66"/>
      <c r="Y1134" s="66"/>
      <c r="Z1134" s="66"/>
    </row>
    <row r="1135">
      <c r="A1135" s="66"/>
      <c r="B1135" s="66"/>
      <c r="C1135" s="66"/>
      <c r="D1135" s="66"/>
      <c r="E1135" s="66"/>
      <c r="F1135" s="66"/>
      <c r="G1135" s="66"/>
      <c r="H1135" s="66"/>
      <c r="I1135" s="66"/>
      <c r="J1135" s="66"/>
      <c r="K1135" s="66"/>
      <c r="L1135" s="66"/>
      <c r="M1135" s="66"/>
      <c r="N1135" s="66"/>
      <c r="O1135" s="66"/>
      <c r="P1135" s="66"/>
      <c r="Q1135" s="66"/>
      <c r="R1135" s="66"/>
      <c r="S1135" s="66"/>
      <c r="T1135" s="66"/>
      <c r="U1135" s="66"/>
      <c r="V1135" s="66"/>
      <c r="W1135" s="66"/>
      <c r="X1135" s="66"/>
      <c r="Y1135" s="66"/>
      <c r="Z1135" s="66"/>
    </row>
    <row r="1136">
      <c r="A1136" s="66"/>
      <c r="B1136" s="66"/>
      <c r="C1136" s="66"/>
      <c r="D1136" s="66"/>
      <c r="E1136" s="66"/>
      <c r="F1136" s="66"/>
      <c r="G1136" s="66"/>
      <c r="H1136" s="66"/>
      <c r="I1136" s="66"/>
      <c r="J1136" s="66"/>
      <c r="K1136" s="66"/>
      <c r="L1136" s="66"/>
      <c r="M1136" s="66"/>
      <c r="N1136" s="66"/>
      <c r="O1136" s="66"/>
      <c r="P1136" s="66"/>
      <c r="Q1136" s="66"/>
      <c r="R1136" s="66"/>
      <c r="S1136" s="66"/>
      <c r="T1136" s="66"/>
      <c r="U1136" s="66"/>
      <c r="V1136" s="66"/>
      <c r="W1136" s="66"/>
      <c r="X1136" s="66"/>
      <c r="Y1136" s="66"/>
      <c r="Z1136" s="66"/>
    </row>
    <row r="1137">
      <c r="A1137" s="66"/>
      <c r="B1137" s="66"/>
      <c r="C1137" s="66"/>
      <c r="D1137" s="66"/>
      <c r="E1137" s="66"/>
      <c r="F1137" s="66"/>
      <c r="G1137" s="66"/>
      <c r="H1137" s="66"/>
      <c r="I1137" s="66"/>
      <c r="J1137" s="66"/>
      <c r="K1137" s="66"/>
      <c r="L1137" s="66"/>
      <c r="M1137" s="66"/>
      <c r="N1137" s="66"/>
      <c r="O1137" s="66"/>
      <c r="P1137" s="66"/>
      <c r="Q1137" s="66"/>
      <c r="R1137" s="66"/>
      <c r="S1137" s="66"/>
      <c r="T1137" s="66"/>
      <c r="U1137" s="66"/>
      <c r="V1137" s="66"/>
      <c r="W1137" s="66"/>
      <c r="X1137" s="66"/>
      <c r="Y1137" s="66"/>
      <c r="Z1137" s="66"/>
    </row>
    <row r="1138">
      <c r="A1138" s="66"/>
      <c r="B1138" s="66"/>
      <c r="C1138" s="66"/>
      <c r="D1138" s="66"/>
      <c r="E1138" s="66"/>
      <c r="F1138" s="66"/>
      <c r="G1138" s="66"/>
      <c r="H1138" s="66"/>
      <c r="I1138" s="66"/>
      <c r="J1138" s="66"/>
      <c r="K1138" s="66"/>
      <c r="L1138" s="66"/>
      <c r="M1138" s="66"/>
      <c r="N1138" s="66"/>
      <c r="O1138" s="66"/>
      <c r="P1138" s="66"/>
      <c r="Q1138" s="66"/>
      <c r="R1138" s="66"/>
      <c r="S1138" s="66"/>
      <c r="T1138" s="66"/>
      <c r="U1138" s="66"/>
      <c r="V1138" s="66"/>
      <c r="W1138" s="66"/>
      <c r="X1138" s="66"/>
      <c r="Y1138" s="66"/>
      <c r="Z1138" s="66"/>
    </row>
    <row r="1139">
      <c r="A1139" s="66"/>
      <c r="B1139" s="66"/>
      <c r="C1139" s="66"/>
      <c r="D1139" s="66"/>
      <c r="E1139" s="66"/>
      <c r="F1139" s="66"/>
      <c r="G1139" s="66"/>
      <c r="H1139" s="66"/>
      <c r="I1139" s="66"/>
      <c r="J1139" s="66"/>
      <c r="K1139" s="66"/>
      <c r="L1139" s="66"/>
      <c r="M1139" s="66"/>
      <c r="N1139" s="66"/>
      <c r="O1139" s="66"/>
      <c r="P1139" s="66"/>
      <c r="Q1139" s="66"/>
      <c r="R1139" s="66"/>
      <c r="S1139" s="66"/>
      <c r="T1139" s="66"/>
      <c r="U1139" s="66"/>
      <c r="V1139" s="66"/>
      <c r="W1139" s="66"/>
      <c r="X1139" s="66"/>
      <c r="Y1139" s="66"/>
      <c r="Z1139" s="66"/>
    </row>
    <row r="1140">
      <c r="A1140" s="66"/>
      <c r="B1140" s="66"/>
      <c r="C1140" s="66"/>
      <c r="D1140" s="66"/>
      <c r="E1140" s="66"/>
      <c r="F1140" s="66"/>
      <c r="G1140" s="66"/>
      <c r="H1140" s="66"/>
      <c r="I1140" s="66"/>
      <c r="J1140" s="66"/>
      <c r="K1140" s="66"/>
      <c r="L1140" s="66"/>
      <c r="M1140" s="66"/>
      <c r="N1140" s="66"/>
      <c r="O1140" s="66"/>
      <c r="P1140" s="66"/>
      <c r="Q1140" s="66"/>
      <c r="R1140" s="66"/>
      <c r="S1140" s="66"/>
      <c r="T1140" s="66"/>
      <c r="U1140" s="66"/>
      <c r="V1140" s="66"/>
      <c r="W1140" s="66"/>
      <c r="X1140" s="66"/>
      <c r="Y1140" s="66"/>
      <c r="Z1140" s="66"/>
    </row>
    <row r="1141">
      <c r="A1141" s="66"/>
      <c r="B1141" s="66"/>
      <c r="C1141" s="66"/>
      <c r="D1141" s="66"/>
      <c r="E1141" s="66"/>
      <c r="F1141" s="66"/>
      <c r="G1141" s="66"/>
      <c r="H1141" s="66"/>
      <c r="I1141" s="66"/>
      <c r="J1141" s="66"/>
      <c r="K1141" s="66"/>
      <c r="L1141" s="66"/>
      <c r="M1141" s="66"/>
      <c r="N1141" s="66"/>
      <c r="O1141" s="66"/>
      <c r="P1141" s="66"/>
      <c r="Q1141" s="66"/>
      <c r="R1141" s="66"/>
      <c r="S1141" s="66"/>
      <c r="T1141" s="66"/>
      <c r="U1141" s="66"/>
      <c r="V1141" s="66"/>
      <c r="W1141" s="66"/>
      <c r="X1141" s="66"/>
      <c r="Y1141" s="66"/>
      <c r="Z1141" s="66"/>
    </row>
    <row r="1142">
      <c r="A1142" s="66"/>
      <c r="B1142" s="66"/>
      <c r="C1142" s="66"/>
      <c r="D1142" s="66"/>
      <c r="E1142" s="66"/>
      <c r="F1142" s="66"/>
      <c r="G1142" s="66"/>
      <c r="H1142" s="66"/>
      <c r="I1142" s="66"/>
      <c r="J1142" s="66"/>
      <c r="K1142" s="66"/>
      <c r="L1142" s="66"/>
      <c r="M1142" s="66"/>
      <c r="N1142" s="66"/>
      <c r="O1142" s="66"/>
      <c r="P1142" s="66"/>
      <c r="Q1142" s="66"/>
      <c r="R1142" s="66"/>
      <c r="S1142" s="66"/>
      <c r="T1142" s="66"/>
      <c r="U1142" s="66"/>
      <c r="V1142" s="66"/>
      <c r="W1142" s="66"/>
      <c r="X1142" s="66"/>
      <c r="Y1142" s="66"/>
      <c r="Z1142" s="66"/>
    </row>
    <row r="1143">
      <c r="A1143" s="66"/>
      <c r="B1143" s="66"/>
      <c r="C1143" s="66"/>
      <c r="D1143" s="66"/>
      <c r="E1143" s="66"/>
      <c r="F1143" s="66"/>
      <c r="G1143" s="66"/>
      <c r="H1143" s="66"/>
      <c r="I1143" s="66"/>
      <c r="J1143" s="66"/>
      <c r="K1143" s="66"/>
      <c r="L1143" s="66"/>
      <c r="M1143" s="66"/>
      <c r="N1143" s="66"/>
      <c r="O1143" s="66"/>
      <c r="P1143" s="66"/>
      <c r="Q1143" s="66"/>
      <c r="R1143" s="66"/>
      <c r="S1143" s="66"/>
      <c r="T1143" s="66"/>
      <c r="U1143" s="66"/>
      <c r="V1143" s="66"/>
      <c r="W1143" s="66"/>
      <c r="X1143" s="66"/>
      <c r="Y1143" s="66"/>
      <c r="Z1143" s="66"/>
    </row>
    <row r="1144">
      <c r="A1144" s="66"/>
      <c r="B1144" s="66"/>
      <c r="C1144" s="66"/>
      <c r="D1144" s="66"/>
      <c r="E1144" s="66"/>
      <c r="F1144" s="66"/>
      <c r="G1144" s="66"/>
      <c r="H1144" s="66"/>
      <c r="I1144" s="66"/>
      <c r="J1144" s="66"/>
      <c r="K1144" s="66"/>
      <c r="L1144" s="66"/>
      <c r="M1144" s="66"/>
      <c r="N1144" s="66"/>
      <c r="O1144" s="66"/>
      <c r="P1144" s="66"/>
      <c r="Q1144" s="66"/>
      <c r="R1144" s="66"/>
      <c r="S1144" s="66"/>
      <c r="T1144" s="66"/>
      <c r="U1144" s="66"/>
      <c r="V1144" s="66"/>
      <c r="W1144" s="66"/>
      <c r="X1144" s="66"/>
      <c r="Y1144" s="66"/>
      <c r="Z1144" s="66"/>
    </row>
    <row r="1145">
      <c r="A1145" s="66"/>
      <c r="B1145" s="66"/>
      <c r="C1145" s="66"/>
      <c r="D1145" s="66"/>
      <c r="E1145" s="66"/>
      <c r="F1145" s="66"/>
      <c r="G1145" s="66"/>
      <c r="H1145" s="66"/>
      <c r="I1145" s="66"/>
      <c r="J1145" s="66"/>
      <c r="K1145" s="66"/>
      <c r="L1145" s="66"/>
      <c r="M1145" s="66"/>
      <c r="N1145" s="66"/>
      <c r="O1145" s="66"/>
      <c r="P1145" s="66"/>
      <c r="Q1145" s="66"/>
      <c r="R1145" s="66"/>
      <c r="S1145" s="66"/>
      <c r="T1145" s="66"/>
      <c r="U1145" s="66"/>
      <c r="V1145" s="66"/>
      <c r="W1145" s="66"/>
      <c r="X1145" s="66"/>
      <c r="Y1145" s="66"/>
      <c r="Z1145" s="66"/>
    </row>
    <row r="1146">
      <c r="A1146" s="66"/>
      <c r="B1146" s="66"/>
      <c r="C1146" s="66"/>
      <c r="D1146" s="66"/>
      <c r="E1146" s="66"/>
      <c r="F1146" s="66"/>
      <c r="G1146" s="66"/>
      <c r="H1146" s="66"/>
      <c r="I1146" s="66"/>
      <c r="J1146" s="66"/>
      <c r="K1146" s="66"/>
      <c r="L1146" s="66"/>
      <c r="M1146" s="66"/>
      <c r="N1146" s="66"/>
      <c r="O1146" s="66"/>
      <c r="P1146" s="66"/>
      <c r="Q1146" s="66"/>
      <c r="R1146" s="66"/>
      <c r="S1146" s="66"/>
      <c r="T1146" s="66"/>
      <c r="U1146" s="66"/>
      <c r="V1146" s="66"/>
      <c r="W1146" s="66"/>
      <c r="X1146" s="66"/>
      <c r="Y1146" s="66"/>
      <c r="Z1146" s="66"/>
    </row>
    <row r="1147">
      <c r="A1147" s="66"/>
      <c r="B1147" s="66"/>
      <c r="C1147" s="66"/>
      <c r="D1147" s="66"/>
      <c r="E1147" s="66"/>
      <c r="F1147" s="66"/>
      <c r="G1147" s="66"/>
      <c r="H1147" s="66"/>
      <c r="I1147" s="66"/>
      <c r="J1147" s="66"/>
      <c r="K1147" s="66"/>
      <c r="L1147" s="66"/>
      <c r="M1147" s="66"/>
      <c r="N1147" s="66"/>
      <c r="O1147" s="66"/>
      <c r="P1147" s="66"/>
      <c r="Q1147" s="66"/>
      <c r="R1147" s="66"/>
      <c r="S1147" s="66"/>
      <c r="T1147" s="66"/>
      <c r="U1147" s="66"/>
      <c r="V1147" s="66"/>
      <c r="W1147" s="66"/>
      <c r="X1147" s="66"/>
      <c r="Y1147" s="66"/>
      <c r="Z1147" s="66"/>
    </row>
    <row r="1148">
      <c r="A1148" s="66"/>
      <c r="B1148" s="66"/>
      <c r="C1148" s="66"/>
      <c r="D1148" s="66"/>
      <c r="E1148" s="66"/>
      <c r="F1148" s="66"/>
      <c r="G1148" s="66"/>
      <c r="H1148" s="66"/>
      <c r="I1148" s="66"/>
      <c r="J1148" s="66"/>
      <c r="K1148" s="66"/>
      <c r="L1148" s="66"/>
      <c r="M1148" s="66"/>
      <c r="N1148" s="66"/>
      <c r="O1148" s="66"/>
      <c r="P1148" s="66"/>
      <c r="Q1148" s="66"/>
      <c r="R1148" s="66"/>
      <c r="S1148" s="66"/>
      <c r="T1148" s="66"/>
      <c r="U1148" s="66"/>
      <c r="V1148" s="66"/>
      <c r="W1148" s="66"/>
      <c r="X1148" s="66"/>
      <c r="Y1148" s="66"/>
      <c r="Z1148" s="66"/>
    </row>
    <row r="1149">
      <c r="A1149" s="66"/>
      <c r="B1149" s="66"/>
      <c r="C1149" s="66"/>
      <c r="D1149" s="66"/>
      <c r="E1149" s="66"/>
      <c r="F1149" s="66"/>
      <c r="G1149" s="66"/>
      <c r="H1149" s="66"/>
      <c r="I1149" s="66"/>
      <c r="J1149" s="66"/>
      <c r="K1149" s="66"/>
      <c r="L1149" s="66"/>
      <c r="M1149" s="66"/>
      <c r="N1149" s="66"/>
      <c r="O1149" s="66"/>
      <c r="P1149" s="66"/>
      <c r="Q1149" s="66"/>
      <c r="R1149" s="66"/>
      <c r="S1149" s="66"/>
      <c r="T1149" s="66"/>
      <c r="U1149" s="66"/>
      <c r="V1149" s="66"/>
      <c r="W1149" s="66"/>
      <c r="X1149" s="66"/>
      <c r="Y1149" s="66"/>
      <c r="Z1149" s="66"/>
    </row>
    <row r="1150">
      <c r="A1150" s="66"/>
      <c r="B1150" s="66"/>
      <c r="C1150" s="66"/>
      <c r="D1150" s="66"/>
      <c r="E1150" s="66"/>
      <c r="F1150" s="66"/>
      <c r="G1150" s="66"/>
      <c r="H1150" s="66"/>
      <c r="I1150" s="66"/>
      <c r="J1150" s="66"/>
      <c r="K1150" s="66"/>
      <c r="L1150" s="66"/>
      <c r="M1150" s="66"/>
      <c r="N1150" s="66"/>
      <c r="O1150" s="66"/>
      <c r="P1150" s="66"/>
      <c r="Q1150" s="66"/>
      <c r="R1150" s="66"/>
      <c r="S1150" s="66"/>
      <c r="T1150" s="66"/>
      <c r="U1150" s="66"/>
      <c r="V1150" s="66"/>
      <c r="W1150" s="66"/>
      <c r="X1150" s="66"/>
      <c r="Y1150" s="66"/>
      <c r="Z1150" s="66"/>
    </row>
    <row r="1151">
      <c r="A1151" s="66"/>
      <c r="B1151" s="66"/>
      <c r="C1151" s="66"/>
      <c r="D1151" s="66"/>
      <c r="E1151" s="66"/>
      <c r="F1151" s="66"/>
      <c r="G1151" s="66"/>
      <c r="H1151" s="66"/>
      <c r="I1151" s="66"/>
      <c r="J1151" s="66"/>
      <c r="K1151" s="66"/>
      <c r="L1151" s="66"/>
      <c r="M1151" s="66"/>
      <c r="N1151" s="66"/>
      <c r="O1151" s="66"/>
      <c r="P1151" s="66"/>
      <c r="Q1151" s="66"/>
      <c r="R1151" s="66"/>
      <c r="S1151" s="66"/>
      <c r="T1151" s="66"/>
      <c r="U1151" s="66"/>
      <c r="V1151" s="66"/>
      <c r="W1151" s="66"/>
      <c r="X1151" s="66"/>
      <c r="Y1151" s="66"/>
      <c r="Z1151" s="66"/>
    </row>
    <row r="1152">
      <c r="A1152" s="66"/>
      <c r="B1152" s="66"/>
      <c r="C1152" s="66"/>
      <c r="D1152" s="66"/>
      <c r="E1152" s="66"/>
      <c r="F1152" s="66"/>
      <c r="G1152" s="66"/>
      <c r="H1152" s="66"/>
      <c r="I1152" s="66"/>
      <c r="J1152" s="66"/>
      <c r="K1152" s="66"/>
      <c r="L1152" s="66"/>
      <c r="M1152" s="66"/>
      <c r="N1152" s="66"/>
      <c r="O1152" s="66"/>
      <c r="P1152" s="66"/>
      <c r="Q1152" s="66"/>
      <c r="R1152" s="66"/>
      <c r="S1152" s="66"/>
      <c r="T1152" s="66"/>
      <c r="U1152" s="66"/>
      <c r="V1152" s="66"/>
      <c r="W1152" s="66"/>
      <c r="X1152" s="66"/>
      <c r="Y1152" s="66"/>
      <c r="Z1152" s="66"/>
    </row>
    <row r="1153">
      <c r="A1153" s="66"/>
      <c r="B1153" s="66"/>
      <c r="C1153" s="66"/>
      <c r="D1153" s="66"/>
      <c r="E1153" s="66"/>
      <c r="F1153" s="66"/>
      <c r="G1153" s="66"/>
      <c r="H1153" s="66"/>
      <c r="I1153" s="66"/>
      <c r="J1153" s="66"/>
      <c r="K1153" s="66"/>
      <c r="L1153" s="66"/>
      <c r="M1153" s="66"/>
      <c r="N1153" s="66"/>
      <c r="O1153" s="66"/>
      <c r="P1153" s="66"/>
      <c r="Q1153" s="66"/>
      <c r="R1153" s="66"/>
      <c r="S1153" s="66"/>
      <c r="T1153" s="66"/>
      <c r="U1153" s="66"/>
      <c r="V1153" s="66"/>
      <c r="W1153" s="66"/>
      <c r="X1153" s="66"/>
      <c r="Y1153" s="66"/>
      <c r="Z1153" s="66"/>
    </row>
    <row r="1154">
      <c r="A1154" s="66"/>
      <c r="B1154" s="66"/>
      <c r="C1154" s="66"/>
      <c r="D1154" s="66"/>
      <c r="E1154" s="66"/>
      <c r="F1154" s="66"/>
      <c r="G1154" s="66"/>
      <c r="H1154" s="66"/>
      <c r="I1154" s="66"/>
      <c r="J1154" s="66"/>
      <c r="K1154" s="66"/>
      <c r="L1154" s="66"/>
      <c r="M1154" s="66"/>
      <c r="N1154" s="66"/>
      <c r="O1154" s="66"/>
      <c r="P1154" s="66"/>
      <c r="Q1154" s="66"/>
      <c r="R1154" s="66"/>
      <c r="S1154" s="66"/>
      <c r="T1154" s="66"/>
      <c r="U1154" s="66"/>
      <c r="V1154" s="66"/>
      <c r="W1154" s="66"/>
      <c r="X1154" s="66"/>
      <c r="Y1154" s="66"/>
      <c r="Z1154" s="66"/>
    </row>
    <row r="1155">
      <c r="A1155" s="66"/>
      <c r="B1155" s="66"/>
      <c r="C1155" s="66"/>
      <c r="D1155" s="66"/>
      <c r="E1155" s="66"/>
      <c r="F1155" s="66"/>
      <c r="G1155" s="66"/>
      <c r="H1155" s="66"/>
      <c r="I1155" s="66"/>
      <c r="J1155" s="66"/>
      <c r="K1155" s="66"/>
      <c r="L1155" s="66"/>
      <c r="M1155" s="66"/>
      <c r="N1155" s="66"/>
      <c r="O1155" s="66"/>
      <c r="P1155" s="66"/>
      <c r="Q1155" s="66"/>
      <c r="R1155" s="66"/>
      <c r="S1155" s="66"/>
      <c r="T1155" s="66"/>
      <c r="U1155" s="66"/>
      <c r="V1155" s="66"/>
      <c r="W1155" s="66"/>
      <c r="X1155" s="66"/>
      <c r="Y1155" s="66"/>
      <c r="Z1155" s="66"/>
    </row>
    <row r="1156">
      <c r="A1156" s="66"/>
      <c r="B1156" s="66"/>
      <c r="C1156" s="66"/>
      <c r="D1156" s="66"/>
      <c r="E1156" s="66"/>
      <c r="F1156" s="66"/>
      <c r="G1156" s="66"/>
      <c r="H1156" s="66"/>
      <c r="I1156" s="66"/>
      <c r="J1156" s="66"/>
      <c r="K1156" s="66"/>
      <c r="L1156" s="66"/>
      <c r="M1156" s="66"/>
      <c r="N1156" s="66"/>
      <c r="O1156" s="66"/>
      <c r="P1156" s="66"/>
      <c r="Q1156" s="66"/>
      <c r="R1156" s="66"/>
      <c r="S1156" s="66"/>
      <c r="T1156" s="66"/>
      <c r="U1156" s="66"/>
      <c r="V1156" s="66"/>
      <c r="W1156" s="66"/>
      <c r="X1156" s="66"/>
      <c r="Y1156" s="66"/>
      <c r="Z1156" s="66"/>
    </row>
    <row r="1157">
      <c r="A1157" s="66"/>
      <c r="B1157" s="66"/>
      <c r="C1157" s="66"/>
      <c r="D1157" s="66"/>
      <c r="E1157" s="66"/>
      <c r="F1157" s="66"/>
      <c r="G1157" s="66"/>
      <c r="H1157" s="66"/>
      <c r="I1157" s="66"/>
      <c r="J1157" s="66"/>
      <c r="K1157" s="66"/>
      <c r="L1157" s="66"/>
      <c r="M1157" s="66"/>
      <c r="N1157" s="66"/>
      <c r="O1157" s="66"/>
      <c r="P1157" s="66"/>
      <c r="Q1157" s="66"/>
      <c r="R1157" s="66"/>
      <c r="S1157" s="66"/>
      <c r="T1157" s="66"/>
      <c r="U1157" s="66"/>
      <c r="V1157" s="66"/>
      <c r="W1157" s="66"/>
      <c r="X1157" s="66"/>
      <c r="Y1157" s="66"/>
      <c r="Z1157" s="66"/>
    </row>
    <row r="1158">
      <c r="A1158" s="66"/>
      <c r="B1158" s="66"/>
      <c r="C1158" s="66"/>
      <c r="D1158" s="66"/>
      <c r="E1158" s="66"/>
      <c r="F1158" s="66"/>
      <c r="G1158" s="66"/>
      <c r="H1158" s="66"/>
      <c r="I1158" s="66"/>
      <c r="J1158" s="66"/>
      <c r="K1158" s="66"/>
      <c r="L1158" s="66"/>
      <c r="M1158" s="66"/>
      <c r="N1158" s="66"/>
      <c r="O1158" s="66"/>
      <c r="P1158" s="66"/>
      <c r="Q1158" s="66"/>
      <c r="R1158" s="66"/>
      <c r="S1158" s="66"/>
      <c r="T1158" s="66"/>
      <c r="U1158" s="66"/>
      <c r="V1158" s="66"/>
      <c r="W1158" s="66"/>
      <c r="X1158" s="66"/>
      <c r="Y1158" s="66"/>
      <c r="Z1158" s="66"/>
    </row>
    <row r="1159">
      <c r="A1159" s="66"/>
      <c r="B1159" s="66"/>
      <c r="C1159" s="66"/>
      <c r="D1159" s="66"/>
      <c r="E1159" s="66"/>
      <c r="F1159" s="66"/>
      <c r="G1159" s="66"/>
      <c r="H1159" s="66"/>
      <c r="I1159" s="66"/>
      <c r="J1159" s="66"/>
      <c r="K1159" s="66"/>
      <c r="L1159" s="66"/>
      <c r="M1159" s="66"/>
      <c r="N1159" s="66"/>
      <c r="O1159" s="66"/>
      <c r="P1159" s="66"/>
      <c r="Q1159" s="66"/>
      <c r="R1159" s="66"/>
      <c r="S1159" s="66"/>
      <c r="T1159" s="66"/>
      <c r="U1159" s="66"/>
      <c r="V1159" s="66"/>
      <c r="W1159" s="66"/>
      <c r="X1159" s="66"/>
      <c r="Y1159" s="66"/>
      <c r="Z1159" s="66"/>
    </row>
    <row r="1160">
      <c r="A1160" s="66"/>
      <c r="B1160" s="66"/>
      <c r="C1160" s="66"/>
      <c r="D1160" s="66"/>
      <c r="E1160" s="66"/>
      <c r="F1160" s="66"/>
      <c r="G1160" s="66"/>
      <c r="H1160" s="66"/>
      <c r="I1160" s="66"/>
      <c r="J1160" s="66"/>
      <c r="K1160" s="66"/>
      <c r="L1160" s="66"/>
      <c r="M1160" s="66"/>
      <c r="N1160" s="66"/>
      <c r="O1160" s="66"/>
      <c r="P1160" s="66"/>
      <c r="Q1160" s="66"/>
      <c r="R1160" s="66"/>
      <c r="S1160" s="66"/>
      <c r="T1160" s="66"/>
      <c r="U1160" s="66"/>
      <c r="V1160" s="66"/>
      <c r="W1160" s="66"/>
      <c r="X1160" s="66"/>
      <c r="Y1160" s="66"/>
      <c r="Z1160" s="66"/>
    </row>
    <row r="1161">
      <c r="A1161" s="66"/>
      <c r="B1161" s="66"/>
      <c r="C1161" s="66"/>
      <c r="D1161" s="66"/>
      <c r="E1161" s="66"/>
      <c r="F1161" s="66"/>
      <c r="G1161" s="66"/>
      <c r="H1161" s="66"/>
      <c r="I1161" s="66"/>
      <c r="J1161" s="66"/>
      <c r="K1161" s="66"/>
      <c r="L1161" s="66"/>
      <c r="M1161" s="66"/>
      <c r="N1161" s="66"/>
      <c r="O1161" s="66"/>
      <c r="P1161" s="66"/>
      <c r="Q1161" s="66"/>
      <c r="R1161" s="66"/>
      <c r="S1161" s="66"/>
      <c r="T1161" s="66"/>
      <c r="U1161" s="66"/>
      <c r="V1161" s="66"/>
      <c r="W1161" s="66"/>
      <c r="X1161" s="66"/>
      <c r="Y1161" s="66"/>
      <c r="Z1161" s="66"/>
    </row>
    <row r="1162">
      <c r="A1162" s="66"/>
      <c r="B1162" s="66"/>
      <c r="C1162" s="66"/>
      <c r="D1162" s="66"/>
      <c r="E1162" s="66"/>
      <c r="F1162" s="66"/>
      <c r="G1162" s="66"/>
      <c r="H1162" s="66"/>
      <c r="I1162" s="66"/>
      <c r="J1162" s="66"/>
      <c r="K1162" s="66"/>
      <c r="L1162" s="66"/>
      <c r="M1162" s="66"/>
      <c r="N1162" s="66"/>
      <c r="O1162" s="66"/>
      <c r="P1162" s="66"/>
      <c r="Q1162" s="66"/>
      <c r="R1162" s="66"/>
      <c r="S1162" s="66"/>
      <c r="T1162" s="66"/>
      <c r="U1162" s="66"/>
      <c r="V1162" s="66"/>
      <c r="W1162" s="66"/>
      <c r="X1162" s="66"/>
      <c r="Y1162" s="66"/>
      <c r="Z1162" s="66"/>
    </row>
    <row r="1163">
      <c r="A1163" s="66"/>
      <c r="B1163" s="66"/>
      <c r="C1163" s="66"/>
      <c r="D1163" s="66"/>
      <c r="E1163" s="66"/>
      <c r="F1163" s="66"/>
      <c r="G1163" s="66"/>
      <c r="H1163" s="66"/>
      <c r="I1163" s="66"/>
      <c r="J1163" s="66"/>
      <c r="K1163" s="66"/>
      <c r="L1163" s="66"/>
      <c r="M1163" s="66"/>
      <c r="N1163" s="66"/>
      <c r="O1163" s="66"/>
      <c r="P1163" s="66"/>
      <c r="Q1163" s="66"/>
      <c r="R1163" s="66"/>
      <c r="S1163" s="66"/>
      <c r="T1163" s="66"/>
      <c r="U1163" s="66"/>
      <c r="V1163" s="66"/>
      <c r="W1163" s="66"/>
      <c r="X1163" s="66"/>
      <c r="Y1163" s="66"/>
      <c r="Z1163" s="66"/>
    </row>
    <row r="1164">
      <c r="A1164" s="66"/>
      <c r="B1164" s="66"/>
      <c r="C1164" s="66"/>
      <c r="D1164" s="66"/>
      <c r="E1164" s="66"/>
      <c r="F1164" s="66"/>
      <c r="G1164" s="66"/>
      <c r="H1164" s="66"/>
      <c r="I1164" s="66"/>
      <c r="J1164" s="66"/>
      <c r="K1164" s="66"/>
      <c r="L1164" s="66"/>
      <c r="M1164" s="66"/>
      <c r="N1164" s="66"/>
      <c r="O1164" s="66"/>
      <c r="P1164" s="66"/>
      <c r="Q1164" s="66"/>
      <c r="R1164" s="66"/>
      <c r="S1164" s="66"/>
      <c r="T1164" s="66"/>
      <c r="U1164" s="66"/>
      <c r="V1164" s="66"/>
      <c r="W1164" s="66"/>
      <c r="X1164" s="66"/>
      <c r="Y1164" s="66"/>
      <c r="Z1164" s="66"/>
    </row>
    <row r="1165">
      <c r="A1165" s="66"/>
      <c r="B1165" s="66"/>
      <c r="C1165" s="66"/>
      <c r="D1165" s="66"/>
      <c r="E1165" s="66"/>
      <c r="F1165" s="66"/>
      <c r="G1165" s="66"/>
      <c r="H1165" s="66"/>
      <c r="I1165" s="66"/>
      <c r="J1165" s="66"/>
      <c r="K1165" s="66"/>
      <c r="L1165" s="66"/>
      <c r="M1165" s="66"/>
      <c r="N1165" s="66"/>
      <c r="O1165" s="66"/>
      <c r="P1165" s="66"/>
      <c r="Q1165" s="66"/>
      <c r="R1165" s="66"/>
      <c r="S1165" s="66"/>
      <c r="T1165" s="66"/>
      <c r="U1165" s="66"/>
      <c r="V1165" s="66"/>
      <c r="W1165" s="66"/>
      <c r="X1165" s="66"/>
      <c r="Y1165" s="66"/>
      <c r="Z1165" s="66"/>
    </row>
    <row r="1166">
      <c r="A1166" s="66"/>
      <c r="B1166" s="66"/>
      <c r="C1166" s="66"/>
      <c r="D1166" s="66"/>
      <c r="E1166" s="66"/>
      <c r="F1166" s="66"/>
      <c r="G1166" s="66"/>
      <c r="H1166" s="66"/>
      <c r="I1166" s="66"/>
      <c r="J1166" s="66"/>
      <c r="K1166" s="66"/>
      <c r="L1166" s="66"/>
      <c r="M1166" s="66"/>
      <c r="N1166" s="66"/>
      <c r="O1166" s="66"/>
      <c r="P1166" s="66"/>
      <c r="Q1166" s="66"/>
      <c r="R1166" s="66"/>
      <c r="S1166" s="66"/>
      <c r="T1166" s="66"/>
      <c r="U1166" s="66"/>
      <c r="V1166" s="66"/>
      <c r="W1166" s="66"/>
      <c r="X1166" s="66"/>
      <c r="Y1166" s="66"/>
      <c r="Z1166" s="66"/>
    </row>
    <row r="1167">
      <c r="A1167" s="66"/>
      <c r="B1167" s="66"/>
      <c r="C1167" s="66"/>
      <c r="D1167" s="66"/>
      <c r="E1167" s="66"/>
      <c r="F1167" s="66"/>
      <c r="G1167" s="66"/>
      <c r="H1167" s="66"/>
      <c r="I1167" s="66"/>
      <c r="J1167" s="66"/>
      <c r="K1167" s="66"/>
      <c r="L1167" s="66"/>
      <c r="M1167" s="66"/>
      <c r="N1167" s="66"/>
      <c r="O1167" s="66"/>
      <c r="P1167" s="66"/>
      <c r="Q1167" s="66"/>
      <c r="R1167" s="66"/>
      <c r="S1167" s="66"/>
      <c r="T1167" s="66"/>
      <c r="U1167" s="66"/>
      <c r="V1167" s="66"/>
      <c r="W1167" s="66"/>
      <c r="X1167" s="66"/>
      <c r="Y1167" s="66"/>
      <c r="Z1167" s="66"/>
    </row>
    <row r="1168">
      <c r="A1168" s="66"/>
      <c r="B1168" s="66"/>
      <c r="C1168" s="66"/>
      <c r="D1168" s="66"/>
      <c r="E1168" s="66"/>
      <c r="F1168" s="66"/>
      <c r="G1168" s="66"/>
      <c r="H1168" s="66"/>
      <c r="I1168" s="66"/>
      <c r="J1168" s="66"/>
      <c r="K1168" s="66"/>
      <c r="L1168" s="66"/>
      <c r="M1168" s="66"/>
      <c r="N1168" s="66"/>
      <c r="O1168" s="66"/>
      <c r="P1168" s="66"/>
      <c r="Q1168" s="66"/>
      <c r="R1168" s="66"/>
      <c r="S1168" s="66"/>
      <c r="T1168" s="66"/>
      <c r="U1168" s="66"/>
      <c r="V1168" s="66"/>
      <c r="W1168" s="66"/>
      <c r="X1168" s="66"/>
      <c r="Y1168" s="66"/>
      <c r="Z1168" s="66"/>
    </row>
    <row r="1169">
      <c r="A1169" s="66"/>
      <c r="B1169" s="66"/>
      <c r="C1169" s="66"/>
      <c r="D1169" s="66"/>
      <c r="E1169" s="66"/>
      <c r="F1169" s="66"/>
      <c r="G1169" s="66"/>
      <c r="H1169" s="66"/>
      <c r="I1169" s="66"/>
      <c r="J1169" s="66"/>
      <c r="K1169" s="66"/>
      <c r="L1169" s="66"/>
      <c r="M1169" s="66"/>
      <c r="N1169" s="66"/>
      <c r="O1169" s="66"/>
      <c r="P1169" s="66"/>
      <c r="Q1169" s="66"/>
      <c r="R1169" s="66"/>
      <c r="S1169" s="66"/>
      <c r="T1169" s="66"/>
      <c r="U1169" s="66"/>
      <c r="V1169" s="66"/>
      <c r="W1169" s="66"/>
      <c r="X1169" s="66"/>
      <c r="Y1169" s="66"/>
      <c r="Z1169" s="66"/>
    </row>
    <row r="1170">
      <c r="A1170" s="66"/>
      <c r="B1170" s="66"/>
      <c r="C1170" s="66"/>
      <c r="D1170" s="66"/>
      <c r="E1170" s="66"/>
      <c r="F1170" s="66"/>
      <c r="G1170" s="66"/>
      <c r="H1170" s="66"/>
      <c r="I1170" s="66"/>
      <c r="J1170" s="66"/>
      <c r="K1170" s="66"/>
      <c r="L1170" s="66"/>
      <c r="M1170" s="66"/>
      <c r="N1170" s="66"/>
      <c r="O1170" s="66"/>
      <c r="P1170" s="66"/>
      <c r="Q1170" s="66"/>
      <c r="R1170" s="66"/>
      <c r="S1170" s="66"/>
      <c r="T1170" s="66"/>
      <c r="U1170" s="66"/>
      <c r="V1170" s="66"/>
      <c r="W1170" s="66"/>
      <c r="X1170" s="66"/>
      <c r="Y1170" s="66"/>
      <c r="Z1170" s="66"/>
    </row>
    <row r="1171">
      <c r="A1171" s="66"/>
      <c r="B1171" s="66"/>
      <c r="C1171" s="66"/>
      <c r="D1171" s="66"/>
      <c r="E1171" s="66"/>
      <c r="F1171" s="66"/>
      <c r="G1171" s="66"/>
      <c r="H1171" s="66"/>
      <c r="I1171" s="66"/>
      <c r="J1171" s="66"/>
      <c r="K1171" s="66"/>
      <c r="L1171" s="66"/>
      <c r="M1171" s="66"/>
      <c r="N1171" s="66"/>
      <c r="O1171" s="66"/>
      <c r="P1171" s="66"/>
      <c r="Q1171" s="66"/>
      <c r="R1171" s="66"/>
      <c r="S1171" s="66"/>
      <c r="T1171" s="66"/>
      <c r="U1171" s="66"/>
      <c r="V1171" s="66"/>
      <c r="W1171" s="66"/>
      <c r="X1171" s="66"/>
      <c r="Y1171" s="66"/>
      <c r="Z1171" s="66"/>
    </row>
    <row r="1172">
      <c r="A1172" s="66"/>
      <c r="B1172" s="66"/>
      <c r="C1172" s="66"/>
      <c r="D1172" s="66"/>
      <c r="E1172" s="66"/>
      <c r="F1172" s="66"/>
      <c r="G1172" s="66"/>
      <c r="H1172" s="66"/>
      <c r="I1172" s="66"/>
      <c r="J1172" s="66"/>
      <c r="K1172" s="66"/>
      <c r="L1172" s="66"/>
      <c r="M1172" s="66"/>
      <c r="N1172" s="66"/>
      <c r="O1172" s="66"/>
      <c r="P1172" s="66"/>
      <c r="Q1172" s="66"/>
      <c r="R1172" s="66"/>
      <c r="S1172" s="66"/>
      <c r="T1172" s="66"/>
      <c r="U1172" s="66"/>
      <c r="V1172" s="66"/>
      <c r="W1172" s="66"/>
      <c r="X1172" s="66"/>
      <c r="Y1172" s="66"/>
      <c r="Z1172" s="66"/>
    </row>
    <row r="1173">
      <c r="A1173" s="66"/>
      <c r="B1173" s="66"/>
      <c r="C1173" s="66"/>
      <c r="D1173" s="66"/>
      <c r="E1173" s="66"/>
      <c r="F1173" s="66"/>
      <c r="G1173" s="66"/>
      <c r="H1173" s="66"/>
      <c r="I1173" s="66"/>
      <c r="J1173" s="66"/>
      <c r="K1173" s="66"/>
      <c r="L1173" s="66"/>
      <c r="M1173" s="66"/>
      <c r="N1173" s="66"/>
      <c r="O1173" s="66"/>
      <c r="P1173" s="66"/>
      <c r="Q1173" s="66"/>
      <c r="R1173" s="66"/>
      <c r="S1173" s="66"/>
      <c r="T1173" s="66"/>
      <c r="U1173" s="66"/>
      <c r="V1173" s="66"/>
      <c r="W1173" s="66"/>
      <c r="X1173" s="66"/>
      <c r="Y1173" s="66"/>
      <c r="Z1173" s="66"/>
    </row>
    <row r="1174">
      <c r="A1174" s="66"/>
      <c r="B1174" s="66"/>
      <c r="C1174" s="66"/>
      <c r="D1174" s="66"/>
      <c r="E1174" s="66"/>
      <c r="F1174" s="66"/>
      <c r="G1174" s="66"/>
      <c r="H1174" s="66"/>
      <c r="I1174" s="66"/>
      <c r="J1174" s="66"/>
      <c r="K1174" s="66"/>
      <c r="L1174" s="66"/>
      <c r="M1174" s="66"/>
      <c r="N1174" s="66"/>
      <c r="O1174" s="66"/>
      <c r="P1174" s="66"/>
      <c r="Q1174" s="66"/>
      <c r="R1174" s="66"/>
      <c r="S1174" s="66"/>
      <c r="T1174" s="66"/>
      <c r="U1174" s="66"/>
      <c r="V1174" s="66"/>
      <c r="W1174" s="66"/>
      <c r="X1174" s="66"/>
      <c r="Y1174" s="66"/>
      <c r="Z1174" s="66"/>
    </row>
    <row r="1175">
      <c r="A1175" s="66"/>
      <c r="B1175" s="66"/>
      <c r="C1175" s="66"/>
      <c r="D1175" s="66"/>
      <c r="E1175" s="66"/>
      <c r="F1175" s="66"/>
      <c r="G1175" s="66"/>
      <c r="H1175" s="66"/>
      <c r="I1175" s="66"/>
      <c r="J1175" s="66"/>
      <c r="K1175" s="66"/>
      <c r="L1175" s="66"/>
      <c r="M1175" s="66"/>
      <c r="N1175" s="66"/>
      <c r="O1175" s="66"/>
      <c r="P1175" s="66"/>
      <c r="Q1175" s="66"/>
      <c r="R1175" s="66"/>
      <c r="S1175" s="66"/>
      <c r="T1175" s="66"/>
      <c r="U1175" s="66"/>
      <c r="V1175" s="66"/>
      <c r="W1175" s="66"/>
      <c r="X1175" s="66"/>
      <c r="Y1175" s="66"/>
      <c r="Z1175" s="66"/>
    </row>
    <row r="1176">
      <c r="A1176" s="66"/>
      <c r="B1176" s="66"/>
      <c r="C1176" s="66"/>
      <c r="D1176" s="66"/>
      <c r="E1176" s="66"/>
      <c r="F1176" s="66"/>
      <c r="G1176" s="66"/>
      <c r="H1176" s="66"/>
      <c r="I1176" s="66"/>
      <c r="J1176" s="66"/>
      <c r="K1176" s="66"/>
      <c r="L1176" s="66"/>
      <c r="M1176" s="66"/>
      <c r="N1176" s="66"/>
      <c r="O1176" s="66"/>
      <c r="P1176" s="66"/>
      <c r="Q1176" s="66"/>
      <c r="R1176" s="66"/>
      <c r="S1176" s="66"/>
      <c r="T1176" s="66"/>
      <c r="U1176" s="66"/>
      <c r="V1176" s="66"/>
      <c r="W1176" s="66"/>
      <c r="X1176" s="66"/>
      <c r="Y1176" s="66"/>
      <c r="Z1176" s="66"/>
    </row>
    <row r="1177">
      <c r="A1177" s="66"/>
      <c r="B1177" s="66"/>
      <c r="C1177" s="66"/>
      <c r="D1177" s="66"/>
      <c r="E1177" s="66"/>
      <c r="F1177" s="66"/>
      <c r="G1177" s="66"/>
      <c r="H1177" s="66"/>
      <c r="I1177" s="66"/>
      <c r="J1177" s="66"/>
      <c r="K1177" s="66"/>
      <c r="L1177" s="66"/>
      <c r="M1177" s="66"/>
      <c r="N1177" s="66"/>
      <c r="O1177" s="66"/>
      <c r="P1177" s="66"/>
      <c r="Q1177" s="66"/>
      <c r="R1177" s="66"/>
      <c r="S1177" s="66"/>
      <c r="T1177" s="66"/>
      <c r="U1177" s="66"/>
      <c r="V1177" s="66"/>
      <c r="W1177" s="66"/>
      <c r="X1177" s="66"/>
      <c r="Y1177" s="66"/>
      <c r="Z1177" s="66"/>
    </row>
    <row r="1178">
      <c r="A1178" s="66"/>
      <c r="B1178" s="66"/>
      <c r="C1178" s="66"/>
      <c r="D1178" s="66"/>
      <c r="E1178" s="66"/>
      <c r="F1178" s="66"/>
      <c r="G1178" s="66"/>
      <c r="H1178" s="66"/>
      <c r="I1178" s="66"/>
      <c r="J1178" s="66"/>
      <c r="K1178" s="66"/>
      <c r="L1178" s="66"/>
      <c r="M1178" s="66"/>
      <c r="N1178" s="66"/>
      <c r="O1178" s="66"/>
      <c r="P1178" s="66"/>
      <c r="Q1178" s="66"/>
      <c r="R1178" s="66"/>
      <c r="S1178" s="66"/>
      <c r="T1178" s="66"/>
      <c r="U1178" s="66"/>
      <c r="V1178" s="66"/>
      <c r="W1178" s="66"/>
      <c r="X1178" s="66"/>
      <c r="Y1178" s="66"/>
      <c r="Z1178" s="66"/>
    </row>
    <row r="1179">
      <c r="A1179" s="66"/>
      <c r="B1179" s="66"/>
      <c r="C1179" s="66"/>
      <c r="D1179" s="66"/>
      <c r="E1179" s="66"/>
      <c r="F1179" s="66"/>
      <c r="G1179" s="66"/>
      <c r="H1179" s="66"/>
      <c r="I1179" s="66"/>
      <c r="J1179" s="66"/>
      <c r="K1179" s="66"/>
      <c r="L1179" s="66"/>
      <c r="M1179" s="66"/>
      <c r="N1179" s="66"/>
      <c r="O1179" s="66"/>
      <c r="P1179" s="66"/>
      <c r="Q1179" s="66"/>
      <c r="R1179" s="66"/>
      <c r="S1179" s="66"/>
      <c r="T1179" s="66"/>
      <c r="U1179" s="66"/>
      <c r="V1179" s="66"/>
      <c r="W1179" s="66"/>
      <c r="X1179" s="66"/>
      <c r="Y1179" s="66"/>
      <c r="Z1179" s="66"/>
    </row>
    <row r="1180">
      <c r="A1180" s="66"/>
      <c r="B1180" s="66"/>
      <c r="C1180" s="66"/>
      <c r="D1180" s="66"/>
      <c r="E1180" s="66"/>
      <c r="F1180" s="66"/>
      <c r="G1180" s="66"/>
      <c r="H1180" s="66"/>
      <c r="I1180" s="66"/>
      <c r="J1180" s="66"/>
      <c r="K1180" s="66"/>
      <c r="L1180" s="66"/>
      <c r="M1180" s="66"/>
      <c r="N1180" s="66"/>
      <c r="O1180" s="66"/>
      <c r="P1180" s="66"/>
      <c r="Q1180" s="66"/>
      <c r="R1180" s="66"/>
      <c r="S1180" s="66"/>
      <c r="T1180" s="66"/>
      <c r="U1180" s="66"/>
      <c r="V1180" s="66"/>
      <c r="W1180" s="66"/>
      <c r="X1180" s="66"/>
      <c r="Y1180" s="66"/>
      <c r="Z1180" s="66"/>
    </row>
    <row r="1181">
      <c r="A1181" s="66"/>
      <c r="B1181" s="66"/>
      <c r="C1181" s="66"/>
      <c r="D1181" s="66"/>
      <c r="E1181" s="66"/>
      <c r="F1181" s="66"/>
      <c r="G1181" s="66"/>
      <c r="H1181" s="66"/>
      <c r="I1181" s="66"/>
      <c r="J1181" s="66"/>
      <c r="K1181" s="66"/>
      <c r="L1181" s="66"/>
      <c r="M1181" s="66"/>
      <c r="N1181" s="66"/>
      <c r="O1181" s="66"/>
      <c r="P1181" s="66"/>
      <c r="Q1181" s="66"/>
      <c r="R1181" s="66"/>
      <c r="S1181" s="66"/>
      <c r="T1181" s="66"/>
      <c r="U1181" s="66"/>
      <c r="V1181" s="66"/>
      <c r="W1181" s="66"/>
      <c r="X1181" s="66"/>
      <c r="Y1181" s="66"/>
      <c r="Z1181" s="66"/>
    </row>
    <row r="1182">
      <c r="A1182" s="66"/>
      <c r="B1182" s="66"/>
      <c r="C1182" s="66"/>
      <c r="D1182" s="66"/>
      <c r="E1182" s="66"/>
      <c r="F1182" s="66"/>
      <c r="G1182" s="66"/>
      <c r="H1182" s="66"/>
      <c r="I1182" s="66"/>
      <c r="J1182" s="66"/>
      <c r="K1182" s="66"/>
      <c r="L1182" s="66"/>
      <c r="M1182" s="66"/>
      <c r="N1182" s="66"/>
      <c r="O1182" s="66"/>
      <c r="P1182" s="66"/>
      <c r="Q1182" s="66"/>
      <c r="R1182" s="66"/>
      <c r="S1182" s="66"/>
      <c r="T1182" s="66"/>
      <c r="U1182" s="66"/>
      <c r="V1182" s="66"/>
      <c r="W1182" s="66"/>
      <c r="X1182" s="66"/>
      <c r="Y1182" s="66"/>
      <c r="Z1182" s="66"/>
    </row>
    <row r="1183">
      <c r="A1183" s="66"/>
      <c r="B1183" s="66"/>
      <c r="C1183" s="66"/>
      <c r="D1183" s="66"/>
      <c r="E1183" s="66"/>
      <c r="F1183" s="66"/>
      <c r="G1183" s="66"/>
      <c r="H1183" s="66"/>
      <c r="I1183" s="66"/>
      <c r="J1183" s="66"/>
      <c r="K1183" s="66"/>
      <c r="L1183" s="66"/>
      <c r="M1183" s="66"/>
      <c r="N1183" s="66"/>
      <c r="O1183" s="66"/>
      <c r="P1183" s="66"/>
      <c r="Q1183" s="66"/>
      <c r="R1183" s="66"/>
      <c r="S1183" s="66"/>
      <c r="T1183" s="66"/>
      <c r="U1183" s="66"/>
      <c r="V1183" s="66"/>
      <c r="W1183" s="66"/>
      <c r="X1183" s="66"/>
      <c r="Y1183" s="66"/>
      <c r="Z1183" s="66"/>
    </row>
    <row r="1184">
      <c r="A1184" s="66"/>
      <c r="B1184" s="66"/>
      <c r="C1184" s="66"/>
      <c r="D1184" s="66"/>
      <c r="E1184" s="66"/>
      <c r="F1184" s="66"/>
      <c r="G1184" s="66"/>
      <c r="H1184" s="66"/>
      <c r="I1184" s="66"/>
      <c r="J1184" s="66"/>
      <c r="K1184" s="66"/>
      <c r="L1184" s="66"/>
      <c r="M1184" s="66"/>
      <c r="N1184" s="66"/>
      <c r="O1184" s="66"/>
      <c r="P1184" s="66"/>
      <c r="Q1184" s="66"/>
      <c r="R1184" s="66"/>
      <c r="S1184" s="66"/>
      <c r="T1184" s="66"/>
      <c r="U1184" s="66"/>
      <c r="V1184" s="66"/>
      <c r="W1184" s="66"/>
      <c r="X1184" s="66"/>
      <c r="Y1184" s="66"/>
      <c r="Z1184" s="66"/>
    </row>
    <row r="1185">
      <c r="A1185" s="66"/>
      <c r="B1185" s="66"/>
      <c r="C1185" s="66"/>
      <c r="D1185" s="66"/>
      <c r="E1185" s="66"/>
      <c r="F1185" s="66"/>
      <c r="G1185" s="66"/>
      <c r="H1185" s="66"/>
      <c r="I1185" s="66"/>
      <c r="J1185" s="66"/>
      <c r="K1185" s="66"/>
      <c r="L1185" s="66"/>
      <c r="M1185" s="66"/>
      <c r="N1185" s="66"/>
      <c r="O1185" s="66"/>
      <c r="P1185" s="66"/>
      <c r="Q1185" s="66"/>
      <c r="R1185" s="66"/>
      <c r="S1185" s="66"/>
      <c r="T1185" s="66"/>
      <c r="U1185" s="66"/>
      <c r="V1185" s="66"/>
      <c r="W1185" s="66"/>
      <c r="X1185" s="66"/>
      <c r="Y1185" s="66"/>
      <c r="Z1185" s="66"/>
    </row>
    <row r="1186">
      <c r="A1186" s="66"/>
      <c r="B1186" s="66"/>
      <c r="C1186" s="66"/>
      <c r="D1186" s="66"/>
      <c r="E1186" s="66"/>
      <c r="F1186" s="66"/>
      <c r="G1186" s="66"/>
      <c r="H1186" s="66"/>
      <c r="I1186" s="66"/>
      <c r="J1186" s="66"/>
      <c r="K1186" s="66"/>
      <c r="L1186" s="66"/>
      <c r="M1186" s="66"/>
      <c r="N1186" s="66"/>
      <c r="O1186" s="66"/>
      <c r="P1186" s="66"/>
      <c r="Q1186" s="66"/>
      <c r="R1186" s="66"/>
      <c r="S1186" s="66"/>
      <c r="T1186" s="66"/>
      <c r="U1186" s="66"/>
      <c r="V1186" s="66"/>
      <c r="W1186" s="66"/>
      <c r="X1186" s="66"/>
      <c r="Y1186" s="66"/>
      <c r="Z1186" s="66"/>
    </row>
    <row r="1187">
      <c r="A1187" s="66"/>
      <c r="B1187" s="66"/>
      <c r="C1187" s="66"/>
      <c r="D1187" s="66"/>
      <c r="E1187" s="66"/>
      <c r="F1187" s="66"/>
      <c r="G1187" s="66"/>
      <c r="H1187" s="66"/>
      <c r="I1187" s="66"/>
      <c r="J1187" s="66"/>
      <c r="K1187" s="66"/>
      <c r="L1187" s="66"/>
      <c r="M1187" s="66"/>
      <c r="N1187" s="66"/>
      <c r="O1187" s="66"/>
      <c r="P1187" s="66"/>
      <c r="Q1187" s="66"/>
      <c r="R1187" s="66"/>
      <c r="S1187" s="66"/>
      <c r="T1187" s="66"/>
      <c r="U1187" s="66"/>
      <c r="V1187" s="66"/>
      <c r="W1187" s="66"/>
      <c r="X1187" s="66"/>
      <c r="Y1187" s="66"/>
      <c r="Z1187" s="66"/>
    </row>
    <row r="1188">
      <c r="A1188" s="66"/>
      <c r="B1188" s="66"/>
      <c r="C1188" s="66"/>
      <c r="D1188" s="66"/>
      <c r="E1188" s="66"/>
      <c r="F1188" s="66"/>
      <c r="G1188" s="66"/>
      <c r="H1188" s="66"/>
      <c r="I1188" s="66"/>
      <c r="J1188" s="66"/>
      <c r="K1188" s="66"/>
      <c r="L1188" s="66"/>
      <c r="M1188" s="66"/>
      <c r="N1188" s="66"/>
      <c r="O1188" s="66"/>
      <c r="P1188" s="66"/>
      <c r="Q1188" s="66"/>
      <c r="R1188" s="66"/>
      <c r="S1188" s="66"/>
      <c r="T1188" s="66"/>
      <c r="U1188" s="66"/>
      <c r="V1188" s="66"/>
      <c r="W1188" s="66"/>
      <c r="X1188" s="66"/>
      <c r="Y1188" s="66"/>
      <c r="Z1188" s="66"/>
    </row>
    <row r="1189">
      <c r="A1189" s="66"/>
      <c r="B1189" s="66"/>
      <c r="C1189" s="66"/>
      <c r="D1189" s="66"/>
      <c r="E1189" s="66"/>
      <c r="F1189" s="66"/>
      <c r="G1189" s="66"/>
      <c r="H1189" s="66"/>
      <c r="I1189" s="66"/>
      <c r="J1189" s="66"/>
      <c r="K1189" s="66"/>
      <c r="L1189" s="66"/>
      <c r="M1189" s="66"/>
      <c r="N1189" s="66"/>
      <c r="O1189" s="66"/>
      <c r="P1189" s="66"/>
      <c r="Q1189" s="66"/>
      <c r="R1189" s="66"/>
      <c r="S1189" s="66"/>
      <c r="T1189" s="66"/>
      <c r="U1189" s="66"/>
      <c r="V1189" s="66"/>
      <c r="W1189" s="66"/>
      <c r="X1189" s="66"/>
      <c r="Y1189" s="66"/>
      <c r="Z1189" s="66"/>
    </row>
    <row r="1190">
      <c r="A1190" s="66"/>
      <c r="B1190" s="66"/>
      <c r="C1190" s="66"/>
      <c r="D1190" s="66"/>
      <c r="E1190" s="66"/>
      <c r="F1190" s="66"/>
      <c r="G1190" s="66"/>
      <c r="H1190" s="66"/>
      <c r="I1190" s="66"/>
      <c r="J1190" s="66"/>
      <c r="K1190" s="66"/>
      <c r="L1190" s="66"/>
      <c r="M1190" s="66"/>
      <c r="N1190" s="66"/>
      <c r="O1190" s="66"/>
      <c r="P1190" s="66"/>
      <c r="Q1190" s="66"/>
      <c r="R1190" s="66"/>
      <c r="S1190" s="66"/>
      <c r="T1190" s="66"/>
      <c r="U1190" s="66"/>
      <c r="V1190" s="66"/>
      <c r="W1190" s="66"/>
      <c r="X1190" s="66"/>
      <c r="Y1190" s="66"/>
      <c r="Z1190" s="66"/>
    </row>
    <row r="1191">
      <c r="A1191" s="66"/>
      <c r="B1191" s="66"/>
      <c r="C1191" s="66"/>
      <c r="D1191" s="66"/>
      <c r="E1191" s="66"/>
      <c r="F1191" s="66"/>
      <c r="G1191" s="66"/>
      <c r="H1191" s="66"/>
      <c r="I1191" s="66"/>
      <c r="J1191" s="66"/>
      <c r="K1191" s="66"/>
      <c r="L1191" s="66"/>
      <c r="M1191" s="66"/>
      <c r="N1191" s="66"/>
      <c r="O1191" s="66"/>
      <c r="P1191" s="66"/>
      <c r="Q1191" s="66"/>
      <c r="R1191" s="66"/>
      <c r="S1191" s="66"/>
      <c r="T1191" s="66"/>
      <c r="U1191" s="66"/>
      <c r="V1191" s="66"/>
      <c r="W1191" s="66"/>
      <c r="X1191" s="66"/>
      <c r="Y1191" s="66"/>
      <c r="Z1191" s="66"/>
    </row>
    <row r="1192">
      <c r="A1192" s="66"/>
      <c r="B1192" s="66"/>
      <c r="C1192" s="66"/>
      <c r="D1192" s="66"/>
      <c r="E1192" s="66"/>
      <c r="F1192" s="66"/>
      <c r="G1192" s="66"/>
      <c r="H1192" s="66"/>
      <c r="I1192" s="66"/>
      <c r="J1192" s="66"/>
      <c r="K1192" s="66"/>
      <c r="L1192" s="66"/>
      <c r="M1192" s="66"/>
      <c r="N1192" s="66"/>
      <c r="O1192" s="66"/>
      <c r="P1192" s="66"/>
      <c r="Q1192" s="66"/>
      <c r="R1192" s="66"/>
      <c r="S1192" s="66"/>
      <c r="T1192" s="66"/>
      <c r="U1192" s="66"/>
      <c r="V1192" s="66"/>
      <c r="W1192" s="66"/>
      <c r="X1192" s="66"/>
      <c r="Y1192" s="66"/>
      <c r="Z1192" s="66"/>
    </row>
    <row r="1193">
      <c r="A1193" s="66"/>
      <c r="B1193" s="66"/>
      <c r="C1193" s="66"/>
      <c r="D1193" s="66"/>
      <c r="E1193" s="66"/>
      <c r="F1193" s="66"/>
      <c r="G1193" s="66"/>
      <c r="H1193" s="66"/>
      <c r="I1193" s="66"/>
      <c r="J1193" s="66"/>
      <c r="K1193" s="66"/>
      <c r="L1193" s="66"/>
      <c r="M1193" s="66"/>
      <c r="N1193" s="66"/>
      <c r="O1193" s="66"/>
      <c r="P1193" s="66"/>
      <c r="Q1193" s="66"/>
      <c r="R1193" s="66"/>
      <c r="S1193" s="66"/>
      <c r="T1193" s="66"/>
      <c r="U1193" s="66"/>
      <c r="V1193" s="66"/>
      <c r="W1193" s="66"/>
      <c r="X1193" s="66"/>
      <c r="Y1193" s="66"/>
      <c r="Z1193" s="66"/>
    </row>
    <row r="1194">
      <c r="A1194" s="66"/>
      <c r="B1194" s="66"/>
      <c r="C1194" s="66"/>
      <c r="D1194" s="66"/>
      <c r="E1194" s="66"/>
      <c r="F1194" s="66"/>
      <c r="G1194" s="66"/>
      <c r="H1194" s="66"/>
      <c r="I1194" s="66"/>
      <c r="J1194" s="66"/>
      <c r="K1194" s="66"/>
      <c r="L1194" s="66"/>
      <c r="M1194" s="66"/>
      <c r="N1194" s="66"/>
      <c r="O1194" s="66"/>
      <c r="P1194" s="66"/>
      <c r="Q1194" s="66"/>
      <c r="R1194" s="66"/>
      <c r="S1194" s="66"/>
      <c r="T1194" s="66"/>
      <c r="U1194" s="66"/>
      <c r="V1194" s="66"/>
      <c r="W1194" s="66"/>
      <c r="X1194" s="66"/>
      <c r="Y1194" s="66"/>
      <c r="Z1194" s="66"/>
    </row>
    <row r="1195">
      <c r="A1195" s="66"/>
      <c r="B1195" s="66"/>
      <c r="C1195" s="66"/>
      <c r="D1195" s="66"/>
      <c r="E1195" s="66"/>
      <c r="F1195" s="66"/>
      <c r="G1195" s="66"/>
      <c r="H1195" s="66"/>
      <c r="I1195" s="66"/>
      <c r="J1195" s="66"/>
      <c r="K1195" s="66"/>
      <c r="L1195" s="66"/>
      <c r="M1195" s="66"/>
      <c r="N1195" s="66"/>
      <c r="O1195" s="66"/>
      <c r="P1195" s="66"/>
      <c r="Q1195" s="66"/>
      <c r="R1195" s="66"/>
      <c r="S1195" s="66"/>
      <c r="T1195" s="66"/>
      <c r="U1195" s="66"/>
      <c r="V1195" s="66"/>
      <c r="W1195" s="66"/>
      <c r="X1195" s="66"/>
      <c r="Y1195" s="66"/>
      <c r="Z1195" s="66"/>
    </row>
    <row r="1196">
      <c r="A1196" s="66"/>
      <c r="B1196" s="66"/>
      <c r="C1196" s="66"/>
      <c r="D1196" s="66"/>
      <c r="E1196" s="66"/>
      <c r="F1196" s="66"/>
      <c r="G1196" s="66"/>
      <c r="H1196" s="66"/>
      <c r="I1196" s="66"/>
      <c r="J1196" s="66"/>
      <c r="K1196" s="66"/>
      <c r="L1196" s="66"/>
      <c r="M1196" s="66"/>
      <c r="N1196" s="66"/>
      <c r="O1196" s="66"/>
      <c r="P1196" s="66"/>
      <c r="Q1196" s="66"/>
      <c r="R1196" s="66"/>
      <c r="S1196" s="66"/>
      <c r="T1196" s="66"/>
      <c r="U1196" s="66"/>
      <c r="V1196" s="66"/>
      <c r="W1196" s="66"/>
      <c r="X1196" s="66"/>
      <c r="Y1196" s="66"/>
      <c r="Z1196" s="66"/>
    </row>
    <row r="1197">
      <c r="A1197" s="66"/>
      <c r="B1197" s="66"/>
      <c r="C1197" s="66"/>
      <c r="D1197" s="66"/>
      <c r="E1197" s="66"/>
      <c r="F1197" s="66"/>
      <c r="G1197" s="66"/>
      <c r="H1197" s="66"/>
      <c r="I1197" s="66"/>
      <c r="J1197" s="66"/>
      <c r="K1197" s="66"/>
      <c r="L1197" s="66"/>
      <c r="M1197" s="66"/>
      <c r="N1197" s="66"/>
      <c r="O1197" s="66"/>
      <c r="P1197" s="66"/>
      <c r="Q1197" s="66"/>
      <c r="R1197" s="66"/>
      <c r="S1197" s="66"/>
      <c r="T1197" s="66"/>
      <c r="U1197" s="66"/>
      <c r="V1197" s="66"/>
      <c r="W1197" s="66"/>
      <c r="X1197" s="66"/>
      <c r="Y1197" s="66"/>
      <c r="Z1197" s="66"/>
    </row>
    <row r="1198">
      <c r="A1198" s="66"/>
      <c r="B1198" s="66"/>
      <c r="C1198" s="66"/>
      <c r="D1198" s="66"/>
      <c r="E1198" s="66"/>
      <c r="F1198" s="66"/>
      <c r="G1198" s="66"/>
      <c r="H1198" s="66"/>
      <c r="I1198" s="66"/>
      <c r="J1198" s="66"/>
      <c r="K1198" s="66"/>
      <c r="L1198" s="66"/>
      <c r="M1198" s="66"/>
      <c r="N1198" s="66"/>
      <c r="O1198" s="66"/>
      <c r="P1198" s="66"/>
      <c r="Q1198" s="66"/>
      <c r="R1198" s="66"/>
      <c r="S1198" s="66"/>
      <c r="T1198" s="66"/>
      <c r="U1198" s="66"/>
      <c r="V1198" s="66"/>
      <c r="W1198" s="66"/>
      <c r="X1198" s="66"/>
      <c r="Y1198" s="66"/>
      <c r="Z1198" s="66"/>
    </row>
    <row r="1199">
      <c r="A1199" s="66"/>
      <c r="B1199" s="66"/>
      <c r="C1199" s="66"/>
      <c r="D1199" s="66"/>
      <c r="E1199" s="66"/>
      <c r="F1199" s="66"/>
      <c r="G1199" s="66"/>
      <c r="H1199" s="66"/>
      <c r="I1199" s="66"/>
      <c r="J1199" s="66"/>
      <c r="K1199" s="66"/>
      <c r="L1199" s="66"/>
      <c r="M1199" s="66"/>
      <c r="N1199" s="66"/>
      <c r="O1199" s="66"/>
      <c r="P1199" s="66"/>
      <c r="Q1199" s="66"/>
      <c r="R1199" s="66"/>
      <c r="S1199" s="66"/>
      <c r="T1199" s="66"/>
      <c r="U1199" s="66"/>
      <c r="V1199" s="66"/>
      <c r="W1199" s="66"/>
      <c r="X1199" s="66"/>
      <c r="Y1199" s="66"/>
      <c r="Z1199" s="66"/>
    </row>
    <row r="1200">
      <c r="A1200" s="66"/>
      <c r="B1200" s="66"/>
      <c r="C1200" s="66"/>
      <c r="D1200" s="66"/>
      <c r="E1200" s="66"/>
      <c r="F1200" s="66"/>
      <c r="G1200" s="66"/>
      <c r="H1200" s="66"/>
      <c r="I1200" s="66"/>
      <c r="J1200" s="66"/>
      <c r="K1200" s="66"/>
      <c r="L1200" s="66"/>
      <c r="M1200" s="66"/>
      <c r="N1200" s="66"/>
      <c r="O1200" s="66"/>
      <c r="P1200" s="66"/>
      <c r="Q1200" s="66"/>
      <c r="R1200" s="66"/>
      <c r="S1200" s="66"/>
      <c r="T1200" s="66"/>
      <c r="U1200" s="66"/>
      <c r="V1200" s="66"/>
      <c r="W1200" s="66"/>
      <c r="X1200" s="66"/>
      <c r="Y1200" s="66"/>
      <c r="Z1200" s="66"/>
    </row>
    <row r="1201">
      <c r="A1201" s="66"/>
      <c r="B1201" s="66"/>
      <c r="C1201" s="66"/>
      <c r="D1201" s="66"/>
      <c r="E1201" s="66"/>
      <c r="F1201" s="66"/>
      <c r="G1201" s="66"/>
      <c r="H1201" s="66"/>
      <c r="I1201" s="66"/>
      <c r="J1201" s="66"/>
      <c r="K1201" s="66"/>
      <c r="L1201" s="66"/>
      <c r="M1201" s="66"/>
      <c r="N1201" s="66"/>
      <c r="O1201" s="66"/>
      <c r="P1201" s="66"/>
      <c r="Q1201" s="66"/>
      <c r="R1201" s="66"/>
      <c r="S1201" s="66"/>
      <c r="T1201" s="66"/>
      <c r="U1201" s="66"/>
      <c r="V1201" s="66"/>
      <c r="W1201" s="66"/>
      <c r="X1201" s="66"/>
      <c r="Y1201" s="66"/>
      <c r="Z1201" s="66"/>
    </row>
    <row r="1202">
      <c r="A1202" s="66"/>
      <c r="B1202" s="66"/>
      <c r="C1202" s="66"/>
      <c r="D1202" s="66"/>
      <c r="E1202" s="66"/>
      <c r="F1202" s="66"/>
      <c r="G1202" s="66"/>
      <c r="H1202" s="66"/>
      <c r="I1202" s="66"/>
      <c r="J1202" s="66"/>
      <c r="K1202" s="66"/>
      <c r="L1202" s="66"/>
      <c r="M1202" s="66"/>
      <c r="N1202" s="66"/>
      <c r="O1202" s="66"/>
      <c r="P1202" s="66"/>
      <c r="Q1202" s="66"/>
      <c r="R1202" s="66"/>
      <c r="S1202" s="66"/>
      <c r="T1202" s="66"/>
      <c r="U1202" s="66"/>
      <c r="V1202" s="66"/>
      <c r="W1202" s="66"/>
      <c r="X1202" s="66"/>
      <c r="Y1202" s="66"/>
      <c r="Z1202" s="66"/>
    </row>
    <row r="1203">
      <c r="A1203" s="66"/>
      <c r="B1203" s="66"/>
      <c r="C1203" s="66"/>
      <c r="D1203" s="66"/>
      <c r="E1203" s="66"/>
      <c r="F1203" s="66"/>
      <c r="G1203" s="66"/>
      <c r="H1203" s="66"/>
      <c r="I1203" s="66"/>
      <c r="J1203" s="66"/>
      <c r="K1203" s="66"/>
      <c r="L1203" s="66"/>
      <c r="M1203" s="66"/>
      <c r="N1203" s="66"/>
      <c r="O1203" s="66"/>
      <c r="P1203" s="66"/>
      <c r="Q1203" s="66"/>
      <c r="R1203" s="66"/>
      <c r="S1203" s="66"/>
      <c r="T1203" s="66"/>
      <c r="U1203" s="66"/>
      <c r="V1203" s="66"/>
      <c r="W1203" s="66"/>
      <c r="X1203" s="66"/>
      <c r="Y1203" s="66"/>
      <c r="Z1203" s="66"/>
    </row>
    <row r="1204">
      <c r="A1204" s="66"/>
      <c r="B1204" s="66"/>
      <c r="C1204" s="66"/>
      <c r="D1204" s="66"/>
      <c r="E1204" s="66"/>
      <c r="F1204" s="66"/>
      <c r="G1204" s="66"/>
      <c r="H1204" s="66"/>
      <c r="I1204" s="66"/>
      <c r="J1204" s="66"/>
      <c r="K1204" s="66"/>
      <c r="L1204" s="66"/>
      <c r="M1204" s="66"/>
      <c r="N1204" s="66"/>
      <c r="O1204" s="66"/>
      <c r="P1204" s="66"/>
      <c r="Q1204" s="66"/>
      <c r="R1204" s="66"/>
      <c r="S1204" s="66"/>
      <c r="T1204" s="66"/>
      <c r="U1204" s="66"/>
      <c r="V1204" s="66"/>
      <c r="W1204" s="66"/>
      <c r="X1204" s="66"/>
      <c r="Y1204" s="66"/>
      <c r="Z1204" s="66"/>
    </row>
    <row r="1205">
      <c r="A1205" s="66"/>
      <c r="B1205" s="66"/>
      <c r="C1205" s="66"/>
      <c r="D1205" s="66"/>
      <c r="E1205" s="66"/>
      <c r="F1205" s="66"/>
      <c r="G1205" s="66"/>
      <c r="H1205" s="66"/>
      <c r="I1205" s="66"/>
      <c r="J1205" s="66"/>
      <c r="K1205" s="66"/>
      <c r="L1205" s="66"/>
      <c r="M1205" s="66"/>
      <c r="N1205" s="66"/>
      <c r="O1205" s="66"/>
      <c r="P1205" s="66"/>
      <c r="Q1205" s="66"/>
      <c r="R1205" s="66"/>
      <c r="S1205" s="66"/>
      <c r="T1205" s="66"/>
      <c r="U1205" s="66"/>
      <c r="V1205" s="66"/>
      <c r="W1205" s="66"/>
      <c r="X1205" s="66"/>
      <c r="Y1205" s="66"/>
      <c r="Z1205" s="66"/>
    </row>
    <row r="1206">
      <c r="A1206" s="66"/>
      <c r="B1206" s="66"/>
      <c r="C1206" s="66"/>
      <c r="D1206" s="66"/>
      <c r="E1206" s="66"/>
      <c r="F1206" s="66"/>
      <c r="G1206" s="66"/>
      <c r="H1206" s="66"/>
      <c r="I1206" s="66"/>
      <c r="J1206" s="66"/>
      <c r="K1206" s="66"/>
      <c r="L1206" s="66"/>
      <c r="M1206" s="66"/>
      <c r="N1206" s="66"/>
      <c r="O1206" s="66"/>
      <c r="P1206" s="66"/>
      <c r="Q1206" s="66"/>
      <c r="R1206" s="66"/>
      <c r="S1206" s="66"/>
      <c r="T1206" s="66"/>
      <c r="U1206" s="66"/>
      <c r="V1206" s="66"/>
      <c r="W1206" s="66"/>
      <c r="X1206" s="66"/>
      <c r="Y1206" s="66"/>
      <c r="Z1206" s="66"/>
    </row>
    <row r="1207">
      <c r="A1207" s="66"/>
      <c r="B1207" s="66"/>
      <c r="C1207" s="66"/>
      <c r="D1207" s="66"/>
      <c r="E1207" s="66"/>
      <c r="F1207" s="66"/>
      <c r="G1207" s="66"/>
      <c r="H1207" s="66"/>
      <c r="I1207" s="66"/>
      <c r="J1207" s="66"/>
      <c r="K1207" s="66"/>
      <c r="L1207" s="66"/>
      <c r="M1207" s="66"/>
      <c r="N1207" s="66"/>
      <c r="O1207" s="66"/>
      <c r="P1207" s="66"/>
      <c r="Q1207" s="66"/>
      <c r="R1207" s="66"/>
      <c r="S1207" s="66"/>
      <c r="T1207" s="66"/>
      <c r="U1207" s="66"/>
      <c r="V1207" s="66"/>
      <c r="W1207" s="66"/>
      <c r="X1207" s="66"/>
      <c r="Y1207" s="66"/>
      <c r="Z1207" s="66"/>
    </row>
    <row r="1208">
      <c r="A1208" s="66"/>
      <c r="B1208" s="66"/>
      <c r="C1208" s="66"/>
      <c r="D1208" s="66"/>
      <c r="E1208" s="66"/>
      <c r="F1208" s="66"/>
      <c r="G1208" s="66"/>
      <c r="H1208" s="66"/>
      <c r="I1208" s="66"/>
      <c r="J1208" s="66"/>
      <c r="K1208" s="66"/>
      <c r="L1208" s="66"/>
      <c r="M1208" s="66"/>
      <c r="N1208" s="66"/>
      <c r="O1208" s="66"/>
      <c r="P1208" s="66"/>
      <c r="Q1208" s="66"/>
      <c r="R1208" s="66"/>
      <c r="S1208" s="66"/>
      <c r="T1208" s="66"/>
      <c r="U1208" s="66"/>
      <c r="V1208" s="66"/>
      <c r="W1208" s="66"/>
      <c r="X1208" s="66"/>
      <c r="Y1208" s="66"/>
      <c r="Z1208" s="66"/>
    </row>
    <row r="1209">
      <c r="A1209" s="66"/>
      <c r="B1209" s="66"/>
      <c r="C1209" s="66"/>
      <c r="D1209" s="66"/>
      <c r="E1209" s="66"/>
      <c r="F1209" s="66"/>
      <c r="G1209" s="66"/>
      <c r="H1209" s="66"/>
      <c r="I1209" s="66"/>
      <c r="J1209" s="66"/>
      <c r="K1209" s="66"/>
      <c r="L1209" s="66"/>
      <c r="M1209" s="66"/>
      <c r="N1209" s="66"/>
      <c r="O1209" s="66"/>
      <c r="P1209" s="66"/>
      <c r="Q1209" s="66"/>
      <c r="R1209" s="66"/>
      <c r="S1209" s="66"/>
      <c r="T1209" s="66"/>
      <c r="U1209" s="66"/>
      <c r="V1209" s="66"/>
      <c r="W1209" s="66"/>
      <c r="X1209" s="66"/>
      <c r="Y1209" s="66"/>
      <c r="Z1209" s="66"/>
    </row>
    <row r="1210">
      <c r="A1210" s="66"/>
      <c r="B1210" s="66"/>
      <c r="C1210" s="66"/>
      <c r="D1210" s="66"/>
      <c r="E1210" s="66"/>
      <c r="F1210" s="66"/>
      <c r="G1210" s="66"/>
      <c r="H1210" s="66"/>
      <c r="I1210" s="66"/>
      <c r="J1210" s="66"/>
      <c r="K1210" s="66"/>
      <c r="L1210" s="66"/>
      <c r="M1210" s="66"/>
      <c r="N1210" s="66"/>
      <c r="O1210" s="66"/>
      <c r="P1210" s="66"/>
      <c r="Q1210" s="66"/>
      <c r="R1210" s="66"/>
      <c r="S1210" s="66"/>
      <c r="T1210" s="66"/>
      <c r="U1210" s="66"/>
      <c r="V1210" s="66"/>
      <c r="W1210" s="66"/>
      <c r="X1210" s="66"/>
      <c r="Y1210" s="66"/>
      <c r="Z1210" s="66"/>
    </row>
    <row r="1211">
      <c r="A1211" s="66"/>
      <c r="B1211" s="66"/>
      <c r="C1211" s="66"/>
      <c r="D1211" s="66"/>
      <c r="E1211" s="66"/>
      <c r="F1211" s="66"/>
      <c r="G1211" s="66"/>
      <c r="H1211" s="66"/>
      <c r="I1211" s="66"/>
      <c r="J1211" s="66"/>
      <c r="K1211" s="66"/>
      <c r="L1211" s="66"/>
      <c r="M1211" s="66"/>
      <c r="N1211" s="66"/>
      <c r="O1211" s="66"/>
      <c r="P1211" s="66"/>
      <c r="Q1211" s="66"/>
      <c r="R1211" s="66"/>
      <c r="S1211" s="66"/>
      <c r="T1211" s="66"/>
      <c r="U1211" s="66"/>
      <c r="V1211" s="66"/>
      <c r="W1211" s="66"/>
      <c r="X1211" s="66"/>
      <c r="Y1211" s="66"/>
      <c r="Z1211" s="66"/>
    </row>
    <row r="1212">
      <c r="A1212" s="66"/>
      <c r="B1212" s="66"/>
      <c r="C1212" s="66"/>
      <c r="D1212" s="66"/>
      <c r="E1212" s="66"/>
      <c r="F1212" s="66"/>
      <c r="G1212" s="66"/>
      <c r="H1212" s="66"/>
      <c r="I1212" s="66"/>
      <c r="J1212" s="66"/>
      <c r="K1212" s="66"/>
      <c r="L1212" s="66"/>
      <c r="M1212" s="66"/>
      <c r="N1212" s="66"/>
      <c r="O1212" s="66"/>
      <c r="P1212" s="66"/>
      <c r="Q1212" s="66"/>
      <c r="R1212" s="66"/>
      <c r="S1212" s="66"/>
      <c r="T1212" s="66"/>
      <c r="U1212" s="66"/>
      <c r="V1212" s="66"/>
      <c r="W1212" s="66"/>
      <c r="X1212" s="66"/>
      <c r="Y1212" s="66"/>
      <c r="Z1212" s="66"/>
    </row>
    <row r="1213">
      <c r="A1213" s="66"/>
      <c r="B1213" s="66"/>
      <c r="C1213" s="66"/>
      <c r="D1213" s="66"/>
      <c r="E1213" s="66"/>
      <c r="F1213" s="66"/>
      <c r="G1213" s="66"/>
      <c r="H1213" s="66"/>
      <c r="I1213" s="66"/>
      <c r="J1213" s="66"/>
      <c r="K1213" s="66"/>
      <c r="L1213" s="66"/>
      <c r="M1213" s="66"/>
      <c r="N1213" s="66"/>
      <c r="O1213" s="66"/>
      <c r="P1213" s="66"/>
      <c r="Q1213" s="66"/>
      <c r="R1213" s="66"/>
      <c r="S1213" s="66"/>
      <c r="T1213" s="66"/>
      <c r="U1213" s="66"/>
      <c r="V1213" s="66"/>
      <c r="W1213" s="66"/>
      <c r="X1213" s="66"/>
      <c r="Y1213" s="66"/>
      <c r="Z1213" s="66"/>
    </row>
    <row r="1214">
      <c r="A1214" s="66"/>
      <c r="B1214" s="66"/>
      <c r="C1214" s="66"/>
      <c r="D1214" s="66"/>
      <c r="E1214" s="66"/>
      <c r="F1214" s="66"/>
      <c r="G1214" s="66"/>
      <c r="H1214" s="66"/>
      <c r="I1214" s="66"/>
      <c r="J1214" s="66"/>
      <c r="K1214" s="66"/>
      <c r="L1214" s="66"/>
      <c r="M1214" s="66"/>
      <c r="N1214" s="66"/>
      <c r="O1214" s="66"/>
      <c r="P1214" s="66"/>
      <c r="Q1214" s="66"/>
      <c r="R1214" s="66"/>
      <c r="S1214" s="66"/>
      <c r="T1214" s="66"/>
      <c r="U1214" s="66"/>
      <c r="V1214" s="66"/>
      <c r="W1214" s="66"/>
      <c r="X1214" s="66"/>
      <c r="Y1214" s="66"/>
      <c r="Z1214" s="66"/>
    </row>
    <row r="1215">
      <c r="A1215" s="66"/>
      <c r="B1215" s="66"/>
      <c r="C1215" s="66"/>
      <c r="D1215" s="66"/>
      <c r="E1215" s="66"/>
      <c r="F1215" s="66"/>
      <c r="G1215" s="66"/>
      <c r="H1215" s="66"/>
      <c r="I1215" s="66"/>
      <c r="J1215" s="66"/>
      <c r="K1215" s="66"/>
      <c r="L1215" s="66"/>
      <c r="M1215" s="66"/>
      <c r="N1215" s="66"/>
      <c r="O1215" s="66"/>
      <c r="P1215" s="66"/>
      <c r="Q1215" s="66"/>
      <c r="R1215" s="66"/>
      <c r="S1215" s="66"/>
      <c r="T1215" s="66"/>
      <c r="U1215" s="66"/>
      <c r="V1215" s="66"/>
      <c r="W1215" s="66"/>
      <c r="X1215" s="66"/>
      <c r="Y1215" s="66"/>
      <c r="Z1215" s="66"/>
    </row>
    <row r="1216">
      <c r="A1216" s="66"/>
      <c r="B1216" s="66"/>
      <c r="C1216" s="66"/>
      <c r="D1216" s="66"/>
      <c r="E1216" s="66"/>
      <c r="F1216" s="66"/>
      <c r="G1216" s="66"/>
      <c r="H1216" s="66"/>
      <c r="I1216" s="66"/>
      <c r="J1216" s="66"/>
      <c r="K1216" s="66"/>
      <c r="L1216" s="66"/>
      <c r="M1216" s="66"/>
      <c r="N1216" s="66"/>
      <c r="O1216" s="66"/>
      <c r="P1216" s="66"/>
      <c r="Q1216" s="66"/>
      <c r="R1216" s="66"/>
      <c r="S1216" s="66"/>
      <c r="T1216" s="66"/>
      <c r="U1216" s="66"/>
      <c r="V1216" s="66"/>
      <c r="W1216" s="66"/>
      <c r="X1216" s="66"/>
      <c r="Y1216" s="66"/>
      <c r="Z1216" s="66"/>
    </row>
    <row r="1217">
      <c r="A1217" s="66"/>
      <c r="B1217" s="66"/>
      <c r="C1217" s="66"/>
      <c r="D1217" s="66"/>
      <c r="E1217" s="66"/>
      <c r="F1217" s="66"/>
      <c r="G1217" s="66"/>
      <c r="H1217" s="66"/>
      <c r="I1217" s="66"/>
      <c r="J1217" s="66"/>
      <c r="K1217" s="66"/>
      <c r="L1217" s="66"/>
      <c r="M1217" s="66"/>
      <c r="N1217" s="66"/>
      <c r="O1217" s="66"/>
      <c r="P1217" s="66"/>
      <c r="Q1217" s="66"/>
      <c r="R1217" s="66"/>
      <c r="S1217" s="66"/>
      <c r="T1217" s="66"/>
      <c r="U1217" s="66"/>
      <c r="V1217" s="66"/>
      <c r="W1217" s="66"/>
      <c r="X1217" s="66"/>
      <c r="Y1217" s="66"/>
      <c r="Z1217" s="66"/>
    </row>
    <row r="1218">
      <c r="A1218" s="66"/>
      <c r="B1218" s="66"/>
      <c r="C1218" s="66"/>
      <c r="D1218" s="66"/>
      <c r="E1218" s="66"/>
      <c r="F1218" s="66"/>
      <c r="G1218" s="66"/>
      <c r="H1218" s="66"/>
      <c r="I1218" s="66"/>
      <c r="J1218" s="66"/>
      <c r="K1218" s="66"/>
      <c r="L1218" s="66"/>
      <c r="M1218" s="66"/>
      <c r="N1218" s="66"/>
      <c r="O1218" s="66"/>
      <c r="P1218" s="66"/>
      <c r="Q1218" s="66"/>
      <c r="R1218" s="66"/>
      <c r="S1218" s="66"/>
      <c r="T1218" s="66"/>
      <c r="U1218" s="66"/>
      <c r="V1218" s="66"/>
      <c r="W1218" s="66"/>
      <c r="X1218" s="66"/>
      <c r="Y1218" s="66"/>
      <c r="Z1218" s="66"/>
    </row>
    <row r="1219">
      <c r="A1219" s="66"/>
      <c r="B1219" s="66"/>
      <c r="C1219" s="66"/>
      <c r="D1219" s="66"/>
      <c r="E1219" s="66"/>
      <c r="F1219" s="66"/>
      <c r="G1219" s="66"/>
      <c r="H1219" s="66"/>
      <c r="I1219" s="66"/>
      <c r="J1219" s="66"/>
      <c r="K1219" s="66"/>
      <c r="L1219" s="66"/>
      <c r="M1219" s="66"/>
      <c r="N1219" s="66"/>
      <c r="O1219" s="66"/>
      <c r="P1219" s="66"/>
      <c r="Q1219" s="66"/>
      <c r="R1219" s="66"/>
      <c r="S1219" s="66"/>
      <c r="T1219" s="66"/>
      <c r="U1219" s="66"/>
      <c r="V1219" s="66"/>
      <c r="W1219" s="66"/>
      <c r="X1219" s="66"/>
      <c r="Y1219" s="66"/>
      <c r="Z1219" s="66"/>
    </row>
    <row r="1220">
      <c r="A1220" s="66"/>
      <c r="B1220" s="66"/>
      <c r="C1220" s="66"/>
      <c r="D1220" s="66"/>
      <c r="E1220" s="66"/>
      <c r="F1220" s="66"/>
      <c r="G1220" s="66"/>
      <c r="H1220" s="66"/>
      <c r="I1220" s="66"/>
      <c r="J1220" s="66"/>
      <c r="K1220" s="66"/>
      <c r="L1220" s="66"/>
      <c r="M1220" s="66"/>
      <c r="N1220" s="66"/>
      <c r="O1220" s="66"/>
      <c r="P1220" s="66"/>
      <c r="Q1220" s="66"/>
      <c r="R1220" s="66"/>
      <c r="S1220" s="66"/>
      <c r="T1220" s="66"/>
      <c r="U1220" s="66"/>
      <c r="V1220" s="66"/>
      <c r="W1220" s="66"/>
      <c r="X1220" s="66"/>
      <c r="Y1220" s="66"/>
      <c r="Z1220" s="66"/>
    </row>
    <row r="1221">
      <c r="A1221" s="66"/>
      <c r="B1221" s="66"/>
      <c r="C1221" s="66"/>
      <c r="D1221" s="66"/>
      <c r="E1221" s="66"/>
      <c r="F1221" s="66"/>
      <c r="G1221" s="66"/>
      <c r="H1221" s="66"/>
      <c r="I1221" s="66"/>
      <c r="J1221" s="66"/>
      <c r="K1221" s="66"/>
      <c r="L1221" s="66"/>
      <c r="M1221" s="66"/>
      <c r="N1221" s="66"/>
      <c r="O1221" s="66"/>
      <c r="P1221" s="66"/>
      <c r="Q1221" s="66"/>
      <c r="R1221" s="66"/>
      <c r="S1221" s="66"/>
      <c r="T1221" s="66"/>
      <c r="U1221" s="66"/>
      <c r="V1221" s="66"/>
      <c r="W1221" s="66"/>
      <c r="X1221" s="66"/>
      <c r="Y1221" s="66"/>
      <c r="Z1221" s="66"/>
    </row>
    <row r="1222">
      <c r="A1222" s="66"/>
      <c r="B1222" s="66"/>
      <c r="C1222" s="66"/>
      <c r="D1222" s="66"/>
      <c r="E1222" s="66"/>
      <c r="F1222" s="66"/>
      <c r="G1222" s="66"/>
      <c r="H1222" s="66"/>
      <c r="I1222" s="66"/>
      <c r="J1222" s="66"/>
      <c r="K1222" s="66"/>
      <c r="L1222" s="66"/>
      <c r="M1222" s="66"/>
      <c r="N1222" s="66"/>
      <c r="O1222" s="66"/>
      <c r="P1222" s="66"/>
      <c r="Q1222" s="66"/>
      <c r="R1222" s="66"/>
      <c r="S1222" s="66"/>
      <c r="T1222" s="66"/>
      <c r="U1222" s="66"/>
      <c r="V1222" s="66"/>
      <c r="W1222" s="66"/>
      <c r="X1222" s="66"/>
      <c r="Y1222" s="66"/>
      <c r="Z1222" s="66"/>
    </row>
    <row r="1223">
      <c r="A1223" s="66"/>
      <c r="B1223" s="66"/>
      <c r="C1223" s="66"/>
      <c r="D1223" s="66"/>
      <c r="E1223" s="66"/>
      <c r="F1223" s="66"/>
      <c r="G1223" s="66"/>
      <c r="H1223" s="66"/>
      <c r="I1223" s="66"/>
      <c r="J1223" s="66"/>
      <c r="K1223" s="66"/>
      <c r="L1223" s="66"/>
      <c r="M1223" s="66"/>
      <c r="N1223" s="66"/>
      <c r="O1223" s="66"/>
      <c r="P1223" s="66"/>
      <c r="Q1223" s="66"/>
      <c r="R1223" s="66"/>
      <c r="S1223" s="66"/>
      <c r="T1223" s="66"/>
      <c r="U1223" s="66"/>
      <c r="V1223" s="66"/>
      <c r="W1223" s="66"/>
      <c r="X1223" s="66"/>
      <c r="Y1223" s="66"/>
      <c r="Z1223" s="66"/>
    </row>
    <row r="1224">
      <c r="A1224" s="66"/>
      <c r="B1224" s="66"/>
      <c r="C1224" s="66"/>
      <c r="D1224" s="66"/>
      <c r="E1224" s="66"/>
      <c r="F1224" s="66"/>
      <c r="G1224" s="66"/>
      <c r="H1224" s="66"/>
      <c r="I1224" s="66"/>
      <c r="J1224" s="66"/>
      <c r="K1224" s="66"/>
      <c r="L1224" s="66"/>
      <c r="M1224" s="66"/>
      <c r="N1224" s="66"/>
      <c r="O1224" s="66"/>
      <c r="P1224" s="66"/>
      <c r="Q1224" s="66"/>
      <c r="R1224" s="66"/>
      <c r="S1224" s="66"/>
      <c r="T1224" s="66"/>
      <c r="U1224" s="66"/>
      <c r="V1224" s="66"/>
      <c r="W1224" s="66"/>
      <c r="X1224" s="66"/>
      <c r="Y1224" s="66"/>
      <c r="Z1224" s="66"/>
    </row>
    <row r="1225">
      <c r="A1225" s="66"/>
      <c r="B1225" s="66"/>
      <c r="C1225" s="66"/>
      <c r="D1225" s="66"/>
      <c r="E1225" s="66"/>
      <c r="F1225" s="66"/>
      <c r="G1225" s="66"/>
      <c r="H1225" s="66"/>
      <c r="I1225" s="66"/>
      <c r="J1225" s="66"/>
      <c r="K1225" s="66"/>
      <c r="L1225" s="66"/>
      <c r="M1225" s="66"/>
      <c r="N1225" s="66"/>
      <c r="O1225" s="66"/>
      <c r="P1225" s="66"/>
      <c r="Q1225" s="66"/>
      <c r="R1225" s="66"/>
      <c r="S1225" s="66"/>
      <c r="T1225" s="66"/>
      <c r="U1225" s="66"/>
      <c r="V1225" s="66"/>
      <c r="W1225" s="66"/>
      <c r="X1225" s="66"/>
      <c r="Y1225" s="66"/>
      <c r="Z1225" s="66"/>
    </row>
    <row r="1226">
      <c r="A1226" s="66"/>
      <c r="B1226" s="66"/>
      <c r="C1226" s="66"/>
      <c r="D1226" s="66"/>
      <c r="E1226" s="66"/>
      <c r="F1226" s="66"/>
      <c r="G1226" s="66"/>
      <c r="H1226" s="66"/>
      <c r="I1226" s="66"/>
      <c r="J1226" s="66"/>
      <c r="K1226" s="66"/>
      <c r="L1226" s="66"/>
      <c r="M1226" s="66"/>
      <c r="N1226" s="66"/>
      <c r="O1226" s="66"/>
      <c r="P1226" s="66"/>
      <c r="Q1226" s="66"/>
      <c r="R1226" s="66"/>
      <c r="S1226" s="66"/>
      <c r="T1226" s="66"/>
      <c r="U1226" s="66"/>
      <c r="V1226" s="66"/>
      <c r="W1226" s="66"/>
      <c r="X1226" s="66"/>
      <c r="Y1226" s="66"/>
      <c r="Z1226" s="66"/>
    </row>
    <row r="1227">
      <c r="A1227" s="66"/>
      <c r="B1227" s="66"/>
      <c r="C1227" s="66"/>
      <c r="D1227" s="66"/>
      <c r="E1227" s="66"/>
      <c r="F1227" s="66"/>
      <c r="G1227" s="66"/>
      <c r="H1227" s="66"/>
      <c r="I1227" s="66"/>
      <c r="J1227" s="66"/>
      <c r="K1227" s="66"/>
      <c r="L1227" s="66"/>
      <c r="M1227" s="66"/>
      <c r="N1227" s="66"/>
      <c r="O1227" s="66"/>
      <c r="P1227" s="66"/>
      <c r="Q1227" s="66"/>
      <c r="R1227" s="66"/>
      <c r="S1227" s="66"/>
      <c r="T1227" s="66"/>
      <c r="U1227" s="66"/>
      <c r="V1227" s="66"/>
      <c r="W1227" s="66"/>
      <c r="X1227" s="66"/>
      <c r="Y1227" s="66"/>
      <c r="Z1227" s="66"/>
    </row>
    <row r="1228">
      <c r="A1228" s="66"/>
      <c r="B1228" s="66"/>
      <c r="C1228" s="66"/>
      <c r="D1228" s="66"/>
      <c r="E1228" s="66"/>
      <c r="F1228" s="66"/>
      <c r="G1228" s="66"/>
      <c r="H1228" s="66"/>
      <c r="I1228" s="66"/>
      <c r="J1228" s="66"/>
      <c r="K1228" s="66"/>
      <c r="L1228" s="66"/>
      <c r="M1228" s="66"/>
      <c r="N1228" s="66"/>
      <c r="O1228" s="66"/>
      <c r="P1228" s="66"/>
      <c r="Q1228" s="66"/>
      <c r="R1228" s="66"/>
      <c r="S1228" s="66"/>
      <c r="T1228" s="66"/>
      <c r="U1228" s="66"/>
      <c r="V1228" s="66"/>
      <c r="W1228" s="66"/>
      <c r="X1228" s="66"/>
      <c r="Y1228" s="66"/>
      <c r="Z1228" s="66"/>
    </row>
    <row r="1229">
      <c r="A1229" s="66"/>
      <c r="B1229" s="66"/>
      <c r="C1229" s="66"/>
      <c r="D1229" s="66"/>
      <c r="E1229" s="66"/>
      <c r="F1229" s="66"/>
      <c r="G1229" s="66"/>
      <c r="H1229" s="66"/>
      <c r="I1229" s="66"/>
      <c r="J1229" s="66"/>
      <c r="K1229" s="66"/>
      <c r="L1229" s="66"/>
      <c r="M1229" s="66"/>
      <c r="N1229" s="66"/>
      <c r="O1229" s="66"/>
      <c r="P1229" s="66"/>
      <c r="Q1229" s="66"/>
      <c r="R1229" s="66"/>
      <c r="S1229" s="66"/>
      <c r="T1229" s="66"/>
      <c r="U1229" s="66"/>
      <c r="V1229" s="66"/>
      <c r="W1229" s="66"/>
      <c r="X1229" s="66"/>
      <c r="Y1229" s="66"/>
      <c r="Z1229" s="66"/>
    </row>
    <row r="1230">
      <c r="A1230" s="66"/>
      <c r="B1230" s="66"/>
      <c r="C1230" s="66"/>
      <c r="D1230" s="66"/>
      <c r="E1230" s="66"/>
      <c r="F1230" s="66"/>
      <c r="G1230" s="66"/>
      <c r="H1230" s="66"/>
      <c r="I1230" s="66"/>
      <c r="J1230" s="66"/>
      <c r="K1230" s="66"/>
      <c r="L1230" s="66"/>
      <c r="M1230" s="66"/>
      <c r="N1230" s="66"/>
      <c r="O1230" s="66"/>
      <c r="P1230" s="66"/>
      <c r="Q1230" s="66"/>
      <c r="R1230" s="66"/>
      <c r="S1230" s="66"/>
      <c r="T1230" s="66"/>
      <c r="U1230" s="66"/>
      <c r="V1230" s="66"/>
      <c r="W1230" s="66"/>
      <c r="X1230" s="66"/>
      <c r="Y1230" s="66"/>
      <c r="Z1230" s="66"/>
    </row>
    <row r="1231">
      <c r="A1231" s="66"/>
      <c r="B1231" s="66"/>
      <c r="C1231" s="66"/>
      <c r="D1231" s="66"/>
      <c r="E1231" s="66"/>
      <c r="F1231" s="66"/>
      <c r="G1231" s="66"/>
      <c r="H1231" s="66"/>
      <c r="I1231" s="66"/>
      <c r="J1231" s="66"/>
      <c r="K1231" s="66"/>
      <c r="L1231" s="66"/>
      <c r="M1231" s="66"/>
      <c r="N1231" s="66"/>
      <c r="O1231" s="66"/>
      <c r="P1231" s="66"/>
      <c r="Q1231" s="66"/>
      <c r="R1231" s="66"/>
      <c r="S1231" s="66"/>
      <c r="T1231" s="66"/>
      <c r="U1231" s="66"/>
      <c r="V1231" s="66"/>
      <c r="W1231" s="66"/>
      <c r="X1231" s="66"/>
      <c r="Y1231" s="66"/>
      <c r="Z1231" s="66"/>
    </row>
    <row r="1232">
      <c r="A1232" s="66"/>
      <c r="B1232" s="66"/>
      <c r="C1232" s="66"/>
      <c r="D1232" s="66"/>
      <c r="E1232" s="66"/>
      <c r="F1232" s="66"/>
      <c r="G1232" s="66"/>
      <c r="H1232" s="66"/>
      <c r="I1232" s="66"/>
      <c r="J1232" s="66"/>
      <c r="K1232" s="66"/>
      <c r="L1232" s="66"/>
      <c r="M1232" s="66"/>
      <c r="N1232" s="66"/>
      <c r="O1232" s="66"/>
      <c r="P1232" s="66"/>
      <c r="Q1232" s="66"/>
      <c r="R1232" s="66"/>
      <c r="S1232" s="66"/>
      <c r="T1232" s="66"/>
      <c r="U1232" s="66"/>
      <c r="V1232" s="66"/>
      <c r="W1232" s="66"/>
      <c r="X1232" s="66"/>
      <c r="Y1232" s="66"/>
      <c r="Z1232" s="66"/>
    </row>
    <row r="1233">
      <c r="A1233" s="66"/>
      <c r="B1233" s="66"/>
      <c r="C1233" s="66"/>
      <c r="D1233" s="66"/>
      <c r="E1233" s="66"/>
      <c r="F1233" s="66"/>
      <c r="G1233" s="66"/>
      <c r="H1233" s="66"/>
      <c r="I1233" s="66"/>
      <c r="J1233" s="66"/>
      <c r="K1233" s="66"/>
      <c r="L1233" s="66"/>
      <c r="M1233" s="66"/>
      <c r="N1233" s="66"/>
      <c r="O1233" s="66"/>
      <c r="P1233" s="66"/>
      <c r="Q1233" s="66"/>
      <c r="R1233" s="66"/>
      <c r="S1233" s="66"/>
      <c r="T1233" s="66"/>
      <c r="U1233" s="66"/>
      <c r="V1233" s="66"/>
      <c r="W1233" s="66"/>
      <c r="X1233" s="66"/>
      <c r="Y1233" s="66"/>
      <c r="Z1233" s="66"/>
    </row>
    <row r="1234">
      <c r="A1234" s="66"/>
      <c r="B1234" s="66"/>
      <c r="C1234" s="66"/>
      <c r="D1234" s="66"/>
      <c r="E1234" s="66"/>
      <c r="F1234" s="66"/>
      <c r="G1234" s="66"/>
      <c r="H1234" s="66"/>
      <c r="I1234" s="66"/>
      <c r="J1234" s="66"/>
      <c r="K1234" s="66"/>
      <c r="L1234" s="66"/>
      <c r="M1234" s="66"/>
      <c r="N1234" s="66"/>
      <c r="O1234" s="66"/>
      <c r="P1234" s="66"/>
      <c r="Q1234" s="66"/>
      <c r="R1234" s="66"/>
      <c r="S1234" s="66"/>
      <c r="T1234" s="66"/>
      <c r="U1234" s="66"/>
      <c r="V1234" s="66"/>
      <c r="W1234" s="66"/>
      <c r="X1234" s="66"/>
      <c r="Y1234" s="66"/>
      <c r="Z1234" s="66"/>
    </row>
    <row r="1235">
      <c r="A1235" s="66"/>
      <c r="B1235" s="66"/>
      <c r="C1235" s="66"/>
      <c r="D1235" s="66"/>
      <c r="E1235" s="66"/>
      <c r="F1235" s="66"/>
      <c r="G1235" s="66"/>
      <c r="H1235" s="66"/>
      <c r="I1235" s="66"/>
      <c r="J1235" s="66"/>
      <c r="K1235" s="66"/>
      <c r="L1235" s="66"/>
      <c r="M1235" s="66"/>
      <c r="N1235" s="66"/>
      <c r="O1235" s="66"/>
      <c r="P1235" s="66"/>
      <c r="Q1235" s="66"/>
      <c r="R1235" s="66"/>
      <c r="S1235" s="66"/>
      <c r="T1235" s="66"/>
      <c r="U1235" s="66"/>
      <c r="V1235" s="66"/>
      <c r="W1235" s="66"/>
      <c r="X1235" s="66"/>
      <c r="Y1235" s="66"/>
      <c r="Z1235" s="66"/>
    </row>
    <row r="1236">
      <c r="A1236" s="66"/>
      <c r="B1236" s="66"/>
      <c r="C1236" s="66"/>
      <c r="D1236" s="66"/>
      <c r="E1236" s="66"/>
      <c r="F1236" s="66"/>
      <c r="G1236" s="66"/>
      <c r="H1236" s="66"/>
      <c r="I1236" s="66"/>
      <c r="J1236" s="66"/>
      <c r="K1236" s="66"/>
      <c r="L1236" s="66"/>
      <c r="M1236" s="66"/>
      <c r="N1236" s="66"/>
      <c r="O1236" s="66"/>
      <c r="P1236" s="66"/>
      <c r="Q1236" s="66"/>
      <c r="R1236" s="66"/>
      <c r="S1236" s="66"/>
      <c r="T1236" s="66"/>
      <c r="U1236" s="66"/>
      <c r="V1236" s="66"/>
      <c r="W1236" s="66"/>
      <c r="X1236" s="66"/>
      <c r="Y1236" s="66"/>
      <c r="Z1236" s="66"/>
    </row>
    <row r="1237">
      <c r="A1237" s="66"/>
      <c r="B1237" s="66"/>
      <c r="C1237" s="66"/>
      <c r="D1237" s="66"/>
      <c r="E1237" s="66"/>
      <c r="F1237" s="66"/>
      <c r="G1237" s="66"/>
      <c r="H1237" s="66"/>
      <c r="I1237" s="66"/>
      <c r="J1237" s="66"/>
      <c r="K1237" s="66"/>
      <c r="L1237" s="66"/>
      <c r="M1237" s="66"/>
      <c r="N1237" s="66"/>
      <c r="O1237" s="66"/>
      <c r="P1237" s="66"/>
      <c r="Q1237" s="66"/>
      <c r="R1237" s="66"/>
      <c r="S1237" s="66"/>
      <c r="T1237" s="66"/>
      <c r="U1237" s="66"/>
      <c r="V1237" s="66"/>
      <c r="W1237" s="66"/>
      <c r="X1237" s="66"/>
      <c r="Y1237" s="66"/>
      <c r="Z1237" s="66"/>
    </row>
    <row r="1238">
      <c r="A1238" s="66"/>
      <c r="B1238" s="66"/>
      <c r="C1238" s="66"/>
      <c r="D1238" s="66"/>
      <c r="E1238" s="66"/>
      <c r="F1238" s="66"/>
      <c r="G1238" s="66"/>
      <c r="H1238" s="66"/>
      <c r="I1238" s="66"/>
      <c r="J1238" s="66"/>
      <c r="K1238" s="66"/>
      <c r="L1238" s="66"/>
      <c r="M1238" s="66"/>
      <c r="N1238" s="66"/>
      <c r="O1238" s="66"/>
      <c r="P1238" s="66"/>
      <c r="Q1238" s="66"/>
      <c r="R1238" s="66"/>
      <c r="S1238" s="66"/>
      <c r="T1238" s="66"/>
      <c r="U1238" s="66"/>
      <c r="V1238" s="66"/>
      <c r="W1238" s="66"/>
      <c r="X1238" s="66"/>
      <c r="Y1238" s="66"/>
      <c r="Z1238" s="66"/>
    </row>
    <row r="1239">
      <c r="A1239" s="66"/>
      <c r="B1239" s="66"/>
      <c r="C1239" s="66"/>
      <c r="D1239" s="66"/>
      <c r="E1239" s="66"/>
      <c r="F1239" s="66"/>
      <c r="G1239" s="66"/>
      <c r="H1239" s="66"/>
      <c r="I1239" s="66"/>
      <c r="J1239" s="66"/>
      <c r="K1239" s="66"/>
      <c r="L1239" s="66"/>
      <c r="M1239" s="66"/>
      <c r="N1239" s="66"/>
      <c r="O1239" s="66"/>
      <c r="P1239" s="66"/>
      <c r="Q1239" s="66"/>
      <c r="R1239" s="66"/>
      <c r="S1239" s="66"/>
      <c r="T1239" s="66"/>
      <c r="U1239" s="66"/>
      <c r="V1239" s="66"/>
      <c r="W1239" s="66"/>
      <c r="X1239" s="66"/>
      <c r="Y1239" s="66"/>
      <c r="Z1239" s="66"/>
    </row>
    <row r="1240">
      <c r="A1240" s="66"/>
      <c r="B1240" s="66"/>
      <c r="C1240" s="66"/>
      <c r="D1240" s="66"/>
      <c r="E1240" s="66"/>
      <c r="F1240" s="66"/>
      <c r="G1240" s="66"/>
      <c r="H1240" s="66"/>
      <c r="I1240" s="66"/>
      <c r="J1240" s="66"/>
      <c r="K1240" s="66"/>
      <c r="L1240" s="66"/>
      <c r="M1240" s="66"/>
      <c r="N1240" s="66"/>
      <c r="O1240" s="66"/>
      <c r="P1240" s="66"/>
      <c r="Q1240" s="66"/>
      <c r="R1240" s="66"/>
      <c r="S1240" s="66"/>
      <c r="T1240" s="66"/>
      <c r="U1240" s="66"/>
      <c r="V1240" s="66"/>
      <c r="W1240" s="66"/>
      <c r="X1240" s="66"/>
      <c r="Y1240" s="66"/>
      <c r="Z1240" s="66"/>
    </row>
    <row r="1241">
      <c r="A1241" s="66"/>
      <c r="B1241" s="66"/>
      <c r="C1241" s="66"/>
      <c r="D1241" s="66"/>
      <c r="E1241" s="66"/>
      <c r="F1241" s="66"/>
      <c r="G1241" s="66"/>
      <c r="H1241" s="66"/>
      <c r="I1241" s="66"/>
      <c r="J1241" s="66"/>
      <c r="K1241" s="66"/>
      <c r="L1241" s="66"/>
      <c r="M1241" s="66"/>
      <c r="N1241" s="66"/>
      <c r="O1241" s="66"/>
      <c r="P1241" s="66"/>
      <c r="Q1241" s="66"/>
      <c r="R1241" s="66"/>
      <c r="S1241" s="66"/>
      <c r="T1241" s="66"/>
      <c r="U1241" s="66"/>
      <c r="V1241" s="66"/>
      <c r="W1241" s="66"/>
      <c r="X1241" s="66"/>
      <c r="Y1241" s="66"/>
      <c r="Z1241" s="66"/>
    </row>
    <row r="1242">
      <c r="A1242" s="66"/>
      <c r="B1242" s="66"/>
      <c r="C1242" s="66"/>
      <c r="D1242" s="66"/>
      <c r="E1242" s="66"/>
      <c r="F1242" s="66"/>
      <c r="G1242" s="66"/>
      <c r="H1242" s="66"/>
      <c r="I1242" s="66"/>
      <c r="J1242" s="66"/>
      <c r="K1242" s="66"/>
      <c r="L1242" s="66"/>
      <c r="M1242" s="66"/>
      <c r="N1242" s="66"/>
      <c r="O1242" s="66"/>
      <c r="P1242" s="66"/>
      <c r="Q1242" s="66"/>
      <c r="R1242" s="66"/>
      <c r="S1242" s="66"/>
      <c r="T1242" s="66"/>
      <c r="U1242" s="66"/>
      <c r="V1242" s="66"/>
      <c r="W1242" s="66"/>
      <c r="X1242" s="66"/>
      <c r="Y1242" s="66"/>
      <c r="Z1242" s="66"/>
    </row>
    <row r="1243">
      <c r="A1243" s="66"/>
      <c r="B1243" s="66"/>
      <c r="C1243" s="66"/>
      <c r="D1243" s="66"/>
      <c r="E1243" s="66"/>
      <c r="F1243" s="66"/>
      <c r="G1243" s="66"/>
      <c r="H1243" s="66"/>
      <c r="I1243" s="66"/>
      <c r="J1243" s="66"/>
      <c r="K1243" s="66"/>
      <c r="L1243" s="66"/>
      <c r="M1243" s="66"/>
      <c r="N1243" s="66"/>
      <c r="O1243" s="66"/>
      <c r="P1243" s="66"/>
      <c r="Q1243" s="66"/>
      <c r="R1243" s="66"/>
      <c r="S1243" s="66"/>
      <c r="T1243" s="66"/>
      <c r="U1243" s="66"/>
      <c r="V1243" s="66"/>
      <c r="W1243" s="66"/>
      <c r="X1243" s="66"/>
      <c r="Y1243" s="66"/>
      <c r="Z1243" s="66"/>
    </row>
    <row r="1244">
      <c r="A1244" s="66"/>
      <c r="B1244" s="66"/>
      <c r="C1244" s="66"/>
      <c r="D1244" s="66"/>
      <c r="E1244" s="66"/>
      <c r="F1244" s="66"/>
      <c r="G1244" s="66"/>
      <c r="H1244" s="66"/>
      <c r="I1244" s="66"/>
      <c r="J1244" s="66"/>
      <c r="K1244" s="66"/>
      <c r="L1244" s="66"/>
      <c r="M1244" s="66"/>
      <c r="N1244" s="66"/>
      <c r="O1244" s="66"/>
      <c r="P1244" s="66"/>
      <c r="Q1244" s="66"/>
      <c r="R1244" s="66"/>
      <c r="S1244" s="66"/>
      <c r="T1244" s="66"/>
      <c r="U1244" s="66"/>
      <c r="V1244" s="66"/>
      <c r="W1244" s="66"/>
      <c r="X1244" s="66"/>
      <c r="Y1244" s="66"/>
      <c r="Z1244" s="66"/>
    </row>
    <row r="1245">
      <c r="A1245" s="66"/>
      <c r="B1245" s="66"/>
      <c r="C1245" s="66"/>
      <c r="D1245" s="66"/>
      <c r="E1245" s="66"/>
      <c r="F1245" s="66"/>
      <c r="G1245" s="66"/>
      <c r="H1245" s="66"/>
      <c r="I1245" s="66"/>
      <c r="J1245" s="66"/>
      <c r="K1245" s="66"/>
      <c r="L1245" s="66"/>
      <c r="M1245" s="66"/>
      <c r="N1245" s="66"/>
      <c r="O1245" s="66"/>
      <c r="P1245" s="66"/>
      <c r="Q1245" s="66"/>
      <c r="R1245" s="66"/>
      <c r="S1245" s="66"/>
      <c r="T1245" s="66"/>
      <c r="U1245" s="66"/>
      <c r="V1245" s="66"/>
      <c r="W1245" s="66"/>
      <c r="X1245" s="66"/>
      <c r="Y1245" s="66"/>
      <c r="Z1245" s="66"/>
    </row>
    <row r="1246">
      <c r="A1246" s="66"/>
      <c r="B1246" s="66"/>
      <c r="C1246" s="66"/>
      <c r="D1246" s="66"/>
      <c r="E1246" s="66"/>
      <c r="F1246" s="66"/>
      <c r="G1246" s="66"/>
      <c r="H1246" s="66"/>
      <c r="I1246" s="66"/>
      <c r="J1246" s="66"/>
      <c r="K1246" s="66"/>
      <c r="L1246" s="66"/>
      <c r="M1246" s="66"/>
      <c r="N1246" s="66"/>
      <c r="O1246" s="66"/>
      <c r="P1246" s="66"/>
      <c r="Q1246" s="66"/>
      <c r="R1246" s="66"/>
      <c r="S1246" s="66"/>
      <c r="T1246" s="66"/>
      <c r="U1246" s="66"/>
      <c r="V1246" s="66"/>
      <c r="W1246" s="66"/>
      <c r="X1246" s="66"/>
      <c r="Y1246" s="66"/>
      <c r="Z1246" s="66"/>
    </row>
    <row r="1247">
      <c r="A1247" s="66"/>
      <c r="B1247" s="66"/>
      <c r="C1247" s="66"/>
      <c r="D1247" s="66"/>
      <c r="E1247" s="66"/>
      <c r="F1247" s="66"/>
      <c r="G1247" s="66"/>
      <c r="H1247" s="66"/>
      <c r="I1247" s="66"/>
      <c r="J1247" s="66"/>
      <c r="K1247" s="66"/>
      <c r="L1247" s="66"/>
      <c r="M1247" s="66"/>
      <c r="N1247" s="66"/>
      <c r="O1247" s="66"/>
      <c r="P1247" s="66"/>
      <c r="Q1247" s="66"/>
      <c r="R1247" s="66"/>
      <c r="S1247" s="66"/>
      <c r="T1247" s="66"/>
      <c r="U1247" s="66"/>
      <c r="V1247" s="66"/>
      <c r="W1247" s="66"/>
      <c r="X1247" s="66"/>
      <c r="Y1247" s="66"/>
      <c r="Z1247" s="66"/>
    </row>
    <row r="1248">
      <c r="A1248" s="66"/>
      <c r="B1248" s="66"/>
      <c r="C1248" s="66"/>
      <c r="D1248" s="66"/>
      <c r="E1248" s="66"/>
      <c r="F1248" s="66"/>
      <c r="G1248" s="66"/>
      <c r="H1248" s="66"/>
      <c r="I1248" s="66"/>
      <c r="J1248" s="66"/>
      <c r="K1248" s="66"/>
      <c r="L1248" s="66"/>
      <c r="M1248" s="66"/>
      <c r="N1248" s="66"/>
      <c r="O1248" s="66"/>
      <c r="P1248" s="66"/>
      <c r="Q1248" s="66"/>
      <c r="R1248" s="66"/>
      <c r="S1248" s="66"/>
      <c r="T1248" s="66"/>
      <c r="U1248" s="66"/>
      <c r="V1248" s="66"/>
      <c r="W1248" s="66"/>
      <c r="X1248" s="66"/>
      <c r="Y1248" s="66"/>
      <c r="Z1248" s="66"/>
    </row>
    <row r="1249">
      <c r="A1249" s="66"/>
      <c r="B1249" s="66"/>
      <c r="C1249" s="66"/>
      <c r="D1249" s="66"/>
      <c r="E1249" s="66"/>
      <c r="F1249" s="66"/>
      <c r="G1249" s="66"/>
      <c r="H1249" s="66"/>
      <c r="I1249" s="66"/>
      <c r="J1249" s="66"/>
      <c r="K1249" s="66"/>
      <c r="L1249" s="66"/>
      <c r="M1249" s="66"/>
      <c r="N1249" s="66"/>
      <c r="O1249" s="66"/>
      <c r="P1249" s="66"/>
      <c r="Q1249" s="66"/>
      <c r="R1249" s="66"/>
      <c r="S1249" s="66"/>
      <c r="T1249" s="66"/>
      <c r="U1249" s="66"/>
      <c r="V1249" s="66"/>
      <c r="W1249" s="66"/>
      <c r="X1249" s="66"/>
      <c r="Y1249" s="66"/>
      <c r="Z1249" s="66"/>
    </row>
    <row r="1250">
      <c r="A1250" s="66"/>
      <c r="B1250" s="66"/>
      <c r="C1250" s="66"/>
      <c r="D1250" s="66"/>
      <c r="E1250" s="66"/>
      <c r="F1250" s="66"/>
      <c r="G1250" s="66"/>
      <c r="H1250" s="66"/>
      <c r="I1250" s="66"/>
      <c r="J1250" s="66"/>
      <c r="K1250" s="66"/>
      <c r="L1250" s="66"/>
      <c r="M1250" s="66"/>
      <c r="N1250" s="66"/>
      <c r="O1250" s="66"/>
      <c r="P1250" s="66"/>
      <c r="Q1250" s="66"/>
      <c r="R1250" s="66"/>
      <c r="S1250" s="66"/>
      <c r="T1250" s="66"/>
      <c r="U1250" s="66"/>
      <c r="V1250" s="66"/>
      <c r="W1250" s="66"/>
      <c r="X1250" s="66"/>
      <c r="Y1250" s="66"/>
      <c r="Z1250" s="66"/>
    </row>
    <row r="1251">
      <c r="A1251" s="66"/>
      <c r="B1251" s="66"/>
      <c r="C1251" s="66"/>
      <c r="D1251" s="66"/>
      <c r="E1251" s="66"/>
      <c r="F1251" s="66"/>
      <c r="G1251" s="66"/>
      <c r="H1251" s="66"/>
      <c r="I1251" s="66"/>
      <c r="J1251" s="66"/>
      <c r="K1251" s="66"/>
      <c r="L1251" s="66"/>
      <c r="M1251" s="66"/>
      <c r="N1251" s="66"/>
      <c r="O1251" s="66"/>
      <c r="P1251" s="66"/>
      <c r="Q1251" s="66"/>
      <c r="R1251" s="66"/>
      <c r="S1251" s="66"/>
      <c r="T1251" s="66"/>
      <c r="U1251" s="66"/>
      <c r="V1251" s="66"/>
      <c r="W1251" s="66"/>
      <c r="X1251" s="66"/>
      <c r="Y1251" s="66"/>
      <c r="Z1251" s="66"/>
    </row>
    <row r="1252">
      <c r="A1252" s="66"/>
      <c r="B1252" s="66"/>
      <c r="C1252" s="66"/>
      <c r="D1252" s="66"/>
      <c r="E1252" s="66"/>
      <c r="F1252" s="66"/>
      <c r="G1252" s="66"/>
      <c r="H1252" s="66"/>
      <c r="I1252" s="66"/>
      <c r="J1252" s="66"/>
      <c r="K1252" s="66"/>
      <c r="L1252" s="66"/>
      <c r="M1252" s="66"/>
      <c r="N1252" s="66"/>
      <c r="O1252" s="66"/>
      <c r="P1252" s="66"/>
      <c r="Q1252" s="66"/>
      <c r="R1252" s="66"/>
      <c r="S1252" s="66"/>
      <c r="T1252" s="66"/>
      <c r="U1252" s="66"/>
      <c r="V1252" s="66"/>
      <c r="W1252" s="66"/>
      <c r="X1252" s="66"/>
      <c r="Y1252" s="66"/>
      <c r="Z1252" s="66"/>
    </row>
    <row r="1253">
      <c r="A1253" s="66"/>
      <c r="B1253" s="66"/>
      <c r="C1253" s="66"/>
      <c r="D1253" s="66"/>
      <c r="E1253" s="66"/>
      <c r="F1253" s="66"/>
      <c r="G1253" s="66"/>
      <c r="H1253" s="66"/>
      <c r="I1253" s="66"/>
      <c r="J1253" s="66"/>
      <c r="K1253" s="66"/>
      <c r="L1253" s="66"/>
      <c r="M1253" s="66"/>
      <c r="N1253" s="66"/>
      <c r="O1253" s="66"/>
      <c r="P1253" s="66"/>
      <c r="Q1253" s="66"/>
      <c r="R1253" s="66"/>
      <c r="S1253" s="66"/>
      <c r="T1253" s="66"/>
      <c r="U1253" s="66"/>
      <c r="V1253" s="66"/>
      <c r="W1253" s="66"/>
      <c r="X1253" s="66"/>
      <c r="Y1253" s="66"/>
      <c r="Z1253" s="66"/>
    </row>
    <row r="1254">
      <c r="A1254" s="66"/>
      <c r="B1254" s="66"/>
      <c r="C1254" s="66"/>
      <c r="D1254" s="66"/>
      <c r="E1254" s="66"/>
      <c r="F1254" s="66"/>
      <c r="G1254" s="66"/>
      <c r="H1254" s="66"/>
      <c r="I1254" s="66"/>
      <c r="J1254" s="66"/>
      <c r="K1254" s="66"/>
      <c r="L1254" s="66"/>
      <c r="M1254" s="66"/>
      <c r="N1254" s="66"/>
      <c r="O1254" s="66"/>
      <c r="P1254" s="66"/>
      <c r="Q1254" s="66"/>
      <c r="R1254" s="66"/>
      <c r="S1254" s="66"/>
      <c r="T1254" s="66"/>
      <c r="U1254" s="66"/>
      <c r="V1254" s="66"/>
      <c r="W1254" s="66"/>
      <c r="X1254" s="66"/>
      <c r="Y1254" s="66"/>
      <c r="Z1254" s="66"/>
    </row>
    <row r="1255">
      <c r="A1255" s="66"/>
      <c r="B1255" s="66"/>
      <c r="C1255" s="66"/>
      <c r="D1255" s="66"/>
      <c r="E1255" s="66"/>
      <c r="F1255" s="66"/>
      <c r="G1255" s="66"/>
      <c r="H1255" s="66"/>
      <c r="I1255" s="66"/>
      <c r="J1255" s="66"/>
      <c r="K1255" s="66"/>
      <c r="L1255" s="66"/>
      <c r="M1255" s="66"/>
      <c r="N1255" s="66"/>
      <c r="O1255" s="66"/>
      <c r="P1255" s="66"/>
      <c r="Q1255" s="66"/>
      <c r="R1255" s="66"/>
      <c r="S1255" s="66"/>
      <c r="T1255" s="66"/>
      <c r="U1255" s="66"/>
      <c r="V1255" s="66"/>
      <c r="W1255" s="66"/>
      <c r="X1255" s="66"/>
      <c r="Y1255" s="66"/>
      <c r="Z1255" s="66"/>
    </row>
    <row r="1256">
      <c r="A1256" s="66"/>
      <c r="B1256" s="66"/>
      <c r="C1256" s="66"/>
      <c r="D1256" s="66"/>
      <c r="E1256" s="66"/>
      <c r="F1256" s="66"/>
      <c r="G1256" s="66"/>
      <c r="H1256" s="66"/>
      <c r="I1256" s="66"/>
      <c r="J1256" s="66"/>
      <c r="K1256" s="66"/>
      <c r="L1256" s="66"/>
      <c r="M1256" s="66"/>
      <c r="N1256" s="66"/>
      <c r="O1256" s="66"/>
      <c r="P1256" s="66"/>
      <c r="Q1256" s="66"/>
      <c r="R1256" s="66"/>
      <c r="S1256" s="66"/>
      <c r="T1256" s="66"/>
      <c r="U1256" s="66"/>
      <c r="V1256" s="66"/>
      <c r="W1256" s="66"/>
      <c r="X1256" s="66"/>
      <c r="Y1256" s="66"/>
      <c r="Z1256" s="66"/>
    </row>
    <row r="1257">
      <c r="A1257" s="66"/>
      <c r="B1257" s="66"/>
      <c r="C1257" s="66"/>
      <c r="D1257" s="66"/>
      <c r="E1257" s="66"/>
      <c r="F1257" s="66"/>
      <c r="G1257" s="66"/>
      <c r="H1257" s="66"/>
      <c r="I1257" s="66"/>
      <c r="J1257" s="66"/>
      <c r="K1257" s="66"/>
      <c r="L1257" s="66"/>
      <c r="M1257" s="66"/>
      <c r="N1257" s="66"/>
      <c r="O1257" s="66"/>
      <c r="P1257" s="66"/>
      <c r="Q1257" s="66"/>
      <c r="R1257" s="66"/>
      <c r="S1257" s="66"/>
      <c r="T1257" s="66"/>
      <c r="U1257" s="66"/>
      <c r="V1257" s="66"/>
      <c r="W1257" s="66"/>
      <c r="X1257" s="66"/>
      <c r="Y1257" s="66"/>
      <c r="Z1257" s="66"/>
    </row>
    <row r="1258">
      <c r="A1258" s="66"/>
      <c r="B1258" s="66"/>
      <c r="C1258" s="66"/>
      <c r="D1258" s="66"/>
      <c r="E1258" s="66"/>
      <c r="F1258" s="66"/>
      <c r="G1258" s="66"/>
      <c r="H1258" s="66"/>
      <c r="I1258" s="66"/>
      <c r="J1258" s="66"/>
      <c r="K1258" s="66"/>
      <c r="L1258" s="66"/>
      <c r="M1258" s="66"/>
      <c r="N1258" s="66"/>
      <c r="O1258" s="66"/>
      <c r="P1258" s="66"/>
      <c r="Q1258" s="66"/>
      <c r="R1258" s="66"/>
      <c r="S1258" s="66"/>
      <c r="T1258" s="66"/>
      <c r="U1258" s="66"/>
      <c r="V1258" s="66"/>
      <c r="W1258" s="66"/>
      <c r="X1258" s="66"/>
      <c r="Y1258" s="66"/>
      <c r="Z1258" s="66"/>
    </row>
    <row r="1259">
      <c r="A1259" s="66"/>
      <c r="B1259" s="66"/>
      <c r="C1259" s="66"/>
      <c r="D1259" s="66"/>
      <c r="E1259" s="66"/>
      <c r="F1259" s="66"/>
      <c r="G1259" s="66"/>
      <c r="H1259" s="66"/>
      <c r="I1259" s="66"/>
      <c r="J1259" s="66"/>
      <c r="K1259" s="66"/>
      <c r="L1259" s="66"/>
      <c r="M1259" s="66"/>
      <c r="N1259" s="66"/>
      <c r="O1259" s="66"/>
      <c r="P1259" s="66"/>
      <c r="Q1259" s="66"/>
      <c r="R1259" s="66"/>
      <c r="S1259" s="66"/>
      <c r="T1259" s="66"/>
      <c r="U1259" s="66"/>
      <c r="V1259" s="66"/>
      <c r="W1259" s="66"/>
      <c r="X1259" s="66"/>
      <c r="Y1259" s="66"/>
      <c r="Z1259" s="66"/>
    </row>
    <row r="1260">
      <c r="A1260" s="66"/>
      <c r="B1260" s="66"/>
      <c r="C1260" s="66"/>
      <c r="D1260" s="66"/>
      <c r="E1260" s="66"/>
      <c r="F1260" s="66"/>
      <c r="G1260" s="66"/>
      <c r="H1260" s="66"/>
      <c r="I1260" s="66"/>
      <c r="J1260" s="66"/>
      <c r="K1260" s="66"/>
      <c r="L1260" s="66"/>
      <c r="M1260" s="66"/>
      <c r="N1260" s="66"/>
      <c r="O1260" s="66"/>
      <c r="P1260" s="66"/>
      <c r="Q1260" s="66"/>
      <c r="R1260" s="66"/>
      <c r="S1260" s="66"/>
      <c r="T1260" s="66"/>
      <c r="U1260" s="66"/>
      <c r="V1260" s="66"/>
      <c r="W1260" s="66"/>
      <c r="X1260" s="66"/>
      <c r="Y1260" s="66"/>
      <c r="Z1260" s="66"/>
    </row>
    <row r="1261">
      <c r="A1261" s="66"/>
      <c r="B1261" s="66"/>
      <c r="C1261" s="66"/>
      <c r="D1261" s="66"/>
      <c r="E1261" s="66"/>
      <c r="F1261" s="66"/>
      <c r="G1261" s="66"/>
      <c r="H1261" s="66"/>
      <c r="I1261" s="66"/>
      <c r="J1261" s="66"/>
      <c r="K1261" s="66"/>
      <c r="L1261" s="66"/>
      <c r="M1261" s="66"/>
      <c r="N1261" s="66"/>
      <c r="O1261" s="66"/>
      <c r="P1261" s="66"/>
      <c r="Q1261" s="66"/>
      <c r="R1261" s="66"/>
      <c r="S1261" s="66"/>
      <c r="T1261" s="66"/>
      <c r="U1261" s="66"/>
      <c r="V1261" s="66"/>
      <c r="W1261" s="66"/>
      <c r="X1261" s="66"/>
      <c r="Y1261" s="66"/>
      <c r="Z1261" s="66"/>
    </row>
    <row r="1262">
      <c r="A1262" s="66"/>
      <c r="B1262" s="66"/>
      <c r="C1262" s="66"/>
      <c r="D1262" s="66"/>
      <c r="E1262" s="66"/>
      <c r="F1262" s="66"/>
      <c r="G1262" s="66"/>
      <c r="H1262" s="66"/>
      <c r="I1262" s="66"/>
      <c r="J1262" s="66"/>
      <c r="K1262" s="66"/>
      <c r="L1262" s="66"/>
      <c r="M1262" s="66"/>
      <c r="N1262" s="66"/>
      <c r="O1262" s="66"/>
      <c r="P1262" s="66"/>
      <c r="Q1262" s="66"/>
      <c r="R1262" s="66"/>
      <c r="S1262" s="66"/>
      <c r="T1262" s="66"/>
      <c r="U1262" s="66"/>
      <c r="V1262" s="66"/>
      <c r="W1262" s="66"/>
      <c r="X1262" s="66"/>
      <c r="Y1262" s="66"/>
      <c r="Z1262" s="66"/>
    </row>
    <row r="1263">
      <c r="A1263" s="66"/>
      <c r="B1263" s="66"/>
      <c r="C1263" s="66"/>
      <c r="D1263" s="66"/>
      <c r="E1263" s="66"/>
      <c r="F1263" s="66"/>
      <c r="G1263" s="66"/>
      <c r="H1263" s="66"/>
      <c r="I1263" s="66"/>
      <c r="J1263" s="66"/>
      <c r="K1263" s="66"/>
      <c r="L1263" s="66"/>
      <c r="M1263" s="66"/>
      <c r="N1263" s="66"/>
      <c r="O1263" s="66"/>
      <c r="P1263" s="66"/>
      <c r="Q1263" s="66"/>
      <c r="R1263" s="66"/>
      <c r="S1263" s="66"/>
      <c r="T1263" s="66"/>
      <c r="U1263" s="66"/>
      <c r="V1263" s="66"/>
      <c r="W1263" s="66"/>
      <c r="X1263" s="66"/>
      <c r="Y1263" s="66"/>
      <c r="Z1263" s="66"/>
    </row>
    <row r="1264">
      <c r="A1264" s="66"/>
      <c r="B1264" s="66"/>
      <c r="C1264" s="66"/>
      <c r="D1264" s="66"/>
      <c r="E1264" s="66"/>
      <c r="F1264" s="66"/>
      <c r="G1264" s="66"/>
      <c r="H1264" s="66"/>
      <c r="I1264" s="66"/>
      <c r="J1264" s="66"/>
      <c r="K1264" s="66"/>
      <c r="L1264" s="66"/>
      <c r="M1264" s="66"/>
      <c r="N1264" s="66"/>
      <c r="O1264" s="66"/>
      <c r="P1264" s="66"/>
      <c r="Q1264" s="66"/>
      <c r="R1264" s="66"/>
      <c r="S1264" s="66"/>
      <c r="T1264" s="66"/>
      <c r="U1264" s="66"/>
      <c r="V1264" s="66"/>
      <c r="W1264" s="66"/>
      <c r="X1264" s="66"/>
      <c r="Y1264" s="66"/>
      <c r="Z1264" s="66"/>
    </row>
    <row r="1265">
      <c r="A1265" s="66"/>
      <c r="B1265" s="66"/>
      <c r="C1265" s="66"/>
      <c r="D1265" s="66"/>
      <c r="E1265" s="66"/>
      <c r="F1265" s="66"/>
      <c r="G1265" s="66"/>
      <c r="H1265" s="66"/>
      <c r="I1265" s="66"/>
      <c r="J1265" s="66"/>
      <c r="K1265" s="66"/>
      <c r="L1265" s="66"/>
      <c r="M1265" s="66"/>
      <c r="N1265" s="66"/>
      <c r="O1265" s="66"/>
      <c r="P1265" s="66"/>
      <c r="Q1265" s="66"/>
      <c r="R1265" s="66"/>
      <c r="S1265" s="66"/>
      <c r="T1265" s="66"/>
      <c r="U1265" s="66"/>
      <c r="V1265" s="66"/>
      <c r="W1265" s="66"/>
      <c r="X1265" s="66"/>
      <c r="Y1265" s="66"/>
      <c r="Z1265" s="66"/>
    </row>
    <row r="1266">
      <c r="A1266" s="66"/>
      <c r="B1266" s="66"/>
      <c r="C1266" s="66"/>
      <c r="D1266" s="66"/>
      <c r="E1266" s="66"/>
      <c r="F1266" s="66"/>
      <c r="G1266" s="66"/>
      <c r="H1266" s="66"/>
      <c r="I1266" s="66"/>
      <c r="J1266" s="66"/>
      <c r="K1266" s="66"/>
      <c r="L1266" s="66"/>
      <c r="M1266" s="66"/>
      <c r="N1266" s="66"/>
      <c r="O1266" s="66"/>
      <c r="P1266" s="66"/>
      <c r="Q1266" s="66"/>
      <c r="R1266" s="66"/>
      <c r="S1266" s="66"/>
      <c r="T1266" s="66"/>
      <c r="U1266" s="66"/>
      <c r="V1266" s="66"/>
      <c r="W1266" s="66"/>
      <c r="X1266" s="66"/>
      <c r="Y1266" s="66"/>
      <c r="Z1266" s="66"/>
    </row>
    <row r="1267">
      <c r="A1267" s="66"/>
      <c r="B1267" s="66"/>
      <c r="C1267" s="66"/>
      <c r="D1267" s="66"/>
      <c r="E1267" s="66"/>
      <c r="F1267" s="66"/>
      <c r="G1267" s="66"/>
      <c r="H1267" s="66"/>
      <c r="I1267" s="66"/>
      <c r="J1267" s="66"/>
      <c r="K1267" s="66"/>
      <c r="L1267" s="66"/>
      <c r="M1267" s="66"/>
      <c r="N1267" s="66"/>
      <c r="O1267" s="66"/>
      <c r="P1267" s="66"/>
      <c r="Q1267" s="66"/>
      <c r="R1267" s="66"/>
      <c r="S1267" s="66"/>
      <c r="T1267" s="66"/>
      <c r="U1267" s="66"/>
      <c r="V1267" s="66"/>
      <c r="W1267" s="66"/>
      <c r="X1267" s="66"/>
      <c r="Y1267" s="66"/>
      <c r="Z1267" s="66"/>
    </row>
    <row r="1268">
      <c r="A1268" s="66"/>
      <c r="B1268" s="66"/>
      <c r="C1268" s="66"/>
      <c r="D1268" s="66"/>
      <c r="E1268" s="66"/>
      <c r="F1268" s="66"/>
      <c r="G1268" s="66"/>
      <c r="H1268" s="66"/>
      <c r="I1268" s="66"/>
      <c r="J1268" s="66"/>
      <c r="K1268" s="66"/>
      <c r="L1268" s="66"/>
      <c r="M1268" s="66"/>
      <c r="N1268" s="66"/>
      <c r="O1268" s="66"/>
      <c r="P1268" s="66"/>
      <c r="Q1268" s="66"/>
      <c r="R1268" s="66"/>
      <c r="S1268" s="66"/>
      <c r="T1268" s="66"/>
      <c r="U1268" s="66"/>
      <c r="V1268" s="66"/>
      <c r="W1268" s="66"/>
      <c r="X1268" s="66"/>
      <c r="Y1268" s="66"/>
      <c r="Z1268" s="66"/>
    </row>
    <row r="1269">
      <c r="A1269" s="66"/>
      <c r="B1269" s="66"/>
      <c r="C1269" s="66"/>
      <c r="D1269" s="66"/>
      <c r="E1269" s="66"/>
      <c r="F1269" s="66"/>
      <c r="G1269" s="66"/>
      <c r="H1269" s="66"/>
      <c r="I1269" s="66"/>
      <c r="J1269" s="66"/>
      <c r="K1269" s="66"/>
      <c r="L1269" s="66"/>
      <c r="M1269" s="66"/>
      <c r="N1269" s="66"/>
      <c r="O1269" s="66"/>
      <c r="P1269" s="66"/>
      <c r="Q1269" s="66"/>
      <c r="R1269" s="66"/>
      <c r="S1269" s="66"/>
      <c r="T1269" s="66"/>
      <c r="U1269" s="66"/>
      <c r="V1269" s="66"/>
      <c r="W1269" s="66"/>
      <c r="X1269" s="66"/>
      <c r="Y1269" s="66"/>
      <c r="Z1269" s="66"/>
    </row>
    <row r="1270">
      <c r="A1270" s="66"/>
      <c r="B1270" s="66"/>
      <c r="C1270" s="66"/>
      <c r="D1270" s="66"/>
      <c r="E1270" s="66"/>
      <c r="F1270" s="66"/>
      <c r="G1270" s="66"/>
      <c r="H1270" s="66"/>
      <c r="I1270" s="66"/>
      <c r="J1270" s="66"/>
      <c r="K1270" s="66"/>
      <c r="L1270" s="66"/>
      <c r="M1270" s="66"/>
      <c r="N1270" s="66"/>
      <c r="O1270" s="66"/>
      <c r="P1270" s="66"/>
      <c r="Q1270" s="66"/>
      <c r="R1270" s="66"/>
      <c r="S1270" s="66"/>
      <c r="T1270" s="66"/>
      <c r="U1270" s="66"/>
      <c r="V1270" s="66"/>
      <c r="W1270" s="66"/>
      <c r="X1270" s="66"/>
      <c r="Y1270" s="66"/>
      <c r="Z1270" s="66"/>
    </row>
    <row r="1271">
      <c r="A1271" s="66"/>
      <c r="B1271" s="66"/>
      <c r="C1271" s="66"/>
      <c r="D1271" s="66"/>
      <c r="E1271" s="66"/>
      <c r="F1271" s="66"/>
      <c r="G1271" s="66"/>
      <c r="H1271" s="66"/>
      <c r="I1271" s="66"/>
      <c r="J1271" s="66"/>
      <c r="K1271" s="66"/>
      <c r="L1271" s="66"/>
      <c r="M1271" s="66"/>
      <c r="N1271" s="66"/>
      <c r="O1271" s="66"/>
      <c r="P1271" s="66"/>
      <c r="Q1271" s="66"/>
      <c r="R1271" s="66"/>
      <c r="S1271" s="66"/>
      <c r="T1271" s="66"/>
      <c r="U1271" s="66"/>
      <c r="V1271" s="66"/>
      <c r="W1271" s="66"/>
      <c r="X1271" s="66"/>
      <c r="Y1271" s="66"/>
      <c r="Z1271" s="66"/>
    </row>
    <row r="1272">
      <c r="A1272" s="66"/>
      <c r="B1272" s="66"/>
      <c r="C1272" s="66"/>
      <c r="D1272" s="66"/>
      <c r="E1272" s="66"/>
      <c r="F1272" s="66"/>
      <c r="G1272" s="66"/>
      <c r="H1272" s="66"/>
      <c r="I1272" s="66"/>
      <c r="J1272" s="66"/>
      <c r="K1272" s="66"/>
      <c r="L1272" s="66"/>
      <c r="M1272" s="66"/>
      <c r="N1272" s="66"/>
      <c r="O1272" s="66"/>
      <c r="P1272" s="66"/>
      <c r="Q1272" s="66"/>
      <c r="R1272" s="66"/>
      <c r="S1272" s="66"/>
      <c r="T1272" s="66"/>
      <c r="U1272" s="66"/>
      <c r="V1272" s="66"/>
      <c r="W1272" s="66"/>
      <c r="X1272" s="66"/>
      <c r="Y1272" s="66"/>
      <c r="Z1272" s="66"/>
    </row>
    <row r="1273">
      <c r="A1273" s="66"/>
      <c r="B1273" s="66"/>
      <c r="C1273" s="66"/>
      <c r="D1273" s="66"/>
      <c r="E1273" s="66"/>
      <c r="F1273" s="66"/>
      <c r="G1273" s="66"/>
      <c r="H1273" s="66"/>
      <c r="I1273" s="66"/>
      <c r="J1273" s="66"/>
      <c r="K1273" s="66"/>
      <c r="L1273" s="66"/>
      <c r="M1273" s="66"/>
      <c r="N1273" s="66"/>
      <c r="O1273" s="66"/>
      <c r="P1273" s="66"/>
      <c r="Q1273" s="66"/>
      <c r="R1273" s="66"/>
      <c r="S1273" s="66"/>
      <c r="T1273" s="66"/>
      <c r="U1273" s="66"/>
      <c r="V1273" s="66"/>
      <c r="W1273" s="66"/>
      <c r="X1273" s="66"/>
      <c r="Y1273" s="66"/>
      <c r="Z1273" s="66"/>
    </row>
    <row r="1274">
      <c r="A1274" s="66"/>
      <c r="B1274" s="66"/>
      <c r="C1274" s="66"/>
      <c r="D1274" s="66"/>
      <c r="E1274" s="66"/>
      <c r="F1274" s="66"/>
      <c r="G1274" s="66"/>
      <c r="H1274" s="66"/>
      <c r="I1274" s="66"/>
      <c r="J1274" s="66"/>
      <c r="K1274" s="66"/>
      <c r="L1274" s="66"/>
      <c r="M1274" s="66"/>
      <c r="N1274" s="66"/>
      <c r="O1274" s="66"/>
      <c r="P1274" s="66"/>
      <c r="Q1274" s="66"/>
      <c r="R1274" s="66"/>
      <c r="S1274" s="66"/>
      <c r="T1274" s="66"/>
      <c r="U1274" s="66"/>
      <c r="V1274" s="66"/>
      <c r="W1274" s="66"/>
      <c r="X1274" s="66"/>
      <c r="Y1274" s="66"/>
      <c r="Z1274" s="66"/>
    </row>
    <row r="1275">
      <c r="A1275" s="66"/>
      <c r="B1275" s="66"/>
      <c r="C1275" s="66"/>
      <c r="D1275" s="66"/>
      <c r="E1275" s="66"/>
      <c r="F1275" s="66"/>
      <c r="G1275" s="66"/>
      <c r="H1275" s="66"/>
      <c r="I1275" s="66"/>
      <c r="J1275" s="66"/>
      <c r="K1275" s="66"/>
      <c r="L1275" s="66"/>
      <c r="M1275" s="66"/>
      <c r="N1275" s="66"/>
      <c r="O1275" s="66"/>
      <c r="P1275" s="66"/>
      <c r="Q1275" s="66"/>
      <c r="R1275" s="66"/>
      <c r="S1275" s="66"/>
      <c r="T1275" s="66"/>
      <c r="U1275" s="66"/>
      <c r="V1275" s="66"/>
      <c r="W1275" s="66"/>
      <c r="X1275" s="66"/>
      <c r="Y1275" s="66"/>
      <c r="Z1275" s="66"/>
    </row>
    <row r="1276">
      <c r="A1276" s="66"/>
      <c r="B1276" s="66"/>
      <c r="C1276" s="66"/>
      <c r="D1276" s="66"/>
      <c r="E1276" s="66"/>
      <c r="F1276" s="66"/>
      <c r="G1276" s="66"/>
      <c r="H1276" s="66"/>
      <c r="I1276" s="66"/>
      <c r="J1276" s="66"/>
      <c r="K1276" s="66"/>
      <c r="L1276" s="66"/>
      <c r="M1276" s="66"/>
      <c r="N1276" s="66"/>
      <c r="O1276" s="66"/>
      <c r="P1276" s="66"/>
      <c r="Q1276" s="66"/>
      <c r="R1276" s="66"/>
      <c r="S1276" s="66"/>
      <c r="T1276" s="66"/>
      <c r="U1276" s="66"/>
      <c r="V1276" s="66"/>
      <c r="W1276" s="66"/>
      <c r="X1276" s="66"/>
      <c r="Y1276" s="66"/>
      <c r="Z1276" s="66"/>
    </row>
    <row r="1277">
      <c r="A1277" s="66"/>
      <c r="B1277" s="66"/>
      <c r="C1277" s="66"/>
      <c r="D1277" s="66"/>
      <c r="E1277" s="66"/>
      <c r="F1277" s="66"/>
      <c r="G1277" s="66"/>
      <c r="H1277" s="66"/>
      <c r="I1277" s="66"/>
      <c r="J1277" s="66"/>
      <c r="K1277" s="66"/>
      <c r="L1277" s="66"/>
      <c r="M1277" s="66"/>
      <c r="N1277" s="66"/>
      <c r="O1277" s="66"/>
      <c r="P1277" s="66"/>
      <c r="Q1277" s="66"/>
      <c r="R1277" s="66"/>
      <c r="S1277" s="66"/>
      <c r="T1277" s="66"/>
      <c r="U1277" s="66"/>
      <c r="V1277" s="66"/>
      <c r="W1277" s="66"/>
      <c r="X1277" s="66"/>
      <c r="Y1277" s="66"/>
      <c r="Z1277" s="66"/>
    </row>
    <row r="1278">
      <c r="A1278" s="66"/>
      <c r="B1278" s="66"/>
      <c r="C1278" s="66"/>
      <c r="D1278" s="66"/>
      <c r="E1278" s="66"/>
      <c r="F1278" s="66"/>
      <c r="G1278" s="66"/>
      <c r="H1278" s="66"/>
      <c r="I1278" s="66"/>
      <c r="J1278" s="66"/>
      <c r="K1278" s="66"/>
      <c r="L1278" s="66"/>
      <c r="M1278" s="66"/>
      <c r="N1278" s="66"/>
      <c r="O1278" s="66"/>
      <c r="P1278" s="66"/>
      <c r="Q1278" s="66"/>
      <c r="R1278" s="66"/>
      <c r="S1278" s="66"/>
      <c r="T1278" s="66"/>
      <c r="U1278" s="66"/>
      <c r="V1278" s="66"/>
      <c r="W1278" s="66"/>
      <c r="X1278" s="66"/>
      <c r="Y1278" s="66"/>
      <c r="Z1278" s="66"/>
    </row>
    <row r="1279">
      <c r="A1279" s="66"/>
      <c r="B1279" s="66"/>
      <c r="C1279" s="66"/>
      <c r="D1279" s="66"/>
      <c r="E1279" s="66"/>
      <c r="F1279" s="66"/>
      <c r="G1279" s="66"/>
      <c r="H1279" s="66"/>
      <c r="I1279" s="66"/>
      <c r="J1279" s="66"/>
      <c r="K1279" s="66"/>
      <c r="L1279" s="66"/>
      <c r="M1279" s="66"/>
      <c r="N1279" s="66"/>
      <c r="O1279" s="66"/>
      <c r="P1279" s="66"/>
      <c r="Q1279" s="66"/>
      <c r="R1279" s="66"/>
      <c r="S1279" s="66"/>
      <c r="T1279" s="66"/>
      <c r="U1279" s="66"/>
      <c r="V1279" s="66"/>
      <c r="W1279" s="66"/>
      <c r="X1279" s="66"/>
      <c r="Y1279" s="66"/>
      <c r="Z1279" s="66"/>
    </row>
    <row r="1280">
      <c r="A1280" s="66"/>
      <c r="B1280" s="66"/>
      <c r="C1280" s="66"/>
      <c r="D1280" s="66"/>
      <c r="E1280" s="66"/>
      <c r="F1280" s="66"/>
      <c r="G1280" s="66"/>
      <c r="H1280" s="66"/>
      <c r="I1280" s="66"/>
      <c r="J1280" s="66"/>
      <c r="K1280" s="66"/>
      <c r="L1280" s="66"/>
      <c r="M1280" s="66"/>
      <c r="N1280" s="66"/>
      <c r="O1280" s="66"/>
      <c r="P1280" s="66"/>
      <c r="Q1280" s="66"/>
      <c r="R1280" s="66"/>
      <c r="S1280" s="66"/>
      <c r="T1280" s="66"/>
      <c r="U1280" s="66"/>
      <c r="V1280" s="66"/>
      <c r="W1280" s="66"/>
      <c r="X1280" s="66"/>
      <c r="Y1280" s="66"/>
      <c r="Z1280" s="66"/>
    </row>
    <row r="1281">
      <c r="A1281" s="66"/>
      <c r="B1281" s="66"/>
      <c r="C1281" s="66"/>
      <c r="D1281" s="66"/>
      <c r="E1281" s="66"/>
      <c r="F1281" s="66"/>
      <c r="G1281" s="66"/>
      <c r="H1281" s="66"/>
      <c r="I1281" s="66"/>
      <c r="J1281" s="66"/>
      <c r="K1281" s="66"/>
      <c r="L1281" s="66"/>
      <c r="M1281" s="66"/>
      <c r="N1281" s="66"/>
      <c r="O1281" s="66"/>
      <c r="P1281" s="66"/>
      <c r="Q1281" s="66"/>
      <c r="R1281" s="66"/>
      <c r="S1281" s="66"/>
      <c r="T1281" s="66"/>
      <c r="U1281" s="66"/>
      <c r="V1281" s="66"/>
      <c r="W1281" s="66"/>
      <c r="X1281" s="66"/>
      <c r="Y1281" s="66"/>
      <c r="Z1281" s="66"/>
    </row>
    <row r="1282">
      <c r="A1282" s="66"/>
      <c r="B1282" s="66"/>
      <c r="C1282" s="66"/>
      <c r="D1282" s="66"/>
      <c r="E1282" s="66"/>
      <c r="F1282" s="66"/>
      <c r="G1282" s="66"/>
      <c r="H1282" s="66"/>
      <c r="I1282" s="66"/>
      <c r="J1282" s="66"/>
      <c r="K1282" s="66"/>
      <c r="L1282" s="66"/>
      <c r="M1282" s="66"/>
      <c r="N1282" s="66"/>
      <c r="O1282" s="66"/>
      <c r="P1282" s="66"/>
      <c r="Q1282" s="66"/>
      <c r="R1282" s="66"/>
      <c r="S1282" s="66"/>
      <c r="T1282" s="66"/>
      <c r="U1282" s="66"/>
      <c r="V1282" s="66"/>
      <c r="W1282" s="66"/>
      <c r="X1282" s="66"/>
      <c r="Y1282" s="66"/>
      <c r="Z1282" s="66"/>
    </row>
    <row r="1283">
      <c r="A1283" s="66"/>
      <c r="B1283" s="66"/>
      <c r="C1283" s="66"/>
      <c r="D1283" s="66"/>
      <c r="E1283" s="66"/>
      <c r="F1283" s="66"/>
      <c r="G1283" s="66"/>
      <c r="H1283" s="66"/>
      <c r="I1283" s="66"/>
      <c r="J1283" s="66"/>
      <c r="K1283" s="66"/>
      <c r="L1283" s="66"/>
      <c r="M1283" s="66"/>
      <c r="N1283" s="66"/>
      <c r="O1283" s="66"/>
      <c r="P1283" s="66"/>
      <c r="Q1283" s="66"/>
      <c r="R1283" s="66"/>
      <c r="S1283" s="66"/>
      <c r="T1283" s="66"/>
      <c r="U1283" s="66"/>
      <c r="V1283" s="66"/>
      <c r="W1283" s="66"/>
      <c r="X1283" s="66"/>
      <c r="Y1283" s="66"/>
      <c r="Z1283" s="66"/>
    </row>
    <row r="1284">
      <c r="A1284" s="66"/>
      <c r="B1284" s="66"/>
      <c r="C1284" s="66"/>
      <c r="D1284" s="66"/>
      <c r="E1284" s="66"/>
      <c r="F1284" s="66"/>
      <c r="G1284" s="66"/>
      <c r="H1284" s="66"/>
      <c r="I1284" s="66"/>
      <c r="J1284" s="66"/>
      <c r="K1284" s="66"/>
      <c r="L1284" s="66"/>
      <c r="M1284" s="66"/>
      <c r="N1284" s="66"/>
      <c r="O1284" s="66"/>
      <c r="P1284" s="66"/>
      <c r="Q1284" s="66"/>
      <c r="R1284" s="66"/>
      <c r="S1284" s="66"/>
      <c r="T1284" s="66"/>
      <c r="U1284" s="66"/>
      <c r="V1284" s="66"/>
      <c r="W1284" s="66"/>
      <c r="X1284" s="66"/>
      <c r="Y1284" s="66"/>
      <c r="Z1284" s="66"/>
    </row>
    <row r="1285">
      <c r="A1285" s="66"/>
      <c r="B1285" s="66"/>
      <c r="C1285" s="66"/>
      <c r="D1285" s="66"/>
      <c r="E1285" s="66"/>
      <c r="F1285" s="66"/>
      <c r="G1285" s="66"/>
      <c r="H1285" s="66"/>
      <c r="I1285" s="66"/>
      <c r="J1285" s="66"/>
      <c r="K1285" s="66"/>
      <c r="L1285" s="66"/>
      <c r="M1285" s="66"/>
      <c r="N1285" s="66"/>
      <c r="O1285" s="66"/>
      <c r="P1285" s="66"/>
      <c r="Q1285" s="66"/>
      <c r="R1285" s="66"/>
      <c r="S1285" s="66"/>
      <c r="T1285" s="66"/>
      <c r="U1285" s="66"/>
      <c r="V1285" s="66"/>
      <c r="W1285" s="66"/>
      <c r="X1285" s="66"/>
      <c r="Y1285" s="66"/>
      <c r="Z1285" s="66"/>
    </row>
    <row r="1286">
      <c r="A1286" s="66"/>
      <c r="B1286" s="66"/>
      <c r="C1286" s="66"/>
      <c r="D1286" s="66"/>
      <c r="E1286" s="66"/>
      <c r="F1286" s="66"/>
      <c r="G1286" s="66"/>
      <c r="H1286" s="66"/>
      <c r="I1286" s="66"/>
      <c r="J1286" s="66"/>
      <c r="K1286" s="66"/>
      <c r="L1286" s="66"/>
      <c r="M1286" s="66"/>
      <c r="N1286" s="66"/>
      <c r="O1286" s="66"/>
      <c r="P1286" s="66"/>
      <c r="Q1286" s="66"/>
      <c r="R1286" s="66"/>
      <c r="S1286" s="66"/>
      <c r="T1286" s="66"/>
      <c r="U1286" s="66"/>
      <c r="V1286" s="66"/>
      <c r="W1286" s="66"/>
      <c r="X1286" s="66"/>
      <c r="Y1286" s="66"/>
      <c r="Z1286" s="66"/>
    </row>
    <row r="1287">
      <c r="A1287" s="66"/>
      <c r="B1287" s="66"/>
      <c r="C1287" s="66"/>
      <c r="D1287" s="66"/>
      <c r="E1287" s="66"/>
      <c r="F1287" s="66"/>
      <c r="G1287" s="66"/>
      <c r="H1287" s="66"/>
      <c r="I1287" s="66"/>
      <c r="J1287" s="66"/>
      <c r="K1287" s="66"/>
      <c r="L1287" s="66"/>
      <c r="M1287" s="66"/>
      <c r="N1287" s="66"/>
      <c r="O1287" s="66"/>
      <c r="P1287" s="66"/>
      <c r="Q1287" s="66"/>
      <c r="R1287" s="66"/>
      <c r="S1287" s="66"/>
      <c r="T1287" s="66"/>
      <c r="U1287" s="66"/>
      <c r="V1287" s="66"/>
      <c r="W1287" s="66"/>
      <c r="X1287" s="66"/>
      <c r="Y1287" s="66"/>
      <c r="Z1287" s="66"/>
    </row>
    <row r="1288">
      <c r="A1288" s="66"/>
      <c r="B1288" s="66"/>
      <c r="C1288" s="66"/>
      <c r="D1288" s="66"/>
      <c r="E1288" s="66"/>
      <c r="F1288" s="66"/>
      <c r="G1288" s="66"/>
      <c r="H1288" s="66"/>
      <c r="I1288" s="66"/>
      <c r="J1288" s="66"/>
      <c r="K1288" s="66"/>
      <c r="L1288" s="66"/>
      <c r="M1288" s="66"/>
      <c r="N1288" s="66"/>
      <c r="O1288" s="66"/>
      <c r="P1288" s="66"/>
      <c r="Q1288" s="66"/>
      <c r="R1288" s="66"/>
      <c r="S1288" s="66"/>
      <c r="T1288" s="66"/>
      <c r="U1288" s="66"/>
      <c r="V1288" s="66"/>
      <c r="W1288" s="66"/>
      <c r="X1288" s="66"/>
      <c r="Y1288" s="66"/>
      <c r="Z1288" s="66"/>
    </row>
    <row r="1289">
      <c r="A1289" s="66"/>
      <c r="B1289" s="66"/>
      <c r="C1289" s="66"/>
      <c r="D1289" s="66"/>
      <c r="E1289" s="66"/>
      <c r="F1289" s="66"/>
      <c r="G1289" s="66"/>
      <c r="H1289" s="66"/>
      <c r="I1289" s="66"/>
      <c r="J1289" s="66"/>
      <c r="K1289" s="66"/>
      <c r="L1289" s="66"/>
      <c r="M1289" s="66"/>
      <c r="N1289" s="66"/>
      <c r="O1289" s="66"/>
      <c r="P1289" s="66"/>
      <c r="Q1289" s="66"/>
      <c r="R1289" s="66"/>
      <c r="S1289" s="66"/>
      <c r="T1289" s="66"/>
      <c r="U1289" s="66"/>
      <c r="V1289" s="66"/>
      <c r="W1289" s="66"/>
      <c r="X1289" s="66"/>
      <c r="Y1289" s="66"/>
      <c r="Z1289" s="66"/>
    </row>
    <row r="1290">
      <c r="A1290" s="66"/>
      <c r="B1290" s="66"/>
      <c r="C1290" s="66"/>
      <c r="D1290" s="66"/>
      <c r="E1290" s="66"/>
      <c r="F1290" s="66"/>
      <c r="G1290" s="66"/>
      <c r="H1290" s="66"/>
      <c r="I1290" s="66"/>
      <c r="J1290" s="66"/>
      <c r="K1290" s="66"/>
      <c r="L1290" s="66"/>
      <c r="M1290" s="66"/>
      <c r="N1290" s="66"/>
      <c r="O1290" s="66"/>
      <c r="P1290" s="66"/>
      <c r="Q1290" s="66"/>
      <c r="R1290" s="66"/>
      <c r="S1290" s="66"/>
      <c r="T1290" s="66"/>
      <c r="U1290" s="66"/>
      <c r="V1290" s="66"/>
      <c r="W1290" s="66"/>
      <c r="X1290" s="66"/>
      <c r="Y1290" s="66"/>
      <c r="Z1290" s="66"/>
    </row>
    <row r="1291">
      <c r="A1291" s="66"/>
      <c r="B1291" s="66"/>
      <c r="C1291" s="66"/>
      <c r="D1291" s="66"/>
      <c r="E1291" s="66"/>
      <c r="F1291" s="66"/>
      <c r="G1291" s="66"/>
      <c r="H1291" s="66"/>
      <c r="I1291" s="66"/>
      <c r="J1291" s="66"/>
      <c r="K1291" s="66"/>
      <c r="L1291" s="66"/>
      <c r="M1291" s="66"/>
      <c r="N1291" s="66"/>
      <c r="O1291" s="66"/>
      <c r="P1291" s="66"/>
      <c r="Q1291" s="66"/>
      <c r="R1291" s="66"/>
      <c r="S1291" s="66"/>
      <c r="T1291" s="66"/>
      <c r="U1291" s="66"/>
      <c r="V1291" s="66"/>
      <c r="W1291" s="66"/>
      <c r="X1291" s="66"/>
      <c r="Y1291" s="66"/>
      <c r="Z1291" s="66"/>
    </row>
    <row r="1292">
      <c r="A1292" s="66"/>
      <c r="B1292" s="66"/>
      <c r="C1292" s="66"/>
      <c r="D1292" s="66"/>
      <c r="E1292" s="66"/>
      <c r="F1292" s="66"/>
      <c r="G1292" s="66"/>
      <c r="H1292" s="66"/>
      <c r="I1292" s="66"/>
      <c r="J1292" s="66"/>
      <c r="K1292" s="66"/>
      <c r="L1292" s="66"/>
      <c r="M1292" s="66"/>
      <c r="N1292" s="66"/>
      <c r="O1292" s="66"/>
      <c r="P1292" s="66"/>
      <c r="Q1292" s="66"/>
      <c r="R1292" s="66"/>
      <c r="S1292" s="66"/>
      <c r="T1292" s="66"/>
      <c r="U1292" s="66"/>
      <c r="V1292" s="66"/>
      <c r="W1292" s="66"/>
      <c r="X1292" s="66"/>
      <c r="Y1292" s="66"/>
      <c r="Z1292" s="66"/>
    </row>
    <row r="1293">
      <c r="A1293" s="66"/>
      <c r="B1293" s="66"/>
      <c r="C1293" s="66"/>
      <c r="D1293" s="66"/>
      <c r="E1293" s="66"/>
      <c r="F1293" s="66"/>
      <c r="G1293" s="66"/>
      <c r="H1293" s="66"/>
      <c r="I1293" s="66"/>
      <c r="J1293" s="66"/>
      <c r="K1293" s="66"/>
      <c r="L1293" s="66"/>
      <c r="M1293" s="66"/>
      <c r="N1293" s="66"/>
      <c r="O1293" s="66"/>
      <c r="P1293" s="66"/>
      <c r="Q1293" s="66"/>
      <c r="R1293" s="66"/>
      <c r="S1293" s="66"/>
      <c r="T1293" s="66"/>
      <c r="U1293" s="66"/>
      <c r="V1293" s="66"/>
      <c r="W1293" s="66"/>
      <c r="X1293" s="66"/>
      <c r="Y1293" s="66"/>
      <c r="Z1293" s="66"/>
    </row>
    <row r="1294">
      <c r="A1294" s="66"/>
      <c r="B1294" s="66"/>
      <c r="C1294" s="66"/>
      <c r="D1294" s="66"/>
      <c r="E1294" s="66"/>
      <c r="F1294" s="66"/>
      <c r="G1294" s="66"/>
      <c r="H1294" s="66"/>
      <c r="I1294" s="66"/>
      <c r="J1294" s="66"/>
      <c r="K1294" s="66"/>
      <c r="L1294" s="66"/>
      <c r="M1294" s="66"/>
      <c r="N1294" s="66"/>
      <c r="O1294" s="66"/>
      <c r="P1294" s="66"/>
      <c r="Q1294" s="66"/>
      <c r="R1294" s="66"/>
      <c r="S1294" s="66"/>
      <c r="T1294" s="66"/>
      <c r="U1294" s="66"/>
      <c r="V1294" s="66"/>
      <c r="W1294" s="66"/>
      <c r="X1294" s="66"/>
      <c r="Y1294" s="66"/>
      <c r="Z1294" s="66"/>
    </row>
    <row r="1295">
      <c r="A1295" s="66"/>
      <c r="B1295" s="66"/>
      <c r="C1295" s="66"/>
      <c r="D1295" s="66"/>
      <c r="E1295" s="66"/>
      <c r="F1295" s="66"/>
      <c r="G1295" s="66"/>
      <c r="H1295" s="66"/>
      <c r="I1295" s="66"/>
      <c r="J1295" s="66"/>
      <c r="K1295" s="66"/>
      <c r="L1295" s="66"/>
      <c r="M1295" s="66"/>
      <c r="N1295" s="66"/>
      <c r="O1295" s="66"/>
      <c r="P1295" s="66"/>
      <c r="Q1295" s="66"/>
      <c r="R1295" s="66"/>
      <c r="S1295" s="66"/>
      <c r="T1295" s="66"/>
      <c r="U1295" s="66"/>
      <c r="V1295" s="66"/>
      <c r="W1295" s="66"/>
      <c r="X1295" s="66"/>
      <c r="Y1295" s="66"/>
      <c r="Z1295" s="66"/>
    </row>
    <row r="1296">
      <c r="A1296" s="66"/>
      <c r="B1296" s="66"/>
      <c r="C1296" s="66"/>
      <c r="D1296" s="66"/>
      <c r="E1296" s="66"/>
      <c r="F1296" s="66"/>
      <c r="G1296" s="66"/>
      <c r="H1296" s="66"/>
      <c r="I1296" s="66"/>
      <c r="J1296" s="66"/>
      <c r="K1296" s="66"/>
      <c r="L1296" s="66"/>
      <c r="M1296" s="66"/>
      <c r="N1296" s="66"/>
      <c r="O1296" s="66"/>
      <c r="P1296" s="66"/>
      <c r="Q1296" s="66"/>
      <c r="R1296" s="66"/>
      <c r="S1296" s="66"/>
      <c r="T1296" s="66"/>
      <c r="U1296" s="66"/>
      <c r="V1296" s="66"/>
      <c r="W1296" s="66"/>
      <c r="X1296" s="66"/>
      <c r="Y1296" s="66"/>
      <c r="Z1296" s="66"/>
    </row>
    <row r="1297">
      <c r="A1297" s="66"/>
      <c r="B1297" s="66"/>
      <c r="C1297" s="66"/>
      <c r="D1297" s="66"/>
      <c r="E1297" s="66"/>
      <c r="F1297" s="66"/>
      <c r="G1297" s="66"/>
      <c r="H1297" s="66"/>
      <c r="I1297" s="66"/>
      <c r="J1297" s="66"/>
      <c r="K1297" s="66"/>
      <c r="L1297" s="66"/>
      <c r="M1297" s="66"/>
      <c r="N1297" s="66"/>
      <c r="O1297" s="66"/>
      <c r="P1297" s="66"/>
      <c r="Q1297" s="66"/>
      <c r="R1297" s="66"/>
      <c r="S1297" s="66"/>
      <c r="T1297" s="66"/>
      <c r="U1297" s="66"/>
      <c r="V1297" s="66"/>
      <c r="W1297" s="66"/>
      <c r="X1297" s="66"/>
      <c r="Y1297" s="66"/>
      <c r="Z1297" s="66"/>
    </row>
    <row r="1298">
      <c r="A1298" s="66"/>
      <c r="B1298" s="66"/>
      <c r="C1298" s="66"/>
      <c r="D1298" s="66"/>
      <c r="E1298" s="66"/>
      <c r="F1298" s="66"/>
      <c r="G1298" s="66"/>
      <c r="H1298" s="66"/>
      <c r="I1298" s="66"/>
      <c r="J1298" s="66"/>
      <c r="K1298" s="66"/>
      <c r="L1298" s="66"/>
      <c r="M1298" s="66"/>
      <c r="N1298" s="66"/>
      <c r="O1298" s="66"/>
      <c r="P1298" s="66"/>
      <c r="Q1298" s="66"/>
      <c r="R1298" s="66"/>
      <c r="S1298" s="66"/>
      <c r="T1298" s="66"/>
      <c r="U1298" s="66"/>
      <c r="V1298" s="66"/>
      <c r="W1298" s="66"/>
      <c r="X1298" s="66"/>
      <c r="Y1298" s="66"/>
      <c r="Z1298" s="66"/>
    </row>
    <row r="1299">
      <c r="A1299" s="66"/>
      <c r="B1299" s="66"/>
      <c r="C1299" s="66"/>
      <c r="D1299" s="66"/>
      <c r="E1299" s="66"/>
      <c r="F1299" s="66"/>
      <c r="G1299" s="66"/>
      <c r="H1299" s="66"/>
      <c r="I1299" s="66"/>
      <c r="J1299" s="66"/>
      <c r="K1299" s="66"/>
      <c r="L1299" s="66"/>
      <c r="M1299" s="66"/>
      <c r="N1299" s="66"/>
      <c r="O1299" s="66"/>
      <c r="P1299" s="66"/>
      <c r="Q1299" s="66"/>
      <c r="R1299" s="66"/>
      <c r="S1299" s="66"/>
      <c r="T1299" s="66"/>
      <c r="U1299" s="66"/>
      <c r="V1299" s="66"/>
      <c r="W1299" s="66"/>
      <c r="X1299" s="66"/>
      <c r="Y1299" s="66"/>
      <c r="Z1299" s="66"/>
    </row>
    <row r="1300">
      <c r="A1300" s="66"/>
      <c r="B1300" s="66"/>
      <c r="C1300" s="66"/>
      <c r="D1300" s="66"/>
      <c r="E1300" s="66"/>
      <c r="F1300" s="66"/>
      <c r="G1300" s="66"/>
      <c r="H1300" s="66"/>
      <c r="I1300" s="66"/>
      <c r="J1300" s="66"/>
      <c r="K1300" s="66"/>
      <c r="L1300" s="66"/>
      <c r="M1300" s="66"/>
      <c r="N1300" s="66"/>
      <c r="O1300" s="66"/>
      <c r="P1300" s="66"/>
      <c r="Q1300" s="66"/>
      <c r="R1300" s="66"/>
      <c r="S1300" s="66"/>
      <c r="T1300" s="66"/>
      <c r="U1300" s="66"/>
      <c r="V1300" s="66"/>
      <c r="W1300" s="66"/>
      <c r="X1300" s="66"/>
      <c r="Y1300" s="66"/>
      <c r="Z1300" s="66"/>
    </row>
    <row r="1301">
      <c r="A1301" s="66"/>
      <c r="B1301" s="66"/>
      <c r="C1301" s="66"/>
      <c r="D1301" s="66"/>
      <c r="E1301" s="66"/>
      <c r="F1301" s="66"/>
      <c r="G1301" s="66"/>
      <c r="H1301" s="66"/>
      <c r="I1301" s="66"/>
      <c r="J1301" s="66"/>
      <c r="K1301" s="66"/>
      <c r="L1301" s="66"/>
      <c r="M1301" s="66"/>
      <c r="N1301" s="66"/>
      <c r="O1301" s="66"/>
      <c r="P1301" s="66"/>
      <c r="Q1301" s="66"/>
      <c r="R1301" s="66"/>
      <c r="S1301" s="66"/>
      <c r="T1301" s="66"/>
      <c r="U1301" s="66"/>
      <c r="V1301" s="66"/>
      <c r="W1301" s="66"/>
      <c r="X1301" s="66"/>
      <c r="Y1301" s="66"/>
      <c r="Z1301" s="66"/>
    </row>
    <row r="1302">
      <c r="A1302" s="66"/>
      <c r="B1302" s="66"/>
      <c r="C1302" s="66"/>
      <c r="D1302" s="66"/>
      <c r="E1302" s="66"/>
      <c r="F1302" s="66"/>
      <c r="G1302" s="66"/>
      <c r="H1302" s="66"/>
      <c r="I1302" s="66"/>
      <c r="J1302" s="66"/>
      <c r="K1302" s="66"/>
      <c r="L1302" s="66"/>
      <c r="M1302" s="66"/>
      <c r="N1302" s="66"/>
      <c r="O1302" s="66"/>
      <c r="P1302" s="66"/>
      <c r="Q1302" s="66"/>
      <c r="R1302" s="66"/>
      <c r="S1302" s="66"/>
      <c r="T1302" s="66"/>
      <c r="U1302" s="66"/>
      <c r="V1302" s="66"/>
      <c r="W1302" s="66"/>
      <c r="X1302" s="66"/>
      <c r="Y1302" s="66"/>
      <c r="Z1302" s="66"/>
    </row>
    <row r="1303">
      <c r="A1303" s="66"/>
      <c r="B1303" s="66"/>
      <c r="C1303" s="66"/>
      <c r="D1303" s="66"/>
      <c r="E1303" s="66"/>
      <c r="F1303" s="66"/>
      <c r="G1303" s="66"/>
      <c r="H1303" s="66"/>
      <c r="I1303" s="66"/>
      <c r="J1303" s="66"/>
      <c r="K1303" s="66"/>
      <c r="L1303" s="66"/>
      <c r="M1303" s="66"/>
      <c r="N1303" s="66"/>
      <c r="O1303" s="66"/>
      <c r="P1303" s="66"/>
      <c r="Q1303" s="66"/>
      <c r="R1303" s="66"/>
      <c r="S1303" s="66"/>
      <c r="T1303" s="66"/>
      <c r="U1303" s="66"/>
      <c r="V1303" s="66"/>
      <c r="W1303" s="66"/>
      <c r="X1303" s="66"/>
      <c r="Y1303" s="66"/>
      <c r="Z1303" s="66"/>
    </row>
    <row r="1304">
      <c r="A1304" s="66"/>
      <c r="B1304" s="66"/>
      <c r="C1304" s="66"/>
      <c r="D1304" s="66"/>
      <c r="E1304" s="66"/>
      <c r="F1304" s="66"/>
      <c r="G1304" s="66"/>
      <c r="H1304" s="66"/>
      <c r="I1304" s="66"/>
      <c r="J1304" s="66"/>
      <c r="K1304" s="66"/>
      <c r="L1304" s="66"/>
      <c r="M1304" s="66"/>
      <c r="N1304" s="66"/>
      <c r="O1304" s="66"/>
      <c r="P1304" s="66"/>
      <c r="Q1304" s="66"/>
      <c r="R1304" s="66"/>
      <c r="S1304" s="66"/>
      <c r="T1304" s="66"/>
      <c r="U1304" s="66"/>
      <c r="V1304" s="66"/>
      <c r="W1304" s="66"/>
      <c r="X1304" s="66"/>
      <c r="Y1304" s="66"/>
      <c r="Z1304" s="66"/>
    </row>
    <row r="1305">
      <c r="A1305" s="66"/>
      <c r="B1305" s="66"/>
      <c r="C1305" s="66"/>
      <c r="D1305" s="66"/>
      <c r="E1305" s="66"/>
      <c r="F1305" s="66"/>
      <c r="G1305" s="66"/>
      <c r="H1305" s="66"/>
      <c r="I1305" s="66"/>
      <c r="J1305" s="66"/>
      <c r="K1305" s="66"/>
      <c r="L1305" s="66"/>
      <c r="M1305" s="66"/>
      <c r="N1305" s="66"/>
      <c r="O1305" s="66"/>
      <c r="P1305" s="66"/>
      <c r="Q1305" s="66"/>
      <c r="R1305" s="66"/>
      <c r="S1305" s="66"/>
      <c r="T1305" s="66"/>
      <c r="U1305" s="66"/>
      <c r="V1305" s="66"/>
      <c r="W1305" s="66"/>
      <c r="X1305" s="66"/>
      <c r="Y1305" s="66"/>
      <c r="Z1305" s="66"/>
    </row>
    <row r="1306">
      <c r="A1306" s="66"/>
      <c r="B1306" s="66"/>
      <c r="C1306" s="66"/>
      <c r="D1306" s="66"/>
      <c r="E1306" s="66"/>
      <c r="F1306" s="66"/>
      <c r="G1306" s="66"/>
      <c r="H1306" s="66"/>
      <c r="I1306" s="66"/>
      <c r="J1306" s="66"/>
      <c r="K1306" s="66"/>
      <c r="L1306" s="66"/>
      <c r="M1306" s="66"/>
      <c r="N1306" s="66"/>
      <c r="O1306" s="66"/>
      <c r="P1306" s="66"/>
      <c r="Q1306" s="66"/>
      <c r="R1306" s="66"/>
      <c r="S1306" s="66"/>
      <c r="T1306" s="66"/>
      <c r="U1306" s="66"/>
      <c r="V1306" s="66"/>
      <c r="W1306" s="66"/>
      <c r="X1306" s="66"/>
      <c r="Y1306" s="66"/>
      <c r="Z1306" s="66"/>
    </row>
    <row r="1307">
      <c r="A1307" s="66"/>
      <c r="B1307" s="66"/>
      <c r="C1307" s="66"/>
      <c r="D1307" s="66"/>
      <c r="E1307" s="66"/>
      <c r="F1307" s="66"/>
      <c r="G1307" s="66"/>
      <c r="H1307" s="66"/>
      <c r="I1307" s="66"/>
      <c r="J1307" s="66"/>
      <c r="K1307" s="66"/>
      <c r="L1307" s="66"/>
      <c r="M1307" s="66"/>
      <c r="N1307" s="66"/>
      <c r="O1307" s="66"/>
      <c r="P1307" s="66"/>
      <c r="Q1307" s="66"/>
      <c r="R1307" s="66"/>
      <c r="S1307" s="66"/>
      <c r="T1307" s="66"/>
      <c r="U1307" s="66"/>
      <c r="V1307" s="66"/>
      <c r="W1307" s="66"/>
      <c r="X1307" s="66"/>
      <c r="Y1307" s="66"/>
      <c r="Z1307" s="66"/>
    </row>
    <row r="1308">
      <c r="A1308" s="66"/>
      <c r="B1308" s="66"/>
      <c r="C1308" s="66"/>
      <c r="D1308" s="66"/>
      <c r="E1308" s="66"/>
      <c r="F1308" s="66"/>
      <c r="G1308" s="66"/>
      <c r="H1308" s="66"/>
      <c r="I1308" s="66"/>
      <c r="J1308" s="66"/>
      <c r="K1308" s="66"/>
      <c r="L1308" s="66"/>
      <c r="M1308" s="66"/>
      <c r="N1308" s="66"/>
      <c r="O1308" s="66"/>
      <c r="P1308" s="66"/>
      <c r="Q1308" s="66"/>
      <c r="R1308" s="66"/>
      <c r="S1308" s="66"/>
      <c r="T1308" s="66"/>
      <c r="U1308" s="66"/>
      <c r="V1308" s="66"/>
      <c r="W1308" s="66"/>
      <c r="X1308" s="66"/>
      <c r="Y1308" s="66"/>
      <c r="Z1308" s="66"/>
    </row>
    <row r="1309">
      <c r="A1309" s="66"/>
      <c r="B1309" s="66"/>
      <c r="C1309" s="66"/>
      <c r="D1309" s="66"/>
      <c r="E1309" s="66"/>
      <c r="F1309" s="66"/>
      <c r="G1309" s="66"/>
      <c r="H1309" s="66"/>
      <c r="I1309" s="66"/>
      <c r="J1309" s="66"/>
      <c r="K1309" s="66"/>
      <c r="L1309" s="66"/>
      <c r="M1309" s="66"/>
      <c r="N1309" s="66"/>
      <c r="O1309" s="66"/>
      <c r="P1309" s="66"/>
      <c r="Q1309" s="66"/>
      <c r="R1309" s="66"/>
      <c r="S1309" s="66"/>
      <c r="T1309" s="66"/>
      <c r="U1309" s="66"/>
      <c r="V1309" s="66"/>
      <c r="W1309" s="66"/>
      <c r="X1309" s="66"/>
      <c r="Y1309" s="66"/>
      <c r="Z1309" s="66"/>
    </row>
    <row r="1310">
      <c r="A1310" s="66"/>
      <c r="B1310" s="66"/>
      <c r="C1310" s="66"/>
      <c r="D1310" s="66"/>
      <c r="E1310" s="66"/>
      <c r="F1310" s="66"/>
      <c r="G1310" s="66"/>
      <c r="H1310" s="66"/>
      <c r="I1310" s="66"/>
      <c r="J1310" s="66"/>
      <c r="K1310" s="66"/>
      <c r="L1310" s="66"/>
      <c r="M1310" s="66"/>
      <c r="N1310" s="66"/>
      <c r="O1310" s="66"/>
      <c r="P1310" s="66"/>
      <c r="Q1310" s="66"/>
      <c r="R1310" s="66"/>
      <c r="S1310" s="66"/>
      <c r="T1310" s="66"/>
      <c r="U1310" s="66"/>
      <c r="V1310" s="66"/>
      <c r="W1310" s="66"/>
      <c r="X1310" s="66"/>
      <c r="Y1310" s="66"/>
      <c r="Z1310" s="66"/>
    </row>
    <row r="1311">
      <c r="A1311" s="66"/>
      <c r="B1311" s="66"/>
      <c r="C1311" s="66"/>
      <c r="D1311" s="66"/>
      <c r="E1311" s="66"/>
      <c r="F1311" s="66"/>
      <c r="G1311" s="66"/>
      <c r="H1311" s="66"/>
      <c r="I1311" s="66"/>
      <c r="J1311" s="66"/>
      <c r="K1311" s="66"/>
      <c r="L1311" s="66"/>
      <c r="M1311" s="66"/>
      <c r="N1311" s="66"/>
      <c r="O1311" s="66"/>
      <c r="P1311" s="66"/>
      <c r="Q1311" s="66"/>
      <c r="R1311" s="66"/>
      <c r="S1311" s="66"/>
      <c r="T1311" s="66"/>
      <c r="U1311" s="66"/>
      <c r="V1311" s="66"/>
      <c r="W1311" s="66"/>
      <c r="X1311" s="66"/>
      <c r="Y1311" s="66"/>
      <c r="Z1311" s="66"/>
    </row>
    <row r="1312">
      <c r="A1312" s="66"/>
      <c r="B1312" s="66"/>
      <c r="C1312" s="66"/>
      <c r="D1312" s="66"/>
      <c r="E1312" s="66"/>
      <c r="F1312" s="66"/>
      <c r="G1312" s="66"/>
      <c r="H1312" s="66"/>
      <c r="I1312" s="66"/>
      <c r="J1312" s="66"/>
      <c r="K1312" s="66"/>
      <c r="L1312" s="66"/>
      <c r="M1312" s="66"/>
      <c r="N1312" s="66"/>
      <c r="O1312" s="66"/>
      <c r="P1312" s="66"/>
      <c r="Q1312" s="66"/>
      <c r="R1312" s="66"/>
      <c r="S1312" s="66"/>
      <c r="T1312" s="66"/>
      <c r="U1312" s="66"/>
      <c r="V1312" s="66"/>
      <c r="W1312" s="66"/>
      <c r="X1312" s="66"/>
      <c r="Y1312" s="66"/>
      <c r="Z1312" s="66"/>
    </row>
    <row r="1313">
      <c r="A1313" s="66"/>
      <c r="B1313" s="66"/>
      <c r="C1313" s="66"/>
      <c r="D1313" s="66"/>
      <c r="E1313" s="66"/>
      <c r="F1313" s="66"/>
      <c r="G1313" s="66"/>
      <c r="H1313" s="66"/>
      <c r="I1313" s="66"/>
      <c r="J1313" s="66"/>
      <c r="K1313" s="66"/>
      <c r="L1313" s="66"/>
      <c r="M1313" s="66"/>
      <c r="N1313" s="66"/>
      <c r="O1313" s="66"/>
      <c r="P1313" s="66"/>
      <c r="Q1313" s="66"/>
      <c r="R1313" s="66"/>
      <c r="S1313" s="66"/>
      <c r="T1313" s="66"/>
      <c r="U1313" s="66"/>
      <c r="V1313" s="66"/>
      <c r="W1313" s="66"/>
      <c r="X1313" s="66"/>
      <c r="Y1313" s="66"/>
      <c r="Z1313" s="66"/>
    </row>
    <row r="1314">
      <c r="A1314" s="66"/>
      <c r="B1314" s="66"/>
      <c r="C1314" s="66"/>
      <c r="D1314" s="66"/>
      <c r="E1314" s="66"/>
      <c r="F1314" s="66"/>
      <c r="G1314" s="66"/>
      <c r="H1314" s="66"/>
      <c r="I1314" s="66"/>
      <c r="J1314" s="66"/>
      <c r="K1314" s="66"/>
      <c r="L1314" s="66"/>
      <c r="M1314" s="66"/>
      <c r="N1314" s="66"/>
      <c r="O1314" s="66"/>
      <c r="P1314" s="66"/>
      <c r="Q1314" s="66"/>
      <c r="R1314" s="66"/>
      <c r="S1314" s="66"/>
      <c r="T1314" s="66"/>
      <c r="U1314" s="66"/>
      <c r="V1314" s="66"/>
      <c r="W1314" s="66"/>
      <c r="X1314" s="66"/>
      <c r="Y1314" s="66"/>
      <c r="Z1314" s="66"/>
    </row>
    <row r="1315">
      <c r="A1315" s="66"/>
      <c r="B1315" s="66"/>
      <c r="C1315" s="66"/>
      <c r="D1315" s="66"/>
      <c r="E1315" s="66"/>
      <c r="F1315" s="66"/>
      <c r="G1315" s="66"/>
      <c r="H1315" s="66"/>
      <c r="I1315" s="66"/>
      <c r="J1315" s="66"/>
      <c r="K1315" s="66"/>
      <c r="L1315" s="66"/>
      <c r="M1315" s="66"/>
      <c r="N1315" s="66"/>
      <c r="O1315" s="66"/>
      <c r="P1315" s="66"/>
      <c r="Q1315" s="66"/>
      <c r="R1315" s="66"/>
      <c r="S1315" s="66"/>
      <c r="T1315" s="66"/>
      <c r="U1315" s="66"/>
      <c r="V1315" s="66"/>
      <c r="W1315" s="66"/>
      <c r="X1315" s="66"/>
      <c r="Y1315" s="66"/>
      <c r="Z1315" s="66"/>
    </row>
    <row r="1316">
      <c r="A1316" s="66"/>
      <c r="B1316" s="66"/>
      <c r="C1316" s="66"/>
      <c r="D1316" s="66"/>
      <c r="E1316" s="66"/>
      <c r="F1316" s="66"/>
      <c r="G1316" s="66"/>
      <c r="H1316" s="66"/>
      <c r="I1316" s="66"/>
      <c r="J1316" s="66"/>
      <c r="K1316" s="66"/>
      <c r="L1316" s="66"/>
      <c r="M1316" s="66"/>
      <c r="N1316" s="66"/>
      <c r="O1316" s="66"/>
      <c r="P1316" s="66"/>
      <c r="Q1316" s="66"/>
      <c r="R1316" s="66"/>
      <c r="S1316" s="66"/>
      <c r="T1316" s="66"/>
      <c r="U1316" s="66"/>
      <c r="V1316" s="66"/>
      <c r="W1316" s="66"/>
      <c r="X1316" s="66"/>
      <c r="Y1316" s="66"/>
      <c r="Z1316" s="66"/>
    </row>
    <row r="1317">
      <c r="A1317" s="66"/>
      <c r="B1317" s="66"/>
      <c r="C1317" s="66"/>
      <c r="D1317" s="66"/>
      <c r="E1317" s="66"/>
      <c r="F1317" s="66"/>
      <c r="G1317" s="66"/>
      <c r="H1317" s="66"/>
      <c r="I1317" s="66"/>
      <c r="J1317" s="66"/>
      <c r="K1317" s="66"/>
      <c r="L1317" s="66"/>
      <c r="M1317" s="66"/>
      <c r="N1317" s="66"/>
      <c r="O1317" s="66"/>
      <c r="P1317" s="66"/>
      <c r="Q1317" s="66"/>
      <c r="R1317" s="66"/>
      <c r="S1317" s="66"/>
      <c r="T1317" s="66"/>
      <c r="U1317" s="66"/>
      <c r="V1317" s="66"/>
      <c r="W1317" s="66"/>
      <c r="X1317" s="66"/>
      <c r="Y1317" s="66"/>
      <c r="Z1317" s="66"/>
    </row>
    <row r="1318">
      <c r="A1318" s="66"/>
      <c r="B1318" s="66"/>
      <c r="C1318" s="66"/>
      <c r="D1318" s="66"/>
      <c r="E1318" s="66"/>
      <c r="F1318" s="66"/>
      <c r="G1318" s="66"/>
      <c r="H1318" s="66"/>
      <c r="I1318" s="66"/>
      <c r="J1318" s="66"/>
      <c r="K1318" s="66"/>
      <c r="L1318" s="66"/>
      <c r="M1318" s="66"/>
      <c r="N1318" s="66"/>
      <c r="O1318" s="66"/>
      <c r="P1318" s="66"/>
      <c r="Q1318" s="66"/>
      <c r="R1318" s="66"/>
      <c r="S1318" s="66"/>
      <c r="T1318" s="66"/>
      <c r="U1318" s="66"/>
      <c r="V1318" s="66"/>
      <c r="W1318" s="66"/>
      <c r="X1318" s="66"/>
      <c r="Y1318" s="66"/>
      <c r="Z1318" s="66"/>
    </row>
    <row r="1319">
      <c r="A1319" s="66"/>
      <c r="B1319" s="66"/>
      <c r="C1319" s="66"/>
      <c r="D1319" s="66"/>
      <c r="E1319" s="66"/>
      <c r="F1319" s="66"/>
      <c r="G1319" s="66"/>
      <c r="H1319" s="66"/>
      <c r="I1319" s="66"/>
      <c r="J1319" s="66"/>
      <c r="K1319" s="66"/>
      <c r="L1319" s="66"/>
      <c r="M1319" s="66"/>
      <c r="N1319" s="66"/>
      <c r="O1319" s="66"/>
      <c r="P1319" s="66"/>
      <c r="Q1319" s="66"/>
      <c r="R1319" s="66"/>
      <c r="S1319" s="66"/>
      <c r="T1319" s="66"/>
      <c r="U1319" s="66"/>
      <c r="V1319" s="66"/>
      <c r="W1319" s="66"/>
      <c r="X1319" s="66"/>
      <c r="Y1319" s="66"/>
      <c r="Z1319" s="66"/>
    </row>
    <row r="1320">
      <c r="A1320" s="66"/>
      <c r="B1320" s="66"/>
      <c r="C1320" s="66"/>
      <c r="D1320" s="66"/>
      <c r="E1320" s="66"/>
      <c r="F1320" s="66"/>
      <c r="G1320" s="66"/>
      <c r="H1320" s="66"/>
      <c r="I1320" s="66"/>
      <c r="J1320" s="66"/>
      <c r="K1320" s="66"/>
      <c r="L1320" s="66"/>
      <c r="M1320" s="66"/>
      <c r="N1320" s="66"/>
      <c r="O1320" s="66"/>
      <c r="P1320" s="66"/>
      <c r="Q1320" s="66"/>
      <c r="R1320" s="66"/>
      <c r="S1320" s="66"/>
      <c r="T1320" s="66"/>
      <c r="U1320" s="66"/>
      <c r="V1320" s="66"/>
      <c r="W1320" s="66"/>
      <c r="X1320" s="66"/>
      <c r="Y1320" s="66"/>
      <c r="Z1320" s="66"/>
    </row>
    <row r="1321">
      <c r="A1321" s="66"/>
      <c r="B1321" s="66"/>
      <c r="C1321" s="66"/>
      <c r="D1321" s="66"/>
      <c r="E1321" s="66"/>
      <c r="F1321" s="66"/>
      <c r="G1321" s="66"/>
      <c r="H1321" s="66"/>
      <c r="I1321" s="66"/>
      <c r="J1321" s="66"/>
      <c r="K1321" s="66"/>
      <c r="L1321" s="66"/>
      <c r="M1321" s="66"/>
      <c r="N1321" s="66"/>
      <c r="O1321" s="66"/>
      <c r="P1321" s="66"/>
      <c r="Q1321" s="66"/>
      <c r="R1321" s="66"/>
      <c r="S1321" s="66"/>
      <c r="T1321" s="66"/>
      <c r="U1321" s="66"/>
      <c r="V1321" s="66"/>
      <c r="W1321" s="66"/>
      <c r="X1321" s="66"/>
      <c r="Y1321" s="66"/>
      <c r="Z1321" s="66"/>
    </row>
    <row r="1322">
      <c r="A1322" s="66"/>
      <c r="B1322" s="66"/>
      <c r="C1322" s="66"/>
      <c r="D1322" s="66"/>
      <c r="E1322" s="66"/>
      <c r="F1322" s="66"/>
      <c r="G1322" s="66"/>
      <c r="H1322" s="66"/>
      <c r="I1322" s="66"/>
      <c r="J1322" s="66"/>
      <c r="K1322" s="66"/>
      <c r="L1322" s="66"/>
      <c r="M1322" s="66"/>
      <c r="N1322" s="66"/>
      <c r="O1322" s="66"/>
      <c r="P1322" s="66"/>
      <c r="Q1322" s="66"/>
      <c r="R1322" s="66"/>
      <c r="S1322" s="66"/>
      <c r="T1322" s="66"/>
      <c r="U1322" s="66"/>
      <c r="V1322" s="66"/>
      <c r="W1322" s="66"/>
      <c r="X1322" s="66"/>
      <c r="Y1322" s="66"/>
      <c r="Z1322" s="66"/>
    </row>
    <row r="1323">
      <c r="A1323" s="66"/>
      <c r="B1323" s="66"/>
      <c r="C1323" s="66"/>
      <c r="D1323" s="66"/>
      <c r="E1323" s="66"/>
      <c r="F1323" s="66"/>
      <c r="G1323" s="66"/>
      <c r="H1323" s="66"/>
      <c r="I1323" s="66"/>
      <c r="J1323" s="66"/>
      <c r="K1323" s="66"/>
      <c r="L1323" s="66"/>
      <c r="M1323" s="66"/>
      <c r="N1323" s="66"/>
      <c r="O1323" s="66"/>
      <c r="P1323" s="66"/>
      <c r="Q1323" s="66"/>
      <c r="R1323" s="66"/>
      <c r="S1323" s="66"/>
      <c r="T1323" s="66"/>
      <c r="U1323" s="66"/>
      <c r="V1323" s="66"/>
      <c r="W1323" s="66"/>
      <c r="X1323" s="66"/>
      <c r="Y1323" s="66"/>
      <c r="Z1323" s="66"/>
    </row>
    <row r="1324">
      <c r="A1324" s="66"/>
      <c r="B1324" s="66"/>
      <c r="C1324" s="66"/>
      <c r="D1324" s="66"/>
      <c r="E1324" s="66"/>
      <c r="F1324" s="66"/>
      <c r="G1324" s="66"/>
      <c r="H1324" s="66"/>
      <c r="I1324" s="66"/>
      <c r="J1324" s="66"/>
      <c r="K1324" s="66"/>
      <c r="L1324" s="66"/>
      <c r="M1324" s="66"/>
      <c r="N1324" s="66"/>
      <c r="O1324" s="66"/>
      <c r="P1324" s="66"/>
      <c r="Q1324" s="66"/>
      <c r="R1324" s="66"/>
      <c r="S1324" s="66"/>
      <c r="T1324" s="66"/>
      <c r="U1324" s="66"/>
      <c r="V1324" s="66"/>
      <c r="W1324" s="66"/>
      <c r="X1324" s="66"/>
      <c r="Y1324" s="66"/>
      <c r="Z1324" s="66"/>
    </row>
    <row r="1325">
      <c r="A1325" s="66"/>
      <c r="B1325" s="66"/>
      <c r="C1325" s="66"/>
      <c r="D1325" s="66"/>
      <c r="E1325" s="66"/>
      <c r="F1325" s="66"/>
      <c r="G1325" s="66"/>
      <c r="H1325" s="66"/>
      <c r="I1325" s="66"/>
      <c r="J1325" s="66"/>
      <c r="K1325" s="66"/>
      <c r="L1325" s="66"/>
      <c r="M1325" s="66"/>
      <c r="N1325" s="66"/>
      <c r="O1325" s="66"/>
      <c r="P1325" s="66"/>
      <c r="Q1325" s="66"/>
      <c r="R1325" s="66"/>
      <c r="S1325" s="66"/>
      <c r="T1325" s="66"/>
      <c r="U1325" s="66"/>
      <c r="V1325" s="66"/>
      <c r="W1325" s="66"/>
      <c r="X1325" s="66"/>
      <c r="Y1325" s="66"/>
      <c r="Z1325" s="66"/>
    </row>
    <row r="1326">
      <c r="A1326" s="66"/>
      <c r="B1326" s="66"/>
      <c r="C1326" s="66"/>
      <c r="D1326" s="66"/>
      <c r="E1326" s="66"/>
      <c r="F1326" s="66"/>
      <c r="G1326" s="66"/>
      <c r="H1326" s="66"/>
      <c r="I1326" s="66"/>
      <c r="J1326" s="66"/>
      <c r="K1326" s="66"/>
      <c r="L1326" s="66"/>
      <c r="M1326" s="66"/>
      <c r="N1326" s="66"/>
      <c r="O1326" s="66"/>
      <c r="P1326" s="66"/>
      <c r="Q1326" s="66"/>
      <c r="R1326" s="66"/>
      <c r="S1326" s="66"/>
      <c r="T1326" s="66"/>
      <c r="U1326" s="66"/>
      <c r="V1326" s="66"/>
      <c r="W1326" s="66"/>
      <c r="X1326" s="66"/>
      <c r="Y1326" s="66"/>
      <c r="Z1326" s="66"/>
    </row>
    <row r="1327">
      <c r="A1327" s="66"/>
      <c r="B1327" s="66"/>
      <c r="C1327" s="66"/>
      <c r="D1327" s="66"/>
      <c r="E1327" s="66"/>
      <c r="F1327" s="66"/>
      <c r="G1327" s="66"/>
      <c r="H1327" s="66"/>
      <c r="I1327" s="66"/>
      <c r="J1327" s="66"/>
      <c r="K1327" s="66"/>
      <c r="L1327" s="66"/>
      <c r="M1327" s="66"/>
      <c r="N1327" s="66"/>
      <c r="O1327" s="66"/>
      <c r="P1327" s="66"/>
      <c r="Q1327" s="66"/>
      <c r="R1327" s="66"/>
      <c r="S1327" s="66"/>
      <c r="T1327" s="66"/>
      <c r="U1327" s="66"/>
      <c r="V1327" s="66"/>
      <c r="W1327" s="66"/>
      <c r="X1327" s="66"/>
      <c r="Y1327" s="66"/>
      <c r="Z1327" s="66"/>
    </row>
    <row r="1328">
      <c r="A1328" s="66"/>
      <c r="B1328" s="66"/>
      <c r="C1328" s="66"/>
      <c r="D1328" s="66"/>
      <c r="E1328" s="66"/>
      <c r="F1328" s="66"/>
      <c r="G1328" s="66"/>
      <c r="H1328" s="66"/>
      <c r="I1328" s="66"/>
      <c r="J1328" s="66"/>
      <c r="K1328" s="66"/>
      <c r="L1328" s="66"/>
      <c r="M1328" s="66"/>
      <c r="N1328" s="66"/>
      <c r="O1328" s="66"/>
      <c r="P1328" s="66"/>
      <c r="Q1328" s="66"/>
      <c r="R1328" s="66"/>
      <c r="S1328" s="66"/>
      <c r="T1328" s="66"/>
      <c r="U1328" s="66"/>
      <c r="V1328" s="66"/>
      <c r="W1328" s="66"/>
      <c r="X1328" s="66"/>
      <c r="Y1328" s="66"/>
      <c r="Z1328" s="66"/>
    </row>
    <row r="1329">
      <c r="A1329" s="66"/>
      <c r="B1329" s="66"/>
      <c r="C1329" s="66"/>
      <c r="D1329" s="66"/>
      <c r="E1329" s="66"/>
      <c r="F1329" s="66"/>
      <c r="G1329" s="66"/>
      <c r="H1329" s="66"/>
      <c r="I1329" s="66"/>
      <c r="J1329" s="66"/>
      <c r="K1329" s="66"/>
      <c r="L1329" s="66"/>
      <c r="M1329" s="66"/>
      <c r="N1329" s="66"/>
      <c r="O1329" s="66"/>
      <c r="P1329" s="66"/>
      <c r="Q1329" s="66"/>
      <c r="R1329" s="66"/>
      <c r="S1329" s="66"/>
      <c r="T1329" s="66"/>
      <c r="U1329" s="66"/>
      <c r="V1329" s="66"/>
      <c r="W1329" s="66"/>
      <c r="X1329" s="66"/>
      <c r="Y1329" s="66"/>
      <c r="Z1329" s="66"/>
    </row>
    <row r="1330">
      <c r="A1330" s="66"/>
      <c r="B1330" s="66"/>
      <c r="C1330" s="66"/>
      <c r="D1330" s="66"/>
      <c r="E1330" s="66"/>
      <c r="F1330" s="66"/>
      <c r="G1330" s="66"/>
      <c r="H1330" s="66"/>
      <c r="I1330" s="66"/>
      <c r="J1330" s="66"/>
      <c r="K1330" s="66"/>
      <c r="L1330" s="66"/>
      <c r="M1330" s="66"/>
      <c r="N1330" s="66"/>
      <c r="O1330" s="66"/>
      <c r="P1330" s="66"/>
      <c r="Q1330" s="66"/>
      <c r="R1330" s="66"/>
      <c r="S1330" s="66"/>
      <c r="T1330" s="66"/>
      <c r="U1330" s="66"/>
      <c r="V1330" s="66"/>
      <c r="W1330" s="66"/>
      <c r="X1330" s="66"/>
      <c r="Y1330" s="66"/>
      <c r="Z1330" s="66"/>
    </row>
    <row r="1331">
      <c r="A1331" s="66"/>
      <c r="B1331" s="66"/>
      <c r="C1331" s="66"/>
      <c r="D1331" s="66"/>
      <c r="E1331" s="66"/>
      <c r="F1331" s="66"/>
      <c r="G1331" s="66"/>
      <c r="H1331" s="66"/>
      <c r="I1331" s="66"/>
      <c r="J1331" s="66"/>
      <c r="K1331" s="66"/>
      <c r="L1331" s="66"/>
      <c r="M1331" s="66"/>
      <c r="N1331" s="66"/>
      <c r="O1331" s="66"/>
      <c r="P1331" s="66"/>
      <c r="Q1331" s="66"/>
      <c r="R1331" s="66"/>
      <c r="S1331" s="66"/>
      <c r="T1331" s="66"/>
      <c r="U1331" s="66"/>
      <c r="V1331" s="66"/>
      <c r="W1331" s="66"/>
      <c r="X1331" s="66"/>
      <c r="Y1331" s="66"/>
      <c r="Z1331" s="66"/>
    </row>
    <row r="1332">
      <c r="A1332" s="66"/>
      <c r="B1332" s="66"/>
      <c r="C1332" s="66"/>
      <c r="D1332" s="66"/>
      <c r="E1332" s="66"/>
      <c r="F1332" s="66"/>
      <c r="G1332" s="66"/>
      <c r="H1332" s="66"/>
      <c r="I1332" s="66"/>
      <c r="J1332" s="66"/>
      <c r="K1332" s="66"/>
      <c r="L1332" s="66"/>
      <c r="M1332" s="66"/>
      <c r="N1332" s="66"/>
      <c r="O1332" s="66"/>
      <c r="P1332" s="66"/>
      <c r="Q1332" s="66"/>
      <c r="R1332" s="66"/>
      <c r="S1332" s="66"/>
      <c r="T1332" s="66"/>
      <c r="U1332" s="66"/>
      <c r="V1332" s="66"/>
      <c r="W1332" s="66"/>
      <c r="X1332" s="66"/>
      <c r="Y1332" s="66"/>
      <c r="Z1332" s="66"/>
    </row>
    <row r="1333">
      <c r="A1333" s="66"/>
      <c r="B1333" s="66"/>
      <c r="C1333" s="66"/>
      <c r="D1333" s="66"/>
      <c r="E1333" s="66"/>
      <c r="F1333" s="66"/>
      <c r="G1333" s="66"/>
      <c r="H1333" s="66"/>
      <c r="I1333" s="66"/>
      <c r="J1333" s="66"/>
      <c r="K1333" s="66"/>
      <c r="L1333" s="66"/>
      <c r="M1333" s="66"/>
      <c r="N1333" s="66"/>
      <c r="O1333" s="66"/>
      <c r="P1333" s="66"/>
      <c r="Q1333" s="66"/>
      <c r="R1333" s="66"/>
      <c r="S1333" s="66"/>
      <c r="T1333" s="66"/>
      <c r="U1333" s="66"/>
      <c r="V1333" s="66"/>
      <c r="W1333" s="66"/>
      <c r="X1333" s="66"/>
      <c r="Y1333" s="66"/>
      <c r="Z1333" s="66"/>
    </row>
    <row r="1334">
      <c r="A1334" s="66"/>
      <c r="B1334" s="66"/>
      <c r="C1334" s="66"/>
      <c r="D1334" s="66"/>
      <c r="E1334" s="66"/>
      <c r="F1334" s="66"/>
      <c r="G1334" s="66"/>
      <c r="H1334" s="66"/>
      <c r="I1334" s="66"/>
      <c r="J1334" s="66"/>
      <c r="K1334" s="66"/>
      <c r="L1334" s="66"/>
      <c r="M1334" s="66"/>
      <c r="N1334" s="66"/>
      <c r="O1334" s="66"/>
      <c r="P1334" s="66"/>
      <c r="Q1334" s="66"/>
      <c r="R1334" s="66"/>
      <c r="S1334" s="66"/>
      <c r="T1334" s="66"/>
      <c r="U1334" s="66"/>
      <c r="V1334" s="66"/>
      <c r="W1334" s="66"/>
      <c r="X1334" s="66"/>
      <c r="Y1334" s="66"/>
      <c r="Z1334" s="66"/>
    </row>
    <row r="1335">
      <c r="A1335" s="66"/>
      <c r="B1335" s="66"/>
      <c r="C1335" s="66"/>
      <c r="D1335" s="66"/>
      <c r="E1335" s="66"/>
      <c r="F1335" s="66"/>
      <c r="G1335" s="66"/>
      <c r="H1335" s="66"/>
      <c r="I1335" s="66"/>
      <c r="J1335" s="66"/>
      <c r="K1335" s="66"/>
      <c r="L1335" s="66"/>
      <c r="M1335" s="66"/>
      <c r="N1335" s="66"/>
      <c r="O1335" s="66"/>
      <c r="P1335" s="66"/>
      <c r="Q1335" s="66"/>
      <c r="R1335" s="66"/>
      <c r="S1335" s="66"/>
      <c r="T1335" s="66"/>
      <c r="U1335" s="66"/>
      <c r="V1335" s="66"/>
      <c r="W1335" s="66"/>
      <c r="X1335" s="66"/>
      <c r="Y1335" s="66"/>
      <c r="Z1335" s="66"/>
    </row>
    <row r="1336">
      <c r="A1336" s="66"/>
      <c r="B1336" s="66"/>
      <c r="C1336" s="66"/>
      <c r="D1336" s="66"/>
      <c r="E1336" s="66"/>
      <c r="F1336" s="66"/>
      <c r="G1336" s="66"/>
      <c r="H1336" s="66"/>
      <c r="I1336" s="66"/>
      <c r="J1336" s="66"/>
      <c r="K1336" s="66"/>
      <c r="L1336" s="66"/>
      <c r="M1336" s="66"/>
      <c r="N1336" s="66"/>
      <c r="O1336" s="66"/>
      <c r="P1336" s="66"/>
      <c r="Q1336" s="66"/>
      <c r="R1336" s="66"/>
      <c r="S1336" s="66"/>
      <c r="T1336" s="66"/>
      <c r="U1336" s="66"/>
      <c r="V1336" s="66"/>
      <c r="W1336" s="66"/>
      <c r="X1336" s="66"/>
      <c r="Y1336" s="66"/>
      <c r="Z1336" s="66"/>
    </row>
    <row r="1337">
      <c r="A1337" s="66"/>
      <c r="B1337" s="66"/>
      <c r="C1337" s="66"/>
      <c r="D1337" s="66"/>
      <c r="E1337" s="66"/>
      <c r="F1337" s="66"/>
      <c r="G1337" s="66"/>
      <c r="H1337" s="66"/>
      <c r="I1337" s="66"/>
      <c r="J1337" s="66"/>
      <c r="K1337" s="66"/>
      <c r="L1337" s="66"/>
      <c r="M1337" s="66"/>
      <c r="N1337" s="66"/>
      <c r="O1337" s="66"/>
      <c r="P1337" s="66"/>
      <c r="Q1337" s="66"/>
      <c r="R1337" s="66"/>
      <c r="S1337" s="66"/>
      <c r="T1337" s="66"/>
      <c r="U1337" s="66"/>
      <c r="V1337" s="66"/>
      <c r="W1337" s="66"/>
      <c r="X1337" s="66"/>
      <c r="Y1337" s="66"/>
      <c r="Z1337" s="66"/>
    </row>
    <row r="1338">
      <c r="A1338" s="66"/>
      <c r="B1338" s="66"/>
      <c r="C1338" s="66"/>
      <c r="D1338" s="66"/>
      <c r="E1338" s="66"/>
      <c r="F1338" s="66"/>
      <c r="G1338" s="66"/>
      <c r="H1338" s="66"/>
      <c r="I1338" s="66"/>
      <c r="J1338" s="66"/>
      <c r="K1338" s="66"/>
      <c r="L1338" s="66"/>
      <c r="M1338" s="66"/>
      <c r="N1338" s="66"/>
      <c r="O1338" s="66"/>
      <c r="P1338" s="66"/>
      <c r="Q1338" s="66"/>
      <c r="R1338" s="66"/>
      <c r="S1338" s="66"/>
      <c r="T1338" s="66"/>
      <c r="U1338" s="66"/>
      <c r="V1338" s="66"/>
      <c r="W1338" s="66"/>
      <c r="X1338" s="66"/>
      <c r="Y1338" s="66"/>
      <c r="Z1338" s="66"/>
    </row>
    <row r="1339">
      <c r="A1339" s="66"/>
      <c r="B1339" s="66"/>
      <c r="C1339" s="66"/>
      <c r="D1339" s="66"/>
      <c r="E1339" s="66"/>
      <c r="F1339" s="66"/>
      <c r="G1339" s="66"/>
      <c r="H1339" s="66"/>
      <c r="I1339" s="66"/>
      <c r="J1339" s="66"/>
      <c r="K1339" s="66"/>
      <c r="L1339" s="66"/>
      <c r="M1339" s="66"/>
      <c r="N1339" s="66"/>
      <c r="O1339" s="66"/>
      <c r="P1339" s="66"/>
      <c r="Q1339" s="66"/>
      <c r="R1339" s="66"/>
      <c r="S1339" s="66"/>
      <c r="T1339" s="66"/>
      <c r="U1339" s="66"/>
      <c r="V1339" s="66"/>
      <c r="W1339" s="66"/>
      <c r="X1339" s="66"/>
      <c r="Y1339" s="66"/>
      <c r="Z1339" s="66"/>
    </row>
    <row r="1340">
      <c r="A1340" s="66"/>
      <c r="B1340" s="66"/>
      <c r="C1340" s="66"/>
      <c r="D1340" s="66"/>
      <c r="E1340" s="66"/>
      <c r="F1340" s="66"/>
      <c r="G1340" s="66"/>
      <c r="H1340" s="66"/>
      <c r="I1340" s="66"/>
      <c r="J1340" s="66"/>
      <c r="K1340" s="66"/>
      <c r="L1340" s="66"/>
      <c r="M1340" s="66"/>
      <c r="N1340" s="66"/>
      <c r="O1340" s="66"/>
      <c r="P1340" s="66"/>
      <c r="Q1340" s="66"/>
      <c r="R1340" s="66"/>
      <c r="S1340" s="66"/>
      <c r="T1340" s="66"/>
      <c r="U1340" s="66"/>
      <c r="V1340" s="66"/>
      <c r="W1340" s="66"/>
      <c r="X1340" s="66"/>
      <c r="Y1340" s="66"/>
      <c r="Z1340" s="66"/>
    </row>
    <row r="1341">
      <c r="A1341" s="66"/>
      <c r="B1341" s="66"/>
      <c r="C1341" s="66"/>
      <c r="D1341" s="66"/>
      <c r="E1341" s="66"/>
      <c r="F1341" s="66"/>
      <c r="G1341" s="66"/>
      <c r="H1341" s="66"/>
      <c r="I1341" s="66"/>
      <c r="J1341" s="66"/>
      <c r="K1341" s="66"/>
      <c r="L1341" s="66"/>
      <c r="M1341" s="66"/>
      <c r="N1341" s="66"/>
      <c r="O1341" s="66"/>
      <c r="P1341" s="66"/>
      <c r="Q1341" s="66"/>
      <c r="R1341" s="66"/>
      <c r="S1341" s="66"/>
      <c r="T1341" s="66"/>
      <c r="U1341" s="66"/>
      <c r="V1341" s="66"/>
      <c r="W1341" s="66"/>
      <c r="X1341" s="66"/>
      <c r="Y1341" s="66"/>
      <c r="Z1341" s="66"/>
    </row>
    <row r="1342">
      <c r="A1342" s="66"/>
      <c r="B1342" s="66"/>
      <c r="C1342" s="66"/>
      <c r="D1342" s="66"/>
      <c r="E1342" s="66"/>
      <c r="F1342" s="66"/>
      <c r="G1342" s="66"/>
      <c r="H1342" s="66"/>
      <c r="I1342" s="66"/>
      <c r="J1342" s="66"/>
      <c r="K1342" s="66"/>
      <c r="L1342" s="66"/>
      <c r="M1342" s="66"/>
      <c r="N1342" s="66"/>
      <c r="O1342" s="66"/>
      <c r="P1342" s="66"/>
      <c r="Q1342" s="66"/>
      <c r="R1342" s="66"/>
      <c r="S1342" s="66"/>
      <c r="T1342" s="66"/>
      <c r="U1342" s="66"/>
      <c r="V1342" s="66"/>
      <c r="W1342" s="66"/>
      <c r="X1342" s="66"/>
      <c r="Y1342" s="66"/>
      <c r="Z1342" s="66"/>
    </row>
    <row r="1343">
      <c r="A1343" s="66"/>
      <c r="B1343" s="66"/>
      <c r="C1343" s="66"/>
      <c r="D1343" s="66"/>
      <c r="E1343" s="66"/>
      <c r="F1343" s="66"/>
      <c r="G1343" s="66"/>
      <c r="H1343" s="66"/>
      <c r="I1343" s="66"/>
      <c r="J1343" s="66"/>
      <c r="K1343" s="66"/>
      <c r="L1343" s="66"/>
      <c r="M1343" s="66"/>
      <c r="N1343" s="66"/>
      <c r="O1343" s="66"/>
      <c r="P1343" s="66"/>
      <c r="Q1343" s="66"/>
      <c r="R1343" s="66"/>
      <c r="S1343" s="66"/>
      <c r="T1343" s="66"/>
      <c r="U1343" s="66"/>
      <c r="V1343" s="66"/>
      <c r="W1343" s="66"/>
      <c r="X1343" s="66"/>
      <c r="Y1343" s="66"/>
      <c r="Z1343" s="66"/>
    </row>
    <row r="1344">
      <c r="A1344" s="66"/>
      <c r="B1344" s="66"/>
      <c r="C1344" s="66"/>
      <c r="D1344" s="66"/>
      <c r="E1344" s="66"/>
      <c r="F1344" s="66"/>
      <c r="G1344" s="66"/>
      <c r="H1344" s="66"/>
      <c r="I1344" s="66"/>
      <c r="J1344" s="66"/>
      <c r="K1344" s="66"/>
      <c r="L1344" s="66"/>
      <c r="M1344" s="66"/>
      <c r="N1344" s="66"/>
      <c r="O1344" s="66"/>
      <c r="P1344" s="66"/>
      <c r="Q1344" s="66"/>
      <c r="R1344" s="66"/>
      <c r="S1344" s="66"/>
      <c r="T1344" s="66"/>
      <c r="U1344" s="66"/>
      <c r="V1344" s="66"/>
      <c r="W1344" s="66"/>
      <c r="X1344" s="66"/>
      <c r="Y1344" s="66"/>
      <c r="Z1344" s="66"/>
    </row>
    <row r="1345">
      <c r="A1345" s="66"/>
      <c r="B1345" s="66"/>
      <c r="C1345" s="66"/>
      <c r="D1345" s="66"/>
      <c r="E1345" s="66"/>
      <c r="F1345" s="66"/>
      <c r="G1345" s="66"/>
      <c r="H1345" s="66"/>
      <c r="I1345" s="66"/>
      <c r="J1345" s="66"/>
      <c r="K1345" s="66"/>
      <c r="L1345" s="66"/>
      <c r="M1345" s="66"/>
      <c r="N1345" s="66"/>
      <c r="O1345" s="66"/>
      <c r="P1345" s="66"/>
      <c r="Q1345" s="66"/>
      <c r="R1345" s="66"/>
      <c r="S1345" s="66"/>
      <c r="T1345" s="66"/>
      <c r="U1345" s="66"/>
      <c r="V1345" s="66"/>
      <c r="W1345" s="66"/>
      <c r="X1345" s="66"/>
      <c r="Y1345" s="66"/>
      <c r="Z1345" s="66"/>
    </row>
    <row r="1346">
      <c r="A1346" s="66"/>
      <c r="B1346" s="66"/>
      <c r="C1346" s="66"/>
      <c r="D1346" s="66"/>
      <c r="E1346" s="66"/>
      <c r="F1346" s="66"/>
      <c r="G1346" s="66"/>
      <c r="H1346" s="66"/>
      <c r="I1346" s="66"/>
      <c r="J1346" s="66"/>
      <c r="K1346" s="66"/>
      <c r="L1346" s="66"/>
      <c r="M1346" s="66"/>
      <c r="N1346" s="66"/>
      <c r="O1346" s="66"/>
      <c r="P1346" s="66"/>
      <c r="Q1346" s="66"/>
      <c r="R1346" s="66"/>
      <c r="S1346" s="66"/>
      <c r="T1346" s="66"/>
      <c r="U1346" s="66"/>
      <c r="V1346" s="66"/>
      <c r="W1346" s="66"/>
      <c r="X1346" s="66"/>
      <c r="Y1346" s="66"/>
      <c r="Z1346" s="66"/>
    </row>
    <row r="1347">
      <c r="A1347" s="66"/>
      <c r="B1347" s="66"/>
      <c r="C1347" s="66"/>
      <c r="D1347" s="66"/>
      <c r="E1347" s="66"/>
      <c r="F1347" s="66"/>
      <c r="G1347" s="66"/>
      <c r="H1347" s="66"/>
      <c r="I1347" s="66"/>
      <c r="J1347" s="66"/>
      <c r="K1347" s="66"/>
      <c r="L1347" s="66"/>
      <c r="M1347" s="66"/>
      <c r="N1347" s="66"/>
      <c r="O1347" s="66"/>
      <c r="P1347" s="66"/>
      <c r="Q1347" s="66"/>
      <c r="R1347" s="66"/>
      <c r="S1347" s="66"/>
      <c r="T1347" s="66"/>
      <c r="U1347" s="66"/>
      <c r="V1347" s="66"/>
      <c r="W1347" s="66"/>
      <c r="X1347" s="66"/>
      <c r="Y1347" s="66"/>
      <c r="Z1347" s="66"/>
    </row>
    <row r="1348">
      <c r="A1348" s="66"/>
      <c r="B1348" s="66"/>
      <c r="C1348" s="66"/>
      <c r="D1348" s="66"/>
      <c r="E1348" s="66"/>
      <c r="F1348" s="66"/>
      <c r="G1348" s="66"/>
      <c r="H1348" s="66"/>
      <c r="I1348" s="66"/>
      <c r="J1348" s="66"/>
      <c r="K1348" s="66"/>
      <c r="L1348" s="66"/>
      <c r="M1348" s="66"/>
      <c r="N1348" s="66"/>
      <c r="O1348" s="66"/>
      <c r="P1348" s="66"/>
      <c r="Q1348" s="66"/>
      <c r="R1348" s="66"/>
      <c r="S1348" s="66"/>
      <c r="T1348" s="66"/>
      <c r="U1348" s="66"/>
      <c r="V1348" s="66"/>
      <c r="W1348" s="66"/>
      <c r="X1348" s="66"/>
      <c r="Y1348" s="66"/>
      <c r="Z1348" s="66"/>
    </row>
    <row r="1349">
      <c r="A1349" s="66"/>
      <c r="B1349" s="66"/>
      <c r="C1349" s="66"/>
      <c r="D1349" s="66"/>
      <c r="E1349" s="66"/>
      <c r="F1349" s="66"/>
      <c r="G1349" s="66"/>
      <c r="H1349" s="66"/>
      <c r="I1349" s="66"/>
      <c r="J1349" s="66"/>
      <c r="K1349" s="66"/>
      <c r="L1349" s="66"/>
      <c r="M1349" s="66"/>
      <c r="N1349" s="66"/>
      <c r="O1349" s="66"/>
      <c r="P1349" s="66"/>
      <c r="Q1349" s="66"/>
      <c r="R1349" s="66"/>
      <c r="S1349" s="66"/>
      <c r="T1349" s="66"/>
      <c r="U1349" s="66"/>
      <c r="V1349" s="66"/>
      <c r="W1349" s="66"/>
      <c r="X1349" s="66"/>
      <c r="Y1349" s="66"/>
      <c r="Z1349" s="66"/>
    </row>
    <row r="1350">
      <c r="A1350" s="66"/>
      <c r="B1350" s="66"/>
      <c r="C1350" s="66"/>
      <c r="D1350" s="66"/>
      <c r="E1350" s="66"/>
      <c r="F1350" s="66"/>
      <c r="G1350" s="66"/>
      <c r="H1350" s="66"/>
      <c r="I1350" s="66"/>
      <c r="J1350" s="66"/>
      <c r="K1350" s="66"/>
      <c r="L1350" s="66"/>
      <c r="M1350" s="66"/>
      <c r="N1350" s="66"/>
      <c r="O1350" s="66"/>
      <c r="P1350" s="66"/>
      <c r="Q1350" s="66"/>
      <c r="R1350" s="66"/>
      <c r="S1350" s="66"/>
      <c r="T1350" s="66"/>
      <c r="U1350" s="66"/>
      <c r="V1350" s="66"/>
      <c r="W1350" s="66"/>
      <c r="X1350" s="66"/>
      <c r="Y1350" s="66"/>
      <c r="Z1350" s="66"/>
    </row>
    <row r="1351">
      <c r="A1351" s="66"/>
      <c r="B1351" s="66"/>
      <c r="C1351" s="66"/>
      <c r="D1351" s="66"/>
      <c r="E1351" s="66"/>
      <c r="F1351" s="66"/>
      <c r="G1351" s="66"/>
      <c r="H1351" s="66"/>
      <c r="I1351" s="66"/>
      <c r="J1351" s="66"/>
      <c r="K1351" s="66"/>
      <c r="L1351" s="66"/>
      <c r="M1351" s="66"/>
      <c r="N1351" s="66"/>
      <c r="O1351" s="66"/>
      <c r="P1351" s="66"/>
      <c r="Q1351" s="66"/>
      <c r="R1351" s="66"/>
      <c r="S1351" s="66"/>
      <c r="T1351" s="66"/>
      <c r="U1351" s="66"/>
      <c r="V1351" s="66"/>
      <c r="W1351" s="66"/>
      <c r="X1351" s="66"/>
      <c r="Y1351" s="66"/>
      <c r="Z1351" s="66"/>
    </row>
    <row r="1352">
      <c r="A1352" s="66"/>
      <c r="B1352" s="66"/>
      <c r="C1352" s="66"/>
      <c r="D1352" s="66"/>
      <c r="E1352" s="66"/>
      <c r="F1352" s="66"/>
      <c r="G1352" s="66"/>
      <c r="H1352" s="66"/>
      <c r="I1352" s="66"/>
      <c r="J1352" s="66"/>
      <c r="K1352" s="66"/>
      <c r="L1352" s="66"/>
      <c r="M1352" s="66"/>
      <c r="N1352" s="66"/>
      <c r="O1352" s="66"/>
      <c r="P1352" s="66"/>
      <c r="Q1352" s="66"/>
      <c r="R1352" s="66"/>
      <c r="S1352" s="66"/>
      <c r="T1352" s="66"/>
      <c r="U1352" s="66"/>
      <c r="V1352" s="66"/>
      <c r="W1352" s="66"/>
      <c r="X1352" s="66"/>
      <c r="Y1352" s="66"/>
      <c r="Z1352" s="66"/>
    </row>
    <row r="1353">
      <c r="A1353" s="66"/>
      <c r="B1353" s="66"/>
      <c r="C1353" s="66"/>
      <c r="D1353" s="66"/>
      <c r="E1353" s="66"/>
      <c r="F1353" s="66"/>
      <c r="G1353" s="66"/>
      <c r="H1353" s="66"/>
      <c r="I1353" s="66"/>
      <c r="J1353" s="66"/>
      <c r="K1353" s="66"/>
      <c r="L1353" s="66"/>
      <c r="M1353" s="66"/>
      <c r="N1353" s="66"/>
      <c r="O1353" s="66"/>
      <c r="P1353" s="66"/>
      <c r="Q1353" s="66"/>
      <c r="R1353" s="66"/>
      <c r="S1353" s="66"/>
      <c r="T1353" s="66"/>
      <c r="U1353" s="66"/>
      <c r="V1353" s="66"/>
      <c r="W1353" s="66"/>
      <c r="X1353" s="66"/>
      <c r="Y1353" s="66"/>
      <c r="Z1353" s="66"/>
    </row>
    <row r="1354">
      <c r="A1354" s="66"/>
      <c r="B1354" s="66"/>
      <c r="C1354" s="66"/>
      <c r="D1354" s="66"/>
      <c r="E1354" s="66"/>
      <c r="F1354" s="66"/>
      <c r="G1354" s="66"/>
      <c r="H1354" s="66"/>
      <c r="I1354" s="66"/>
      <c r="J1354" s="66"/>
      <c r="K1354" s="66"/>
      <c r="L1354" s="66"/>
      <c r="M1354" s="66"/>
      <c r="N1354" s="66"/>
      <c r="O1354" s="66"/>
      <c r="P1354" s="66"/>
      <c r="Q1354" s="66"/>
      <c r="R1354" s="66"/>
      <c r="S1354" s="66"/>
      <c r="T1354" s="66"/>
      <c r="U1354" s="66"/>
      <c r="V1354" s="66"/>
      <c r="W1354" s="66"/>
      <c r="X1354" s="66"/>
      <c r="Y1354" s="66"/>
      <c r="Z1354" s="66"/>
    </row>
    <row r="1355">
      <c r="A1355" s="66"/>
      <c r="B1355" s="66"/>
      <c r="C1355" s="66"/>
      <c r="D1355" s="66"/>
      <c r="E1355" s="66"/>
      <c r="F1355" s="66"/>
      <c r="G1355" s="66"/>
      <c r="H1355" s="66"/>
      <c r="I1355" s="66"/>
      <c r="J1355" s="66"/>
      <c r="K1355" s="66"/>
      <c r="L1355" s="66"/>
      <c r="M1355" s="66"/>
      <c r="N1355" s="66"/>
      <c r="O1355" s="66"/>
      <c r="P1355" s="66"/>
      <c r="Q1355" s="66"/>
      <c r="R1355" s="66"/>
      <c r="S1355" s="66"/>
      <c r="T1355" s="66"/>
      <c r="U1355" s="66"/>
      <c r="V1355" s="66"/>
      <c r="W1355" s="66"/>
      <c r="X1355" s="66"/>
      <c r="Y1355" s="66"/>
      <c r="Z1355" s="66"/>
    </row>
    <row r="1356">
      <c r="A1356" s="66"/>
      <c r="B1356" s="66"/>
      <c r="C1356" s="66"/>
      <c r="D1356" s="66"/>
      <c r="E1356" s="66"/>
      <c r="F1356" s="66"/>
      <c r="G1356" s="66"/>
      <c r="H1356" s="66"/>
      <c r="I1356" s="66"/>
      <c r="J1356" s="66"/>
      <c r="K1356" s="66"/>
      <c r="L1356" s="66"/>
      <c r="M1356" s="66"/>
      <c r="N1356" s="66"/>
      <c r="O1356" s="66"/>
      <c r="P1356" s="66"/>
      <c r="Q1356" s="66"/>
      <c r="R1356" s="66"/>
      <c r="S1356" s="66"/>
      <c r="T1356" s="66"/>
      <c r="U1356" s="66"/>
      <c r="V1356" s="66"/>
      <c r="W1356" s="66"/>
      <c r="X1356" s="66"/>
      <c r="Y1356" s="66"/>
      <c r="Z1356" s="66"/>
    </row>
    <row r="1357">
      <c r="A1357" s="66"/>
      <c r="B1357" s="66"/>
      <c r="C1357" s="66"/>
      <c r="D1357" s="66"/>
      <c r="E1357" s="66"/>
      <c r="F1357" s="66"/>
      <c r="G1357" s="66"/>
      <c r="H1357" s="66"/>
      <c r="I1357" s="66"/>
      <c r="J1357" s="66"/>
      <c r="K1357" s="66"/>
      <c r="L1357" s="66"/>
      <c r="M1357" s="66"/>
      <c r="N1357" s="66"/>
      <c r="O1357" s="66"/>
      <c r="P1357" s="66"/>
      <c r="Q1357" s="66"/>
      <c r="R1357" s="66"/>
      <c r="S1357" s="66"/>
      <c r="T1357" s="66"/>
      <c r="U1357" s="66"/>
      <c r="V1357" s="66"/>
      <c r="W1357" s="66"/>
      <c r="X1357" s="66"/>
      <c r="Y1357" s="66"/>
      <c r="Z1357" s="66"/>
    </row>
    <row r="1358">
      <c r="A1358" s="66"/>
      <c r="B1358" s="66"/>
      <c r="C1358" s="66"/>
      <c r="D1358" s="66"/>
      <c r="E1358" s="66"/>
      <c r="F1358" s="66"/>
      <c r="G1358" s="66"/>
      <c r="H1358" s="66"/>
      <c r="I1358" s="66"/>
      <c r="J1358" s="66"/>
      <c r="K1358" s="66"/>
      <c r="L1358" s="66"/>
      <c r="M1358" s="66"/>
      <c r="N1358" s="66"/>
      <c r="O1358" s="66"/>
      <c r="P1358" s="66"/>
      <c r="Q1358" s="66"/>
      <c r="R1358" s="66"/>
      <c r="S1358" s="66"/>
      <c r="T1358" s="66"/>
      <c r="U1358" s="66"/>
      <c r="V1358" s="66"/>
      <c r="W1358" s="66"/>
      <c r="X1358" s="66"/>
      <c r="Y1358" s="66"/>
      <c r="Z1358" s="66"/>
    </row>
    <row r="1359">
      <c r="A1359" s="66"/>
      <c r="B1359" s="66"/>
      <c r="C1359" s="66"/>
      <c r="D1359" s="66"/>
      <c r="E1359" s="66"/>
      <c r="F1359" s="66"/>
      <c r="G1359" s="66"/>
      <c r="H1359" s="66"/>
      <c r="I1359" s="66"/>
      <c r="J1359" s="66"/>
      <c r="K1359" s="66"/>
      <c r="L1359" s="66"/>
      <c r="M1359" s="66"/>
      <c r="N1359" s="66"/>
      <c r="O1359" s="66"/>
      <c r="P1359" s="66"/>
      <c r="Q1359" s="66"/>
      <c r="R1359" s="66"/>
      <c r="S1359" s="66"/>
      <c r="T1359" s="66"/>
      <c r="U1359" s="66"/>
      <c r="V1359" s="66"/>
      <c r="W1359" s="66"/>
      <c r="X1359" s="66"/>
      <c r="Y1359" s="66"/>
      <c r="Z1359" s="66"/>
    </row>
    <row r="1360">
      <c r="A1360" s="66"/>
      <c r="B1360" s="66"/>
      <c r="C1360" s="66"/>
      <c r="D1360" s="66"/>
      <c r="E1360" s="66"/>
      <c r="F1360" s="66"/>
      <c r="G1360" s="66"/>
      <c r="H1360" s="66"/>
      <c r="I1360" s="66"/>
      <c r="J1360" s="66"/>
      <c r="K1360" s="66"/>
      <c r="L1360" s="66"/>
      <c r="M1360" s="66"/>
      <c r="N1360" s="66"/>
      <c r="O1360" s="66"/>
      <c r="P1360" s="66"/>
      <c r="Q1360" s="66"/>
      <c r="R1360" s="66"/>
      <c r="S1360" s="66"/>
      <c r="T1360" s="66"/>
      <c r="U1360" s="66"/>
      <c r="V1360" s="66"/>
      <c r="W1360" s="66"/>
      <c r="X1360" s="66"/>
      <c r="Y1360" s="66"/>
      <c r="Z1360" s="66"/>
    </row>
    <row r="1361">
      <c r="A1361" s="66"/>
      <c r="B1361" s="66"/>
      <c r="C1361" s="66"/>
      <c r="D1361" s="66"/>
      <c r="E1361" s="66"/>
      <c r="F1361" s="66"/>
      <c r="G1361" s="66"/>
      <c r="H1361" s="66"/>
      <c r="I1361" s="66"/>
      <c r="J1361" s="66"/>
      <c r="K1361" s="66"/>
      <c r="L1361" s="66"/>
      <c r="M1361" s="66"/>
      <c r="N1361" s="66"/>
      <c r="O1361" s="66"/>
      <c r="P1361" s="66"/>
      <c r="Q1361" s="66"/>
      <c r="R1361" s="66"/>
      <c r="S1361" s="66"/>
      <c r="T1361" s="66"/>
      <c r="U1361" s="66"/>
      <c r="V1361" s="66"/>
      <c r="W1361" s="66"/>
      <c r="X1361" s="66"/>
      <c r="Y1361" s="66"/>
      <c r="Z1361" s="66"/>
    </row>
    <row r="1362">
      <c r="A1362" s="66"/>
      <c r="B1362" s="66"/>
      <c r="C1362" s="66"/>
      <c r="D1362" s="66"/>
      <c r="E1362" s="66"/>
      <c r="F1362" s="66"/>
      <c r="G1362" s="66"/>
      <c r="H1362" s="66"/>
      <c r="I1362" s="66"/>
      <c r="J1362" s="66"/>
      <c r="K1362" s="66"/>
      <c r="L1362" s="66"/>
      <c r="M1362" s="66"/>
      <c r="N1362" s="66"/>
      <c r="O1362" s="66"/>
      <c r="P1362" s="66"/>
      <c r="Q1362" s="66"/>
      <c r="R1362" s="66"/>
      <c r="S1362" s="66"/>
      <c r="T1362" s="66"/>
      <c r="U1362" s="66"/>
      <c r="V1362" s="66"/>
      <c r="W1362" s="66"/>
      <c r="X1362" s="66"/>
      <c r="Y1362" s="66"/>
      <c r="Z1362" s="66"/>
    </row>
    <row r="1363">
      <c r="A1363" s="66"/>
      <c r="B1363" s="66"/>
      <c r="C1363" s="66"/>
      <c r="D1363" s="66"/>
      <c r="E1363" s="66"/>
      <c r="F1363" s="66"/>
      <c r="G1363" s="66"/>
      <c r="H1363" s="66"/>
      <c r="I1363" s="66"/>
      <c r="J1363" s="66"/>
      <c r="K1363" s="66"/>
      <c r="L1363" s="66"/>
      <c r="M1363" s="66"/>
      <c r="N1363" s="66"/>
      <c r="O1363" s="66"/>
      <c r="P1363" s="66"/>
      <c r="Q1363" s="66"/>
      <c r="R1363" s="66"/>
      <c r="S1363" s="66"/>
      <c r="T1363" s="66"/>
      <c r="U1363" s="66"/>
      <c r="V1363" s="66"/>
      <c r="W1363" s="66"/>
      <c r="X1363" s="66"/>
      <c r="Y1363" s="66"/>
      <c r="Z1363" s="66"/>
    </row>
    <row r="1364">
      <c r="A1364" s="66"/>
      <c r="B1364" s="66"/>
      <c r="C1364" s="66"/>
      <c r="D1364" s="66"/>
      <c r="E1364" s="66"/>
      <c r="F1364" s="66"/>
      <c r="G1364" s="66"/>
      <c r="H1364" s="66"/>
      <c r="I1364" s="66"/>
      <c r="J1364" s="66"/>
      <c r="K1364" s="66"/>
      <c r="L1364" s="66"/>
      <c r="M1364" s="66"/>
      <c r="N1364" s="66"/>
      <c r="O1364" s="66"/>
      <c r="P1364" s="66"/>
      <c r="Q1364" s="66"/>
      <c r="R1364" s="66"/>
      <c r="S1364" s="66"/>
      <c r="T1364" s="66"/>
      <c r="U1364" s="66"/>
      <c r="V1364" s="66"/>
      <c r="W1364" s="66"/>
      <c r="X1364" s="66"/>
      <c r="Y1364" s="66"/>
      <c r="Z1364" s="66"/>
    </row>
    <row r="1365">
      <c r="A1365" s="66"/>
      <c r="B1365" s="66"/>
      <c r="C1365" s="66"/>
      <c r="D1365" s="66"/>
      <c r="E1365" s="66"/>
      <c r="F1365" s="66"/>
      <c r="G1365" s="66"/>
      <c r="H1365" s="66"/>
      <c r="I1365" s="66"/>
      <c r="J1365" s="66"/>
      <c r="K1365" s="66"/>
      <c r="L1365" s="66"/>
      <c r="M1365" s="66"/>
      <c r="N1365" s="66"/>
      <c r="O1365" s="66"/>
      <c r="P1365" s="66"/>
      <c r="Q1365" s="66"/>
      <c r="R1365" s="66"/>
      <c r="S1365" s="66"/>
      <c r="T1365" s="66"/>
      <c r="U1365" s="66"/>
      <c r="V1365" s="66"/>
      <c r="W1365" s="66"/>
      <c r="X1365" s="66"/>
      <c r="Y1365" s="66"/>
      <c r="Z1365" s="66"/>
    </row>
    <row r="1366">
      <c r="A1366" s="66"/>
      <c r="B1366" s="66"/>
      <c r="C1366" s="66"/>
      <c r="D1366" s="66"/>
      <c r="E1366" s="66"/>
      <c r="F1366" s="66"/>
      <c r="G1366" s="66"/>
      <c r="H1366" s="66"/>
      <c r="I1366" s="66"/>
      <c r="J1366" s="66"/>
      <c r="K1366" s="66"/>
      <c r="L1366" s="66"/>
      <c r="M1366" s="66"/>
      <c r="N1366" s="66"/>
      <c r="O1366" s="66"/>
      <c r="P1366" s="66"/>
      <c r="Q1366" s="66"/>
      <c r="R1366" s="66"/>
      <c r="S1366" s="66"/>
      <c r="T1366" s="66"/>
      <c r="U1366" s="66"/>
      <c r="V1366" s="66"/>
      <c r="W1366" s="66"/>
      <c r="X1366" s="66"/>
      <c r="Y1366" s="66"/>
      <c r="Z1366" s="66"/>
    </row>
    <row r="1367">
      <c r="A1367" s="66"/>
      <c r="B1367" s="66"/>
      <c r="C1367" s="66"/>
      <c r="D1367" s="66"/>
      <c r="E1367" s="66"/>
      <c r="F1367" s="66"/>
      <c r="G1367" s="66"/>
      <c r="H1367" s="66"/>
      <c r="I1367" s="66"/>
      <c r="J1367" s="66"/>
      <c r="K1367" s="66"/>
      <c r="L1367" s="66"/>
      <c r="M1367" s="66"/>
      <c r="N1367" s="66"/>
      <c r="O1367" s="66"/>
      <c r="P1367" s="66"/>
      <c r="Q1367" s="66"/>
      <c r="R1367" s="66"/>
      <c r="S1367" s="66"/>
      <c r="T1367" s="66"/>
      <c r="U1367" s="66"/>
      <c r="V1367" s="66"/>
      <c r="W1367" s="66"/>
      <c r="X1367" s="66"/>
      <c r="Y1367" s="66"/>
      <c r="Z1367" s="66"/>
    </row>
    <row r="1368">
      <c r="A1368" s="66"/>
      <c r="B1368" s="66"/>
      <c r="C1368" s="66"/>
      <c r="D1368" s="66"/>
      <c r="E1368" s="66"/>
      <c r="F1368" s="66"/>
      <c r="G1368" s="66"/>
      <c r="H1368" s="66"/>
      <c r="I1368" s="66"/>
      <c r="J1368" s="66"/>
      <c r="K1368" s="66"/>
      <c r="L1368" s="66"/>
      <c r="M1368" s="66"/>
      <c r="N1368" s="66"/>
      <c r="O1368" s="66"/>
      <c r="P1368" s="66"/>
      <c r="Q1368" s="66"/>
      <c r="R1368" s="66"/>
      <c r="S1368" s="66"/>
      <c r="T1368" s="66"/>
      <c r="U1368" s="66"/>
      <c r="V1368" s="66"/>
      <c r="W1368" s="66"/>
      <c r="X1368" s="66"/>
      <c r="Y1368" s="66"/>
      <c r="Z1368" s="66"/>
    </row>
    <row r="1369">
      <c r="A1369" s="66"/>
      <c r="B1369" s="66"/>
      <c r="C1369" s="66"/>
      <c r="D1369" s="66"/>
      <c r="E1369" s="66"/>
      <c r="F1369" s="66"/>
      <c r="G1369" s="66"/>
      <c r="H1369" s="66"/>
      <c r="I1369" s="66"/>
      <c r="J1369" s="66"/>
      <c r="K1369" s="66"/>
      <c r="L1369" s="66"/>
      <c r="M1369" s="66"/>
      <c r="N1369" s="66"/>
      <c r="O1369" s="66"/>
      <c r="P1369" s="66"/>
      <c r="Q1369" s="66"/>
      <c r="R1369" s="66"/>
      <c r="S1369" s="66"/>
      <c r="T1369" s="66"/>
      <c r="U1369" s="66"/>
      <c r="V1369" s="66"/>
      <c r="W1369" s="66"/>
      <c r="X1369" s="66"/>
      <c r="Y1369" s="66"/>
      <c r="Z1369" s="66"/>
    </row>
    <row r="1370">
      <c r="A1370" s="66"/>
      <c r="B1370" s="66"/>
      <c r="C1370" s="66"/>
      <c r="D1370" s="66"/>
      <c r="E1370" s="66"/>
      <c r="F1370" s="66"/>
      <c r="G1370" s="66"/>
      <c r="H1370" s="66"/>
      <c r="I1370" s="66"/>
      <c r="J1370" s="66"/>
      <c r="K1370" s="66"/>
      <c r="L1370" s="66"/>
      <c r="M1370" s="66"/>
      <c r="N1370" s="66"/>
      <c r="O1370" s="66"/>
      <c r="P1370" s="66"/>
      <c r="Q1370" s="66"/>
      <c r="R1370" s="66"/>
      <c r="S1370" s="66"/>
      <c r="T1370" s="66"/>
      <c r="U1370" s="66"/>
      <c r="V1370" s="66"/>
      <c r="W1370" s="66"/>
      <c r="X1370" s="66"/>
      <c r="Y1370" s="66"/>
      <c r="Z1370" s="66"/>
    </row>
    <row r="1371">
      <c r="A1371" s="66"/>
      <c r="B1371" s="66"/>
      <c r="C1371" s="66"/>
      <c r="D1371" s="66"/>
      <c r="E1371" s="66"/>
      <c r="F1371" s="66"/>
      <c r="G1371" s="66"/>
      <c r="H1371" s="66"/>
      <c r="I1371" s="66"/>
      <c r="J1371" s="66"/>
      <c r="K1371" s="66"/>
      <c r="L1371" s="66"/>
      <c r="M1371" s="66"/>
      <c r="N1371" s="66"/>
      <c r="O1371" s="66"/>
      <c r="P1371" s="66"/>
      <c r="Q1371" s="66"/>
      <c r="R1371" s="66"/>
      <c r="S1371" s="66"/>
      <c r="T1371" s="66"/>
      <c r="U1371" s="66"/>
      <c r="V1371" s="66"/>
      <c r="W1371" s="66"/>
      <c r="X1371" s="66"/>
      <c r="Y1371" s="66"/>
      <c r="Z1371" s="66"/>
    </row>
    <row r="1372">
      <c r="A1372" s="66"/>
      <c r="B1372" s="66"/>
      <c r="C1372" s="66"/>
      <c r="D1372" s="66"/>
      <c r="E1372" s="66"/>
      <c r="F1372" s="66"/>
      <c r="G1372" s="66"/>
      <c r="H1372" s="66"/>
      <c r="I1372" s="66"/>
      <c r="J1372" s="66"/>
      <c r="K1372" s="66"/>
      <c r="L1372" s="66"/>
      <c r="M1372" s="66"/>
      <c r="N1372" s="66"/>
      <c r="O1372" s="66"/>
      <c r="P1372" s="66"/>
      <c r="Q1372" s="66"/>
      <c r="R1372" s="66"/>
      <c r="S1372" s="66"/>
      <c r="T1372" s="66"/>
      <c r="U1372" s="66"/>
      <c r="V1372" s="66"/>
      <c r="W1372" s="66"/>
      <c r="X1372" s="66"/>
      <c r="Y1372" s="66"/>
      <c r="Z1372" s="66"/>
    </row>
    <row r="1373">
      <c r="A1373" s="66"/>
      <c r="B1373" s="66"/>
      <c r="C1373" s="66"/>
      <c r="D1373" s="66"/>
      <c r="E1373" s="66"/>
      <c r="F1373" s="66"/>
      <c r="G1373" s="66"/>
      <c r="H1373" s="66"/>
      <c r="I1373" s="66"/>
      <c r="J1373" s="66"/>
      <c r="K1373" s="66"/>
      <c r="L1373" s="66"/>
      <c r="M1373" s="66"/>
      <c r="N1373" s="66"/>
      <c r="O1373" s="66"/>
      <c r="P1373" s="66"/>
      <c r="Q1373" s="66"/>
      <c r="R1373" s="66"/>
      <c r="S1373" s="66"/>
      <c r="T1373" s="66"/>
      <c r="U1373" s="66"/>
      <c r="V1373" s="66"/>
      <c r="W1373" s="66"/>
      <c r="X1373" s="66"/>
      <c r="Y1373" s="66"/>
      <c r="Z1373" s="66"/>
    </row>
    <row r="1374">
      <c r="A1374" s="66"/>
      <c r="B1374" s="66"/>
      <c r="C1374" s="66"/>
      <c r="D1374" s="66"/>
      <c r="E1374" s="66"/>
      <c r="F1374" s="66"/>
      <c r="G1374" s="66"/>
      <c r="H1374" s="66"/>
      <c r="I1374" s="66"/>
      <c r="J1374" s="66"/>
      <c r="K1374" s="66"/>
      <c r="L1374" s="66"/>
      <c r="M1374" s="66"/>
      <c r="N1374" s="66"/>
      <c r="O1374" s="66"/>
      <c r="P1374" s="66"/>
      <c r="Q1374" s="66"/>
      <c r="R1374" s="66"/>
      <c r="S1374" s="66"/>
      <c r="T1374" s="66"/>
      <c r="U1374" s="66"/>
      <c r="V1374" s="66"/>
      <c r="W1374" s="66"/>
      <c r="X1374" s="66"/>
      <c r="Y1374" s="66"/>
      <c r="Z1374" s="66"/>
    </row>
    <row r="1375">
      <c r="A1375" s="66"/>
      <c r="B1375" s="66"/>
      <c r="C1375" s="66"/>
      <c r="D1375" s="66"/>
      <c r="E1375" s="66"/>
      <c r="F1375" s="66"/>
      <c r="G1375" s="66"/>
      <c r="H1375" s="66"/>
      <c r="I1375" s="66"/>
      <c r="J1375" s="66"/>
      <c r="K1375" s="66"/>
      <c r="L1375" s="66"/>
      <c r="M1375" s="66"/>
      <c r="N1375" s="66"/>
      <c r="O1375" s="66"/>
      <c r="P1375" s="66"/>
      <c r="Q1375" s="66"/>
      <c r="R1375" s="66"/>
      <c r="S1375" s="66"/>
      <c r="T1375" s="66"/>
      <c r="U1375" s="66"/>
      <c r="V1375" s="66"/>
      <c r="W1375" s="66"/>
      <c r="X1375" s="66"/>
      <c r="Y1375" s="66"/>
      <c r="Z1375" s="66"/>
    </row>
    <row r="1376">
      <c r="A1376" s="66"/>
      <c r="B1376" s="66"/>
      <c r="C1376" s="66"/>
      <c r="D1376" s="66"/>
      <c r="E1376" s="66"/>
      <c r="F1376" s="66"/>
      <c r="G1376" s="66"/>
      <c r="H1376" s="66"/>
      <c r="I1376" s="66"/>
      <c r="J1376" s="66"/>
      <c r="K1376" s="66"/>
      <c r="L1376" s="66"/>
      <c r="M1376" s="66"/>
      <c r="N1376" s="66"/>
      <c r="O1376" s="66"/>
      <c r="P1376" s="66"/>
      <c r="Q1376" s="66"/>
      <c r="R1376" s="66"/>
      <c r="S1376" s="66"/>
      <c r="T1376" s="66"/>
      <c r="U1376" s="66"/>
      <c r="V1376" s="66"/>
      <c r="W1376" s="66"/>
      <c r="X1376" s="66"/>
      <c r="Y1376" s="66"/>
      <c r="Z1376" s="66"/>
    </row>
    <row r="1377">
      <c r="A1377" s="66"/>
      <c r="B1377" s="66"/>
      <c r="C1377" s="66"/>
      <c r="D1377" s="66"/>
      <c r="E1377" s="66"/>
      <c r="F1377" s="66"/>
      <c r="G1377" s="66"/>
      <c r="H1377" s="66"/>
      <c r="I1377" s="66"/>
      <c r="J1377" s="66"/>
      <c r="K1377" s="66"/>
      <c r="L1377" s="66"/>
      <c r="M1377" s="66"/>
      <c r="N1377" s="66"/>
      <c r="O1377" s="66"/>
      <c r="P1377" s="66"/>
      <c r="Q1377" s="66"/>
      <c r="R1377" s="66"/>
      <c r="S1377" s="66"/>
      <c r="T1377" s="66"/>
      <c r="U1377" s="66"/>
      <c r="V1377" s="66"/>
      <c r="W1377" s="66"/>
      <c r="X1377" s="66"/>
      <c r="Y1377" s="66"/>
      <c r="Z1377" s="66"/>
    </row>
    <row r="1378">
      <c r="A1378" s="66"/>
      <c r="B1378" s="66"/>
      <c r="C1378" s="66"/>
      <c r="D1378" s="66"/>
      <c r="E1378" s="66"/>
      <c r="F1378" s="66"/>
      <c r="G1378" s="66"/>
      <c r="H1378" s="66"/>
      <c r="I1378" s="66"/>
      <c r="J1378" s="66"/>
      <c r="K1378" s="66"/>
      <c r="L1378" s="66"/>
      <c r="M1378" s="66"/>
      <c r="N1378" s="66"/>
      <c r="O1378" s="66"/>
      <c r="P1378" s="66"/>
      <c r="Q1378" s="66"/>
      <c r="R1378" s="66"/>
      <c r="S1378" s="66"/>
      <c r="T1378" s="66"/>
      <c r="U1378" s="66"/>
      <c r="V1378" s="66"/>
      <c r="W1378" s="66"/>
      <c r="X1378" s="66"/>
      <c r="Y1378" s="66"/>
      <c r="Z1378" s="66"/>
    </row>
    <row r="1379">
      <c r="A1379" s="66"/>
      <c r="B1379" s="66"/>
      <c r="C1379" s="66"/>
      <c r="D1379" s="66"/>
      <c r="E1379" s="66"/>
      <c r="F1379" s="66"/>
      <c r="G1379" s="66"/>
      <c r="H1379" s="66"/>
      <c r="I1379" s="66"/>
      <c r="J1379" s="66"/>
      <c r="K1379" s="66"/>
      <c r="L1379" s="66"/>
      <c r="M1379" s="66"/>
      <c r="N1379" s="66"/>
      <c r="O1379" s="66"/>
      <c r="P1379" s="66"/>
      <c r="Q1379" s="66"/>
      <c r="R1379" s="66"/>
      <c r="S1379" s="66"/>
      <c r="T1379" s="66"/>
      <c r="U1379" s="66"/>
      <c r="V1379" s="66"/>
      <c r="W1379" s="66"/>
      <c r="X1379" s="66"/>
      <c r="Y1379" s="66"/>
      <c r="Z1379" s="66"/>
    </row>
    <row r="1380">
      <c r="A1380" s="66"/>
      <c r="B1380" s="66"/>
      <c r="C1380" s="66"/>
      <c r="D1380" s="66"/>
      <c r="E1380" s="66"/>
      <c r="F1380" s="66"/>
      <c r="G1380" s="66"/>
      <c r="H1380" s="66"/>
      <c r="I1380" s="66"/>
      <c r="J1380" s="66"/>
      <c r="K1380" s="66"/>
      <c r="L1380" s="66"/>
      <c r="M1380" s="66"/>
      <c r="N1380" s="66"/>
      <c r="O1380" s="66"/>
      <c r="P1380" s="66"/>
      <c r="Q1380" s="66"/>
      <c r="R1380" s="66"/>
      <c r="S1380" s="66"/>
      <c r="T1380" s="66"/>
      <c r="U1380" s="66"/>
      <c r="V1380" s="66"/>
      <c r="W1380" s="66"/>
      <c r="X1380" s="66"/>
      <c r="Y1380" s="66"/>
      <c r="Z1380" s="66"/>
    </row>
    <row r="1381">
      <c r="A1381" s="66"/>
      <c r="B1381" s="66"/>
      <c r="C1381" s="66"/>
      <c r="D1381" s="66"/>
      <c r="E1381" s="66"/>
      <c r="F1381" s="66"/>
      <c r="G1381" s="66"/>
      <c r="H1381" s="66"/>
      <c r="I1381" s="66"/>
      <c r="J1381" s="66"/>
      <c r="K1381" s="66"/>
      <c r="L1381" s="66"/>
      <c r="M1381" s="66"/>
      <c r="N1381" s="66"/>
      <c r="O1381" s="66"/>
      <c r="P1381" s="66"/>
      <c r="Q1381" s="66"/>
      <c r="R1381" s="66"/>
      <c r="S1381" s="66"/>
      <c r="T1381" s="66"/>
      <c r="U1381" s="66"/>
      <c r="V1381" s="66"/>
      <c r="W1381" s="66"/>
      <c r="X1381" s="66"/>
      <c r="Y1381" s="66"/>
      <c r="Z1381" s="66"/>
    </row>
    <row r="1382">
      <c r="A1382" s="66"/>
      <c r="B1382" s="66"/>
      <c r="C1382" s="66"/>
      <c r="D1382" s="66"/>
      <c r="E1382" s="66"/>
      <c r="F1382" s="66"/>
      <c r="G1382" s="66"/>
      <c r="H1382" s="66"/>
      <c r="I1382" s="66"/>
      <c r="J1382" s="66"/>
      <c r="K1382" s="66"/>
      <c r="L1382" s="66"/>
      <c r="M1382" s="66"/>
      <c r="N1382" s="66"/>
      <c r="O1382" s="66"/>
      <c r="P1382" s="66"/>
      <c r="Q1382" s="66"/>
      <c r="R1382" s="66"/>
      <c r="S1382" s="66"/>
      <c r="T1382" s="66"/>
      <c r="U1382" s="66"/>
      <c r="V1382" s="66"/>
      <c r="W1382" s="66"/>
      <c r="X1382" s="66"/>
      <c r="Y1382" s="66"/>
      <c r="Z1382" s="66"/>
    </row>
    <row r="1383">
      <c r="A1383" s="66"/>
      <c r="B1383" s="66"/>
      <c r="C1383" s="66"/>
      <c r="D1383" s="66"/>
      <c r="E1383" s="66"/>
      <c r="F1383" s="66"/>
      <c r="G1383" s="66"/>
      <c r="H1383" s="66"/>
      <c r="I1383" s="66"/>
      <c r="J1383" s="66"/>
      <c r="K1383" s="66"/>
      <c r="L1383" s="66"/>
      <c r="M1383" s="66"/>
      <c r="N1383" s="66"/>
      <c r="O1383" s="66"/>
      <c r="P1383" s="66"/>
      <c r="Q1383" s="66"/>
      <c r="R1383" s="66"/>
      <c r="S1383" s="66"/>
      <c r="T1383" s="66"/>
      <c r="U1383" s="66"/>
      <c r="V1383" s="66"/>
      <c r="W1383" s="66"/>
      <c r="X1383" s="66"/>
      <c r="Y1383" s="66"/>
      <c r="Z1383" s="66"/>
    </row>
    <row r="1384">
      <c r="A1384" s="66"/>
      <c r="B1384" s="66"/>
      <c r="C1384" s="66"/>
      <c r="D1384" s="66"/>
      <c r="E1384" s="66"/>
      <c r="F1384" s="66"/>
      <c r="G1384" s="66"/>
      <c r="H1384" s="66"/>
      <c r="I1384" s="66"/>
      <c r="J1384" s="66"/>
      <c r="K1384" s="66"/>
      <c r="L1384" s="66"/>
      <c r="M1384" s="66"/>
      <c r="N1384" s="66"/>
      <c r="O1384" s="66"/>
      <c r="P1384" s="66"/>
      <c r="Q1384" s="66"/>
      <c r="R1384" s="66"/>
      <c r="S1384" s="66"/>
      <c r="T1384" s="66"/>
      <c r="U1384" s="66"/>
      <c r="V1384" s="66"/>
      <c r="W1384" s="66"/>
      <c r="X1384" s="66"/>
      <c r="Y1384" s="66"/>
      <c r="Z1384" s="66"/>
    </row>
    <row r="1385">
      <c r="A1385" s="66"/>
      <c r="B1385" s="66"/>
      <c r="C1385" s="66"/>
      <c r="D1385" s="66"/>
      <c r="E1385" s="66"/>
      <c r="F1385" s="66"/>
      <c r="G1385" s="66"/>
      <c r="H1385" s="66"/>
      <c r="I1385" s="66"/>
      <c r="J1385" s="66"/>
      <c r="K1385" s="66"/>
      <c r="L1385" s="66"/>
      <c r="M1385" s="66"/>
      <c r="N1385" s="66"/>
      <c r="O1385" s="66"/>
      <c r="P1385" s="66"/>
      <c r="Q1385" s="66"/>
      <c r="R1385" s="66"/>
      <c r="S1385" s="66"/>
      <c r="T1385" s="66"/>
      <c r="U1385" s="66"/>
      <c r="V1385" s="66"/>
      <c r="W1385" s="66"/>
      <c r="X1385" s="66"/>
      <c r="Y1385" s="66"/>
      <c r="Z1385" s="66"/>
    </row>
    <row r="1386">
      <c r="A1386" s="66"/>
      <c r="B1386" s="66"/>
      <c r="C1386" s="66"/>
      <c r="D1386" s="66"/>
      <c r="E1386" s="66"/>
      <c r="F1386" s="66"/>
      <c r="G1386" s="66"/>
      <c r="H1386" s="66"/>
      <c r="I1386" s="66"/>
      <c r="J1386" s="66"/>
      <c r="K1386" s="66"/>
      <c r="L1386" s="66"/>
      <c r="M1386" s="66"/>
      <c r="N1386" s="66"/>
      <c r="O1386" s="66"/>
      <c r="P1386" s="66"/>
      <c r="Q1386" s="66"/>
      <c r="R1386" s="66"/>
      <c r="S1386" s="66"/>
      <c r="T1386" s="66"/>
      <c r="U1386" s="66"/>
      <c r="V1386" s="66"/>
      <c r="W1386" s="66"/>
      <c r="X1386" s="66"/>
      <c r="Y1386" s="66"/>
      <c r="Z1386" s="66"/>
    </row>
    <row r="1387">
      <c r="A1387" s="66"/>
      <c r="B1387" s="66"/>
      <c r="C1387" s="66"/>
      <c r="D1387" s="66"/>
      <c r="E1387" s="66"/>
      <c r="F1387" s="66"/>
      <c r="G1387" s="66"/>
      <c r="H1387" s="66"/>
      <c r="I1387" s="66"/>
      <c r="J1387" s="66"/>
      <c r="K1387" s="66"/>
      <c r="L1387" s="66"/>
      <c r="M1387" s="66"/>
      <c r="N1387" s="66"/>
      <c r="O1387" s="66"/>
      <c r="P1387" s="66"/>
      <c r="Q1387" s="66"/>
      <c r="R1387" s="66"/>
      <c r="S1387" s="66"/>
      <c r="T1387" s="66"/>
      <c r="U1387" s="66"/>
      <c r="V1387" s="66"/>
      <c r="W1387" s="66"/>
      <c r="X1387" s="66"/>
      <c r="Y1387" s="66"/>
      <c r="Z1387" s="66"/>
    </row>
    <row r="1388">
      <c r="A1388" s="66"/>
      <c r="B1388" s="66"/>
      <c r="C1388" s="66"/>
      <c r="D1388" s="66"/>
      <c r="E1388" s="66"/>
      <c r="F1388" s="66"/>
      <c r="G1388" s="66"/>
      <c r="H1388" s="66"/>
      <c r="I1388" s="66"/>
      <c r="J1388" s="66"/>
      <c r="K1388" s="66"/>
      <c r="L1388" s="66"/>
      <c r="M1388" s="66"/>
      <c r="N1388" s="66"/>
      <c r="O1388" s="66"/>
      <c r="P1388" s="66"/>
      <c r="Q1388" s="66"/>
      <c r="R1388" s="66"/>
      <c r="S1388" s="66"/>
      <c r="T1388" s="66"/>
      <c r="U1388" s="66"/>
      <c r="V1388" s="66"/>
      <c r="W1388" s="66"/>
      <c r="X1388" s="66"/>
      <c r="Y1388" s="66"/>
      <c r="Z1388" s="66"/>
    </row>
    <row r="1389">
      <c r="A1389" s="66"/>
      <c r="B1389" s="66"/>
      <c r="C1389" s="66"/>
      <c r="D1389" s="66"/>
      <c r="E1389" s="66"/>
      <c r="F1389" s="66"/>
      <c r="G1389" s="66"/>
      <c r="H1389" s="66"/>
      <c r="I1389" s="66"/>
      <c r="J1389" s="66"/>
      <c r="K1389" s="66"/>
      <c r="L1389" s="66"/>
      <c r="M1389" s="66"/>
      <c r="N1389" s="66"/>
      <c r="O1389" s="66"/>
      <c r="P1389" s="66"/>
      <c r="Q1389" s="66"/>
      <c r="R1389" s="66"/>
      <c r="S1389" s="66"/>
      <c r="T1389" s="66"/>
      <c r="U1389" s="66"/>
      <c r="V1389" s="66"/>
      <c r="W1389" s="66"/>
      <c r="X1389" s="66"/>
      <c r="Y1389" s="66"/>
      <c r="Z1389" s="66"/>
    </row>
    <row r="1390">
      <c r="A1390" s="66"/>
      <c r="B1390" s="66"/>
      <c r="C1390" s="66"/>
      <c r="D1390" s="66"/>
      <c r="E1390" s="66"/>
      <c r="F1390" s="66"/>
      <c r="G1390" s="66"/>
      <c r="H1390" s="66"/>
      <c r="I1390" s="66"/>
      <c r="J1390" s="66"/>
      <c r="K1390" s="66"/>
      <c r="L1390" s="66"/>
      <c r="M1390" s="66"/>
      <c r="N1390" s="66"/>
      <c r="O1390" s="66"/>
      <c r="P1390" s="66"/>
      <c r="Q1390" s="66"/>
      <c r="R1390" s="66"/>
      <c r="S1390" s="66"/>
      <c r="T1390" s="66"/>
      <c r="U1390" s="66"/>
      <c r="V1390" s="66"/>
      <c r="W1390" s="66"/>
      <c r="X1390" s="66"/>
      <c r="Y1390" s="66"/>
      <c r="Z1390" s="66"/>
    </row>
    <row r="1391">
      <c r="A1391" s="66"/>
      <c r="B1391" s="66"/>
      <c r="C1391" s="66"/>
      <c r="D1391" s="66"/>
      <c r="E1391" s="66"/>
      <c r="F1391" s="66"/>
      <c r="G1391" s="66"/>
      <c r="H1391" s="66"/>
      <c r="I1391" s="66"/>
      <c r="J1391" s="66"/>
      <c r="K1391" s="66"/>
      <c r="L1391" s="66"/>
      <c r="M1391" s="66"/>
      <c r="N1391" s="66"/>
      <c r="O1391" s="66"/>
      <c r="P1391" s="66"/>
      <c r="Q1391" s="66"/>
      <c r="R1391" s="66"/>
      <c r="S1391" s="66"/>
      <c r="T1391" s="66"/>
      <c r="U1391" s="66"/>
      <c r="V1391" s="66"/>
      <c r="W1391" s="66"/>
      <c r="X1391" s="66"/>
      <c r="Y1391" s="66"/>
      <c r="Z1391" s="66"/>
    </row>
    <row r="1392">
      <c r="A1392" s="66"/>
      <c r="B1392" s="66"/>
      <c r="C1392" s="66"/>
      <c r="D1392" s="66"/>
      <c r="E1392" s="66"/>
      <c r="F1392" s="66"/>
      <c r="G1392" s="66"/>
      <c r="H1392" s="66"/>
      <c r="I1392" s="66"/>
      <c r="J1392" s="66"/>
      <c r="K1392" s="66"/>
      <c r="L1392" s="66"/>
      <c r="M1392" s="66"/>
      <c r="N1392" s="66"/>
      <c r="O1392" s="66"/>
      <c r="P1392" s="66"/>
      <c r="Q1392" s="66"/>
      <c r="R1392" s="66"/>
      <c r="S1392" s="66"/>
      <c r="T1392" s="66"/>
      <c r="U1392" s="66"/>
      <c r="V1392" s="66"/>
      <c r="W1392" s="66"/>
      <c r="X1392" s="66"/>
      <c r="Y1392" s="66"/>
      <c r="Z1392" s="66"/>
    </row>
    <row r="1393">
      <c r="A1393" s="66"/>
      <c r="B1393" s="66"/>
      <c r="C1393" s="66"/>
      <c r="D1393" s="66"/>
      <c r="E1393" s="66"/>
      <c r="F1393" s="66"/>
      <c r="G1393" s="66"/>
      <c r="H1393" s="66"/>
      <c r="I1393" s="66"/>
      <c r="J1393" s="66"/>
      <c r="K1393" s="66"/>
      <c r="L1393" s="66"/>
      <c r="M1393" s="66"/>
      <c r="N1393" s="66"/>
      <c r="O1393" s="66"/>
      <c r="P1393" s="66"/>
      <c r="Q1393" s="66"/>
      <c r="R1393" s="66"/>
      <c r="S1393" s="66"/>
      <c r="T1393" s="66"/>
      <c r="U1393" s="66"/>
      <c r="V1393" s="66"/>
      <c r="W1393" s="66"/>
      <c r="X1393" s="66"/>
      <c r="Y1393" s="66"/>
      <c r="Z1393" s="66"/>
    </row>
    <row r="1394">
      <c r="A1394" s="66"/>
      <c r="B1394" s="66"/>
      <c r="C1394" s="66"/>
      <c r="D1394" s="66"/>
      <c r="E1394" s="66"/>
      <c r="F1394" s="66"/>
      <c r="G1394" s="66"/>
      <c r="H1394" s="66"/>
      <c r="I1394" s="66"/>
      <c r="J1394" s="66"/>
      <c r="K1394" s="66"/>
      <c r="L1394" s="66"/>
      <c r="M1394" s="66"/>
      <c r="N1394" s="66"/>
      <c r="O1394" s="66"/>
      <c r="P1394" s="66"/>
      <c r="Q1394" s="66"/>
      <c r="R1394" s="66"/>
      <c r="S1394" s="66"/>
      <c r="T1394" s="66"/>
      <c r="U1394" s="66"/>
      <c r="V1394" s="66"/>
      <c r="W1394" s="66"/>
      <c r="X1394" s="66"/>
      <c r="Y1394" s="66"/>
      <c r="Z1394" s="66"/>
    </row>
    <row r="1395">
      <c r="A1395" s="66"/>
      <c r="B1395" s="66"/>
      <c r="C1395" s="66"/>
      <c r="D1395" s="66"/>
      <c r="E1395" s="66"/>
      <c r="F1395" s="66"/>
      <c r="G1395" s="66"/>
      <c r="H1395" s="66"/>
      <c r="I1395" s="66"/>
      <c r="J1395" s="66"/>
      <c r="K1395" s="66"/>
      <c r="L1395" s="66"/>
      <c r="M1395" s="66"/>
      <c r="N1395" s="66"/>
      <c r="O1395" s="66"/>
      <c r="P1395" s="66"/>
      <c r="Q1395" s="66"/>
      <c r="R1395" s="66"/>
      <c r="S1395" s="66"/>
      <c r="T1395" s="66"/>
      <c r="U1395" s="66"/>
      <c r="V1395" s="66"/>
      <c r="W1395" s="66"/>
      <c r="X1395" s="66"/>
      <c r="Y1395" s="66"/>
      <c r="Z1395" s="66"/>
    </row>
    <row r="1396">
      <c r="A1396" s="66"/>
      <c r="B1396" s="66"/>
      <c r="C1396" s="66"/>
      <c r="D1396" s="66"/>
      <c r="E1396" s="66"/>
      <c r="F1396" s="66"/>
      <c r="G1396" s="66"/>
      <c r="H1396" s="66"/>
      <c r="I1396" s="66"/>
      <c r="J1396" s="66"/>
      <c r="K1396" s="66"/>
      <c r="L1396" s="66"/>
      <c r="M1396" s="66"/>
      <c r="N1396" s="66"/>
      <c r="O1396" s="66"/>
      <c r="P1396" s="66"/>
      <c r="Q1396" s="66"/>
      <c r="R1396" s="66"/>
      <c r="S1396" s="66"/>
      <c r="T1396" s="66"/>
      <c r="U1396" s="66"/>
      <c r="V1396" s="66"/>
      <c r="W1396" s="66"/>
      <c r="X1396" s="66"/>
      <c r="Y1396" s="66"/>
      <c r="Z1396" s="66"/>
    </row>
    <row r="1397">
      <c r="A1397" s="66"/>
      <c r="B1397" s="66"/>
      <c r="C1397" s="66"/>
      <c r="D1397" s="66"/>
      <c r="E1397" s="66"/>
      <c r="F1397" s="66"/>
      <c r="G1397" s="66"/>
      <c r="H1397" s="66"/>
      <c r="I1397" s="66"/>
      <c r="J1397" s="66"/>
      <c r="K1397" s="66"/>
      <c r="L1397" s="66"/>
      <c r="M1397" s="66"/>
      <c r="N1397" s="66"/>
      <c r="O1397" s="66"/>
      <c r="P1397" s="66"/>
      <c r="Q1397" s="66"/>
      <c r="R1397" s="66"/>
      <c r="S1397" s="66"/>
      <c r="T1397" s="66"/>
      <c r="U1397" s="66"/>
      <c r="V1397" s="66"/>
      <c r="W1397" s="66"/>
      <c r="X1397" s="66"/>
      <c r="Y1397" s="66"/>
      <c r="Z1397" s="66"/>
    </row>
    <row r="1398">
      <c r="A1398" s="66"/>
      <c r="B1398" s="66"/>
      <c r="C1398" s="66"/>
      <c r="D1398" s="66"/>
      <c r="E1398" s="66"/>
      <c r="F1398" s="66"/>
      <c r="G1398" s="66"/>
      <c r="H1398" s="66"/>
      <c r="I1398" s="66"/>
      <c r="J1398" s="66"/>
      <c r="K1398" s="66"/>
      <c r="L1398" s="66"/>
      <c r="M1398" s="66"/>
      <c r="N1398" s="66"/>
      <c r="O1398" s="66"/>
      <c r="P1398" s="66"/>
      <c r="Q1398" s="66"/>
      <c r="R1398" s="66"/>
      <c r="S1398" s="66"/>
      <c r="T1398" s="66"/>
      <c r="U1398" s="66"/>
      <c r="V1398" s="66"/>
      <c r="W1398" s="66"/>
      <c r="X1398" s="66"/>
      <c r="Y1398" s="66"/>
      <c r="Z1398" s="66"/>
    </row>
    <row r="1399">
      <c r="A1399" s="66"/>
      <c r="B1399" s="66"/>
      <c r="C1399" s="66"/>
      <c r="D1399" s="66"/>
      <c r="E1399" s="66"/>
      <c r="F1399" s="66"/>
      <c r="G1399" s="66"/>
      <c r="H1399" s="66"/>
      <c r="I1399" s="66"/>
      <c r="J1399" s="66"/>
      <c r="K1399" s="66"/>
      <c r="L1399" s="66"/>
      <c r="M1399" s="66"/>
      <c r="N1399" s="66"/>
      <c r="O1399" s="66"/>
      <c r="P1399" s="66"/>
      <c r="Q1399" s="66"/>
      <c r="R1399" s="66"/>
      <c r="S1399" s="66"/>
      <c r="T1399" s="66"/>
      <c r="U1399" s="66"/>
      <c r="V1399" s="66"/>
      <c r="W1399" s="66"/>
      <c r="X1399" s="66"/>
      <c r="Y1399" s="66"/>
      <c r="Z1399" s="66"/>
    </row>
    <row r="1400">
      <c r="A1400" s="66"/>
      <c r="B1400" s="66"/>
      <c r="C1400" s="66"/>
      <c r="D1400" s="66"/>
      <c r="E1400" s="66"/>
      <c r="F1400" s="66"/>
      <c r="G1400" s="66"/>
      <c r="H1400" s="66"/>
      <c r="I1400" s="66"/>
      <c r="J1400" s="66"/>
      <c r="K1400" s="66"/>
      <c r="L1400" s="66"/>
      <c r="M1400" s="66"/>
      <c r="N1400" s="66"/>
      <c r="O1400" s="66"/>
      <c r="P1400" s="66"/>
      <c r="Q1400" s="66"/>
      <c r="R1400" s="66"/>
      <c r="S1400" s="66"/>
      <c r="T1400" s="66"/>
      <c r="U1400" s="66"/>
      <c r="V1400" s="66"/>
      <c r="W1400" s="66"/>
      <c r="X1400" s="66"/>
      <c r="Y1400" s="66"/>
      <c r="Z1400" s="66"/>
    </row>
    <row r="1401">
      <c r="A1401" s="66"/>
      <c r="B1401" s="66"/>
      <c r="C1401" s="66"/>
      <c r="D1401" s="66"/>
      <c r="E1401" s="66"/>
      <c r="F1401" s="66"/>
      <c r="G1401" s="66"/>
      <c r="H1401" s="66"/>
      <c r="I1401" s="66"/>
      <c r="J1401" s="66"/>
      <c r="K1401" s="66"/>
      <c r="L1401" s="66"/>
      <c r="M1401" s="66"/>
      <c r="N1401" s="66"/>
      <c r="O1401" s="66"/>
      <c r="P1401" s="66"/>
      <c r="Q1401" s="66"/>
      <c r="R1401" s="66"/>
      <c r="S1401" s="66"/>
      <c r="T1401" s="66"/>
      <c r="U1401" s="66"/>
      <c r="V1401" s="66"/>
      <c r="W1401" s="66"/>
      <c r="X1401" s="66"/>
      <c r="Y1401" s="66"/>
      <c r="Z1401" s="66"/>
    </row>
    <row r="1402">
      <c r="A1402" s="66"/>
      <c r="B1402" s="66"/>
      <c r="C1402" s="66"/>
      <c r="D1402" s="66"/>
      <c r="E1402" s="66"/>
      <c r="F1402" s="66"/>
      <c r="G1402" s="66"/>
      <c r="H1402" s="66"/>
      <c r="I1402" s="66"/>
      <c r="J1402" s="66"/>
      <c r="K1402" s="66"/>
      <c r="L1402" s="66"/>
      <c r="M1402" s="66"/>
      <c r="N1402" s="66"/>
      <c r="O1402" s="66"/>
      <c r="P1402" s="66"/>
      <c r="Q1402" s="66"/>
      <c r="R1402" s="66"/>
      <c r="S1402" s="66"/>
      <c r="T1402" s="66"/>
      <c r="U1402" s="66"/>
      <c r="V1402" s="66"/>
      <c r="W1402" s="66"/>
      <c r="X1402" s="66"/>
      <c r="Y1402" s="66"/>
      <c r="Z1402" s="66"/>
    </row>
    <row r="1403">
      <c r="A1403" s="66"/>
      <c r="B1403" s="66"/>
      <c r="C1403" s="66"/>
      <c r="D1403" s="66"/>
      <c r="E1403" s="66"/>
      <c r="F1403" s="66"/>
      <c r="G1403" s="66"/>
      <c r="H1403" s="66"/>
      <c r="I1403" s="66"/>
      <c r="J1403" s="66"/>
      <c r="K1403" s="66"/>
      <c r="L1403" s="66"/>
      <c r="M1403" s="66"/>
      <c r="N1403" s="66"/>
      <c r="O1403" s="66"/>
      <c r="P1403" s="66"/>
      <c r="Q1403" s="66"/>
      <c r="R1403" s="66"/>
      <c r="S1403" s="66"/>
      <c r="T1403" s="66"/>
      <c r="U1403" s="66"/>
      <c r="V1403" s="66"/>
      <c r="W1403" s="66"/>
      <c r="X1403" s="66"/>
      <c r="Y1403" s="66"/>
      <c r="Z1403" s="66"/>
    </row>
    <row r="1404">
      <c r="A1404" s="66"/>
      <c r="B1404" s="66"/>
      <c r="C1404" s="66"/>
      <c r="D1404" s="66"/>
      <c r="E1404" s="66"/>
      <c r="F1404" s="66"/>
      <c r="G1404" s="66"/>
      <c r="H1404" s="66"/>
      <c r="I1404" s="66"/>
      <c r="J1404" s="66"/>
      <c r="K1404" s="66"/>
      <c r="L1404" s="66"/>
      <c r="M1404" s="66"/>
      <c r="N1404" s="66"/>
      <c r="O1404" s="66"/>
      <c r="P1404" s="66"/>
      <c r="Q1404" s="66"/>
      <c r="R1404" s="66"/>
      <c r="S1404" s="66"/>
      <c r="T1404" s="66"/>
      <c r="U1404" s="66"/>
      <c r="V1404" s="66"/>
      <c r="W1404" s="66"/>
      <c r="X1404" s="66"/>
      <c r="Y1404" s="66"/>
      <c r="Z1404" s="66"/>
    </row>
    <row r="1405">
      <c r="A1405" s="66"/>
      <c r="B1405" s="66"/>
      <c r="C1405" s="66"/>
      <c r="D1405" s="66"/>
      <c r="E1405" s="66"/>
      <c r="F1405" s="66"/>
      <c r="G1405" s="66"/>
      <c r="H1405" s="66"/>
      <c r="I1405" s="66"/>
      <c r="J1405" s="66"/>
      <c r="K1405" s="66"/>
      <c r="L1405" s="66"/>
      <c r="M1405" s="66"/>
      <c r="N1405" s="66"/>
      <c r="O1405" s="66"/>
      <c r="P1405" s="66"/>
      <c r="Q1405" s="66"/>
      <c r="R1405" s="66"/>
      <c r="S1405" s="66"/>
      <c r="T1405" s="66"/>
      <c r="U1405" s="66"/>
      <c r="V1405" s="66"/>
      <c r="W1405" s="66"/>
      <c r="X1405" s="66"/>
      <c r="Y1405" s="66"/>
      <c r="Z1405" s="66"/>
    </row>
    <row r="1406">
      <c r="A1406" s="66"/>
      <c r="B1406" s="66"/>
      <c r="C1406" s="66"/>
      <c r="D1406" s="66"/>
      <c r="E1406" s="66"/>
      <c r="F1406" s="66"/>
      <c r="G1406" s="66"/>
      <c r="H1406" s="66"/>
      <c r="I1406" s="66"/>
      <c r="J1406" s="66"/>
      <c r="K1406" s="66"/>
      <c r="L1406" s="66"/>
      <c r="M1406" s="66"/>
      <c r="N1406" s="66"/>
      <c r="O1406" s="66"/>
      <c r="P1406" s="66"/>
      <c r="Q1406" s="66"/>
      <c r="R1406" s="66"/>
      <c r="S1406" s="66"/>
      <c r="T1406" s="66"/>
      <c r="U1406" s="66"/>
      <c r="V1406" s="66"/>
      <c r="W1406" s="66"/>
      <c r="X1406" s="66"/>
      <c r="Y1406" s="66"/>
      <c r="Z1406" s="66"/>
    </row>
    <row r="1407">
      <c r="A1407" s="66"/>
      <c r="B1407" s="66"/>
      <c r="C1407" s="66"/>
      <c r="D1407" s="66"/>
      <c r="E1407" s="66"/>
      <c r="F1407" s="66"/>
      <c r="G1407" s="66"/>
      <c r="H1407" s="66"/>
      <c r="I1407" s="66"/>
      <c r="J1407" s="66"/>
      <c r="K1407" s="66"/>
      <c r="L1407" s="66"/>
      <c r="M1407" s="66"/>
      <c r="N1407" s="66"/>
      <c r="O1407" s="66"/>
      <c r="P1407" s="66"/>
      <c r="Q1407" s="66"/>
      <c r="R1407" s="66"/>
      <c r="S1407" s="66"/>
      <c r="T1407" s="66"/>
      <c r="U1407" s="66"/>
      <c r="V1407" s="66"/>
      <c r="W1407" s="66"/>
      <c r="X1407" s="66"/>
      <c r="Y1407" s="66"/>
      <c r="Z1407" s="66"/>
    </row>
    <row r="1408">
      <c r="A1408" s="66"/>
      <c r="B1408" s="66"/>
      <c r="C1408" s="66"/>
      <c r="D1408" s="66"/>
      <c r="E1408" s="66"/>
      <c r="F1408" s="66"/>
      <c r="G1408" s="66"/>
      <c r="H1408" s="66"/>
      <c r="I1408" s="66"/>
      <c r="J1408" s="66"/>
      <c r="K1408" s="66"/>
      <c r="L1408" s="66"/>
      <c r="M1408" s="66"/>
      <c r="N1408" s="66"/>
      <c r="O1408" s="66"/>
      <c r="P1408" s="66"/>
      <c r="Q1408" s="66"/>
      <c r="R1408" s="66"/>
      <c r="S1408" s="66"/>
      <c r="T1408" s="66"/>
      <c r="U1408" s="66"/>
      <c r="V1408" s="66"/>
      <c r="W1408" s="66"/>
      <c r="X1408" s="66"/>
      <c r="Y1408" s="66"/>
      <c r="Z1408" s="66"/>
    </row>
    <row r="1409">
      <c r="A1409" s="66"/>
      <c r="B1409" s="66"/>
      <c r="C1409" s="66"/>
      <c r="D1409" s="66"/>
      <c r="E1409" s="66"/>
      <c r="F1409" s="66"/>
      <c r="G1409" s="66"/>
      <c r="H1409" s="66"/>
      <c r="I1409" s="66"/>
      <c r="J1409" s="66"/>
      <c r="K1409" s="66"/>
      <c r="L1409" s="66"/>
      <c r="M1409" s="66"/>
      <c r="N1409" s="66"/>
      <c r="O1409" s="66"/>
      <c r="P1409" s="66"/>
      <c r="Q1409" s="66"/>
      <c r="R1409" s="66"/>
      <c r="S1409" s="66"/>
      <c r="T1409" s="66"/>
      <c r="U1409" s="66"/>
      <c r="V1409" s="66"/>
      <c r="W1409" s="66"/>
      <c r="X1409" s="66"/>
      <c r="Y1409" s="66"/>
      <c r="Z1409" s="66"/>
    </row>
    <row r="1410">
      <c r="A1410" s="66"/>
      <c r="B1410" s="66"/>
      <c r="C1410" s="66"/>
      <c r="D1410" s="66"/>
      <c r="E1410" s="66"/>
      <c r="F1410" s="66"/>
      <c r="G1410" s="66"/>
      <c r="H1410" s="66"/>
      <c r="I1410" s="66"/>
      <c r="J1410" s="66"/>
      <c r="K1410" s="66"/>
      <c r="L1410" s="66"/>
      <c r="M1410" s="66"/>
      <c r="N1410" s="66"/>
      <c r="O1410" s="66"/>
      <c r="P1410" s="66"/>
      <c r="Q1410" s="66"/>
      <c r="R1410" s="66"/>
      <c r="S1410" s="66"/>
      <c r="T1410" s="66"/>
      <c r="U1410" s="66"/>
      <c r="V1410" s="66"/>
      <c r="W1410" s="66"/>
      <c r="X1410" s="66"/>
      <c r="Y1410" s="66"/>
      <c r="Z1410" s="66"/>
    </row>
    <row r="1411">
      <c r="A1411" s="66"/>
      <c r="B1411" s="66"/>
      <c r="C1411" s="66"/>
      <c r="D1411" s="66"/>
      <c r="E1411" s="66"/>
      <c r="F1411" s="66"/>
      <c r="G1411" s="66"/>
      <c r="H1411" s="66"/>
      <c r="I1411" s="66"/>
      <c r="J1411" s="66"/>
      <c r="K1411" s="66"/>
      <c r="L1411" s="66"/>
      <c r="M1411" s="66"/>
      <c r="N1411" s="66"/>
      <c r="O1411" s="66"/>
      <c r="P1411" s="66"/>
      <c r="Q1411" s="66"/>
      <c r="R1411" s="66"/>
      <c r="S1411" s="66"/>
      <c r="T1411" s="66"/>
      <c r="U1411" s="66"/>
      <c r="V1411" s="66"/>
      <c r="W1411" s="66"/>
      <c r="X1411" s="66"/>
      <c r="Y1411" s="66"/>
      <c r="Z1411" s="66"/>
    </row>
    <row r="1412">
      <c r="A1412" s="66"/>
      <c r="B1412" s="66"/>
      <c r="C1412" s="66"/>
      <c r="D1412" s="66"/>
      <c r="E1412" s="66"/>
      <c r="F1412" s="66"/>
      <c r="G1412" s="66"/>
      <c r="H1412" s="66"/>
      <c r="I1412" s="66"/>
      <c r="J1412" s="66"/>
      <c r="K1412" s="66"/>
      <c r="L1412" s="66"/>
      <c r="M1412" s="66"/>
      <c r="N1412" s="66"/>
      <c r="O1412" s="66"/>
      <c r="P1412" s="66"/>
      <c r="Q1412" s="66"/>
      <c r="R1412" s="66"/>
      <c r="S1412" s="66"/>
      <c r="T1412" s="66"/>
      <c r="U1412" s="66"/>
      <c r="V1412" s="66"/>
      <c r="W1412" s="66"/>
      <c r="X1412" s="66"/>
      <c r="Y1412" s="66"/>
      <c r="Z1412" s="66"/>
    </row>
    <row r="1413">
      <c r="A1413" s="66"/>
      <c r="B1413" s="66"/>
      <c r="C1413" s="66"/>
      <c r="D1413" s="66"/>
      <c r="E1413" s="66"/>
      <c r="F1413" s="66"/>
      <c r="G1413" s="66"/>
      <c r="H1413" s="66"/>
      <c r="I1413" s="66"/>
      <c r="J1413" s="66"/>
      <c r="K1413" s="66"/>
      <c r="L1413" s="66"/>
      <c r="M1413" s="66"/>
      <c r="N1413" s="66"/>
      <c r="O1413" s="66"/>
      <c r="P1413" s="66"/>
      <c r="Q1413" s="66"/>
      <c r="R1413" s="66"/>
      <c r="S1413" s="66"/>
      <c r="T1413" s="66"/>
      <c r="U1413" s="66"/>
      <c r="V1413" s="66"/>
      <c r="W1413" s="66"/>
      <c r="X1413" s="66"/>
      <c r="Y1413" s="66"/>
      <c r="Z1413" s="66"/>
    </row>
    <row r="1414">
      <c r="A1414" s="66"/>
      <c r="B1414" s="66"/>
      <c r="C1414" s="66"/>
      <c r="D1414" s="66"/>
      <c r="E1414" s="66"/>
      <c r="F1414" s="66"/>
      <c r="G1414" s="66"/>
      <c r="H1414" s="66"/>
      <c r="I1414" s="66"/>
      <c r="J1414" s="66"/>
      <c r="K1414" s="66"/>
      <c r="L1414" s="66"/>
      <c r="M1414" s="66"/>
      <c r="N1414" s="66"/>
      <c r="O1414" s="66"/>
      <c r="P1414" s="66"/>
      <c r="Q1414" s="66"/>
      <c r="R1414" s="66"/>
      <c r="S1414" s="66"/>
      <c r="T1414" s="66"/>
      <c r="U1414" s="66"/>
      <c r="V1414" s="66"/>
      <c r="W1414" s="66"/>
      <c r="X1414" s="66"/>
      <c r="Y1414" s="66"/>
      <c r="Z1414" s="66"/>
    </row>
    <row r="1415">
      <c r="A1415" s="66"/>
      <c r="B1415" s="66"/>
      <c r="C1415" s="66"/>
      <c r="D1415" s="66"/>
      <c r="E1415" s="66"/>
      <c r="F1415" s="66"/>
      <c r="G1415" s="66"/>
      <c r="H1415" s="66"/>
      <c r="I1415" s="66"/>
      <c r="J1415" s="66"/>
      <c r="K1415" s="66"/>
      <c r="L1415" s="66"/>
      <c r="M1415" s="66"/>
      <c r="N1415" s="66"/>
      <c r="O1415" s="66"/>
      <c r="P1415" s="66"/>
      <c r="Q1415" s="66"/>
      <c r="R1415" s="66"/>
      <c r="S1415" s="66"/>
      <c r="T1415" s="66"/>
      <c r="U1415" s="66"/>
      <c r="V1415" s="66"/>
      <c r="W1415" s="66"/>
      <c r="X1415" s="66"/>
      <c r="Y1415" s="66"/>
      <c r="Z1415" s="66"/>
    </row>
    <row r="1416">
      <c r="A1416" s="66"/>
      <c r="B1416" s="66"/>
      <c r="C1416" s="66"/>
      <c r="D1416" s="66"/>
      <c r="E1416" s="66"/>
      <c r="F1416" s="66"/>
      <c r="G1416" s="66"/>
      <c r="H1416" s="66"/>
      <c r="I1416" s="66"/>
      <c r="J1416" s="66"/>
      <c r="K1416" s="66"/>
      <c r="L1416" s="66"/>
      <c r="M1416" s="66"/>
      <c r="N1416" s="66"/>
      <c r="O1416" s="66"/>
      <c r="P1416" s="66"/>
      <c r="Q1416" s="66"/>
      <c r="R1416" s="66"/>
      <c r="S1416" s="66"/>
      <c r="T1416" s="66"/>
      <c r="U1416" s="66"/>
      <c r="V1416" s="66"/>
      <c r="W1416" s="66"/>
      <c r="X1416" s="66"/>
      <c r="Y1416" s="66"/>
      <c r="Z1416" s="66"/>
    </row>
    <row r="1417">
      <c r="A1417" s="66"/>
      <c r="B1417" s="66"/>
      <c r="C1417" s="66"/>
      <c r="D1417" s="66"/>
      <c r="E1417" s="66"/>
      <c r="F1417" s="66"/>
      <c r="G1417" s="66"/>
      <c r="H1417" s="66"/>
      <c r="I1417" s="66"/>
      <c r="J1417" s="66"/>
      <c r="K1417" s="66"/>
      <c r="L1417" s="66"/>
      <c r="M1417" s="66"/>
      <c r="N1417" s="66"/>
      <c r="O1417" s="66"/>
      <c r="P1417" s="66"/>
      <c r="Q1417" s="66"/>
      <c r="R1417" s="66"/>
      <c r="S1417" s="66"/>
      <c r="T1417" s="66"/>
      <c r="U1417" s="66"/>
      <c r="V1417" s="66"/>
      <c r="W1417" s="66"/>
      <c r="X1417" s="66"/>
      <c r="Y1417" s="66"/>
      <c r="Z1417" s="66"/>
    </row>
    <row r="1418">
      <c r="A1418" s="66"/>
      <c r="B1418" s="66"/>
      <c r="C1418" s="66"/>
      <c r="D1418" s="66"/>
      <c r="E1418" s="66"/>
      <c r="F1418" s="66"/>
      <c r="G1418" s="66"/>
      <c r="H1418" s="66"/>
      <c r="I1418" s="66"/>
      <c r="J1418" s="66"/>
      <c r="K1418" s="66"/>
      <c r="L1418" s="66"/>
      <c r="M1418" s="66"/>
      <c r="N1418" s="66"/>
      <c r="O1418" s="66"/>
      <c r="P1418" s="66"/>
      <c r="Q1418" s="66"/>
      <c r="R1418" s="66"/>
      <c r="S1418" s="66"/>
      <c r="T1418" s="66"/>
      <c r="U1418" s="66"/>
      <c r="V1418" s="66"/>
      <c r="W1418" s="66"/>
      <c r="X1418" s="66"/>
      <c r="Y1418" s="66"/>
      <c r="Z1418" s="66"/>
    </row>
    <row r="1419">
      <c r="A1419" s="66"/>
      <c r="B1419" s="66"/>
      <c r="C1419" s="66"/>
      <c r="D1419" s="66"/>
      <c r="E1419" s="66"/>
      <c r="F1419" s="66"/>
      <c r="G1419" s="66"/>
      <c r="H1419" s="66"/>
      <c r="I1419" s="66"/>
      <c r="J1419" s="66"/>
      <c r="K1419" s="66"/>
      <c r="L1419" s="66"/>
      <c r="M1419" s="66"/>
      <c r="N1419" s="66"/>
      <c r="O1419" s="66"/>
      <c r="P1419" s="66"/>
      <c r="Q1419" s="66"/>
      <c r="R1419" s="66"/>
      <c r="S1419" s="66"/>
      <c r="T1419" s="66"/>
      <c r="U1419" s="66"/>
      <c r="V1419" s="66"/>
      <c r="W1419" s="66"/>
      <c r="X1419" s="66"/>
      <c r="Y1419" s="66"/>
      <c r="Z1419" s="66"/>
    </row>
    <row r="1420">
      <c r="A1420" s="66"/>
      <c r="B1420" s="66"/>
      <c r="C1420" s="66"/>
      <c r="D1420" s="66"/>
      <c r="E1420" s="66"/>
      <c r="F1420" s="66"/>
      <c r="G1420" s="66"/>
      <c r="H1420" s="66"/>
      <c r="I1420" s="66"/>
      <c r="J1420" s="66"/>
      <c r="K1420" s="66"/>
      <c r="L1420" s="66"/>
      <c r="M1420" s="66"/>
      <c r="N1420" s="66"/>
      <c r="O1420" s="66"/>
      <c r="P1420" s="66"/>
      <c r="Q1420" s="66"/>
      <c r="R1420" s="66"/>
      <c r="S1420" s="66"/>
      <c r="T1420" s="66"/>
      <c r="U1420" s="66"/>
      <c r="V1420" s="66"/>
      <c r="W1420" s="66"/>
      <c r="X1420" s="66"/>
      <c r="Y1420" s="66"/>
      <c r="Z1420" s="66"/>
    </row>
    <row r="1421">
      <c r="A1421" s="66"/>
      <c r="B1421" s="66"/>
      <c r="C1421" s="66"/>
      <c r="D1421" s="66"/>
      <c r="E1421" s="66"/>
      <c r="F1421" s="66"/>
      <c r="G1421" s="66"/>
      <c r="H1421" s="66"/>
      <c r="I1421" s="66"/>
      <c r="J1421" s="66"/>
      <c r="K1421" s="66"/>
      <c r="L1421" s="66"/>
      <c r="M1421" s="66"/>
      <c r="N1421" s="66"/>
      <c r="O1421" s="66"/>
      <c r="P1421" s="66"/>
      <c r="Q1421" s="66"/>
      <c r="R1421" s="66"/>
      <c r="S1421" s="66"/>
      <c r="T1421" s="66"/>
      <c r="U1421" s="66"/>
      <c r="V1421" s="66"/>
      <c r="W1421" s="66"/>
      <c r="X1421" s="66"/>
      <c r="Y1421" s="66"/>
      <c r="Z1421" s="66"/>
    </row>
    <row r="1422">
      <c r="A1422" s="66"/>
      <c r="B1422" s="66"/>
      <c r="C1422" s="66"/>
      <c r="D1422" s="66"/>
      <c r="E1422" s="66"/>
      <c r="F1422" s="66"/>
      <c r="G1422" s="66"/>
      <c r="H1422" s="66"/>
      <c r="I1422" s="66"/>
      <c r="J1422" s="66"/>
      <c r="K1422" s="66"/>
      <c r="L1422" s="66"/>
      <c r="M1422" s="66"/>
      <c r="N1422" s="66"/>
      <c r="O1422" s="66"/>
      <c r="P1422" s="66"/>
      <c r="Q1422" s="66"/>
      <c r="R1422" s="66"/>
      <c r="S1422" s="66"/>
      <c r="T1422" s="66"/>
      <c r="U1422" s="66"/>
      <c r="V1422" s="66"/>
      <c r="W1422" s="66"/>
      <c r="X1422" s="66"/>
      <c r="Y1422" s="66"/>
      <c r="Z1422" s="66"/>
    </row>
    <row r="1423">
      <c r="A1423" s="66"/>
      <c r="B1423" s="66"/>
      <c r="C1423" s="66"/>
      <c r="D1423" s="66"/>
      <c r="E1423" s="66"/>
      <c r="F1423" s="66"/>
      <c r="G1423" s="66"/>
      <c r="H1423" s="66"/>
      <c r="I1423" s="66"/>
      <c r="J1423" s="66"/>
      <c r="K1423" s="66"/>
      <c r="L1423" s="66"/>
      <c r="M1423" s="66"/>
      <c r="N1423" s="66"/>
      <c r="O1423" s="66"/>
      <c r="P1423" s="66"/>
      <c r="Q1423" s="66"/>
      <c r="R1423" s="66"/>
      <c r="S1423" s="66"/>
      <c r="T1423" s="66"/>
      <c r="U1423" s="66"/>
      <c r="V1423" s="66"/>
      <c r="W1423" s="66"/>
      <c r="X1423" s="66"/>
      <c r="Y1423" s="66"/>
      <c r="Z1423" s="66"/>
    </row>
    <row r="1424">
      <c r="A1424" s="66"/>
      <c r="B1424" s="66"/>
      <c r="C1424" s="66"/>
      <c r="D1424" s="66"/>
      <c r="E1424" s="66"/>
      <c r="F1424" s="66"/>
      <c r="G1424" s="66"/>
      <c r="H1424" s="66"/>
      <c r="I1424" s="66"/>
      <c r="J1424" s="66"/>
      <c r="K1424" s="66"/>
      <c r="L1424" s="66"/>
      <c r="M1424" s="66"/>
      <c r="N1424" s="66"/>
      <c r="O1424" s="66"/>
      <c r="P1424" s="66"/>
      <c r="Q1424" s="66"/>
      <c r="R1424" s="66"/>
      <c r="S1424" s="66"/>
      <c r="T1424" s="66"/>
      <c r="U1424" s="66"/>
      <c r="V1424" s="66"/>
      <c r="W1424" s="66"/>
      <c r="X1424" s="66"/>
      <c r="Y1424" s="66"/>
      <c r="Z1424" s="66"/>
    </row>
    <row r="1425">
      <c r="A1425" s="66"/>
      <c r="B1425" s="66"/>
      <c r="C1425" s="66"/>
      <c r="D1425" s="66"/>
      <c r="E1425" s="66"/>
      <c r="F1425" s="66"/>
      <c r="G1425" s="66"/>
      <c r="H1425" s="66"/>
      <c r="I1425" s="66"/>
      <c r="J1425" s="66"/>
      <c r="K1425" s="66"/>
      <c r="L1425" s="66"/>
      <c r="M1425" s="66"/>
      <c r="N1425" s="66"/>
      <c r="O1425" s="66"/>
      <c r="P1425" s="66"/>
      <c r="Q1425" s="66"/>
      <c r="R1425" s="66"/>
      <c r="S1425" s="66"/>
      <c r="T1425" s="66"/>
      <c r="U1425" s="66"/>
      <c r="V1425" s="66"/>
      <c r="W1425" s="66"/>
      <c r="X1425" s="66"/>
      <c r="Y1425" s="66"/>
      <c r="Z1425" s="66"/>
    </row>
    <row r="1426">
      <c r="A1426" s="66"/>
      <c r="B1426" s="66"/>
      <c r="C1426" s="66"/>
      <c r="D1426" s="66"/>
      <c r="E1426" s="66"/>
      <c r="F1426" s="66"/>
      <c r="G1426" s="66"/>
      <c r="H1426" s="66"/>
      <c r="I1426" s="66"/>
      <c r="J1426" s="66"/>
      <c r="K1426" s="66"/>
      <c r="L1426" s="66"/>
      <c r="M1426" s="66"/>
      <c r="N1426" s="66"/>
      <c r="O1426" s="66"/>
      <c r="P1426" s="66"/>
      <c r="Q1426" s="66"/>
      <c r="R1426" s="66"/>
      <c r="S1426" s="66"/>
      <c r="T1426" s="66"/>
      <c r="U1426" s="66"/>
      <c r="V1426" s="66"/>
      <c r="W1426" s="66"/>
      <c r="X1426" s="66"/>
      <c r="Y1426" s="66"/>
      <c r="Z1426" s="66"/>
    </row>
    <row r="1427">
      <c r="A1427" s="66"/>
      <c r="B1427" s="66"/>
      <c r="C1427" s="66"/>
      <c r="D1427" s="66"/>
      <c r="E1427" s="66"/>
      <c r="F1427" s="66"/>
      <c r="G1427" s="66"/>
      <c r="H1427" s="66"/>
      <c r="I1427" s="66"/>
      <c r="J1427" s="66"/>
      <c r="K1427" s="66"/>
      <c r="L1427" s="66"/>
      <c r="M1427" s="66"/>
      <c r="N1427" s="66"/>
      <c r="O1427" s="66"/>
      <c r="P1427" s="66"/>
      <c r="Q1427" s="66"/>
      <c r="R1427" s="66"/>
      <c r="S1427" s="66"/>
      <c r="T1427" s="66"/>
      <c r="U1427" s="66"/>
      <c r="V1427" s="66"/>
      <c r="W1427" s="66"/>
      <c r="X1427" s="66"/>
      <c r="Y1427" s="66"/>
      <c r="Z1427" s="66"/>
    </row>
    <row r="1428">
      <c r="A1428" s="66"/>
      <c r="B1428" s="66"/>
      <c r="C1428" s="66"/>
      <c r="D1428" s="66"/>
      <c r="E1428" s="66"/>
      <c r="F1428" s="66"/>
      <c r="G1428" s="66"/>
      <c r="H1428" s="66"/>
      <c r="I1428" s="66"/>
      <c r="J1428" s="66"/>
      <c r="K1428" s="66"/>
      <c r="L1428" s="66"/>
      <c r="M1428" s="66"/>
      <c r="N1428" s="66"/>
      <c r="O1428" s="66"/>
      <c r="P1428" s="66"/>
      <c r="Q1428" s="66"/>
      <c r="R1428" s="66"/>
      <c r="S1428" s="66"/>
      <c r="T1428" s="66"/>
      <c r="U1428" s="66"/>
      <c r="V1428" s="66"/>
      <c r="W1428" s="66"/>
      <c r="X1428" s="66"/>
      <c r="Y1428" s="66"/>
      <c r="Z1428" s="66"/>
    </row>
    <row r="1429">
      <c r="A1429" s="66"/>
      <c r="B1429" s="66"/>
      <c r="C1429" s="66"/>
      <c r="D1429" s="66"/>
      <c r="E1429" s="66"/>
      <c r="F1429" s="66"/>
      <c r="G1429" s="66"/>
      <c r="H1429" s="66"/>
      <c r="I1429" s="66"/>
      <c r="J1429" s="66"/>
      <c r="K1429" s="66"/>
      <c r="L1429" s="66"/>
      <c r="M1429" s="66"/>
      <c r="N1429" s="66"/>
      <c r="O1429" s="66"/>
      <c r="P1429" s="66"/>
      <c r="Q1429" s="66"/>
      <c r="R1429" s="66"/>
      <c r="S1429" s="66"/>
      <c r="T1429" s="66"/>
      <c r="U1429" s="66"/>
      <c r="V1429" s="66"/>
      <c r="W1429" s="66"/>
      <c r="X1429" s="66"/>
      <c r="Y1429" s="66"/>
      <c r="Z1429" s="66"/>
    </row>
    <row r="1430">
      <c r="A1430" s="66"/>
      <c r="B1430" s="66"/>
      <c r="C1430" s="66"/>
      <c r="D1430" s="66"/>
      <c r="E1430" s="66"/>
      <c r="F1430" s="66"/>
      <c r="G1430" s="66"/>
      <c r="H1430" s="66"/>
      <c r="I1430" s="66"/>
      <c r="J1430" s="66"/>
      <c r="K1430" s="66"/>
      <c r="L1430" s="66"/>
      <c r="M1430" s="66"/>
      <c r="N1430" s="66"/>
      <c r="O1430" s="66"/>
      <c r="P1430" s="66"/>
      <c r="Q1430" s="66"/>
      <c r="R1430" s="66"/>
      <c r="S1430" s="66"/>
      <c r="T1430" s="66"/>
      <c r="U1430" s="66"/>
      <c r="V1430" s="66"/>
      <c r="W1430" s="66"/>
      <c r="X1430" s="66"/>
      <c r="Y1430" s="66"/>
      <c r="Z1430" s="66"/>
    </row>
    <row r="1431">
      <c r="A1431" s="66"/>
      <c r="B1431" s="66"/>
      <c r="C1431" s="66"/>
      <c r="D1431" s="66"/>
      <c r="E1431" s="66"/>
      <c r="F1431" s="66"/>
      <c r="G1431" s="66"/>
      <c r="H1431" s="66"/>
      <c r="I1431" s="66"/>
      <c r="J1431" s="66"/>
      <c r="K1431" s="66"/>
      <c r="L1431" s="66"/>
      <c r="M1431" s="66"/>
      <c r="N1431" s="66"/>
      <c r="O1431" s="66"/>
      <c r="P1431" s="66"/>
      <c r="Q1431" s="66"/>
      <c r="R1431" s="66"/>
      <c r="S1431" s="66"/>
      <c r="T1431" s="66"/>
      <c r="U1431" s="66"/>
      <c r="V1431" s="66"/>
      <c r="W1431" s="66"/>
      <c r="X1431" s="66"/>
      <c r="Y1431" s="66"/>
      <c r="Z1431" s="66"/>
    </row>
    <row r="1432">
      <c r="A1432" s="66"/>
      <c r="B1432" s="66"/>
      <c r="C1432" s="66"/>
      <c r="D1432" s="66"/>
      <c r="E1432" s="66"/>
      <c r="F1432" s="66"/>
      <c r="G1432" s="66"/>
      <c r="H1432" s="66"/>
      <c r="I1432" s="66"/>
      <c r="J1432" s="66"/>
      <c r="K1432" s="66"/>
      <c r="L1432" s="66"/>
      <c r="M1432" s="66"/>
      <c r="N1432" s="66"/>
      <c r="O1432" s="66"/>
      <c r="P1432" s="66"/>
      <c r="Q1432" s="66"/>
      <c r="R1432" s="66"/>
      <c r="S1432" s="66"/>
      <c r="T1432" s="66"/>
      <c r="U1432" s="66"/>
      <c r="V1432" s="66"/>
      <c r="W1432" s="66"/>
      <c r="X1432" s="66"/>
      <c r="Y1432" s="66"/>
      <c r="Z1432" s="66"/>
    </row>
    <row r="1433">
      <c r="A1433" s="66"/>
      <c r="B1433" s="66"/>
      <c r="C1433" s="66"/>
      <c r="D1433" s="66"/>
      <c r="E1433" s="66"/>
      <c r="F1433" s="66"/>
      <c r="G1433" s="66"/>
      <c r="H1433" s="66"/>
      <c r="I1433" s="66"/>
      <c r="J1433" s="66"/>
      <c r="K1433" s="66"/>
      <c r="L1433" s="66"/>
      <c r="M1433" s="66"/>
      <c r="N1433" s="66"/>
      <c r="O1433" s="66"/>
      <c r="P1433" s="66"/>
      <c r="Q1433" s="66"/>
      <c r="R1433" s="66"/>
      <c r="S1433" s="66"/>
      <c r="T1433" s="66"/>
      <c r="U1433" s="66"/>
      <c r="V1433" s="66"/>
      <c r="W1433" s="66"/>
      <c r="X1433" s="66"/>
      <c r="Y1433" s="66"/>
      <c r="Z1433" s="66"/>
    </row>
    <row r="1434">
      <c r="A1434" s="66"/>
      <c r="B1434" s="66"/>
      <c r="C1434" s="66"/>
      <c r="D1434" s="66"/>
      <c r="E1434" s="66"/>
      <c r="F1434" s="66"/>
      <c r="G1434" s="66"/>
      <c r="H1434" s="66"/>
      <c r="I1434" s="66"/>
      <c r="J1434" s="66"/>
      <c r="K1434" s="66"/>
      <c r="L1434" s="66"/>
      <c r="M1434" s="66"/>
      <c r="N1434" s="66"/>
      <c r="O1434" s="66"/>
      <c r="P1434" s="66"/>
      <c r="Q1434" s="66"/>
      <c r="R1434" s="66"/>
      <c r="S1434" s="66"/>
      <c r="T1434" s="66"/>
      <c r="U1434" s="66"/>
      <c r="V1434" s="66"/>
      <c r="W1434" s="66"/>
      <c r="X1434" s="66"/>
      <c r="Y1434" s="66"/>
      <c r="Z1434" s="66"/>
    </row>
    <row r="1435">
      <c r="A1435" s="66"/>
      <c r="B1435" s="66"/>
      <c r="C1435" s="66"/>
      <c r="D1435" s="66"/>
      <c r="E1435" s="66"/>
      <c r="F1435" s="66"/>
      <c r="G1435" s="66"/>
      <c r="H1435" s="66"/>
      <c r="I1435" s="66"/>
      <c r="J1435" s="66"/>
      <c r="K1435" s="66"/>
      <c r="L1435" s="66"/>
      <c r="M1435" s="66"/>
      <c r="N1435" s="66"/>
      <c r="O1435" s="66"/>
      <c r="P1435" s="66"/>
      <c r="Q1435" s="66"/>
      <c r="R1435" s="66"/>
      <c r="S1435" s="66"/>
      <c r="T1435" s="66"/>
      <c r="U1435" s="66"/>
      <c r="V1435" s="66"/>
      <c r="W1435" s="66"/>
      <c r="X1435" s="66"/>
      <c r="Y1435" s="66"/>
      <c r="Z1435" s="66"/>
    </row>
    <row r="1436">
      <c r="A1436" s="66"/>
      <c r="B1436" s="66"/>
      <c r="C1436" s="66"/>
      <c r="D1436" s="66"/>
      <c r="E1436" s="66"/>
      <c r="F1436" s="66"/>
      <c r="G1436" s="66"/>
      <c r="H1436" s="66"/>
      <c r="I1436" s="66"/>
      <c r="J1436" s="66"/>
      <c r="K1436" s="66"/>
      <c r="L1436" s="66"/>
      <c r="M1436" s="66"/>
      <c r="N1436" s="66"/>
      <c r="O1436" s="66"/>
      <c r="P1436" s="66"/>
      <c r="Q1436" s="66"/>
      <c r="R1436" s="66"/>
      <c r="S1436" s="66"/>
      <c r="T1436" s="66"/>
      <c r="U1436" s="66"/>
      <c r="V1436" s="66"/>
      <c r="W1436" s="66"/>
      <c r="X1436" s="66"/>
      <c r="Y1436" s="66"/>
      <c r="Z1436" s="66"/>
    </row>
    <row r="1437">
      <c r="A1437" s="66"/>
      <c r="B1437" s="66"/>
      <c r="C1437" s="66"/>
      <c r="D1437" s="66"/>
      <c r="E1437" s="66"/>
      <c r="F1437" s="66"/>
      <c r="G1437" s="66"/>
      <c r="H1437" s="66"/>
      <c r="I1437" s="66"/>
      <c r="J1437" s="66"/>
      <c r="K1437" s="66"/>
      <c r="L1437" s="66"/>
      <c r="M1437" s="66"/>
      <c r="N1437" s="66"/>
      <c r="O1437" s="66"/>
      <c r="P1437" s="66"/>
      <c r="Q1437" s="66"/>
      <c r="R1437" s="66"/>
      <c r="S1437" s="66"/>
      <c r="T1437" s="66"/>
      <c r="U1437" s="66"/>
      <c r="V1437" s="66"/>
      <c r="W1437" s="66"/>
      <c r="X1437" s="66"/>
      <c r="Y1437" s="66"/>
      <c r="Z1437" s="66"/>
    </row>
    <row r="1438">
      <c r="A1438" s="66"/>
      <c r="B1438" s="66"/>
      <c r="C1438" s="66"/>
      <c r="D1438" s="66"/>
      <c r="E1438" s="66"/>
      <c r="F1438" s="66"/>
      <c r="G1438" s="66"/>
      <c r="H1438" s="66"/>
      <c r="I1438" s="66"/>
      <c r="J1438" s="66"/>
      <c r="K1438" s="66"/>
      <c r="L1438" s="66"/>
      <c r="M1438" s="66"/>
      <c r="N1438" s="66"/>
      <c r="O1438" s="66"/>
      <c r="P1438" s="66"/>
      <c r="Q1438" s="66"/>
      <c r="R1438" s="66"/>
      <c r="S1438" s="66"/>
      <c r="T1438" s="66"/>
      <c r="U1438" s="66"/>
      <c r="V1438" s="66"/>
      <c r="W1438" s="66"/>
      <c r="X1438" s="66"/>
      <c r="Y1438" s="66"/>
      <c r="Z1438" s="66"/>
    </row>
    <row r="1439">
      <c r="A1439" s="66"/>
      <c r="B1439" s="66"/>
      <c r="C1439" s="66"/>
      <c r="D1439" s="66"/>
      <c r="E1439" s="66"/>
      <c r="F1439" s="66"/>
      <c r="G1439" s="66"/>
      <c r="H1439" s="66"/>
      <c r="I1439" s="66"/>
      <c r="J1439" s="66"/>
      <c r="K1439" s="66"/>
      <c r="L1439" s="66"/>
      <c r="M1439" s="66"/>
      <c r="N1439" s="66"/>
      <c r="O1439" s="66"/>
      <c r="P1439" s="66"/>
      <c r="Q1439" s="66"/>
      <c r="R1439" s="66"/>
      <c r="S1439" s="66"/>
      <c r="T1439" s="66"/>
      <c r="U1439" s="66"/>
      <c r="V1439" s="66"/>
      <c r="W1439" s="66"/>
      <c r="X1439" s="66"/>
      <c r="Y1439" s="66"/>
      <c r="Z1439" s="66"/>
    </row>
    <row r="1440">
      <c r="A1440" s="66"/>
      <c r="B1440" s="66"/>
      <c r="C1440" s="66"/>
      <c r="D1440" s="66"/>
      <c r="E1440" s="66"/>
      <c r="F1440" s="66"/>
      <c r="G1440" s="66"/>
      <c r="H1440" s="66"/>
      <c r="I1440" s="66"/>
      <c r="J1440" s="66"/>
      <c r="K1440" s="66"/>
      <c r="L1440" s="66"/>
      <c r="M1440" s="66"/>
      <c r="N1440" s="66"/>
      <c r="O1440" s="66"/>
      <c r="P1440" s="66"/>
      <c r="Q1440" s="66"/>
      <c r="R1440" s="66"/>
      <c r="S1440" s="66"/>
      <c r="T1440" s="66"/>
      <c r="U1440" s="66"/>
      <c r="V1440" s="66"/>
      <c r="W1440" s="66"/>
      <c r="X1440" s="66"/>
      <c r="Y1440" s="66"/>
      <c r="Z1440" s="66"/>
    </row>
    <row r="1441">
      <c r="A1441" s="66"/>
      <c r="B1441" s="66"/>
      <c r="C1441" s="66"/>
      <c r="D1441" s="66"/>
      <c r="E1441" s="66"/>
      <c r="F1441" s="66"/>
      <c r="G1441" s="66"/>
      <c r="H1441" s="66"/>
      <c r="I1441" s="66"/>
      <c r="J1441" s="66"/>
      <c r="K1441" s="66"/>
      <c r="L1441" s="66"/>
      <c r="M1441" s="66"/>
      <c r="N1441" s="66"/>
      <c r="O1441" s="66"/>
      <c r="P1441" s="66"/>
      <c r="Q1441" s="66"/>
      <c r="R1441" s="66"/>
      <c r="S1441" s="66"/>
      <c r="T1441" s="66"/>
      <c r="U1441" s="66"/>
      <c r="V1441" s="66"/>
      <c r="W1441" s="66"/>
      <c r="X1441" s="66"/>
      <c r="Y1441" s="66"/>
      <c r="Z1441" s="66"/>
    </row>
    <row r="1442">
      <c r="A1442" s="66"/>
      <c r="B1442" s="66"/>
      <c r="C1442" s="66"/>
      <c r="D1442" s="66"/>
      <c r="E1442" s="66"/>
      <c r="F1442" s="66"/>
      <c r="G1442" s="66"/>
      <c r="H1442" s="66"/>
      <c r="I1442" s="66"/>
      <c r="J1442" s="66"/>
      <c r="K1442" s="66"/>
      <c r="L1442" s="66"/>
      <c r="M1442" s="66"/>
      <c r="N1442" s="66"/>
      <c r="O1442" s="66"/>
      <c r="P1442" s="66"/>
      <c r="Q1442" s="66"/>
      <c r="R1442" s="66"/>
      <c r="S1442" s="66"/>
      <c r="T1442" s="66"/>
      <c r="U1442" s="66"/>
      <c r="V1442" s="66"/>
      <c r="W1442" s="66"/>
      <c r="X1442" s="66"/>
      <c r="Y1442" s="66"/>
      <c r="Z1442" s="66"/>
    </row>
    <row r="1443">
      <c r="A1443" s="66"/>
      <c r="B1443" s="66"/>
      <c r="C1443" s="66"/>
      <c r="D1443" s="66"/>
      <c r="E1443" s="66"/>
      <c r="F1443" s="66"/>
      <c r="G1443" s="66"/>
      <c r="H1443" s="66"/>
      <c r="I1443" s="66"/>
      <c r="J1443" s="66"/>
      <c r="K1443" s="66"/>
      <c r="L1443" s="66"/>
      <c r="M1443" s="66"/>
      <c r="N1443" s="66"/>
      <c r="O1443" s="66"/>
      <c r="P1443" s="66"/>
      <c r="Q1443" s="66"/>
      <c r="R1443" s="66"/>
      <c r="S1443" s="66"/>
      <c r="T1443" s="66"/>
      <c r="U1443" s="66"/>
      <c r="V1443" s="66"/>
      <c r="W1443" s="66"/>
      <c r="X1443" s="66"/>
      <c r="Y1443" s="66"/>
      <c r="Z1443" s="66"/>
    </row>
    <row r="1444">
      <c r="A1444" s="66"/>
      <c r="B1444" s="66"/>
      <c r="C1444" s="66"/>
      <c r="D1444" s="66"/>
      <c r="E1444" s="66"/>
      <c r="F1444" s="66"/>
      <c r="G1444" s="66"/>
      <c r="H1444" s="66"/>
      <c r="I1444" s="66"/>
      <c r="J1444" s="66"/>
      <c r="K1444" s="66"/>
      <c r="L1444" s="66"/>
      <c r="M1444" s="66"/>
      <c r="N1444" s="66"/>
      <c r="O1444" s="66"/>
      <c r="P1444" s="66"/>
      <c r="Q1444" s="66"/>
      <c r="R1444" s="66"/>
      <c r="S1444" s="66"/>
      <c r="T1444" s="66"/>
      <c r="U1444" s="66"/>
      <c r="V1444" s="66"/>
      <c r="W1444" s="66"/>
      <c r="X1444" s="66"/>
      <c r="Y1444" s="66"/>
      <c r="Z1444" s="66"/>
    </row>
    <row r="1445">
      <c r="A1445" s="66"/>
      <c r="B1445" s="66"/>
      <c r="C1445" s="66"/>
      <c r="D1445" s="66"/>
      <c r="E1445" s="66"/>
      <c r="F1445" s="66"/>
      <c r="G1445" s="66"/>
      <c r="H1445" s="66"/>
      <c r="I1445" s="66"/>
      <c r="J1445" s="66"/>
      <c r="K1445" s="66"/>
      <c r="L1445" s="66"/>
      <c r="M1445" s="66"/>
      <c r="N1445" s="66"/>
      <c r="O1445" s="66"/>
      <c r="P1445" s="66"/>
      <c r="Q1445" s="66"/>
      <c r="R1445" s="66"/>
      <c r="S1445" s="66"/>
      <c r="T1445" s="66"/>
      <c r="U1445" s="66"/>
      <c r="V1445" s="66"/>
      <c r="W1445" s="66"/>
      <c r="X1445" s="66"/>
      <c r="Y1445" s="66"/>
      <c r="Z1445" s="66"/>
    </row>
    <row r="1446">
      <c r="A1446" s="66"/>
      <c r="B1446" s="66"/>
      <c r="C1446" s="66"/>
      <c r="D1446" s="66"/>
      <c r="E1446" s="66"/>
      <c r="F1446" s="66"/>
      <c r="G1446" s="66"/>
      <c r="H1446" s="66"/>
      <c r="I1446" s="66"/>
      <c r="J1446" s="66"/>
      <c r="K1446" s="66"/>
      <c r="L1446" s="66"/>
      <c r="M1446" s="66"/>
      <c r="N1446" s="66"/>
      <c r="O1446" s="66"/>
      <c r="P1446" s="66"/>
      <c r="Q1446" s="66"/>
      <c r="R1446" s="66"/>
      <c r="S1446" s="66"/>
      <c r="T1446" s="66"/>
      <c r="U1446" s="66"/>
      <c r="V1446" s="66"/>
      <c r="W1446" s="66"/>
      <c r="X1446" s="66"/>
      <c r="Y1446" s="66"/>
      <c r="Z1446" s="66"/>
    </row>
    <row r="1447">
      <c r="A1447" s="66"/>
      <c r="B1447" s="66"/>
      <c r="C1447" s="66"/>
      <c r="D1447" s="66"/>
      <c r="E1447" s="66"/>
      <c r="F1447" s="66"/>
      <c r="G1447" s="66"/>
      <c r="H1447" s="66"/>
      <c r="I1447" s="66"/>
      <c r="J1447" s="66"/>
      <c r="K1447" s="66"/>
      <c r="L1447" s="66"/>
      <c r="M1447" s="66"/>
      <c r="N1447" s="66"/>
      <c r="O1447" s="66"/>
      <c r="P1447" s="66"/>
      <c r="Q1447" s="66"/>
      <c r="R1447" s="66"/>
      <c r="S1447" s="66"/>
      <c r="T1447" s="66"/>
      <c r="U1447" s="66"/>
      <c r="V1447" s="66"/>
      <c r="W1447" s="66"/>
      <c r="X1447" s="66"/>
      <c r="Y1447" s="66"/>
      <c r="Z1447" s="66"/>
    </row>
    <row r="1448">
      <c r="A1448" s="66"/>
      <c r="B1448" s="66"/>
      <c r="C1448" s="66"/>
      <c r="D1448" s="66"/>
      <c r="E1448" s="66"/>
      <c r="F1448" s="66"/>
      <c r="G1448" s="66"/>
      <c r="H1448" s="66"/>
      <c r="I1448" s="66"/>
      <c r="J1448" s="66"/>
      <c r="K1448" s="66"/>
      <c r="L1448" s="66"/>
      <c r="M1448" s="66"/>
      <c r="N1448" s="66"/>
      <c r="O1448" s="66"/>
      <c r="P1448" s="66"/>
      <c r="Q1448" s="66"/>
      <c r="R1448" s="66"/>
      <c r="S1448" s="66"/>
      <c r="T1448" s="66"/>
      <c r="U1448" s="66"/>
      <c r="V1448" s="66"/>
      <c r="W1448" s="66"/>
      <c r="X1448" s="66"/>
      <c r="Y1448" s="66"/>
      <c r="Z1448" s="66"/>
    </row>
    <row r="1449">
      <c r="A1449" s="66"/>
      <c r="B1449" s="66"/>
      <c r="C1449" s="66"/>
      <c r="D1449" s="66"/>
      <c r="E1449" s="66"/>
      <c r="F1449" s="66"/>
      <c r="G1449" s="66"/>
      <c r="H1449" s="66"/>
      <c r="I1449" s="66"/>
      <c r="J1449" s="66"/>
      <c r="K1449" s="66"/>
      <c r="L1449" s="66"/>
      <c r="M1449" s="66"/>
      <c r="N1449" s="66"/>
      <c r="O1449" s="66"/>
      <c r="P1449" s="66"/>
      <c r="Q1449" s="66"/>
      <c r="R1449" s="66"/>
      <c r="S1449" s="66"/>
      <c r="T1449" s="66"/>
      <c r="U1449" s="66"/>
      <c r="V1449" s="66"/>
      <c r="W1449" s="66"/>
      <c r="X1449" s="66"/>
      <c r="Y1449" s="66"/>
      <c r="Z1449" s="66"/>
    </row>
    <row r="1450">
      <c r="A1450" s="66"/>
      <c r="B1450" s="66"/>
      <c r="C1450" s="66"/>
      <c r="D1450" s="66"/>
      <c r="E1450" s="66"/>
      <c r="F1450" s="66"/>
      <c r="G1450" s="66"/>
      <c r="H1450" s="66"/>
      <c r="I1450" s="66"/>
      <c r="J1450" s="66"/>
      <c r="K1450" s="66"/>
      <c r="L1450" s="66"/>
      <c r="M1450" s="66"/>
      <c r="N1450" s="66"/>
      <c r="O1450" s="66"/>
      <c r="P1450" s="66"/>
      <c r="Q1450" s="66"/>
      <c r="R1450" s="66"/>
      <c r="S1450" s="66"/>
      <c r="T1450" s="66"/>
      <c r="U1450" s="66"/>
      <c r="V1450" s="66"/>
      <c r="W1450" s="66"/>
      <c r="X1450" s="66"/>
      <c r="Y1450" s="66"/>
      <c r="Z1450" s="66"/>
    </row>
    <row r="1451">
      <c r="A1451" s="66"/>
      <c r="B1451" s="66"/>
      <c r="C1451" s="66"/>
      <c r="D1451" s="66"/>
      <c r="E1451" s="66"/>
      <c r="F1451" s="66"/>
      <c r="G1451" s="66"/>
      <c r="H1451" s="66"/>
      <c r="I1451" s="66"/>
      <c r="J1451" s="66"/>
      <c r="K1451" s="66"/>
      <c r="L1451" s="66"/>
      <c r="M1451" s="66"/>
      <c r="N1451" s="66"/>
      <c r="O1451" s="66"/>
      <c r="P1451" s="66"/>
      <c r="Q1451" s="66"/>
      <c r="R1451" s="66"/>
      <c r="S1451" s="66"/>
      <c r="T1451" s="66"/>
      <c r="U1451" s="66"/>
      <c r="V1451" s="66"/>
      <c r="W1451" s="66"/>
      <c r="X1451" s="66"/>
      <c r="Y1451" s="66"/>
      <c r="Z1451" s="66"/>
    </row>
    <row r="1452">
      <c r="A1452" s="66"/>
      <c r="B1452" s="66"/>
      <c r="C1452" s="66"/>
      <c r="D1452" s="66"/>
      <c r="E1452" s="66"/>
      <c r="F1452" s="66"/>
      <c r="G1452" s="66"/>
      <c r="H1452" s="66"/>
      <c r="I1452" s="66"/>
      <c r="J1452" s="66"/>
      <c r="K1452" s="66"/>
      <c r="L1452" s="66"/>
      <c r="M1452" s="66"/>
      <c r="N1452" s="66"/>
      <c r="O1452" s="66"/>
      <c r="P1452" s="66"/>
      <c r="Q1452" s="66"/>
      <c r="R1452" s="66"/>
      <c r="S1452" s="66"/>
      <c r="T1452" s="66"/>
      <c r="U1452" s="66"/>
      <c r="V1452" s="66"/>
      <c r="W1452" s="66"/>
      <c r="X1452" s="66"/>
      <c r="Y1452" s="66"/>
      <c r="Z1452" s="66"/>
    </row>
    <row r="1453">
      <c r="A1453" s="66"/>
      <c r="B1453" s="66"/>
      <c r="C1453" s="66"/>
      <c r="D1453" s="66"/>
      <c r="E1453" s="66"/>
      <c r="F1453" s="66"/>
      <c r="G1453" s="66"/>
      <c r="H1453" s="66"/>
      <c r="I1453" s="66"/>
      <c r="J1453" s="66"/>
      <c r="K1453" s="66"/>
      <c r="L1453" s="66"/>
      <c r="M1453" s="66"/>
      <c r="N1453" s="66"/>
      <c r="O1453" s="66"/>
      <c r="P1453" s="66"/>
      <c r="Q1453" s="66"/>
      <c r="R1453" s="66"/>
      <c r="S1453" s="66"/>
      <c r="T1453" s="66"/>
      <c r="U1453" s="66"/>
      <c r="V1453" s="66"/>
      <c r="W1453" s="66"/>
      <c r="X1453" s="66"/>
      <c r="Y1453" s="66"/>
      <c r="Z1453" s="66"/>
    </row>
    <row r="1454">
      <c r="A1454" s="66"/>
      <c r="B1454" s="66"/>
      <c r="C1454" s="66"/>
      <c r="D1454" s="66"/>
      <c r="E1454" s="66"/>
      <c r="F1454" s="66"/>
      <c r="G1454" s="66"/>
      <c r="H1454" s="66"/>
      <c r="I1454" s="66"/>
      <c r="J1454" s="66"/>
      <c r="K1454" s="66"/>
      <c r="L1454" s="66"/>
      <c r="M1454" s="66"/>
      <c r="N1454" s="66"/>
      <c r="O1454" s="66"/>
      <c r="P1454" s="66"/>
      <c r="Q1454" s="66"/>
      <c r="R1454" s="66"/>
      <c r="S1454" s="66"/>
      <c r="T1454" s="66"/>
      <c r="U1454" s="66"/>
      <c r="V1454" s="66"/>
      <c r="W1454" s="66"/>
      <c r="X1454" s="66"/>
      <c r="Y1454" s="66"/>
      <c r="Z1454" s="66"/>
    </row>
    <row r="1455">
      <c r="A1455" s="66"/>
      <c r="B1455" s="66"/>
      <c r="C1455" s="66"/>
      <c r="D1455" s="66"/>
      <c r="E1455" s="66"/>
      <c r="F1455" s="66"/>
      <c r="G1455" s="66"/>
      <c r="H1455" s="66"/>
      <c r="I1455" s="66"/>
      <c r="J1455" s="66"/>
      <c r="K1455" s="66"/>
      <c r="L1455" s="66"/>
      <c r="M1455" s="66"/>
      <c r="N1455" s="66"/>
      <c r="O1455" s="66"/>
      <c r="P1455" s="66"/>
      <c r="Q1455" s="66"/>
      <c r="R1455" s="66"/>
      <c r="S1455" s="66"/>
      <c r="T1455" s="66"/>
      <c r="U1455" s="66"/>
      <c r="V1455" s="66"/>
      <c r="W1455" s="66"/>
      <c r="X1455" s="66"/>
      <c r="Y1455" s="66"/>
      <c r="Z1455" s="66"/>
    </row>
    <row r="1456">
      <c r="A1456" s="66"/>
      <c r="B1456" s="66"/>
      <c r="C1456" s="66"/>
      <c r="D1456" s="66"/>
      <c r="E1456" s="66"/>
      <c r="F1456" s="66"/>
      <c r="G1456" s="66"/>
      <c r="H1456" s="66"/>
      <c r="I1456" s="66"/>
      <c r="J1456" s="66"/>
      <c r="K1456" s="66"/>
      <c r="L1456" s="66"/>
      <c r="M1456" s="66"/>
      <c r="N1456" s="66"/>
      <c r="O1456" s="66"/>
      <c r="P1456" s="66"/>
      <c r="Q1456" s="66"/>
      <c r="R1456" s="66"/>
      <c r="S1456" s="66"/>
      <c r="T1456" s="66"/>
      <c r="U1456" s="66"/>
      <c r="V1456" s="66"/>
      <c r="W1456" s="66"/>
      <c r="X1456" s="66"/>
      <c r="Y1456" s="66"/>
      <c r="Z1456" s="66"/>
    </row>
    <row r="1457">
      <c r="A1457" s="66"/>
      <c r="B1457" s="66"/>
      <c r="C1457" s="66"/>
      <c r="D1457" s="66"/>
      <c r="E1457" s="66"/>
      <c r="F1457" s="66"/>
      <c r="G1457" s="66"/>
      <c r="H1457" s="66"/>
      <c r="I1457" s="66"/>
      <c r="J1457" s="66"/>
      <c r="K1457" s="66"/>
      <c r="L1457" s="66"/>
      <c r="M1457" s="66"/>
      <c r="N1457" s="66"/>
      <c r="O1457" s="66"/>
      <c r="P1457" s="66"/>
      <c r="Q1457" s="66"/>
      <c r="R1457" s="66"/>
      <c r="S1457" s="66"/>
      <c r="T1457" s="66"/>
      <c r="U1457" s="66"/>
      <c r="V1457" s="66"/>
      <c r="W1457" s="66"/>
      <c r="X1457" s="66"/>
      <c r="Y1457" s="66"/>
      <c r="Z1457" s="66"/>
    </row>
    <row r="1458">
      <c r="A1458" s="66"/>
      <c r="B1458" s="66"/>
      <c r="C1458" s="66"/>
      <c r="D1458" s="66"/>
      <c r="E1458" s="66"/>
      <c r="F1458" s="66"/>
      <c r="G1458" s="66"/>
      <c r="H1458" s="66"/>
      <c r="I1458" s="66"/>
      <c r="J1458" s="66"/>
      <c r="K1458" s="66"/>
      <c r="L1458" s="66"/>
      <c r="M1458" s="66"/>
      <c r="N1458" s="66"/>
      <c r="O1458" s="66"/>
      <c r="P1458" s="66"/>
      <c r="Q1458" s="66"/>
      <c r="R1458" s="66"/>
      <c r="S1458" s="66"/>
      <c r="T1458" s="66"/>
      <c r="U1458" s="66"/>
      <c r="V1458" s="66"/>
      <c r="W1458" s="66"/>
      <c r="X1458" s="66"/>
      <c r="Y1458" s="66"/>
      <c r="Z1458" s="66"/>
    </row>
    <row r="1459">
      <c r="A1459" s="66"/>
      <c r="B1459" s="66"/>
      <c r="C1459" s="66"/>
      <c r="D1459" s="66"/>
      <c r="E1459" s="66"/>
      <c r="F1459" s="66"/>
      <c r="G1459" s="66"/>
      <c r="H1459" s="66"/>
      <c r="I1459" s="66"/>
      <c r="J1459" s="66"/>
      <c r="K1459" s="66"/>
      <c r="L1459" s="66"/>
      <c r="M1459" s="66"/>
      <c r="N1459" s="66"/>
      <c r="O1459" s="66"/>
      <c r="P1459" s="66"/>
      <c r="Q1459" s="66"/>
      <c r="R1459" s="66"/>
      <c r="S1459" s="66"/>
      <c r="T1459" s="66"/>
      <c r="U1459" s="66"/>
      <c r="V1459" s="66"/>
      <c r="W1459" s="66"/>
      <c r="X1459" s="66"/>
      <c r="Y1459" s="66"/>
      <c r="Z1459" s="66"/>
    </row>
    <row r="1460">
      <c r="A1460" s="66"/>
      <c r="B1460" s="66"/>
      <c r="C1460" s="66"/>
      <c r="D1460" s="66"/>
      <c r="E1460" s="66"/>
      <c r="F1460" s="66"/>
      <c r="G1460" s="66"/>
      <c r="H1460" s="66"/>
      <c r="I1460" s="66"/>
      <c r="J1460" s="66"/>
      <c r="K1460" s="66"/>
      <c r="L1460" s="66"/>
      <c r="M1460" s="66"/>
      <c r="N1460" s="66"/>
      <c r="O1460" s="66"/>
      <c r="P1460" s="66"/>
      <c r="Q1460" s="66"/>
      <c r="R1460" s="66"/>
      <c r="S1460" s="66"/>
      <c r="T1460" s="66"/>
      <c r="U1460" s="66"/>
      <c r="V1460" s="66"/>
      <c r="W1460" s="66"/>
      <c r="X1460" s="66"/>
      <c r="Y1460" s="66"/>
      <c r="Z1460" s="66"/>
    </row>
    <row r="1461">
      <c r="A1461" s="66"/>
      <c r="B1461" s="66"/>
      <c r="C1461" s="66"/>
      <c r="D1461" s="66"/>
      <c r="E1461" s="66"/>
      <c r="F1461" s="66"/>
      <c r="G1461" s="66"/>
      <c r="H1461" s="66"/>
      <c r="I1461" s="66"/>
      <c r="J1461" s="66"/>
      <c r="K1461" s="66"/>
      <c r="L1461" s="66"/>
      <c r="M1461" s="66"/>
      <c r="N1461" s="66"/>
      <c r="O1461" s="66"/>
      <c r="P1461" s="66"/>
      <c r="Q1461" s="66"/>
      <c r="R1461" s="66"/>
      <c r="S1461" s="66"/>
      <c r="T1461" s="66"/>
      <c r="U1461" s="66"/>
      <c r="V1461" s="66"/>
      <c r="W1461" s="66"/>
      <c r="X1461" s="66"/>
      <c r="Y1461" s="66"/>
      <c r="Z1461" s="66"/>
    </row>
    <row r="1462">
      <c r="A1462" s="66"/>
      <c r="B1462" s="66"/>
      <c r="C1462" s="66"/>
      <c r="D1462" s="66"/>
      <c r="E1462" s="66"/>
      <c r="F1462" s="66"/>
      <c r="G1462" s="66"/>
      <c r="H1462" s="66"/>
      <c r="I1462" s="66"/>
      <c r="J1462" s="66"/>
      <c r="K1462" s="66"/>
      <c r="L1462" s="66"/>
      <c r="M1462" s="66"/>
      <c r="N1462" s="66"/>
      <c r="O1462" s="66"/>
      <c r="P1462" s="66"/>
      <c r="Q1462" s="66"/>
      <c r="R1462" s="66"/>
      <c r="S1462" s="66"/>
      <c r="T1462" s="66"/>
      <c r="U1462" s="66"/>
      <c r="V1462" s="66"/>
      <c r="W1462" s="66"/>
      <c r="X1462" s="66"/>
      <c r="Y1462" s="66"/>
      <c r="Z1462" s="66"/>
    </row>
    <row r="1463">
      <c r="A1463" s="66"/>
      <c r="B1463" s="66"/>
      <c r="C1463" s="66"/>
      <c r="D1463" s="66"/>
      <c r="E1463" s="66"/>
      <c r="F1463" s="66"/>
      <c r="G1463" s="66"/>
      <c r="H1463" s="66"/>
      <c r="I1463" s="66"/>
      <c r="J1463" s="66"/>
      <c r="K1463" s="66"/>
      <c r="L1463" s="66"/>
      <c r="M1463" s="66"/>
      <c r="N1463" s="66"/>
      <c r="O1463" s="66"/>
      <c r="P1463" s="66"/>
      <c r="Q1463" s="66"/>
      <c r="R1463" s="66"/>
      <c r="S1463" s="66"/>
      <c r="T1463" s="66"/>
      <c r="U1463" s="66"/>
      <c r="V1463" s="66"/>
      <c r="W1463" s="66"/>
      <c r="X1463" s="66"/>
      <c r="Y1463" s="66"/>
      <c r="Z1463" s="66"/>
    </row>
    <row r="1464">
      <c r="A1464" s="66"/>
      <c r="B1464" s="66"/>
      <c r="C1464" s="66"/>
      <c r="D1464" s="66"/>
      <c r="E1464" s="66"/>
      <c r="F1464" s="66"/>
      <c r="G1464" s="66"/>
      <c r="H1464" s="66"/>
      <c r="I1464" s="66"/>
      <c r="J1464" s="66"/>
      <c r="K1464" s="66"/>
      <c r="L1464" s="66"/>
      <c r="M1464" s="66"/>
      <c r="N1464" s="66"/>
      <c r="O1464" s="66"/>
      <c r="P1464" s="66"/>
      <c r="Q1464" s="66"/>
      <c r="R1464" s="66"/>
      <c r="S1464" s="66"/>
      <c r="T1464" s="66"/>
      <c r="U1464" s="66"/>
      <c r="V1464" s="66"/>
      <c r="W1464" s="66"/>
      <c r="X1464" s="66"/>
      <c r="Y1464" s="66"/>
      <c r="Z1464" s="66"/>
    </row>
    <row r="1465">
      <c r="A1465" s="66"/>
      <c r="B1465" s="66"/>
      <c r="C1465" s="66"/>
      <c r="D1465" s="66"/>
      <c r="E1465" s="66"/>
      <c r="F1465" s="66"/>
      <c r="G1465" s="66"/>
      <c r="H1465" s="66"/>
      <c r="I1465" s="66"/>
      <c r="J1465" s="66"/>
      <c r="K1465" s="66"/>
      <c r="L1465" s="66"/>
      <c r="M1465" s="66"/>
      <c r="N1465" s="66"/>
      <c r="O1465" s="66"/>
      <c r="P1465" s="66"/>
      <c r="Q1465" s="66"/>
      <c r="R1465" s="66"/>
      <c r="S1465" s="66"/>
      <c r="T1465" s="66"/>
      <c r="U1465" s="66"/>
      <c r="V1465" s="66"/>
      <c r="W1465" s="66"/>
      <c r="X1465" s="66"/>
      <c r="Y1465" s="66"/>
      <c r="Z1465" s="66"/>
    </row>
    <row r="1466">
      <c r="A1466" s="66"/>
      <c r="B1466" s="66"/>
      <c r="C1466" s="66"/>
      <c r="D1466" s="66"/>
      <c r="E1466" s="66"/>
      <c r="F1466" s="66"/>
      <c r="G1466" s="66"/>
      <c r="H1466" s="66"/>
      <c r="I1466" s="66"/>
      <c r="J1466" s="66"/>
      <c r="K1466" s="66"/>
      <c r="L1466" s="66"/>
      <c r="M1466" s="66"/>
      <c r="N1466" s="66"/>
      <c r="O1466" s="66"/>
      <c r="P1466" s="66"/>
      <c r="Q1466" s="66"/>
      <c r="R1466" s="66"/>
      <c r="S1466" s="66"/>
      <c r="T1466" s="66"/>
      <c r="U1466" s="66"/>
      <c r="V1466" s="66"/>
      <c r="W1466" s="66"/>
      <c r="X1466" s="66"/>
      <c r="Y1466" s="66"/>
      <c r="Z1466" s="66"/>
    </row>
    <row r="1467">
      <c r="A1467" s="66"/>
      <c r="B1467" s="66"/>
      <c r="C1467" s="66"/>
      <c r="D1467" s="66"/>
      <c r="E1467" s="66"/>
      <c r="F1467" s="66"/>
      <c r="G1467" s="66"/>
      <c r="H1467" s="66"/>
      <c r="I1467" s="66"/>
      <c r="J1467" s="66"/>
      <c r="K1467" s="66"/>
      <c r="L1467" s="66"/>
      <c r="M1467" s="66"/>
      <c r="N1467" s="66"/>
      <c r="O1467" s="66"/>
      <c r="P1467" s="66"/>
      <c r="Q1467" s="66"/>
      <c r="R1467" s="66"/>
      <c r="S1467" s="66"/>
      <c r="T1467" s="66"/>
      <c r="U1467" s="66"/>
      <c r="V1467" s="66"/>
      <c r="W1467" s="66"/>
      <c r="X1467" s="66"/>
      <c r="Y1467" s="66"/>
      <c r="Z1467" s="66"/>
    </row>
    <row r="1468">
      <c r="A1468" s="66"/>
      <c r="B1468" s="66"/>
      <c r="C1468" s="66"/>
      <c r="D1468" s="66"/>
      <c r="E1468" s="66"/>
      <c r="F1468" s="66"/>
      <c r="G1468" s="66"/>
      <c r="H1468" s="66"/>
      <c r="I1468" s="66"/>
      <c r="J1468" s="66"/>
      <c r="K1468" s="66"/>
      <c r="L1468" s="66"/>
      <c r="M1468" s="66"/>
      <c r="N1468" s="66"/>
      <c r="O1468" s="66"/>
      <c r="P1468" s="66"/>
      <c r="Q1468" s="66"/>
      <c r="R1468" s="66"/>
      <c r="S1468" s="66"/>
      <c r="T1468" s="66"/>
      <c r="U1468" s="66"/>
      <c r="V1468" s="66"/>
      <c r="W1468" s="66"/>
      <c r="X1468" s="66"/>
      <c r="Y1468" s="66"/>
      <c r="Z1468" s="66"/>
    </row>
    <row r="1469">
      <c r="A1469" s="66"/>
      <c r="B1469" s="66"/>
      <c r="C1469" s="66"/>
      <c r="D1469" s="66"/>
      <c r="E1469" s="66"/>
      <c r="F1469" s="66"/>
      <c r="G1469" s="66"/>
      <c r="H1469" s="66"/>
      <c r="I1469" s="66"/>
      <c r="J1469" s="66"/>
      <c r="K1469" s="66"/>
      <c r="L1469" s="66"/>
      <c r="M1469" s="66"/>
      <c r="N1469" s="66"/>
      <c r="O1469" s="66"/>
      <c r="P1469" s="66"/>
      <c r="Q1469" s="66"/>
      <c r="R1469" s="66"/>
      <c r="S1469" s="66"/>
      <c r="T1469" s="66"/>
      <c r="U1469" s="66"/>
      <c r="V1469" s="66"/>
      <c r="W1469" s="66"/>
      <c r="X1469" s="66"/>
      <c r="Y1469" s="66"/>
      <c r="Z1469" s="66"/>
    </row>
    <row r="1470">
      <c r="A1470" s="66"/>
      <c r="B1470" s="66"/>
      <c r="C1470" s="66"/>
      <c r="D1470" s="66"/>
      <c r="E1470" s="66"/>
      <c r="F1470" s="66"/>
      <c r="G1470" s="66"/>
      <c r="H1470" s="66"/>
      <c r="I1470" s="66"/>
      <c r="J1470" s="66"/>
      <c r="K1470" s="66"/>
      <c r="L1470" s="66"/>
      <c r="M1470" s="66"/>
      <c r="N1470" s="66"/>
      <c r="O1470" s="66"/>
      <c r="P1470" s="66"/>
      <c r="Q1470" s="66"/>
      <c r="R1470" s="66"/>
      <c r="S1470" s="66"/>
      <c r="T1470" s="66"/>
      <c r="U1470" s="66"/>
      <c r="V1470" s="66"/>
      <c r="W1470" s="66"/>
      <c r="X1470" s="66"/>
      <c r="Y1470" s="66"/>
      <c r="Z1470" s="66"/>
    </row>
    <row r="1471">
      <c r="A1471" s="66"/>
      <c r="B1471" s="66"/>
      <c r="C1471" s="66"/>
      <c r="D1471" s="66"/>
      <c r="E1471" s="66"/>
      <c r="F1471" s="66"/>
      <c r="G1471" s="66"/>
      <c r="H1471" s="66"/>
      <c r="I1471" s="66"/>
      <c r="J1471" s="66"/>
      <c r="K1471" s="66"/>
      <c r="L1471" s="66"/>
      <c r="M1471" s="66"/>
      <c r="N1471" s="66"/>
      <c r="O1471" s="66"/>
      <c r="P1471" s="66"/>
      <c r="Q1471" s="66"/>
      <c r="R1471" s="66"/>
      <c r="S1471" s="66"/>
      <c r="T1471" s="66"/>
      <c r="U1471" s="66"/>
      <c r="V1471" s="66"/>
      <c r="W1471" s="66"/>
      <c r="X1471" s="66"/>
      <c r="Y1471" s="66"/>
      <c r="Z1471" s="66"/>
    </row>
    <row r="1472">
      <c r="A1472" s="66"/>
      <c r="B1472" s="66"/>
      <c r="C1472" s="66"/>
      <c r="D1472" s="66"/>
      <c r="E1472" s="66"/>
      <c r="F1472" s="66"/>
      <c r="G1472" s="66"/>
      <c r="H1472" s="66"/>
      <c r="I1472" s="66"/>
      <c r="J1472" s="66"/>
      <c r="K1472" s="66"/>
      <c r="L1472" s="66"/>
      <c r="M1472" s="66"/>
      <c r="N1472" s="66"/>
      <c r="O1472" s="66"/>
      <c r="P1472" s="66"/>
      <c r="Q1472" s="66"/>
      <c r="R1472" s="66"/>
      <c r="S1472" s="66"/>
      <c r="T1472" s="66"/>
      <c r="U1472" s="66"/>
      <c r="V1472" s="66"/>
      <c r="W1472" s="66"/>
      <c r="X1472" s="66"/>
      <c r="Y1472" s="66"/>
      <c r="Z1472" s="66"/>
    </row>
    <row r="1473">
      <c r="A1473" s="66"/>
      <c r="B1473" s="66"/>
      <c r="C1473" s="66"/>
      <c r="D1473" s="66"/>
      <c r="E1473" s="66"/>
      <c r="F1473" s="66"/>
      <c r="G1473" s="66"/>
      <c r="H1473" s="66"/>
      <c r="I1473" s="66"/>
      <c r="J1473" s="66"/>
      <c r="K1473" s="66"/>
      <c r="L1473" s="66"/>
      <c r="M1473" s="66"/>
      <c r="N1473" s="66"/>
      <c r="O1473" s="66"/>
      <c r="P1473" s="66"/>
      <c r="Q1473" s="66"/>
      <c r="R1473" s="66"/>
      <c r="S1473" s="66"/>
      <c r="T1473" s="66"/>
      <c r="U1473" s="66"/>
      <c r="V1473" s="66"/>
      <c r="W1473" s="66"/>
      <c r="X1473" s="66"/>
      <c r="Y1473" s="66"/>
      <c r="Z1473" s="66"/>
    </row>
    <row r="1474">
      <c r="A1474" s="66"/>
      <c r="B1474" s="66"/>
      <c r="C1474" s="66"/>
      <c r="D1474" s="66"/>
      <c r="E1474" s="66"/>
      <c r="F1474" s="66"/>
      <c r="G1474" s="66"/>
      <c r="H1474" s="66"/>
      <c r="I1474" s="66"/>
      <c r="J1474" s="66"/>
      <c r="K1474" s="66"/>
      <c r="L1474" s="66"/>
      <c r="M1474" s="66"/>
      <c r="N1474" s="66"/>
      <c r="O1474" s="66"/>
      <c r="P1474" s="66"/>
      <c r="Q1474" s="66"/>
      <c r="R1474" s="66"/>
      <c r="S1474" s="66"/>
      <c r="T1474" s="66"/>
      <c r="U1474" s="66"/>
      <c r="V1474" s="66"/>
      <c r="W1474" s="66"/>
      <c r="X1474" s="66"/>
      <c r="Y1474" s="66"/>
      <c r="Z1474" s="66"/>
    </row>
    <row r="1475">
      <c r="A1475" s="66"/>
      <c r="B1475" s="66"/>
      <c r="C1475" s="66"/>
      <c r="D1475" s="66"/>
      <c r="E1475" s="66"/>
      <c r="F1475" s="66"/>
      <c r="G1475" s="66"/>
      <c r="H1475" s="66"/>
      <c r="I1475" s="66"/>
      <c r="J1475" s="66"/>
      <c r="K1475" s="66"/>
      <c r="L1475" s="66"/>
      <c r="M1475" s="66"/>
      <c r="N1475" s="66"/>
      <c r="O1475" s="66"/>
      <c r="P1475" s="66"/>
      <c r="Q1475" s="66"/>
      <c r="R1475" s="66"/>
      <c r="S1475" s="66"/>
      <c r="T1475" s="66"/>
      <c r="U1475" s="66"/>
      <c r="V1475" s="66"/>
      <c r="W1475" s="66"/>
      <c r="X1475" s="66"/>
      <c r="Y1475" s="66"/>
      <c r="Z1475" s="66"/>
    </row>
    <row r="1476">
      <c r="A1476" s="66"/>
      <c r="B1476" s="66"/>
      <c r="C1476" s="66"/>
      <c r="D1476" s="66"/>
      <c r="E1476" s="66"/>
      <c r="F1476" s="66"/>
      <c r="G1476" s="66"/>
      <c r="H1476" s="66"/>
      <c r="I1476" s="66"/>
      <c r="J1476" s="66"/>
      <c r="K1476" s="66"/>
      <c r="L1476" s="66"/>
      <c r="M1476" s="66"/>
      <c r="N1476" s="66"/>
      <c r="O1476" s="66"/>
      <c r="P1476" s="66"/>
      <c r="Q1476" s="66"/>
      <c r="R1476" s="66"/>
      <c r="S1476" s="66"/>
      <c r="T1476" s="66"/>
      <c r="U1476" s="66"/>
      <c r="V1476" s="66"/>
      <c r="W1476" s="66"/>
      <c r="X1476" s="66"/>
      <c r="Y1476" s="66"/>
      <c r="Z1476" s="66"/>
    </row>
    <row r="1477">
      <c r="A1477" s="66"/>
      <c r="B1477" s="66"/>
      <c r="C1477" s="66"/>
      <c r="D1477" s="66"/>
      <c r="E1477" s="66"/>
      <c r="F1477" s="66"/>
      <c r="G1477" s="66"/>
      <c r="H1477" s="66"/>
      <c r="I1477" s="66"/>
      <c r="J1477" s="66"/>
      <c r="K1477" s="66"/>
      <c r="L1477" s="66"/>
      <c r="M1477" s="66"/>
      <c r="N1477" s="66"/>
      <c r="O1477" s="66"/>
      <c r="P1477" s="66"/>
      <c r="Q1477" s="66"/>
      <c r="R1477" s="66"/>
      <c r="S1477" s="66"/>
      <c r="T1477" s="66"/>
      <c r="U1477" s="66"/>
      <c r="V1477" s="66"/>
      <c r="W1477" s="66"/>
      <c r="X1477" s="66"/>
      <c r="Y1477" s="66"/>
      <c r="Z1477" s="66"/>
    </row>
    <row r="1478">
      <c r="A1478" s="66"/>
      <c r="B1478" s="66"/>
      <c r="C1478" s="66"/>
      <c r="D1478" s="66"/>
      <c r="E1478" s="66"/>
      <c r="F1478" s="66"/>
      <c r="G1478" s="66"/>
      <c r="H1478" s="66"/>
      <c r="I1478" s="66"/>
      <c r="J1478" s="66"/>
      <c r="K1478" s="66"/>
      <c r="L1478" s="66"/>
      <c r="M1478" s="66"/>
      <c r="N1478" s="66"/>
      <c r="O1478" s="66"/>
      <c r="P1478" s="66"/>
      <c r="Q1478" s="66"/>
      <c r="R1478" s="66"/>
      <c r="S1478" s="66"/>
      <c r="T1478" s="66"/>
      <c r="U1478" s="66"/>
      <c r="V1478" s="66"/>
      <c r="W1478" s="66"/>
      <c r="X1478" s="66"/>
      <c r="Y1478" s="66"/>
      <c r="Z1478" s="66"/>
    </row>
    <row r="1479">
      <c r="A1479" s="66"/>
      <c r="B1479" s="66"/>
      <c r="C1479" s="66"/>
      <c r="D1479" s="66"/>
      <c r="E1479" s="66"/>
      <c r="F1479" s="66"/>
      <c r="G1479" s="66"/>
      <c r="H1479" s="66"/>
      <c r="I1479" s="66"/>
      <c r="J1479" s="66"/>
      <c r="K1479" s="66"/>
      <c r="L1479" s="66"/>
      <c r="M1479" s="66"/>
      <c r="N1479" s="66"/>
      <c r="O1479" s="66"/>
      <c r="P1479" s="66"/>
      <c r="Q1479" s="66"/>
      <c r="R1479" s="66"/>
      <c r="S1479" s="66"/>
      <c r="T1479" s="66"/>
      <c r="U1479" s="66"/>
      <c r="V1479" s="66"/>
      <c r="W1479" s="66"/>
      <c r="X1479" s="66"/>
      <c r="Y1479" s="66"/>
      <c r="Z1479" s="66"/>
    </row>
    <row r="1480">
      <c r="A1480" s="66"/>
      <c r="B1480" s="66"/>
      <c r="C1480" s="66"/>
      <c r="D1480" s="66"/>
      <c r="E1480" s="66"/>
      <c r="F1480" s="66"/>
      <c r="G1480" s="66"/>
      <c r="H1480" s="66"/>
      <c r="I1480" s="66"/>
      <c r="J1480" s="66"/>
      <c r="K1480" s="66"/>
      <c r="L1480" s="66"/>
      <c r="M1480" s="66"/>
      <c r="N1480" s="66"/>
      <c r="O1480" s="66"/>
      <c r="P1480" s="66"/>
      <c r="Q1480" s="66"/>
      <c r="R1480" s="66"/>
      <c r="S1480" s="66"/>
      <c r="T1480" s="66"/>
      <c r="U1480" s="66"/>
      <c r="V1480" s="66"/>
      <c r="W1480" s="66"/>
      <c r="X1480" s="66"/>
      <c r="Y1480" s="66"/>
      <c r="Z1480" s="66"/>
    </row>
    <row r="1481">
      <c r="A1481" s="66"/>
      <c r="B1481" s="66"/>
      <c r="C1481" s="66"/>
      <c r="D1481" s="66"/>
      <c r="E1481" s="66"/>
      <c r="F1481" s="66"/>
      <c r="G1481" s="66"/>
      <c r="H1481" s="66"/>
      <c r="I1481" s="66"/>
      <c r="J1481" s="66"/>
      <c r="K1481" s="66"/>
      <c r="L1481" s="66"/>
      <c r="M1481" s="66"/>
      <c r="N1481" s="66"/>
      <c r="O1481" s="66"/>
      <c r="P1481" s="66"/>
      <c r="Q1481" s="66"/>
      <c r="R1481" s="66"/>
      <c r="S1481" s="66"/>
      <c r="T1481" s="66"/>
      <c r="U1481" s="66"/>
      <c r="V1481" s="66"/>
      <c r="W1481" s="66"/>
      <c r="X1481" s="66"/>
      <c r="Y1481" s="66"/>
      <c r="Z1481" s="66"/>
    </row>
    <row r="1482">
      <c r="A1482" s="66"/>
      <c r="B1482" s="66"/>
      <c r="C1482" s="66"/>
      <c r="D1482" s="66"/>
      <c r="E1482" s="66"/>
      <c r="F1482" s="66"/>
      <c r="G1482" s="66"/>
      <c r="H1482" s="66"/>
      <c r="I1482" s="66"/>
      <c r="J1482" s="66"/>
      <c r="K1482" s="66"/>
      <c r="L1482" s="66"/>
      <c r="M1482" s="66"/>
      <c r="N1482" s="66"/>
      <c r="O1482" s="66"/>
      <c r="P1482" s="66"/>
      <c r="Q1482" s="66"/>
      <c r="R1482" s="66"/>
      <c r="S1482" s="66"/>
      <c r="T1482" s="66"/>
      <c r="U1482" s="66"/>
      <c r="V1482" s="66"/>
      <c r="W1482" s="66"/>
      <c r="X1482" s="66"/>
      <c r="Y1482" s="66"/>
      <c r="Z1482" s="66"/>
    </row>
    <row r="1483">
      <c r="A1483" s="66"/>
      <c r="B1483" s="66"/>
      <c r="C1483" s="66"/>
      <c r="D1483" s="66"/>
      <c r="E1483" s="66"/>
      <c r="F1483" s="66"/>
      <c r="G1483" s="66"/>
      <c r="H1483" s="66"/>
      <c r="I1483" s="66"/>
      <c r="J1483" s="66"/>
      <c r="K1483" s="66"/>
      <c r="L1483" s="66"/>
      <c r="M1483" s="66"/>
      <c r="N1483" s="66"/>
      <c r="O1483" s="66"/>
      <c r="P1483" s="66"/>
      <c r="Q1483" s="66"/>
      <c r="R1483" s="66"/>
      <c r="S1483" s="66"/>
      <c r="T1483" s="66"/>
      <c r="U1483" s="66"/>
      <c r="V1483" s="66"/>
      <c r="W1483" s="66"/>
      <c r="X1483" s="66"/>
      <c r="Y1483" s="66"/>
      <c r="Z1483" s="66"/>
    </row>
    <row r="1484">
      <c r="A1484" s="66"/>
      <c r="B1484" s="66"/>
      <c r="C1484" s="66"/>
      <c r="D1484" s="66"/>
      <c r="E1484" s="66"/>
      <c r="F1484" s="66"/>
      <c r="G1484" s="66"/>
      <c r="H1484" s="66"/>
      <c r="I1484" s="66"/>
      <c r="J1484" s="66"/>
      <c r="K1484" s="66"/>
      <c r="L1484" s="66"/>
      <c r="M1484" s="66"/>
      <c r="N1484" s="66"/>
      <c r="O1484" s="66"/>
      <c r="P1484" s="66"/>
      <c r="Q1484" s="66"/>
      <c r="R1484" s="66"/>
      <c r="S1484" s="66"/>
      <c r="T1484" s="66"/>
      <c r="U1484" s="66"/>
      <c r="V1484" s="66"/>
      <c r="W1484" s="66"/>
      <c r="X1484" s="66"/>
      <c r="Y1484" s="66"/>
      <c r="Z1484" s="66"/>
    </row>
    <row r="1485">
      <c r="A1485" s="66"/>
      <c r="B1485" s="66"/>
      <c r="C1485" s="66"/>
      <c r="D1485" s="66"/>
      <c r="E1485" s="66"/>
      <c r="F1485" s="66"/>
      <c r="G1485" s="66"/>
      <c r="H1485" s="66"/>
      <c r="I1485" s="66"/>
      <c r="J1485" s="66"/>
      <c r="K1485" s="66"/>
      <c r="L1485" s="66"/>
      <c r="M1485" s="66"/>
      <c r="N1485" s="66"/>
      <c r="O1485" s="66"/>
      <c r="P1485" s="66"/>
      <c r="Q1485" s="66"/>
      <c r="R1485" s="66"/>
      <c r="S1485" s="66"/>
      <c r="T1485" s="66"/>
      <c r="U1485" s="66"/>
      <c r="V1485" s="66"/>
      <c r="W1485" s="66"/>
      <c r="X1485" s="66"/>
      <c r="Y1485" s="66"/>
      <c r="Z1485" s="66"/>
    </row>
    <row r="1486">
      <c r="A1486" s="66"/>
      <c r="B1486" s="66"/>
      <c r="C1486" s="66"/>
      <c r="D1486" s="66"/>
      <c r="E1486" s="66"/>
      <c r="F1486" s="66"/>
      <c r="G1486" s="66"/>
      <c r="H1486" s="66"/>
      <c r="I1486" s="66"/>
      <c r="J1486" s="66"/>
      <c r="K1486" s="66"/>
      <c r="L1486" s="66"/>
      <c r="M1486" s="66"/>
      <c r="N1486" s="66"/>
      <c r="O1486" s="66"/>
      <c r="P1486" s="66"/>
      <c r="Q1486" s="66"/>
      <c r="R1486" s="66"/>
      <c r="S1486" s="66"/>
      <c r="T1486" s="66"/>
      <c r="U1486" s="66"/>
      <c r="V1486" s="66"/>
      <c r="W1486" s="66"/>
      <c r="X1486" s="66"/>
      <c r="Y1486" s="66"/>
      <c r="Z1486" s="66"/>
    </row>
    <row r="1487">
      <c r="A1487" s="66"/>
      <c r="B1487" s="66"/>
      <c r="C1487" s="66"/>
      <c r="D1487" s="66"/>
      <c r="E1487" s="66"/>
      <c r="F1487" s="66"/>
      <c r="G1487" s="66"/>
      <c r="H1487" s="66"/>
      <c r="I1487" s="66"/>
      <c r="J1487" s="66"/>
      <c r="K1487" s="66"/>
      <c r="L1487" s="66"/>
      <c r="M1487" s="66"/>
      <c r="N1487" s="66"/>
      <c r="O1487" s="66"/>
      <c r="P1487" s="66"/>
      <c r="Q1487" s="66"/>
      <c r="R1487" s="66"/>
      <c r="S1487" s="66"/>
      <c r="T1487" s="66"/>
      <c r="U1487" s="66"/>
      <c r="V1487" s="66"/>
      <c r="W1487" s="66"/>
      <c r="X1487" s="66"/>
      <c r="Y1487" s="66"/>
      <c r="Z1487" s="66"/>
    </row>
    <row r="1488">
      <c r="A1488" s="66"/>
      <c r="B1488" s="66"/>
      <c r="C1488" s="66"/>
      <c r="D1488" s="66"/>
      <c r="E1488" s="66"/>
      <c r="F1488" s="66"/>
      <c r="G1488" s="66"/>
      <c r="H1488" s="66"/>
      <c r="I1488" s="66"/>
      <c r="J1488" s="66"/>
      <c r="K1488" s="66"/>
      <c r="L1488" s="66"/>
      <c r="M1488" s="66"/>
      <c r="N1488" s="66"/>
      <c r="O1488" s="66"/>
      <c r="P1488" s="66"/>
      <c r="Q1488" s="66"/>
      <c r="R1488" s="66"/>
      <c r="S1488" s="66"/>
      <c r="T1488" s="66"/>
      <c r="U1488" s="66"/>
      <c r="V1488" s="66"/>
      <c r="W1488" s="66"/>
      <c r="X1488" s="66"/>
      <c r="Y1488" s="66"/>
      <c r="Z1488" s="66"/>
    </row>
    <row r="1489">
      <c r="A1489" s="66"/>
      <c r="B1489" s="66"/>
      <c r="C1489" s="66"/>
      <c r="D1489" s="66"/>
      <c r="E1489" s="66"/>
      <c r="F1489" s="66"/>
      <c r="G1489" s="66"/>
      <c r="H1489" s="66"/>
      <c r="I1489" s="66"/>
      <c r="J1489" s="66"/>
      <c r="K1489" s="66"/>
      <c r="L1489" s="66"/>
      <c r="M1489" s="66"/>
      <c r="N1489" s="66"/>
      <c r="O1489" s="66"/>
      <c r="P1489" s="66"/>
      <c r="Q1489" s="66"/>
      <c r="R1489" s="66"/>
      <c r="S1489" s="66"/>
      <c r="T1489" s="66"/>
      <c r="U1489" s="66"/>
      <c r="V1489" s="66"/>
      <c r="W1489" s="66"/>
      <c r="X1489" s="66"/>
      <c r="Y1489" s="66"/>
      <c r="Z1489" s="66"/>
    </row>
    <row r="1490">
      <c r="A1490" s="66"/>
      <c r="B1490" s="66"/>
      <c r="C1490" s="66"/>
      <c r="D1490" s="66"/>
      <c r="E1490" s="66"/>
      <c r="F1490" s="66"/>
      <c r="G1490" s="66"/>
      <c r="H1490" s="66"/>
      <c r="I1490" s="66"/>
      <c r="J1490" s="66"/>
      <c r="K1490" s="66"/>
      <c r="L1490" s="66"/>
      <c r="M1490" s="66"/>
      <c r="N1490" s="66"/>
      <c r="O1490" s="66"/>
      <c r="P1490" s="66"/>
      <c r="Q1490" s="66"/>
      <c r="R1490" s="66"/>
      <c r="S1490" s="66"/>
      <c r="T1490" s="66"/>
      <c r="U1490" s="66"/>
      <c r="V1490" s="66"/>
      <c r="W1490" s="66"/>
      <c r="X1490" s="66"/>
      <c r="Y1490" s="66"/>
      <c r="Z1490" s="66"/>
    </row>
    <row r="1491">
      <c r="A1491" s="66"/>
      <c r="B1491" s="66"/>
      <c r="C1491" s="66"/>
      <c r="D1491" s="66"/>
      <c r="E1491" s="66"/>
      <c r="F1491" s="66"/>
      <c r="G1491" s="66"/>
      <c r="H1491" s="66"/>
      <c r="I1491" s="66"/>
      <c r="J1491" s="66"/>
      <c r="K1491" s="66"/>
      <c r="L1491" s="66"/>
      <c r="M1491" s="66"/>
      <c r="N1491" s="66"/>
      <c r="O1491" s="66"/>
      <c r="P1491" s="66"/>
      <c r="Q1491" s="66"/>
      <c r="R1491" s="66"/>
      <c r="S1491" s="66"/>
      <c r="T1491" s="66"/>
      <c r="U1491" s="66"/>
      <c r="V1491" s="66"/>
      <c r="W1491" s="66"/>
      <c r="X1491" s="66"/>
      <c r="Y1491" s="66"/>
      <c r="Z1491" s="66"/>
    </row>
    <row r="1492">
      <c r="A1492" s="66"/>
      <c r="B1492" s="66"/>
      <c r="C1492" s="66"/>
      <c r="D1492" s="66"/>
      <c r="E1492" s="66"/>
      <c r="F1492" s="66"/>
      <c r="G1492" s="66"/>
      <c r="H1492" s="66"/>
      <c r="I1492" s="66"/>
      <c r="J1492" s="66"/>
      <c r="K1492" s="66"/>
      <c r="L1492" s="66"/>
      <c r="M1492" s="66"/>
      <c r="N1492" s="66"/>
      <c r="O1492" s="66"/>
      <c r="P1492" s="66"/>
      <c r="Q1492" s="66"/>
      <c r="R1492" s="66"/>
      <c r="S1492" s="66"/>
      <c r="T1492" s="66"/>
      <c r="U1492" s="66"/>
      <c r="V1492" s="66"/>
      <c r="W1492" s="66"/>
      <c r="X1492" s="66"/>
      <c r="Y1492" s="66"/>
      <c r="Z1492" s="66"/>
    </row>
    <row r="1493">
      <c r="A1493" s="66"/>
      <c r="B1493" s="66"/>
      <c r="C1493" s="66"/>
      <c r="D1493" s="66"/>
      <c r="E1493" s="66"/>
      <c r="F1493" s="66"/>
      <c r="G1493" s="66"/>
      <c r="H1493" s="66"/>
      <c r="I1493" s="66"/>
      <c r="J1493" s="66"/>
      <c r="K1493" s="66"/>
      <c r="L1493" s="66"/>
      <c r="M1493" s="66"/>
      <c r="N1493" s="66"/>
      <c r="O1493" s="66"/>
      <c r="P1493" s="66"/>
      <c r="Q1493" s="66"/>
      <c r="R1493" s="66"/>
      <c r="S1493" s="66"/>
      <c r="T1493" s="66"/>
      <c r="U1493" s="66"/>
      <c r="V1493" s="66"/>
      <c r="W1493" s="66"/>
      <c r="X1493" s="66"/>
      <c r="Y1493" s="66"/>
      <c r="Z1493" s="66"/>
    </row>
    <row r="1494">
      <c r="A1494" s="66"/>
      <c r="B1494" s="66"/>
      <c r="C1494" s="66"/>
      <c r="D1494" s="66"/>
      <c r="E1494" s="66"/>
      <c r="F1494" s="66"/>
      <c r="G1494" s="66"/>
      <c r="H1494" s="66"/>
      <c r="I1494" s="66"/>
      <c r="J1494" s="66"/>
      <c r="K1494" s="66"/>
      <c r="L1494" s="66"/>
      <c r="M1494" s="66"/>
      <c r="N1494" s="66"/>
      <c r="O1494" s="66"/>
      <c r="P1494" s="66"/>
      <c r="Q1494" s="66"/>
      <c r="R1494" s="66"/>
      <c r="S1494" s="66"/>
      <c r="T1494" s="66"/>
      <c r="U1494" s="66"/>
      <c r="V1494" s="66"/>
      <c r="W1494" s="66"/>
      <c r="X1494" s="66"/>
      <c r="Y1494" s="66"/>
      <c r="Z1494" s="66"/>
    </row>
    <row r="1495">
      <c r="A1495" s="66"/>
      <c r="B1495" s="66"/>
      <c r="C1495" s="66"/>
      <c r="D1495" s="66"/>
      <c r="E1495" s="66"/>
      <c r="F1495" s="66"/>
      <c r="G1495" s="66"/>
      <c r="H1495" s="66"/>
      <c r="I1495" s="66"/>
      <c r="J1495" s="66"/>
      <c r="K1495" s="66"/>
      <c r="L1495" s="66"/>
      <c r="M1495" s="66"/>
      <c r="N1495" s="66"/>
      <c r="O1495" s="66"/>
      <c r="P1495" s="66"/>
      <c r="Q1495" s="66"/>
      <c r="R1495" s="66"/>
      <c r="S1495" s="66"/>
      <c r="T1495" s="66"/>
      <c r="U1495" s="66"/>
      <c r="V1495" s="66"/>
      <c r="W1495" s="66"/>
      <c r="X1495" s="66"/>
      <c r="Y1495" s="66"/>
      <c r="Z1495" s="66"/>
    </row>
    <row r="1496">
      <c r="A1496" s="66"/>
      <c r="B1496" s="66"/>
      <c r="C1496" s="66"/>
      <c r="D1496" s="66"/>
      <c r="E1496" s="66"/>
      <c r="F1496" s="66"/>
      <c r="G1496" s="66"/>
      <c r="H1496" s="66"/>
      <c r="I1496" s="66"/>
      <c r="J1496" s="66"/>
      <c r="K1496" s="66"/>
      <c r="L1496" s="66"/>
      <c r="M1496" s="66"/>
      <c r="N1496" s="66"/>
      <c r="O1496" s="66"/>
      <c r="P1496" s="66"/>
      <c r="Q1496" s="66"/>
      <c r="R1496" s="66"/>
      <c r="S1496" s="66"/>
      <c r="T1496" s="66"/>
      <c r="U1496" s="66"/>
      <c r="V1496" s="66"/>
      <c r="W1496" s="66"/>
      <c r="X1496" s="66"/>
      <c r="Y1496" s="66"/>
      <c r="Z1496" s="66"/>
    </row>
    <row r="1497">
      <c r="A1497" s="66"/>
      <c r="B1497" s="66"/>
      <c r="C1497" s="66"/>
      <c r="D1497" s="66"/>
      <c r="E1497" s="66"/>
      <c r="F1497" s="66"/>
      <c r="G1497" s="66"/>
      <c r="H1497" s="66"/>
      <c r="I1497" s="66"/>
      <c r="J1497" s="66"/>
      <c r="K1497" s="66"/>
      <c r="L1497" s="66"/>
      <c r="M1497" s="66"/>
      <c r="N1497" s="66"/>
      <c r="O1497" s="66"/>
      <c r="P1497" s="66"/>
      <c r="Q1497" s="66"/>
      <c r="R1497" s="66"/>
      <c r="S1497" s="66"/>
      <c r="T1497" s="66"/>
      <c r="U1497" s="66"/>
      <c r="V1497" s="66"/>
      <c r="W1497" s="66"/>
      <c r="X1497" s="66"/>
      <c r="Y1497" s="66"/>
      <c r="Z1497" s="66"/>
    </row>
    <row r="1498">
      <c r="A1498" s="66"/>
      <c r="B1498" s="66"/>
      <c r="C1498" s="66"/>
      <c r="D1498" s="66"/>
      <c r="E1498" s="66"/>
      <c r="F1498" s="66"/>
      <c r="G1498" s="66"/>
      <c r="H1498" s="66"/>
      <c r="I1498" s="66"/>
      <c r="J1498" s="66"/>
      <c r="K1498" s="66"/>
      <c r="L1498" s="66"/>
      <c r="M1498" s="66"/>
      <c r="N1498" s="66"/>
      <c r="O1498" s="66"/>
      <c r="P1498" s="66"/>
      <c r="Q1498" s="66"/>
      <c r="R1498" s="66"/>
      <c r="S1498" s="66"/>
      <c r="T1498" s="66"/>
      <c r="U1498" s="66"/>
      <c r="V1498" s="66"/>
      <c r="W1498" s="66"/>
      <c r="X1498" s="66"/>
      <c r="Y1498" s="66"/>
      <c r="Z1498" s="66"/>
    </row>
    <row r="1499">
      <c r="A1499" s="66"/>
      <c r="B1499" s="66"/>
      <c r="C1499" s="66"/>
      <c r="D1499" s="66"/>
      <c r="E1499" s="66"/>
      <c r="F1499" s="66"/>
      <c r="G1499" s="66"/>
      <c r="H1499" s="66"/>
      <c r="I1499" s="66"/>
      <c r="J1499" s="66"/>
      <c r="K1499" s="66"/>
      <c r="L1499" s="66"/>
      <c r="M1499" s="66"/>
      <c r="N1499" s="66"/>
      <c r="O1499" s="66"/>
      <c r="P1499" s="66"/>
      <c r="Q1499" s="66"/>
      <c r="R1499" s="66"/>
      <c r="S1499" s="66"/>
      <c r="T1499" s="66"/>
      <c r="U1499" s="66"/>
      <c r="V1499" s="66"/>
      <c r="W1499" s="66"/>
      <c r="X1499" s="66"/>
      <c r="Y1499" s="66"/>
      <c r="Z1499" s="66"/>
    </row>
    <row r="1500">
      <c r="A1500" s="66"/>
      <c r="B1500" s="66"/>
      <c r="C1500" s="66"/>
      <c r="D1500" s="66"/>
      <c r="E1500" s="66"/>
      <c r="F1500" s="66"/>
      <c r="G1500" s="66"/>
      <c r="H1500" s="66"/>
      <c r="I1500" s="66"/>
      <c r="J1500" s="66"/>
      <c r="K1500" s="66"/>
      <c r="L1500" s="66"/>
      <c r="M1500" s="66"/>
      <c r="N1500" s="66"/>
      <c r="O1500" s="66"/>
      <c r="P1500" s="66"/>
      <c r="Q1500" s="66"/>
      <c r="R1500" s="66"/>
      <c r="S1500" s="66"/>
      <c r="T1500" s="66"/>
      <c r="U1500" s="66"/>
      <c r="V1500" s="66"/>
      <c r="W1500" s="66"/>
      <c r="X1500" s="66"/>
      <c r="Y1500" s="66"/>
      <c r="Z1500" s="66"/>
    </row>
    <row r="1501">
      <c r="A1501" s="66"/>
      <c r="B1501" s="66"/>
      <c r="C1501" s="66"/>
      <c r="D1501" s="66"/>
      <c r="E1501" s="66"/>
      <c r="F1501" s="66"/>
      <c r="G1501" s="66"/>
      <c r="H1501" s="66"/>
      <c r="I1501" s="66"/>
      <c r="J1501" s="66"/>
      <c r="K1501" s="66"/>
      <c r="L1501" s="66"/>
      <c r="M1501" s="66"/>
      <c r="N1501" s="66"/>
      <c r="O1501" s="66"/>
      <c r="P1501" s="66"/>
      <c r="Q1501" s="66"/>
      <c r="R1501" s="66"/>
      <c r="S1501" s="66"/>
      <c r="T1501" s="66"/>
      <c r="U1501" s="66"/>
      <c r="V1501" s="66"/>
      <c r="W1501" s="66"/>
      <c r="X1501" s="66"/>
      <c r="Y1501" s="66"/>
      <c r="Z1501" s="66"/>
    </row>
    <row r="1502">
      <c r="A1502" s="66"/>
      <c r="B1502" s="66"/>
      <c r="C1502" s="66"/>
      <c r="D1502" s="66"/>
      <c r="E1502" s="66"/>
      <c r="F1502" s="66"/>
      <c r="G1502" s="66"/>
      <c r="H1502" s="66"/>
      <c r="I1502" s="66"/>
      <c r="J1502" s="66"/>
      <c r="K1502" s="66"/>
      <c r="L1502" s="66"/>
      <c r="M1502" s="66"/>
      <c r="N1502" s="66"/>
      <c r="O1502" s="66"/>
      <c r="P1502" s="66"/>
      <c r="Q1502" s="66"/>
      <c r="R1502" s="66"/>
      <c r="S1502" s="66"/>
      <c r="T1502" s="66"/>
      <c r="U1502" s="66"/>
      <c r="V1502" s="66"/>
      <c r="W1502" s="66"/>
      <c r="X1502" s="66"/>
      <c r="Y1502" s="66"/>
      <c r="Z1502" s="66"/>
    </row>
    <row r="1503">
      <c r="A1503" s="66"/>
      <c r="B1503" s="66"/>
      <c r="C1503" s="66"/>
      <c r="D1503" s="66"/>
      <c r="E1503" s="66"/>
      <c r="F1503" s="66"/>
      <c r="G1503" s="66"/>
      <c r="H1503" s="66"/>
      <c r="I1503" s="66"/>
      <c r="J1503" s="66"/>
      <c r="K1503" s="66"/>
      <c r="L1503" s="66"/>
      <c r="M1503" s="66"/>
      <c r="N1503" s="66"/>
      <c r="O1503" s="66"/>
      <c r="P1503" s="66"/>
      <c r="Q1503" s="66"/>
      <c r="R1503" s="66"/>
      <c r="S1503" s="66"/>
      <c r="T1503" s="66"/>
      <c r="U1503" s="66"/>
      <c r="V1503" s="66"/>
      <c r="W1503" s="66"/>
      <c r="X1503" s="66"/>
      <c r="Y1503" s="66"/>
      <c r="Z1503" s="66"/>
    </row>
    <row r="1504">
      <c r="A1504" s="66"/>
      <c r="B1504" s="66"/>
      <c r="C1504" s="66"/>
      <c r="D1504" s="66"/>
      <c r="E1504" s="66"/>
      <c r="F1504" s="66"/>
      <c r="G1504" s="66"/>
      <c r="H1504" s="66"/>
      <c r="I1504" s="66"/>
      <c r="J1504" s="66"/>
      <c r="K1504" s="66"/>
      <c r="L1504" s="66"/>
      <c r="M1504" s="66"/>
      <c r="N1504" s="66"/>
      <c r="O1504" s="66"/>
      <c r="P1504" s="66"/>
      <c r="Q1504" s="66"/>
      <c r="R1504" s="66"/>
      <c r="S1504" s="66"/>
      <c r="T1504" s="66"/>
      <c r="U1504" s="66"/>
      <c r="V1504" s="66"/>
      <c r="W1504" s="66"/>
      <c r="X1504" s="66"/>
      <c r="Y1504" s="66"/>
      <c r="Z1504" s="66"/>
    </row>
    <row r="1505">
      <c r="A1505" s="66"/>
      <c r="B1505" s="66"/>
      <c r="C1505" s="66"/>
      <c r="D1505" s="66"/>
      <c r="E1505" s="66"/>
      <c r="F1505" s="66"/>
      <c r="G1505" s="66"/>
      <c r="H1505" s="66"/>
      <c r="I1505" s="66"/>
      <c r="J1505" s="66"/>
      <c r="K1505" s="66"/>
      <c r="L1505" s="66"/>
      <c r="M1505" s="66"/>
      <c r="N1505" s="66"/>
      <c r="O1505" s="66"/>
      <c r="P1505" s="66"/>
      <c r="Q1505" s="66"/>
      <c r="R1505" s="66"/>
      <c r="S1505" s="66"/>
      <c r="T1505" s="66"/>
      <c r="U1505" s="66"/>
      <c r="V1505" s="66"/>
      <c r="W1505" s="66"/>
      <c r="X1505" s="66"/>
      <c r="Y1505" s="66"/>
      <c r="Z1505" s="66"/>
    </row>
    <row r="1506">
      <c r="A1506" s="66"/>
      <c r="B1506" s="66"/>
      <c r="C1506" s="66"/>
      <c r="D1506" s="66"/>
      <c r="E1506" s="66"/>
      <c r="F1506" s="66"/>
      <c r="G1506" s="66"/>
      <c r="H1506" s="66"/>
      <c r="I1506" s="66"/>
      <c r="J1506" s="66"/>
      <c r="K1506" s="66"/>
      <c r="L1506" s="66"/>
      <c r="M1506" s="66"/>
      <c r="N1506" s="66"/>
      <c r="O1506" s="66"/>
      <c r="P1506" s="66"/>
      <c r="Q1506" s="66"/>
      <c r="R1506" s="66"/>
      <c r="S1506" s="66"/>
      <c r="T1506" s="66"/>
      <c r="U1506" s="66"/>
      <c r="V1506" s="66"/>
      <c r="W1506" s="66"/>
      <c r="X1506" s="66"/>
      <c r="Y1506" s="66"/>
      <c r="Z1506" s="66"/>
    </row>
    <row r="1507">
      <c r="A1507" s="66"/>
      <c r="B1507" s="66"/>
      <c r="C1507" s="66"/>
      <c r="D1507" s="66"/>
      <c r="E1507" s="66"/>
      <c r="F1507" s="66"/>
      <c r="G1507" s="66"/>
      <c r="H1507" s="66"/>
      <c r="I1507" s="66"/>
      <c r="J1507" s="66"/>
      <c r="K1507" s="66"/>
      <c r="L1507" s="66"/>
      <c r="M1507" s="66"/>
      <c r="N1507" s="66"/>
      <c r="O1507" s="66"/>
      <c r="P1507" s="66"/>
      <c r="Q1507" s="66"/>
      <c r="R1507" s="66"/>
      <c r="S1507" s="66"/>
      <c r="T1507" s="66"/>
      <c r="U1507" s="66"/>
      <c r="V1507" s="66"/>
      <c r="W1507" s="66"/>
      <c r="X1507" s="66"/>
      <c r="Y1507" s="66"/>
      <c r="Z1507" s="66"/>
    </row>
    <row r="1508">
      <c r="A1508" s="66"/>
      <c r="B1508" s="66"/>
      <c r="C1508" s="66"/>
      <c r="D1508" s="66"/>
      <c r="E1508" s="66"/>
      <c r="F1508" s="66"/>
      <c r="G1508" s="66"/>
      <c r="H1508" s="66"/>
      <c r="I1508" s="66"/>
      <c r="J1508" s="66"/>
      <c r="K1508" s="66"/>
      <c r="L1508" s="66"/>
      <c r="M1508" s="66"/>
      <c r="N1508" s="66"/>
      <c r="O1508" s="66"/>
      <c r="P1508" s="66"/>
      <c r="Q1508" s="66"/>
      <c r="R1508" s="66"/>
      <c r="S1508" s="66"/>
      <c r="T1508" s="66"/>
      <c r="U1508" s="66"/>
      <c r="V1508" s="66"/>
      <c r="W1508" s="66"/>
      <c r="X1508" s="66"/>
      <c r="Y1508" s="66"/>
      <c r="Z1508" s="66"/>
    </row>
    <row r="1509">
      <c r="A1509" s="66"/>
      <c r="B1509" s="66"/>
      <c r="C1509" s="66"/>
      <c r="D1509" s="66"/>
      <c r="E1509" s="66"/>
      <c r="F1509" s="66"/>
      <c r="G1509" s="66"/>
      <c r="H1509" s="66"/>
      <c r="I1509" s="66"/>
      <c r="J1509" s="66"/>
      <c r="K1509" s="66"/>
      <c r="L1509" s="66"/>
      <c r="M1509" s="66"/>
      <c r="N1509" s="66"/>
      <c r="O1509" s="66"/>
      <c r="P1509" s="66"/>
      <c r="Q1509" s="66"/>
      <c r="R1509" s="66"/>
      <c r="S1509" s="66"/>
      <c r="T1509" s="66"/>
      <c r="U1509" s="66"/>
      <c r="V1509" s="66"/>
      <c r="W1509" s="66"/>
      <c r="X1509" s="66"/>
      <c r="Y1509" s="66"/>
      <c r="Z1509" s="66"/>
    </row>
    <row r="1510">
      <c r="A1510" s="66"/>
      <c r="B1510" s="66"/>
      <c r="C1510" s="66"/>
      <c r="D1510" s="66"/>
      <c r="E1510" s="66"/>
      <c r="F1510" s="66"/>
      <c r="G1510" s="66"/>
      <c r="H1510" s="66"/>
      <c r="I1510" s="66"/>
      <c r="J1510" s="66"/>
      <c r="K1510" s="66"/>
      <c r="L1510" s="66"/>
      <c r="M1510" s="66"/>
      <c r="N1510" s="66"/>
      <c r="O1510" s="66"/>
      <c r="P1510" s="66"/>
      <c r="Q1510" s="66"/>
      <c r="R1510" s="66"/>
      <c r="S1510" s="66"/>
      <c r="T1510" s="66"/>
      <c r="U1510" s="66"/>
      <c r="V1510" s="66"/>
      <c r="W1510" s="66"/>
      <c r="X1510" s="66"/>
      <c r="Y1510" s="66"/>
      <c r="Z1510" s="66"/>
    </row>
    <row r="1511">
      <c r="A1511" s="66"/>
      <c r="B1511" s="66"/>
      <c r="C1511" s="66"/>
      <c r="D1511" s="66"/>
      <c r="E1511" s="66"/>
      <c r="F1511" s="66"/>
      <c r="G1511" s="66"/>
      <c r="H1511" s="66"/>
      <c r="I1511" s="66"/>
      <c r="J1511" s="66"/>
      <c r="K1511" s="66"/>
      <c r="L1511" s="66"/>
      <c r="M1511" s="66"/>
      <c r="N1511" s="66"/>
      <c r="O1511" s="66"/>
      <c r="P1511" s="66"/>
      <c r="Q1511" s="66"/>
      <c r="R1511" s="66"/>
      <c r="S1511" s="66"/>
      <c r="T1511" s="66"/>
      <c r="U1511" s="66"/>
      <c r="V1511" s="66"/>
      <c r="W1511" s="66"/>
      <c r="X1511" s="66"/>
      <c r="Y1511" s="66"/>
      <c r="Z1511" s="66"/>
    </row>
    <row r="1512">
      <c r="A1512" s="66"/>
      <c r="B1512" s="66"/>
      <c r="C1512" s="66"/>
      <c r="D1512" s="66"/>
      <c r="E1512" s="66"/>
      <c r="F1512" s="66"/>
      <c r="G1512" s="66"/>
      <c r="H1512" s="66"/>
      <c r="I1512" s="66"/>
      <c r="J1512" s="66"/>
      <c r="K1512" s="66"/>
      <c r="L1512" s="66"/>
      <c r="M1512" s="66"/>
      <c r="N1512" s="66"/>
      <c r="O1512" s="66"/>
      <c r="P1512" s="66"/>
      <c r="Q1512" s="66"/>
      <c r="R1512" s="66"/>
      <c r="S1512" s="66"/>
      <c r="T1512" s="66"/>
      <c r="U1512" s="66"/>
      <c r="V1512" s="66"/>
      <c r="W1512" s="66"/>
      <c r="X1512" s="66"/>
      <c r="Y1512" s="66"/>
      <c r="Z1512" s="66"/>
    </row>
    <row r="1513">
      <c r="A1513" s="66"/>
      <c r="B1513" s="66"/>
      <c r="C1513" s="66"/>
      <c r="D1513" s="66"/>
      <c r="E1513" s="66"/>
      <c r="F1513" s="66"/>
      <c r="G1513" s="66"/>
      <c r="H1513" s="66"/>
      <c r="I1513" s="66"/>
      <c r="J1513" s="66"/>
      <c r="K1513" s="66"/>
      <c r="L1513" s="66"/>
      <c r="M1513" s="66"/>
      <c r="N1513" s="66"/>
      <c r="O1513" s="66"/>
      <c r="P1513" s="66"/>
      <c r="Q1513" s="66"/>
      <c r="R1513" s="66"/>
      <c r="S1513" s="66"/>
      <c r="T1513" s="66"/>
      <c r="U1513" s="66"/>
      <c r="V1513" s="66"/>
      <c r="W1513" s="66"/>
      <c r="X1513" s="66"/>
      <c r="Y1513" s="66"/>
      <c r="Z1513" s="66"/>
    </row>
    <row r="1514">
      <c r="A1514" s="66"/>
      <c r="B1514" s="66"/>
      <c r="C1514" s="66"/>
      <c r="D1514" s="66"/>
      <c r="E1514" s="66"/>
      <c r="F1514" s="66"/>
      <c r="G1514" s="66"/>
      <c r="H1514" s="66"/>
      <c r="I1514" s="66"/>
      <c r="J1514" s="66"/>
      <c r="K1514" s="66"/>
      <c r="L1514" s="66"/>
      <c r="M1514" s="66"/>
      <c r="N1514" s="66"/>
      <c r="O1514" s="66"/>
      <c r="P1514" s="66"/>
      <c r="Q1514" s="66"/>
      <c r="R1514" s="66"/>
      <c r="S1514" s="66"/>
      <c r="T1514" s="66"/>
      <c r="U1514" s="66"/>
      <c r="V1514" s="66"/>
      <c r="W1514" s="66"/>
      <c r="X1514" s="66"/>
      <c r="Y1514" s="66"/>
      <c r="Z1514" s="66"/>
    </row>
    <row r="1515">
      <c r="A1515" s="66"/>
      <c r="B1515" s="66"/>
      <c r="C1515" s="66"/>
      <c r="D1515" s="66"/>
      <c r="E1515" s="66"/>
      <c r="F1515" s="66"/>
      <c r="G1515" s="66"/>
      <c r="H1515" s="66"/>
      <c r="I1515" s="66"/>
      <c r="J1515" s="66"/>
      <c r="K1515" s="66"/>
      <c r="L1515" s="66"/>
      <c r="M1515" s="66"/>
      <c r="N1515" s="66"/>
      <c r="O1515" s="66"/>
      <c r="P1515" s="66"/>
      <c r="Q1515" s="66"/>
      <c r="R1515" s="66"/>
      <c r="S1515" s="66"/>
      <c r="T1515" s="66"/>
      <c r="U1515" s="66"/>
      <c r="V1515" s="66"/>
      <c r="W1515" s="66"/>
      <c r="X1515" s="66"/>
      <c r="Y1515" s="66"/>
      <c r="Z1515" s="66"/>
    </row>
    <row r="1516">
      <c r="A1516" s="66"/>
      <c r="B1516" s="66"/>
      <c r="C1516" s="66"/>
      <c r="D1516" s="66"/>
      <c r="E1516" s="66"/>
      <c r="F1516" s="66"/>
      <c r="G1516" s="66"/>
      <c r="H1516" s="66"/>
      <c r="I1516" s="66"/>
      <c r="J1516" s="66"/>
      <c r="K1516" s="66"/>
      <c r="L1516" s="66"/>
      <c r="M1516" s="66"/>
      <c r="N1516" s="66"/>
      <c r="O1516" s="66"/>
      <c r="P1516" s="66"/>
      <c r="Q1516" s="66"/>
      <c r="R1516" s="66"/>
      <c r="S1516" s="66"/>
      <c r="T1516" s="66"/>
      <c r="U1516" s="66"/>
      <c r="V1516" s="66"/>
      <c r="W1516" s="66"/>
      <c r="X1516" s="66"/>
      <c r="Y1516" s="66"/>
      <c r="Z1516" s="66"/>
    </row>
    <row r="1517">
      <c r="A1517" s="66"/>
      <c r="B1517" s="66"/>
      <c r="C1517" s="66"/>
      <c r="D1517" s="66"/>
      <c r="E1517" s="66"/>
      <c r="F1517" s="66"/>
      <c r="G1517" s="66"/>
      <c r="H1517" s="66"/>
      <c r="I1517" s="66"/>
      <c r="J1517" s="66"/>
      <c r="K1517" s="66"/>
      <c r="L1517" s="66"/>
      <c r="M1517" s="66"/>
      <c r="N1517" s="66"/>
      <c r="O1517" s="66"/>
      <c r="P1517" s="66"/>
      <c r="Q1517" s="66"/>
      <c r="R1517" s="66"/>
      <c r="S1517" s="66"/>
      <c r="T1517" s="66"/>
      <c r="U1517" s="66"/>
      <c r="V1517" s="66"/>
      <c r="W1517" s="66"/>
      <c r="X1517" s="66"/>
      <c r="Y1517" s="66"/>
      <c r="Z1517" s="66"/>
    </row>
    <row r="1518">
      <c r="A1518" s="66"/>
      <c r="B1518" s="66"/>
      <c r="C1518" s="66"/>
      <c r="D1518" s="66"/>
      <c r="E1518" s="66"/>
      <c r="F1518" s="66"/>
      <c r="G1518" s="66"/>
      <c r="H1518" s="66"/>
      <c r="I1518" s="66"/>
      <c r="J1518" s="66"/>
      <c r="K1518" s="66"/>
      <c r="L1518" s="66"/>
      <c r="M1518" s="66"/>
      <c r="N1518" s="66"/>
      <c r="O1518" s="66"/>
      <c r="P1518" s="66"/>
      <c r="Q1518" s="66"/>
      <c r="R1518" s="66"/>
      <c r="S1518" s="66"/>
      <c r="T1518" s="66"/>
      <c r="U1518" s="66"/>
      <c r="V1518" s="66"/>
      <c r="W1518" s="66"/>
      <c r="X1518" s="66"/>
      <c r="Y1518" s="66"/>
      <c r="Z1518" s="66"/>
    </row>
    <row r="1519">
      <c r="A1519" s="66"/>
      <c r="B1519" s="66"/>
      <c r="C1519" s="66"/>
      <c r="D1519" s="66"/>
      <c r="E1519" s="66"/>
      <c r="F1519" s="66"/>
      <c r="G1519" s="66"/>
      <c r="H1519" s="66"/>
      <c r="I1519" s="66"/>
      <c r="J1519" s="66"/>
      <c r="K1519" s="66"/>
      <c r="L1519" s="66"/>
      <c r="M1519" s="66"/>
      <c r="N1519" s="66"/>
      <c r="O1519" s="66"/>
      <c r="P1519" s="66"/>
      <c r="Q1519" s="66"/>
      <c r="R1519" s="66"/>
      <c r="S1519" s="66"/>
      <c r="T1519" s="66"/>
      <c r="U1519" s="66"/>
      <c r="V1519" s="66"/>
      <c r="W1519" s="66"/>
      <c r="X1519" s="66"/>
      <c r="Y1519" s="66"/>
      <c r="Z1519" s="66"/>
    </row>
    <row r="1520">
      <c r="A1520" s="66"/>
      <c r="B1520" s="66"/>
      <c r="C1520" s="66"/>
      <c r="D1520" s="66"/>
      <c r="E1520" s="66"/>
      <c r="F1520" s="66"/>
      <c r="G1520" s="66"/>
      <c r="H1520" s="66"/>
      <c r="I1520" s="66"/>
      <c r="J1520" s="66"/>
      <c r="K1520" s="66"/>
      <c r="L1520" s="66"/>
      <c r="M1520" s="66"/>
      <c r="N1520" s="66"/>
      <c r="O1520" s="66"/>
      <c r="P1520" s="66"/>
      <c r="Q1520" s="66"/>
      <c r="R1520" s="66"/>
      <c r="S1520" s="66"/>
      <c r="T1520" s="66"/>
      <c r="U1520" s="66"/>
      <c r="V1520" s="66"/>
      <c r="W1520" s="66"/>
      <c r="X1520" s="66"/>
      <c r="Y1520" s="66"/>
      <c r="Z1520" s="66"/>
    </row>
    <row r="1521">
      <c r="A1521" s="66"/>
      <c r="B1521" s="66"/>
      <c r="C1521" s="66"/>
      <c r="D1521" s="66"/>
      <c r="E1521" s="66"/>
      <c r="F1521" s="66"/>
      <c r="G1521" s="66"/>
      <c r="H1521" s="66"/>
      <c r="I1521" s="66"/>
      <c r="J1521" s="66"/>
      <c r="K1521" s="66"/>
      <c r="L1521" s="66"/>
      <c r="M1521" s="66"/>
      <c r="N1521" s="66"/>
      <c r="O1521" s="66"/>
      <c r="P1521" s="66"/>
      <c r="Q1521" s="66"/>
      <c r="R1521" s="66"/>
      <c r="S1521" s="66"/>
      <c r="T1521" s="66"/>
      <c r="U1521" s="66"/>
      <c r="V1521" s="66"/>
      <c r="W1521" s="66"/>
      <c r="X1521" s="66"/>
      <c r="Y1521" s="66"/>
      <c r="Z1521" s="66"/>
    </row>
    <row r="1522">
      <c r="A1522" s="66"/>
      <c r="B1522" s="66"/>
      <c r="C1522" s="66"/>
      <c r="D1522" s="66"/>
      <c r="E1522" s="66"/>
      <c r="F1522" s="66"/>
      <c r="G1522" s="66"/>
      <c r="H1522" s="66"/>
      <c r="I1522" s="66"/>
      <c r="J1522" s="66"/>
      <c r="K1522" s="66"/>
      <c r="L1522" s="66"/>
      <c r="M1522" s="66"/>
      <c r="N1522" s="66"/>
      <c r="O1522" s="66"/>
      <c r="P1522" s="66"/>
      <c r="Q1522" s="66"/>
      <c r="R1522" s="66"/>
      <c r="S1522" s="66"/>
      <c r="T1522" s="66"/>
      <c r="U1522" s="66"/>
      <c r="V1522" s="66"/>
      <c r="W1522" s="66"/>
      <c r="X1522" s="66"/>
      <c r="Y1522" s="66"/>
      <c r="Z1522" s="66"/>
    </row>
    <row r="1523">
      <c r="A1523" s="66"/>
      <c r="B1523" s="66"/>
      <c r="C1523" s="66"/>
      <c r="D1523" s="66"/>
      <c r="E1523" s="66"/>
      <c r="F1523" s="66"/>
      <c r="G1523" s="66"/>
      <c r="H1523" s="66"/>
      <c r="I1523" s="66"/>
      <c r="J1523" s="66"/>
      <c r="K1523" s="66"/>
      <c r="L1523" s="66"/>
      <c r="M1523" s="66"/>
      <c r="N1523" s="66"/>
      <c r="O1523" s="66"/>
      <c r="P1523" s="66"/>
      <c r="Q1523" s="66"/>
      <c r="R1523" s="66"/>
      <c r="S1523" s="66"/>
      <c r="T1523" s="66"/>
      <c r="U1523" s="66"/>
      <c r="V1523" s="66"/>
      <c r="W1523" s="66"/>
      <c r="X1523" s="66"/>
      <c r="Y1523" s="66"/>
      <c r="Z1523" s="66"/>
    </row>
    <row r="1524">
      <c r="A1524" s="66"/>
      <c r="B1524" s="66"/>
      <c r="C1524" s="66"/>
      <c r="D1524" s="66"/>
      <c r="E1524" s="66"/>
      <c r="F1524" s="66"/>
      <c r="G1524" s="66"/>
      <c r="H1524" s="66"/>
      <c r="I1524" s="66"/>
      <c r="J1524" s="66"/>
      <c r="K1524" s="66"/>
      <c r="L1524" s="66"/>
      <c r="M1524" s="66"/>
      <c r="N1524" s="66"/>
      <c r="O1524" s="66"/>
      <c r="P1524" s="66"/>
      <c r="Q1524" s="66"/>
      <c r="R1524" s="66"/>
      <c r="S1524" s="66"/>
      <c r="T1524" s="66"/>
      <c r="U1524" s="66"/>
      <c r="V1524" s="66"/>
      <c r="W1524" s="66"/>
      <c r="X1524" s="66"/>
      <c r="Y1524" s="66"/>
      <c r="Z1524" s="66"/>
    </row>
    <row r="1525">
      <c r="A1525" s="66"/>
      <c r="B1525" s="66"/>
      <c r="C1525" s="66"/>
      <c r="D1525" s="66"/>
      <c r="E1525" s="66"/>
      <c r="F1525" s="66"/>
      <c r="G1525" s="66"/>
      <c r="H1525" s="66"/>
      <c r="I1525" s="66"/>
      <c r="J1525" s="66"/>
      <c r="K1525" s="66"/>
      <c r="L1525" s="66"/>
      <c r="M1525" s="66"/>
      <c r="N1525" s="66"/>
      <c r="O1525" s="66"/>
      <c r="P1525" s="66"/>
      <c r="Q1525" s="66"/>
      <c r="R1525" s="66"/>
      <c r="S1525" s="66"/>
      <c r="T1525" s="66"/>
      <c r="U1525" s="66"/>
      <c r="V1525" s="66"/>
      <c r="W1525" s="66"/>
      <c r="X1525" s="66"/>
      <c r="Y1525" s="66"/>
      <c r="Z1525" s="66"/>
    </row>
    <row r="1526">
      <c r="A1526" s="66"/>
      <c r="B1526" s="66"/>
      <c r="C1526" s="66"/>
      <c r="D1526" s="66"/>
      <c r="E1526" s="66"/>
      <c r="F1526" s="66"/>
      <c r="G1526" s="66"/>
      <c r="H1526" s="66"/>
      <c r="I1526" s="66"/>
      <c r="J1526" s="66"/>
      <c r="K1526" s="66"/>
      <c r="L1526" s="66"/>
      <c r="M1526" s="66"/>
      <c r="N1526" s="66"/>
      <c r="O1526" s="66"/>
      <c r="P1526" s="66"/>
      <c r="Q1526" s="66"/>
      <c r="R1526" s="66"/>
      <c r="S1526" s="66"/>
      <c r="T1526" s="66"/>
      <c r="U1526" s="66"/>
      <c r="V1526" s="66"/>
      <c r="W1526" s="66"/>
      <c r="X1526" s="66"/>
      <c r="Y1526" s="66"/>
      <c r="Z1526" s="66"/>
    </row>
    <row r="1527">
      <c r="A1527" s="66"/>
      <c r="B1527" s="66"/>
      <c r="C1527" s="66"/>
      <c r="D1527" s="66"/>
      <c r="E1527" s="66"/>
      <c r="F1527" s="66"/>
      <c r="G1527" s="66"/>
      <c r="H1527" s="66"/>
      <c r="I1527" s="66"/>
      <c r="J1527" s="66"/>
      <c r="K1527" s="66"/>
      <c r="L1527" s="66"/>
      <c r="M1527" s="66"/>
      <c r="N1527" s="66"/>
      <c r="O1527" s="66"/>
      <c r="P1527" s="66"/>
      <c r="Q1527" s="66"/>
      <c r="R1527" s="66"/>
      <c r="S1527" s="66"/>
      <c r="T1527" s="66"/>
      <c r="U1527" s="66"/>
      <c r="V1527" s="66"/>
      <c r="W1527" s="66"/>
      <c r="X1527" s="66"/>
      <c r="Y1527" s="66"/>
      <c r="Z1527" s="66"/>
    </row>
    <row r="1528">
      <c r="A1528" s="66"/>
      <c r="B1528" s="66"/>
      <c r="C1528" s="66"/>
      <c r="D1528" s="66"/>
      <c r="E1528" s="66"/>
      <c r="F1528" s="66"/>
      <c r="G1528" s="66"/>
      <c r="H1528" s="66"/>
      <c r="I1528" s="66"/>
      <c r="J1528" s="66"/>
      <c r="K1528" s="66"/>
      <c r="L1528" s="66"/>
      <c r="M1528" s="66"/>
      <c r="N1528" s="66"/>
      <c r="O1528" s="66"/>
      <c r="P1528" s="66"/>
      <c r="Q1528" s="66"/>
      <c r="R1528" s="66"/>
      <c r="S1528" s="66"/>
      <c r="T1528" s="66"/>
      <c r="U1528" s="66"/>
      <c r="V1528" s="66"/>
      <c r="W1528" s="66"/>
      <c r="X1528" s="66"/>
      <c r="Y1528" s="66"/>
      <c r="Z1528" s="66"/>
    </row>
    <row r="1529">
      <c r="A1529" s="66"/>
      <c r="B1529" s="66"/>
      <c r="C1529" s="66"/>
      <c r="D1529" s="66"/>
      <c r="E1529" s="66"/>
      <c r="F1529" s="66"/>
      <c r="G1529" s="66"/>
      <c r="H1529" s="66"/>
      <c r="I1529" s="66"/>
      <c r="J1529" s="66"/>
      <c r="K1529" s="66"/>
      <c r="L1529" s="66"/>
      <c r="M1529" s="66"/>
      <c r="N1529" s="66"/>
      <c r="O1529" s="66"/>
      <c r="P1529" s="66"/>
      <c r="Q1529" s="66"/>
      <c r="R1529" s="66"/>
      <c r="S1529" s="66"/>
      <c r="T1529" s="66"/>
      <c r="U1529" s="66"/>
      <c r="V1529" s="66"/>
      <c r="W1529" s="66"/>
      <c r="X1529" s="66"/>
      <c r="Y1529" s="66"/>
      <c r="Z1529" s="66"/>
    </row>
    <row r="1530">
      <c r="A1530" s="66"/>
      <c r="B1530" s="66"/>
      <c r="C1530" s="66"/>
      <c r="D1530" s="66"/>
      <c r="E1530" s="66"/>
      <c r="F1530" s="66"/>
      <c r="G1530" s="66"/>
      <c r="H1530" s="66"/>
      <c r="I1530" s="66"/>
      <c r="J1530" s="66"/>
      <c r="K1530" s="66"/>
      <c r="L1530" s="66"/>
      <c r="M1530" s="66"/>
      <c r="N1530" s="66"/>
      <c r="O1530" s="66"/>
      <c r="P1530" s="66"/>
      <c r="Q1530" s="66"/>
      <c r="R1530" s="66"/>
      <c r="S1530" s="66"/>
      <c r="T1530" s="66"/>
      <c r="U1530" s="66"/>
      <c r="V1530" s="66"/>
      <c r="W1530" s="66"/>
      <c r="X1530" s="66"/>
      <c r="Y1530" s="66"/>
      <c r="Z1530" s="66"/>
    </row>
    <row r="1531">
      <c r="A1531" s="66"/>
      <c r="B1531" s="66"/>
      <c r="C1531" s="66"/>
      <c r="D1531" s="66"/>
      <c r="E1531" s="66"/>
      <c r="F1531" s="66"/>
      <c r="G1531" s="66"/>
      <c r="H1531" s="66"/>
      <c r="I1531" s="66"/>
      <c r="J1531" s="66"/>
      <c r="K1531" s="66"/>
      <c r="L1531" s="66"/>
      <c r="M1531" s="66"/>
      <c r="N1531" s="66"/>
      <c r="O1531" s="66"/>
      <c r="P1531" s="66"/>
      <c r="Q1531" s="66"/>
      <c r="R1531" s="66"/>
      <c r="S1531" s="66"/>
      <c r="T1531" s="66"/>
      <c r="U1531" s="66"/>
      <c r="V1531" s="66"/>
      <c r="W1531" s="66"/>
      <c r="X1531" s="66"/>
      <c r="Y1531" s="66"/>
      <c r="Z1531" s="66"/>
    </row>
    <row r="1532">
      <c r="A1532" s="66"/>
      <c r="B1532" s="66"/>
      <c r="C1532" s="66"/>
      <c r="D1532" s="66"/>
      <c r="E1532" s="66"/>
      <c r="F1532" s="66"/>
      <c r="G1532" s="66"/>
      <c r="H1532" s="66"/>
      <c r="I1532" s="66"/>
      <c r="J1532" s="66"/>
      <c r="K1532" s="66"/>
      <c r="L1532" s="66"/>
      <c r="M1532" s="66"/>
      <c r="N1532" s="66"/>
      <c r="O1532" s="66"/>
      <c r="P1532" s="66"/>
      <c r="Q1532" s="66"/>
      <c r="R1532" s="66"/>
      <c r="S1532" s="66"/>
      <c r="T1532" s="66"/>
      <c r="U1532" s="66"/>
      <c r="V1532" s="66"/>
      <c r="W1532" s="66"/>
      <c r="X1532" s="66"/>
      <c r="Y1532" s="66"/>
      <c r="Z1532" s="66"/>
    </row>
    <row r="1533">
      <c r="A1533" s="66"/>
      <c r="B1533" s="66"/>
      <c r="C1533" s="66"/>
      <c r="D1533" s="66"/>
      <c r="E1533" s="66"/>
      <c r="F1533" s="66"/>
      <c r="G1533" s="66"/>
      <c r="H1533" s="66"/>
      <c r="I1533" s="66"/>
      <c r="J1533" s="66"/>
      <c r="K1533" s="66"/>
      <c r="L1533" s="66"/>
      <c r="M1533" s="66"/>
      <c r="N1533" s="66"/>
      <c r="O1533" s="66"/>
      <c r="P1533" s="66"/>
      <c r="Q1533" s="66"/>
      <c r="R1533" s="66"/>
      <c r="S1533" s="66"/>
      <c r="T1533" s="66"/>
      <c r="U1533" s="66"/>
      <c r="V1533" s="66"/>
      <c r="W1533" s="66"/>
      <c r="X1533" s="66"/>
      <c r="Y1533" s="66"/>
      <c r="Z1533" s="66"/>
    </row>
    <row r="1534">
      <c r="A1534" s="66"/>
      <c r="B1534" s="66"/>
      <c r="C1534" s="66"/>
      <c r="D1534" s="66"/>
      <c r="E1534" s="66"/>
      <c r="F1534" s="66"/>
      <c r="G1534" s="66"/>
      <c r="H1534" s="66"/>
      <c r="I1534" s="66"/>
      <c r="J1534" s="66"/>
      <c r="K1534" s="66"/>
      <c r="L1534" s="66"/>
      <c r="M1534" s="66"/>
      <c r="N1534" s="66"/>
      <c r="O1534" s="66"/>
      <c r="P1534" s="66"/>
      <c r="Q1534" s="66"/>
      <c r="R1534" s="66"/>
      <c r="S1534" s="66"/>
      <c r="T1534" s="66"/>
      <c r="U1534" s="66"/>
      <c r="V1534" s="66"/>
      <c r="W1534" s="66"/>
      <c r="X1534" s="66"/>
      <c r="Y1534" s="66"/>
      <c r="Z1534" s="66"/>
    </row>
    <row r="1535">
      <c r="A1535" s="66"/>
      <c r="B1535" s="66"/>
      <c r="C1535" s="66"/>
      <c r="D1535" s="66"/>
      <c r="E1535" s="66"/>
      <c r="F1535" s="66"/>
      <c r="G1535" s="66"/>
      <c r="H1535" s="66"/>
      <c r="I1535" s="66"/>
      <c r="J1535" s="66"/>
      <c r="K1535" s="66"/>
      <c r="L1535" s="66"/>
      <c r="M1535" s="66"/>
      <c r="N1535" s="66"/>
      <c r="O1535" s="66"/>
      <c r="P1535" s="66"/>
      <c r="Q1535" s="66"/>
      <c r="R1535" s="66"/>
      <c r="S1535" s="66"/>
      <c r="T1535" s="66"/>
      <c r="U1535" s="66"/>
      <c r="V1535" s="66"/>
      <c r="W1535" s="66"/>
      <c r="X1535" s="66"/>
      <c r="Y1535" s="66"/>
      <c r="Z1535" s="66"/>
    </row>
    <row r="1536">
      <c r="A1536" s="66"/>
      <c r="B1536" s="66"/>
      <c r="C1536" s="66"/>
      <c r="D1536" s="66"/>
      <c r="E1536" s="66"/>
      <c r="F1536" s="66"/>
      <c r="G1536" s="66"/>
      <c r="H1536" s="66"/>
      <c r="I1536" s="66"/>
      <c r="J1536" s="66"/>
      <c r="K1536" s="66"/>
      <c r="L1536" s="66"/>
      <c r="M1536" s="66"/>
      <c r="N1536" s="66"/>
      <c r="O1536" s="66"/>
      <c r="P1536" s="66"/>
      <c r="Q1536" s="66"/>
      <c r="R1536" s="66"/>
      <c r="S1536" s="66"/>
      <c r="T1536" s="66"/>
      <c r="U1536" s="66"/>
      <c r="V1536" s="66"/>
      <c r="W1536" s="66"/>
      <c r="X1536" s="66"/>
      <c r="Y1536" s="66"/>
      <c r="Z1536" s="66"/>
    </row>
    <row r="1537">
      <c r="A1537" s="66"/>
      <c r="B1537" s="66"/>
      <c r="C1537" s="66"/>
      <c r="D1537" s="66"/>
      <c r="E1537" s="66"/>
      <c r="F1537" s="66"/>
      <c r="G1537" s="66"/>
      <c r="H1537" s="66"/>
      <c r="I1537" s="66"/>
      <c r="J1537" s="66"/>
      <c r="K1537" s="66"/>
      <c r="L1537" s="66"/>
      <c r="M1537" s="66"/>
      <c r="N1537" s="66"/>
      <c r="O1537" s="66"/>
      <c r="P1537" s="66"/>
      <c r="Q1537" s="66"/>
      <c r="R1537" s="66"/>
      <c r="S1537" s="66"/>
      <c r="T1537" s="66"/>
      <c r="U1537" s="66"/>
      <c r="V1537" s="66"/>
      <c r="W1537" s="66"/>
      <c r="X1537" s="66"/>
      <c r="Y1537" s="66"/>
      <c r="Z1537" s="66"/>
    </row>
    <row r="1538">
      <c r="A1538" s="66"/>
      <c r="B1538" s="66"/>
      <c r="C1538" s="66"/>
      <c r="D1538" s="66"/>
      <c r="E1538" s="66"/>
      <c r="F1538" s="66"/>
      <c r="G1538" s="66"/>
      <c r="H1538" s="66"/>
      <c r="I1538" s="66"/>
      <c r="J1538" s="66"/>
      <c r="K1538" s="66"/>
      <c r="L1538" s="66"/>
      <c r="M1538" s="66"/>
      <c r="N1538" s="66"/>
      <c r="O1538" s="66"/>
      <c r="P1538" s="66"/>
      <c r="Q1538" s="66"/>
      <c r="R1538" s="66"/>
      <c r="S1538" s="66"/>
      <c r="T1538" s="66"/>
      <c r="U1538" s="66"/>
      <c r="V1538" s="66"/>
      <c r="W1538" s="66"/>
      <c r="X1538" s="66"/>
      <c r="Y1538" s="66"/>
      <c r="Z1538" s="66"/>
    </row>
    <row r="1539">
      <c r="A1539" s="66"/>
      <c r="B1539" s="66"/>
      <c r="C1539" s="66"/>
      <c r="D1539" s="66"/>
      <c r="E1539" s="66"/>
      <c r="F1539" s="66"/>
      <c r="G1539" s="66"/>
      <c r="H1539" s="66"/>
      <c r="I1539" s="66"/>
      <c r="J1539" s="66"/>
      <c r="K1539" s="66"/>
      <c r="L1539" s="66"/>
      <c r="M1539" s="66"/>
      <c r="N1539" s="66"/>
      <c r="O1539" s="66"/>
      <c r="P1539" s="66"/>
      <c r="Q1539" s="66"/>
      <c r="R1539" s="66"/>
      <c r="S1539" s="66"/>
      <c r="T1539" s="66"/>
      <c r="U1539" s="66"/>
      <c r="V1539" s="66"/>
      <c r="W1539" s="66"/>
      <c r="X1539" s="66"/>
      <c r="Y1539" s="66"/>
      <c r="Z1539" s="66"/>
    </row>
    <row r="1540">
      <c r="A1540" s="66"/>
      <c r="B1540" s="66"/>
      <c r="C1540" s="66"/>
      <c r="D1540" s="66"/>
      <c r="E1540" s="66"/>
      <c r="F1540" s="66"/>
      <c r="G1540" s="66"/>
      <c r="H1540" s="66"/>
      <c r="I1540" s="66"/>
      <c r="J1540" s="66"/>
      <c r="K1540" s="66"/>
      <c r="L1540" s="66"/>
      <c r="M1540" s="66"/>
      <c r="N1540" s="66"/>
      <c r="O1540" s="66"/>
      <c r="P1540" s="66"/>
      <c r="Q1540" s="66"/>
      <c r="R1540" s="66"/>
      <c r="S1540" s="66"/>
      <c r="T1540" s="66"/>
      <c r="U1540" s="66"/>
      <c r="V1540" s="66"/>
      <c r="W1540" s="66"/>
      <c r="X1540" s="66"/>
      <c r="Y1540" s="66"/>
      <c r="Z1540" s="66"/>
    </row>
    <row r="1541">
      <c r="A1541" s="66"/>
      <c r="B1541" s="66"/>
      <c r="C1541" s="66"/>
      <c r="D1541" s="66"/>
      <c r="E1541" s="66"/>
      <c r="F1541" s="66"/>
      <c r="G1541" s="66"/>
      <c r="H1541" s="66"/>
      <c r="I1541" s="66"/>
      <c r="J1541" s="66"/>
      <c r="K1541" s="66"/>
      <c r="L1541" s="66"/>
      <c r="M1541" s="66"/>
      <c r="N1541" s="66"/>
      <c r="O1541" s="66"/>
      <c r="P1541" s="66"/>
      <c r="Q1541" s="66"/>
      <c r="R1541" s="66"/>
      <c r="S1541" s="66"/>
      <c r="T1541" s="66"/>
      <c r="U1541" s="66"/>
      <c r="V1541" s="66"/>
      <c r="W1541" s="66"/>
      <c r="X1541" s="66"/>
      <c r="Y1541" s="66"/>
      <c r="Z1541" s="66"/>
    </row>
    <row r="1542">
      <c r="A1542" s="66"/>
      <c r="B1542" s="66"/>
      <c r="C1542" s="66"/>
      <c r="D1542" s="66"/>
      <c r="E1542" s="66"/>
      <c r="F1542" s="66"/>
      <c r="G1542" s="66"/>
      <c r="H1542" s="66"/>
      <c r="I1542" s="66"/>
      <c r="J1542" s="66"/>
      <c r="K1542" s="66"/>
      <c r="L1542" s="66"/>
      <c r="M1542" s="66"/>
      <c r="N1542" s="66"/>
      <c r="O1542" s="66"/>
      <c r="P1542" s="66"/>
      <c r="Q1542" s="66"/>
      <c r="R1542" s="66"/>
      <c r="S1542" s="66"/>
      <c r="T1542" s="66"/>
      <c r="U1542" s="66"/>
      <c r="V1542" s="66"/>
      <c r="W1542" s="66"/>
      <c r="X1542" s="66"/>
      <c r="Y1542" s="66"/>
      <c r="Z1542" s="66"/>
    </row>
    <row r="1543">
      <c r="A1543" s="66"/>
      <c r="B1543" s="66"/>
      <c r="C1543" s="66"/>
      <c r="D1543" s="66"/>
      <c r="E1543" s="66"/>
      <c r="F1543" s="66"/>
      <c r="G1543" s="66"/>
      <c r="H1543" s="66"/>
      <c r="I1543" s="66"/>
      <c r="J1543" s="66"/>
      <c r="K1543" s="66"/>
      <c r="L1543" s="66"/>
      <c r="M1543" s="66"/>
      <c r="N1543" s="66"/>
      <c r="O1543" s="66"/>
      <c r="P1543" s="66"/>
      <c r="Q1543" s="66"/>
      <c r="R1543" s="66"/>
      <c r="S1543" s="66"/>
      <c r="T1543" s="66"/>
      <c r="U1543" s="66"/>
      <c r="V1543" s="66"/>
      <c r="W1543" s="66"/>
      <c r="X1543" s="66"/>
      <c r="Y1543" s="66"/>
      <c r="Z1543" s="66"/>
    </row>
    <row r="1544">
      <c r="A1544" s="66"/>
      <c r="B1544" s="66"/>
      <c r="C1544" s="66"/>
      <c r="D1544" s="66"/>
      <c r="E1544" s="66"/>
      <c r="F1544" s="66"/>
      <c r="G1544" s="66"/>
      <c r="H1544" s="66"/>
      <c r="I1544" s="66"/>
      <c r="J1544" s="66"/>
      <c r="K1544" s="66"/>
      <c r="L1544" s="66"/>
      <c r="M1544" s="66"/>
      <c r="N1544" s="66"/>
      <c r="O1544" s="66"/>
      <c r="P1544" s="66"/>
      <c r="Q1544" s="66"/>
      <c r="R1544" s="66"/>
      <c r="S1544" s="66"/>
      <c r="T1544" s="66"/>
      <c r="U1544" s="66"/>
      <c r="V1544" s="66"/>
      <c r="W1544" s="66"/>
      <c r="X1544" s="66"/>
      <c r="Y1544" s="66"/>
      <c r="Z1544" s="66"/>
    </row>
    <row r="1545">
      <c r="A1545" s="66"/>
      <c r="B1545" s="66"/>
      <c r="C1545" s="66"/>
      <c r="D1545" s="66"/>
      <c r="E1545" s="66"/>
      <c r="F1545" s="66"/>
      <c r="G1545" s="66"/>
      <c r="H1545" s="66"/>
      <c r="I1545" s="66"/>
      <c r="J1545" s="66"/>
      <c r="K1545" s="66"/>
      <c r="L1545" s="66"/>
      <c r="M1545" s="66"/>
      <c r="N1545" s="66"/>
      <c r="O1545" s="66"/>
      <c r="P1545" s="66"/>
      <c r="Q1545" s="66"/>
      <c r="R1545" s="66"/>
      <c r="S1545" s="66"/>
      <c r="T1545" s="66"/>
      <c r="U1545" s="66"/>
      <c r="V1545" s="66"/>
      <c r="W1545" s="66"/>
      <c r="X1545" s="66"/>
      <c r="Y1545" s="66"/>
      <c r="Z1545" s="66"/>
    </row>
    <row r="1546">
      <c r="A1546" s="66"/>
      <c r="B1546" s="66"/>
      <c r="C1546" s="66"/>
      <c r="D1546" s="66"/>
      <c r="E1546" s="66"/>
      <c r="F1546" s="66"/>
      <c r="G1546" s="66"/>
      <c r="H1546" s="66"/>
      <c r="I1546" s="66"/>
      <c r="J1546" s="66"/>
      <c r="K1546" s="66"/>
      <c r="L1546" s="66"/>
      <c r="M1546" s="66"/>
      <c r="N1546" s="66"/>
      <c r="O1546" s="66"/>
      <c r="P1546" s="66"/>
      <c r="Q1546" s="66"/>
      <c r="R1546" s="66"/>
      <c r="S1546" s="66"/>
      <c r="T1546" s="66"/>
      <c r="U1546" s="66"/>
      <c r="V1546" s="66"/>
      <c r="W1546" s="66"/>
      <c r="X1546" s="66"/>
      <c r="Y1546" s="66"/>
      <c r="Z1546" s="66"/>
    </row>
    <row r="1547">
      <c r="A1547" s="66"/>
      <c r="B1547" s="66"/>
      <c r="C1547" s="66"/>
      <c r="D1547" s="66"/>
      <c r="E1547" s="66"/>
      <c r="F1547" s="66"/>
      <c r="G1547" s="66"/>
      <c r="H1547" s="66"/>
      <c r="I1547" s="66"/>
      <c r="J1547" s="66"/>
      <c r="K1547" s="66"/>
      <c r="L1547" s="66"/>
      <c r="M1547" s="66"/>
      <c r="N1547" s="66"/>
      <c r="O1547" s="66"/>
      <c r="P1547" s="66"/>
      <c r="Q1547" s="66"/>
      <c r="R1547" s="66"/>
      <c r="S1547" s="66"/>
      <c r="T1547" s="66"/>
      <c r="U1547" s="66"/>
      <c r="V1547" s="66"/>
      <c r="W1547" s="66"/>
      <c r="X1547" s="66"/>
      <c r="Y1547" s="66"/>
      <c r="Z1547" s="66"/>
    </row>
    <row r="1548">
      <c r="A1548" s="66"/>
      <c r="B1548" s="66"/>
      <c r="C1548" s="66"/>
      <c r="D1548" s="66"/>
      <c r="E1548" s="66"/>
      <c r="F1548" s="66"/>
      <c r="G1548" s="66"/>
      <c r="H1548" s="66"/>
      <c r="I1548" s="66"/>
      <c r="J1548" s="66"/>
      <c r="K1548" s="66"/>
      <c r="L1548" s="66"/>
      <c r="M1548" s="66"/>
      <c r="N1548" s="66"/>
      <c r="O1548" s="66"/>
      <c r="P1548" s="66"/>
      <c r="Q1548" s="66"/>
      <c r="R1548" s="66"/>
      <c r="S1548" s="66"/>
      <c r="T1548" s="66"/>
      <c r="U1548" s="66"/>
      <c r="V1548" s="66"/>
      <c r="W1548" s="66"/>
      <c r="X1548" s="66"/>
      <c r="Y1548" s="66"/>
      <c r="Z1548" s="66"/>
    </row>
    <row r="1549">
      <c r="A1549" s="66"/>
      <c r="B1549" s="66"/>
      <c r="C1549" s="66"/>
      <c r="D1549" s="66"/>
      <c r="E1549" s="66"/>
      <c r="F1549" s="66"/>
      <c r="G1549" s="66"/>
      <c r="H1549" s="66"/>
      <c r="I1549" s="66"/>
      <c r="J1549" s="66"/>
      <c r="K1549" s="66"/>
      <c r="L1549" s="66"/>
      <c r="M1549" s="66"/>
      <c r="N1549" s="66"/>
      <c r="O1549" s="66"/>
      <c r="P1549" s="66"/>
      <c r="Q1549" s="66"/>
      <c r="R1549" s="66"/>
      <c r="S1549" s="66"/>
      <c r="T1549" s="66"/>
      <c r="U1549" s="66"/>
      <c r="V1549" s="66"/>
      <c r="W1549" s="66"/>
      <c r="X1549" s="66"/>
      <c r="Y1549" s="66"/>
      <c r="Z1549" s="66"/>
    </row>
    <row r="1550">
      <c r="A1550" s="66"/>
      <c r="B1550" s="66"/>
      <c r="C1550" s="66"/>
      <c r="D1550" s="66"/>
      <c r="E1550" s="66"/>
      <c r="F1550" s="66"/>
      <c r="G1550" s="66"/>
      <c r="H1550" s="66"/>
      <c r="I1550" s="66"/>
      <c r="J1550" s="66"/>
      <c r="K1550" s="66"/>
      <c r="L1550" s="66"/>
      <c r="M1550" s="66"/>
      <c r="N1550" s="66"/>
      <c r="O1550" s="66"/>
      <c r="P1550" s="66"/>
      <c r="Q1550" s="66"/>
      <c r="R1550" s="66"/>
      <c r="S1550" s="66"/>
      <c r="T1550" s="66"/>
      <c r="U1550" s="66"/>
      <c r="V1550" s="66"/>
      <c r="W1550" s="66"/>
      <c r="X1550" s="66"/>
      <c r="Y1550" s="66"/>
      <c r="Z1550" s="66"/>
    </row>
    <row r="1551">
      <c r="A1551" s="66"/>
      <c r="B1551" s="66"/>
      <c r="C1551" s="66"/>
      <c r="D1551" s="66"/>
      <c r="E1551" s="66"/>
      <c r="F1551" s="66"/>
      <c r="G1551" s="66"/>
      <c r="H1551" s="66"/>
      <c r="I1551" s="66"/>
      <c r="J1551" s="66"/>
      <c r="K1551" s="66"/>
      <c r="L1551" s="66"/>
      <c r="M1551" s="66"/>
      <c r="N1551" s="66"/>
      <c r="O1551" s="66"/>
      <c r="P1551" s="66"/>
      <c r="Q1551" s="66"/>
      <c r="R1551" s="66"/>
      <c r="S1551" s="66"/>
      <c r="T1551" s="66"/>
      <c r="U1551" s="66"/>
      <c r="V1551" s="66"/>
      <c r="W1551" s="66"/>
      <c r="X1551" s="66"/>
      <c r="Y1551" s="66"/>
      <c r="Z1551" s="66"/>
    </row>
    <row r="1552">
      <c r="A1552" s="66"/>
      <c r="B1552" s="66"/>
      <c r="C1552" s="66"/>
      <c r="D1552" s="66"/>
      <c r="E1552" s="66"/>
      <c r="F1552" s="66"/>
      <c r="G1552" s="66"/>
      <c r="H1552" s="66"/>
      <c r="I1552" s="66"/>
      <c r="J1552" s="66"/>
      <c r="K1552" s="66"/>
      <c r="L1552" s="66"/>
      <c r="M1552" s="66"/>
      <c r="N1552" s="66"/>
      <c r="O1552" s="66"/>
      <c r="P1552" s="66"/>
      <c r="Q1552" s="66"/>
      <c r="R1552" s="66"/>
      <c r="S1552" s="66"/>
      <c r="T1552" s="66"/>
      <c r="U1552" s="66"/>
      <c r="V1552" s="66"/>
      <c r="W1552" s="66"/>
      <c r="X1552" s="66"/>
      <c r="Y1552" s="66"/>
      <c r="Z1552" s="66"/>
    </row>
    <row r="1553">
      <c r="A1553" s="66"/>
      <c r="B1553" s="66"/>
      <c r="C1553" s="66"/>
      <c r="D1553" s="66"/>
      <c r="E1553" s="66"/>
      <c r="F1553" s="66"/>
      <c r="G1553" s="66"/>
      <c r="H1553" s="66"/>
      <c r="I1553" s="66"/>
      <c r="J1553" s="66"/>
      <c r="K1553" s="66"/>
      <c r="L1553" s="66"/>
      <c r="M1553" s="66"/>
      <c r="N1553" s="66"/>
      <c r="O1553" s="66"/>
      <c r="P1553" s="66"/>
      <c r="Q1553" s="66"/>
      <c r="R1553" s="66"/>
      <c r="S1553" s="66"/>
      <c r="T1553" s="66"/>
      <c r="U1553" s="66"/>
      <c r="V1553" s="66"/>
      <c r="W1553" s="66"/>
      <c r="X1553" s="66"/>
      <c r="Y1553" s="66"/>
      <c r="Z1553" s="66"/>
    </row>
    <row r="1554">
      <c r="A1554" s="66"/>
      <c r="B1554" s="66"/>
      <c r="C1554" s="66"/>
      <c r="D1554" s="66"/>
      <c r="E1554" s="66"/>
      <c r="F1554" s="66"/>
      <c r="G1554" s="66"/>
      <c r="H1554" s="66"/>
      <c r="I1554" s="66"/>
      <c r="J1554" s="66"/>
      <c r="K1554" s="66"/>
      <c r="L1554" s="66"/>
      <c r="M1554" s="66"/>
      <c r="N1554" s="66"/>
      <c r="O1554" s="66"/>
      <c r="P1554" s="66"/>
      <c r="Q1554" s="66"/>
      <c r="R1554" s="66"/>
      <c r="S1554" s="66"/>
      <c r="T1554" s="66"/>
      <c r="U1554" s="66"/>
      <c r="V1554" s="66"/>
      <c r="W1554" s="66"/>
      <c r="X1554" s="66"/>
      <c r="Y1554" s="66"/>
      <c r="Z1554" s="66"/>
    </row>
    <row r="1555">
      <c r="A1555" s="66"/>
      <c r="B1555" s="66"/>
      <c r="C1555" s="66"/>
      <c r="D1555" s="66"/>
      <c r="E1555" s="66"/>
      <c r="F1555" s="66"/>
      <c r="G1555" s="66"/>
      <c r="H1555" s="66"/>
      <c r="I1555" s="66"/>
      <c r="J1555" s="66"/>
      <c r="K1555" s="66"/>
      <c r="L1555" s="66"/>
      <c r="M1555" s="66"/>
      <c r="N1555" s="66"/>
      <c r="O1555" s="66"/>
      <c r="P1555" s="66"/>
      <c r="Q1555" s="66"/>
      <c r="R1555" s="66"/>
      <c r="S1555" s="66"/>
      <c r="T1555" s="66"/>
      <c r="U1555" s="66"/>
      <c r="V1555" s="66"/>
      <c r="W1555" s="66"/>
      <c r="X1555" s="66"/>
      <c r="Y1555" s="66"/>
      <c r="Z1555" s="66"/>
    </row>
    <row r="1556">
      <c r="A1556" s="66"/>
      <c r="B1556" s="66"/>
      <c r="C1556" s="66"/>
      <c r="D1556" s="66"/>
      <c r="E1556" s="66"/>
      <c r="F1556" s="66"/>
      <c r="G1556" s="66"/>
      <c r="H1556" s="66"/>
      <c r="I1556" s="66"/>
      <c r="J1556" s="66"/>
      <c r="K1556" s="66"/>
      <c r="L1556" s="66"/>
      <c r="M1556" s="66"/>
      <c r="N1556" s="66"/>
      <c r="O1556" s="66"/>
      <c r="P1556" s="66"/>
      <c r="Q1556" s="66"/>
      <c r="R1556" s="66"/>
      <c r="S1556" s="66"/>
      <c r="T1556" s="66"/>
      <c r="U1556" s="66"/>
      <c r="V1556" s="66"/>
      <c r="W1556" s="66"/>
      <c r="X1556" s="66"/>
      <c r="Y1556" s="66"/>
      <c r="Z1556" s="66"/>
    </row>
    <row r="1557">
      <c r="A1557" s="66"/>
      <c r="B1557" s="66"/>
      <c r="C1557" s="66"/>
      <c r="D1557" s="66"/>
      <c r="E1557" s="66"/>
      <c r="F1557" s="66"/>
      <c r="G1557" s="66"/>
      <c r="H1557" s="66"/>
      <c r="I1557" s="66"/>
      <c r="J1557" s="66"/>
      <c r="K1557" s="66"/>
      <c r="L1557" s="66"/>
      <c r="M1557" s="66"/>
      <c r="N1557" s="66"/>
      <c r="O1557" s="66"/>
      <c r="P1557" s="66"/>
      <c r="Q1557" s="66"/>
      <c r="R1557" s="66"/>
      <c r="S1557" s="66"/>
      <c r="T1557" s="66"/>
      <c r="U1557" s="66"/>
      <c r="V1557" s="66"/>
      <c r="W1557" s="66"/>
      <c r="X1557" s="66"/>
      <c r="Y1557" s="66"/>
      <c r="Z1557" s="66"/>
    </row>
    <row r="1558">
      <c r="A1558" s="66"/>
      <c r="B1558" s="66"/>
      <c r="C1558" s="66"/>
      <c r="D1558" s="66"/>
      <c r="E1558" s="66"/>
      <c r="F1558" s="66"/>
      <c r="G1558" s="66"/>
      <c r="H1558" s="66"/>
      <c r="I1558" s="66"/>
      <c r="J1558" s="66"/>
      <c r="K1558" s="66"/>
      <c r="L1558" s="66"/>
      <c r="M1558" s="66"/>
      <c r="N1558" s="66"/>
      <c r="O1558" s="66"/>
      <c r="P1558" s="66"/>
      <c r="Q1558" s="66"/>
      <c r="R1558" s="66"/>
      <c r="S1558" s="66"/>
      <c r="T1558" s="66"/>
      <c r="U1558" s="66"/>
      <c r="V1558" s="66"/>
      <c r="W1558" s="66"/>
      <c r="X1558" s="66"/>
      <c r="Y1558" s="66"/>
      <c r="Z1558" s="66"/>
    </row>
    <row r="1559">
      <c r="A1559" s="66"/>
      <c r="B1559" s="66"/>
      <c r="C1559" s="66"/>
      <c r="D1559" s="66"/>
      <c r="E1559" s="66"/>
      <c r="F1559" s="66"/>
      <c r="G1559" s="66"/>
      <c r="H1559" s="66"/>
      <c r="I1559" s="66"/>
      <c r="J1559" s="66"/>
      <c r="K1559" s="66"/>
      <c r="L1559" s="66"/>
      <c r="M1559" s="66"/>
      <c r="N1559" s="66"/>
      <c r="O1559" s="66"/>
      <c r="P1559" s="66"/>
      <c r="Q1559" s="66"/>
      <c r="R1559" s="66"/>
      <c r="S1559" s="66"/>
      <c r="T1559" s="66"/>
      <c r="U1559" s="66"/>
      <c r="V1559" s="66"/>
      <c r="W1559" s="66"/>
      <c r="X1559" s="66"/>
      <c r="Y1559" s="66"/>
      <c r="Z1559" s="66"/>
    </row>
    <row r="1560">
      <c r="A1560" s="66"/>
      <c r="B1560" s="66"/>
      <c r="C1560" s="66"/>
      <c r="D1560" s="66"/>
      <c r="E1560" s="66"/>
      <c r="F1560" s="66"/>
      <c r="G1560" s="66"/>
      <c r="H1560" s="66"/>
      <c r="I1560" s="66"/>
      <c r="J1560" s="66"/>
      <c r="K1560" s="66"/>
      <c r="L1560" s="66"/>
      <c r="M1560" s="66"/>
      <c r="N1560" s="66"/>
      <c r="O1560" s="66"/>
      <c r="P1560" s="66"/>
      <c r="Q1560" s="66"/>
      <c r="R1560" s="66"/>
      <c r="S1560" s="66"/>
      <c r="T1560" s="66"/>
      <c r="U1560" s="66"/>
      <c r="V1560" s="66"/>
      <c r="W1560" s="66"/>
      <c r="X1560" s="66"/>
      <c r="Y1560" s="66"/>
      <c r="Z1560" s="66"/>
    </row>
    <row r="1561">
      <c r="A1561" s="66"/>
      <c r="B1561" s="66"/>
      <c r="C1561" s="66"/>
      <c r="D1561" s="66"/>
      <c r="E1561" s="66"/>
      <c r="F1561" s="66"/>
      <c r="G1561" s="66"/>
      <c r="H1561" s="66"/>
      <c r="I1561" s="66"/>
      <c r="J1561" s="66"/>
      <c r="K1561" s="66"/>
      <c r="L1561" s="66"/>
      <c r="M1561" s="66"/>
      <c r="N1561" s="66"/>
      <c r="O1561" s="66"/>
      <c r="P1561" s="66"/>
      <c r="Q1561" s="66"/>
      <c r="R1561" s="66"/>
      <c r="S1561" s="66"/>
      <c r="T1561" s="66"/>
      <c r="U1561" s="66"/>
      <c r="V1561" s="66"/>
      <c r="W1561" s="66"/>
      <c r="X1561" s="66"/>
      <c r="Y1561" s="66"/>
      <c r="Z1561" s="66"/>
    </row>
    <row r="1562">
      <c r="A1562" s="66"/>
      <c r="B1562" s="66"/>
      <c r="C1562" s="66"/>
      <c r="D1562" s="66"/>
      <c r="E1562" s="66"/>
      <c r="F1562" s="66"/>
      <c r="G1562" s="66"/>
      <c r="H1562" s="66"/>
      <c r="I1562" s="66"/>
      <c r="J1562" s="66"/>
      <c r="K1562" s="66"/>
      <c r="L1562" s="66"/>
      <c r="M1562" s="66"/>
      <c r="N1562" s="66"/>
      <c r="O1562" s="66"/>
      <c r="P1562" s="66"/>
      <c r="Q1562" s="66"/>
      <c r="R1562" s="66"/>
      <c r="S1562" s="66"/>
      <c r="T1562" s="66"/>
      <c r="U1562" s="66"/>
      <c r="V1562" s="66"/>
      <c r="W1562" s="66"/>
      <c r="X1562" s="66"/>
      <c r="Y1562" s="66"/>
      <c r="Z1562" s="66"/>
    </row>
    <row r="1563">
      <c r="A1563" s="66"/>
      <c r="B1563" s="66"/>
      <c r="C1563" s="66"/>
      <c r="D1563" s="66"/>
      <c r="E1563" s="66"/>
      <c r="F1563" s="66"/>
      <c r="G1563" s="66"/>
      <c r="H1563" s="66"/>
      <c r="I1563" s="66"/>
      <c r="J1563" s="66"/>
      <c r="K1563" s="66"/>
      <c r="L1563" s="66"/>
      <c r="M1563" s="66"/>
      <c r="N1563" s="66"/>
      <c r="O1563" s="66"/>
      <c r="P1563" s="66"/>
      <c r="Q1563" s="66"/>
      <c r="R1563" s="66"/>
      <c r="S1563" s="66"/>
      <c r="T1563" s="66"/>
      <c r="U1563" s="66"/>
      <c r="V1563" s="66"/>
      <c r="W1563" s="66"/>
      <c r="X1563" s="66"/>
      <c r="Y1563" s="66"/>
      <c r="Z1563" s="66"/>
    </row>
    <row r="1564">
      <c r="A1564" s="66"/>
      <c r="B1564" s="66"/>
      <c r="C1564" s="66"/>
      <c r="D1564" s="66"/>
      <c r="E1564" s="66"/>
      <c r="F1564" s="66"/>
      <c r="G1564" s="66"/>
      <c r="H1564" s="66"/>
      <c r="I1564" s="66"/>
      <c r="J1564" s="66"/>
      <c r="K1564" s="66"/>
      <c r="L1564" s="66"/>
      <c r="M1564" s="66"/>
      <c r="N1564" s="66"/>
      <c r="O1564" s="66"/>
      <c r="P1564" s="66"/>
      <c r="Q1564" s="66"/>
      <c r="R1564" s="66"/>
      <c r="S1564" s="66"/>
      <c r="T1564" s="66"/>
      <c r="U1564" s="66"/>
      <c r="V1564" s="66"/>
      <c r="W1564" s="66"/>
      <c r="X1564" s="66"/>
      <c r="Y1564" s="66"/>
      <c r="Z1564" s="66"/>
    </row>
    <row r="1565">
      <c r="A1565" s="66"/>
      <c r="B1565" s="66"/>
      <c r="C1565" s="66"/>
      <c r="D1565" s="66"/>
      <c r="E1565" s="66"/>
      <c r="F1565" s="66"/>
      <c r="G1565" s="66"/>
      <c r="H1565" s="66"/>
      <c r="I1565" s="66"/>
      <c r="J1565" s="66"/>
      <c r="K1565" s="66"/>
      <c r="L1565" s="66"/>
      <c r="M1565" s="66"/>
      <c r="N1565" s="66"/>
      <c r="O1565" s="66"/>
      <c r="P1565" s="66"/>
      <c r="Q1565" s="66"/>
      <c r="R1565" s="66"/>
      <c r="S1565" s="66"/>
      <c r="T1565" s="66"/>
      <c r="U1565" s="66"/>
      <c r="V1565" s="66"/>
      <c r="W1565" s="66"/>
      <c r="X1565" s="66"/>
      <c r="Y1565" s="66"/>
      <c r="Z1565" s="66"/>
    </row>
    <row r="1566">
      <c r="A1566" s="66"/>
      <c r="B1566" s="66"/>
      <c r="C1566" s="66"/>
      <c r="D1566" s="66"/>
      <c r="E1566" s="66"/>
      <c r="F1566" s="66"/>
      <c r="G1566" s="66"/>
      <c r="H1566" s="66"/>
      <c r="I1566" s="66"/>
      <c r="J1566" s="66"/>
      <c r="K1566" s="66"/>
      <c r="L1566" s="66"/>
      <c r="M1566" s="66"/>
      <c r="N1566" s="66"/>
      <c r="O1566" s="66"/>
      <c r="P1566" s="66"/>
      <c r="Q1566" s="66"/>
      <c r="R1566" s="66"/>
      <c r="S1566" s="66"/>
      <c r="T1566" s="66"/>
      <c r="U1566" s="66"/>
      <c r="V1566" s="66"/>
      <c r="W1566" s="66"/>
      <c r="X1566" s="66"/>
      <c r="Y1566" s="66"/>
      <c r="Z1566" s="66"/>
    </row>
    <row r="1567">
      <c r="A1567" s="66"/>
      <c r="B1567" s="66"/>
      <c r="C1567" s="66"/>
      <c r="D1567" s="66"/>
      <c r="E1567" s="66"/>
      <c r="F1567" s="66"/>
      <c r="G1567" s="66"/>
      <c r="H1567" s="66"/>
      <c r="I1567" s="66"/>
      <c r="J1567" s="66"/>
      <c r="K1567" s="66"/>
      <c r="L1567" s="66"/>
      <c r="M1567" s="66"/>
      <c r="N1567" s="66"/>
      <c r="O1567" s="66"/>
      <c r="P1567" s="66"/>
      <c r="Q1567" s="66"/>
      <c r="R1567" s="66"/>
      <c r="S1567" s="66"/>
      <c r="T1567" s="66"/>
      <c r="U1567" s="66"/>
      <c r="V1567" s="66"/>
      <c r="W1567" s="66"/>
      <c r="X1567" s="66"/>
      <c r="Y1567" s="66"/>
      <c r="Z1567" s="66"/>
    </row>
    <row r="1568">
      <c r="A1568" s="66"/>
      <c r="B1568" s="66"/>
      <c r="C1568" s="66"/>
      <c r="D1568" s="66"/>
      <c r="E1568" s="66"/>
      <c r="F1568" s="66"/>
      <c r="G1568" s="66"/>
      <c r="H1568" s="66"/>
      <c r="I1568" s="66"/>
      <c r="J1568" s="66"/>
      <c r="K1568" s="66"/>
      <c r="L1568" s="66"/>
      <c r="M1568" s="66"/>
      <c r="N1568" s="66"/>
      <c r="O1568" s="66"/>
      <c r="P1568" s="66"/>
      <c r="Q1568" s="66"/>
      <c r="R1568" s="66"/>
      <c r="S1568" s="66"/>
      <c r="T1568" s="66"/>
      <c r="U1568" s="66"/>
      <c r="V1568" s="66"/>
      <c r="W1568" s="66"/>
      <c r="X1568" s="66"/>
      <c r="Y1568" s="66"/>
      <c r="Z1568" s="66"/>
    </row>
    <row r="1569">
      <c r="A1569" s="66"/>
      <c r="B1569" s="66"/>
      <c r="C1569" s="66"/>
      <c r="D1569" s="66"/>
      <c r="E1569" s="66"/>
      <c r="F1569" s="66"/>
      <c r="G1569" s="66"/>
      <c r="H1569" s="66"/>
      <c r="I1569" s="66"/>
      <c r="J1569" s="66"/>
      <c r="K1569" s="66"/>
      <c r="L1569" s="66"/>
      <c r="M1569" s="66"/>
      <c r="N1569" s="66"/>
      <c r="O1569" s="66"/>
      <c r="P1569" s="66"/>
      <c r="Q1569" s="66"/>
      <c r="R1569" s="66"/>
      <c r="S1569" s="66"/>
      <c r="T1569" s="66"/>
      <c r="U1569" s="66"/>
      <c r="V1569" s="66"/>
      <c r="W1569" s="66"/>
      <c r="X1569" s="66"/>
      <c r="Y1569" s="66"/>
      <c r="Z1569" s="66"/>
    </row>
    <row r="1570">
      <c r="A1570" s="66"/>
      <c r="B1570" s="66"/>
      <c r="C1570" s="66"/>
      <c r="D1570" s="66"/>
      <c r="E1570" s="66"/>
      <c r="F1570" s="66"/>
      <c r="G1570" s="66"/>
      <c r="H1570" s="66"/>
      <c r="I1570" s="66"/>
      <c r="J1570" s="66"/>
      <c r="K1570" s="66"/>
      <c r="L1570" s="66"/>
      <c r="M1570" s="66"/>
      <c r="N1570" s="66"/>
      <c r="O1570" s="66"/>
      <c r="P1570" s="66"/>
      <c r="Q1570" s="66"/>
      <c r="R1570" s="66"/>
      <c r="S1570" s="66"/>
      <c r="T1570" s="66"/>
      <c r="U1570" s="66"/>
      <c r="V1570" s="66"/>
      <c r="W1570" s="66"/>
      <c r="X1570" s="66"/>
      <c r="Y1570" s="66"/>
      <c r="Z1570" s="66"/>
    </row>
    <row r="1571">
      <c r="A1571" s="66"/>
      <c r="B1571" s="66"/>
      <c r="C1571" s="66"/>
      <c r="D1571" s="66"/>
      <c r="E1571" s="66"/>
      <c r="F1571" s="66"/>
      <c r="G1571" s="66"/>
      <c r="H1571" s="66"/>
      <c r="I1571" s="66"/>
      <c r="J1571" s="66"/>
      <c r="K1571" s="66"/>
      <c r="L1571" s="66"/>
      <c r="M1571" s="66"/>
      <c r="N1571" s="66"/>
      <c r="O1571" s="66"/>
      <c r="P1571" s="66"/>
      <c r="Q1571" s="66"/>
      <c r="R1571" s="66"/>
      <c r="S1571" s="66"/>
      <c r="T1571" s="66"/>
      <c r="U1571" s="66"/>
      <c r="V1571" s="66"/>
      <c r="W1571" s="66"/>
      <c r="X1571" s="66"/>
      <c r="Y1571" s="66"/>
      <c r="Z1571" s="66"/>
    </row>
    <row r="1572">
      <c r="A1572" s="66"/>
      <c r="B1572" s="66"/>
      <c r="C1572" s="66"/>
      <c r="D1572" s="66"/>
      <c r="E1572" s="66"/>
      <c r="F1572" s="66"/>
      <c r="G1572" s="66"/>
      <c r="H1572" s="66"/>
      <c r="I1572" s="66"/>
      <c r="J1572" s="66"/>
      <c r="K1572" s="66"/>
      <c r="L1572" s="66"/>
      <c r="M1572" s="66"/>
      <c r="N1572" s="66"/>
      <c r="O1572" s="66"/>
      <c r="P1572" s="66"/>
      <c r="Q1572" s="66"/>
      <c r="R1572" s="66"/>
      <c r="S1572" s="66"/>
      <c r="T1572" s="66"/>
      <c r="U1572" s="66"/>
      <c r="V1572" s="66"/>
      <c r="W1572" s="66"/>
      <c r="X1572" s="66"/>
      <c r="Y1572" s="66"/>
      <c r="Z1572" s="66"/>
    </row>
    <row r="1573">
      <c r="A1573" s="66"/>
      <c r="B1573" s="66"/>
      <c r="C1573" s="66"/>
      <c r="D1573" s="66"/>
      <c r="E1573" s="66"/>
      <c r="F1573" s="66"/>
      <c r="G1573" s="66"/>
      <c r="H1573" s="66"/>
      <c r="I1573" s="66"/>
      <c r="J1573" s="66"/>
      <c r="K1573" s="66"/>
      <c r="L1573" s="66"/>
      <c r="M1573" s="66"/>
      <c r="N1573" s="66"/>
      <c r="O1573" s="66"/>
      <c r="P1573" s="66"/>
      <c r="Q1573" s="66"/>
      <c r="R1573" s="66"/>
      <c r="S1573" s="66"/>
      <c r="T1573" s="66"/>
      <c r="U1573" s="66"/>
      <c r="V1573" s="66"/>
      <c r="W1573" s="66"/>
      <c r="X1573" s="66"/>
      <c r="Y1573" s="66"/>
      <c r="Z1573" s="66"/>
    </row>
    <row r="1574">
      <c r="A1574" s="66"/>
      <c r="B1574" s="66"/>
      <c r="C1574" s="66"/>
      <c r="D1574" s="66"/>
      <c r="E1574" s="66"/>
      <c r="F1574" s="66"/>
      <c r="G1574" s="66"/>
      <c r="H1574" s="66"/>
      <c r="I1574" s="66"/>
      <c r="J1574" s="66"/>
      <c r="K1574" s="66"/>
      <c r="L1574" s="66"/>
      <c r="M1574" s="66"/>
      <c r="N1574" s="66"/>
      <c r="O1574" s="66"/>
      <c r="P1574" s="66"/>
      <c r="Q1574" s="66"/>
      <c r="R1574" s="66"/>
      <c r="S1574" s="66"/>
      <c r="T1574" s="66"/>
      <c r="U1574" s="66"/>
      <c r="V1574" s="66"/>
      <c r="W1574" s="66"/>
      <c r="X1574" s="66"/>
      <c r="Y1574" s="66"/>
      <c r="Z1574" s="66"/>
    </row>
    <row r="1575">
      <c r="A1575" s="66"/>
      <c r="B1575" s="66"/>
      <c r="C1575" s="66"/>
      <c r="D1575" s="66"/>
      <c r="E1575" s="66"/>
      <c r="F1575" s="66"/>
      <c r="G1575" s="66"/>
      <c r="H1575" s="66"/>
      <c r="I1575" s="66"/>
      <c r="J1575" s="66"/>
      <c r="K1575" s="66"/>
      <c r="L1575" s="66"/>
      <c r="M1575" s="66"/>
      <c r="N1575" s="66"/>
      <c r="O1575" s="66"/>
      <c r="P1575" s="66"/>
      <c r="Q1575" s="66"/>
      <c r="R1575" s="66"/>
      <c r="S1575" s="66"/>
      <c r="T1575" s="66"/>
      <c r="U1575" s="66"/>
      <c r="V1575" s="66"/>
      <c r="W1575" s="66"/>
      <c r="X1575" s="66"/>
      <c r="Y1575" s="66"/>
      <c r="Z1575" s="66"/>
    </row>
    <row r="1576">
      <c r="A1576" s="66"/>
      <c r="B1576" s="66"/>
      <c r="C1576" s="66"/>
      <c r="D1576" s="66"/>
      <c r="E1576" s="66"/>
      <c r="F1576" s="66"/>
      <c r="G1576" s="66"/>
      <c r="H1576" s="66"/>
      <c r="I1576" s="66"/>
      <c r="J1576" s="66"/>
      <c r="K1576" s="66"/>
      <c r="L1576" s="66"/>
      <c r="M1576" s="66"/>
      <c r="N1576" s="66"/>
      <c r="O1576" s="66"/>
      <c r="P1576" s="66"/>
      <c r="Q1576" s="66"/>
      <c r="R1576" s="66"/>
      <c r="S1576" s="66"/>
      <c r="T1576" s="66"/>
      <c r="U1576" s="66"/>
      <c r="V1576" s="66"/>
      <c r="W1576" s="66"/>
      <c r="X1576" s="66"/>
      <c r="Y1576" s="66"/>
      <c r="Z1576" s="66"/>
    </row>
    <row r="1577">
      <c r="A1577" s="66"/>
      <c r="B1577" s="66"/>
      <c r="C1577" s="66"/>
      <c r="D1577" s="66"/>
      <c r="E1577" s="66"/>
      <c r="F1577" s="66"/>
      <c r="G1577" s="66"/>
      <c r="H1577" s="66"/>
      <c r="I1577" s="66"/>
      <c r="J1577" s="66"/>
      <c r="K1577" s="66"/>
      <c r="L1577" s="66"/>
      <c r="M1577" s="66"/>
      <c r="N1577" s="66"/>
      <c r="O1577" s="66"/>
      <c r="P1577" s="66"/>
      <c r="Q1577" s="66"/>
      <c r="R1577" s="66"/>
      <c r="S1577" s="66"/>
      <c r="T1577" s="66"/>
      <c r="U1577" s="66"/>
      <c r="V1577" s="66"/>
      <c r="W1577" s="66"/>
      <c r="X1577" s="66"/>
      <c r="Y1577" s="66"/>
      <c r="Z1577" s="66"/>
    </row>
    <row r="1578">
      <c r="A1578" s="66"/>
      <c r="B1578" s="66"/>
      <c r="C1578" s="66"/>
      <c r="D1578" s="66"/>
      <c r="E1578" s="66"/>
      <c r="F1578" s="66"/>
      <c r="G1578" s="66"/>
      <c r="H1578" s="66"/>
      <c r="I1578" s="66"/>
      <c r="J1578" s="66"/>
      <c r="K1578" s="66"/>
      <c r="L1578" s="66"/>
      <c r="M1578" s="66"/>
      <c r="N1578" s="66"/>
      <c r="O1578" s="66"/>
      <c r="P1578" s="66"/>
      <c r="Q1578" s="66"/>
      <c r="R1578" s="66"/>
      <c r="S1578" s="66"/>
      <c r="T1578" s="66"/>
      <c r="U1578" s="66"/>
      <c r="V1578" s="66"/>
      <c r="W1578" s="66"/>
      <c r="X1578" s="66"/>
      <c r="Y1578" s="66"/>
      <c r="Z1578" s="66"/>
    </row>
    <row r="1579">
      <c r="A1579" s="66"/>
      <c r="B1579" s="66"/>
      <c r="C1579" s="66"/>
      <c r="D1579" s="66"/>
      <c r="E1579" s="66"/>
      <c r="F1579" s="66"/>
      <c r="G1579" s="66"/>
      <c r="H1579" s="66"/>
      <c r="I1579" s="66"/>
      <c r="J1579" s="66"/>
      <c r="K1579" s="66"/>
      <c r="L1579" s="66"/>
      <c r="M1579" s="66"/>
      <c r="N1579" s="66"/>
      <c r="O1579" s="66"/>
      <c r="P1579" s="66"/>
      <c r="Q1579" s="66"/>
      <c r="R1579" s="66"/>
      <c r="S1579" s="66"/>
      <c r="T1579" s="66"/>
      <c r="U1579" s="66"/>
      <c r="V1579" s="66"/>
      <c r="W1579" s="66"/>
      <c r="X1579" s="66"/>
      <c r="Y1579" s="66"/>
      <c r="Z1579" s="66"/>
    </row>
    <row r="1580">
      <c r="A1580" s="66"/>
      <c r="B1580" s="66"/>
      <c r="C1580" s="66"/>
      <c r="D1580" s="66"/>
      <c r="E1580" s="66"/>
      <c r="F1580" s="66"/>
      <c r="G1580" s="66"/>
      <c r="H1580" s="66"/>
      <c r="I1580" s="66"/>
      <c r="J1580" s="66"/>
      <c r="K1580" s="66"/>
      <c r="L1580" s="66"/>
      <c r="M1580" s="66"/>
      <c r="N1580" s="66"/>
      <c r="O1580" s="66"/>
      <c r="P1580" s="66"/>
      <c r="Q1580" s="66"/>
      <c r="R1580" s="66"/>
      <c r="S1580" s="66"/>
      <c r="T1580" s="66"/>
      <c r="U1580" s="66"/>
      <c r="V1580" s="66"/>
      <c r="W1580" s="66"/>
      <c r="X1580" s="66"/>
      <c r="Y1580" s="66"/>
      <c r="Z1580" s="66"/>
    </row>
    <row r="1581">
      <c r="A1581" s="66"/>
      <c r="B1581" s="66"/>
      <c r="C1581" s="66"/>
      <c r="D1581" s="66"/>
      <c r="E1581" s="66"/>
      <c r="F1581" s="66"/>
      <c r="G1581" s="66"/>
      <c r="H1581" s="66"/>
      <c r="I1581" s="66"/>
      <c r="J1581" s="66"/>
      <c r="K1581" s="66"/>
      <c r="L1581" s="66"/>
      <c r="M1581" s="66"/>
      <c r="N1581" s="66"/>
      <c r="O1581" s="66"/>
      <c r="P1581" s="66"/>
      <c r="Q1581" s="66"/>
      <c r="R1581" s="66"/>
      <c r="S1581" s="66"/>
      <c r="T1581" s="66"/>
      <c r="U1581" s="66"/>
      <c r="V1581" s="66"/>
      <c r="W1581" s="66"/>
      <c r="X1581" s="66"/>
      <c r="Y1581" s="66"/>
      <c r="Z1581" s="66"/>
    </row>
    <row r="1582">
      <c r="A1582" s="66"/>
      <c r="B1582" s="66"/>
      <c r="C1582" s="66"/>
      <c r="D1582" s="66"/>
      <c r="E1582" s="66"/>
      <c r="F1582" s="66"/>
      <c r="G1582" s="66"/>
      <c r="H1582" s="66"/>
      <c r="I1582" s="66"/>
      <c r="J1582" s="66"/>
      <c r="K1582" s="66"/>
      <c r="L1582" s="66"/>
      <c r="M1582" s="66"/>
      <c r="N1582" s="66"/>
      <c r="O1582" s="66"/>
      <c r="P1582" s="66"/>
      <c r="Q1582" s="66"/>
      <c r="R1582" s="66"/>
      <c r="S1582" s="66"/>
      <c r="T1582" s="66"/>
      <c r="U1582" s="66"/>
      <c r="V1582" s="66"/>
      <c r="W1582" s="66"/>
      <c r="X1582" s="66"/>
      <c r="Y1582" s="66"/>
      <c r="Z1582" s="66"/>
    </row>
    <row r="1583">
      <c r="A1583" s="66"/>
      <c r="B1583" s="66"/>
      <c r="C1583" s="66"/>
      <c r="D1583" s="66"/>
      <c r="E1583" s="66"/>
      <c r="F1583" s="66"/>
      <c r="G1583" s="66"/>
      <c r="H1583" s="66"/>
      <c r="I1583" s="66"/>
      <c r="J1583" s="66"/>
      <c r="K1583" s="66"/>
      <c r="L1583" s="66"/>
      <c r="M1583" s="66"/>
      <c r="N1583" s="66"/>
      <c r="O1583" s="66"/>
      <c r="P1583" s="66"/>
      <c r="Q1583" s="66"/>
      <c r="R1583" s="66"/>
      <c r="S1583" s="66"/>
      <c r="T1583" s="66"/>
      <c r="U1583" s="66"/>
      <c r="V1583" s="66"/>
      <c r="W1583" s="66"/>
      <c r="X1583" s="66"/>
      <c r="Y1583" s="66"/>
      <c r="Z1583" s="66"/>
    </row>
    <row r="1584">
      <c r="A1584" s="66"/>
      <c r="B1584" s="66"/>
      <c r="C1584" s="66"/>
      <c r="D1584" s="66"/>
      <c r="E1584" s="66"/>
      <c r="F1584" s="66"/>
      <c r="G1584" s="66"/>
      <c r="H1584" s="66"/>
      <c r="I1584" s="66"/>
      <c r="J1584" s="66"/>
      <c r="K1584" s="66"/>
      <c r="L1584" s="66"/>
      <c r="M1584" s="66"/>
      <c r="N1584" s="66"/>
      <c r="O1584" s="66"/>
      <c r="P1584" s="66"/>
      <c r="Q1584" s="66"/>
      <c r="R1584" s="66"/>
      <c r="S1584" s="66"/>
      <c r="T1584" s="66"/>
      <c r="U1584" s="66"/>
      <c r="V1584" s="66"/>
      <c r="W1584" s="66"/>
      <c r="X1584" s="66"/>
      <c r="Y1584" s="66"/>
      <c r="Z1584" s="66"/>
    </row>
    <row r="1585">
      <c r="A1585" s="66"/>
      <c r="B1585" s="66"/>
      <c r="C1585" s="66"/>
      <c r="D1585" s="66"/>
      <c r="E1585" s="66"/>
      <c r="F1585" s="66"/>
      <c r="G1585" s="66"/>
      <c r="H1585" s="66"/>
      <c r="I1585" s="66"/>
      <c r="J1585" s="66"/>
      <c r="K1585" s="66"/>
      <c r="L1585" s="66"/>
      <c r="M1585" s="66"/>
      <c r="N1585" s="66"/>
      <c r="O1585" s="66"/>
      <c r="P1585" s="66"/>
      <c r="Q1585" s="66"/>
      <c r="R1585" s="66"/>
      <c r="S1585" s="66"/>
      <c r="T1585" s="66"/>
      <c r="U1585" s="66"/>
      <c r="V1585" s="66"/>
      <c r="W1585" s="66"/>
      <c r="X1585" s="66"/>
      <c r="Y1585" s="66"/>
      <c r="Z1585" s="66"/>
    </row>
    <row r="1586">
      <c r="A1586" s="66"/>
      <c r="B1586" s="66"/>
      <c r="C1586" s="66"/>
      <c r="D1586" s="66"/>
      <c r="E1586" s="66"/>
      <c r="F1586" s="66"/>
      <c r="G1586" s="66"/>
      <c r="H1586" s="66"/>
      <c r="I1586" s="66"/>
      <c r="J1586" s="66"/>
      <c r="K1586" s="66"/>
      <c r="L1586" s="66"/>
      <c r="M1586" s="66"/>
      <c r="N1586" s="66"/>
      <c r="O1586" s="66"/>
      <c r="P1586" s="66"/>
      <c r="Q1586" s="66"/>
      <c r="R1586" s="66"/>
      <c r="S1586" s="66"/>
      <c r="T1586" s="66"/>
      <c r="U1586" s="66"/>
      <c r="V1586" s="66"/>
      <c r="W1586" s="66"/>
      <c r="X1586" s="66"/>
      <c r="Y1586" s="66"/>
      <c r="Z1586" s="66"/>
    </row>
    <row r="1587">
      <c r="A1587" s="66"/>
      <c r="B1587" s="66"/>
      <c r="C1587" s="66"/>
      <c r="D1587" s="66"/>
      <c r="E1587" s="66"/>
      <c r="F1587" s="66"/>
      <c r="G1587" s="66"/>
      <c r="H1587" s="66"/>
      <c r="I1587" s="66"/>
      <c r="J1587" s="66"/>
      <c r="K1587" s="66"/>
      <c r="L1587" s="66"/>
      <c r="M1587" s="66"/>
      <c r="N1587" s="66"/>
      <c r="O1587" s="66"/>
      <c r="P1587" s="66"/>
      <c r="Q1587" s="66"/>
      <c r="R1587" s="66"/>
      <c r="S1587" s="66"/>
      <c r="T1587" s="66"/>
      <c r="U1587" s="66"/>
      <c r="V1587" s="66"/>
      <c r="W1587" s="66"/>
      <c r="X1587" s="66"/>
      <c r="Y1587" s="66"/>
      <c r="Z1587" s="66"/>
    </row>
    <row r="1588">
      <c r="A1588" s="66"/>
      <c r="B1588" s="66"/>
      <c r="C1588" s="66"/>
      <c r="D1588" s="66"/>
      <c r="E1588" s="66"/>
      <c r="F1588" s="66"/>
      <c r="G1588" s="66"/>
      <c r="H1588" s="66"/>
      <c r="I1588" s="66"/>
      <c r="J1588" s="66"/>
      <c r="K1588" s="66"/>
      <c r="L1588" s="66"/>
      <c r="M1588" s="66"/>
      <c r="N1588" s="66"/>
      <c r="O1588" s="66"/>
      <c r="P1588" s="66"/>
      <c r="Q1588" s="66"/>
      <c r="R1588" s="66"/>
      <c r="S1588" s="66"/>
      <c r="T1588" s="66"/>
      <c r="U1588" s="66"/>
      <c r="V1588" s="66"/>
      <c r="W1588" s="66"/>
      <c r="X1588" s="66"/>
      <c r="Y1588" s="66"/>
      <c r="Z1588" s="66"/>
    </row>
    <row r="1589">
      <c r="A1589" s="66"/>
      <c r="B1589" s="66"/>
      <c r="C1589" s="66"/>
      <c r="D1589" s="66"/>
      <c r="E1589" s="66"/>
      <c r="F1589" s="66"/>
      <c r="G1589" s="66"/>
      <c r="H1589" s="66"/>
      <c r="I1589" s="66"/>
      <c r="J1589" s="66"/>
      <c r="K1589" s="66"/>
      <c r="L1589" s="66"/>
      <c r="M1589" s="66"/>
      <c r="N1589" s="66"/>
      <c r="O1589" s="66"/>
      <c r="P1589" s="66"/>
      <c r="Q1589" s="66"/>
      <c r="R1589" s="66"/>
      <c r="S1589" s="66"/>
      <c r="T1589" s="66"/>
      <c r="U1589" s="66"/>
      <c r="V1589" s="66"/>
      <c r="W1589" s="66"/>
      <c r="X1589" s="66"/>
      <c r="Y1589" s="66"/>
      <c r="Z1589" s="66"/>
    </row>
    <row r="1590">
      <c r="A1590" s="66"/>
      <c r="B1590" s="66"/>
      <c r="C1590" s="66"/>
      <c r="D1590" s="66"/>
      <c r="E1590" s="66"/>
      <c r="F1590" s="66"/>
      <c r="G1590" s="66"/>
      <c r="H1590" s="66"/>
      <c r="I1590" s="66"/>
      <c r="J1590" s="66"/>
      <c r="K1590" s="66"/>
      <c r="L1590" s="66"/>
      <c r="M1590" s="66"/>
      <c r="N1590" s="66"/>
      <c r="O1590" s="66"/>
      <c r="P1590" s="66"/>
      <c r="Q1590" s="66"/>
      <c r="R1590" s="66"/>
      <c r="S1590" s="66"/>
      <c r="T1590" s="66"/>
      <c r="U1590" s="66"/>
      <c r="V1590" s="66"/>
      <c r="W1590" s="66"/>
      <c r="X1590" s="66"/>
      <c r="Y1590" s="66"/>
      <c r="Z1590" s="66"/>
    </row>
    <row r="1591">
      <c r="A1591" s="66"/>
      <c r="B1591" s="66"/>
      <c r="C1591" s="66"/>
      <c r="D1591" s="66"/>
      <c r="E1591" s="66"/>
      <c r="F1591" s="66"/>
      <c r="G1591" s="66"/>
      <c r="H1591" s="66"/>
      <c r="I1591" s="66"/>
      <c r="J1591" s="66"/>
      <c r="K1591" s="66"/>
      <c r="L1591" s="66"/>
      <c r="M1591" s="66"/>
      <c r="N1591" s="66"/>
      <c r="O1591" s="66"/>
      <c r="P1591" s="66"/>
      <c r="Q1591" s="66"/>
      <c r="R1591" s="66"/>
      <c r="S1591" s="66"/>
      <c r="T1591" s="66"/>
      <c r="U1591" s="66"/>
      <c r="V1591" s="66"/>
      <c r="W1591" s="66"/>
      <c r="X1591" s="66"/>
      <c r="Y1591" s="66"/>
      <c r="Z1591" s="66"/>
    </row>
    <row r="1592">
      <c r="A1592" s="66"/>
      <c r="B1592" s="66"/>
      <c r="C1592" s="66"/>
      <c r="D1592" s="66"/>
      <c r="E1592" s="66"/>
      <c r="F1592" s="66"/>
      <c r="G1592" s="66"/>
      <c r="H1592" s="66"/>
      <c r="I1592" s="66"/>
      <c r="J1592" s="66"/>
      <c r="K1592" s="66"/>
      <c r="L1592" s="66"/>
      <c r="M1592" s="66"/>
      <c r="N1592" s="66"/>
      <c r="O1592" s="66"/>
      <c r="P1592" s="66"/>
      <c r="Q1592" s="66"/>
      <c r="R1592" s="66"/>
      <c r="S1592" s="66"/>
      <c r="T1592" s="66"/>
      <c r="U1592" s="66"/>
      <c r="V1592" s="66"/>
      <c r="W1592" s="66"/>
      <c r="X1592" s="66"/>
      <c r="Y1592" s="66"/>
      <c r="Z1592" s="66"/>
    </row>
    <row r="1593">
      <c r="A1593" s="66"/>
      <c r="B1593" s="66"/>
      <c r="C1593" s="66"/>
      <c r="D1593" s="66"/>
      <c r="E1593" s="66"/>
      <c r="F1593" s="66"/>
      <c r="G1593" s="66"/>
      <c r="H1593" s="66"/>
      <c r="I1593" s="66"/>
      <c r="J1593" s="66"/>
      <c r="K1593" s="66"/>
      <c r="L1593" s="66"/>
      <c r="M1593" s="66"/>
      <c r="N1593" s="66"/>
      <c r="O1593" s="66"/>
      <c r="P1593" s="66"/>
      <c r="Q1593" s="66"/>
      <c r="R1593" s="66"/>
      <c r="S1593" s="66"/>
      <c r="T1593" s="66"/>
      <c r="U1593" s="66"/>
      <c r="V1593" s="66"/>
      <c r="W1593" s="66"/>
      <c r="X1593" s="66"/>
      <c r="Y1593" s="66"/>
      <c r="Z1593" s="66"/>
    </row>
    <row r="1594">
      <c r="A1594" s="66"/>
      <c r="B1594" s="66"/>
      <c r="C1594" s="66"/>
      <c r="D1594" s="66"/>
      <c r="E1594" s="66"/>
      <c r="F1594" s="66"/>
      <c r="G1594" s="66"/>
      <c r="H1594" s="66"/>
      <c r="I1594" s="66"/>
      <c r="J1594" s="66"/>
      <c r="K1594" s="66"/>
      <c r="L1594" s="66"/>
      <c r="M1594" s="66"/>
      <c r="N1594" s="66"/>
      <c r="O1594" s="66"/>
      <c r="P1594" s="66"/>
      <c r="Q1594" s="66"/>
      <c r="R1594" s="66"/>
      <c r="S1594" s="66"/>
      <c r="T1594" s="66"/>
      <c r="U1594" s="66"/>
      <c r="V1594" s="66"/>
      <c r="W1594" s="66"/>
      <c r="X1594" s="66"/>
      <c r="Y1594" s="66"/>
      <c r="Z1594" s="66"/>
    </row>
    <row r="1595">
      <c r="A1595" s="66"/>
      <c r="B1595" s="66"/>
      <c r="C1595" s="66"/>
      <c r="D1595" s="66"/>
      <c r="E1595" s="66"/>
      <c r="F1595" s="66"/>
      <c r="G1595" s="66"/>
      <c r="H1595" s="66"/>
      <c r="I1595" s="66"/>
      <c r="J1595" s="66"/>
      <c r="K1595" s="66"/>
      <c r="L1595" s="66"/>
      <c r="M1595" s="66"/>
      <c r="N1595" s="66"/>
      <c r="O1595" s="66"/>
      <c r="P1595" s="66"/>
      <c r="Q1595" s="66"/>
      <c r="R1595" s="66"/>
      <c r="S1595" s="66"/>
      <c r="T1595" s="66"/>
      <c r="U1595" s="66"/>
      <c r="V1595" s="66"/>
      <c r="W1595" s="66"/>
      <c r="X1595" s="66"/>
      <c r="Y1595" s="66"/>
      <c r="Z1595" s="66"/>
    </row>
    <row r="1596">
      <c r="A1596" s="66"/>
      <c r="B1596" s="66"/>
      <c r="C1596" s="66"/>
      <c r="D1596" s="66"/>
      <c r="E1596" s="66"/>
      <c r="F1596" s="66"/>
      <c r="G1596" s="66"/>
      <c r="H1596" s="66"/>
      <c r="I1596" s="66"/>
      <c r="J1596" s="66"/>
      <c r="K1596" s="66"/>
      <c r="L1596" s="66"/>
      <c r="M1596" s="66"/>
      <c r="N1596" s="66"/>
      <c r="O1596" s="66"/>
      <c r="P1596" s="66"/>
      <c r="Q1596" s="66"/>
      <c r="R1596" s="66"/>
      <c r="S1596" s="66"/>
      <c r="T1596" s="66"/>
      <c r="U1596" s="66"/>
      <c r="V1596" s="66"/>
      <c r="W1596" s="66"/>
      <c r="X1596" s="66"/>
      <c r="Y1596" s="66"/>
      <c r="Z1596" s="66"/>
    </row>
    <row r="1597">
      <c r="A1597" s="66"/>
      <c r="B1597" s="66"/>
      <c r="C1597" s="66"/>
      <c r="D1597" s="66"/>
      <c r="E1597" s="66"/>
      <c r="F1597" s="66"/>
      <c r="G1597" s="66"/>
      <c r="H1597" s="66"/>
      <c r="I1597" s="66"/>
      <c r="J1597" s="66"/>
      <c r="K1597" s="66"/>
      <c r="L1597" s="66"/>
      <c r="M1597" s="66"/>
      <c r="N1597" s="66"/>
      <c r="O1597" s="66"/>
      <c r="P1597" s="66"/>
      <c r="Q1597" s="66"/>
      <c r="R1597" s="66"/>
      <c r="S1597" s="66"/>
      <c r="T1597" s="66"/>
      <c r="U1597" s="66"/>
      <c r="V1597" s="66"/>
      <c r="W1597" s="66"/>
      <c r="X1597" s="66"/>
      <c r="Y1597" s="66"/>
      <c r="Z1597" s="66"/>
    </row>
    <row r="1598">
      <c r="A1598" s="66"/>
      <c r="B1598" s="66"/>
      <c r="C1598" s="66"/>
      <c r="D1598" s="66"/>
      <c r="E1598" s="66"/>
      <c r="F1598" s="66"/>
      <c r="G1598" s="66"/>
      <c r="H1598" s="66"/>
      <c r="I1598" s="66"/>
      <c r="J1598" s="66"/>
      <c r="K1598" s="66"/>
      <c r="L1598" s="66"/>
      <c r="M1598" s="66"/>
      <c r="N1598" s="66"/>
      <c r="O1598" s="66"/>
      <c r="P1598" s="66"/>
      <c r="Q1598" s="66"/>
      <c r="R1598" s="66"/>
      <c r="S1598" s="66"/>
      <c r="T1598" s="66"/>
      <c r="U1598" s="66"/>
      <c r="V1598" s="66"/>
      <c r="W1598" s="66"/>
      <c r="X1598" s="66"/>
      <c r="Y1598" s="66"/>
      <c r="Z1598" s="66"/>
    </row>
    <row r="1599">
      <c r="A1599" s="66"/>
      <c r="B1599" s="66"/>
      <c r="C1599" s="66"/>
      <c r="D1599" s="66"/>
      <c r="E1599" s="66"/>
      <c r="F1599" s="66"/>
      <c r="G1599" s="66"/>
      <c r="H1599" s="66"/>
      <c r="I1599" s="66"/>
      <c r="J1599" s="66"/>
      <c r="K1599" s="66"/>
      <c r="L1599" s="66"/>
      <c r="M1599" s="66"/>
      <c r="N1599" s="66"/>
      <c r="O1599" s="66"/>
      <c r="P1599" s="66"/>
      <c r="Q1599" s="66"/>
      <c r="R1599" s="66"/>
      <c r="S1599" s="66"/>
      <c r="T1599" s="66"/>
      <c r="U1599" s="66"/>
      <c r="V1599" s="66"/>
      <c r="W1599" s="66"/>
      <c r="X1599" s="66"/>
      <c r="Y1599" s="66"/>
      <c r="Z1599" s="66"/>
    </row>
    <row r="1600">
      <c r="A1600" s="66"/>
      <c r="B1600" s="66"/>
      <c r="C1600" s="66"/>
      <c r="D1600" s="66"/>
      <c r="E1600" s="66"/>
      <c r="F1600" s="66"/>
      <c r="G1600" s="66"/>
      <c r="H1600" s="66"/>
      <c r="I1600" s="66"/>
      <c r="J1600" s="66"/>
      <c r="K1600" s="66"/>
      <c r="L1600" s="66"/>
      <c r="M1600" s="66"/>
      <c r="N1600" s="66"/>
      <c r="O1600" s="66"/>
      <c r="P1600" s="66"/>
      <c r="Q1600" s="66"/>
      <c r="R1600" s="66"/>
      <c r="S1600" s="66"/>
      <c r="T1600" s="66"/>
      <c r="U1600" s="66"/>
      <c r="V1600" s="66"/>
      <c r="W1600" s="66"/>
      <c r="X1600" s="66"/>
      <c r="Y1600" s="66"/>
      <c r="Z1600" s="66"/>
    </row>
    <row r="1601">
      <c r="A1601" s="66"/>
      <c r="B1601" s="66"/>
      <c r="C1601" s="66"/>
      <c r="D1601" s="66"/>
      <c r="E1601" s="66"/>
      <c r="F1601" s="66"/>
      <c r="G1601" s="66"/>
      <c r="H1601" s="66"/>
      <c r="I1601" s="66"/>
      <c r="J1601" s="66"/>
      <c r="K1601" s="66"/>
      <c r="L1601" s="66"/>
      <c r="M1601" s="66"/>
      <c r="N1601" s="66"/>
      <c r="O1601" s="66"/>
      <c r="P1601" s="66"/>
      <c r="Q1601" s="66"/>
      <c r="R1601" s="66"/>
      <c r="S1601" s="66"/>
      <c r="T1601" s="66"/>
      <c r="U1601" s="66"/>
      <c r="V1601" s="66"/>
      <c r="W1601" s="66"/>
      <c r="X1601" s="66"/>
      <c r="Y1601" s="66"/>
      <c r="Z1601" s="66"/>
    </row>
    <row r="1602">
      <c r="A1602" s="66"/>
      <c r="B1602" s="66"/>
      <c r="C1602" s="66"/>
      <c r="D1602" s="66"/>
      <c r="E1602" s="66"/>
      <c r="F1602" s="66"/>
      <c r="G1602" s="66"/>
      <c r="H1602" s="66"/>
      <c r="I1602" s="66"/>
      <c r="J1602" s="66"/>
      <c r="K1602" s="66"/>
      <c r="L1602" s="66"/>
      <c r="M1602" s="66"/>
      <c r="N1602" s="66"/>
      <c r="O1602" s="66"/>
      <c r="P1602" s="66"/>
      <c r="Q1602" s="66"/>
      <c r="R1602" s="66"/>
      <c r="S1602" s="66"/>
      <c r="T1602" s="66"/>
      <c r="U1602" s="66"/>
      <c r="V1602" s="66"/>
      <c r="W1602" s="66"/>
      <c r="X1602" s="66"/>
      <c r="Y1602" s="66"/>
      <c r="Z1602" s="66"/>
    </row>
    <row r="1603">
      <c r="A1603" s="66"/>
      <c r="B1603" s="66"/>
      <c r="C1603" s="66"/>
      <c r="D1603" s="66"/>
      <c r="E1603" s="66"/>
      <c r="F1603" s="66"/>
      <c r="G1603" s="66"/>
      <c r="H1603" s="66"/>
      <c r="I1603" s="66"/>
      <c r="J1603" s="66"/>
      <c r="K1603" s="66"/>
      <c r="L1603" s="66"/>
      <c r="M1603" s="66"/>
      <c r="N1603" s="66"/>
      <c r="O1603" s="66"/>
      <c r="P1603" s="66"/>
      <c r="Q1603" s="66"/>
      <c r="R1603" s="66"/>
      <c r="S1603" s="66"/>
      <c r="T1603" s="66"/>
      <c r="U1603" s="66"/>
      <c r="V1603" s="66"/>
      <c r="W1603" s="66"/>
      <c r="X1603" s="66"/>
      <c r="Y1603" s="66"/>
      <c r="Z1603" s="66"/>
    </row>
    <row r="1604">
      <c r="A1604" s="66"/>
      <c r="B1604" s="66"/>
      <c r="C1604" s="66"/>
      <c r="D1604" s="66"/>
      <c r="E1604" s="66"/>
      <c r="F1604" s="66"/>
      <c r="G1604" s="66"/>
      <c r="H1604" s="66"/>
      <c r="I1604" s="66"/>
      <c r="J1604" s="66"/>
      <c r="K1604" s="66"/>
      <c r="L1604" s="66"/>
      <c r="M1604" s="66"/>
      <c r="N1604" s="66"/>
      <c r="O1604" s="66"/>
      <c r="P1604" s="66"/>
      <c r="Q1604" s="66"/>
      <c r="R1604" s="66"/>
      <c r="S1604" s="66"/>
      <c r="T1604" s="66"/>
      <c r="U1604" s="66"/>
      <c r="V1604" s="66"/>
      <c r="W1604" s="66"/>
      <c r="X1604" s="66"/>
      <c r="Y1604" s="66"/>
      <c r="Z1604" s="66"/>
    </row>
    <row r="1605">
      <c r="A1605" s="66"/>
      <c r="B1605" s="66"/>
      <c r="C1605" s="66"/>
      <c r="D1605" s="66"/>
      <c r="E1605" s="66"/>
      <c r="F1605" s="66"/>
      <c r="G1605" s="66"/>
      <c r="H1605" s="66"/>
      <c r="I1605" s="66"/>
      <c r="J1605" s="66"/>
      <c r="K1605" s="66"/>
      <c r="L1605" s="66"/>
      <c r="M1605" s="66"/>
      <c r="N1605" s="66"/>
      <c r="O1605" s="66"/>
      <c r="P1605" s="66"/>
      <c r="Q1605" s="66"/>
      <c r="R1605" s="66"/>
      <c r="S1605" s="66"/>
      <c r="T1605" s="66"/>
      <c r="U1605" s="66"/>
      <c r="V1605" s="66"/>
      <c r="W1605" s="66"/>
      <c r="X1605" s="66"/>
      <c r="Y1605" s="66"/>
      <c r="Z1605" s="66"/>
    </row>
    <row r="1606">
      <c r="A1606" s="66"/>
      <c r="B1606" s="66"/>
      <c r="C1606" s="66"/>
      <c r="D1606" s="66"/>
      <c r="E1606" s="66"/>
      <c r="F1606" s="66"/>
      <c r="G1606" s="66"/>
      <c r="H1606" s="66"/>
      <c r="I1606" s="66"/>
      <c r="J1606" s="66"/>
      <c r="K1606" s="66"/>
      <c r="L1606" s="66"/>
      <c r="M1606" s="66"/>
      <c r="N1606" s="66"/>
      <c r="O1606" s="66"/>
      <c r="P1606" s="66"/>
      <c r="Q1606" s="66"/>
      <c r="R1606" s="66"/>
      <c r="S1606" s="66"/>
      <c r="T1606" s="66"/>
      <c r="U1606" s="66"/>
      <c r="V1606" s="66"/>
      <c r="W1606" s="66"/>
      <c r="X1606" s="66"/>
      <c r="Y1606" s="66"/>
      <c r="Z1606" s="66"/>
    </row>
    <row r="1607">
      <c r="A1607" s="66"/>
      <c r="B1607" s="66"/>
      <c r="C1607" s="66"/>
      <c r="D1607" s="66"/>
      <c r="E1607" s="66"/>
      <c r="F1607" s="66"/>
      <c r="G1607" s="66"/>
      <c r="H1607" s="66"/>
      <c r="I1607" s="66"/>
      <c r="J1607" s="66"/>
      <c r="K1607" s="66"/>
      <c r="L1607" s="66"/>
      <c r="M1607" s="66"/>
      <c r="N1607" s="66"/>
      <c r="O1607" s="66"/>
      <c r="P1607" s="66"/>
      <c r="Q1607" s="66"/>
      <c r="R1607" s="66"/>
      <c r="S1607" s="66"/>
      <c r="T1607" s="66"/>
      <c r="U1607" s="66"/>
      <c r="V1607" s="66"/>
      <c r="W1607" s="66"/>
      <c r="X1607" s="66"/>
      <c r="Y1607" s="66"/>
      <c r="Z1607" s="66"/>
    </row>
    <row r="1608">
      <c r="A1608" s="66"/>
      <c r="B1608" s="66"/>
      <c r="C1608" s="66"/>
      <c r="D1608" s="66"/>
      <c r="E1608" s="66"/>
      <c r="F1608" s="66"/>
      <c r="G1608" s="66"/>
      <c r="H1608" s="66"/>
      <c r="I1608" s="66"/>
      <c r="J1608" s="66"/>
      <c r="K1608" s="66"/>
      <c r="L1608" s="66"/>
      <c r="M1608" s="66"/>
      <c r="N1608" s="66"/>
      <c r="O1608" s="66"/>
      <c r="P1608" s="66"/>
      <c r="Q1608" s="66"/>
      <c r="R1608" s="66"/>
      <c r="S1608" s="66"/>
      <c r="T1608" s="66"/>
      <c r="U1608" s="66"/>
      <c r="V1608" s="66"/>
      <c r="W1608" s="66"/>
      <c r="X1608" s="66"/>
      <c r="Y1608" s="66"/>
      <c r="Z1608" s="66"/>
    </row>
    <row r="1609">
      <c r="A1609" s="66"/>
      <c r="B1609" s="66"/>
      <c r="C1609" s="66"/>
      <c r="D1609" s="66"/>
      <c r="E1609" s="66"/>
      <c r="F1609" s="66"/>
      <c r="G1609" s="66"/>
      <c r="H1609" s="66"/>
      <c r="I1609" s="66"/>
      <c r="J1609" s="66"/>
      <c r="K1609" s="66"/>
      <c r="L1609" s="66"/>
      <c r="M1609" s="66"/>
      <c r="N1609" s="66"/>
      <c r="O1609" s="66"/>
      <c r="P1609" s="66"/>
      <c r="Q1609" s="66"/>
      <c r="R1609" s="66"/>
      <c r="S1609" s="66"/>
      <c r="T1609" s="66"/>
      <c r="U1609" s="66"/>
      <c r="V1609" s="66"/>
      <c r="W1609" s="66"/>
      <c r="X1609" s="66"/>
      <c r="Y1609" s="66"/>
      <c r="Z1609" s="66"/>
    </row>
    <row r="1610">
      <c r="A1610" s="66"/>
      <c r="B1610" s="66"/>
      <c r="C1610" s="66"/>
      <c r="D1610" s="66"/>
      <c r="E1610" s="66"/>
      <c r="F1610" s="66"/>
      <c r="G1610" s="66"/>
      <c r="H1610" s="66"/>
      <c r="I1610" s="66"/>
      <c r="J1610" s="66"/>
      <c r="K1610" s="66"/>
      <c r="L1610" s="66"/>
      <c r="M1610" s="66"/>
      <c r="N1610" s="66"/>
      <c r="O1610" s="66"/>
      <c r="P1610" s="66"/>
      <c r="Q1610" s="66"/>
      <c r="R1610" s="66"/>
      <c r="S1610" s="66"/>
      <c r="T1610" s="66"/>
      <c r="U1610" s="66"/>
      <c r="V1610" s="66"/>
      <c r="W1610" s="66"/>
      <c r="X1610" s="66"/>
      <c r="Y1610" s="66"/>
      <c r="Z1610" s="66"/>
    </row>
    <row r="1611">
      <c r="A1611" s="66"/>
      <c r="B1611" s="66"/>
      <c r="C1611" s="66"/>
      <c r="D1611" s="66"/>
      <c r="E1611" s="66"/>
      <c r="F1611" s="66"/>
      <c r="G1611" s="66"/>
      <c r="H1611" s="66"/>
      <c r="I1611" s="66"/>
      <c r="J1611" s="66"/>
      <c r="K1611" s="66"/>
      <c r="L1611" s="66"/>
      <c r="M1611" s="66"/>
      <c r="N1611" s="66"/>
      <c r="O1611" s="66"/>
      <c r="P1611" s="66"/>
      <c r="Q1611" s="66"/>
      <c r="R1611" s="66"/>
      <c r="S1611" s="66"/>
      <c r="T1611" s="66"/>
      <c r="U1611" s="66"/>
      <c r="V1611" s="66"/>
      <c r="W1611" s="66"/>
      <c r="X1611" s="66"/>
      <c r="Y1611" s="66"/>
      <c r="Z1611" s="66"/>
    </row>
    <row r="1612">
      <c r="A1612" s="66"/>
      <c r="B1612" s="66"/>
      <c r="C1612" s="66"/>
      <c r="D1612" s="66"/>
      <c r="E1612" s="66"/>
      <c r="F1612" s="66"/>
      <c r="G1612" s="66"/>
      <c r="H1612" s="66"/>
      <c r="I1612" s="66"/>
      <c r="J1612" s="66"/>
      <c r="K1612" s="66"/>
      <c r="L1612" s="66"/>
      <c r="M1612" s="66"/>
      <c r="N1612" s="66"/>
      <c r="O1612" s="66"/>
      <c r="P1612" s="66"/>
      <c r="Q1612" s="66"/>
      <c r="R1612" s="66"/>
      <c r="S1612" s="66"/>
      <c r="T1612" s="66"/>
      <c r="U1612" s="66"/>
      <c r="V1612" s="66"/>
      <c r="W1612" s="66"/>
      <c r="X1612" s="66"/>
      <c r="Y1612" s="66"/>
      <c r="Z1612" s="66"/>
    </row>
    <row r="1613">
      <c r="A1613" s="66"/>
      <c r="B1613" s="66"/>
      <c r="C1613" s="66"/>
      <c r="D1613" s="66"/>
      <c r="E1613" s="66"/>
      <c r="F1613" s="66"/>
      <c r="G1613" s="66"/>
      <c r="H1613" s="66"/>
      <c r="I1613" s="66"/>
      <c r="J1613" s="66"/>
      <c r="K1613" s="66"/>
      <c r="L1613" s="66"/>
      <c r="M1613" s="66"/>
      <c r="N1613" s="66"/>
      <c r="O1613" s="66"/>
      <c r="P1613" s="66"/>
      <c r="Q1613" s="66"/>
      <c r="R1613" s="66"/>
      <c r="S1613" s="66"/>
      <c r="T1613" s="66"/>
      <c r="U1613" s="66"/>
      <c r="V1613" s="66"/>
      <c r="W1613" s="66"/>
      <c r="X1613" s="66"/>
      <c r="Y1613" s="66"/>
      <c r="Z1613" s="66"/>
    </row>
    <row r="1614">
      <c r="A1614" s="66"/>
      <c r="B1614" s="66"/>
      <c r="C1614" s="66"/>
      <c r="D1614" s="66"/>
      <c r="E1614" s="66"/>
      <c r="F1614" s="66"/>
      <c r="G1614" s="66"/>
      <c r="H1614" s="66"/>
      <c r="I1614" s="66"/>
      <c r="J1614" s="66"/>
      <c r="K1614" s="66"/>
      <c r="L1614" s="66"/>
      <c r="M1614" s="66"/>
      <c r="N1614" s="66"/>
      <c r="O1614" s="66"/>
      <c r="P1614" s="66"/>
      <c r="Q1614" s="66"/>
      <c r="R1614" s="66"/>
      <c r="S1614" s="66"/>
      <c r="T1614" s="66"/>
      <c r="U1614" s="66"/>
      <c r="V1614" s="66"/>
      <c r="W1614" s="66"/>
      <c r="X1614" s="66"/>
      <c r="Y1614" s="66"/>
      <c r="Z1614" s="66"/>
    </row>
    <row r="1615">
      <c r="A1615" s="66"/>
      <c r="B1615" s="66"/>
      <c r="C1615" s="66"/>
      <c r="D1615" s="66"/>
      <c r="E1615" s="66"/>
      <c r="F1615" s="66"/>
      <c r="G1615" s="66"/>
      <c r="H1615" s="66"/>
      <c r="I1615" s="66"/>
      <c r="J1615" s="66"/>
      <c r="K1615" s="66"/>
      <c r="L1615" s="66"/>
      <c r="M1615" s="66"/>
      <c r="N1615" s="66"/>
      <c r="O1615" s="66"/>
      <c r="P1615" s="66"/>
      <c r="Q1615" s="66"/>
      <c r="R1615" s="66"/>
      <c r="S1615" s="66"/>
      <c r="T1615" s="66"/>
      <c r="U1615" s="66"/>
      <c r="V1615" s="66"/>
      <c r="W1615" s="66"/>
      <c r="X1615" s="66"/>
      <c r="Y1615" s="66"/>
      <c r="Z1615" s="66"/>
    </row>
    <row r="1616">
      <c r="A1616" s="66"/>
      <c r="B1616" s="66"/>
      <c r="C1616" s="66"/>
      <c r="D1616" s="66"/>
      <c r="E1616" s="66"/>
      <c r="F1616" s="66"/>
      <c r="G1616" s="66"/>
      <c r="H1616" s="66"/>
      <c r="I1616" s="66"/>
      <c r="J1616" s="66"/>
      <c r="K1616" s="66"/>
      <c r="L1616" s="66"/>
      <c r="M1616" s="66"/>
      <c r="N1616" s="66"/>
      <c r="O1616" s="66"/>
      <c r="P1616" s="66"/>
      <c r="Q1616" s="66"/>
      <c r="R1616" s="66"/>
      <c r="S1616" s="66"/>
      <c r="T1616" s="66"/>
      <c r="U1616" s="66"/>
      <c r="V1616" s="66"/>
      <c r="W1616" s="66"/>
      <c r="X1616" s="66"/>
      <c r="Y1616" s="66"/>
      <c r="Z1616" s="66"/>
    </row>
    <row r="1617">
      <c r="A1617" s="66"/>
      <c r="B1617" s="66"/>
      <c r="C1617" s="66"/>
      <c r="D1617" s="66"/>
      <c r="E1617" s="66"/>
      <c r="F1617" s="66"/>
      <c r="G1617" s="66"/>
      <c r="H1617" s="66"/>
      <c r="I1617" s="66"/>
      <c r="J1617" s="66"/>
      <c r="K1617" s="66"/>
      <c r="L1617" s="66"/>
      <c r="M1617" s="66"/>
      <c r="N1617" s="66"/>
      <c r="O1617" s="66"/>
      <c r="P1617" s="66"/>
      <c r="Q1617" s="66"/>
      <c r="R1617" s="66"/>
      <c r="S1617" s="66"/>
      <c r="T1617" s="66"/>
      <c r="U1617" s="66"/>
      <c r="V1617" s="66"/>
      <c r="W1617" s="66"/>
      <c r="X1617" s="66"/>
      <c r="Y1617" s="66"/>
      <c r="Z1617" s="66"/>
    </row>
    <row r="1618">
      <c r="A1618" s="66"/>
      <c r="B1618" s="66"/>
      <c r="C1618" s="66"/>
      <c r="D1618" s="66"/>
      <c r="E1618" s="66"/>
      <c r="F1618" s="66"/>
      <c r="G1618" s="66"/>
      <c r="H1618" s="66"/>
      <c r="I1618" s="66"/>
      <c r="J1618" s="66"/>
      <c r="K1618" s="66"/>
      <c r="L1618" s="66"/>
      <c r="M1618" s="66"/>
      <c r="N1618" s="66"/>
      <c r="O1618" s="66"/>
      <c r="P1618" s="66"/>
      <c r="Q1618" s="66"/>
      <c r="R1618" s="66"/>
      <c r="S1618" s="66"/>
      <c r="T1618" s="66"/>
      <c r="U1618" s="66"/>
      <c r="V1618" s="66"/>
      <c r="W1618" s="66"/>
      <c r="X1618" s="66"/>
      <c r="Y1618" s="66"/>
      <c r="Z1618" s="66"/>
    </row>
    <row r="1619">
      <c r="A1619" s="66"/>
      <c r="B1619" s="66"/>
      <c r="C1619" s="66"/>
      <c r="D1619" s="66"/>
      <c r="E1619" s="66"/>
      <c r="F1619" s="66"/>
      <c r="G1619" s="66"/>
      <c r="H1619" s="66"/>
      <c r="I1619" s="66"/>
      <c r="J1619" s="66"/>
      <c r="K1619" s="66"/>
      <c r="L1619" s="66"/>
      <c r="M1619" s="66"/>
      <c r="N1619" s="66"/>
      <c r="O1619" s="66"/>
      <c r="P1619" s="66"/>
      <c r="Q1619" s="66"/>
      <c r="R1619" s="66"/>
      <c r="S1619" s="66"/>
      <c r="T1619" s="66"/>
      <c r="U1619" s="66"/>
      <c r="V1619" s="66"/>
      <c r="W1619" s="66"/>
      <c r="X1619" s="66"/>
      <c r="Y1619" s="66"/>
      <c r="Z1619" s="66"/>
    </row>
    <row r="1620">
      <c r="A1620" s="66"/>
      <c r="B1620" s="66"/>
      <c r="C1620" s="66"/>
      <c r="D1620" s="66"/>
      <c r="E1620" s="66"/>
      <c r="F1620" s="66"/>
      <c r="G1620" s="66"/>
      <c r="H1620" s="66"/>
      <c r="I1620" s="66"/>
      <c r="J1620" s="66"/>
      <c r="K1620" s="66"/>
      <c r="L1620" s="66"/>
      <c r="M1620" s="66"/>
      <c r="N1620" s="66"/>
      <c r="O1620" s="66"/>
      <c r="P1620" s="66"/>
      <c r="Q1620" s="66"/>
      <c r="R1620" s="66"/>
      <c r="S1620" s="66"/>
      <c r="T1620" s="66"/>
      <c r="U1620" s="66"/>
      <c r="V1620" s="66"/>
      <c r="W1620" s="66"/>
      <c r="X1620" s="66"/>
      <c r="Y1620" s="66"/>
      <c r="Z1620" s="66"/>
    </row>
    <row r="1621">
      <c r="A1621" s="66"/>
      <c r="B1621" s="66"/>
      <c r="C1621" s="66"/>
      <c r="D1621" s="66"/>
      <c r="E1621" s="66"/>
      <c r="F1621" s="66"/>
      <c r="G1621" s="66"/>
      <c r="H1621" s="66"/>
      <c r="I1621" s="66"/>
      <c r="J1621" s="66"/>
      <c r="K1621" s="66"/>
      <c r="L1621" s="66"/>
      <c r="M1621" s="66"/>
      <c r="N1621" s="66"/>
      <c r="O1621" s="66"/>
      <c r="P1621" s="66"/>
      <c r="Q1621" s="66"/>
      <c r="R1621" s="66"/>
      <c r="S1621" s="66"/>
      <c r="T1621" s="66"/>
      <c r="U1621" s="66"/>
      <c r="V1621" s="66"/>
      <c r="W1621" s="66"/>
      <c r="X1621" s="66"/>
      <c r="Y1621" s="66"/>
      <c r="Z1621" s="66"/>
    </row>
    <row r="1622">
      <c r="A1622" s="66"/>
      <c r="B1622" s="66"/>
      <c r="C1622" s="66"/>
      <c r="D1622" s="66"/>
      <c r="E1622" s="66"/>
      <c r="F1622" s="66"/>
      <c r="G1622" s="66"/>
      <c r="H1622" s="66"/>
      <c r="I1622" s="66"/>
      <c r="J1622" s="66"/>
      <c r="K1622" s="66"/>
      <c r="L1622" s="66"/>
      <c r="M1622" s="66"/>
      <c r="N1622" s="66"/>
      <c r="O1622" s="66"/>
      <c r="P1622" s="66"/>
      <c r="Q1622" s="66"/>
      <c r="R1622" s="66"/>
      <c r="S1622" s="66"/>
      <c r="T1622" s="66"/>
      <c r="U1622" s="66"/>
      <c r="V1622" s="66"/>
      <c r="W1622" s="66"/>
      <c r="X1622" s="66"/>
      <c r="Y1622" s="66"/>
      <c r="Z1622" s="66"/>
    </row>
    <row r="1623">
      <c r="A1623" s="66"/>
      <c r="B1623" s="66"/>
      <c r="C1623" s="66"/>
      <c r="D1623" s="66"/>
      <c r="E1623" s="66"/>
      <c r="F1623" s="66"/>
      <c r="G1623" s="66"/>
      <c r="H1623" s="66"/>
      <c r="I1623" s="66"/>
      <c r="J1623" s="66"/>
      <c r="K1623" s="66"/>
      <c r="L1623" s="66"/>
      <c r="M1623" s="66"/>
      <c r="N1623" s="66"/>
      <c r="O1623" s="66"/>
      <c r="P1623" s="66"/>
      <c r="Q1623" s="66"/>
      <c r="R1623" s="66"/>
      <c r="S1623" s="66"/>
      <c r="T1623" s="66"/>
      <c r="U1623" s="66"/>
      <c r="V1623" s="66"/>
      <c r="W1623" s="66"/>
      <c r="X1623" s="66"/>
      <c r="Y1623" s="66"/>
      <c r="Z1623" s="66"/>
    </row>
    <row r="1624">
      <c r="A1624" s="66"/>
      <c r="B1624" s="66"/>
      <c r="C1624" s="66"/>
      <c r="D1624" s="66"/>
      <c r="E1624" s="66"/>
      <c r="F1624" s="66"/>
      <c r="G1624" s="66"/>
      <c r="H1624" s="66"/>
      <c r="I1624" s="66"/>
      <c r="J1624" s="66"/>
      <c r="K1624" s="66"/>
      <c r="L1624" s="66"/>
      <c r="M1624" s="66"/>
      <c r="N1624" s="66"/>
      <c r="O1624" s="66"/>
      <c r="P1624" s="66"/>
      <c r="Q1624" s="66"/>
      <c r="R1624" s="66"/>
      <c r="S1624" s="66"/>
      <c r="T1624" s="66"/>
      <c r="U1624" s="66"/>
      <c r="V1624" s="66"/>
      <c r="W1624" s="66"/>
      <c r="X1624" s="66"/>
      <c r="Y1624" s="66"/>
      <c r="Z1624" s="66"/>
    </row>
    <row r="1625">
      <c r="A1625" s="66"/>
      <c r="B1625" s="66"/>
      <c r="C1625" s="66"/>
      <c r="D1625" s="66"/>
      <c r="E1625" s="66"/>
      <c r="F1625" s="66"/>
      <c r="G1625" s="66"/>
      <c r="H1625" s="66"/>
      <c r="I1625" s="66"/>
      <c r="J1625" s="66"/>
      <c r="K1625" s="66"/>
      <c r="L1625" s="66"/>
      <c r="M1625" s="66"/>
      <c r="N1625" s="66"/>
      <c r="O1625" s="66"/>
      <c r="P1625" s="66"/>
      <c r="Q1625" s="66"/>
      <c r="R1625" s="66"/>
      <c r="S1625" s="66"/>
      <c r="T1625" s="66"/>
      <c r="U1625" s="66"/>
      <c r="V1625" s="66"/>
      <c r="W1625" s="66"/>
      <c r="X1625" s="66"/>
      <c r="Y1625" s="66"/>
      <c r="Z1625" s="66"/>
    </row>
    <row r="1626">
      <c r="A1626" s="66"/>
      <c r="B1626" s="66"/>
      <c r="C1626" s="66"/>
      <c r="D1626" s="66"/>
      <c r="E1626" s="66"/>
      <c r="F1626" s="66"/>
      <c r="G1626" s="66"/>
      <c r="H1626" s="66"/>
      <c r="I1626" s="66"/>
      <c r="J1626" s="66"/>
      <c r="K1626" s="66"/>
      <c r="L1626" s="66"/>
      <c r="M1626" s="66"/>
      <c r="N1626" s="66"/>
      <c r="O1626" s="66"/>
      <c r="P1626" s="66"/>
      <c r="Q1626" s="66"/>
      <c r="R1626" s="66"/>
      <c r="S1626" s="66"/>
      <c r="T1626" s="66"/>
      <c r="U1626" s="66"/>
      <c r="V1626" s="66"/>
      <c r="W1626" s="66"/>
      <c r="X1626" s="66"/>
      <c r="Y1626" s="66"/>
      <c r="Z1626" s="66"/>
    </row>
    <row r="1627">
      <c r="A1627" s="66"/>
      <c r="B1627" s="66"/>
      <c r="C1627" s="66"/>
      <c r="D1627" s="66"/>
      <c r="E1627" s="66"/>
      <c r="F1627" s="66"/>
      <c r="G1627" s="66"/>
      <c r="H1627" s="66"/>
      <c r="I1627" s="66"/>
      <c r="J1627" s="66"/>
      <c r="K1627" s="66"/>
      <c r="L1627" s="66"/>
      <c r="M1627" s="66"/>
      <c r="N1627" s="66"/>
      <c r="O1627" s="66"/>
      <c r="P1627" s="66"/>
      <c r="Q1627" s="66"/>
      <c r="R1627" s="66"/>
      <c r="S1627" s="66"/>
      <c r="T1627" s="66"/>
      <c r="U1627" s="66"/>
      <c r="V1627" s="66"/>
      <c r="W1627" s="66"/>
      <c r="X1627" s="66"/>
      <c r="Y1627" s="66"/>
      <c r="Z1627" s="66"/>
    </row>
    <row r="1628">
      <c r="A1628" s="66"/>
      <c r="B1628" s="66"/>
      <c r="C1628" s="66"/>
      <c r="D1628" s="66"/>
      <c r="E1628" s="66"/>
      <c r="F1628" s="66"/>
      <c r="G1628" s="66"/>
      <c r="H1628" s="66"/>
      <c r="I1628" s="66"/>
      <c r="J1628" s="66"/>
      <c r="K1628" s="66"/>
      <c r="L1628" s="66"/>
      <c r="M1628" s="66"/>
      <c r="N1628" s="66"/>
      <c r="O1628" s="66"/>
      <c r="P1628" s="66"/>
      <c r="Q1628" s="66"/>
      <c r="R1628" s="66"/>
      <c r="S1628" s="66"/>
      <c r="T1628" s="66"/>
      <c r="U1628" s="66"/>
      <c r="V1628" s="66"/>
      <c r="W1628" s="66"/>
      <c r="X1628" s="66"/>
      <c r="Y1628" s="66"/>
      <c r="Z1628" s="66"/>
    </row>
    <row r="1629">
      <c r="A1629" s="66"/>
      <c r="B1629" s="66"/>
      <c r="C1629" s="66"/>
      <c r="D1629" s="66"/>
      <c r="E1629" s="66"/>
      <c r="F1629" s="66"/>
      <c r="G1629" s="66"/>
      <c r="H1629" s="66"/>
      <c r="I1629" s="66"/>
      <c r="J1629" s="66"/>
      <c r="K1629" s="66"/>
      <c r="L1629" s="66"/>
      <c r="M1629" s="66"/>
      <c r="N1629" s="66"/>
      <c r="O1629" s="66"/>
      <c r="P1629" s="66"/>
      <c r="Q1629" s="66"/>
      <c r="R1629" s="66"/>
      <c r="S1629" s="66"/>
      <c r="T1629" s="66"/>
      <c r="U1629" s="66"/>
      <c r="V1629" s="66"/>
      <c r="W1629" s="66"/>
      <c r="X1629" s="66"/>
      <c r="Y1629" s="66"/>
      <c r="Z1629" s="66"/>
    </row>
    <row r="1630">
      <c r="A1630" s="66"/>
      <c r="B1630" s="66"/>
      <c r="C1630" s="66"/>
      <c r="D1630" s="66"/>
      <c r="E1630" s="66"/>
      <c r="F1630" s="66"/>
      <c r="G1630" s="66"/>
      <c r="H1630" s="66"/>
      <c r="I1630" s="66"/>
      <c r="J1630" s="66"/>
      <c r="K1630" s="66"/>
      <c r="L1630" s="66"/>
      <c r="M1630" s="66"/>
      <c r="N1630" s="66"/>
      <c r="O1630" s="66"/>
      <c r="P1630" s="66"/>
      <c r="Q1630" s="66"/>
      <c r="R1630" s="66"/>
      <c r="S1630" s="66"/>
      <c r="T1630" s="66"/>
      <c r="U1630" s="66"/>
      <c r="V1630" s="66"/>
      <c r="W1630" s="66"/>
      <c r="X1630" s="66"/>
      <c r="Y1630" s="66"/>
      <c r="Z1630" s="66"/>
    </row>
    <row r="1631">
      <c r="A1631" s="66"/>
      <c r="B1631" s="66"/>
      <c r="C1631" s="66"/>
      <c r="D1631" s="66"/>
      <c r="E1631" s="66"/>
      <c r="F1631" s="66"/>
      <c r="G1631" s="66"/>
      <c r="H1631" s="66"/>
      <c r="I1631" s="66"/>
      <c r="J1631" s="66"/>
      <c r="K1631" s="66"/>
      <c r="L1631" s="66"/>
      <c r="M1631" s="66"/>
      <c r="N1631" s="66"/>
      <c r="O1631" s="66"/>
      <c r="P1631" s="66"/>
      <c r="Q1631" s="66"/>
      <c r="R1631" s="66"/>
      <c r="S1631" s="66"/>
      <c r="T1631" s="66"/>
      <c r="U1631" s="66"/>
      <c r="V1631" s="66"/>
      <c r="W1631" s="66"/>
      <c r="X1631" s="66"/>
      <c r="Y1631" s="66"/>
      <c r="Z1631" s="66"/>
    </row>
    <row r="1632">
      <c r="A1632" s="66"/>
      <c r="B1632" s="66"/>
      <c r="C1632" s="66"/>
      <c r="D1632" s="66"/>
      <c r="E1632" s="66"/>
      <c r="F1632" s="66"/>
      <c r="G1632" s="66"/>
      <c r="H1632" s="66"/>
      <c r="I1632" s="66"/>
      <c r="J1632" s="66"/>
      <c r="K1632" s="66"/>
      <c r="L1632" s="66"/>
      <c r="M1632" s="66"/>
      <c r="N1632" s="66"/>
      <c r="O1632" s="66"/>
      <c r="P1632" s="66"/>
      <c r="Q1632" s="66"/>
      <c r="R1632" s="66"/>
      <c r="S1632" s="66"/>
      <c r="T1632" s="66"/>
      <c r="U1632" s="66"/>
      <c r="V1632" s="66"/>
      <c r="W1632" s="66"/>
      <c r="X1632" s="66"/>
      <c r="Y1632" s="66"/>
      <c r="Z1632" s="66"/>
    </row>
    <row r="1633">
      <c r="A1633" s="66"/>
      <c r="B1633" s="66"/>
      <c r="C1633" s="66"/>
      <c r="D1633" s="66"/>
      <c r="E1633" s="66"/>
      <c r="F1633" s="66"/>
      <c r="G1633" s="66"/>
      <c r="H1633" s="66"/>
      <c r="I1633" s="66"/>
      <c r="J1633" s="66"/>
      <c r="K1633" s="66"/>
      <c r="L1633" s="66"/>
      <c r="M1633" s="66"/>
      <c r="N1633" s="66"/>
      <c r="O1633" s="66"/>
      <c r="P1633" s="66"/>
      <c r="Q1633" s="66"/>
      <c r="R1633" s="66"/>
      <c r="S1633" s="66"/>
      <c r="T1633" s="66"/>
      <c r="U1633" s="66"/>
      <c r="V1633" s="66"/>
      <c r="W1633" s="66"/>
      <c r="X1633" s="66"/>
      <c r="Y1633" s="66"/>
      <c r="Z1633" s="66"/>
    </row>
    <row r="1634">
      <c r="A1634" s="66"/>
      <c r="B1634" s="66"/>
      <c r="C1634" s="66"/>
      <c r="D1634" s="66"/>
      <c r="E1634" s="66"/>
      <c r="F1634" s="66"/>
      <c r="G1634" s="66"/>
      <c r="H1634" s="66"/>
      <c r="I1634" s="66"/>
      <c r="J1634" s="66"/>
      <c r="K1634" s="66"/>
      <c r="L1634" s="66"/>
      <c r="M1634" s="66"/>
      <c r="N1634" s="66"/>
      <c r="O1634" s="66"/>
      <c r="P1634" s="66"/>
      <c r="Q1634" s="66"/>
      <c r="R1634" s="66"/>
      <c r="S1634" s="66"/>
      <c r="T1634" s="66"/>
      <c r="U1634" s="66"/>
      <c r="V1634" s="66"/>
      <c r="W1634" s="66"/>
      <c r="X1634" s="66"/>
      <c r="Y1634" s="66"/>
      <c r="Z1634" s="66"/>
    </row>
    <row r="1635">
      <c r="A1635" s="66"/>
      <c r="B1635" s="66"/>
      <c r="C1635" s="66"/>
      <c r="D1635" s="66"/>
      <c r="E1635" s="66"/>
      <c r="F1635" s="66"/>
      <c r="G1635" s="66"/>
      <c r="H1635" s="66"/>
      <c r="I1635" s="66"/>
      <c r="J1635" s="66"/>
      <c r="K1635" s="66"/>
      <c r="L1635" s="66"/>
      <c r="M1635" s="66"/>
      <c r="N1635" s="66"/>
      <c r="O1635" s="66"/>
      <c r="P1635" s="66"/>
      <c r="Q1635" s="66"/>
      <c r="R1635" s="66"/>
      <c r="S1635" s="66"/>
      <c r="T1635" s="66"/>
      <c r="U1635" s="66"/>
      <c r="V1635" s="66"/>
      <c r="W1635" s="66"/>
      <c r="X1635" s="66"/>
      <c r="Y1635" s="66"/>
      <c r="Z1635" s="66"/>
    </row>
    <row r="1636">
      <c r="A1636" s="66"/>
      <c r="B1636" s="66"/>
      <c r="C1636" s="66"/>
      <c r="D1636" s="66"/>
      <c r="E1636" s="66"/>
      <c r="F1636" s="66"/>
      <c r="G1636" s="66"/>
      <c r="H1636" s="66"/>
      <c r="I1636" s="66"/>
      <c r="J1636" s="66"/>
      <c r="K1636" s="66"/>
      <c r="L1636" s="66"/>
      <c r="M1636" s="66"/>
      <c r="N1636" s="66"/>
      <c r="O1636" s="66"/>
      <c r="P1636" s="66"/>
      <c r="Q1636" s="66"/>
      <c r="R1636" s="66"/>
      <c r="S1636" s="66"/>
      <c r="T1636" s="66"/>
      <c r="U1636" s="66"/>
      <c r="V1636" s="66"/>
      <c r="W1636" s="66"/>
      <c r="X1636" s="66"/>
      <c r="Y1636" s="66"/>
      <c r="Z1636" s="66"/>
    </row>
    <row r="1637">
      <c r="A1637" s="66"/>
      <c r="B1637" s="66"/>
      <c r="C1637" s="66"/>
      <c r="D1637" s="66"/>
      <c r="E1637" s="66"/>
      <c r="F1637" s="66"/>
      <c r="G1637" s="66"/>
      <c r="H1637" s="66"/>
      <c r="I1637" s="66"/>
      <c r="J1637" s="66"/>
      <c r="K1637" s="66"/>
      <c r="L1637" s="66"/>
      <c r="M1637" s="66"/>
      <c r="N1637" s="66"/>
      <c r="O1637" s="66"/>
      <c r="P1637" s="66"/>
      <c r="Q1637" s="66"/>
      <c r="R1637" s="66"/>
      <c r="S1637" s="66"/>
      <c r="T1637" s="66"/>
      <c r="U1637" s="66"/>
      <c r="V1637" s="66"/>
      <c r="W1637" s="66"/>
      <c r="X1637" s="66"/>
      <c r="Y1637" s="66"/>
      <c r="Z1637" s="66"/>
    </row>
    <row r="1638">
      <c r="A1638" s="66"/>
      <c r="B1638" s="66"/>
      <c r="C1638" s="66"/>
      <c r="D1638" s="66"/>
      <c r="E1638" s="66"/>
      <c r="F1638" s="66"/>
      <c r="G1638" s="66"/>
      <c r="H1638" s="66"/>
      <c r="I1638" s="66"/>
      <c r="J1638" s="66"/>
      <c r="K1638" s="66"/>
      <c r="L1638" s="66"/>
      <c r="M1638" s="66"/>
      <c r="N1638" s="66"/>
      <c r="O1638" s="66"/>
      <c r="P1638" s="66"/>
      <c r="Q1638" s="66"/>
      <c r="R1638" s="66"/>
      <c r="S1638" s="66"/>
      <c r="T1638" s="66"/>
      <c r="U1638" s="66"/>
      <c r="V1638" s="66"/>
      <c r="W1638" s="66"/>
      <c r="X1638" s="66"/>
      <c r="Y1638" s="66"/>
      <c r="Z1638" s="66"/>
    </row>
    <row r="1639">
      <c r="A1639" s="66"/>
      <c r="B1639" s="66"/>
      <c r="C1639" s="66"/>
      <c r="D1639" s="66"/>
      <c r="E1639" s="66"/>
      <c r="F1639" s="66"/>
      <c r="G1639" s="66"/>
      <c r="H1639" s="66"/>
      <c r="I1639" s="66"/>
      <c r="J1639" s="66"/>
      <c r="K1639" s="66"/>
      <c r="L1639" s="66"/>
      <c r="M1639" s="66"/>
      <c r="N1639" s="66"/>
      <c r="O1639" s="66"/>
      <c r="P1639" s="66"/>
      <c r="Q1639" s="66"/>
      <c r="R1639" s="66"/>
      <c r="S1639" s="66"/>
      <c r="T1639" s="66"/>
      <c r="U1639" s="66"/>
      <c r="V1639" s="66"/>
      <c r="W1639" s="66"/>
      <c r="X1639" s="66"/>
      <c r="Y1639" s="66"/>
      <c r="Z1639" s="66"/>
    </row>
    <row r="1640">
      <c r="A1640" s="66"/>
      <c r="B1640" s="66"/>
      <c r="C1640" s="66"/>
      <c r="D1640" s="66"/>
      <c r="E1640" s="66"/>
      <c r="F1640" s="66"/>
      <c r="G1640" s="66"/>
      <c r="H1640" s="66"/>
      <c r="I1640" s="66"/>
      <c r="J1640" s="66"/>
      <c r="K1640" s="66"/>
      <c r="L1640" s="66"/>
      <c r="M1640" s="66"/>
      <c r="N1640" s="66"/>
      <c r="O1640" s="66"/>
      <c r="P1640" s="66"/>
      <c r="Q1640" s="66"/>
      <c r="R1640" s="66"/>
      <c r="S1640" s="66"/>
      <c r="T1640" s="66"/>
      <c r="U1640" s="66"/>
      <c r="V1640" s="66"/>
      <c r="W1640" s="66"/>
      <c r="X1640" s="66"/>
      <c r="Y1640" s="66"/>
      <c r="Z1640" s="66"/>
    </row>
    <row r="1641">
      <c r="A1641" s="66"/>
      <c r="B1641" s="66"/>
      <c r="C1641" s="66"/>
      <c r="D1641" s="66"/>
      <c r="E1641" s="66"/>
      <c r="F1641" s="66"/>
      <c r="G1641" s="66"/>
      <c r="H1641" s="66"/>
      <c r="I1641" s="66"/>
      <c r="J1641" s="66"/>
      <c r="K1641" s="66"/>
      <c r="L1641" s="66"/>
      <c r="M1641" s="66"/>
      <c r="N1641" s="66"/>
      <c r="O1641" s="66"/>
      <c r="P1641" s="66"/>
      <c r="Q1641" s="66"/>
      <c r="R1641" s="66"/>
      <c r="S1641" s="66"/>
      <c r="T1641" s="66"/>
      <c r="U1641" s="66"/>
      <c r="V1641" s="66"/>
      <c r="W1641" s="66"/>
      <c r="X1641" s="66"/>
      <c r="Y1641" s="66"/>
      <c r="Z1641" s="66"/>
    </row>
    <row r="1642">
      <c r="A1642" s="66"/>
      <c r="B1642" s="66"/>
      <c r="C1642" s="66"/>
      <c r="D1642" s="66"/>
      <c r="E1642" s="66"/>
      <c r="F1642" s="66"/>
      <c r="G1642" s="66"/>
      <c r="H1642" s="66"/>
      <c r="I1642" s="66"/>
      <c r="J1642" s="66"/>
      <c r="K1642" s="66"/>
      <c r="L1642" s="66"/>
      <c r="M1642" s="66"/>
      <c r="N1642" s="66"/>
      <c r="O1642" s="66"/>
      <c r="P1642" s="66"/>
      <c r="Q1642" s="66"/>
      <c r="R1642" s="66"/>
      <c r="S1642" s="66"/>
      <c r="T1642" s="66"/>
      <c r="U1642" s="66"/>
      <c r="V1642" s="66"/>
      <c r="W1642" s="66"/>
      <c r="X1642" s="66"/>
      <c r="Y1642" s="66"/>
      <c r="Z1642" s="66"/>
    </row>
    <row r="1643">
      <c r="A1643" s="66"/>
      <c r="B1643" s="66"/>
      <c r="C1643" s="66"/>
      <c r="D1643" s="66"/>
      <c r="E1643" s="66"/>
      <c r="F1643" s="66"/>
      <c r="G1643" s="66"/>
      <c r="H1643" s="66"/>
      <c r="I1643" s="66"/>
      <c r="J1643" s="66"/>
      <c r="K1643" s="66"/>
      <c r="L1643" s="66"/>
      <c r="M1643" s="66"/>
      <c r="N1643" s="66"/>
      <c r="O1643" s="66"/>
      <c r="P1643" s="66"/>
      <c r="Q1643" s="66"/>
      <c r="R1643" s="66"/>
      <c r="S1643" s="66"/>
      <c r="T1643" s="66"/>
      <c r="U1643" s="66"/>
      <c r="V1643" s="66"/>
      <c r="W1643" s="66"/>
      <c r="X1643" s="66"/>
      <c r="Y1643" s="66"/>
      <c r="Z1643" s="66"/>
    </row>
    <row r="1644">
      <c r="A1644" s="66"/>
      <c r="B1644" s="66"/>
      <c r="C1644" s="66"/>
      <c r="D1644" s="66"/>
      <c r="E1644" s="66"/>
      <c r="F1644" s="66"/>
      <c r="G1644" s="66"/>
      <c r="H1644" s="66"/>
      <c r="I1644" s="66"/>
      <c r="J1644" s="66"/>
      <c r="K1644" s="66"/>
      <c r="L1644" s="66"/>
      <c r="M1644" s="66"/>
      <c r="N1644" s="66"/>
      <c r="O1644" s="66"/>
      <c r="P1644" s="66"/>
      <c r="Q1644" s="66"/>
      <c r="R1644" s="66"/>
      <c r="S1644" s="66"/>
      <c r="T1644" s="66"/>
      <c r="U1644" s="66"/>
      <c r="V1644" s="66"/>
      <c r="W1644" s="66"/>
      <c r="X1644" s="66"/>
      <c r="Y1644" s="66"/>
      <c r="Z1644" s="66"/>
    </row>
    <row r="1645">
      <c r="A1645" s="66"/>
      <c r="B1645" s="66"/>
      <c r="C1645" s="66"/>
      <c r="D1645" s="66"/>
      <c r="E1645" s="66"/>
      <c r="F1645" s="66"/>
      <c r="G1645" s="66"/>
      <c r="H1645" s="66"/>
      <c r="I1645" s="66"/>
      <c r="J1645" s="66"/>
      <c r="K1645" s="66"/>
      <c r="L1645" s="66"/>
      <c r="M1645" s="66"/>
      <c r="N1645" s="66"/>
      <c r="O1645" s="66"/>
      <c r="P1645" s="66"/>
      <c r="Q1645" s="66"/>
      <c r="R1645" s="66"/>
      <c r="S1645" s="66"/>
      <c r="T1645" s="66"/>
      <c r="U1645" s="66"/>
      <c r="V1645" s="66"/>
      <c r="W1645" s="66"/>
      <c r="X1645" s="66"/>
      <c r="Y1645" s="66"/>
      <c r="Z1645" s="66"/>
    </row>
    <row r="1646">
      <c r="A1646" s="66"/>
      <c r="B1646" s="66"/>
      <c r="C1646" s="66"/>
      <c r="D1646" s="66"/>
      <c r="E1646" s="66"/>
      <c r="F1646" s="66"/>
      <c r="G1646" s="66"/>
      <c r="H1646" s="66"/>
      <c r="I1646" s="66"/>
      <c r="J1646" s="66"/>
      <c r="K1646" s="66"/>
      <c r="L1646" s="66"/>
      <c r="M1646" s="66"/>
      <c r="N1646" s="66"/>
      <c r="O1646" s="66"/>
      <c r="P1646" s="66"/>
      <c r="Q1646" s="66"/>
      <c r="R1646" s="66"/>
      <c r="S1646" s="66"/>
      <c r="T1646" s="66"/>
      <c r="U1646" s="66"/>
      <c r="V1646" s="66"/>
      <c r="W1646" s="66"/>
      <c r="X1646" s="66"/>
      <c r="Y1646" s="66"/>
      <c r="Z1646" s="66"/>
    </row>
    <row r="1647">
      <c r="A1647" s="66"/>
      <c r="B1647" s="66"/>
      <c r="C1647" s="66"/>
      <c r="D1647" s="66"/>
      <c r="E1647" s="66"/>
      <c r="F1647" s="66"/>
      <c r="G1647" s="66"/>
      <c r="H1647" s="66"/>
      <c r="I1647" s="66"/>
      <c r="J1647" s="66"/>
      <c r="K1647" s="66"/>
      <c r="L1647" s="66"/>
      <c r="M1647" s="66"/>
      <c r="N1647" s="66"/>
      <c r="O1647" s="66"/>
      <c r="P1647" s="66"/>
      <c r="Q1647" s="66"/>
      <c r="R1647" s="66"/>
      <c r="S1647" s="66"/>
      <c r="T1647" s="66"/>
      <c r="U1647" s="66"/>
      <c r="V1647" s="66"/>
      <c r="W1647" s="66"/>
      <c r="X1647" s="66"/>
      <c r="Y1647" s="66"/>
      <c r="Z1647" s="66"/>
    </row>
    <row r="1648">
      <c r="A1648" s="66"/>
      <c r="B1648" s="66"/>
      <c r="C1648" s="66"/>
      <c r="D1648" s="66"/>
      <c r="E1648" s="66"/>
      <c r="F1648" s="66"/>
      <c r="G1648" s="66"/>
      <c r="H1648" s="66"/>
      <c r="I1648" s="66"/>
      <c r="J1648" s="66"/>
      <c r="K1648" s="66"/>
      <c r="L1648" s="66"/>
      <c r="M1648" s="66"/>
      <c r="N1648" s="66"/>
      <c r="O1648" s="66"/>
      <c r="P1648" s="66"/>
      <c r="Q1648" s="66"/>
      <c r="R1648" s="66"/>
      <c r="S1648" s="66"/>
      <c r="T1648" s="66"/>
      <c r="U1648" s="66"/>
      <c r="V1648" s="66"/>
      <c r="W1648" s="66"/>
      <c r="X1648" s="66"/>
      <c r="Y1648" s="66"/>
      <c r="Z1648" s="66"/>
    </row>
    <row r="1649">
      <c r="A1649" s="66"/>
      <c r="B1649" s="66"/>
      <c r="C1649" s="66"/>
      <c r="D1649" s="66"/>
      <c r="E1649" s="66"/>
      <c r="F1649" s="66"/>
      <c r="G1649" s="66"/>
      <c r="H1649" s="66"/>
      <c r="I1649" s="66"/>
      <c r="J1649" s="66"/>
      <c r="K1649" s="66"/>
      <c r="L1649" s="66"/>
      <c r="M1649" s="66"/>
      <c r="N1649" s="66"/>
      <c r="O1649" s="66"/>
      <c r="P1649" s="66"/>
      <c r="Q1649" s="66"/>
      <c r="R1649" s="66"/>
      <c r="S1649" s="66"/>
      <c r="T1649" s="66"/>
      <c r="U1649" s="66"/>
      <c r="V1649" s="66"/>
      <c r="W1649" s="66"/>
      <c r="X1649" s="66"/>
      <c r="Y1649" s="66"/>
      <c r="Z1649" s="66"/>
    </row>
    <row r="1650">
      <c r="A1650" s="66"/>
      <c r="B1650" s="66"/>
      <c r="C1650" s="66"/>
      <c r="D1650" s="66"/>
      <c r="E1650" s="66"/>
      <c r="F1650" s="66"/>
      <c r="G1650" s="66"/>
      <c r="H1650" s="66"/>
      <c r="I1650" s="66"/>
      <c r="J1650" s="66"/>
      <c r="K1650" s="66"/>
      <c r="L1650" s="66"/>
      <c r="M1650" s="66"/>
      <c r="N1650" s="66"/>
      <c r="O1650" s="66"/>
      <c r="P1650" s="66"/>
      <c r="Q1650" s="66"/>
      <c r="R1650" s="66"/>
      <c r="S1650" s="66"/>
      <c r="T1650" s="66"/>
      <c r="U1650" s="66"/>
      <c r="V1650" s="66"/>
      <c r="W1650" s="66"/>
      <c r="X1650" s="66"/>
      <c r="Y1650" s="66"/>
      <c r="Z1650" s="66"/>
    </row>
    <row r="1651">
      <c r="A1651" s="66"/>
      <c r="B1651" s="66"/>
      <c r="C1651" s="66"/>
      <c r="D1651" s="66"/>
      <c r="E1651" s="66"/>
      <c r="F1651" s="66"/>
      <c r="G1651" s="66"/>
      <c r="H1651" s="66"/>
      <c r="I1651" s="66"/>
      <c r="J1651" s="66"/>
      <c r="K1651" s="66"/>
      <c r="L1651" s="66"/>
      <c r="M1651" s="66"/>
      <c r="N1651" s="66"/>
      <c r="O1651" s="66"/>
      <c r="P1651" s="66"/>
      <c r="Q1651" s="66"/>
      <c r="R1651" s="66"/>
      <c r="S1651" s="66"/>
      <c r="T1651" s="66"/>
      <c r="U1651" s="66"/>
      <c r="V1651" s="66"/>
      <c r="W1651" s="66"/>
      <c r="X1651" s="66"/>
      <c r="Y1651" s="66"/>
      <c r="Z1651" s="66"/>
    </row>
    <row r="1652">
      <c r="A1652" s="66"/>
      <c r="B1652" s="66"/>
      <c r="C1652" s="66"/>
      <c r="D1652" s="66"/>
      <c r="E1652" s="66"/>
      <c r="F1652" s="66"/>
      <c r="G1652" s="66"/>
      <c r="H1652" s="66"/>
      <c r="I1652" s="66"/>
      <c r="J1652" s="66"/>
      <c r="K1652" s="66"/>
      <c r="L1652" s="66"/>
      <c r="M1652" s="66"/>
      <c r="N1652" s="66"/>
      <c r="O1652" s="66"/>
      <c r="P1652" s="66"/>
      <c r="Q1652" s="66"/>
      <c r="R1652" s="66"/>
      <c r="S1652" s="66"/>
      <c r="T1652" s="66"/>
      <c r="U1652" s="66"/>
      <c r="V1652" s="66"/>
      <c r="W1652" s="66"/>
      <c r="X1652" s="66"/>
      <c r="Y1652" s="66"/>
      <c r="Z1652" s="66"/>
    </row>
    <row r="1653">
      <c r="A1653" s="66"/>
      <c r="B1653" s="66"/>
      <c r="C1653" s="66"/>
      <c r="D1653" s="66"/>
      <c r="E1653" s="66"/>
      <c r="F1653" s="66"/>
      <c r="G1653" s="66"/>
      <c r="H1653" s="66"/>
      <c r="I1653" s="66"/>
      <c r="J1653" s="66"/>
      <c r="K1653" s="66"/>
      <c r="L1653" s="66"/>
      <c r="M1653" s="66"/>
      <c r="N1653" s="66"/>
      <c r="O1653" s="66"/>
      <c r="P1653" s="66"/>
      <c r="Q1653" s="66"/>
      <c r="R1653" s="66"/>
      <c r="S1653" s="66"/>
      <c r="T1653" s="66"/>
      <c r="U1653" s="66"/>
      <c r="V1653" s="66"/>
      <c r="W1653" s="66"/>
      <c r="X1653" s="66"/>
      <c r="Y1653" s="66"/>
      <c r="Z1653" s="66"/>
    </row>
    <row r="1654">
      <c r="A1654" s="66"/>
      <c r="B1654" s="66"/>
      <c r="C1654" s="66"/>
      <c r="D1654" s="66"/>
      <c r="E1654" s="66"/>
      <c r="F1654" s="66"/>
      <c r="G1654" s="66"/>
      <c r="H1654" s="66"/>
      <c r="I1654" s="66"/>
      <c r="J1654" s="66"/>
      <c r="K1654" s="66"/>
      <c r="L1654" s="66"/>
      <c r="M1654" s="66"/>
      <c r="N1654" s="66"/>
      <c r="O1654" s="66"/>
      <c r="P1654" s="66"/>
      <c r="Q1654" s="66"/>
      <c r="R1654" s="66"/>
      <c r="S1654" s="66"/>
      <c r="T1654" s="66"/>
      <c r="U1654" s="66"/>
      <c r="V1654" s="66"/>
      <c r="W1654" s="66"/>
      <c r="X1654" s="66"/>
      <c r="Y1654" s="66"/>
      <c r="Z1654" s="66"/>
    </row>
    <row r="1655">
      <c r="A1655" s="66"/>
      <c r="B1655" s="66"/>
      <c r="C1655" s="66"/>
      <c r="D1655" s="66"/>
      <c r="E1655" s="66"/>
      <c r="F1655" s="66"/>
      <c r="G1655" s="66"/>
      <c r="H1655" s="66"/>
      <c r="I1655" s="66"/>
      <c r="J1655" s="66"/>
      <c r="K1655" s="66"/>
      <c r="L1655" s="66"/>
      <c r="M1655" s="66"/>
      <c r="N1655" s="66"/>
      <c r="O1655" s="66"/>
      <c r="P1655" s="66"/>
      <c r="Q1655" s="66"/>
      <c r="R1655" s="66"/>
      <c r="S1655" s="66"/>
      <c r="T1655" s="66"/>
      <c r="U1655" s="66"/>
      <c r="V1655" s="66"/>
      <c r="W1655" s="66"/>
      <c r="X1655" s="66"/>
      <c r="Y1655" s="66"/>
      <c r="Z1655" s="66"/>
    </row>
    <row r="1656">
      <c r="A1656" s="66"/>
      <c r="B1656" s="66"/>
      <c r="C1656" s="66"/>
      <c r="D1656" s="66"/>
      <c r="E1656" s="66"/>
      <c r="F1656" s="66"/>
      <c r="G1656" s="66"/>
      <c r="H1656" s="66"/>
      <c r="I1656" s="66"/>
      <c r="J1656" s="66"/>
      <c r="K1656" s="66"/>
      <c r="L1656" s="66"/>
      <c r="M1656" s="66"/>
      <c r="N1656" s="66"/>
      <c r="O1656" s="66"/>
      <c r="P1656" s="66"/>
      <c r="Q1656" s="66"/>
      <c r="R1656" s="66"/>
      <c r="S1656" s="66"/>
      <c r="T1656" s="66"/>
      <c r="U1656" s="66"/>
      <c r="V1656" s="66"/>
      <c r="W1656" s="66"/>
      <c r="X1656" s="66"/>
      <c r="Y1656" s="66"/>
      <c r="Z1656" s="66"/>
    </row>
    <row r="1657">
      <c r="A1657" s="66"/>
      <c r="B1657" s="66"/>
      <c r="C1657" s="66"/>
      <c r="D1657" s="66"/>
      <c r="E1657" s="66"/>
      <c r="F1657" s="66"/>
      <c r="G1657" s="66"/>
      <c r="H1657" s="66"/>
      <c r="I1657" s="66"/>
      <c r="J1657" s="66"/>
      <c r="K1657" s="66"/>
      <c r="L1657" s="66"/>
      <c r="M1657" s="66"/>
      <c r="N1657" s="66"/>
      <c r="O1657" s="66"/>
      <c r="P1657" s="66"/>
      <c r="Q1657" s="66"/>
      <c r="R1657" s="66"/>
      <c r="S1657" s="66"/>
      <c r="T1657" s="66"/>
      <c r="U1657" s="66"/>
      <c r="V1657" s="66"/>
      <c r="W1657" s="66"/>
      <c r="X1657" s="66"/>
      <c r="Y1657" s="66"/>
      <c r="Z1657" s="66"/>
    </row>
    <row r="1658">
      <c r="A1658" s="66"/>
      <c r="B1658" s="66"/>
      <c r="C1658" s="66"/>
      <c r="D1658" s="66"/>
      <c r="E1658" s="66"/>
      <c r="F1658" s="66"/>
      <c r="G1658" s="66"/>
      <c r="H1658" s="66"/>
      <c r="I1658" s="66"/>
      <c r="J1658" s="66"/>
      <c r="K1658" s="66"/>
      <c r="L1658" s="66"/>
      <c r="M1658" s="66"/>
      <c r="N1658" s="66"/>
      <c r="O1658" s="66"/>
      <c r="P1658" s="66"/>
      <c r="Q1658" s="66"/>
      <c r="R1658" s="66"/>
      <c r="S1658" s="66"/>
      <c r="T1658" s="66"/>
      <c r="U1658" s="66"/>
      <c r="V1658" s="66"/>
      <c r="W1658" s="66"/>
      <c r="X1658" s="66"/>
      <c r="Y1658" s="66"/>
      <c r="Z1658" s="66"/>
    </row>
    <row r="1659">
      <c r="A1659" s="66"/>
      <c r="B1659" s="66"/>
      <c r="C1659" s="66"/>
      <c r="D1659" s="66"/>
      <c r="E1659" s="66"/>
      <c r="F1659" s="66"/>
      <c r="G1659" s="66"/>
      <c r="H1659" s="66"/>
      <c r="I1659" s="66"/>
      <c r="J1659" s="66"/>
      <c r="K1659" s="66"/>
      <c r="L1659" s="66"/>
      <c r="M1659" s="66"/>
      <c r="N1659" s="66"/>
      <c r="O1659" s="66"/>
      <c r="P1659" s="66"/>
      <c r="Q1659" s="66"/>
      <c r="R1659" s="66"/>
      <c r="S1659" s="66"/>
      <c r="T1659" s="66"/>
      <c r="U1659" s="66"/>
      <c r="V1659" s="66"/>
      <c r="W1659" s="66"/>
      <c r="X1659" s="66"/>
      <c r="Y1659" s="66"/>
      <c r="Z1659" s="66"/>
    </row>
    <row r="1660">
      <c r="A1660" s="66"/>
      <c r="B1660" s="66"/>
      <c r="C1660" s="66"/>
      <c r="D1660" s="66"/>
      <c r="E1660" s="66"/>
      <c r="F1660" s="66"/>
      <c r="G1660" s="66"/>
      <c r="H1660" s="66"/>
      <c r="I1660" s="66"/>
      <c r="J1660" s="66"/>
      <c r="K1660" s="66"/>
      <c r="L1660" s="66"/>
      <c r="M1660" s="66"/>
      <c r="N1660" s="66"/>
      <c r="O1660" s="66"/>
      <c r="P1660" s="66"/>
      <c r="Q1660" s="66"/>
      <c r="R1660" s="66"/>
      <c r="S1660" s="66"/>
      <c r="T1660" s="66"/>
      <c r="U1660" s="66"/>
      <c r="V1660" s="66"/>
      <c r="W1660" s="66"/>
      <c r="X1660" s="66"/>
      <c r="Y1660" s="66"/>
      <c r="Z1660" s="66"/>
    </row>
    <row r="1661">
      <c r="A1661" s="66"/>
      <c r="B1661" s="66"/>
      <c r="C1661" s="66"/>
      <c r="D1661" s="66"/>
      <c r="E1661" s="66"/>
      <c r="F1661" s="66"/>
      <c r="G1661" s="66"/>
      <c r="H1661" s="66"/>
      <c r="I1661" s="66"/>
      <c r="J1661" s="66"/>
      <c r="K1661" s="66"/>
      <c r="L1661" s="66"/>
      <c r="M1661" s="66"/>
      <c r="N1661" s="66"/>
      <c r="O1661" s="66"/>
      <c r="P1661" s="66"/>
      <c r="Q1661" s="66"/>
      <c r="R1661" s="66"/>
      <c r="S1661" s="66"/>
      <c r="T1661" s="66"/>
      <c r="U1661" s="66"/>
      <c r="V1661" s="66"/>
      <c r="W1661" s="66"/>
      <c r="X1661" s="66"/>
      <c r="Y1661" s="66"/>
      <c r="Z1661" s="66"/>
    </row>
    <row r="1662">
      <c r="A1662" s="66"/>
      <c r="B1662" s="66"/>
      <c r="C1662" s="66"/>
      <c r="D1662" s="66"/>
      <c r="E1662" s="66"/>
      <c r="F1662" s="66"/>
      <c r="G1662" s="66"/>
      <c r="H1662" s="66"/>
      <c r="I1662" s="66"/>
      <c r="J1662" s="66"/>
      <c r="K1662" s="66"/>
      <c r="L1662" s="66"/>
      <c r="M1662" s="66"/>
      <c r="N1662" s="66"/>
      <c r="O1662" s="66"/>
      <c r="P1662" s="66"/>
      <c r="Q1662" s="66"/>
      <c r="R1662" s="66"/>
      <c r="S1662" s="66"/>
      <c r="T1662" s="66"/>
      <c r="U1662" s="66"/>
      <c r="V1662" s="66"/>
      <c r="W1662" s="66"/>
      <c r="X1662" s="66"/>
      <c r="Y1662" s="66"/>
      <c r="Z1662" s="66"/>
    </row>
    <row r="1663">
      <c r="A1663" s="66"/>
      <c r="B1663" s="66"/>
      <c r="C1663" s="66"/>
      <c r="D1663" s="66"/>
      <c r="E1663" s="66"/>
      <c r="F1663" s="66"/>
      <c r="G1663" s="66"/>
      <c r="H1663" s="66"/>
      <c r="I1663" s="66"/>
      <c r="J1663" s="66"/>
      <c r="K1663" s="66"/>
      <c r="L1663" s="66"/>
      <c r="M1663" s="66"/>
      <c r="N1663" s="66"/>
      <c r="O1663" s="66"/>
      <c r="P1663" s="66"/>
      <c r="Q1663" s="66"/>
      <c r="R1663" s="66"/>
      <c r="S1663" s="66"/>
      <c r="T1663" s="66"/>
      <c r="U1663" s="66"/>
      <c r="V1663" s="66"/>
      <c r="W1663" s="66"/>
      <c r="X1663" s="66"/>
      <c r="Y1663" s="66"/>
      <c r="Z1663" s="66"/>
    </row>
    <row r="1664">
      <c r="A1664" s="66"/>
      <c r="B1664" s="66"/>
      <c r="C1664" s="66"/>
      <c r="D1664" s="66"/>
      <c r="E1664" s="66"/>
      <c r="F1664" s="66"/>
      <c r="G1664" s="66"/>
      <c r="H1664" s="66"/>
      <c r="I1664" s="66"/>
      <c r="J1664" s="66"/>
      <c r="K1664" s="66"/>
      <c r="L1664" s="66"/>
      <c r="M1664" s="66"/>
      <c r="N1664" s="66"/>
      <c r="O1664" s="66"/>
      <c r="P1664" s="66"/>
      <c r="Q1664" s="66"/>
      <c r="R1664" s="66"/>
      <c r="S1664" s="66"/>
      <c r="T1664" s="66"/>
      <c r="U1664" s="66"/>
      <c r="V1664" s="66"/>
      <c r="W1664" s="66"/>
      <c r="X1664" s="66"/>
      <c r="Y1664" s="66"/>
      <c r="Z1664" s="66"/>
    </row>
    <row r="1665">
      <c r="A1665" s="66"/>
      <c r="B1665" s="66"/>
      <c r="C1665" s="66"/>
      <c r="D1665" s="66"/>
      <c r="E1665" s="66"/>
      <c r="F1665" s="66"/>
      <c r="G1665" s="66"/>
      <c r="H1665" s="66"/>
      <c r="I1665" s="66"/>
      <c r="J1665" s="66"/>
      <c r="K1665" s="66"/>
      <c r="L1665" s="66"/>
      <c r="M1665" s="66"/>
      <c r="N1665" s="66"/>
      <c r="O1665" s="66"/>
      <c r="P1665" s="66"/>
      <c r="Q1665" s="66"/>
      <c r="R1665" s="66"/>
      <c r="S1665" s="66"/>
      <c r="T1665" s="66"/>
      <c r="U1665" s="66"/>
      <c r="V1665" s="66"/>
      <c r="W1665" s="66"/>
      <c r="X1665" s="66"/>
      <c r="Y1665" s="66"/>
      <c r="Z1665" s="66"/>
    </row>
    <row r="1666">
      <c r="A1666" s="66"/>
      <c r="B1666" s="66"/>
      <c r="C1666" s="66"/>
      <c r="D1666" s="66"/>
      <c r="E1666" s="66"/>
      <c r="F1666" s="66"/>
      <c r="G1666" s="66"/>
      <c r="H1666" s="66"/>
      <c r="I1666" s="66"/>
      <c r="J1666" s="66"/>
      <c r="K1666" s="66"/>
      <c r="L1666" s="66"/>
      <c r="M1666" s="66"/>
      <c r="N1666" s="66"/>
      <c r="O1666" s="66"/>
      <c r="P1666" s="66"/>
      <c r="Q1666" s="66"/>
      <c r="R1666" s="66"/>
      <c r="S1666" s="66"/>
      <c r="T1666" s="66"/>
      <c r="U1666" s="66"/>
      <c r="V1666" s="66"/>
      <c r="W1666" s="66"/>
      <c r="X1666" s="66"/>
      <c r="Y1666" s="66"/>
      <c r="Z1666" s="66"/>
    </row>
    <row r="1667">
      <c r="A1667" s="66"/>
      <c r="B1667" s="66"/>
      <c r="C1667" s="66"/>
      <c r="D1667" s="66"/>
      <c r="E1667" s="66"/>
      <c r="F1667" s="66"/>
      <c r="G1667" s="66"/>
      <c r="H1667" s="66"/>
      <c r="I1667" s="66"/>
      <c r="J1667" s="66"/>
      <c r="K1667" s="66"/>
      <c r="L1667" s="66"/>
      <c r="M1667" s="66"/>
      <c r="N1667" s="66"/>
      <c r="O1667" s="66"/>
      <c r="P1667" s="66"/>
      <c r="Q1667" s="66"/>
      <c r="R1667" s="66"/>
      <c r="S1667" s="66"/>
      <c r="T1667" s="66"/>
      <c r="U1667" s="66"/>
      <c r="V1667" s="66"/>
      <c r="W1667" s="66"/>
      <c r="X1667" s="66"/>
      <c r="Y1667" s="66"/>
      <c r="Z1667" s="66"/>
    </row>
    <row r="1668">
      <c r="A1668" s="66"/>
      <c r="B1668" s="66"/>
      <c r="C1668" s="66"/>
      <c r="D1668" s="66"/>
      <c r="E1668" s="66"/>
      <c r="F1668" s="66"/>
      <c r="G1668" s="66"/>
      <c r="H1668" s="66"/>
      <c r="I1668" s="66"/>
      <c r="J1668" s="66"/>
      <c r="K1668" s="66"/>
      <c r="L1668" s="66"/>
      <c r="M1668" s="66"/>
      <c r="N1668" s="66"/>
      <c r="O1668" s="66"/>
      <c r="P1668" s="66"/>
      <c r="Q1668" s="66"/>
      <c r="R1668" s="66"/>
      <c r="S1668" s="66"/>
      <c r="T1668" s="66"/>
      <c r="U1668" s="66"/>
      <c r="V1668" s="66"/>
      <c r="W1668" s="66"/>
      <c r="X1668" s="66"/>
      <c r="Y1668" s="66"/>
      <c r="Z1668" s="66"/>
    </row>
    <row r="1669">
      <c r="A1669" s="66"/>
      <c r="B1669" s="66"/>
      <c r="C1669" s="66"/>
      <c r="D1669" s="66"/>
      <c r="E1669" s="66"/>
      <c r="F1669" s="66"/>
      <c r="G1669" s="66"/>
      <c r="H1669" s="66"/>
      <c r="I1669" s="66"/>
      <c r="J1669" s="66"/>
      <c r="K1669" s="66"/>
      <c r="L1669" s="66"/>
      <c r="M1669" s="66"/>
      <c r="N1669" s="66"/>
      <c r="O1669" s="66"/>
      <c r="P1669" s="66"/>
      <c r="Q1669" s="66"/>
      <c r="R1669" s="66"/>
      <c r="S1669" s="66"/>
      <c r="T1669" s="66"/>
      <c r="U1669" s="66"/>
      <c r="V1669" s="66"/>
      <c r="W1669" s="66"/>
      <c r="X1669" s="66"/>
      <c r="Y1669" s="66"/>
      <c r="Z1669" s="66"/>
    </row>
    <row r="1670">
      <c r="A1670" s="66"/>
      <c r="B1670" s="66"/>
      <c r="C1670" s="66"/>
      <c r="D1670" s="66"/>
      <c r="E1670" s="66"/>
      <c r="F1670" s="66"/>
      <c r="G1670" s="66"/>
      <c r="H1670" s="66"/>
      <c r="I1670" s="66"/>
      <c r="J1670" s="66"/>
      <c r="K1670" s="66"/>
      <c r="L1670" s="66"/>
      <c r="M1670" s="66"/>
      <c r="N1670" s="66"/>
      <c r="O1670" s="66"/>
      <c r="P1670" s="66"/>
      <c r="Q1670" s="66"/>
      <c r="R1670" s="66"/>
      <c r="S1670" s="66"/>
      <c r="T1670" s="66"/>
      <c r="U1670" s="66"/>
      <c r="V1670" s="66"/>
      <c r="W1670" s="66"/>
      <c r="X1670" s="66"/>
      <c r="Y1670" s="66"/>
      <c r="Z1670" s="66"/>
    </row>
    <row r="1671">
      <c r="A1671" s="66"/>
      <c r="B1671" s="66"/>
      <c r="C1671" s="66"/>
      <c r="D1671" s="66"/>
      <c r="E1671" s="66"/>
      <c r="F1671" s="66"/>
      <c r="G1671" s="66"/>
      <c r="H1671" s="66"/>
      <c r="I1671" s="66"/>
      <c r="J1671" s="66"/>
      <c r="K1671" s="66"/>
      <c r="L1671" s="66"/>
      <c r="M1671" s="66"/>
      <c r="N1671" s="66"/>
      <c r="O1671" s="66"/>
      <c r="P1671" s="66"/>
      <c r="Q1671" s="66"/>
      <c r="R1671" s="66"/>
      <c r="S1671" s="66"/>
      <c r="T1671" s="66"/>
      <c r="U1671" s="66"/>
      <c r="V1671" s="66"/>
      <c r="W1671" s="66"/>
      <c r="X1671" s="66"/>
      <c r="Y1671" s="66"/>
      <c r="Z1671" s="66"/>
    </row>
    <row r="1672">
      <c r="A1672" s="66"/>
      <c r="B1672" s="66"/>
      <c r="C1672" s="66"/>
      <c r="D1672" s="66"/>
      <c r="E1672" s="66"/>
      <c r="F1672" s="66"/>
      <c r="G1672" s="66"/>
      <c r="H1672" s="66"/>
      <c r="I1672" s="66"/>
      <c r="J1672" s="66"/>
      <c r="K1672" s="66"/>
      <c r="L1672" s="66"/>
      <c r="M1672" s="66"/>
      <c r="N1672" s="66"/>
      <c r="O1672" s="66"/>
      <c r="P1672" s="66"/>
      <c r="Q1672" s="66"/>
      <c r="R1672" s="66"/>
      <c r="S1672" s="66"/>
      <c r="T1672" s="66"/>
      <c r="U1672" s="66"/>
      <c r="V1672" s="66"/>
      <c r="W1672" s="66"/>
      <c r="X1672" s="66"/>
      <c r="Y1672" s="66"/>
      <c r="Z1672" s="66"/>
    </row>
    <row r="1673">
      <c r="A1673" s="66"/>
      <c r="B1673" s="66"/>
      <c r="C1673" s="66"/>
      <c r="D1673" s="66"/>
      <c r="E1673" s="66"/>
      <c r="F1673" s="66"/>
      <c r="G1673" s="66"/>
      <c r="H1673" s="66"/>
      <c r="I1673" s="66"/>
      <c r="J1673" s="66"/>
      <c r="K1673" s="66"/>
      <c r="L1673" s="66"/>
      <c r="M1673" s="66"/>
      <c r="N1673" s="66"/>
      <c r="O1673" s="66"/>
      <c r="P1673" s="66"/>
      <c r="Q1673" s="66"/>
      <c r="R1673" s="66"/>
      <c r="S1673" s="66"/>
      <c r="T1673" s="66"/>
      <c r="U1673" s="66"/>
      <c r="V1673" s="66"/>
      <c r="W1673" s="66"/>
      <c r="X1673" s="66"/>
      <c r="Y1673" s="66"/>
      <c r="Z1673" s="66"/>
    </row>
    <row r="1674">
      <c r="A1674" s="66"/>
      <c r="B1674" s="66"/>
      <c r="C1674" s="66"/>
      <c r="D1674" s="66"/>
      <c r="E1674" s="66"/>
      <c r="F1674" s="66"/>
      <c r="G1674" s="66"/>
      <c r="H1674" s="66"/>
      <c r="I1674" s="66"/>
      <c r="J1674" s="66"/>
      <c r="K1674" s="66"/>
      <c r="L1674" s="66"/>
      <c r="M1674" s="66"/>
      <c r="N1674" s="66"/>
      <c r="O1674" s="66"/>
      <c r="P1674" s="66"/>
      <c r="Q1674" s="66"/>
      <c r="R1674" s="66"/>
      <c r="S1674" s="66"/>
      <c r="T1674" s="66"/>
      <c r="U1674" s="66"/>
      <c r="V1674" s="66"/>
      <c r="W1674" s="66"/>
      <c r="X1674" s="66"/>
      <c r="Y1674" s="66"/>
      <c r="Z1674" s="66"/>
    </row>
    <row r="1675">
      <c r="A1675" s="66"/>
      <c r="B1675" s="66"/>
      <c r="C1675" s="66"/>
      <c r="D1675" s="66"/>
      <c r="E1675" s="66"/>
      <c r="F1675" s="66"/>
      <c r="G1675" s="66"/>
      <c r="H1675" s="66"/>
      <c r="I1675" s="66"/>
      <c r="J1675" s="66"/>
      <c r="K1675" s="66"/>
      <c r="L1675" s="66"/>
      <c r="M1675" s="66"/>
      <c r="N1675" s="66"/>
      <c r="O1675" s="66"/>
      <c r="P1675" s="66"/>
      <c r="Q1675" s="66"/>
      <c r="R1675" s="66"/>
      <c r="S1675" s="66"/>
      <c r="T1675" s="66"/>
      <c r="U1675" s="66"/>
      <c r="V1675" s="66"/>
      <c r="W1675" s="66"/>
      <c r="X1675" s="66"/>
      <c r="Y1675" s="66"/>
      <c r="Z1675" s="66"/>
    </row>
    <row r="1676">
      <c r="A1676" s="66"/>
      <c r="B1676" s="66"/>
      <c r="C1676" s="66"/>
      <c r="D1676" s="66"/>
      <c r="E1676" s="66"/>
      <c r="F1676" s="66"/>
      <c r="G1676" s="66"/>
      <c r="H1676" s="66"/>
      <c r="I1676" s="66"/>
      <c r="J1676" s="66"/>
      <c r="K1676" s="66"/>
      <c r="L1676" s="66"/>
      <c r="M1676" s="66"/>
      <c r="N1676" s="66"/>
      <c r="O1676" s="66"/>
      <c r="P1676" s="66"/>
      <c r="Q1676" s="66"/>
      <c r="R1676" s="66"/>
      <c r="S1676" s="66"/>
      <c r="T1676" s="66"/>
      <c r="U1676" s="66"/>
      <c r="V1676" s="66"/>
      <c r="W1676" s="66"/>
      <c r="X1676" s="66"/>
      <c r="Y1676" s="66"/>
      <c r="Z1676" s="66"/>
    </row>
    <row r="1677">
      <c r="A1677" s="66"/>
      <c r="B1677" s="66"/>
      <c r="C1677" s="66"/>
      <c r="D1677" s="66"/>
      <c r="E1677" s="66"/>
      <c r="F1677" s="66"/>
      <c r="G1677" s="66"/>
      <c r="H1677" s="66"/>
      <c r="I1677" s="66"/>
      <c r="J1677" s="66"/>
      <c r="K1677" s="66"/>
      <c r="L1677" s="66"/>
      <c r="M1677" s="66"/>
      <c r="N1677" s="66"/>
      <c r="O1677" s="66"/>
      <c r="P1677" s="66"/>
      <c r="Q1677" s="66"/>
      <c r="R1677" s="66"/>
      <c r="S1677" s="66"/>
      <c r="T1677" s="66"/>
      <c r="U1677" s="66"/>
      <c r="V1677" s="66"/>
      <c r="W1677" s="66"/>
      <c r="X1677" s="66"/>
      <c r="Y1677" s="66"/>
      <c r="Z1677" s="66"/>
    </row>
    <row r="1678">
      <c r="A1678" s="66"/>
      <c r="B1678" s="66"/>
      <c r="C1678" s="66"/>
      <c r="D1678" s="66"/>
      <c r="E1678" s="66"/>
      <c r="F1678" s="66"/>
      <c r="G1678" s="66"/>
      <c r="H1678" s="66"/>
      <c r="I1678" s="66"/>
      <c r="J1678" s="66"/>
      <c r="K1678" s="66"/>
      <c r="L1678" s="66"/>
      <c r="M1678" s="66"/>
      <c r="N1678" s="66"/>
      <c r="O1678" s="66"/>
      <c r="P1678" s="66"/>
      <c r="Q1678" s="66"/>
      <c r="R1678" s="66"/>
      <c r="S1678" s="66"/>
      <c r="T1678" s="66"/>
      <c r="U1678" s="66"/>
      <c r="V1678" s="66"/>
      <c r="W1678" s="66"/>
      <c r="X1678" s="66"/>
      <c r="Y1678" s="66"/>
      <c r="Z1678" s="66"/>
    </row>
    <row r="1679">
      <c r="A1679" s="66"/>
      <c r="B1679" s="66"/>
      <c r="C1679" s="66"/>
      <c r="D1679" s="66"/>
      <c r="E1679" s="66"/>
      <c r="F1679" s="66"/>
      <c r="G1679" s="66"/>
      <c r="H1679" s="66"/>
      <c r="I1679" s="66"/>
      <c r="J1679" s="66"/>
      <c r="K1679" s="66"/>
      <c r="L1679" s="66"/>
      <c r="M1679" s="66"/>
      <c r="N1679" s="66"/>
      <c r="O1679" s="66"/>
      <c r="P1679" s="66"/>
      <c r="Q1679" s="66"/>
      <c r="R1679" s="66"/>
      <c r="S1679" s="66"/>
      <c r="T1679" s="66"/>
      <c r="U1679" s="66"/>
      <c r="V1679" s="66"/>
      <c r="W1679" s="66"/>
      <c r="X1679" s="66"/>
      <c r="Y1679" s="66"/>
      <c r="Z1679" s="66"/>
    </row>
    <row r="1680">
      <c r="A1680" s="66"/>
      <c r="B1680" s="66"/>
      <c r="C1680" s="66"/>
      <c r="D1680" s="66"/>
      <c r="E1680" s="66"/>
      <c r="F1680" s="66"/>
      <c r="G1680" s="66"/>
      <c r="H1680" s="66"/>
      <c r="I1680" s="66"/>
      <c r="J1680" s="66"/>
      <c r="K1680" s="66"/>
      <c r="L1680" s="66"/>
      <c r="M1680" s="66"/>
      <c r="N1680" s="66"/>
      <c r="O1680" s="66"/>
      <c r="P1680" s="66"/>
      <c r="Q1680" s="66"/>
      <c r="R1680" s="66"/>
      <c r="S1680" s="66"/>
      <c r="T1680" s="66"/>
      <c r="U1680" s="66"/>
      <c r="V1680" s="66"/>
      <c r="W1680" s="66"/>
      <c r="X1680" s="66"/>
      <c r="Y1680" s="66"/>
      <c r="Z1680" s="66"/>
    </row>
    <row r="1681">
      <c r="A1681" s="66"/>
      <c r="B1681" s="66"/>
      <c r="C1681" s="66"/>
      <c r="D1681" s="66"/>
      <c r="E1681" s="66"/>
      <c r="F1681" s="66"/>
      <c r="G1681" s="66"/>
      <c r="H1681" s="66"/>
      <c r="I1681" s="66"/>
      <c r="J1681" s="66"/>
      <c r="K1681" s="66"/>
      <c r="L1681" s="66"/>
      <c r="M1681" s="66"/>
      <c r="N1681" s="66"/>
      <c r="O1681" s="66"/>
      <c r="P1681" s="66"/>
      <c r="Q1681" s="66"/>
      <c r="R1681" s="66"/>
      <c r="S1681" s="66"/>
      <c r="T1681" s="66"/>
      <c r="U1681" s="66"/>
      <c r="V1681" s="66"/>
      <c r="W1681" s="66"/>
      <c r="X1681" s="66"/>
      <c r="Y1681" s="66"/>
      <c r="Z1681" s="66"/>
    </row>
    <row r="1682">
      <c r="A1682" s="66"/>
      <c r="B1682" s="66"/>
      <c r="C1682" s="66"/>
      <c r="D1682" s="66"/>
      <c r="E1682" s="66"/>
      <c r="F1682" s="66"/>
      <c r="G1682" s="66"/>
      <c r="H1682" s="66"/>
      <c r="I1682" s="66"/>
      <c r="J1682" s="66"/>
      <c r="K1682" s="66"/>
      <c r="L1682" s="66"/>
      <c r="M1682" s="66"/>
      <c r="N1682" s="66"/>
      <c r="O1682" s="66"/>
      <c r="P1682" s="66"/>
      <c r="Q1682" s="66"/>
      <c r="R1682" s="66"/>
      <c r="S1682" s="66"/>
      <c r="T1682" s="66"/>
      <c r="U1682" s="66"/>
      <c r="V1682" s="66"/>
      <c r="W1682" s="66"/>
      <c r="X1682" s="66"/>
      <c r="Y1682" s="66"/>
      <c r="Z1682" s="66"/>
    </row>
    <row r="1683">
      <c r="A1683" s="66"/>
      <c r="B1683" s="66"/>
      <c r="C1683" s="66"/>
      <c r="D1683" s="66"/>
      <c r="E1683" s="66"/>
      <c r="F1683" s="66"/>
      <c r="G1683" s="66"/>
      <c r="H1683" s="66"/>
      <c r="I1683" s="66"/>
      <c r="J1683" s="66"/>
      <c r="K1683" s="66"/>
      <c r="L1683" s="66"/>
      <c r="M1683" s="66"/>
      <c r="N1683" s="66"/>
      <c r="O1683" s="66"/>
      <c r="P1683" s="66"/>
      <c r="Q1683" s="66"/>
      <c r="R1683" s="66"/>
      <c r="S1683" s="66"/>
      <c r="T1683" s="66"/>
      <c r="U1683" s="66"/>
      <c r="V1683" s="66"/>
      <c r="W1683" s="66"/>
      <c r="X1683" s="66"/>
      <c r="Y1683" s="66"/>
      <c r="Z1683" s="66"/>
    </row>
    <row r="1684">
      <c r="A1684" s="66"/>
      <c r="B1684" s="66"/>
      <c r="C1684" s="66"/>
      <c r="D1684" s="66"/>
      <c r="E1684" s="66"/>
      <c r="F1684" s="66"/>
      <c r="G1684" s="66"/>
      <c r="H1684" s="66"/>
      <c r="I1684" s="66"/>
      <c r="J1684" s="66"/>
      <c r="K1684" s="66"/>
      <c r="L1684" s="66"/>
      <c r="M1684" s="66"/>
      <c r="N1684" s="66"/>
      <c r="O1684" s="66"/>
      <c r="P1684" s="66"/>
      <c r="Q1684" s="66"/>
      <c r="R1684" s="66"/>
      <c r="S1684" s="66"/>
      <c r="T1684" s="66"/>
      <c r="U1684" s="66"/>
      <c r="V1684" s="66"/>
      <c r="W1684" s="66"/>
      <c r="X1684" s="66"/>
      <c r="Y1684" s="66"/>
      <c r="Z1684" s="66"/>
    </row>
    <row r="1685">
      <c r="A1685" s="66"/>
      <c r="B1685" s="66"/>
      <c r="C1685" s="66"/>
      <c r="D1685" s="66"/>
      <c r="E1685" s="66"/>
      <c r="F1685" s="66"/>
      <c r="G1685" s="66"/>
      <c r="H1685" s="66"/>
      <c r="I1685" s="66"/>
      <c r="J1685" s="66"/>
      <c r="K1685" s="66"/>
      <c r="L1685" s="66"/>
      <c r="M1685" s="66"/>
      <c r="N1685" s="66"/>
      <c r="O1685" s="66"/>
      <c r="P1685" s="66"/>
      <c r="Q1685" s="66"/>
      <c r="R1685" s="66"/>
      <c r="S1685" s="66"/>
      <c r="T1685" s="66"/>
      <c r="U1685" s="66"/>
      <c r="V1685" s="66"/>
      <c r="W1685" s="66"/>
      <c r="X1685" s="66"/>
      <c r="Y1685" s="66"/>
      <c r="Z1685" s="66"/>
    </row>
    <row r="1686">
      <c r="A1686" s="66"/>
      <c r="B1686" s="66"/>
      <c r="C1686" s="66"/>
      <c r="D1686" s="66"/>
      <c r="E1686" s="66"/>
      <c r="F1686" s="66"/>
      <c r="G1686" s="66"/>
      <c r="H1686" s="66"/>
      <c r="I1686" s="66"/>
      <c r="J1686" s="66"/>
      <c r="K1686" s="66"/>
      <c r="L1686" s="66"/>
      <c r="M1686" s="66"/>
      <c r="N1686" s="66"/>
      <c r="O1686" s="66"/>
      <c r="P1686" s="66"/>
      <c r="Q1686" s="66"/>
      <c r="R1686" s="66"/>
      <c r="S1686" s="66"/>
      <c r="T1686" s="66"/>
      <c r="U1686" s="66"/>
      <c r="V1686" s="66"/>
      <c r="W1686" s="66"/>
      <c r="X1686" s="66"/>
      <c r="Y1686" s="66"/>
      <c r="Z1686" s="66"/>
    </row>
    <row r="1687">
      <c r="A1687" s="66"/>
      <c r="B1687" s="66"/>
      <c r="C1687" s="66"/>
      <c r="D1687" s="66"/>
      <c r="E1687" s="66"/>
      <c r="F1687" s="66"/>
      <c r="G1687" s="66"/>
      <c r="H1687" s="66"/>
      <c r="I1687" s="66"/>
      <c r="J1687" s="66"/>
      <c r="K1687" s="66"/>
      <c r="L1687" s="66"/>
      <c r="M1687" s="66"/>
      <c r="N1687" s="66"/>
      <c r="O1687" s="66"/>
      <c r="P1687" s="66"/>
      <c r="Q1687" s="66"/>
      <c r="R1687" s="66"/>
      <c r="S1687" s="66"/>
      <c r="T1687" s="66"/>
      <c r="U1687" s="66"/>
      <c r="V1687" s="66"/>
      <c r="W1687" s="66"/>
      <c r="X1687" s="66"/>
      <c r="Y1687" s="66"/>
      <c r="Z1687" s="66"/>
    </row>
    <row r="1688">
      <c r="A1688" s="66"/>
      <c r="B1688" s="66"/>
      <c r="C1688" s="66"/>
      <c r="D1688" s="66"/>
      <c r="E1688" s="66"/>
      <c r="F1688" s="66"/>
      <c r="G1688" s="66"/>
      <c r="H1688" s="66"/>
      <c r="I1688" s="66"/>
      <c r="J1688" s="66"/>
      <c r="K1688" s="66"/>
      <c r="L1688" s="66"/>
      <c r="M1688" s="66"/>
      <c r="N1688" s="66"/>
      <c r="O1688" s="66"/>
      <c r="P1688" s="66"/>
      <c r="Q1688" s="66"/>
      <c r="R1688" s="66"/>
      <c r="S1688" s="66"/>
      <c r="T1688" s="66"/>
      <c r="U1688" s="66"/>
      <c r="V1688" s="66"/>
      <c r="W1688" s="66"/>
      <c r="X1688" s="66"/>
      <c r="Y1688" s="66"/>
      <c r="Z1688" s="66"/>
    </row>
    <row r="1689">
      <c r="A1689" s="66"/>
      <c r="B1689" s="66"/>
      <c r="C1689" s="66"/>
      <c r="D1689" s="66"/>
      <c r="E1689" s="66"/>
      <c r="F1689" s="66"/>
      <c r="G1689" s="66"/>
      <c r="H1689" s="66"/>
      <c r="I1689" s="66"/>
      <c r="J1689" s="66"/>
      <c r="K1689" s="66"/>
      <c r="L1689" s="66"/>
      <c r="M1689" s="66"/>
      <c r="N1689" s="66"/>
      <c r="O1689" s="66"/>
      <c r="P1689" s="66"/>
      <c r="Q1689" s="66"/>
      <c r="R1689" s="66"/>
      <c r="S1689" s="66"/>
      <c r="T1689" s="66"/>
      <c r="U1689" s="66"/>
      <c r="V1689" s="66"/>
      <c r="W1689" s="66"/>
      <c r="X1689" s="66"/>
      <c r="Y1689" s="66"/>
      <c r="Z1689" s="66"/>
    </row>
    <row r="1690">
      <c r="A1690" s="66"/>
      <c r="B1690" s="66"/>
      <c r="C1690" s="66"/>
      <c r="D1690" s="66"/>
      <c r="E1690" s="66"/>
      <c r="F1690" s="66"/>
      <c r="G1690" s="66"/>
      <c r="H1690" s="66"/>
      <c r="I1690" s="66"/>
      <c r="J1690" s="66"/>
      <c r="K1690" s="66"/>
      <c r="L1690" s="66"/>
      <c r="M1690" s="66"/>
      <c r="N1690" s="66"/>
      <c r="O1690" s="66"/>
      <c r="P1690" s="66"/>
      <c r="Q1690" s="66"/>
      <c r="R1690" s="66"/>
      <c r="S1690" s="66"/>
      <c r="T1690" s="66"/>
      <c r="U1690" s="66"/>
      <c r="V1690" s="66"/>
      <c r="W1690" s="66"/>
      <c r="X1690" s="66"/>
      <c r="Y1690" s="66"/>
      <c r="Z1690" s="66"/>
    </row>
    <row r="1691">
      <c r="A1691" s="66"/>
      <c r="B1691" s="66"/>
      <c r="C1691" s="66"/>
      <c r="D1691" s="66"/>
      <c r="E1691" s="66"/>
      <c r="F1691" s="66"/>
      <c r="G1691" s="66"/>
      <c r="H1691" s="66"/>
      <c r="I1691" s="66"/>
      <c r="J1691" s="66"/>
      <c r="K1691" s="66"/>
      <c r="L1691" s="66"/>
      <c r="M1691" s="66"/>
      <c r="N1691" s="66"/>
      <c r="O1691" s="66"/>
      <c r="P1691" s="66"/>
      <c r="Q1691" s="66"/>
      <c r="R1691" s="66"/>
      <c r="S1691" s="66"/>
      <c r="T1691" s="66"/>
      <c r="U1691" s="66"/>
      <c r="V1691" s="66"/>
      <c r="W1691" s="66"/>
      <c r="X1691" s="66"/>
      <c r="Y1691" s="66"/>
      <c r="Z1691" s="66"/>
    </row>
    <row r="1692">
      <c r="A1692" s="66"/>
      <c r="B1692" s="66"/>
      <c r="C1692" s="66"/>
      <c r="D1692" s="66"/>
      <c r="E1692" s="66"/>
      <c r="F1692" s="66"/>
      <c r="G1692" s="66"/>
      <c r="H1692" s="66"/>
      <c r="I1692" s="66"/>
      <c r="J1692" s="66"/>
      <c r="K1692" s="66"/>
      <c r="L1692" s="66"/>
      <c r="M1692" s="66"/>
      <c r="N1692" s="66"/>
      <c r="O1692" s="66"/>
      <c r="P1692" s="66"/>
      <c r="Q1692" s="66"/>
      <c r="R1692" s="66"/>
      <c r="S1692" s="66"/>
      <c r="T1692" s="66"/>
      <c r="U1692" s="66"/>
      <c r="V1692" s="66"/>
      <c r="W1692" s="66"/>
      <c r="X1692" s="66"/>
      <c r="Y1692" s="66"/>
      <c r="Z1692" s="66"/>
    </row>
    <row r="1693">
      <c r="A1693" s="66"/>
      <c r="B1693" s="66"/>
      <c r="C1693" s="66"/>
      <c r="D1693" s="66"/>
      <c r="E1693" s="66"/>
      <c r="F1693" s="66"/>
      <c r="G1693" s="66"/>
      <c r="H1693" s="66"/>
      <c r="I1693" s="66"/>
      <c r="J1693" s="66"/>
      <c r="K1693" s="66"/>
      <c r="L1693" s="66"/>
      <c r="M1693" s="66"/>
      <c r="N1693" s="66"/>
      <c r="O1693" s="66"/>
      <c r="P1693" s="66"/>
      <c r="Q1693" s="66"/>
      <c r="R1693" s="66"/>
      <c r="S1693" s="66"/>
      <c r="T1693" s="66"/>
      <c r="U1693" s="66"/>
      <c r="V1693" s="66"/>
      <c r="W1693" s="66"/>
      <c r="X1693" s="66"/>
      <c r="Y1693" s="66"/>
      <c r="Z1693" s="66"/>
    </row>
    <row r="1694">
      <c r="A1694" s="66"/>
      <c r="B1694" s="66"/>
      <c r="C1694" s="66"/>
      <c r="D1694" s="66"/>
      <c r="E1694" s="66"/>
      <c r="F1694" s="66"/>
      <c r="G1694" s="66"/>
      <c r="H1694" s="66"/>
      <c r="I1694" s="66"/>
      <c r="J1694" s="66"/>
      <c r="K1694" s="66"/>
      <c r="L1694" s="66"/>
      <c r="M1694" s="66"/>
      <c r="N1694" s="66"/>
      <c r="O1694" s="66"/>
      <c r="P1694" s="66"/>
      <c r="Q1694" s="66"/>
      <c r="R1694" s="66"/>
      <c r="S1694" s="66"/>
      <c r="T1694" s="66"/>
      <c r="U1694" s="66"/>
      <c r="V1694" s="66"/>
      <c r="W1694" s="66"/>
      <c r="X1694" s="66"/>
      <c r="Y1694" s="66"/>
      <c r="Z1694" s="66"/>
    </row>
    <row r="1695">
      <c r="A1695" s="66"/>
      <c r="B1695" s="66"/>
      <c r="C1695" s="66"/>
      <c r="D1695" s="66"/>
      <c r="E1695" s="66"/>
      <c r="F1695" s="66"/>
      <c r="G1695" s="66"/>
      <c r="H1695" s="66"/>
      <c r="I1695" s="66"/>
      <c r="J1695" s="66"/>
      <c r="K1695" s="66"/>
      <c r="L1695" s="66"/>
      <c r="M1695" s="66"/>
      <c r="N1695" s="66"/>
      <c r="O1695" s="66"/>
      <c r="P1695" s="66"/>
      <c r="Q1695" s="66"/>
      <c r="R1695" s="66"/>
      <c r="S1695" s="66"/>
      <c r="T1695" s="66"/>
      <c r="U1695" s="66"/>
      <c r="V1695" s="66"/>
      <c r="W1695" s="66"/>
      <c r="X1695" s="66"/>
      <c r="Y1695" s="66"/>
      <c r="Z1695" s="66"/>
    </row>
    <row r="1696">
      <c r="A1696" s="66"/>
      <c r="B1696" s="66"/>
      <c r="C1696" s="66"/>
      <c r="D1696" s="66"/>
      <c r="E1696" s="66"/>
      <c r="F1696" s="66"/>
      <c r="G1696" s="66"/>
      <c r="H1696" s="66"/>
      <c r="I1696" s="66"/>
      <c r="J1696" s="66"/>
      <c r="K1696" s="66"/>
      <c r="L1696" s="66"/>
      <c r="M1696" s="66"/>
      <c r="N1696" s="66"/>
      <c r="O1696" s="66"/>
      <c r="P1696" s="66"/>
      <c r="Q1696" s="66"/>
      <c r="R1696" s="66"/>
      <c r="S1696" s="66"/>
      <c r="T1696" s="66"/>
      <c r="U1696" s="66"/>
      <c r="V1696" s="66"/>
      <c r="W1696" s="66"/>
      <c r="X1696" s="66"/>
      <c r="Y1696" s="66"/>
      <c r="Z1696" s="66"/>
    </row>
    <row r="1697">
      <c r="A1697" s="66"/>
      <c r="B1697" s="66"/>
      <c r="C1697" s="66"/>
      <c r="D1697" s="66"/>
      <c r="E1697" s="66"/>
      <c r="F1697" s="66"/>
      <c r="G1697" s="66"/>
      <c r="H1697" s="66"/>
      <c r="I1697" s="66"/>
      <c r="J1697" s="66"/>
      <c r="K1697" s="66"/>
      <c r="L1697" s="66"/>
      <c r="M1697" s="66"/>
      <c r="N1697" s="66"/>
      <c r="O1697" s="66"/>
      <c r="P1697" s="66"/>
      <c r="Q1697" s="66"/>
      <c r="R1697" s="66"/>
      <c r="S1697" s="66"/>
      <c r="T1697" s="66"/>
      <c r="U1697" s="66"/>
      <c r="V1697" s="66"/>
      <c r="W1697" s="66"/>
      <c r="X1697" s="66"/>
      <c r="Y1697" s="66"/>
      <c r="Z1697" s="66"/>
    </row>
    <row r="1698">
      <c r="A1698" s="66"/>
      <c r="B1698" s="66"/>
      <c r="C1698" s="66"/>
      <c r="D1698" s="66"/>
      <c r="E1698" s="66"/>
      <c r="F1698" s="66"/>
      <c r="G1698" s="66"/>
      <c r="H1698" s="66"/>
      <c r="I1698" s="66"/>
      <c r="J1698" s="66"/>
      <c r="K1698" s="66"/>
      <c r="L1698" s="66"/>
      <c r="M1698" s="66"/>
      <c r="N1698" s="66"/>
      <c r="O1698" s="66"/>
      <c r="P1698" s="66"/>
      <c r="Q1698" s="66"/>
      <c r="R1698" s="66"/>
      <c r="S1698" s="66"/>
      <c r="T1698" s="66"/>
      <c r="U1698" s="66"/>
      <c r="V1698" s="66"/>
      <c r="W1698" s="66"/>
      <c r="X1698" s="66"/>
      <c r="Y1698" s="66"/>
      <c r="Z1698" s="66"/>
    </row>
    <row r="1699">
      <c r="A1699" s="66"/>
      <c r="B1699" s="66"/>
      <c r="C1699" s="66"/>
      <c r="D1699" s="66"/>
      <c r="E1699" s="66"/>
      <c r="F1699" s="66"/>
      <c r="G1699" s="66"/>
      <c r="H1699" s="66"/>
      <c r="I1699" s="66"/>
      <c r="J1699" s="66"/>
      <c r="K1699" s="66"/>
      <c r="L1699" s="66"/>
      <c r="M1699" s="66"/>
      <c r="N1699" s="66"/>
      <c r="O1699" s="66"/>
      <c r="P1699" s="66"/>
      <c r="Q1699" s="66"/>
      <c r="R1699" s="66"/>
      <c r="S1699" s="66"/>
      <c r="T1699" s="66"/>
      <c r="U1699" s="66"/>
      <c r="V1699" s="66"/>
      <c r="W1699" s="66"/>
      <c r="X1699" s="66"/>
      <c r="Y1699" s="66"/>
      <c r="Z1699" s="66"/>
    </row>
    <row r="1700">
      <c r="A1700" s="66"/>
      <c r="B1700" s="66"/>
      <c r="C1700" s="66"/>
      <c r="D1700" s="66"/>
      <c r="E1700" s="66"/>
      <c r="F1700" s="66"/>
      <c r="G1700" s="66"/>
      <c r="H1700" s="66"/>
      <c r="I1700" s="66"/>
      <c r="J1700" s="66"/>
      <c r="K1700" s="66"/>
      <c r="L1700" s="66"/>
      <c r="M1700" s="66"/>
      <c r="N1700" s="66"/>
      <c r="O1700" s="66"/>
      <c r="P1700" s="66"/>
      <c r="Q1700" s="66"/>
      <c r="R1700" s="66"/>
      <c r="S1700" s="66"/>
      <c r="T1700" s="66"/>
      <c r="U1700" s="66"/>
      <c r="V1700" s="66"/>
      <c r="W1700" s="66"/>
      <c r="X1700" s="66"/>
      <c r="Y1700" s="66"/>
      <c r="Z1700" s="66"/>
    </row>
    <row r="1701">
      <c r="A1701" s="66"/>
      <c r="B1701" s="66"/>
      <c r="C1701" s="66"/>
      <c r="D1701" s="66"/>
      <c r="E1701" s="66"/>
      <c r="F1701" s="66"/>
      <c r="G1701" s="66"/>
      <c r="H1701" s="66"/>
      <c r="I1701" s="66"/>
      <c r="J1701" s="66"/>
      <c r="K1701" s="66"/>
      <c r="L1701" s="66"/>
      <c r="M1701" s="66"/>
      <c r="N1701" s="66"/>
      <c r="O1701" s="66"/>
      <c r="P1701" s="66"/>
      <c r="Q1701" s="66"/>
      <c r="R1701" s="66"/>
      <c r="S1701" s="66"/>
      <c r="T1701" s="66"/>
      <c r="U1701" s="66"/>
      <c r="V1701" s="66"/>
      <c r="W1701" s="66"/>
      <c r="X1701" s="66"/>
      <c r="Y1701" s="66"/>
      <c r="Z1701" s="66"/>
    </row>
    <row r="1702">
      <c r="A1702" s="66"/>
      <c r="B1702" s="66"/>
      <c r="C1702" s="66"/>
      <c r="D1702" s="66"/>
      <c r="E1702" s="66"/>
      <c r="F1702" s="66"/>
      <c r="G1702" s="66"/>
      <c r="H1702" s="66"/>
      <c r="I1702" s="66"/>
      <c r="J1702" s="66"/>
      <c r="K1702" s="66"/>
      <c r="L1702" s="66"/>
      <c r="M1702" s="66"/>
      <c r="N1702" s="66"/>
      <c r="O1702" s="66"/>
      <c r="P1702" s="66"/>
      <c r="Q1702" s="66"/>
      <c r="R1702" s="66"/>
      <c r="S1702" s="66"/>
      <c r="T1702" s="66"/>
      <c r="U1702" s="66"/>
      <c r="V1702" s="66"/>
      <c r="W1702" s="66"/>
      <c r="X1702" s="66"/>
      <c r="Y1702" s="66"/>
      <c r="Z1702" s="66"/>
    </row>
    <row r="1703">
      <c r="A1703" s="66"/>
      <c r="B1703" s="66"/>
      <c r="C1703" s="66"/>
      <c r="D1703" s="66"/>
      <c r="E1703" s="66"/>
      <c r="F1703" s="66"/>
      <c r="G1703" s="66"/>
      <c r="H1703" s="66"/>
      <c r="I1703" s="66"/>
      <c r="J1703" s="66"/>
      <c r="K1703" s="66"/>
      <c r="L1703" s="66"/>
      <c r="M1703" s="66"/>
      <c r="N1703" s="66"/>
      <c r="O1703" s="66"/>
      <c r="P1703" s="66"/>
      <c r="Q1703" s="66"/>
      <c r="R1703" s="66"/>
      <c r="S1703" s="66"/>
      <c r="T1703" s="66"/>
      <c r="U1703" s="66"/>
      <c r="V1703" s="66"/>
      <c r="W1703" s="66"/>
      <c r="X1703" s="66"/>
      <c r="Y1703" s="66"/>
      <c r="Z1703" s="66"/>
    </row>
    <row r="1704">
      <c r="A1704" s="66"/>
      <c r="B1704" s="66"/>
      <c r="C1704" s="66"/>
      <c r="D1704" s="66"/>
      <c r="E1704" s="66"/>
      <c r="F1704" s="66"/>
      <c r="G1704" s="66"/>
      <c r="H1704" s="66"/>
      <c r="I1704" s="66"/>
      <c r="J1704" s="66"/>
      <c r="K1704" s="66"/>
      <c r="L1704" s="66"/>
      <c r="M1704" s="66"/>
      <c r="N1704" s="66"/>
      <c r="O1704" s="66"/>
      <c r="P1704" s="66"/>
      <c r="Q1704" s="66"/>
      <c r="R1704" s="66"/>
      <c r="S1704" s="66"/>
      <c r="T1704" s="66"/>
      <c r="U1704" s="66"/>
      <c r="V1704" s="66"/>
      <c r="W1704" s="66"/>
      <c r="X1704" s="66"/>
      <c r="Y1704" s="66"/>
      <c r="Z1704" s="66"/>
    </row>
    <row r="1705">
      <c r="A1705" s="66"/>
      <c r="B1705" s="66"/>
      <c r="C1705" s="66"/>
      <c r="D1705" s="66"/>
      <c r="E1705" s="66"/>
      <c r="F1705" s="66"/>
      <c r="G1705" s="66"/>
      <c r="H1705" s="66"/>
      <c r="I1705" s="66"/>
      <c r="J1705" s="66"/>
      <c r="K1705" s="66"/>
      <c r="L1705" s="66"/>
      <c r="M1705" s="66"/>
      <c r="N1705" s="66"/>
      <c r="O1705" s="66"/>
      <c r="P1705" s="66"/>
      <c r="Q1705" s="66"/>
      <c r="R1705" s="66"/>
      <c r="S1705" s="66"/>
      <c r="T1705" s="66"/>
      <c r="U1705" s="66"/>
      <c r="V1705" s="66"/>
      <c r="W1705" s="66"/>
      <c r="X1705" s="66"/>
      <c r="Y1705" s="66"/>
      <c r="Z1705" s="66"/>
    </row>
    <row r="1706">
      <c r="A1706" s="66"/>
      <c r="B1706" s="66"/>
      <c r="C1706" s="66"/>
      <c r="D1706" s="66"/>
      <c r="E1706" s="66"/>
      <c r="F1706" s="66"/>
      <c r="G1706" s="66"/>
      <c r="H1706" s="66"/>
      <c r="I1706" s="66"/>
      <c r="J1706" s="66"/>
      <c r="K1706" s="66"/>
      <c r="L1706" s="66"/>
      <c r="M1706" s="66"/>
      <c r="N1706" s="66"/>
      <c r="O1706" s="66"/>
      <c r="P1706" s="66"/>
      <c r="Q1706" s="66"/>
      <c r="R1706" s="66"/>
      <c r="S1706" s="66"/>
      <c r="T1706" s="66"/>
      <c r="U1706" s="66"/>
      <c r="V1706" s="66"/>
      <c r="W1706" s="66"/>
      <c r="X1706" s="66"/>
      <c r="Y1706" s="66"/>
      <c r="Z1706" s="66"/>
    </row>
    <row r="1707">
      <c r="A1707" s="66"/>
      <c r="B1707" s="66"/>
      <c r="C1707" s="66"/>
      <c r="D1707" s="66"/>
      <c r="E1707" s="66"/>
      <c r="F1707" s="66"/>
      <c r="G1707" s="66"/>
      <c r="H1707" s="66"/>
      <c r="I1707" s="66"/>
      <c r="J1707" s="66"/>
      <c r="K1707" s="66"/>
      <c r="L1707" s="66"/>
      <c r="M1707" s="66"/>
      <c r="N1707" s="66"/>
      <c r="O1707" s="66"/>
      <c r="P1707" s="66"/>
      <c r="Q1707" s="66"/>
      <c r="R1707" s="66"/>
      <c r="S1707" s="66"/>
      <c r="T1707" s="66"/>
      <c r="U1707" s="66"/>
      <c r="V1707" s="66"/>
      <c r="W1707" s="66"/>
      <c r="X1707" s="66"/>
      <c r="Y1707" s="66"/>
      <c r="Z1707" s="66"/>
    </row>
    <row r="1708">
      <c r="A1708" s="66"/>
      <c r="B1708" s="66"/>
      <c r="C1708" s="66"/>
      <c r="D1708" s="66"/>
      <c r="E1708" s="66"/>
      <c r="F1708" s="66"/>
      <c r="G1708" s="66"/>
      <c r="H1708" s="66"/>
      <c r="I1708" s="66"/>
      <c r="J1708" s="66"/>
      <c r="K1708" s="66"/>
      <c r="L1708" s="66"/>
      <c r="M1708" s="66"/>
      <c r="N1708" s="66"/>
      <c r="O1708" s="66"/>
      <c r="P1708" s="66"/>
      <c r="Q1708" s="66"/>
      <c r="R1708" s="66"/>
      <c r="S1708" s="66"/>
      <c r="T1708" s="66"/>
      <c r="U1708" s="66"/>
      <c r="V1708" s="66"/>
      <c r="W1708" s="66"/>
      <c r="X1708" s="66"/>
      <c r="Y1708" s="66"/>
      <c r="Z1708" s="66"/>
    </row>
    <row r="1709">
      <c r="A1709" s="66"/>
      <c r="B1709" s="66"/>
      <c r="C1709" s="66"/>
      <c r="D1709" s="66"/>
      <c r="E1709" s="66"/>
      <c r="F1709" s="66"/>
      <c r="G1709" s="66"/>
      <c r="H1709" s="66"/>
      <c r="I1709" s="66"/>
      <c r="J1709" s="66"/>
      <c r="K1709" s="66"/>
      <c r="L1709" s="66"/>
      <c r="M1709" s="66"/>
      <c r="N1709" s="66"/>
      <c r="O1709" s="66"/>
      <c r="P1709" s="66"/>
      <c r="Q1709" s="66"/>
      <c r="R1709" s="66"/>
      <c r="S1709" s="66"/>
      <c r="T1709" s="66"/>
      <c r="U1709" s="66"/>
      <c r="V1709" s="66"/>
      <c r="W1709" s="66"/>
      <c r="X1709" s="66"/>
      <c r="Y1709" s="66"/>
      <c r="Z1709" s="66"/>
    </row>
    <row r="1710">
      <c r="A1710" s="66"/>
      <c r="B1710" s="66"/>
      <c r="C1710" s="66"/>
      <c r="D1710" s="66"/>
      <c r="E1710" s="66"/>
      <c r="F1710" s="66"/>
      <c r="G1710" s="66"/>
      <c r="H1710" s="66"/>
      <c r="I1710" s="66"/>
      <c r="J1710" s="66"/>
      <c r="K1710" s="66"/>
      <c r="L1710" s="66"/>
      <c r="M1710" s="66"/>
      <c r="N1710" s="66"/>
      <c r="O1710" s="66"/>
      <c r="P1710" s="66"/>
      <c r="Q1710" s="66"/>
      <c r="R1710" s="66"/>
      <c r="S1710" s="66"/>
      <c r="T1710" s="66"/>
      <c r="U1710" s="66"/>
      <c r="V1710" s="66"/>
      <c r="W1710" s="66"/>
      <c r="X1710" s="66"/>
      <c r="Y1710" s="66"/>
      <c r="Z1710" s="66"/>
    </row>
    <row r="1711">
      <c r="A1711" s="66"/>
      <c r="B1711" s="66"/>
      <c r="C1711" s="66"/>
      <c r="D1711" s="66"/>
      <c r="E1711" s="66"/>
      <c r="F1711" s="66"/>
      <c r="G1711" s="66"/>
      <c r="H1711" s="66"/>
      <c r="I1711" s="66"/>
      <c r="J1711" s="66"/>
      <c r="K1711" s="66"/>
      <c r="L1711" s="66"/>
      <c r="M1711" s="66"/>
      <c r="N1711" s="66"/>
      <c r="O1711" s="66"/>
      <c r="P1711" s="66"/>
      <c r="Q1711" s="66"/>
      <c r="R1711" s="66"/>
      <c r="S1711" s="66"/>
      <c r="T1711" s="66"/>
      <c r="U1711" s="66"/>
      <c r="V1711" s="66"/>
      <c r="W1711" s="66"/>
      <c r="X1711" s="66"/>
      <c r="Y1711" s="66"/>
      <c r="Z1711" s="66"/>
    </row>
    <row r="1712">
      <c r="A1712" s="66"/>
      <c r="B1712" s="66"/>
      <c r="C1712" s="66"/>
      <c r="D1712" s="66"/>
      <c r="E1712" s="66"/>
      <c r="F1712" s="66"/>
      <c r="G1712" s="66"/>
      <c r="H1712" s="66"/>
      <c r="I1712" s="66"/>
      <c r="J1712" s="66"/>
      <c r="K1712" s="66"/>
      <c r="L1712" s="66"/>
      <c r="M1712" s="66"/>
      <c r="N1712" s="66"/>
      <c r="O1712" s="66"/>
      <c r="P1712" s="66"/>
      <c r="Q1712" s="66"/>
      <c r="R1712" s="66"/>
      <c r="S1712" s="66"/>
      <c r="T1712" s="66"/>
      <c r="U1712" s="66"/>
      <c r="V1712" s="66"/>
      <c r="W1712" s="66"/>
      <c r="X1712" s="66"/>
      <c r="Y1712" s="66"/>
      <c r="Z1712" s="66"/>
    </row>
    <row r="1713">
      <c r="A1713" s="66"/>
      <c r="B1713" s="66"/>
      <c r="C1713" s="66"/>
      <c r="D1713" s="66"/>
      <c r="E1713" s="66"/>
      <c r="F1713" s="66"/>
      <c r="G1713" s="66"/>
      <c r="H1713" s="66"/>
      <c r="I1713" s="66"/>
      <c r="J1713" s="66"/>
      <c r="K1713" s="66"/>
      <c r="L1713" s="66"/>
      <c r="M1713" s="66"/>
      <c r="N1713" s="66"/>
      <c r="O1713" s="66"/>
      <c r="P1713" s="66"/>
      <c r="Q1713" s="66"/>
      <c r="R1713" s="66"/>
      <c r="S1713" s="66"/>
      <c r="T1713" s="66"/>
      <c r="U1713" s="66"/>
      <c r="V1713" s="66"/>
      <c r="W1713" s="66"/>
      <c r="X1713" s="66"/>
      <c r="Y1713" s="66"/>
      <c r="Z1713" s="66"/>
    </row>
    <row r="1714">
      <c r="A1714" s="66"/>
      <c r="B1714" s="66"/>
      <c r="C1714" s="66"/>
      <c r="D1714" s="66"/>
      <c r="E1714" s="66"/>
      <c r="F1714" s="66"/>
      <c r="G1714" s="66"/>
      <c r="H1714" s="66"/>
      <c r="I1714" s="66"/>
      <c r="J1714" s="66"/>
      <c r="K1714" s="66"/>
      <c r="L1714" s="66"/>
      <c r="M1714" s="66"/>
      <c r="N1714" s="66"/>
      <c r="O1714" s="66"/>
      <c r="P1714" s="66"/>
      <c r="Q1714" s="66"/>
      <c r="R1714" s="66"/>
      <c r="S1714" s="66"/>
      <c r="T1714" s="66"/>
      <c r="U1714" s="66"/>
      <c r="V1714" s="66"/>
      <c r="W1714" s="66"/>
      <c r="X1714" s="66"/>
      <c r="Y1714" s="66"/>
      <c r="Z1714" s="66"/>
    </row>
    <row r="1715">
      <c r="A1715" s="66"/>
      <c r="B1715" s="66"/>
      <c r="C1715" s="66"/>
      <c r="D1715" s="66"/>
      <c r="E1715" s="66"/>
      <c r="F1715" s="66"/>
      <c r="G1715" s="66"/>
      <c r="H1715" s="66"/>
      <c r="I1715" s="66"/>
      <c r="J1715" s="66"/>
      <c r="K1715" s="66"/>
      <c r="L1715" s="66"/>
      <c r="M1715" s="66"/>
      <c r="N1715" s="66"/>
      <c r="O1715" s="66"/>
      <c r="P1715" s="66"/>
      <c r="Q1715" s="66"/>
      <c r="R1715" s="66"/>
      <c r="S1715" s="66"/>
      <c r="T1715" s="66"/>
      <c r="U1715" s="66"/>
      <c r="V1715" s="66"/>
      <c r="W1715" s="66"/>
      <c r="X1715" s="66"/>
      <c r="Y1715" s="66"/>
      <c r="Z1715" s="66"/>
    </row>
    <row r="1716">
      <c r="A1716" s="66"/>
      <c r="B1716" s="66"/>
      <c r="C1716" s="66"/>
      <c r="D1716" s="66"/>
      <c r="E1716" s="66"/>
      <c r="F1716" s="66"/>
      <c r="G1716" s="66"/>
      <c r="H1716" s="66"/>
      <c r="I1716" s="66"/>
      <c r="J1716" s="66"/>
      <c r="K1716" s="66"/>
      <c r="L1716" s="66"/>
      <c r="M1716" s="66"/>
      <c r="N1716" s="66"/>
      <c r="O1716" s="66"/>
      <c r="P1716" s="66"/>
      <c r="Q1716" s="66"/>
      <c r="R1716" s="66"/>
      <c r="S1716" s="66"/>
      <c r="T1716" s="66"/>
      <c r="U1716" s="66"/>
      <c r="V1716" s="66"/>
      <c r="W1716" s="66"/>
      <c r="X1716" s="66"/>
      <c r="Y1716" s="66"/>
      <c r="Z1716" s="66"/>
    </row>
    <row r="1717">
      <c r="A1717" s="66"/>
      <c r="B1717" s="66"/>
      <c r="C1717" s="66"/>
      <c r="D1717" s="66"/>
      <c r="E1717" s="66"/>
      <c r="F1717" s="66"/>
      <c r="G1717" s="66"/>
      <c r="H1717" s="66"/>
      <c r="I1717" s="66"/>
      <c r="J1717" s="66"/>
      <c r="K1717" s="66"/>
      <c r="L1717" s="66"/>
      <c r="M1717" s="66"/>
      <c r="N1717" s="66"/>
      <c r="O1717" s="66"/>
      <c r="P1717" s="66"/>
      <c r="Q1717" s="66"/>
      <c r="R1717" s="66"/>
      <c r="S1717" s="66"/>
      <c r="T1717" s="66"/>
      <c r="U1717" s="66"/>
      <c r="V1717" s="66"/>
      <c r="W1717" s="66"/>
      <c r="X1717" s="66"/>
      <c r="Y1717" s="66"/>
      <c r="Z1717" s="66"/>
    </row>
    <row r="1718">
      <c r="A1718" s="66"/>
      <c r="B1718" s="66"/>
      <c r="C1718" s="66"/>
      <c r="D1718" s="66"/>
      <c r="E1718" s="66"/>
      <c r="F1718" s="66"/>
      <c r="G1718" s="66"/>
      <c r="H1718" s="66"/>
      <c r="I1718" s="66"/>
      <c r="J1718" s="66"/>
      <c r="K1718" s="66"/>
      <c r="L1718" s="66"/>
      <c r="M1718" s="66"/>
      <c r="N1718" s="66"/>
      <c r="O1718" s="66"/>
      <c r="P1718" s="66"/>
      <c r="Q1718" s="66"/>
      <c r="R1718" s="66"/>
      <c r="S1718" s="66"/>
      <c r="T1718" s="66"/>
      <c r="U1718" s="66"/>
      <c r="V1718" s="66"/>
      <c r="W1718" s="66"/>
      <c r="X1718" s="66"/>
      <c r="Y1718" s="66"/>
      <c r="Z1718" s="66"/>
    </row>
    <row r="1719">
      <c r="A1719" s="66"/>
      <c r="B1719" s="66"/>
      <c r="C1719" s="66"/>
      <c r="D1719" s="66"/>
      <c r="E1719" s="66"/>
      <c r="F1719" s="66"/>
      <c r="G1719" s="66"/>
      <c r="H1719" s="66"/>
      <c r="I1719" s="66"/>
      <c r="J1719" s="66"/>
      <c r="K1719" s="66"/>
      <c r="L1719" s="66"/>
      <c r="M1719" s="66"/>
      <c r="N1719" s="66"/>
      <c r="O1719" s="66"/>
      <c r="P1719" s="66"/>
      <c r="Q1719" s="66"/>
      <c r="R1719" s="66"/>
      <c r="S1719" s="66"/>
      <c r="T1719" s="66"/>
      <c r="U1719" s="66"/>
      <c r="V1719" s="66"/>
      <c r="W1719" s="66"/>
      <c r="X1719" s="66"/>
      <c r="Y1719" s="66"/>
      <c r="Z1719" s="66"/>
    </row>
    <row r="1720">
      <c r="A1720" s="66"/>
      <c r="B1720" s="66"/>
      <c r="C1720" s="66"/>
      <c r="D1720" s="66"/>
      <c r="E1720" s="66"/>
      <c r="F1720" s="66"/>
      <c r="G1720" s="66"/>
      <c r="H1720" s="66"/>
      <c r="I1720" s="66"/>
      <c r="J1720" s="66"/>
      <c r="K1720" s="66"/>
      <c r="L1720" s="66"/>
      <c r="M1720" s="66"/>
      <c r="N1720" s="66"/>
      <c r="O1720" s="66"/>
      <c r="P1720" s="66"/>
      <c r="Q1720" s="66"/>
      <c r="R1720" s="66"/>
      <c r="S1720" s="66"/>
      <c r="T1720" s="66"/>
      <c r="U1720" s="66"/>
      <c r="V1720" s="66"/>
      <c r="W1720" s="66"/>
      <c r="X1720" s="66"/>
      <c r="Y1720" s="66"/>
      <c r="Z1720" s="66"/>
    </row>
    <row r="1721">
      <c r="A1721" s="66"/>
      <c r="B1721" s="66"/>
      <c r="C1721" s="66"/>
      <c r="D1721" s="66"/>
      <c r="E1721" s="66"/>
      <c r="F1721" s="66"/>
      <c r="G1721" s="66"/>
      <c r="H1721" s="66"/>
      <c r="I1721" s="66"/>
      <c r="J1721" s="66"/>
      <c r="K1721" s="66"/>
      <c r="L1721" s="66"/>
      <c r="M1721" s="66"/>
      <c r="N1721" s="66"/>
      <c r="O1721" s="66"/>
      <c r="P1721" s="66"/>
      <c r="Q1721" s="66"/>
      <c r="R1721" s="66"/>
      <c r="S1721" s="66"/>
      <c r="T1721" s="66"/>
      <c r="U1721" s="66"/>
      <c r="V1721" s="66"/>
      <c r="W1721" s="66"/>
      <c r="X1721" s="66"/>
      <c r="Y1721" s="66"/>
      <c r="Z1721" s="66"/>
    </row>
    <row r="1722">
      <c r="A1722" s="66"/>
      <c r="B1722" s="66"/>
      <c r="C1722" s="66"/>
      <c r="D1722" s="66"/>
      <c r="E1722" s="66"/>
      <c r="F1722" s="66"/>
      <c r="G1722" s="66"/>
      <c r="H1722" s="66"/>
      <c r="I1722" s="66"/>
      <c r="J1722" s="66"/>
      <c r="K1722" s="66"/>
      <c r="L1722" s="66"/>
      <c r="M1722" s="66"/>
      <c r="N1722" s="66"/>
      <c r="O1722" s="66"/>
      <c r="P1722" s="66"/>
      <c r="Q1722" s="66"/>
      <c r="R1722" s="66"/>
      <c r="S1722" s="66"/>
      <c r="T1722" s="66"/>
      <c r="U1722" s="66"/>
      <c r="V1722" s="66"/>
      <c r="W1722" s="66"/>
      <c r="X1722" s="66"/>
      <c r="Y1722" s="66"/>
      <c r="Z1722" s="66"/>
    </row>
    <row r="1723">
      <c r="A1723" s="66"/>
      <c r="B1723" s="66"/>
      <c r="C1723" s="66"/>
      <c r="D1723" s="66"/>
      <c r="E1723" s="66"/>
      <c r="F1723" s="66"/>
      <c r="G1723" s="66"/>
      <c r="H1723" s="66"/>
      <c r="I1723" s="66"/>
      <c r="J1723" s="66"/>
      <c r="K1723" s="66"/>
      <c r="L1723" s="66"/>
      <c r="M1723" s="66"/>
      <c r="N1723" s="66"/>
      <c r="O1723" s="66"/>
      <c r="P1723" s="66"/>
      <c r="Q1723" s="66"/>
      <c r="R1723" s="66"/>
      <c r="S1723" s="66"/>
      <c r="T1723" s="66"/>
      <c r="U1723" s="66"/>
      <c r="V1723" s="66"/>
      <c r="W1723" s="66"/>
      <c r="X1723" s="66"/>
      <c r="Y1723" s="66"/>
      <c r="Z1723" s="66"/>
    </row>
    <row r="1724">
      <c r="A1724" s="66"/>
      <c r="B1724" s="66"/>
      <c r="C1724" s="66"/>
      <c r="D1724" s="66"/>
      <c r="E1724" s="66"/>
      <c r="F1724" s="66"/>
      <c r="G1724" s="66"/>
      <c r="H1724" s="66"/>
      <c r="I1724" s="66"/>
      <c r="J1724" s="66"/>
      <c r="K1724" s="66"/>
      <c r="L1724" s="66"/>
      <c r="M1724" s="66"/>
      <c r="N1724" s="66"/>
      <c r="O1724" s="66"/>
      <c r="P1724" s="66"/>
      <c r="Q1724" s="66"/>
      <c r="R1724" s="66"/>
      <c r="S1724" s="66"/>
      <c r="T1724" s="66"/>
      <c r="U1724" s="66"/>
      <c r="V1724" s="66"/>
      <c r="W1724" s="66"/>
      <c r="X1724" s="66"/>
      <c r="Y1724" s="66"/>
      <c r="Z1724" s="66"/>
    </row>
    <row r="1725">
      <c r="A1725" s="66"/>
      <c r="B1725" s="66"/>
      <c r="C1725" s="66"/>
      <c r="D1725" s="66"/>
      <c r="E1725" s="66"/>
      <c r="F1725" s="66"/>
      <c r="G1725" s="66"/>
      <c r="H1725" s="66"/>
      <c r="I1725" s="66"/>
      <c r="J1725" s="66"/>
      <c r="K1725" s="66"/>
      <c r="L1725" s="66"/>
      <c r="M1725" s="66"/>
      <c r="N1725" s="66"/>
      <c r="O1725" s="66"/>
      <c r="P1725" s="66"/>
      <c r="Q1725" s="66"/>
      <c r="R1725" s="66"/>
      <c r="S1725" s="66"/>
      <c r="T1725" s="66"/>
      <c r="U1725" s="66"/>
      <c r="V1725" s="66"/>
      <c r="W1725" s="66"/>
      <c r="X1725" s="66"/>
      <c r="Y1725" s="66"/>
      <c r="Z1725" s="66"/>
    </row>
    <row r="1726">
      <c r="A1726" s="66"/>
      <c r="B1726" s="66"/>
      <c r="C1726" s="66"/>
      <c r="D1726" s="66"/>
      <c r="E1726" s="66"/>
      <c r="F1726" s="66"/>
      <c r="G1726" s="66"/>
      <c r="H1726" s="66"/>
      <c r="I1726" s="66"/>
      <c r="J1726" s="66"/>
      <c r="K1726" s="66"/>
      <c r="L1726" s="66"/>
      <c r="M1726" s="66"/>
      <c r="N1726" s="66"/>
      <c r="O1726" s="66"/>
      <c r="P1726" s="66"/>
      <c r="Q1726" s="66"/>
      <c r="R1726" s="66"/>
      <c r="S1726" s="66"/>
      <c r="T1726" s="66"/>
      <c r="U1726" s="66"/>
      <c r="V1726" s="66"/>
      <c r="W1726" s="66"/>
      <c r="X1726" s="66"/>
      <c r="Y1726" s="66"/>
      <c r="Z1726" s="66"/>
    </row>
    <row r="1727">
      <c r="A1727" s="66"/>
      <c r="B1727" s="66"/>
      <c r="C1727" s="66"/>
      <c r="D1727" s="66"/>
      <c r="E1727" s="66"/>
      <c r="F1727" s="66"/>
      <c r="G1727" s="66"/>
      <c r="H1727" s="66"/>
      <c r="I1727" s="66"/>
      <c r="J1727" s="66"/>
      <c r="K1727" s="66"/>
      <c r="L1727" s="66"/>
      <c r="M1727" s="66"/>
      <c r="N1727" s="66"/>
      <c r="O1727" s="66"/>
      <c r="P1727" s="66"/>
      <c r="Q1727" s="66"/>
      <c r="R1727" s="66"/>
      <c r="S1727" s="66"/>
      <c r="T1727" s="66"/>
      <c r="U1727" s="66"/>
      <c r="V1727" s="66"/>
      <c r="W1727" s="66"/>
      <c r="X1727" s="66"/>
      <c r="Y1727" s="66"/>
      <c r="Z1727" s="66"/>
    </row>
    <row r="1728">
      <c r="A1728" s="66"/>
      <c r="B1728" s="66"/>
      <c r="C1728" s="66"/>
      <c r="D1728" s="66"/>
      <c r="E1728" s="66"/>
      <c r="F1728" s="66"/>
      <c r="G1728" s="66"/>
      <c r="H1728" s="66"/>
      <c r="I1728" s="66"/>
      <c r="J1728" s="66"/>
      <c r="K1728" s="66"/>
      <c r="L1728" s="66"/>
      <c r="M1728" s="66"/>
      <c r="N1728" s="66"/>
      <c r="O1728" s="66"/>
      <c r="P1728" s="66"/>
      <c r="Q1728" s="66"/>
      <c r="R1728" s="66"/>
      <c r="S1728" s="66"/>
      <c r="T1728" s="66"/>
      <c r="U1728" s="66"/>
      <c r="V1728" s="66"/>
      <c r="W1728" s="66"/>
      <c r="X1728" s="66"/>
      <c r="Y1728" s="66"/>
      <c r="Z1728" s="66"/>
    </row>
    <row r="1729">
      <c r="A1729" s="66"/>
      <c r="B1729" s="66"/>
      <c r="C1729" s="66"/>
      <c r="D1729" s="66"/>
      <c r="E1729" s="66"/>
      <c r="F1729" s="66"/>
      <c r="G1729" s="66"/>
      <c r="H1729" s="66"/>
      <c r="I1729" s="66"/>
      <c r="J1729" s="66"/>
      <c r="K1729" s="66"/>
      <c r="L1729" s="66"/>
      <c r="M1729" s="66"/>
      <c r="N1729" s="66"/>
      <c r="O1729" s="66"/>
      <c r="P1729" s="66"/>
      <c r="Q1729" s="66"/>
      <c r="R1729" s="66"/>
      <c r="S1729" s="66"/>
      <c r="T1729" s="66"/>
      <c r="U1729" s="66"/>
      <c r="V1729" s="66"/>
      <c r="W1729" s="66"/>
      <c r="X1729" s="66"/>
      <c r="Y1729" s="66"/>
      <c r="Z1729" s="66"/>
    </row>
    <row r="1730">
      <c r="A1730" s="66"/>
      <c r="B1730" s="66"/>
      <c r="C1730" s="66"/>
      <c r="D1730" s="66"/>
      <c r="E1730" s="66"/>
      <c r="F1730" s="66"/>
      <c r="G1730" s="66"/>
      <c r="H1730" s="66"/>
      <c r="I1730" s="66"/>
      <c r="J1730" s="66"/>
      <c r="K1730" s="66"/>
      <c r="L1730" s="66"/>
      <c r="M1730" s="66"/>
      <c r="N1730" s="66"/>
      <c r="O1730" s="66"/>
      <c r="P1730" s="66"/>
      <c r="Q1730" s="66"/>
      <c r="R1730" s="66"/>
      <c r="S1730" s="66"/>
      <c r="T1730" s="66"/>
      <c r="U1730" s="66"/>
      <c r="V1730" s="66"/>
      <c r="W1730" s="66"/>
      <c r="X1730" s="66"/>
      <c r="Y1730" s="66"/>
      <c r="Z1730" s="66"/>
    </row>
    <row r="1731">
      <c r="A1731" s="66"/>
      <c r="B1731" s="66"/>
      <c r="C1731" s="66"/>
      <c r="D1731" s="66"/>
      <c r="E1731" s="66"/>
      <c r="F1731" s="66"/>
      <c r="G1731" s="66"/>
      <c r="H1731" s="66"/>
      <c r="I1731" s="66"/>
      <c r="J1731" s="66"/>
      <c r="K1731" s="66"/>
      <c r="L1731" s="66"/>
      <c r="M1731" s="66"/>
      <c r="N1731" s="66"/>
      <c r="O1731" s="66"/>
      <c r="P1731" s="66"/>
      <c r="Q1731" s="66"/>
      <c r="R1731" s="66"/>
      <c r="S1731" s="66"/>
      <c r="T1731" s="66"/>
      <c r="U1731" s="66"/>
      <c r="V1731" s="66"/>
      <c r="W1731" s="66"/>
      <c r="X1731" s="66"/>
      <c r="Y1731" s="66"/>
      <c r="Z1731" s="66"/>
    </row>
    <row r="1732">
      <c r="A1732" s="66"/>
      <c r="B1732" s="66"/>
      <c r="C1732" s="66"/>
      <c r="D1732" s="66"/>
      <c r="E1732" s="66"/>
      <c r="F1732" s="66"/>
      <c r="G1732" s="66"/>
      <c r="H1732" s="66"/>
      <c r="I1732" s="66"/>
      <c r="J1732" s="66"/>
      <c r="K1732" s="66"/>
      <c r="L1732" s="66"/>
      <c r="M1732" s="66"/>
      <c r="N1732" s="66"/>
      <c r="O1732" s="66"/>
      <c r="P1732" s="66"/>
      <c r="Q1732" s="66"/>
      <c r="R1732" s="66"/>
      <c r="S1732" s="66"/>
      <c r="T1732" s="66"/>
      <c r="U1732" s="66"/>
      <c r="V1732" s="66"/>
      <c r="W1732" s="66"/>
      <c r="X1732" s="66"/>
      <c r="Y1732" s="66"/>
      <c r="Z1732" s="66"/>
    </row>
    <row r="1733">
      <c r="A1733" s="66"/>
      <c r="B1733" s="66"/>
      <c r="C1733" s="66"/>
      <c r="D1733" s="66"/>
      <c r="E1733" s="66"/>
      <c r="F1733" s="66"/>
      <c r="G1733" s="66"/>
      <c r="H1733" s="66"/>
      <c r="I1733" s="66"/>
      <c r="J1733" s="66"/>
      <c r="K1733" s="66"/>
      <c r="L1733" s="66"/>
      <c r="M1733" s="66"/>
      <c r="N1733" s="66"/>
      <c r="O1733" s="66"/>
      <c r="P1733" s="66"/>
      <c r="Q1733" s="66"/>
      <c r="R1733" s="66"/>
      <c r="S1733" s="66"/>
      <c r="T1733" s="66"/>
      <c r="U1733" s="66"/>
      <c r="V1733" s="66"/>
      <c r="W1733" s="66"/>
      <c r="X1733" s="66"/>
      <c r="Y1733" s="66"/>
      <c r="Z1733" s="66"/>
    </row>
    <row r="1734">
      <c r="A1734" s="66"/>
      <c r="B1734" s="66"/>
      <c r="C1734" s="66"/>
      <c r="D1734" s="66"/>
      <c r="E1734" s="66"/>
      <c r="F1734" s="66"/>
      <c r="G1734" s="66"/>
      <c r="H1734" s="66"/>
      <c r="I1734" s="66"/>
      <c r="J1734" s="66"/>
      <c r="K1734" s="66"/>
      <c r="L1734" s="66"/>
      <c r="M1734" s="66"/>
      <c r="N1734" s="66"/>
      <c r="O1734" s="66"/>
      <c r="P1734" s="66"/>
      <c r="Q1734" s="66"/>
      <c r="R1734" s="66"/>
      <c r="S1734" s="66"/>
      <c r="T1734" s="66"/>
      <c r="U1734" s="66"/>
      <c r="V1734" s="66"/>
      <c r="W1734" s="66"/>
      <c r="X1734" s="66"/>
      <c r="Y1734" s="66"/>
      <c r="Z1734" s="66"/>
    </row>
    <row r="1735">
      <c r="A1735" s="66"/>
      <c r="B1735" s="66"/>
      <c r="C1735" s="66"/>
      <c r="D1735" s="66"/>
      <c r="E1735" s="66"/>
      <c r="F1735" s="66"/>
      <c r="G1735" s="66"/>
      <c r="H1735" s="66"/>
      <c r="I1735" s="66"/>
      <c r="J1735" s="66"/>
      <c r="K1735" s="66"/>
      <c r="L1735" s="66"/>
      <c r="M1735" s="66"/>
      <c r="N1735" s="66"/>
      <c r="O1735" s="66"/>
      <c r="P1735" s="66"/>
      <c r="Q1735" s="66"/>
      <c r="R1735" s="66"/>
      <c r="S1735" s="66"/>
      <c r="T1735" s="66"/>
      <c r="U1735" s="66"/>
      <c r="V1735" s="66"/>
      <c r="W1735" s="66"/>
      <c r="X1735" s="66"/>
      <c r="Y1735" s="66"/>
      <c r="Z1735" s="66"/>
    </row>
    <row r="1736">
      <c r="A1736" s="66"/>
      <c r="B1736" s="66"/>
      <c r="C1736" s="66"/>
      <c r="D1736" s="66"/>
      <c r="E1736" s="66"/>
      <c r="F1736" s="66"/>
      <c r="G1736" s="66"/>
      <c r="H1736" s="66"/>
      <c r="I1736" s="66"/>
      <c r="J1736" s="66"/>
      <c r="K1736" s="66"/>
      <c r="L1736" s="66"/>
      <c r="M1736" s="66"/>
      <c r="N1736" s="66"/>
      <c r="O1736" s="66"/>
      <c r="P1736" s="66"/>
      <c r="Q1736" s="66"/>
      <c r="R1736" s="66"/>
      <c r="S1736" s="66"/>
      <c r="T1736" s="66"/>
      <c r="U1736" s="66"/>
      <c r="V1736" s="66"/>
      <c r="W1736" s="66"/>
      <c r="X1736" s="66"/>
      <c r="Y1736" s="66"/>
      <c r="Z1736" s="66"/>
    </row>
    <row r="1737">
      <c r="A1737" s="66"/>
      <c r="B1737" s="66"/>
      <c r="C1737" s="66"/>
      <c r="D1737" s="66"/>
      <c r="E1737" s="66"/>
      <c r="F1737" s="66"/>
      <c r="G1737" s="66"/>
      <c r="H1737" s="66"/>
      <c r="I1737" s="66"/>
      <c r="J1737" s="66"/>
      <c r="K1737" s="66"/>
      <c r="L1737" s="66"/>
      <c r="M1737" s="66"/>
      <c r="N1737" s="66"/>
      <c r="O1737" s="66"/>
      <c r="P1737" s="66"/>
      <c r="Q1737" s="66"/>
      <c r="R1737" s="66"/>
      <c r="S1737" s="66"/>
      <c r="T1737" s="66"/>
      <c r="U1737" s="66"/>
      <c r="V1737" s="66"/>
      <c r="W1737" s="66"/>
      <c r="X1737" s="66"/>
      <c r="Y1737" s="66"/>
      <c r="Z1737" s="66"/>
    </row>
    <row r="1738">
      <c r="A1738" s="66"/>
      <c r="B1738" s="66"/>
      <c r="C1738" s="66"/>
      <c r="D1738" s="66"/>
      <c r="E1738" s="66"/>
      <c r="F1738" s="66"/>
      <c r="G1738" s="66"/>
      <c r="H1738" s="66"/>
      <c r="I1738" s="66"/>
      <c r="J1738" s="66"/>
      <c r="K1738" s="66"/>
      <c r="L1738" s="66"/>
      <c r="M1738" s="66"/>
      <c r="N1738" s="66"/>
      <c r="O1738" s="66"/>
      <c r="P1738" s="66"/>
      <c r="Q1738" s="66"/>
      <c r="R1738" s="66"/>
      <c r="S1738" s="66"/>
      <c r="T1738" s="66"/>
      <c r="U1738" s="66"/>
      <c r="V1738" s="66"/>
      <c r="W1738" s="66"/>
      <c r="X1738" s="66"/>
      <c r="Y1738" s="66"/>
      <c r="Z1738" s="66"/>
    </row>
    <row r="1739">
      <c r="A1739" s="66"/>
      <c r="B1739" s="66"/>
      <c r="C1739" s="66"/>
      <c r="D1739" s="66"/>
      <c r="E1739" s="66"/>
      <c r="F1739" s="66"/>
      <c r="G1739" s="66"/>
      <c r="H1739" s="66"/>
      <c r="I1739" s="66"/>
      <c r="J1739" s="66"/>
      <c r="K1739" s="66"/>
      <c r="L1739" s="66"/>
      <c r="M1739" s="66"/>
      <c r="N1739" s="66"/>
      <c r="O1739" s="66"/>
      <c r="P1739" s="66"/>
      <c r="Q1739" s="66"/>
      <c r="R1739" s="66"/>
      <c r="S1739" s="66"/>
      <c r="T1739" s="66"/>
      <c r="U1739" s="66"/>
      <c r="V1739" s="66"/>
      <c r="W1739" s="66"/>
      <c r="X1739" s="66"/>
      <c r="Y1739" s="66"/>
      <c r="Z1739" s="66"/>
    </row>
    <row r="1740">
      <c r="A1740" s="66"/>
      <c r="B1740" s="66"/>
      <c r="C1740" s="66"/>
      <c r="D1740" s="66"/>
      <c r="E1740" s="66"/>
      <c r="F1740" s="66"/>
      <c r="G1740" s="66"/>
      <c r="H1740" s="66"/>
      <c r="I1740" s="66"/>
      <c r="J1740" s="66"/>
      <c r="K1740" s="66"/>
      <c r="L1740" s="66"/>
      <c r="M1740" s="66"/>
      <c r="N1740" s="66"/>
      <c r="O1740" s="66"/>
      <c r="P1740" s="66"/>
      <c r="Q1740" s="66"/>
      <c r="R1740" s="66"/>
      <c r="S1740" s="66"/>
      <c r="T1740" s="66"/>
      <c r="U1740" s="66"/>
      <c r="V1740" s="66"/>
      <c r="W1740" s="66"/>
      <c r="X1740" s="66"/>
      <c r="Y1740" s="66"/>
      <c r="Z1740" s="66"/>
    </row>
    <row r="1741">
      <c r="A1741" s="66"/>
      <c r="B1741" s="66"/>
      <c r="C1741" s="66"/>
      <c r="D1741" s="66"/>
      <c r="E1741" s="66"/>
      <c r="F1741" s="66"/>
      <c r="G1741" s="66"/>
      <c r="H1741" s="66"/>
      <c r="I1741" s="66"/>
      <c r="J1741" s="66"/>
      <c r="K1741" s="66"/>
      <c r="L1741" s="66"/>
      <c r="M1741" s="66"/>
      <c r="N1741" s="66"/>
      <c r="O1741" s="66"/>
      <c r="P1741" s="66"/>
      <c r="Q1741" s="66"/>
      <c r="R1741" s="66"/>
      <c r="S1741" s="66"/>
      <c r="T1741" s="66"/>
      <c r="U1741" s="66"/>
      <c r="V1741" s="66"/>
      <c r="W1741" s="66"/>
      <c r="X1741" s="66"/>
      <c r="Y1741" s="66"/>
      <c r="Z1741" s="66"/>
    </row>
    <row r="1742">
      <c r="A1742" s="66"/>
      <c r="B1742" s="66"/>
      <c r="C1742" s="66"/>
      <c r="D1742" s="66"/>
      <c r="E1742" s="66"/>
      <c r="F1742" s="66"/>
      <c r="G1742" s="66"/>
      <c r="H1742" s="66"/>
      <c r="I1742" s="66"/>
      <c r="J1742" s="66"/>
      <c r="K1742" s="66"/>
      <c r="L1742" s="66"/>
      <c r="M1742" s="66"/>
      <c r="N1742" s="66"/>
      <c r="O1742" s="66"/>
      <c r="P1742" s="66"/>
      <c r="Q1742" s="66"/>
      <c r="R1742" s="66"/>
      <c r="S1742" s="66"/>
      <c r="T1742" s="66"/>
      <c r="U1742" s="66"/>
      <c r="V1742" s="66"/>
      <c r="W1742" s="66"/>
      <c r="X1742" s="66"/>
      <c r="Y1742" s="66"/>
      <c r="Z1742" s="66"/>
    </row>
    <row r="1743">
      <c r="A1743" s="66"/>
      <c r="B1743" s="66"/>
      <c r="C1743" s="66"/>
      <c r="D1743" s="66"/>
      <c r="E1743" s="66"/>
      <c r="F1743" s="66"/>
      <c r="G1743" s="66"/>
      <c r="H1743" s="66"/>
      <c r="I1743" s="66"/>
      <c r="J1743" s="66"/>
      <c r="K1743" s="66"/>
      <c r="L1743" s="66"/>
      <c r="M1743" s="66"/>
      <c r="N1743" s="66"/>
      <c r="O1743" s="66"/>
      <c r="P1743" s="66"/>
      <c r="Q1743" s="66"/>
      <c r="R1743" s="66"/>
      <c r="S1743" s="66"/>
      <c r="T1743" s="66"/>
      <c r="U1743" s="66"/>
      <c r="V1743" s="66"/>
      <c r="W1743" s="66"/>
      <c r="X1743" s="66"/>
      <c r="Y1743" s="66"/>
      <c r="Z1743" s="66"/>
    </row>
    <row r="1744">
      <c r="A1744" s="66"/>
      <c r="B1744" s="66"/>
      <c r="C1744" s="66"/>
      <c r="D1744" s="66"/>
      <c r="E1744" s="66"/>
      <c r="F1744" s="66"/>
      <c r="G1744" s="66"/>
      <c r="H1744" s="66"/>
      <c r="I1744" s="66"/>
      <c r="J1744" s="66"/>
      <c r="K1744" s="66"/>
      <c r="L1744" s="66"/>
      <c r="M1744" s="66"/>
      <c r="N1744" s="66"/>
      <c r="O1744" s="66"/>
      <c r="P1744" s="66"/>
      <c r="Q1744" s="66"/>
      <c r="R1744" s="66"/>
      <c r="S1744" s="66"/>
      <c r="T1744" s="66"/>
      <c r="U1744" s="66"/>
      <c r="V1744" s="66"/>
      <c r="W1744" s="66"/>
      <c r="X1744" s="66"/>
      <c r="Y1744" s="66"/>
      <c r="Z1744" s="66"/>
    </row>
    <row r="1745">
      <c r="A1745" s="66"/>
      <c r="B1745" s="66"/>
      <c r="C1745" s="66"/>
      <c r="D1745" s="66"/>
      <c r="E1745" s="66"/>
      <c r="F1745" s="66"/>
      <c r="G1745" s="66"/>
      <c r="H1745" s="66"/>
      <c r="I1745" s="66"/>
      <c r="J1745" s="66"/>
      <c r="K1745" s="66"/>
      <c r="L1745" s="66"/>
      <c r="M1745" s="66"/>
      <c r="N1745" s="66"/>
      <c r="O1745" s="66"/>
      <c r="P1745" s="66"/>
      <c r="Q1745" s="66"/>
      <c r="R1745" s="66"/>
      <c r="S1745" s="66"/>
      <c r="T1745" s="66"/>
      <c r="U1745" s="66"/>
      <c r="V1745" s="66"/>
      <c r="W1745" s="66"/>
      <c r="X1745" s="66"/>
      <c r="Y1745" s="66"/>
      <c r="Z1745" s="66"/>
    </row>
    <row r="1746">
      <c r="A1746" s="66"/>
      <c r="B1746" s="66"/>
      <c r="C1746" s="66"/>
      <c r="D1746" s="66"/>
      <c r="E1746" s="66"/>
      <c r="F1746" s="66"/>
      <c r="G1746" s="66"/>
      <c r="H1746" s="66"/>
      <c r="I1746" s="66"/>
      <c r="J1746" s="66"/>
      <c r="K1746" s="66"/>
      <c r="L1746" s="66"/>
      <c r="M1746" s="66"/>
      <c r="N1746" s="66"/>
      <c r="O1746" s="66"/>
      <c r="P1746" s="66"/>
      <c r="Q1746" s="66"/>
      <c r="R1746" s="66"/>
      <c r="S1746" s="66"/>
      <c r="T1746" s="66"/>
      <c r="U1746" s="66"/>
      <c r="V1746" s="66"/>
      <c r="W1746" s="66"/>
      <c r="X1746" s="66"/>
      <c r="Y1746" s="66"/>
      <c r="Z1746" s="66"/>
    </row>
    <row r="1747">
      <c r="A1747" s="66"/>
      <c r="B1747" s="66"/>
      <c r="C1747" s="66"/>
      <c r="D1747" s="66"/>
      <c r="E1747" s="66"/>
      <c r="F1747" s="66"/>
      <c r="G1747" s="66"/>
      <c r="H1747" s="66"/>
      <c r="I1747" s="66"/>
      <c r="J1747" s="66"/>
      <c r="K1747" s="66"/>
      <c r="L1747" s="66"/>
      <c r="M1747" s="66"/>
      <c r="N1747" s="66"/>
      <c r="O1747" s="66"/>
      <c r="P1747" s="66"/>
      <c r="Q1747" s="66"/>
      <c r="R1747" s="66"/>
      <c r="S1747" s="66"/>
      <c r="T1747" s="66"/>
      <c r="U1747" s="66"/>
      <c r="V1747" s="66"/>
      <c r="W1747" s="66"/>
      <c r="X1747" s="66"/>
      <c r="Y1747" s="66"/>
      <c r="Z1747" s="66"/>
    </row>
    <row r="1748">
      <c r="A1748" s="66"/>
      <c r="B1748" s="66"/>
      <c r="C1748" s="66"/>
      <c r="D1748" s="66"/>
      <c r="E1748" s="66"/>
      <c r="F1748" s="66"/>
      <c r="G1748" s="66"/>
      <c r="H1748" s="66"/>
      <c r="I1748" s="66"/>
      <c r="J1748" s="66"/>
      <c r="K1748" s="66"/>
      <c r="L1748" s="66"/>
      <c r="M1748" s="66"/>
      <c r="N1748" s="66"/>
      <c r="O1748" s="66"/>
      <c r="P1748" s="66"/>
      <c r="Q1748" s="66"/>
      <c r="R1748" s="66"/>
      <c r="S1748" s="66"/>
      <c r="T1748" s="66"/>
      <c r="U1748" s="66"/>
      <c r="V1748" s="66"/>
      <c r="W1748" s="66"/>
      <c r="X1748" s="66"/>
      <c r="Y1748" s="66"/>
      <c r="Z1748" s="66"/>
    </row>
    <row r="1749">
      <c r="A1749" s="66"/>
      <c r="B1749" s="66"/>
      <c r="C1749" s="66"/>
      <c r="D1749" s="66"/>
      <c r="E1749" s="66"/>
      <c r="F1749" s="66"/>
      <c r="G1749" s="66"/>
      <c r="H1749" s="66"/>
      <c r="I1749" s="66"/>
      <c r="J1749" s="66"/>
      <c r="K1749" s="66"/>
      <c r="L1749" s="66"/>
      <c r="M1749" s="66"/>
      <c r="N1749" s="66"/>
      <c r="O1749" s="66"/>
      <c r="P1749" s="66"/>
      <c r="Q1749" s="66"/>
      <c r="R1749" s="66"/>
      <c r="S1749" s="66"/>
      <c r="T1749" s="66"/>
      <c r="U1749" s="66"/>
      <c r="V1749" s="66"/>
      <c r="W1749" s="66"/>
      <c r="X1749" s="66"/>
      <c r="Y1749" s="66"/>
      <c r="Z1749" s="66"/>
    </row>
    <row r="1750">
      <c r="A1750" s="66"/>
      <c r="B1750" s="66"/>
      <c r="C1750" s="66"/>
      <c r="D1750" s="66"/>
      <c r="E1750" s="66"/>
      <c r="F1750" s="66"/>
      <c r="G1750" s="66"/>
      <c r="H1750" s="66"/>
      <c r="I1750" s="66"/>
      <c r="J1750" s="66"/>
      <c r="K1750" s="66"/>
      <c r="L1750" s="66"/>
      <c r="M1750" s="66"/>
      <c r="N1750" s="66"/>
      <c r="O1750" s="66"/>
      <c r="P1750" s="66"/>
      <c r="Q1750" s="66"/>
      <c r="R1750" s="66"/>
      <c r="S1750" s="66"/>
      <c r="T1750" s="66"/>
      <c r="U1750" s="66"/>
      <c r="V1750" s="66"/>
      <c r="W1750" s="66"/>
      <c r="X1750" s="66"/>
      <c r="Y1750" s="66"/>
      <c r="Z1750" s="66"/>
    </row>
    <row r="1751">
      <c r="A1751" s="66"/>
      <c r="B1751" s="66"/>
      <c r="C1751" s="66"/>
      <c r="D1751" s="66"/>
      <c r="E1751" s="66"/>
      <c r="F1751" s="66"/>
      <c r="G1751" s="66"/>
      <c r="H1751" s="66"/>
      <c r="I1751" s="66"/>
      <c r="J1751" s="66"/>
      <c r="K1751" s="66"/>
      <c r="L1751" s="66"/>
      <c r="M1751" s="66"/>
      <c r="N1751" s="66"/>
      <c r="O1751" s="66"/>
      <c r="P1751" s="66"/>
      <c r="Q1751" s="66"/>
      <c r="R1751" s="66"/>
      <c r="S1751" s="66"/>
      <c r="T1751" s="66"/>
      <c r="U1751" s="66"/>
      <c r="V1751" s="66"/>
      <c r="W1751" s="66"/>
      <c r="X1751" s="66"/>
      <c r="Y1751" s="66"/>
      <c r="Z1751" s="66"/>
    </row>
    <row r="1752">
      <c r="A1752" s="66"/>
      <c r="B1752" s="66"/>
      <c r="C1752" s="66"/>
      <c r="D1752" s="66"/>
      <c r="E1752" s="66"/>
      <c r="F1752" s="66"/>
      <c r="G1752" s="66"/>
      <c r="H1752" s="66"/>
      <c r="I1752" s="66"/>
      <c r="J1752" s="66"/>
      <c r="K1752" s="66"/>
      <c r="L1752" s="66"/>
      <c r="M1752" s="66"/>
      <c r="N1752" s="66"/>
      <c r="O1752" s="66"/>
      <c r="P1752" s="66"/>
      <c r="Q1752" s="66"/>
      <c r="R1752" s="66"/>
      <c r="S1752" s="66"/>
      <c r="T1752" s="66"/>
      <c r="U1752" s="66"/>
      <c r="V1752" s="66"/>
      <c r="W1752" s="66"/>
      <c r="X1752" s="66"/>
      <c r="Y1752" s="66"/>
      <c r="Z1752" s="66"/>
    </row>
    <row r="1753">
      <c r="A1753" s="66"/>
      <c r="B1753" s="66"/>
      <c r="C1753" s="66"/>
      <c r="D1753" s="66"/>
      <c r="E1753" s="66"/>
      <c r="F1753" s="66"/>
      <c r="G1753" s="66"/>
      <c r="H1753" s="66"/>
      <c r="I1753" s="66"/>
      <c r="J1753" s="66"/>
      <c r="K1753" s="66"/>
      <c r="L1753" s="66"/>
      <c r="M1753" s="66"/>
      <c r="N1753" s="66"/>
      <c r="O1753" s="66"/>
      <c r="P1753" s="66"/>
      <c r="Q1753" s="66"/>
      <c r="R1753" s="66"/>
      <c r="S1753" s="66"/>
      <c r="T1753" s="66"/>
      <c r="U1753" s="66"/>
      <c r="V1753" s="66"/>
      <c r="W1753" s="66"/>
      <c r="X1753" s="66"/>
      <c r="Y1753" s="66"/>
      <c r="Z1753" s="66"/>
    </row>
    <row r="1754">
      <c r="A1754" s="66"/>
      <c r="B1754" s="66"/>
      <c r="C1754" s="66"/>
      <c r="D1754" s="66"/>
      <c r="E1754" s="66"/>
      <c r="F1754" s="66"/>
      <c r="G1754" s="66"/>
      <c r="H1754" s="66"/>
      <c r="I1754" s="66"/>
      <c r="J1754" s="66"/>
      <c r="K1754" s="66"/>
      <c r="L1754" s="66"/>
      <c r="M1754" s="66"/>
      <c r="N1754" s="66"/>
      <c r="O1754" s="66"/>
      <c r="P1754" s="66"/>
      <c r="Q1754" s="66"/>
      <c r="R1754" s="66"/>
      <c r="S1754" s="66"/>
      <c r="T1754" s="66"/>
      <c r="U1754" s="66"/>
      <c r="V1754" s="66"/>
      <c r="W1754" s="66"/>
      <c r="X1754" s="66"/>
      <c r="Y1754" s="66"/>
      <c r="Z1754" s="66"/>
    </row>
    <row r="1755">
      <c r="A1755" s="66"/>
      <c r="B1755" s="66"/>
      <c r="C1755" s="66"/>
      <c r="D1755" s="66"/>
      <c r="E1755" s="66"/>
      <c r="F1755" s="66"/>
      <c r="G1755" s="66"/>
      <c r="H1755" s="66"/>
      <c r="I1755" s="66"/>
      <c r="J1755" s="66"/>
      <c r="K1755" s="66"/>
      <c r="L1755" s="66"/>
      <c r="M1755" s="66"/>
      <c r="N1755" s="66"/>
      <c r="O1755" s="66"/>
      <c r="P1755" s="66"/>
      <c r="Q1755" s="66"/>
      <c r="R1755" s="66"/>
      <c r="S1755" s="66"/>
      <c r="T1755" s="66"/>
      <c r="U1755" s="66"/>
      <c r="V1755" s="66"/>
      <c r="W1755" s="66"/>
      <c r="X1755" s="66"/>
      <c r="Y1755" s="66"/>
      <c r="Z1755" s="66"/>
    </row>
    <row r="1756">
      <c r="A1756" s="66"/>
      <c r="B1756" s="66"/>
      <c r="C1756" s="66"/>
      <c r="D1756" s="66"/>
      <c r="E1756" s="66"/>
      <c r="F1756" s="66"/>
      <c r="G1756" s="66"/>
      <c r="H1756" s="66"/>
      <c r="I1756" s="66"/>
      <c r="J1756" s="66"/>
      <c r="K1756" s="66"/>
      <c r="L1756" s="66"/>
      <c r="M1756" s="66"/>
      <c r="N1756" s="66"/>
      <c r="O1756" s="66"/>
      <c r="P1756" s="66"/>
      <c r="Q1756" s="66"/>
      <c r="R1756" s="66"/>
      <c r="S1756" s="66"/>
      <c r="T1756" s="66"/>
      <c r="U1756" s="66"/>
      <c r="V1756" s="66"/>
      <c r="W1756" s="66"/>
      <c r="X1756" s="66"/>
      <c r="Y1756" s="66"/>
      <c r="Z1756" s="66"/>
    </row>
    <row r="1757">
      <c r="A1757" s="66"/>
      <c r="B1757" s="66"/>
      <c r="C1757" s="66"/>
      <c r="D1757" s="66"/>
      <c r="E1757" s="66"/>
      <c r="F1757" s="66"/>
      <c r="G1757" s="66"/>
      <c r="H1757" s="66"/>
      <c r="I1757" s="66"/>
      <c r="J1757" s="66"/>
      <c r="K1757" s="66"/>
      <c r="L1757" s="66"/>
      <c r="M1757" s="66"/>
      <c r="N1757" s="66"/>
      <c r="O1757" s="66"/>
      <c r="P1757" s="66"/>
      <c r="Q1757" s="66"/>
      <c r="R1757" s="66"/>
      <c r="S1757" s="66"/>
      <c r="T1757" s="66"/>
      <c r="U1757" s="66"/>
      <c r="V1757" s="66"/>
      <c r="W1757" s="66"/>
      <c r="X1757" s="66"/>
      <c r="Y1757" s="66"/>
      <c r="Z1757" s="66"/>
    </row>
    <row r="1758">
      <c r="A1758" s="66"/>
      <c r="B1758" s="66"/>
      <c r="C1758" s="66"/>
      <c r="D1758" s="66"/>
      <c r="E1758" s="66"/>
      <c r="F1758" s="66"/>
      <c r="G1758" s="66"/>
      <c r="H1758" s="66"/>
      <c r="I1758" s="66"/>
      <c r="J1758" s="66"/>
      <c r="K1758" s="66"/>
      <c r="L1758" s="66"/>
      <c r="M1758" s="66"/>
      <c r="N1758" s="66"/>
      <c r="O1758" s="66"/>
      <c r="P1758" s="66"/>
      <c r="Q1758" s="66"/>
      <c r="R1758" s="66"/>
      <c r="S1758" s="66"/>
      <c r="T1758" s="66"/>
      <c r="U1758" s="66"/>
      <c r="V1758" s="66"/>
      <c r="W1758" s="66"/>
      <c r="X1758" s="66"/>
      <c r="Y1758" s="66"/>
      <c r="Z1758" s="66"/>
    </row>
    <row r="1759">
      <c r="A1759" s="66"/>
      <c r="B1759" s="66"/>
      <c r="C1759" s="66"/>
      <c r="D1759" s="66"/>
      <c r="E1759" s="66"/>
      <c r="F1759" s="66"/>
      <c r="G1759" s="66"/>
      <c r="H1759" s="66"/>
      <c r="I1759" s="66"/>
      <c r="J1759" s="66"/>
      <c r="K1759" s="66"/>
      <c r="L1759" s="66"/>
      <c r="M1759" s="66"/>
      <c r="N1759" s="66"/>
      <c r="O1759" s="66"/>
      <c r="P1759" s="66"/>
      <c r="Q1759" s="66"/>
      <c r="R1759" s="66"/>
      <c r="S1759" s="66"/>
      <c r="T1759" s="66"/>
      <c r="U1759" s="66"/>
      <c r="V1759" s="66"/>
      <c r="W1759" s="66"/>
      <c r="X1759" s="66"/>
      <c r="Y1759" s="66"/>
      <c r="Z1759" s="66"/>
    </row>
    <row r="1760">
      <c r="A1760" s="66"/>
      <c r="B1760" s="66"/>
      <c r="C1760" s="66"/>
      <c r="D1760" s="66"/>
      <c r="E1760" s="66"/>
      <c r="F1760" s="66"/>
      <c r="G1760" s="66"/>
      <c r="H1760" s="66"/>
      <c r="I1760" s="66"/>
      <c r="J1760" s="66"/>
      <c r="K1760" s="66"/>
      <c r="L1760" s="66"/>
      <c r="M1760" s="66"/>
      <c r="N1760" s="66"/>
      <c r="O1760" s="66"/>
      <c r="P1760" s="66"/>
      <c r="Q1760" s="66"/>
      <c r="R1760" s="66"/>
      <c r="S1760" s="66"/>
      <c r="T1760" s="66"/>
      <c r="U1760" s="66"/>
      <c r="V1760" s="66"/>
      <c r="W1760" s="66"/>
      <c r="X1760" s="66"/>
      <c r="Y1760" s="66"/>
      <c r="Z1760" s="66"/>
    </row>
    <row r="1761">
      <c r="A1761" s="66"/>
      <c r="B1761" s="66"/>
      <c r="C1761" s="66"/>
      <c r="D1761" s="66"/>
      <c r="E1761" s="66"/>
      <c r="F1761" s="66"/>
      <c r="G1761" s="66"/>
      <c r="H1761" s="66"/>
      <c r="I1761" s="66"/>
      <c r="J1761" s="66"/>
      <c r="K1761" s="66"/>
      <c r="L1761" s="66"/>
      <c r="M1761" s="66"/>
      <c r="N1761" s="66"/>
      <c r="O1761" s="66"/>
      <c r="P1761" s="66"/>
      <c r="Q1761" s="66"/>
      <c r="R1761" s="66"/>
      <c r="S1761" s="66"/>
      <c r="T1761" s="66"/>
      <c r="U1761" s="66"/>
      <c r="V1761" s="66"/>
      <c r="W1761" s="66"/>
      <c r="X1761" s="66"/>
      <c r="Y1761" s="66"/>
      <c r="Z1761" s="66"/>
    </row>
    <row r="1762">
      <c r="A1762" s="66"/>
      <c r="B1762" s="66"/>
      <c r="C1762" s="66"/>
      <c r="D1762" s="66"/>
      <c r="E1762" s="66"/>
      <c r="F1762" s="66"/>
      <c r="G1762" s="66"/>
      <c r="H1762" s="66"/>
      <c r="I1762" s="66"/>
      <c r="J1762" s="66"/>
      <c r="K1762" s="66"/>
      <c r="L1762" s="66"/>
      <c r="M1762" s="66"/>
      <c r="N1762" s="66"/>
      <c r="O1762" s="66"/>
      <c r="P1762" s="66"/>
      <c r="Q1762" s="66"/>
      <c r="R1762" s="66"/>
      <c r="S1762" s="66"/>
      <c r="T1762" s="66"/>
      <c r="U1762" s="66"/>
      <c r="V1762" s="66"/>
      <c r="W1762" s="66"/>
      <c r="X1762" s="66"/>
      <c r="Y1762" s="66"/>
      <c r="Z1762" s="66"/>
    </row>
    <row r="1763">
      <c r="A1763" s="66"/>
      <c r="B1763" s="66"/>
      <c r="C1763" s="66"/>
      <c r="D1763" s="66"/>
      <c r="E1763" s="66"/>
      <c r="F1763" s="66"/>
      <c r="G1763" s="66"/>
      <c r="H1763" s="66"/>
      <c r="I1763" s="66"/>
      <c r="J1763" s="66"/>
      <c r="K1763" s="66"/>
      <c r="L1763" s="66"/>
      <c r="M1763" s="66"/>
      <c r="N1763" s="66"/>
      <c r="O1763" s="66"/>
      <c r="P1763" s="66"/>
      <c r="Q1763" s="66"/>
      <c r="R1763" s="66"/>
      <c r="S1763" s="66"/>
      <c r="T1763" s="66"/>
      <c r="U1763" s="66"/>
      <c r="V1763" s="66"/>
      <c r="W1763" s="66"/>
      <c r="X1763" s="66"/>
      <c r="Y1763" s="66"/>
      <c r="Z1763" s="66"/>
    </row>
    <row r="1764">
      <c r="A1764" s="66"/>
      <c r="B1764" s="66"/>
      <c r="C1764" s="66"/>
      <c r="D1764" s="66"/>
      <c r="E1764" s="66"/>
      <c r="F1764" s="66"/>
      <c r="G1764" s="66"/>
      <c r="H1764" s="66"/>
      <c r="I1764" s="66"/>
      <c r="J1764" s="66"/>
      <c r="K1764" s="66"/>
      <c r="L1764" s="66"/>
      <c r="M1764" s="66"/>
      <c r="N1764" s="66"/>
      <c r="O1764" s="66"/>
      <c r="P1764" s="66"/>
      <c r="Q1764" s="66"/>
      <c r="R1764" s="66"/>
      <c r="S1764" s="66"/>
      <c r="T1764" s="66"/>
      <c r="U1764" s="66"/>
      <c r="V1764" s="66"/>
      <c r="W1764" s="66"/>
      <c r="X1764" s="66"/>
      <c r="Y1764" s="66"/>
      <c r="Z1764" s="66"/>
    </row>
    <row r="1765">
      <c r="A1765" s="66"/>
      <c r="B1765" s="66"/>
      <c r="C1765" s="66"/>
      <c r="D1765" s="66"/>
      <c r="E1765" s="66"/>
      <c r="F1765" s="66"/>
      <c r="G1765" s="66"/>
      <c r="H1765" s="66"/>
      <c r="I1765" s="66"/>
      <c r="J1765" s="66"/>
      <c r="K1765" s="66"/>
      <c r="L1765" s="66"/>
      <c r="M1765" s="66"/>
      <c r="N1765" s="66"/>
      <c r="O1765" s="66"/>
      <c r="P1765" s="66"/>
      <c r="Q1765" s="66"/>
      <c r="R1765" s="66"/>
      <c r="S1765" s="66"/>
      <c r="T1765" s="66"/>
      <c r="U1765" s="66"/>
      <c r="V1765" s="66"/>
      <c r="W1765" s="66"/>
      <c r="X1765" s="66"/>
      <c r="Y1765" s="66"/>
      <c r="Z1765" s="66"/>
    </row>
    <row r="1766">
      <c r="A1766" s="66"/>
      <c r="B1766" s="66"/>
      <c r="C1766" s="66"/>
      <c r="D1766" s="66"/>
      <c r="E1766" s="66"/>
      <c r="F1766" s="66"/>
      <c r="G1766" s="66"/>
      <c r="H1766" s="66"/>
      <c r="I1766" s="66"/>
      <c r="J1766" s="66"/>
      <c r="K1766" s="66"/>
      <c r="L1766" s="66"/>
      <c r="M1766" s="66"/>
      <c r="N1766" s="66"/>
      <c r="O1766" s="66"/>
      <c r="P1766" s="66"/>
      <c r="Q1766" s="66"/>
      <c r="R1766" s="66"/>
      <c r="S1766" s="66"/>
      <c r="T1766" s="66"/>
      <c r="U1766" s="66"/>
      <c r="V1766" s="66"/>
      <c r="W1766" s="66"/>
      <c r="X1766" s="66"/>
      <c r="Y1766" s="66"/>
      <c r="Z1766" s="66"/>
    </row>
    <row r="1767">
      <c r="A1767" s="66"/>
      <c r="B1767" s="66"/>
      <c r="C1767" s="66"/>
      <c r="D1767" s="66"/>
      <c r="E1767" s="66"/>
      <c r="F1767" s="66"/>
      <c r="G1767" s="66"/>
      <c r="H1767" s="66"/>
      <c r="I1767" s="66"/>
      <c r="J1767" s="66"/>
      <c r="K1767" s="66"/>
      <c r="L1767" s="66"/>
      <c r="M1767" s="66"/>
      <c r="N1767" s="66"/>
      <c r="O1767" s="66"/>
      <c r="P1767" s="66"/>
      <c r="Q1767" s="66"/>
      <c r="R1767" s="66"/>
      <c r="S1767" s="66"/>
      <c r="T1767" s="66"/>
      <c r="U1767" s="66"/>
      <c r="V1767" s="66"/>
      <c r="W1767" s="66"/>
      <c r="X1767" s="66"/>
      <c r="Y1767" s="66"/>
      <c r="Z1767" s="66"/>
    </row>
    <row r="1768">
      <c r="A1768" s="66"/>
      <c r="B1768" s="66"/>
      <c r="C1768" s="66"/>
      <c r="D1768" s="66"/>
      <c r="E1768" s="66"/>
      <c r="F1768" s="66"/>
      <c r="G1768" s="66"/>
      <c r="H1768" s="66"/>
      <c r="I1768" s="66"/>
      <c r="J1768" s="66"/>
      <c r="K1768" s="66"/>
      <c r="L1768" s="66"/>
      <c r="M1768" s="66"/>
      <c r="N1768" s="66"/>
      <c r="O1768" s="66"/>
      <c r="P1768" s="66"/>
      <c r="Q1768" s="66"/>
      <c r="R1768" s="66"/>
      <c r="S1768" s="66"/>
      <c r="T1768" s="66"/>
      <c r="U1768" s="66"/>
      <c r="V1768" s="66"/>
      <c r="W1768" s="66"/>
      <c r="X1768" s="66"/>
      <c r="Y1768" s="66"/>
      <c r="Z1768" s="66"/>
    </row>
    <row r="1769">
      <c r="A1769" s="66"/>
      <c r="B1769" s="66"/>
      <c r="C1769" s="66"/>
      <c r="D1769" s="66"/>
      <c r="E1769" s="66"/>
      <c r="F1769" s="66"/>
      <c r="G1769" s="66"/>
      <c r="H1769" s="66"/>
      <c r="I1769" s="66"/>
      <c r="J1769" s="66"/>
      <c r="K1769" s="66"/>
      <c r="L1769" s="66"/>
      <c r="M1769" s="66"/>
      <c r="N1769" s="66"/>
      <c r="O1769" s="66"/>
      <c r="P1769" s="66"/>
      <c r="Q1769" s="66"/>
      <c r="R1769" s="66"/>
      <c r="S1769" s="66"/>
      <c r="T1769" s="66"/>
      <c r="U1769" s="66"/>
      <c r="V1769" s="66"/>
      <c r="W1769" s="66"/>
      <c r="X1769" s="66"/>
      <c r="Y1769" s="66"/>
      <c r="Z1769" s="66"/>
    </row>
    <row r="1770">
      <c r="A1770" s="66"/>
      <c r="B1770" s="66"/>
      <c r="C1770" s="66"/>
      <c r="D1770" s="66"/>
      <c r="E1770" s="66"/>
      <c r="F1770" s="66"/>
      <c r="G1770" s="66"/>
      <c r="H1770" s="66"/>
      <c r="I1770" s="66"/>
      <c r="J1770" s="66"/>
      <c r="K1770" s="66"/>
      <c r="L1770" s="66"/>
      <c r="M1770" s="66"/>
      <c r="N1770" s="66"/>
      <c r="O1770" s="66"/>
      <c r="P1770" s="66"/>
      <c r="Q1770" s="66"/>
      <c r="R1770" s="66"/>
      <c r="S1770" s="66"/>
      <c r="T1770" s="66"/>
      <c r="U1770" s="66"/>
      <c r="V1770" s="66"/>
      <c r="W1770" s="66"/>
      <c r="X1770" s="66"/>
      <c r="Y1770" s="66"/>
      <c r="Z1770" s="66"/>
    </row>
    <row r="1771">
      <c r="A1771" s="66"/>
      <c r="B1771" s="66"/>
      <c r="C1771" s="66"/>
      <c r="D1771" s="66"/>
      <c r="E1771" s="66"/>
      <c r="F1771" s="66"/>
      <c r="G1771" s="66"/>
      <c r="H1771" s="66"/>
      <c r="I1771" s="66"/>
      <c r="J1771" s="66"/>
      <c r="K1771" s="66"/>
      <c r="L1771" s="66"/>
      <c r="M1771" s="66"/>
      <c r="N1771" s="66"/>
      <c r="O1771" s="66"/>
      <c r="P1771" s="66"/>
      <c r="Q1771" s="66"/>
      <c r="R1771" s="66"/>
      <c r="S1771" s="66"/>
      <c r="T1771" s="66"/>
      <c r="U1771" s="66"/>
      <c r="V1771" s="66"/>
      <c r="W1771" s="66"/>
      <c r="X1771" s="66"/>
      <c r="Y1771" s="66"/>
      <c r="Z1771" s="66"/>
    </row>
    <row r="1772">
      <c r="A1772" s="66"/>
      <c r="B1772" s="66"/>
      <c r="C1772" s="66"/>
      <c r="D1772" s="66"/>
      <c r="E1772" s="66"/>
      <c r="F1772" s="66"/>
      <c r="G1772" s="66"/>
      <c r="H1772" s="66"/>
      <c r="I1772" s="66"/>
      <c r="J1772" s="66"/>
      <c r="K1772" s="66"/>
      <c r="L1772" s="66"/>
      <c r="M1772" s="66"/>
      <c r="N1772" s="66"/>
      <c r="O1772" s="66"/>
      <c r="P1772" s="66"/>
      <c r="Q1772" s="66"/>
      <c r="R1772" s="66"/>
      <c r="S1772" s="66"/>
      <c r="T1772" s="66"/>
      <c r="U1772" s="66"/>
      <c r="V1772" s="66"/>
      <c r="W1772" s="66"/>
      <c r="X1772" s="66"/>
      <c r="Y1772" s="66"/>
      <c r="Z1772" s="66"/>
    </row>
    <row r="1773">
      <c r="A1773" s="66"/>
      <c r="B1773" s="66"/>
      <c r="C1773" s="66"/>
      <c r="D1773" s="66"/>
      <c r="E1773" s="66"/>
      <c r="F1773" s="66"/>
      <c r="G1773" s="66"/>
      <c r="H1773" s="66"/>
      <c r="I1773" s="66"/>
      <c r="J1773" s="66"/>
      <c r="K1773" s="66"/>
      <c r="L1773" s="66"/>
      <c r="M1773" s="66"/>
      <c r="N1773" s="66"/>
      <c r="O1773" s="66"/>
      <c r="P1773" s="66"/>
      <c r="Q1773" s="66"/>
      <c r="R1773" s="66"/>
      <c r="S1773" s="66"/>
      <c r="T1773" s="66"/>
      <c r="U1773" s="66"/>
      <c r="V1773" s="66"/>
      <c r="W1773" s="66"/>
      <c r="X1773" s="66"/>
      <c r="Y1773" s="66"/>
      <c r="Z1773" s="66"/>
    </row>
    <row r="1774">
      <c r="A1774" s="66"/>
      <c r="B1774" s="66"/>
      <c r="C1774" s="66"/>
      <c r="D1774" s="66"/>
      <c r="E1774" s="66"/>
      <c r="F1774" s="66"/>
      <c r="G1774" s="66"/>
      <c r="H1774" s="66"/>
      <c r="I1774" s="66"/>
      <c r="J1774" s="66"/>
      <c r="K1774" s="66"/>
      <c r="L1774" s="66"/>
      <c r="M1774" s="66"/>
      <c r="N1774" s="66"/>
      <c r="O1774" s="66"/>
      <c r="P1774" s="66"/>
      <c r="Q1774" s="66"/>
      <c r="R1774" s="66"/>
      <c r="S1774" s="66"/>
      <c r="T1774" s="66"/>
      <c r="U1774" s="66"/>
      <c r="V1774" s="66"/>
      <c r="W1774" s="66"/>
      <c r="X1774" s="66"/>
      <c r="Y1774" s="66"/>
      <c r="Z1774" s="66"/>
    </row>
    <row r="1775">
      <c r="A1775" s="66"/>
      <c r="B1775" s="66"/>
      <c r="C1775" s="66"/>
      <c r="D1775" s="66"/>
      <c r="E1775" s="66"/>
      <c r="F1775" s="66"/>
      <c r="G1775" s="66"/>
      <c r="H1775" s="66"/>
      <c r="I1775" s="66"/>
      <c r="J1775" s="66"/>
      <c r="K1775" s="66"/>
      <c r="L1775" s="66"/>
      <c r="M1775" s="66"/>
      <c r="N1775" s="66"/>
      <c r="O1775" s="66"/>
      <c r="P1775" s="66"/>
      <c r="Q1775" s="66"/>
      <c r="R1775" s="66"/>
      <c r="S1775" s="66"/>
      <c r="T1775" s="66"/>
      <c r="U1775" s="66"/>
      <c r="V1775" s="66"/>
      <c r="W1775" s="66"/>
      <c r="X1775" s="66"/>
      <c r="Y1775" s="66"/>
      <c r="Z1775" s="66"/>
    </row>
    <row r="1776">
      <c r="A1776" s="66"/>
      <c r="B1776" s="66"/>
      <c r="C1776" s="66"/>
      <c r="D1776" s="66"/>
      <c r="E1776" s="66"/>
      <c r="F1776" s="66"/>
      <c r="G1776" s="66"/>
      <c r="H1776" s="66"/>
      <c r="I1776" s="66"/>
      <c r="J1776" s="66"/>
      <c r="K1776" s="66"/>
      <c r="L1776" s="66"/>
      <c r="M1776" s="66"/>
      <c r="N1776" s="66"/>
      <c r="O1776" s="66"/>
      <c r="P1776" s="66"/>
      <c r="Q1776" s="66"/>
      <c r="R1776" s="66"/>
      <c r="S1776" s="66"/>
      <c r="T1776" s="66"/>
      <c r="U1776" s="66"/>
      <c r="V1776" s="66"/>
      <c r="W1776" s="66"/>
      <c r="X1776" s="66"/>
      <c r="Y1776" s="66"/>
      <c r="Z1776" s="66"/>
    </row>
    <row r="1777">
      <c r="A1777" s="66"/>
      <c r="B1777" s="66"/>
      <c r="C1777" s="66"/>
      <c r="D1777" s="66"/>
      <c r="E1777" s="66"/>
      <c r="F1777" s="66"/>
      <c r="G1777" s="66"/>
      <c r="H1777" s="66"/>
      <c r="I1777" s="66"/>
      <c r="J1777" s="66"/>
      <c r="K1777" s="66"/>
      <c r="L1777" s="66"/>
      <c r="M1777" s="66"/>
      <c r="N1777" s="66"/>
      <c r="O1777" s="66"/>
      <c r="P1777" s="66"/>
      <c r="Q1777" s="66"/>
      <c r="R1777" s="66"/>
      <c r="S1777" s="66"/>
      <c r="T1777" s="66"/>
      <c r="U1777" s="66"/>
      <c r="V1777" s="66"/>
      <c r="W1777" s="66"/>
      <c r="X1777" s="66"/>
      <c r="Y1777" s="66"/>
      <c r="Z1777" s="66"/>
    </row>
    <row r="1778">
      <c r="A1778" s="66"/>
      <c r="B1778" s="66"/>
      <c r="C1778" s="66"/>
      <c r="D1778" s="66"/>
      <c r="E1778" s="66"/>
      <c r="F1778" s="66"/>
      <c r="G1778" s="66"/>
      <c r="H1778" s="66"/>
      <c r="I1778" s="66"/>
      <c r="J1778" s="66"/>
      <c r="K1778" s="66"/>
      <c r="L1778" s="66"/>
      <c r="M1778" s="66"/>
      <c r="N1778" s="66"/>
      <c r="O1778" s="66"/>
      <c r="P1778" s="66"/>
      <c r="Q1778" s="66"/>
      <c r="R1778" s="66"/>
      <c r="S1778" s="66"/>
      <c r="T1778" s="66"/>
      <c r="U1778" s="66"/>
      <c r="V1778" s="66"/>
      <c r="W1778" s="66"/>
      <c r="X1778" s="66"/>
      <c r="Y1778" s="66"/>
      <c r="Z1778" s="66"/>
    </row>
    <row r="1779">
      <c r="A1779" s="66"/>
      <c r="B1779" s="66"/>
      <c r="C1779" s="66"/>
      <c r="D1779" s="66"/>
      <c r="E1779" s="66"/>
      <c r="F1779" s="66"/>
      <c r="G1779" s="66"/>
      <c r="H1779" s="66"/>
      <c r="I1779" s="66"/>
      <c r="J1779" s="66"/>
      <c r="K1779" s="66"/>
      <c r="L1779" s="66"/>
      <c r="M1779" s="66"/>
      <c r="N1779" s="66"/>
      <c r="O1779" s="66"/>
      <c r="P1779" s="66"/>
      <c r="Q1779" s="66"/>
      <c r="R1779" s="66"/>
      <c r="S1779" s="66"/>
      <c r="T1779" s="66"/>
      <c r="U1779" s="66"/>
      <c r="V1779" s="66"/>
      <c r="W1779" s="66"/>
      <c r="X1779" s="66"/>
      <c r="Y1779" s="66"/>
      <c r="Z1779" s="66"/>
    </row>
    <row r="1780">
      <c r="A1780" s="66"/>
      <c r="B1780" s="66"/>
      <c r="C1780" s="66"/>
      <c r="D1780" s="66"/>
      <c r="E1780" s="66"/>
      <c r="F1780" s="66"/>
      <c r="G1780" s="66"/>
      <c r="H1780" s="66"/>
      <c r="I1780" s="66"/>
      <c r="J1780" s="66"/>
      <c r="K1780" s="66"/>
      <c r="L1780" s="66"/>
      <c r="M1780" s="66"/>
      <c r="N1780" s="66"/>
      <c r="O1780" s="66"/>
      <c r="P1780" s="66"/>
      <c r="Q1780" s="66"/>
      <c r="R1780" s="66"/>
      <c r="S1780" s="66"/>
      <c r="T1780" s="66"/>
      <c r="U1780" s="66"/>
      <c r="V1780" s="66"/>
      <c r="W1780" s="66"/>
      <c r="X1780" s="66"/>
      <c r="Y1780" s="66"/>
      <c r="Z1780" s="66"/>
    </row>
    <row r="1781">
      <c r="A1781" s="66"/>
      <c r="B1781" s="66"/>
      <c r="C1781" s="66"/>
      <c r="D1781" s="66"/>
      <c r="E1781" s="66"/>
      <c r="F1781" s="66"/>
      <c r="G1781" s="66"/>
      <c r="H1781" s="66"/>
      <c r="I1781" s="66"/>
      <c r="J1781" s="66"/>
      <c r="K1781" s="66"/>
      <c r="L1781" s="66"/>
      <c r="M1781" s="66"/>
      <c r="N1781" s="66"/>
      <c r="O1781" s="66"/>
      <c r="P1781" s="66"/>
      <c r="Q1781" s="66"/>
      <c r="R1781" s="66"/>
      <c r="S1781" s="66"/>
      <c r="T1781" s="66"/>
      <c r="U1781" s="66"/>
      <c r="V1781" s="66"/>
      <c r="W1781" s="66"/>
      <c r="X1781" s="66"/>
      <c r="Y1781" s="66"/>
      <c r="Z1781" s="66"/>
    </row>
    <row r="1782">
      <c r="A1782" s="66"/>
      <c r="B1782" s="66"/>
      <c r="C1782" s="66"/>
      <c r="D1782" s="66"/>
      <c r="E1782" s="66"/>
      <c r="F1782" s="66"/>
      <c r="G1782" s="66"/>
      <c r="H1782" s="66"/>
      <c r="I1782" s="66"/>
      <c r="J1782" s="66"/>
      <c r="K1782" s="66"/>
      <c r="L1782" s="66"/>
      <c r="M1782" s="66"/>
      <c r="N1782" s="66"/>
      <c r="O1782" s="66"/>
      <c r="P1782" s="66"/>
      <c r="Q1782" s="66"/>
      <c r="R1782" s="66"/>
      <c r="S1782" s="66"/>
      <c r="T1782" s="66"/>
      <c r="U1782" s="66"/>
      <c r="V1782" s="66"/>
      <c r="W1782" s="66"/>
      <c r="X1782" s="66"/>
      <c r="Y1782" s="66"/>
      <c r="Z1782" s="66"/>
    </row>
    <row r="1783">
      <c r="A1783" s="66"/>
      <c r="B1783" s="66"/>
      <c r="C1783" s="66"/>
      <c r="D1783" s="66"/>
      <c r="E1783" s="66"/>
      <c r="F1783" s="66"/>
      <c r="G1783" s="66"/>
      <c r="H1783" s="66"/>
      <c r="I1783" s="66"/>
      <c r="J1783" s="66"/>
      <c r="K1783" s="66"/>
      <c r="L1783" s="66"/>
      <c r="M1783" s="66"/>
      <c r="N1783" s="66"/>
      <c r="O1783" s="66"/>
      <c r="P1783" s="66"/>
      <c r="Q1783" s="66"/>
      <c r="R1783" s="66"/>
      <c r="S1783" s="66"/>
      <c r="T1783" s="66"/>
      <c r="U1783" s="66"/>
      <c r="V1783" s="66"/>
      <c r="W1783" s="66"/>
      <c r="X1783" s="66"/>
      <c r="Y1783" s="66"/>
      <c r="Z1783" s="66"/>
    </row>
    <row r="1784">
      <c r="A1784" s="66"/>
      <c r="B1784" s="66"/>
      <c r="C1784" s="66"/>
      <c r="D1784" s="66"/>
      <c r="E1784" s="66"/>
      <c r="F1784" s="66"/>
      <c r="G1784" s="66"/>
      <c r="H1784" s="66"/>
      <c r="I1784" s="66"/>
      <c r="J1784" s="66"/>
      <c r="K1784" s="66"/>
      <c r="L1784" s="66"/>
      <c r="M1784" s="66"/>
      <c r="N1784" s="66"/>
      <c r="O1784" s="66"/>
      <c r="P1784" s="66"/>
      <c r="Q1784" s="66"/>
      <c r="R1784" s="66"/>
      <c r="S1784" s="66"/>
      <c r="T1784" s="66"/>
      <c r="U1784" s="66"/>
      <c r="V1784" s="66"/>
      <c r="W1784" s="66"/>
      <c r="X1784" s="66"/>
      <c r="Y1784" s="66"/>
      <c r="Z1784" s="66"/>
    </row>
    <row r="1785">
      <c r="A1785" s="66"/>
      <c r="B1785" s="66"/>
      <c r="C1785" s="66"/>
      <c r="D1785" s="66"/>
      <c r="E1785" s="66"/>
      <c r="F1785" s="66"/>
      <c r="G1785" s="66"/>
      <c r="H1785" s="66"/>
      <c r="I1785" s="66"/>
      <c r="J1785" s="66"/>
      <c r="K1785" s="66"/>
      <c r="L1785" s="66"/>
      <c r="M1785" s="66"/>
      <c r="N1785" s="66"/>
      <c r="O1785" s="66"/>
      <c r="P1785" s="66"/>
      <c r="Q1785" s="66"/>
      <c r="R1785" s="66"/>
      <c r="S1785" s="66"/>
      <c r="T1785" s="66"/>
      <c r="U1785" s="66"/>
      <c r="V1785" s="66"/>
      <c r="W1785" s="66"/>
      <c r="X1785" s="66"/>
      <c r="Y1785" s="66"/>
      <c r="Z1785" s="66"/>
    </row>
    <row r="1786">
      <c r="A1786" s="66"/>
      <c r="B1786" s="66"/>
      <c r="C1786" s="66"/>
      <c r="D1786" s="66"/>
      <c r="E1786" s="66"/>
      <c r="F1786" s="66"/>
      <c r="G1786" s="66"/>
      <c r="H1786" s="66"/>
      <c r="I1786" s="66"/>
      <c r="J1786" s="66"/>
      <c r="K1786" s="66"/>
      <c r="L1786" s="66"/>
      <c r="M1786" s="66"/>
      <c r="N1786" s="66"/>
      <c r="O1786" s="66"/>
      <c r="P1786" s="66"/>
      <c r="Q1786" s="66"/>
      <c r="R1786" s="66"/>
      <c r="S1786" s="66"/>
      <c r="T1786" s="66"/>
      <c r="U1786" s="66"/>
      <c r="V1786" s="66"/>
      <c r="W1786" s="66"/>
      <c r="X1786" s="66"/>
      <c r="Y1786" s="66"/>
      <c r="Z1786" s="66"/>
    </row>
    <row r="1787">
      <c r="A1787" s="66"/>
      <c r="B1787" s="66"/>
      <c r="C1787" s="66"/>
      <c r="D1787" s="66"/>
      <c r="E1787" s="66"/>
      <c r="F1787" s="66"/>
      <c r="G1787" s="66"/>
      <c r="H1787" s="66"/>
      <c r="I1787" s="66"/>
      <c r="J1787" s="66"/>
      <c r="K1787" s="66"/>
      <c r="L1787" s="66"/>
      <c r="M1787" s="66"/>
      <c r="N1787" s="66"/>
      <c r="O1787" s="66"/>
      <c r="P1787" s="66"/>
      <c r="Q1787" s="66"/>
      <c r="R1787" s="66"/>
      <c r="S1787" s="66"/>
      <c r="T1787" s="66"/>
      <c r="U1787" s="66"/>
      <c r="V1787" s="66"/>
      <c r="W1787" s="66"/>
      <c r="X1787" s="66"/>
      <c r="Y1787" s="66"/>
      <c r="Z1787" s="66"/>
    </row>
    <row r="1788">
      <c r="A1788" s="66"/>
      <c r="B1788" s="66"/>
      <c r="C1788" s="66"/>
      <c r="D1788" s="66"/>
      <c r="E1788" s="66"/>
      <c r="F1788" s="66"/>
      <c r="G1788" s="66"/>
      <c r="H1788" s="66"/>
      <c r="I1788" s="66"/>
      <c r="J1788" s="66"/>
      <c r="K1788" s="66"/>
      <c r="L1788" s="66"/>
      <c r="M1788" s="66"/>
      <c r="N1788" s="66"/>
      <c r="O1788" s="66"/>
      <c r="P1788" s="66"/>
      <c r="Q1788" s="66"/>
      <c r="R1788" s="66"/>
      <c r="S1788" s="66"/>
      <c r="T1788" s="66"/>
      <c r="U1788" s="66"/>
      <c r="V1788" s="66"/>
      <c r="W1788" s="66"/>
      <c r="X1788" s="66"/>
      <c r="Y1788" s="66"/>
      <c r="Z1788" s="66"/>
    </row>
    <row r="1789">
      <c r="A1789" s="66"/>
      <c r="B1789" s="66"/>
      <c r="C1789" s="66"/>
      <c r="D1789" s="66"/>
      <c r="E1789" s="66"/>
      <c r="F1789" s="66"/>
      <c r="G1789" s="66"/>
      <c r="H1789" s="66"/>
      <c r="I1789" s="66"/>
      <c r="J1789" s="66"/>
      <c r="K1789" s="66"/>
      <c r="L1789" s="66"/>
      <c r="M1789" s="66"/>
      <c r="N1789" s="66"/>
      <c r="O1789" s="66"/>
      <c r="P1789" s="66"/>
      <c r="Q1789" s="66"/>
      <c r="R1789" s="66"/>
      <c r="S1789" s="66"/>
      <c r="T1789" s="66"/>
      <c r="U1789" s="66"/>
      <c r="V1789" s="66"/>
      <c r="W1789" s="66"/>
      <c r="X1789" s="66"/>
      <c r="Y1789" s="66"/>
      <c r="Z1789" s="66"/>
    </row>
    <row r="1790">
      <c r="A1790" s="66"/>
      <c r="B1790" s="66"/>
      <c r="C1790" s="66"/>
      <c r="D1790" s="66"/>
      <c r="E1790" s="66"/>
      <c r="F1790" s="66"/>
      <c r="G1790" s="66"/>
      <c r="H1790" s="66"/>
      <c r="I1790" s="66"/>
      <c r="J1790" s="66"/>
      <c r="K1790" s="66"/>
      <c r="L1790" s="66"/>
      <c r="M1790" s="66"/>
      <c r="N1790" s="66"/>
      <c r="O1790" s="66"/>
      <c r="P1790" s="66"/>
      <c r="Q1790" s="66"/>
      <c r="R1790" s="66"/>
      <c r="S1790" s="66"/>
      <c r="T1790" s="66"/>
      <c r="U1790" s="66"/>
      <c r="V1790" s="66"/>
      <c r="W1790" s="66"/>
      <c r="X1790" s="66"/>
      <c r="Y1790" s="66"/>
      <c r="Z1790" s="66"/>
    </row>
    <row r="1791">
      <c r="A1791" s="66"/>
      <c r="B1791" s="66"/>
      <c r="C1791" s="66"/>
      <c r="D1791" s="66"/>
      <c r="E1791" s="66"/>
      <c r="F1791" s="66"/>
      <c r="G1791" s="66"/>
      <c r="H1791" s="66"/>
      <c r="I1791" s="66"/>
      <c r="J1791" s="66"/>
      <c r="K1791" s="66"/>
      <c r="L1791" s="66"/>
      <c r="M1791" s="66"/>
      <c r="N1791" s="66"/>
      <c r="O1791" s="66"/>
      <c r="P1791" s="66"/>
      <c r="Q1791" s="66"/>
      <c r="R1791" s="66"/>
      <c r="S1791" s="66"/>
      <c r="T1791" s="66"/>
      <c r="U1791" s="66"/>
      <c r="V1791" s="66"/>
      <c r="W1791" s="66"/>
      <c r="X1791" s="66"/>
      <c r="Y1791" s="66"/>
      <c r="Z1791" s="66"/>
    </row>
    <row r="1792">
      <c r="A1792" s="66"/>
      <c r="B1792" s="66"/>
      <c r="C1792" s="66"/>
      <c r="D1792" s="66"/>
      <c r="E1792" s="66"/>
      <c r="F1792" s="66"/>
      <c r="G1792" s="66"/>
      <c r="H1792" s="66"/>
      <c r="I1792" s="66"/>
      <c r="J1792" s="66"/>
      <c r="K1792" s="66"/>
      <c r="L1792" s="66"/>
      <c r="M1792" s="66"/>
      <c r="N1792" s="66"/>
      <c r="O1792" s="66"/>
      <c r="P1792" s="66"/>
      <c r="Q1792" s="66"/>
      <c r="R1792" s="66"/>
      <c r="S1792" s="66"/>
      <c r="T1792" s="66"/>
      <c r="U1792" s="66"/>
      <c r="V1792" s="66"/>
      <c r="W1792" s="66"/>
      <c r="X1792" s="66"/>
      <c r="Y1792" s="66"/>
      <c r="Z1792" s="66"/>
    </row>
    <row r="1793">
      <c r="A1793" s="66"/>
      <c r="B1793" s="66"/>
      <c r="C1793" s="66"/>
      <c r="D1793" s="66"/>
      <c r="E1793" s="66"/>
      <c r="F1793" s="66"/>
      <c r="G1793" s="66"/>
      <c r="H1793" s="66"/>
      <c r="I1793" s="66"/>
      <c r="J1793" s="66"/>
      <c r="K1793" s="66"/>
      <c r="L1793" s="66"/>
      <c r="M1793" s="66"/>
      <c r="N1793" s="66"/>
      <c r="O1793" s="66"/>
      <c r="P1793" s="66"/>
      <c r="Q1793" s="66"/>
      <c r="R1793" s="66"/>
      <c r="S1793" s="66"/>
      <c r="T1793" s="66"/>
      <c r="U1793" s="66"/>
      <c r="V1793" s="66"/>
      <c r="W1793" s="66"/>
      <c r="X1793" s="66"/>
      <c r="Y1793" s="66"/>
      <c r="Z1793" s="66"/>
    </row>
    <row r="1794">
      <c r="A1794" s="66"/>
      <c r="B1794" s="66"/>
      <c r="C1794" s="66"/>
      <c r="D1794" s="66"/>
      <c r="E1794" s="66"/>
      <c r="F1794" s="66"/>
      <c r="G1794" s="66"/>
      <c r="H1794" s="66"/>
      <c r="I1794" s="66"/>
      <c r="J1794" s="66"/>
      <c r="K1794" s="66"/>
      <c r="L1794" s="66"/>
      <c r="M1794" s="66"/>
      <c r="N1794" s="66"/>
      <c r="O1794" s="66"/>
      <c r="P1794" s="66"/>
      <c r="Q1794" s="66"/>
      <c r="R1794" s="66"/>
      <c r="S1794" s="66"/>
      <c r="T1794" s="66"/>
      <c r="U1794" s="66"/>
      <c r="V1794" s="66"/>
      <c r="W1794" s="66"/>
      <c r="X1794" s="66"/>
      <c r="Y1794" s="66"/>
      <c r="Z1794" s="66"/>
    </row>
    <row r="1795">
      <c r="A1795" s="66"/>
      <c r="B1795" s="66"/>
      <c r="C1795" s="66"/>
      <c r="D1795" s="66"/>
      <c r="E1795" s="66"/>
      <c r="F1795" s="66"/>
      <c r="G1795" s="66"/>
      <c r="H1795" s="66"/>
      <c r="I1795" s="66"/>
      <c r="J1795" s="66"/>
      <c r="K1795" s="66"/>
      <c r="L1795" s="66"/>
      <c r="M1795" s="66"/>
      <c r="N1795" s="66"/>
      <c r="O1795" s="66"/>
      <c r="P1795" s="66"/>
      <c r="Q1795" s="66"/>
      <c r="R1795" s="66"/>
      <c r="S1795" s="66"/>
      <c r="T1795" s="66"/>
      <c r="U1795" s="66"/>
      <c r="V1795" s="66"/>
      <c r="W1795" s="66"/>
      <c r="X1795" s="66"/>
      <c r="Y1795" s="66"/>
      <c r="Z1795" s="66"/>
    </row>
    <row r="1796">
      <c r="A1796" s="66"/>
      <c r="B1796" s="66"/>
      <c r="C1796" s="66"/>
      <c r="D1796" s="66"/>
      <c r="E1796" s="66"/>
      <c r="F1796" s="66"/>
      <c r="G1796" s="66"/>
      <c r="H1796" s="66"/>
      <c r="I1796" s="66"/>
      <c r="J1796" s="66"/>
      <c r="K1796" s="66"/>
      <c r="L1796" s="66"/>
      <c r="M1796" s="66"/>
      <c r="N1796" s="66"/>
      <c r="O1796" s="66"/>
      <c r="P1796" s="66"/>
      <c r="Q1796" s="66"/>
      <c r="R1796" s="66"/>
      <c r="S1796" s="66"/>
      <c r="T1796" s="66"/>
      <c r="U1796" s="66"/>
      <c r="V1796" s="66"/>
      <c r="W1796" s="66"/>
      <c r="X1796" s="66"/>
      <c r="Y1796" s="66"/>
      <c r="Z1796" s="66"/>
    </row>
    <row r="1797">
      <c r="A1797" s="66"/>
      <c r="B1797" s="66"/>
      <c r="C1797" s="66"/>
      <c r="D1797" s="66"/>
      <c r="E1797" s="66"/>
      <c r="F1797" s="66"/>
      <c r="G1797" s="66"/>
      <c r="H1797" s="66"/>
      <c r="I1797" s="66"/>
      <c r="J1797" s="66"/>
      <c r="K1797" s="66"/>
      <c r="L1797" s="66"/>
      <c r="M1797" s="66"/>
      <c r="N1797" s="66"/>
      <c r="O1797" s="66"/>
      <c r="P1797" s="66"/>
      <c r="Q1797" s="66"/>
      <c r="R1797" s="66"/>
      <c r="S1797" s="66"/>
      <c r="T1797" s="66"/>
      <c r="U1797" s="66"/>
      <c r="V1797" s="66"/>
      <c r="W1797" s="66"/>
      <c r="X1797" s="66"/>
      <c r="Y1797" s="66"/>
      <c r="Z1797" s="66"/>
    </row>
    <row r="1798">
      <c r="A1798" s="66"/>
      <c r="B1798" s="66"/>
      <c r="C1798" s="66"/>
      <c r="D1798" s="66"/>
      <c r="E1798" s="66"/>
      <c r="F1798" s="66"/>
      <c r="G1798" s="66"/>
      <c r="H1798" s="66"/>
      <c r="I1798" s="66"/>
      <c r="J1798" s="66"/>
      <c r="K1798" s="66"/>
      <c r="L1798" s="66"/>
      <c r="M1798" s="66"/>
      <c r="N1798" s="66"/>
      <c r="O1798" s="66"/>
      <c r="P1798" s="66"/>
      <c r="Q1798" s="66"/>
      <c r="R1798" s="66"/>
      <c r="S1798" s="66"/>
      <c r="T1798" s="66"/>
      <c r="U1798" s="66"/>
      <c r="V1798" s="66"/>
      <c r="W1798" s="66"/>
      <c r="X1798" s="66"/>
      <c r="Y1798" s="66"/>
      <c r="Z1798" s="66"/>
    </row>
    <row r="1799">
      <c r="A1799" s="66"/>
      <c r="B1799" s="66"/>
      <c r="C1799" s="66"/>
      <c r="D1799" s="66"/>
      <c r="E1799" s="66"/>
      <c r="F1799" s="66"/>
      <c r="G1799" s="66"/>
      <c r="H1799" s="66"/>
      <c r="I1799" s="66"/>
      <c r="J1799" s="66"/>
      <c r="K1799" s="66"/>
      <c r="L1799" s="66"/>
      <c r="M1799" s="66"/>
      <c r="N1799" s="66"/>
      <c r="O1799" s="66"/>
      <c r="P1799" s="66"/>
      <c r="Q1799" s="66"/>
      <c r="R1799" s="66"/>
      <c r="S1799" s="66"/>
      <c r="T1799" s="66"/>
      <c r="U1799" s="66"/>
      <c r="V1799" s="66"/>
      <c r="W1799" s="66"/>
      <c r="X1799" s="66"/>
      <c r="Y1799" s="66"/>
      <c r="Z1799" s="66"/>
    </row>
    <row r="1800">
      <c r="A1800" s="66"/>
      <c r="B1800" s="66"/>
      <c r="C1800" s="66"/>
      <c r="D1800" s="66"/>
      <c r="E1800" s="66"/>
      <c r="F1800" s="66"/>
      <c r="G1800" s="66"/>
      <c r="H1800" s="66"/>
      <c r="I1800" s="66"/>
      <c r="J1800" s="66"/>
      <c r="K1800" s="66"/>
      <c r="L1800" s="66"/>
      <c r="M1800" s="66"/>
      <c r="N1800" s="66"/>
      <c r="O1800" s="66"/>
      <c r="P1800" s="66"/>
      <c r="Q1800" s="66"/>
      <c r="R1800" s="66"/>
      <c r="S1800" s="66"/>
      <c r="T1800" s="66"/>
      <c r="U1800" s="66"/>
      <c r="V1800" s="66"/>
      <c r="W1800" s="66"/>
      <c r="X1800" s="66"/>
      <c r="Y1800" s="66"/>
      <c r="Z1800" s="66"/>
    </row>
    <row r="1801">
      <c r="A1801" s="66"/>
      <c r="B1801" s="66"/>
      <c r="C1801" s="66"/>
      <c r="D1801" s="66"/>
      <c r="E1801" s="66"/>
      <c r="F1801" s="66"/>
      <c r="G1801" s="66"/>
      <c r="H1801" s="66"/>
      <c r="I1801" s="66"/>
      <c r="J1801" s="66"/>
      <c r="K1801" s="66"/>
      <c r="L1801" s="66"/>
      <c r="M1801" s="66"/>
      <c r="N1801" s="66"/>
      <c r="O1801" s="66"/>
      <c r="P1801" s="66"/>
      <c r="Q1801" s="66"/>
      <c r="R1801" s="66"/>
      <c r="S1801" s="66"/>
      <c r="T1801" s="66"/>
      <c r="U1801" s="66"/>
      <c r="V1801" s="66"/>
      <c r="W1801" s="66"/>
      <c r="X1801" s="66"/>
      <c r="Y1801" s="66"/>
      <c r="Z1801" s="66"/>
    </row>
    <row r="1802">
      <c r="A1802" s="66"/>
      <c r="B1802" s="66"/>
      <c r="C1802" s="66"/>
      <c r="D1802" s="66"/>
      <c r="E1802" s="66"/>
      <c r="F1802" s="66"/>
      <c r="G1802" s="66"/>
      <c r="H1802" s="66"/>
      <c r="I1802" s="66"/>
      <c r="J1802" s="66"/>
      <c r="K1802" s="66"/>
      <c r="L1802" s="66"/>
      <c r="M1802" s="66"/>
      <c r="N1802" s="66"/>
      <c r="O1802" s="66"/>
      <c r="P1802" s="66"/>
      <c r="Q1802" s="66"/>
      <c r="R1802" s="66"/>
      <c r="S1802" s="66"/>
      <c r="T1802" s="66"/>
      <c r="U1802" s="66"/>
      <c r="V1802" s="66"/>
      <c r="W1802" s="66"/>
      <c r="X1802" s="66"/>
      <c r="Y1802" s="66"/>
      <c r="Z1802" s="66"/>
    </row>
    <row r="1803">
      <c r="A1803" s="66"/>
      <c r="B1803" s="66"/>
      <c r="C1803" s="66"/>
      <c r="D1803" s="66"/>
      <c r="E1803" s="66"/>
      <c r="F1803" s="66"/>
      <c r="G1803" s="66"/>
      <c r="H1803" s="66"/>
      <c r="I1803" s="66"/>
      <c r="J1803" s="66"/>
      <c r="K1803" s="66"/>
      <c r="L1803" s="66"/>
      <c r="M1803" s="66"/>
      <c r="N1803" s="66"/>
      <c r="O1803" s="66"/>
      <c r="P1803" s="66"/>
      <c r="Q1803" s="66"/>
      <c r="R1803" s="66"/>
      <c r="S1803" s="66"/>
      <c r="T1803" s="66"/>
      <c r="U1803" s="66"/>
      <c r="V1803" s="66"/>
      <c r="W1803" s="66"/>
      <c r="X1803" s="66"/>
      <c r="Y1803" s="66"/>
      <c r="Z1803" s="66"/>
    </row>
    <row r="1804">
      <c r="A1804" s="66"/>
      <c r="B1804" s="66"/>
      <c r="C1804" s="66"/>
      <c r="D1804" s="66"/>
      <c r="E1804" s="66"/>
      <c r="F1804" s="66"/>
      <c r="G1804" s="66"/>
      <c r="H1804" s="66"/>
      <c r="I1804" s="66"/>
      <c r="J1804" s="66"/>
      <c r="K1804" s="66"/>
      <c r="L1804" s="66"/>
      <c r="M1804" s="66"/>
      <c r="N1804" s="66"/>
      <c r="O1804" s="66"/>
      <c r="P1804" s="66"/>
      <c r="Q1804" s="66"/>
      <c r="R1804" s="66"/>
      <c r="S1804" s="66"/>
      <c r="T1804" s="66"/>
      <c r="U1804" s="66"/>
      <c r="V1804" s="66"/>
      <c r="W1804" s="66"/>
      <c r="X1804" s="66"/>
      <c r="Y1804" s="66"/>
      <c r="Z1804" s="66"/>
    </row>
    <row r="1805">
      <c r="A1805" s="66"/>
      <c r="B1805" s="66"/>
      <c r="C1805" s="66"/>
      <c r="D1805" s="66"/>
      <c r="E1805" s="66"/>
      <c r="F1805" s="66"/>
      <c r="G1805" s="66"/>
      <c r="H1805" s="66"/>
      <c r="I1805" s="66"/>
      <c r="J1805" s="66"/>
      <c r="K1805" s="66"/>
      <c r="L1805" s="66"/>
      <c r="M1805" s="66"/>
      <c r="N1805" s="66"/>
      <c r="O1805" s="66"/>
      <c r="P1805" s="66"/>
      <c r="Q1805" s="66"/>
      <c r="R1805" s="66"/>
      <c r="S1805" s="66"/>
      <c r="T1805" s="66"/>
      <c r="U1805" s="66"/>
      <c r="V1805" s="66"/>
      <c r="W1805" s="66"/>
      <c r="X1805" s="66"/>
      <c r="Y1805" s="66"/>
      <c r="Z1805" s="66"/>
    </row>
    <row r="1806">
      <c r="A1806" s="66"/>
      <c r="B1806" s="66"/>
      <c r="C1806" s="66"/>
      <c r="D1806" s="66"/>
      <c r="E1806" s="66"/>
      <c r="F1806" s="66"/>
      <c r="G1806" s="66"/>
      <c r="H1806" s="66"/>
      <c r="I1806" s="66"/>
      <c r="J1806" s="66"/>
      <c r="K1806" s="66"/>
      <c r="L1806" s="66"/>
      <c r="M1806" s="66"/>
      <c r="N1806" s="66"/>
      <c r="O1806" s="66"/>
      <c r="P1806" s="66"/>
      <c r="Q1806" s="66"/>
      <c r="R1806" s="66"/>
      <c r="S1806" s="66"/>
      <c r="T1806" s="66"/>
      <c r="U1806" s="66"/>
      <c r="V1806" s="66"/>
      <c r="W1806" s="66"/>
      <c r="X1806" s="66"/>
      <c r="Y1806" s="66"/>
      <c r="Z1806" s="66"/>
    </row>
    <row r="1807">
      <c r="A1807" s="66"/>
      <c r="B1807" s="66"/>
      <c r="C1807" s="66"/>
      <c r="D1807" s="66"/>
      <c r="E1807" s="66"/>
      <c r="F1807" s="66"/>
      <c r="G1807" s="66"/>
      <c r="H1807" s="66"/>
      <c r="I1807" s="66"/>
      <c r="J1807" s="66"/>
      <c r="K1807" s="66"/>
      <c r="L1807" s="66"/>
      <c r="M1807" s="66"/>
      <c r="N1807" s="66"/>
      <c r="O1807" s="66"/>
      <c r="P1807" s="66"/>
      <c r="Q1807" s="66"/>
      <c r="R1807" s="66"/>
      <c r="S1807" s="66"/>
      <c r="T1807" s="66"/>
      <c r="U1807" s="66"/>
      <c r="V1807" s="66"/>
      <c r="W1807" s="66"/>
      <c r="X1807" s="66"/>
      <c r="Y1807" s="66"/>
      <c r="Z1807" s="66"/>
    </row>
    <row r="1808">
      <c r="A1808" s="66"/>
      <c r="B1808" s="66"/>
      <c r="C1808" s="66"/>
      <c r="D1808" s="66"/>
      <c r="E1808" s="66"/>
      <c r="F1808" s="66"/>
      <c r="G1808" s="66"/>
      <c r="H1808" s="66"/>
      <c r="I1808" s="66"/>
      <c r="J1808" s="66"/>
      <c r="K1808" s="66"/>
      <c r="L1808" s="66"/>
      <c r="M1808" s="66"/>
      <c r="N1808" s="66"/>
      <c r="O1808" s="66"/>
      <c r="P1808" s="66"/>
      <c r="Q1808" s="66"/>
      <c r="R1808" s="66"/>
      <c r="S1808" s="66"/>
      <c r="T1808" s="66"/>
      <c r="U1808" s="66"/>
      <c r="V1808" s="66"/>
      <c r="W1808" s="66"/>
      <c r="X1808" s="66"/>
      <c r="Y1808" s="66"/>
      <c r="Z1808" s="66"/>
    </row>
    <row r="1809">
      <c r="A1809" s="66"/>
      <c r="B1809" s="66"/>
      <c r="C1809" s="66"/>
      <c r="D1809" s="66"/>
      <c r="E1809" s="66"/>
      <c r="F1809" s="66"/>
      <c r="G1809" s="66"/>
      <c r="H1809" s="66"/>
      <c r="I1809" s="66"/>
      <c r="J1809" s="66"/>
      <c r="K1809" s="66"/>
      <c r="L1809" s="66"/>
      <c r="M1809" s="66"/>
      <c r="N1809" s="66"/>
      <c r="O1809" s="66"/>
      <c r="P1809" s="66"/>
      <c r="Q1809" s="66"/>
      <c r="R1809" s="66"/>
      <c r="S1809" s="66"/>
      <c r="T1809" s="66"/>
      <c r="U1809" s="66"/>
      <c r="V1809" s="66"/>
      <c r="W1809" s="66"/>
      <c r="X1809" s="66"/>
      <c r="Y1809" s="66"/>
      <c r="Z1809" s="66"/>
    </row>
    <row r="1810">
      <c r="A1810" s="66"/>
      <c r="B1810" s="66"/>
      <c r="C1810" s="66"/>
      <c r="D1810" s="66"/>
      <c r="E1810" s="66"/>
      <c r="F1810" s="66"/>
      <c r="G1810" s="66"/>
      <c r="H1810" s="66"/>
      <c r="I1810" s="66"/>
      <c r="J1810" s="66"/>
      <c r="K1810" s="66"/>
      <c r="L1810" s="66"/>
      <c r="M1810" s="66"/>
      <c r="N1810" s="66"/>
      <c r="O1810" s="66"/>
      <c r="P1810" s="66"/>
      <c r="Q1810" s="66"/>
      <c r="R1810" s="66"/>
      <c r="S1810" s="66"/>
      <c r="T1810" s="66"/>
      <c r="U1810" s="66"/>
      <c r="V1810" s="66"/>
      <c r="W1810" s="66"/>
      <c r="X1810" s="66"/>
      <c r="Y1810" s="66"/>
      <c r="Z1810" s="66"/>
    </row>
    <row r="1811">
      <c r="A1811" s="66"/>
      <c r="B1811" s="66"/>
      <c r="C1811" s="66"/>
      <c r="D1811" s="66"/>
      <c r="E1811" s="66"/>
      <c r="F1811" s="66"/>
      <c r="G1811" s="66"/>
      <c r="H1811" s="66"/>
      <c r="I1811" s="66"/>
      <c r="J1811" s="66"/>
      <c r="K1811" s="66"/>
      <c r="L1811" s="66"/>
      <c r="M1811" s="66"/>
      <c r="N1811" s="66"/>
      <c r="O1811" s="66"/>
      <c r="P1811" s="66"/>
      <c r="Q1811" s="66"/>
      <c r="R1811" s="66"/>
      <c r="S1811" s="66"/>
      <c r="T1811" s="66"/>
      <c r="U1811" s="66"/>
      <c r="V1811" s="66"/>
      <c r="W1811" s="66"/>
      <c r="X1811" s="66"/>
      <c r="Y1811" s="66"/>
      <c r="Z1811" s="66"/>
    </row>
    <row r="1812">
      <c r="A1812" s="66"/>
      <c r="B1812" s="66"/>
      <c r="C1812" s="66"/>
      <c r="D1812" s="66"/>
      <c r="E1812" s="66"/>
      <c r="F1812" s="66"/>
      <c r="G1812" s="66"/>
      <c r="H1812" s="66"/>
      <c r="I1812" s="66"/>
      <c r="J1812" s="66"/>
      <c r="K1812" s="66"/>
      <c r="L1812" s="66"/>
      <c r="M1812" s="66"/>
      <c r="N1812" s="66"/>
      <c r="O1812" s="66"/>
      <c r="P1812" s="66"/>
      <c r="Q1812" s="66"/>
      <c r="R1812" s="66"/>
      <c r="S1812" s="66"/>
      <c r="T1812" s="66"/>
      <c r="U1812" s="66"/>
      <c r="V1812" s="66"/>
      <c r="W1812" s="66"/>
      <c r="X1812" s="66"/>
      <c r="Y1812" s="66"/>
      <c r="Z1812" s="66"/>
    </row>
    <row r="1813">
      <c r="A1813" s="66"/>
      <c r="B1813" s="66"/>
      <c r="C1813" s="66"/>
      <c r="D1813" s="66"/>
      <c r="E1813" s="66"/>
      <c r="F1813" s="66"/>
      <c r="G1813" s="66"/>
      <c r="H1813" s="66"/>
      <c r="I1813" s="66"/>
      <c r="J1813" s="66"/>
      <c r="K1813" s="66"/>
      <c r="L1813" s="66"/>
      <c r="M1813" s="66"/>
      <c r="N1813" s="66"/>
      <c r="O1813" s="66"/>
      <c r="P1813" s="66"/>
      <c r="Q1813" s="66"/>
      <c r="R1813" s="66"/>
      <c r="S1813" s="66"/>
      <c r="T1813" s="66"/>
      <c r="U1813" s="66"/>
      <c r="V1813" s="66"/>
      <c r="W1813" s="66"/>
      <c r="X1813" s="66"/>
      <c r="Y1813" s="66"/>
      <c r="Z1813" s="66"/>
    </row>
    <row r="1814">
      <c r="A1814" s="66"/>
      <c r="B1814" s="66"/>
      <c r="C1814" s="66"/>
      <c r="D1814" s="66"/>
      <c r="E1814" s="66"/>
      <c r="F1814" s="66"/>
      <c r="G1814" s="66"/>
      <c r="H1814" s="66"/>
      <c r="I1814" s="66"/>
      <c r="J1814" s="66"/>
      <c r="K1814" s="66"/>
      <c r="L1814" s="66"/>
      <c r="M1814" s="66"/>
      <c r="N1814" s="66"/>
      <c r="O1814" s="66"/>
      <c r="P1814" s="66"/>
      <c r="Q1814" s="66"/>
      <c r="R1814" s="66"/>
      <c r="S1814" s="66"/>
      <c r="T1814" s="66"/>
      <c r="U1814" s="66"/>
      <c r="V1814" s="66"/>
      <c r="W1814" s="66"/>
      <c r="X1814" s="66"/>
      <c r="Y1814" s="66"/>
      <c r="Z1814" s="66"/>
    </row>
    <row r="1815">
      <c r="A1815" s="66"/>
      <c r="B1815" s="66"/>
      <c r="C1815" s="66"/>
      <c r="D1815" s="66"/>
      <c r="E1815" s="66"/>
      <c r="F1815" s="66"/>
      <c r="G1815" s="66"/>
      <c r="H1815" s="66"/>
      <c r="I1815" s="66"/>
      <c r="J1815" s="66"/>
      <c r="K1815" s="66"/>
      <c r="L1815" s="66"/>
      <c r="M1815" s="66"/>
      <c r="N1815" s="66"/>
      <c r="O1815" s="66"/>
      <c r="P1815" s="66"/>
      <c r="Q1815" s="66"/>
      <c r="R1815" s="66"/>
      <c r="S1815" s="66"/>
      <c r="T1815" s="66"/>
      <c r="U1815" s="66"/>
      <c r="V1815" s="66"/>
      <c r="W1815" s="66"/>
      <c r="X1815" s="66"/>
      <c r="Y1815" s="66"/>
      <c r="Z1815" s="66"/>
    </row>
    <row r="1816">
      <c r="A1816" s="66"/>
      <c r="B1816" s="66"/>
      <c r="C1816" s="66"/>
      <c r="D1816" s="66"/>
      <c r="E1816" s="66"/>
      <c r="F1816" s="66"/>
      <c r="G1816" s="66"/>
      <c r="H1816" s="66"/>
      <c r="I1816" s="66"/>
      <c r="J1816" s="66"/>
      <c r="K1816" s="66"/>
      <c r="L1816" s="66"/>
      <c r="M1816" s="66"/>
      <c r="N1816" s="66"/>
      <c r="O1816" s="66"/>
      <c r="P1816" s="66"/>
      <c r="Q1816" s="66"/>
      <c r="R1816" s="66"/>
      <c r="S1816" s="66"/>
      <c r="T1816" s="66"/>
      <c r="U1816" s="66"/>
      <c r="V1816" s="66"/>
      <c r="W1816" s="66"/>
      <c r="X1816" s="66"/>
      <c r="Y1816" s="66"/>
      <c r="Z1816" s="66"/>
    </row>
    <row r="1817">
      <c r="A1817" s="66"/>
      <c r="B1817" s="66"/>
      <c r="C1817" s="66"/>
      <c r="D1817" s="66"/>
      <c r="E1817" s="66"/>
      <c r="F1817" s="66"/>
      <c r="G1817" s="66"/>
      <c r="H1817" s="66"/>
      <c r="I1817" s="66"/>
      <c r="J1817" s="66"/>
      <c r="K1817" s="66"/>
      <c r="L1817" s="66"/>
      <c r="M1817" s="66"/>
      <c r="N1817" s="66"/>
      <c r="O1817" s="66"/>
      <c r="P1817" s="66"/>
      <c r="Q1817" s="66"/>
      <c r="R1817" s="66"/>
      <c r="S1817" s="66"/>
      <c r="T1817" s="66"/>
      <c r="U1817" s="66"/>
      <c r="V1817" s="66"/>
      <c r="W1817" s="66"/>
      <c r="X1817" s="66"/>
      <c r="Y1817" s="66"/>
      <c r="Z1817" s="66"/>
    </row>
    <row r="1818">
      <c r="A1818" s="66"/>
      <c r="B1818" s="66"/>
      <c r="C1818" s="66"/>
      <c r="D1818" s="66"/>
      <c r="E1818" s="66"/>
      <c r="F1818" s="66"/>
      <c r="G1818" s="66"/>
      <c r="H1818" s="66"/>
      <c r="I1818" s="66"/>
      <c r="J1818" s="66"/>
      <c r="K1818" s="66"/>
      <c r="L1818" s="66"/>
      <c r="M1818" s="66"/>
      <c r="N1818" s="66"/>
      <c r="O1818" s="66"/>
      <c r="P1818" s="66"/>
      <c r="Q1818" s="66"/>
      <c r="R1818" s="66"/>
      <c r="S1818" s="66"/>
      <c r="T1818" s="66"/>
      <c r="U1818" s="66"/>
      <c r="V1818" s="66"/>
      <c r="W1818" s="66"/>
      <c r="X1818" s="66"/>
      <c r="Y1818" s="66"/>
      <c r="Z1818" s="66"/>
    </row>
    <row r="1819">
      <c r="A1819" s="66"/>
      <c r="B1819" s="66"/>
      <c r="C1819" s="66"/>
      <c r="D1819" s="66"/>
      <c r="E1819" s="66"/>
      <c r="F1819" s="66"/>
      <c r="G1819" s="66"/>
      <c r="H1819" s="66"/>
      <c r="I1819" s="66"/>
      <c r="J1819" s="66"/>
      <c r="K1819" s="66"/>
      <c r="L1819" s="66"/>
      <c r="M1819" s="66"/>
      <c r="N1819" s="66"/>
      <c r="O1819" s="66"/>
      <c r="P1819" s="66"/>
      <c r="Q1819" s="66"/>
      <c r="R1819" s="66"/>
      <c r="S1819" s="66"/>
      <c r="T1819" s="66"/>
      <c r="U1819" s="66"/>
      <c r="V1819" s="66"/>
      <c r="W1819" s="66"/>
      <c r="X1819" s="66"/>
      <c r="Y1819" s="66"/>
      <c r="Z1819" s="66"/>
    </row>
    <row r="1820">
      <c r="A1820" s="66"/>
      <c r="B1820" s="66"/>
      <c r="C1820" s="66"/>
      <c r="D1820" s="66"/>
      <c r="E1820" s="66"/>
      <c r="F1820" s="66"/>
      <c r="G1820" s="66"/>
      <c r="H1820" s="66"/>
      <c r="I1820" s="66"/>
      <c r="J1820" s="66"/>
      <c r="K1820" s="66"/>
      <c r="L1820" s="66"/>
      <c r="M1820" s="66"/>
      <c r="N1820" s="66"/>
      <c r="O1820" s="66"/>
      <c r="P1820" s="66"/>
      <c r="Q1820" s="66"/>
      <c r="R1820" s="66"/>
      <c r="S1820" s="66"/>
      <c r="T1820" s="66"/>
      <c r="U1820" s="66"/>
      <c r="V1820" s="66"/>
      <c r="W1820" s="66"/>
      <c r="X1820" s="66"/>
      <c r="Y1820" s="66"/>
      <c r="Z1820" s="66"/>
    </row>
    <row r="1821">
      <c r="A1821" s="66"/>
      <c r="B1821" s="66"/>
      <c r="C1821" s="66"/>
      <c r="D1821" s="66"/>
      <c r="E1821" s="66"/>
      <c r="F1821" s="66"/>
      <c r="G1821" s="66"/>
      <c r="H1821" s="66"/>
      <c r="I1821" s="66"/>
      <c r="J1821" s="66"/>
      <c r="K1821" s="66"/>
      <c r="L1821" s="66"/>
      <c r="M1821" s="66"/>
      <c r="N1821" s="66"/>
      <c r="O1821" s="66"/>
      <c r="P1821" s="66"/>
      <c r="Q1821" s="66"/>
      <c r="R1821" s="66"/>
      <c r="S1821" s="66"/>
      <c r="T1821" s="66"/>
      <c r="U1821" s="66"/>
      <c r="V1821" s="66"/>
      <c r="W1821" s="66"/>
      <c r="X1821" s="66"/>
      <c r="Y1821" s="66"/>
      <c r="Z1821" s="66"/>
    </row>
    <row r="1822">
      <c r="A1822" s="66"/>
      <c r="B1822" s="66"/>
      <c r="C1822" s="66"/>
      <c r="D1822" s="66"/>
      <c r="E1822" s="66"/>
      <c r="F1822" s="66"/>
      <c r="G1822" s="66"/>
      <c r="H1822" s="66"/>
      <c r="I1822" s="66"/>
      <c r="J1822" s="66"/>
      <c r="K1822" s="66"/>
      <c r="L1822" s="66"/>
      <c r="M1822" s="66"/>
      <c r="N1822" s="66"/>
      <c r="O1822" s="66"/>
      <c r="P1822" s="66"/>
      <c r="Q1822" s="66"/>
      <c r="R1822" s="66"/>
      <c r="S1822" s="66"/>
      <c r="T1822" s="66"/>
      <c r="U1822" s="66"/>
      <c r="V1822" s="66"/>
      <c r="W1822" s="66"/>
      <c r="X1822" s="66"/>
      <c r="Y1822" s="66"/>
      <c r="Z1822" s="66"/>
    </row>
    <row r="1823">
      <c r="A1823" s="66"/>
      <c r="B1823" s="66"/>
      <c r="C1823" s="66"/>
      <c r="D1823" s="66"/>
      <c r="E1823" s="66"/>
      <c r="F1823" s="66"/>
      <c r="G1823" s="66"/>
      <c r="H1823" s="66"/>
      <c r="I1823" s="66"/>
      <c r="J1823" s="66"/>
      <c r="K1823" s="66"/>
      <c r="L1823" s="66"/>
      <c r="M1823" s="66"/>
      <c r="N1823" s="66"/>
      <c r="O1823" s="66"/>
      <c r="P1823" s="66"/>
      <c r="Q1823" s="66"/>
      <c r="R1823" s="66"/>
      <c r="S1823" s="66"/>
      <c r="T1823" s="66"/>
      <c r="U1823" s="66"/>
      <c r="V1823" s="66"/>
      <c r="W1823" s="66"/>
      <c r="X1823" s="66"/>
      <c r="Y1823" s="66"/>
      <c r="Z1823" s="66"/>
    </row>
    <row r="1824">
      <c r="A1824" s="66"/>
      <c r="B1824" s="66"/>
      <c r="C1824" s="66"/>
      <c r="D1824" s="66"/>
      <c r="E1824" s="66"/>
      <c r="F1824" s="66"/>
      <c r="G1824" s="66"/>
      <c r="H1824" s="66"/>
      <c r="I1824" s="66"/>
      <c r="J1824" s="66"/>
      <c r="K1824" s="66"/>
      <c r="L1824" s="66"/>
      <c r="M1824" s="66"/>
      <c r="N1824" s="66"/>
      <c r="O1824" s="66"/>
      <c r="P1824" s="66"/>
      <c r="Q1824" s="66"/>
      <c r="R1824" s="66"/>
      <c r="S1824" s="66"/>
      <c r="T1824" s="66"/>
      <c r="U1824" s="66"/>
      <c r="V1824" s="66"/>
      <c r="W1824" s="66"/>
      <c r="X1824" s="66"/>
      <c r="Y1824" s="66"/>
      <c r="Z1824" s="66"/>
    </row>
    <row r="1825">
      <c r="A1825" s="66"/>
      <c r="B1825" s="66"/>
      <c r="C1825" s="66"/>
      <c r="D1825" s="66"/>
      <c r="E1825" s="66"/>
      <c r="F1825" s="66"/>
      <c r="G1825" s="66"/>
      <c r="H1825" s="66"/>
      <c r="I1825" s="66"/>
      <c r="J1825" s="66"/>
      <c r="K1825" s="66"/>
      <c r="L1825" s="66"/>
      <c r="M1825" s="66"/>
      <c r="N1825" s="66"/>
      <c r="O1825" s="66"/>
      <c r="P1825" s="66"/>
      <c r="Q1825" s="66"/>
      <c r="R1825" s="66"/>
      <c r="S1825" s="66"/>
      <c r="T1825" s="66"/>
      <c r="U1825" s="66"/>
      <c r="V1825" s="66"/>
      <c r="W1825" s="66"/>
      <c r="X1825" s="66"/>
      <c r="Y1825" s="66"/>
      <c r="Z1825" s="66"/>
    </row>
    <row r="1826">
      <c r="A1826" s="66"/>
      <c r="B1826" s="66"/>
      <c r="C1826" s="66"/>
      <c r="D1826" s="66"/>
      <c r="E1826" s="66"/>
      <c r="F1826" s="66"/>
      <c r="G1826" s="66"/>
      <c r="H1826" s="66"/>
      <c r="I1826" s="66"/>
      <c r="J1826" s="66"/>
      <c r="K1826" s="66"/>
      <c r="L1826" s="66"/>
      <c r="M1826" s="66"/>
      <c r="N1826" s="66"/>
      <c r="O1826" s="66"/>
      <c r="P1826" s="66"/>
      <c r="Q1826" s="66"/>
      <c r="R1826" s="66"/>
      <c r="S1826" s="66"/>
      <c r="T1826" s="66"/>
      <c r="U1826" s="66"/>
      <c r="V1826" s="66"/>
      <c r="W1826" s="66"/>
      <c r="X1826" s="66"/>
      <c r="Y1826" s="66"/>
      <c r="Z1826" s="66"/>
    </row>
    <row r="1827">
      <c r="A1827" s="66"/>
      <c r="B1827" s="66"/>
      <c r="C1827" s="66"/>
      <c r="D1827" s="66"/>
      <c r="E1827" s="66"/>
      <c r="F1827" s="66"/>
      <c r="G1827" s="66"/>
      <c r="H1827" s="66"/>
      <c r="I1827" s="66"/>
      <c r="J1827" s="66"/>
      <c r="K1827" s="66"/>
      <c r="L1827" s="66"/>
      <c r="M1827" s="66"/>
      <c r="N1827" s="66"/>
      <c r="O1827" s="66"/>
      <c r="P1827" s="66"/>
      <c r="Q1827" s="66"/>
      <c r="R1827" s="66"/>
      <c r="S1827" s="66"/>
      <c r="T1827" s="66"/>
      <c r="U1827" s="66"/>
      <c r="V1827" s="66"/>
      <c r="W1827" s="66"/>
      <c r="X1827" s="66"/>
      <c r="Y1827" s="66"/>
      <c r="Z1827" s="66"/>
    </row>
    <row r="1828">
      <c r="A1828" s="66"/>
      <c r="B1828" s="66"/>
      <c r="C1828" s="66"/>
      <c r="D1828" s="66"/>
      <c r="E1828" s="66"/>
      <c r="F1828" s="66"/>
      <c r="G1828" s="66"/>
      <c r="H1828" s="66"/>
      <c r="I1828" s="66"/>
      <c r="J1828" s="66"/>
      <c r="K1828" s="66"/>
      <c r="L1828" s="66"/>
      <c r="M1828" s="66"/>
      <c r="N1828" s="66"/>
      <c r="O1828" s="66"/>
      <c r="P1828" s="66"/>
      <c r="Q1828" s="66"/>
      <c r="R1828" s="66"/>
      <c r="S1828" s="66"/>
      <c r="T1828" s="66"/>
      <c r="U1828" s="66"/>
      <c r="V1828" s="66"/>
      <c r="W1828" s="66"/>
      <c r="X1828" s="66"/>
      <c r="Y1828" s="66"/>
      <c r="Z1828" s="66"/>
    </row>
    <row r="1829">
      <c r="A1829" s="66"/>
      <c r="B1829" s="66"/>
      <c r="C1829" s="66"/>
      <c r="D1829" s="66"/>
      <c r="E1829" s="66"/>
      <c r="F1829" s="66"/>
      <c r="G1829" s="66"/>
      <c r="H1829" s="66"/>
      <c r="I1829" s="66"/>
      <c r="J1829" s="66"/>
      <c r="K1829" s="66"/>
      <c r="L1829" s="66"/>
      <c r="M1829" s="66"/>
      <c r="N1829" s="66"/>
      <c r="O1829" s="66"/>
      <c r="P1829" s="66"/>
      <c r="Q1829" s="66"/>
      <c r="R1829" s="66"/>
      <c r="S1829" s="66"/>
      <c r="T1829" s="66"/>
      <c r="U1829" s="66"/>
      <c r="V1829" s="66"/>
      <c r="W1829" s="66"/>
      <c r="X1829" s="66"/>
      <c r="Y1829" s="66"/>
      <c r="Z1829" s="66"/>
    </row>
    <row r="1830">
      <c r="A1830" s="66"/>
      <c r="B1830" s="66"/>
      <c r="C1830" s="66"/>
      <c r="D1830" s="66"/>
      <c r="E1830" s="66"/>
      <c r="F1830" s="66"/>
      <c r="G1830" s="66"/>
      <c r="H1830" s="66"/>
      <c r="I1830" s="66"/>
      <c r="J1830" s="66"/>
      <c r="K1830" s="66"/>
      <c r="L1830" s="66"/>
      <c r="M1830" s="66"/>
      <c r="N1830" s="66"/>
      <c r="O1830" s="66"/>
      <c r="P1830" s="66"/>
      <c r="Q1830" s="66"/>
      <c r="R1830" s="66"/>
      <c r="S1830" s="66"/>
      <c r="T1830" s="66"/>
      <c r="U1830" s="66"/>
      <c r="V1830" s="66"/>
      <c r="W1830" s="66"/>
      <c r="X1830" s="66"/>
      <c r="Y1830" s="66"/>
      <c r="Z1830" s="66"/>
    </row>
    <row r="1831">
      <c r="A1831" s="66"/>
      <c r="B1831" s="66"/>
      <c r="C1831" s="66"/>
      <c r="D1831" s="66"/>
      <c r="E1831" s="66"/>
      <c r="F1831" s="66"/>
      <c r="G1831" s="66"/>
      <c r="H1831" s="66"/>
      <c r="I1831" s="66"/>
      <c r="J1831" s="66"/>
      <c r="K1831" s="66"/>
      <c r="L1831" s="66"/>
      <c r="M1831" s="66"/>
      <c r="N1831" s="66"/>
      <c r="O1831" s="66"/>
      <c r="P1831" s="66"/>
      <c r="Q1831" s="66"/>
      <c r="R1831" s="66"/>
      <c r="S1831" s="66"/>
      <c r="T1831" s="66"/>
      <c r="U1831" s="66"/>
      <c r="V1831" s="66"/>
      <c r="W1831" s="66"/>
      <c r="X1831" s="66"/>
      <c r="Y1831" s="66"/>
      <c r="Z1831" s="66"/>
    </row>
    <row r="1832">
      <c r="A1832" s="66"/>
      <c r="B1832" s="66"/>
      <c r="C1832" s="66"/>
      <c r="D1832" s="66"/>
      <c r="E1832" s="66"/>
      <c r="F1832" s="66"/>
      <c r="G1832" s="66"/>
      <c r="H1832" s="66"/>
      <c r="I1832" s="66"/>
      <c r="J1832" s="66"/>
      <c r="K1832" s="66"/>
      <c r="L1832" s="66"/>
      <c r="M1832" s="66"/>
      <c r="N1832" s="66"/>
      <c r="O1832" s="66"/>
      <c r="P1832" s="66"/>
      <c r="Q1832" s="66"/>
      <c r="R1832" s="66"/>
      <c r="S1832" s="66"/>
      <c r="T1832" s="66"/>
      <c r="U1832" s="66"/>
      <c r="V1832" s="66"/>
      <c r="W1832" s="66"/>
      <c r="X1832" s="66"/>
      <c r="Y1832" s="66"/>
      <c r="Z1832" s="66"/>
    </row>
    <row r="1833">
      <c r="A1833" s="66"/>
      <c r="B1833" s="66"/>
      <c r="C1833" s="66"/>
      <c r="D1833" s="66"/>
      <c r="E1833" s="66"/>
      <c r="F1833" s="66"/>
      <c r="G1833" s="66"/>
      <c r="H1833" s="66"/>
      <c r="I1833" s="66"/>
      <c r="J1833" s="66"/>
      <c r="K1833" s="66"/>
      <c r="L1833" s="66"/>
      <c r="M1833" s="66"/>
      <c r="N1833" s="66"/>
      <c r="O1833" s="66"/>
      <c r="P1833" s="66"/>
      <c r="Q1833" s="66"/>
      <c r="R1833" s="66"/>
      <c r="S1833" s="66"/>
      <c r="T1833" s="66"/>
      <c r="U1833" s="66"/>
      <c r="V1833" s="66"/>
      <c r="W1833" s="66"/>
      <c r="X1833" s="66"/>
      <c r="Y1833" s="66"/>
      <c r="Z1833" s="66"/>
    </row>
    <row r="1834">
      <c r="A1834" s="66"/>
      <c r="B1834" s="66"/>
      <c r="C1834" s="66"/>
      <c r="D1834" s="66"/>
      <c r="E1834" s="66"/>
      <c r="F1834" s="66"/>
      <c r="G1834" s="66"/>
      <c r="H1834" s="66"/>
      <c r="I1834" s="66"/>
      <c r="J1834" s="66"/>
      <c r="K1834" s="66"/>
      <c r="L1834" s="66"/>
      <c r="M1834" s="66"/>
      <c r="N1834" s="66"/>
      <c r="O1834" s="66"/>
      <c r="P1834" s="66"/>
      <c r="Q1834" s="66"/>
      <c r="R1834" s="66"/>
      <c r="S1834" s="66"/>
      <c r="T1834" s="66"/>
      <c r="U1834" s="66"/>
      <c r="V1834" s="66"/>
      <c r="W1834" s="66"/>
      <c r="X1834" s="66"/>
      <c r="Y1834" s="66"/>
      <c r="Z1834" s="66"/>
    </row>
    <row r="1835">
      <c r="A1835" s="66"/>
      <c r="B1835" s="66"/>
      <c r="C1835" s="66"/>
      <c r="D1835" s="66"/>
      <c r="E1835" s="66"/>
      <c r="F1835" s="66"/>
      <c r="G1835" s="66"/>
      <c r="H1835" s="66"/>
      <c r="I1835" s="66"/>
      <c r="J1835" s="66"/>
      <c r="K1835" s="66"/>
      <c r="L1835" s="66"/>
      <c r="M1835" s="66"/>
      <c r="N1835" s="66"/>
      <c r="O1835" s="66"/>
      <c r="P1835" s="66"/>
      <c r="Q1835" s="66"/>
      <c r="R1835" s="66"/>
      <c r="S1835" s="66"/>
      <c r="T1835" s="66"/>
      <c r="U1835" s="66"/>
      <c r="V1835" s="66"/>
      <c r="W1835" s="66"/>
      <c r="X1835" s="66"/>
      <c r="Y1835" s="66"/>
      <c r="Z1835" s="66"/>
    </row>
    <row r="1836">
      <c r="A1836" s="66"/>
      <c r="B1836" s="66"/>
      <c r="C1836" s="66"/>
      <c r="D1836" s="66"/>
      <c r="E1836" s="66"/>
      <c r="F1836" s="66"/>
      <c r="G1836" s="66"/>
      <c r="H1836" s="66"/>
      <c r="I1836" s="66"/>
      <c r="J1836" s="66"/>
      <c r="K1836" s="66"/>
      <c r="L1836" s="66"/>
      <c r="M1836" s="66"/>
      <c r="N1836" s="66"/>
      <c r="O1836" s="66"/>
      <c r="P1836" s="66"/>
      <c r="Q1836" s="66"/>
      <c r="R1836" s="66"/>
      <c r="S1836" s="66"/>
      <c r="T1836" s="66"/>
      <c r="U1836" s="66"/>
      <c r="V1836" s="66"/>
      <c r="W1836" s="66"/>
      <c r="X1836" s="66"/>
      <c r="Y1836" s="66"/>
      <c r="Z1836" s="66"/>
    </row>
    <row r="1837">
      <c r="A1837" s="66"/>
      <c r="B1837" s="66"/>
      <c r="C1837" s="66"/>
      <c r="D1837" s="66"/>
      <c r="E1837" s="66"/>
      <c r="F1837" s="66"/>
      <c r="G1837" s="66"/>
      <c r="H1837" s="66"/>
      <c r="I1837" s="66"/>
      <c r="J1837" s="66"/>
      <c r="K1837" s="66"/>
      <c r="L1837" s="66"/>
      <c r="M1837" s="66"/>
      <c r="N1837" s="66"/>
      <c r="O1837" s="66"/>
      <c r="P1837" s="66"/>
      <c r="Q1837" s="66"/>
      <c r="R1837" s="66"/>
      <c r="S1837" s="66"/>
      <c r="T1837" s="66"/>
      <c r="U1837" s="66"/>
      <c r="V1837" s="66"/>
      <c r="W1837" s="66"/>
      <c r="X1837" s="66"/>
      <c r="Y1837" s="66"/>
      <c r="Z1837" s="66"/>
    </row>
    <row r="1838">
      <c r="A1838" s="66"/>
      <c r="B1838" s="66"/>
      <c r="C1838" s="66"/>
      <c r="D1838" s="66"/>
      <c r="E1838" s="66"/>
      <c r="F1838" s="66"/>
      <c r="G1838" s="66"/>
      <c r="H1838" s="66"/>
      <c r="I1838" s="66"/>
      <c r="J1838" s="66"/>
      <c r="K1838" s="66"/>
      <c r="L1838" s="66"/>
      <c r="M1838" s="66"/>
      <c r="N1838" s="66"/>
      <c r="O1838" s="66"/>
      <c r="P1838" s="66"/>
      <c r="Q1838" s="66"/>
      <c r="R1838" s="66"/>
      <c r="S1838" s="66"/>
      <c r="T1838" s="66"/>
      <c r="U1838" s="66"/>
      <c r="V1838" s="66"/>
      <c r="W1838" s="66"/>
      <c r="X1838" s="66"/>
      <c r="Y1838" s="66"/>
      <c r="Z1838" s="66"/>
    </row>
    <row r="1839">
      <c r="A1839" s="66"/>
      <c r="B1839" s="66"/>
      <c r="C1839" s="66"/>
      <c r="D1839" s="66"/>
      <c r="E1839" s="66"/>
      <c r="F1839" s="66"/>
      <c r="G1839" s="66"/>
      <c r="H1839" s="66"/>
      <c r="I1839" s="66"/>
      <c r="J1839" s="66"/>
      <c r="K1839" s="66"/>
      <c r="L1839" s="66"/>
      <c r="M1839" s="66"/>
      <c r="N1839" s="66"/>
      <c r="O1839" s="66"/>
      <c r="P1839" s="66"/>
      <c r="Q1839" s="66"/>
      <c r="R1839" s="66"/>
      <c r="S1839" s="66"/>
      <c r="T1839" s="66"/>
      <c r="U1839" s="66"/>
      <c r="V1839" s="66"/>
      <c r="W1839" s="66"/>
      <c r="X1839" s="66"/>
      <c r="Y1839" s="66"/>
      <c r="Z1839" s="66"/>
    </row>
    <row r="1840">
      <c r="A1840" s="66"/>
      <c r="B1840" s="66"/>
      <c r="C1840" s="66"/>
      <c r="D1840" s="66"/>
      <c r="E1840" s="66"/>
      <c r="F1840" s="66"/>
      <c r="G1840" s="66"/>
      <c r="H1840" s="66"/>
      <c r="I1840" s="66"/>
      <c r="J1840" s="66"/>
      <c r="K1840" s="66"/>
      <c r="L1840" s="66"/>
      <c r="M1840" s="66"/>
      <c r="N1840" s="66"/>
      <c r="O1840" s="66"/>
      <c r="P1840" s="66"/>
      <c r="Q1840" s="66"/>
      <c r="R1840" s="66"/>
      <c r="S1840" s="66"/>
      <c r="T1840" s="66"/>
      <c r="U1840" s="66"/>
      <c r="V1840" s="66"/>
      <c r="W1840" s="66"/>
      <c r="X1840" s="66"/>
      <c r="Y1840" s="66"/>
      <c r="Z1840" s="66"/>
    </row>
    <row r="1841">
      <c r="A1841" s="66"/>
      <c r="B1841" s="66"/>
      <c r="C1841" s="66"/>
      <c r="D1841" s="66"/>
      <c r="E1841" s="66"/>
      <c r="F1841" s="66"/>
      <c r="G1841" s="66"/>
      <c r="H1841" s="66"/>
      <c r="I1841" s="66"/>
      <c r="J1841" s="66"/>
      <c r="K1841" s="66"/>
      <c r="L1841" s="66"/>
      <c r="M1841" s="66"/>
      <c r="N1841" s="66"/>
      <c r="O1841" s="66"/>
      <c r="P1841" s="66"/>
      <c r="Q1841" s="66"/>
      <c r="R1841" s="66"/>
      <c r="S1841" s="66"/>
      <c r="T1841" s="66"/>
      <c r="U1841" s="66"/>
      <c r="V1841" s="66"/>
      <c r="W1841" s="66"/>
      <c r="X1841" s="66"/>
      <c r="Y1841" s="66"/>
      <c r="Z1841" s="66"/>
    </row>
    <row r="1842">
      <c r="A1842" s="66"/>
      <c r="B1842" s="66"/>
      <c r="C1842" s="66"/>
      <c r="D1842" s="66"/>
      <c r="E1842" s="66"/>
      <c r="F1842" s="66"/>
      <c r="G1842" s="66"/>
      <c r="H1842" s="66"/>
      <c r="I1842" s="66"/>
      <c r="J1842" s="66"/>
      <c r="K1842" s="66"/>
      <c r="L1842" s="66"/>
      <c r="M1842" s="66"/>
      <c r="N1842" s="66"/>
      <c r="O1842" s="66"/>
      <c r="P1842" s="66"/>
      <c r="Q1842" s="66"/>
      <c r="R1842" s="66"/>
      <c r="S1842" s="66"/>
      <c r="T1842" s="66"/>
      <c r="U1842" s="66"/>
      <c r="V1842" s="66"/>
      <c r="W1842" s="66"/>
      <c r="X1842" s="66"/>
      <c r="Y1842" s="66"/>
      <c r="Z1842" s="66"/>
    </row>
    <row r="1843">
      <c r="A1843" s="66"/>
      <c r="B1843" s="66"/>
      <c r="C1843" s="66"/>
      <c r="D1843" s="66"/>
      <c r="E1843" s="66"/>
      <c r="F1843" s="66"/>
      <c r="G1843" s="66"/>
      <c r="H1843" s="66"/>
      <c r="I1843" s="66"/>
      <c r="J1843" s="66"/>
      <c r="K1843" s="66"/>
      <c r="L1843" s="66"/>
      <c r="M1843" s="66"/>
      <c r="N1843" s="66"/>
      <c r="O1843" s="66"/>
      <c r="P1843" s="66"/>
      <c r="Q1843" s="66"/>
      <c r="R1843" s="66"/>
      <c r="S1843" s="66"/>
      <c r="T1843" s="66"/>
      <c r="U1843" s="66"/>
      <c r="V1843" s="66"/>
      <c r="W1843" s="66"/>
      <c r="X1843" s="66"/>
      <c r="Y1843" s="66"/>
      <c r="Z1843" s="66"/>
    </row>
    <row r="1844">
      <c r="A1844" s="66"/>
      <c r="B1844" s="66"/>
      <c r="C1844" s="66"/>
      <c r="D1844" s="66"/>
      <c r="E1844" s="66"/>
      <c r="F1844" s="66"/>
      <c r="G1844" s="66"/>
      <c r="H1844" s="66"/>
      <c r="I1844" s="66"/>
      <c r="J1844" s="66"/>
      <c r="K1844" s="66"/>
      <c r="L1844" s="66"/>
      <c r="M1844" s="66"/>
      <c r="N1844" s="66"/>
      <c r="O1844" s="66"/>
      <c r="P1844" s="66"/>
      <c r="Q1844" s="66"/>
      <c r="R1844" s="66"/>
      <c r="S1844" s="66"/>
      <c r="T1844" s="66"/>
      <c r="U1844" s="66"/>
      <c r="V1844" s="66"/>
      <c r="W1844" s="66"/>
      <c r="X1844" s="66"/>
      <c r="Y1844" s="66"/>
      <c r="Z1844" s="66"/>
    </row>
    <row r="1845">
      <c r="A1845" s="66"/>
      <c r="B1845" s="66"/>
      <c r="C1845" s="66"/>
      <c r="D1845" s="66"/>
      <c r="E1845" s="66"/>
      <c r="F1845" s="66"/>
      <c r="G1845" s="66"/>
      <c r="H1845" s="66"/>
      <c r="I1845" s="66"/>
      <c r="J1845" s="66"/>
      <c r="K1845" s="66"/>
      <c r="L1845" s="66"/>
      <c r="M1845" s="66"/>
      <c r="N1845" s="66"/>
      <c r="O1845" s="66"/>
      <c r="P1845" s="66"/>
      <c r="Q1845" s="66"/>
      <c r="R1845" s="66"/>
      <c r="S1845" s="66"/>
      <c r="T1845" s="66"/>
      <c r="U1845" s="66"/>
      <c r="V1845" s="66"/>
      <c r="W1845" s="66"/>
      <c r="X1845" s="66"/>
      <c r="Y1845" s="66"/>
      <c r="Z1845" s="66"/>
    </row>
    <row r="1846">
      <c r="A1846" s="66"/>
      <c r="B1846" s="66"/>
      <c r="C1846" s="66"/>
      <c r="D1846" s="66"/>
      <c r="E1846" s="66"/>
      <c r="F1846" s="66"/>
      <c r="G1846" s="66"/>
      <c r="H1846" s="66"/>
      <c r="I1846" s="66"/>
      <c r="J1846" s="66"/>
      <c r="K1846" s="66"/>
      <c r="L1846" s="66"/>
      <c r="M1846" s="66"/>
      <c r="N1846" s="66"/>
      <c r="O1846" s="66"/>
      <c r="P1846" s="66"/>
      <c r="Q1846" s="66"/>
      <c r="R1846" s="66"/>
      <c r="S1846" s="66"/>
      <c r="T1846" s="66"/>
      <c r="U1846" s="66"/>
      <c r="V1846" s="66"/>
      <c r="W1846" s="66"/>
      <c r="X1846" s="66"/>
      <c r="Y1846" s="66"/>
      <c r="Z1846" s="66"/>
    </row>
    <row r="1847">
      <c r="A1847" s="66"/>
      <c r="B1847" s="66"/>
      <c r="C1847" s="66"/>
      <c r="D1847" s="66"/>
      <c r="E1847" s="66"/>
      <c r="F1847" s="66"/>
      <c r="G1847" s="66"/>
      <c r="H1847" s="66"/>
      <c r="I1847" s="66"/>
      <c r="J1847" s="66"/>
      <c r="K1847" s="66"/>
      <c r="L1847" s="66"/>
      <c r="M1847" s="66"/>
      <c r="N1847" s="66"/>
      <c r="O1847" s="66"/>
      <c r="P1847" s="66"/>
      <c r="Q1847" s="66"/>
      <c r="R1847" s="66"/>
      <c r="S1847" s="66"/>
      <c r="T1847" s="66"/>
      <c r="U1847" s="66"/>
      <c r="V1847" s="66"/>
      <c r="W1847" s="66"/>
      <c r="X1847" s="66"/>
      <c r="Y1847" s="66"/>
      <c r="Z1847" s="66"/>
    </row>
    <row r="1848">
      <c r="A1848" s="66"/>
      <c r="B1848" s="66"/>
      <c r="C1848" s="66"/>
      <c r="D1848" s="66"/>
      <c r="E1848" s="66"/>
      <c r="F1848" s="66"/>
      <c r="G1848" s="66"/>
      <c r="H1848" s="66"/>
      <c r="I1848" s="66"/>
      <c r="J1848" s="66"/>
      <c r="K1848" s="66"/>
      <c r="L1848" s="66"/>
      <c r="M1848" s="66"/>
      <c r="N1848" s="66"/>
      <c r="O1848" s="66"/>
      <c r="P1848" s="66"/>
      <c r="Q1848" s="66"/>
      <c r="R1848" s="66"/>
      <c r="S1848" s="66"/>
      <c r="T1848" s="66"/>
      <c r="U1848" s="66"/>
      <c r="V1848" s="66"/>
      <c r="W1848" s="66"/>
      <c r="X1848" s="66"/>
      <c r="Y1848" s="66"/>
      <c r="Z1848" s="66"/>
    </row>
    <row r="1849">
      <c r="A1849" s="66"/>
      <c r="B1849" s="66"/>
      <c r="C1849" s="66"/>
      <c r="D1849" s="66"/>
      <c r="E1849" s="66"/>
      <c r="F1849" s="66"/>
      <c r="G1849" s="66"/>
      <c r="H1849" s="66"/>
      <c r="I1849" s="66"/>
      <c r="J1849" s="66"/>
      <c r="K1849" s="66"/>
      <c r="L1849" s="66"/>
      <c r="M1849" s="66"/>
      <c r="N1849" s="66"/>
      <c r="O1849" s="66"/>
      <c r="P1849" s="66"/>
      <c r="Q1849" s="66"/>
      <c r="R1849" s="66"/>
      <c r="S1849" s="66"/>
      <c r="T1849" s="66"/>
      <c r="U1849" s="66"/>
      <c r="V1849" s="66"/>
      <c r="W1849" s="66"/>
      <c r="X1849" s="66"/>
      <c r="Y1849" s="66"/>
      <c r="Z1849" s="66"/>
    </row>
    <row r="1850">
      <c r="A1850" s="66"/>
      <c r="B1850" s="66"/>
      <c r="C1850" s="66"/>
      <c r="D1850" s="66"/>
      <c r="E1850" s="66"/>
      <c r="F1850" s="66"/>
      <c r="G1850" s="66"/>
      <c r="H1850" s="66"/>
      <c r="I1850" s="66"/>
      <c r="J1850" s="66"/>
      <c r="K1850" s="66"/>
      <c r="L1850" s="66"/>
      <c r="M1850" s="66"/>
      <c r="N1850" s="66"/>
      <c r="O1850" s="66"/>
      <c r="P1850" s="66"/>
      <c r="Q1850" s="66"/>
      <c r="R1850" s="66"/>
      <c r="S1850" s="66"/>
      <c r="T1850" s="66"/>
      <c r="U1850" s="66"/>
      <c r="V1850" s="66"/>
      <c r="W1850" s="66"/>
      <c r="X1850" s="66"/>
      <c r="Y1850" s="66"/>
      <c r="Z1850" s="66"/>
    </row>
    <row r="1851">
      <c r="A1851" s="66"/>
      <c r="B1851" s="66"/>
      <c r="C1851" s="66"/>
      <c r="D1851" s="66"/>
      <c r="E1851" s="66"/>
      <c r="F1851" s="66"/>
      <c r="G1851" s="66"/>
      <c r="H1851" s="66"/>
      <c r="I1851" s="66"/>
      <c r="J1851" s="66"/>
      <c r="K1851" s="66"/>
      <c r="L1851" s="66"/>
      <c r="M1851" s="66"/>
      <c r="N1851" s="66"/>
      <c r="O1851" s="66"/>
      <c r="P1851" s="66"/>
      <c r="Q1851" s="66"/>
      <c r="R1851" s="66"/>
      <c r="S1851" s="66"/>
      <c r="T1851" s="66"/>
      <c r="U1851" s="66"/>
      <c r="V1851" s="66"/>
      <c r="W1851" s="66"/>
      <c r="X1851" s="66"/>
      <c r="Y1851" s="66"/>
      <c r="Z1851" s="66"/>
    </row>
    <row r="1852">
      <c r="A1852" s="66"/>
      <c r="B1852" s="66"/>
      <c r="C1852" s="66"/>
      <c r="D1852" s="66"/>
      <c r="E1852" s="66"/>
      <c r="F1852" s="66"/>
      <c r="G1852" s="66"/>
      <c r="H1852" s="66"/>
      <c r="I1852" s="66"/>
      <c r="J1852" s="66"/>
      <c r="K1852" s="66"/>
      <c r="L1852" s="66"/>
      <c r="M1852" s="66"/>
      <c r="N1852" s="66"/>
      <c r="O1852" s="66"/>
      <c r="P1852" s="66"/>
      <c r="Q1852" s="66"/>
      <c r="R1852" s="66"/>
      <c r="S1852" s="66"/>
      <c r="T1852" s="66"/>
      <c r="U1852" s="66"/>
      <c r="V1852" s="66"/>
      <c r="W1852" s="66"/>
      <c r="X1852" s="66"/>
      <c r="Y1852" s="66"/>
      <c r="Z1852" s="66"/>
    </row>
    <row r="1853">
      <c r="A1853" s="66"/>
      <c r="B1853" s="66"/>
      <c r="C1853" s="66"/>
      <c r="D1853" s="66"/>
      <c r="E1853" s="66"/>
      <c r="F1853" s="66"/>
      <c r="G1853" s="66"/>
      <c r="H1853" s="66"/>
      <c r="I1853" s="66"/>
      <c r="J1853" s="66"/>
      <c r="K1853" s="66"/>
      <c r="L1853" s="66"/>
      <c r="M1853" s="66"/>
      <c r="N1853" s="66"/>
      <c r="O1853" s="66"/>
      <c r="P1853" s="66"/>
      <c r="Q1853" s="66"/>
      <c r="R1853" s="66"/>
      <c r="S1853" s="66"/>
      <c r="T1853" s="66"/>
      <c r="U1853" s="66"/>
      <c r="V1853" s="66"/>
      <c r="W1853" s="66"/>
      <c r="X1853" s="66"/>
      <c r="Y1853" s="66"/>
      <c r="Z1853" s="66"/>
    </row>
    <row r="1854">
      <c r="A1854" s="66"/>
      <c r="B1854" s="66"/>
      <c r="C1854" s="66"/>
      <c r="D1854" s="66"/>
      <c r="E1854" s="66"/>
      <c r="F1854" s="66"/>
      <c r="G1854" s="66"/>
      <c r="H1854" s="66"/>
      <c r="I1854" s="66"/>
      <c r="J1854" s="66"/>
      <c r="K1854" s="66"/>
      <c r="L1854" s="66"/>
      <c r="M1854" s="66"/>
      <c r="N1854" s="66"/>
      <c r="O1854" s="66"/>
      <c r="P1854" s="66"/>
      <c r="Q1854" s="66"/>
      <c r="R1854" s="66"/>
      <c r="S1854" s="66"/>
      <c r="T1854" s="66"/>
      <c r="U1854" s="66"/>
      <c r="V1854" s="66"/>
      <c r="W1854" s="66"/>
      <c r="X1854" s="66"/>
      <c r="Y1854" s="66"/>
      <c r="Z1854" s="66"/>
    </row>
    <row r="1855">
      <c r="A1855" s="66"/>
      <c r="B1855" s="66"/>
      <c r="C1855" s="66"/>
      <c r="D1855" s="66"/>
      <c r="E1855" s="66"/>
      <c r="F1855" s="66"/>
      <c r="G1855" s="66"/>
      <c r="H1855" s="66"/>
      <c r="I1855" s="66"/>
      <c r="J1855" s="66"/>
      <c r="K1855" s="66"/>
      <c r="L1855" s="66"/>
      <c r="M1855" s="66"/>
      <c r="N1855" s="66"/>
      <c r="O1855" s="66"/>
      <c r="P1855" s="66"/>
      <c r="Q1855" s="66"/>
      <c r="R1855" s="66"/>
      <c r="S1855" s="66"/>
      <c r="T1855" s="66"/>
      <c r="U1855" s="66"/>
      <c r="V1855" s="66"/>
      <c r="W1855" s="66"/>
      <c r="X1855" s="66"/>
      <c r="Y1855" s="66"/>
      <c r="Z1855" s="66"/>
    </row>
    <row r="1856">
      <c r="A1856" s="66"/>
      <c r="B1856" s="66"/>
      <c r="C1856" s="66"/>
      <c r="D1856" s="66"/>
      <c r="E1856" s="66"/>
      <c r="F1856" s="66"/>
      <c r="G1856" s="66"/>
      <c r="H1856" s="66"/>
      <c r="I1856" s="66"/>
      <c r="J1856" s="66"/>
      <c r="K1856" s="66"/>
      <c r="L1856" s="66"/>
      <c r="M1856" s="66"/>
      <c r="N1856" s="66"/>
      <c r="O1856" s="66"/>
      <c r="P1856" s="66"/>
      <c r="Q1856" s="66"/>
      <c r="R1856" s="66"/>
      <c r="S1856" s="66"/>
      <c r="T1856" s="66"/>
      <c r="U1856" s="66"/>
      <c r="V1856" s="66"/>
      <c r="W1856" s="66"/>
      <c r="X1856" s="66"/>
      <c r="Y1856" s="66"/>
      <c r="Z1856" s="66"/>
    </row>
    <row r="1857">
      <c r="A1857" s="66"/>
      <c r="B1857" s="66"/>
      <c r="C1857" s="66"/>
      <c r="D1857" s="66"/>
      <c r="E1857" s="66"/>
      <c r="F1857" s="66"/>
      <c r="G1857" s="66"/>
      <c r="H1857" s="66"/>
      <c r="I1857" s="66"/>
      <c r="J1857" s="66"/>
      <c r="K1857" s="66"/>
      <c r="L1857" s="66"/>
      <c r="M1857" s="66"/>
      <c r="N1857" s="66"/>
      <c r="O1857" s="66"/>
      <c r="P1857" s="66"/>
      <c r="Q1857" s="66"/>
      <c r="R1857" s="66"/>
      <c r="S1857" s="66"/>
      <c r="T1857" s="66"/>
      <c r="U1857" s="66"/>
      <c r="V1857" s="66"/>
      <c r="W1857" s="66"/>
      <c r="X1857" s="66"/>
      <c r="Y1857" s="66"/>
      <c r="Z1857" s="66"/>
    </row>
    <row r="1858">
      <c r="A1858" s="66"/>
      <c r="B1858" s="66"/>
      <c r="C1858" s="66"/>
      <c r="D1858" s="66"/>
      <c r="E1858" s="66"/>
      <c r="F1858" s="66"/>
      <c r="G1858" s="66"/>
      <c r="H1858" s="66"/>
      <c r="I1858" s="66"/>
      <c r="J1858" s="66"/>
      <c r="K1858" s="66"/>
      <c r="L1858" s="66"/>
      <c r="M1858" s="66"/>
      <c r="N1858" s="66"/>
      <c r="O1858" s="66"/>
      <c r="P1858" s="66"/>
      <c r="Q1858" s="66"/>
      <c r="R1858" s="66"/>
      <c r="S1858" s="66"/>
      <c r="T1858" s="66"/>
      <c r="U1858" s="66"/>
      <c r="V1858" s="66"/>
      <c r="W1858" s="66"/>
      <c r="X1858" s="66"/>
      <c r="Y1858" s="66"/>
      <c r="Z1858" s="66"/>
    </row>
    <row r="1859">
      <c r="A1859" s="66"/>
      <c r="B1859" s="66"/>
      <c r="C1859" s="66"/>
      <c r="D1859" s="66"/>
      <c r="E1859" s="66"/>
      <c r="F1859" s="66"/>
      <c r="G1859" s="66"/>
      <c r="H1859" s="66"/>
      <c r="I1859" s="66"/>
      <c r="J1859" s="66"/>
      <c r="K1859" s="66"/>
      <c r="L1859" s="66"/>
      <c r="M1859" s="66"/>
      <c r="N1859" s="66"/>
      <c r="O1859" s="66"/>
      <c r="P1859" s="66"/>
      <c r="Q1859" s="66"/>
      <c r="R1859" s="66"/>
      <c r="S1859" s="66"/>
      <c r="T1859" s="66"/>
      <c r="U1859" s="66"/>
      <c r="V1859" s="66"/>
      <c r="W1859" s="66"/>
      <c r="X1859" s="66"/>
      <c r="Y1859" s="66"/>
      <c r="Z1859" s="66"/>
    </row>
    <row r="1860">
      <c r="A1860" s="66"/>
      <c r="B1860" s="66"/>
      <c r="C1860" s="66"/>
      <c r="D1860" s="66"/>
      <c r="E1860" s="66"/>
      <c r="F1860" s="66"/>
      <c r="G1860" s="66"/>
      <c r="H1860" s="66"/>
      <c r="I1860" s="66"/>
      <c r="J1860" s="66"/>
      <c r="K1860" s="66"/>
      <c r="L1860" s="66"/>
      <c r="M1860" s="66"/>
      <c r="N1860" s="66"/>
      <c r="O1860" s="66"/>
      <c r="P1860" s="66"/>
      <c r="Q1860" s="66"/>
      <c r="R1860" s="66"/>
      <c r="S1860" s="66"/>
      <c r="T1860" s="66"/>
      <c r="U1860" s="66"/>
      <c r="V1860" s="66"/>
      <c r="W1860" s="66"/>
      <c r="X1860" s="66"/>
      <c r="Y1860" s="66"/>
      <c r="Z1860" s="66"/>
    </row>
    <row r="1861">
      <c r="A1861" s="66"/>
      <c r="B1861" s="66"/>
      <c r="C1861" s="66"/>
      <c r="D1861" s="66"/>
      <c r="E1861" s="66"/>
      <c r="F1861" s="66"/>
      <c r="G1861" s="66"/>
      <c r="H1861" s="66"/>
      <c r="I1861" s="66"/>
      <c r="J1861" s="66"/>
      <c r="K1861" s="66"/>
      <c r="L1861" s="66"/>
      <c r="M1861" s="66"/>
      <c r="N1861" s="66"/>
      <c r="O1861" s="66"/>
      <c r="P1861" s="66"/>
      <c r="Q1861" s="66"/>
      <c r="R1861" s="66"/>
      <c r="S1861" s="66"/>
      <c r="T1861" s="66"/>
      <c r="U1861" s="66"/>
      <c r="V1861" s="66"/>
      <c r="W1861" s="66"/>
      <c r="X1861" s="66"/>
      <c r="Y1861" s="66"/>
      <c r="Z1861" s="66"/>
    </row>
    <row r="1862">
      <c r="A1862" s="66"/>
      <c r="B1862" s="66"/>
      <c r="C1862" s="66"/>
      <c r="D1862" s="66"/>
      <c r="E1862" s="66"/>
      <c r="F1862" s="66"/>
      <c r="G1862" s="66"/>
      <c r="H1862" s="66"/>
      <c r="I1862" s="66"/>
      <c r="J1862" s="66"/>
      <c r="K1862" s="66"/>
      <c r="L1862" s="66"/>
      <c r="M1862" s="66"/>
      <c r="N1862" s="66"/>
      <c r="O1862" s="66"/>
      <c r="P1862" s="66"/>
      <c r="Q1862" s="66"/>
      <c r="R1862" s="66"/>
      <c r="S1862" s="66"/>
      <c r="T1862" s="66"/>
      <c r="U1862" s="66"/>
      <c r="V1862" s="66"/>
      <c r="W1862" s="66"/>
      <c r="X1862" s="66"/>
      <c r="Y1862" s="66"/>
      <c r="Z1862" s="66"/>
    </row>
    <row r="1863">
      <c r="A1863" s="66"/>
      <c r="B1863" s="66"/>
      <c r="C1863" s="66"/>
      <c r="D1863" s="66"/>
      <c r="E1863" s="66"/>
      <c r="F1863" s="66"/>
      <c r="G1863" s="66"/>
      <c r="H1863" s="66"/>
      <c r="I1863" s="66"/>
      <c r="J1863" s="66"/>
      <c r="K1863" s="66"/>
      <c r="L1863" s="66"/>
      <c r="M1863" s="66"/>
      <c r="N1863" s="66"/>
      <c r="O1863" s="66"/>
      <c r="P1863" s="66"/>
      <c r="Q1863" s="66"/>
      <c r="R1863" s="66"/>
      <c r="S1863" s="66"/>
      <c r="T1863" s="66"/>
      <c r="U1863" s="66"/>
      <c r="V1863" s="66"/>
      <c r="W1863" s="66"/>
      <c r="X1863" s="66"/>
      <c r="Y1863" s="66"/>
      <c r="Z1863" s="66"/>
    </row>
    <row r="1864">
      <c r="A1864" s="66"/>
      <c r="B1864" s="66"/>
      <c r="C1864" s="66"/>
      <c r="D1864" s="66"/>
      <c r="E1864" s="66"/>
      <c r="F1864" s="66"/>
      <c r="G1864" s="66"/>
      <c r="H1864" s="66"/>
      <c r="I1864" s="66"/>
      <c r="J1864" s="66"/>
      <c r="K1864" s="66"/>
      <c r="L1864" s="66"/>
      <c r="M1864" s="66"/>
      <c r="N1864" s="66"/>
      <c r="O1864" s="66"/>
      <c r="P1864" s="66"/>
      <c r="Q1864" s="66"/>
      <c r="R1864" s="66"/>
      <c r="S1864" s="66"/>
      <c r="T1864" s="66"/>
      <c r="U1864" s="66"/>
      <c r="V1864" s="66"/>
      <c r="W1864" s="66"/>
      <c r="X1864" s="66"/>
      <c r="Y1864" s="66"/>
      <c r="Z1864" s="66"/>
    </row>
    <row r="1865">
      <c r="A1865" s="66"/>
      <c r="B1865" s="66"/>
      <c r="C1865" s="66"/>
      <c r="D1865" s="66"/>
      <c r="E1865" s="66"/>
      <c r="F1865" s="66"/>
      <c r="G1865" s="66"/>
      <c r="H1865" s="66"/>
      <c r="I1865" s="66"/>
      <c r="J1865" s="66"/>
      <c r="K1865" s="66"/>
      <c r="L1865" s="66"/>
      <c r="M1865" s="66"/>
      <c r="N1865" s="66"/>
      <c r="O1865" s="66"/>
      <c r="P1865" s="66"/>
      <c r="Q1865" s="66"/>
      <c r="R1865" s="66"/>
      <c r="S1865" s="66"/>
      <c r="T1865" s="66"/>
      <c r="U1865" s="66"/>
      <c r="V1865" s="66"/>
      <c r="W1865" s="66"/>
      <c r="X1865" s="66"/>
      <c r="Y1865" s="66"/>
      <c r="Z1865" s="66"/>
    </row>
    <row r="1866">
      <c r="A1866" s="66"/>
      <c r="B1866" s="66"/>
      <c r="C1866" s="66"/>
      <c r="D1866" s="66"/>
      <c r="E1866" s="66"/>
      <c r="F1866" s="66"/>
      <c r="G1866" s="66"/>
      <c r="H1866" s="66"/>
      <c r="I1866" s="66"/>
      <c r="J1866" s="66"/>
      <c r="K1866" s="66"/>
      <c r="L1866" s="66"/>
      <c r="M1866" s="66"/>
      <c r="N1866" s="66"/>
      <c r="O1866" s="66"/>
      <c r="P1866" s="66"/>
      <c r="Q1866" s="66"/>
      <c r="R1866" s="66"/>
      <c r="S1866" s="66"/>
      <c r="T1866" s="66"/>
      <c r="U1866" s="66"/>
      <c r="V1866" s="66"/>
      <c r="W1866" s="66"/>
      <c r="X1866" s="66"/>
      <c r="Y1866" s="66"/>
      <c r="Z1866" s="66"/>
    </row>
    <row r="1867">
      <c r="A1867" s="66"/>
      <c r="B1867" s="66"/>
      <c r="C1867" s="66"/>
      <c r="D1867" s="66"/>
      <c r="E1867" s="66"/>
      <c r="F1867" s="66"/>
      <c r="G1867" s="66"/>
      <c r="H1867" s="66"/>
      <c r="I1867" s="66"/>
      <c r="J1867" s="66"/>
      <c r="K1867" s="66"/>
      <c r="L1867" s="66"/>
      <c r="M1867" s="66"/>
      <c r="N1867" s="66"/>
      <c r="O1867" s="66"/>
      <c r="P1867" s="66"/>
      <c r="Q1867" s="66"/>
      <c r="R1867" s="66"/>
      <c r="S1867" s="66"/>
      <c r="T1867" s="66"/>
      <c r="U1867" s="66"/>
      <c r="V1867" s="66"/>
      <c r="W1867" s="66"/>
      <c r="X1867" s="66"/>
      <c r="Y1867" s="66"/>
      <c r="Z1867" s="66"/>
    </row>
    <row r="1868">
      <c r="A1868" s="66"/>
      <c r="B1868" s="66"/>
      <c r="C1868" s="66"/>
      <c r="D1868" s="66"/>
      <c r="E1868" s="66"/>
      <c r="F1868" s="66"/>
      <c r="G1868" s="66"/>
      <c r="H1868" s="66"/>
      <c r="I1868" s="66"/>
      <c r="J1868" s="66"/>
      <c r="K1868" s="66"/>
      <c r="L1868" s="66"/>
      <c r="M1868" s="66"/>
      <c r="N1868" s="66"/>
      <c r="O1868" s="66"/>
      <c r="P1868" s="66"/>
      <c r="Q1868" s="66"/>
      <c r="R1868" s="66"/>
      <c r="S1868" s="66"/>
      <c r="T1868" s="66"/>
      <c r="U1868" s="66"/>
      <c r="V1868" s="66"/>
      <c r="W1868" s="66"/>
      <c r="X1868" s="66"/>
      <c r="Y1868" s="66"/>
      <c r="Z1868" s="66"/>
    </row>
    <row r="1869">
      <c r="A1869" s="66"/>
      <c r="B1869" s="66"/>
      <c r="C1869" s="66"/>
      <c r="D1869" s="66"/>
      <c r="E1869" s="66"/>
      <c r="F1869" s="66"/>
      <c r="G1869" s="66"/>
      <c r="H1869" s="66"/>
      <c r="I1869" s="66"/>
      <c r="J1869" s="66"/>
      <c r="K1869" s="66"/>
      <c r="L1869" s="66"/>
      <c r="M1869" s="66"/>
      <c r="N1869" s="66"/>
      <c r="O1869" s="66"/>
      <c r="P1869" s="66"/>
      <c r="Q1869" s="66"/>
      <c r="R1869" s="66"/>
      <c r="S1869" s="66"/>
      <c r="T1869" s="66"/>
      <c r="U1869" s="66"/>
      <c r="V1869" s="66"/>
      <c r="W1869" s="66"/>
      <c r="X1869" s="66"/>
      <c r="Y1869" s="66"/>
      <c r="Z1869" s="66"/>
    </row>
    <row r="1870">
      <c r="A1870" s="66"/>
      <c r="B1870" s="66"/>
      <c r="C1870" s="66"/>
      <c r="D1870" s="66"/>
      <c r="E1870" s="66"/>
      <c r="F1870" s="66"/>
      <c r="G1870" s="66"/>
      <c r="H1870" s="66"/>
      <c r="I1870" s="66"/>
      <c r="J1870" s="66"/>
      <c r="K1870" s="66"/>
      <c r="L1870" s="66"/>
      <c r="M1870" s="66"/>
      <c r="N1870" s="66"/>
      <c r="O1870" s="66"/>
      <c r="P1870" s="66"/>
      <c r="Q1870" s="66"/>
      <c r="R1870" s="66"/>
      <c r="S1870" s="66"/>
      <c r="T1870" s="66"/>
      <c r="U1870" s="66"/>
      <c r="V1870" s="66"/>
      <c r="W1870" s="66"/>
      <c r="X1870" s="66"/>
      <c r="Y1870" s="66"/>
      <c r="Z1870" s="66"/>
    </row>
    <row r="1871">
      <c r="A1871" s="66"/>
      <c r="B1871" s="66"/>
      <c r="C1871" s="66"/>
      <c r="D1871" s="66"/>
      <c r="E1871" s="66"/>
      <c r="F1871" s="66"/>
      <c r="G1871" s="66"/>
      <c r="H1871" s="66"/>
      <c r="I1871" s="66"/>
      <c r="J1871" s="66"/>
      <c r="K1871" s="66"/>
      <c r="L1871" s="66"/>
      <c r="M1871" s="66"/>
      <c r="N1871" s="66"/>
      <c r="O1871" s="66"/>
      <c r="P1871" s="66"/>
      <c r="Q1871" s="66"/>
      <c r="R1871" s="66"/>
      <c r="S1871" s="66"/>
      <c r="T1871" s="66"/>
      <c r="U1871" s="66"/>
      <c r="V1871" s="66"/>
      <c r="W1871" s="66"/>
      <c r="X1871" s="66"/>
      <c r="Y1871" s="66"/>
      <c r="Z1871" s="66"/>
    </row>
    <row r="1872">
      <c r="A1872" s="66"/>
      <c r="B1872" s="66"/>
      <c r="C1872" s="66"/>
      <c r="D1872" s="66"/>
      <c r="E1872" s="66"/>
      <c r="F1872" s="66"/>
      <c r="G1872" s="66"/>
      <c r="H1872" s="66"/>
      <c r="I1872" s="66"/>
      <c r="J1872" s="66"/>
      <c r="K1872" s="66"/>
      <c r="L1872" s="66"/>
      <c r="M1872" s="66"/>
      <c r="N1872" s="66"/>
      <c r="O1872" s="66"/>
      <c r="P1872" s="66"/>
      <c r="Q1872" s="66"/>
      <c r="R1872" s="66"/>
      <c r="S1872" s="66"/>
      <c r="T1872" s="66"/>
      <c r="U1872" s="66"/>
      <c r="V1872" s="66"/>
      <c r="W1872" s="66"/>
      <c r="X1872" s="66"/>
      <c r="Y1872" s="66"/>
      <c r="Z1872" s="66"/>
    </row>
    <row r="1873">
      <c r="A1873" s="66"/>
      <c r="B1873" s="66"/>
      <c r="C1873" s="66"/>
      <c r="D1873" s="66"/>
      <c r="E1873" s="66"/>
      <c r="F1873" s="66"/>
      <c r="G1873" s="66"/>
      <c r="H1873" s="66"/>
      <c r="I1873" s="66"/>
      <c r="J1873" s="66"/>
      <c r="K1873" s="66"/>
      <c r="L1873" s="66"/>
      <c r="M1873" s="66"/>
      <c r="N1873" s="66"/>
      <c r="O1873" s="66"/>
      <c r="P1873" s="66"/>
      <c r="Q1873" s="66"/>
      <c r="R1873" s="66"/>
      <c r="S1873" s="66"/>
      <c r="T1873" s="66"/>
      <c r="U1873" s="66"/>
      <c r="V1873" s="66"/>
      <c r="W1873" s="66"/>
      <c r="X1873" s="66"/>
      <c r="Y1873" s="66"/>
      <c r="Z1873" s="66"/>
    </row>
    <row r="1874">
      <c r="A1874" s="66"/>
      <c r="B1874" s="66"/>
      <c r="C1874" s="66"/>
      <c r="D1874" s="66"/>
      <c r="E1874" s="66"/>
      <c r="F1874" s="66"/>
      <c r="G1874" s="66"/>
      <c r="H1874" s="66"/>
      <c r="I1874" s="66"/>
      <c r="J1874" s="66"/>
      <c r="K1874" s="66"/>
      <c r="L1874" s="66"/>
      <c r="M1874" s="66"/>
      <c r="N1874" s="66"/>
      <c r="O1874" s="66"/>
      <c r="P1874" s="66"/>
      <c r="Q1874" s="66"/>
      <c r="R1874" s="66"/>
      <c r="S1874" s="66"/>
      <c r="T1874" s="66"/>
      <c r="U1874" s="66"/>
      <c r="V1874" s="66"/>
      <c r="W1874" s="66"/>
      <c r="X1874" s="66"/>
      <c r="Y1874" s="66"/>
      <c r="Z1874" s="66"/>
    </row>
    <row r="1875">
      <c r="A1875" s="66"/>
      <c r="B1875" s="66"/>
      <c r="C1875" s="66"/>
      <c r="D1875" s="66"/>
      <c r="E1875" s="66"/>
      <c r="F1875" s="66"/>
      <c r="G1875" s="66"/>
      <c r="H1875" s="66"/>
      <c r="I1875" s="66"/>
      <c r="J1875" s="66"/>
      <c r="K1875" s="66"/>
      <c r="L1875" s="66"/>
      <c r="M1875" s="66"/>
      <c r="N1875" s="66"/>
      <c r="O1875" s="66"/>
      <c r="P1875" s="66"/>
      <c r="Q1875" s="66"/>
      <c r="R1875" s="66"/>
      <c r="S1875" s="66"/>
      <c r="T1875" s="66"/>
      <c r="U1875" s="66"/>
      <c r="V1875" s="66"/>
      <c r="W1875" s="66"/>
      <c r="X1875" s="66"/>
      <c r="Y1875" s="66"/>
      <c r="Z1875" s="66"/>
    </row>
    <row r="1876">
      <c r="A1876" s="66"/>
      <c r="B1876" s="66"/>
      <c r="C1876" s="66"/>
      <c r="D1876" s="66"/>
      <c r="E1876" s="66"/>
      <c r="F1876" s="66"/>
      <c r="G1876" s="66"/>
      <c r="H1876" s="66"/>
      <c r="I1876" s="66"/>
      <c r="J1876" s="66"/>
      <c r="K1876" s="66"/>
      <c r="L1876" s="66"/>
      <c r="M1876" s="66"/>
      <c r="N1876" s="66"/>
      <c r="O1876" s="66"/>
      <c r="P1876" s="66"/>
      <c r="Q1876" s="66"/>
      <c r="R1876" s="66"/>
      <c r="S1876" s="66"/>
      <c r="T1876" s="66"/>
      <c r="U1876" s="66"/>
      <c r="V1876" s="66"/>
      <c r="W1876" s="66"/>
      <c r="X1876" s="66"/>
      <c r="Y1876" s="66"/>
      <c r="Z1876" s="66"/>
    </row>
    <row r="1877">
      <c r="A1877" s="66"/>
      <c r="B1877" s="66"/>
      <c r="C1877" s="66"/>
      <c r="D1877" s="66"/>
      <c r="E1877" s="66"/>
      <c r="F1877" s="66"/>
      <c r="G1877" s="66"/>
      <c r="H1877" s="66"/>
      <c r="I1877" s="66"/>
      <c r="J1877" s="66"/>
      <c r="K1877" s="66"/>
      <c r="L1877" s="66"/>
      <c r="M1877" s="66"/>
      <c r="N1877" s="66"/>
      <c r="O1877" s="66"/>
      <c r="P1877" s="66"/>
      <c r="Q1877" s="66"/>
      <c r="R1877" s="66"/>
      <c r="S1877" s="66"/>
      <c r="T1877" s="66"/>
      <c r="U1877" s="66"/>
      <c r="V1877" s="66"/>
      <c r="W1877" s="66"/>
      <c r="X1877" s="66"/>
      <c r="Y1877" s="66"/>
      <c r="Z1877" s="66"/>
    </row>
    <row r="1878">
      <c r="A1878" s="66"/>
      <c r="B1878" s="66"/>
      <c r="C1878" s="66"/>
      <c r="D1878" s="66"/>
      <c r="E1878" s="66"/>
      <c r="F1878" s="66"/>
      <c r="G1878" s="66"/>
      <c r="H1878" s="66"/>
      <c r="I1878" s="66"/>
      <c r="J1878" s="66"/>
      <c r="K1878" s="66"/>
      <c r="L1878" s="66"/>
      <c r="M1878" s="66"/>
      <c r="N1878" s="66"/>
      <c r="O1878" s="66"/>
      <c r="P1878" s="66"/>
      <c r="Q1878" s="66"/>
      <c r="R1878" s="66"/>
      <c r="S1878" s="66"/>
      <c r="T1878" s="66"/>
      <c r="U1878" s="66"/>
      <c r="V1878" s="66"/>
      <c r="W1878" s="66"/>
      <c r="X1878" s="66"/>
      <c r="Y1878" s="66"/>
      <c r="Z1878" s="66"/>
    </row>
    <row r="1879">
      <c r="A1879" s="66"/>
      <c r="B1879" s="66"/>
      <c r="C1879" s="66"/>
      <c r="D1879" s="66"/>
      <c r="E1879" s="66"/>
      <c r="F1879" s="66"/>
      <c r="G1879" s="66"/>
      <c r="H1879" s="66"/>
      <c r="I1879" s="66"/>
      <c r="J1879" s="66"/>
      <c r="K1879" s="66"/>
      <c r="L1879" s="66"/>
      <c r="M1879" s="66"/>
      <c r="N1879" s="66"/>
      <c r="O1879" s="66"/>
      <c r="P1879" s="66"/>
      <c r="Q1879" s="66"/>
      <c r="R1879" s="66"/>
      <c r="S1879" s="66"/>
      <c r="T1879" s="66"/>
      <c r="U1879" s="66"/>
      <c r="V1879" s="66"/>
      <c r="W1879" s="66"/>
      <c r="X1879" s="66"/>
      <c r="Y1879" s="66"/>
      <c r="Z1879" s="66"/>
    </row>
    <row r="1880">
      <c r="A1880" s="66"/>
      <c r="B1880" s="66"/>
      <c r="C1880" s="66"/>
      <c r="D1880" s="66"/>
      <c r="E1880" s="66"/>
      <c r="F1880" s="66"/>
      <c r="G1880" s="66"/>
      <c r="H1880" s="66"/>
      <c r="I1880" s="66"/>
      <c r="J1880" s="66"/>
      <c r="K1880" s="66"/>
      <c r="L1880" s="66"/>
      <c r="M1880" s="66"/>
      <c r="N1880" s="66"/>
      <c r="O1880" s="66"/>
      <c r="P1880" s="66"/>
      <c r="Q1880" s="66"/>
      <c r="R1880" s="66"/>
      <c r="S1880" s="66"/>
      <c r="T1880" s="66"/>
      <c r="U1880" s="66"/>
      <c r="V1880" s="66"/>
      <c r="W1880" s="66"/>
      <c r="X1880" s="66"/>
      <c r="Y1880" s="66"/>
      <c r="Z1880" s="66"/>
    </row>
    <row r="1881">
      <c r="A1881" s="66"/>
      <c r="B1881" s="66"/>
      <c r="C1881" s="66"/>
      <c r="D1881" s="66"/>
      <c r="E1881" s="66"/>
      <c r="F1881" s="66"/>
      <c r="G1881" s="66"/>
      <c r="H1881" s="66"/>
      <c r="I1881" s="66"/>
      <c r="J1881" s="66"/>
      <c r="K1881" s="66"/>
      <c r="L1881" s="66"/>
      <c r="M1881" s="66"/>
      <c r="N1881" s="66"/>
      <c r="O1881" s="66"/>
      <c r="P1881" s="66"/>
      <c r="Q1881" s="66"/>
      <c r="R1881" s="66"/>
      <c r="S1881" s="66"/>
      <c r="T1881" s="66"/>
      <c r="U1881" s="66"/>
      <c r="V1881" s="66"/>
      <c r="W1881" s="66"/>
      <c r="X1881" s="66"/>
      <c r="Y1881" s="66"/>
      <c r="Z1881" s="66"/>
    </row>
    <row r="1882">
      <c r="A1882" s="66"/>
      <c r="B1882" s="66"/>
      <c r="C1882" s="66"/>
      <c r="D1882" s="66"/>
      <c r="E1882" s="66"/>
      <c r="F1882" s="66"/>
      <c r="G1882" s="66"/>
      <c r="H1882" s="66"/>
      <c r="I1882" s="66"/>
      <c r="J1882" s="66"/>
      <c r="K1882" s="66"/>
      <c r="L1882" s="66"/>
      <c r="M1882" s="66"/>
      <c r="N1882" s="66"/>
      <c r="O1882" s="66"/>
      <c r="P1882" s="66"/>
      <c r="Q1882" s="66"/>
      <c r="R1882" s="66"/>
      <c r="S1882" s="66"/>
      <c r="T1882" s="66"/>
      <c r="U1882" s="66"/>
      <c r="V1882" s="66"/>
      <c r="W1882" s="66"/>
      <c r="X1882" s="66"/>
      <c r="Y1882" s="66"/>
      <c r="Z1882" s="66"/>
    </row>
    <row r="1883">
      <c r="A1883" s="66"/>
      <c r="B1883" s="66"/>
      <c r="C1883" s="66"/>
      <c r="D1883" s="66"/>
      <c r="E1883" s="66"/>
      <c r="F1883" s="66"/>
      <c r="G1883" s="66"/>
      <c r="H1883" s="66"/>
      <c r="I1883" s="66"/>
      <c r="J1883" s="66"/>
      <c r="K1883" s="66"/>
      <c r="L1883" s="66"/>
      <c r="M1883" s="66"/>
      <c r="N1883" s="66"/>
      <c r="O1883" s="66"/>
      <c r="P1883" s="66"/>
      <c r="Q1883" s="66"/>
      <c r="R1883" s="66"/>
      <c r="S1883" s="66"/>
      <c r="T1883" s="66"/>
      <c r="U1883" s="66"/>
      <c r="V1883" s="66"/>
      <c r="W1883" s="66"/>
      <c r="X1883" s="66"/>
      <c r="Y1883" s="66"/>
      <c r="Z1883" s="66"/>
    </row>
    <row r="1884">
      <c r="A1884" s="66"/>
      <c r="B1884" s="66"/>
      <c r="C1884" s="66"/>
      <c r="D1884" s="66"/>
      <c r="E1884" s="66"/>
      <c r="F1884" s="66"/>
      <c r="G1884" s="66"/>
      <c r="H1884" s="66"/>
      <c r="I1884" s="66"/>
      <c r="J1884" s="66"/>
      <c r="K1884" s="66"/>
      <c r="L1884" s="66"/>
      <c r="M1884" s="66"/>
      <c r="N1884" s="66"/>
      <c r="O1884" s="66"/>
      <c r="P1884" s="66"/>
      <c r="Q1884" s="66"/>
      <c r="R1884" s="66"/>
      <c r="S1884" s="66"/>
      <c r="T1884" s="66"/>
      <c r="U1884" s="66"/>
      <c r="V1884" s="66"/>
      <c r="W1884" s="66"/>
      <c r="X1884" s="66"/>
      <c r="Y1884" s="66"/>
      <c r="Z1884" s="66"/>
    </row>
    <row r="1885">
      <c r="A1885" s="66"/>
      <c r="B1885" s="66"/>
      <c r="C1885" s="66"/>
      <c r="D1885" s="66"/>
      <c r="E1885" s="66"/>
      <c r="F1885" s="66"/>
      <c r="G1885" s="66"/>
      <c r="H1885" s="66"/>
      <c r="I1885" s="66"/>
      <c r="J1885" s="66"/>
      <c r="K1885" s="66"/>
      <c r="L1885" s="66"/>
      <c r="M1885" s="66"/>
      <c r="N1885" s="66"/>
      <c r="O1885" s="66"/>
      <c r="P1885" s="66"/>
      <c r="Q1885" s="66"/>
      <c r="R1885" s="66"/>
      <c r="S1885" s="66"/>
      <c r="T1885" s="66"/>
      <c r="U1885" s="66"/>
      <c r="V1885" s="66"/>
      <c r="W1885" s="66"/>
      <c r="X1885" s="66"/>
      <c r="Y1885" s="66"/>
      <c r="Z1885" s="66"/>
    </row>
    <row r="1886">
      <c r="A1886" s="66"/>
      <c r="B1886" s="66"/>
      <c r="C1886" s="66"/>
      <c r="D1886" s="66"/>
      <c r="E1886" s="66"/>
      <c r="F1886" s="66"/>
      <c r="G1886" s="66"/>
      <c r="H1886" s="66"/>
      <c r="I1886" s="66"/>
      <c r="J1886" s="66"/>
      <c r="K1886" s="66"/>
      <c r="L1886" s="66"/>
      <c r="M1886" s="66"/>
      <c r="N1886" s="66"/>
      <c r="O1886" s="66"/>
      <c r="P1886" s="66"/>
      <c r="Q1886" s="66"/>
      <c r="R1886" s="66"/>
      <c r="S1886" s="66"/>
      <c r="T1886" s="66"/>
      <c r="U1886" s="66"/>
      <c r="V1886" s="66"/>
      <c r="W1886" s="66"/>
      <c r="X1886" s="66"/>
      <c r="Y1886" s="66"/>
      <c r="Z1886" s="66"/>
    </row>
    <row r="1887">
      <c r="A1887" s="66"/>
      <c r="B1887" s="66"/>
      <c r="C1887" s="66"/>
      <c r="D1887" s="66"/>
      <c r="E1887" s="66"/>
      <c r="F1887" s="66"/>
      <c r="G1887" s="66"/>
      <c r="H1887" s="66"/>
      <c r="I1887" s="66"/>
      <c r="J1887" s="66"/>
      <c r="K1887" s="66"/>
      <c r="L1887" s="66"/>
      <c r="M1887" s="66"/>
      <c r="N1887" s="66"/>
      <c r="O1887" s="66"/>
      <c r="P1887" s="66"/>
      <c r="Q1887" s="66"/>
      <c r="R1887" s="66"/>
      <c r="S1887" s="66"/>
      <c r="T1887" s="66"/>
      <c r="U1887" s="66"/>
      <c r="V1887" s="66"/>
      <c r="W1887" s="66"/>
      <c r="X1887" s="66"/>
      <c r="Y1887" s="66"/>
      <c r="Z1887" s="66"/>
    </row>
    <row r="1888">
      <c r="A1888" s="66"/>
      <c r="B1888" s="66"/>
      <c r="C1888" s="66"/>
      <c r="D1888" s="66"/>
      <c r="E1888" s="66"/>
      <c r="F1888" s="66"/>
      <c r="G1888" s="66"/>
      <c r="H1888" s="66"/>
      <c r="I1888" s="66"/>
      <c r="J1888" s="66"/>
      <c r="K1888" s="66"/>
      <c r="L1888" s="66"/>
      <c r="M1888" s="66"/>
      <c r="N1888" s="66"/>
      <c r="O1888" s="66"/>
      <c r="P1888" s="66"/>
      <c r="Q1888" s="66"/>
      <c r="R1888" s="66"/>
      <c r="S1888" s="66"/>
      <c r="T1888" s="66"/>
      <c r="U1888" s="66"/>
      <c r="V1888" s="66"/>
      <c r="W1888" s="66"/>
      <c r="X1888" s="66"/>
      <c r="Y1888" s="66"/>
      <c r="Z1888" s="66"/>
    </row>
    <row r="1889">
      <c r="A1889" s="66"/>
      <c r="B1889" s="66"/>
      <c r="C1889" s="66"/>
      <c r="D1889" s="66"/>
      <c r="E1889" s="66"/>
      <c r="F1889" s="66"/>
      <c r="G1889" s="66"/>
      <c r="H1889" s="66"/>
      <c r="I1889" s="66"/>
      <c r="J1889" s="66"/>
      <c r="K1889" s="66"/>
      <c r="L1889" s="66"/>
      <c r="M1889" s="66"/>
      <c r="N1889" s="66"/>
      <c r="O1889" s="66"/>
      <c r="P1889" s="66"/>
      <c r="Q1889" s="66"/>
      <c r="R1889" s="66"/>
      <c r="S1889" s="66"/>
      <c r="T1889" s="66"/>
      <c r="U1889" s="66"/>
      <c r="V1889" s="66"/>
      <c r="W1889" s="66"/>
      <c r="X1889" s="66"/>
      <c r="Y1889" s="66"/>
      <c r="Z1889" s="66"/>
    </row>
    <row r="1890">
      <c r="A1890" s="66"/>
      <c r="B1890" s="66"/>
      <c r="C1890" s="66"/>
      <c r="D1890" s="66"/>
      <c r="E1890" s="66"/>
      <c r="F1890" s="66"/>
      <c r="G1890" s="66"/>
      <c r="H1890" s="66"/>
      <c r="I1890" s="66"/>
      <c r="J1890" s="66"/>
      <c r="K1890" s="66"/>
      <c r="L1890" s="66"/>
      <c r="M1890" s="66"/>
      <c r="N1890" s="66"/>
      <c r="O1890" s="66"/>
      <c r="P1890" s="66"/>
      <c r="Q1890" s="66"/>
      <c r="R1890" s="66"/>
      <c r="S1890" s="66"/>
      <c r="T1890" s="66"/>
      <c r="U1890" s="66"/>
      <c r="V1890" s="66"/>
      <c r="W1890" s="66"/>
      <c r="X1890" s="66"/>
      <c r="Y1890" s="66"/>
      <c r="Z1890" s="66"/>
    </row>
    <row r="1891">
      <c r="A1891" s="66"/>
      <c r="B1891" s="66"/>
      <c r="C1891" s="66"/>
      <c r="D1891" s="66"/>
      <c r="E1891" s="66"/>
      <c r="F1891" s="66"/>
      <c r="G1891" s="66"/>
      <c r="H1891" s="66"/>
      <c r="I1891" s="66"/>
      <c r="J1891" s="66"/>
      <c r="K1891" s="66"/>
      <c r="L1891" s="66"/>
      <c r="M1891" s="66"/>
      <c r="N1891" s="66"/>
      <c r="O1891" s="66"/>
      <c r="P1891" s="66"/>
      <c r="Q1891" s="66"/>
      <c r="R1891" s="66"/>
      <c r="S1891" s="66"/>
      <c r="T1891" s="66"/>
      <c r="U1891" s="66"/>
      <c r="V1891" s="66"/>
      <c r="W1891" s="66"/>
      <c r="X1891" s="66"/>
      <c r="Y1891" s="66"/>
      <c r="Z1891" s="66"/>
    </row>
    <row r="1892">
      <c r="A1892" s="66"/>
      <c r="B1892" s="66"/>
      <c r="C1892" s="66"/>
      <c r="D1892" s="66"/>
      <c r="E1892" s="66"/>
      <c r="F1892" s="66"/>
      <c r="G1892" s="66"/>
      <c r="H1892" s="66"/>
      <c r="I1892" s="66"/>
      <c r="J1892" s="66"/>
      <c r="K1892" s="66"/>
      <c r="L1892" s="66"/>
      <c r="M1892" s="66"/>
      <c r="N1892" s="66"/>
      <c r="O1892" s="66"/>
      <c r="P1892" s="66"/>
      <c r="Q1892" s="66"/>
      <c r="R1892" s="66"/>
      <c r="S1892" s="66"/>
      <c r="T1892" s="66"/>
      <c r="U1892" s="66"/>
      <c r="V1892" s="66"/>
      <c r="W1892" s="66"/>
      <c r="X1892" s="66"/>
      <c r="Y1892" s="66"/>
      <c r="Z1892" s="66"/>
    </row>
    <row r="1893">
      <c r="A1893" s="66"/>
      <c r="B1893" s="66"/>
      <c r="C1893" s="66"/>
      <c r="D1893" s="66"/>
      <c r="E1893" s="66"/>
      <c r="F1893" s="66"/>
      <c r="G1893" s="66"/>
      <c r="H1893" s="66"/>
      <c r="I1893" s="66"/>
      <c r="J1893" s="66"/>
      <c r="K1893" s="66"/>
      <c r="L1893" s="66"/>
      <c r="M1893" s="66"/>
      <c r="N1893" s="66"/>
      <c r="O1893" s="66"/>
      <c r="P1893" s="66"/>
      <c r="Q1893" s="66"/>
      <c r="R1893" s="66"/>
      <c r="S1893" s="66"/>
      <c r="T1893" s="66"/>
      <c r="U1893" s="66"/>
      <c r="V1893" s="66"/>
      <c r="W1893" s="66"/>
      <c r="X1893" s="66"/>
      <c r="Y1893" s="66"/>
      <c r="Z1893" s="66"/>
    </row>
    <row r="1894">
      <c r="A1894" s="66"/>
      <c r="B1894" s="66"/>
      <c r="C1894" s="66"/>
      <c r="D1894" s="66"/>
      <c r="E1894" s="66"/>
      <c r="F1894" s="66"/>
      <c r="G1894" s="66"/>
      <c r="H1894" s="66"/>
      <c r="I1894" s="66"/>
      <c r="J1894" s="66"/>
      <c r="K1894" s="66"/>
      <c r="L1894" s="66"/>
      <c r="M1894" s="66"/>
      <c r="N1894" s="66"/>
      <c r="O1894" s="66"/>
      <c r="P1894" s="66"/>
      <c r="Q1894" s="66"/>
      <c r="R1894" s="66"/>
      <c r="S1894" s="66"/>
      <c r="T1894" s="66"/>
      <c r="U1894" s="66"/>
      <c r="V1894" s="66"/>
      <c r="W1894" s="66"/>
      <c r="X1894" s="66"/>
      <c r="Y1894" s="66"/>
      <c r="Z1894" s="66"/>
    </row>
    <row r="1895">
      <c r="A1895" s="66"/>
      <c r="B1895" s="66"/>
      <c r="C1895" s="66"/>
      <c r="D1895" s="66"/>
      <c r="E1895" s="66"/>
      <c r="F1895" s="66"/>
      <c r="G1895" s="66"/>
      <c r="H1895" s="66"/>
      <c r="I1895" s="66"/>
      <c r="J1895" s="66"/>
      <c r="K1895" s="66"/>
      <c r="L1895" s="66"/>
      <c r="M1895" s="66"/>
      <c r="N1895" s="66"/>
      <c r="O1895" s="66"/>
      <c r="P1895" s="66"/>
      <c r="Q1895" s="66"/>
      <c r="R1895" s="66"/>
      <c r="S1895" s="66"/>
      <c r="T1895" s="66"/>
      <c r="U1895" s="66"/>
      <c r="V1895" s="66"/>
      <c r="W1895" s="66"/>
      <c r="X1895" s="66"/>
      <c r="Y1895" s="66"/>
      <c r="Z1895" s="66"/>
    </row>
    <row r="1896">
      <c r="A1896" s="66"/>
      <c r="B1896" s="66"/>
      <c r="C1896" s="66"/>
      <c r="D1896" s="66"/>
      <c r="E1896" s="66"/>
      <c r="F1896" s="66"/>
      <c r="G1896" s="66"/>
      <c r="H1896" s="66"/>
      <c r="I1896" s="66"/>
      <c r="J1896" s="66"/>
      <c r="K1896" s="66"/>
      <c r="L1896" s="66"/>
      <c r="M1896" s="66"/>
      <c r="N1896" s="66"/>
      <c r="O1896" s="66"/>
      <c r="P1896" s="66"/>
      <c r="Q1896" s="66"/>
      <c r="R1896" s="66"/>
      <c r="S1896" s="66"/>
      <c r="T1896" s="66"/>
      <c r="U1896" s="66"/>
      <c r="V1896" s="66"/>
      <c r="W1896" s="66"/>
      <c r="X1896" s="66"/>
      <c r="Y1896" s="66"/>
      <c r="Z1896" s="66"/>
    </row>
    <row r="1897">
      <c r="A1897" s="66"/>
      <c r="B1897" s="66"/>
      <c r="C1897" s="66"/>
      <c r="D1897" s="66"/>
      <c r="E1897" s="66"/>
      <c r="F1897" s="66"/>
      <c r="G1897" s="66"/>
      <c r="H1897" s="66"/>
      <c r="I1897" s="66"/>
      <c r="J1897" s="66"/>
      <c r="K1897" s="66"/>
      <c r="L1897" s="66"/>
      <c r="M1897" s="66"/>
      <c r="N1897" s="66"/>
      <c r="O1897" s="66"/>
      <c r="P1897" s="66"/>
      <c r="Q1897" s="66"/>
      <c r="R1897" s="66"/>
      <c r="S1897" s="66"/>
      <c r="T1897" s="66"/>
      <c r="U1897" s="66"/>
      <c r="V1897" s="66"/>
      <c r="W1897" s="66"/>
      <c r="X1897" s="66"/>
      <c r="Y1897" s="66"/>
      <c r="Z1897" s="66"/>
    </row>
    <row r="1898">
      <c r="A1898" s="66"/>
      <c r="B1898" s="66"/>
      <c r="C1898" s="66"/>
      <c r="D1898" s="66"/>
      <c r="E1898" s="66"/>
      <c r="F1898" s="66"/>
      <c r="G1898" s="66"/>
      <c r="H1898" s="66"/>
      <c r="I1898" s="66"/>
      <c r="J1898" s="66"/>
      <c r="K1898" s="66"/>
      <c r="L1898" s="66"/>
      <c r="M1898" s="66"/>
      <c r="N1898" s="66"/>
      <c r="O1898" s="66"/>
      <c r="P1898" s="66"/>
      <c r="Q1898" s="66"/>
      <c r="R1898" s="66"/>
      <c r="S1898" s="66"/>
      <c r="T1898" s="66"/>
      <c r="U1898" s="66"/>
      <c r="V1898" s="66"/>
      <c r="W1898" s="66"/>
      <c r="X1898" s="66"/>
      <c r="Y1898" s="66"/>
      <c r="Z1898" s="66"/>
    </row>
    <row r="1899">
      <c r="A1899" s="66"/>
      <c r="B1899" s="66"/>
      <c r="C1899" s="66"/>
      <c r="D1899" s="66"/>
      <c r="E1899" s="66"/>
      <c r="F1899" s="66"/>
      <c r="G1899" s="66"/>
      <c r="H1899" s="66"/>
      <c r="I1899" s="66"/>
      <c r="J1899" s="66"/>
      <c r="K1899" s="66"/>
      <c r="L1899" s="66"/>
      <c r="M1899" s="66"/>
      <c r="N1899" s="66"/>
      <c r="O1899" s="66"/>
      <c r="P1899" s="66"/>
      <c r="Q1899" s="66"/>
      <c r="R1899" s="66"/>
      <c r="S1899" s="66"/>
      <c r="T1899" s="66"/>
      <c r="U1899" s="66"/>
      <c r="V1899" s="66"/>
      <c r="W1899" s="66"/>
      <c r="X1899" s="66"/>
      <c r="Y1899" s="66"/>
      <c r="Z1899" s="66"/>
    </row>
    <row r="1900">
      <c r="A1900" s="66"/>
      <c r="B1900" s="66"/>
      <c r="C1900" s="66"/>
      <c r="D1900" s="66"/>
      <c r="E1900" s="66"/>
      <c r="F1900" s="66"/>
      <c r="G1900" s="66"/>
      <c r="H1900" s="66"/>
      <c r="I1900" s="66"/>
      <c r="J1900" s="66"/>
      <c r="K1900" s="66"/>
      <c r="L1900" s="66"/>
      <c r="M1900" s="66"/>
      <c r="N1900" s="66"/>
      <c r="O1900" s="66"/>
      <c r="P1900" s="66"/>
      <c r="Q1900" s="66"/>
      <c r="R1900" s="66"/>
      <c r="S1900" s="66"/>
      <c r="T1900" s="66"/>
      <c r="U1900" s="66"/>
      <c r="V1900" s="66"/>
      <c r="W1900" s="66"/>
      <c r="X1900" s="66"/>
      <c r="Y1900" s="66"/>
      <c r="Z1900" s="66"/>
    </row>
    <row r="1901">
      <c r="A1901" s="66"/>
      <c r="B1901" s="66"/>
      <c r="C1901" s="66"/>
      <c r="D1901" s="66"/>
      <c r="E1901" s="66"/>
      <c r="F1901" s="66"/>
      <c r="G1901" s="66"/>
      <c r="H1901" s="66"/>
      <c r="I1901" s="66"/>
      <c r="J1901" s="66"/>
      <c r="K1901" s="66"/>
      <c r="L1901" s="66"/>
      <c r="M1901" s="66"/>
      <c r="N1901" s="66"/>
      <c r="O1901" s="66"/>
      <c r="P1901" s="66"/>
      <c r="Q1901" s="66"/>
      <c r="R1901" s="66"/>
      <c r="S1901" s="66"/>
      <c r="T1901" s="66"/>
      <c r="U1901" s="66"/>
      <c r="V1901" s="66"/>
      <c r="W1901" s="66"/>
      <c r="X1901" s="66"/>
      <c r="Y1901" s="66"/>
      <c r="Z1901" s="66"/>
    </row>
    <row r="1902">
      <c r="A1902" s="66"/>
      <c r="B1902" s="66"/>
      <c r="C1902" s="66"/>
      <c r="D1902" s="66"/>
      <c r="E1902" s="66"/>
      <c r="F1902" s="66"/>
      <c r="G1902" s="66"/>
      <c r="H1902" s="66"/>
      <c r="I1902" s="66"/>
      <c r="J1902" s="66"/>
      <c r="K1902" s="66"/>
      <c r="L1902" s="66"/>
      <c r="M1902" s="66"/>
      <c r="N1902" s="66"/>
      <c r="O1902" s="66"/>
      <c r="P1902" s="66"/>
      <c r="Q1902" s="66"/>
      <c r="R1902" s="66"/>
      <c r="S1902" s="66"/>
      <c r="T1902" s="66"/>
      <c r="U1902" s="66"/>
      <c r="V1902" s="66"/>
      <c r="W1902" s="66"/>
      <c r="X1902" s="66"/>
      <c r="Y1902" s="66"/>
      <c r="Z1902" s="66"/>
    </row>
    <row r="1903">
      <c r="A1903" s="66"/>
      <c r="B1903" s="66"/>
      <c r="C1903" s="66"/>
      <c r="D1903" s="66"/>
      <c r="E1903" s="66"/>
      <c r="F1903" s="66"/>
      <c r="G1903" s="66"/>
      <c r="H1903" s="66"/>
      <c r="I1903" s="66"/>
      <c r="J1903" s="66"/>
      <c r="K1903" s="66"/>
      <c r="L1903" s="66"/>
      <c r="M1903" s="66"/>
      <c r="N1903" s="66"/>
      <c r="O1903" s="66"/>
      <c r="P1903" s="66"/>
      <c r="Q1903" s="66"/>
      <c r="R1903" s="66"/>
      <c r="S1903" s="66"/>
      <c r="T1903" s="66"/>
      <c r="U1903" s="66"/>
      <c r="V1903" s="66"/>
      <c r="W1903" s="66"/>
      <c r="X1903" s="66"/>
      <c r="Y1903" s="66"/>
      <c r="Z1903" s="66"/>
    </row>
    <row r="1904">
      <c r="A1904" s="66"/>
      <c r="B1904" s="66"/>
      <c r="C1904" s="66"/>
      <c r="D1904" s="66"/>
      <c r="E1904" s="66"/>
      <c r="F1904" s="66"/>
      <c r="G1904" s="66"/>
      <c r="H1904" s="66"/>
      <c r="I1904" s="66"/>
      <c r="J1904" s="66"/>
      <c r="K1904" s="66"/>
      <c r="L1904" s="66"/>
      <c r="M1904" s="66"/>
      <c r="N1904" s="66"/>
      <c r="O1904" s="66"/>
      <c r="P1904" s="66"/>
      <c r="Q1904" s="66"/>
      <c r="R1904" s="66"/>
      <c r="S1904" s="66"/>
      <c r="T1904" s="66"/>
      <c r="U1904" s="66"/>
      <c r="V1904" s="66"/>
      <c r="W1904" s="66"/>
      <c r="X1904" s="66"/>
      <c r="Y1904" s="66"/>
      <c r="Z1904" s="66"/>
    </row>
    <row r="1905">
      <c r="A1905" s="66"/>
      <c r="B1905" s="66"/>
      <c r="C1905" s="66"/>
      <c r="D1905" s="66"/>
      <c r="E1905" s="66"/>
      <c r="F1905" s="66"/>
      <c r="G1905" s="66"/>
      <c r="H1905" s="66"/>
      <c r="I1905" s="66"/>
      <c r="J1905" s="66"/>
      <c r="K1905" s="66"/>
      <c r="L1905" s="66"/>
      <c r="M1905" s="66"/>
      <c r="N1905" s="66"/>
      <c r="O1905" s="66"/>
      <c r="P1905" s="66"/>
      <c r="Q1905" s="66"/>
      <c r="R1905" s="66"/>
      <c r="S1905" s="66"/>
      <c r="T1905" s="66"/>
      <c r="U1905" s="66"/>
      <c r="V1905" s="66"/>
      <c r="W1905" s="66"/>
      <c r="X1905" s="66"/>
      <c r="Y1905" s="66"/>
      <c r="Z1905" s="66"/>
    </row>
    <row r="1906">
      <c r="A1906" s="66"/>
      <c r="B1906" s="66"/>
      <c r="C1906" s="66"/>
      <c r="D1906" s="66"/>
      <c r="E1906" s="66"/>
      <c r="F1906" s="66"/>
      <c r="G1906" s="66"/>
      <c r="H1906" s="66"/>
      <c r="I1906" s="66"/>
      <c r="J1906" s="66"/>
      <c r="K1906" s="66"/>
      <c r="L1906" s="66"/>
      <c r="M1906" s="66"/>
      <c r="N1906" s="66"/>
      <c r="O1906" s="66"/>
      <c r="P1906" s="66"/>
      <c r="Q1906" s="66"/>
      <c r="R1906" s="66"/>
      <c r="S1906" s="66"/>
      <c r="T1906" s="66"/>
      <c r="U1906" s="66"/>
      <c r="V1906" s="66"/>
      <c r="W1906" s="66"/>
      <c r="X1906" s="66"/>
      <c r="Y1906" s="66"/>
      <c r="Z1906" s="66"/>
    </row>
    <row r="1907">
      <c r="A1907" s="66"/>
      <c r="B1907" s="66"/>
      <c r="C1907" s="66"/>
      <c r="D1907" s="66"/>
      <c r="E1907" s="66"/>
      <c r="F1907" s="66"/>
      <c r="G1907" s="66"/>
      <c r="H1907" s="66"/>
      <c r="I1907" s="66"/>
      <c r="J1907" s="66"/>
      <c r="K1907" s="66"/>
      <c r="L1907" s="66"/>
      <c r="M1907" s="66"/>
      <c r="N1907" s="66"/>
      <c r="O1907" s="66"/>
      <c r="P1907" s="66"/>
      <c r="Q1907" s="66"/>
      <c r="R1907" s="66"/>
      <c r="S1907" s="66"/>
      <c r="T1907" s="66"/>
      <c r="U1907" s="66"/>
      <c r="V1907" s="66"/>
      <c r="W1907" s="66"/>
      <c r="X1907" s="66"/>
      <c r="Y1907" s="66"/>
      <c r="Z1907" s="66"/>
    </row>
    <row r="1908">
      <c r="A1908" s="66"/>
      <c r="B1908" s="66"/>
      <c r="C1908" s="66"/>
      <c r="D1908" s="66"/>
      <c r="E1908" s="66"/>
      <c r="F1908" s="66"/>
      <c r="G1908" s="66"/>
      <c r="H1908" s="66"/>
      <c r="I1908" s="66"/>
      <c r="J1908" s="66"/>
      <c r="K1908" s="66"/>
      <c r="L1908" s="66"/>
      <c r="M1908" s="66"/>
      <c r="N1908" s="66"/>
      <c r="O1908" s="66"/>
      <c r="P1908" s="66"/>
      <c r="Q1908" s="66"/>
      <c r="R1908" s="66"/>
      <c r="S1908" s="66"/>
      <c r="T1908" s="66"/>
      <c r="U1908" s="66"/>
      <c r="V1908" s="66"/>
      <c r="W1908" s="66"/>
      <c r="X1908" s="66"/>
      <c r="Y1908" s="66"/>
      <c r="Z1908" s="66"/>
    </row>
    <row r="1909">
      <c r="A1909" s="66"/>
      <c r="B1909" s="66"/>
      <c r="C1909" s="66"/>
      <c r="D1909" s="66"/>
      <c r="E1909" s="66"/>
      <c r="F1909" s="66"/>
      <c r="G1909" s="66"/>
      <c r="H1909" s="66"/>
      <c r="I1909" s="66"/>
      <c r="J1909" s="66"/>
      <c r="K1909" s="66"/>
      <c r="L1909" s="66"/>
      <c r="M1909" s="66"/>
      <c r="N1909" s="66"/>
      <c r="O1909" s="66"/>
      <c r="P1909" s="66"/>
      <c r="Q1909" s="66"/>
      <c r="R1909" s="66"/>
      <c r="S1909" s="66"/>
      <c r="T1909" s="66"/>
      <c r="U1909" s="66"/>
      <c r="V1909" s="66"/>
      <c r="W1909" s="66"/>
      <c r="X1909" s="66"/>
      <c r="Y1909" s="66"/>
      <c r="Z1909" s="66"/>
    </row>
    <row r="1910">
      <c r="A1910" s="66"/>
      <c r="B1910" s="66"/>
      <c r="C1910" s="66"/>
      <c r="D1910" s="66"/>
      <c r="E1910" s="66"/>
      <c r="F1910" s="66"/>
      <c r="G1910" s="66"/>
      <c r="H1910" s="66"/>
      <c r="I1910" s="66"/>
      <c r="J1910" s="66"/>
      <c r="K1910" s="66"/>
      <c r="L1910" s="66"/>
      <c r="M1910" s="66"/>
      <c r="N1910" s="66"/>
      <c r="O1910" s="66"/>
      <c r="P1910" s="66"/>
      <c r="Q1910" s="66"/>
      <c r="R1910" s="66"/>
      <c r="S1910" s="66"/>
      <c r="T1910" s="66"/>
      <c r="U1910" s="66"/>
      <c r="V1910" s="66"/>
      <c r="W1910" s="66"/>
      <c r="X1910" s="66"/>
      <c r="Y1910" s="66"/>
      <c r="Z1910" s="66"/>
    </row>
    <row r="1911">
      <c r="A1911" s="66"/>
      <c r="B1911" s="66"/>
      <c r="C1911" s="66"/>
      <c r="D1911" s="66"/>
      <c r="E1911" s="66"/>
      <c r="F1911" s="66"/>
      <c r="G1911" s="66"/>
      <c r="H1911" s="66"/>
      <c r="I1911" s="66"/>
      <c r="J1911" s="66"/>
      <c r="K1911" s="66"/>
      <c r="L1911" s="66"/>
      <c r="M1911" s="66"/>
      <c r="N1911" s="66"/>
      <c r="O1911" s="66"/>
      <c r="P1911" s="66"/>
      <c r="Q1911" s="66"/>
      <c r="R1911" s="66"/>
      <c r="S1911" s="66"/>
      <c r="T1911" s="66"/>
      <c r="U1911" s="66"/>
      <c r="V1911" s="66"/>
      <c r="W1911" s="66"/>
      <c r="X1911" s="66"/>
      <c r="Y1911" s="66"/>
      <c r="Z1911" s="66"/>
    </row>
    <row r="1912">
      <c r="A1912" s="66"/>
      <c r="B1912" s="66"/>
      <c r="C1912" s="66"/>
      <c r="D1912" s="66"/>
      <c r="E1912" s="66"/>
      <c r="F1912" s="66"/>
      <c r="G1912" s="66"/>
      <c r="H1912" s="66"/>
      <c r="I1912" s="66"/>
      <c r="J1912" s="66"/>
      <c r="K1912" s="66"/>
      <c r="L1912" s="66"/>
      <c r="M1912" s="66"/>
      <c r="N1912" s="66"/>
      <c r="O1912" s="66"/>
      <c r="P1912" s="66"/>
      <c r="Q1912" s="66"/>
      <c r="R1912" s="66"/>
      <c r="S1912" s="66"/>
      <c r="T1912" s="66"/>
      <c r="U1912" s="66"/>
      <c r="V1912" s="66"/>
      <c r="W1912" s="66"/>
      <c r="X1912" s="66"/>
      <c r="Y1912" s="66"/>
      <c r="Z1912" s="66"/>
    </row>
    <row r="1913">
      <c r="A1913" s="66"/>
      <c r="B1913" s="66"/>
      <c r="C1913" s="66"/>
      <c r="D1913" s="66"/>
      <c r="E1913" s="66"/>
      <c r="F1913" s="66"/>
      <c r="G1913" s="66"/>
      <c r="H1913" s="66"/>
      <c r="I1913" s="66"/>
      <c r="J1913" s="66"/>
      <c r="K1913" s="66"/>
      <c r="L1913" s="66"/>
      <c r="M1913" s="66"/>
      <c r="N1913" s="66"/>
      <c r="O1913" s="66"/>
      <c r="P1913" s="66"/>
      <c r="Q1913" s="66"/>
      <c r="R1913" s="66"/>
      <c r="S1913" s="66"/>
      <c r="T1913" s="66"/>
      <c r="U1913" s="66"/>
      <c r="V1913" s="66"/>
      <c r="W1913" s="66"/>
      <c r="X1913" s="66"/>
      <c r="Y1913" s="66"/>
      <c r="Z1913" s="66"/>
    </row>
    <row r="1914">
      <c r="A1914" s="66"/>
      <c r="B1914" s="66"/>
      <c r="C1914" s="66"/>
      <c r="D1914" s="66"/>
      <c r="E1914" s="66"/>
      <c r="F1914" s="66"/>
      <c r="G1914" s="66"/>
      <c r="H1914" s="66"/>
      <c r="I1914" s="66"/>
      <c r="J1914" s="66"/>
      <c r="K1914" s="66"/>
      <c r="L1914" s="66"/>
      <c r="M1914" s="66"/>
      <c r="N1914" s="66"/>
      <c r="O1914" s="66"/>
      <c r="P1914" s="66"/>
      <c r="Q1914" s="66"/>
      <c r="R1914" s="66"/>
      <c r="S1914" s="66"/>
      <c r="T1914" s="66"/>
      <c r="U1914" s="66"/>
      <c r="V1914" s="66"/>
      <c r="W1914" s="66"/>
      <c r="X1914" s="66"/>
      <c r="Y1914" s="66"/>
      <c r="Z1914" s="66"/>
    </row>
    <row r="1915">
      <c r="A1915" s="66"/>
      <c r="B1915" s="66"/>
      <c r="C1915" s="66"/>
      <c r="D1915" s="66"/>
      <c r="E1915" s="66"/>
      <c r="F1915" s="66"/>
      <c r="G1915" s="66"/>
      <c r="H1915" s="66"/>
      <c r="I1915" s="66"/>
      <c r="J1915" s="66"/>
      <c r="K1915" s="66"/>
      <c r="L1915" s="66"/>
      <c r="M1915" s="66"/>
      <c r="N1915" s="66"/>
      <c r="O1915" s="66"/>
      <c r="P1915" s="66"/>
      <c r="Q1915" s="66"/>
      <c r="R1915" s="66"/>
      <c r="S1915" s="66"/>
      <c r="T1915" s="66"/>
      <c r="U1915" s="66"/>
      <c r="V1915" s="66"/>
      <c r="W1915" s="66"/>
      <c r="X1915" s="66"/>
      <c r="Y1915" s="66"/>
      <c r="Z1915" s="66"/>
    </row>
    <row r="1916">
      <c r="A1916" s="66"/>
      <c r="B1916" s="66"/>
      <c r="C1916" s="66"/>
      <c r="D1916" s="66"/>
      <c r="E1916" s="66"/>
      <c r="F1916" s="66"/>
      <c r="G1916" s="66"/>
      <c r="H1916" s="66"/>
      <c r="I1916" s="66"/>
      <c r="J1916" s="66"/>
      <c r="K1916" s="66"/>
      <c r="L1916" s="66"/>
      <c r="M1916" s="66"/>
      <c r="N1916" s="66"/>
      <c r="O1916" s="66"/>
      <c r="P1916" s="66"/>
      <c r="Q1916" s="66"/>
      <c r="R1916" s="66"/>
      <c r="S1916" s="66"/>
      <c r="T1916" s="66"/>
      <c r="U1916" s="66"/>
      <c r="V1916" s="66"/>
      <c r="W1916" s="66"/>
      <c r="X1916" s="66"/>
      <c r="Y1916" s="66"/>
      <c r="Z1916" s="66"/>
    </row>
    <row r="1917">
      <c r="A1917" s="66"/>
      <c r="B1917" s="66"/>
      <c r="C1917" s="66"/>
      <c r="D1917" s="66"/>
      <c r="E1917" s="66"/>
      <c r="F1917" s="66"/>
      <c r="G1917" s="66"/>
      <c r="H1917" s="66"/>
      <c r="I1917" s="66"/>
      <c r="J1917" s="66"/>
      <c r="K1917" s="66"/>
      <c r="L1917" s="66"/>
      <c r="M1917" s="66"/>
      <c r="N1917" s="66"/>
      <c r="O1917" s="66"/>
      <c r="P1917" s="66"/>
      <c r="Q1917" s="66"/>
      <c r="R1917" s="66"/>
      <c r="S1917" s="66"/>
      <c r="T1917" s="66"/>
      <c r="U1917" s="66"/>
      <c r="V1917" s="66"/>
      <c r="W1917" s="66"/>
      <c r="X1917" s="66"/>
      <c r="Y1917" s="66"/>
      <c r="Z1917" s="66"/>
    </row>
    <row r="1918">
      <c r="A1918" s="66"/>
      <c r="B1918" s="66"/>
      <c r="C1918" s="66"/>
      <c r="D1918" s="66"/>
      <c r="E1918" s="66"/>
      <c r="F1918" s="66"/>
      <c r="G1918" s="66"/>
      <c r="H1918" s="66"/>
      <c r="I1918" s="66"/>
      <c r="J1918" s="66"/>
      <c r="K1918" s="66"/>
      <c r="L1918" s="66"/>
      <c r="M1918" s="66"/>
      <c r="N1918" s="66"/>
      <c r="O1918" s="66"/>
      <c r="P1918" s="66"/>
      <c r="Q1918" s="66"/>
      <c r="R1918" s="66"/>
      <c r="S1918" s="66"/>
      <c r="T1918" s="66"/>
      <c r="U1918" s="66"/>
      <c r="V1918" s="66"/>
      <c r="W1918" s="66"/>
      <c r="X1918" s="66"/>
      <c r="Y1918" s="66"/>
      <c r="Z1918" s="66"/>
    </row>
    <row r="1919">
      <c r="A1919" s="66"/>
      <c r="B1919" s="66"/>
      <c r="C1919" s="66"/>
      <c r="D1919" s="66"/>
      <c r="E1919" s="66"/>
      <c r="F1919" s="66"/>
      <c r="G1919" s="66"/>
      <c r="H1919" s="66"/>
      <c r="I1919" s="66"/>
      <c r="J1919" s="66"/>
      <c r="K1919" s="66"/>
      <c r="L1919" s="66"/>
      <c r="M1919" s="66"/>
      <c r="N1919" s="66"/>
      <c r="O1919" s="66"/>
      <c r="P1919" s="66"/>
      <c r="Q1919" s="66"/>
      <c r="R1919" s="66"/>
      <c r="S1919" s="66"/>
      <c r="T1919" s="66"/>
      <c r="U1919" s="66"/>
      <c r="V1919" s="66"/>
      <c r="W1919" s="66"/>
      <c r="X1919" s="66"/>
      <c r="Y1919" s="66"/>
      <c r="Z1919" s="66"/>
    </row>
    <row r="1920">
      <c r="A1920" s="66"/>
      <c r="B1920" s="66"/>
      <c r="C1920" s="66"/>
      <c r="D1920" s="66"/>
      <c r="E1920" s="66"/>
      <c r="F1920" s="66"/>
      <c r="G1920" s="66"/>
      <c r="H1920" s="66"/>
      <c r="I1920" s="66"/>
      <c r="J1920" s="66"/>
      <c r="K1920" s="66"/>
      <c r="L1920" s="66"/>
      <c r="M1920" s="66"/>
      <c r="N1920" s="66"/>
      <c r="O1920" s="66"/>
      <c r="P1920" s="66"/>
      <c r="Q1920" s="66"/>
      <c r="R1920" s="66"/>
      <c r="S1920" s="66"/>
      <c r="T1920" s="66"/>
      <c r="U1920" s="66"/>
      <c r="V1920" s="66"/>
      <c r="W1920" s="66"/>
      <c r="X1920" s="66"/>
      <c r="Y1920" s="66"/>
      <c r="Z1920" s="66"/>
    </row>
    <row r="1921">
      <c r="A1921" s="66"/>
      <c r="B1921" s="66"/>
      <c r="C1921" s="66"/>
      <c r="D1921" s="66"/>
      <c r="E1921" s="66"/>
      <c r="F1921" s="66"/>
      <c r="G1921" s="66"/>
      <c r="H1921" s="66"/>
      <c r="I1921" s="66"/>
      <c r="J1921" s="66"/>
      <c r="K1921" s="66"/>
      <c r="L1921" s="66"/>
      <c r="M1921" s="66"/>
      <c r="N1921" s="66"/>
      <c r="O1921" s="66"/>
      <c r="P1921" s="66"/>
      <c r="Q1921" s="66"/>
      <c r="R1921" s="66"/>
      <c r="S1921" s="66"/>
      <c r="T1921" s="66"/>
      <c r="U1921" s="66"/>
      <c r="V1921" s="66"/>
      <c r="W1921" s="66"/>
      <c r="X1921" s="66"/>
      <c r="Y1921" s="66"/>
      <c r="Z1921" s="66"/>
    </row>
    <row r="1922">
      <c r="A1922" s="66"/>
      <c r="B1922" s="66"/>
      <c r="C1922" s="66"/>
      <c r="D1922" s="66"/>
      <c r="E1922" s="66"/>
      <c r="F1922" s="66"/>
      <c r="G1922" s="66"/>
      <c r="H1922" s="66"/>
      <c r="I1922" s="66"/>
      <c r="J1922" s="66"/>
      <c r="K1922" s="66"/>
      <c r="L1922" s="66"/>
      <c r="M1922" s="66"/>
      <c r="N1922" s="66"/>
      <c r="O1922" s="66"/>
      <c r="P1922" s="66"/>
      <c r="Q1922" s="66"/>
      <c r="R1922" s="66"/>
      <c r="S1922" s="66"/>
      <c r="T1922" s="66"/>
      <c r="U1922" s="66"/>
      <c r="V1922" s="66"/>
      <c r="W1922" s="66"/>
      <c r="X1922" s="66"/>
      <c r="Y1922" s="66"/>
      <c r="Z1922" s="66"/>
    </row>
    <row r="1923">
      <c r="A1923" s="66"/>
      <c r="B1923" s="66"/>
      <c r="C1923" s="66"/>
      <c r="D1923" s="66"/>
      <c r="E1923" s="66"/>
      <c r="F1923" s="66"/>
      <c r="G1923" s="66"/>
      <c r="H1923" s="66"/>
      <c r="I1923" s="66"/>
      <c r="J1923" s="66"/>
      <c r="K1923" s="66"/>
      <c r="L1923" s="66"/>
      <c r="M1923" s="66"/>
      <c r="N1923" s="66"/>
      <c r="O1923" s="66"/>
      <c r="P1923" s="66"/>
      <c r="Q1923" s="66"/>
      <c r="R1923" s="66"/>
      <c r="S1923" s="66"/>
      <c r="T1923" s="66"/>
      <c r="U1923" s="66"/>
      <c r="V1923" s="66"/>
      <c r="W1923" s="66"/>
      <c r="X1923" s="66"/>
      <c r="Y1923" s="66"/>
      <c r="Z1923" s="66"/>
    </row>
    <row r="1924">
      <c r="A1924" s="66"/>
      <c r="B1924" s="66"/>
      <c r="C1924" s="66"/>
      <c r="D1924" s="66"/>
      <c r="E1924" s="66"/>
      <c r="F1924" s="66"/>
      <c r="G1924" s="66"/>
      <c r="H1924" s="66"/>
      <c r="I1924" s="66"/>
      <c r="J1924" s="66"/>
      <c r="K1924" s="66"/>
      <c r="L1924" s="66"/>
      <c r="M1924" s="66"/>
      <c r="N1924" s="66"/>
      <c r="O1924" s="66"/>
      <c r="P1924" s="66"/>
      <c r="Q1924" s="66"/>
      <c r="R1924" s="66"/>
      <c r="S1924" s="66"/>
      <c r="T1924" s="66"/>
      <c r="U1924" s="66"/>
      <c r="V1924" s="66"/>
      <c r="W1924" s="66"/>
      <c r="X1924" s="66"/>
      <c r="Y1924" s="66"/>
      <c r="Z1924" s="66"/>
    </row>
    <row r="1925">
      <c r="A1925" s="66"/>
      <c r="B1925" s="66"/>
      <c r="C1925" s="66"/>
      <c r="D1925" s="66"/>
      <c r="E1925" s="66"/>
      <c r="F1925" s="66"/>
      <c r="G1925" s="66"/>
      <c r="H1925" s="66"/>
      <c r="I1925" s="66"/>
      <c r="J1925" s="66"/>
      <c r="K1925" s="66"/>
      <c r="L1925" s="66"/>
      <c r="M1925" s="66"/>
      <c r="N1925" s="66"/>
      <c r="O1925" s="66"/>
      <c r="P1925" s="66"/>
      <c r="Q1925" s="66"/>
      <c r="R1925" s="66"/>
      <c r="S1925" s="66"/>
      <c r="T1925" s="66"/>
      <c r="U1925" s="66"/>
      <c r="V1925" s="66"/>
      <c r="W1925" s="66"/>
      <c r="X1925" s="66"/>
      <c r="Y1925" s="66"/>
      <c r="Z1925" s="66"/>
    </row>
    <row r="1926">
      <c r="A1926" s="66"/>
      <c r="B1926" s="66"/>
      <c r="C1926" s="66"/>
      <c r="D1926" s="66"/>
      <c r="E1926" s="66"/>
      <c r="F1926" s="66"/>
      <c r="G1926" s="66"/>
      <c r="H1926" s="66"/>
      <c r="I1926" s="66"/>
      <c r="J1926" s="66"/>
      <c r="K1926" s="66"/>
      <c r="L1926" s="66"/>
      <c r="M1926" s="66"/>
      <c r="N1926" s="66"/>
      <c r="O1926" s="66"/>
      <c r="P1926" s="66"/>
      <c r="Q1926" s="66"/>
      <c r="R1926" s="66"/>
      <c r="S1926" s="66"/>
      <c r="T1926" s="66"/>
      <c r="U1926" s="66"/>
      <c r="V1926" s="66"/>
      <c r="W1926" s="66"/>
      <c r="X1926" s="66"/>
      <c r="Y1926" s="66"/>
      <c r="Z1926" s="66"/>
    </row>
    <row r="1927">
      <c r="A1927" s="66"/>
      <c r="B1927" s="66"/>
      <c r="C1927" s="66"/>
      <c r="D1927" s="66"/>
      <c r="E1927" s="66"/>
      <c r="F1927" s="66"/>
      <c r="G1927" s="66"/>
      <c r="H1927" s="66"/>
      <c r="I1927" s="66"/>
      <c r="J1927" s="66"/>
      <c r="K1927" s="66"/>
      <c r="L1927" s="66"/>
      <c r="M1927" s="66"/>
      <c r="N1927" s="66"/>
      <c r="O1927" s="66"/>
      <c r="P1927" s="66"/>
      <c r="Q1927" s="66"/>
      <c r="R1927" s="66"/>
      <c r="S1927" s="66"/>
      <c r="T1927" s="66"/>
      <c r="U1927" s="66"/>
      <c r="V1927" s="66"/>
      <c r="W1927" s="66"/>
      <c r="X1927" s="66"/>
      <c r="Y1927" s="66"/>
      <c r="Z1927" s="66"/>
    </row>
    <row r="1928">
      <c r="A1928" s="66"/>
      <c r="B1928" s="66"/>
      <c r="C1928" s="66"/>
      <c r="D1928" s="66"/>
      <c r="E1928" s="66"/>
      <c r="F1928" s="66"/>
      <c r="G1928" s="66"/>
      <c r="H1928" s="66"/>
      <c r="I1928" s="66"/>
      <c r="J1928" s="66"/>
      <c r="K1928" s="66"/>
      <c r="L1928" s="66"/>
      <c r="M1928" s="66"/>
      <c r="N1928" s="66"/>
      <c r="O1928" s="66"/>
      <c r="P1928" s="66"/>
      <c r="Q1928" s="66"/>
      <c r="R1928" s="66"/>
      <c r="S1928" s="66"/>
      <c r="T1928" s="66"/>
      <c r="U1928" s="66"/>
      <c r="V1928" s="66"/>
      <c r="W1928" s="66"/>
      <c r="X1928" s="66"/>
      <c r="Y1928" s="66"/>
      <c r="Z1928" s="66"/>
    </row>
    <row r="1929">
      <c r="A1929" s="66"/>
      <c r="B1929" s="66"/>
      <c r="C1929" s="66"/>
      <c r="D1929" s="66"/>
      <c r="E1929" s="66"/>
      <c r="F1929" s="66"/>
      <c r="G1929" s="66"/>
      <c r="H1929" s="66"/>
      <c r="I1929" s="66"/>
      <c r="J1929" s="66"/>
      <c r="K1929" s="66"/>
      <c r="L1929" s="66"/>
      <c r="M1929" s="66"/>
      <c r="N1929" s="66"/>
      <c r="O1929" s="66"/>
      <c r="P1929" s="66"/>
      <c r="Q1929" s="66"/>
      <c r="R1929" s="66"/>
      <c r="S1929" s="66"/>
      <c r="T1929" s="66"/>
      <c r="U1929" s="66"/>
      <c r="V1929" s="66"/>
      <c r="W1929" s="66"/>
      <c r="X1929" s="66"/>
      <c r="Y1929" s="66"/>
      <c r="Z1929" s="66"/>
    </row>
    <row r="1930">
      <c r="A1930" s="66"/>
      <c r="B1930" s="66"/>
      <c r="C1930" s="66"/>
      <c r="D1930" s="66"/>
      <c r="E1930" s="66"/>
      <c r="F1930" s="66"/>
      <c r="G1930" s="66"/>
      <c r="H1930" s="66"/>
      <c r="I1930" s="66"/>
      <c r="J1930" s="66"/>
      <c r="K1930" s="66"/>
      <c r="L1930" s="66"/>
      <c r="M1930" s="66"/>
      <c r="N1930" s="66"/>
      <c r="O1930" s="66"/>
      <c r="P1930" s="66"/>
      <c r="Q1930" s="66"/>
      <c r="R1930" s="66"/>
      <c r="S1930" s="66"/>
      <c r="T1930" s="66"/>
      <c r="U1930" s="66"/>
      <c r="V1930" s="66"/>
      <c r="W1930" s="66"/>
      <c r="X1930" s="66"/>
      <c r="Y1930" s="66"/>
      <c r="Z1930" s="66"/>
    </row>
    <row r="1931">
      <c r="A1931" s="66"/>
      <c r="B1931" s="66"/>
      <c r="C1931" s="66"/>
      <c r="D1931" s="66"/>
      <c r="E1931" s="66"/>
      <c r="F1931" s="66"/>
      <c r="G1931" s="66"/>
      <c r="H1931" s="66"/>
      <c r="I1931" s="66"/>
      <c r="J1931" s="66"/>
      <c r="K1931" s="66"/>
      <c r="L1931" s="66"/>
      <c r="M1931" s="66"/>
      <c r="N1931" s="66"/>
      <c r="O1931" s="66"/>
      <c r="P1931" s="66"/>
      <c r="Q1931" s="66"/>
      <c r="R1931" s="66"/>
      <c r="S1931" s="66"/>
      <c r="T1931" s="66"/>
      <c r="U1931" s="66"/>
      <c r="V1931" s="66"/>
      <c r="W1931" s="66"/>
      <c r="X1931" s="66"/>
      <c r="Y1931" s="66"/>
      <c r="Z1931" s="66"/>
    </row>
    <row r="1932">
      <c r="A1932" s="66"/>
      <c r="B1932" s="66"/>
      <c r="C1932" s="66"/>
      <c r="D1932" s="66"/>
      <c r="E1932" s="66"/>
      <c r="F1932" s="66"/>
      <c r="G1932" s="66"/>
      <c r="H1932" s="66"/>
      <c r="I1932" s="66"/>
      <c r="J1932" s="66"/>
      <c r="K1932" s="66"/>
      <c r="L1932" s="66"/>
      <c r="M1932" s="66"/>
      <c r="N1932" s="66"/>
      <c r="O1932" s="66"/>
      <c r="P1932" s="66"/>
      <c r="Q1932" s="66"/>
      <c r="R1932" s="66"/>
      <c r="S1932" s="66"/>
      <c r="T1932" s="66"/>
      <c r="U1932" s="66"/>
      <c r="V1932" s="66"/>
      <c r="W1932" s="66"/>
      <c r="X1932" s="66"/>
      <c r="Y1932" s="66"/>
      <c r="Z1932" s="66"/>
    </row>
    <row r="1933">
      <c r="A1933" s="66"/>
      <c r="B1933" s="66"/>
      <c r="C1933" s="66"/>
      <c r="D1933" s="66"/>
      <c r="E1933" s="66"/>
      <c r="F1933" s="66"/>
      <c r="G1933" s="66"/>
      <c r="H1933" s="66"/>
      <c r="I1933" s="66"/>
      <c r="J1933" s="66"/>
      <c r="K1933" s="66"/>
      <c r="L1933" s="66"/>
      <c r="M1933" s="66"/>
      <c r="N1933" s="66"/>
      <c r="O1933" s="66"/>
      <c r="P1933" s="66"/>
      <c r="Q1933" s="66"/>
      <c r="R1933" s="66"/>
      <c r="S1933" s="66"/>
      <c r="T1933" s="66"/>
      <c r="U1933" s="66"/>
      <c r="V1933" s="66"/>
      <c r="W1933" s="66"/>
      <c r="X1933" s="66"/>
      <c r="Y1933" s="66"/>
      <c r="Z1933" s="66"/>
    </row>
    <row r="1934">
      <c r="A1934" s="66"/>
      <c r="B1934" s="66"/>
      <c r="C1934" s="66"/>
      <c r="D1934" s="66"/>
      <c r="E1934" s="66"/>
      <c r="F1934" s="66"/>
      <c r="G1934" s="66"/>
      <c r="H1934" s="66"/>
      <c r="I1934" s="66"/>
      <c r="J1934" s="66"/>
      <c r="K1934" s="66"/>
      <c r="L1934" s="66"/>
      <c r="M1934" s="66"/>
      <c r="N1934" s="66"/>
      <c r="O1934" s="66"/>
      <c r="P1934" s="66"/>
      <c r="Q1934" s="66"/>
      <c r="R1934" s="66"/>
      <c r="S1934" s="66"/>
      <c r="T1934" s="66"/>
      <c r="U1934" s="66"/>
      <c r="V1934" s="66"/>
      <c r="W1934" s="66"/>
      <c r="X1934" s="66"/>
      <c r="Y1934" s="66"/>
      <c r="Z1934" s="66"/>
    </row>
    <row r="1935">
      <c r="A1935" s="66"/>
      <c r="B1935" s="66"/>
      <c r="C1935" s="66"/>
      <c r="D1935" s="66"/>
      <c r="E1935" s="66"/>
      <c r="F1935" s="66"/>
      <c r="G1935" s="66"/>
      <c r="H1935" s="66"/>
      <c r="I1935" s="66"/>
      <c r="J1935" s="66"/>
      <c r="K1935" s="66"/>
      <c r="L1935" s="66"/>
      <c r="M1935" s="66"/>
      <c r="N1935" s="66"/>
      <c r="O1935" s="66"/>
      <c r="P1935" s="66"/>
      <c r="Q1935" s="66"/>
      <c r="R1935" s="66"/>
      <c r="S1935" s="66"/>
      <c r="T1935" s="66"/>
      <c r="U1935" s="66"/>
      <c r="V1935" s="66"/>
      <c r="W1935" s="66"/>
      <c r="X1935" s="66"/>
      <c r="Y1935" s="66"/>
      <c r="Z1935" s="66"/>
    </row>
    <row r="1936">
      <c r="A1936" s="66"/>
      <c r="B1936" s="66"/>
      <c r="C1936" s="66"/>
      <c r="D1936" s="66"/>
      <c r="E1936" s="66"/>
      <c r="F1936" s="66"/>
      <c r="G1936" s="66"/>
      <c r="H1936" s="66"/>
      <c r="I1936" s="66"/>
      <c r="J1936" s="66"/>
      <c r="K1936" s="66"/>
      <c r="L1936" s="66"/>
      <c r="M1936" s="66"/>
      <c r="N1936" s="66"/>
      <c r="O1936" s="66"/>
      <c r="P1936" s="66"/>
      <c r="Q1936" s="66"/>
      <c r="R1936" s="66"/>
      <c r="S1936" s="66"/>
      <c r="T1936" s="66"/>
      <c r="U1936" s="66"/>
      <c r="V1936" s="66"/>
      <c r="W1936" s="66"/>
      <c r="X1936" s="66"/>
      <c r="Y1936" s="66"/>
      <c r="Z1936" s="66"/>
    </row>
    <row r="1937">
      <c r="A1937" s="66"/>
      <c r="B1937" s="66"/>
      <c r="C1937" s="66"/>
      <c r="D1937" s="66"/>
      <c r="E1937" s="66"/>
      <c r="F1937" s="66"/>
      <c r="G1937" s="66"/>
      <c r="H1937" s="66"/>
      <c r="I1937" s="66"/>
      <c r="J1937" s="66"/>
      <c r="K1937" s="66"/>
      <c r="L1937" s="66"/>
      <c r="M1937" s="66"/>
      <c r="N1937" s="66"/>
      <c r="O1937" s="66"/>
      <c r="P1937" s="66"/>
      <c r="Q1937" s="66"/>
      <c r="R1937" s="66"/>
      <c r="S1937" s="66"/>
      <c r="T1937" s="66"/>
      <c r="U1937" s="66"/>
      <c r="V1937" s="66"/>
      <c r="W1937" s="66"/>
      <c r="X1937" s="66"/>
      <c r="Y1937" s="66"/>
      <c r="Z1937" s="66"/>
    </row>
    <row r="1938">
      <c r="A1938" s="66"/>
      <c r="B1938" s="66"/>
      <c r="C1938" s="66"/>
      <c r="D1938" s="66"/>
      <c r="E1938" s="66"/>
      <c r="F1938" s="66"/>
      <c r="G1938" s="66"/>
      <c r="H1938" s="66"/>
      <c r="I1938" s="66"/>
      <c r="J1938" s="66"/>
      <c r="K1938" s="66"/>
      <c r="L1938" s="66"/>
      <c r="M1938" s="66"/>
      <c r="N1938" s="66"/>
      <c r="O1938" s="66"/>
      <c r="P1938" s="66"/>
      <c r="Q1938" s="66"/>
      <c r="R1938" s="66"/>
      <c r="S1938" s="66"/>
      <c r="T1938" s="66"/>
      <c r="U1938" s="66"/>
      <c r="V1938" s="66"/>
      <c r="W1938" s="66"/>
      <c r="X1938" s="66"/>
      <c r="Y1938" s="66"/>
      <c r="Z1938" s="66"/>
    </row>
    <row r="1939">
      <c r="A1939" s="66"/>
      <c r="B1939" s="66"/>
      <c r="C1939" s="66"/>
      <c r="D1939" s="66"/>
      <c r="E1939" s="66"/>
      <c r="F1939" s="66"/>
      <c r="G1939" s="66"/>
      <c r="H1939" s="66"/>
      <c r="I1939" s="66"/>
      <c r="J1939" s="66"/>
      <c r="K1939" s="66"/>
      <c r="L1939" s="66"/>
      <c r="M1939" s="66"/>
      <c r="N1939" s="66"/>
      <c r="O1939" s="66"/>
      <c r="P1939" s="66"/>
      <c r="Q1939" s="66"/>
      <c r="R1939" s="66"/>
      <c r="S1939" s="66"/>
      <c r="T1939" s="66"/>
      <c r="U1939" s="66"/>
      <c r="V1939" s="66"/>
      <c r="W1939" s="66"/>
      <c r="X1939" s="66"/>
      <c r="Y1939" s="66"/>
      <c r="Z1939" s="66"/>
    </row>
    <row r="1940">
      <c r="A1940" s="66"/>
      <c r="B1940" s="66"/>
      <c r="C1940" s="66"/>
      <c r="D1940" s="66"/>
      <c r="E1940" s="66"/>
      <c r="F1940" s="66"/>
      <c r="G1940" s="66"/>
      <c r="H1940" s="66"/>
      <c r="I1940" s="66"/>
      <c r="J1940" s="66"/>
      <c r="K1940" s="66"/>
      <c r="L1940" s="66"/>
      <c r="M1940" s="66"/>
      <c r="N1940" s="66"/>
      <c r="O1940" s="66"/>
      <c r="P1940" s="66"/>
      <c r="Q1940" s="66"/>
      <c r="R1940" s="66"/>
      <c r="S1940" s="66"/>
      <c r="T1940" s="66"/>
      <c r="U1940" s="66"/>
      <c r="V1940" s="66"/>
      <c r="W1940" s="66"/>
      <c r="X1940" s="66"/>
      <c r="Y1940" s="66"/>
      <c r="Z1940" s="66"/>
    </row>
    <row r="1941">
      <c r="A1941" s="66"/>
      <c r="B1941" s="66"/>
      <c r="C1941" s="66"/>
      <c r="D1941" s="66"/>
      <c r="E1941" s="66"/>
      <c r="F1941" s="66"/>
      <c r="G1941" s="66"/>
      <c r="H1941" s="66"/>
      <c r="I1941" s="66"/>
      <c r="J1941" s="66"/>
      <c r="K1941" s="66"/>
      <c r="L1941" s="66"/>
      <c r="M1941" s="66"/>
      <c r="N1941" s="66"/>
      <c r="O1941" s="66"/>
      <c r="P1941" s="66"/>
      <c r="Q1941" s="66"/>
      <c r="R1941" s="66"/>
      <c r="S1941" s="66"/>
      <c r="T1941" s="66"/>
      <c r="U1941" s="66"/>
      <c r="V1941" s="66"/>
      <c r="W1941" s="66"/>
      <c r="X1941" s="66"/>
      <c r="Y1941" s="66"/>
      <c r="Z1941" s="66"/>
    </row>
    <row r="1942">
      <c r="A1942" s="66"/>
      <c r="B1942" s="66"/>
      <c r="C1942" s="66"/>
      <c r="D1942" s="66"/>
      <c r="E1942" s="66"/>
      <c r="F1942" s="66"/>
      <c r="G1942" s="66"/>
      <c r="H1942" s="66"/>
      <c r="I1942" s="66"/>
      <c r="J1942" s="66"/>
      <c r="K1942" s="66"/>
      <c r="L1942" s="66"/>
      <c r="M1942" s="66"/>
      <c r="N1942" s="66"/>
      <c r="O1942" s="66"/>
      <c r="P1942" s="66"/>
      <c r="Q1942" s="66"/>
      <c r="R1942" s="66"/>
      <c r="S1942" s="66"/>
      <c r="T1942" s="66"/>
      <c r="U1942" s="66"/>
      <c r="V1942" s="66"/>
      <c r="W1942" s="66"/>
      <c r="X1942" s="66"/>
      <c r="Y1942" s="66"/>
      <c r="Z1942" s="66"/>
    </row>
    <row r="1943">
      <c r="A1943" s="66"/>
      <c r="B1943" s="66"/>
      <c r="C1943" s="66"/>
      <c r="D1943" s="66"/>
      <c r="E1943" s="66"/>
      <c r="F1943" s="66"/>
      <c r="G1943" s="66"/>
      <c r="H1943" s="66"/>
      <c r="I1943" s="66"/>
      <c r="J1943" s="66"/>
      <c r="K1943" s="66"/>
      <c r="L1943" s="66"/>
      <c r="M1943" s="66"/>
      <c r="N1943" s="66"/>
      <c r="O1943" s="66"/>
      <c r="P1943" s="66"/>
      <c r="Q1943" s="66"/>
      <c r="R1943" s="66"/>
      <c r="S1943" s="66"/>
      <c r="T1943" s="66"/>
      <c r="U1943" s="66"/>
      <c r="V1943" s="66"/>
      <c r="W1943" s="66"/>
      <c r="X1943" s="66"/>
      <c r="Y1943" s="66"/>
      <c r="Z1943" s="66"/>
    </row>
    <row r="1944">
      <c r="A1944" s="66"/>
      <c r="B1944" s="66"/>
      <c r="C1944" s="66"/>
      <c r="D1944" s="66"/>
      <c r="E1944" s="66"/>
      <c r="F1944" s="66"/>
      <c r="G1944" s="66"/>
      <c r="H1944" s="66"/>
      <c r="I1944" s="66"/>
      <c r="J1944" s="66"/>
      <c r="K1944" s="66"/>
      <c r="L1944" s="66"/>
      <c r="M1944" s="66"/>
      <c r="N1944" s="66"/>
      <c r="O1944" s="66"/>
      <c r="P1944" s="66"/>
      <c r="Q1944" s="66"/>
      <c r="R1944" s="66"/>
      <c r="S1944" s="66"/>
      <c r="T1944" s="66"/>
      <c r="U1944" s="66"/>
      <c r="V1944" s="66"/>
      <c r="W1944" s="66"/>
      <c r="X1944" s="66"/>
      <c r="Y1944" s="66"/>
      <c r="Z1944" s="66"/>
    </row>
    <row r="1945">
      <c r="A1945" s="66"/>
      <c r="B1945" s="66"/>
      <c r="C1945" s="66"/>
      <c r="D1945" s="66"/>
      <c r="E1945" s="66"/>
      <c r="F1945" s="66"/>
      <c r="G1945" s="66"/>
      <c r="H1945" s="66"/>
      <c r="I1945" s="66"/>
      <c r="J1945" s="66"/>
      <c r="K1945" s="66"/>
      <c r="L1945" s="66"/>
      <c r="M1945" s="66"/>
      <c r="N1945" s="66"/>
      <c r="O1945" s="66"/>
      <c r="P1945" s="66"/>
      <c r="Q1945" s="66"/>
      <c r="R1945" s="66"/>
      <c r="S1945" s="66"/>
      <c r="T1945" s="66"/>
      <c r="U1945" s="66"/>
      <c r="V1945" s="66"/>
      <c r="W1945" s="66"/>
      <c r="X1945" s="66"/>
      <c r="Y1945" s="66"/>
      <c r="Z1945" s="66"/>
    </row>
    <row r="1946">
      <c r="A1946" s="66"/>
      <c r="B1946" s="66"/>
      <c r="C1946" s="66"/>
      <c r="D1946" s="66"/>
      <c r="E1946" s="66"/>
      <c r="F1946" s="66"/>
      <c r="G1946" s="66"/>
      <c r="H1946" s="66"/>
      <c r="I1946" s="66"/>
      <c r="J1946" s="66"/>
      <c r="K1946" s="66"/>
      <c r="L1946" s="66"/>
      <c r="M1946" s="66"/>
      <c r="N1946" s="66"/>
      <c r="O1946" s="66"/>
      <c r="P1946" s="66"/>
      <c r="Q1946" s="66"/>
      <c r="R1946" s="66"/>
      <c r="S1946" s="66"/>
      <c r="T1946" s="66"/>
      <c r="U1946" s="66"/>
      <c r="V1946" s="66"/>
      <c r="W1946" s="66"/>
      <c r="X1946" s="66"/>
      <c r="Y1946" s="66"/>
      <c r="Z1946" s="66"/>
    </row>
    <row r="1947">
      <c r="A1947" s="66"/>
      <c r="B1947" s="66"/>
      <c r="C1947" s="66"/>
      <c r="D1947" s="66"/>
      <c r="E1947" s="66"/>
      <c r="F1947" s="66"/>
      <c r="G1947" s="66"/>
      <c r="H1947" s="66"/>
      <c r="I1947" s="66"/>
      <c r="J1947" s="66"/>
      <c r="K1947" s="66"/>
      <c r="L1947" s="66"/>
      <c r="M1947" s="66"/>
      <c r="N1947" s="66"/>
      <c r="O1947" s="66"/>
      <c r="P1947" s="66"/>
      <c r="Q1947" s="66"/>
      <c r="R1947" s="66"/>
      <c r="S1947" s="66"/>
      <c r="T1947" s="66"/>
      <c r="U1947" s="66"/>
      <c r="V1947" s="66"/>
      <c r="W1947" s="66"/>
      <c r="X1947" s="66"/>
      <c r="Y1947" s="66"/>
      <c r="Z1947" s="66"/>
    </row>
    <row r="1948">
      <c r="A1948" s="66"/>
      <c r="B1948" s="66"/>
      <c r="C1948" s="66"/>
      <c r="D1948" s="66"/>
      <c r="E1948" s="66"/>
      <c r="F1948" s="66"/>
      <c r="G1948" s="66"/>
      <c r="H1948" s="66"/>
      <c r="I1948" s="66"/>
      <c r="J1948" s="66"/>
      <c r="K1948" s="66"/>
      <c r="L1948" s="66"/>
      <c r="M1948" s="66"/>
      <c r="N1948" s="66"/>
      <c r="O1948" s="66"/>
      <c r="P1948" s="66"/>
      <c r="Q1948" s="66"/>
      <c r="R1948" s="66"/>
      <c r="S1948" s="66"/>
      <c r="T1948" s="66"/>
      <c r="U1948" s="66"/>
      <c r="V1948" s="66"/>
      <c r="W1948" s="66"/>
      <c r="X1948" s="66"/>
      <c r="Y1948" s="66"/>
      <c r="Z1948" s="66"/>
    </row>
    <row r="1949">
      <c r="A1949" s="66"/>
      <c r="B1949" s="66"/>
      <c r="C1949" s="66"/>
      <c r="D1949" s="66"/>
      <c r="E1949" s="66"/>
      <c r="F1949" s="66"/>
      <c r="G1949" s="66"/>
      <c r="H1949" s="66"/>
      <c r="I1949" s="66"/>
      <c r="J1949" s="66"/>
      <c r="K1949" s="66"/>
      <c r="L1949" s="66"/>
      <c r="M1949" s="66"/>
      <c r="N1949" s="66"/>
      <c r="O1949" s="66"/>
      <c r="P1949" s="66"/>
      <c r="Q1949" s="66"/>
      <c r="R1949" s="66"/>
      <c r="S1949" s="66"/>
      <c r="T1949" s="66"/>
      <c r="U1949" s="66"/>
      <c r="V1949" s="66"/>
      <c r="W1949" s="66"/>
      <c r="X1949" s="66"/>
      <c r="Y1949" s="66"/>
      <c r="Z1949" s="66"/>
    </row>
    <row r="1950">
      <c r="A1950" s="66"/>
      <c r="B1950" s="66"/>
      <c r="C1950" s="66"/>
      <c r="D1950" s="66"/>
      <c r="E1950" s="66"/>
      <c r="F1950" s="66"/>
      <c r="G1950" s="66"/>
      <c r="H1950" s="66"/>
      <c r="I1950" s="66"/>
      <c r="J1950" s="66"/>
      <c r="K1950" s="66"/>
      <c r="L1950" s="66"/>
      <c r="M1950" s="66"/>
      <c r="N1950" s="66"/>
      <c r="O1950" s="66"/>
      <c r="P1950" s="66"/>
      <c r="Q1950" s="66"/>
      <c r="R1950" s="66"/>
      <c r="S1950" s="66"/>
      <c r="T1950" s="66"/>
      <c r="U1950" s="66"/>
      <c r="V1950" s="66"/>
      <c r="W1950" s="66"/>
      <c r="X1950" s="66"/>
      <c r="Y1950" s="66"/>
      <c r="Z1950" s="66"/>
    </row>
    <row r="1951">
      <c r="A1951" s="66"/>
      <c r="B1951" s="66"/>
      <c r="C1951" s="66"/>
      <c r="D1951" s="66"/>
      <c r="E1951" s="66"/>
      <c r="F1951" s="66"/>
      <c r="G1951" s="66"/>
      <c r="H1951" s="66"/>
      <c r="I1951" s="66"/>
      <c r="J1951" s="66"/>
      <c r="K1951" s="66"/>
      <c r="L1951" s="66"/>
      <c r="M1951" s="66"/>
      <c r="N1951" s="66"/>
      <c r="O1951" s="66"/>
      <c r="P1951" s="66"/>
      <c r="Q1951" s="66"/>
      <c r="R1951" s="66"/>
      <c r="S1951" s="66"/>
      <c r="T1951" s="66"/>
      <c r="U1951" s="66"/>
      <c r="V1951" s="66"/>
      <c r="W1951" s="66"/>
      <c r="X1951" s="66"/>
      <c r="Y1951" s="66"/>
      <c r="Z1951" s="66"/>
    </row>
    <row r="1952">
      <c r="A1952" s="66"/>
      <c r="B1952" s="66"/>
      <c r="C1952" s="66"/>
      <c r="D1952" s="66"/>
      <c r="E1952" s="66"/>
      <c r="F1952" s="66"/>
      <c r="G1952" s="66"/>
      <c r="H1952" s="66"/>
      <c r="I1952" s="66"/>
      <c r="J1952" s="66"/>
      <c r="K1952" s="66"/>
      <c r="L1952" s="66"/>
      <c r="M1952" s="66"/>
      <c r="N1952" s="66"/>
      <c r="O1952" s="66"/>
      <c r="P1952" s="66"/>
      <c r="Q1952" s="66"/>
      <c r="R1952" s="66"/>
      <c r="S1952" s="66"/>
      <c r="T1952" s="66"/>
      <c r="U1952" s="66"/>
      <c r="V1952" s="66"/>
      <c r="W1952" s="66"/>
      <c r="X1952" s="66"/>
      <c r="Y1952" s="66"/>
      <c r="Z1952" s="66"/>
    </row>
    <row r="1953">
      <c r="A1953" s="66"/>
      <c r="B1953" s="66"/>
      <c r="C1953" s="66"/>
      <c r="D1953" s="66"/>
      <c r="E1953" s="66"/>
      <c r="F1953" s="66"/>
      <c r="G1953" s="66"/>
      <c r="H1953" s="66"/>
      <c r="I1953" s="66"/>
      <c r="J1953" s="66"/>
      <c r="K1953" s="66"/>
      <c r="L1953" s="66"/>
      <c r="M1953" s="66"/>
      <c r="N1953" s="66"/>
      <c r="O1953" s="66"/>
      <c r="P1953" s="66"/>
      <c r="Q1953" s="66"/>
      <c r="R1953" s="66"/>
      <c r="S1953" s="66"/>
      <c r="T1953" s="66"/>
      <c r="U1953" s="66"/>
      <c r="V1953" s="66"/>
      <c r="W1953" s="66"/>
      <c r="X1953" s="66"/>
      <c r="Y1953" s="66"/>
      <c r="Z1953" s="66"/>
    </row>
    <row r="1954">
      <c r="A1954" s="66"/>
      <c r="B1954" s="66"/>
      <c r="C1954" s="66"/>
      <c r="D1954" s="66"/>
      <c r="E1954" s="66"/>
      <c r="F1954" s="66"/>
      <c r="G1954" s="66"/>
      <c r="H1954" s="66"/>
      <c r="I1954" s="66"/>
      <c r="J1954" s="66"/>
      <c r="K1954" s="66"/>
      <c r="L1954" s="66"/>
      <c r="M1954" s="66"/>
      <c r="N1954" s="66"/>
      <c r="O1954" s="66"/>
      <c r="P1954" s="66"/>
      <c r="Q1954" s="66"/>
      <c r="R1954" s="66"/>
      <c r="S1954" s="66"/>
      <c r="T1954" s="66"/>
      <c r="U1954" s="66"/>
      <c r="V1954" s="66"/>
      <c r="W1954" s="66"/>
      <c r="X1954" s="66"/>
      <c r="Y1954" s="66"/>
      <c r="Z1954" s="66"/>
    </row>
    <row r="1955">
      <c r="A1955" s="66"/>
      <c r="B1955" s="66"/>
      <c r="C1955" s="66"/>
      <c r="D1955" s="66"/>
      <c r="E1955" s="66"/>
      <c r="F1955" s="66"/>
      <c r="G1955" s="66"/>
      <c r="H1955" s="66"/>
      <c r="I1955" s="66"/>
      <c r="J1955" s="66"/>
      <c r="K1955" s="66"/>
      <c r="L1955" s="66"/>
      <c r="M1955" s="66"/>
      <c r="N1955" s="66"/>
      <c r="O1955" s="66"/>
      <c r="P1955" s="66"/>
      <c r="Q1955" s="66"/>
      <c r="R1955" s="66"/>
      <c r="S1955" s="66"/>
      <c r="T1955" s="66"/>
      <c r="U1955" s="66"/>
      <c r="V1955" s="66"/>
      <c r="W1955" s="66"/>
      <c r="X1955" s="66"/>
      <c r="Y1955" s="66"/>
      <c r="Z1955" s="66"/>
    </row>
    <row r="1956">
      <c r="A1956" s="66"/>
      <c r="B1956" s="66"/>
      <c r="C1956" s="66"/>
      <c r="D1956" s="66"/>
      <c r="E1956" s="66"/>
      <c r="F1956" s="66"/>
      <c r="G1956" s="66"/>
      <c r="H1956" s="66"/>
      <c r="I1956" s="66"/>
      <c r="J1956" s="66"/>
      <c r="K1956" s="66"/>
      <c r="L1956" s="66"/>
      <c r="M1956" s="66"/>
      <c r="N1956" s="66"/>
      <c r="O1956" s="66"/>
      <c r="P1956" s="66"/>
      <c r="Q1956" s="66"/>
      <c r="R1956" s="66"/>
      <c r="S1956" s="66"/>
      <c r="T1956" s="66"/>
      <c r="U1956" s="66"/>
      <c r="V1956" s="66"/>
      <c r="W1956" s="66"/>
      <c r="X1956" s="66"/>
      <c r="Y1956" s="66"/>
      <c r="Z1956" s="66"/>
    </row>
    <row r="1957">
      <c r="A1957" s="66"/>
      <c r="B1957" s="66"/>
      <c r="C1957" s="66"/>
      <c r="D1957" s="66"/>
      <c r="E1957" s="66"/>
      <c r="F1957" s="66"/>
      <c r="G1957" s="66"/>
      <c r="H1957" s="66"/>
      <c r="I1957" s="66"/>
      <c r="J1957" s="66"/>
      <c r="K1957" s="66"/>
      <c r="L1957" s="66"/>
      <c r="M1957" s="66"/>
      <c r="N1957" s="66"/>
      <c r="O1957" s="66"/>
      <c r="P1957" s="66"/>
      <c r="Q1957" s="66"/>
      <c r="R1957" s="66"/>
      <c r="S1957" s="66"/>
      <c r="T1957" s="66"/>
      <c r="U1957" s="66"/>
      <c r="V1957" s="66"/>
      <c r="W1957" s="66"/>
      <c r="X1957" s="66"/>
      <c r="Y1957" s="66"/>
      <c r="Z1957" s="66"/>
    </row>
    <row r="1958">
      <c r="A1958" s="66"/>
      <c r="B1958" s="66"/>
      <c r="C1958" s="66"/>
      <c r="D1958" s="66"/>
      <c r="E1958" s="66"/>
      <c r="F1958" s="66"/>
      <c r="G1958" s="66"/>
      <c r="H1958" s="66"/>
      <c r="I1958" s="66"/>
      <c r="J1958" s="66"/>
      <c r="K1958" s="66"/>
      <c r="L1958" s="66"/>
      <c r="M1958" s="66"/>
      <c r="N1958" s="66"/>
      <c r="O1958" s="66"/>
      <c r="P1958" s="66"/>
      <c r="Q1958" s="66"/>
      <c r="R1958" s="66"/>
      <c r="S1958" s="66"/>
      <c r="T1958" s="66"/>
      <c r="U1958" s="66"/>
      <c r="V1958" s="66"/>
      <c r="W1958" s="66"/>
      <c r="X1958" s="66"/>
      <c r="Y1958" s="66"/>
      <c r="Z1958" s="66"/>
    </row>
    <row r="1959">
      <c r="A1959" s="66"/>
      <c r="B1959" s="66"/>
      <c r="C1959" s="66"/>
      <c r="D1959" s="66"/>
      <c r="E1959" s="66"/>
      <c r="F1959" s="66"/>
      <c r="G1959" s="66"/>
      <c r="H1959" s="66"/>
      <c r="I1959" s="66"/>
      <c r="J1959" s="66"/>
      <c r="K1959" s="66"/>
      <c r="L1959" s="66"/>
      <c r="M1959" s="66"/>
      <c r="N1959" s="66"/>
      <c r="O1959" s="66"/>
      <c r="P1959" s="66"/>
      <c r="Q1959" s="66"/>
      <c r="R1959" s="66"/>
      <c r="S1959" s="66"/>
      <c r="T1959" s="66"/>
      <c r="U1959" s="66"/>
      <c r="V1959" s="66"/>
      <c r="W1959" s="66"/>
      <c r="X1959" s="66"/>
      <c r="Y1959" s="66"/>
      <c r="Z1959" s="66"/>
    </row>
    <row r="1960">
      <c r="A1960" s="66"/>
      <c r="B1960" s="66"/>
      <c r="C1960" s="66"/>
      <c r="D1960" s="66"/>
      <c r="E1960" s="66"/>
      <c r="F1960" s="66"/>
      <c r="G1960" s="66"/>
      <c r="H1960" s="66"/>
      <c r="I1960" s="66"/>
      <c r="J1960" s="66"/>
      <c r="K1960" s="66"/>
      <c r="L1960" s="66"/>
      <c r="M1960" s="66"/>
      <c r="N1960" s="66"/>
      <c r="O1960" s="66"/>
      <c r="P1960" s="66"/>
      <c r="Q1960" s="66"/>
      <c r="R1960" s="66"/>
      <c r="S1960" s="66"/>
      <c r="T1960" s="66"/>
      <c r="U1960" s="66"/>
      <c r="V1960" s="66"/>
      <c r="W1960" s="66"/>
      <c r="X1960" s="66"/>
      <c r="Y1960" s="66"/>
      <c r="Z1960" s="66"/>
    </row>
    <row r="1961">
      <c r="A1961" s="66"/>
      <c r="B1961" s="66"/>
      <c r="C1961" s="66"/>
      <c r="D1961" s="66"/>
      <c r="E1961" s="66"/>
      <c r="F1961" s="66"/>
      <c r="G1961" s="66"/>
      <c r="H1961" s="66"/>
      <c r="I1961" s="66"/>
      <c r="J1961" s="66"/>
      <c r="K1961" s="66"/>
      <c r="L1961" s="66"/>
      <c r="M1961" s="66"/>
      <c r="N1961" s="66"/>
      <c r="O1961" s="66"/>
      <c r="P1961" s="66"/>
      <c r="Q1961" s="66"/>
      <c r="R1961" s="66"/>
      <c r="S1961" s="66"/>
      <c r="T1961" s="66"/>
      <c r="U1961" s="66"/>
      <c r="V1961" s="66"/>
      <c r="W1961" s="66"/>
      <c r="X1961" s="66"/>
      <c r="Y1961" s="66"/>
      <c r="Z1961" s="66"/>
    </row>
    <row r="1962">
      <c r="A1962" s="66"/>
      <c r="B1962" s="66"/>
      <c r="C1962" s="66"/>
      <c r="D1962" s="66"/>
      <c r="E1962" s="66"/>
      <c r="F1962" s="66"/>
      <c r="G1962" s="66"/>
      <c r="H1962" s="66"/>
      <c r="I1962" s="66"/>
      <c r="J1962" s="66"/>
      <c r="K1962" s="66"/>
      <c r="L1962" s="66"/>
      <c r="M1962" s="66"/>
      <c r="N1962" s="66"/>
      <c r="O1962" s="66"/>
      <c r="P1962" s="66"/>
      <c r="Q1962" s="66"/>
      <c r="R1962" s="66"/>
      <c r="S1962" s="66"/>
      <c r="T1962" s="66"/>
      <c r="U1962" s="66"/>
      <c r="V1962" s="66"/>
      <c r="W1962" s="66"/>
      <c r="X1962" s="66"/>
      <c r="Y1962" s="66"/>
      <c r="Z1962" s="66"/>
    </row>
    <row r="1963">
      <c r="A1963" s="66"/>
      <c r="B1963" s="66"/>
      <c r="C1963" s="66"/>
      <c r="D1963" s="66"/>
      <c r="E1963" s="66"/>
      <c r="F1963" s="66"/>
      <c r="G1963" s="66"/>
      <c r="H1963" s="66"/>
      <c r="I1963" s="66"/>
      <c r="J1963" s="66"/>
      <c r="K1963" s="66"/>
      <c r="L1963" s="66"/>
      <c r="M1963" s="66"/>
      <c r="N1963" s="66"/>
      <c r="O1963" s="66"/>
      <c r="P1963" s="66"/>
      <c r="Q1963" s="66"/>
      <c r="R1963" s="66"/>
      <c r="S1963" s="66"/>
      <c r="T1963" s="66"/>
      <c r="U1963" s="66"/>
      <c r="V1963" s="66"/>
      <c r="W1963" s="66"/>
      <c r="X1963" s="66"/>
      <c r="Y1963" s="66"/>
      <c r="Z1963" s="66"/>
    </row>
    <row r="1964">
      <c r="A1964" s="66"/>
      <c r="B1964" s="66"/>
      <c r="C1964" s="66"/>
      <c r="D1964" s="66"/>
      <c r="E1964" s="66"/>
      <c r="F1964" s="66"/>
      <c r="G1964" s="66"/>
      <c r="H1964" s="66"/>
      <c r="I1964" s="66"/>
      <c r="J1964" s="66"/>
      <c r="K1964" s="66"/>
      <c r="L1964" s="66"/>
      <c r="M1964" s="66"/>
      <c r="N1964" s="66"/>
      <c r="O1964" s="66"/>
      <c r="P1964" s="66"/>
      <c r="Q1964" s="66"/>
      <c r="R1964" s="66"/>
      <c r="S1964" s="66"/>
      <c r="T1964" s="66"/>
      <c r="U1964" s="66"/>
      <c r="V1964" s="66"/>
      <c r="W1964" s="66"/>
      <c r="X1964" s="66"/>
      <c r="Y1964" s="66"/>
      <c r="Z1964" s="66"/>
    </row>
    <row r="1965">
      <c r="A1965" s="66"/>
      <c r="B1965" s="66"/>
      <c r="C1965" s="66"/>
      <c r="D1965" s="66"/>
      <c r="E1965" s="66"/>
      <c r="F1965" s="66"/>
      <c r="G1965" s="66"/>
      <c r="H1965" s="66"/>
      <c r="I1965" s="66"/>
      <c r="J1965" s="66"/>
      <c r="K1965" s="66"/>
      <c r="L1965" s="66"/>
      <c r="M1965" s="66"/>
      <c r="N1965" s="66"/>
      <c r="O1965" s="66"/>
      <c r="P1965" s="66"/>
      <c r="Q1965" s="66"/>
      <c r="R1965" s="66"/>
      <c r="S1965" s="66"/>
      <c r="T1965" s="66"/>
      <c r="U1965" s="66"/>
      <c r="V1965" s="66"/>
      <c r="W1965" s="66"/>
      <c r="X1965" s="66"/>
      <c r="Y1965" s="66"/>
      <c r="Z1965" s="66"/>
    </row>
    <row r="1966">
      <c r="A1966" s="66"/>
      <c r="B1966" s="66"/>
      <c r="C1966" s="66"/>
      <c r="D1966" s="66"/>
      <c r="E1966" s="66"/>
      <c r="F1966" s="66"/>
      <c r="G1966" s="66"/>
      <c r="H1966" s="66"/>
      <c r="I1966" s="66"/>
      <c r="J1966" s="66"/>
      <c r="K1966" s="66"/>
      <c r="L1966" s="66"/>
      <c r="M1966" s="66"/>
      <c r="N1966" s="66"/>
      <c r="O1966" s="66"/>
      <c r="P1966" s="66"/>
      <c r="Q1966" s="66"/>
      <c r="R1966" s="66"/>
      <c r="S1966" s="66"/>
      <c r="T1966" s="66"/>
      <c r="U1966" s="66"/>
      <c r="V1966" s="66"/>
      <c r="W1966" s="66"/>
      <c r="X1966" s="66"/>
      <c r="Y1966" s="66"/>
      <c r="Z1966" s="66"/>
    </row>
    <row r="1967">
      <c r="A1967" s="66"/>
      <c r="B1967" s="66"/>
      <c r="C1967" s="66"/>
      <c r="D1967" s="66"/>
      <c r="E1967" s="66"/>
      <c r="F1967" s="66"/>
      <c r="G1967" s="66"/>
      <c r="H1967" s="66"/>
      <c r="I1967" s="66"/>
      <c r="J1967" s="66"/>
      <c r="K1967" s="66"/>
      <c r="L1967" s="66"/>
      <c r="M1967" s="66"/>
      <c r="N1967" s="66"/>
      <c r="O1967" s="66"/>
      <c r="P1967" s="66"/>
      <c r="Q1967" s="66"/>
      <c r="R1967" s="66"/>
      <c r="S1967" s="66"/>
      <c r="T1967" s="66"/>
      <c r="U1967" s="66"/>
      <c r="V1967" s="66"/>
      <c r="W1967" s="66"/>
      <c r="X1967" s="66"/>
      <c r="Y1967" s="66"/>
      <c r="Z1967" s="66"/>
    </row>
    <row r="1968">
      <c r="A1968" s="66"/>
      <c r="B1968" s="66"/>
      <c r="C1968" s="66"/>
      <c r="D1968" s="66"/>
      <c r="E1968" s="66"/>
      <c r="F1968" s="66"/>
      <c r="G1968" s="66"/>
      <c r="H1968" s="66"/>
      <c r="I1968" s="66"/>
      <c r="J1968" s="66"/>
      <c r="K1968" s="66"/>
      <c r="L1968" s="66"/>
      <c r="M1968" s="66"/>
      <c r="N1968" s="66"/>
      <c r="O1968" s="66"/>
      <c r="P1968" s="66"/>
      <c r="Q1968" s="66"/>
      <c r="R1968" s="66"/>
      <c r="S1968" s="66"/>
      <c r="T1968" s="66"/>
      <c r="U1968" s="66"/>
      <c r="V1968" s="66"/>
      <c r="W1968" s="66"/>
      <c r="X1968" s="66"/>
      <c r="Y1968" s="66"/>
      <c r="Z1968" s="66"/>
    </row>
    <row r="1969">
      <c r="A1969" s="66"/>
      <c r="B1969" s="66"/>
      <c r="C1969" s="66"/>
      <c r="D1969" s="66"/>
      <c r="E1969" s="66"/>
      <c r="F1969" s="66"/>
      <c r="G1969" s="66"/>
      <c r="H1969" s="66"/>
      <c r="I1969" s="66"/>
      <c r="J1969" s="66"/>
      <c r="K1969" s="66"/>
      <c r="L1969" s="66"/>
      <c r="M1969" s="66"/>
      <c r="N1969" s="66"/>
      <c r="O1969" s="66"/>
      <c r="P1969" s="66"/>
      <c r="Q1969" s="66"/>
      <c r="R1969" s="66"/>
      <c r="S1969" s="66"/>
      <c r="T1969" s="66"/>
      <c r="U1969" s="66"/>
      <c r="V1969" s="66"/>
      <c r="W1969" s="66"/>
      <c r="X1969" s="66"/>
      <c r="Y1969" s="66"/>
      <c r="Z1969" s="66"/>
    </row>
    <row r="1970">
      <c r="A1970" s="66"/>
      <c r="B1970" s="66"/>
      <c r="C1970" s="66"/>
      <c r="D1970" s="66"/>
      <c r="E1970" s="66"/>
      <c r="F1970" s="66"/>
      <c r="G1970" s="66"/>
      <c r="H1970" s="66"/>
      <c r="I1970" s="66"/>
      <c r="J1970" s="66"/>
      <c r="K1970" s="66"/>
      <c r="L1970" s="66"/>
      <c r="M1970" s="66"/>
      <c r="N1970" s="66"/>
      <c r="O1970" s="66"/>
      <c r="P1970" s="66"/>
      <c r="Q1970" s="66"/>
      <c r="R1970" s="66"/>
      <c r="S1970" s="66"/>
      <c r="T1970" s="66"/>
      <c r="U1970" s="66"/>
      <c r="V1970" s="66"/>
      <c r="W1970" s="66"/>
      <c r="X1970" s="66"/>
      <c r="Y1970" s="66"/>
      <c r="Z1970" s="66"/>
    </row>
    <row r="1971">
      <c r="A1971" s="66"/>
      <c r="B1971" s="66"/>
      <c r="C1971" s="66"/>
      <c r="D1971" s="66"/>
      <c r="E1971" s="66"/>
      <c r="F1971" s="66"/>
      <c r="G1971" s="66"/>
      <c r="H1971" s="66"/>
      <c r="I1971" s="66"/>
      <c r="J1971" s="66"/>
      <c r="K1971" s="66"/>
      <c r="L1971" s="66"/>
      <c r="M1971" s="66"/>
      <c r="N1971" s="66"/>
      <c r="O1971" s="66"/>
      <c r="P1971" s="66"/>
      <c r="Q1971" s="66"/>
      <c r="R1971" s="66"/>
      <c r="S1971" s="66"/>
      <c r="T1971" s="66"/>
      <c r="U1971" s="66"/>
      <c r="V1971" s="66"/>
      <c r="W1971" s="66"/>
      <c r="X1971" s="66"/>
      <c r="Y1971" s="66"/>
      <c r="Z1971" s="66"/>
    </row>
    <row r="1972">
      <c r="A1972" s="66"/>
      <c r="B1972" s="66"/>
      <c r="C1972" s="66"/>
      <c r="D1972" s="66"/>
      <c r="E1972" s="66"/>
      <c r="F1972" s="66"/>
      <c r="G1972" s="66"/>
      <c r="H1972" s="66"/>
      <c r="I1972" s="66"/>
      <c r="J1972" s="66"/>
      <c r="K1972" s="66"/>
      <c r="L1972" s="66"/>
      <c r="M1972" s="66"/>
      <c r="N1972" s="66"/>
      <c r="O1972" s="66"/>
      <c r="P1972" s="66"/>
      <c r="Q1972" s="66"/>
      <c r="R1972" s="66"/>
      <c r="S1972" s="66"/>
      <c r="T1972" s="66"/>
      <c r="U1972" s="66"/>
      <c r="V1972" s="66"/>
      <c r="W1972" s="66"/>
      <c r="X1972" s="66"/>
      <c r="Y1972" s="66"/>
      <c r="Z1972" s="66"/>
    </row>
    <row r="1973">
      <c r="A1973" s="66"/>
      <c r="B1973" s="66"/>
      <c r="C1973" s="66"/>
      <c r="D1973" s="66"/>
      <c r="E1973" s="66"/>
      <c r="F1973" s="66"/>
      <c r="G1973" s="66"/>
      <c r="H1973" s="66"/>
      <c r="I1973" s="66"/>
      <c r="J1973" s="66"/>
      <c r="K1973" s="66"/>
      <c r="L1973" s="66"/>
      <c r="M1973" s="66"/>
      <c r="N1973" s="66"/>
      <c r="O1973" s="66"/>
      <c r="P1973" s="66"/>
      <c r="Q1973" s="66"/>
      <c r="R1973" s="66"/>
      <c r="S1973" s="66"/>
      <c r="T1973" s="66"/>
      <c r="U1973" s="66"/>
      <c r="V1973" s="66"/>
      <c r="W1973" s="66"/>
      <c r="X1973" s="66"/>
      <c r="Y1973" s="66"/>
      <c r="Z1973" s="66"/>
    </row>
    <row r="1974">
      <c r="A1974" s="66"/>
      <c r="B1974" s="66"/>
      <c r="C1974" s="66"/>
      <c r="D1974" s="66"/>
      <c r="E1974" s="66"/>
      <c r="F1974" s="66"/>
      <c r="G1974" s="66"/>
      <c r="H1974" s="66"/>
      <c r="I1974" s="66"/>
      <c r="J1974" s="66"/>
      <c r="K1974" s="66"/>
      <c r="L1974" s="66"/>
      <c r="M1974" s="66"/>
      <c r="N1974" s="66"/>
      <c r="O1974" s="66"/>
      <c r="P1974" s="66"/>
      <c r="Q1974" s="66"/>
      <c r="R1974" s="66"/>
      <c r="S1974" s="66"/>
      <c r="T1974" s="66"/>
      <c r="U1974" s="66"/>
      <c r="V1974" s="66"/>
      <c r="W1974" s="66"/>
      <c r="X1974" s="66"/>
      <c r="Y1974" s="66"/>
      <c r="Z1974" s="66"/>
    </row>
    <row r="1975">
      <c r="A1975" s="66"/>
      <c r="B1975" s="66"/>
      <c r="C1975" s="66"/>
      <c r="D1975" s="66"/>
      <c r="E1975" s="66"/>
      <c r="F1975" s="66"/>
      <c r="G1975" s="66"/>
      <c r="H1975" s="66"/>
      <c r="I1975" s="66"/>
      <c r="J1975" s="66"/>
      <c r="K1975" s="66"/>
      <c r="L1975" s="66"/>
      <c r="M1975" s="66"/>
      <c r="N1975" s="66"/>
      <c r="O1975" s="66"/>
      <c r="P1975" s="66"/>
      <c r="Q1975" s="66"/>
      <c r="R1975" s="66"/>
      <c r="S1975" s="66"/>
      <c r="T1975" s="66"/>
      <c r="U1975" s="66"/>
      <c r="V1975" s="66"/>
      <c r="W1975" s="66"/>
      <c r="X1975" s="66"/>
      <c r="Y1975" s="66"/>
      <c r="Z1975" s="66"/>
    </row>
    <row r="1976">
      <c r="A1976" s="66"/>
      <c r="B1976" s="66"/>
      <c r="C1976" s="66"/>
      <c r="D1976" s="66"/>
      <c r="E1976" s="66"/>
      <c r="F1976" s="66"/>
      <c r="G1976" s="66"/>
      <c r="H1976" s="66"/>
      <c r="I1976" s="66"/>
      <c r="J1976" s="66"/>
      <c r="K1976" s="66"/>
      <c r="L1976" s="66"/>
      <c r="M1976" s="66"/>
      <c r="N1976" s="66"/>
      <c r="O1976" s="66"/>
      <c r="P1976" s="66"/>
      <c r="Q1976" s="66"/>
      <c r="R1976" s="66"/>
      <c r="S1976" s="66"/>
      <c r="T1976" s="66"/>
      <c r="U1976" s="66"/>
      <c r="V1976" s="66"/>
      <c r="W1976" s="66"/>
      <c r="X1976" s="66"/>
      <c r="Y1976" s="66"/>
      <c r="Z1976" s="66"/>
    </row>
    <row r="1977">
      <c r="A1977" s="66"/>
      <c r="B1977" s="66"/>
      <c r="C1977" s="66"/>
      <c r="D1977" s="66"/>
      <c r="E1977" s="66"/>
      <c r="F1977" s="66"/>
      <c r="G1977" s="66"/>
      <c r="H1977" s="66"/>
      <c r="I1977" s="66"/>
      <c r="J1977" s="66"/>
      <c r="K1977" s="66"/>
      <c r="L1977" s="66"/>
      <c r="M1977" s="66"/>
      <c r="N1977" s="66"/>
      <c r="O1977" s="66"/>
      <c r="P1977" s="66"/>
      <c r="Q1977" s="66"/>
      <c r="R1977" s="66"/>
      <c r="S1977" s="66"/>
      <c r="T1977" s="66"/>
      <c r="U1977" s="66"/>
      <c r="V1977" s="66"/>
      <c r="W1977" s="66"/>
      <c r="X1977" s="66"/>
      <c r="Y1977" s="66"/>
      <c r="Z1977" s="66"/>
    </row>
    <row r="1978">
      <c r="A1978" s="66"/>
      <c r="B1978" s="66"/>
      <c r="C1978" s="66"/>
      <c r="D1978" s="66"/>
      <c r="E1978" s="66"/>
      <c r="F1978" s="66"/>
      <c r="G1978" s="66"/>
      <c r="H1978" s="66"/>
      <c r="I1978" s="66"/>
      <c r="J1978" s="66"/>
      <c r="K1978" s="66"/>
      <c r="L1978" s="66"/>
      <c r="M1978" s="66"/>
      <c r="N1978" s="66"/>
      <c r="O1978" s="66"/>
      <c r="P1978" s="66"/>
      <c r="Q1978" s="66"/>
      <c r="R1978" s="66"/>
      <c r="S1978" s="66"/>
      <c r="T1978" s="66"/>
      <c r="U1978" s="66"/>
      <c r="V1978" s="66"/>
      <c r="W1978" s="66"/>
      <c r="X1978" s="66"/>
      <c r="Y1978" s="66"/>
      <c r="Z1978" s="66"/>
    </row>
    <row r="1979">
      <c r="A1979" s="66"/>
      <c r="B1979" s="66"/>
      <c r="C1979" s="66"/>
      <c r="D1979" s="66"/>
      <c r="E1979" s="66"/>
      <c r="F1979" s="66"/>
      <c r="G1979" s="66"/>
      <c r="H1979" s="66"/>
      <c r="I1979" s="66"/>
      <c r="J1979" s="66"/>
      <c r="K1979" s="66"/>
      <c r="L1979" s="66"/>
      <c r="M1979" s="66"/>
      <c r="N1979" s="66"/>
      <c r="O1979" s="66"/>
      <c r="P1979" s="66"/>
      <c r="Q1979" s="66"/>
      <c r="R1979" s="66"/>
      <c r="S1979" s="66"/>
      <c r="T1979" s="66"/>
      <c r="U1979" s="66"/>
      <c r="V1979" s="66"/>
      <c r="W1979" s="66"/>
      <c r="X1979" s="66"/>
      <c r="Y1979" s="66"/>
      <c r="Z1979" s="66"/>
    </row>
    <row r="1980">
      <c r="A1980" s="66"/>
      <c r="B1980" s="66"/>
      <c r="C1980" s="66"/>
      <c r="D1980" s="66"/>
      <c r="E1980" s="66"/>
      <c r="F1980" s="66"/>
      <c r="G1980" s="66"/>
      <c r="H1980" s="66"/>
      <c r="I1980" s="66"/>
      <c r="J1980" s="66"/>
      <c r="K1980" s="66"/>
      <c r="L1980" s="66"/>
      <c r="M1980" s="66"/>
      <c r="N1980" s="66"/>
      <c r="O1980" s="66"/>
      <c r="P1980" s="66"/>
      <c r="Q1980" s="66"/>
      <c r="R1980" s="66"/>
      <c r="S1980" s="66"/>
      <c r="T1980" s="66"/>
      <c r="U1980" s="66"/>
      <c r="V1980" s="66"/>
      <c r="W1980" s="66"/>
      <c r="X1980" s="66"/>
      <c r="Y1980" s="66"/>
      <c r="Z1980" s="66"/>
    </row>
    <row r="1981">
      <c r="A1981" s="66"/>
      <c r="B1981" s="66"/>
      <c r="C1981" s="66"/>
      <c r="D1981" s="66"/>
      <c r="E1981" s="66"/>
      <c r="F1981" s="66"/>
      <c r="G1981" s="66"/>
      <c r="H1981" s="66"/>
      <c r="I1981" s="66"/>
      <c r="J1981" s="66"/>
      <c r="K1981" s="66"/>
      <c r="L1981" s="66"/>
      <c r="M1981" s="66"/>
      <c r="N1981" s="66"/>
      <c r="O1981" s="66"/>
      <c r="P1981" s="66"/>
      <c r="Q1981" s="66"/>
      <c r="R1981" s="66"/>
      <c r="S1981" s="66"/>
      <c r="T1981" s="66"/>
      <c r="U1981" s="66"/>
      <c r="V1981" s="66"/>
      <c r="W1981" s="66"/>
      <c r="X1981" s="66"/>
      <c r="Y1981" s="66"/>
      <c r="Z1981" s="66"/>
    </row>
    <row r="1982">
      <c r="A1982" s="66"/>
      <c r="B1982" s="66"/>
      <c r="C1982" s="66"/>
      <c r="D1982" s="66"/>
      <c r="E1982" s="66"/>
      <c r="F1982" s="66"/>
      <c r="G1982" s="66"/>
      <c r="H1982" s="66"/>
      <c r="I1982" s="66"/>
      <c r="J1982" s="66"/>
      <c r="K1982" s="66"/>
      <c r="L1982" s="66"/>
      <c r="M1982" s="66"/>
      <c r="N1982" s="66"/>
      <c r="O1982" s="66"/>
      <c r="P1982" s="66"/>
      <c r="Q1982" s="66"/>
      <c r="R1982" s="66"/>
      <c r="S1982" s="66"/>
      <c r="T1982" s="66"/>
      <c r="U1982" s="66"/>
      <c r="V1982" s="66"/>
      <c r="W1982" s="66"/>
      <c r="X1982" s="66"/>
      <c r="Y1982" s="66"/>
      <c r="Z1982" s="66"/>
    </row>
    <row r="1983">
      <c r="A1983" s="66"/>
      <c r="B1983" s="66"/>
      <c r="C1983" s="66"/>
      <c r="D1983" s="66"/>
      <c r="E1983" s="66"/>
      <c r="F1983" s="66"/>
      <c r="G1983" s="66"/>
      <c r="H1983" s="66"/>
      <c r="I1983" s="66"/>
      <c r="J1983" s="66"/>
      <c r="K1983" s="66"/>
      <c r="L1983" s="66"/>
      <c r="M1983" s="66"/>
      <c r="N1983" s="66"/>
      <c r="O1983" s="66"/>
      <c r="P1983" s="66"/>
      <c r="Q1983" s="66"/>
      <c r="R1983" s="66"/>
      <c r="S1983" s="66"/>
      <c r="T1983" s="66"/>
      <c r="U1983" s="66"/>
      <c r="V1983" s="66"/>
      <c r="W1983" s="66"/>
      <c r="X1983" s="66"/>
      <c r="Y1983" s="66"/>
      <c r="Z1983" s="66"/>
    </row>
    <row r="1984">
      <c r="A1984" s="66"/>
      <c r="B1984" s="66"/>
      <c r="C1984" s="66"/>
      <c r="D1984" s="66"/>
      <c r="E1984" s="66"/>
      <c r="F1984" s="66"/>
      <c r="G1984" s="66"/>
      <c r="H1984" s="66"/>
      <c r="I1984" s="66"/>
      <c r="J1984" s="66"/>
      <c r="K1984" s="66"/>
      <c r="L1984" s="66"/>
      <c r="M1984" s="66"/>
      <c r="N1984" s="66"/>
      <c r="O1984" s="66"/>
      <c r="P1984" s="66"/>
      <c r="Q1984" s="66"/>
      <c r="R1984" s="66"/>
      <c r="S1984" s="66"/>
      <c r="T1984" s="66"/>
      <c r="U1984" s="66"/>
      <c r="V1984" s="66"/>
      <c r="W1984" s="66"/>
      <c r="X1984" s="66"/>
      <c r="Y1984" s="66"/>
      <c r="Z1984" s="66"/>
    </row>
    <row r="1985">
      <c r="A1985" s="66"/>
      <c r="B1985" s="66"/>
      <c r="C1985" s="66"/>
      <c r="D1985" s="66"/>
      <c r="E1985" s="66"/>
      <c r="F1985" s="66"/>
      <c r="G1985" s="66"/>
      <c r="H1985" s="66"/>
      <c r="I1985" s="66"/>
      <c r="J1985" s="66"/>
      <c r="K1985" s="66"/>
      <c r="L1985" s="66"/>
      <c r="M1985" s="66"/>
      <c r="N1985" s="66"/>
      <c r="O1985" s="66"/>
      <c r="P1985" s="66"/>
      <c r="Q1985" s="66"/>
      <c r="R1985" s="66"/>
      <c r="S1985" s="66"/>
      <c r="T1985" s="66"/>
      <c r="U1985" s="66"/>
      <c r="V1985" s="66"/>
      <c r="W1985" s="66"/>
      <c r="X1985" s="66"/>
      <c r="Y1985" s="66"/>
      <c r="Z1985" s="66"/>
    </row>
    <row r="1986">
      <c r="A1986" s="66"/>
      <c r="B1986" s="66"/>
      <c r="C1986" s="66"/>
      <c r="D1986" s="66"/>
      <c r="E1986" s="66"/>
      <c r="F1986" s="66"/>
      <c r="G1986" s="66"/>
      <c r="H1986" s="66"/>
      <c r="I1986" s="66"/>
      <c r="J1986" s="66"/>
      <c r="K1986" s="66"/>
      <c r="L1986" s="66"/>
      <c r="M1986" s="66"/>
      <c r="N1986" s="66"/>
      <c r="O1986" s="66"/>
      <c r="P1986" s="66"/>
      <c r="Q1986" s="66"/>
      <c r="R1986" s="66"/>
      <c r="S1986" s="66"/>
      <c r="T1986" s="66"/>
      <c r="U1986" s="66"/>
      <c r="V1986" s="66"/>
      <c r="W1986" s="66"/>
      <c r="X1986" s="66"/>
      <c r="Y1986" s="66"/>
      <c r="Z1986" s="66"/>
    </row>
    <row r="1987">
      <c r="A1987" s="66"/>
      <c r="B1987" s="66"/>
      <c r="C1987" s="66"/>
      <c r="D1987" s="66"/>
      <c r="E1987" s="66"/>
      <c r="F1987" s="66"/>
      <c r="G1987" s="66"/>
      <c r="H1987" s="66"/>
      <c r="I1987" s="66"/>
      <c r="J1987" s="66"/>
      <c r="K1987" s="66"/>
      <c r="L1987" s="66"/>
      <c r="M1987" s="66"/>
      <c r="N1987" s="66"/>
      <c r="O1987" s="66"/>
      <c r="P1987" s="66"/>
      <c r="Q1987" s="66"/>
      <c r="R1987" s="66"/>
      <c r="S1987" s="66"/>
      <c r="T1987" s="66"/>
      <c r="U1987" s="66"/>
      <c r="V1987" s="66"/>
      <c r="W1987" s="66"/>
      <c r="X1987" s="66"/>
      <c r="Y1987" s="66"/>
      <c r="Z1987" s="66"/>
    </row>
    <row r="1988">
      <c r="A1988" s="66"/>
      <c r="B1988" s="66"/>
      <c r="C1988" s="66"/>
      <c r="D1988" s="66"/>
      <c r="E1988" s="66"/>
      <c r="F1988" s="66"/>
      <c r="G1988" s="66"/>
      <c r="H1988" s="66"/>
      <c r="I1988" s="66"/>
      <c r="J1988" s="66"/>
      <c r="K1988" s="66"/>
      <c r="L1988" s="66"/>
      <c r="M1988" s="66"/>
      <c r="N1988" s="66"/>
      <c r="O1988" s="66"/>
      <c r="P1988" s="66"/>
      <c r="Q1988" s="66"/>
      <c r="R1988" s="66"/>
      <c r="S1988" s="66"/>
      <c r="T1988" s="66"/>
      <c r="U1988" s="66"/>
      <c r="V1988" s="66"/>
      <c r="W1988" s="66"/>
      <c r="X1988" s="66"/>
      <c r="Y1988" s="66"/>
      <c r="Z1988" s="66"/>
    </row>
    <row r="1989">
      <c r="A1989" s="66"/>
      <c r="B1989" s="66"/>
      <c r="C1989" s="66"/>
      <c r="D1989" s="66"/>
      <c r="E1989" s="66"/>
      <c r="F1989" s="66"/>
      <c r="G1989" s="66"/>
      <c r="H1989" s="66"/>
      <c r="I1989" s="66"/>
      <c r="J1989" s="66"/>
      <c r="K1989" s="66"/>
      <c r="L1989" s="66"/>
      <c r="M1989" s="66"/>
      <c r="N1989" s="66"/>
      <c r="O1989" s="66"/>
      <c r="P1989" s="66"/>
      <c r="Q1989" s="66"/>
      <c r="R1989" s="66"/>
      <c r="S1989" s="66"/>
      <c r="T1989" s="66"/>
      <c r="U1989" s="66"/>
      <c r="V1989" s="66"/>
      <c r="W1989" s="66"/>
      <c r="X1989" s="66"/>
      <c r="Y1989" s="66"/>
      <c r="Z1989" s="66"/>
    </row>
    <row r="1990">
      <c r="A1990" s="66"/>
      <c r="B1990" s="66"/>
      <c r="C1990" s="66"/>
      <c r="D1990" s="66"/>
      <c r="E1990" s="66"/>
      <c r="F1990" s="66"/>
      <c r="G1990" s="66"/>
      <c r="H1990" s="66"/>
      <c r="I1990" s="66"/>
      <c r="J1990" s="66"/>
      <c r="K1990" s="66"/>
      <c r="L1990" s="66"/>
      <c r="M1990" s="66"/>
      <c r="N1990" s="66"/>
      <c r="O1990" s="66"/>
      <c r="P1990" s="66"/>
      <c r="Q1990" s="66"/>
      <c r="R1990" s="66"/>
      <c r="S1990" s="66"/>
      <c r="T1990" s="66"/>
      <c r="U1990" s="66"/>
      <c r="V1990" s="66"/>
      <c r="W1990" s="66"/>
      <c r="X1990" s="66"/>
      <c r="Y1990" s="66"/>
      <c r="Z1990" s="66"/>
    </row>
    <row r="1991">
      <c r="A1991" s="66"/>
      <c r="B1991" s="66"/>
      <c r="C1991" s="66"/>
      <c r="D1991" s="66"/>
      <c r="E1991" s="66"/>
      <c r="F1991" s="66"/>
      <c r="G1991" s="66"/>
      <c r="H1991" s="66"/>
      <c r="I1991" s="66"/>
      <c r="J1991" s="66"/>
      <c r="K1991" s="66"/>
      <c r="L1991" s="66"/>
      <c r="M1991" s="66"/>
      <c r="N1991" s="66"/>
      <c r="O1991" s="66"/>
      <c r="P1991" s="66"/>
      <c r="Q1991" s="66"/>
      <c r="R1991" s="66"/>
      <c r="S1991" s="66"/>
      <c r="T1991" s="66"/>
      <c r="U1991" s="66"/>
      <c r="V1991" s="66"/>
      <c r="W1991" s="66"/>
      <c r="X1991" s="66"/>
      <c r="Y1991" s="66"/>
      <c r="Z1991" s="66"/>
    </row>
    <row r="1992">
      <c r="A1992" s="66"/>
      <c r="B1992" s="66"/>
      <c r="C1992" s="66"/>
      <c r="D1992" s="66"/>
      <c r="E1992" s="66"/>
      <c r="F1992" s="66"/>
      <c r="G1992" s="66"/>
      <c r="H1992" s="66"/>
      <c r="I1992" s="66"/>
      <c r="J1992" s="66"/>
      <c r="K1992" s="66"/>
      <c r="L1992" s="66"/>
      <c r="M1992" s="66"/>
      <c r="N1992" s="66"/>
      <c r="O1992" s="66"/>
      <c r="P1992" s="66"/>
      <c r="Q1992" s="66"/>
      <c r="R1992" s="66"/>
      <c r="S1992" s="66"/>
      <c r="T1992" s="66"/>
      <c r="U1992" s="66"/>
      <c r="V1992" s="66"/>
      <c r="W1992" s="66"/>
      <c r="X1992" s="66"/>
      <c r="Y1992" s="66"/>
      <c r="Z1992" s="66"/>
    </row>
    <row r="1993">
      <c r="A1993" s="66"/>
      <c r="B1993" s="66"/>
      <c r="C1993" s="66"/>
      <c r="D1993" s="66"/>
      <c r="E1993" s="66"/>
      <c r="F1993" s="66"/>
      <c r="G1993" s="66"/>
      <c r="H1993" s="66"/>
      <c r="I1993" s="66"/>
      <c r="J1993" s="66"/>
      <c r="K1993" s="66"/>
      <c r="L1993" s="66"/>
      <c r="M1993" s="66"/>
      <c r="N1993" s="66"/>
      <c r="O1993" s="66"/>
      <c r="P1993" s="66"/>
      <c r="Q1993" s="66"/>
      <c r="R1993" s="66"/>
      <c r="S1993" s="66"/>
      <c r="T1993" s="66"/>
      <c r="U1993" s="66"/>
      <c r="V1993" s="66"/>
      <c r="W1993" s="66"/>
      <c r="X1993" s="66"/>
      <c r="Y1993" s="66"/>
      <c r="Z1993" s="66"/>
    </row>
    <row r="1994">
      <c r="A1994" s="66"/>
      <c r="B1994" s="66"/>
      <c r="C1994" s="66"/>
      <c r="D1994" s="66"/>
      <c r="E1994" s="66"/>
      <c r="F1994" s="66"/>
      <c r="G1994" s="66"/>
      <c r="H1994" s="66"/>
      <c r="I1994" s="66"/>
      <c r="J1994" s="66"/>
      <c r="K1994" s="66"/>
      <c r="L1994" s="66"/>
      <c r="M1994" s="66"/>
      <c r="N1994" s="66"/>
      <c r="O1994" s="66"/>
      <c r="P1994" s="66"/>
      <c r="Q1994" s="66"/>
      <c r="R1994" s="66"/>
      <c r="S1994" s="66"/>
      <c r="T1994" s="66"/>
      <c r="U1994" s="66"/>
      <c r="V1994" s="66"/>
      <c r="W1994" s="66"/>
      <c r="X1994" s="66"/>
      <c r="Y1994" s="66"/>
      <c r="Z1994" s="66"/>
    </row>
    <row r="1995">
      <c r="A1995" s="66"/>
      <c r="B1995" s="66"/>
      <c r="C1995" s="66"/>
      <c r="D1995" s="66"/>
      <c r="E1995" s="66"/>
      <c r="F1995" s="66"/>
      <c r="G1995" s="66"/>
      <c r="H1995" s="66"/>
      <c r="I1995" s="66"/>
      <c r="J1995" s="66"/>
      <c r="K1995" s="66"/>
      <c r="L1995" s="66"/>
      <c r="M1995" s="66"/>
      <c r="N1995" s="66"/>
      <c r="O1995" s="66"/>
      <c r="P1995" s="66"/>
      <c r="Q1995" s="66"/>
      <c r="R1995" s="66"/>
      <c r="S1995" s="66"/>
      <c r="T1995" s="66"/>
      <c r="U1995" s="66"/>
      <c r="V1995" s="66"/>
      <c r="W1995" s="66"/>
      <c r="X1995" s="66"/>
      <c r="Y1995" s="66"/>
      <c r="Z1995" s="66"/>
    </row>
    <row r="1996">
      <c r="A1996" s="66"/>
      <c r="B1996" s="66"/>
      <c r="C1996" s="66"/>
      <c r="D1996" s="66"/>
      <c r="E1996" s="66"/>
      <c r="F1996" s="66"/>
      <c r="G1996" s="66"/>
      <c r="H1996" s="66"/>
      <c r="I1996" s="66"/>
      <c r="J1996" s="66"/>
      <c r="K1996" s="66"/>
      <c r="L1996" s="66"/>
      <c r="M1996" s="66"/>
      <c r="N1996" s="66"/>
      <c r="O1996" s="66"/>
      <c r="P1996" s="66"/>
      <c r="Q1996" s="66"/>
      <c r="R1996" s="66"/>
      <c r="S1996" s="66"/>
      <c r="T1996" s="66"/>
      <c r="U1996" s="66"/>
      <c r="V1996" s="66"/>
      <c r="W1996" s="66"/>
      <c r="X1996" s="66"/>
      <c r="Y1996" s="66"/>
      <c r="Z1996" s="66"/>
    </row>
    <row r="1997">
      <c r="A1997" s="66"/>
      <c r="B1997" s="66"/>
      <c r="C1997" s="66"/>
      <c r="D1997" s="66"/>
      <c r="E1997" s="66"/>
      <c r="F1997" s="66"/>
      <c r="G1997" s="66"/>
      <c r="H1997" s="66"/>
      <c r="I1997" s="66"/>
      <c r="J1997" s="66"/>
      <c r="K1997" s="66"/>
      <c r="L1997" s="66"/>
      <c r="M1997" s="66"/>
      <c r="N1997" s="66"/>
      <c r="O1997" s="66"/>
      <c r="P1997" s="66"/>
      <c r="Q1997" s="66"/>
      <c r="R1997" s="66"/>
      <c r="S1997" s="66"/>
      <c r="T1997" s="66"/>
      <c r="U1997" s="66"/>
      <c r="V1997" s="66"/>
      <c r="W1997" s="66"/>
      <c r="X1997" s="66"/>
      <c r="Y1997" s="66"/>
      <c r="Z1997" s="66"/>
    </row>
    <row r="1998">
      <c r="A1998" s="66"/>
      <c r="B1998" s="66"/>
      <c r="C1998" s="66"/>
      <c r="D1998" s="66"/>
      <c r="E1998" s="66"/>
      <c r="F1998" s="66"/>
      <c r="G1998" s="66"/>
      <c r="H1998" s="66"/>
      <c r="I1998" s="66"/>
      <c r="J1998" s="66"/>
      <c r="K1998" s="66"/>
      <c r="L1998" s="66"/>
      <c r="M1998" s="66"/>
      <c r="N1998" s="66"/>
      <c r="O1998" s="66"/>
      <c r="P1998" s="66"/>
      <c r="Q1998" s="66"/>
      <c r="R1998" s="66"/>
      <c r="S1998" s="66"/>
      <c r="T1998" s="66"/>
      <c r="U1998" s="66"/>
      <c r="V1998" s="66"/>
      <c r="W1998" s="66"/>
      <c r="X1998" s="66"/>
      <c r="Y1998" s="66"/>
      <c r="Z1998" s="66"/>
    </row>
    <row r="1999">
      <c r="A1999" s="66"/>
      <c r="B1999" s="66"/>
      <c r="C1999" s="66"/>
      <c r="D1999" s="66"/>
      <c r="E1999" s="66"/>
      <c r="F1999" s="66"/>
      <c r="G1999" s="66"/>
      <c r="H1999" s="66"/>
      <c r="I1999" s="66"/>
      <c r="J1999" s="66"/>
      <c r="K1999" s="66"/>
      <c r="L1999" s="66"/>
      <c r="M1999" s="66"/>
      <c r="N1999" s="66"/>
      <c r="O1999" s="66"/>
      <c r="P1999" s="66"/>
      <c r="Q1999" s="66"/>
      <c r="R1999" s="66"/>
      <c r="S1999" s="66"/>
      <c r="T1999" s="66"/>
      <c r="U1999" s="66"/>
      <c r="V1999" s="66"/>
      <c r="W1999" s="66"/>
      <c r="X1999" s="66"/>
      <c r="Y1999" s="66"/>
      <c r="Z1999" s="66"/>
    </row>
    <row r="2000">
      <c r="A2000" s="66"/>
      <c r="B2000" s="66"/>
      <c r="C2000" s="66"/>
      <c r="D2000" s="66"/>
      <c r="E2000" s="66"/>
      <c r="F2000" s="66"/>
      <c r="G2000" s="66"/>
      <c r="H2000" s="66"/>
      <c r="I2000" s="66"/>
      <c r="J2000" s="66"/>
      <c r="K2000" s="66"/>
      <c r="L2000" s="66"/>
      <c r="M2000" s="66"/>
      <c r="N2000" s="66"/>
      <c r="O2000" s="66"/>
      <c r="P2000" s="66"/>
      <c r="Q2000" s="66"/>
      <c r="R2000" s="66"/>
      <c r="S2000" s="66"/>
      <c r="T2000" s="66"/>
      <c r="U2000" s="66"/>
      <c r="V2000" s="66"/>
      <c r="W2000" s="66"/>
      <c r="X2000" s="66"/>
      <c r="Y2000" s="66"/>
      <c r="Z2000" s="66"/>
    </row>
    <row r="2001">
      <c r="A2001" s="66"/>
      <c r="B2001" s="66"/>
      <c r="C2001" s="66"/>
      <c r="D2001" s="66"/>
      <c r="E2001" s="66"/>
      <c r="F2001" s="66"/>
      <c r="G2001" s="66"/>
      <c r="H2001" s="66"/>
      <c r="I2001" s="66"/>
      <c r="J2001" s="66"/>
      <c r="K2001" s="66"/>
      <c r="L2001" s="66"/>
      <c r="M2001" s="66"/>
      <c r="N2001" s="66"/>
      <c r="O2001" s="66"/>
      <c r="P2001" s="66"/>
      <c r="Q2001" s="66"/>
      <c r="R2001" s="66"/>
      <c r="S2001" s="66"/>
      <c r="T2001" s="66"/>
      <c r="U2001" s="66"/>
      <c r="V2001" s="66"/>
      <c r="W2001" s="66"/>
      <c r="X2001" s="66"/>
      <c r="Y2001" s="66"/>
      <c r="Z2001" s="66"/>
    </row>
    <row r="2002">
      <c r="A2002" s="66"/>
      <c r="B2002" s="66"/>
      <c r="C2002" s="66"/>
      <c r="D2002" s="66"/>
      <c r="E2002" s="66"/>
      <c r="F2002" s="66"/>
      <c r="G2002" s="66"/>
      <c r="H2002" s="66"/>
      <c r="I2002" s="66"/>
      <c r="J2002" s="66"/>
      <c r="K2002" s="66"/>
      <c r="L2002" s="66"/>
      <c r="M2002" s="66"/>
      <c r="N2002" s="66"/>
      <c r="O2002" s="66"/>
      <c r="P2002" s="66"/>
      <c r="Q2002" s="66"/>
      <c r="R2002" s="66"/>
      <c r="S2002" s="66"/>
      <c r="T2002" s="66"/>
      <c r="U2002" s="66"/>
      <c r="V2002" s="66"/>
      <c r="W2002" s="66"/>
      <c r="X2002" s="66"/>
      <c r="Y2002" s="66"/>
      <c r="Z2002" s="66"/>
    </row>
    <row r="2003">
      <c r="A2003" s="66"/>
      <c r="B2003" s="66"/>
      <c r="C2003" s="66"/>
      <c r="D2003" s="66"/>
      <c r="E2003" s="66"/>
      <c r="F2003" s="66"/>
      <c r="G2003" s="66"/>
      <c r="H2003" s="66"/>
      <c r="I2003" s="66"/>
      <c r="J2003" s="66"/>
      <c r="K2003" s="66"/>
      <c r="L2003" s="66"/>
      <c r="M2003" s="66"/>
      <c r="N2003" s="66"/>
      <c r="O2003" s="66"/>
      <c r="P2003" s="66"/>
      <c r="Q2003" s="66"/>
      <c r="R2003" s="66"/>
      <c r="S2003" s="66"/>
      <c r="T2003" s="66"/>
      <c r="U2003" s="66"/>
      <c r="V2003" s="66"/>
      <c r="W2003" s="66"/>
      <c r="X2003" s="66"/>
      <c r="Y2003" s="66"/>
      <c r="Z2003" s="66"/>
    </row>
    <row r="2004">
      <c r="A2004" s="66"/>
      <c r="B2004" s="66"/>
      <c r="C2004" s="66"/>
      <c r="D2004" s="66"/>
      <c r="E2004" s="66"/>
      <c r="F2004" s="66"/>
      <c r="G2004" s="66"/>
      <c r="H2004" s="66"/>
      <c r="I2004" s="66"/>
      <c r="J2004" s="66"/>
      <c r="K2004" s="66"/>
      <c r="L2004" s="66"/>
      <c r="M2004" s="66"/>
      <c r="N2004" s="66"/>
      <c r="O2004" s="66"/>
      <c r="P2004" s="66"/>
      <c r="Q2004" s="66"/>
      <c r="R2004" s="66"/>
      <c r="S2004" s="66"/>
      <c r="T2004" s="66"/>
      <c r="U2004" s="66"/>
      <c r="V2004" s="66"/>
      <c r="W2004" s="66"/>
      <c r="X2004" s="66"/>
      <c r="Y2004" s="66"/>
      <c r="Z2004" s="66"/>
    </row>
    <row r="2005">
      <c r="A2005" s="66"/>
      <c r="B2005" s="66"/>
      <c r="C2005" s="66"/>
      <c r="D2005" s="66"/>
      <c r="E2005" s="66"/>
      <c r="F2005" s="66"/>
      <c r="G2005" s="66"/>
      <c r="H2005" s="66"/>
      <c r="I2005" s="66"/>
      <c r="J2005" s="66"/>
      <c r="K2005" s="66"/>
      <c r="L2005" s="66"/>
      <c r="M2005" s="66"/>
      <c r="N2005" s="66"/>
      <c r="O2005" s="66"/>
      <c r="P2005" s="66"/>
      <c r="Q2005" s="66"/>
      <c r="R2005" s="66"/>
      <c r="S2005" s="66"/>
      <c r="T2005" s="66"/>
      <c r="U2005" s="66"/>
      <c r="V2005" s="66"/>
      <c r="W2005" s="66"/>
      <c r="X2005" s="66"/>
      <c r="Y2005" s="66"/>
      <c r="Z2005" s="66"/>
    </row>
    <row r="2006">
      <c r="A2006" s="66"/>
      <c r="B2006" s="66"/>
      <c r="C2006" s="66"/>
      <c r="D2006" s="66"/>
      <c r="E2006" s="66"/>
      <c r="F2006" s="66"/>
      <c r="G2006" s="66"/>
      <c r="H2006" s="66"/>
      <c r="I2006" s="66"/>
      <c r="J2006" s="66"/>
      <c r="K2006" s="66"/>
      <c r="L2006" s="66"/>
      <c r="M2006" s="66"/>
      <c r="N2006" s="66"/>
      <c r="O2006" s="66"/>
      <c r="P2006" s="66"/>
      <c r="Q2006" s="66"/>
      <c r="R2006" s="66"/>
      <c r="S2006" s="66"/>
      <c r="T2006" s="66"/>
      <c r="U2006" s="66"/>
      <c r="V2006" s="66"/>
      <c r="W2006" s="66"/>
      <c r="X2006" s="66"/>
      <c r="Y2006" s="66"/>
      <c r="Z2006" s="66"/>
    </row>
    <row r="2007">
      <c r="A2007" s="66"/>
      <c r="B2007" s="66"/>
      <c r="C2007" s="66"/>
      <c r="D2007" s="66"/>
      <c r="E2007" s="66"/>
      <c r="F2007" s="66"/>
      <c r="G2007" s="66"/>
      <c r="H2007" s="66"/>
      <c r="I2007" s="66"/>
      <c r="J2007" s="66"/>
      <c r="K2007" s="66"/>
      <c r="L2007" s="66"/>
      <c r="M2007" s="66"/>
      <c r="N2007" s="66"/>
      <c r="O2007" s="66"/>
      <c r="P2007" s="66"/>
      <c r="Q2007" s="66"/>
      <c r="R2007" s="66"/>
      <c r="S2007" s="66"/>
      <c r="T2007" s="66"/>
      <c r="U2007" s="66"/>
      <c r="V2007" s="66"/>
      <c r="W2007" s="66"/>
      <c r="X2007" s="66"/>
      <c r="Y2007" s="66"/>
      <c r="Z2007" s="66"/>
    </row>
    <row r="2008">
      <c r="A2008" s="66"/>
      <c r="B2008" s="66"/>
      <c r="C2008" s="66"/>
      <c r="D2008" s="66"/>
      <c r="E2008" s="66"/>
      <c r="F2008" s="66"/>
      <c r="G2008" s="66"/>
      <c r="H2008" s="66"/>
      <c r="I2008" s="66"/>
      <c r="J2008" s="66"/>
      <c r="K2008" s="66"/>
      <c r="L2008" s="66"/>
      <c r="M2008" s="66"/>
      <c r="N2008" s="66"/>
      <c r="O2008" s="66"/>
      <c r="P2008" s="66"/>
      <c r="Q2008" s="66"/>
      <c r="R2008" s="66"/>
      <c r="S2008" s="66"/>
      <c r="T2008" s="66"/>
      <c r="U2008" s="66"/>
      <c r="V2008" s="66"/>
      <c r="W2008" s="66"/>
      <c r="X2008" s="66"/>
      <c r="Y2008" s="66"/>
      <c r="Z2008" s="66"/>
    </row>
    <row r="2009">
      <c r="A2009" s="66"/>
      <c r="B2009" s="66"/>
      <c r="C2009" s="66"/>
      <c r="D2009" s="66"/>
      <c r="E2009" s="66"/>
      <c r="F2009" s="66"/>
      <c r="G2009" s="66"/>
      <c r="H2009" s="66"/>
      <c r="I2009" s="66"/>
      <c r="J2009" s="66"/>
      <c r="K2009" s="66"/>
      <c r="L2009" s="66"/>
      <c r="M2009" s="66"/>
      <c r="N2009" s="66"/>
      <c r="O2009" s="66"/>
      <c r="P2009" s="66"/>
      <c r="Q2009" s="66"/>
      <c r="R2009" s="66"/>
      <c r="S2009" s="66"/>
      <c r="T2009" s="66"/>
      <c r="U2009" s="66"/>
      <c r="V2009" s="66"/>
      <c r="W2009" s="66"/>
      <c r="X2009" s="66"/>
      <c r="Y2009" s="66"/>
      <c r="Z2009" s="66"/>
    </row>
    <row r="2010">
      <c r="A2010" s="66"/>
      <c r="B2010" s="66"/>
      <c r="C2010" s="66"/>
      <c r="D2010" s="66"/>
      <c r="E2010" s="66"/>
      <c r="F2010" s="66"/>
      <c r="G2010" s="66"/>
      <c r="H2010" s="66"/>
      <c r="I2010" s="66"/>
      <c r="J2010" s="66"/>
      <c r="K2010" s="66"/>
      <c r="L2010" s="66"/>
      <c r="M2010" s="66"/>
      <c r="N2010" s="66"/>
      <c r="O2010" s="66"/>
      <c r="P2010" s="66"/>
      <c r="Q2010" s="66"/>
      <c r="R2010" s="66"/>
      <c r="S2010" s="66"/>
      <c r="T2010" s="66"/>
      <c r="U2010" s="66"/>
      <c r="V2010" s="66"/>
      <c r="W2010" s="66"/>
      <c r="X2010" s="66"/>
      <c r="Y2010" s="66"/>
      <c r="Z2010" s="66"/>
    </row>
    <row r="2011">
      <c r="A2011" s="66"/>
      <c r="B2011" s="66"/>
      <c r="C2011" s="66"/>
      <c r="D2011" s="66"/>
      <c r="E2011" s="66"/>
      <c r="F2011" s="66"/>
      <c r="G2011" s="66"/>
      <c r="H2011" s="66"/>
      <c r="I2011" s="66"/>
      <c r="J2011" s="66"/>
      <c r="K2011" s="66"/>
      <c r="L2011" s="66"/>
      <c r="M2011" s="66"/>
      <c r="N2011" s="66"/>
      <c r="O2011" s="66"/>
      <c r="P2011" s="66"/>
      <c r="Q2011" s="66"/>
      <c r="R2011" s="66"/>
      <c r="S2011" s="66"/>
      <c r="T2011" s="66"/>
      <c r="U2011" s="66"/>
      <c r="V2011" s="66"/>
      <c r="W2011" s="66"/>
      <c r="X2011" s="66"/>
      <c r="Y2011" s="66"/>
      <c r="Z2011" s="66"/>
    </row>
    <row r="2012">
      <c r="A2012" s="66"/>
      <c r="B2012" s="66"/>
      <c r="C2012" s="66"/>
      <c r="D2012" s="66"/>
      <c r="E2012" s="66"/>
      <c r="F2012" s="66"/>
      <c r="G2012" s="66"/>
      <c r="H2012" s="66"/>
      <c r="I2012" s="66"/>
      <c r="J2012" s="66"/>
      <c r="K2012" s="66"/>
      <c r="L2012" s="66"/>
      <c r="M2012" s="66"/>
      <c r="N2012" s="66"/>
      <c r="O2012" s="66"/>
      <c r="P2012" s="66"/>
      <c r="Q2012" s="66"/>
      <c r="R2012" s="66"/>
      <c r="S2012" s="66"/>
      <c r="T2012" s="66"/>
      <c r="U2012" s="66"/>
      <c r="V2012" s="66"/>
      <c r="W2012" s="66"/>
      <c r="X2012" s="66"/>
      <c r="Y2012" s="66"/>
      <c r="Z2012" s="66"/>
    </row>
    <row r="2013">
      <c r="A2013" s="66"/>
      <c r="B2013" s="66"/>
      <c r="C2013" s="66"/>
      <c r="D2013" s="66"/>
      <c r="E2013" s="66"/>
      <c r="F2013" s="66"/>
      <c r="G2013" s="66"/>
      <c r="H2013" s="66"/>
      <c r="I2013" s="66"/>
      <c r="J2013" s="66"/>
      <c r="K2013" s="66"/>
      <c r="L2013" s="66"/>
      <c r="M2013" s="66"/>
      <c r="N2013" s="66"/>
      <c r="O2013" s="66"/>
      <c r="P2013" s="66"/>
      <c r="Q2013" s="66"/>
      <c r="R2013" s="66"/>
      <c r="S2013" s="66"/>
      <c r="T2013" s="66"/>
      <c r="U2013" s="66"/>
      <c r="V2013" s="66"/>
      <c r="W2013" s="66"/>
      <c r="X2013" s="66"/>
      <c r="Y2013" s="66"/>
      <c r="Z2013" s="66"/>
    </row>
    <row r="2014">
      <c r="A2014" s="66"/>
      <c r="B2014" s="66"/>
      <c r="C2014" s="66"/>
      <c r="D2014" s="66"/>
      <c r="E2014" s="66"/>
      <c r="F2014" s="66"/>
      <c r="G2014" s="66"/>
      <c r="H2014" s="66"/>
      <c r="I2014" s="66"/>
      <c r="J2014" s="66"/>
      <c r="K2014" s="66"/>
      <c r="L2014" s="66"/>
      <c r="M2014" s="66"/>
      <c r="N2014" s="66"/>
      <c r="O2014" s="66"/>
      <c r="P2014" s="66"/>
      <c r="Q2014" s="66"/>
      <c r="R2014" s="66"/>
      <c r="S2014" s="66"/>
      <c r="T2014" s="66"/>
      <c r="U2014" s="66"/>
      <c r="V2014" s="66"/>
      <c r="W2014" s="66"/>
      <c r="X2014" s="66"/>
      <c r="Y2014" s="66"/>
      <c r="Z2014" s="66"/>
    </row>
    <row r="2015">
      <c r="A2015" s="66"/>
      <c r="B2015" s="66"/>
      <c r="C2015" s="66"/>
      <c r="D2015" s="66"/>
      <c r="E2015" s="66"/>
      <c r="F2015" s="66"/>
      <c r="G2015" s="66"/>
      <c r="H2015" s="66"/>
      <c r="I2015" s="66"/>
      <c r="J2015" s="66"/>
      <c r="K2015" s="66"/>
      <c r="L2015" s="66"/>
      <c r="M2015" s="66"/>
      <c r="N2015" s="66"/>
      <c r="O2015" s="66"/>
      <c r="P2015" s="66"/>
      <c r="Q2015" s="66"/>
      <c r="R2015" s="66"/>
      <c r="S2015" s="66"/>
      <c r="T2015" s="66"/>
      <c r="U2015" s="66"/>
      <c r="V2015" s="66"/>
      <c r="W2015" s="66"/>
      <c r="X2015" s="66"/>
      <c r="Y2015" s="66"/>
      <c r="Z2015" s="66"/>
    </row>
    <row r="2016">
      <c r="A2016" s="66"/>
      <c r="B2016" s="66"/>
      <c r="C2016" s="66"/>
      <c r="D2016" s="66"/>
      <c r="E2016" s="66"/>
      <c r="F2016" s="66"/>
      <c r="G2016" s="66"/>
      <c r="H2016" s="66"/>
      <c r="I2016" s="66"/>
      <c r="J2016" s="66"/>
      <c r="K2016" s="66"/>
      <c r="L2016" s="66"/>
      <c r="M2016" s="66"/>
      <c r="N2016" s="66"/>
      <c r="O2016" s="66"/>
      <c r="P2016" s="66"/>
      <c r="Q2016" s="66"/>
      <c r="R2016" s="66"/>
      <c r="S2016" s="66"/>
      <c r="T2016" s="66"/>
      <c r="U2016" s="66"/>
      <c r="V2016" s="66"/>
      <c r="W2016" s="66"/>
      <c r="X2016" s="66"/>
      <c r="Y2016" s="66"/>
      <c r="Z2016" s="66"/>
    </row>
    <row r="2017">
      <c r="A2017" s="66"/>
      <c r="B2017" s="66"/>
      <c r="C2017" s="66"/>
      <c r="D2017" s="66"/>
      <c r="E2017" s="66"/>
      <c r="F2017" s="66"/>
      <c r="G2017" s="66"/>
      <c r="H2017" s="66"/>
      <c r="I2017" s="66"/>
      <c r="J2017" s="66"/>
      <c r="K2017" s="66"/>
      <c r="L2017" s="66"/>
      <c r="M2017" s="66"/>
      <c r="N2017" s="66"/>
      <c r="O2017" s="66"/>
      <c r="P2017" s="66"/>
      <c r="Q2017" s="66"/>
      <c r="R2017" s="66"/>
      <c r="S2017" s="66"/>
      <c r="T2017" s="66"/>
      <c r="U2017" s="66"/>
      <c r="V2017" s="66"/>
      <c r="W2017" s="66"/>
      <c r="X2017" s="66"/>
      <c r="Y2017" s="66"/>
      <c r="Z2017" s="66"/>
    </row>
    <row r="2018">
      <c r="A2018" s="66"/>
      <c r="B2018" s="66"/>
      <c r="C2018" s="66"/>
      <c r="D2018" s="66"/>
      <c r="E2018" s="66"/>
      <c r="F2018" s="66"/>
      <c r="G2018" s="66"/>
      <c r="H2018" s="66"/>
      <c r="I2018" s="66"/>
      <c r="J2018" s="66"/>
      <c r="K2018" s="66"/>
      <c r="L2018" s="66"/>
      <c r="M2018" s="66"/>
      <c r="N2018" s="66"/>
      <c r="O2018" s="66"/>
      <c r="P2018" s="66"/>
      <c r="Q2018" s="66"/>
      <c r="R2018" s="66"/>
      <c r="S2018" s="66"/>
      <c r="T2018" s="66"/>
      <c r="U2018" s="66"/>
      <c r="V2018" s="66"/>
      <c r="W2018" s="66"/>
      <c r="X2018" s="66"/>
      <c r="Y2018" s="66"/>
      <c r="Z2018" s="66"/>
    </row>
    <row r="2019">
      <c r="A2019" s="66"/>
      <c r="B2019" s="66"/>
      <c r="C2019" s="66"/>
      <c r="D2019" s="66"/>
      <c r="E2019" s="66"/>
      <c r="F2019" s="66"/>
      <c r="G2019" s="66"/>
      <c r="H2019" s="66"/>
      <c r="I2019" s="66"/>
      <c r="J2019" s="66"/>
      <c r="K2019" s="66"/>
      <c r="L2019" s="66"/>
      <c r="M2019" s="66"/>
      <c r="N2019" s="66"/>
      <c r="O2019" s="66"/>
      <c r="P2019" s="66"/>
      <c r="Q2019" s="66"/>
      <c r="R2019" s="66"/>
      <c r="S2019" s="66"/>
      <c r="T2019" s="66"/>
      <c r="U2019" s="66"/>
      <c r="V2019" s="66"/>
      <c r="W2019" s="66"/>
      <c r="X2019" s="66"/>
      <c r="Y2019" s="66"/>
      <c r="Z2019" s="66"/>
    </row>
    <row r="2020">
      <c r="A2020" s="66"/>
      <c r="B2020" s="66"/>
      <c r="C2020" s="66"/>
      <c r="D2020" s="66"/>
      <c r="E2020" s="66"/>
      <c r="F2020" s="66"/>
      <c r="G2020" s="66"/>
      <c r="H2020" s="66"/>
      <c r="I2020" s="66"/>
      <c r="J2020" s="66"/>
      <c r="K2020" s="66"/>
      <c r="L2020" s="66"/>
      <c r="M2020" s="66"/>
      <c r="N2020" s="66"/>
      <c r="O2020" s="66"/>
      <c r="P2020" s="66"/>
      <c r="Q2020" s="66"/>
      <c r="R2020" s="66"/>
      <c r="S2020" s="66"/>
      <c r="T2020" s="66"/>
      <c r="U2020" s="66"/>
      <c r="V2020" s="66"/>
      <c r="W2020" s="66"/>
      <c r="X2020" s="66"/>
      <c r="Y2020" s="66"/>
      <c r="Z2020" s="66"/>
    </row>
    <row r="2021">
      <c r="A2021" s="66"/>
      <c r="B2021" s="66"/>
      <c r="C2021" s="66"/>
      <c r="D2021" s="66"/>
      <c r="E2021" s="66"/>
      <c r="F2021" s="66"/>
      <c r="G2021" s="66"/>
      <c r="H2021" s="66"/>
      <c r="I2021" s="66"/>
      <c r="J2021" s="66"/>
      <c r="K2021" s="66"/>
      <c r="L2021" s="66"/>
      <c r="M2021" s="66"/>
      <c r="N2021" s="66"/>
      <c r="O2021" s="66"/>
      <c r="P2021" s="66"/>
      <c r="Q2021" s="66"/>
      <c r="R2021" s="66"/>
      <c r="S2021" s="66"/>
      <c r="T2021" s="66"/>
      <c r="U2021" s="66"/>
      <c r="V2021" s="66"/>
      <c r="W2021" s="66"/>
      <c r="X2021" s="66"/>
      <c r="Y2021" s="66"/>
      <c r="Z2021" s="66"/>
    </row>
    <row r="2022">
      <c r="A2022" s="66"/>
      <c r="B2022" s="66"/>
      <c r="C2022" s="66"/>
      <c r="D2022" s="66"/>
      <c r="E2022" s="66"/>
      <c r="F2022" s="66"/>
      <c r="G2022" s="66"/>
      <c r="H2022" s="66"/>
      <c r="I2022" s="66"/>
      <c r="J2022" s="66"/>
      <c r="K2022" s="66"/>
      <c r="L2022" s="66"/>
      <c r="M2022" s="66"/>
      <c r="N2022" s="66"/>
      <c r="O2022" s="66"/>
      <c r="P2022" s="66"/>
      <c r="Q2022" s="66"/>
      <c r="R2022" s="66"/>
      <c r="S2022" s="66"/>
      <c r="T2022" s="66"/>
      <c r="U2022" s="66"/>
      <c r="V2022" s="66"/>
      <c r="W2022" s="66"/>
      <c r="X2022" s="66"/>
      <c r="Y2022" s="66"/>
      <c r="Z2022" s="66"/>
    </row>
    <row r="2023">
      <c r="A2023" s="66"/>
      <c r="B2023" s="66"/>
      <c r="C2023" s="66"/>
      <c r="D2023" s="66"/>
      <c r="E2023" s="66"/>
      <c r="F2023" s="66"/>
      <c r="G2023" s="66"/>
      <c r="H2023" s="66"/>
      <c r="I2023" s="66"/>
      <c r="J2023" s="66"/>
      <c r="K2023" s="66"/>
      <c r="L2023" s="66"/>
      <c r="M2023" s="66"/>
      <c r="N2023" s="66"/>
      <c r="O2023" s="66"/>
      <c r="P2023" s="66"/>
      <c r="Q2023" s="66"/>
      <c r="R2023" s="66"/>
      <c r="S2023" s="66"/>
      <c r="T2023" s="66"/>
      <c r="U2023" s="66"/>
      <c r="V2023" s="66"/>
      <c r="W2023" s="66"/>
      <c r="X2023" s="66"/>
      <c r="Y2023" s="66"/>
      <c r="Z2023" s="66"/>
    </row>
    <row r="2024">
      <c r="A2024" s="66"/>
      <c r="B2024" s="66"/>
      <c r="C2024" s="66"/>
      <c r="D2024" s="66"/>
      <c r="E2024" s="66"/>
      <c r="F2024" s="66"/>
      <c r="G2024" s="66"/>
      <c r="H2024" s="66"/>
      <c r="I2024" s="66"/>
      <c r="J2024" s="66"/>
      <c r="K2024" s="66"/>
      <c r="L2024" s="66"/>
      <c r="M2024" s="66"/>
      <c r="N2024" s="66"/>
      <c r="O2024" s="66"/>
      <c r="P2024" s="66"/>
      <c r="Q2024" s="66"/>
      <c r="R2024" s="66"/>
      <c r="S2024" s="66"/>
      <c r="T2024" s="66"/>
      <c r="U2024" s="66"/>
      <c r="V2024" s="66"/>
      <c r="W2024" s="66"/>
      <c r="X2024" s="66"/>
      <c r="Y2024" s="66"/>
      <c r="Z2024" s="66"/>
    </row>
    <row r="2025">
      <c r="A2025" s="66"/>
      <c r="B2025" s="66"/>
      <c r="C2025" s="66"/>
      <c r="D2025" s="66"/>
      <c r="E2025" s="66"/>
      <c r="F2025" s="66"/>
      <c r="G2025" s="66"/>
      <c r="H2025" s="66"/>
      <c r="I2025" s="66"/>
      <c r="J2025" s="66"/>
      <c r="K2025" s="66"/>
      <c r="L2025" s="66"/>
      <c r="M2025" s="66"/>
      <c r="N2025" s="66"/>
      <c r="O2025" s="66"/>
      <c r="P2025" s="66"/>
      <c r="Q2025" s="66"/>
      <c r="R2025" s="66"/>
      <c r="S2025" s="66"/>
      <c r="T2025" s="66"/>
      <c r="U2025" s="66"/>
      <c r="V2025" s="66"/>
      <c r="W2025" s="66"/>
      <c r="X2025" s="66"/>
      <c r="Y2025" s="66"/>
      <c r="Z2025" s="66"/>
    </row>
    <row r="2026">
      <c r="A2026" s="66"/>
      <c r="B2026" s="66"/>
      <c r="C2026" s="66"/>
      <c r="D2026" s="66"/>
      <c r="E2026" s="66"/>
      <c r="F2026" s="66"/>
      <c r="G2026" s="66"/>
      <c r="H2026" s="66"/>
      <c r="I2026" s="66"/>
      <c r="J2026" s="66"/>
      <c r="K2026" s="66"/>
      <c r="L2026" s="66"/>
      <c r="M2026" s="66"/>
      <c r="N2026" s="66"/>
      <c r="O2026" s="66"/>
      <c r="P2026" s="66"/>
      <c r="Q2026" s="66"/>
      <c r="R2026" s="66"/>
      <c r="S2026" s="66"/>
      <c r="T2026" s="66"/>
      <c r="U2026" s="66"/>
      <c r="V2026" s="66"/>
      <c r="W2026" s="66"/>
      <c r="X2026" s="66"/>
      <c r="Y2026" s="66"/>
      <c r="Z2026" s="66"/>
    </row>
    <row r="2027">
      <c r="A2027" s="66"/>
      <c r="B2027" s="66"/>
      <c r="C2027" s="66"/>
      <c r="D2027" s="66"/>
      <c r="E2027" s="66"/>
      <c r="F2027" s="66"/>
      <c r="G2027" s="66"/>
      <c r="H2027" s="66"/>
      <c r="I2027" s="66"/>
      <c r="J2027" s="66"/>
      <c r="K2027" s="66"/>
      <c r="L2027" s="66"/>
      <c r="M2027" s="66"/>
      <c r="N2027" s="66"/>
      <c r="O2027" s="66"/>
      <c r="P2027" s="66"/>
      <c r="Q2027" s="66"/>
      <c r="R2027" s="66"/>
      <c r="S2027" s="66"/>
      <c r="T2027" s="66"/>
      <c r="U2027" s="66"/>
      <c r="V2027" s="66"/>
      <c r="W2027" s="66"/>
      <c r="X2027" s="66"/>
      <c r="Y2027" s="66"/>
      <c r="Z2027" s="66"/>
    </row>
    <row r="2028">
      <c r="A2028" s="66"/>
      <c r="B2028" s="66"/>
      <c r="C2028" s="66"/>
      <c r="D2028" s="66"/>
      <c r="E2028" s="66"/>
      <c r="F2028" s="66"/>
      <c r="G2028" s="66"/>
      <c r="H2028" s="66"/>
      <c r="I2028" s="66"/>
      <c r="J2028" s="66"/>
      <c r="K2028" s="66"/>
      <c r="L2028" s="66"/>
      <c r="M2028" s="66"/>
      <c r="N2028" s="66"/>
      <c r="O2028" s="66"/>
      <c r="P2028" s="66"/>
      <c r="Q2028" s="66"/>
      <c r="R2028" s="66"/>
      <c r="S2028" s="66"/>
      <c r="T2028" s="66"/>
      <c r="U2028" s="66"/>
      <c r="V2028" s="66"/>
      <c r="W2028" s="66"/>
      <c r="X2028" s="66"/>
      <c r="Y2028" s="66"/>
      <c r="Z2028" s="66"/>
    </row>
    <row r="2029">
      <c r="A2029" s="66"/>
      <c r="B2029" s="66"/>
      <c r="C2029" s="66"/>
      <c r="D2029" s="66"/>
      <c r="E2029" s="66"/>
      <c r="F2029" s="66"/>
      <c r="G2029" s="66"/>
      <c r="H2029" s="66"/>
      <c r="I2029" s="66"/>
      <c r="J2029" s="66"/>
      <c r="K2029" s="66"/>
      <c r="L2029" s="66"/>
      <c r="M2029" s="66"/>
      <c r="N2029" s="66"/>
      <c r="O2029" s="66"/>
      <c r="P2029" s="66"/>
      <c r="Q2029" s="66"/>
      <c r="R2029" s="66"/>
      <c r="S2029" s="66"/>
      <c r="T2029" s="66"/>
      <c r="U2029" s="66"/>
      <c r="V2029" s="66"/>
      <c r="W2029" s="66"/>
      <c r="X2029" s="66"/>
      <c r="Y2029" s="66"/>
      <c r="Z2029" s="66"/>
    </row>
    <row r="2030">
      <c r="A2030" s="66"/>
      <c r="B2030" s="66"/>
      <c r="C2030" s="66"/>
      <c r="D2030" s="66"/>
      <c r="E2030" s="66"/>
      <c r="F2030" s="66"/>
      <c r="G2030" s="66"/>
      <c r="H2030" s="66"/>
      <c r="I2030" s="66"/>
      <c r="J2030" s="66"/>
      <c r="K2030" s="66"/>
      <c r="L2030" s="66"/>
      <c r="M2030" s="66"/>
      <c r="N2030" s="66"/>
      <c r="O2030" s="66"/>
      <c r="P2030" s="66"/>
      <c r="Q2030" s="66"/>
      <c r="R2030" s="66"/>
      <c r="S2030" s="66"/>
      <c r="T2030" s="66"/>
      <c r="U2030" s="66"/>
      <c r="V2030" s="66"/>
      <c r="W2030" s="66"/>
      <c r="X2030" s="66"/>
      <c r="Y2030" s="66"/>
      <c r="Z2030" s="66"/>
    </row>
    <row r="2031">
      <c r="A2031" s="66"/>
      <c r="B2031" s="66"/>
      <c r="C2031" s="66"/>
      <c r="D2031" s="66"/>
      <c r="E2031" s="66"/>
      <c r="F2031" s="66"/>
      <c r="G2031" s="66"/>
      <c r="H2031" s="66"/>
      <c r="I2031" s="66"/>
      <c r="J2031" s="66"/>
      <c r="K2031" s="66"/>
      <c r="L2031" s="66"/>
      <c r="M2031" s="66"/>
      <c r="N2031" s="66"/>
      <c r="O2031" s="66"/>
      <c r="P2031" s="66"/>
      <c r="Q2031" s="66"/>
      <c r="R2031" s="66"/>
      <c r="S2031" s="66"/>
      <c r="T2031" s="66"/>
      <c r="U2031" s="66"/>
      <c r="V2031" s="66"/>
      <c r="W2031" s="66"/>
      <c r="X2031" s="66"/>
      <c r="Y2031" s="66"/>
      <c r="Z2031" s="66"/>
    </row>
    <row r="2032">
      <c r="A2032" s="66"/>
      <c r="B2032" s="66"/>
      <c r="C2032" s="66"/>
      <c r="D2032" s="66"/>
      <c r="E2032" s="66"/>
      <c r="F2032" s="66"/>
      <c r="G2032" s="66"/>
      <c r="H2032" s="66"/>
      <c r="I2032" s="66"/>
      <c r="J2032" s="66"/>
      <c r="K2032" s="66"/>
      <c r="L2032" s="66"/>
      <c r="M2032" s="66"/>
      <c r="N2032" s="66"/>
      <c r="O2032" s="66"/>
      <c r="P2032" s="66"/>
      <c r="Q2032" s="66"/>
      <c r="R2032" s="66"/>
      <c r="S2032" s="66"/>
      <c r="T2032" s="66"/>
      <c r="U2032" s="66"/>
      <c r="V2032" s="66"/>
      <c r="W2032" s="66"/>
      <c r="X2032" s="66"/>
      <c r="Y2032" s="66"/>
      <c r="Z2032" s="66"/>
    </row>
    <row r="2033">
      <c r="A2033" s="66"/>
      <c r="B2033" s="66"/>
      <c r="C2033" s="66"/>
      <c r="D2033" s="66"/>
      <c r="E2033" s="66"/>
      <c r="F2033" s="66"/>
      <c r="G2033" s="66"/>
      <c r="H2033" s="66"/>
      <c r="I2033" s="66"/>
      <c r="J2033" s="66"/>
      <c r="K2033" s="66"/>
      <c r="L2033" s="66"/>
      <c r="M2033" s="66"/>
      <c r="N2033" s="66"/>
      <c r="O2033" s="66"/>
      <c r="P2033" s="66"/>
      <c r="Q2033" s="66"/>
      <c r="R2033" s="66"/>
      <c r="S2033" s="66"/>
      <c r="T2033" s="66"/>
      <c r="U2033" s="66"/>
      <c r="V2033" s="66"/>
      <c r="W2033" s="66"/>
      <c r="X2033" s="66"/>
      <c r="Y2033" s="66"/>
      <c r="Z2033" s="66"/>
    </row>
    <row r="2034">
      <c r="A2034" s="66"/>
      <c r="B2034" s="66"/>
      <c r="C2034" s="66"/>
      <c r="D2034" s="66"/>
      <c r="E2034" s="66"/>
      <c r="F2034" s="66"/>
      <c r="G2034" s="66"/>
      <c r="H2034" s="66"/>
      <c r="I2034" s="66"/>
      <c r="J2034" s="66"/>
      <c r="K2034" s="66"/>
      <c r="L2034" s="66"/>
      <c r="M2034" s="66"/>
      <c r="N2034" s="66"/>
      <c r="O2034" s="66"/>
      <c r="P2034" s="66"/>
      <c r="Q2034" s="66"/>
      <c r="R2034" s="66"/>
      <c r="S2034" s="66"/>
      <c r="T2034" s="66"/>
      <c r="U2034" s="66"/>
      <c r="V2034" s="66"/>
      <c r="W2034" s="66"/>
      <c r="X2034" s="66"/>
      <c r="Y2034" s="66"/>
      <c r="Z2034" s="66"/>
    </row>
    <row r="2035">
      <c r="A2035" s="66"/>
      <c r="B2035" s="66"/>
      <c r="C2035" s="66"/>
      <c r="D2035" s="66"/>
      <c r="E2035" s="66"/>
      <c r="F2035" s="66"/>
      <c r="G2035" s="66"/>
      <c r="H2035" s="66"/>
      <c r="I2035" s="66"/>
      <c r="J2035" s="66"/>
      <c r="K2035" s="66"/>
      <c r="L2035" s="66"/>
      <c r="M2035" s="66"/>
      <c r="N2035" s="66"/>
      <c r="O2035" s="66"/>
      <c r="P2035" s="66"/>
      <c r="Q2035" s="66"/>
      <c r="R2035" s="66"/>
      <c r="S2035" s="66"/>
      <c r="T2035" s="66"/>
      <c r="U2035" s="66"/>
      <c r="V2035" s="66"/>
      <c r="W2035" s="66"/>
      <c r="X2035" s="66"/>
      <c r="Y2035" s="66"/>
      <c r="Z2035" s="66"/>
    </row>
    <row r="2036">
      <c r="A2036" s="66"/>
      <c r="B2036" s="66"/>
      <c r="C2036" s="66"/>
      <c r="D2036" s="66"/>
      <c r="E2036" s="66"/>
      <c r="F2036" s="66"/>
      <c r="G2036" s="66"/>
      <c r="H2036" s="66"/>
      <c r="I2036" s="66"/>
      <c r="J2036" s="66"/>
      <c r="K2036" s="66"/>
      <c r="L2036" s="66"/>
      <c r="M2036" s="66"/>
      <c r="N2036" s="66"/>
      <c r="O2036" s="66"/>
      <c r="P2036" s="66"/>
      <c r="Q2036" s="66"/>
      <c r="R2036" s="66"/>
      <c r="S2036" s="66"/>
      <c r="T2036" s="66"/>
      <c r="U2036" s="66"/>
      <c r="V2036" s="66"/>
      <c r="W2036" s="66"/>
      <c r="X2036" s="66"/>
      <c r="Y2036" s="66"/>
      <c r="Z2036" s="66"/>
    </row>
    <row r="2037">
      <c r="A2037" s="66"/>
      <c r="B2037" s="66"/>
      <c r="C2037" s="66"/>
      <c r="D2037" s="66"/>
      <c r="E2037" s="66"/>
      <c r="F2037" s="66"/>
      <c r="G2037" s="66"/>
      <c r="H2037" s="66"/>
      <c r="I2037" s="66"/>
      <c r="J2037" s="66"/>
      <c r="K2037" s="66"/>
      <c r="L2037" s="66"/>
      <c r="M2037" s="66"/>
      <c r="N2037" s="66"/>
      <c r="O2037" s="66"/>
      <c r="P2037" s="66"/>
      <c r="Q2037" s="66"/>
      <c r="R2037" s="66"/>
      <c r="S2037" s="66"/>
      <c r="T2037" s="66"/>
      <c r="U2037" s="66"/>
      <c r="V2037" s="66"/>
      <c r="W2037" s="66"/>
      <c r="X2037" s="66"/>
      <c r="Y2037" s="66"/>
      <c r="Z2037" s="66"/>
    </row>
    <row r="2038">
      <c r="A2038" s="66"/>
      <c r="B2038" s="66"/>
      <c r="C2038" s="66"/>
      <c r="D2038" s="66"/>
      <c r="E2038" s="66"/>
      <c r="F2038" s="66"/>
      <c r="G2038" s="66"/>
      <c r="H2038" s="66"/>
      <c r="I2038" s="66"/>
      <c r="J2038" s="66"/>
      <c r="K2038" s="66"/>
      <c r="L2038" s="66"/>
      <c r="M2038" s="66"/>
      <c r="N2038" s="66"/>
      <c r="O2038" s="66"/>
      <c r="P2038" s="66"/>
      <c r="Q2038" s="66"/>
      <c r="R2038" s="66"/>
      <c r="S2038" s="66"/>
      <c r="T2038" s="66"/>
      <c r="U2038" s="66"/>
      <c r="V2038" s="66"/>
      <c r="W2038" s="66"/>
      <c r="X2038" s="66"/>
      <c r="Y2038" s="66"/>
      <c r="Z2038" s="66"/>
    </row>
    <row r="2039">
      <c r="A2039" s="66"/>
      <c r="B2039" s="66"/>
      <c r="C2039" s="66"/>
      <c r="D2039" s="66"/>
      <c r="E2039" s="66"/>
      <c r="F2039" s="66"/>
      <c r="G2039" s="66"/>
      <c r="H2039" s="66"/>
      <c r="I2039" s="66"/>
      <c r="J2039" s="66"/>
      <c r="K2039" s="66"/>
      <c r="L2039" s="66"/>
      <c r="M2039" s="66"/>
      <c r="N2039" s="66"/>
      <c r="O2039" s="66"/>
      <c r="P2039" s="66"/>
      <c r="Q2039" s="66"/>
      <c r="R2039" s="66"/>
      <c r="S2039" s="66"/>
      <c r="T2039" s="66"/>
      <c r="U2039" s="66"/>
      <c r="V2039" s="66"/>
      <c r="W2039" s="66"/>
      <c r="X2039" s="66"/>
      <c r="Y2039" s="66"/>
      <c r="Z2039" s="66"/>
    </row>
    <row r="2040">
      <c r="A2040" s="66"/>
      <c r="B2040" s="66"/>
      <c r="C2040" s="66"/>
      <c r="D2040" s="66"/>
      <c r="E2040" s="66"/>
      <c r="F2040" s="66"/>
      <c r="G2040" s="66"/>
      <c r="H2040" s="66"/>
      <c r="I2040" s="66"/>
      <c r="J2040" s="66"/>
      <c r="K2040" s="66"/>
      <c r="L2040" s="66"/>
      <c r="M2040" s="66"/>
      <c r="N2040" s="66"/>
      <c r="O2040" s="66"/>
      <c r="P2040" s="66"/>
      <c r="Q2040" s="66"/>
      <c r="R2040" s="66"/>
      <c r="S2040" s="66"/>
      <c r="T2040" s="66"/>
      <c r="U2040" s="66"/>
      <c r="V2040" s="66"/>
      <c r="W2040" s="66"/>
      <c r="X2040" s="66"/>
      <c r="Y2040" s="66"/>
      <c r="Z2040" s="66"/>
    </row>
    <row r="2041">
      <c r="A2041" s="66"/>
      <c r="B2041" s="66"/>
      <c r="C2041" s="66"/>
      <c r="D2041" s="66"/>
      <c r="E2041" s="66"/>
      <c r="F2041" s="66"/>
      <c r="G2041" s="66"/>
      <c r="H2041" s="66"/>
      <c r="I2041" s="66"/>
      <c r="J2041" s="66"/>
      <c r="K2041" s="66"/>
      <c r="L2041" s="66"/>
      <c r="M2041" s="66"/>
      <c r="N2041" s="66"/>
      <c r="O2041" s="66"/>
      <c r="P2041" s="66"/>
      <c r="Q2041" s="66"/>
      <c r="R2041" s="66"/>
      <c r="S2041" s="66"/>
      <c r="T2041" s="66"/>
      <c r="U2041" s="66"/>
      <c r="V2041" s="66"/>
      <c r="W2041" s="66"/>
      <c r="X2041" s="66"/>
      <c r="Y2041" s="66"/>
      <c r="Z2041" s="66"/>
    </row>
    <row r="2042">
      <c r="A2042" s="66"/>
      <c r="B2042" s="66"/>
      <c r="C2042" s="66"/>
      <c r="D2042" s="66"/>
      <c r="E2042" s="66"/>
      <c r="F2042" s="66"/>
      <c r="G2042" s="66"/>
      <c r="H2042" s="66"/>
      <c r="I2042" s="66"/>
      <c r="J2042" s="66"/>
      <c r="K2042" s="66"/>
      <c r="L2042" s="66"/>
      <c r="M2042" s="66"/>
      <c r="N2042" s="66"/>
      <c r="O2042" s="66"/>
      <c r="P2042" s="66"/>
      <c r="Q2042" s="66"/>
      <c r="R2042" s="66"/>
      <c r="S2042" s="66"/>
      <c r="T2042" s="66"/>
      <c r="U2042" s="66"/>
      <c r="V2042" s="66"/>
      <c r="W2042" s="66"/>
      <c r="X2042" s="66"/>
      <c r="Y2042" s="66"/>
      <c r="Z2042" s="66"/>
    </row>
    <row r="2043">
      <c r="A2043" s="66"/>
      <c r="B2043" s="66"/>
      <c r="C2043" s="66"/>
      <c r="D2043" s="66"/>
      <c r="E2043" s="66"/>
      <c r="F2043" s="66"/>
      <c r="G2043" s="66"/>
      <c r="H2043" s="66"/>
      <c r="I2043" s="66"/>
      <c r="J2043" s="66"/>
      <c r="K2043" s="66"/>
      <c r="L2043" s="66"/>
      <c r="M2043" s="66"/>
      <c r="N2043" s="66"/>
      <c r="O2043" s="66"/>
      <c r="P2043" s="66"/>
      <c r="Q2043" s="66"/>
      <c r="R2043" s="66"/>
      <c r="S2043" s="66"/>
      <c r="T2043" s="66"/>
      <c r="U2043" s="66"/>
      <c r="V2043" s="66"/>
      <c r="W2043" s="66"/>
      <c r="X2043" s="66"/>
      <c r="Y2043" s="66"/>
      <c r="Z2043" s="66"/>
    </row>
    <row r="2044">
      <c r="A2044" s="66"/>
      <c r="B2044" s="66"/>
      <c r="C2044" s="66"/>
      <c r="D2044" s="66"/>
      <c r="E2044" s="66"/>
      <c r="F2044" s="66"/>
      <c r="G2044" s="66"/>
      <c r="H2044" s="66"/>
      <c r="I2044" s="66"/>
      <c r="J2044" s="66"/>
      <c r="K2044" s="66"/>
      <c r="L2044" s="66"/>
      <c r="M2044" s="66"/>
      <c r="N2044" s="66"/>
      <c r="O2044" s="66"/>
      <c r="P2044" s="66"/>
      <c r="Q2044" s="66"/>
      <c r="R2044" s="66"/>
      <c r="S2044" s="66"/>
      <c r="T2044" s="66"/>
      <c r="U2044" s="66"/>
      <c r="V2044" s="66"/>
      <c r="W2044" s="66"/>
      <c r="X2044" s="66"/>
      <c r="Y2044" s="66"/>
      <c r="Z2044" s="66"/>
    </row>
    <row r="2045">
      <c r="A2045" s="66"/>
      <c r="B2045" s="66"/>
      <c r="C2045" s="66"/>
      <c r="D2045" s="66"/>
      <c r="E2045" s="66"/>
      <c r="F2045" s="66"/>
      <c r="G2045" s="66"/>
      <c r="H2045" s="66"/>
      <c r="I2045" s="66"/>
      <c r="J2045" s="66"/>
      <c r="K2045" s="66"/>
      <c r="L2045" s="66"/>
      <c r="M2045" s="66"/>
      <c r="N2045" s="66"/>
      <c r="O2045" s="66"/>
      <c r="P2045" s="66"/>
      <c r="Q2045" s="66"/>
      <c r="R2045" s="66"/>
      <c r="S2045" s="66"/>
      <c r="T2045" s="66"/>
      <c r="U2045" s="66"/>
      <c r="V2045" s="66"/>
      <c r="W2045" s="66"/>
      <c r="X2045" s="66"/>
      <c r="Y2045" s="66"/>
      <c r="Z2045" s="66"/>
    </row>
    <row r="2046">
      <c r="A2046" s="66"/>
      <c r="B2046" s="66"/>
      <c r="C2046" s="66"/>
      <c r="D2046" s="66"/>
      <c r="E2046" s="66"/>
      <c r="F2046" s="66"/>
      <c r="G2046" s="66"/>
      <c r="H2046" s="66"/>
      <c r="I2046" s="66"/>
      <c r="J2046" s="66"/>
      <c r="K2046" s="66"/>
      <c r="L2046" s="66"/>
      <c r="M2046" s="66"/>
      <c r="N2046" s="66"/>
      <c r="O2046" s="66"/>
      <c r="P2046" s="66"/>
      <c r="Q2046" s="66"/>
      <c r="R2046" s="66"/>
      <c r="S2046" s="66"/>
      <c r="T2046" s="66"/>
      <c r="U2046" s="66"/>
      <c r="V2046" s="66"/>
      <c r="W2046" s="66"/>
      <c r="X2046" s="66"/>
      <c r="Y2046" s="66"/>
      <c r="Z2046" s="66"/>
    </row>
    <row r="2047">
      <c r="A2047" s="66"/>
      <c r="B2047" s="66"/>
      <c r="C2047" s="66"/>
      <c r="D2047" s="66"/>
      <c r="E2047" s="66"/>
      <c r="F2047" s="66"/>
      <c r="G2047" s="66"/>
      <c r="H2047" s="66"/>
      <c r="I2047" s="66"/>
      <c r="J2047" s="66"/>
      <c r="K2047" s="66"/>
      <c r="L2047" s="66"/>
      <c r="M2047" s="66"/>
      <c r="N2047" s="66"/>
      <c r="O2047" s="66"/>
      <c r="P2047" s="66"/>
      <c r="Q2047" s="66"/>
      <c r="R2047" s="66"/>
      <c r="S2047" s="66"/>
      <c r="T2047" s="66"/>
      <c r="U2047" s="66"/>
      <c r="V2047" s="66"/>
      <c r="W2047" s="66"/>
      <c r="X2047" s="66"/>
      <c r="Y2047" s="66"/>
      <c r="Z2047" s="66"/>
    </row>
    <row r="2048">
      <c r="A2048" s="66"/>
      <c r="B2048" s="66"/>
      <c r="C2048" s="66"/>
      <c r="D2048" s="66"/>
      <c r="E2048" s="66"/>
      <c r="F2048" s="66"/>
      <c r="G2048" s="66"/>
      <c r="H2048" s="66"/>
      <c r="I2048" s="66"/>
      <c r="J2048" s="66"/>
      <c r="K2048" s="66"/>
      <c r="L2048" s="66"/>
      <c r="M2048" s="66"/>
      <c r="N2048" s="66"/>
      <c r="O2048" s="66"/>
      <c r="P2048" s="66"/>
      <c r="Q2048" s="66"/>
      <c r="R2048" s="66"/>
      <c r="S2048" s="66"/>
      <c r="T2048" s="66"/>
      <c r="U2048" s="66"/>
      <c r="V2048" s="66"/>
      <c r="W2048" s="66"/>
      <c r="X2048" s="66"/>
      <c r="Y2048" s="66"/>
      <c r="Z2048" s="66"/>
    </row>
    <row r="2049">
      <c r="A2049" s="66"/>
      <c r="B2049" s="66"/>
      <c r="C2049" s="66"/>
      <c r="D2049" s="66"/>
      <c r="E2049" s="66"/>
      <c r="F2049" s="66"/>
      <c r="G2049" s="66"/>
      <c r="H2049" s="66"/>
      <c r="I2049" s="66"/>
      <c r="J2049" s="66"/>
      <c r="K2049" s="66"/>
      <c r="L2049" s="66"/>
      <c r="M2049" s="66"/>
      <c r="N2049" s="66"/>
      <c r="O2049" s="66"/>
      <c r="P2049" s="66"/>
      <c r="Q2049" s="66"/>
      <c r="R2049" s="66"/>
      <c r="S2049" s="66"/>
      <c r="T2049" s="66"/>
      <c r="U2049" s="66"/>
      <c r="V2049" s="66"/>
      <c r="W2049" s="66"/>
      <c r="X2049" s="66"/>
      <c r="Y2049" s="66"/>
      <c r="Z2049" s="66"/>
    </row>
    <row r="2050">
      <c r="A2050" s="66"/>
      <c r="B2050" s="66"/>
      <c r="C2050" s="66"/>
      <c r="D2050" s="66"/>
      <c r="E2050" s="66"/>
      <c r="F2050" s="66"/>
      <c r="G2050" s="66"/>
      <c r="H2050" s="66"/>
      <c r="I2050" s="66"/>
      <c r="J2050" s="66"/>
      <c r="K2050" s="66"/>
      <c r="L2050" s="66"/>
      <c r="M2050" s="66"/>
      <c r="N2050" s="66"/>
      <c r="O2050" s="66"/>
      <c r="P2050" s="66"/>
      <c r="Q2050" s="66"/>
      <c r="R2050" s="66"/>
      <c r="S2050" s="66"/>
      <c r="T2050" s="66"/>
      <c r="U2050" s="66"/>
      <c r="V2050" s="66"/>
      <c r="W2050" s="66"/>
      <c r="X2050" s="66"/>
      <c r="Y2050" s="66"/>
      <c r="Z2050" s="66"/>
    </row>
    <row r="2051">
      <c r="A2051" s="66"/>
      <c r="B2051" s="66"/>
      <c r="C2051" s="66"/>
      <c r="D2051" s="66"/>
      <c r="E2051" s="66"/>
      <c r="F2051" s="66"/>
      <c r="G2051" s="66"/>
      <c r="H2051" s="66"/>
      <c r="I2051" s="66"/>
      <c r="J2051" s="66"/>
      <c r="K2051" s="66"/>
      <c r="L2051" s="66"/>
      <c r="M2051" s="66"/>
      <c r="N2051" s="66"/>
      <c r="O2051" s="66"/>
      <c r="P2051" s="66"/>
      <c r="Q2051" s="66"/>
      <c r="R2051" s="66"/>
      <c r="S2051" s="66"/>
      <c r="T2051" s="66"/>
      <c r="U2051" s="66"/>
      <c r="V2051" s="66"/>
      <c r="W2051" s="66"/>
      <c r="X2051" s="66"/>
      <c r="Y2051" s="66"/>
      <c r="Z2051" s="66"/>
    </row>
    <row r="2052">
      <c r="A2052" s="66"/>
      <c r="B2052" s="66"/>
      <c r="C2052" s="66"/>
      <c r="D2052" s="66"/>
      <c r="E2052" s="66"/>
      <c r="F2052" s="66"/>
      <c r="G2052" s="66"/>
      <c r="H2052" s="66"/>
      <c r="I2052" s="66"/>
      <c r="J2052" s="66"/>
      <c r="K2052" s="66"/>
      <c r="L2052" s="66"/>
      <c r="M2052" s="66"/>
      <c r="N2052" s="66"/>
      <c r="O2052" s="66"/>
      <c r="P2052" s="66"/>
      <c r="Q2052" s="66"/>
      <c r="R2052" s="66"/>
      <c r="S2052" s="66"/>
      <c r="T2052" s="66"/>
      <c r="U2052" s="66"/>
      <c r="V2052" s="66"/>
      <c r="W2052" s="66"/>
      <c r="X2052" s="66"/>
      <c r="Y2052" s="66"/>
      <c r="Z2052" s="66"/>
    </row>
    <row r="2053">
      <c r="A2053" s="66"/>
      <c r="B2053" s="66"/>
      <c r="C2053" s="66"/>
      <c r="D2053" s="66"/>
      <c r="E2053" s="66"/>
      <c r="F2053" s="66"/>
      <c r="G2053" s="66"/>
      <c r="H2053" s="66"/>
      <c r="I2053" s="66"/>
      <c r="J2053" s="66"/>
      <c r="K2053" s="66"/>
      <c r="L2053" s="66"/>
      <c r="M2053" s="66"/>
      <c r="N2053" s="66"/>
      <c r="O2053" s="66"/>
      <c r="P2053" s="66"/>
      <c r="Q2053" s="66"/>
      <c r="R2053" s="66"/>
      <c r="S2053" s="66"/>
      <c r="T2053" s="66"/>
      <c r="U2053" s="66"/>
      <c r="V2053" s="66"/>
      <c r="W2053" s="66"/>
      <c r="X2053" s="66"/>
      <c r="Y2053" s="66"/>
      <c r="Z2053" s="66"/>
    </row>
    <row r="2054">
      <c r="A2054" s="66"/>
      <c r="B2054" s="66"/>
      <c r="C2054" s="66"/>
      <c r="D2054" s="66"/>
      <c r="E2054" s="66"/>
      <c r="F2054" s="66"/>
      <c r="G2054" s="66"/>
      <c r="H2054" s="66"/>
      <c r="I2054" s="66"/>
      <c r="J2054" s="66"/>
      <c r="K2054" s="66"/>
      <c r="L2054" s="66"/>
      <c r="M2054" s="66"/>
      <c r="N2054" s="66"/>
      <c r="O2054" s="66"/>
      <c r="P2054" s="66"/>
      <c r="Q2054" s="66"/>
      <c r="R2054" s="66"/>
      <c r="S2054" s="66"/>
      <c r="T2054" s="66"/>
      <c r="U2054" s="66"/>
      <c r="V2054" s="66"/>
      <c r="W2054" s="66"/>
      <c r="X2054" s="66"/>
      <c r="Y2054" s="66"/>
      <c r="Z2054" s="66"/>
    </row>
    <row r="2055">
      <c r="A2055" s="66"/>
      <c r="B2055" s="66"/>
      <c r="C2055" s="66"/>
      <c r="D2055" s="66"/>
      <c r="E2055" s="66"/>
      <c r="F2055" s="66"/>
      <c r="G2055" s="66"/>
      <c r="H2055" s="66"/>
      <c r="I2055" s="66"/>
      <c r="J2055" s="66"/>
      <c r="K2055" s="66"/>
      <c r="L2055" s="66"/>
      <c r="M2055" s="66"/>
      <c r="N2055" s="66"/>
      <c r="O2055" s="66"/>
      <c r="P2055" s="66"/>
      <c r="Q2055" s="66"/>
      <c r="R2055" s="66"/>
      <c r="S2055" s="66"/>
      <c r="T2055" s="66"/>
      <c r="U2055" s="66"/>
      <c r="V2055" s="66"/>
      <c r="W2055" s="66"/>
      <c r="X2055" s="66"/>
      <c r="Y2055" s="66"/>
      <c r="Z2055" s="66"/>
    </row>
    <row r="2056">
      <c r="A2056" s="66"/>
      <c r="B2056" s="66"/>
      <c r="C2056" s="66"/>
      <c r="D2056" s="66"/>
      <c r="E2056" s="66"/>
      <c r="F2056" s="66"/>
      <c r="G2056" s="66"/>
      <c r="H2056" s="66"/>
      <c r="I2056" s="66"/>
      <c r="J2056" s="66"/>
      <c r="K2056" s="66"/>
      <c r="L2056" s="66"/>
      <c r="M2056" s="66"/>
      <c r="N2056" s="66"/>
      <c r="O2056" s="66"/>
      <c r="P2056" s="66"/>
      <c r="Q2056" s="66"/>
      <c r="R2056" s="66"/>
      <c r="S2056" s="66"/>
      <c r="T2056" s="66"/>
      <c r="U2056" s="66"/>
      <c r="V2056" s="66"/>
      <c r="W2056" s="66"/>
      <c r="X2056" s="66"/>
      <c r="Y2056" s="66"/>
      <c r="Z2056" s="66"/>
    </row>
    <row r="2057">
      <c r="A2057" s="66"/>
      <c r="B2057" s="66"/>
      <c r="C2057" s="66"/>
      <c r="D2057" s="66"/>
      <c r="E2057" s="66"/>
      <c r="F2057" s="66"/>
      <c r="G2057" s="66"/>
      <c r="H2057" s="66"/>
      <c r="I2057" s="66"/>
      <c r="J2057" s="66"/>
      <c r="K2057" s="66"/>
      <c r="L2057" s="66"/>
      <c r="M2057" s="66"/>
      <c r="N2057" s="66"/>
      <c r="O2057" s="66"/>
      <c r="P2057" s="66"/>
      <c r="Q2057" s="66"/>
      <c r="R2057" s="66"/>
      <c r="S2057" s="66"/>
      <c r="T2057" s="66"/>
      <c r="U2057" s="66"/>
      <c r="V2057" s="66"/>
      <c r="W2057" s="66"/>
      <c r="X2057" s="66"/>
      <c r="Y2057" s="66"/>
      <c r="Z2057" s="66"/>
    </row>
    <row r="2058">
      <c r="A2058" s="66"/>
      <c r="B2058" s="66"/>
      <c r="C2058" s="66"/>
      <c r="D2058" s="66"/>
      <c r="E2058" s="66"/>
      <c r="F2058" s="66"/>
      <c r="G2058" s="66"/>
      <c r="H2058" s="66"/>
      <c r="I2058" s="66"/>
      <c r="J2058" s="66"/>
      <c r="K2058" s="66"/>
      <c r="L2058" s="66"/>
      <c r="M2058" s="66"/>
      <c r="N2058" s="66"/>
      <c r="O2058" s="66"/>
      <c r="P2058" s="66"/>
      <c r="Q2058" s="66"/>
      <c r="R2058" s="66"/>
      <c r="S2058" s="66"/>
      <c r="T2058" s="66"/>
      <c r="U2058" s="66"/>
      <c r="V2058" s="66"/>
      <c r="W2058" s="66"/>
      <c r="X2058" s="66"/>
      <c r="Y2058" s="66"/>
      <c r="Z2058" s="66"/>
    </row>
    <row r="2059">
      <c r="A2059" s="66"/>
      <c r="B2059" s="66"/>
      <c r="C2059" s="66"/>
      <c r="D2059" s="66"/>
      <c r="E2059" s="66"/>
      <c r="F2059" s="66"/>
      <c r="G2059" s="66"/>
      <c r="H2059" s="66"/>
      <c r="I2059" s="66"/>
      <c r="J2059" s="66"/>
      <c r="K2059" s="66"/>
      <c r="L2059" s="66"/>
      <c r="M2059" s="66"/>
      <c r="N2059" s="66"/>
      <c r="O2059" s="66"/>
      <c r="P2059" s="66"/>
      <c r="Q2059" s="66"/>
      <c r="R2059" s="66"/>
      <c r="S2059" s="66"/>
      <c r="T2059" s="66"/>
      <c r="U2059" s="66"/>
      <c r="V2059" s="66"/>
      <c r="W2059" s="66"/>
      <c r="X2059" s="66"/>
      <c r="Y2059" s="66"/>
      <c r="Z2059" s="66"/>
    </row>
    <row r="2060">
      <c r="A2060" s="66"/>
      <c r="B2060" s="66"/>
      <c r="C2060" s="66"/>
      <c r="D2060" s="66"/>
      <c r="E2060" s="66"/>
      <c r="F2060" s="66"/>
      <c r="G2060" s="66"/>
      <c r="H2060" s="66"/>
      <c r="I2060" s="66"/>
      <c r="J2060" s="66"/>
      <c r="K2060" s="66"/>
      <c r="L2060" s="66"/>
      <c r="M2060" s="66"/>
      <c r="N2060" s="66"/>
      <c r="O2060" s="66"/>
      <c r="P2060" s="66"/>
      <c r="Q2060" s="66"/>
      <c r="R2060" s="66"/>
      <c r="S2060" s="66"/>
      <c r="T2060" s="66"/>
      <c r="U2060" s="66"/>
      <c r="V2060" s="66"/>
      <c r="W2060" s="66"/>
      <c r="X2060" s="66"/>
      <c r="Y2060" s="66"/>
      <c r="Z2060" s="66"/>
    </row>
    <row r="2061">
      <c r="A2061" s="66"/>
      <c r="B2061" s="66"/>
      <c r="C2061" s="66"/>
      <c r="D2061" s="66"/>
      <c r="E2061" s="66"/>
      <c r="F2061" s="66"/>
      <c r="G2061" s="66"/>
      <c r="H2061" s="66"/>
      <c r="I2061" s="66"/>
      <c r="J2061" s="66"/>
      <c r="K2061" s="66"/>
      <c r="L2061" s="66"/>
      <c r="M2061" s="66"/>
      <c r="N2061" s="66"/>
      <c r="O2061" s="66"/>
      <c r="P2061" s="66"/>
      <c r="Q2061" s="66"/>
      <c r="R2061" s="66"/>
      <c r="S2061" s="66"/>
      <c r="T2061" s="66"/>
      <c r="U2061" s="66"/>
      <c r="V2061" s="66"/>
      <c r="W2061" s="66"/>
      <c r="X2061" s="66"/>
      <c r="Y2061" s="66"/>
      <c r="Z2061" s="66"/>
    </row>
    <row r="2062">
      <c r="A2062" s="66"/>
      <c r="B2062" s="66"/>
      <c r="C2062" s="66"/>
      <c r="D2062" s="66"/>
      <c r="E2062" s="66"/>
      <c r="F2062" s="66"/>
      <c r="G2062" s="66"/>
      <c r="H2062" s="66"/>
      <c r="I2062" s="66"/>
      <c r="J2062" s="66"/>
      <c r="K2062" s="66"/>
      <c r="L2062" s="66"/>
      <c r="M2062" s="66"/>
      <c r="N2062" s="66"/>
      <c r="O2062" s="66"/>
      <c r="P2062" s="66"/>
      <c r="Q2062" s="66"/>
      <c r="R2062" s="66"/>
      <c r="S2062" s="66"/>
      <c r="T2062" s="66"/>
      <c r="U2062" s="66"/>
      <c r="V2062" s="66"/>
      <c r="W2062" s="66"/>
      <c r="X2062" s="66"/>
      <c r="Y2062" s="66"/>
      <c r="Z2062" s="66"/>
    </row>
    <row r="2063">
      <c r="A2063" s="66"/>
      <c r="B2063" s="66"/>
      <c r="C2063" s="66"/>
      <c r="D2063" s="66"/>
      <c r="E2063" s="66"/>
      <c r="F2063" s="66"/>
      <c r="G2063" s="66"/>
      <c r="H2063" s="66"/>
      <c r="I2063" s="66"/>
      <c r="J2063" s="66"/>
      <c r="K2063" s="66"/>
      <c r="L2063" s="66"/>
      <c r="M2063" s="66"/>
      <c r="N2063" s="66"/>
      <c r="O2063" s="66"/>
      <c r="P2063" s="66"/>
      <c r="Q2063" s="66"/>
      <c r="R2063" s="66"/>
      <c r="S2063" s="66"/>
      <c r="T2063" s="66"/>
      <c r="U2063" s="66"/>
      <c r="V2063" s="66"/>
      <c r="W2063" s="66"/>
      <c r="X2063" s="66"/>
      <c r="Y2063" s="66"/>
      <c r="Z2063" s="66"/>
    </row>
    <row r="2064">
      <c r="A2064" s="66"/>
      <c r="B2064" s="66"/>
      <c r="C2064" s="66"/>
      <c r="D2064" s="66"/>
      <c r="E2064" s="66"/>
      <c r="F2064" s="66"/>
      <c r="G2064" s="66"/>
      <c r="H2064" s="66"/>
      <c r="I2064" s="66"/>
      <c r="J2064" s="66"/>
      <c r="K2064" s="66"/>
      <c r="L2064" s="66"/>
      <c r="M2064" s="66"/>
      <c r="N2064" s="66"/>
      <c r="O2064" s="66"/>
      <c r="P2064" s="66"/>
      <c r="Q2064" s="66"/>
      <c r="R2064" s="66"/>
      <c r="S2064" s="66"/>
      <c r="T2064" s="66"/>
      <c r="U2064" s="66"/>
      <c r="V2064" s="66"/>
      <c r="W2064" s="66"/>
      <c r="X2064" s="66"/>
      <c r="Y2064" s="66"/>
      <c r="Z2064" s="66"/>
    </row>
    <row r="2065">
      <c r="A2065" s="66"/>
      <c r="B2065" s="66"/>
      <c r="C2065" s="66"/>
      <c r="D2065" s="66"/>
      <c r="E2065" s="66"/>
      <c r="F2065" s="66"/>
      <c r="G2065" s="66"/>
      <c r="H2065" s="66"/>
      <c r="I2065" s="66"/>
      <c r="J2065" s="66"/>
      <c r="K2065" s="66"/>
      <c r="L2065" s="66"/>
      <c r="M2065" s="66"/>
      <c r="N2065" s="66"/>
      <c r="O2065" s="66"/>
      <c r="P2065" s="66"/>
      <c r="Q2065" s="66"/>
      <c r="R2065" s="66"/>
      <c r="S2065" s="66"/>
      <c r="T2065" s="66"/>
      <c r="U2065" s="66"/>
      <c r="V2065" s="66"/>
      <c r="W2065" s="66"/>
      <c r="X2065" s="66"/>
      <c r="Y2065" s="66"/>
      <c r="Z2065" s="66"/>
    </row>
    <row r="2066">
      <c r="A2066" s="66"/>
      <c r="B2066" s="66"/>
      <c r="C2066" s="66"/>
      <c r="D2066" s="66"/>
      <c r="E2066" s="66"/>
      <c r="F2066" s="66"/>
      <c r="G2066" s="66"/>
      <c r="H2066" s="66"/>
      <c r="I2066" s="66"/>
      <c r="J2066" s="66"/>
      <c r="K2066" s="66"/>
      <c r="L2066" s="66"/>
      <c r="M2066" s="66"/>
      <c r="N2066" s="66"/>
      <c r="O2066" s="66"/>
      <c r="P2066" s="66"/>
      <c r="Q2066" s="66"/>
      <c r="R2066" s="66"/>
      <c r="S2066" s="66"/>
      <c r="T2066" s="66"/>
      <c r="U2066" s="66"/>
      <c r="V2066" s="66"/>
      <c r="W2066" s="66"/>
      <c r="X2066" s="66"/>
      <c r="Y2066" s="66"/>
      <c r="Z2066" s="66"/>
    </row>
    <row r="2067">
      <c r="A2067" s="66"/>
      <c r="B2067" s="66"/>
      <c r="C2067" s="66"/>
      <c r="D2067" s="66"/>
      <c r="E2067" s="66"/>
      <c r="F2067" s="66"/>
      <c r="G2067" s="66"/>
      <c r="H2067" s="66"/>
      <c r="I2067" s="66"/>
      <c r="J2067" s="66"/>
      <c r="K2067" s="66"/>
      <c r="L2067" s="66"/>
      <c r="M2067" s="66"/>
      <c r="N2067" s="66"/>
      <c r="O2067" s="66"/>
      <c r="P2067" s="66"/>
      <c r="Q2067" s="66"/>
      <c r="R2067" s="66"/>
      <c r="S2067" s="66"/>
      <c r="T2067" s="66"/>
      <c r="U2067" s="66"/>
      <c r="V2067" s="66"/>
      <c r="W2067" s="66"/>
      <c r="X2067" s="66"/>
      <c r="Y2067" s="66"/>
      <c r="Z2067" s="66"/>
    </row>
    <row r="2068">
      <c r="A2068" s="66"/>
      <c r="B2068" s="66"/>
      <c r="C2068" s="66"/>
      <c r="D2068" s="66"/>
      <c r="E2068" s="66"/>
      <c r="F2068" s="66"/>
      <c r="G2068" s="66"/>
      <c r="H2068" s="66"/>
      <c r="I2068" s="66"/>
      <c r="J2068" s="66"/>
      <c r="K2068" s="66"/>
      <c r="L2068" s="66"/>
      <c r="M2068" s="66"/>
      <c r="N2068" s="66"/>
      <c r="O2068" s="66"/>
      <c r="P2068" s="66"/>
      <c r="Q2068" s="66"/>
      <c r="R2068" s="66"/>
      <c r="S2068" s="66"/>
      <c r="T2068" s="66"/>
      <c r="U2068" s="66"/>
      <c r="V2068" s="66"/>
      <c r="W2068" s="66"/>
      <c r="X2068" s="66"/>
      <c r="Y2068" s="66"/>
      <c r="Z2068" s="66"/>
    </row>
    <row r="2069">
      <c r="A2069" s="66"/>
      <c r="B2069" s="66"/>
      <c r="C2069" s="66"/>
      <c r="D2069" s="66"/>
      <c r="E2069" s="66"/>
      <c r="F2069" s="66"/>
      <c r="G2069" s="66"/>
      <c r="H2069" s="66"/>
      <c r="I2069" s="66"/>
      <c r="J2069" s="66"/>
      <c r="K2069" s="66"/>
      <c r="L2069" s="66"/>
      <c r="M2069" s="66"/>
      <c r="N2069" s="66"/>
      <c r="O2069" s="66"/>
      <c r="P2069" s="66"/>
      <c r="Q2069" s="66"/>
      <c r="R2069" s="66"/>
      <c r="S2069" s="66"/>
      <c r="T2069" s="66"/>
      <c r="U2069" s="66"/>
      <c r="V2069" s="66"/>
      <c r="W2069" s="66"/>
      <c r="X2069" s="66"/>
      <c r="Y2069" s="66"/>
      <c r="Z2069" s="66"/>
    </row>
    <row r="2070">
      <c r="A2070" s="66"/>
      <c r="B2070" s="66"/>
      <c r="C2070" s="66"/>
      <c r="D2070" s="66"/>
      <c r="E2070" s="66"/>
      <c r="F2070" s="66"/>
      <c r="G2070" s="66"/>
      <c r="H2070" s="66"/>
      <c r="I2070" s="66"/>
      <c r="J2070" s="66"/>
      <c r="K2070" s="66"/>
      <c r="L2070" s="66"/>
      <c r="M2070" s="66"/>
      <c r="N2070" s="66"/>
      <c r="O2070" s="66"/>
      <c r="P2070" s="66"/>
      <c r="Q2070" s="66"/>
      <c r="R2070" s="66"/>
      <c r="S2070" s="66"/>
      <c r="T2070" s="66"/>
      <c r="U2070" s="66"/>
      <c r="V2070" s="66"/>
      <c r="W2070" s="66"/>
      <c r="X2070" s="66"/>
      <c r="Y2070" s="66"/>
      <c r="Z2070" s="66"/>
    </row>
    <row r="2071">
      <c r="A2071" s="66"/>
      <c r="B2071" s="66"/>
      <c r="C2071" s="66"/>
      <c r="D2071" s="66"/>
      <c r="E2071" s="66"/>
      <c r="F2071" s="66"/>
      <c r="G2071" s="66"/>
      <c r="H2071" s="66"/>
      <c r="I2071" s="66"/>
      <c r="J2071" s="66"/>
      <c r="K2071" s="66"/>
      <c r="L2071" s="66"/>
      <c r="M2071" s="66"/>
      <c r="N2071" s="66"/>
      <c r="O2071" s="66"/>
      <c r="P2071" s="66"/>
      <c r="Q2071" s="66"/>
      <c r="R2071" s="66"/>
      <c r="S2071" s="66"/>
      <c r="T2071" s="66"/>
      <c r="U2071" s="66"/>
      <c r="V2071" s="66"/>
      <c r="W2071" s="66"/>
      <c r="X2071" s="66"/>
      <c r="Y2071" s="66"/>
      <c r="Z2071" s="66"/>
    </row>
    <row r="2072">
      <c r="A2072" s="66"/>
      <c r="B2072" s="66"/>
      <c r="C2072" s="66"/>
      <c r="D2072" s="66"/>
      <c r="E2072" s="66"/>
      <c r="F2072" s="66"/>
      <c r="G2072" s="66"/>
      <c r="H2072" s="66"/>
      <c r="I2072" s="66"/>
      <c r="J2072" s="66"/>
      <c r="K2072" s="66"/>
      <c r="L2072" s="66"/>
      <c r="M2072" s="66"/>
      <c r="N2072" s="66"/>
      <c r="O2072" s="66"/>
      <c r="P2072" s="66"/>
      <c r="Q2072" s="66"/>
      <c r="R2072" s="66"/>
      <c r="S2072" s="66"/>
      <c r="T2072" s="66"/>
      <c r="U2072" s="66"/>
      <c r="V2072" s="66"/>
      <c r="W2072" s="66"/>
      <c r="X2072" s="66"/>
      <c r="Y2072" s="66"/>
      <c r="Z2072" s="66"/>
    </row>
    <row r="2073">
      <c r="A2073" s="66"/>
      <c r="B2073" s="66"/>
      <c r="C2073" s="66"/>
      <c r="D2073" s="66"/>
      <c r="E2073" s="66"/>
      <c r="F2073" s="66"/>
      <c r="G2073" s="66"/>
      <c r="H2073" s="66"/>
      <c r="I2073" s="66"/>
      <c r="J2073" s="66"/>
      <c r="K2073" s="66"/>
      <c r="L2073" s="66"/>
      <c r="M2073" s="66"/>
      <c r="N2073" s="66"/>
      <c r="O2073" s="66"/>
      <c r="P2073" s="66"/>
      <c r="Q2073" s="66"/>
      <c r="R2073" s="66"/>
      <c r="S2073" s="66"/>
      <c r="T2073" s="66"/>
      <c r="U2073" s="66"/>
      <c r="V2073" s="66"/>
      <c r="W2073" s="66"/>
      <c r="X2073" s="66"/>
      <c r="Y2073" s="66"/>
      <c r="Z2073" s="66"/>
    </row>
    <row r="2074">
      <c r="A2074" s="66"/>
      <c r="B2074" s="66"/>
      <c r="C2074" s="66"/>
      <c r="D2074" s="66"/>
      <c r="E2074" s="66"/>
      <c r="F2074" s="66"/>
      <c r="G2074" s="66"/>
      <c r="H2074" s="66"/>
      <c r="I2074" s="66"/>
      <c r="J2074" s="66"/>
      <c r="K2074" s="66"/>
      <c r="L2074" s="66"/>
      <c r="M2074" s="66"/>
      <c r="N2074" s="66"/>
      <c r="O2074" s="66"/>
      <c r="P2074" s="66"/>
      <c r="Q2074" s="66"/>
      <c r="R2074" s="66"/>
      <c r="S2074" s="66"/>
      <c r="T2074" s="66"/>
      <c r="U2074" s="66"/>
      <c r="V2074" s="66"/>
      <c r="W2074" s="66"/>
      <c r="X2074" s="66"/>
      <c r="Y2074" s="66"/>
      <c r="Z2074" s="66"/>
    </row>
    <row r="2075">
      <c r="A2075" s="66"/>
      <c r="B2075" s="66"/>
      <c r="C2075" s="66"/>
      <c r="D2075" s="66"/>
      <c r="E2075" s="66"/>
      <c r="F2075" s="66"/>
      <c r="G2075" s="66"/>
      <c r="H2075" s="66"/>
      <c r="I2075" s="66"/>
      <c r="J2075" s="66"/>
      <c r="K2075" s="66"/>
      <c r="L2075" s="66"/>
      <c r="M2075" s="66"/>
      <c r="N2075" s="66"/>
      <c r="O2075" s="66"/>
      <c r="P2075" s="66"/>
      <c r="Q2075" s="66"/>
      <c r="R2075" s="66"/>
      <c r="S2075" s="66"/>
      <c r="T2075" s="66"/>
      <c r="U2075" s="66"/>
      <c r="V2075" s="66"/>
      <c r="W2075" s="66"/>
      <c r="X2075" s="66"/>
      <c r="Y2075" s="66"/>
      <c r="Z2075" s="66"/>
    </row>
    <row r="2076">
      <c r="A2076" s="66"/>
      <c r="B2076" s="66"/>
      <c r="C2076" s="66"/>
      <c r="D2076" s="66"/>
      <c r="E2076" s="66"/>
      <c r="F2076" s="66"/>
      <c r="G2076" s="66"/>
      <c r="H2076" s="66"/>
      <c r="I2076" s="66"/>
      <c r="J2076" s="66"/>
      <c r="K2076" s="66"/>
      <c r="L2076" s="66"/>
      <c r="M2076" s="66"/>
      <c r="N2076" s="66"/>
      <c r="O2076" s="66"/>
      <c r="P2076" s="66"/>
      <c r="Q2076" s="66"/>
      <c r="R2076" s="66"/>
      <c r="S2076" s="66"/>
      <c r="T2076" s="66"/>
      <c r="U2076" s="66"/>
      <c r="V2076" s="66"/>
      <c r="W2076" s="66"/>
      <c r="X2076" s="66"/>
      <c r="Y2076" s="66"/>
      <c r="Z2076" s="66"/>
    </row>
    <row r="2077">
      <c r="A2077" s="66"/>
      <c r="B2077" s="66"/>
      <c r="C2077" s="66"/>
      <c r="D2077" s="66"/>
      <c r="E2077" s="66"/>
      <c r="F2077" s="66"/>
      <c r="G2077" s="66"/>
      <c r="H2077" s="66"/>
      <c r="I2077" s="66"/>
      <c r="J2077" s="66"/>
      <c r="K2077" s="66"/>
      <c r="L2077" s="66"/>
      <c r="M2077" s="66"/>
      <c r="N2077" s="66"/>
      <c r="O2077" s="66"/>
      <c r="P2077" s="66"/>
      <c r="Q2077" s="66"/>
      <c r="R2077" s="66"/>
      <c r="S2077" s="66"/>
      <c r="T2077" s="66"/>
      <c r="U2077" s="66"/>
      <c r="V2077" s="66"/>
      <c r="W2077" s="66"/>
      <c r="X2077" s="66"/>
      <c r="Y2077" s="66"/>
      <c r="Z2077" s="66"/>
    </row>
    <row r="2078">
      <c r="A2078" s="66"/>
      <c r="B2078" s="66"/>
      <c r="C2078" s="66"/>
      <c r="D2078" s="66"/>
      <c r="E2078" s="66"/>
      <c r="F2078" s="66"/>
      <c r="G2078" s="66"/>
      <c r="H2078" s="66"/>
      <c r="I2078" s="66"/>
      <c r="J2078" s="66"/>
      <c r="K2078" s="66"/>
      <c r="L2078" s="66"/>
      <c r="M2078" s="66"/>
      <c r="N2078" s="66"/>
      <c r="O2078" s="66"/>
      <c r="P2078" s="66"/>
      <c r="Q2078" s="66"/>
      <c r="R2078" s="66"/>
      <c r="S2078" s="66"/>
      <c r="T2078" s="66"/>
      <c r="U2078" s="66"/>
      <c r="V2078" s="66"/>
      <c r="W2078" s="66"/>
      <c r="X2078" s="66"/>
      <c r="Y2078" s="66"/>
      <c r="Z2078" s="66"/>
    </row>
    <row r="2079">
      <c r="A2079" s="66"/>
      <c r="B2079" s="66"/>
      <c r="C2079" s="66"/>
      <c r="D2079" s="66"/>
      <c r="E2079" s="66"/>
      <c r="F2079" s="66"/>
      <c r="G2079" s="66"/>
      <c r="H2079" s="66"/>
      <c r="I2079" s="66"/>
      <c r="J2079" s="66"/>
      <c r="K2079" s="66"/>
      <c r="L2079" s="66"/>
      <c r="M2079" s="66"/>
      <c r="N2079" s="66"/>
      <c r="O2079" s="66"/>
      <c r="P2079" s="66"/>
      <c r="Q2079" s="66"/>
      <c r="R2079" s="66"/>
      <c r="S2079" s="66"/>
      <c r="T2079" s="66"/>
      <c r="U2079" s="66"/>
      <c r="V2079" s="66"/>
      <c r="W2079" s="66"/>
      <c r="X2079" s="66"/>
      <c r="Y2079" s="66"/>
      <c r="Z2079" s="66"/>
    </row>
    <row r="2080">
      <c r="A2080" s="66"/>
      <c r="B2080" s="66"/>
      <c r="C2080" s="66"/>
      <c r="D2080" s="66"/>
      <c r="E2080" s="66"/>
      <c r="F2080" s="66"/>
      <c r="G2080" s="66"/>
      <c r="H2080" s="66"/>
      <c r="I2080" s="66"/>
      <c r="J2080" s="66"/>
      <c r="K2080" s="66"/>
      <c r="L2080" s="66"/>
      <c r="M2080" s="66"/>
      <c r="N2080" s="66"/>
      <c r="O2080" s="66"/>
      <c r="P2080" s="66"/>
      <c r="Q2080" s="66"/>
      <c r="R2080" s="66"/>
      <c r="S2080" s="66"/>
      <c r="T2080" s="66"/>
      <c r="U2080" s="66"/>
      <c r="V2080" s="66"/>
      <c r="W2080" s="66"/>
      <c r="X2080" s="66"/>
      <c r="Y2080" s="66"/>
      <c r="Z2080" s="66"/>
    </row>
    <row r="2081">
      <c r="A2081" s="66"/>
      <c r="B2081" s="66"/>
      <c r="C2081" s="66"/>
      <c r="D2081" s="66"/>
      <c r="E2081" s="66"/>
      <c r="F2081" s="66"/>
      <c r="G2081" s="66"/>
      <c r="H2081" s="66"/>
      <c r="I2081" s="66"/>
      <c r="J2081" s="66"/>
      <c r="K2081" s="66"/>
      <c r="L2081" s="66"/>
      <c r="M2081" s="66"/>
      <c r="N2081" s="66"/>
      <c r="O2081" s="66"/>
      <c r="P2081" s="66"/>
      <c r="Q2081" s="66"/>
      <c r="R2081" s="66"/>
      <c r="S2081" s="66"/>
      <c r="T2081" s="66"/>
      <c r="U2081" s="66"/>
      <c r="V2081" s="66"/>
      <c r="W2081" s="66"/>
      <c r="X2081" s="66"/>
      <c r="Y2081" s="66"/>
      <c r="Z2081" s="66"/>
    </row>
    <row r="2082">
      <c r="A2082" s="66"/>
      <c r="B2082" s="66"/>
      <c r="C2082" s="66"/>
      <c r="D2082" s="66"/>
      <c r="E2082" s="66"/>
      <c r="F2082" s="66"/>
      <c r="G2082" s="66"/>
      <c r="H2082" s="66"/>
      <c r="I2082" s="66"/>
      <c r="J2082" s="66"/>
      <c r="K2082" s="66"/>
      <c r="L2082" s="66"/>
      <c r="M2082" s="66"/>
      <c r="N2082" s="66"/>
      <c r="O2082" s="66"/>
      <c r="P2082" s="66"/>
      <c r="Q2082" s="66"/>
      <c r="R2082" s="66"/>
      <c r="S2082" s="66"/>
      <c r="T2082" s="66"/>
      <c r="U2082" s="66"/>
      <c r="V2082" s="66"/>
      <c r="W2082" s="66"/>
      <c r="X2082" s="66"/>
      <c r="Y2082" s="66"/>
      <c r="Z2082" s="66"/>
    </row>
    <row r="2083">
      <c r="A2083" s="66"/>
      <c r="B2083" s="66"/>
      <c r="C2083" s="66"/>
      <c r="D2083" s="66"/>
      <c r="E2083" s="66"/>
      <c r="F2083" s="66"/>
      <c r="G2083" s="66"/>
      <c r="H2083" s="66"/>
      <c r="I2083" s="66"/>
      <c r="J2083" s="66"/>
      <c r="K2083" s="66"/>
      <c r="L2083" s="66"/>
      <c r="M2083" s="66"/>
      <c r="N2083" s="66"/>
      <c r="O2083" s="66"/>
      <c r="P2083" s="66"/>
      <c r="Q2083" s="66"/>
      <c r="R2083" s="66"/>
      <c r="S2083" s="66"/>
      <c r="T2083" s="66"/>
      <c r="U2083" s="66"/>
      <c r="V2083" s="66"/>
      <c r="W2083" s="66"/>
      <c r="X2083" s="66"/>
      <c r="Y2083" s="66"/>
      <c r="Z2083" s="66"/>
    </row>
    <row r="2084">
      <c r="A2084" s="66"/>
      <c r="B2084" s="66"/>
      <c r="C2084" s="66"/>
      <c r="D2084" s="66"/>
      <c r="E2084" s="66"/>
      <c r="F2084" s="66"/>
      <c r="G2084" s="66"/>
      <c r="H2084" s="66"/>
      <c r="I2084" s="66"/>
      <c r="J2084" s="66"/>
      <c r="K2084" s="66"/>
      <c r="L2084" s="66"/>
      <c r="M2084" s="66"/>
      <c r="N2084" s="66"/>
      <c r="O2084" s="66"/>
      <c r="P2084" s="66"/>
      <c r="Q2084" s="66"/>
      <c r="R2084" s="66"/>
      <c r="S2084" s="66"/>
      <c r="T2084" s="66"/>
      <c r="U2084" s="66"/>
      <c r="V2084" s="66"/>
      <c r="W2084" s="66"/>
      <c r="X2084" s="66"/>
      <c r="Y2084" s="66"/>
      <c r="Z2084" s="66"/>
    </row>
    <row r="2085">
      <c r="A2085" s="66"/>
      <c r="B2085" s="66"/>
      <c r="C2085" s="66"/>
      <c r="D2085" s="66"/>
      <c r="E2085" s="66"/>
      <c r="F2085" s="66"/>
      <c r="G2085" s="66"/>
      <c r="H2085" s="66"/>
      <c r="I2085" s="66"/>
      <c r="J2085" s="66"/>
      <c r="K2085" s="66"/>
      <c r="L2085" s="66"/>
      <c r="M2085" s="66"/>
      <c r="N2085" s="66"/>
      <c r="O2085" s="66"/>
      <c r="P2085" s="66"/>
      <c r="Q2085" s="66"/>
      <c r="R2085" s="66"/>
      <c r="S2085" s="66"/>
      <c r="T2085" s="66"/>
      <c r="U2085" s="66"/>
      <c r="V2085" s="66"/>
      <c r="W2085" s="66"/>
      <c r="X2085" s="66"/>
      <c r="Y2085" s="66"/>
      <c r="Z2085" s="66"/>
    </row>
    <row r="2086">
      <c r="A2086" s="66"/>
      <c r="B2086" s="66"/>
      <c r="C2086" s="66"/>
      <c r="D2086" s="66"/>
      <c r="E2086" s="66"/>
      <c r="F2086" s="66"/>
      <c r="G2086" s="66"/>
      <c r="H2086" s="66"/>
      <c r="I2086" s="66"/>
      <c r="J2086" s="66"/>
      <c r="K2086" s="66"/>
      <c r="L2086" s="66"/>
      <c r="M2086" s="66"/>
      <c r="N2086" s="66"/>
      <c r="O2086" s="66"/>
      <c r="P2086" s="66"/>
      <c r="Q2086" s="66"/>
      <c r="R2086" s="66"/>
      <c r="S2086" s="66"/>
      <c r="T2086" s="66"/>
      <c r="U2086" s="66"/>
      <c r="V2086" s="66"/>
      <c r="W2086" s="66"/>
      <c r="X2086" s="66"/>
      <c r="Y2086" s="66"/>
      <c r="Z2086" s="66"/>
    </row>
    <row r="2087">
      <c r="A2087" s="66"/>
      <c r="B2087" s="66"/>
      <c r="C2087" s="66"/>
      <c r="D2087" s="66"/>
      <c r="E2087" s="66"/>
      <c r="F2087" s="66"/>
      <c r="G2087" s="66"/>
      <c r="H2087" s="66"/>
      <c r="I2087" s="66"/>
      <c r="J2087" s="66"/>
      <c r="K2087" s="66"/>
      <c r="L2087" s="66"/>
      <c r="M2087" s="66"/>
      <c r="N2087" s="66"/>
      <c r="O2087" s="66"/>
      <c r="P2087" s="66"/>
      <c r="Q2087" s="66"/>
      <c r="R2087" s="66"/>
      <c r="S2087" s="66"/>
      <c r="T2087" s="66"/>
      <c r="U2087" s="66"/>
      <c r="V2087" s="66"/>
      <c r="W2087" s="66"/>
      <c r="X2087" s="66"/>
      <c r="Y2087" s="66"/>
      <c r="Z2087" s="66"/>
    </row>
    <row r="2088">
      <c r="A2088" s="66"/>
      <c r="B2088" s="66"/>
      <c r="C2088" s="66"/>
      <c r="D2088" s="66"/>
      <c r="E2088" s="66"/>
      <c r="F2088" s="66"/>
      <c r="G2088" s="66"/>
      <c r="H2088" s="66"/>
      <c r="I2088" s="66"/>
      <c r="J2088" s="66"/>
      <c r="K2088" s="66"/>
      <c r="L2088" s="66"/>
      <c r="M2088" s="66"/>
      <c r="N2088" s="66"/>
      <c r="O2088" s="66"/>
      <c r="P2088" s="66"/>
      <c r="Q2088" s="66"/>
      <c r="R2088" s="66"/>
      <c r="S2088" s="66"/>
      <c r="T2088" s="66"/>
      <c r="U2088" s="66"/>
      <c r="V2088" s="66"/>
      <c r="W2088" s="66"/>
      <c r="X2088" s="66"/>
      <c r="Y2088" s="66"/>
      <c r="Z2088" s="66"/>
    </row>
    <row r="2089">
      <c r="A2089" s="66"/>
      <c r="B2089" s="66"/>
      <c r="C2089" s="66"/>
      <c r="D2089" s="66"/>
      <c r="E2089" s="66"/>
      <c r="F2089" s="66"/>
      <c r="G2089" s="66"/>
      <c r="H2089" s="66"/>
      <c r="I2089" s="66"/>
      <c r="J2089" s="66"/>
      <c r="K2089" s="66"/>
      <c r="L2089" s="66"/>
      <c r="M2089" s="66"/>
      <c r="N2089" s="66"/>
      <c r="O2089" s="66"/>
      <c r="P2089" s="66"/>
      <c r="Q2089" s="66"/>
      <c r="R2089" s="66"/>
      <c r="S2089" s="66"/>
      <c r="T2089" s="66"/>
      <c r="U2089" s="66"/>
      <c r="V2089" s="66"/>
      <c r="W2089" s="66"/>
      <c r="X2089" s="66"/>
      <c r="Y2089" s="66"/>
      <c r="Z2089" s="66"/>
    </row>
    <row r="2090">
      <c r="A2090" s="66"/>
      <c r="B2090" s="66"/>
      <c r="C2090" s="66"/>
      <c r="D2090" s="66"/>
      <c r="E2090" s="66"/>
      <c r="F2090" s="66"/>
      <c r="G2090" s="66"/>
      <c r="H2090" s="66"/>
      <c r="I2090" s="66"/>
      <c r="J2090" s="66"/>
      <c r="K2090" s="66"/>
      <c r="L2090" s="66"/>
      <c r="M2090" s="66"/>
      <c r="N2090" s="66"/>
      <c r="O2090" s="66"/>
      <c r="P2090" s="66"/>
      <c r="Q2090" s="66"/>
      <c r="R2090" s="66"/>
      <c r="S2090" s="66"/>
      <c r="T2090" s="66"/>
      <c r="U2090" s="66"/>
      <c r="V2090" s="66"/>
      <c r="W2090" s="66"/>
      <c r="X2090" s="66"/>
      <c r="Y2090" s="66"/>
      <c r="Z2090" s="66"/>
    </row>
    <row r="2091">
      <c r="A2091" s="66"/>
      <c r="B2091" s="66"/>
      <c r="C2091" s="66"/>
      <c r="D2091" s="66"/>
      <c r="E2091" s="66"/>
      <c r="F2091" s="66"/>
      <c r="G2091" s="66"/>
      <c r="H2091" s="66"/>
      <c r="I2091" s="66"/>
      <c r="J2091" s="66"/>
      <c r="K2091" s="66"/>
      <c r="L2091" s="66"/>
      <c r="M2091" s="66"/>
      <c r="N2091" s="66"/>
      <c r="O2091" s="66"/>
      <c r="P2091" s="66"/>
      <c r="Q2091" s="66"/>
      <c r="R2091" s="66"/>
      <c r="S2091" s="66"/>
      <c r="T2091" s="66"/>
      <c r="U2091" s="66"/>
      <c r="V2091" s="66"/>
      <c r="W2091" s="66"/>
      <c r="X2091" s="66"/>
      <c r="Y2091" s="66"/>
      <c r="Z2091" s="66"/>
    </row>
    <row r="2092">
      <c r="A2092" s="66"/>
      <c r="B2092" s="66"/>
      <c r="C2092" s="66"/>
      <c r="D2092" s="66"/>
      <c r="E2092" s="66"/>
      <c r="F2092" s="66"/>
      <c r="G2092" s="66"/>
      <c r="H2092" s="66"/>
      <c r="I2092" s="66"/>
      <c r="J2092" s="66"/>
      <c r="K2092" s="66"/>
      <c r="L2092" s="66"/>
      <c r="M2092" s="66"/>
      <c r="N2092" s="66"/>
      <c r="O2092" s="66"/>
      <c r="P2092" s="66"/>
      <c r="Q2092" s="66"/>
      <c r="R2092" s="66"/>
      <c r="S2092" s="66"/>
      <c r="T2092" s="66"/>
      <c r="U2092" s="66"/>
      <c r="V2092" s="66"/>
      <c r="W2092" s="66"/>
      <c r="X2092" s="66"/>
      <c r="Y2092" s="66"/>
      <c r="Z2092" s="66"/>
    </row>
    <row r="2093">
      <c r="A2093" s="66"/>
      <c r="B2093" s="66"/>
      <c r="C2093" s="66"/>
      <c r="D2093" s="66"/>
      <c r="E2093" s="66"/>
      <c r="F2093" s="66"/>
      <c r="G2093" s="66"/>
      <c r="H2093" s="66"/>
      <c r="I2093" s="66"/>
      <c r="J2093" s="66"/>
      <c r="K2093" s="66"/>
      <c r="L2093" s="66"/>
      <c r="M2093" s="66"/>
      <c r="N2093" s="66"/>
      <c r="O2093" s="66"/>
      <c r="P2093" s="66"/>
      <c r="Q2093" s="66"/>
      <c r="R2093" s="66"/>
      <c r="S2093" s="66"/>
      <c r="T2093" s="66"/>
      <c r="U2093" s="66"/>
      <c r="V2093" s="66"/>
      <c r="W2093" s="66"/>
      <c r="X2093" s="66"/>
      <c r="Y2093" s="66"/>
      <c r="Z2093" s="66"/>
    </row>
    <row r="2094">
      <c r="A2094" s="66"/>
      <c r="B2094" s="66"/>
      <c r="C2094" s="66"/>
      <c r="D2094" s="66"/>
      <c r="E2094" s="66"/>
      <c r="F2094" s="66"/>
      <c r="G2094" s="66"/>
      <c r="H2094" s="66"/>
      <c r="I2094" s="66"/>
      <c r="J2094" s="66"/>
      <c r="K2094" s="66"/>
      <c r="L2094" s="66"/>
      <c r="M2094" s="66"/>
      <c r="N2094" s="66"/>
      <c r="O2094" s="66"/>
      <c r="P2094" s="66"/>
      <c r="Q2094" s="66"/>
      <c r="R2094" s="66"/>
      <c r="S2094" s="66"/>
      <c r="T2094" s="66"/>
      <c r="U2094" s="66"/>
      <c r="V2094" s="66"/>
      <c r="W2094" s="66"/>
      <c r="X2094" s="66"/>
      <c r="Y2094" s="66"/>
      <c r="Z2094" s="66"/>
    </row>
    <row r="2095">
      <c r="A2095" s="66"/>
      <c r="B2095" s="66"/>
      <c r="C2095" s="66"/>
      <c r="D2095" s="66"/>
      <c r="E2095" s="66"/>
      <c r="F2095" s="66"/>
      <c r="G2095" s="66"/>
      <c r="H2095" s="66"/>
      <c r="I2095" s="66"/>
      <c r="J2095" s="66"/>
      <c r="K2095" s="66"/>
      <c r="L2095" s="66"/>
      <c r="M2095" s="66"/>
      <c r="N2095" s="66"/>
      <c r="O2095" s="66"/>
      <c r="P2095" s="66"/>
      <c r="Q2095" s="66"/>
      <c r="R2095" s="66"/>
      <c r="S2095" s="66"/>
      <c r="T2095" s="66"/>
      <c r="U2095" s="66"/>
      <c r="V2095" s="66"/>
      <c r="W2095" s="66"/>
      <c r="X2095" s="66"/>
      <c r="Y2095" s="66"/>
      <c r="Z2095" s="66"/>
    </row>
    <row r="2096">
      <c r="A2096" s="66"/>
      <c r="B2096" s="66"/>
      <c r="C2096" s="66"/>
      <c r="D2096" s="66"/>
      <c r="E2096" s="66"/>
      <c r="F2096" s="66"/>
      <c r="G2096" s="66"/>
      <c r="H2096" s="66"/>
      <c r="I2096" s="66"/>
      <c r="J2096" s="66"/>
      <c r="K2096" s="66"/>
      <c r="L2096" s="66"/>
      <c r="M2096" s="66"/>
      <c r="N2096" s="66"/>
      <c r="O2096" s="66"/>
      <c r="P2096" s="66"/>
      <c r="Q2096" s="66"/>
      <c r="R2096" s="66"/>
      <c r="S2096" s="66"/>
      <c r="T2096" s="66"/>
      <c r="U2096" s="66"/>
      <c r="V2096" s="66"/>
      <c r="W2096" s="66"/>
      <c r="X2096" s="66"/>
      <c r="Y2096" s="66"/>
      <c r="Z2096" s="66"/>
    </row>
    <row r="2097">
      <c r="A2097" s="66"/>
      <c r="B2097" s="66"/>
      <c r="C2097" s="66"/>
      <c r="D2097" s="66"/>
      <c r="E2097" s="66"/>
      <c r="F2097" s="66"/>
      <c r="G2097" s="66"/>
      <c r="H2097" s="66"/>
      <c r="I2097" s="66"/>
      <c r="J2097" s="66"/>
      <c r="K2097" s="66"/>
      <c r="L2097" s="66"/>
      <c r="M2097" s="66"/>
      <c r="N2097" s="66"/>
      <c r="O2097" s="66"/>
      <c r="P2097" s="66"/>
      <c r="Q2097" s="66"/>
      <c r="R2097" s="66"/>
      <c r="S2097" s="66"/>
      <c r="T2097" s="66"/>
      <c r="U2097" s="66"/>
      <c r="V2097" s="66"/>
      <c r="W2097" s="66"/>
      <c r="X2097" s="66"/>
      <c r="Y2097" s="66"/>
      <c r="Z2097" s="66"/>
    </row>
    <row r="2098">
      <c r="A2098" s="66"/>
      <c r="B2098" s="66"/>
      <c r="C2098" s="66"/>
      <c r="D2098" s="66"/>
      <c r="E2098" s="66"/>
      <c r="F2098" s="66"/>
      <c r="G2098" s="66"/>
      <c r="H2098" s="66"/>
      <c r="I2098" s="66"/>
      <c r="J2098" s="66"/>
      <c r="K2098" s="66"/>
      <c r="L2098" s="66"/>
      <c r="M2098" s="66"/>
      <c r="N2098" s="66"/>
      <c r="O2098" s="66"/>
      <c r="P2098" s="66"/>
      <c r="Q2098" s="66"/>
      <c r="R2098" s="66"/>
      <c r="S2098" s="66"/>
      <c r="T2098" s="66"/>
      <c r="U2098" s="66"/>
      <c r="V2098" s="66"/>
      <c r="W2098" s="66"/>
      <c r="X2098" s="66"/>
      <c r="Y2098" s="66"/>
      <c r="Z2098" s="66"/>
    </row>
    <row r="2099">
      <c r="A2099" s="66"/>
      <c r="B2099" s="66"/>
      <c r="C2099" s="66"/>
      <c r="D2099" s="66"/>
      <c r="E2099" s="66"/>
      <c r="F2099" s="66"/>
      <c r="G2099" s="66"/>
      <c r="H2099" s="66"/>
      <c r="I2099" s="66"/>
      <c r="J2099" s="66"/>
      <c r="K2099" s="66"/>
      <c r="L2099" s="66"/>
      <c r="M2099" s="66"/>
      <c r="N2099" s="66"/>
      <c r="O2099" s="66"/>
      <c r="P2099" s="66"/>
      <c r="Q2099" s="66"/>
      <c r="R2099" s="66"/>
      <c r="S2099" s="66"/>
      <c r="T2099" s="66"/>
      <c r="U2099" s="66"/>
      <c r="V2099" s="66"/>
      <c r="W2099" s="66"/>
      <c r="X2099" s="66"/>
      <c r="Y2099" s="66"/>
      <c r="Z2099" s="66"/>
    </row>
    <row r="2100">
      <c r="A2100" s="66"/>
      <c r="B2100" s="66"/>
      <c r="C2100" s="66"/>
      <c r="D2100" s="66"/>
      <c r="E2100" s="66"/>
      <c r="F2100" s="66"/>
      <c r="G2100" s="66"/>
      <c r="H2100" s="66"/>
      <c r="I2100" s="66"/>
      <c r="J2100" s="66"/>
      <c r="K2100" s="66"/>
      <c r="L2100" s="66"/>
      <c r="M2100" s="66"/>
      <c r="N2100" s="66"/>
      <c r="O2100" s="66"/>
      <c r="P2100" s="66"/>
      <c r="Q2100" s="66"/>
      <c r="R2100" s="66"/>
      <c r="S2100" s="66"/>
      <c r="T2100" s="66"/>
      <c r="U2100" s="66"/>
      <c r="V2100" s="66"/>
      <c r="W2100" s="66"/>
      <c r="X2100" s="66"/>
      <c r="Y2100" s="66"/>
      <c r="Z2100" s="66"/>
    </row>
    <row r="2101">
      <c r="A2101" s="66"/>
      <c r="B2101" s="66"/>
      <c r="C2101" s="66"/>
      <c r="D2101" s="66"/>
      <c r="E2101" s="66"/>
      <c r="F2101" s="66"/>
      <c r="G2101" s="66"/>
      <c r="H2101" s="66"/>
      <c r="I2101" s="66"/>
      <c r="J2101" s="66"/>
      <c r="K2101" s="66"/>
      <c r="L2101" s="66"/>
      <c r="M2101" s="66"/>
      <c r="N2101" s="66"/>
      <c r="O2101" s="66"/>
      <c r="P2101" s="66"/>
      <c r="Q2101" s="66"/>
      <c r="R2101" s="66"/>
      <c r="S2101" s="66"/>
      <c r="T2101" s="66"/>
      <c r="U2101" s="66"/>
      <c r="V2101" s="66"/>
      <c r="W2101" s="66"/>
      <c r="X2101" s="66"/>
      <c r="Y2101" s="66"/>
      <c r="Z2101" s="66"/>
    </row>
    <row r="2102">
      <c r="A2102" s="66"/>
      <c r="B2102" s="66"/>
      <c r="C2102" s="66"/>
      <c r="D2102" s="66"/>
      <c r="E2102" s="66"/>
      <c r="F2102" s="66"/>
      <c r="G2102" s="66"/>
      <c r="H2102" s="66"/>
      <c r="I2102" s="66"/>
      <c r="J2102" s="66"/>
      <c r="K2102" s="66"/>
      <c r="L2102" s="66"/>
      <c r="M2102" s="66"/>
      <c r="N2102" s="66"/>
      <c r="O2102" s="66"/>
      <c r="P2102" s="66"/>
      <c r="Q2102" s="66"/>
      <c r="R2102" s="66"/>
      <c r="S2102" s="66"/>
      <c r="T2102" s="66"/>
      <c r="U2102" s="66"/>
      <c r="V2102" s="66"/>
      <c r="W2102" s="66"/>
      <c r="X2102" s="66"/>
      <c r="Y2102" s="66"/>
      <c r="Z2102" s="66"/>
    </row>
    <row r="2103">
      <c r="A2103" s="66"/>
      <c r="B2103" s="66"/>
      <c r="C2103" s="66"/>
      <c r="D2103" s="66"/>
      <c r="E2103" s="66"/>
      <c r="F2103" s="66"/>
      <c r="G2103" s="66"/>
      <c r="H2103" s="66"/>
      <c r="I2103" s="66"/>
      <c r="J2103" s="66"/>
      <c r="K2103" s="66"/>
      <c r="L2103" s="66"/>
      <c r="M2103" s="66"/>
      <c r="N2103" s="66"/>
      <c r="O2103" s="66"/>
      <c r="P2103" s="66"/>
      <c r="Q2103" s="66"/>
      <c r="R2103" s="66"/>
      <c r="S2103" s="66"/>
      <c r="T2103" s="66"/>
      <c r="U2103" s="66"/>
      <c r="V2103" s="66"/>
      <c r="W2103" s="66"/>
      <c r="X2103" s="66"/>
      <c r="Y2103" s="66"/>
      <c r="Z2103" s="66"/>
    </row>
    <row r="2104">
      <c r="A2104" s="66"/>
      <c r="B2104" s="66"/>
      <c r="C2104" s="66"/>
      <c r="D2104" s="66"/>
      <c r="E2104" s="66"/>
      <c r="F2104" s="66"/>
      <c r="G2104" s="66"/>
      <c r="H2104" s="66"/>
      <c r="I2104" s="66"/>
      <c r="J2104" s="66"/>
      <c r="K2104" s="66"/>
      <c r="L2104" s="66"/>
      <c r="M2104" s="66"/>
      <c r="N2104" s="66"/>
      <c r="O2104" s="66"/>
      <c r="P2104" s="66"/>
      <c r="Q2104" s="66"/>
      <c r="R2104" s="66"/>
      <c r="S2104" s="66"/>
      <c r="T2104" s="66"/>
      <c r="U2104" s="66"/>
      <c r="V2104" s="66"/>
      <c r="W2104" s="66"/>
      <c r="X2104" s="66"/>
      <c r="Y2104" s="66"/>
      <c r="Z2104" s="66"/>
    </row>
    <row r="2105">
      <c r="A2105" s="66"/>
      <c r="B2105" s="66"/>
      <c r="C2105" s="66"/>
      <c r="D2105" s="66"/>
      <c r="E2105" s="66"/>
      <c r="F2105" s="66"/>
      <c r="G2105" s="66"/>
      <c r="H2105" s="66"/>
      <c r="I2105" s="66"/>
      <c r="J2105" s="66"/>
      <c r="K2105" s="66"/>
      <c r="L2105" s="66"/>
      <c r="M2105" s="66"/>
      <c r="N2105" s="66"/>
      <c r="O2105" s="66"/>
      <c r="P2105" s="66"/>
      <c r="Q2105" s="66"/>
      <c r="R2105" s="66"/>
      <c r="S2105" s="66"/>
      <c r="T2105" s="66"/>
      <c r="U2105" s="66"/>
      <c r="V2105" s="66"/>
      <c r="W2105" s="66"/>
      <c r="X2105" s="66"/>
      <c r="Y2105" s="66"/>
      <c r="Z2105" s="66"/>
    </row>
    <row r="2106">
      <c r="A2106" s="66"/>
      <c r="B2106" s="66"/>
      <c r="C2106" s="66"/>
      <c r="D2106" s="66"/>
      <c r="E2106" s="66"/>
      <c r="F2106" s="66"/>
      <c r="G2106" s="66"/>
      <c r="H2106" s="66"/>
      <c r="I2106" s="66"/>
      <c r="J2106" s="66"/>
      <c r="K2106" s="66"/>
      <c r="L2106" s="66"/>
      <c r="M2106" s="66"/>
      <c r="N2106" s="66"/>
      <c r="O2106" s="66"/>
      <c r="P2106" s="66"/>
      <c r="Q2106" s="66"/>
      <c r="R2106" s="66"/>
      <c r="S2106" s="66"/>
      <c r="T2106" s="66"/>
      <c r="U2106" s="66"/>
      <c r="V2106" s="66"/>
      <c r="W2106" s="66"/>
      <c r="X2106" s="66"/>
      <c r="Y2106" s="66"/>
      <c r="Z2106" s="66"/>
    </row>
    <row r="2107">
      <c r="A2107" s="66"/>
      <c r="B2107" s="66"/>
      <c r="C2107" s="66"/>
      <c r="D2107" s="66"/>
      <c r="E2107" s="66"/>
      <c r="F2107" s="66"/>
      <c r="G2107" s="66"/>
      <c r="H2107" s="66"/>
      <c r="I2107" s="66"/>
      <c r="J2107" s="66"/>
      <c r="K2107" s="66"/>
      <c r="L2107" s="66"/>
      <c r="M2107" s="66"/>
      <c r="N2107" s="66"/>
      <c r="O2107" s="66"/>
      <c r="P2107" s="66"/>
      <c r="Q2107" s="66"/>
      <c r="R2107" s="66"/>
      <c r="S2107" s="66"/>
      <c r="T2107" s="66"/>
      <c r="U2107" s="66"/>
      <c r="V2107" s="66"/>
      <c r="W2107" s="66"/>
      <c r="X2107" s="66"/>
      <c r="Y2107" s="66"/>
      <c r="Z2107" s="66"/>
    </row>
    <row r="2108">
      <c r="A2108" s="66"/>
      <c r="B2108" s="66"/>
      <c r="C2108" s="66"/>
      <c r="D2108" s="66"/>
      <c r="E2108" s="66"/>
      <c r="F2108" s="66"/>
      <c r="G2108" s="66"/>
      <c r="H2108" s="66"/>
      <c r="I2108" s="66"/>
      <c r="J2108" s="66"/>
      <c r="K2108" s="66"/>
      <c r="L2108" s="66"/>
      <c r="M2108" s="66"/>
      <c r="N2108" s="66"/>
      <c r="O2108" s="66"/>
      <c r="P2108" s="66"/>
      <c r="Q2108" s="66"/>
      <c r="R2108" s="66"/>
      <c r="S2108" s="66"/>
      <c r="T2108" s="66"/>
      <c r="U2108" s="66"/>
      <c r="V2108" s="66"/>
      <c r="W2108" s="66"/>
      <c r="X2108" s="66"/>
      <c r="Y2108" s="66"/>
      <c r="Z2108" s="66"/>
    </row>
    <row r="2109">
      <c r="A2109" s="66"/>
      <c r="B2109" s="66"/>
      <c r="C2109" s="66"/>
      <c r="D2109" s="66"/>
      <c r="E2109" s="66"/>
      <c r="F2109" s="66"/>
      <c r="G2109" s="66"/>
      <c r="H2109" s="66"/>
      <c r="I2109" s="66"/>
      <c r="J2109" s="66"/>
      <c r="K2109" s="66"/>
      <c r="L2109" s="66"/>
      <c r="M2109" s="66"/>
      <c r="N2109" s="66"/>
      <c r="O2109" s="66"/>
      <c r="P2109" s="66"/>
      <c r="Q2109" s="66"/>
      <c r="R2109" s="66"/>
      <c r="S2109" s="66"/>
      <c r="T2109" s="66"/>
      <c r="U2109" s="66"/>
      <c r="V2109" s="66"/>
      <c r="W2109" s="66"/>
      <c r="X2109" s="66"/>
      <c r="Y2109" s="66"/>
      <c r="Z2109" s="66"/>
    </row>
    <row r="2110">
      <c r="A2110" s="66"/>
      <c r="B2110" s="66"/>
      <c r="C2110" s="66"/>
      <c r="D2110" s="66"/>
      <c r="E2110" s="66"/>
      <c r="F2110" s="66"/>
      <c r="G2110" s="66"/>
      <c r="H2110" s="66"/>
      <c r="I2110" s="66"/>
      <c r="J2110" s="66"/>
      <c r="K2110" s="66"/>
      <c r="L2110" s="66"/>
      <c r="M2110" s="66"/>
      <c r="N2110" s="66"/>
      <c r="O2110" s="66"/>
      <c r="P2110" s="66"/>
      <c r="Q2110" s="66"/>
      <c r="R2110" s="66"/>
      <c r="S2110" s="66"/>
      <c r="T2110" s="66"/>
      <c r="U2110" s="66"/>
      <c r="V2110" s="66"/>
      <c r="W2110" s="66"/>
      <c r="X2110" s="66"/>
      <c r="Y2110" s="66"/>
      <c r="Z2110" s="66"/>
    </row>
    <row r="2111">
      <c r="A2111" s="66"/>
      <c r="B2111" s="66"/>
      <c r="C2111" s="66"/>
      <c r="D2111" s="66"/>
      <c r="E2111" s="66"/>
      <c r="F2111" s="66"/>
      <c r="G2111" s="66"/>
      <c r="H2111" s="66"/>
      <c r="I2111" s="66"/>
      <c r="J2111" s="66"/>
      <c r="K2111" s="66"/>
      <c r="L2111" s="66"/>
      <c r="M2111" s="66"/>
      <c r="N2111" s="66"/>
      <c r="O2111" s="66"/>
      <c r="P2111" s="66"/>
      <c r="Q2111" s="66"/>
      <c r="R2111" s="66"/>
      <c r="S2111" s="66"/>
      <c r="T2111" s="66"/>
      <c r="U2111" s="66"/>
      <c r="V2111" s="66"/>
      <c r="W2111" s="66"/>
      <c r="X2111" s="66"/>
      <c r="Y2111" s="66"/>
      <c r="Z2111" s="66"/>
    </row>
    <row r="2112">
      <c r="A2112" s="66"/>
      <c r="B2112" s="66"/>
      <c r="C2112" s="66"/>
      <c r="D2112" s="66"/>
      <c r="E2112" s="66"/>
      <c r="F2112" s="66"/>
      <c r="G2112" s="66"/>
      <c r="H2112" s="66"/>
      <c r="I2112" s="66"/>
      <c r="J2112" s="66"/>
      <c r="K2112" s="66"/>
      <c r="L2112" s="66"/>
      <c r="M2112" s="66"/>
      <c r="N2112" s="66"/>
      <c r="O2112" s="66"/>
      <c r="P2112" s="66"/>
      <c r="Q2112" s="66"/>
      <c r="R2112" s="66"/>
      <c r="S2112" s="66"/>
      <c r="T2112" s="66"/>
      <c r="U2112" s="66"/>
      <c r="V2112" s="66"/>
      <c r="W2112" s="66"/>
      <c r="X2112" s="66"/>
      <c r="Y2112" s="66"/>
      <c r="Z2112" s="66"/>
    </row>
    <row r="2113">
      <c r="A2113" s="66"/>
      <c r="B2113" s="66"/>
      <c r="C2113" s="66"/>
      <c r="D2113" s="66"/>
      <c r="E2113" s="66"/>
      <c r="F2113" s="66"/>
      <c r="G2113" s="66"/>
      <c r="H2113" s="66"/>
      <c r="I2113" s="66"/>
      <c r="J2113" s="66"/>
      <c r="K2113" s="66"/>
      <c r="L2113" s="66"/>
      <c r="M2113" s="66"/>
      <c r="N2113" s="66"/>
      <c r="O2113" s="66"/>
      <c r="P2113" s="66"/>
      <c r="Q2113" s="66"/>
      <c r="R2113" s="66"/>
      <c r="S2113" s="66"/>
      <c r="T2113" s="66"/>
      <c r="U2113" s="66"/>
      <c r="V2113" s="66"/>
      <c r="W2113" s="66"/>
      <c r="X2113" s="66"/>
      <c r="Y2113" s="66"/>
      <c r="Z2113" s="66"/>
    </row>
    <row r="2114">
      <c r="A2114" s="66"/>
      <c r="B2114" s="66"/>
      <c r="C2114" s="66"/>
      <c r="D2114" s="66"/>
      <c r="E2114" s="66"/>
      <c r="F2114" s="66"/>
      <c r="G2114" s="66"/>
      <c r="H2114" s="66"/>
      <c r="I2114" s="66"/>
      <c r="J2114" s="66"/>
      <c r="K2114" s="66"/>
      <c r="L2114" s="66"/>
      <c r="M2114" s="66"/>
      <c r="N2114" s="66"/>
      <c r="O2114" s="66"/>
      <c r="P2114" s="66"/>
      <c r="Q2114" s="66"/>
      <c r="R2114" s="66"/>
      <c r="S2114" s="66"/>
      <c r="T2114" s="66"/>
      <c r="U2114" s="66"/>
      <c r="V2114" s="66"/>
      <c r="W2114" s="66"/>
      <c r="X2114" s="66"/>
      <c r="Y2114" s="66"/>
      <c r="Z2114" s="66"/>
    </row>
    <row r="2115">
      <c r="A2115" s="66"/>
      <c r="B2115" s="66"/>
      <c r="C2115" s="66"/>
      <c r="D2115" s="66"/>
      <c r="E2115" s="66"/>
      <c r="F2115" s="66"/>
      <c r="G2115" s="66"/>
      <c r="H2115" s="66"/>
      <c r="I2115" s="66"/>
      <c r="J2115" s="66"/>
      <c r="K2115" s="66"/>
      <c r="L2115" s="66"/>
      <c r="M2115" s="66"/>
      <c r="N2115" s="66"/>
      <c r="O2115" s="66"/>
      <c r="P2115" s="66"/>
      <c r="Q2115" s="66"/>
      <c r="R2115" s="66"/>
      <c r="S2115" s="66"/>
      <c r="T2115" s="66"/>
      <c r="U2115" s="66"/>
      <c r="V2115" s="66"/>
      <c r="W2115" s="66"/>
      <c r="X2115" s="66"/>
      <c r="Y2115" s="66"/>
      <c r="Z2115" s="66"/>
    </row>
    <row r="2116">
      <c r="A2116" s="66"/>
      <c r="B2116" s="66"/>
      <c r="C2116" s="66"/>
      <c r="D2116" s="66"/>
      <c r="E2116" s="66"/>
      <c r="F2116" s="66"/>
      <c r="G2116" s="66"/>
      <c r="H2116" s="66"/>
      <c r="I2116" s="66"/>
      <c r="J2116" s="66"/>
      <c r="K2116" s="66"/>
      <c r="L2116" s="66"/>
      <c r="M2116" s="66"/>
      <c r="N2116" s="66"/>
      <c r="O2116" s="66"/>
      <c r="P2116" s="66"/>
      <c r="Q2116" s="66"/>
      <c r="R2116" s="66"/>
      <c r="S2116" s="66"/>
      <c r="T2116" s="66"/>
      <c r="U2116" s="66"/>
      <c r="V2116" s="66"/>
      <c r="W2116" s="66"/>
      <c r="X2116" s="66"/>
      <c r="Y2116" s="66"/>
      <c r="Z2116" s="66"/>
    </row>
    <row r="2117">
      <c r="A2117" s="66"/>
      <c r="B2117" s="66"/>
      <c r="C2117" s="66"/>
      <c r="D2117" s="66"/>
      <c r="E2117" s="66"/>
      <c r="F2117" s="66"/>
      <c r="G2117" s="66"/>
      <c r="H2117" s="66"/>
      <c r="I2117" s="66"/>
      <c r="J2117" s="66"/>
      <c r="K2117" s="66"/>
      <c r="L2117" s="66"/>
      <c r="M2117" s="66"/>
      <c r="N2117" s="66"/>
      <c r="O2117" s="66"/>
      <c r="P2117" s="66"/>
      <c r="Q2117" s="66"/>
      <c r="R2117" s="66"/>
      <c r="S2117" s="66"/>
      <c r="T2117" s="66"/>
      <c r="U2117" s="66"/>
      <c r="V2117" s="66"/>
      <c r="W2117" s="66"/>
      <c r="X2117" s="66"/>
      <c r="Y2117" s="66"/>
      <c r="Z2117" s="66"/>
    </row>
    <row r="2118">
      <c r="A2118" s="66"/>
      <c r="B2118" s="66"/>
      <c r="C2118" s="66"/>
      <c r="D2118" s="66"/>
      <c r="E2118" s="66"/>
      <c r="F2118" s="66"/>
      <c r="G2118" s="66"/>
      <c r="H2118" s="66"/>
      <c r="I2118" s="66"/>
      <c r="J2118" s="66"/>
      <c r="K2118" s="66"/>
      <c r="L2118" s="66"/>
      <c r="M2118" s="66"/>
      <c r="N2118" s="66"/>
      <c r="O2118" s="66"/>
      <c r="P2118" s="66"/>
      <c r="Q2118" s="66"/>
      <c r="R2118" s="66"/>
      <c r="S2118" s="66"/>
      <c r="T2118" s="66"/>
      <c r="U2118" s="66"/>
      <c r="V2118" s="66"/>
      <c r="W2118" s="66"/>
      <c r="X2118" s="66"/>
      <c r="Y2118" s="66"/>
      <c r="Z2118" s="66"/>
    </row>
    <row r="2119">
      <c r="A2119" s="66"/>
      <c r="B2119" s="66"/>
      <c r="C2119" s="66"/>
      <c r="D2119" s="66"/>
      <c r="E2119" s="66"/>
      <c r="F2119" s="66"/>
      <c r="G2119" s="66"/>
      <c r="H2119" s="66"/>
      <c r="I2119" s="66"/>
      <c r="J2119" s="66"/>
      <c r="K2119" s="66"/>
      <c r="L2119" s="66"/>
      <c r="M2119" s="66"/>
      <c r="N2119" s="66"/>
      <c r="O2119" s="66"/>
      <c r="P2119" s="66"/>
      <c r="Q2119" s="66"/>
      <c r="R2119" s="66"/>
      <c r="S2119" s="66"/>
      <c r="T2119" s="66"/>
      <c r="U2119" s="66"/>
      <c r="V2119" s="66"/>
      <c r="W2119" s="66"/>
      <c r="X2119" s="66"/>
      <c r="Y2119" s="66"/>
      <c r="Z2119" s="66"/>
    </row>
    <row r="2120">
      <c r="A2120" s="66"/>
      <c r="B2120" s="66"/>
      <c r="C2120" s="66"/>
      <c r="D2120" s="66"/>
      <c r="E2120" s="66"/>
      <c r="F2120" s="66"/>
      <c r="G2120" s="66"/>
      <c r="H2120" s="66"/>
      <c r="I2120" s="66"/>
      <c r="J2120" s="66"/>
      <c r="K2120" s="66"/>
      <c r="L2120" s="66"/>
      <c r="M2120" s="66"/>
      <c r="N2120" s="66"/>
      <c r="O2120" s="66"/>
      <c r="P2120" s="66"/>
      <c r="Q2120" s="66"/>
      <c r="R2120" s="66"/>
      <c r="S2120" s="66"/>
      <c r="T2120" s="66"/>
      <c r="U2120" s="66"/>
      <c r="V2120" s="66"/>
      <c r="W2120" s="66"/>
      <c r="X2120" s="66"/>
      <c r="Y2120" s="66"/>
      <c r="Z2120" s="66"/>
    </row>
    <row r="2121">
      <c r="A2121" s="66"/>
      <c r="B2121" s="66"/>
      <c r="C2121" s="66"/>
      <c r="D2121" s="66"/>
      <c r="E2121" s="66"/>
      <c r="F2121" s="66"/>
      <c r="G2121" s="66"/>
      <c r="H2121" s="66"/>
      <c r="I2121" s="66"/>
      <c r="J2121" s="66"/>
      <c r="K2121" s="66"/>
      <c r="L2121" s="66"/>
      <c r="M2121" s="66"/>
      <c r="N2121" s="66"/>
      <c r="O2121" s="66"/>
      <c r="P2121" s="66"/>
      <c r="Q2121" s="66"/>
      <c r="R2121" s="66"/>
      <c r="S2121" s="66"/>
      <c r="T2121" s="66"/>
      <c r="U2121" s="66"/>
      <c r="V2121" s="66"/>
      <c r="W2121" s="66"/>
      <c r="X2121" s="66"/>
      <c r="Y2121" s="66"/>
      <c r="Z2121" s="66"/>
    </row>
    <row r="2122">
      <c r="A2122" s="66"/>
      <c r="B2122" s="66"/>
      <c r="C2122" s="66"/>
      <c r="D2122" s="66"/>
      <c r="E2122" s="66"/>
      <c r="F2122" s="66"/>
      <c r="G2122" s="66"/>
      <c r="H2122" s="66"/>
      <c r="I2122" s="66"/>
      <c r="J2122" s="66"/>
      <c r="K2122" s="66"/>
      <c r="L2122" s="66"/>
      <c r="M2122" s="66"/>
      <c r="N2122" s="66"/>
      <c r="O2122" s="66"/>
      <c r="P2122" s="66"/>
      <c r="Q2122" s="66"/>
      <c r="R2122" s="66"/>
      <c r="S2122" s="66"/>
      <c r="T2122" s="66"/>
      <c r="U2122" s="66"/>
      <c r="V2122" s="66"/>
      <c r="W2122" s="66"/>
      <c r="X2122" s="66"/>
      <c r="Y2122" s="66"/>
      <c r="Z2122" s="66"/>
    </row>
    <row r="2123">
      <c r="A2123" s="66"/>
      <c r="B2123" s="66"/>
      <c r="C2123" s="66"/>
      <c r="D2123" s="66"/>
      <c r="E2123" s="66"/>
      <c r="F2123" s="66"/>
      <c r="G2123" s="66"/>
      <c r="H2123" s="66"/>
      <c r="I2123" s="66"/>
      <c r="J2123" s="66"/>
      <c r="K2123" s="66"/>
      <c r="L2123" s="66"/>
      <c r="M2123" s="66"/>
      <c r="N2123" s="66"/>
      <c r="O2123" s="66"/>
      <c r="P2123" s="66"/>
      <c r="Q2123" s="66"/>
      <c r="R2123" s="66"/>
      <c r="S2123" s="66"/>
      <c r="T2123" s="66"/>
      <c r="U2123" s="66"/>
      <c r="V2123" s="66"/>
      <c r="W2123" s="66"/>
      <c r="X2123" s="66"/>
      <c r="Y2123" s="66"/>
      <c r="Z2123" s="66"/>
    </row>
    <row r="2124">
      <c r="A2124" s="66"/>
      <c r="B2124" s="66"/>
      <c r="C2124" s="66"/>
      <c r="D2124" s="66"/>
      <c r="E2124" s="66"/>
      <c r="F2124" s="66"/>
      <c r="G2124" s="66"/>
      <c r="H2124" s="66"/>
      <c r="I2124" s="66"/>
      <c r="J2124" s="66"/>
      <c r="K2124" s="66"/>
      <c r="L2124" s="66"/>
      <c r="M2124" s="66"/>
      <c r="N2124" s="66"/>
      <c r="O2124" s="66"/>
      <c r="P2124" s="66"/>
      <c r="Q2124" s="66"/>
      <c r="R2124" s="66"/>
      <c r="S2124" s="66"/>
      <c r="T2124" s="66"/>
      <c r="U2124" s="66"/>
      <c r="V2124" s="66"/>
      <c r="W2124" s="66"/>
      <c r="X2124" s="66"/>
      <c r="Y2124" s="66"/>
      <c r="Z2124" s="66"/>
    </row>
    <row r="2125">
      <c r="A2125" s="66"/>
      <c r="B2125" s="66"/>
      <c r="C2125" s="66"/>
      <c r="D2125" s="66"/>
      <c r="E2125" s="66"/>
      <c r="F2125" s="66"/>
      <c r="G2125" s="66"/>
      <c r="H2125" s="66"/>
      <c r="I2125" s="66"/>
      <c r="J2125" s="66"/>
      <c r="K2125" s="66"/>
      <c r="L2125" s="66"/>
      <c r="M2125" s="66"/>
      <c r="N2125" s="66"/>
      <c r="O2125" s="66"/>
      <c r="P2125" s="66"/>
      <c r="Q2125" s="66"/>
      <c r="R2125" s="66"/>
      <c r="S2125" s="66"/>
      <c r="T2125" s="66"/>
      <c r="U2125" s="66"/>
      <c r="V2125" s="66"/>
      <c r="W2125" s="66"/>
      <c r="X2125" s="66"/>
      <c r="Y2125" s="66"/>
      <c r="Z2125" s="66"/>
    </row>
    <row r="2126">
      <c r="A2126" s="66"/>
      <c r="B2126" s="66"/>
      <c r="C2126" s="66"/>
      <c r="D2126" s="66"/>
      <c r="E2126" s="66"/>
      <c r="F2126" s="66"/>
      <c r="G2126" s="66"/>
      <c r="H2126" s="66"/>
      <c r="I2126" s="66"/>
      <c r="J2126" s="66"/>
      <c r="K2126" s="66"/>
      <c r="L2126" s="66"/>
      <c r="M2126" s="66"/>
      <c r="N2126" s="66"/>
      <c r="O2126" s="66"/>
      <c r="P2126" s="66"/>
      <c r="Q2126" s="66"/>
      <c r="R2126" s="66"/>
      <c r="S2126" s="66"/>
      <c r="T2126" s="66"/>
      <c r="U2126" s="66"/>
      <c r="V2126" s="66"/>
      <c r="W2126" s="66"/>
      <c r="X2126" s="66"/>
      <c r="Y2126" s="66"/>
      <c r="Z2126" s="66"/>
    </row>
    <row r="2127">
      <c r="A2127" s="66"/>
      <c r="B2127" s="66"/>
      <c r="C2127" s="66"/>
      <c r="D2127" s="66"/>
      <c r="E2127" s="66"/>
      <c r="F2127" s="66"/>
      <c r="G2127" s="66"/>
      <c r="H2127" s="66"/>
      <c r="I2127" s="66"/>
      <c r="J2127" s="66"/>
      <c r="K2127" s="66"/>
      <c r="L2127" s="66"/>
      <c r="M2127" s="66"/>
      <c r="N2127" s="66"/>
      <c r="O2127" s="66"/>
      <c r="P2127" s="66"/>
      <c r="Q2127" s="66"/>
      <c r="R2127" s="66"/>
      <c r="S2127" s="66"/>
      <c r="T2127" s="66"/>
      <c r="U2127" s="66"/>
      <c r="V2127" s="66"/>
      <c r="W2127" s="66"/>
      <c r="X2127" s="66"/>
      <c r="Y2127" s="66"/>
      <c r="Z2127" s="66"/>
    </row>
    <row r="2128">
      <c r="A2128" s="66"/>
      <c r="B2128" s="66"/>
      <c r="C2128" s="66"/>
      <c r="D2128" s="66"/>
      <c r="E2128" s="66"/>
      <c r="F2128" s="66"/>
      <c r="G2128" s="66"/>
      <c r="H2128" s="66"/>
      <c r="I2128" s="66"/>
      <c r="J2128" s="66"/>
      <c r="K2128" s="66"/>
      <c r="L2128" s="66"/>
      <c r="M2128" s="66"/>
      <c r="N2128" s="66"/>
      <c r="O2128" s="66"/>
      <c r="P2128" s="66"/>
      <c r="Q2128" s="66"/>
      <c r="R2128" s="66"/>
      <c r="S2128" s="66"/>
      <c r="T2128" s="66"/>
      <c r="U2128" s="66"/>
      <c r="V2128" s="66"/>
      <c r="W2128" s="66"/>
      <c r="X2128" s="66"/>
      <c r="Y2128" s="66"/>
      <c r="Z2128" s="66"/>
    </row>
    <row r="2129">
      <c r="A2129" s="66"/>
      <c r="B2129" s="66"/>
      <c r="C2129" s="66"/>
      <c r="D2129" s="66"/>
      <c r="E2129" s="66"/>
      <c r="F2129" s="66"/>
      <c r="G2129" s="66"/>
      <c r="H2129" s="66"/>
      <c r="I2129" s="66"/>
      <c r="J2129" s="66"/>
      <c r="K2129" s="66"/>
      <c r="L2129" s="66"/>
      <c r="M2129" s="66"/>
      <c r="N2129" s="66"/>
      <c r="O2129" s="66"/>
      <c r="P2129" s="66"/>
      <c r="Q2129" s="66"/>
      <c r="R2129" s="66"/>
      <c r="S2129" s="66"/>
      <c r="T2129" s="66"/>
      <c r="U2129" s="66"/>
      <c r="V2129" s="66"/>
      <c r="W2129" s="66"/>
      <c r="X2129" s="66"/>
      <c r="Y2129" s="66"/>
      <c r="Z2129" s="66"/>
    </row>
    <row r="2130">
      <c r="A2130" s="66"/>
      <c r="B2130" s="66"/>
      <c r="C2130" s="66"/>
      <c r="D2130" s="66"/>
      <c r="E2130" s="66"/>
      <c r="F2130" s="66"/>
      <c r="G2130" s="66"/>
      <c r="H2130" s="66"/>
      <c r="I2130" s="66"/>
      <c r="J2130" s="66"/>
      <c r="K2130" s="66"/>
      <c r="L2130" s="66"/>
      <c r="M2130" s="66"/>
      <c r="N2130" s="66"/>
      <c r="O2130" s="66"/>
      <c r="P2130" s="66"/>
      <c r="Q2130" s="66"/>
      <c r="R2130" s="66"/>
      <c r="S2130" s="66"/>
      <c r="T2130" s="66"/>
      <c r="U2130" s="66"/>
      <c r="V2130" s="66"/>
      <c r="W2130" s="66"/>
      <c r="X2130" s="66"/>
      <c r="Y2130" s="66"/>
      <c r="Z2130" s="66"/>
    </row>
    <row r="2131">
      <c r="A2131" s="66"/>
      <c r="B2131" s="66"/>
      <c r="C2131" s="66"/>
      <c r="D2131" s="66"/>
      <c r="E2131" s="66"/>
      <c r="F2131" s="66"/>
      <c r="G2131" s="66"/>
      <c r="H2131" s="66"/>
      <c r="I2131" s="66"/>
      <c r="J2131" s="66"/>
      <c r="K2131" s="66"/>
      <c r="L2131" s="66"/>
      <c r="M2131" s="66"/>
      <c r="N2131" s="66"/>
      <c r="O2131" s="66"/>
      <c r="P2131" s="66"/>
      <c r="Q2131" s="66"/>
      <c r="R2131" s="66"/>
      <c r="S2131" s="66"/>
      <c r="T2131" s="66"/>
      <c r="U2131" s="66"/>
      <c r="V2131" s="66"/>
      <c r="W2131" s="66"/>
      <c r="X2131" s="66"/>
      <c r="Y2131" s="66"/>
      <c r="Z2131" s="66"/>
    </row>
    <row r="2132">
      <c r="A2132" s="66"/>
      <c r="B2132" s="66"/>
      <c r="C2132" s="66"/>
      <c r="D2132" s="66"/>
      <c r="E2132" s="66"/>
      <c r="F2132" s="66"/>
      <c r="G2132" s="66"/>
      <c r="H2132" s="66"/>
      <c r="I2132" s="66"/>
      <c r="J2132" s="66"/>
      <c r="K2132" s="66"/>
      <c r="L2132" s="66"/>
      <c r="M2132" s="66"/>
      <c r="N2132" s="66"/>
      <c r="O2132" s="66"/>
      <c r="P2132" s="66"/>
      <c r="Q2132" s="66"/>
      <c r="R2132" s="66"/>
      <c r="S2132" s="66"/>
      <c r="T2132" s="66"/>
      <c r="U2132" s="66"/>
      <c r="V2132" s="66"/>
      <c r="W2132" s="66"/>
      <c r="X2132" s="66"/>
      <c r="Y2132" s="66"/>
      <c r="Z2132" s="66"/>
    </row>
    <row r="2133">
      <c r="A2133" s="66"/>
      <c r="B2133" s="66"/>
      <c r="C2133" s="66"/>
      <c r="D2133" s="66"/>
      <c r="E2133" s="66"/>
      <c r="F2133" s="66"/>
      <c r="G2133" s="66"/>
      <c r="H2133" s="66"/>
      <c r="I2133" s="66"/>
      <c r="J2133" s="66"/>
      <c r="K2133" s="66"/>
      <c r="L2133" s="66"/>
      <c r="M2133" s="66"/>
      <c r="N2133" s="66"/>
      <c r="O2133" s="66"/>
      <c r="P2133" s="66"/>
      <c r="Q2133" s="66"/>
      <c r="R2133" s="66"/>
      <c r="S2133" s="66"/>
      <c r="T2133" s="66"/>
      <c r="U2133" s="66"/>
      <c r="V2133" s="66"/>
      <c r="W2133" s="66"/>
      <c r="X2133" s="66"/>
      <c r="Y2133" s="66"/>
      <c r="Z2133" s="66"/>
    </row>
    <row r="2134">
      <c r="A2134" s="66"/>
      <c r="B2134" s="66"/>
      <c r="C2134" s="66"/>
      <c r="D2134" s="66"/>
      <c r="E2134" s="66"/>
      <c r="F2134" s="66"/>
      <c r="G2134" s="66"/>
      <c r="H2134" s="66"/>
      <c r="I2134" s="66"/>
      <c r="J2134" s="66"/>
      <c r="K2134" s="66"/>
      <c r="L2134" s="66"/>
      <c r="M2134" s="66"/>
      <c r="N2134" s="66"/>
      <c r="O2134" s="66"/>
      <c r="P2134" s="66"/>
      <c r="Q2134" s="66"/>
      <c r="R2134" s="66"/>
      <c r="S2134" s="66"/>
      <c r="T2134" s="66"/>
      <c r="U2134" s="66"/>
      <c r="V2134" s="66"/>
      <c r="W2134" s="66"/>
      <c r="X2134" s="66"/>
      <c r="Y2134" s="66"/>
      <c r="Z2134" s="66"/>
    </row>
    <row r="2135">
      <c r="A2135" s="66"/>
      <c r="B2135" s="66"/>
      <c r="C2135" s="66"/>
      <c r="D2135" s="66"/>
      <c r="E2135" s="66"/>
      <c r="F2135" s="66"/>
      <c r="G2135" s="66"/>
      <c r="H2135" s="66"/>
      <c r="I2135" s="66"/>
      <c r="J2135" s="66"/>
      <c r="K2135" s="66"/>
      <c r="L2135" s="66"/>
      <c r="M2135" s="66"/>
      <c r="N2135" s="66"/>
      <c r="O2135" s="66"/>
      <c r="P2135" s="66"/>
      <c r="Q2135" s="66"/>
      <c r="R2135" s="66"/>
      <c r="S2135" s="66"/>
      <c r="T2135" s="66"/>
      <c r="U2135" s="66"/>
      <c r="V2135" s="66"/>
      <c r="W2135" s="66"/>
      <c r="X2135" s="66"/>
      <c r="Y2135" s="66"/>
      <c r="Z2135" s="66"/>
    </row>
    <row r="2136">
      <c r="A2136" s="66"/>
      <c r="B2136" s="66"/>
      <c r="C2136" s="66"/>
      <c r="D2136" s="66"/>
      <c r="E2136" s="66"/>
      <c r="F2136" s="66"/>
      <c r="G2136" s="66"/>
      <c r="H2136" s="66"/>
      <c r="I2136" s="66"/>
      <c r="J2136" s="66"/>
      <c r="K2136" s="66"/>
      <c r="L2136" s="66"/>
      <c r="M2136" s="66"/>
      <c r="N2136" s="66"/>
      <c r="O2136" s="66"/>
      <c r="P2136" s="66"/>
      <c r="Q2136" s="66"/>
      <c r="R2136" s="66"/>
      <c r="S2136" s="66"/>
      <c r="T2136" s="66"/>
      <c r="U2136" s="66"/>
      <c r="V2136" s="66"/>
      <c r="W2136" s="66"/>
      <c r="X2136" s="66"/>
      <c r="Y2136" s="66"/>
      <c r="Z2136" s="66"/>
    </row>
    <row r="2137">
      <c r="A2137" s="66"/>
      <c r="B2137" s="66"/>
      <c r="C2137" s="66"/>
      <c r="D2137" s="66"/>
      <c r="E2137" s="66"/>
      <c r="F2137" s="66"/>
      <c r="G2137" s="66"/>
      <c r="H2137" s="66"/>
      <c r="I2137" s="66"/>
      <c r="J2137" s="66"/>
      <c r="K2137" s="66"/>
      <c r="L2137" s="66"/>
      <c r="M2137" s="66"/>
      <c r="N2137" s="66"/>
      <c r="O2137" s="66"/>
      <c r="P2137" s="66"/>
      <c r="Q2137" s="66"/>
      <c r="R2137" s="66"/>
      <c r="S2137" s="66"/>
      <c r="T2137" s="66"/>
      <c r="U2137" s="66"/>
      <c r="V2137" s="66"/>
      <c r="W2137" s="66"/>
      <c r="X2137" s="66"/>
      <c r="Y2137" s="66"/>
      <c r="Z2137" s="66"/>
    </row>
    <row r="2138">
      <c r="A2138" s="66"/>
      <c r="B2138" s="66"/>
      <c r="C2138" s="66"/>
      <c r="D2138" s="66"/>
      <c r="E2138" s="66"/>
      <c r="F2138" s="66"/>
      <c r="G2138" s="66"/>
      <c r="H2138" s="66"/>
      <c r="I2138" s="66"/>
      <c r="J2138" s="66"/>
      <c r="K2138" s="66"/>
      <c r="L2138" s="66"/>
      <c r="M2138" s="66"/>
      <c r="N2138" s="66"/>
      <c r="O2138" s="66"/>
      <c r="P2138" s="66"/>
      <c r="Q2138" s="66"/>
      <c r="R2138" s="66"/>
      <c r="S2138" s="66"/>
      <c r="T2138" s="66"/>
      <c r="U2138" s="66"/>
      <c r="V2138" s="66"/>
      <c r="W2138" s="66"/>
      <c r="X2138" s="66"/>
      <c r="Y2138" s="66"/>
      <c r="Z2138" s="66"/>
    </row>
    <row r="2139">
      <c r="A2139" s="66"/>
      <c r="B2139" s="66"/>
      <c r="C2139" s="66"/>
      <c r="D2139" s="66"/>
      <c r="E2139" s="66"/>
      <c r="F2139" s="66"/>
      <c r="G2139" s="66"/>
      <c r="H2139" s="66"/>
      <c r="I2139" s="66"/>
      <c r="J2139" s="66"/>
      <c r="K2139" s="66"/>
      <c r="L2139" s="66"/>
      <c r="M2139" s="66"/>
      <c r="N2139" s="66"/>
      <c r="O2139" s="66"/>
      <c r="P2139" s="66"/>
      <c r="Q2139" s="66"/>
      <c r="R2139" s="66"/>
      <c r="S2139" s="66"/>
      <c r="T2139" s="66"/>
      <c r="U2139" s="66"/>
      <c r="V2139" s="66"/>
      <c r="W2139" s="66"/>
      <c r="X2139" s="66"/>
      <c r="Y2139" s="66"/>
      <c r="Z2139" s="66"/>
    </row>
    <row r="2140">
      <c r="A2140" s="66"/>
      <c r="B2140" s="66"/>
      <c r="C2140" s="66"/>
      <c r="D2140" s="66"/>
      <c r="E2140" s="66"/>
      <c r="F2140" s="66"/>
      <c r="G2140" s="66"/>
      <c r="H2140" s="66"/>
      <c r="I2140" s="66"/>
      <c r="J2140" s="66"/>
      <c r="K2140" s="66"/>
      <c r="L2140" s="66"/>
      <c r="M2140" s="66"/>
      <c r="N2140" s="66"/>
      <c r="O2140" s="66"/>
      <c r="P2140" s="66"/>
      <c r="Q2140" s="66"/>
      <c r="R2140" s="66"/>
      <c r="S2140" s="66"/>
      <c r="T2140" s="66"/>
      <c r="U2140" s="66"/>
      <c r="V2140" s="66"/>
      <c r="W2140" s="66"/>
      <c r="X2140" s="66"/>
      <c r="Y2140" s="66"/>
      <c r="Z2140" s="66"/>
    </row>
    <row r="2141">
      <c r="A2141" s="66"/>
      <c r="B2141" s="66"/>
      <c r="C2141" s="66"/>
      <c r="D2141" s="66"/>
      <c r="E2141" s="66"/>
      <c r="F2141" s="66"/>
      <c r="G2141" s="66"/>
      <c r="H2141" s="66"/>
      <c r="I2141" s="66"/>
      <c r="J2141" s="66"/>
      <c r="K2141" s="66"/>
      <c r="L2141" s="66"/>
      <c r="M2141" s="66"/>
      <c r="N2141" s="66"/>
      <c r="O2141" s="66"/>
      <c r="P2141" s="66"/>
      <c r="Q2141" s="66"/>
      <c r="R2141" s="66"/>
      <c r="S2141" s="66"/>
      <c r="T2141" s="66"/>
      <c r="U2141" s="66"/>
      <c r="V2141" s="66"/>
      <c r="W2141" s="66"/>
      <c r="X2141" s="66"/>
      <c r="Y2141" s="66"/>
      <c r="Z2141" s="66"/>
    </row>
    <row r="2142">
      <c r="A2142" s="66"/>
      <c r="B2142" s="66"/>
      <c r="C2142" s="66"/>
      <c r="D2142" s="66"/>
      <c r="E2142" s="66"/>
      <c r="F2142" s="66"/>
      <c r="G2142" s="66"/>
      <c r="H2142" s="66"/>
      <c r="I2142" s="66"/>
      <c r="J2142" s="66"/>
      <c r="K2142" s="66"/>
      <c r="L2142" s="66"/>
      <c r="M2142" s="66"/>
      <c r="N2142" s="66"/>
      <c r="O2142" s="66"/>
      <c r="P2142" s="66"/>
      <c r="Q2142" s="66"/>
      <c r="R2142" s="66"/>
      <c r="S2142" s="66"/>
      <c r="T2142" s="66"/>
      <c r="U2142" s="66"/>
      <c r="V2142" s="66"/>
      <c r="W2142" s="66"/>
      <c r="X2142" s="66"/>
      <c r="Y2142" s="66"/>
      <c r="Z2142" s="66"/>
    </row>
    <row r="2143">
      <c r="A2143" s="66"/>
      <c r="B2143" s="66"/>
      <c r="C2143" s="66"/>
      <c r="D2143" s="66"/>
      <c r="E2143" s="66"/>
      <c r="F2143" s="66"/>
      <c r="G2143" s="66"/>
      <c r="H2143" s="66"/>
      <c r="I2143" s="66"/>
      <c r="J2143" s="66"/>
      <c r="K2143" s="66"/>
      <c r="L2143" s="66"/>
      <c r="M2143" s="66"/>
      <c r="N2143" s="66"/>
      <c r="O2143" s="66"/>
      <c r="P2143" s="66"/>
      <c r="Q2143" s="66"/>
      <c r="R2143" s="66"/>
      <c r="S2143" s="66"/>
      <c r="T2143" s="66"/>
      <c r="U2143" s="66"/>
      <c r="V2143" s="66"/>
      <c r="W2143" s="66"/>
      <c r="X2143" s="66"/>
      <c r="Y2143" s="66"/>
      <c r="Z2143" s="66"/>
    </row>
    <row r="2144">
      <c r="A2144" s="66"/>
      <c r="B2144" s="66"/>
      <c r="C2144" s="66"/>
      <c r="D2144" s="66"/>
      <c r="E2144" s="66"/>
      <c r="F2144" s="66"/>
      <c r="G2144" s="66"/>
      <c r="H2144" s="66"/>
      <c r="I2144" s="66"/>
      <c r="J2144" s="66"/>
      <c r="K2144" s="66"/>
      <c r="L2144" s="66"/>
      <c r="M2144" s="66"/>
      <c r="N2144" s="66"/>
      <c r="O2144" s="66"/>
      <c r="P2144" s="66"/>
      <c r="Q2144" s="66"/>
      <c r="R2144" s="66"/>
      <c r="S2144" s="66"/>
      <c r="T2144" s="66"/>
      <c r="U2144" s="66"/>
      <c r="V2144" s="66"/>
      <c r="W2144" s="66"/>
      <c r="X2144" s="66"/>
      <c r="Y2144" s="66"/>
      <c r="Z2144" s="66"/>
    </row>
    <row r="2145">
      <c r="A2145" s="66"/>
      <c r="B2145" s="66"/>
      <c r="C2145" s="66"/>
      <c r="D2145" s="66"/>
      <c r="E2145" s="66"/>
      <c r="F2145" s="66"/>
      <c r="G2145" s="66"/>
      <c r="H2145" s="66"/>
      <c r="I2145" s="66"/>
      <c r="J2145" s="66"/>
      <c r="K2145" s="66"/>
      <c r="L2145" s="66"/>
      <c r="M2145" s="66"/>
      <c r="N2145" s="66"/>
      <c r="O2145" s="66"/>
      <c r="P2145" s="66"/>
      <c r="Q2145" s="66"/>
      <c r="R2145" s="66"/>
      <c r="S2145" s="66"/>
      <c r="T2145" s="66"/>
      <c r="U2145" s="66"/>
      <c r="V2145" s="66"/>
      <c r="W2145" s="66"/>
      <c r="X2145" s="66"/>
      <c r="Y2145" s="66"/>
      <c r="Z2145" s="66"/>
    </row>
    <row r="2146">
      <c r="A2146" s="66"/>
      <c r="B2146" s="66"/>
      <c r="C2146" s="66"/>
      <c r="D2146" s="66"/>
      <c r="E2146" s="66"/>
      <c r="F2146" s="66"/>
      <c r="G2146" s="66"/>
      <c r="H2146" s="66"/>
      <c r="I2146" s="66"/>
      <c r="J2146" s="66"/>
      <c r="K2146" s="66"/>
      <c r="L2146" s="66"/>
      <c r="M2146" s="66"/>
      <c r="N2146" s="66"/>
      <c r="O2146" s="66"/>
      <c r="P2146" s="66"/>
      <c r="Q2146" s="66"/>
      <c r="R2146" s="66"/>
      <c r="S2146" s="66"/>
      <c r="T2146" s="66"/>
      <c r="U2146" s="66"/>
      <c r="V2146" s="66"/>
      <c r="W2146" s="66"/>
      <c r="X2146" s="66"/>
      <c r="Y2146" s="66"/>
      <c r="Z2146" s="66"/>
    </row>
    <row r="2147">
      <c r="A2147" s="66"/>
      <c r="B2147" s="66"/>
      <c r="C2147" s="66"/>
      <c r="D2147" s="66"/>
      <c r="E2147" s="66"/>
      <c r="F2147" s="66"/>
      <c r="G2147" s="66"/>
      <c r="H2147" s="66"/>
      <c r="I2147" s="66"/>
      <c r="J2147" s="66"/>
      <c r="K2147" s="66"/>
      <c r="L2147" s="66"/>
      <c r="M2147" s="66"/>
      <c r="N2147" s="66"/>
      <c r="O2147" s="66"/>
      <c r="P2147" s="66"/>
      <c r="Q2147" s="66"/>
      <c r="R2147" s="66"/>
      <c r="S2147" s="66"/>
      <c r="T2147" s="66"/>
      <c r="U2147" s="66"/>
      <c r="V2147" s="66"/>
      <c r="W2147" s="66"/>
      <c r="X2147" s="66"/>
      <c r="Y2147" s="66"/>
      <c r="Z2147" s="66"/>
    </row>
    <row r="2148">
      <c r="A2148" s="66"/>
      <c r="B2148" s="66"/>
      <c r="C2148" s="66"/>
      <c r="D2148" s="66"/>
      <c r="E2148" s="66"/>
      <c r="F2148" s="66"/>
      <c r="G2148" s="66"/>
      <c r="H2148" s="66"/>
      <c r="I2148" s="66"/>
      <c r="J2148" s="66"/>
      <c r="K2148" s="66"/>
      <c r="L2148" s="66"/>
      <c r="M2148" s="66"/>
      <c r="N2148" s="66"/>
      <c r="O2148" s="66"/>
      <c r="P2148" s="66"/>
      <c r="Q2148" s="66"/>
      <c r="R2148" s="66"/>
      <c r="S2148" s="66"/>
      <c r="T2148" s="66"/>
      <c r="U2148" s="66"/>
      <c r="V2148" s="66"/>
      <c r="W2148" s="66"/>
      <c r="X2148" s="66"/>
      <c r="Y2148" s="66"/>
      <c r="Z2148" s="66"/>
    </row>
    <row r="2149">
      <c r="A2149" s="66"/>
      <c r="B2149" s="66"/>
      <c r="C2149" s="66"/>
      <c r="D2149" s="66"/>
      <c r="E2149" s="66"/>
      <c r="F2149" s="66"/>
      <c r="G2149" s="66"/>
      <c r="H2149" s="66"/>
      <c r="I2149" s="66"/>
      <c r="J2149" s="66"/>
      <c r="K2149" s="66"/>
      <c r="L2149" s="66"/>
      <c r="M2149" s="66"/>
      <c r="N2149" s="66"/>
      <c r="O2149" s="66"/>
      <c r="P2149" s="66"/>
      <c r="Q2149" s="66"/>
      <c r="R2149" s="66"/>
      <c r="S2149" s="66"/>
      <c r="T2149" s="66"/>
      <c r="U2149" s="66"/>
      <c r="V2149" s="66"/>
      <c r="W2149" s="66"/>
      <c r="X2149" s="66"/>
      <c r="Y2149" s="66"/>
      <c r="Z2149" s="66"/>
    </row>
    <row r="2150">
      <c r="A2150" s="66"/>
      <c r="B2150" s="66"/>
      <c r="C2150" s="66"/>
      <c r="D2150" s="66"/>
      <c r="E2150" s="66"/>
      <c r="F2150" s="66"/>
      <c r="G2150" s="66"/>
      <c r="H2150" s="66"/>
      <c r="I2150" s="66"/>
      <c r="J2150" s="66"/>
      <c r="K2150" s="66"/>
      <c r="L2150" s="66"/>
      <c r="M2150" s="66"/>
      <c r="N2150" s="66"/>
      <c r="O2150" s="66"/>
      <c r="P2150" s="66"/>
      <c r="Q2150" s="66"/>
      <c r="R2150" s="66"/>
      <c r="S2150" s="66"/>
      <c r="T2150" s="66"/>
      <c r="U2150" s="66"/>
      <c r="V2150" s="66"/>
      <c r="W2150" s="66"/>
      <c r="X2150" s="66"/>
      <c r="Y2150" s="66"/>
      <c r="Z2150" s="66"/>
    </row>
    <row r="2151">
      <c r="A2151" s="66"/>
      <c r="B2151" s="66"/>
      <c r="C2151" s="66"/>
      <c r="D2151" s="66"/>
      <c r="E2151" s="66"/>
      <c r="F2151" s="66"/>
      <c r="G2151" s="66"/>
      <c r="H2151" s="66"/>
      <c r="I2151" s="66"/>
      <c r="J2151" s="66"/>
      <c r="K2151" s="66"/>
      <c r="L2151" s="66"/>
      <c r="M2151" s="66"/>
      <c r="N2151" s="66"/>
      <c r="O2151" s="66"/>
      <c r="P2151" s="66"/>
      <c r="Q2151" s="66"/>
      <c r="R2151" s="66"/>
      <c r="S2151" s="66"/>
      <c r="T2151" s="66"/>
      <c r="U2151" s="66"/>
      <c r="V2151" s="66"/>
      <c r="W2151" s="66"/>
      <c r="X2151" s="66"/>
      <c r="Y2151" s="66"/>
      <c r="Z2151" s="66"/>
    </row>
    <row r="2152">
      <c r="A2152" s="66"/>
      <c r="B2152" s="66"/>
      <c r="C2152" s="66"/>
      <c r="D2152" s="66"/>
      <c r="E2152" s="66"/>
      <c r="F2152" s="66"/>
      <c r="G2152" s="66"/>
      <c r="H2152" s="66"/>
      <c r="I2152" s="66"/>
      <c r="J2152" s="66"/>
      <c r="K2152" s="66"/>
      <c r="L2152" s="66"/>
      <c r="M2152" s="66"/>
      <c r="N2152" s="66"/>
      <c r="O2152" s="66"/>
      <c r="P2152" s="66"/>
      <c r="Q2152" s="66"/>
      <c r="R2152" s="66"/>
      <c r="S2152" s="66"/>
      <c r="T2152" s="66"/>
      <c r="U2152" s="66"/>
      <c r="V2152" s="66"/>
      <c r="W2152" s="66"/>
      <c r="X2152" s="66"/>
      <c r="Y2152" s="66"/>
      <c r="Z2152" s="66"/>
    </row>
    <row r="2153">
      <c r="A2153" s="66"/>
      <c r="B2153" s="66"/>
      <c r="C2153" s="66"/>
      <c r="D2153" s="66"/>
      <c r="E2153" s="66"/>
      <c r="F2153" s="66"/>
      <c r="G2153" s="66"/>
      <c r="H2153" s="66"/>
      <c r="I2153" s="66"/>
      <c r="J2153" s="66"/>
      <c r="K2153" s="66"/>
      <c r="L2153" s="66"/>
      <c r="M2153" s="66"/>
      <c r="N2153" s="66"/>
      <c r="O2153" s="66"/>
      <c r="P2153" s="66"/>
      <c r="Q2153" s="66"/>
      <c r="R2153" s="66"/>
      <c r="S2153" s="66"/>
      <c r="T2153" s="66"/>
      <c r="U2153" s="66"/>
      <c r="V2153" s="66"/>
      <c r="W2153" s="66"/>
      <c r="X2153" s="66"/>
      <c r="Y2153" s="66"/>
      <c r="Z2153" s="66"/>
    </row>
    <row r="2154">
      <c r="A2154" s="66"/>
      <c r="B2154" s="66"/>
      <c r="C2154" s="66"/>
      <c r="D2154" s="66"/>
      <c r="E2154" s="66"/>
      <c r="F2154" s="66"/>
      <c r="G2154" s="66"/>
      <c r="H2154" s="66"/>
      <c r="I2154" s="66"/>
      <c r="J2154" s="66"/>
      <c r="K2154" s="66"/>
      <c r="L2154" s="66"/>
      <c r="M2154" s="66"/>
      <c r="N2154" s="66"/>
      <c r="O2154" s="66"/>
      <c r="P2154" s="66"/>
      <c r="Q2154" s="66"/>
      <c r="R2154" s="66"/>
      <c r="S2154" s="66"/>
      <c r="T2154" s="66"/>
      <c r="U2154" s="66"/>
      <c r="V2154" s="66"/>
      <c r="W2154" s="66"/>
      <c r="X2154" s="66"/>
      <c r="Y2154" s="66"/>
      <c r="Z2154" s="66"/>
    </row>
    <row r="2155">
      <c r="A2155" s="66"/>
      <c r="B2155" s="66"/>
      <c r="C2155" s="66"/>
      <c r="D2155" s="66"/>
      <c r="E2155" s="66"/>
      <c r="F2155" s="66"/>
      <c r="G2155" s="66"/>
      <c r="H2155" s="66"/>
      <c r="I2155" s="66"/>
      <c r="J2155" s="66"/>
      <c r="K2155" s="66"/>
      <c r="L2155" s="66"/>
      <c r="M2155" s="66"/>
      <c r="N2155" s="66"/>
      <c r="O2155" s="66"/>
      <c r="P2155" s="66"/>
      <c r="Q2155" s="66"/>
      <c r="R2155" s="66"/>
      <c r="S2155" s="66"/>
      <c r="T2155" s="66"/>
      <c r="U2155" s="66"/>
      <c r="V2155" s="66"/>
      <c r="W2155" s="66"/>
      <c r="X2155" s="66"/>
      <c r="Y2155" s="66"/>
      <c r="Z2155" s="66"/>
    </row>
    <row r="2156">
      <c r="A2156" s="66"/>
      <c r="B2156" s="66"/>
      <c r="C2156" s="66"/>
      <c r="D2156" s="66"/>
      <c r="E2156" s="66"/>
      <c r="F2156" s="66"/>
      <c r="G2156" s="66"/>
      <c r="H2156" s="66"/>
      <c r="I2156" s="66"/>
      <c r="J2156" s="66"/>
      <c r="K2156" s="66"/>
      <c r="L2156" s="66"/>
      <c r="M2156" s="66"/>
      <c r="N2156" s="66"/>
      <c r="O2156" s="66"/>
      <c r="P2156" s="66"/>
      <c r="Q2156" s="66"/>
      <c r="R2156" s="66"/>
      <c r="S2156" s="66"/>
      <c r="T2156" s="66"/>
      <c r="U2156" s="66"/>
      <c r="V2156" s="66"/>
      <c r="W2156" s="66"/>
      <c r="X2156" s="66"/>
      <c r="Y2156" s="66"/>
      <c r="Z2156" s="66"/>
    </row>
    <row r="2157">
      <c r="A2157" s="66"/>
      <c r="B2157" s="66"/>
      <c r="C2157" s="66"/>
      <c r="D2157" s="66"/>
      <c r="E2157" s="66"/>
      <c r="F2157" s="66"/>
      <c r="G2157" s="66"/>
      <c r="H2157" s="66"/>
      <c r="I2157" s="66"/>
      <c r="J2157" s="66"/>
      <c r="K2157" s="66"/>
      <c r="L2157" s="66"/>
      <c r="M2157" s="66"/>
      <c r="N2157" s="66"/>
      <c r="O2157" s="66"/>
      <c r="P2157" s="66"/>
      <c r="Q2157" s="66"/>
      <c r="R2157" s="66"/>
      <c r="S2157" s="66"/>
      <c r="T2157" s="66"/>
      <c r="U2157" s="66"/>
      <c r="V2157" s="66"/>
      <c r="W2157" s="66"/>
      <c r="X2157" s="66"/>
      <c r="Y2157" s="66"/>
      <c r="Z2157" s="66"/>
    </row>
    <row r="2158">
      <c r="A2158" s="66"/>
      <c r="B2158" s="66"/>
      <c r="C2158" s="66"/>
      <c r="D2158" s="66"/>
      <c r="E2158" s="66"/>
      <c r="F2158" s="66"/>
      <c r="G2158" s="66"/>
      <c r="H2158" s="66"/>
      <c r="I2158" s="66"/>
      <c r="J2158" s="66"/>
      <c r="K2158" s="66"/>
      <c r="L2158" s="66"/>
      <c r="M2158" s="66"/>
      <c r="N2158" s="66"/>
      <c r="O2158" s="66"/>
      <c r="P2158" s="66"/>
      <c r="Q2158" s="66"/>
      <c r="R2158" s="66"/>
      <c r="S2158" s="66"/>
      <c r="T2158" s="66"/>
      <c r="U2158" s="66"/>
      <c r="V2158" s="66"/>
      <c r="W2158" s="66"/>
      <c r="X2158" s="66"/>
      <c r="Y2158" s="66"/>
      <c r="Z2158" s="66"/>
    </row>
    <row r="2159">
      <c r="A2159" s="66"/>
      <c r="B2159" s="66"/>
      <c r="C2159" s="66"/>
      <c r="D2159" s="66"/>
      <c r="E2159" s="66"/>
      <c r="F2159" s="66"/>
      <c r="G2159" s="66"/>
      <c r="H2159" s="66"/>
      <c r="I2159" s="66"/>
      <c r="J2159" s="66"/>
      <c r="K2159" s="66"/>
      <c r="L2159" s="66"/>
      <c r="M2159" s="66"/>
      <c r="N2159" s="66"/>
      <c r="O2159" s="66"/>
      <c r="P2159" s="66"/>
      <c r="Q2159" s="66"/>
      <c r="R2159" s="66"/>
      <c r="S2159" s="66"/>
      <c r="T2159" s="66"/>
      <c r="U2159" s="66"/>
      <c r="V2159" s="66"/>
      <c r="W2159" s="66"/>
      <c r="X2159" s="66"/>
      <c r="Y2159" s="66"/>
      <c r="Z2159" s="66"/>
    </row>
    <row r="2160">
      <c r="A2160" s="66"/>
      <c r="B2160" s="66"/>
      <c r="C2160" s="66"/>
      <c r="D2160" s="66"/>
      <c r="E2160" s="66"/>
      <c r="F2160" s="66"/>
      <c r="G2160" s="66"/>
      <c r="H2160" s="66"/>
      <c r="I2160" s="66"/>
      <c r="J2160" s="66"/>
      <c r="K2160" s="66"/>
      <c r="L2160" s="66"/>
      <c r="M2160" s="66"/>
      <c r="N2160" s="66"/>
      <c r="O2160" s="66"/>
      <c r="P2160" s="66"/>
      <c r="Q2160" s="66"/>
      <c r="R2160" s="66"/>
      <c r="S2160" s="66"/>
      <c r="T2160" s="66"/>
      <c r="U2160" s="66"/>
      <c r="V2160" s="66"/>
      <c r="W2160" s="66"/>
      <c r="X2160" s="66"/>
      <c r="Y2160" s="66"/>
      <c r="Z2160" s="66"/>
    </row>
    <row r="2161">
      <c r="A2161" s="66"/>
      <c r="B2161" s="66"/>
      <c r="C2161" s="66"/>
      <c r="D2161" s="66"/>
      <c r="E2161" s="66"/>
      <c r="F2161" s="66"/>
      <c r="G2161" s="66"/>
      <c r="H2161" s="66"/>
      <c r="I2161" s="66"/>
      <c r="J2161" s="66"/>
      <c r="K2161" s="66"/>
      <c r="L2161" s="66"/>
      <c r="M2161" s="66"/>
      <c r="N2161" s="66"/>
      <c r="O2161" s="66"/>
      <c r="P2161" s="66"/>
      <c r="Q2161" s="66"/>
      <c r="R2161" s="66"/>
      <c r="S2161" s="66"/>
      <c r="T2161" s="66"/>
      <c r="U2161" s="66"/>
      <c r="V2161" s="66"/>
      <c r="W2161" s="66"/>
      <c r="X2161" s="66"/>
      <c r="Y2161" s="66"/>
      <c r="Z2161" s="66"/>
    </row>
    <row r="2162">
      <c r="A2162" s="66"/>
      <c r="B2162" s="66"/>
      <c r="C2162" s="66"/>
      <c r="D2162" s="66"/>
      <c r="E2162" s="66"/>
      <c r="F2162" s="66"/>
      <c r="G2162" s="66"/>
      <c r="H2162" s="66"/>
      <c r="I2162" s="66"/>
      <c r="J2162" s="66"/>
      <c r="K2162" s="66"/>
      <c r="L2162" s="66"/>
      <c r="M2162" s="66"/>
      <c r="N2162" s="66"/>
      <c r="O2162" s="66"/>
      <c r="P2162" s="66"/>
      <c r="Q2162" s="66"/>
      <c r="R2162" s="66"/>
      <c r="S2162" s="66"/>
      <c r="T2162" s="66"/>
      <c r="U2162" s="66"/>
      <c r="V2162" s="66"/>
      <c r="W2162" s="66"/>
      <c r="X2162" s="66"/>
      <c r="Y2162" s="66"/>
      <c r="Z2162" s="66"/>
    </row>
    <row r="2163">
      <c r="A2163" s="66"/>
      <c r="B2163" s="66"/>
      <c r="C2163" s="66"/>
      <c r="D2163" s="66"/>
      <c r="E2163" s="66"/>
      <c r="F2163" s="66"/>
      <c r="G2163" s="66"/>
      <c r="H2163" s="66"/>
      <c r="I2163" s="66"/>
      <c r="J2163" s="66"/>
      <c r="K2163" s="66"/>
      <c r="L2163" s="66"/>
      <c r="M2163" s="66"/>
      <c r="N2163" s="66"/>
      <c r="O2163" s="66"/>
      <c r="P2163" s="66"/>
      <c r="Q2163" s="66"/>
      <c r="R2163" s="66"/>
      <c r="S2163" s="66"/>
      <c r="T2163" s="66"/>
      <c r="U2163" s="66"/>
      <c r="V2163" s="66"/>
      <c r="W2163" s="66"/>
      <c r="X2163" s="66"/>
      <c r="Y2163" s="66"/>
      <c r="Z2163" s="66"/>
    </row>
    <row r="2164">
      <c r="A2164" s="66"/>
      <c r="B2164" s="66"/>
      <c r="C2164" s="66"/>
      <c r="D2164" s="66"/>
      <c r="E2164" s="66"/>
      <c r="F2164" s="66"/>
      <c r="G2164" s="66"/>
      <c r="H2164" s="66"/>
      <c r="I2164" s="66"/>
      <c r="J2164" s="66"/>
      <c r="K2164" s="66"/>
      <c r="L2164" s="66"/>
      <c r="M2164" s="66"/>
      <c r="N2164" s="66"/>
      <c r="O2164" s="66"/>
      <c r="P2164" s="66"/>
      <c r="Q2164" s="66"/>
      <c r="R2164" s="66"/>
      <c r="S2164" s="66"/>
      <c r="T2164" s="66"/>
      <c r="U2164" s="66"/>
      <c r="V2164" s="66"/>
      <c r="W2164" s="66"/>
      <c r="X2164" s="66"/>
      <c r="Y2164" s="66"/>
      <c r="Z2164" s="66"/>
    </row>
    <row r="2165">
      <c r="A2165" s="66"/>
      <c r="B2165" s="66"/>
      <c r="C2165" s="66"/>
      <c r="D2165" s="66"/>
      <c r="E2165" s="66"/>
      <c r="F2165" s="66"/>
      <c r="G2165" s="66"/>
      <c r="H2165" s="66"/>
      <c r="I2165" s="66"/>
      <c r="J2165" s="66"/>
      <c r="K2165" s="66"/>
      <c r="L2165" s="66"/>
      <c r="M2165" s="66"/>
      <c r="N2165" s="66"/>
      <c r="O2165" s="66"/>
      <c r="P2165" s="66"/>
      <c r="Q2165" s="66"/>
      <c r="R2165" s="66"/>
      <c r="S2165" s="66"/>
      <c r="T2165" s="66"/>
      <c r="U2165" s="66"/>
      <c r="V2165" s="66"/>
      <c r="W2165" s="66"/>
      <c r="X2165" s="66"/>
      <c r="Y2165" s="66"/>
      <c r="Z2165" s="66"/>
    </row>
    <row r="2166">
      <c r="A2166" s="66"/>
      <c r="B2166" s="66"/>
      <c r="C2166" s="66"/>
      <c r="D2166" s="66"/>
      <c r="E2166" s="66"/>
      <c r="F2166" s="66"/>
      <c r="G2166" s="66"/>
      <c r="H2166" s="66"/>
      <c r="I2166" s="66"/>
      <c r="J2166" s="66"/>
      <c r="K2166" s="66"/>
      <c r="L2166" s="66"/>
      <c r="M2166" s="66"/>
      <c r="N2166" s="66"/>
      <c r="O2166" s="66"/>
      <c r="P2166" s="66"/>
      <c r="Q2166" s="66"/>
      <c r="R2166" s="66"/>
      <c r="S2166" s="66"/>
      <c r="T2166" s="66"/>
      <c r="U2166" s="66"/>
      <c r="V2166" s="66"/>
      <c r="W2166" s="66"/>
      <c r="X2166" s="66"/>
      <c r="Y2166" s="66"/>
      <c r="Z2166" s="66"/>
    </row>
    <row r="2167">
      <c r="A2167" s="66"/>
      <c r="B2167" s="66"/>
      <c r="C2167" s="66"/>
      <c r="D2167" s="66"/>
      <c r="E2167" s="66"/>
      <c r="F2167" s="66"/>
      <c r="G2167" s="66"/>
      <c r="H2167" s="66"/>
      <c r="I2167" s="66"/>
      <c r="J2167" s="66"/>
      <c r="K2167" s="66"/>
      <c r="L2167" s="66"/>
      <c r="M2167" s="66"/>
      <c r="N2167" s="66"/>
      <c r="O2167" s="66"/>
      <c r="P2167" s="66"/>
      <c r="Q2167" s="66"/>
      <c r="R2167" s="66"/>
      <c r="S2167" s="66"/>
      <c r="T2167" s="66"/>
      <c r="U2167" s="66"/>
      <c r="V2167" s="66"/>
      <c r="W2167" s="66"/>
      <c r="X2167" s="66"/>
      <c r="Y2167" s="66"/>
      <c r="Z2167" s="66"/>
    </row>
    <row r="2168">
      <c r="A2168" s="66"/>
      <c r="B2168" s="66"/>
      <c r="C2168" s="66"/>
      <c r="D2168" s="66"/>
      <c r="E2168" s="66"/>
      <c r="F2168" s="66"/>
      <c r="G2168" s="66"/>
      <c r="H2168" s="66"/>
      <c r="I2168" s="66"/>
      <c r="J2168" s="66"/>
      <c r="K2168" s="66"/>
      <c r="L2168" s="66"/>
      <c r="M2168" s="66"/>
      <c r="N2168" s="66"/>
      <c r="O2168" s="66"/>
      <c r="P2168" s="66"/>
      <c r="Q2168" s="66"/>
      <c r="R2168" s="66"/>
      <c r="S2168" s="66"/>
      <c r="T2168" s="66"/>
      <c r="U2168" s="66"/>
      <c r="V2168" s="66"/>
      <c r="W2168" s="66"/>
      <c r="X2168" s="66"/>
      <c r="Y2168" s="66"/>
      <c r="Z2168" s="66"/>
    </row>
    <row r="2169">
      <c r="A2169" s="66"/>
      <c r="B2169" s="66"/>
      <c r="C2169" s="66"/>
      <c r="D2169" s="66"/>
      <c r="E2169" s="66"/>
      <c r="F2169" s="66"/>
      <c r="G2169" s="66"/>
      <c r="H2169" s="66"/>
      <c r="I2169" s="66"/>
      <c r="J2169" s="66"/>
      <c r="K2169" s="66"/>
      <c r="L2169" s="66"/>
      <c r="M2169" s="66"/>
      <c r="N2169" s="66"/>
      <c r="O2169" s="66"/>
      <c r="P2169" s="66"/>
      <c r="Q2169" s="66"/>
      <c r="R2169" s="66"/>
      <c r="S2169" s="66"/>
      <c r="T2169" s="66"/>
      <c r="U2169" s="66"/>
      <c r="V2169" s="66"/>
      <c r="W2169" s="66"/>
      <c r="X2169" s="66"/>
      <c r="Y2169" s="66"/>
      <c r="Z2169" s="66"/>
    </row>
    <row r="2170">
      <c r="A2170" s="66"/>
      <c r="B2170" s="66"/>
      <c r="C2170" s="66"/>
      <c r="D2170" s="66"/>
      <c r="E2170" s="66"/>
      <c r="F2170" s="66"/>
      <c r="G2170" s="66"/>
      <c r="H2170" s="66"/>
      <c r="I2170" s="66"/>
      <c r="J2170" s="66"/>
      <c r="K2170" s="66"/>
      <c r="L2170" s="66"/>
      <c r="M2170" s="66"/>
      <c r="N2170" s="66"/>
      <c r="O2170" s="66"/>
      <c r="P2170" s="66"/>
      <c r="Q2170" s="66"/>
      <c r="R2170" s="66"/>
      <c r="S2170" s="66"/>
      <c r="T2170" s="66"/>
      <c r="U2170" s="66"/>
      <c r="V2170" s="66"/>
      <c r="W2170" s="66"/>
      <c r="X2170" s="66"/>
      <c r="Y2170" s="66"/>
      <c r="Z2170" s="66"/>
    </row>
    <row r="2171">
      <c r="A2171" s="66"/>
      <c r="B2171" s="66"/>
      <c r="C2171" s="66"/>
      <c r="D2171" s="66"/>
      <c r="E2171" s="66"/>
      <c r="F2171" s="66"/>
      <c r="G2171" s="66"/>
      <c r="H2171" s="66"/>
      <c r="I2171" s="66"/>
      <c r="J2171" s="66"/>
      <c r="K2171" s="66"/>
      <c r="L2171" s="66"/>
      <c r="M2171" s="66"/>
      <c r="N2171" s="66"/>
      <c r="O2171" s="66"/>
      <c r="P2171" s="66"/>
      <c r="Q2171" s="66"/>
      <c r="R2171" s="66"/>
      <c r="S2171" s="66"/>
      <c r="T2171" s="66"/>
      <c r="U2171" s="66"/>
      <c r="V2171" s="66"/>
      <c r="W2171" s="66"/>
      <c r="X2171" s="66"/>
      <c r="Y2171" s="66"/>
      <c r="Z2171" s="66"/>
    </row>
    <row r="2172">
      <c r="A2172" s="66"/>
      <c r="B2172" s="66"/>
      <c r="C2172" s="66"/>
      <c r="D2172" s="66"/>
      <c r="E2172" s="66"/>
      <c r="F2172" s="66"/>
      <c r="G2172" s="66"/>
      <c r="H2172" s="66"/>
      <c r="I2172" s="66"/>
      <c r="J2172" s="66"/>
      <c r="K2172" s="66"/>
      <c r="L2172" s="66"/>
      <c r="M2172" s="66"/>
      <c r="N2172" s="66"/>
      <c r="O2172" s="66"/>
      <c r="P2172" s="66"/>
      <c r="Q2172" s="66"/>
      <c r="R2172" s="66"/>
      <c r="S2172" s="66"/>
      <c r="T2172" s="66"/>
      <c r="U2172" s="66"/>
      <c r="V2172" s="66"/>
      <c r="W2172" s="66"/>
      <c r="X2172" s="66"/>
      <c r="Y2172" s="66"/>
      <c r="Z2172" s="66"/>
    </row>
    <row r="2173">
      <c r="A2173" s="66"/>
      <c r="B2173" s="66"/>
      <c r="C2173" s="66"/>
      <c r="D2173" s="66"/>
      <c r="E2173" s="66"/>
      <c r="F2173" s="66"/>
      <c r="G2173" s="66"/>
      <c r="H2173" s="66"/>
      <c r="I2173" s="66"/>
      <c r="J2173" s="66"/>
      <c r="K2173" s="66"/>
      <c r="L2173" s="66"/>
      <c r="M2173" s="66"/>
      <c r="N2173" s="66"/>
      <c r="O2173" s="66"/>
      <c r="P2173" s="66"/>
      <c r="Q2173" s="66"/>
      <c r="R2173" s="66"/>
      <c r="S2173" s="66"/>
      <c r="T2173" s="66"/>
      <c r="U2173" s="66"/>
      <c r="V2173" s="66"/>
      <c r="W2173" s="66"/>
      <c r="X2173" s="66"/>
      <c r="Y2173" s="66"/>
      <c r="Z2173" s="66"/>
    </row>
    <row r="2174">
      <c r="A2174" s="66"/>
      <c r="B2174" s="66"/>
      <c r="C2174" s="66"/>
      <c r="D2174" s="66"/>
      <c r="E2174" s="66"/>
      <c r="F2174" s="66"/>
      <c r="G2174" s="66"/>
      <c r="H2174" s="66"/>
      <c r="I2174" s="66"/>
      <c r="J2174" s="66"/>
      <c r="K2174" s="66"/>
      <c r="L2174" s="66"/>
      <c r="M2174" s="66"/>
      <c r="N2174" s="66"/>
      <c r="O2174" s="66"/>
      <c r="P2174" s="66"/>
      <c r="Q2174" s="66"/>
      <c r="R2174" s="66"/>
      <c r="S2174" s="66"/>
      <c r="T2174" s="66"/>
      <c r="U2174" s="66"/>
      <c r="V2174" s="66"/>
      <c r="W2174" s="66"/>
      <c r="X2174" s="66"/>
      <c r="Y2174" s="66"/>
      <c r="Z2174" s="66"/>
    </row>
    <row r="2175">
      <c r="A2175" s="66"/>
      <c r="B2175" s="66"/>
      <c r="C2175" s="66"/>
      <c r="D2175" s="66"/>
      <c r="E2175" s="66"/>
      <c r="F2175" s="66"/>
      <c r="G2175" s="66"/>
      <c r="H2175" s="66"/>
      <c r="I2175" s="66"/>
      <c r="J2175" s="66"/>
      <c r="K2175" s="66"/>
      <c r="L2175" s="66"/>
      <c r="M2175" s="66"/>
      <c r="N2175" s="66"/>
      <c r="O2175" s="66"/>
      <c r="P2175" s="66"/>
      <c r="Q2175" s="66"/>
      <c r="R2175" s="66"/>
      <c r="S2175" s="66"/>
      <c r="T2175" s="66"/>
      <c r="U2175" s="66"/>
      <c r="V2175" s="66"/>
      <c r="W2175" s="66"/>
      <c r="X2175" s="66"/>
      <c r="Y2175" s="66"/>
      <c r="Z2175" s="66"/>
    </row>
    <row r="2176">
      <c r="A2176" s="66"/>
      <c r="B2176" s="66"/>
      <c r="C2176" s="66"/>
      <c r="D2176" s="66"/>
      <c r="E2176" s="66"/>
      <c r="F2176" s="66"/>
      <c r="G2176" s="66"/>
      <c r="H2176" s="66"/>
      <c r="I2176" s="66"/>
      <c r="J2176" s="66"/>
      <c r="K2176" s="66"/>
      <c r="L2176" s="66"/>
      <c r="M2176" s="66"/>
      <c r="N2176" s="66"/>
      <c r="O2176" s="66"/>
      <c r="P2176" s="66"/>
      <c r="Q2176" s="66"/>
      <c r="R2176" s="66"/>
      <c r="S2176" s="66"/>
      <c r="T2176" s="66"/>
      <c r="U2176" s="66"/>
      <c r="V2176" s="66"/>
      <c r="W2176" s="66"/>
      <c r="X2176" s="66"/>
      <c r="Y2176" s="66"/>
      <c r="Z2176" s="66"/>
    </row>
    <row r="2177">
      <c r="A2177" s="66"/>
      <c r="B2177" s="66"/>
      <c r="C2177" s="66"/>
      <c r="D2177" s="66"/>
      <c r="E2177" s="66"/>
      <c r="F2177" s="66"/>
      <c r="G2177" s="66"/>
      <c r="H2177" s="66"/>
      <c r="I2177" s="66"/>
      <c r="J2177" s="66"/>
      <c r="K2177" s="66"/>
      <c r="L2177" s="66"/>
      <c r="M2177" s="66"/>
      <c r="N2177" s="66"/>
      <c r="O2177" s="66"/>
      <c r="P2177" s="66"/>
      <c r="Q2177" s="66"/>
      <c r="R2177" s="66"/>
      <c r="S2177" s="66"/>
      <c r="T2177" s="66"/>
      <c r="U2177" s="66"/>
      <c r="V2177" s="66"/>
      <c r="W2177" s="66"/>
      <c r="X2177" s="66"/>
      <c r="Y2177" s="66"/>
      <c r="Z2177" s="66"/>
    </row>
    <row r="2178">
      <c r="A2178" s="66"/>
      <c r="B2178" s="66"/>
      <c r="C2178" s="66"/>
      <c r="D2178" s="66"/>
      <c r="E2178" s="66"/>
      <c r="F2178" s="66"/>
      <c r="G2178" s="66"/>
      <c r="H2178" s="66"/>
      <c r="I2178" s="66"/>
      <c r="J2178" s="66"/>
      <c r="K2178" s="66"/>
      <c r="L2178" s="66"/>
      <c r="M2178" s="66"/>
      <c r="N2178" s="66"/>
      <c r="O2178" s="66"/>
      <c r="P2178" s="66"/>
      <c r="Q2178" s="66"/>
      <c r="R2178" s="66"/>
      <c r="S2178" s="66"/>
      <c r="T2178" s="66"/>
      <c r="U2178" s="66"/>
      <c r="V2178" s="66"/>
      <c r="W2178" s="66"/>
      <c r="X2178" s="66"/>
      <c r="Y2178" s="66"/>
      <c r="Z2178" s="66"/>
    </row>
    <row r="2179">
      <c r="A2179" s="66"/>
      <c r="B2179" s="66"/>
      <c r="C2179" s="66"/>
      <c r="D2179" s="66"/>
      <c r="E2179" s="66"/>
      <c r="F2179" s="66"/>
      <c r="G2179" s="66"/>
      <c r="H2179" s="66"/>
      <c r="I2179" s="66"/>
      <c r="J2179" s="66"/>
      <c r="K2179" s="66"/>
      <c r="L2179" s="66"/>
      <c r="M2179" s="66"/>
      <c r="N2179" s="66"/>
      <c r="O2179" s="66"/>
      <c r="P2179" s="66"/>
      <c r="Q2179" s="66"/>
      <c r="R2179" s="66"/>
      <c r="S2179" s="66"/>
      <c r="T2179" s="66"/>
      <c r="U2179" s="66"/>
      <c r="V2179" s="66"/>
      <c r="W2179" s="66"/>
      <c r="X2179" s="66"/>
      <c r="Y2179" s="66"/>
      <c r="Z2179" s="66"/>
    </row>
    <row r="2180">
      <c r="A2180" s="66"/>
      <c r="B2180" s="66"/>
      <c r="C2180" s="66"/>
      <c r="D2180" s="66"/>
      <c r="E2180" s="66"/>
      <c r="F2180" s="66"/>
      <c r="G2180" s="66"/>
      <c r="H2180" s="66"/>
      <c r="I2180" s="66"/>
      <c r="J2180" s="66"/>
      <c r="K2180" s="66"/>
      <c r="L2180" s="66"/>
      <c r="M2180" s="66"/>
      <c r="N2180" s="66"/>
      <c r="O2180" s="66"/>
      <c r="P2180" s="66"/>
      <c r="Q2180" s="66"/>
      <c r="R2180" s="66"/>
      <c r="S2180" s="66"/>
      <c r="T2180" s="66"/>
      <c r="U2180" s="66"/>
      <c r="V2180" s="66"/>
      <c r="W2180" s="66"/>
      <c r="X2180" s="66"/>
      <c r="Y2180" s="66"/>
      <c r="Z2180" s="66"/>
    </row>
    <row r="2181">
      <c r="A2181" s="66"/>
      <c r="B2181" s="66"/>
      <c r="C2181" s="66"/>
      <c r="D2181" s="66"/>
      <c r="E2181" s="66"/>
      <c r="F2181" s="66"/>
      <c r="G2181" s="66"/>
      <c r="H2181" s="66"/>
      <c r="I2181" s="66"/>
      <c r="J2181" s="66"/>
      <c r="K2181" s="66"/>
      <c r="L2181" s="66"/>
      <c r="M2181" s="66"/>
      <c r="N2181" s="66"/>
      <c r="O2181" s="66"/>
      <c r="P2181" s="66"/>
      <c r="Q2181" s="66"/>
      <c r="R2181" s="66"/>
      <c r="S2181" s="66"/>
      <c r="T2181" s="66"/>
      <c r="U2181" s="66"/>
      <c r="V2181" s="66"/>
      <c r="W2181" s="66"/>
      <c r="X2181" s="66"/>
      <c r="Y2181" s="66"/>
      <c r="Z2181" s="66"/>
    </row>
    <row r="2182">
      <c r="A2182" s="66"/>
      <c r="B2182" s="66"/>
      <c r="C2182" s="66"/>
      <c r="D2182" s="66"/>
      <c r="E2182" s="66"/>
      <c r="F2182" s="66"/>
      <c r="G2182" s="66"/>
      <c r="H2182" s="66"/>
      <c r="I2182" s="66"/>
      <c r="J2182" s="66"/>
      <c r="K2182" s="66"/>
      <c r="L2182" s="66"/>
      <c r="M2182" s="66"/>
      <c r="N2182" s="66"/>
      <c r="O2182" s="66"/>
      <c r="P2182" s="66"/>
      <c r="Q2182" s="66"/>
      <c r="R2182" s="66"/>
      <c r="S2182" s="66"/>
      <c r="T2182" s="66"/>
      <c r="U2182" s="66"/>
      <c r="V2182" s="66"/>
      <c r="W2182" s="66"/>
      <c r="X2182" s="66"/>
      <c r="Y2182" s="66"/>
      <c r="Z2182" s="66"/>
    </row>
    <row r="2183">
      <c r="A2183" s="66"/>
      <c r="B2183" s="66"/>
      <c r="C2183" s="66"/>
      <c r="D2183" s="66"/>
      <c r="E2183" s="66"/>
      <c r="F2183" s="66"/>
      <c r="G2183" s="66"/>
      <c r="H2183" s="66"/>
      <c r="I2183" s="66"/>
      <c r="J2183" s="66"/>
      <c r="K2183" s="66"/>
      <c r="L2183" s="66"/>
      <c r="M2183" s="66"/>
      <c r="N2183" s="66"/>
      <c r="O2183" s="66"/>
      <c r="P2183" s="66"/>
      <c r="Q2183" s="66"/>
      <c r="R2183" s="66"/>
      <c r="S2183" s="66"/>
      <c r="T2183" s="66"/>
      <c r="U2183" s="66"/>
      <c r="V2183" s="66"/>
      <c r="W2183" s="66"/>
      <c r="X2183" s="66"/>
      <c r="Y2183" s="66"/>
      <c r="Z2183" s="66"/>
    </row>
    <row r="2184">
      <c r="A2184" s="66"/>
      <c r="B2184" s="66"/>
      <c r="C2184" s="66"/>
      <c r="D2184" s="66"/>
      <c r="E2184" s="66"/>
      <c r="F2184" s="66"/>
      <c r="G2184" s="66"/>
      <c r="H2184" s="66"/>
      <c r="I2184" s="66"/>
      <c r="J2184" s="66"/>
      <c r="K2184" s="66"/>
      <c r="L2184" s="66"/>
      <c r="M2184" s="66"/>
      <c r="N2184" s="66"/>
      <c r="O2184" s="66"/>
      <c r="P2184" s="66"/>
      <c r="Q2184" s="66"/>
      <c r="R2184" s="66"/>
      <c r="S2184" s="66"/>
      <c r="T2184" s="66"/>
      <c r="U2184" s="66"/>
      <c r="V2184" s="66"/>
      <c r="W2184" s="66"/>
      <c r="X2184" s="66"/>
      <c r="Y2184" s="66"/>
      <c r="Z2184" s="66"/>
    </row>
    <row r="2185">
      <c r="A2185" s="66"/>
      <c r="B2185" s="66"/>
      <c r="C2185" s="66"/>
      <c r="D2185" s="66"/>
      <c r="E2185" s="66"/>
      <c r="F2185" s="66"/>
      <c r="G2185" s="66"/>
      <c r="H2185" s="66"/>
      <c r="I2185" s="66"/>
      <c r="J2185" s="66"/>
      <c r="K2185" s="66"/>
      <c r="L2185" s="66"/>
      <c r="M2185" s="66"/>
      <c r="N2185" s="66"/>
      <c r="O2185" s="66"/>
      <c r="P2185" s="66"/>
      <c r="Q2185" s="66"/>
      <c r="R2185" s="66"/>
      <c r="S2185" s="66"/>
      <c r="T2185" s="66"/>
      <c r="U2185" s="66"/>
      <c r="V2185" s="66"/>
      <c r="W2185" s="66"/>
      <c r="X2185" s="66"/>
      <c r="Y2185" s="66"/>
      <c r="Z2185" s="66"/>
    </row>
    <row r="2186">
      <c r="A2186" s="66"/>
      <c r="B2186" s="66"/>
      <c r="C2186" s="66"/>
      <c r="D2186" s="66"/>
      <c r="E2186" s="66"/>
      <c r="F2186" s="66"/>
      <c r="G2186" s="66"/>
      <c r="H2186" s="66"/>
      <c r="I2186" s="66"/>
      <c r="J2186" s="66"/>
      <c r="K2186" s="66"/>
      <c r="L2186" s="66"/>
      <c r="M2186" s="66"/>
      <c r="N2186" s="66"/>
      <c r="O2186" s="66"/>
      <c r="P2186" s="66"/>
      <c r="Q2186" s="66"/>
      <c r="R2186" s="66"/>
      <c r="S2186" s="66"/>
      <c r="T2186" s="66"/>
      <c r="U2186" s="66"/>
      <c r="V2186" s="66"/>
      <c r="W2186" s="66"/>
      <c r="X2186" s="66"/>
      <c r="Y2186" s="66"/>
      <c r="Z2186" s="66"/>
    </row>
    <row r="2187">
      <c r="A2187" s="66"/>
      <c r="B2187" s="66"/>
      <c r="C2187" s="66"/>
      <c r="D2187" s="66"/>
      <c r="E2187" s="66"/>
      <c r="F2187" s="66"/>
      <c r="G2187" s="66"/>
      <c r="H2187" s="66"/>
      <c r="I2187" s="66"/>
      <c r="J2187" s="66"/>
      <c r="K2187" s="66"/>
      <c r="L2187" s="66"/>
      <c r="M2187" s="66"/>
      <c r="N2187" s="66"/>
      <c r="O2187" s="66"/>
      <c r="P2187" s="66"/>
      <c r="Q2187" s="66"/>
      <c r="R2187" s="66"/>
      <c r="S2187" s="66"/>
      <c r="T2187" s="66"/>
      <c r="U2187" s="66"/>
      <c r="V2187" s="66"/>
      <c r="W2187" s="66"/>
      <c r="X2187" s="66"/>
      <c r="Y2187" s="66"/>
      <c r="Z2187" s="66"/>
    </row>
    <row r="2188">
      <c r="A2188" s="66"/>
      <c r="B2188" s="66"/>
      <c r="C2188" s="66"/>
      <c r="D2188" s="66"/>
      <c r="E2188" s="66"/>
      <c r="F2188" s="66"/>
      <c r="G2188" s="66"/>
      <c r="H2188" s="66"/>
      <c r="I2188" s="66"/>
      <c r="J2188" s="66"/>
      <c r="K2188" s="66"/>
      <c r="L2188" s="66"/>
      <c r="M2188" s="66"/>
      <c r="N2188" s="66"/>
      <c r="O2188" s="66"/>
      <c r="P2188" s="66"/>
      <c r="Q2188" s="66"/>
      <c r="R2188" s="66"/>
      <c r="S2188" s="66"/>
      <c r="T2188" s="66"/>
      <c r="U2188" s="66"/>
      <c r="V2188" s="66"/>
      <c r="W2188" s="66"/>
      <c r="X2188" s="66"/>
      <c r="Y2188" s="66"/>
      <c r="Z2188" s="66"/>
    </row>
    <row r="2189">
      <c r="A2189" s="66"/>
      <c r="B2189" s="66"/>
      <c r="C2189" s="66"/>
      <c r="D2189" s="66"/>
      <c r="E2189" s="66"/>
      <c r="F2189" s="66"/>
      <c r="G2189" s="66"/>
      <c r="H2189" s="66"/>
      <c r="I2189" s="66"/>
      <c r="J2189" s="66"/>
      <c r="K2189" s="66"/>
      <c r="L2189" s="66"/>
      <c r="M2189" s="66"/>
      <c r="N2189" s="66"/>
      <c r="O2189" s="66"/>
      <c r="P2189" s="66"/>
      <c r="Q2189" s="66"/>
      <c r="R2189" s="66"/>
      <c r="S2189" s="66"/>
      <c r="T2189" s="66"/>
      <c r="U2189" s="66"/>
      <c r="V2189" s="66"/>
      <c r="W2189" s="66"/>
      <c r="X2189" s="66"/>
      <c r="Y2189" s="66"/>
      <c r="Z2189" s="66"/>
    </row>
    <row r="2190">
      <c r="A2190" s="66"/>
      <c r="B2190" s="66"/>
      <c r="C2190" s="66"/>
      <c r="D2190" s="66"/>
      <c r="E2190" s="66"/>
      <c r="F2190" s="66"/>
      <c r="G2190" s="66"/>
      <c r="H2190" s="66"/>
      <c r="I2190" s="66"/>
      <c r="J2190" s="66"/>
      <c r="K2190" s="66"/>
      <c r="L2190" s="66"/>
      <c r="M2190" s="66"/>
      <c r="N2190" s="66"/>
      <c r="O2190" s="66"/>
      <c r="P2190" s="66"/>
      <c r="Q2190" s="66"/>
      <c r="R2190" s="66"/>
      <c r="S2190" s="66"/>
      <c r="T2190" s="66"/>
      <c r="U2190" s="66"/>
      <c r="V2190" s="66"/>
      <c r="W2190" s="66"/>
      <c r="X2190" s="66"/>
      <c r="Y2190" s="66"/>
      <c r="Z2190" s="66"/>
    </row>
    <row r="2191">
      <c r="A2191" s="66"/>
      <c r="B2191" s="66"/>
      <c r="C2191" s="66"/>
      <c r="D2191" s="66"/>
      <c r="E2191" s="66"/>
      <c r="F2191" s="66"/>
      <c r="G2191" s="66"/>
      <c r="H2191" s="66"/>
      <c r="I2191" s="66"/>
      <c r="J2191" s="66"/>
      <c r="K2191" s="66"/>
      <c r="L2191" s="66"/>
      <c r="M2191" s="66"/>
      <c r="N2191" s="66"/>
      <c r="O2191" s="66"/>
      <c r="P2191" s="66"/>
      <c r="Q2191" s="66"/>
      <c r="R2191" s="66"/>
      <c r="S2191" s="66"/>
      <c r="T2191" s="66"/>
      <c r="U2191" s="66"/>
      <c r="V2191" s="66"/>
      <c r="W2191" s="66"/>
      <c r="X2191" s="66"/>
      <c r="Y2191" s="66"/>
      <c r="Z2191" s="66"/>
    </row>
    <row r="2192">
      <c r="A2192" s="66"/>
      <c r="B2192" s="66"/>
      <c r="C2192" s="66"/>
      <c r="D2192" s="66"/>
      <c r="E2192" s="66"/>
      <c r="F2192" s="66"/>
      <c r="G2192" s="66"/>
      <c r="H2192" s="66"/>
      <c r="I2192" s="66"/>
      <c r="J2192" s="66"/>
      <c r="K2192" s="66"/>
      <c r="L2192" s="66"/>
      <c r="M2192" s="66"/>
      <c r="N2192" s="66"/>
      <c r="O2192" s="66"/>
      <c r="P2192" s="66"/>
      <c r="Q2192" s="66"/>
      <c r="R2192" s="66"/>
      <c r="S2192" s="66"/>
      <c r="T2192" s="66"/>
      <c r="U2192" s="66"/>
      <c r="V2192" s="66"/>
      <c r="W2192" s="66"/>
      <c r="X2192" s="66"/>
      <c r="Y2192" s="66"/>
      <c r="Z2192" s="66"/>
    </row>
    <row r="2193">
      <c r="A2193" s="66"/>
      <c r="B2193" s="66"/>
      <c r="C2193" s="66"/>
      <c r="D2193" s="66"/>
      <c r="E2193" s="66"/>
      <c r="F2193" s="66"/>
      <c r="G2193" s="66"/>
      <c r="H2193" s="66"/>
      <c r="I2193" s="66"/>
      <c r="J2193" s="66"/>
      <c r="K2193" s="66"/>
      <c r="L2193" s="66"/>
      <c r="M2193" s="66"/>
      <c r="N2193" s="66"/>
      <c r="O2193" s="66"/>
      <c r="P2193" s="66"/>
      <c r="Q2193" s="66"/>
      <c r="R2193" s="66"/>
      <c r="S2193" s="66"/>
      <c r="T2193" s="66"/>
      <c r="U2193" s="66"/>
      <c r="V2193" s="66"/>
      <c r="W2193" s="66"/>
      <c r="X2193" s="66"/>
      <c r="Y2193" s="66"/>
      <c r="Z2193" s="66"/>
    </row>
    <row r="2194">
      <c r="A2194" s="66"/>
      <c r="B2194" s="66"/>
      <c r="C2194" s="66"/>
      <c r="D2194" s="66"/>
      <c r="E2194" s="66"/>
      <c r="F2194" s="66"/>
      <c r="G2194" s="66"/>
      <c r="H2194" s="66"/>
      <c r="I2194" s="66"/>
      <c r="J2194" s="66"/>
      <c r="K2194" s="66"/>
      <c r="L2194" s="66"/>
      <c r="M2194" s="66"/>
      <c r="N2194" s="66"/>
      <c r="O2194" s="66"/>
      <c r="P2194" s="66"/>
      <c r="Q2194" s="66"/>
      <c r="R2194" s="66"/>
      <c r="S2194" s="66"/>
      <c r="T2194" s="66"/>
      <c r="U2194" s="66"/>
      <c r="V2194" s="66"/>
      <c r="W2194" s="66"/>
      <c r="X2194" s="66"/>
      <c r="Y2194" s="66"/>
      <c r="Z2194" s="66"/>
    </row>
    <row r="2195">
      <c r="A2195" s="66"/>
      <c r="B2195" s="66"/>
      <c r="C2195" s="66"/>
      <c r="D2195" s="66"/>
      <c r="E2195" s="66"/>
      <c r="F2195" s="66"/>
      <c r="G2195" s="66"/>
      <c r="H2195" s="66"/>
      <c r="I2195" s="66"/>
      <c r="J2195" s="66"/>
      <c r="K2195" s="66"/>
      <c r="L2195" s="66"/>
      <c r="M2195" s="66"/>
      <c r="N2195" s="66"/>
      <c r="O2195" s="66"/>
      <c r="P2195" s="66"/>
      <c r="Q2195" s="66"/>
      <c r="R2195" s="66"/>
      <c r="S2195" s="66"/>
      <c r="T2195" s="66"/>
      <c r="U2195" s="66"/>
      <c r="V2195" s="66"/>
      <c r="W2195" s="66"/>
      <c r="X2195" s="66"/>
      <c r="Y2195" s="66"/>
      <c r="Z2195" s="66"/>
    </row>
    <row r="2196">
      <c r="A2196" s="66"/>
      <c r="B2196" s="66"/>
      <c r="C2196" s="66"/>
      <c r="D2196" s="66"/>
      <c r="E2196" s="66"/>
      <c r="F2196" s="66"/>
      <c r="G2196" s="66"/>
      <c r="H2196" s="66"/>
      <c r="I2196" s="66"/>
      <c r="J2196" s="66"/>
      <c r="K2196" s="66"/>
      <c r="L2196" s="66"/>
      <c r="M2196" s="66"/>
      <c r="N2196" s="66"/>
      <c r="O2196" s="66"/>
      <c r="P2196" s="66"/>
      <c r="Q2196" s="66"/>
      <c r="R2196" s="66"/>
      <c r="S2196" s="66"/>
      <c r="T2196" s="66"/>
      <c r="U2196" s="66"/>
      <c r="V2196" s="66"/>
      <c r="W2196" s="66"/>
      <c r="X2196" s="66"/>
      <c r="Y2196" s="66"/>
      <c r="Z2196" s="66"/>
    </row>
    <row r="2197">
      <c r="A2197" s="66"/>
      <c r="B2197" s="66"/>
      <c r="C2197" s="66"/>
      <c r="D2197" s="66"/>
      <c r="E2197" s="66"/>
      <c r="F2197" s="66"/>
      <c r="G2197" s="66"/>
      <c r="H2197" s="66"/>
      <c r="I2197" s="66"/>
      <c r="J2197" s="66"/>
      <c r="K2197" s="66"/>
      <c r="L2197" s="66"/>
      <c r="M2197" s="66"/>
      <c r="N2197" s="66"/>
      <c r="O2197" s="66"/>
      <c r="P2197" s="66"/>
      <c r="Q2197" s="66"/>
      <c r="R2197" s="66"/>
      <c r="S2197" s="66"/>
      <c r="T2197" s="66"/>
      <c r="U2197" s="66"/>
      <c r="V2197" s="66"/>
      <c r="W2197" s="66"/>
      <c r="X2197" s="66"/>
      <c r="Y2197" s="66"/>
      <c r="Z2197" s="66"/>
    </row>
    <row r="2198">
      <c r="A2198" s="66"/>
      <c r="B2198" s="66"/>
      <c r="C2198" s="66"/>
      <c r="D2198" s="66"/>
      <c r="E2198" s="66"/>
      <c r="F2198" s="66"/>
      <c r="G2198" s="66"/>
      <c r="H2198" s="66"/>
      <c r="I2198" s="66"/>
      <c r="J2198" s="66"/>
      <c r="K2198" s="66"/>
      <c r="L2198" s="66"/>
      <c r="M2198" s="66"/>
      <c r="N2198" s="66"/>
      <c r="O2198" s="66"/>
      <c r="P2198" s="66"/>
      <c r="Q2198" s="66"/>
      <c r="R2198" s="66"/>
      <c r="S2198" s="66"/>
      <c r="T2198" s="66"/>
      <c r="U2198" s="66"/>
      <c r="V2198" s="66"/>
      <c r="W2198" s="66"/>
      <c r="X2198" s="66"/>
      <c r="Y2198" s="66"/>
      <c r="Z2198" s="66"/>
    </row>
    <row r="2199">
      <c r="A2199" s="66"/>
      <c r="B2199" s="66"/>
      <c r="C2199" s="66"/>
      <c r="D2199" s="66"/>
      <c r="E2199" s="66"/>
      <c r="F2199" s="66"/>
      <c r="G2199" s="66"/>
      <c r="H2199" s="66"/>
      <c r="I2199" s="66"/>
      <c r="J2199" s="66"/>
      <c r="K2199" s="66"/>
      <c r="L2199" s="66"/>
      <c r="M2199" s="66"/>
      <c r="N2199" s="66"/>
      <c r="O2199" s="66"/>
      <c r="P2199" s="66"/>
      <c r="Q2199" s="66"/>
      <c r="R2199" s="66"/>
      <c r="S2199" s="66"/>
      <c r="T2199" s="66"/>
      <c r="U2199" s="66"/>
      <c r="V2199" s="66"/>
      <c r="W2199" s="66"/>
      <c r="X2199" s="66"/>
      <c r="Y2199" s="66"/>
      <c r="Z2199" s="66"/>
    </row>
    <row r="2200">
      <c r="A2200" s="66"/>
      <c r="B2200" s="66"/>
      <c r="C2200" s="66"/>
      <c r="D2200" s="66"/>
      <c r="E2200" s="66"/>
      <c r="F2200" s="66"/>
      <c r="G2200" s="66"/>
      <c r="H2200" s="66"/>
      <c r="I2200" s="66"/>
      <c r="J2200" s="66"/>
      <c r="K2200" s="66"/>
      <c r="L2200" s="66"/>
      <c r="M2200" s="66"/>
      <c r="N2200" s="66"/>
      <c r="O2200" s="66"/>
      <c r="P2200" s="66"/>
      <c r="Q2200" s="66"/>
      <c r="R2200" s="66"/>
      <c r="S2200" s="66"/>
      <c r="T2200" s="66"/>
      <c r="U2200" s="66"/>
      <c r="V2200" s="66"/>
      <c r="W2200" s="66"/>
      <c r="X2200" s="66"/>
      <c r="Y2200" s="66"/>
      <c r="Z2200" s="66"/>
    </row>
    <row r="2201">
      <c r="A2201" s="66"/>
      <c r="B2201" s="66"/>
      <c r="C2201" s="66"/>
      <c r="D2201" s="66"/>
      <c r="E2201" s="66"/>
      <c r="F2201" s="66"/>
      <c r="G2201" s="66"/>
      <c r="H2201" s="66"/>
      <c r="I2201" s="66"/>
      <c r="J2201" s="66"/>
      <c r="K2201" s="66"/>
      <c r="L2201" s="66"/>
      <c r="M2201" s="66"/>
      <c r="N2201" s="66"/>
      <c r="O2201" s="66"/>
      <c r="P2201" s="66"/>
      <c r="Q2201" s="66"/>
      <c r="R2201" s="66"/>
      <c r="S2201" s="66"/>
      <c r="T2201" s="66"/>
      <c r="U2201" s="66"/>
      <c r="V2201" s="66"/>
      <c r="W2201" s="66"/>
      <c r="X2201" s="66"/>
      <c r="Y2201" s="66"/>
      <c r="Z2201" s="66"/>
    </row>
    <row r="2202">
      <c r="A2202" s="66"/>
      <c r="B2202" s="66"/>
      <c r="C2202" s="66"/>
      <c r="D2202" s="66"/>
      <c r="E2202" s="66"/>
      <c r="F2202" s="66"/>
      <c r="G2202" s="66"/>
      <c r="H2202" s="66"/>
      <c r="I2202" s="66"/>
      <c r="J2202" s="66"/>
      <c r="K2202" s="66"/>
      <c r="L2202" s="66"/>
      <c r="M2202" s="66"/>
      <c r="N2202" s="66"/>
      <c r="O2202" s="66"/>
      <c r="P2202" s="66"/>
      <c r="Q2202" s="66"/>
      <c r="R2202" s="66"/>
      <c r="S2202" s="66"/>
      <c r="T2202" s="66"/>
      <c r="U2202" s="66"/>
      <c r="V2202" s="66"/>
      <c r="W2202" s="66"/>
      <c r="X2202" s="66"/>
      <c r="Y2202" s="66"/>
      <c r="Z2202" s="66"/>
    </row>
    <row r="2203">
      <c r="A2203" s="66"/>
      <c r="B2203" s="66"/>
      <c r="C2203" s="66"/>
      <c r="D2203" s="66"/>
      <c r="E2203" s="66"/>
      <c r="F2203" s="66"/>
      <c r="G2203" s="66"/>
      <c r="H2203" s="66"/>
      <c r="I2203" s="66"/>
      <c r="J2203" s="66"/>
      <c r="K2203" s="66"/>
      <c r="L2203" s="66"/>
      <c r="M2203" s="66"/>
      <c r="N2203" s="66"/>
      <c r="O2203" s="66"/>
      <c r="P2203" s="66"/>
      <c r="Q2203" s="66"/>
      <c r="R2203" s="66"/>
      <c r="S2203" s="66"/>
      <c r="T2203" s="66"/>
      <c r="U2203" s="66"/>
      <c r="V2203" s="66"/>
      <c r="W2203" s="66"/>
      <c r="X2203" s="66"/>
      <c r="Y2203" s="66"/>
      <c r="Z2203" s="66"/>
    </row>
    <row r="2204">
      <c r="A2204" s="66"/>
      <c r="B2204" s="66"/>
      <c r="C2204" s="66"/>
      <c r="D2204" s="66"/>
      <c r="E2204" s="66"/>
      <c r="F2204" s="66"/>
      <c r="G2204" s="66"/>
      <c r="H2204" s="66"/>
      <c r="I2204" s="66"/>
      <c r="J2204" s="66"/>
      <c r="K2204" s="66"/>
      <c r="L2204" s="66"/>
      <c r="M2204" s="66"/>
      <c r="N2204" s="66"/>
      <c r="O2204" s="66"/>
      <c r="P2204" s="66"/>
      <c r="Q2204" s="66"/>
      <c r="R2204" s="66"/>
      <c r="S2204" s="66"/>
      <c r="T2204" s="66"/>
      <c r="U2204" s="66"/>
      <c r="V2204" s="66"/>
      <c r="W2204" s="66"/>
      <c r="X2204" s="66"/>
      <c r="Y2204" s="66"/>
      <c r="Z2204" s="66"/>
    </row>
    <row r="2205">
      <c r="A2205" s="66"/>
      <c r="B2205" s="66"/>
      <c r="C2205" s="66"/>
      <c r="D2205" s="66"/>
      <c r="E2205" s="66"/>
      <c r="F2205" s="66"/>
      <c r="G2205" s="66"/>
      <c r="H2205" s="66"/>
      <c r="I2205" s="66"/>
      <c r="J2205" s="66"/>
      <c r="K2205" s="66"/>
      <c r="L2205" s="66"/>
      <c r="M2205" s="66"/>
      <c r="N2205" s="66"/>
      <c r="O2205" s="66"/>
      <c r="P2205" s="66"/>
      <c r="Q2205" s="66"/>
      <c r="R2205" s="66"/>
      <c r="S2205" s="66"/>
      <c r="T2205" s="66"/>
      <c r="U2205" s="66"/>
      <c r="V2205" s="66"/>
      <c r="W2205" s="66"/>
      <c r="X2205" s="66"/>
      <c r="Y2205" s="66"/>
      <c r="Z2205" s="66"/>
    </row>
    <row r="2206">
      <c r="A2206" s="66"/>
      <c r="B2206" s="66"/>
      <c r="C2206" s="66"/>
      <c r="D2206" s="66"/>
      <c r="E2206" s="66"/>
      <c r="F2206" s="66"/>
      <c r="G2206" s="66"/>
      <c r="H2206" s="66"/>
      <c r="I2206" s="66"/>
      <c r="J2206" s="66"/>
      <c r="K2206" s="66"/>
      <c r="L2206" s="66"/>
      <c r="M2206" s="66"/>
      <c r="N2206" s="66"/>
      <c r="O2206" s="66"/>
      <c r="P2206" s="66"/>
      <c r="Q2206" s="66"/>
      <c r="R2206" s="66"/>
      <c r="S2206" s="66"/>
      <c r="T2206" s="66"/>
      <c r="U2206" s="66"/>
      <c r="V2206" s="66"/>
      <c r="W2206" s="66"/>
      <c r="X2206" s="66"/>
      <c r="Y2206" s="66"/>
      <c r="Z2206" s="66"/>
    </row>
    <row r="2207">
      <c r="A2207" s="66"/>
      <c r="B2207" s="66"/>
      <c r="C2207" s="66"/>
      <c r="D2207" s="66"/>
      <c r="E2207" s="66"/>
      <c r="F2207" s="66"/>
      <c r="G2207" s="66"/>
      <c r="H2207" s="66"/>
      <c r="I2207" s="66"/>
      <c r="J2207" s="66"/>
      <c r="K2207" s="66"/>
      <c r="L2207" s="66"/>
      <c r="M2207" s="66"/>
      <c r="N2207" s="66"/>
      <c r="O2207" s="66"/>
      <c r="P2207" s="66"/>
      <c r="Q2207" s="66"/>
      <c r="R2207" s="66"/>
      <c r="S2207" s="66"/>
      <c r="T2207" s="66"/>
      <c r="U2207" s="66"/>
      <c r="V2207" s="66"/>
      <c r="W2207" s="66"/>
      <c r="X2207" s="66"/>
      <c r="Y2207" s="66"/>
      <c r="Z2207" s="66"/>
    </row>
    <row r="2208">
      <c r="A2208" s="66"/>
      <c r="B2208" s="66"/>
      <c r="C2208" s="66"/>
      <c r="D2208" s="66"/>
      <c r="E2208" s="66"/>
      <c r="F2208" s="66"/>
      <c r="G2208" s="66"/>
      <c r="H2208" s="66"/>
      <c r="I2208" s="66"/>
      <c r="J2208" s="66"/>
      <c r="K2208" s="66"/>
      <c r="L2208" s="66"/>
      <c r="M2208" s="66"/>
      <c r="N2208" s="66"/>
      <c r="O2208" s="66"/>
      <c r="P2208" s="66"/>
      <c r="Q2208" s="66"/>
      <c r="R2208" s="66"/>
      <c r="S2208" s="66"/>
      <c r="T2208" s="66"/>
      <c r="U2208" s="66"/>
      <c r="V2208" s="66"/>
      <c r="W2208" s="66"/>
      <c r="X2208" s="66"/>
      <c r="Y2208" s="66"/>
      <c r="Z2208" s="66"/>
    </row>
    <row r="2209">
      <c r="A2209" s="66"/>
      <c r="B2209" s="66"/>
      <c r="C2209" s="66"/>
      <c r="D2209" s="66"/>
      <c r="E2209" s="66"/>
      <c r="F2209" s="66"/>
      <c r="G2209" s="66"/>
      <c r="H2209" s="66"/>
      <c r="I2209" s="66"/>
      <c r="J2209" s="66"/>
      <c r="K2209" s="66"/>
      <c r="L2209" s="66"/>
      <c r="M2209" s="66"/>
      <c r="N2209" s="66"/>
      <c r="O2209" s="66"/>
      <c r="P2209" s="66"/>
      <c r="Q2209" s="66"/>
      <c r="R2209" s="66"/>
      <c r="S2209" s="66"/>
      <c r="T2209" s="66"/>
      <c r="U2209" s="66"/>
      <c r="V2209" s="66"/>
      <c r="W2209" s="66"/>
      <c r="X2209" s="66"/>
      <c r="Y2209" s="66"/>
      <c r="Z2209" s="66"/>
    </row>
    <row r="2210">
      <c r="A2210" s="66"/>
      <c r="B2210" s="66"/>
      <c r="C2210" s="66"/>
      <c r="D2210" s="66"/>
      <c r="E2210" s="66"/>
      <c r="F2210" s="66"/>
      <c r="G2210" s="66"/>
      <c r="H2210" s="66"/>
      <c r="I2210" s="66"/>
      <c r="J2210" s="66"/>
      <c r="K2210" s="66"/>
      <c r="L2210" s="66"/>
      <c r="M2210" s="66"/>
      <c r="N2210" s="66"/>
      <c r="O2210" s="66"/>
      <c r="P2210" s="66"/>
      <c r="Q2210" s="66"/>
      <c r="R2210" s="66"/>
      <c r="S2210" s="66"/>
      <c r="T2210" s="66"/>
      <c r="U2210" s="66"/>
      <c r="V2210" s="66"/>
      <c r="W2210" s="66"/>
      <c r="X2210" s="66"/>
      <c r="Y2210" s="66"/>
      <c r="Z2210" s="66"/>
    </row>
    <row r="2211">
      <c r="A2211" s="66"/>
      <c r="B2211" s="66"/>
      <c r="C2211" s="66"/>
      <c r="D2211" s="66"/>
      <c r="E2211" s="66"/>
      <c r="F2211" s="66"/>
      <c r="G2211" s="66"/>
      <c r="H2211" s="66"/>
      <c r="I2211" s="66"/>
      <c r="J2211" s="66"/>
      <c r="K2211" s="66"/>
      <c r="L2211" s="66"/>
      <c r="M2211" s="66"/>
      <c r="N2211" s="66"/>
      <c r="O2211" s="66"/>
      <c r="P2211" s="66"/>
      <c r="Q2211" s="66"/>
      <c r="R2211" s="66"/>
      <c r="S2211" s="66"/>
      <c r="T2211" s="66"/>
      <c r="U2211" s="66"/>
      <c r="V2211" s="66"/>
      <c r="W2211" s="66"/>
      <c r="X2211" s="66"/>
      <c r="Y2211" s="66"/>
      <c r="Z2211" s="66"/>
    </row>
    <row r="2212">
      <c r="A2212" s="66"/>
      <c r="B2212" s="66"/>
      <c r="C2212" s="66"/>
      <c r="D2212" s="66"/>
      <c r="E2212" s="66"/>
      <c r="F2212" s="66"/>
      <c r="G2212" s="66"/>
      <c r="H2212" s="66"/>
      <c r="I2212" s="66"/>
      <c r="J2212" s="66"/>
      <c r="K2212" s="66"/>
      <c r="L2212" s="66"/>
      <c r="M2212" s="66"/>
      <c r="N2212" s="66"/>
      <c r="O2212" s="66"/>
      <c r="P2212" s="66"/>
      <c r="Q2212" s="66"/>
      <c r="R2212" s="66"/>
      <c r="S2212" s="66"/>
      <c r="T2212" s="66"/>
      <c r="U2212" s="66"/>
      <c r="V2212" s="66"/>
      <c r="W2212" s="66"/>
      <c r="X2212" s="66"/>
      <c r="Y2212" s="66"/>
      <c r="Z2212" s="66"/>
    </row>
    <row r="2213">
      <c r="A2213" s="66"/>
      <c r="B2213" s="66"/>
      <c r="C2213" s="66"/>
      <c r="D2213" s="66"/>
      <c r="E2213" s="66"/>
      <c r="F2213" s="66"/>
      <c r="G2213" s="66"/>
      <c r="H2213" s="66"/>
      <c r="I2213" s="66"/>
      <c r="J2213" s="66"/>
      <c r="K2213" s="66"/>
      <c r="L2213" s="66"/>
      <c r="M2213" s="66"/>
      <c r="N2213" s="66"/>
      <c r="O2213" s="66"/>
      <c r="P2213" s="66"/>
      <c r="Q2213" s="66"/>
      <c r="R2213" s="66"/>
      <c r="S2213" s="66"/>
      <c r="T2213" s="66"/>
      <c r="U2213" s="66"/>
      <c r="V2213" s="66"/>
      <c r="W2213" s="66"/>
      <c r="X2213" s="66"/>
      <c r="Y2213" s="66"/>
      <c r="Z2213" s="66"/>
    </row>
    <row r="2214">
      <c r="A2214" s="66"/>
      <c r="B2214" s="66"/>
      <c r="C2214" s="66"/>
      <c r="D2214" s="66"/>
      <c r="E2214" s="66"/>
      <c r="F2214" s="66"/>
      <c r="G2214" s="66"/>
      <c r="H2214" s="66"/>
      <c r="I2214" s="66"/>
      <c r="J2214" s="66"/>
      <c r="K2214" s="66"/>
      <c r="L2214" s="66"/>
      <c r="M2214" s="66"/>
      <c r="N2214" s="66"/>
      <c r="O2214" s="66"/>
      <c r="P2214" s="66"/>
      <c r="Q2214" s="66"/>
      <c r="R2214" s="66"/>
      <c r="S2214" s="66"/>
      <c r="T2214" s="66"/>
      <c r="U2214" s="66"/>
      <c r="V2214" s="66"/>
      <c r="W2214" s="66"/>
      <c r="X2214" s="66"/>
      <c r="Y2214" s="66"/>
      <c r="Z2214" s="66"/>
    </row>
    <row r="2215">
      <c r="A2215" s="66"/>
      <c r="B2215" s="66"/>
      <c r="C2215" s="66"/>
      <c r="D2215" s="66"/>
      <c r="E2215" s="66"/>
      <c r="F2215" s="66"/>
      <c r="G2215" s="66"/>
      <c r="H2215" s="66"/>
      <c r="I2215" s="66"/>
      <c r="J2215" s="66"/>
      <c r="K2215" s="66"/>
      <c r="L2215" s="66"/>
      <c r="M2215" s="66"/>
      <c r="N2215" s="66"/>
      <c r="O2215" s="66"/>
      <c r="P2215" s="66"/>
      <c r="Q2215" s="66"/>
      <c r="R2215" s="66"/>
      <c r="S2215" s="66"/>
      <c r="T2215" s="66"/>
      <c r="U2215" s="66"/>
      <c r="V2215" s="66"/>
      <c r="W2215" s="66"/>
      <c r="X2215" s="66"/>
      <c r="Y2215" s="66"/>
      <c r="Z2215" s="66"/>
    </row>
    <row r="2216">
      <c r="A2216" s="66"/>
      <c r="B2216" s="66"/>
      <c r="C2216" s="66"/>
      <c r="D2216" s="66"/>
      <c r="E2216" s="66"/>
      <c r="F2216" s="66"/>
      <c r="G2216" s="66"/>
      <c r="H2216" s="66"/>
      <c r="I2216" s="66"/>
      <c r="J2216" s="66"/>
      <c r="K2216" s="66"/>
      <c r="L2216" s="66"/>
      <c r="M2216" s="66"/>
      <c r="N2216" s="66"/>
      <c r="O2216" s="66"/>
      <c r="P2216" s="66"/>
      <c r="Q2216" s="66"/>
      <c r="R2216" s="66"/>
      <c r="S2216" s="66"/>
      <c r="T2216" s="66"/>
      <c r="U2216" s="66"/>
      <c r="V2216" s="66"/>
      <c r="W2216" s="66"/>
      <c r="X2216" s="66"/>
      <c r="Y2216" s="66"/>
      <c r="Z2216" s="66"/>
    </row>
    <row r="2217">
      <c r="A2217" s="66"/>
      <c r="B2217" s="66"/>
      <c r="C2217" s="66"/>
      <c r="D2217" s="66"/>
      <c r="E2217" s="66"/>
      <c r="F2217" s="66"/>
      <c r="G2217" s="66"/>
      <c r="H2217" s="66"/>
      <c r="I2217" s="66"/>
      <c r="J2217" s="66"/>
      <c r="K2217" s="66"/>
      <c r="L2217" s="66"/>
      <c r="M2217" s="66"/>
      <c r="N2217" s="66"/>
      <c r="O2217" s="66"/>
      <c r="P2217" s="66"/>
      <c r="Q2217" s="66"/>
      <c r="R2217" s="66"/>
      <c r="S2217" s="66"/>
      <c r="T2217" s="66"/>
      <c r="U2217" s="66"/>
      <c r="V2217" s="66"/>
      <c r="W2217" s="66"/>
      <c r="X2217" s="66"/>
      <c r="Y2217" s="66"/>
      <c r="Z2217" s="66"/>
    </row>
    <row r="2218">
      <c r="A2218" s="66"/>
      <c r="B2218" s="66"/>
      <c r="C2218" s="66"/>
      <c r="D2218" s="66"/>
      <c r="E2218" s="66"/>
      <c r="F2218" s="66"/>
      <c r="G2218" s="66"/>
      <c r="H2218" s="66"/>
      <c r="I2218" s="66"/>
      <c r="J2218" s="66"/>
      <c r="K2218" s="66"/>
      <c r="L2218" s="66"/>
      <c r="M2218" s="66"/>
      <c r="N2218" s="66"/>
      <c r="O2218" s="66"/>
      <c r="P2218" s="66"/>
      <c r="Q2218" s="66"/>
      <c r="R2218" s="66"/>
      <c r="S2218" s="66"/>
      <c r="T2218" s="66"/>
      <c r="U2218" s="66"/>
      <c r="V2218" s="66"/>
      <c r="W2218" s="66"/>
      <c r="X2218" s="66"/>
      <c r="Y2218" s="66"/>
      <c r="Z2218" s="66"/>
    </row>
    <row r="2219">
      <c r="A2219" s="66"/>
      <c r="B2219" s="66"/>
      <c r="C2219" s="66"/>
      <c r="D2219" s="66"/>
      <c r="E2219" s="66"/>
      <c r="F2219" s="66"/>
      <c r="G2219" s="66"/>
      <c r="H2219" s="66"/>
      <c r="I2219" s="66"/>
      <c r="J2219" s="66"/>
      <c r="K2219" s="66"/>
      <c r="L2219" s="66"/>
      <c r="M2219" s="66"/>
      <c r="N2219" s="66"/>
      <c r="O2219" s="66"/>
      <c r="P2219" s="66"/>
      <c r="Q2219" s="66"/>
      <c r="R2219" s="66"/>
      <c r="S2219" s="66"/>
      <c r="T2219" s="66"/>
      <c r="U2219" s="66"/>
      <c r="V2219" s="66"/>
      <c r="W2219" s="66"/>
      <c r="X2219" s="66"/>
      <c r="Y2219" s="66"/>
      <c r="Z2219" s="66"/>
    </row>
    <row r="2220">
      <c r="A2220" s="66"/>
      <c r="B2220" s="66"/>
      <c r="C2220" s="66"/>
      <c r="D2220" s="66"/>
      <c r="E2220" s="66"/>
      <c r="F2220" s="66"/>
      <c r="G2220" s="66"/>
      <c r="H2220" s="66"/>
      <c r="I2220" s="66"/>
      <c r="J2220" s="66"/>
      <c r="K2220" s="66"/>
      <c r="L2220" s="66"/>
      <c r="M2220" s="66"/>
      <c r="N2220" s="66"/>
      <c r="O2220" s="66"/>
      <c r="P2220" s="66"/>
      <c r="Q2220" s="66"/>
      <c r="R2220" s="66"/>
      <c r="S2220" s="66"/>
      <c r="T2220" s="66"/>
      <c r="U2220" s="66"/>
      <c r="V2220" s="66"/>
      <c r="W2220" s="66"/>
      <c r="X2220" s="66"/>
      <c r="Y2220" s="66"/>
      <c r="Z2220" s="66"/>
    </row>
    <row r="2221">
      <c r="A2221" s="66"/>
      <c r="B2221" s="66"/>
      <c r="C2221" s="66"/>
      <c r="D2221" s="66"/>
      <c r="E2221" s="66"/>
      <c r="F2221" s="66"/>
      <c r="G2221" s="66"/>
      <c r="H2221" s="66"/>
      <c r="I2221" s="66"/>
      <c r="J2221" s="66"/>
      <c r="K2221" s="66"/>
      <c r="L2221" s="66"/>
      <c r="M2221" s="66"/>
      <c r="N2221" s="66"/>
      <c r="O2221" s="66"/>
      <c r="P2221" s="66"/>
      <c r="Q2221" s="66"/>
      <c r="R2221" s="66"/>
      <c r="S2221" s="66"/>
      <c r="T2221" s="66"/>
      <c r="U2221" s="66"/>
      <c r="V2221" s="66"/>
      <c r="W2221" s="66"/>
      <c r="X2221" s="66"/>
      <c r="Y2221" s="66"/>
      <c r="Z2221" s="66"/>
    </row>
    <row r="2222">
      <c r="A2222" s="66"/>
      <c r="B2222" s="66"/>
      <c r="C2222" s="66"/>
      <c r="D2222" s="66"/>
      <c r="E2222" s="66"/>
      <c r="F2222" s="66"/>
      <c r="G2222" s="66"/>
      <c r="H2222" s="66"/>
      <c r="I2222" s="66"/>
      <c r="J2222" s="66"/>
      <c r="K2222" s="66"/>
      <c r="L2222" s="66"/>
      <c r="M2222" s="66"/>
      <c r="N2222" s="66"/>
      <c r="O2222" s="66"/>
      <c r="P2222" s="66"/>
      <c r="Q2222" s="66"/>
      <c r="R2222" s="66"/>
      <c r="S2222" s="66"/>
      <c r="T2222" s="66"/>
      <c r="U2222" s="66"/>
      <c r="V2222" s="66"/>
      <c r="W2222" s="66"/>
      <c r="X2222" s="66"/>
      <c r="Y2222" s="66"/>
      <c r="Z2222" s="66"/>
    </row>
    <row r="2223">
      <c r="A2223" s="66"/>
      <c r="B2223" s="66"/>
      <c r="C2223" s="66"/>
      <c r="D2223" s="66"/>
      <c r="E2223" s="66"/>
      <c r="F2223" s="66"/>
      <c r="G2223" s="66"/>
      <c r="H2223" s="66"/>
      <c r="I2223" s="66"/>
      <c r="J2223" s="66"/>
      <c r="K2223" s="66"/>
      <c r="L2223" s="66"/>
      <c r="M2223" s="66"/>
      <c r="N2223" s="66"/>
      <c r="O2223" s="66"/>
      <c r="P2223" s="66"/>
      <c r="Q2223" s="66"/>
      <c r="R2223" s="66"/>
      <c r="S2223" s="66"/>
      <c r="T2223" s="66"/>
      <c r="U2223" s="66"/>
      <c r="V2223" s="66"/>
      <c r="W2223" s="66"/>
      <c r="X2223" s="66"/>
      <c r="Y2223" s="66"/>
      <c r="Z2223" s="66"/>
    </row>
    <row r="2224">
      <c r="A2224" s="66"/>
      <c r="B2224" s="66"/>
      <c r="C2224" s="66"/>
      <c r="D2224" s="66"/>
      <c r="E2224" s="66"/>
      <c r="F2224" s="66"/>
      <c r="G2224" s="66"/>
      <c r="H2224" s="66"/>
      <c r="I2224" s="66"/>
      <c r="J2224" s="66"/>
      <c r="K2224" s="66"/>
      <c r="L2224" s="66"/>
      <c r="M2224" s="66"/>
      <c r="N2224" s="66"/>
      <c r="O2224" s="66"/>
      <c r="P2224" s="66"/>
      <c r="Q2224" s="66"/>
      <c r="R2224" s="66"/>
      <c r="S2224" s="66"/>
      <c r="T2224" s="66"/>
      <c r="U2224" s="66"/>
      <c r="V2224" s="66"/>
      <c r="W2224" s="66"/>
      <c r="X2224" s="66"/>
      <c r="Y2224" s="66"/>
      <c r="Z2224" s="66"/>
    </row>
    <row r="2225">
      <c r="A2225" s="66"/>
      <c r="B2225" s="66"/>
      <c r="C2225" s="66"/>
      <c r="D2225" s="66"/>
      <c r="E2225" s="66"/>
      <c r="F2225" s="66"/>
      <c r="G2225" s="66"/>
      <c r="H2225" s="66"/>
      <c r="I2225" s="66"/>
      <c r="J2225" s="66"/>
      <c r="K2225" s="66"/>
      <c r="L2225" s="66"/>
      <c r="M2225" s="66"/>
      <c r="N2225" s="66"/>
      <c r="O2225" s="66"/>
      <c r="P2225" s="66"/>
      <c r="Q2225" s="66"/>
      <c r="R2225" s="66"/>
      <c r="S2225" s="66"/>
      <c r="T2225" s="66"/>
      <c r="U2225" s="66"/>
      <c r="V2225" s="66"/>
      <c r="W2225" s="66"/>
      <c r="X2225" s="66"/>
      <c r="Y2225" s="66"/>
      <c r="Z2225" s="66"/>
    </row>
    <row r="2226">
      <c r="A2226" s="66"/>
      <c r="B2226" s="66"/>
      <c r="C2226" s="66"/>
      <c r="D2226" s="66"/>
      <c r="E2226" s="66"/>
      <c r="F2226" s="66"/>
      <c r="G2226" s="66"/>
      <c r="H2226" s="66"/>
      <c r="I2226" s="66"/>
      <c r="J2226" s="66"/>
      <c r="K2226" s="66"/>
      <c r="L2226" s="66"/>
      <c r="M2226" s="66"/>
      <c r="N2226" s="66"/>
      <c r="O2226" s="66"/>
      <c r="P2226" s="66"/>
      <c r="Q2226" s="66"/>
      <c r="R2226" s="66"/>
      <c r="S2226" s="66"/>
      <c r="T2226" s="66"/>
      <c r="U2226" s="66"/>
      <c r="V2226" s="66"/>
      <c r="W2226" s="66"/>
      <c r="X2226" s="66"/>
      <c r="Y2226" s="66"/>
      <c r="Z2226" s="66"/>
    </row>
    <row r="2227">
      <c r="A2227" s="66"/>
      <c r="B2227" s="66"/>
      <c r="C2227" s="66"/>
      <c r="D2227" s="66"/>
      <c r="E2227" s="66"/>
      <c r="F2227" s="66"/>
      <c r="G2227" s="66"/>
      <c r="H2227" s="66"/>
      <c r="I2227" s="66"/>
      <c r="J2227" s="66"/>
      <c r="K2227" s="66"/>
      <c r="L2227" s="66"/>
      <c r="M2227" s="66"/>
      <c r="N2227" s="66"/>
      <c r="O2227" s="66"/>
      <c r="P2227" s="66"/>
      <c r="Q2227" s="66"/>
      <c r="R2227" s="66"/>
      <c r="S2227" s="66"/>
      <c r="T2227" s="66"/>
      <c r="U2227" s="66"/>
      <c r="V2227" s="66"/>
      <c r="W2227" s="66"/>
      <c r="X2227" s="66"/>
      <c r="Y2227" s="66"/>
      <c r="Z2227" s="66"/>
    </row>
    <row r="2228">
      <c r="A2228" s="66"/>
      <c r="B2228" s="66"/>
      <c r="C2228" s="66"/>
      <c r="D2228" s="66"/>
      <c r="E2228" s="66"/>
      <c r="F2228" s="66"/>
      <c r="G2228" s="66"/>
      <c r="H2228" s="66"/>
      <c r="I2228" s="66"/>
      <c r="J2228" s="66"/>
      <c r="K2228" s="66"/>
      <c r="L2228" s="66"/>
      <c r="M2228" s="66"/>
      <c r="N2228" s="66"/>
      <c r="O2228" s="66"/>
      <c r="P2228" s="66"/>
      <c r="Q2228" s="66"/>
      <c r="R2228" s="66"/>
      <c r="S2228" s="66"/>
      <c r="T2228" s="66"/>
      <c r="U2228" s="66"/>
      <c r="V2228" s="66"/>
      <c r="W2228" s="66"/>
      <c r="X2228" s="66"/>
      <c r="Y2228" s="66"/>
      <c r="Z2228" s="66"/>
    </row>
    <row r="2229">
      <c r="A2229" s="66"/>
      <c r="B2229" s="66"/>
      <c r="C2229" s="66"/>
      <c r="D2229" s="66"/>
      <c r="E2229" s="66"/>
      <c r="F2229" s="66"/>
      <c r="G2229" s="66"/>
      <c r="H2229" s="66"/>
      <c r="I2229" s="66"/>
      <c r="J2229" s="66"/>
      <c r="K2229" s="66"/>
      <c r="L2229" s="66"/>
      <c r="M2229" s="66"/>
      <c r="N2229" s="66"/>
      <c r="O2229" s="66"/>
      <c r="P2229" s="66"/>
      <c r="Q2229" s="66"/>
      <c r="R2229" s="66"/>
      <c r="S2229" s="66"/>
      <c r="T2229" s="66"/>
      <c r="U2229" s="66"/>
      <c r="V2229" s="66"/>
      <c r="W2229" s="66"/>
      <c r="X2229" s="66"/>
      <c r="Y2229" s="66"/>
      <c r="Z2229" s="66"/>
    </row>
    <row r="2230">
      <c r="A2230" s="66"/>
      <c r="B2230" s="66"/>
      <c r="C2230" s="66"/>
      <c r="D2230" s="66"/>
      <c r="E2230" s="66"/>
      <c r="F2230" s="66"/>
      <c r="G2230" s="66"/>
      <c r="H2230" s="66"/>
      <c r="I2230" s="66"/>
      <c r="J2230" s="66"/>
      <c r="K2230" s="66"/>
      <c r="L2230" s="66"/>
      <c r="M2230" s="66"/>
      <c r="N2230" s="66"/>
      <c r="O2230" s="66"/>
      <c r="P2230" s="66"/>
      <c r="Q2230" s="66"/>
      <c r="R2230" s="66"/>
      <c r="S2230" s="66"/>
      <c r="T2230" s="66"/>
      <c r="U2230" s="66"/>
      <c r="V2230" s="66"/>
      <c r="W2230" s="66"/>
      <c r="X2230" s="66"/>
      <c r="Y2230" s="66"/>
      <c r="Z2230" s="66"/>
    </row>
    <row r="2231">
      <c r="A2231" s="66"/>
      <c r="B2231" s="66"/>
      <c r="C2231" s="66"/>
      <c r="D2231" s="66"/>
      <c r="E2231" s="66"/>
      <c r="F2231" s="66"/>
      <c r="G2231" s="66"/>
      <c r="H2231" s="66"/>
      <c r="I2231" s="66"/>
      <c r="J2231" s="66"/>
      <c r="K2231" s="66"/>
      <c r="L2231" s="66"/>
      <c r="M2231" s="66"/>
      <c r="N2231" s="66"/>
      <c r="O2231" s="66"/>
      <c r="P2231" s="66"/>
      <c r="Q2231" s="66"/>
      <c r="R2231" s="66"/>
      <c r="S2231" s="66"/>
      <c r="T2231" s="66"/>
      <c r="U2231" s="66"/>
      <c r="V2231" s="66"/>
      <c r="W2231" s="66"/>
      <c r="X2231" s="66"/>
      <c r="Y2231" s="66"/>
      <c r="Z2231" s="66"/>
    </row>
    <row r="2232">
      <c r="A2232" s="66"/>
      <c r="B2232" s="66"/>
      <c r="C2232" s="66"/>
      <c r="D2232" s="66"/>
      <c r="E2232" s="66"/>
      <c r="F2232" s="66"/>
      <c r="G2232" s="66"/>
      <c r="H2232" s="66"/>
      <c r="I2232" s="66"/>
      <c r="J2232" s="66"/>
      <c r="K2232" s="66"/>
      <c r="L2232" s="66"/>
      <c r="M2232" s="66"/>
      <c r="N2232" s="66"/>
      <c r="O2232" s="66"/>
      <c r="P2232" s="66"/>
      <c r="Q2232" s="66"/>
      <c r="R2232" s="66"/>
      <c r="S2232" s="66"/>
      <c r="T2232" s="66"/>
      <c r="U2232" s="66"/>
      <c r="V2232" s="66"/>
      <c r="W2232" s="66"/>
      <c r="X2232" s="66"/>
      <c r="Y2232" s="66"/>
      <c r="Z2232" s="66"/>
    </row>
    <row r="2233">
      <c r="A2233" s="66"/>
      <c r="B2233" s="66"/>
      <c r="C2233" s="66"/>
      <c r="D2233" s="66"/>
      <c r="E2233" s="66"/>
      <c r="F2233" s="66"/>
      <c r="G2233" s="66"/>
      <c r="H2233" s="66"/>
      <c r="I2233" s="66"/>
      <c r="J2233" s="66"/>
      <c r="K2233" s="66"/>
      <c r="L2233" s="66"/>
      <c r="M2233" s="66"/>
      <c r="N2233" s="66"/>
      <c r="O2233" s="66"/>
      <c r="P2233" s="66"/>
      <c r="Q2233" s="66"/>
      <c r="R2233" s="66"/>
      <c r="S2233" s="66"/>
      <c r="T2233" s="66"/>
      <c r="U2233" s="66"/>
      <c r="V2233" s="66"/>
      <c r="W2233" s="66"/>
      <c r="X2233" s="66"/>
      <c r="Y2233" s="66"/>
      <c r="Z2233" s="66"/>
    </row>
    <row r="2234">
      <c r="A2234" s="66"/>
      <c r="B2234" s="66"/>
      <c r="C2234" s="66"/>
      <c r="D2234" s="66"/>
      <c r="E2234" s="66"/>
      <c r="F2234" s="66"/>
      <c r="G2234" s="66"/>
      <c r="H2234" s="66"/>
      <c r="I2234" s="66"/>
      <c r="J2234" s="66"/>
      <c r="K2234" s="66"/>
      <c r="L2234" s="66"/>
      <c r="M2234" s="66"/>
      <c r="N2234" s="66"/>
      <c r="O2234" s="66"/>
      <c r="P2234" s="66"/>
      <c r="Q2234" s="66"/>
      <c r="R2234" s="66"/>
      <c r="S2234" s="66"/>
      <c r="T2234" s="66"/>
      <c r="U2234" s="66"/>
      <c r="V2234" s="66"/>
      <c r="W2234" s="66"/>
      <c r="X2234" s="66"/>
      <c r="Y2234" s="66"/>
      <c r="Z2234" s="66"/>
    </row>
    <row r="2235">
      <c r="A2235" s="66"/>
      <c r="B2235" s="66"/>
      <c r="C2235" s="66"/>
      <c r="D2235" s="66"/>
      <c r="E2235" s="66"/>
      <c r="F2235" s="66"/>
      <c r="G2235" s="66"/>
      <c r="H2235" s="66"/>
      <c r="I2235" s="66"/>
      <c r="J2235" s="66"/>
      <c r="K2235" s="66"/>
      <c r="L2235" s="66"/>
      <c r="M2235" s="66"/>
      <c r="N2235" s="66"/>
      <c r="O2235" s="66"/>
      <c r="P2235" s="66"/>
      <c r="Q2235" s="66"/>
      <c r="R2235" s="66"/>
      <c r="S2235" s="66"/>
      <c r="T2235" s="66"/>
      <c r="U2235" s="66"/>
      <c r="V2235" s="66"/>
      <c r="W2235" s="66"/>
      <c r="X2235" s="66"/>
      <c r="Y2235" s="66"/>
      <c r="Z2235" s="66"/>
    </row>
    <row r="2236">
      <c r="A2236" s="66"/>
      <c r="B2236" s="66"/>
      <c r="C2236" s="66"/>
      <c r="D2236" s="66"/>
      <c r="E2236" s="66"/>
      <c r="F2236" s="66"/>
      <c r="G2236" s="66"/>
      <c r="H2236" s="66"/>
      <c r="I2236" s="66"/>
      <c r="J2236" s="66"/>
      <c r="K2236" s="66"/>
      <c r="L2236" s="66"/>
      <c r="M2236" s="66"/>
      <c r="N2236" s="66"/>
      <c r="O2236" s="66"/>
      <c r="P2236" s="66"/>
      <c r="Q2236" s="66"/>
      <c r="R2236" s="66"/>
      <c r="S2236" s="66"/>
      <c r="T2236" s="66"/>
      <c r="U2236" s="66"/>
      <c r="V2236" s="66"/>
      <c r="W2236" s="66"/>
      <c r="X2236" s="66"/>
      <c r="Y2236" s="66"/>
      <c r="Z2236" s="66"/>
    </row>
    <row r="2237">
      <c r="A2237" s="66"/>
      <c r="B2237" s="66"/>
      <c r="C2237" s="66"/>
      <c r="D2237" s="66"/>
      <c r="E2237" s="66"/>
      <c r="F2237" s="66"/>
      <c r="G2237" s="66"/>
      <c r="H2237" s="66"/>
      <c r="I2237" s="66"/>
      <c r="J2237" s="66"/>
      <c r="K2237" s="66"/>
      <c r="L2237" s="66"/>
      <c r="M2237" s="66"/>
      <c r="N2237" s="66"/>
      <c r="O2237" s="66"/>
      <c r="P2237" s="66"/>
      <c r="Q2237" s="66"/>
      <c r="R2237" s="66"/>
      <c r="S2237" s="66"/>
      <c r="T2237" s="66"/>
      <c r="U2237" s="66"/>
      <c r="V2237" s="66"/>
      <c r="W2237" s="66"/>
      <c r="X2237" s="66"/>
      <c r="Y2237" s="66"/>
      <c r="Z2237" s="66"/>
    </row>
    <row r="2238">
      <c r="A2238" s="66"/>
      <c r="B2238" s="66"/>
      <c r="C2238" s="66"/>
      <c r="D2238" s="66"/>
      <c r="E2238" s="66"/>
      <c r="F2238" s="66"/>
      <c r="G2238" s="66"/>
      <c r="H2238" s="66"/>
      <c r="I2238" s="66"/>
      <c r="J2238" s="66"/>
      <c r="K2238" s="66"/>
      <c r="L2238" s="66"/>
      <c r="M2238" s="66"/>
      <c r="N2238" s="66"/>
      <c r="O2238" s="66"/>
      <c r="P2238" s="66"/>
      <c r="Q2238" s="66"/>
      <c r="R2238" s="66"/>
      <c r="S2238" s="66"/>
      <c r="T2238" s="66"/>
      <c r="U2238" s="66"/>
      <c r="V2238" s="66"/>
      <c r="W2238" s="66"/>
      <c r="X2238" s="66"/>
      <c r="Y2238" s="66"/>
      <c r="Z2238" s="66"/>
    </row>
    <row r="2239">
      <c r="A2239" s="66"/>
      <c r="B2239" s="66"/>
      <c r="C2239" s="66"/>
      <c r="D2239" s="66"/>
      <c r="E2239" s="66"/>
      <c r="F2239" s="66"/>
      <c r="G2239" s="66"/>
      <c r="H2239" s="66"/>
      <c r="I2239" s="66"/>
      <c r="J2239" s="66"/>
      <c r="K2239" s="66"/>
      <c r="L2239" s="66"/>
      <c r="M2239" s="66"/>
      <c r="N2239" s="66"/>
      <c r="O2239" s="66"/>
      <c r="P2239" s="66"/>
      <c r="Q2239" s="66"/>
      <c r="R2239" s="66"/>
      <c r="S2239" s="66"/>
      <c r="T2239" s="66"/>
      <c r="U2239" s="66"/>
      <c r="V2239" s="66"/>
      <c r="W2239" s="66"/>
      <c r="X2239" s="66"/>
      <c r="Y2239" s="66"/>
      <c r="Z2239" s="66"/>
    </row>
    <row r="2240">
      <c r="A2240" s="66"/>
      <c r="B2240" s="66"/>
      <c r="C2240" s="66"/>
      <c r="D2240" s="66"/>
      <c r="E2240" s="66"/>
      <c r="F2240" s="66"/>
      <c r="G2240" s="66"/>
      <c r="H2240" s="66"/>
      <c r="I2240" s="66"/>
      <c r="J2240" s="66"/>
      <c r="K2240" s="66"/>
      <c r="L2240" s="66"/>
      <c r="M2240" s="66"/>
      <c r="N2240" s="66"/>
      <c r="O2240" s="66"/>
      <c r="P2240" s="66"/>
      <c r="Q2240" s="66"/>
      <c r="R2240" s="66"/>
      <c r="S2240" s="66"/>
      <c r="T2240" s="66"/>
      <c r="U2240" s="66"/>
      <c r="V2240" s="66"/>
      <c r="W2240" s="66"/>
      <c r="X2240" s="66"/>
      <c r="Y2240" s="66"/>
      <c r="Z2240" s="66"/>
    </row>
    <row r="2241">
      <c r="A2241" s="66"/>
      <c r="B2241" s="66"/>
      <c r="C2241" s="66"/>
      <c r="D2241" s="66"/>
      <c r="E2241" s="66"/>
      <c r="F2241" s="66"/>
      <c r="G2241" s="66"/>
      <c r="H2241" s="66"/>
      <c r="I2241" s="66"/>
      <c r="J2241" s="66"/>
      <c r="K2241" s="66"/>
      <c r="L2241" s="66"/>
      <c r="M2241" s="66"/>
      <c r="N2241" s="66"/>
      <c r="O2241" s="66"/>
      <c r="P2241" s="66"/>
      <c r="Q2241" s="66"/>
      <c r="R2241" s="66"/>
      <c r="S2241" s="66"/>
      <c r="T2241" s="66"/>
      <c r="U2241" s="66"/>
      <c r="V2241" s="66"/>
      <c r="W2241" s="66"/>
      <c r="X2241" s="66"/>
      <c r="Y2241" s="66"/>
      <c r="Z2241" s="66"/>
    </row>
    <row r="2242">
      <c r="A2242" s="66"/>
      <c r="B2242" s="66"/>
      <c r="C2242" s="66"/>
      <c r="D2242" s="66"/>
      <c r="E2242" s="66"/>
      <c r="F2242" s="66"/>
      <c r="G2242" s="66"/>
      <c r="H2242" s="66"/>
      <c r="I2242" s="66"/>
      <c r="J2242" s="66"/>
      <c r="K2242" s="66"/>
      <c r="L2242" s="66"/>
      <c r="M2242" s="66"/>
      <c r="N2242" s="66"/>
      <c r="O2242" s="66"/>
      <c r="P2242" s="66"/>
      <c r="Q2242" s="66"/>
      <c r="R2242" s="66"/>
      <c r="S2242" s="66"/>
      <c r="T2242" s="66"/>
      <c r="U2242" s="66"/>
      <c r="V2242" s="66"/>
      <c r="W2242" s="66"/>
      <c r="X2242" s="66"/>
      <c r="Y2242" s="66"/>
      <c r="Z2242" s="66"/>
    </row>
    <row r="2243">
      <c r="A2243" s="66"/>
      <c r="B2243" s="66"/>
      <c r="C2243" s="66"/>
      <c r="D2243" s="66"/>
      <c r="E2243" s="66"/>
      <c r="F2243" s="66"/>
      <c r="G2243" s="66"/>
      <c r="H2243" s="66"/>
      <c r="I2243" s="66"/>
      <c r="J2243" s="66"/>
      <c r="K2243" s="66"/>
      <c r="L2243" s="66"/>
      <c r="M2243" s="66"/>
      <c r="N2243" s="66"/>
      <c r="O2243" s="66"/>
      <c r="P2243" s="66"/>
      <c r="Q2243" s="66"/>
      <c r="R2243" s="66"/>
      <c r="S2243" s="66"/>
      <c r="T2243" s="66"/>
      <c r="U2243" s="66"/>
      <c r="V2243" s="66"/>
      <c r="W2243" s="66"/>
      <c r="X2243" s="66"/>
      <c r="Y2243" s="66"/>
      <c r="Z2243" s="66"/>
    </row>
    <row r="2244">
      <c r="A2244" s="66"/>
      <c r="B2244" s="66"/>
      <c r="C2244" s="66"/>
      <c r="D2244" s="66"/>
      <c r="E2244" s="66"/>
      <c r="F2244" s="66"/>
      <c r="G2244" s="66"/>
      <c r="H2244" s="66"/>
      <c r="I2244" s="66"/>
      <c r="J2244" s="66"/>
      <c r="K2244" s="66"/>
      <c r="L2244" s="66"/>
      <c r="M2244" s="66"/>
      <c r="N2244" s="66"/>
      <c r="O2244" s="66"/>
      <c r="P2244" s="66"/>
      <c r="Q2244" s="66"/>
      <c r="R2244" s="66"/>
      <c r="S2244" s="66"/>
      <c r="T2244" s="66"/>
      <c r="U2244" s="66"/>
      <c r="V2244" s="66"/>
      <c r="W2244" s="66"/>
      <c r="X2244" s="66"/>
      <c r="Y2244" s="66"/>
      <c r="Z2244" s="66"/>
    </row>
    <row r="2245">
      <c r="A2245" s="66"/>
      <c r="B2245" s="66"/>
      <c r="C2245" s="66"/>
      <c r="D2245" s="66"/>
      <c r="E2245" s="66"/>
      <c r="F2245" s="66"/>
      <c r="G2245" s="66"/>
      <c r="H2245" s="66"/>
      <c r="I2245" s="66"/>
      <c r="J2245" s="66"/>
      <c r="K2245" s="66"/>
      <c r="L2245" s="66"/>
      <c r="M2245" s="66"/>
      <c r="N2245" s="66"/>
      <c r="O2245" s="66"/>
      <c r="P2245" s="66"/>
      <c r="Q2245" s="66"/>
      <c r="R2245" s="66"/>
      <c r="S2245" s="66"/>
      <c r="T2245" s="66"/>
      <c r="U2245" s="66"/>
      <c r="V2245" s="66"/>
      <c r="W2245" s="66"/>
      <c r="X2245" s="66"/>
      <c r="Y2245" s="66"/>
      <c r="Z2245" s="66"/>
    </row>
    <row r="2246">
      <c r="A2246" s="66"/>
      <c r="B2246" s="66"/>
      <c r="C2246" s="66"/>
      <c r="D2246" s="66"/>
      <c r="E2246" s="66"/>
      <c r="F2246" s="66"/>
      <c r="G2246" s="66"/>
      <c r="H2246" s="66"/>
      <c r="I2246" s="66"/>
      <c r="J2246" s="66"/>
      <c r="K2246" s="66"/>
      <c r="L2246" s="66"/>
      <c r="M2246" s="66"/>
      <c r="N2246" s="66"/>
      <c r="O2246" s="66"/>
      <c r="P2246" s="66"/>
      <c r="Q2246" s="66"/>
      <c r="R2246" s="66"/>
      <c r="S2246" s="66"/>
      <c r="T2246" s="66"/>
      <c r="U2246" s="66"/>
      <c r="V2246" s="66"/>
      <c r="W2246" s="66"/>
      <c r="X2246" s="66"/>
      <c r="Y2246" s="66"/>
      <c r="Z2246" s="66"/>
    </row>
    <row r="2247">
      <c r="A2247" s="66"/>
      <c r="B2247" s="66"/>
      <c r="C2247" s="66"/>
      <c r="D2247" s="66"/>
      <c r="E2247" s="66"/>
      <c r="F2247" s="66"/>
      <c r="G2247" s="66"/>
      <c r="H2247" s="66"/>
      <c r="I2247" s="66"/>
      <c r="J2247" s="66"/>
      <c r="K2247" s="66"/>
      <c r="L2247" s="66"/>
      <c r="M2247" s="66"/>
      <c r="N2247" s="66"/>
      <c r="O2247" s="66"/>
      <c r="P2247" s="66"/>
      <c r="Q2247" s="66"/>
      <c r="R2247" s="66"/>
      <c r="S2247" s="66"/>
      <c r="T2247" s="66"/>
      <c r="U2247" s="66"/>
      <c r="V2247" s="66"/>
      <c r="W2247" s="66"/>
      <c r="X2247" s="66"/>
      <c r="Y2247" s="66"/>
      <c r="Z2247" s="66"/>
    </row>
    <row r="2248">
      <c r="A2248" s="66"/>
      <c r="B2248" s="66"/>
      <c r="C2248" s="66"/>
      <c r="D2248" s="66"/>
      <c r="E2248" s="66"/>
      <c r="F2248" s="66"/>
      <c r="G2248" s="66"/>
      <c r="H2248" s="66"/>
      <c r="I2248" s="66"/>
      <c r="J2248" s="66"/>
      <c r="K2248" s="66"/>
      <c r="L2248" s="66"/>
      <c r="M2248" s="66"/>
      <c r="N2248" s="66"/>
      <c r="O2248" s="66"/>
      <c r="P2248" s="66"/>
      <c r="Q2248" s="66"/>
      <c r="R2248" s="66"/>
      <c r="S2248" s="66"/>
      <c r="T2248" s="66"/>
      <c r="U2248" s="66"/>
      <c r="V2248" s="66"/>
      <c r="W2248" s="66"/>
      <c r="X2248" s="66"/>
      <c r="Y2248" s="66"/>
      <c r="Z2248" s="66"/>
    </row>
    <row r="2249">
      <c r="A2249" s="66"/>
      <c r="B2249" s="66"/>
      <c r="C2249" s="66"/>
      <c r="D2249" s="66"/>
      <c r="E2249" s="66"/>
      <c r="F2249" s="66"/>
      <c r="G2249" s="66"/>
      <c r="H2249" s="66"/>
      <c r="I2249" s="66"/>
      <c r="J2249" s="66"/>
      <c r="K2249" s="66"/>
      <c r="L2249" s="66"/>
      <c r="M2249" s="66"/>
      <c r="N2249" s="66"/>
      <c r="O2249" s="66"/>
      <c r="P2249" s="66"/>
      <c r="Q2249" s="66"/>
      <c r="R2249" s="66"/>
      <c r="S2249" s="66"/>
      <c r="T2249" s="66"/>
      <c r="U2249" s="66"/>
      <c r="V2249" s="66"/>
      <c r="W2249" s="66"/>
      <c r="X2249" s="66"/>
      <c r="Y2249" s="66"/>
      <c r="Z2249" s="66"/>
    </row>
    <row r="2250">
      <c r="A2250" s="66"/>
      <c r="B2250" s="66"/>
      <c r="C2250" s="66"/>
      <c r="D2250" s="66"/>
      <c r="E2250" s="66"/>
      <c r="F2250" s="66"/>
      <c r="G2250" s="66"/>
      <c r="H2250" s="66"/>
      <c r="I2250" s="66"/>
      <c r="J2250" s="66"/>
      <c r="K2250" s="66"/>
      <c r="L2250" s="66"/>
      <c r="M2250" s="66"/>
      <c r="N2250" s="66"/>
      <c r="O2250" s="66"/>
      <c r="P2250" s="66"/>
      <c r="Q2250" s="66"/>
      <c r="R2250" s="66"/>
      <c r="S2250" s="66"/>
      <c r="T2250" s="66"/>
      <c r="U2250" s="66"/>
      <c r="V2250" s="66"/>
      <c r="W2250" s="66"/>
      <c r="X2250" s="66"/>
      <c r="Y2250" s="66"/>
      <c r="Z2250" s="66"/>
    </row>
    <row r="2251">
      <c r="A2251" s="66"/>
      <c r="B2251" s="66"/>
      <c r="C2251" s="66"/>
      <c r="D2251" s="66"/>
      <c r="E2251" s="66"/>
      <c r="F2251" s="66"/>
      <c r="G2251" s="66"/>
      <c r="H2251" s="66"/>
      <c r="I2251" s="66"/>
      <c r="J2251" s="66"/>
      <c r="K2251" s="66"/>
      <c r="L2251" s="66"/>
      <c r="M2251" s="66"/>
      <c r="N2251" s="66"/>
      <c r="O2251" s="66"/>
      <c r="P2251" s="66"/>
      <c r="Q2251" s="66"/>
      <c r="R2251" s="66"/>
      <c r="S2251" s="66"/>
      <c r="T2251" s="66"/>
      <c r="U2251" s="66"/>
      <c r="V2251" s="66"/>
      <c r="W2251" s="66"/>
      <c r="X2251" s="66"/>
      <c r="Y2251" s="66"/>
      <c r="Z2251" s="66"/>
    </row>
    <row r="2252">
      <c r="A2252" s="66"/>
      <c r="B2252" s="66"/>
      <c r="C2252" s="66"/>
      <c r="D2252" s="66"/>
      <c r="E2252" s="66"/>
      <c r="F2252" s="66"/>
      <c r="G2252" s="66"/>
      <c r="H2252" s="66"/>
      <c r="I2252" s="66"/>
      <c r="J2252" s="66"/>
      <c r="K2252" s="66"/>
      <c r="L2252" s="66"/>
      <c r="M2252" s="66"/>
      <c r="N2252" s="66"/>
      <c r="O2252" s="66"/>
      <c r="P2252" s="66"/>
      <c r="Q2252" s="66"/>
      <c r="R2252" s="66"/>
      <c r="S2252" s="66"/>
      <c r="T2252" s="66"/>
      <c r="U2252" s="66"/>
      <c r="V2252" s="66"/>
      <c r="W2252" s="66"/>
      <c r="X2252" s="66"/>
      <c r="Y2252" s="66"/>
      <c r="Z2252" s="66"/>
    </row>
    <row r="2253">
      <c r="A2253" s="66"/>
      <c r="B2253" s="66"/>
      <c r="C2253" s="66"/>
      <c r="D2253" s="66"/>
      <c r="E2253" s="66"/>
      <c r="F2253" s="66"/>
      <c r="G2253" s="66"/>
      <c r="H2253" s="66"/>
      <c r="I2253" s="66"/>
      <c r="J2253" s="66"/>
      <c r="K2253" s="66"/>
      <c r="L2253" s="66"/>
      <c r="M2253" s="66"/>
      <c r="N2253" s="66"/>
      <c r="O2253" s="66"/>
      <c r="P2253" s="66"/>
      <c r="Q2253" s="66"/>
      <c r="R2253" s="66"/>
      <c r="S2253" s="66"/>
      <c r="T2253" s="66"/>
      <c r="U2253" s="66"/>
      <c r="V2253" s="66"/>
      <c r="W2253" s="66"/>
      <c r="X2253" s="66"/>
      <c r="Y2253" s="66"/>
      <c r="Z2253" s="66"/>
    </row>
    <row r="2254">
      <c r="A2254" s="66"/>
      <c r="B2254" s="66"/>
      <c r="C2254" s="66"/>
      <c r="D2254" s="66"/>
      <c r="E2254" s="66"/>
      <c r="F2254" s="66"/>
      <c r="G2254" s="66"/>
      <c r="H2254" s="66"/>
      <c r="I2254" s="66"/>
      <c r="J2254" s="66"/>
      <c r="K2254" s="66"/>
      <c r="L2254" s="66"/>
      <c r="M2254" s="66"/>
      <c r="N2254" s="66"/>
      <c r="O2254" s="66"/>
      <c r="P2254" s="66"/>
      <c r="Q2254" s="66"/>
      <c r="R2254" s="66"/>
      <c r="S2254" s="66"/>
      <c r="T2254" s="66"/>
      <c r="U2254" s="66"/>
      <c r="V2254" s="66"/>
      <c r="W2254" s="66"/>
      <c r="X2254" s="66"/>
      <c r="Y2254" s="66"/>
      <c r="Z2254" s="66"/>
    </row>
    <row r="2255">
      <c r="A2255" s="66"/>
      <c r="B2255" s="66"/>
      <c r="C2255" s="66"/>
      <c r="D2255" s="66"/>
      <c r="E2255" s="66"/>
      <c r="F2255" s="66"/>
      <c r="G2255" s="66"/>
      <c r="H2255" s="66"/>
      <c r="I2255" s="66"/>
      <c r="J2255" s="66"/>
      <c r="K2255" s="66"/>
      <c r="L2255" s="66"/>
      <c r="M2255" s="66"/>
      <c r="N2255" s="66"/>
      <c r="O2255" s="66"/>
      <c r="P2255" s="66"/>
      <c r="Q2255" s="66"/>
      <c r="R2255" s="66"/>
      <c r="S2255" s="66"/>
      <c r="T2255" s="66"/>
      <c r="U2255" s="66"/>
      <c r="V2255" s="66"/>
      <c r="W2255" s="66"/>
      <c r="X2255" s="66"/>
      <c r="Y2255" s="66"/>
      <c r="Z2255" s="66"/>
    </row>
    <row r="2256">
      <c r="A2256" s="66"/>
      <c r="B2256" s="66"/>
      <c r="C2256" s="66"/>
      <c r="D2256" s="66"/>
      <c r="E2256" s="66"/>
      <c r="F2256" s="66"/>
      <c r="G2256" s="66"/>
      <c r="H2256" s="66"/>
      <c r="I2256" s="66"/>
      <c r="J2256" s="66"/>
      <c r="K2256" s="66"/>
      <c r="L2256" s="66"/>
      <c r="M2256" s="66"/>
      <c r="N2256" s="66"/>
      <c r="O2256" s="66"/>
      <c r="P2256" s="66"/>
      <c r="Q2256" s="66"/>
      <c r="R2256" s="66"/>
      <c r="S2256" s="66"/>
      <c r="T2256" s="66"/>
      <c r="U2256" s="66"/>
      <c r="V2256" s="66"/>
      <c r="W2256" s="66"/>
      <c r="X2256" s="66"/>
      <c r="Y2256" s="66"/>
      <c r="Z2256" s="66"/>
    </row>
    <row r="2257">
      <c r="A2257" s="66"/>
      <c r="B2257" s="66"/>
      <c r="C2257" s="66"/>
      <c r="D2257" s="66"/>
      <c r="E2257" s="66"/>
      <c r="F2257" s="66"/>
      <c r="G2257" s="66"/>
      <c r="H2257" s="66"/>
      <c r="I2257" s="66"/>
      <c r="J2257" s="66"/>
      <c r="K2257" s="66"/>
      <c r="L2257" s="66"/>
      <c r="M2257" s="66"/>
      <c r="N2257" s="66"/>
      <c r="O2257" s="66"/>
      <c r="P2257" s="66"/>
      <c r="Q2257" s="66"/>
      <c r="R2257" s="66"/>
      <c r="S2257" s="66"/>
      <c r="T2257" s="66"/>
      <c r="U2257" s="66"/>
      <c r="V2257" s="66"/>
      <c r="W2257" s="66"/>
      <c r="X2257" s="66"/>
      <c r="Y2257" s="66"/>
      <c r="Z2257" s="66"/>
    </row>
    <row r="2258">
      <c r="A2258" s="66"/>
      <c r="B2258" s="66"/>
      <c r="C2258" s="66"/>
      <c r="D2258" s="66"/>
      <c r="E2258" s="66"/>
      <c r="F2258" s="66"/>
      <c r="G2258" s="66"/>
      <c r="H2258" s="66"/>
      <c r="I2258" s="66"/>
      <c r="J2258" s="66"/>
      <c r="K2258" s="66"/>
      <c r="L2258" s="66"/>
      <c r="M2258" s="66"/>
      <c r="N2258" s="66"/>
      <c r="O2258" s="66"/>
      <c r="P2258" s="66"/>
      <c r="Q2258" s="66"/>
      <c r="R2258" s="66"/>
      <c r="S2258" s="66"/>
      <c r="T2258" s="66"/>
      <c r="U2258" s="66"/>
      <c r="V2258" s="66"/>
      <c r="W2258" s="66"/>
      <c r="X2258" s="66"/>
      <c r="Y2258" s="66"/>
      <c r="Z2258" s="66"/>
    </row>
    <row r="2259">
      <c r="A2259" s="66"/>
      <c r="B2259" s="66"/>
      <c r="C2259" s="66"/>
      <c r="D2259" s="66"/>
      <c r="E2259" s="66"/>
      <c r="F2259" s="66"/>
      <c r="G2259" s="66"/>
      <c r="H2259" s="66"/>
      <c r="I2259" s="66"/>
      <c r="J2259" s="66"/>
      <c r="K2259" s="66"/>
      <c r="L2259" s="66"/>
      <c r="M2259" s="66"/>
      <c r="N2259" s="66"/>
      <c r="O2259" s="66"/>
      <c r="P2259" s="66"/>
      <c r="Q2259" s="66"/>
      <c r="R2259" s="66"/>
      <c r="S2259" s="66"/>
      <c r="T2259" s="66"/>
      <c r="U2259" s="66"/>
      <c r="V2259" s="66"/>
      <c r="W2259" s="66"/>
      <c r="X2259" s="66"/>
      <c r="Y2259" s="66"/>
      <c r="Z2259" s="66"/>
    </row>
    <row r="2260">
      <c r="A2260" s="66"/>
      <c r="B2260" s="66"/>
      <c r="C2260" s="66"/>
      <c r="D2260" s="66"/>
      <c r="E2260" s="66"/>
      <c r="F2260" s="66"/>
      <c r="G2260" s="66"/>
      <c r="H2260" s="66"/>
      <c r="I2260" s="66"/>
      <c r="J2260" s="66"/>
      <c r="K2260" s="66"/>
      <c r="L2260" s="66"/>
      <c r="M2260" s="66"/>
      <c r="N2260" s="66"/>
      <c r="O2260" s="66"/>
      <c r="P2260" s="66"/>
      <c r="Q2260" s="66"/>
      <c r="R2260" s="66"/>
      <c r="S2260" s="66"/>
      <c r="T2260" s="66"/>
      <c r="U2260" s="66"/>
      <c r="V2260" s="66"/>
      <c r="W2260" s="66"/>
      <c r="X2260" s="66"/>
      <c r="Y2260" s="66"/>
      <c r="Z2260" s="66"/>
    </row>
    <row r="2261">
      <c r="A2261" s="66"/>
      <c r="B2261" s="66"/>
      <c r="C2261" s="66"/>
      <c r="D2261" s="66"/>
      <c r="E2261" s="66"/>
      <c r="F2261" s="66"/>
      <c r="G2261" s="66"/>
      <c r="H2261" s="66"/>
      <c r="I2261" s="66"/>
      <c r="J2261" s="66"/>
      <c r="K2261" s="66"/>
      <c r="L2261" s="66"/>
      <c r="M2261" s="66"/>
      <c r="N2261" s="66"/>
      <c r="O2261" s="66"/>
      <c r="P2261" s="66"/>
      <c r="Q2261" s="66"/>
      <c r="R2261" s="66"/>
      <c r="S2261" s="66"/>
      <c r="T2261" s="66"/>
      <c r="U2261" s="66"/>
      <c r="V2261" s="66"/>
      <c r="W2261" s="66"/>
      <c r="X2261" s="66"/>
      <c r="Y2261" s="66"/>
      <c r="Z2261" s="66"/>
    </row>
    <row r="2262">
      <c r="A2262" s="66"/>
      <c r="B2262" s="66"/>
      <c r="C2262" s="66"/>
      <c r="D2262" s="66"/>
      <c r="E2262" s="66"/>
      <c r="F2262" s="66"/>
      <c r="G2262" s="66"/>
      <c r="H2262" s="66"/>
      <c r="I2262" s="66"/>
      <c r="J2262" s="66"/>
      <c r="K2262" s="66"/>
      <c r="L2262" s="66"/>
      <c r="M2262" s="66"/>
      <c r="N2262" s="66"/>
      <c r="O2262" s="66"/>
      <c r="P2262" s="66"/>
      <c r="Q2262" s="66"/>
      <c r="R2262" s="66"/>
      <c r="S2262" s="66"/>
      <c r="T2262" s="66"/>
      <c r="U2262" s="66"/>
      <c r="V2262" s="66"/>
      <c r="W2262" s="66"/>
      <c r="X2262" s="66"/>
      <c r="Y2262" s="66"/>
      <c r="Z2262" s="66"/>
    </row>
    <row r="2263">
      <c r="A2263" s="66"/>
      <c r="B2263" s="66"/>
      <c r="C2263" s="66"/>
      <c r="D2263" s="66"/>
      <c r="E2263" s="66"/>
      <c r="F2263" s="66"/>
      <c r="G2263" s="66"/>
      <c r="H2263" s="66"/>
      <c r="I2263" s="66"/>
      <c r="J2263" s="66"/>
      <c r="K2263" s="66"/>
      <c r="L2263" s="66"/>
      <c r="M2263" s="66"/>
      <c r="N2263" s="66"/>
      <c r="O2263" s="66"/>
      <c r="P2263" s="66"/>
      <c r="Q2263" s="66"/>
      <c r="R2263" s="66"/>
      <c r="S2263" s="66"/>
      <c r="T2263" s="66"/>
      <c r="U2263" s="66"/>
      <c r="V2263" s="66"/>
      <c r="W2263" s="66"/>
      <c r="X2263" s="66"/>
      <c r="Y2263" s="66"/>
      <c r="Z2263" s="66"/>
    </row>
    <row r="2264">
      <c r="A2264" s="66"/>
      <c r="B2264" s="66"/>
      <c r="C2264" s="66"/>
      <c r="D2264" s="66"/>
      <c r="E2264" s="66"/>
      <c r="F2264" s="66"/>
      <c r="G2264" s="66"/>
      <c r="H2264" s="66"/>
      <c r="I2264" s="66"/>
      <c r="J2264" s="66"/>
      <c r="K2264" s="66"/>
      <c r="L2264" s="66"/>
      <c r="M2264" s="66"/>
      <c r="N2264" s="66"/>
      <c r="O2264" s="66"/>
      <c r="P2264" s="66"/>
      <c r="Q2264" s="66"/>
      <c r="R2264" s="66"/>
      <c r="S2264" s="66"/>
      <c r="T2264" s="66"/>
      <c r="U2264" s="66"/>
      <c r="V2264" s="66"/>
      <c r="W2264" s="66"/>
      <c r="X2264" s="66"/>
      <c r="Y2264" s="66"/>
      <c r="Z2264" s="66"/>
    </row>
    <row r="2265">
      <c r="A2265" s="66"/>
      <c r="B2265" s="66"/>
      <c r="C2265" s="66"/>
      <c r="D2265" s="66"/>
      <c r="E2265" s="66"/>
      <c r="F2265" s="66"/>
      <c r="G2265" s="66"/>
      <c r="H2265" s="66"/>
      <c r="I2265" s="66"/>
      <c r="J2265" s="66"/>
      <c r="K2265" s="66"/>
      <c r="L2265" s="66"/>
      <c r="M2265" s="66"/>
      <c r="N2265" s="66"/>
      <c r="O2265" s="66"/>
      <c r="P2265" s="66"/>
      <c r="Q2265" s="66"/>
      <c r="R2265" s="66"/>
      <c r="S2265" s="66"/>
      <c r="T2265" s="66"/>
      <c r="U2265" s="66"/>
      <c r="V2265" s="66"/>
      <c r="W2265" s="66"/>
      <c r="X2265" s="66"/>
      <c r="Y2265" s="66"/>
      <c r="Z2265" s="66"/>
    </row>
    <row r="2266">
      <c r="A2266" s="66"/>
      <c r="B2266" s="66"/>
      <c r="C2266" s="66"/>
      <c r="D2266" s="66"/>
      <c r="E2266" s="66"/>
      <c r="F2266" s="66"/>
      <c r="G2266" s="66"/>
      <c r="H2266" s="66"/>
      <c r="I2266" s="66"/>
      <c r="J2266" s="66"/>
      <c r="K2266" s="66"/>
      <c r="L2266" s="66"/>
      <c r="M2266" s="66"/>
      <c r="N2266" s="66"/>
      <c r="O2266" s="66"/>
      <c r="P2266" s="66"/>
      <c r="Q2266" s="66"/>
      <c r="R2266" s="66"/>
      <c r="S2266" s="66"/>
      <c r="T2266" s="66"/>
      <c r="U2266" s="66"/>
      <c r="V2266" s="66"/>
      <c r="W2266" s="66"/>
      <c r="X2266" s="66"/>
      <c r="Y2266" s="66"/>
      <c r="Z2266" s="66"/>
    </row>
    <row r="2267">
      <c r="A2267" s="66"/>
      <c r="B2267" s="66"/>
      <c r="C2267" s="66"/>
      <c r="D2267" s="66"/>
      <c r="E2267" s="66"/>
      <c r="F2267" s="66"/>
      <c r="G2267" s="66"/>
      <c r="H2267" s="66"/>
      <c r="I2267" s="66"/>
      <c r="J2267" s="66"/>
      <c r="K2267" s="66"/>
      <c r="L2267" s="66"/>
      <c r="M2267" s="66"/>
      <c r="N2267" s="66"/>
      <c r="O2267" s="66"/>
      <c r="P2267" s="66"/>
      <c r="Q2267" s="66"/>
      <c r="R2267" s="66"/>
      <c r="S2267" s="66"/>
      <c r="T2267" s="66"/>
      <c r="U2267" s="66"/>
      <c r="V2267" s="66"/>
      <c r="W2267" s="66"/>
      <c r="X2267" s="66"/>
      <c r="Y2267" s="66"/>
      <c r="Z2267" s="66"/>
    </row>
    <row r="2268">
      <c r="A2268" s="66"/>
      <c r="B2268" s="66"/>
      <c r="C2268" s="66"/>
      <c r="D2268" s="66"/>
      <c r="E2268" s="66"/>
      <c r="F2268" s="66"/>
      <c r="G2268" s="66"/>
      <c r="H2268" s="66"/>
      <c r="I2268" s="66"/>
      <c r="J2268" s="66"/>
      <c r="K2268" s="66"/>
      <c r="L2268" s="66"/>
      <c r="M2268" s="66"/>
      <c r="N2268" s="66"/>
      <c r="O2268" s="66"/>
      <c r="P2268" s="66"/>
      <c r="Q2268" s="66"/>
      <c r="R2268" s="66"/>
      <c r="S2268" s="66"/>
      <c r="T2268" s="66"/>
      <c r="U2268" s="66"/>
      <c r="V2268" s="66"/>
      <c r="W2268" s="66"/>
      <c r="X2268" s="66"/>
      <c r="Y2268" s="66"/>
      <c r="Z2268" s="66"/>
    </row>
    <row r="2269">
      <c r="A2269" s="66"/>
      <c r="B2269" s="66"/>
      <c r="C2269" s="66"/>
      <c r="D2269" s="66"/>
      <c r="E2269" s="66"/>
      <c r="F2269" s="66"/>
      <c r="G2269" s="66"/>
      <c r="H2269" s="66"/>
      <c r="I2269" s="66"/>
      <c r="J2269" s="66"/>
      <c r="K2269" s="66"/>
      <c r="L2269" s="66"/>
      <c r="M2269" s="66"/>
      <c r="N2269" s="66"/>
      <c r="O2269" s="66"/>
      <c r="P2269" s="66"/>
      <c r="Q2269" s="66"/>
      <c r="R2269" s="66"/>
      <c r="S2269" s="66"/>
      <c r="T2269" s="66"/>
      <c r="U2269" s="66"/>
      <c r="V2269" s="66"/>
      <c r="W2269" s="66"/>
      <c r="X2269" s="66"/>
      <c r="Y2269" s="66"/>
      <c r="Z2269" s="66"/>
    </row>
    <row r="2270">
      <c r="A2270" s="66"/>
      <c r="B2270" s="66"/>
      <c r="C2270" s="66"/>
      <c r="D2270" s="66"/>
      <c r="E2270" s="66"/>
      <c r="F2270" s="66"/>
      <c r="G2270" s="66"/>
      <c r="H2270" s="66"/>
      <c r="I2270" s="66"/>
      <c r="J2270" s="66"/>
      <c r="K2270" s="66"/>
      <c r="L2270" s="66"/>
      <c r="M2270" s="66"/>
      <c r="N2270" s="66"/>
      <c r="O2270" s="66"/>
      <c r="P2270" s="66"/>
      <c r="Q2270" s="66"/>
      <c r="R2270" s="66"/>
      <c r="S2270" s="66"/>
      <c r="T2270" s="66"/>
      <c r="U2270" s="66"/>
      <c r="V2270" s="66"/>
      <c r="W2270" s="66"/>
      <c r="X2270" s="66"/>
      <c r="Y2270" s="66"/>
      <c r="Z2270" s="66"/>
    </row>
    <row r="2271">
      <c r="A2271" s="66"/>
      <c r="B2271" s="66"/>
      <c r="C2271" s="66"/>
      <c r="D2271" s="66"/>
      <c r="E2271" s="66"/>
      <c r="F2271" s="66"/>
      <c r="G2271" s="66"/>
      <c r="H2271" s="66"/>
      <c r="I2271" s="66"/>
      <c r="J2271" s="66"/>
      <c r="K2271" s="66"/>
      <c r="L2271" s="66"/>
      <c r="M2271" s="66"/>
      <c r="N2271" s="66"/>
      <c r="O2271" s="66"/>
      <c r="P2271" s="66"/>
      <c r="Q2271" s="66"/>
      <c r="R2271" s="66"/>
      <c r="S2271" s="66"/>
      <c r="T2271" s="66"/>
      <c r="U2271" s="66"/>
      <c r="V2271" s="66"/>
      <c r="W2271" s="66"/>
      <c r="X2271" s="66"/>
      <c r="Y2271" s="66"/>
      <c r="Z2271" s="66"/>
    </row>
    <row r="2272">
      <c r="A2272" s="66"/>
      <c r="B2272" s="66"/>
      <c r="C2272" s="66"/>
      <c r="D2272" s="66"/>
      <c r="E2272" s="66"/>
      <c r="F2272" s="66"/>
      <c r="G2272" s="66"/>
      <c r="H2272" s="66"/>
      <c r="I2272" s="66"/>
      <c r="J2272" s="66"/>
      <c r="K2272" s="66"/>
      <c r="L2272" s="66"/>
      <c r="M2272" s="66"/>
      <c r="N2272" s="66"/>
      <c r="O2272" s="66"/>
      <c r="P2272" s="66"/>
      <c r="Q2272" s="66"/>
      <c r="R2272" s="66"/>
      <c r="S2272" s="66"/>
      <c r="T2272" s="66"/>
      <c r="U2272" s="66"/>
      <c r="V2272" s="66"/>
      <c r="W2272" s="66"/>
      <c r="X2272" s="66"/>
      <c r="Y2272" s="66"/>
      <c r="Z2272" s="66"/>
    </row>
    <row r="2273">
      <c r="A2273" s="66"/>
      <c r="B2273" s="66"/>
      <c r="C2273" s="66"/>
      <c r="D2273" s="66"/>
      <c r="E2273" s="66"/>
      <c r="F2273" s="66"/>
      <c r="G2273" s="66"/>
      <c r="H2273" s="66"/>
      <c r="I2273" s="66"/>
      <c r="J2273" s="66"/>
      <c r="K2273" s="66"/>
      <c r="L2273" s="66"/>
      <c r="M2273" s="66"/>
      <c r="N2273" s="66"/>
      <c r="O2273" s="66"/>
      <c r="P2273" s="66"/>
      <c r="Q2273" s="66"/>
      <c r="R2273" s="66"/>
      <c r="S2273" s="66"/>
      <c r="T2273" s="66"/>
      <c r="U2273" s="66"/>
      <c r="V2273" s="66"/>
      <c r="W2273" s="66"/>
      <c r="X2273" s="66"/>
      <c r="Y2273" s="66"/>
      <c r="Z2273" s="66"/>
    </row>
    <row r="2274">
      <c r="A2274" s="66"/>
      <c r="B2274" s="66"/>
      <c r="C2274" s="66"/>
      <c r="D2274" s="66"/>
      <c r="E2274" s="66"/>
      <c r="F2274" s="66"/>
      <c r="G2274" s="66"/>
      <c r="H2274" s="66"/>
      <c r="I2274" s="66"/>
      <c r="J2274" s="66"/>
      <c r="K2274" s="66"/>
      <c r="L2274" s="66"/>
      <c r="M2274" s="66"/>
      <c r="N2274" s="66"/>
      <c r="O2274" s="66"/>
      <c r="P2274" s="66"/>
      <c r="Q2274" s="66"/>
      <c r="R2274" s="66"/>
      <c r="S2274" s="66"/>
      <c r="T2274" s="66"/>
      <c r="U2274" s="66"/>
      <c r="V2274" s="66"/>
      <c r="W2274" s="66"/>
      <c r="X2274" s="66"/>
      <c r="Y2274" s="66"/>
      <c r="Z2274" s="66"/>
    </row>
    <row r="2275">
      <c r="A2275" s="66"/>
      <c r="B2275" s="66"/>
      <c r="C2275" s="66"/>
      <c r="D2275" s="66"/>
      <c r="E2275" s="66"/>
      <c r="F2275" s="66"/>
      <c r="G2275" s="66"/>
      <c r="H2275" s="66"/>
      <c r="I2275" s="66"/>
      <c r="J2275" s="66"/>
      <c r="K2275" s="66"/>
      <c r="L2275" s="66"/>
      <c r="M2275" s="66"/>
      <c r="N2275" s="66"/>
      <c r="O2275" s="66"/>
      <c r="P2275" s="66"/>
      <c r="Q2275" s="66"/>
      <c r="R2275" s="66"/>
      <c r="S2275" s="66"/>
      <c r="T2275" s="66"/>
      <c r="U2275" s="66"/>
      <c r="V2275" s="66"/>
      <c r="W2275" s="66"/>
      <c r="X2275" s="66"/>
      <c r="Y2275" s="66"/>
      <c r="Z2275" s="66"/>
    </row>
    <row r="2276">
      <c r="A2276" s="66"/>
      <c r="B2276" s="66"/>
      <c r="C2276" s="66"/>
      <c r="D2276" s="66"/>
      <c r="E2276" s="66"/>
      <c r="F2276" s="66"/>
      <c r="G2276" s="66"/>
      <c r="H2276" s="66"/>
      <c r="I2276" s="66"/>
      <c r="J2276" s="66"/>
      <c r="K2276" s="66"/>
      <c r="L2276" s="66"/>
      <c r="M2276" s="66"/>
      <c r="N2276" s="66"/>
      <c r="O2276" s="66"/>
      <c r="P2276" s="66"/>
      <c r="Q2276" s="66"/>
      <c r="R2276" s="66"/>
      <c r="S2276" s="66"/>
      <c r="T2276" s="66"/>
      <c r="U2276" s="66"/>
      <c r="V2276" s="66"/>
      <c r="W2276" s="66"/>
      <c r="X2276" s="66"/>
      <c r="Y2276" s="66"/>
      <c r="Z2276" s="66"/>
    </row>
    <row r="2277">
      <c r="A2277" s="66"/>
      <c r="B2277" s="66"/>
      <c r="C2277" s="66"/>
      <c r="D2277" s="66"/>
      <c r="E2277" s="66"/>
      <c r="F2277" s="66"/>
      <c r="G2277" s="66"/>
      <c r="H2277" s="66"/>
      <c r="I2277" s="66"/>
      <c r="J2277" s="66"/>
      <c r="K2277" s="66"/>
      <c r="L2277" s="66"/>
      <c r="M2277" s="66"/>
      <c r="N2277" s="66"/>
      <c r="O2277" s="66"/>
      <c r="P2277" s="66"/>
      <c r="Q2277" s="66"/>
      <c r="R2277" s="66"/>
      <c r="S2277" s="66"/>
      <c r="T2277" s="66"/>
      <c r="U2277" s="66"/>
      <c r="V2277" s="66"/>
      <c r="W2277" s="66"/>
      <c r="X2277" s="66"/>
      <c r="Y2277" s="66"/>
      <c r="Z2277" s="66"/>
    </row>
    <row r="2278">
      <c r="A2278" s="66"/>
      <c r="B2278" s="66"/>
      <c r="C2278" s="66"/>
      <c r="D2278" s="66"/>
      <c r="E2278" s="66"/>
      <c r="F2278" s="66"/>
      <c r="G2278" s="66"/>
      <c r="H2278" s="66"/>
      <c r="I2278" s="66"/>
      <c r="J2278" s="66"/>
      <c r="K2278" s="66"/>
      <c r="L2278" s="66"/>
      <c r="M2278" s="66"/>
      <c r="N2278" s="66"/>
      <c r="O2278" s="66"/>
      <c r="P2278" s="66"/>
      <c r="Q2278" s="66"/>
      <c r="R2278" s="66"/>
      <c r="S2278" s="66"/>
      <c r="T2278" s="66"/>
      <c r="U2278" s="66"/>
      <c r="V2278" s="66"/>
      <c r="W2278" s="66"/>
      <c r="X2278" s="66"/>
      <c r="Y2278" s="66"/>
      <c r="Z2278" s="66"/>
    </row>
    <row r="2279">
      <c r="A2279" s="66"/>
      <c r="B2279" s="66"/>
      <c r="C2279" s="66"/>
      <c r="D2279" s="66"/>
      <c r="E2279" s="66"/>
      <c r="F2279" s="66"/>
      <c r="G2279" s="66"/>
      <c r="H2279" s="66"/>
      <c r="I2279" s="66"/>
      <c r="J2279" s="66"/>
      <c r="K2279" s="66"/>
      <c r="L2279" s="66"/>
      <c r="M2279" s="66"/>
      <c r="N2279" s="66"/>
      <c r="O2279" s="66"/>
      <c r="P2279" s="66"/>
      <c r="Q2279" s="66"/>
      <c r="R2279" s="66"/>
      <c r="S2279" s="66"/>
      <c r="T2279" s="66"/>
      <c r="U2279" s="66"/>
      <c r="V2279" s="66"/>
      <c r="W2279" s="66"/>
      <c r="X2279" s="66"/>
      <c r="Y2279" s="66"/>
      <c r="Z2279" s="66"/>
    </row>
    <row r="2280">
      <c r="A2280" s="66"/>
      <c r="B2280" s="66"/>
      <c r="C2280" s="66"/>
      <c r="D2280" s="66"/>
      <c r="E2280" s="66"/>
      <c r="F2280" s="66"/>
      <c r="G2280" s="66"/>
      <c r="H2280" s="66"/>
      <c r="I2280" s="66"/>
      <c r="J2280" s="66"/>
      <c r="K2280" s="66"/>
      <c r="L2280" s="66"/>
      <c r="M2280" s="66"/>
      <c r="N2280" s="66"/>
      <c r="O2280" s="66"/>
      <c r="P2280" s="66"/>
      <c r="Q2280" s="66"/>
      <c r="R2280" s="66"/>
      <c r="S2280" s="66"/>
      <c r="T2280" s="66"/>
      <c r="U2280" s="66"/>
      <c r="V2280" s="66"/>
      <c r="W2280" s="66"/>
      <c r="X2280" s="66"/>
      <c r="Y2280" s="66"/>
      <c r="Z2280" s="66"/>
    </row>
    <row r="2281">
      <c r="A2281" s="66"/>
      <c r="B2281" s="66"/>
      <c r="C2281" s="66"/>
      <c r="D2281" s="66"/>
      <c r="E2281" s="66"/>
      <c r="F2281" s="66"/>
      <c r="G2281" s="66"/>
      <c r="H2281" s="66"/>
      <c r="I2281" s="66"/>
      <c r="J2281" s="66"/>
      <c r="K2281" s="66"/>
      <c r="L2281" s="66"/>
      <c r="M2281" s="66"/>
      <c r="N2281" s="66"/>
      <c r="O2281" s="66"/>
      <c r="P2281" s="66"/>
      <c r="Q2281" s="66"/>
      <c r="R2281" s="66"/>
      <c r="S2281" s="66"/>
      <c r="T2281" s="66"/>
      <c r="U2281" s="66"/>
      <c r="V2281" s="66"/>
      <c r="W2281" s="66"/>
      <c r="X2281" s="66"/>
      <c r="Y2281" s="66"/>
      <c r="Z2281" s="66"/>
    </row>
    <row r="2282">
      <c r="A2282" s="66"/>
      <c r="B2282" s="66"/>
      <c r="C2282" s="66"/>
      <c r="D2282" s="66"/>
      <c r="E2282" s="66"/>
      <c r="F2282" s="66"/>
      <c r="G2282" s="66"/>
      <c r="H2282" s="66"/>
      <c r="I2282" s="66"/>
      <c r="J2282" s="66"/>
      <c r="K2282" s="66"/>
      <c r="L2282" s="66"/>
      <c r="M2282" s="66"/>
      <c r="N2282" s="66"/>
      <c r="O2282" s="66"/>
      <c r="P2282" s="66"/>
      <c r="Q2282" s="66"/>
      <c r="R2282" s="66"/>
      <c r="S2282" s="66"/>
      <c r="T2282" s="66"/>
      <c r="U2282" s="66"/>
      <c r="V2282" s="66"/>
      <c r="W2282" s="66"/>
      <c r="X2282" s="66"/>
      <c r="Y2282" s="66"/>
      <c r="Z2282" s="66"/>
    </row>
    <row r="2283">
      <c r="A2283" s="66"/>
      <c r="B2283" s="66"/>
      <c r="C2283" s="66"/>
      <c r="D2283" s="66"/>
      <c r="E2283" s="66"/>
      <c r="F2283" s="66"/>
      <c r="G2283" s="66"/>
      <c r="H2283" s="66"/>
      <c r="I2283" s="66"/>
      <c r="J2283" s="66"/>
      <c r="K2283" s="66"/>
      <c r="L2283" s="66"/>
      <c r="M2283" s="66"/>
      <c r="N2283" s="66"/>
      <c r="O2283" s="66"/>
      <c r="P2283" s="66"/>
      <c r="Q2283" s="66"/>
      <c r="R2283" s="66"/>
      <c r="S2283" s="66"/>
      <c r="T2283" s="66"/>
      <c r="U2283" s="66"/>
      <c r="V2283" s="66"/>
      <c r="W2283" s="66"/>
      <c r="X2283" s="66"/>
      <c r="Y2283" s="66"/>
      <c r="Z2283" s="66"/>
    </row>
    <row r="2284">
      <c r="A2284" s="66"/>
      <c r="B2284" s="66"/>
      <c r="C2284" s="66"/>
      <c r="D2284" s="66"/>
      <c r="E2284" s="66"/>
      <c r="F2284" s="66"/>
      <c r="G2284" s="66"/>
      <c r="H2284" s="66"/>
      <c r="I2284" s="66"/>
      <c r="J2284" s="66"/>
      <c r="K2284" s="66"/>
      <c r="L2284" s="66"/>
      <c r="M2284" s="66"/>
      <c r="N2284" s="66"/>
      <c r="O2284" s="66"/>
      <c r="P2284" s="66"/>
      <c r="Q2284" s="66"/>
      <c r="R2284" s="66"/>
      <c r="S2284" s="66"/>
      <c r="T2284" s="66"/>
      <c r="U2284" s="66"/>
      <c r="V2284" s="66"/>
      <c r="W2284" s="66"/>
      <c r="X2284" s="66"/>
      <c r="Y2284" s="66"/>
      <c r="Z2284" s="66"/>
    </row>
    <row r="2285">
      <c r="A2285" s="66"/>
      <c r="B2285" s="66"/>
      <c r="C2285" s="66"/>
      <c r="D2285" s="66"/>
      <c r="E2285" s="66"/>
      <c r="F2285" s="66"/>
      <c r="G2285" s="66"/>
      <c r="H2285" s="66"/>
      <c r="I2285" s="66"/>
      <c r="J2285" s="66"/>
      <c r="K2285" s="66"/>
      <c r="L2285" s="66"/>
      <c r="M2285" s="66"/>
      <c r="N2285" s="66"/>
      <c r="O2285" s="66"/>
      <c r="P2285" s="66"/>
      <c r="Q2285" s="66"/>
      <c r="R2285" s="66"/>
      <c r="S2285" s="66"/>
      <c r="T2285" s="66"/>
      <c r="U2285" s="66"/>
      <c r="V2285" s="66"/>
      <c r="W2285" s="66"/>
      <c r="X2285" s="66"/>
      <c r="Y2285" s="66"/>
      <c r="Z2285" s="66"/>
    </row>
    <row r="2286">
      <c r="A2286" s="66"/>
      <c r="B2286" s="66"/>
      <c r="C2286" s="66"/>
      <c r="D2286" s="66"/>
      <c r="E2286" s="66"/>
      <c r="F2286" s="66"/>
      <c r="G2286" s="66"/>
      <c r="H2286" s="66"/>
      <c r="I2286" s="66"/>
      <c r="J2286" s="66"/>
      <c r="K2286" s="66"/>
      <c r="L2286" s="66"/>
      <c r="M2286" s="66"/>
      <c r="N2286" s="66"/>
      <c r="O2286" s="66"/>
      <c r="P2286" s="66"/>
      <c r="Q2286" s="66"/>
      <c r="R2286" s="66"/>
      <c r="S2286" s="66"/>
      <c r="T2286" s="66"/>
      <c r="U2286" s="66"/>
      <c r="V2286" s="66"/>
      <c r="W2286" s="66"/>
      <c r="X2286" s="66"/>
      <c r="Y2286" s="66"/>
      <c r="Z2286" s="66"/>
    </row>
    <row r="2287">
      <c r="A2287" s="66"/>
      <c r="B2287" s="66"/>
      <c r="C2287" s="66"/>
      <c r="D2287" s="66"/>
      <c r="E2287" s="66"/>
      <c r="F2287" s="66"/>
      <c r="G2287" s="66"/>
      <c r="H2287" s="66"/>
      <c r="I2287" s="66"/>
      <c r="J2287" s="66"/>
      <c r="K2287" s="66"/>
      <c r="L2287" s="66"/>
      <c r="M2287" s="66"/>
      <c r="N2287" s="66"/>
      <c r="O2287" s="66"/>
      <c r="P2287" s="66"/>
      <c r="Q2287" s="66"/>
      <c r="R2287" s="66"/>
      <c r="S2287" s="66"/>
      <c r="T2287" s="66"/>
      <c r="U2287" s="66"/>
      <c r="V2287" s="66"/>
      <c r="W2287" s="66"/>
      <c r="X2287" s="66"/>
      <c r="Y2287" s="66"/>
      <c r="Z2287" s="66"/>
    </row>
    <row r="2288">
      <c r="A2288" s="66"/>
      <c r="B2288" s="66"/>
      <c r="C2288" s="66"/>
      <c r="D2288" s="66"/>
      <c r="E2288" s="66"/>
      <c r="F2288" s="66"/>
      <c r="G2288" s="66"/>
      <c r="H2288" s="66"/>
      <c r="I2288" s="66"/>
      <c r="J2288" s="66"/>
      <c r="K2288" s="66"/>
      <c r="L2288" s="66"/>
      <c r="M2288" s="66"/>
      <c r="N2288" s="66"/>
      <c r="O2288" s="66"/>
      <c r="P2288" s="66"/>
      <c r="Q2288" s="66"/>
      <c r="R2288" s="66"/>
      <c r="S2288" s="66"/>
      <c r="T2288" s="66"/>
      <c r="U2288" s="66"/>
      <c r="V2288" s="66"/>
      <c r="W2288" s="66"/>
      <c r="X2288" s="66"/>
      <c r="Y2288" s="66"/>
      <c r="Z2288" s="66"/>
    </row>
    <row r="2289">
      <c r="A2289" s="66"/>
      <c r="B2289" s="66"/>
      <c r="C2289" s="66"/>
      <c r="D2289" s="66"/>
      <c r="E2289" s="66"/>
      <c r="F2289" s="66"/>
      <c r="G2289" s="66"/>
      <c r="H2289" s="66"/>
      <c r="I2289" s="66"/>
      <c r="J2289" s="66"/>
      <c r="K2289" s="66"/>
      <c r="L2289" s="66"/>
      <c r="M2289" s="66"/>
      <c r="N2289" s="66"/>
      <c r="O2289" s="66"/>
      <c r="P2289" s="66"/>
      <c r="Q2289" s="66"/>
      <c r="R2289" s="66"/>
      <c r="S2289" s="66"/>
      <c r="T2289" s="66"/>
      <c r="U2289" s="66"/>
      <c r="V2289" s="66"/>
      <c r="W2289" s="66"/>
      <c r="X2289" s="66"/>
      <c r="Y2289" s="66"/>
      <c r="Z2289" s="66"/>
    </row>
    <row r="2290">
      <c r="A2290" s="66"/>
      <c r="B2290" s="66"/>
      <c r="C2290" s="66"/>
      <c r="D2290" s="66"/>
      <c r="E2290" s="66"/>
      <c r="F2290" s="66"/>
      <c r="G2290" s="66"/>
      <c r="H2290" s="66"/>
      <c r="I2290" s="66"/>
      <c r="J2290" s="66"/>
      <c r="K2290" s="66"/>
      <c r="L2290" s="66"/>
      <c r="M2290" s="66"/>
      <c r="N2290" s="66"/>
      <c r="O2290" s="66"/>
      <c r="P2290" s="66"/>
      <c r="Q2290" s="66"/>
      <c r="R2290" s="66"/>
      <c r="S2290" s="66"/>
      <c r="T2290" s="66"/>
      <c r="U2290" s="66"/>
      <c r="V2290" s="66"/>
      <c r="W2290" s="66"/>
      <c r="X2290" s="66"/>
      <c r="Y2290" s="66"/>
      <c r="Z2290" s="66"/>
    </row>
    <row r="2291">
      <c r="A2291" s="66"/>
      <c r="B2291" s="66"/>
      <c r="C2291" s="66"/>
      <c r="D2291" s="66"/>
      <c r="E2291" s="66"/>
      <c r="F2291" s="66"/>
      <c r="G2291" s="66"/>
      <c r="H2291" s="66"/>
      <c r="I2291" s="66"/>
      <c r="J2291" s="66"/>
      <c r="K2291" s="66"/>
      <c r="L2291" s="66"/>
      <c r="M2291" s="66"/>
      <c r="N2291" s="66"/>
      <c r="O2291" s="66"/>
      <c r="P2291" s="66"/>
      <c r="Q2291" s="66"/>
      <c r="R2291" s="66"/>
      <c r="S2291" s="66"/>
      <c r="T2291" s="66"/>
      <c r="U2291" s="66"/>
      <c r="V2291" s="66"/>
      <c r="W2291" s="66"/>
      <c r="X2291" s="66"/>
      <c r="Y2291" s="66"/>
      <c r="Z2291" s="66"/>
    </row>
    <row r="2292">
      <c r="A2292" s="66"/>
      <c r="B2292" s="66"/>
      <c r="C2292" s="66"/>
      <c r="D2292" s="66"/>
      <c r="E2292" s="66"/>
      <c r="F2292" s="66"/>
      <c r="G2292" s="66"/>
      <c r="H2292" s="66"/>
      <c r="I2292" s="66"/>
      <c r="J2292" s="66"/>
      <c r="K2292" s="66"/>
      <c r="L2292" s="66"/>
      <c r="M2292" s="66"/>
      <c r="N2292" s="66"/>
      <c r="O2292" s="66"/>
      <c r="P2292" s="66"/>
      <c r="Q2292" s="66"/>
      <c r="R2292" s="66"/>
      <c r="S2292" s="66"/>
      <c r="T2292" s="66"/>
      <c r="U2292" s="66"/>
      <c r="V2292" s="66"/>
      <c r="W2292" s="66"/>
      <c r="X2292" s="66"/>
      <c r="Y2292" s="66"/>
      <c r="Z2292" s="66"/>
    </row>
    <row r="2293">
      <c r="A2293" s="66"/>
      <c r="B2293" s="66"/>
      <c r="C2293" s="66"/>
      <c r="D2293" s="66"/>
      <c r="E2293" s="66"/>
      <c r="F2293" s="66"/>
      <c r="G2293" s="66"/>
      <c r="H2293" s="66"/>
      <c r="I2293" s="66"/>
      <c r="J2293" s="66"/>
      <c r="K2293" s="66"/>
      <c r="L2293" s="66"/>
      <c r="M2293" s="66"/>
      <c r="N2293" s="66"/>
      <c r="O2293" s="66"/>
      <c r="P2293" s="66"/>
      <c r="Q2293" s="66"/>
      <c r="R2293" s="66"/>
      <c r="S2293" s="66"/>
      <c r="T2293" s="66"/>
      <c r="U2293" s="66"/>
      <c r="V2293" s="66"/>
      <c r="W2293" s="66"/>
      <c r="X2293" s="66"/>
      <c r="Y2293" s="66"/>
      <c r="Z2293" s="66"/>
    </row>
    <row r="2294">
      <c r="A2294" s="66"/>
      <c r="B2294" s="66"/>
      <c r="C2294" s="66"/>
      <c r="D2294" s="66"/>
      <c r="E2294" s="66"/>
      <c r="F2294" s="66"/>
      <c r="G2294" s="66"/>
      <c r="H2294" s="66"/>
      <c r="I2294" s="66"/>
      <c r="J2294" s="66"/>
      <c r="K2294" s="66"/>
      <c r="L2294" s="66"/>
      <c r="M2294" s="66"/>
      <c r="N2294" s="66"/>
      <c r="O2294" s="66"/>
      <c r="P2294" s="66"/>
      <c r="Q2294" s="66"/>
      <c r="R2294" s="66"/>
      <c r="S2294" s="66"/>
      <c r="T2294" s="66"/>
      <c r="U2294" s="66"/>
      <c r="V2294" s="66"/>
      <c r="W2294" s="66"/>
      <c r="X2294" s="66"/>
      <c r="Y2294" s="66"/>
      <c r="Z2294" s="66"/>
    </row>
    <row r="2295">
      <c r="A2295" s="66"/>
      <c r="B2295" s="66"/>
      <c r="C2295" s="66"/>
      <c r="D2295" s="66"/>
      <c r="E2295" s="66"/>
      <c r="F2295" s="66"/>
      <c r="G2295" s="66"/>
      <c r="H2295" s="66"/>
      <c r="I2295" s="66"/>
      <c r="J2295" s="66"/>
      <c r="K2295" s="66"/>
      <c r="L2295" s="66"/>
      <c r="M2295" s="66"/>
      <c r="N2295" s="66"/>
      <c r="O2295" s="66"/>
      <c r="P2295" s="66"/>
      <c r="Q2295" s="66"/>
      <c r="R2295" s="66"/>
      <c r="S2295" s="66"/>
      <c r="T2295" s="66"/>
      <c r="U2295" s="66"/>
      <c r="V2295" s="66"/>
      <c r="W2295" s="66"/>
      <c r="X2295" s="66"/>
      <c r="Y2295" s="66"/>
      <c r="Z2295" s="66"/>
    </row>
    <row r="2296">
      <c r="A2296" s="66"/>
      <c r="B2296" s="66"/>
      <c r="C2296" s="66"/>
      <c r="D2296" s="66"/>
      <c r="E2296" s="66"/>
      <c r="F2296" s="66"/>
      <c r="G2296" s="66"/>
      <c r="H2296" s="66"/>
      <c r="I2296" s="66"/>
      <c r="J2296" s="66"/>
      <c r="K2296" s="66"/>
      <c r="L2296" s="66"/>
      <c r="M2296" s="66"/>
      <c r="N2296" s="66"/>
      <c r="O2296" s="66"/>
      <c r="P2296" s="66"/>
      <c r="Q2296" s="66"/>
      <c r="R2296" s="66"/>
      <c r="S2296" s="66"/>
      <c r="T2296" s="66"/>
      <c r="U2296" s="66"/>
      <c r="V2296" s="66"/>
      <c r="W2296" s="66"/>
      <c r="X2296" s="66"/>
      <c r="Y2296" s="66"/>
      <c r="Z2296" s="66"/>
    </row>
    <row r="2297">
      <c r="A2297" s="66"/>
      <c r="B2297" s="66"/>
      <c r="C2297" s="66"/>
      <c r="D2297" s="66"/>
      <c r="E2297" s="66"/>
      <c r="F2297" s="66"/>
      <c r="G2297" s="66"/>
      <c r="H2297" s="66"/>
      <c r="I2297" s="66"/>
      <c r="J2297" s="66"/>
      <c r="K2297" s="66"/>
      <c r="L2297" s="66"/>
      <c r="M2297" s="66"/>
      <c r="N2297" s="66"/>
      <c r="O2297" s="66"/>
      <c r="P2297" s="66"/>
      <c r="Q2297" s="66"/>
      <c r="R2297" s="66"/>
      <c r="S2297" s="66"/>
      <c r="T2297" s="66"/>
      <c r="U2297" s="66"/>
      <c r="V2297" s="66"/>
      <c r="W2297" s="66"/>
      <c r="X2297" s="66"/>
      <c r="Y2297" s="66"/>
      <c r="Z2297" s="66"/>
    </row>
    <row r="2298">
      <c r="A2298" s="66"/>
      <c r="B2298" s="66"/>
      <c r="C2298" s="66"/>
      <c r="D2298" s="66"/>
      <c r="E2298" s="66"/>
      <c r="F2298" s="66"/>
      <c r="G2298" s="66"/>
      <c r="H2298" s="66"/>
      <c r="I2298" s="66"/>
      <c r="J2298" s="66"/>
      <c r="K2298" s="66"/>
      <c r="L2298" s="66"/>
      <c r="M2298" s="66"/>
      <c r="N2298" s="66"/>
      <c r="O2298" s="66"/>
      <c r="P2298" s="66"/>
      <c r="Q2298" s="66"/>
      <c r="R2298" s="66"/>
      <c r="S2298" s="66"/>
      <c r="T2298" s="66"/>
      <c r="U2298" s="66"/>
      <c r="V2298" s="66"/>
      <c r="W2298" s="66"/>
      <c r="X2298" s="66"/>
      <c r="Y2298" s="66"/>
      <c r="Z2298" s="66"/>
    </row>
    <row r="2299">
      <c r="A2299" s="66"/>
      <c r="B2299" s="66"/>
      <c r="C2299" s="66"/>
      <c r="D2299" s="66"/>
      <c r="E2299" s="66"/>
      <c r="F2299" s="66"/>
      <c r="G2299" s="66"/>
      <c r="H2299" s="66"/>
      <c r="I2299" s="66"/>
      <c r="J2299" s="66"/>
      <c r="K2299" s="66"/>
      <c r="L2299" s="66"/>
      <c r="M2299" s="66"/>
      <c r="N2299" s="66"/>
      <c r="O2299" s="66"/>
      <c r="P2299" s="66"/>
      <c r="Q2299" s="66"/>
      <c r="R2299" s="66"/>
      <c r="S2299" s="66"/>
      <c r="T2299" s="66"/>
      <c r="U2299" s="66"/>
      <c r="V2299" s="66"/>
      <c r="W2299" s="66"/>
      <c r="X2299" s="66"/>
      <c r="Y2299" s="66"/>
      <c r="Z2299" s="66"/>
    </row>
    <row r="2300">
      <c r="A2300" s="66"/>
      <c r="B2300" s="66"/>
      <c r="C2300" s="66"/>
      <c r="D2300" s="66"/>
      <c r="E2300" s="66"/>
      <c r="F2300" s="66"/>
      <c r="G2300" s="66"/>
      <c r="H2300" s="66"/>
      <c r="I2300" s="66"/>
      <c r="J2300" s="66"/>
      <c r="K2300" s="66"/>
      <c r="L2300" s="66"/>
      <c r="M2300" s="66"/>
      <c r="N2300" s="66"/>
      <c r="O2300" s="66"/>
      <c r="P2300" s="66"/>
      <c r="Q2300" s="66"/>
      <c r="R2300" s="66"/>
      <c r="S2300" s="66"/>
      <c r="T2300" s="66"/>
      <c r="U2300" s="66"/>
      <c r="V2300" s="66"/>
      <c r="W2300" s="66"/>
      <c r="X2300" s="66"/>
      <c r="Y2300" s="66"/>
      <c r="Z2300" s="66"/>
    </row>
    <row r="2301">
      <c r="A2301" s="66"/>
      <c r="B2301" s="66"/>
      <c r="C2301" s="66"/>
      <c r="D2301" s="66"/>
      <c r="E2301" s="66"/>
      <c r="F2301" s="66"/>
      <c r="G2301" s="66"/>
      <c r="H2301" s="66"/>
      <c r="I2301" s="66"/>
      <c r="J2301" s="66"/>
      <c r="K2301" s="66"/>
      <c r="L2301" s="66"/>
      <c r="M2301" s="66"/>
      <c r="N2301" s="66"/>
      <c r="O2301" s="66"/>
      <c r="P2301" s="66"/>
      <c r="Q2301" s="66"/>
      <c r="R2301" s="66"/>
      <c r="S2301" s="66"/>
      <c r="T2301" s="66"/>
      <c r="U2301" s="66"/>
      <c r="V2301" s="66"/>
      <c r="W2301" s="66"/>
      <c r="X2301" s="66"/>
      <c r="Y2301" s="66"/>
      <c r="Z2301" s="66"/>
    </row>
    <row r="2302">
      <c r="A2302" s="66"/>
      <c r="B2302" s="66"/>
      <c r="C2302" s="66"/>
      <c r="D2302" s="66"/>
      <c r="E2302" s="66"/>
      <c r="F2302" s="66"/>
      <c r="G2302" s="66"/>
      <c r="H2302" s="66"/>
      <c r="I2302" s="66"/>
      <c r="J2302" s="66"/>
      <c r="K2302" s="66"/>
      <c r="L2302" s="66"/>
      <c r="M2302" s="66"/>
      <c r="N2302" s="66"/>
      <c r="O2302" s="66"/>
      <c r="P2302" s="66"/>
      <c r="Q2302" s="66"/>
      <c r="R2302" s="66"/>
      <c r="S2302" s="66"/>
      <c r="T2302" s="66"/>
      <c r="U2302" s="66"/>
      <c r="V2302" s="66"/>
      <c r="W2302" s="66"/>
      <c r="X2302" s="66"/>
      <c r="Y2302" s="66"/>
      <c r="Z2302" s="66"/>
    </row>
    <row r="2303">
      <c r="A2303" s="66"/>
      <c r="B2303" s="66"/>
      <c r="C2303" s="66"/>
      <c r="D2303" s="66"/>
      <c r="E2303" s="66"/>
      <c r="F2303" s="66"/>
      <c r="G2303" s="66"/>
      <c r="H2303" s="66"/>
      <c r="I2303" s="66"/>
      <c r="J2303" s="66"/>
      <c r="K2303" s="66"/>
      <c r="L2303" s="66"/>
      <c r="M2303" s="66"/>
      <c r="N2303" s="66"/>
      <c r="O2303" s="66"/>
      <c r="P2303" s="66"/>
      <c r="Q2303" s="66"/>
      <c r="R2303" s="66"/>
      <c r="S2303" s="66"/>
      <c r="T2303" s="66"/>
      <c r="U2303" s="66"/>
      <c r="V2303" s="66"/>
      <c r="W2303" s="66"/>
      <c r="X2303" s="66"/>
      <c r="Y2303" s="66"/>
      <c r="Z2303" s="66"/>
    </row>
    <row r="2304">
      <c r="A2304" s="66"/>
      <c r="B2304" s="66"/>
      <c r="C2304" s="66"/>
      <c r="D2304" s="66"/>
      <c r="E2304" s="66"/>
      <c r="F2304" s="66"/>
      <c r="G2304" s="66"/>
      <c r="H2304" s="66"/>
      <c r="I2304" s="66"/>
      <c r="J2304" s="66"/>
      <c r="K2304" s="66"/>
      <c r="L2304" s="66"/>
      <c r="M2304" s="66"/>
      <c r="N2304" s="66"/>
      <c r="O2304" s="66"/>
      <c r="P2304" s="66"/>
      <c r="Q2304" s="66"/>
      <c r="R2304" s="66"/>
      <c r="S2304" s="66"/>
      <c r="T2304" s="66"/>
      <c r="U2304" s="66"/>
      <c r="V2304" s="66"/>
      <c r="W2304" s="66"/>
      <c r="X2304" s="66"/>
      <c r="Y2304" s="66"/>
      <c r="Z2304" s="66"/>
    </row>
    <row r="2305">
      <c r="A2305" s="66"/>
      <c r="B2305" s="66"/>
      <c r="C2305" s="66"/>
      <c r="D2305" s="66"/>
      <c r="E2305" s="66"/>
      <c r="F2305" s="66"/>
      <c r="G2305" s="66"/>
      <c r="H2305" s="66"/>
      <c r="I2305" s="66"/>
      <c r="J2305" s="66"/>
      <c r="K2305" s="66"/>
      <c r="L2305" s="66"/>
      <c r="M2305" s="66"/>
      <c r="N2305" s="66"/>
      <c r="O2305" s="66"/>
      <c r="P2305" s="66"/>
      <c r="Q2305" s="66"/>
      <c r="R2305" s="66"/>
      <c r="S2305" s="66"/>
      <c r="T2305" s="66"/>
      <c r="U2305" s="66"/>
      <c r="V2305" s="66"/>
      <c r="W2305" s="66"/>
      <c r="X2305" s="66"/>
      <c r="Y2305" s="66"/>
      <c r="Z2305" s="66"/>
    </row>
    <row r="2306">
      <c r="A2306" s="66"/>
      <c r="B2306" s="66"/>
      <c r="C2306" s="66"/>
      <c r="D2306" s="66"/>
      <c r="E2306" s="66"/>
      <c r="F2306" s="66"/>
      <c r="G2306" s="66"/>
      <c r="H2306" s="66"/>
      <c r="I2306" s="66"/>
      <c r="J2306" s="66"/>
      <c r="K2306" s="66"/>
      <c r="L2306" s="66"/>
      <c r="M2306" s="66"/>
      <c r="N2306" s="66"/>
      <c r="O2306" s="66"/>
      <c r="P2306" s="66"/>
      <c r="Q2306" s="66"/>
      <c r="R2306" s="66"/>
      <c r="S2306" s="66"/>
      <c r="T2306" s="66"/>
      <c r="U2306" s="66"/>
      <c r="V2306" s="66"/>
      <c r="W2306" s="66"/>
      <c r="X2306" s="66"/>
      <c r="Y2306" s="66"/>
      <c r="Z2306" s="66"/>
    </row>
    <row r="2307">
      <c r="A2307" s="66"/>
      <c r="B2307" s="66"/>
      <c r="C2307" s="66"/>
      <c r="D2307" s="66"/>
      <c r="E2307" s="66"/>
      <c r="F2307" s="66"/>
      <c r="G2307" s="66"/>
      <c r="H2307" s="66"/>
      <c r="I2307" s="66"/>
      <c r="J2307" s="66"/>
      <c r="K2307" s="66"/>
      <c r="L2307" s="66"/>
      <c r="M2307" s="66"/>
      <c r="N2307" s="66"/>
      <c r="O2307" s="66"/>
      <c r="P2307" s="66"/>
      <c r="Q2307" s="66"/>
      <c r="R2307" s="66"/>
      <c r="S2307" s="66"/>
      <c r="T2307" s="66"/>
      <c r="U2307" s="66"/>
      <c r="V2307" s="66"/>
      <c r="W2307" s="66"/>
      <c r="X2307" s="66"/>
      <c r="Y2307" s="66"/>
      <c r="Z2307" s="66"/>
    </row>
    <row r="2308">
      <c r="A2308" s="66"/>
      <c r="B2308" s="66"/>
      <c r="C2308" s="66"/>
      <c r="D2308" s="66"/>
      <c r="E2308" s="66"/>
      <c r="F2308" s="66"/>
      <c r="G2308" s="66"/>
      <c r="H2308" s="66"/>
      <c r="I2308" s="66"/>
      <c r="J2308" s="66"/>
      <c r="K2308" s="66"/>
      <c r="L2308" s="66"/>
      <c r="M2308" s="66"/>
      <c r="N2308" s="66"/>
      <c r="O2308" s="66"/>
      <c r="P2308" s="66"/>
      <c r="Q2308" s="66"/>
      <c r="R2308" s="66"/>
      <c r="S2308" s="66"/>
      <c r="T2308" s="66"/>
      <c r="U2308" s="66"/>
      <c r="V2308" s="66"/>
      <c r="W2308" s="66"/>
      <c r="X2308" s="66"/>
      <c r="Y2308" s="66"/>
      <c r="Z2308" s="66"/>
    </row>
    <row r="2309">
      <c r="A2309" s="66"/>
      <c r="B2309" s="66"/>
      <c r="C2309" s="66"/>
      <c r="D2309" s="66"/>
      <c r="E2309" s="66"/>
      <c r="F2309" s="66"/>
      <c r="G2309" s="66"/>
      <c r="H2309" s="66"/>
      <c r="I2309" s="66"/>
      <c r="J2309" s="66"/>
      <c r="K2309" s="66"/>
      <c r="L2309" s="66"/>
      <c r="M2309" s="66"/>
      <c r="N2309" s="66"/>
      <c r="O2309" s="66"/>
      <c r="P2309" s="66"/>
      <c r="Q2309" s="66"/>
      <c r="R2309" s="66"/>
      <c r="S2309" s="66"/>
      <c r="T2309" s="66"/>
      <c r="U2309" s="66"/>
      <c r="V2309" s="66"/>
      <c r="W2309" s="66"/>
      <c r="X2309" s="66"/>
      <c r="Y2309" s="66"/>
      <c r="Z2309" s="66"/>
    </row>
    <row r="2310">
      <c r="A2310" s="66"/>
      <c r="B2310" s="66"/>
      <c r="C2310" s="66"/>
      <c r="D2310" s="66"/>
      <c r="E2310" s="66"/>
      <c r="F2310" s="66"/>
      <c r="G2310" s="66"/>
      <c r="H2310" s="66"/>
      <c r="I2310" s="66"/>
      <c r="J2310" s="66"/>
      <c r="K2310" s="66"/>
      <c r="L2310" s="66"/>
      <c r="M2310" s="66"/>
      <c r="N2310" s="66"/>
      <c r="O2310" s="66"/>
      <c r="P2310" s="66"/>
      <c r="Q2310" s="66"/>
      <c r="R2310" s="66"/>
      <c r="S2310" s="66"/>
      <c r="T2310" s="66"/>
      <c r="U2310" s="66"/>
      <c r="V2310" s="66"/>
      <c r="W2310" s="66"/>
      <c r="X2310" s="66"/>
      <c r="Y2310" s="66"/>
      <c r="Z2310" s="66"/>
    </row>
    <row r="2311">
      <c r="A2311" s="66"/>
      <c r="B2311" s="66"/>
      <c r="C2311" s="66"/>
      <c r="D2311" s="66"/>
      <c r="E2311" s="66"/>
      <c r="F2311" s="66"/>
      <c r="G2311" s="66"/>
      <c r="H2311" s="66"/>
      <c r="I2311" s="66"/>
      <c r="J2311" s="66"/>
      <c r="K2311" s="66"/>
      <c r="L2311" s="66"/>
      <c r="M2311" s="66"/>
      <c r="N2311" s="66"/>
      <c r="O2311" s="66"/>
      <c r="P2311" s="66"/>
      <c r="Q2311" s="66"/>
      <c r="R2311" s="66"/>
      <c r="S2311" s="66"/>
      <c r="T2311" s="66"/>
      <c r="U2311" s="66"/>
      <c r="V2311" s="66"/>
      <c r="W2311" s="66"/>
      <c r="X2311" s="66"/>
      <c r="Y2311" s="66"/>
      <c r="Z2311" s="66"/>
    </row>
    <row r="2312">
      <c r="A2312" s="66"/>
      <c r="B2312" s="66"/>
      <c r="C2312" s="66"/>
      <c r="D2312" s="66"/>
      <c r="E2312" s="66"/>
      <c r="F2312" s="66"/>
      <c r="G2312" s="66"/>
      <c r="H2312" s="66"/>
      <c r="I2312" s="66"/>
      <c r="J2312" s="66"/>
      <c r="K2312" s="66"/>
      <c r="L2312" s="66"/>
      <c r="M2312" s="66"/>
      <c r="N2312" s="66"/>
      <c r="O2312" s="66"/>
      <c r="P2312" s="66"/>
      <c r="Q2312" s="66"/>
      <c r="R2312" s="66"/>
      <c r="S2312" s="66"/>
      <c r="T2312" s="66"/>
      <c r="U2312" s="66"/>
      <c r="V2312" s="66"/>
      <c r="W2312" s="66"/>
      <c r="X2312" s="66"/>
      <c r="Y2312" s="66"/>
      <c r="Z2312" s="66"/>
    </row>
    <row r="2313">
      <c r="A2313" s="66"/>
      <c r="B2313" s="66"/>
      <c r="C2313" s="66"/>
      <c r="D2313" s="66"/>
      <c r="E2313" s="66"/>
      <c r="F2313" s="66"/>
      <c r="G2313" s="66"/>
      <c r="H2313" s="66"/>
      <c r="I2313" s="66"/>
      <c r="J2313" s="66"/>
      <c r="K2313" s="66"/>
      <c r="L2313" s="66"/>
      <c r="M2313" s="66"/>
      <c r="N2313" s="66"/>
      <c r="O2313" s="66"/>
      <c r="P2313" s="66"/>
      <c r="Q2313" s="66"/>
      <c r="R2313" s="66"/>
      <c r="S2313" s="66"/>
      <c r="T2313" s="66"/>
      <c r="U2313" s="66"/>
      <c r="V2313" s="66"/>
      <c r="W2313" s="66"/>
      <c r="X2313" s="66"/>
      <c r="Y2313" s="66"/>
      <c r="Z2313" s="66"/>
    </row>
    <row r="2314">
      <c r="A2314" s="66"/>
      <c r="B2314" s="66"/>
      <c r="C2314" s="66"/>
      <c r="D2314" s="66"/>
      <c r="E2314" s="66"/>
      <c r="F2314" s="66"/>
      <c r="G2314" s="66"/>
      <c r="H2314" s="66"/>
      <c r="I2314" s="66"/>
      <c r="J2314" s="66"/>
      <c r="K2314" s="66"/>
      <c r="L2314" s="66"/>
      <c r="M2314" s="66"/>
      <c r="N2314" s="66"/>
      <c r="O2314" s="66"/>
      <c r="P2314" s="66"/>
      <c r="Q2314" s="66"/>
      <c r="R2314" s="66"/>
      <c r="S2314" s="66"/>
      <c r="T2314" s="66"/>
      <c r="U2314" s="66"/>
      <c r="V2314" s="66"/>
      <c r="W2314" s="66"/>
      <c r="X2314" s="66"/>
      <c r="Y2314" s="66"/>
      <c r="Z2314" s="66"/>
    </row>
    <row r="2315">
      <c r="A2315" s="66"/>
      <c r="B2315" s="66"/>
      <c r="C2315" s="66"/>
      <c r="D2315" s="66"/>
      <c r="E2315" s="66"/>
      <c r="F2315" s="66"/>
      <c r="G2315" s="66"/>
      <c r="H2315" s="66"/>
      <c r="I2315" s="66"/>
      <c r="J2315" s="66"/>
      <c r="K2315" s="66"/>
      <c r="L2315" s="66"/>
      <c r="M2315" s="66"/>
      <c r="N2315" s="66"/>
      <c r="O2315" s="66"/>
      <c r="P2315" s="66"/>
      <c r="Q2315" s="66"/>
      <c r="R2315" s="66"/>
      <c r="S2315" s="66"/>
      <c r="T2315" s="66"/>
      <c r="U2315" s="66"/>
      <c r="V2315" s="66"/>
      <c r="W2315" s="66"/>
      <c r="X2315" s="66"/>
      <c r="Y2315" s="66"/>
      <c r="Z2315" s="66"/>
    </row>
    <row r="2316">
      <c r="A2316" s="66"/>
      <c r="B2316" s="66"/>
      <c r="C2316" s="66"/>
      <c r="D2316" s="66"/>
      <c r="E2316" s="66"/>
      <c r="F2316" s="66"/>
      <c r="G2316" s="66"/>
      <c r="H2316" s="66"/>
      <c r="I2316" s="66"/>
      <c r="J2316" s="66"/>
      <c r="K2316" s="66"/>
      <c r="L2316" s="66"/>
      <c r="M2316" s="66"/>
      <c r="N2316" s="66"/>
      <c r="O2316" s="66"/>
      <c r="P2316" s="66"/>
      <c r="Q2316" s="66"/>
      <c r="R2316" s="66"/>
      <c r="S2316" s="66"/>
      <c r="T2316" s="66"/>
      <c r="U2316" s="66"/>
      <c r="V2316" s="66"/>
      <c r="W2316" s="66"/>
      <c r="X2316" s="66"/>
      <c r="Y2316" s="66"/>
      <c r="Z2316" s="66"/>
    </row>
    <row r="2317">
      <c r="A2317" s="66"/>
      <c r="B2317" s="66"/>
      <c r="C2317" s="66"/>
      <c r="D2317" s="66"/>
      <c r="E2317" s="66"/>
      <c r="F2317" s="66"/>
      <c r="G2317" s="66"/>
      <c r="H2317" s="66"/>
      <c r="I2317" s="66"/>
      <c r="J2317" s="66"/>
      <c r="K2317" s="66"/>
      <c r="L2317" s="66"/>
      <c r="M2317" s="66"/>
      <c r="N2317" s="66"/>
      <c r="O2317" s="66"/>
      <c r="P2317" s="66"/>
      <c r="Q2317" s="66"/>
      <c r="R2317" s="66"/>
      <c r="S2317" s="66"/>
      <c r="T2317" s="66"/>
      <c r="U2317" s="66"/>
      <c r="V2317" s="66"/>
      <c r="W2317" s="66"/>
      <c r="X2317" s="66"/>
      <c r="Y2317" s="66"/>
      <c r="Z2317" s="66"/>
    </row>
    <row r="2318">
      <c r="A2318" s="66"/>
      <c r="B2318" s="66"/>
      <c r="C2318" s="66"/>
      <c r="D2318" s="66"/>
      <c r="E2318" s="66"/>
      <c r="F2318" s="66"/>
      <c r="G2318" s="66"/>
      <c r="H2318" s="66"/>
      <c r="I2318" s="66"/>
      <c r="J2318" s="66"/>
      <c r="K2318" s="66"/>
      <c r="L2318" s="66"/>
      <c r="M2318" s="66"/>
      <c r="N2318" s="66"/>
      <c r="O2318" s="66"/>
      <c r="P2318" s="66"/>
      <c r="Q2318" s="66"/>
      <c r="R2318" s="66"/>
      <c r="S2318" s="66"/>
      <c r="T2318" s="66"/>
      <c r="U2318" s="66"/>
      <c r="V2318" s="66"/>
      <c r="W2318" s="66"/>
      <c r="X2318" s="66"/>
      <c r="Y2318" s="66"/>
      <c r="Z2318" s="66"/>
    </row>
    <row r="2319">
      <c r="A2319" s="66"/>
      <c r="B2319" s="66"/>
      <c r="C2319" s="66"/>
      <c r="D2319" s="66"/>
      <c r="E2319" s="66"/>
      <c r="F2319" s="66"/>
      <c r="G2319" s="66"/>
      <c r="H2319" s="66"/>
      <c r="I2319" s="66"/>
      <c r="J2319" s="66"/>
      <c r="K2319" s="66"/>
      <c r="L2319" s="66"/>
      <c r="M2319" s="66"/>
      <c r="N2319" s="66"/>
      <c r="O2319" s="66"/>
      <c r="P2319" s="66"/>
      <c r="Q2319" s="66"/>
      <c r="R2319" s="66"/>
      <c r="S2319" s="66"/>
      <c r="T2319" s="66"/>
      <c r="U2319" s="66"/>
      <c r="V2319" s="66"/>
      <c r="W2319" s="66"/>
      <c r="X2319" s="66"/>
      <c r="Y2319" s="66"/>
      <c r="Z2319" s="66"/>
    </row>
    <row r="2320">
      <c r="A2320" s="66"/>
      <c r="B2320" s="66"/>
      <c r="C2320" s="66"/>
      <c r="D2320" s="66"/>
      <c r="E2320" s="66"/>
      <c r="F2320" s="66"/>
      <c r="G2320" s="66"/>
      <c r="H2320" s="66"/>
      <c r="I2320" s="66"/>
      <c r="J2320" s="66"/>
      <c r="K2320" s="66"/>
      <c r="L2320" s="66"/>
      <c r="M2320" s="66"/>
      <c r="N2320" s="66"/>
      <c r="O2320" s="66"/>
      <c r="P2320" s="66"/>
      <c r="Q2320" s="66"/>
      <c r="R2320" s="66"/>
      <c r="S2320" s="66"/>
      <c r="T2320" s="66"/>
      <c r="U2320" s="66"/>
      <c r="V2320" s="66"/>
      <c r="W2320" s="66"/>
      <c r="X2320" s="66"/>
      <c r="Y2320" s="66"/>
      <c r="Z2320" s="66"/>
    </row>
    <row r="2321">
      <c r="A2321" s="66"/>
      <c r="B2321" s="66"/>
      <c r="C2321" s="66"/>
      <c r="D2321" s="66"/>
      <c r="E2321" s="66"/>
      <c r="F2321" s="66"/>
      <c r="G2321" s="66"/>
      <c r="H2321" s="66"/>
      <c r="I2321" s="66"/>
      <c r="J2321" s="66"/>
      <c r="K2321" s="66"/>
      <c r="L2321" s="66"/>
      <c r="M2321" s="66"/>
      <c r="N2321" s="66"/>
      <c r="O2321" s="66"/>
      <c r="P2321" s="66"/>
      <c r="Q2321" s="66"/>
      <c r="R2321" s="66"/>
      <c r="S2321" s="66"/>
      <c r="T2321" s="66"/>
      <c r="U2321" s="66"/>
      <c r="V2321" s="66"/>
      <c r="W2321" s="66"/>
      <c r="X2321" s="66"/>
      <c r="Y2321" s="66"/>
      <c r="Z2321" s="66"/>
    </row>
    <row r="2322">
      <c r="A2322" s="66"/>
      <c r="B2322" s="66"/>
      <c r="C2322" s="66"/>
      <c r="D2322" s="66"/>
      <c r="E2322" s="66"/>
      <c r="F2322" s="66"/>
      <c r="G2322" s="66"/>
      <c r="H2322" s="66"/>
      <c r="I2322" s="66"/>
      <c r="J2322" s="66"/>
      <c r="K2322" s="66"/>
      <c r="L2322" s="66"/>
      <c r="M2322" s="66"/>
      <c r="N2322" s="66"/>
      <c r="O2322" s="66"/>
      <c r="P2322" s="66"/>
      <c r="Q2322" s="66"/>
      <c r="R2322" s="66"/>
      <c r="S2322" s="66"/>
      <c r="T2322" s="66"/>
      <c r="U2322" s="66"/>
      <c r="V2322" s="66"/>
      <c r="W2322" s="66"/>
      <c r="X2322" s="66"/>
      <c r="Y2322" s="66"/>
      <c r="Z2322" s="66"/>
    </row>
    <row r="2323">
      <c r="A2323" s="66"/>
      <c r="B2323" s="66"/>
      <c r="C2323" s="66"/>
      <c r="D2323" s="66"/>
      <c r="E2323" s="66"/>
      <c r="F2323" s="66"/>
      <c r="G2323" s="66"/>
      <c r="H2323" s="66"/>
      <c r="I2323" s="66"/>
      <c r="J2323" s="66"/>
      <c r="K2323" s="66"/>
      <c r="L2323" s="66"/>
      <c r="M2323" s="66"/>
      <c r="N2323" s="66"/>
      <c r="O2323" s="66"/>
      <c r="P2323" s="66"/>
      <c r="Q2323" s="66"/>
      <c r="R2323" s="66"/>
      <c r="S2323" s="66"/>
      <c r="T2323" s="66"/>
      <c r="U2323" s="66"/>
      <c r="V2323" s="66"/>
      <c r="W2323" s="66"/>
      <c r="X2323" s="66"/>
      <c r="Y2323" s="66"/>
      <c r="Z2323" s="66"/>
    </row>
    <row r="2324">
      <c r="A2324" s="66"/>
      <c r="B2324" s="66"/>
      <c r="C2324" s="66"/>
      <c r="D2324" s="66"/>
      <c r="E2324" s="66"/>
      <c r="F2324" s="66"/>
      <c r="G2324" s="66"/>
      <c r="H2324" s="66"/>
      <c r="I2324" s="66"/>
      <c r="J2324" s="66"/>
      <c r="K2324" s="66"/>
      <c r="L2324" s="66"/>
      <c r="M2324" s="66"/>
      <c r="N2324" s="66"/>
      <c r="O2324" s="66"/>
      <c r="P2324" s="66"/>
      <c r="Q2324" s="66"/>
      <c r="R2324" s="66"/>
      <c r="S2324" s="66"/>
      <c r="T2324" s="66"/>
      <c r="U2324" s="66"/>
      <c r="V2324" s="66"/>
      <c r="W2324" s="66"/>
      <c r="X2324" s="66"/>
      <c r="Y2324" s="66"/>
      <c r="Z2324" s="66"/>
    </row>
    <row r="2325">
      <c r="A2325" s="66"/>
      <c r="B2325" s="66"/>
      <c r="C2325" s="66"/>
      <c r="D2325" s="66"/>
      <c r="E2325" s="66"/>
      <c r="F2325" s="66"/>
      <c r="G2325" s="66"/>
      <c r="H2325" s="66"/>
      <c r="I2325" s="66"/>
      <c r="J2325" s="66"/>
      <c r="K2325" s="66"/>
      <c r="L2325" s="66"/>
      <c r="M2325" s="66"/>
      <c r="N2325" s="66"/>
      <c r="O2325" s="66"/>
      <c r="P2325" s="66"/>
      <c r="Q2325" s="66"/>
      <c r="R2325" s="66"/>
      <c r="S2325" s="66"/>
      <c r="T2325" s="66"/>
      <c r="U2325" s="66"/>
      <c r="V2325" s="66"/>
      <c r="W2325" s="66"/>
      <c r="X2325" s="66"/>
      <c r="Y2325" s="66"/>
      <c r="Z2325" s="66"/>
    </row>
    <row r="2326">
      <c r="A2326" s="66"/>
      <c r="B2326" s="66"/>
      <c r="C2326" s="66"/>
      <c r="D2326" s="66"/>
      <c r="E2326" s="66"/>
      <c r="F2326" s="66"/>
      <c r="G2326" s="66"/>
      <c r="H2326" s="66"/>
      <c r="I2326" s="66"/>
      <c r="J2326" s="66"/>
      <c r="K2326" s="66"/>
      <c r="L2326" s="66"/>
      <c r="M2326" s="66"/>
      <c r="N2326" s="66"/>
      <c r="O2326" s="66"/>
      <c r="P2326" s="66"/>
      <c r="Q2326" s="66"/>
      <c r="R2326" s="66"/>
      <c r="S2326" s="66"/>
      <c r="T2326" s="66"/>
      <c r="U2326" s="66"/>
      <c r="V2326" s="66"/>
      <c r="W2326" s="66"/>
      <c r="X2326" s="66"/>
      <c r="Y2326" s="66"/>
      <c r="Z2326" s="66"/>
    </row>
    <row r="2327">
      <c r="A2327" s="66"/>
      <c r="B2327" s="66"/>
      <c r="C2327" s="66"/>
      <c r="D2327" s="66"/>
      <c r="E2327" s="66"/>
      <c r="F2327" s="66"/>
      <c r="G2327" s="66"/>
      <c r="H2327" s="66"/>
      <c r="I2327" s="66"/>
      <c r="J2327" s="66"/>
      <c r="K2327" s="66"/>
      <c r="L2327" s="66"/>
      <c r="M2327" s="66"/>
      <c r="N2327" s="66"/>
      <c r="O2327" s="66"/>
      <c r="P2327" s="66"/>
      <c r="Q2327" s="66"/>
      <c r="R2327" s="66"/>
      <c r="S2327" s="66"/>
      <c r="T2327" s="66"/>
      <c r="U2327" s="66"/>
      <c r="V2327" s="66"/>
      <c r="W2327" s="66"/>
      <c r="X2327" s="66"/>
      <c r="Y2327" s="66"/>
      <c r="Z2327" s="66"/>
    </row>
    <row r="2328">
      <c r="A2328" s="66"/>
      <c r="B2328" s="66"/>
      <c r="C2328" s="66"/>
      <c r="D2328" s="66"/>
      <c r="E2328" s="66"/>
      <c r="F2328" s="66"/>
      <c r="G2328" s="66"/>
      <c r="H2328" s="66"/>
      <c r="I2328" s="66"/>
      <c r="J2328" s="66"/>
      <c r="K2328" s="66"/>
      <c r="L2328" s="66"/>
      <c r="M2328" s="66"/>
      <c r="N2328" s="66"/>
      <c r="O2328" s="66"/>
      <c r="P2328" s="66"/>
      <c r="Q2328" s="66"/>
      <c r="R2328" s="66"/>
      <c r="S2328" s="66"/>
      <c r="T2328" s="66"/>
      <c r="U2328" s="66"/>
      <c r="V2328" s="66"/>
      <c r="W2328" s="66"/>
      <c r="X2328" s="66"/>
      <c r="Y2328" s="66"/>
      <c r="Z2328" s="66"/>
    </row>
    <row r="2329">
      <c r="A2329" s="66"/>
      <c r="B2329" s="66"/>
      <c r="C2329" s="66"/>
      <c r="D2329" s="66"/>
      <c r="E2329" s="66"/>
      <c r="F2329" s="66"/>
      <c r="G2329" s="66"/>
      <c r="H2329" s="66"/>
      <c r="I2329" s="66"/>
      <c r="J2329" s="66"/>
      <c r="K2329" s="66"/>
      <c r="L2329" s="66"/>
      <c r="M2329" s="66"/>
      <c r="N2329" s="66"/>
      <c r="O2329" s="66"/>
      <c r="P2329" s="66"/>
      <c r="Q2329" s="66"/>
      <c r="R2329" s="66"/>
      <c r="S2329" s="66"/>
      <c r="T2329" s="66"/>
      <c r="U2329" s="66"/>
      <c r="V2329" s="66"/>
      <c r="W2329" s="66"/>
      <c r="X2329" s="66"/>
      <c r="Y2329" s="66"/>
      <c r="Z2329" s="66"/>
    </row>
    <row r="2330">
      <c r="A2330" s="66"/>
      <c r="B2330" s="66"/>
      <c r="C2330" s="66"/>
      <c r="D2330" s="66"/>
      <c r="E2330" s="66"/>
      <c r="F2330" s="66"/>
      <c r="G2330" s="66"/>
      <c r="H2330" s="66"/>
      <c r="I2330" s="66"/>
      <c r="J2330" s="66"/>
      <c r="K2330" s="66"/>
      <c r="L2330" s="66"/>
      <c r="M2330" s="66"/>
      <c r="N2330" s="66"/>
      <c r="O2330" s="66"/>
      <c r="P2330" s="66"/>
      <c r="Q2330" s="66"/>
      <c r="R2330" s="66"/>
      <c r="S2330" s="66"/>
      <c r="T2330" s="66"/>
      <c r="U2330" s="66"/>
      <c r="V2330" s="66"/>
      <c r="W2330" s="66"/>
      <c r="X2330" s="66"/>
      <c r="Y2330" s="66"/>
      <c r="Z2330" s="66"/>
    </row>
    <row r="2331">
      <c r="A2331" s="66"/>
      <c r="B2331" s="66"/>
      <c r="C2331" s="66"/>
      <c r="D2331" s="66"/>
      <c r="E2331" s="66"/>
      <c r="F2331" s="66"/>
      <c r="G2331" s="66"/>
      <c r="H2331" s="66"/>
      <c r="I2331" s="66"/>
      <c r="J2331" s="66"/>
      <c r="K2331" s="66"/>
      <c r="L2331" s="66"/>
      <c r="M2331" s="66"/>
      <c r="N2331" s="66"/>
      <c r="O2331" s="66"/>
      <c r="P2331" s="66"/>
      <c r="Q2331" s="66"/>
      <c r="R2331" s="66"/>
      <c r="S2331" s="66"/>
      <c r="T2331" s="66"/>
      <c r="U2331" s="66"/>
      <c r="V2331" s="66"/>
      <c r="W2331" s="66"/>
      <c r="X2331" s="66"/>
      <c r="Y2331" s="66"/>
      <c r="Z2331" s="66"/>
    </row>
    <row r="2332">
      <c r="A2332" s="66"/>
      <c r="B2332" s="66"/>
      <c r="C2332" s="66"/>
      <c r="D2332" s="66"/>
      <c r="E2332" s="66"/>
      <c r="F2332" s="66"/>
      <c r="G2332" s="66"/>
      <c r="H2332" s="66"/>
      <c r="I2332" s="66"/>
      <c r="J2332" s="66"/>
      <c r="K2332" s="66"/>
      <c r="L2332" s="66"/>
      <c r="M2332" s="66"/>
      <c r="N2332" s="66"/>
      <c r="O2332" s="66"/>
      <c r="P2332" s="66"/>
      <c r="Q2332" s="66"/>
      <c r="R2332" s="66"/>
      <c r="S2332" s="66"/>
      <c r="T2332" s="66"/>
      <c r="U2332" s="66"/>
      <c r="V2332" s="66"/>
      <c r="W2332" s="66"/>
      <c r="X2332" s="66"/>
      <c r="Y2332" s="66"/>
      <c r="Z2332" s="66"/>
    </row>
    <row r="2333">
      <c r="A2333" s="66"/>
      <c r="B2333" s="66"/>
      <c r="C2333" s="66"/>
      <c r="D2333" s="66"/>
      <c r="E2333" s="66"/>
      <c r="F2333" s="66"/>
      <c r="G2333" s="66"/>
      <c r="H2333" s="66"/>
      <c r="I2333" s="66"/>
      <c r="J2333" s="66"/>
      <c r="K2333" s="66"/>
      <c r="L2333" s="66"/>
      <c r="M2333" s="66"/>
      <c r="N2333" s="66"/>
      <c r="O2333" s="66"/>
      <c r="P2333" s="66"/>
      <c r="Q2333" s="66"/>
      <c r="R2333" s="66"/>
      <c r="S2333" s="66"/>
      <c r="T2333" s="66"/>
      <c r="U2333" s="66"/>
      <c r="V2333" s="66"/>
      <c r="W2333" s="66"/>
      <c r="X2333" s="66"/>
      <c r="Y2333" s="66"/>
      <c r="Z2333" s="66"/>
    </row>
    <row r="2334">
      <c r="A2334" s="66"/>
      <c r="B2334" s="66"/>
      <c r="C2334" s="66"/>
      <c r="D2334" s="66"/>
      <c r="E2334" s="66"/>
      <c r="F2334" s="66"/>
      <c r="G2334" s="66"/>
      <c r="H2334" s="66"/>
      <c r="I2334" s="66"/>
      <c r="J2334" s="66"/>
      <c r="K2334" s="66"/>
      <c r="L2334" s="66"/>
      <c r="M2334" s="66"/>
      <c r="N2334" s="66"/>
      <c r="O2334" s="66"/>
      <c r="P2334" s="66"/>
      <c r="Q2334" s="66"/>
      <c r="R2334" s="66"/>
      <c r="S2334" s="66"/>
      <c r="T2334" s="66"/>
      <c r="U2334" s="66"/>
      <c r="V2334" s="66"/>
      <c r="W2334" s="66"/>
      <c r="X2334" s="66"/>
      <c r="Y2334" s="66"/>
      <c r="Z2334" s="66"/>
    </row>
    <row r="2335">
      <c r="A2335" s="66"/>
      <c r="B2335" s="66"/>
      <c r="C2335" s="66"/>
      <c r="D2335" s="66"/>
      <c r="E2335" s="66"/>
      <c r="F2335" s="66"/>
      <c r="G2335" s="66"/>
      <c r="H2335" s="66"/>
      <c r="I2335" s="66"/>
      <c r="J2335" s="66"/>
      <c r="K2335" s="66"/>
      <c r="L2335" s="66"/>
      <c r="M2335" s="66"/>
      <c r="N2335" s="66"/>
      <c r="O2335" s="66"/>
      <c r="P2335" s="66"/>
      <c r="Q2335" s="66"/>
      <c r="R2335" s="66"/>
      <c r="S2335" s="66"/>
      <c r="T2335" s="66"/>
      <c r="U2335" s="66"/>
      <c r="V2335" s="66"/>
      <c r="W2335" s="66"/>
      <c r="X2335" s="66"/>
      <c r="Y2335" s="66"/>
      <c r="Z2335" s="66"/>
    </row>
    <row r="2336">
      <c r="A2336" s="66"/>
      <c r="B2336" s="66"/>
      <c r="C2336" s="66"/>
      <c r="D2336" s="66"/>
      <c r="E2336" s="66"/>
      <c r="F2336" s="66"/>
      <c r="G2336" s="66"/>
      <c r="H2336" s="66"/>
      <c r="I2336" s="66"/>
      <c r="J2336" s="66"/>
      <c r="K2336" s="66"/>
      <c r="L2336" s="66"/>
      <c r="M2336" s="66"/>
      <c r="N2336" s="66"/>
      <c r="O2336" s="66"/>
      <c r="P2336" s="66"/>
      <c r="Q2336" s="66"/>
      <c r="R2336" s="66"/>
      <c r="S2336" s="66"/>
      <c r="T2336" s="66"/>
      <c r="U2336" s="66"/>
      <c r="V2336" s="66"/>
      <c r="W2336" s="66"/>
      <c r="X2336" s="66"/>
      <c r="Y2336" s="66"/>
      <c r="Z2336" s="66"/>
    </row>
    <row r="2337">
      <c r="A2337" s="66"/>
      <c r="B2337" s="66"/>
      <c r="C2337" s="66"/>
      <c r="D2337" s="66"/>
      <c r="E2337" s="66"/>
      <c r="F2337" s="66"/>
      <c r="G2337" s="66"/>
      <c r="H2337" s="66"/>
      <c r="I2337" s="66"/>
      <c r="J2337" s="66"/>
      <c r="K2337" s="66"/>
      <c r="L2337" s="66"/>
      <c r="M2337" s="66"/>
      <c r="N2337" s="66"/>
      <c r="O2337" s="66"/>
      <c r="P2337" s="66"/>
      <c r="Q2337" s="66"/>
      <c r="R2337" s="66"/>
      <c r="S2337" s="66"/>
      <c r="T2337" s="66"/>
      <c r="U2337" s="66"/>
      <c r="V2337" s="66"/>
      <c r="W2337" s="66"/>
      <c r="X2337" s="66"/>
      <c r="Y2337" s="66"/>
      <c r="Z2337" s="66"/>
    </row>
    <row r="2338">
      <c r="A2338" s="66"/>
      <c r="B2338" s="66"/>
      <c r="C2338" s="66"/>
      <c r="D2338" s="66"/>
      <c r="E2338" s="66"/>
      <c r="F2338" s="66"/>
      <c r="G2338" s="66"/>
      <c r="H2338" s="66"/>
      <c r="I2338" s="66"/>
      <c r="J2338" s="66"/>
      <c r="K2338" s="66"/>
      <c r="L2338" s="66"/>
      <c r="M2338" s="66"/>
      <c r="N2338" s="66"/>
      <c r="O2338" s="66"/>
      <c r="P2338" s="66"/>
      <c r="Q2338" s="66"/>
      <c r="R2338" s="66"/>
      <c r="S2338" s="66"/>
      <c r="T2338" s="66"/>
      <c r="U2338" s="66"/>
      <c r="V2338" s="66"/>
      <c r="W2338" s="66"/>
      <c r="X2338" s="66"/>
      <c r="Y2338" s="66"/>
      <c r="Z2338" s="66"/>
    </row>
    <row r="2339">
      <c r="A2339" s="66"/>
      <c r="B2339" s="66"/>
      <c r="C2339" s="66"/>
      <c r="D2339" s="66"/>
      <c r="E2339" s="66"/>
      <c r="F2339" s="66"/>
      <c r="G2339" s="66"/>
      <c r="H2339" s="66"/>
      <c r="I2339" s="66"/>
      <c r="J2339" s="66"/>
      <c r="K2339" s="66"/>
      <c r="L2339" s="66"/>
      <c r="M2339" s="66"/>
      <c r="N2339" s="66"/>
      <c r="O2339" s="66"/>
      <c r="P2339" s="66"/>
      <c r="Q2339" s="66"/>
      <c r="R2339" s="66"/>
      <c r="S2339" s="66"/>
      <c r="T2339" s="66"/>
      <c r="U2339" s="66"/>
      <c r="V2339" s="66"/>
      <c r="W2339" s="66"/>
      <c r="X2339" s="66"/>
      <c r="Y2339" s="66"/>
      <c r="Z2339" s="66"/>
    </row>
    <row r="2340">
      <c r="A2340" s="66"/>
      <c r="B2340" s="66"/>
      <c r="C2340" s="66"/>
      <c r="D2340" s="66"/>
      <c r="E2340" s="66"/>
      <c r="F2340" s="66"/>
      <c r="G2340" s="66"/>
      <c r="H2340" s="66"/>
      <c r="I2340" s="66"/>
      <c r="J2340" s="66"/>
      <c r="K2340" s="66"/>
      <c r="L2340" s="66"/>
      <c r="M2340" s="66"/>
      <c r="N2340" s="66"/>
      <c r="O2340" s="66"/>
      <c r="P2340" s="66"/>
      <c r="Q2340" s="66"/>
      <c r="R2340" s="66"/>
      <c r="S2340" s="66"/>
      <c r="T2340" s="66"/>
      <c r="U2340" s="66"/>
      <c r="V2340" s="66"/>
      <c r="W2340" s="66"/>
      <c r="X2340" s="66"/>
      <c r="Y2340" s="66"/>
      <c r="Z2340" s="66"/>
    </row>
    <row r="2341">
      <c r="A2341" s="66"/>
      <c r="B2341" s="66"/>
      <c r="C2341" s="66"/>
      <c r="D2341" s="66"/>
      <c r="E2341" s="66"/>
      <c r="F2341" s="66"/>
      <c r="G2341" s="66"/>
      <c r="H2341" s="66"/>
      <c r="I2341" s="66"/>
      <c r="J2341" s="66"/>
      <c r="K2341" s="66"/>
      <c r="L2341" s="66"/>
      <c r="M2341" s="66"/>
      <c r="N2341" s="66"/>
      <c r="O2341" s="66"/>
      <c r="P2341" s="66"/>
      <c r="Q2341" s="66"/>
      <c r="R2341" s="66"/>
      <c r="S2341" s="66"/>
      <c r="T2341" s="66"/>
      <c r="U2341" s="66"/>
      <c r="V2341" s="66"/>
      <c r="W2341" s="66"/>
      <c r="X2341" s="66"/>
      <c r="Y2341" s="66"/>
      <c r="Z2341" s="66"/>
    </row>
    <row r="2342">
      <c r="A2342" s="66"/>
      <c r="B2342" s="66"/>
      <c r="C2342" s="66"/>
      <c r="D2342" s="66"/>
      <c r="E2342" s="66"/>
      <c r="F2342" s="66"/>
      <c r="G2342" s="66"/>
      <c r="H2342" s="66"/>
      <c r="I2342" s="66"/>
      <c r="J2342" s="66"/>
      <c r="K2342" s="66"/>
      <c r="L2342" s="66"/>
      <c r="M2342" s="66"/>
      <c r="N2342" s="66"/>
      <c r="O2342" s="66"/>
      <c r="P2342" s="66"/>
      <c r="Q2342" s="66"/>
      <c r="R2342" s="66"/>
      <c r="S2342" s="66"/>
      <c r="T2342" s="66"/>
      <c r="U2342" s="66"/>
      <c r="V2342" s="66"/>
      <c r="W2342" s="66"/>
      <c r="X2342" s="66"/>
      <c r="Y2342" s="66"/>
      <c r="Z2342" s="66"/>
    </row>
    <row r="2343">
      <c r="A2343" s="66"/>
      <c r="B2343" s="66"/>
      <c r="C2343" s="66"/>
      <c r="D2343" s="66"/>
      <c r="E2343" s="66"/>
      <c r="F2343" s="66"/>
      <c r="G2343" s="66"/>
      <c r="H2343" s="66"/>
      <c r="I2343" s="66"/>
      <c r="J2343" s="66"/>
      <c r="K2343" s="66"/>
      <c r="L2343" s="66"/>
      <c r="M2343" s="66"/>
      <c r="N2343" s="66"/>
      <c r="O2343" s="66"/>
      <c r="P2343" s="66"/>
      <c r="Q2343" s="66"/>
      <c r="R2343" s="66"/>
      <c r="S2343" s="66"/>
      <c r="T2343" s="66"/>
      <c r="U2343" s="66"/>
      <c r="V2343" s="66"/>
      <c r="W2343" s="66"/>
      <c r="X2343" s="66"/>
      <c r="Y2343" s="66"/>
      <c r="Z2343" s="66"/>
    </row>
    <row r="2344">
      <c r="A2344" s="66"/>
      <c r="B2344" s="66"/>
      <c r="C2344" s="66"/>
      <c r="D2344" s="66"/>
      <c r="E2344" s="66"/>
      <c r="F2344" s="66"/>
      <c r="G2344" s="66"/>
      <c r="H2344" s="66"/>
      <c r="I2344" s="66"/>
      <c r="J2344" s="66"/>
      <c r="K2344" s="66"/>
      <c r="L2344" s="66"/>
      <c r="M2344" s="66"/>
      <c r="N2344" s="66"/>
      <c r="O2344" s="66"/>
      <c r="P2344" s="66"/>
      <c r="Q2344" s="66"/>
      <c r="R2344" s="66"/>
      <c r="S2344" s="66"/>
      <c r="T2344" s="66"/>
      <c r="U2344" s="66"/>
      <c r="V2344" s="66"/>
      <c r="W2344" s="66"/>
      <c r="X2344" s="66"/>
      <c r="Y2344" s="66"/>
      <c r="Z2344" s="66"/>
    </row>
    <row r="2345">
      <c r="A2345" s="66"/>
      <c r="B2345" s="66"/>
      <c r="C2345" s="66"/>
      <c r="D2345" s="66"/>
      <c r="E2345" s="66"/>
      <c r="F2345" s="66"/>
      <c r="G2345" s="66"/>
      <c r="H2345" s="66"/>
      <c r="I2345" s="66"/>
      <c r="J2345" s="66"/>
      <c r="K2345" s="66"/>
      <c r="L2345" s="66"/>
      <c r="M2345" s="66"/>
      <c r="N2345" s="66"/>
      <c r="O2345" s="66"/>
      <c r="P2345" s="66"/>
      <c r="Q2345" s="66"/>
      <c r="R2345" s="66"/>
      <c r="S2345" s="66"/>
      <c r="T2345" s="66"/>
      <c r="U2345" s="66"/>
      <c r="V2345" s="66"/>
      <c r="W2345" s="66"/>
      <c r="X2345" s="66"/>
      <c r="Y2345" s="66"/>
      <c r="Z2345" s="66"/>
    </row>
    <row r="2346">
      <c r="A2346" s="66"/>
      <c r="B2346" s="66"/>
      <c r="C2346" s="66"/>
      <c r="D2346" s="66"/>
      <c r="E2346" s="66"/>
      <c r="F2346" s="66"/>
      <c r="G2346" s="66"/>
      <c r="H2346" s="66"/>
      <c r="I2346" s="66"/>
      <c r="J2346" s="66"/>
      <c r="K2346" s="66"/>
      <c r="L2346" s="66"/>
      <c r="M2346" s="66"/>
      <c r="N2346" s="66"/>
      <c r="O2346" s="66"/>
      <c r="P2346" s="66"/>
      <c r="Q2346" s="66"/>
      <c r="R2346" s="66"/>
      <c r="S2346" s="66"/>
      <c r="T2346" s="66"/>
      <c r="U2346" s="66"/>
      <c r="V2346" s="66"/>
      <c r="W2346" s="66"/>
      <c r="X2346" s="66"/>
      <c r="Y2346" s="66"/>
      <c r="Z2346" s="66"/>
    </row>
    <row r="2347">
      <c r="A2347" s="66"/>
      <c r="B2347" s="66"/>
      <c r="C2347" s="66"/>
      <c r="D2347" s="66"/>
      <c r="E2347" s="66"/>
      <c r="F2347" s="66"/>
      <c r="G2347" s="66"/>
      <c r="H2347" s="66"/>
      <c r="I2347" s="66"/>
      <c r="J2347" s="66"/>
      <c r="K2347" s="66"/>
      <c r="L2347" s="66"/>
      <c r="M2347" s="66"/>
      <c r="N2347" s="66"/>
      <c r="O2347" s="66"/>
      <c r="P2347" s="66"/>
      <c r="Q2347" s="66"/>
      <c r="R2347" s="66"/>
      <c r="S2347" s="66"/>
      <c r="T2347" s="66"/>
      <c r="U2347" s="66"/>
      <c r="V2347" s="66"/>
      <c r="W2347" s="66"/>
      <c r="X2347" s="66"/>
      <c r="Y2347" s="66"/>
      <c r="Z2347" s="66"/>
    </row>
    <row r="2348">
      <c r="A2348" s="66"/>
      <c r="B2348" s="66"/>
      <c r="C2348" s="66"/>
      <c r="D2348" s="66"/>
      <c r="E2348" s="66"/>
      <c r="F2348" s="66"/>
      <c r="G2348" s="66"/>
      <c r="H2348" s="66"/>
      <c r="I2348" s="66"/>
      <c r="J2348" s="66"/>
      <c r="K2348" s="66"/>
      <c r="L2348" s="66"/>
      <c r="M2348" s="66"/>
      <c r="N2348" s="66"/>
      <c r="O2348" s="66"/>
      <c r="P2348" s="66"/>
      <c r="Q2348" s="66"/>
      <c r="R2348" s="66"/>
      <c r="S2348" s="66"/>
      <c r="T2348" s="66"/>
      <c r="U2348" s="66"/>
      <c r="V2348" s="66"/>
      <c r="W2348" s="66"/>
      <c r="X2348" s="66"/>
      <c r="Y2348" s="66"/>
      <c r="Z2348" s="66"/>
    </row>
    <row r="2349">
      <c r="A2349" s="66"/>
      <c r="B2349" s="66"/>
      <c r="C2349" s="66"/>
      <c r="D2349" s="66"/>
      <c r="E2349" s="66"/>
      <c r="F2349" s="66"/>
      <c r="G2349" s="66"/>
      <c r="H2349" s="66"/>
      <c r="I2349" s="66"/>
      <c r="J2349" s="66"/>
      <c r="K2349" s="66"/>
      <c r="L2349" s="66"/>
      <c r="M2349" s="66"/>
      <c r="N2349" s="66"/>
      <c r="O2349" s="66"/>
      <c r="P2349" s="66"/>
      <c r="Q2349" s="66"/>
      <c r="R2349" s="66"/>
      <c r="S2349" s="66"/>
      <c r="T2349" s="66"/>
      <c r="U2349" s="66"/>
      <c r="V2349" s="66"/>
      <c r="W2349" s="66"/>
      <c r="X2349" s="66"/>
      <c r="Y2349" s="66"/>
      <c r="Z2349" s="66"/>
    </row>
    <row r="2350">
      <c r="A2350" s="66"/>
      <c r="B2350" s="66"/>
      <c r="C2350" s="66"/>
      <c r="D2350" s="66"/>
      <c r="E2350" s="66"/>
      <c r="F2350" s="66"/>
      <c r="G2350" s="66"/>
      <c r="H2350" s="66"/>
      <c r="I2350" s="66"/>
      <c r="J2350" s="66"/>
      <c r="K2350" s="66"/>
      <c r="L2350" s="66"/>
      <c r="M2350" s="66"/>
      <c r="N2350" s="66"/>
      <c r="O2350" s="66"/>
      <c r="P2350" s="66"/>
      <c r="Q2350" s="66"/>
      <c r="R2350" s="66"/>
      <c r="S2350" s="66"/>
      <c r="T2350" s="66"/>
      <c r="U2350" s="66"/>
      <c r="V2350" s="66"/>
      <c r="W2350" s="66"/>
      <c r="X2350" s="66"/>
      <c r="Y2350" s="66"/>
      <c r="Z2350" s="66"/>
    </row>
    <row r="2351">
      <c r="A2351" s="66"/>
      <c r="B2351" s="66"/>
      <c r="C2351" s="66"/>
      <c r="D2351" s="66"/>
      <c r="E2351" s="66"/>
      <c r="F2351" s="66"/>
      <c r="G2351" s="66"/>
      <c r="H2351" s="66"/>
      <c r="I2351" s="66"/>
      <c r="J2351" s="66"/>
      <c r="K2351" s="66"/>
      <c r="L2351" s="66"/>
      <c r="M2351" s="66"/>
      <c r="N2351" s="66"/>
      <c r="O2351" s="66"/>
      <c r="P2351" s="66"/>
      <c r="Q2351" s="66"/>
      <c r="R2351" s="66"/>
      <c r="S2351" s="66"/>
      <c r="T2351" s="66"/>
      <c r="U2351" s="66"/>
      <c r="V2351" s="66"/>
      <c r="W2351" s="66"/>
      <c r="X2351" s="66"/>
      <c r="Y2351" s="66"/>
      <c r="Z2351" s="66"/>
    </row>
    <row r="2352">
      <c r="A2352" s="66"/>
      <c r="B2352" s="66"/>
      <c r="C2352" s="66"/>
      <c r="D2352" s="66"/>
      <c r="E2352" s="66"/>
      <c r="F2352" s="66"/>
      <c r="G2352" s="66"/>
      <c r="H2352" s="66"/>
      <c r="I2352" s="66"/>
      <c r="J2352" s="66"/>
      <c r="K2352" s="66"/>
      <c r="L2352" s="66"/>
      <c r="M2352" s="66"/>
      <c r="N2352" s="66"/>
      <c r="O2352" s="66"/>
      <c r="P2352" s="66"/>
      <c r="Q2352" s="66"/>
      <c r="R2352" s="66"/>
      <c r="S2352" s="66"/>
      <c r="T2352" s="66"/>
      <c r="U2352" s="66"/>
      <c r="V2352" s="66"/>
      <c r="W2352" s="66"/>
      <c r="X2352" s="66"/>
      <c r="Y2352" s="66"/>
      <c r="Z2352" s="66"/>
    </row>
    <row r="2353">
      <c r="A2353" s="66"/>
      <c r="B2353" s="66"/>
      <c r="C2353" s="66"/>
      <c r="D2353" s="66"/>
      <c r="E2353" s="66"/>
      <c r="F2353" s="66"/>
      <c r="G2353" s="66"/>
      <c r="H2353" s="66"/>
      <c r="I2353" s="66"/>
      <c r="J2353" s="66"/>
      <c r="K2353" s="66"/>
      <c r="L2353" s="66"/>
      <c r="M2353" s="66"/>
      <c r="N2353" s="66"/>
      <c r="O2353" s="66"/>
      <c r="P2353" s="66"/>
      <c r="Q2353" s="66"/>
      <c r="R2353" s="66"/>
      <c r="S2353" s="66"/>
      <c r="T2353" s="66"/>
      <c r="U2353" s="66"/>
      <c r="V2353" s="66"/>
      <c r="W2353" s="66"/>
      <c r="X2353" s="66"/>
      <c r="Y2353" s="66"/>
      <c r="Z2353" s="66"/>
    </row>
    <row r="2354">
      <c r="A2354" s="66"/>
      <c r="B2354" s="66"/>
      <c r="C2354" s="66"/>
      <c r="D2354" s="66"/>
      <c r="E2354" s="66"/>
      <c r="F2354" s="66"/>
      <c r="G2354" s="66"/>
      <c r="H2354" s="66"/>
      <c r="I2354" s="66"/>
      <c r="J2354" s="66"/>
      <c r="K2354" s="66"/>
      <c r="L2354" s="66"/>
      <c r="M2354" s="66"/>
      <c r="N2354" s="66"/>
      <c r="O2354" s="66"/>
      <c r="P2354" s="66"/>
      <c r="Q2354" s="66"/>
      <c r="R2354" s="66"/>
      <c r="S2354" s="66"/>
      <c r="T2354" s="66"/>
      <c r="U2354" s="66"/>
      <c r="V2354" s="66"/>
      <c r="W2354" s="66"/>
      <c r="X2354" s="66"/>
      <c r="Y2354" s="66"/>
      <c r="Z2354" s="66"/>
    </row>
    <row r="2355">
      <c r="A2355" s="66"/>
      <c r="B2355" s="66"/>
      <c r="C2355" s="66"/>
      <c r="D2355" s="66"/>
      <c r="E2355" s="66"/>
      <c r="F2355" s="66"/>
      <c r="G2355" s="66"/>
      <c r="H2355" s="66"/>
      <c r="I2355" s="66"/>
      <c r="J2355" s="66"/>
      <c r="K2355" s="66"/>
      <c r="L2355" s="66"/>
      <c r="M2355" s="66"/>
      <c r="N2355" s="66"/>
      <c r="O2355" s="66"/>
      <c r="P2355" s="66"/>
      <c r="Q2355" s="66"/>
      <c r="R2355" s="66"/>
      <c r="S2355" s="66"/>
      <c r="T2355" s="66"/>
      <c r="U2355" s="66"/>
      <c r="V2355" s="66"/>
      <c r="W2355" s="66"/>
      <c r="X2355" s="66"/>
      <c r="Y2355" s="66"/>
      <c r="Z2355" s="66"/>
    </row>
    <row r="2356">
      <c r="A2356" s="66"/>
      <c r="B2356" s="66"/>
      <c r="C2356" s="66"/>
      <c r="D2356" s="66"/>
      <c r="E2356" s="66"/>
      <c r="F2356" s="66"/>
      <c r="G2356" s="66"/>
      <c r="H2356" s="66"/>
      <c r="I2356" s="66"/>
      <c r="J2356" s="66"/>
      <c r="K2356" s="66"/>
      <c r="L2356" s="66"/>
      <c r="M2356" s="66"/>
      <c r="N2356" s="66"/>
      <c r="O2356" s="66"/>
      <c r="P2356" s="66"/>
      <c r="Q2356" s="66"/>
      <c r="R2356" s="66"/>
      <c r="S2356" s="66"/>
      <c r="T2356" s="66"/>
      <c r="U2356" s="66"/>
      <c r="V2356" s="66"/>
      <c r="W2356" s="66"/>
      <c r="X2356" s="66"/>
      <c r="Y2356" s="66"/>
      <c r="Z2356" s="66"/>
    </row>
    <row r="2357">
      <c r="A2357" s="66"/>
      <c r="B2357" s="66"/>
      <c r="C2357" s="66"/>
      <c r="D2357" s="66"/>
      <c r="E2357" s="66"/>
      <c r="F2357" s="66"/>
      <c r="G2357" s="66"/>
      <c r="H2357" s="66"/>
      <c r="I2357" s="66"/>
      <c r="J2357" s="66"/>
      <c r="K2357" s="66"/>
      <c r="L2357" s="66"/>
      <c r="M2357" s="66"/>
      <c r="N2357" s="66"/>
      <c r="O2357" s="66"/>
      <c r="P2357" s="66"/>
      <c r="Q2357" s="66"/>
      <c r="R2357" s="66"/>
      <c r="S2357" s="66"/>
      <c r="T2357" s="66"/>
      <c r="U2357" s="66"/>
      <c r="V2357" s="66"/>
      <c r="W2357" s="66"/>
      <c r="X2357" s="66"/>
      <c r="Y2357" s="66"/>
      <c r="Z2357" s="66"/>
    </row>
    <row r="2358">
      <c r="A2358" s="66"/>
      <c r="B2358" s="66"/>
      <c r="C2358" s="66"/>
      <c r="D2358" s="66"/>
      <c r="E2358" s="66"/>
      <c r="F2358" s="66"/>
      <c r="G2358" s="66"/>
      <c r="H2358" s="66"/>
      <c r="I2358" s="66"/>
      <c r="J2358" s="66"/>
      <c r="K2358" s="66"/>
      <c r="L2358" s="66"/>
      <c r="M2358" s="66"/>
      <c r="N2358" s="66"/>
      <c r="O2358" s="66"/>
      <c r="P2358" s="66"/>
      <c r="Q2358" s="66"/>
      <c r="R2358" s="66"/>
      <c r="S2358" s="66"/>
      <c r="T2358" s="66"/>
      <c r="U2358" s="66"/>
      <c r="V2358" s="66"/>
      <c r="W2358" s="66"/>
      <c r="X2358" s="66"/>
      <c r="Y2358" s="66"/>
      <c r="Z2358" s="66"/>
    </row>
    <row r="2359">
      <c r="A2359" s="66"/>
      <c r="B2359" s="66"/>
      <c r="C2359" s="66"/>
      <c r="D2359" s="66"/>
      <c r="E2359" s="66"/>
      <c r="F2359" s="66"/>
      <c r="G2359" s="66"/>
      <c r="H2359" s="66"/>
      <c r="I2359" s="66"/>
      <c r="J2359" s="66"/>
      <c r="K2359" s="66"/>
      <c r="L2359" s="66"/>
      <c r="M2359" s="66"/>
      <c r="N2359" s="66"/>
      <c r="O2359" s="66"/>
      <c r="P2359" s="66"/>
      <c r="Q2359" s="66"/>
      <c r="R2359" s="66"/>
      <c r="S2359" s="66"/>
      <c r="T2359" s="66"/>
      <c r="U2359" s="66"/>
      <c r="V2359" s="66"/>
      <c r="W2359" s="66"/>
      <c r="X2359" s="66"/>
      <c r="Y2359" s="66"/>
      <c r="Z2359" s="66"/>
    </row>
    <row r="2360">
      <c r="A2360" s="66"/>
      <c r="B2360" s="66"/>
      <c r="C2360" s="66"/>
      <c r="D2360" s="66"/>
      <c r="E2360" s="66"/>
      <c r="F2360" s="66"/>
      <c r="G2360" s="66"/>
      <c r="H2360" s="66"/>
      <c r="I2360" s="66"/>
      <c r="J2360" s="66"/>
      <c r="K2360" s="66"/>
      <c r="L2360" s="66"/>
      <c r="M2360" s="66"/>
      <c r="N2360" s="66"/>
      <c r="O2360" s="66"/>
      <c r="P2360" s="66"/>
      <c r="Q2360" s="66"/>
      <c r="R2360" s="66"/>
      <c r="S2360" s="66"/>
      <c r="T2360" s="66"/>
      <c r="U2360" s="66"/>
      <c r="V2360" s="66"/>
      <c r="W2360" s="66"/>
      <c r="X2360" s="66"/>
      <c r="Y2360" s="66"/>
      <c r="Z2360" s="66"/>
    </row>
    <row r="2361">
      <c r="A2361" s="66"/>
      <c r="B2361" s="66"/>
      <c r="C2361" s="66"/>
      <c r="D2361" s="66"/>
      <c r="E2361" s="66"/>
      <c r="F2361" s="66"/>
      <c r="G2361" s="66"/>
      <c r="H2361" s="66"/>
      <c r="I2361" s="66"/>
      <c r="J2361" s="66"/>
      <c r="K2361" s="66"/>
      <c r="L2361" s="66"/>
      <c r="M2361" s="66"/>
      <c r="N2361" s="66"/>
      <c r="O2361" s="66"/>
      <c r="P2361" s="66"/>
      <c r="Q2361" s="66"/>
      <c r="R2361" s="66"/>
      <c r="S2361" s="66"/>
      <c r="T2361" s="66"/>
      <c r="U2361" s="66"/>
      <c r="V2361" s="66"/>
      <c r="W2361" s="66"/>
      <c r="X2361" s="66"/>
      <c r="Y2361" s="66"/>
      <c r="Z2361" s="66"/>
    </row>
    <row r="2362">
      <c r="A2362" s="66"/>
      <c r="B2362" s="66"/>
      <c r="C2362" s="66"/>
      <c r="D2362" s="66"/>
      <c r="E2362" s="66"/>
      <c r="F2362" s="66"/>
      <c r="G2362" s="66"/>
      <c r="H2362" s="66"/>
      <c r="I2362" s="66"/>
      <c r="J2362" s="66"/>
      <c r="K2362" s="66"/>
      <c r="L2362" s="66"/>
      <c r="M2362" s="66"/>
      <c r="N2362" s="66"/>
      <c r="O2362" s="66"/>
      <c r="P2362" s="66"/>
      <c r="Q2362" s="66"/>
      <c r="R2362" s="66"/>
      <c r="S2362" s="66"/>
      <c r="T2362" s="66"/>
      <c r="U2362" s="66"/>
      <c r="V2362" s="66"/>
      <c r="W2362" s="66"/>
      <c r="X2362" s="66"/>
      <c r="Y2362" s="66"/>
      <c r="Z2362" s="66"/>
    </row>
    <row r="2363">
      <c r="A2363" s="66"/>
      <c r="B2363" s="66"/>
      <c r="C2363" s="66"/>
      <c r="D2363" s="66"/>
      <c r="E2363" s="66"/>
      <c r="F2363" s="66"/>
      <c r="G2363" s="66"/>
      <c r="H2363" s="66"/>
      <c r="I2363" s="66"/>
      <c r="J2363" s="66"/>
      <c r="K2363" s="66"/>
      <c r="L2363" s="66"/>
      <c r="M2363" s="66"/>
      <c r="N2363" s="66"/>
      <c r="O2363" s="66"/>
      <c r="P2363" s="66"/>
      <c r="Q2363" s="66"/>
      <c r="R2363" s="66"/>
      <c r="S2363" s="66"/>
      <c r="T2363" s="66"/>
      <c r="U2363" s="66"/>
      <c r="V2363" s="66"/>
      <c r="W2363" s="66"/>
      <c r="X2363" s="66"/>
      <c r="Y2363" s="66"/>
      <c r="Z2363" s="66"/>
    </row>
    <row r="2364">
      <c r="A2364" s="66"/>
      <c r="B2364" s="66"/>
      <c r="C2364" s="66"/>
      <c r="D2364" s="66"/>
      <c r="E2364" s="66"/>
      <c r="F2364" s="66"/>
      <c r="G2364" s="66"/>
      <c r="H2364" s="66"/>
      <c r="I2364" s="66"/>
      <c r="J2364" s="66"/>
      <c r="K2364" s="66"/>
      <c r="L2364" s="66"/>
      <c r="M2364" s="66"/>
      <c r="N2364" s="66"/>
      <c r="O2364" s="66"/>
      <c r="P2364" s="66"/>
      <c r="Q2364" s="66"/>
      <c r="R2364" s="66"/>
      <c r="S2364" s="66"/>
      <c r="T2364" s="66"/>
      <c r="U2364" s="66"/>
      <c r="V2364" s="66"/>
      <c r="W2364" s="66"/>
      <c r="X2364" s="66"/>
      <c r="Y2364" s="66"/>
      <c r="Z2364" s="66"/>
    </row>
    <row r="2365">
      <c r="A2365" s="66"/>
      <c r="B2365" s="66"/>
      <c r="C2365" s="66"/>
      <c r="D2365" s="66"/>
      <c r="E2365" s="66"/>
      <c r="F2365" s="66"/>
      <c r="G2365" s="66"/>
      <c r="H2365" s="66"/>
      <c r="I2365" s="66"/>
      <c r="J2365" s="66"/>
      <c r="K2365" s="66"/>
      <c r="L2365" s="66"/>
      <c r="M2365" s="66"/>
      <c r="N2365" s="66"/>
      <c r="O2365" s="66"/>
      <c r="P2365" s="66"/>
      <c r="Q2365" s="66"/>
      <c r="R2365" s="66"/>
      <c r="S2365" s="66"/>
      <c r="T2365" s="66"/>
      <c r="U2365" s="66"/>
      <c r="V2365" s="66"/>
      <c r="W2365" s="66"/>
      <c r="X2365" s="66"/>
      <c r="Y2365" s="66"/>
      <c r="Z2365" s="66"/>
    </row>
    <row r="2366">
      <c r="A2366" s="66"/>
      <c r="B2366" s="66"/>
      <c r="C2366" s="66"/>
      <c r="D2366" s="66"/>
      <c r="E2366" s="66"/>
      <c r="F2366" s="66"/>
      <c r="G2366" s="66"/>
      <c r="H2366" s="66"/>
      <c r="I2366" s="66"/>
      <c r="J2366" s="66"/>
      <c r="K2366" s="66"/>
      <c r="L2366" s="66"/>
      <c r="M2366" s="66"/>
      <c r="N2366" s="66"/>
      <c r="O2366" s="66"/>
      <c r="P2366" s="66"/>
      <c r="Q2366" s="66"/>
      <c r="R2366" s="66"/>
      <c r="S2366" s="66"/>
      <c r="T2366" s="66"/>
      <c r="U2366" s="66"/>
      <c r="V2366" s="66"/>
      <c r="W2366" s="66"/>
      <c r="X2366" s="66"/>
      <c r="Y2366" s="66"/>
      <c r="Z2366" s="66"/>
    </row>
    <row r="2367">
      <c r="A2367" s="66"/>
      <c r="B2367" s="66"/>
      <c r="C2367" s="66"/>
      <c r="D2367" s="66"/>
      <c r="E2367" s="66"/>
      <c r="F2367" s="66"/>
      <c r="G2367" s="66"/>
      <c r="H2367" s="66"/>
      <c r="I2367" s="66"/>
      <c r="J2367" s="66"/>
      <c r="K2367" s="66"/>
      <c r="L2367" s="66"/>
      <c r="M2367" s="66"/>
      <c r="N2367" s="66"/>
      <c r="O2367" s="66"/>
      <c r="P2367" s="66"/>
      <c r="Q2367" s="66"/>
      <c r="R2367" s="66"/>
      <c r="S2367" s="66"/>
      <c r="T2367" s="66"/>
      <c r="U2367" s="66"/>
      <c r="V2367" s="66"/>
      <c r="W2367" s="66"/>
      <c r="X2367" s="66"/>
      <c r="Y2367" s="66"/>
      <c r="Z2367" s="66"/>
    </row>
    <row r="2368">
      <c r="A2368" s="66"/>
      <c r="B2368" s="66"/>
      <c r="C2368" s="66"/>
      <c r="D2368" s="66"/>
      <c r="E2368" s="66"/>
      <c r="F2368" s="66"/>
      <c r="G2368" s="66"/>
      <c r="H2368" s="66"/>
      <c r="I2368" s="66"/>
      <c r="J2368" s="66"/>
      <c r="K2368" s="66"/>
      <c r="L2368" s="66"/>
      <c r="M2368" s="66"/>
      <c r="N2368" s="66"/>
      <c r="O2368" s="66"/>
      <c r="P2368" s="66"/>
      <c r="Q2368" s="66"/>
      <c r="R2368" s="66"/>
      <c r="S2368" s="66"/>
      <c r="T2368" s="66"/>
      <c r="U2368" s="66"/>
      <c r="V2368" s="66"/>
      <c r="W2368" s="66"/>
      <c r="X2368" s="66"/>
      <c r="Y2368" s="66"/>
      <c r="Z2368" s="66"/>
    </row>
    <row r="2369">
      <c r="A2369" s="66"/>
      <c r="B2369" s="66"/>
      <c r="C2369" s="66"/>
      <c r="D2369" s="66"/>
      <c r="E2369" s="66"/>
      <c r="F2369" s="66"/>
      <c r="G2369" s="66"/>
      <c r="H2369" s="66"/>
      <c r="I2369" s="66"/>
      <c r="J2369" s="66"/>
      <c r="K2369" s="66"/>
      <c r="L2369" s="66"/>
      <c r="M2369" s="66"/>
      <c r="N2369" s="66"/>
      <c r="O2369" s="66"/>
      <c r="P2369" s="66"/>
      <c r="Q2369" s="66"/>
      <c r="R2369" s="66"/>
      <c r="S2369" s="66"/>
      <c r="T2369" s="66"/>
      <c r="U2369" s="66"/>
      <c r="V2369" s="66"/>
      <c r="W2369" s="66"/>
      <c r="X2369" s="66"/>
      <c r="Y2369" s="66"/>
      <c r="Z2369" s="66"/>
    </row>
    <row r="2370">
      <c r="A2370" s="66"/>
      <c r="B2370" s="66"/>
      <c r="C2370" s="66"/>
      <c r="D2370" s="66"/>
      <c r="E2370" s="66"/>
      <c r="F2370" s="66"/>
      <c r="G2370" s="66"/>
      <c r="H2370" s="66"/>
      <c r="I2370" s="66"/>
      <c r="J2370" s="66"/>
      <c r="K2370" s="66"/>
      <c r="L2370" s="66"/>
      <c r="M2370" s="66"/>
      <c r="N2370" s="66"/>
      <c r="O2370" s="66"/>
      <c r="P2370" s="66"/>
      <c r="Q2370" s="66"/>
      <c r="R2370" s="66"/>
      <c r="S2370" s="66"/>
      <c r="T2370" s="66"/>
      <c r="U2370" s="66"/>
      <c r="V2370" s="66"/>
      <c r="W2370" s="66"/>
      <c r="X2370" s="66"/>
      <c r="Y2370" s="66"/>
      <c r="Z2370" s="66"/>
    </row>
    <row r="2371">
      <c r="A2371" s="66"/>
      <c r="B2371" s="66"/>
      <c r="C2371" s="66"/>
      <c r="D2371" s="66"/>
      <c r="E2371" s="66"/>
      <c r="F2371" s="66"/>
      <c r="G2371" s="66"/>
      <c r="H2371" s="66"/>
      <c r="I2371" s="66"/>
      <c r="J2371" s="66"/>
      <c r="K2371" s="66"/>
      <c r="L2371" s="66"/>
      <c r="M2371" s="66"/>
      <c r="N2371" s="66"/>
      <c r="O2371" s="66"/>
      <c r="P2371" s="66"/>
      <c r="Q2371" s="66"/>
      <c r="R2371" s="66"/>
      <c r="S2371" s="66"/>
      <c r="T2371" s="66"/>
      <c r="U2371" s="66"/>
      <c r="V2371" s="66"/>
      <c r="W2371" s="66"/>
      <c r="X2371" s="66"/>
      <c r="Y2371" s="66"/>
      <c r="Z2371" s="66"/>
    </row>
    <row r="2372">
      <c r="A2372" s="66"/>
      <c r="B2372" s="66"/>
      <c r="C2372" s="66"/>
      <c r="D2372" s="66"/>
      <c r="E2372" s="66"/>
      <c r="F2372" s="66"/>
      <c r="G2372" s="66"/>
      <c r="H2372" s="66"/>
      <c r="I2372" s="66"/>
      <c r="J2372" s="66"/>
      <c r="K2372" s="66"/>
      <c r="L2372" s="66"/>
      <c r="M2372" s="66"/>
      <c r="N2372" s="66"/>
      <c r="O2372" s="66"/>
      <c r="P2372" s="66"/>
      <c r="Q2372" s="66"/>
      <c r="R2372" s="66"/>
      <c r="S2372" s="66"/>
      <c r="T2372" s="66"/>
      <c r="U2372" s="66"/>
      <c r="V2372" s="66"/>
      <c r="W2372" s="66"/>
      <c r="X2372" s="66"/>
      <c r="Y2372" s="66"/>
      <c r="Z2372" s="66"/>
    </row>
    <row r="2373">
      <c r="A2373" s="66"/>
      <c r="B2373" s="66"/>
      <c r="C2373" s="66"/>
      <c r="D2373" s="66"/>
      <c r="E2373" s="66"/>
      <c r="F2373" s="66"/>
      <c r="G2373" s="66"/>
      <c r="H2373" s="66"/>
      <c r="I2373" s="66"/>
      <c r="J2373" s="66"/>
      <c r="K2373" s="66"/>
      <c r="L2373" s="66"/>
      <c r="M2373" s="66"/>
      <c r="N2373" s="66"/>
      <c r="O2373" s="66"/>
      <c r="P2373" s="66"/>
      <c r="Q2373" s="66"/>
      <c r="R2373" s="66"/>
      <c r="S2373" s="66"/>
      <c r="T2373" s="66"/>
      <c r="U2373" s="66"/>
      <c r="V2373" s="66"/>
      <c r="W2373" s="66"/>
      <c r="X2373" s="66"/>
      <c r="Y2373" s="66"/>
      <c r="Z2373" s="66"/>
    </row>
    <row r="2374">
      <c r="A2374" s="66"/>
      <c r="B2374" s="66"/>
      <c r="C2374" s="66"/>
      <c r="D2374" s="66"/>
      <c r="E2374" s="66"/>
      <c r="F2374" s="66"/>
      <c r="G2374" s="66"/>
      <c r="H2374" s="66"/>
      <c r="I2374" s="66"/>
      <c r="J2374" s="66"/>
      <c r="K2374" s="66"/>
      <c r="L2374" s="66"/>
      <c r="M2374" s="66"/>
      <c r="N2374" s="66"/>
      <c r="O2374" s="66"/>
      <c r="P2374" s="66"/>
      <c r="Q2374" s="66"/>
      <c r="R2374" s="66"/>
      <c r="S2374" s="66"/>
      <c r="T2374" s="66"/>
      <c r="U2374" s="66"/>
      <c r="V2374" s="66"/>
      <c r="W2374" s="66"/>
      <c r="X2374" s="66"/>
      <c r="Y2374" s="66"/>
      <c r="Z2374" s="66"/>
    </row>
    <row r="2375">
      <c r="A2375" s="66"/>
      <c r="B2375" s="66"/>
      <c r="C2375" s="66"/>
      <c r="D2375" s="66"/>
      <c r="E2375" s="66"/>
      <c r="F2375" s="66"/>
      <c r="G2375" s="66"/>
      <c r="H2375" s="66"/>
      <c r="I2375" s="66"/>
      <c r="J2375" s="66"/>
      <c r="K2375" s="66"/>
      <c r="L2375" s="66"/>
      <c r="M2375" s="66"/>
      <c r="N2375" s="66"/>
      <c r="O2375" s="66"/>
      <c r="P2375" s="66"/>
      <c r="Q2375" s="66"/>
      <c r="R2375" s="66"/>
      <c r="S2375" s="66"/>
      <c r="T2375" s="66"/>
      <c r="U2375" s="66"/>
      <c r="V2375" s="66"/>
      <c r="W2375" s="66"/>
      <c r="X2375" s="66"/>
      <c r="Y2375" s="66"/>
      <c r="Z2375" s="66"/>
    </row>
    <row r="2376">
      <c r="A2376" s="66"/>
      <c r="B2376" s="66"/>
      <c r="C2376" s="66"/>
      <c r="D2376" s="66"/>
      <c r="E2376" s="66"/>
      <c r="F2376" s="66"/>
      <c r="G2376" s="66"/>
      <c r="H2376" s="66"/>
      <c r="I2376" s="66"/>
      <c r="J2376" s="66"/>
      <c r="K2376" s="66"/>
      <c r="L2376" s="66"/>
      <c r="M2376" s="66"/>
      <c r="N2376" s="66"/>
      <c r="O2376" s="66"/>
      <c r="P2376" s="66"/>
      <c r="Q2376" s="66"/>
      <c r="R2376" s="66"/>
      <c r="S2376" s="66"/>
      <c r="T2376" s="66"/>
      <c r="U2376" s="66"/>
      <c r="V2376" s="66"/>
      <c r="W2376" s="66"/>
      <c r="X2376" s="66"/>
      <c r="Y2376" s="66"/>
      <c r="Z2376" s="66"/>
    </row>
    <row r="2377">
      <c r="A2377" s="66"/>
      <c r="B2377" s="66"/>
      <c r="C2377" s="66"/>
      <c r="D2377" s="66"/>
      <c r="E2377" s="66"/>
      <c r="F2377" s="66"/>
      <c r="G2377" s="66"/>
      <c r="H2377" s="66"/>
      <c r="I2377" s="66"/>
      <c r="J2377" s="66"/>
      <c r="K2377" s="66"/>
      <c r="L2377" s="66"/>
      <c r="M2377" s="66"/>
      <c r="N2377" s="66"/>
      <c r="O2377" s="66"/>
      <c r="P2377" s="66"/>
      <c r="Q2377" s="66"/>
      <c r="R2377" s="66"/>
      <c r="S2377" s="66"/>
      <c r="T2377" s="66"/>
      <c r="U2377" s="66"/>
      <c r="V2377" s="66"/>
      <c r="W2377" s="66"/>
      <c r="X2377" s="66"/>
      <c r="Y2377" s="66"/>
      <c r="Z2377" s="66"/>
    </row>
    <row r="2378">
      <c r="A2378" s="66"/>
      <c r="B2378" s="66"/>
      <c r="C2378" s="66"/>
      <c r="D2378" s="66"/>
      <c r="E2378" s="66"/>
      <c r="F2378" s="66"/>
      <c r="G2378" s="66"/>
      <c r="H2378" s="66"/>
      <c r="I2378" s="66"/>
      <c r="J2378" s="66"/>
      <c r="K2378" s="66"/>
      <c r="L2378" s="66"/>
      <c r="M2378" s="66"/>
      <c r="N2378" s="66"/>
      <c r="O2378" s="66"/>
      <c r="P2378" s="66"/>
      <c r="Q2378" s="66"/>
      <c r="R2378" s="66"/>
      <c r="S2378" s="66"/>
      <c r="T2378" s="66"/>
      <c r="U2378" s="66"/>
      <c r="V2378" s="66"/>
      <c r="W2378" s="66"/>
      <c r="X2378" s="66"/>
      <c r="Y2378" s="66"/>
      <c r="Z2378" s="66"/>
    </row>
    <row r="2379">
      <c r="A2379" s="66"/>
      <c r="B2379" s="66"/>
      <c r="C2379" s="66"/>
      <c r="D2379" s="66"/>
      <c r="E2379" s="66"/>
      <c r="F2379" s="66"/>
      <c r="G2379" s="66"/>
      <c r="H2379" s="66"/>
      <c r="I2379" s="66"/>
      <c r="J2379" s="66"/>
      <c r="K2379" s="66"/>
      <c r="L2379" s="66"/>
      <c r="M2379" s="66"/>
      <c r="N2379" s="66"/>
      <c r="O2379" s="66"/>
      <c r="P2379" s="66"/>
      <c r="Q2379" s="66"/>
      <c r="R2379" s="66"/>
      <c r="S2379" s="66"/>
      <c r="T2379" s="66"/>
      <c r="U2379" s="66"/>
      <c r="V2379" s="66"/>
      <c r="W2379" s="66"/>
      <c r="X2379" s="66"/>
      <c r="Y2379" s="66"/>
      <c r="Z2379" s="66"/>
    </row>
    <row r="2380">
      <c r="A2380" s="66"/>
      <c r="B2380" s="66"/>
      <c r="C2380" s="66"/>
      <c r="D2380" s="66"/>
      <c r="E2380" s="66"/>
      <c r="F2380" s="66"/>
      <c r="G2380" s="66"/>
      <c r="H2380" s="66"/>
      <c r="I2380" s="66"/>
      <c r="J2380" s="66"/>
      <c r="K2380" s="66"/>
      <c r="L2380" s="66"/>
      <c r="M2380" s="66"/>
      <c r="N2380" s="66"/>
      <c r="O2380" s="66"/>
      <c r="P2380" s="66"/>
      <c r="Q2380" s="66"/>
      <c r="R2380" s="66"/>
      <c r="S2380" s="66"/>
      <c r="T2380" s="66"/>
      <c r="U2380" s="66"/>
      <c r="V2380" s="66"/>
      <c r="W2380" s="66"/>
      <c r="X2380" s="66"/>
      <c r="Y2380" s="66"/>
      <c r="Z2380" s="66"/>
    </row>
    <row r="2381">
      <c r="A2381" s="66"/>
      <c r="B2381" s="66"/>
      <c r="C2381" s="66"/>
      <c r="D2381" s="66"/>
      <c r="E2381" s="66"/>
      <c r="F2381" s="66"/>
      <c r="G2381" s="66"/>
      <c r="H2381" s="66"/>
      <c r="I2381" s="66"/>
      <c r="J2381" s="66"/>
      <c r="K2381" s="66"/>
      <c r="L2381" s="66"/>
      <c r="M2381" s="66"/>
      <c r="N2381" s="66"/>
      <c r="O2381" s="66"/>
      <c r="P2381" s="66"/>
      <c r="Q2381" s="66"/>
      <c r="R2381" s="66"/>
      <c r="S2381" s="66"/>
      <c r="T2381" s="66"/>
      <c r="U2381" s="66"/>
      <c r="V2381" s="66"/>
      <c r="W2381" s="66"/>
      <c r="X2381" s="66"/>
      <c r="Y2381" s="66"/>
      <c r="Z2381" s="66"/>
    </row>
    <row r="2382">
      <c r="A2382" s="66"/>
      <c r="B2382" s="66"/>
      <c r="C2382" s="66"/>
      <c r="D2382" s="66"/>
      <c r="E2382" s="66"/>
      <c r="F2382" s="66"/>
      <c r="G2382" s="66"/>
      <c r="H2382" s="66"/>
      <c r="I2382" s="66"/>
      <c r="J2382" s="66"/>
      <c r="K2382" s="66"/>
      <c r="L2382" s="66"/>
      <c r="M2382" s="66"/>
      <c r="N2382" s="66"/>
      <c r="O2382" s="66"/>
      <c r="P2382" s="66"/>
      <c r="Q2382" s="66"/>
      <c r="R2382" s="66"/>
      <c r="S2382" s="66"/>
      <c r="T2382" s="66"/>
      <c r="U2382" s="66"/>
      <c r="V2382" s="66"/>
      <c r="W2382" s="66"/>
      <c r="X2382" s="66"/>
      <c r="Y2382" s="66"/>
      <c r="Z2382" s="66"/>
    </row>
    <row r="2383">
      <c r="A2383" s="66"/>
      <c r="B2383" s="66"/>
      <c r="C2383" s="66"/>
      <c r="D2383" s="66"/>
      <c r="E2383" s="66"/>
      <c r="F2383" s="66"/>
      <c r="G2383" s="66"/>
      <c r="H2383" s="66"/>
      <c r="I2383" s="66"/>
      <c r="J2383" s="66"/>
      <c r="K2383" s="66"/>
      <c r="L2383" s="66"/>
      <c r="M2383" s="66"/>
      <c r="N2383" s="66"/>
      <c r="O2383" s="66"/>
      <c r="P2383" s="66"/>
      <c r="Q2383" s="66"/>
      <c r="R2383" s="66"/>
      <c r="S2383" s="66"/>
      <c r="T2383" s="66"/>
      <c r="U2383" s="66"/>
      <c r="V2383" s="66"/>
      <c r="W2383" s="66"/>
      <c r="X2383" s="66"/>
      <c r="Y2383" s="66"/>
      <c r="Z2383" s="66"/>
    </row>
    <row r="2384">
      <c r="A2384" s="66"/>
      <c r="B2384" s="66"/>
      <c r="C2384" s="66"/>
      <c r="D2384" s="66"/>
      <c r="E2384" s="66"/>
      <c r="F2384" s="66"/>
      <c r="G2384" s="66"/>
      <c r="H2384" s="66"/>
      <c r="I2384" s="66"/>
      <c r="J2384" s="66"/>
      <c r="K2384" s="66"/>
      <c r="L2384" s="66"/>
      <c r="M2384" s="66"/>
      <c r="N2384" s="66"/>
      <c r="O2384" s="66"/>
      <c r="P2384" s="66"/>
      <c r="Q2384" s="66"/>
      <c r="R2384" s="66"/>
      <c r="S2384" s="66"/>
      <c r="T2384" s="66"/>
      <c r="U2384" s="66"/>
      <c r="V2384" s="66"/>
      <c r="W2384" s="66"/>
      <c r="X2384" s="66"/>
      <c r="Y2384" s="66"/>
      <c r="Z2384" s="66"/>
    </row>
    <row r="2385">
      <c r="A2385" s="66"/>
      <c r="B2385" s="66"/>
      <c r="C2385" s="66"/>
      <c r="D2385" s="66"/>
      <c r="E2385" s="66"/>
      <c r="F2385" s="66"/>
      <c r="G2385" s="66"/>
      <c r="H2385" s="66"/>
      <c r="I2385" s="66"/>
      <c r="J2385" s="66"/>
      <c r="K2385" s="66"/>
      <c r="L2385" s="66"/>
      <c r="M2385" s="66"/>
      <c r="N2385" s="66"/>
      <c r="O2385" s="66"/>
      <c r="P2385" s="66"/>
      <c r="Q2385" s="66"/>
      <c r="R2385" s="66"/>
      <c r="S2385" s="66"/>
      <c r="T2385" s="66"/>
      <c r="U2385" s="66"/>
      <c r="V2385" s="66"/>
      <c r="W2385" s="66"/>
      <c r="X2385" s="66"/>
      <c r="Y2385" s="66"/>
      <c r="Z2385" s="66"/>
    </row>
    <row r="2386">
      <c r="A2386" s="66"/>
      <c r="B2386" s="66"/>
      <c r="C2386" s="66"/>
      <c r="D2386" s="66"/>
      <c r="E2386" s="66"/>
      <c r="F2386" s="66"/>
      <c r="G2386" s="66"/>
      <c r="H2386" s="66"/>
      <c r="I2386" s="66"/>
      <c r="J2386" s="66"/>
      <c r="K2386" s="66"/>
      <c r="L2386" s="66"/>
      <c r="M2386" s="66"/>
      <c r="N2386" s="66"/>
      <c r="O2386" s="66"/>
      <c r="P2386" s="66"/>
      <c r="Q2386" s="66"/>
      <c r="R2386" s="66"/>
      <c r="S2386" s="66"/>
      <c r="T2386" s="66"/>
      <c r="U2386" s="66"/>
      <c r="V2386" s="66"/>
      <c r="W2386" s="66"/>
      <c r="X2386" s="66"/>
      <c r="Y2386" s="66"/>
      <c r="Z2386" s="66"/>
    </row>
    <row r="2387">
      <c r="A2387" s="66"/>
      <c r="B2387" s="66"/>
      <c r="C2387" s="66"/>
      <c r="D2387" s="66"/>
      <c r="E2387" s="66"/>
      <c r="F2387" s="66"/>
      <c r="G2387" s="66"/>
      <c r="H2387" s="66"/>
      <c r="I2387" s="66"/>
      <c r="J2387" s="66"/>
      <c r="K2387" s="66"/>
      <c r="L2387" s="66"/>
      <c r="M2387" s="66"/>
      <c r="N2387" s="66"/>
      <c r="O2387" s="66"/>
      <c r="P2387" s="66"/>
      <c r="Q2387" s="66"/>
      <c r="R2387" s="66"/>
      <c r="S2387" s="66"/>
      <c r="T2387" s="66"/>
      <c r="U2387" s="66"/>
      <c r="V2387" s="66"/>
      <c r="W2387" s="66"/>
      <c r="X2387" s="66"/>
      <c r="Y2387" s="66"/>
      <c r="Z2387" s="66"/>
    </row>
    <row r="2388">
      <c r="A2388" s="66"/>
      <c r="B2388" s="66"/>
      <c r="C2388" s="66"/>
      <c r="D2388" s="66"/>
      <c r="E2388" s="66"/>
      <c r="F2388" s="66"/>
      <c r="G2388" s="66"/>
      <c r="H2388" s="66"/>
      <c r="I2388" s="66"/>
      <c r="J2388" s="66"/>
      <c r="K2388" s="66"/>
      <c r="L2388" s="66"/>
      <c r="M2388" s="66"/>
      <c r="N2388" s="66"/>
      <c r="O2388" s="66"/>
      <c r="P2388" s="66"/>
      <c r="Q2388" s="66"/>
      <c r="R2388" s="66"/>
      <c r="S2388" s="66"/>
      <c r="T2388" s="66"/>
      <c r="U2388" s="66"/>
      <c r="V2388" s="66"/>
      <c r="W2388" s="66"/>
      <c r="X2388" s="66"/>
      <c r="Y2388" s="66"/>
      <c r="Z2388" s="66"/>
    </row>
    <row r="2389">
      <c r="A2389" s="66"/>
      <c r="B2389" s="66"/>
      <c r="C2389" s="66"/>
      <c r="D2389" s="66"/>
      <c r="E2389" s="66"/>
      <c r="F2389" s="66"/>
      <c r="G2389" s="66"/>
      <c r="H2389" s="66"/>
      <c r="I2389" s="66"/>
      <c r="J2389" s="66"/>
      <c r="K2389" s="66"/>
      <c r="L2389" s="66"/>
      <c r="M2389" s="66"/>
      <c r="N2389" s="66"/>
      <c r="O2389" s="66"/>
      <c r="P2389" s="66"/>
      <c r="Q2389" s="66"/>
      <c r="R2389" s="66"/>
      <c r="S2389" s="66"/>
      <c r="T2389" s="66"/>
      <c r="U2389" s="66"/>
      <c r="V2389" s="66"/>
      <c r="W2389" s="66"/>
      <c r="X2389" s="66"/>
      <c r="Y2389" s="66"/>
      <c r="Z2389" s="66"/>
    </row>
    <row r="2390">
      <c r="A2390" s="66"/>
      <c r="B2390" s="66"/>
      <c r="C2390" s="66"/>
      <c r="D2390" s="66"/>
      <c r="E2390" s="66"/>
      <c r="F2390" s="66"/>
      <c r="G2390" s="66"/>
      <c r="H2390" s="66"/>
      <c r="I2390" s="66"/>
      <c r="J2390" s="66"/>
      <c r="K2390" s="66"/>
      <c r="L2390" s="66"/>
      <c r="M2390" s="66"/>
      <c r="N2390" s="66"/>
      <c r="O2390" s="66"/>
      <c r="P2390" s="66"/>
      <c r="Q2390" s="66"/>
      <c r="R2390" s="66"/>
      <c r="S2390" s="66"/>
      <c r="T2390" s="66"/>
      <c r="U2390" s="66"/>
      <c r="V2390" s="66"/>
      <c r="W2390" s="66"/>
      <c r="X2390" s="66"/>
      <c r="Y2390" s="66"/>
      <c r="Z2390" s="66"/>
    </row>
    <row r="2391">
      <c r="A2391" s="66"/>
      <c r="B2391" s="66"/>
      <c r="C2391" s="66"/>
      <c r="D2391" s="66"/>
      <c r="E2391" s="66"/>
      <c r="F2391" s="66"/>
      <c r="G2391" s="66"/>
      <c r="H2391" s="66"/>
      <c r="I2391" s="66"/>
      <c r="J2391" s="66"/>
      <c r="K2391" s="66"/>
      <c r="L2391" s="66"/>
      <c r="M2391" s="66"/>
      <c r="N2391" s="66"/>
      <c r="O2391" s="66"/>
      <c r="P2391" s="66"/>
      <c r="Q2391" s="66"/>
      <c r="R2391" s="66"/>
      <c r="S2391" s="66"/>
      <c r="T2391" s="66"/>
      <c r="U2391" s="66"/>
      <c r="V2391" s="66"/>
      <c r="W2391" s="66"/>
      <c r="X2391" s="66"/>
      <c r="Y2391" s="66"/>
      <c r="Z2391" s="66"/>
    </row>
    <row r="2392">
      <c r="A2392" s="66"/>
      <c r="B2392" s="66"/>
      <c r="C2392" s="66"/>
      <c r="D2392" s="66"/>
      <c r="E2392" s="66"/>
      <c r="F2392" s="66"/>
      <c r="G2392" s="66"/>
      <c r="H2392" s="66"/>
      <c r="I2392" s="66"/>
      <c r="J2392" s="66"/>
      <c r="K2392" s="66"/>
      <c r="L2392" s="66"/>
      <c r="M2392" s="66"/>
      <c r="N2392" s="66"/>
      <c r="O2392" s="66"/>
      <c r="P2392" s="66"/>
      <c r="Q2392" s="66"/>
      <c r="R2392" s="66"/>
      <c r="S2392" s="66"/>
      <c r="T2392" s="66"/>
      <c r="U2392" s="66"/>
      <c r="V2392" s="66"/>
      <c r="W2392" s="66"/>
      <c r="X2392" s="66"/>
      <c r="Y2392" s="66"/>
      <c r="Z2392" s="66"/>
    </row>
    <row r="2393">
      <c r="A2393" s="66"/>
      <c r="B2393" s="66"/>
      <c r="C2393" s="66"/>
      <c r="D2393" s="66"/>
      <c r="E2393" s="66"/>
      <c r="F2393" s="66"/>
      <c r="G2393" s="66"/>
      <c r="H2393" s="66"/>
      <c r="I2393" s="66"/>
      <c r="J2393" s="66"/>
      <c r="K2393" s="66"/>
      <c r="L2393" s="66"/>
      <c r="M2393" s="66"/>
      <c r="N2393" s="66"/>
      <c r="O2393" s="66"/>
      <c r="P2393" s="66"/>
      <c r="Q2393" s="66"/>
      <c r="R2393" s="66"/>
      <c r="S2393" s="66"/>
      <c r="T2393" s="66"/>
      <c r="U2393" s="66"/>
      <c r="V2393" s="66"/>
      <c r="W2393" s="66"/>
      <c r="X2393" s="66"/>
      <c r="Y2393" s="66"/>
      <c r="Z2393" s="66"/>
    </row>
    <row r="2394">
      <c r="A2394" s="66"/>
      <c r="B2394" s="66"/>
      <c r="C2394" s="66"/>
      <c r="D2394" s="66"/>
      <c r="E2394" s="66"/>
      <c r="F2394" s="66"/>
      <c r="G2394" s="66"/>
      <c r="H2394" s="66"/>
      <c r="I2394" s="66"/>
      <c r="J2394" s="66"/>
      <c r="K2394" s="66"/>
      <c r="L2394" s="66"/>
      <c r="M2394" s="66"/>
      <c r="N2394" s="66"/>
      <c r="O2394" s="66"/>
      <c r="P2394" s="66"/>
      <c r="Q2394" s="66"/>
      <c r="R2394" s="66"/>
      <c r="S2394" s="66"/>
      <c r="T2394" s="66"/>
      <c r="U2394" s="66"/>
      <c r="V2394" s="66"/>
      <c r="W2394" s="66"/>
      <c r="X2394" s="66"/>
      <c r="Y2394" s="66"/>
      <c r="Z2394" s="66"/>
    </row>
    <row r="2395">
      <c r="A2395" s="66"/>
      <c r="B2395" s="66"/>
      <c r="C2395" s="66"/>
      <c r="D2395" s="66"/>
      <c r="E2395" s="66"/>
      <c r="F2395" s="66"/>
      <c r="G2395" s="66"/>
      <c r="H2395" s="66"/>
      <c r="I2395" s="66"/>
      <c r="J2395" s="66"/>
      <c r="K2395" s="66"/>
      <c r="L2395" s="66"/>
      <c r="M2395" s="66"/>
      <c r="N2395" s="66"/>
      <c r="O2395" s="66"/>
      <c r="P2395" s="66"/>
      <c r="Q2395" s="66"/>
      <c r="R2395" s="66"/>
      <c r="S2395" s="66"/>
      <c r="T2395" s="66"/>
      <c r="U2395" s="66"/>
      <c r="V2395" s="66"/>
      <c r="W2395" s="66"/>
      <c r="X2395" s="66"/>
      <c r="Y2395" s="66"/>
      <c r="Z2395" s="66"/>
    </row>
    <row r="2396">
      <c r="A2396" s="66"/>
      <c r="B2396" s="66"/>
      <c r="C2396" s="66"/>
      <c r="D2396" s="66"/>
      <c r="E2396" s="66"/>
      <c r="F2396" s="66"/>
      <c r="G2396" s="66"/>
      <c r="H2396" s="66"/>
      <c r="I2396" s="66"/>
      <c r="J2396" s="66"/>
      <c r="K2396" s="66"/>
      <c r="L2396" s="66"/>
      <c r="M2396" s="66"/>
      <c r="N2396" s="66"/>
      <c r="O2396" s="66"/>
      <c r="P2396" s="66"/>
      <c r="Q2396" s="66"/>
      <c r="R2396" s="66"/>
      <c r="S2396" s="66"/>
      <c r="T2396" s="66"/>
      <c r="U2396" s="66"/>
      <c r="V2396" s="66"/>
      <c r="W2396" s="66"/>
      <c r="X2396" s="66"/>
      <c r="Y2396" s="66"/>
      <c r="Z2396" s="66"/>
    </row>
    <row r="2397">
      <c r="A2397" s="66"/>
      <c r="B2397" s="66"/>
      <c r="C2397" s="66"/>
      <c r="D2397" s="66"/>
      <c r="E2397" s="66"/>
      <c r="F2397" s="66"/>
      <c r="G2397" s="66"/>
      <c r="H2397" s="66"/>
      <c r="I2397" s="66"/>
      <c r="J2397" s="66"/>
      <c r="K2397" s="66"/>
      <c r="L2397" s="66"/>
      <c r="M2397" s="66"/>
      <c r="N2397" s="66"/>
      <c r="O2397" s="66"/>
      <c r="P2397" s="66"/>
      <c r="Q2397" s="66"/>
      <c r="R2397" s="66"/>
      <c r="S2397" s="66"/>
      <c r="T2397" s="66"/>
      <c r="U2397" s="66"/>
      <c r="V2397" s="66"/>
      <c r="W2397" s="66"/>
      <c r="X2397" s="66"/>
      <c r="Y2397" s="66"/>
      <c r="Z2397" s="66"/>
    </row>
    <row r="2398">
      <c r="A2398" s="66"/>
      <c r="B2398" s="66"/>
      <c r="C2398" s="66"/>
      <c r="D2398" s="66"/>
      <c r="E2398" s="66"/>
      <c r="F2398" s="66"/>
      <c r="G2398" s="66"/>
      <c r="H2398" s="66"/>
      <c r="I2398" s="66"/>
      <c r="J2398" s="66"/>
      <c r="K2398" s="66"/>
      <c r="L2398" s="66"/>
      <c r="M2398" s="66"/>
      <c r="N2398" s="66"/>
      <c r="O2398" s="66"/>
      <c r="P2398" s="66"/>
      <c r="Q2398" s="66"/>
      <c r="R2398" s="66"/>
      <c r="S2398" s="66"/>
      <c r="T2398" s="66"/>
      <c r="U2398" s="66"/>
      <c r="V2398" s="66"/>
      <c r="W2398" s="66"/>
      <c r="X2398" s="66"/>
      <c r="Y2398" s="66"/>
      <c r="Z2398" s="66"/>
    </row>
    <row r="2399">
      <c r="A2399" s="66"/>
      <c r="B2399" s="66"/>
      <c r="C2399" s="66"/>
      <c r="D2399" s="66"/>
      <c r="E2399" s="66"/>
      <c r="F2399" s="66"/>
      <c r="G2399" s="66"/>
      <c r="H2399" s="66"/>
      <c r="I2399" s="66"/>
      <c r="J2399" s="66"/>
      <c r="K2399" s="66"/>
      <c r="L2399" s="66"/>
      <c r="M2399" s="66"/>
      <c r="N2399" s="66"/>
      <c r="O2399" s="66"/>
      <c r="P2399" s="66"/>
      <c r="Q2399" s="66"/>
      <c r="R2399" s="66"/>
      <c r="S2399" s="66"/>
      <c r="T2399" s="66"/>
      <c r="U2399" s="66"/>
      <c r="V2399" s="66"/>
      <c r="W2399" s="66"/>
      <c r="X2399" s="66"/>
      <c r="Y2399" s="66"/>
      <c r="Z2399" s="66"/>
    </row>
    <row r="2400">
      <c r="A2400" s="66"/>
      <c r="B2400" s="66"/>
      <c r="C2400" s="66"/>
      <c r="D2400" s="66"/>
      <c r="E2400" s="66"/>
      <c r="F2400" s="66"/>
      <c r="G2400" s="66"/>
      <c r="H2400" s="66"/>
      <c r="I2400" s="66"/>
      <c r="J2400" s="66"/>
      <c r="K2400" s="66"/>
      <c r="L2400" s="66"/>
      <c r="M2400" s="66"/>
      <c r="N2400" s="66"/>
      <c r="O2400" s="66"/>
      <c r="P2400" s="66"/>
      <c r="Q2400" s="66"/>
      <c r="R2400" s="66"/>
      <c r="S2400" s="66"/>
      <c r="T2400" s="66"/>
      <c r="U2400" s="66"/>
      <c r="V2400" s="66"/>
      <c r="W2400" s="66"/>
      <c r="X2400" s="66"/>
      <c r="Y2400" s="66"/>
      <c r="Z2400" s="66"/>
    </row>
    <row r="2401">
      <c r="A2401" s="66"/>
      <c r="B2401" s="66"/>
      <c r="C2401" s="66"/>
      <c r="D2401" s="66"/>
      <c r="E2401" s="66"/>
      <c r="F2401" s="66"/>
      <c r="G2401" s="66"/>
      <c r="H2401" s="66"/>
      <c r="I2401" s="66"/>
      <c r="J2401" s="66"/>
      <c r="K2401" s="66"/>
      <c r="L2401" s="66"/>
      <c r="M2401" s="66"/>
      <c r="N2401" s="66"/>
      <c r="O2401" s="66"/>
      <c r="P2401" s="66"/>
      <c r="Q2401" s="66"/>
      <c r="R2401" s="66"/>
      <c r="S2401" s="66"/>
      <c r="T2401" s="66"/>
      <c r="U2401" s="66"/>
      <c r="V2401" s="66"/>
      <c r="W2401" s="66"/>
      <c r="X2401" s="66"/>
      <c r="Y2401" s="66"/>
      <c r="Z2401" s="66"/>
    </row>
    <row r="2402">
      <c r="A2402" s="66"/>
      <c r="B2402" s="66"/>
      <c r="C2402" s="66"/>
      <c r="D2402" s="66"/>
      <c r="E2402" s="66"/>
      <c r="F2402" s="66"/>
      <c r="G2402" s="66"/>
      <c r="H2402" s="66"/>
      <c r="I2402" s="66"/>
      <c r="J2402" s="66"/>
      <c r="K2402" s="66"/>
      <c r="L2402" s="66"/>
      <c r="M2402" s="66"/>
      <c r="N2402" s="66"/>
      <c r="O2402" s="66"/>
      <c r="P2402" s="66"/>
      <c r="Q2402" s="66"/>
      <c r="R2402" s="66"/>
      <c r="S2402" s="66"/>
      <c r="T2402" s="66"/>
      <c r="U2402" s="66"/>
      <c r="V2402" s="66"/>
      <c r="W2402" s="66"/>
      <c r="X2402" s="66"/>
      <c r="Y2402" s="66"/>
      <c r="Z2402" s="66"/>
    </row>
    <row r="2403">
      <c r="A2403" s="66"/>
      <c r="B2403" s="66"/>
      <c r="C2403" s="66"/>
      <c r="D2403" s="66"/>
      <c r="E2403" s="66"/>
      <c r="F2403" s="66"/>
      <c r="G2403" s="66"/>
      <c r="H2403" s="66"/>
      <c r="I2403" s="66"/>
      <c r="J2403" s="66"/>
      <c r="K2403" s="66"/>
      <c r="L2403" s="66"/>
      <c r="M2403" s="66"/>
      <c r="N2403" s="66"/>
      <c r="O2403" s="66"/>
      <c r="P2403" s="66"/>
      <c r="Q2403" s="66"/>
      <c r="R2403" s="66"/>
      <c r="S2403" s="66"/>
      <c r="T2403" s="66"/>
      <c r="U2403" s="66"/>
      <c r="V2403" s="66"/>
      <c r="W2403" s="66"/>
      <c r="X2403" s="66"/>
      <c r="Y2403" s="66"/>
      <c r="Z2403" s="66"/>
    </row>
    <row r="2404">
      <c r="A2404" s="66"/>
      <c r="B2404" s="66"/>
      <c r="C2404" s="66"/>
      <c r="D2404" s="66"/>
      <c r="E2404" s="66"/>
      <c r="F2404" s="66"/>
      <c r="G2404" s="66"/>
      <c r="H2404" s="66"/>
      <c r="I2404" s="66"/>
      <c r="J2404" s="66"/>
      <c r="K2404" s="66"/>
      <c r="L2404" s="66"/>
      <c r="M2404" s="66"/>
      <c r="N2404" s="66"/>
      <c r="O2404" s="66"/>
      <c r="P2404" s="66"/>
      <c r="Q2404" s="66"/>
      <c r="R2404" s="66"/>
      <c r="S2404" s="66"/>
      <c r="T2404" s="66"/>
      <c r="U2404" s="66"/>
      <c r="V2404" s="66"/>
      <c r="W2404" s="66"/>
      <c r="X2404" s="66"/>
      <c r="Y2404" s="66"/>
      <c r="Z2404" s="66"/>
    </row>
    <row r="2405">
      <c r="A2405" s="66"/>
      <c r="B2405" s="66"/>
      <c r="C2405" s="66"/>
      <c r="D2405" s="66"/>
      <c r="E2405" s="66"/>
      <c r="F2405" s="66"/>
      <c r="G2405" s="66"/>
      <c r="H2405" s="66"/>
      <c r="I2405" s="66"/>
      <c r="J2405" s="66"/>
      <c r="K2405" s="66"/>
      <c r="L2405" s="66"/>
      <c r="M2405" s="66"/>
      <c r="N2405" s="66"/>
      <c r="O2405" s="66"/>
      <c r="P2405" s="66"/>
      <c r="Q2405" s="66"/>
      <c r="R2405" s="66"/>
      <c r="S2405" s="66"/>
      <c r="T2405" s="66"/>
      <c r="U2405" s="66"/>
      <c r="V2405" s="66"/>
      <c r="W2405" s="66"/>
      <c r="X2405" s="66"/>
      <c r="Y2405" s="66"/>
      <c r="Z2405" s="66"/>
    </row>
    <row r="2406">
      <c r="A2406" s="66"/>
      <c r="B2406" s="66"/>
      <c r="C2406" s="66"/>
      <c r="D2406" s="66"/>
      <c r="E2406" s="66"/>
      <c r="F2406" s="66"/>
      <c r="G2406" s="66"/>
      <c r="H2406" s="66"/>
      <c r="I2406" s="66"/>
      <c r="J2406" s="66"/>
      <c r="K2406" s="66"/>
      <c r="L2406" s="66"/>
      <c r="M2406" s="66"/>
      <c r="N2406" s="66"/>
      <c r="O2406" s="66"/>
      <c r="P2406" s="66"/>
      <c r="Q2406" s="66"/>
      <c r="R2406" s="66"/>
      <c r="S2406" s="66"/>
      <c r="T2406" s="66"/>
      <c r="U2406" s="66"/>
      <c r="V2406" s="66"/>
      <c r="W2406" s="66"/>
      <c r="X2406" s="66"/>
      <c r="Y2406" s="66"/>
      <c r="Z2406" s="66"/>
    </row>
    <row r="2407">
      <c r="A2407" s="66"/>
      <c r="B2407" s="66"/>
      <c r="C2407" s="66"/>
      <c r="D2407" s="66"/>
      <c r="E2407" s="66"/>
      <c r="F2407" s="66"/>
      <c r="G2407" s="66"/>
      <c r="H2407" s="66"/>
      <c r="I2407" s="66"/>
      <c r="J2407" s="66"/>
      <c r="K2407" s="66"/>
      <c r="L2407" s="66"/>
      <c r="M2407" s="66"/>
      <c r="N2407" s="66"/>
      <c r="O2407" s="66"/>
      <c r="P2407" s="66"/>
      <c r="Q2407" s="66"/>
      <c r="R2407" s="66"/>
      <c r="S2407" s="66"/>
      <c r="T2407" s="66"/>
      <c r="U2407" s="66"/>
      <c r="V2407" s="66"/>
      <c r="W2407" s="66"/>
      <c r="X2407" s="66"/>
      <c r="Y2407" s="66"/>
      <c r="Z2407" s="66"/>
    </row>
    <row r="2408">
      <c r="A2408" s="66"/>
      <c r="B2408" s="66"/>
      <c r="C2408" s="66"/>
      <c r="D2408" s="66"/>
      <c r="E2408" s="66"/>
      <c r="F2408" s="66"/>
      <c r="G2408" s="66"/>
      <c r="H2408" s="66"/>
      <c r="I2408" s="66"/>
      <c r="J2408" s="66"/>
      <c r="K2408" s="66"/>
      <c r="L2408" s="66"/>
      <c r="M2408" s="66"/>
      <c r="N2408" s="66"/>
      <c r="O2408" s="66"/>
      <c r="P2408" s="66"/>
      <c r="Q2408" s="66"/>
      <c r="R2408" s="66"/>
      <c r="S2408" s="66"/>
      <c r="T2408" s="66"/>
      <c r="U2408" s="66"/>
      <c r="V2408" s="66"/>
      <c r="W2408" s="66"/>
      <c r="X2408" s="66"/>
      <c r="Y2408" s="66"/>
      <c r="Z2408" s="66"/>
    </row>
    <row r="2409">
      <c r="A2409" s="66"/>
      <c r="B2409" s="66"/>
      <c r="C2409" s="66"/>
      <c r="D2409" s="66"/>
      <c r="E2409" s="66"/>
      <c r="F2409" s="66"/>
      <c r="G2409" s="66"/>
      <c r="H2409" s="66"/>
      <c r="I2409" s="66"/>
      <c r="J2409" s="66"/>
      <c r="K2409" s="66"/>
      <c r="L2409" s="66"/>
      <c r="M2409" s="66"/>
      <c r="N2409" s="66"/>
      <c r="O2409" s="66"/>
      <c r="P2409" s="66"/>
      <c r="Q2409" s="66"/>
      <c r="R2409" s="66"/>
      <c r="S2409" s="66"/>
      <c r="T2409" s="66"/>
      <c r="U2409" s="66"/>
      <c r="V2409" s="66"/>
      <c r="W2409" s="66"/>
      <c r="X2409" s="66"/>
      <c r="Y2409" s="66"/>
      <c r="Z2409" s="66"/>
    </row>
    <row r="2410">
      <c r="A2410" s="66"/>
      <c r="B2410" s="66"/>
      <c r="C2410" s="66"/>
      <c r="D2410" s="66"/>
      <c r="E2410" s="66"/>
      <c r="F2410" s="66"/>
      <c r="G2410" s="66"/>
      <c r="H2410" s="66"/>
      <c r="I2410" s="66"/>
      <c r="J2410" s="66"/>
      <c r="K2410" s="66"/>
      <c r="L2410" s="66"/>
      <c r="M2410" s="66"/>
      <c r="N2410" s="66"/>
      <c r="O2410" s="66"/>
      <c r="P2410" s="66"/>
      <c r="Q2410" s="66"/>
      <c r="R2410" s="66"/>
      <c r="S2410" s="66"/>
      <c r="T2410" s="66"/>
      <c r="U2410" s="66"/>
      <c r="V2410" s="66"/>
      <c r="W2410" s="66"/>
      <c r="X2410" s="66"/>
      <c r="Y2410" s="66"/>
      <c r="Z2410" s="66"/>
    </row>
    <row r="2411">
      <c r="A2411" s="66"/>
      <c r="B2411" s="66"/>
      <c r="C2411" s="66"/>
      <c r="D2411" s="66"/>
      <c r="E2411" s="66"/>
      <c r="F2411" s="66"/>
      <c r="G2411" s="66"/>
      <c r="H2411" s="66"/>
      <c r="I2411" s="66"/>
      <c r="J2411" s="66"/>
      <c r="K2411" s="66"/>
      <c r="L2411" s="66"/>
      <c r="M2411" s="66"/>
      <c r="N2411" s="66"/>
      <c r="O2411" s="66"/>
      <c r="P2411" s="66"/>
      <c r="Q2411" s="66"/>
      <c r="R2411" s="66"/>
      <c r="S2411" s="66"/>
      <c r="T2411" s="66"/>
      <c r="U2411" s="66"/>
      <c r="V2411" s="66"/>
      <c r="W2411" s="66"/>
      <c r="X2411" s="66"/>
      <c r="Y2411" s="66"/>
      <c r="Z2411" s="66"/>
    </row>
    <row r="2412">
      <c r="A2412" s="66"/>
      <c r="B2412" s="66"/>
      <c r="C2412" s="66"/>
      <c r="D2412" s="66"/>
      <c r="E2412" s="66"/>
      <c r="F2412" s="66"/>
      <c r="G2412" s="66"/>
      <c r="H2412" s="66"/>
      <c r="I2412" s="66"/>
      <c r="J2412" s="66"/>
      <c r="K2412" s="66"/>
      <c r="L2412" s="66"/>
      <c r="M2412" s="66"/>
      <c r="N2412" s="66"/>
      <c r="O2412" s="66"/>
      <c r="P2412" s="66"/>
      <c r="Q2412" s="66"/>
      <c r="R2412" s="66"/>
      <c r="S2412" s="66"/>
      <c r="T2412" s="66"/>
      <c r="U2412" s="66"/>
      <c r="V2412" s="66"/>
      <c r="W2412" s="66"/>
      <c r="X2412" s="66"/>
      <c r="Y2412" s="66"/>
      <c r="Z2412" s="66"/>
    </row>
    <row r="2413">
      <c r="A2413" s="66"/>
      <c r="B2413" s="66"/>
      <c r="C2413" s="66"/>
      <c r="D2413" s="66"/>
      <c r="E2413" s="66"/>
      <c r="F2413" s="66"/>
      <c r="G2413" s="66"/>
      <c r="H2413" s="66"/>
      <c r="I2413" s="66"/>
      <c r="J2413" s="66"/>
      <c r="K2413" s="66"/>
      <c r="L2413" s="66"/>
      <c r="M2413" s="66"/>
      <c r="N2413" s="66"/>
      <c r="O2413" s="66"/>
      <c r="P2413" s="66"/>
      <c r="Q2413" s="66"/>
      <c r="R2413" s="66"/>
      <c r="S2413" s="66"/>
      <c r="T2413" s="66"/>
      <c r="U2413" s="66"/>
      <c r="V2413" s="66"/>
      <c r="W2413" s="66"/>
      <c r="X2413" s="66"/>
      <c r="Y2413" s="66"/>
      <c r="Z2413" s="66"/>
    </row>
    <row r="2414">
      <c r="A2414" s="66"/>
      <c r="B2414" s="66"/>
      <c r="C2414" s="66"/>
      <c r="D2414" s="66"/>
      <c r="E2414" s="66"/>
      <c r="F2414" s="66"/>
      <c r="G2414" s="66"/>
      <c r="H2414" s="66"/>
      <c r="I2414" s="66"/>
      <c r="J2414" s="66"/>
      <c r="K2414" s="66"/>
      <c r="L2414" s="66"/>
      <c r="M2414" s="66"/>
      <c r="N2414" s="66"/>
      <c r="O2414" s="66"/>
      <c r="P2414" s="66"/>
      <c r="Q2414" s="66"/>
      <c r="R2414" s="66"/>
      <c r="S2414" s="66"/>
      <c r="T2414" s="66"/>
      <c r="U2414" s="66"/>
      <c r="V2414" s="66"/>
      <c r="W2414" s="66"/>
      <c r="X2414" s="66"/>
      <c r="Y2414" s="66"/>
      <c r="Z2414" s="66"/>
    </row>
    <row r="2415">
      <c r="A2415" s="66"/>
      <c r="B2415" s="66"/>
      <c r="C2415" s="66"/>
      <c r="D2415" s="66"/>
      <c r="E2415" s="66"/>
      <c r="F2415" s="66"/>
      <c r="G2415" s="66"/>
      <c r="H2415" s="66"/>
      <c r="I2415" s="66"/>
      <c r="J2415" s="66"/>
      <c r="K2415" s="66"/>
      <c r="L2415" s="66"/>
      <c r="M2415" s="66"/>
      <c r="N2415" s="66"/>
      <c r="O2415" s="66"/>
      <c r="P2415" s="66"/>
      <c r="Q2415" s="66"/>
      <c r="R2415" s="66"/>
      <c r="S2415" s="66"/>
      <c r="T2415" s="66"/>
      <c r="U2415" s="66"/>
      <c r="V2415" s="66"/>
      <c r="W2415" s="66"/>
      <c r="X2415" s="66"/>
      <c r="Y2415" s="66"/>
      <c r="Z2415" s="66"/>
    </row>
    <row r="2416">
      <c r="A2416" s="66"/>
      <c r="B2416" s="66"/>
      <c r="C2416" s="66"/>
      <c r="D2416" s="66"/>
      <c r="E2416" s="66"/>
      <c r="F2416" s="66"/>
      <c r="G2416" s="66"/>
      <c r="H2416" s="66"/>
      <c r="I2416" s="66"/>
      <c r="J2416" s="66"/>
      <c r="K2416" s="66"/>
      <c r="L2416" s="66"/>
      <c r="M2416" s="66"/>
      <c r="N2416" s="66"/>
      <c r="O2416" s="66"/>
      <c r="P2416" s="66"/>
      <c r="Q2416" s="66"/>
      <c r="R2416" s="66"/>
      <c r="S2416" s="66"/>
      <c r="T2416" s="66"/>
      <c r="U2416" s="66"/>
      <c r="V2416" s="66"/>
      <c r="W2416" s="66"/>
      <c r="X2416" s="66"/>
      <c r="Y2416" s="66"/>
      <c r="Z2416" s="66"/>
    </row>
    <row r="2417">
      <c r="A2417" s="66"/>
      <c r="B2417" s="66"/>
      <c r="C2417" s="66"/>
      <c r="D2417" s="66"/>
      <c r="E2417" s="66"/>
      <c r="F2417" s="66"/>
      <c r="G2417" s="66"/>
      <c r="H2417" s="66"/>
      <c r="I2417" s="66"/>
      <c r="J2417" s="66"/>
      <c r="K2417" s="66"/>
      <c r="L2417" s="66"/>
      <c r="M2417" s="66"/>
      <c r="N2417" s="66"/>
      <c r="O2417" s="66"/>
      <c r="P2417" s="66"/>
      <c r="Q2417" s="66"/>
      <c r="R2417" s="66"/>
      <c r="S2417" s="66"/>
      <c r="T2417" s="66"/>
      <c r="U2417" s="66"/>
      <c r="V2417" s="66"/>
      <c r="W2417" s="66"/>
      <c r="X2417" s="66"/>
      <c r="Y2417" s="66"/>
      <c r="Z2417" s="66"/>
    </row>
    <row r="2418">
      <c r="A2418" s="66"/>
      <c r="B2418" s="66"/>
      <c r="C2418" s="66"/>
      <c r="D2418" s="66"/>
      <c r="E2418" s="66"/>
      <c r="F2418" s="66"/>
      <c r="G2418" s="66"/>
      <c r="H2418" s="66"/>
      <c r="I2418" s="66"/>
      <c r="J2418" s="66"/>
      <c r="K2418" s="66"/>
      <c r="L2418" s="66"/>
      <c r="M2418" s="66"/>
      <c r="N2418" s="66"/>
      <c r="O2418" s="66"/>
      <c r="P2418" s="66"/>
      <c r="Q2418" s="66"/>
      <c r="R2418" s="66"/>
      <c r="S2418" s="66"/>
      <c r="T2418" s="66"/>
      <c r="U2418" s="66"/>
      <c r="V2418" s="66"/>
      <c r="W2418" s="66"/>
      <c r="X2418" s="66"/>
      <c r="Y2418" s="66"/>
      <c r="Z2418" s="66"/>
    </row>
    <row r="2419">
      <c r="A2419" s="66"/>
      <c r="B2419" s="66"/>
      <c r="C2419" s="66"/>
      <c r="D2419" s="66"/>
      <c r="E2419" s="66"/>
      <c r="F2419" s="66"/>
      <c r="G2419" s="66"/>
      <c r="H2419" s="66"/>
      <c r="I2419" s="66"/>
      <c r="J2419" s="66"/>
      <c r="K2419" s="66"/>
      <c r="L2419" s="66"/>
      <c r="M2419" s="66"/>
      <c r="N2419" s="66"/>
      <c r="O2419" s="66"/>
      <c r="P2419" s="66"/>
      <c r="Q2419" s="66"/>
      <c r="R2419" s="66"/>
      <c r="S2419" s="66"/>
      <c r="T2419" s="66"/>
      <c r="U2419" s="66"/>
      <c r="V2419" s="66"/>
      <c r="W2419" s="66"/>
      <c r="X2419" s="66"/>
      <c r="Y2419" s="66"/>
      <c r="Z2419" s="66"/>
    </row>
    <row r="2420">
      <c r="A2420" s="66"/>
      <c r="B2420" s="66"/>
      <c r="C2420" s="66"/>
      <c r="D2420" s="66"/>
      <c r="E2420" s="66"/>
      <c r="F2420" s="66"/>
      <c r="G2420" s="66"/>
      <c r="H2420" s="66"/>
      <c r="I2420" s="66"/>
      <c r="J2420" s="66"/>
      <c r="K2420" s="66"/>
      <c r="L2420" s="66"/>
      <c r="M2420" s="66"/>
      <c r="N2420" s="66"/>
      <c r="O2420" s="66"/>
      <c r="P2420" s="66"/>
      <c r="Q2420" s="66"/>
      <c r="R2420" s="66"/>
      <c r="S2420" s="66"/>
      <c r="T2420" s="66"/>
      <c r="U2420" s="66"/>
      <c r="V2420" s="66"/>
      <c r="W2420" s="66"/>
      <c r="X2420" s="66"/>
      <c r="Y2420" s="66"/>
      <c r="Z2420" s="66"/>
    </row>
    <row r="2421">
      <c r="A2421" s="66"/>
      <c r="B2421" s="66"/>
      <c r="C2421" s="66"/>
      <c r="D2421" s="66"/>
      <c r="E2421" s="66"/>
      <c r="F2421" s="66"/>
      <c r="G2421" s="66"/>
      <c r="H2421" s="66"/>
      <c r="I2421" s="66"/>
      <c r="J2421" s="66"/>
      <c r="K2421" s="66"/>
      <c r="L2421" s="66"/>
      <c r="M2421" s="66"/>
      <c r="N2421" s="66"/>
      <c r="O2421" s="66"/>
      <c r="P2421" s="66"/>
      <c r="Q2421" s="66"/>
      <c r="R2421" s="66"/>
      <c r="S2421" s="66"/>
      <c r="T2421" s="66"/>
      <c r="U2421" s="66"/>
      <c r="V2421" s="66"/>
      <c r="W2421" s="66"/>
      <c r="X2421" s="66"/>
      <c r="Y2421" s="66"/>
      <c r="Z2421" s="66"/>
    </row>
    <row r="2422">
      <c r="A2422" s="66"/>
      <c r="B2422" s="66"/>
      <c r="C2422" s="66"/>
      <c r="D2422" s="66"/>
      <c r="E2422" s="66"/>
      <c r="F2422" s="66"/>
      <c r="G2422" s="66"/>
      <c r="H2422" s="66"/>
      <c r="I2422" s="66"/>
      <c r="J2422" s="66"/>
      <c r="K2422" s="66"/>
      <c r="L2422" s="66"/>
      <c r="M2422" s="66"/>
      <c r="N2422" s="66"/>
      <c r="O2422" s="66"/>
      <c r="P2422" s="66"/>
      <c r="Q2422" s="66"/>
      <c r="R2422" s="66"/>
      <c r="S2422" s="66"/>
      <c r="T2422" s="66"/>
      <c r="U2422" s="66"/>
      <c r="V2422" s="66"/>
      <c r="W2422" s="66"/>
      <c r="X2422" s="66"/>
      <c r="Y2422" s="66"/>
      <c r="Z2422" s="66"/>
    </row>
    <row r="2423">
      <c r="A2423" s="66"/>
      <c r="B2423" s="66"/>
      <c r="C2423" s="66"/>
      <c r="D2423" s="66"/>
      <c r="E2423" s="66"/>
      <c r="F2423" s="66"/>
      <c r="G2423" s="66"/>
      <c r="H2423" s="66"/>
      <c r="I2423" s="66"/>
      <c r="J2423" s="66"/>
      <c r="K2423" s="66"/>
      <c r="L2423" s="66"/>
      <c r="M2423" s="66"/>
      <c r="N2423" s="66"/>
      <c r="O2423" s="66"/>
      <c r="P2423" s="66"/>
      <c r="Q2423" s="66"/>
      <c r="R2423" s="66"/>
      <c r="S2423" s="66"/>
      <c r="T2423" s="66"/>
      <c r="U2423" s="66"/>
      <c r="V2423" s="66"/>
      <c r="W2423" s="66"/>
      <c r="X2423" s="66"/>
      <c r="Y2423" s="66"/>
      <c r="Z2423" s="66"/>
    </row>
    <row r="2424">
      <c r="A2424" s="66"/>
      <c r="B2424" s="66"/>
      <c r="C2424" s="66"/>
      <c r="D2424" s="66"/>
      <c r="E2424" s="66"/>
      <c r="F2424" s="66"/>
      <c r="G2424" s="66"/>
      <c r="H2424" s="66"/>
      <c r="I2424" s="66"/>
      <c r="J2424" s="66"/>
      <c r="K2424" s="66"/>
      <c r="L2424" s="66"/>
      <c r="M2424" s="66"/>
      <c r="N2424" s="66"/>
      <c r="O2424" s="66"/>
      <c r="P2424" s="66"/>
      <c r="Q2424" s="66"/>
      <c r="R2424" s="66"/>
      <c r="S2424" s="66"/>
      <c r="T2424" s="66"/>
      <c r="U2424" s="66"/>
      <c r="V2424" s="66"/>
      <c r="W2424" s="66"/>
      <c r="X2424" s="66"/>
      <c r="Y2424" s="66"/>
      <c r="Z2424" s="66"/>
    </row>
    <row r="2425">
      <c r="A2425" s="66"/>
      <c r="B2425" s="66"/>
      <c r="C2425" s="66"/>
      <c r="D2425" s="66"/>
      <c r="E2425" s="66"/>
      <c r="F2425" s="66"/>
      <c r="G2425" s="66"/>
      <c r="H2425" s="66"/>
      <c r="I2425" s="66"/>
      <c r="J2425" s="66"/>
      <c r="K2425" s="66"/>
      <c r="L2425" s="66"/>
      <c r="M2425" s="66"/>
      <c r="N2425" s="66"/>
      <c r="O2425" s="66"/>
      <c r="P2425" s="66"/>
      <c r="Q2425" s="66"/>
      <c r="R2425" s="66"/>
      <c r="S2425" s="66"/>
      <c r="T2425" s="66"/>
      <c r="U2425" s="66"/>
      <c r="V2425" s="66"/>
      <c r="W2425" s="66"/>
      <c r="X2425" s="66"/>
      <c r="Y2425" s="66"/>
      <c r="Z2425" s="66"/>
    </row>
    <row r="2426">
      <c r="A2426" s="66"/>
      <c r="B2426" s="66"/>
      <c r="C2426" s="66"/>
      <c r="D2426" s="66"/>
      <c r="E2426" s="66"/>
      <c r="F2426" s="66"/>
      <c r="G2426" s="66"/>
      <c r="H2426" s="66"/>
      <c r="I2426" s="66"/>
      <c r="J2426" s="66"/>
      <c r="K2426" s="66"/>
      <c r="L2426" s="66"/>
      <c r="M2426" s="66"/>
      <c r="N2426" s="66"/>
      <c r="O2426" s="66"/>
      <c r="P2426" s="66"/>
      <c r="Q2426" s="66"/>
      <c r="R2426" s="66"/>
      <c r="S2426" s="66"/>
      <c r="T2426" s="66"/>
      <c r="U2426" s="66"/>
      <c r="V2426" s="66"/>
      <c r="W2426" s="66"/>
      <c r="X2426" s="66"/>
      <c r="Y2426" s="66"/>
      <c r="Z2426" s="66"/>
    </row>
    <row r="2427">
      <c r="A2427" s="66"/>
      <c r="B2427" s="66"/>
      <c r="C2427" s="66"/>
      <c r="D2427" s="66"/>
      <c r="E2427" s="66"/>
      <c r="F2427" s="66"/>
      <c r="G2427" s="66"/>
      <c r="H2427" s="66"/>
      <c r="I2427" s="66"/>
      <c r="J2427" s="66"/>
      <c r="K2427" s="66"/>
      <c r="L2427" s="66"/>
      <c r="M2427" s="66"/>
      <c r="N2427" s="66"/>
      <c r="O2427" s="66"/>
      <c r="P2427" s="66"/>
      <c r="Q2427" s="66"/>
      <c r="R2427" s="66"/>
      <c r="S2427" s="66"/>
      <c r="T2427" s="66"/>
      <c r="U2427" s="66"/>
      <c r="V2427" s="66"/>
      <c r="W2427" s="66"/>
      <c r="X2427" s="66"/>
      <c r="Y2427" s="66"/>
      <c r="Z2427" s="66"/>
    </row>
    <row r="2428">
      <c r="A2428" s="66"/>
      <c r="B2428" s="66"/>
      <c r="C2428" s="66"/>
      <c r="D2428" s="66"/>
      <c r="E2428" s="66"/>
      <c r="F2428" s="66"/>
      <c r="G2428" s="66"/>
      <c r="H2428" s="66"/>
      <c r="I2428" s="66"/>
      <c r="J2428" s="66"/>
      <c r="K2428" s="66"/>
      <c r="L2428" s="66"/>
      <c r="M2428" s="66"/>
      <c r="N2428" s="66"/>
      <c r="O2428" s="66"/>
      <c r="P2428" s="66"/>
      <c r="Q2428" s="66"/>
      <c r="R2428" s="66"/>
      <c r="S2428" s="66"/>
      <c r="T2428" s="66"/>
      <c r="U2428" s="66"/>
      <c r="V2428" s="66"/>
      <c r="W2428" s="66"/>
      <c r="X2428" s="66"/>
      <c r="Y2428" s="66"/>
      <c r="Z2428" s="66"/>
    </row>
    <row r="2429">
      <c r="A2429" s="66"/>
      <c r="B2429" s="66"/>
      <c r="C2429" s="66"/>
      <c r="D2429" s="66"/>
      <c r="E2429" s="66"/>
      <c r="F2429" s="66"/>
      <c r="G2429" s="66"/>
      <c r="H2429" s="66"/>
      <c r="I2429" s="66"/>
      <c r="J2429" s="66"/>
      <c r="K2429" s="66"/>
      <c r="L2429" s="66"/>
      <c r="M2429" s="66"/>
      <c r="N2429" s="66"/>
      <c r="O2429" s="66"/>
      <c r="P2429" s="66"/>
      <c r="Q2429" s="66"/>
      <c r="R2429" s="66"/>
      <c r="S2429" s="66"/>
      <c r="T2429" s="66"/>
      <c r="U2429" s="66"/>
      <c r="V2429" s="66"/>
      <c r="W2429" s="66"/>
      <c r="X2429" s="66"/>
      <c r="Y2429" s="66"/>
      <c r="Z2429" s="66"/>
    </row>
    <row r="2430">
      <c r="A2430" s="66"/>
      <c r="B2430" s="66"/>
      <c r="C2430" s="66"/>
      <c r="D2430" s="66"/>
      <c r="E2430" s="66"/>
      <c r="F2430" s="66"/>
      <c r="G2430" s="66"/>
      <c r="H2430" s="66"/>
      <c r="I2430" s="66"/>
      <c r="J2430" s="66"/>
      <c r="K2430" s="66"/>
      <c r="L2430" s="66"/>
      <c r="M2430" s="66"/>
      <c r="N2430" s="66"/>
      <c r="O2430" s="66"/>
      <c r="P2430" s="66"/>
      <c r="Q2430" s="66"/>
      <c r="R2430" s="66"/>
      <c r="S2430" s="66"/>
      <c r="T2430" s="66"/>
      <c r="U2430" s="66"/>
      <c r="V2430" s="66"/>
      <c r="W2430" s="66"/>
      <c r="X2430" s="66"/>
      <c r="Y2430" s="66"/>
      <c r="Z2430" s="66"/>
    </row>
    <row r="2431">
      <c r="A2431" s="66"/>
      <c r="B2431" s="66"/>
      <c r="C2431" s="66"/>
      <c r="D2431" s="66"/>
      <c r="E2431" s="66"/>
      <c r="F2431" s="66"/>
      <c r="G2431" s="66"/>
      <c r="H2431" s="66"/>
      <c r="I2431" s="66"/>
      <c r="J2431" s="66"/>
      <c r="K2431" s="66"/>
      <c r="L2431" s="66"/>
      <c r="M2431" s="66"/>
      <c r="N2431" s="66"/>
      <c r="O2431" s="66"/>
      <c r="P2431" s="66"/>
      <c r="Q2431" s="66"/>
      <c r="R2431" s="66"/>
      <c r="S2431" s="66"/>
      <c r="T2431" s="66"/>
      <c r="U2431" s="66"/>
      <c r="V2431" s="66"/>
      <c r="W2431" s="66"/>
      <c r="X2431" s="66"/>
      <c r="Y2431" s="66"/>
      <c r="Z2431" s="66"/>
    </row>
    <row r="2432">
      <c r="A2432" s="66"/>
      <c r="B2432" s="66"/>
      <c r="C2432" s="66"/>
      <c r="D2432" s="66"/>
      <c r="E2432" s="66"/>
      <c r="F2432" s="66"/>
      <c r="G2432" s="66"/>
      <c r="H2432" s="66"/>
      <c r="I2432" s="66"/>
      <c r="J2432" s="66"/>
      <c r="K2432" s="66"/>
      <c r="L2432" s="66"/>
      <c r="M2432" s="66"/>
      <c r="N2432" s="66"/>
      <c r="O2432" s="66"/>
      <c r="P2432" s="66"/>
      <c r="Q2432" s="66"/>
      <c r="R2432" s="66"/>
      <c r="S2432" s="66"/>
      <c r="T2432" s="66"/>
      <c r="U2432" s="66"/>
      <c r="V2432" s="66"/>
      <c r="W2432" s="66"/>
      <c r="X2432" s="66"/>
      <c r="Y2432" s="66"/>
      <c r="Z2432" s="66"/>
    </row>
    <row r="2433">
      <c r="A2433" s="66"/>
      <c r="B2433" s="66"/>
      <c r="C2433" s="66"/>
      <c r="D2433" s="66"/>
      <c r="E2433" s="66"/>
      <c r="F2433" s="66"/>
      <c r="G2433" s="66"/>
      <c r="H2433" s="66"/>
      <c r="I2433" s="66"/>
      <c r="J2433" s="66"/>
      <c r="K2433" s="66"/>
      <c r="L2433" s="66"/>
      <c r="M2433" s="66"/>
      <c r="N2433" s="66"/>
      <c r="O2433" s="66"/>
      <c r="P2433" s="66"/>
      <c r="Q2433" s="66"/>
      <c r="R2433" s="66"/>
      <c r="S2433" s="66"/>
      <c r="T2433" s="66"/>
      <c r="U2433" s="66"/>
      <c r="V2433" s="66"/>
      <c r="W2433" s="66"/>
      <c r="X2433" s="66"/>
      <c r="Y2433" s="66"/>
      <c r="Z2433" s="66"/>
    </row>
    <row r="2434">
      <c r="A2434" s="66"/>
      <c r="B2434" s="66"/>
      <c r="C2434" s="66"/>
      <c r="D2434" s="66"/>
      <c r="E2434" s="66"/>
      <c r="F2434" s="66"/>
      <c r="G2434" s="66"/>
      <c r="H2434" s="66"/>
      <c r="I2434" s="66"/>
      <c r="J2434" s="66"/>
      <c r="K2434" s="66"/>
      <c r="L2434" s="66"/>
      <c r="M2434" s="66"/>
      <c r="N2434" s="66"/>
      <c r="O2434" s="66"/>
      <c r="P2434" s="66"/>
      <c r="Q2434" s="66"/>
      <c r="R2434" s="66"/>
      <c r="S2434" s="66"/>
      <c r="T2434" s="66"/>
      <c r="U2434" s="66"/>
      <c r="V2434" s="66"/>
      <c r="W2434" s="66"/>
      <c r="X2434" s="66"/>
      <c r="Y2434" s="66"/>
      <c r="Z2434" s="66"/>
    </row>
    <row r="2435">
      <c r="A2435" s="66"/>
      <c r="B2435" s="66"/>
      <c r="C2435" s="66"/>
      <c r="D2435" s="66"/>
      <c r="E2435" s="66"/>
      <c r="F2435" s="66"/>
      <c r="G2435" s="66"/>
      <c r="H2435" s="66"/>
      <c r="I2435" s="66"/>
      <c r="J2435" s="66"/>
      <c r="K2435" s="66"/>
      <c r="L2435" s="66"/>
      <c r="M2435" s="66"/>
      <c r="N2435" s="66"/>
      <c r="O2435" s="66"/>
      <c r="P2435" s="66"/>
      <c r="Q2435" s="66"/>
      <c r="R2435" s="66"/>
      <c r="S2435" s="66"/>
      <c r="T2435" s="66"/>
      <c r="U2435" s="66"/>
      <c r="V2435" s="66"/>
      <c r="W2435" s="66"/>
      <c r="X2435" s="66"/>
      <c r="Y2435" s="66"/>
      <c r="Z2435" s="66"/>
    </row>
    <row r="2436">
      <c r="A2436" s="66"/>
      <c r="B2436" s="66"/>
      <c r="C2436" s="66"/>
      <c r="D2436" s="66"/>
      <c r="E2436" s="66"/>
      <c r="F2436" s="66"/>
      <c r="G2436" s="66"/>
      <c r="H2436" s="66"/>
      <c r="I2436" s="66"/>
      <c r="J2436" s="66"/>
      <c r="K2436" s="66"/>
      <c r="L2436" s="66"/>
      <c r="M2436" s="66"/>
      <c r="N2436" s="66"/>
      <c r="O2436" s="66"/>
      <c r="P2436" s="66"/>
      <c r="Q2436" s="66"/>
      <c r="R2436" s="66"/>
      <c r="S2436" s="66"/>
      <c r="T2436" s="66"/>
      <c r="U2436" s="66"/>
      <c r="V2436" s="66"/>
      <c r="W2436" s="66"/>
      <c r="X2436" s="66"/>
      <c r="Y2436" s="66"/>
      <c r="Z2436" s="66"/>
    </row>
    <row r="2437">
      <c r="A2437" s="66"/>
      <c r="B2437" s="66"/>
      <c r="C2437" s="66"/>
      <c r="D2437" s="66"/>
      <c r="E2437" s="66"/>
      <c r="F2437" s="66"/>
      <c r="G2437" s="66"/>
      <c r="H2437" s="66"/>
      <c r="I2437" s="66"/>
      <c r="J2437" s="66"/>
      <c r="K2437" s="66"/>
      <c r="L2437" s="66"/>
      <c r="M2437" s="66"/>
      <c r="N2437" s="66"/>
      <c r="O2437" s="66"/>
      <c r="P2437" s="66"/>
      <c r="Q2437" s="66"/>
      <c r="R2437" s="66"/>
      <c r="S2437" s="66"/>
      <c r="T2437" s="66"/>
      <c r="U2437" s="66"/>
      <c r="V2437" s="66"/>
      <c r="W2437" s="66"/>
      <c r="X2437" s="66"/>
      <c r="Y2437" s="66"/>
      <c r="Z2437" s="66"/>
    </row>
    <row r="2438">
      <c r="A2438" s="66"/>
      <c r="B2438" s="66"/>
      <c r="C2438" s="66"/>
      <c r="D2438" s="66"/>
      <c r="E2438" s="66"/>
      <c r="F2438" s="66"/>
      <c r="G2438" s="66"/>
      <c r="H2438" s="66"/>
      <c r="I2438" s="66"/>
      <c r="J2438" s="66"/>
      <c r="K2438" s="66"/>
      <c r="L2438" s="66"/>
      <c r="M2438" s="66"/>
      <c r="N2438" s="66"/>
      <c r="O2438" s="66"/>
      <c r="P2438" s="66"/>
      <c r="Q2438" s="66"/>
      <c r="R2438" s="66"/>
      <c r="S2438" s="66"/>
      <c r="T2438" s="66"/>
      <c r="U2438" s="66"/>
      <c r="V2438" s="66"/>
      <c r="W2438" s="66"/>
      <c r="X2438" s="66"/>
      <c r="Y2438" s="66"/>
      <c r="Z2438" s="66"/>
    </row>
    <row r="2439">
      <c r="A2439" s="66"/>
      <c r="B2439" s="66"/>
      <c r="C2439" s="66"/>
      <c r="D2439" s="66"/>
      <c r="E2439" s="66"/>
      <c r="F2439" s="66"/>
      <c r="G2439" s="66"/>
      <c r="H2439" s="66"/>
      <c r="I2439" s="66"/>
      <c r="J2439" s="66"/>
      <c r="K2439" s="66"/>
      <c r="L2439" s="66"/>
      <c r="M2439" s="66"/>
      <c r="N2439" s="66"/>
      <c r="O2439" s="66"/>
      <c r="P2439" s="66"/>
      <c r="Q2439" s="66"/>
      <c r="R2439" s="66"/>
      <c r="S2439" s="66"/>
      <c r="T2439" s="66"/>
      <c r="U2439" s="66"/>
      <c r="V2439" s="66"/>
      <c r="W2439" s="66"/>
      <c r="X2439" s="66"/>
      <c r="Y2439" s="66"/>
      <c r="Z2439" s="66"/>
    </row>
    <row r="2440">
      <c r="A2440" s="66"/>
      <c r="B2440" s="66"/>
      <c r="C2440" s="66"/>
      <c r="D2440" s="66"/>
      <c r="E2440" s="66"/>
      <c r="F2440" s="66"/>
      <c r="G2440" s="66"/>
      <c r="H2440" s="66"/>
      <c r="I2440" s="66"/>
      <c r="J2440" s="66"/>
      <c r="K2440" s="66"/>
      <c r="L2440" s="66"/>
      <c r="M2440" s="66"/>
      <c r="N2440" s="66"/>
      <c r="O2440" s="66"/>
      <c r="P2440" s="66"/>
      <c r="Q2440" s="66"/>
      <c r="R2440" s="66"/>
      <c r="S2440" s="66"/>
      <c r="T2440" s="66"/>
      <c r="U2440" s="66"/>
      <c r="V2440" s="66"/>
      <c r="W2440" s="66"/>
      <c r="X2440" s="66"/>
      <c r="Y2440" s="66"/>
      <c r="Z2440" s="66"/>
    </row>
    <row r="2441">
      <c r="A2441" s="66"/>
      <c r="B2441" s="66"/>
      <c r="C2441" s="66"/>
      <c r="D2441" s="66"/>
      <c r="E2441" s="66"/>
      <c r="F2441" s="66"/>
      <c r="G2441" s="66"/>
      <c r="H2441" s="66"/>
      <c r="I2441" s="66"/>
      <c r="J2441" s="66"/>
      <c r="K2441" s="66"/>
      <c r="L2441" s="66"/>
      <c r="M2441" s="66"/>
      <c r="N2441" s="66"/>
      <c r="O2441" s="66"/>
      <c r="P2441" s="66"/>
      <c r="Q2441" s="66"/>
      <c r="R2441" s="66"/>
      <c r="S2441" s="66"/>
      <c r="T2441" s="66"/>
      <c r="U2441" s="66"/>
      <c r="V2441" s="66"/>
      <c r="W2441" s="66"/>
      <c r="X2441" s="66"/>
      <c r="Y2441" s="66"/>
      <c r="Z2441" s="66"/>
    </row>
    <row r="2442">
      <c r="A2442" s="66"/>
      <c r="B2442" s="66"/>
      <c r="C2442" s="66"/>
      <c r="D2442" s="66"/>
      <c r="E2442" s="66"/>
      <c r="F2442" s="66"/>
      <c r="G2442" s="66"/>
      <c r="H2442" s="66"/>
      <c r="I2442" s="66"/>
      <c r="J2442" s="66"/>
      <c r="K2442" s="66"/>
      <c r="L2442" s="66"/>
      <c r="M2442" s="66"/>
      <c r="N2442" s="66"/>
      <c r="O2442" s="66"/>
      <c r="P2442" s="66"/>
      <c r="Q2442" s="66"/>
      <c r="R2442" s="66"/>
      <c r="S2442" s="66"/>
      <c r="T2442" s="66"/>
      <c r="U2442" s="66"/>
      <c r="V2442" s="66"/>
      <c r="W2442" s="66"/>
      <c r="X2442" s="66"/>
      <c r="Y2442" s="66"/>
      <c r="Z2442" s="66"/>
    </row>
    <row r="2443">
      <c r="A2443" s="66"/>
      <c r="B2443" s="66"/>
      <c r="C2443" s="66"/>
      <c r="D2443" s="66"/>
      <c r="E2443" s="66"/>
      <c r="F2443" s="66"/>
      <c r="G2443" s="66"/>
      <c r="H2443" s="66"/>
      <c r="I2443" s="66"/>
      <c r="J2443" s="66"/>
      <c r="K2443" s="66"/>
      <c r="L2443" s="66"/>
      <c r="M2443" s="66"/>
      <c r="N2443" s="66"/>
      <c r="O2443" s="66"/>
      <c r="P2443" s="66"/>
      <c r="Q2443" s="66"/>
      <c r="R2443" s="66"/>
      <c r="S2443" s="66"/>
      <c r="T2443" s="66"/>
      <c r="U2443" s="66"/>
      <c r="V2443" s="66"/>
      <c r="W2443" s="66"/>
      <c r="X2443" s="66"/>
      <c r="Y2443" s="66"/>
      <c r="Z2443" s="66"/>
    </row>
    <row r="2444">
      <c r="A2444" s="66"/>
      <c r="B2444" s="66"/>
      <c r="C2444" s="66"/>
      <c r="D2444" s="66"/>
      <c r="E2444" s="66"/>
      <c r="F2444" s="66"/>
      <c r="G2444" s="66"/>
      <c r="H2444" s="66"/>
      <c r="I2444" s="66"/>
      <c r="J2444" s="66"/>
      <c r="K2444" s="66"/>
      <c r="L2444" s="66"/>
      <c r="M2444" s="66"/>
      <c r="N2444" s="66"/>
      <c r="O2444" s="66"/>
      <c r="P2444" s="66"/>
      <c r="Q2444" s="66"/>
      <c r="R2444" s="66"/>
      <c r="S2444" s="66"/>
      <c r="T2444" s="66"/>
      <c r="U2444" s="66"/>
      <c r="V2444" s="66"/>
      <c r="W2444" s="66"/>
      <c r="X2444" s="66"/>
      <c r="Y2444" s="66"/>
      <c r="Z2444" s="66"/>
    </row>
    <row r="2445">
      <c r="A2445" s="66"/>
      <c r="B2445" s="66"/>
      <c r="C2445" s="66"/>
      <c r="D2445" s="66"/>
      <c r="E2445" s="66"/>
      <c r="F2445" s="66"/>
      <c r="G2445" s="66"/>
      <c r="H2445" s="66"/>
      <c r="I2445" s="66"/>
      <c r="J2445" s="66"/>
      <c r="K2445" s="66"/>
      <c r="L2445" s="66"/>
      <c r="M2445" s="66"/>
      <c r="N2445" s="66"/>
      <c r="O2445" s="66"/>
      <c r="P2445" s="66"/>
      <c r="Q2445" s="66"/>
      <c r="R2445" s="66"/>
      <c r="S2445" s="66"/>
      <c r="T2445" s="66"/>
      <c r="U2445" s="66"/>
      <c r="V2445" s="66"/>
      <c r="W2445" s="66"/>
      <c r="X2445" s="66"/>
      <c r="Y2445" s="66"/>
      <c r="Z2445" s="66"/>
    </row>
    <row r="2446">
      <c r="A2446" s="66"/>
      <c r="B2446" s="66"/>
      <c r="C2446" s="66"/>
      <c r="D2446" s="66"/>
      <c r="E2446" s="66"/>
      <c r="F2446" s="66"/>
      <c r="G2446" s="66"/>
      <c r="H2446" s="66"/>
      <c r="I2446" s="66"/>
      <c r="J2446" s="66"/>
      <c r="K2446" s="66"/>
      <c r="L2446" s="66"/>
      <c r="M2446" s="66"/>
      <c r="N2446" s="66"/>
      <c r="O2446" s="66"/>
      <c r="P2446" s="66"/>
      <c r="Q2446" s="66"/>
      <c r="R2446" s="66"/>
      <c r="S2446" s="66"/>
      <c r="T2446" s="66"/>
      <c r="U2446" s="66"/>
      <c r="V2446" s="66"/>
      <c r="W2446" s="66"/>
      <c r="X2446" s="66"/>
      <c r="Y2446" s="66"/>
      <c r="Z2446" s="66"/>
    </row>
    <row r="2447">
      <c r="A2447" s="66"/>
      <c r="B2447" s="66"/>
      <c r="C2447" s="66"/>
      <c r="D2447" s="66"/>
      <c r="E2447" s="66"/>
      <c r="F2447" s="66"/>
      <c r="G2447" s="66"/>
      <c r="H2447" s="66"/>
      <c r="I2447" s="66"/>
      <c r="J2447" s="66"/>
      <c r="K2447" s="66"/>
      <c r="L2447" s="66"/>
      <c r="M2447" s="66"/>
      <c r="N2447" s="66"/>
      <c r="O2447" s="66"/>
      <c r="P2447" s="66"/>
      <c r="Q2447" s="66"/>
      <c r="R2447" s="66"/>
      <c r="S2447" s="66"/>
      <c r="T2447" s="66"/>
      <c r="U2447" s="66"/>
      <c r="V2447" s="66"/>
      <c r="W2447" s="66"/>
      <c r="X2447" s="66"/>
      <c r="Y2447" s="66"/>
      <c r="Z2447" s="66"/>
    </row>
    <row r="2448">
      <c r="A2448" s="66"/>
      <c r="B2448" s="66"/>
      <c r="C2448" s="66"/>
      <c r="D2448" s="66"/>
      <c r="E2448" s="66"/>
      <c r="F2448" s="66"/>
      <c r="G2448" s="66"/>
      <c r="H2448" s="66"/>
      <c r="I2448" s="66"/>
      <c r="J2448" s="66"/>
      <c r="K2448" s="66"/>
      <c r="L2448" s="66"/>
      <c r="M2448" s="66"/>
      <c r="N2448" s="66"/>
      <c r="O2448" s="66"/>
      <c r="P2448" s="66"/>
      <c r="Q2448" s="66"/>
      <c r="R2448" s="66"/>
      <c r="S2448" s="66"/>
      <c r="T2448" s="66"/>
      <c r="U2448" s="66"/>
      <c r="V2448" s="66"/>
      <c r="W2448" s="66"/>
      <c r="X2448" s="66"/>
      <c r="Y2448" s="66"/>
      <c r="Z2448" s="66"/>
    </row>
    <row r="2449">
      <c r="A2449" s="66"/>
      <c r="B2449" s="66"/>
      <c r="C2449" s="66"/>
      <c r="D2449" s="66"/>
      <c r="E2449" s="66"/>
      <c r="F2449" s="66"/>
      <c r="G2449" s="66"/>
      <c r="H2449" s="66"/>
      <c r="I2449" s="66"/>
      <c r="J2449" s="66"/>
      <c r="K2449" s="66"/>
      <c r="L2449" s="66"/>
      <c r="M2449" s="66"/>
      <c r="N2449" s="66"/>
      <c r="O2449" s="66"/>
      <c r="P2449" s="66"/>
      <c r="Q2449" s="66"/>
      <c r="R2449" s="66"/>
      <c r="S2449" s="66"/>
      <c r="T2449" s="66"/>
      <c r="U2449" s="66"/>
      <c r="V2449" s="66"/>
      <c r="W2449" s="66"/>
      <c r="X2449" s="66"/>
      <c r="Y2449" s="66"/>
      <c r="Z2449" s="66"/>
    </row>
    <row r="2450">
      <c r="A2450" s="66"/>
      <c r="B2450" s="66"/>
      <c r="C2450" s="66"/>
      <c r="D2450" s="66"/>
      <c r="E2450" s="66"/>
      <c r="F2450" s="66"/>
      <c r="G2450" s="66"/>
      <c r="H2450" s="66"/>
      <c r="I2450" s="66"/>
      <c r="J2450" s="66"/>
      <c r="K2450" s="66"/>
      <c r="L2450" s="66"/>
      <c r="M2450" s="66"/>
      <c r="N2450" s="66"/>
      <c r="O2450" s="66"/>
      <c r="P2450" s="66"/>
      <c r="Q2450" s="66"/>
      <c r="R2450" s="66"/>
      <c r="S2450" s="66"/>
      <c r="T2450" s="66"/>
      <c r="U2450" s="66"/>
      <c r="V2450" s="66"/>
      <c r="W2450" s="66"/>
      <c r="X2450" s="66"/>
      <c r="Y2450" s="66"/>
      <c r="Z2450" s="66"/>
    </row>
    <row r="2451">
      <c r="A2451" s="66"/>
      <c r="B2451" s="66"/>
      <c r="C2451" s="66"/>
      <c r="D2451" s="66"/>
      <c r="E2451" s="66"/>
      <c r="F2451" s="66"/>
      <c r="G2451" s="66"/>
      <c r="H2451" s="66"/>
      <c r="I2451" s="66"/>
      <c r="J2451" s="66"/>
      <c r="K2451" s="66"/>
      <c r="L2451" s="66"/>
      <c r="M2451" s="66"/>
      <c r="N2451" s="66"/>
      <c r="O2451" s="66"/>
      <c r="P2451" s="66"/>
      <c r="Q2451" s="66"/>
      <c r="R2451" s="66"/>
      <c r="S2451" s="66"/>
      <c r="T2451" s="66"/>
      <c r="U2451" s="66"/>
      <c r="V2451" s="66"/>
      <c r="W2451" s="66"/>
      <c r="X2451" s="66"/>
      <c r="Y2451" s="66"/>
      <c r="Z2451" s="66"/>
    </row>
    <row r="2452">
      <c r="A2452" s="66"/>
      <c r="B2452" s="66"/>
      <c r="C2452" s="66"/>
      <c r="D2452" s="66"/>
      <c r="E2452" s="66"/>
      <c r="F2452" s="66"/>
      <c r="G2452" s="66"/>
      <c r="H2452" s="66"/>
      <c r="I2452" s="66"/>
      <c r="J2452" s="66"/>
      <c r="K2452" s="66"/>
      <c r="L2452" s="66"/>
      <c r="M2452" s="66"/>
      <c r="N2452" s="66"/>
      <c r="O2452" s="66"/>
      <c r="P2452" s="66"/>
      <c r="Q2452" s="66"/>
      <c r="R2452" s="66"/>
      <c r="S2452" s="66"/>
      <c r="T2452" s="66"/>
      <c r="U2452" s="66"/>
      <c r="V2452" s="66"/>
      <c r="W2452" s="66"/>
      <c r="X2452" s="66"/>
      <c r="Y2452" s="66"/>
      <c r="Z2452" s="66"/>
    </row>
    <row r="2453">
      <c r="A2453" s="66"/>
      <c r="B2453" s="66"/>
      <c r="C2453" s="66"/>
      <c r="D2453" s="66"/>
      <c r="E2453" s="66"/>
      <c r="F2453" s="66"/>
      <c r="G2453" s="66"/>
      <c r="H2453" s="66"/>
      <c r="I2453" s="66"/>
      <c r="J2453" s="66"/>
      <c r="K2453" s="66"/>
      <c r="L2453" s="66"/>
      <c r="M2453" s="66"/>
      <c r="N2453" s="66"/>
      <c r="O2453" s="66"/>
      <c r="P2453" s="66"/>
      <c r="Q2453" s="66"/>
      <c r="R2453" s="66"/>
      <c r="S2453" s="66"/>
      <c r="T2453" s="66"/>
      <c r="U2453" s="66"/>
      <c r="V2453" s="66"/>
      <c r="W2453" s="66"/>
      <c r="X2453" s="66"/>
      <c r="Y2453" s="66"/>
      <c r="Z2453" s="66"/>
    </row>
    <row r="2454">
      <c r="A2454" s="66"/>
      <c r="B2454" s="66"/>
      <c r="C2454" s="66"/>
      <c r="D2454" s="66"/>
      <c r="E2454" s="66"/>
      <c r="F2454" s="66"/>
      <c r="G2454" s="66"/>
      <c r="H2454" s="66"/>
      <c r="I2454" s="66"/>
      <c r="J2454" s="66"/>
      <c r="K2454" s="66"/>
      <c r="L2454" s="66"/>
      <c r="M2454" s="66"/>
      <c r="N2454" s="66"/>
      <c r="O2454" s="66"/>
      <c r="P2454" s="66"/>
      <c r="Q2454" s="66"/>
      <c r="R2454" s="66"/>
      <c r="S2454" s="66"/>
      <c r="T2454" s="66"/>
      <c r="U2454" s="66"/>
      <c r="V2454" s="66"/>
      <c r="W2454" s="66"/>
      <c r="X2454" s="66"/>
      <c r="Y2454" s="66"/>
      <c r="Z2454" s="66"/>
    </row>
    <row r="2455">
      <c r="A2455" s="66"/>
      <c r="B2455" s="66"/>
      <c r="C2455" s="66"/>
      <c r="D2455" s="66"/>
      <c r="E2455" s="66"/>
      <c r="F2455" s="66"/>
      <c r="G2455" s="66"/>
      <c r="H2455" s="66"/>
      <c r="I2455" s="66"/>
      <c r="J2455" s="66"/>
      <c r="K2455" s="66"/>
      <c r="L2455" s="66"/>
      <c r="M2455" s="66"/>
      <c r="N2455" s="66"/>
      <c r="O2455" s="66"/>
      <c r="P2455" s="66"/>
      <c r="Q2455" s="66"/>
      <c r="R2455" s="66"/>
      <c r="S2455" s="66"/>
      <c r="T2455" s="66"/>
      <c r="U2455" s="66"/>
      <c r="V2455" s="66"/>
      <c r="W2455" s="66"/>
      <c r="X2455" s="66"/>
      <c r="Y2455" s="66"/>
      <c r="Z2455" s="66"/>
    </row>
    <row r="2456">
      <c r="A2456" s="66"/>
      <c r="B2456" s="66"/>
      <c r="C2456" s="66"/>
      <c r="D2456" s="66"/>
      <c r="E2456" s="66"/>
      <c r="F2456" s="66"/>
      <c r="G2456" s="66"/>
      <c r="H2456" s="66"/>
      <c r="I2456" s="66"/>
      <c r="J2456" s="66"/>
      <c r="K2456" s="66"/>
      <c r="L2456" s="66"/>
      <c r="M2456" s="66"/>
      <c r="N2456" s="66"/>
      <c r="O2456" s="66"/>
      <c r="P2456" s="66"/>
      <c r="Q2456" s="66"/>
      <c r="R2456" s="66"/>
      <c r="S2456" s="66"/>
      <c r="T2456" s="66"/>
      <c r="U2456" s="66"/>
      <c r="V2456" s="66"/>
      <c r="W2456" s="66"/>
      <c r="X2456" s="66"/>
      <c r="Y2456" s="66"/>
      <c r="Z2456" s="66"/>
    </row>
    <row r="2457">
      <c r="A2457" s="66"/>
      <c r="B2457" s="66"/>
      <c r="C2457" s="66"/>
      <c r="D2457" s="66"/>
      <c r="E2457" s="66"/>
      <c r="F2457" s="66"/>
      <c r="G2457" s="66"/>
      <c r="H2457" s="66"/>
      <c r="I2457" s="66"/>
      <c r="J2457" s="66"/>
      <c r="K2457" s="66"/>
      <c r="L2457" s="66"/>
      <c r="M2457" s="66"/>
      <c r="N2457" s="66"/>
      <c r="O2457" s="66"/>
      <c r="P2457" s="66"/>
      <c r="Q2457" s="66"/>
      <c r="R2457" s="66"/>
      <c r="S2457" s="66"/>
      <c r="T2457" s="66"/>
      <c r="U2457" s="66"/>
      <c r="V2457" s="66"/>
      <c r="W2457" s="66"/>
      <c r="X2457" s="66"/>
      <c r="Y2457" s="66"/>
      <c r="Z2457" s="66"/>
    </row>
    <row r="2458">
      <c r="A2458" s="66"/>
      <c r="B2458" s="66"/>
      <c r="C2458" s="66"/>
      <c r="D2458" s="66"/>
      <c r="E2458" s="66"/>
      <c r="F2458" s="66"/>
      <c r="G2458" s="66"/>
      <c r="H2458" s="66"/>
      <c r="I2458" s="66"/>
      <c r="J2458" s="66"/>
      <c r="K2458" s="66"/>
      <c r="L2458" s="66"/>
      <c r="M2458" s="66"/>
      <c r="N2458" s="66"/>
      <c r="O2458" s="66"/>
      <c r="P2458" s="66"/>
      <c r="Q2458" s="66"/>
      <c r="R2458" s="66"/>
      <c r="S2458" s="66"/>
      <c r="T2458" s="66"/>
      <c r="U2458" s="66"/>
      <c r="V2458" s="66"/>
      <c r="W2458" s="66"/>
      <c r="X2458" s="66"/>
      <c r="Y2458" s="66"/>
      <c r="Z2458" s="66"/>
    </row>
    <row r="2459">
      <c r="A2459" s="66"/>
      <c r="B2459" s="66"/>
      <c r="C2459" s="66"/>
      <c r="D2459" s="66"/>
      <c r="E2459" s="66"/>
      <c r="F2459" s="66"/>
      <c r="G2459" s="66"/>
      <c r="H2459" s="66"/>
      <c r="I2459" s="66"/>
      <c r="J2459" s="66"/>
      <c r="K2459" s="66"/>
      <c r="L2459" s="66"/>
      <c r="M2459" s="66"/>
      <c r="N2459" s="66"/>
      <c r="O2459" s="66"/>
      <c r="P2459" s="66"/>
      <c r="Q2459" s="66"/>
      <c r="R2459" s="66"/>
      <c r="S2459" s="66"/>
      <c r="T2459" s="66"/>
      <c r="U2459" s="66"/>
      <c r="V2459" s="66"/>
      <c r="W2459" s="66"/>
      <c r="X2459" s="66"/>
      <c r="Y2459" s="66"/>
      <c r="Z2459" s="66"/>
    </row>
    <row r="2460">
      <c r="A2460" s="66"/>
      <c r="B2460" s="66"/>
      <c r="C2460" s="66"/>
      <c r="D2460" s="66"/>
      <c r="E2460" s="66"/>
      <c r="F2460" s="66"/>
      <c r="G2460" s="66"/>
      <c r="H2460" s="66"/>
      <c r="I2460" s="66"/>
      <c r="J2460" s="66"/>
      <c r="K2460" s="66"/>
      <c r="L2460" s="66"/>
      <c r="M2460" s="66"/>
      <c r="N2460" s="66"/>
      <c r="O2460" s="66"/>
      <c r="P2460" s="66"/>
      <c r="Q2460" s="66"/>
      <c r="R2460" s="66"/>
      <c r="S2460" s="66"/>
      <c r="T2460" s="66"/>
      <c r="U2460" s="66"/>
      <c r="V2460" s="66"/>
      <c r="W2460" s="66"/>
      <c r="X2460" s="66"/>
      <c r="Y2460" s="66"/>
      <c r="Z2460" s="66"/>
    </row>
    <row r="2461">
      <c r="A2461" s="66"/>
      <c r="B2461" s="66"/>
      <c r="C2461" s="66"/>
      <c r="D2461" s="66"/>
      <c r="E2461" s="66"/>
      <c r="F2461" s="66"/>
      <c r="G2461" s="66"/>
      <c r="H2461" s="66"/>
      <c r="I2461" s="66"/>
      <c r="J2461" s="66"/>
      <c r="K2461" s="66"/>
      <c r="L2461" s="66"/>
      <c r="M2461" s="66"/>
      <c r="N2461" s="66"/>
      <c r="O2461" s="66"/>
      <c r="P2461" s="66"/>
      <c r="Q2461" s="66"/>
      <c r="R2461" s="66"/>
      <c r="S2461" s="66"/>
      <c r="T2461" s="66"/>
      <c r="U2461" s="66"/>
      <c r="V2461" s="66"/>
      <c r="W2461" s="66"/>
      <c r="X2461" s="66"/>
      <c r="Y2461" s="66"/>
      <c r="Z2461" s="66"/>
    </row>
    <row r="2462">
      <c r="A2462" s="66"/>
      <c r="B2462" s="66"/>
      <c r="C2462" s="66"/>
      <c r="D2462" s="66"/>
      <c r="E2462" s="66"/>
      <c r="F2462" s="66"/>
      <c r="G2462" s="66"/>
      <c r="H2462" s="66"/>
      <c r="I2462" s="66"/>
      <c r="J2462" s="66"/>
      <c r="K2462" s="66"/>
      <c r="L2462" s="66"/>
      <c r="M2462" s="66"/>
      <c r="N2462" s="66"/>
      <c r="O2462" s="66"/>
      <c r="P2462" s="66"/>
      <c r="Q2462" s="66"/>
      <c r="R2462" s="66"/>
      <c r="S2462" s="66"/>
      <c r="T2462" s="66"/>
      <c r="U2462" s="66"/>
      <c r="V2462" s="66"/>
      <c r="W2462" s="66"/>
      <c r="X2462" s="66"/>
      <c r="Y2462" s="66"/>
      <c r="Z2462" s="66"/>
    </row>
    <row r="2463">
      <c r="A2463" s="66"/>
      <c r="B2463" s="66"/>
      <c r="C2463" s="66"/>
      <c r="D2463" s="66"/>
      <c r="E2463" s="66"/>
      <c r="F2463" s="66"/>
      <c r="G2463" s="66"/>
      <c r="H2463" s="66"/>
      <c r="I2463" s="66"/>
      <c r="J2463" s="66"/>
      <c r="K2463" s="66"/>
      <c r="L2463" s="66"/>
      <c r="M2463" s="66"/>
      <c r="N2463" s="66"/>
      <c r="O2463" s="66"/>
      <c r="P2463" s="66"/>
      <c r="Q2463" s="66"/>
      <c r="R2463" s="66"/>
      <c r="S2463" s="66"/>
      <c r="T2463" s="66"/>
      <c r="U2463" s="66"/>
      <c r="V2463" s="66"/>
      <c r="W2463" s="66"/>
      <c r="X2463" s="66"/>
      <c r="Y2463" s="66"/>
      <c r="Z2463" s="66"/>
    </row>
    <row r="2464">
      <c r="A2464" s="66"/>
      <c r="B2464" s="66"/>
      <c r="C2464" s="66"/>
      <c r="D2464" s="66"/>
      <c r="E2464" s="66"/>
      <c r="F2464" s="66"/>
      <c r="G2464" s="66"/>
      <c r="H2464" s="66"/>
      <c r="I2464" s="66"/>
      <c r="J2464" s="66"/>
      <c r="K2464" s="66"/>
      <c r="L2464" s="66"/>
      <c r="M2464" s="66"/>
      <c r="N2464" s="66"/>
      <c r="O2464" s="66"/>
      <c r="P2464" s="66"/>
      <c r="Q2464" s="66"/>
      <c r="R2464" s="66"/>
      <c r="S2464" s="66"/>
      <c r="T2464" s="66"/>
      <c r="U2464" s="66"/>
      <c r="V2464" s="66"/>
      <c r="W2464" s="66"/>
      <c r="X2464" s="66"/>
      <c r="Y2464" s="66"/>
      <c r="Z2464" s="66"/>
    </row>
    <row r="2465">
      <c r="A2465" s="66"/>
      <c r="B2465" s="66"/>
      <c r="C2465" s="66"/>
      <c r="D2465" s="66"/>
      <c r="E2465" s="66"/>
      <c r="F2465" s="66"/>
      <c r="G2465" s="66"/>
      <c r="H2465" s="66"/>
      <c r="I2465" s="66"/>
      <c r="J2465" s="66"/>
      <c r="K2465" s="66"/>
      <c r="L2465" s="66"/>
      <c r="M2465" s="66"/>
      <c r="N2465" s="66"/>
      <c r="O2465" s="66"/>
      <c r="P2465" s="66"/>
      <c r="Q2465" s="66"/>
      <c r="R2465" s="66"/>
      <c r="S2465" s="66"/>
      <c r="T2465" s="66"/>
      <c r="U2465" s="66"/>
      <c r="V2465" s="66"/>
      <c r="W2465" s="66"/>
      <c r="X2465" s="66"/>
      <c r="Y2465" s="66"/>
      <c r="Z2465" s="66"/>
    </row>
    <row r="2466">
      <c r="A2466" s="66"/>
      <c r="B2466" s="66"/>
      <c r="C2466" s="66"/>
      <c r="D2466" s="66"/>
      <c r="E2466" s="66"/>
      <c r="F2466" s="66"/>
      <c r="G2466" s="66"/>
      <c r="H2466" s="66"/>
      <c r="I2466" s="66"/>
      <c r="J2466" s="66"/>
      <c r="K2466" s="66"/>
      <c r="L2466" s="66"/>
      <c r="M2466" s="66"/>
      <c r="N2466" s="66"/>
      <c r="O2466" s="66"/>
      <c r="P2466" s="66"/>
      <c r="Q2466" s="66"/>
      <c r="R2466" s="66"/>
      <c r="S2466" s="66"/>
      <c r="T2466" s="66"/>
      <c r="U2466" s="66"/>
      <c r="V2466" s="66"/>
      <c r="W2466" s="66"/>
      <c r="X2466" s="66"/>
      <c r="Y2466" s="66"/>
      <c r="Z2466" s="66"/>
    </row>
    <row r="2467">
      <c r="A2467" s="66"/>
      <c r="B2467" s="66"/>
      <c r="C2467" s="66"/>
      <c r="D2467" s="66"/>
      <c r="E2467" s="66"/>
      <c r="F2467" s="66"/>
      <c r="G2467" s="66"/>
      <c r="H2467" s="66"/>
      <c r="I2467" s="66"/>
      <c r="J2467" s="66"/>
      <c r="K2467" s="66"/>
      <c r="L2467" s="66"/>
      <c r="M2467" s="66"/>
      <c r="N2467" s="66"/>
      <c r="O2467" s="66"/>
      <c r="P2467" s="66"/>
      <c r="Q2467" s="66"/>
      <c r="R2467" s="66"/>
      <c r="S2467" s="66"/>
      <c r="T2467" s="66"/>
      <c r="U2467" s="66"/>
      <c r="V2467" s="66"/>
      <c r="W2467" s="66"/>
      <c r="X2467" s="66"/>
      <c r="Y2467" s="66"/>
      <c r="Z2467" s="66"/>
    </row>
    <row r="2468">
      <c r="A2468" s="66"/>
      <c r="B2468" s="66"/>
      <c r="C2468" s="66"/>
      <c r="D2468" s="66"/>
      <c r="E2468" s="66"/>
      <c r="F2468" s="66"/>
      <c r="G2468" s="66"/>
      <c r="H2468" s="66"/>
      <c r="I2468" s="66"/>
      <c r="J2468" s="66"/>
      <c r="K2468" s="66"/>
      <c r="L2468" s="66"/>
      <c r="M2468" s="66"/>
      <c r="N2468" s="66"/>
      <c r="O2468" s="66"/>
      <c r="P2468" s="66"/>
      <c r="Q2468" s="66"/>
      <c r="R2468" s="66"/>
      <c r="S2468" s="66"/>
      <c r="T2468" s="66"/>
      <c r="U2468" s="66"/>
      <c r="V2468" s="66"/>
      <c r="W2468" s="66"/>
      <c r="X2468" s="66"/>
      <c r="Y2468" s="66"/>
      <c r="Z2468" s="66"/>
    </row>
    <row r="2469">
      <c r="A2469" s="66"/>
      <c r="B2469" s="66"/>
      <c r="C2469" s="66"/>
      <c r="D2469" s="66"/>
      <c r="E2469" s="66"/>
      <c r="F2469" s="66"/>
      <c r="G2469" s="66"/>
      <c r="H2469" s="66"/>
      <c r="I2469" s="66"/>
      <c r="J2469" s="66"/>
      <c r="K2469" s="66"/>
      <c r="L2469" s="66"/>
      <c r="M2469" s="66"/>
      <c r="N2469" s="66"/>
      <c r="O2469" s="66"/>
      <c r="P2469" s="66"/>
      <c r="Q2469" s="66"/>
      <c r="R2469" s="66"/>
      <c r="S2469" s="66"/>
      <c r="T2469" s="66"/>
      <c r="U2469" s="66"/>
      <c r="V2469" s="66"/>
      <c r="W2469" s="66"/>
      <c r="X2469" s="66"/>
      <c r="Y2469" s="66"/>
      <c r="Z2469" s="66"/>
    </row>
    <row r="2470">
      <c r="A2470" s="66"/>
      <c r="B2470" s="66"/>
      <c r="C2470" s="66"/>
      <c r="D2470" s="66"/>
      <c r="E2470" s="66"/>
      <c r="F2470" s="66"/>
      <c r="G2470" s="66"/>
      <c r="H2470" s="66"/>
      <c r="I2470" s="66"/>
      <c r="J2470" s="66"/>
      <c r="K2470" s="66"/>
      <c r="L2470" s="66"/>
      <c r="M2470" s="66"/>
      <c r="N2470" s="66"/>
      <c r="O2470" s="66"/>
      <c r="P2470" s="66"/>
      <c r="Q2470" s="66"/>
      <c r="R2470" s="66"/>
      <c r="S2470" s="66"/>
      <c r="T2470" s="66"/>
      <c r="U2470" s="66"/>
      <c r="V2470" s="66"/>
      <c r="W2470" s="66"/>
      <c r="X2470" s="66"/>
      <c r="Y2470" s="66"/>
      <c r="Z2470" s="66"/>
    </row>
    <row r="2471">
      <c r="A2471" s="66"/>
      <c r="B2471" s="66"/>
      <c r="C2471" s="66"/>
      <c r="D2471" s="66"/>
      <c r="E2471" s="66"/>
      <c r="F2471" s="66"/>
      <c r="G2471" s="66"/>
      <c r="H2471" s="66"/>
      <c r="I2471" s="66"/>
      <c r="J2471" s="66"/>
      <c r="K2471" s="66"/>
      <c r="L2471" s="66"/>
      <c r="M2471" s="66"/>
      <c r="N2471" s="66"/>
      <c r="O2471" s="66"/>
      <c r="P2471" s="66"/>
      <c r="Q2471" s="66"/>
      <c r="R2471" s="66"/>
      <c r="S2471" s="66"/>
      <c r="T2471" s="66"/>
      <c r="U2471" s="66"/>
      <c r="V2471" s="66"/>
      <c r="W2471" s="66"/>
      <c r="X2471" s="66"/>
      <c r="Y2471" s="66"/>
      <c r="Z2471" s="66"/>
    </row>
    <row r="2472">
      <c r="A2472" s="66"/>
      <c r="B2472" s="66"/>
      <c r="C2472" s="66"/>
      <c r="D2472" s="66"/>
      <c r="E2472" s="66"/>
      <c r="F2472" s="66"/>
      <c r="G2472" s="66"/>
      <c r="H2472" s="66"/>
      <c r="I2472" s="66"/>
      <c r="J2472" s="66"/>
      <c r="K2472" s="66"/>
      <c r="L2472" s="66"/>
      <c r="M2472" s="66"/>
      <c r="N2472" s="66"/>
      <c r="O2472" s="66"/>
      <c r="P2472" s="66"/>
      <c r="Q2472" s="66"/>
      <c r="R2472" s="66"/>
      <c r="S2472" s="66"/>
      <c r="T2472" s="66"/>
      <c r="U2472" s="66"/>
      <c r="V2472" s="66"/>
      <c r="W2472" s="66"/>
      <c r="X2472" s="66"/>
      <c r="Y2472" s="66"/>
      <c r="Z2472" s="66"/>
    </row>
    <row r="2473">
      <c r="A2473" s="66"/>
      <c r="B2473" s="66"/>
      <c r="C2473" s="66"/>
      <c r="D2473" s="66"/>
      <c r="E2473" s="66"/>
      <c r="F2473" s="66"/>
      <c r="G2473" s="66"/>
      <c r="H2473" s="66"/>
      <c r="I2473" s="66"/>
      <c r="J2473" s="66"/>
      <c r="K2473" s="66"/>
      <c r="L2473" s="66"/>
      <c r="M2473" s="66"/>
      <c r="N2473" s="66"/>
      <c r="O2473" s="66"/>
      <c r="P2473" s="66"/>
      <c r="Q2473" s="66"/>
      <c r="R2473" s="66"/>
      <c r="S2473" s="66"/>
      <c r="T2473" s="66"/>
      <c r="U2473" s="66"/>
      <c r="V2473" s="66"/>
      <c r="W2473" s="66"/>
      <c r="X2473" s="66"/>
      <c r="Y2473" s="66"/>
      <c r="Z2473" s="66"/>
    </row>
    <row r="2474">
      <c r="A2474" s="66"/>
      <c r="B2474" s="66"/>
      <c r="C2474" s="66"/>
      <c r="D2474" s="66"/>
      <c r="E2474" s="66"/>
      <c r="F2474" s="66"/>
      <c r="G2474" s="66"/>
      <c r="H2474" s="66"/>
      <c r="I2474" s="66"/>
      <c r="J2474" s="66"/>
      <c r="K2474" s="66"/>
      <c r="L2474" s="66"/>
      <c r="M2474" s="66"/>
      <c r="N2474" s="66"/>
      <c r="O2474" s="66"/>
      <c r="P2474" s="66"/>
      <c r="Q2474" s="66"/>
      <c r="R2474" s="66"/>
      <c r="S2474" s="66"/>
      <c r="T2474" s="66"/>
      <c r="U2474" s="66"/>
      <c r="V2474" s="66"/>
      <c r="W2474" s="66"/>
      <c r="X2474" s="66"/>
      <c r="Y2474" s="66"/>
      <c r="Z2474" s="66"/>
    </row>
    <row r="2475">
      <c r="A2475" s="66"/>
      <c r="B2475" s="66"/>
      <c r="C2475" s="66"/>
      <c r="D2475" s="66"/>
      <c r="E2475" s="66"/>
      <c r="F2475" s="66"/>
      <c r="G2475" s="66"/>
      <c r="H2475" s="66"/>
      <c r="I2475" s="66"/>
      <c r="J2475" s="66"/>
      <c r="K2475" s="66"/>
      <c r="L2475" s="66"/>
      <c r="M2475" s="66"/>
      <c r="N2475" s="66"/>
      <c r="O2475" s="66"/>
      <c r="P2475" s="66"/>
      <c r="Q2475" s="66"/>
      <c r="R2475" s="66"/>
      <c r="S2475" s="66"/>
      <c r="T2475" s="66"/>
      <c r="U2475" s="66"/>
      <c r="V2475" s="66"/>
      <c r="W2475" s="66"/>
      <c r="X2475" s="66"/>
      <c r="Y2475" s="66"/>
      <c r="Z2475" s="66"/>
    </row>
    <row r="2476">
      <c r="A2476" s="66"/>
      <c r="B2476" s="66"/>
      <c r="C2476" s="66"/>
      <c r="D2476" s="66"/>
      <c r="E2476" s="66"/>
      <c r="F2476" s="66"/>
      <c r="G2476" s="66"/>
      <c r="H2476" s="66"/>
      <c r="I2476" s="66"/>
      <c r="J2476" s="66"/>
      <c r="K2476" s="66"/>
      <c r="L2476" s="66"/>
      <c r="M2476" s="66"/>
      <c r="N2476" s="66"/>
      <c r="O2476" s="66"/>
      <c r="P2476" s="66"/>
      <c r="Q2476" s="66"/>
      <c r="R2476" s="66"/>
      <c r="S2476" s="66"/>
      <c r="T2476" s="66"/>
      <c r="U2476" s="66"/>
      <c r="V2476" s="66"/>
      <c r="W2476" s="66"/>
      <c r="X2476" s="66"/>
      <c r="Y2476" s="66"/>
      <c r="Z2476" s="66"/>
    </row>
    <row r="2477">
      <c r="A2477" s="66"/>
      <c r="B2477" s="66"/>
      <c r="C2477" s="66"/>
      <c r="D2477" s="66"/>
      <c r="E2477" s="66"/>
      <c r="F2477" s="66"/>
      <c r="G2477" s="66"/>
      <c r="H2477" s="66"/>
      <c r="I2477" s="66"/>
      <c r="J2477" s="66"/>
      <c r="K2477" s="66"/>
      <c r="L2477" s="66"/>
      <c r="M2477" s="66"/>
      <c r="N2477" s="66"/>
      <c r="O2477" s="66"/>
      <c r="P2477" s="66"/>
      <c r="Q2477" s="66"/>
      <c r="R2477" s="66"/>
      <c r="S2477" s="66"/>
      <c r="T2477" s="66"/>
      <c r="U2477" s="66"/>
      <c r="V2477" s="66"/>
      <c r="W2477" s="66"/>
      <c r="X2477" s="66"/>
      <c r="Y2477" s="66"/>
      <c r="Z2477" s="66"/>
    </row>
    <row r="2478">
      <c r="A2478" s="66"/>
      <c r="B2478" s="66"/>
      <c r="C2478" s="66"/>
      <c r="D2478" s="66"/>
      <c r="E2478" s="66"/>
      <c r="F2478" s="66"/>
      <c r="G2478" s="66"/>
      <c r="H2478" s="66"/>
      <c r="I2478" s="66"/>
      <c r="J2478" s="66"/>
      <c r="K2478" s="66"/>
      <c r="L2478" s="66"/>
      <c r="M2478" s="66"/>
      <c r="N2478" s="66"/>
      <c r="O2478" s="66"/>
      <c r="P2478" s="66"/>
      <c r="Q2478" s="66"/>
      <c r="R2478" s="66"/>
      <c r="S2478" s="66"/>
      <c r="T2478" s="66"/>
      <c r="U2478" s="66"/>
      <c r="V2478" s="66"/>
      <c r="W2478" s="66"/>
      <c r="X2478" s="66"/>
      <c r="Y2478" s="66"/>
      <c r="Z2478" s="66"/>
    </row>
    <row r="2479">
      <c r="A2479" s="66"/>
      <c r="B2479" s="66"/>
      <c r="C2479" s="66"/>
      <c r="D2479" s="66"/>
      <c r="E2479" s="66"/>
      <c r="F2479" s="66"/>
      <c r="G2479" s="66"/>
      <c r="H2479" s="66"/>
      <c r="I2479" s="66"/>
      <c r="J2479" s="66"/>
      <c r="K2479" s="66"/>
      <c r="L2479" s="66"/>
      <c r="M2479" s="66"/>
      <c r="N2479" s="66"/>
      <c r="O2479" s="66"/>
      <c r="P2479" s="66"/>
      <c r="Q2479" s="66"/>
      <c r="R2479" s="66"/>
      <c r="S2479" s="66"/>
      <c r="T2479" s="66"/>
      <c r="U2479" s="66"/>
      <c r="V2479" s="66"/>
      <c r="W2479" s="66"/>
      <c r="X2479" s="66"/>
      <c r="Y2479" s="66"/>
      <c r="Z2479" s="66"/>
    </row>
    <row r="2480">
      <c r="A2480" s="66"/>
      <c r="B2480" s="66"/>
      <c r="C2480" s="66"/>
      <c r="D2480" s="66"/>
      <c r="E2480" s="66"/>
      <c r="F2480" s="66"/>
      <c r="G2480" s="66"/>
      <c r="H2480" s="66"/>
      <c r="I2480" s="66"/>
      <c r="J2480" s="66"/>
      <c r="K2480" s="66"/>
      <c r="L2480" s="66"/>
      <c r="M2480" s="66"/>
      <c r="N2480" s="66"/>
      <c r="O2480" s="66"/>
      <c r="P2480" s="66"/>
      <c r="Q2480" s="66"/>
      <c r="R2480" s="66"/>
      <c r="S2480" s="66"/>
      <c r="T2480" s="66"/>
      <c r="U2480" s="66"/>
      <c r="V2480" s="66"/>
      <c r="W2480" s="66"/>
      <c r="X2480" s="66"/>
      <c r="Y2480" s="66"/>
      <c r="Z2480" s="66"/>
    </row>
    <row r="2481">
      <c r="A2481" s="66"/>
      <c r="B2481" s="66"/>
      <c r="C2481" s="66"/>
      <c r="D2481" s="66"/>
      <c r="E2481" s="66"/>
      <c r="F2481" s="66"/>
      <c r="G2481" s="66"/>
      <c r="H2481" s="66"/>
      <c r="I2481" s="66"/>
      <c r="J2481" s="66"/>
      <c r="K2481" s="66"/>
      <c r="L2481" s="66"/>
      <c r="M2481" s="66"/>
      <c r="N2481" s="66"/>
      <c r="O2481" s="66"/>
      <c r="P2481" s="66"/>
      <c r="Q2481" s="66"/>
      <c r="R2481" s="66"/>
      <c r="S2481" s="66"/>
      <c r="T2481" s="66"/>
      <c r="U2481" s="66"/>
      <c r="V2481" s="66"/>
      <c r="W2481" s="66"/>
      <c r="X2481" s="66"/>
      <c r="Y2481" s="66"/>
      <c r="Z2481" s="66"/>
    </row>
    <row r="2482">
      <c r="A2482" s="66"/>
      <c r="B2482" s="66"/>
      <c r="C2482" s="66"/>
      <c r="D2482" s="66"/>
      <c r="E2482" s="66"/>
      <c r="F2482" s="66"/>
      <c r="G2482" s="66"/>
      <c r="H2482" s="66"/>
      <c r="I2482" s="66"/>
      <c r="J2482" s="66"/>
      <c r="K2482" s="66"/>
      <c r="L2482" s="66"/>
      <c r="M2482" s="66"/>
      <c r="N2482" s="66"/>
      <c r="O2482" s="66"/>
      <c r="P2482" s="66"/>
      <c r="Q2482" s="66"/>
      <c r="R2482" s="66"/>
      <c r="S2482" s="66"/>
      <c r="T2482" s="66"/>
      <c r="U2482" s="66"/>
      <c r="V2482" s="66"/>
      <c r="W2482" s="66"/>
      <c r="X2482" s="66"/>
      <c r="Y2482" s="66"/>
      <c r="Z2482" s="66"/>
    </row>
    <row r="2483">
      <c r="A2483" s="66"/>
      <c r="B2483" s="66"/>
      <c r="C2483" s="66"/>
      <c r="D2483" s="66"/>
      <c r="E2483" s="66"/>
      <c r="F2483" s="66"/>
      <c r="G2483" s="66"/>
      <c r="H2483" s="66"/>
      <c r="I2483" s="66"/>
      <c r="J2483" s="66"/>
      <c r="K2483" s="66"/>
      <c r="L2483" s="66"/>
      <c r="M2483" s="66"/>
      <c r="N2483" s="66"/>
      <c r="O2483" s="66"/>
      <c r="P2483" s="66"/>
      <c r="Q2483" s="66"/>
      <c r="R2483" s="66"/>
      <c r="S2483" s="66"/>
      <c r="T2483" s="66"/>
      <c r="U2483" s="66"/>
      <c r="V2483" s="66"/>
      <c r="W2483" s="66"/>
      <c r="X2483" s="66"/>
      <c r="Y2483" s="66"/>
      <c r="Z2483" s="66"/>
    </row>
    <row r="2484">
      <c r="A2484" s="66"/>
      <c r="B2484" s="66"/>
      <c r="C2484" s="66"/>
      <c r="D2484" s="66"/>
      <c r="E2484" s="66"/>
      <c r="F2484" s="66"/>
      <c r="G2484" s="66"/>
      <c r="H2484" s="66"/>
      <c r="I2484" s="66"/>
      <c r="J2484" s="66"/>
      <c r="K2484" s="66"/>
      <c r="L2484" s="66"/>
      <c r="M2484" s="66"/>
      <c r="N2484" s="66"/>
      <c r="O2484" s="66"/>
      <c r="P2484" s="66"/>
      <c r="Q2484" s="66"/>
      <c r="R2484" s="66"/>
      <c r="S2484" s="66"/>
      <c r="T2484" s="66"/>
      <c r="U2484" s="66"/>
      <c r="V2484" s="66"/>
      <c r="W2484" s="66"/>
      <c r="X2484" s="66"/>
      <c r="Y2484" s="66"/>
      <c r="Z2484" s="66"/>
    </row>
    <row r="2485">
      <c r="A2485" s="66"/>
      <c r="B2485" s="66"/>
      <c r="C2485" s="66"/>
      <c r="D2485" s="66"/>
      <c r="E2485" s="66"/>
      <c r="F2485" s="66"/>
      <c r="G2485" s="66"/>
      <c r="H2485" s="66"/>
      <c r="I2485" s="66"/>
      <c r="J2485" s="66"/>
      <c r="K2485" s="66"/>
      <c r="L2485" s="66"/>
      <c r="M2485" s="66"/>
      <c r="N2485" s="66"/>
      <c r="O2485" s="66"/>
      <c r="P2485" s="66"/>
      <c r="Q2485" s="66"/>
      <c r="R2485" s="66"/>
      <c r="S2485" s="66"/>
      <c r="T2485" s="66"/>
      <c r="U2485" s="66"/>
      <c r="V2485" s="66"/>
      <c r="W2485" s="66"/>
      <c r="X2485" s="66"/>
      <c r="Y2485" s="66"/>
      <c r="Z2485" s="66"/>
    </row>
    <row r="2486">
      <c r="A2486" s="66"/>
      <c r="B2486" s="66"/>
      <c r="C2486" s="66"/>
      <c r="D2486" s="66"/>
      <c r="E2486" s="66"/>
      <c r="F2486" s="66"/>
      <c r="G2486" s="66"/>
      <c r="H2486" s="66"/>
      <c r="I2486" s="66"/>
      <c r="J2486" s="66"/>
      <c r="K2486" s="66"/>
      <c r="L2486" s="66"/>
      <c r="M2486" s="66"/>
      <c r="N2486" s="66"/>
      <c r="O2486" s="66"/>
      <c r="P2486" s="66"/>
      <c r="Q2486" s="66"/>
      <c r="R2486" s="66"/>
      <c r="S2486" s="66"/>
      <c r="T2486" s="66"/>
      <c r="U2486" s="66"/>
      <c r="V2486" s="66"/>
      <c r="W2486" s="66"/>
      <c r="X2486" s="66"/>
      <c r="Y2486" s="66"/>
      <c r="Z2486" s="66"/>
    </row>
    <row r="2487">
      <c r="A2487" s="66"/>
      <c r="B2487" s="66"/>
      <c r="C2487" s="66"/>
      <c r="D2487" s="66"/>
      <c r="E2487" s="66"/>
      <c r="F2487" s="66"/>
      <c r="G2487" s="66"/>
      <c r="H2487" s="66"/>
      <c r="I2487" s="66"/>
      <c r="J2487" s="66"/>
      <c r="K2487" s="66"/>
      <c r="L2487" s="66"/>
      <c r="M2487" s="66"/>
      <c r="N2487" s="66"/>
      <c r="O2487" s="66"/>
      <c r="P2487" s="66"/>
      <c r="Q2487" s="66"/>
      <c r="R2487" s="66"/>
      <c r="S2487" s="66"/>
      <c r="T2487" s="66"/>
      <c r="U2487" s="66"/>
      <c r="V2487" s="66"/>
      <c r="W2487" s="66"/>
      <c r="X2487" s="66"/>
      <c r="Y2487" s="66"/>
      <c r="Z2487" s="66"/>
    </row>
    <row r="2488">
      <c r="A2488" s="66"/>
      <c r="B2488" s="66"/>
      <c r="C2488" s="66"/>
      <c r="D2488" s="66"/>
      <c r="E2488" s="66"/>
      <c r="F2488" s="66"/>
      <c r="G2488" s="66"/>
      <c r="H2488" s="66"/>
      <c r="I2488" s="66"/>
      <c r="J2488" s="66"/>
      <c r="K2488" s="66"/>
      <c r="L2488" s="66"/>
      <c r="M2488" s="66"/>
      <c r="N2488" s="66"/>
      <c r="O2488" s="66"/>
      <c r="P2488" s="66"/>
      <c r="Q2488" s="66"/>
      <c r="R2488" s="66"/>
      <c r="S2488" s="66"/>
      <c r="T2488" s="66"/>
      <c r="U2488" s="66"/>
      <c r="V2488" s="66"/>
      <c r="W2488" s="66"/>
      <c r="X2488" s="66"/>
      <c r="Y2488" s="66"/>
      <c r="Z2488" s="66"/>
    </row>
    <row r="2489">
      <c r="A2489" s="66"/>
      <c r="B2489" s="66"/>
      <c r="C2489" s="66"/>
      <c r="D2489" s="66"/>
      <c r="E2489" s="66"/>
      <c r="F2489" s="66"/>
      <c r="G2489" s="66"/>
      <c r="H2489" s="66"/>
      <c r="I2489" s="66"/>
      <c r="J2489" s="66"/>
      <c r="K2489" s="66"/>
      <c r="L2489" s="66"/>
      <c r="M2489" s="66"/>
      <c r="N2489" s="66"/>
      <c r="O2489" s="66"/>
      <c r="P2489" s="66"/>
      <c r="Q2489" s="66"/>
      <c r="R2489" s="66"/>
      <c r="S2489" s="66"/>
      <c r="T2489" s="66"/>
      <c r="U2489" s="66"/>
      <c r="V2489" s="66"/>
      <c r="W2489" s="66"/>
      <c r="X2489" s="66"/>
      <c r="Y2489" s="66"/>
      <c r="Z2489" s="66"/>
    </row>
    <row r="2490">
      <c r="A2490" s="66"/>
      <c r="B2490" s="66"/>
      <c r="C2490" s="66"/>
      <c r="D2490" s="66"/>
      <c r="E2490" s="66"/>
      <c r="F2490" s="66"/>
      <c r="G2490" s="66"/>
      <c r="H2490" s="66"/>
      <c r="I2490" s="66"/>
      <c r="J2490" s="66"/>
      <c r="K2490" s="66"/>
      <c r="L2490" s="66"/>
      <c r="M2490" s="66"/>
      <c r="N2490" s="66"/>
      <c r="O2490" s="66"/>
      <c r="P2490" s="66"/>
      <c r="Q2490" s="66"/>
      <c r="R2490" s="66"/>
      <c r="S2490" s="66"/>
      <c r="T2490" s="66"/>
      <c r="U2490" s="66"/>
      <c r="V2490" s="66"/>
      <c r="W2490" s="66"/>
      <c r="X2490" s="66"/>
      <c r="Y2490" s="66"/>
      <c r="Z2490" s="66"/>
    </row>
    <row r="2491">
      <c r="A2491" s="66"/>
      <c r="B2491" s="66"/>
      <c r="C2491" s="66"/>
      <c r="D2491" s="66"/>
      <c r="E2491" s="66"/>
      <c r="F2491" s="66"/>
      <c r="G2491" s="66"/>
      <c r="H2491" s="66"/>
      <c r="I2491" s="66"/>
      <c r="J2491" s="66"/>
      <c r="K2491" s="66"/>
      <c r="L2491" s="66"/>
      <c r="M2491" s="66"/>
      <c r="N2491" s="66"/>
      <c r="O2491" s="66"/>
      <c r="P2491" s="66"/>
      <c r="Q2491" s="66"/>
      <c r="R2491" s="66"/>
      <c r="S2491" s="66"/>
      <c r="T2491" s="66"/>
      <c r="U2491" s="66"/>
      <c r="V2491" s="66"/>
      <c r="W2491" s="66"/>
      <c r="X2491" s="66"/>
      <c r="Y2491" s="66"/>
      <c r="Z2491" s="66"/>
    </row>
    <row r="2492">
      <c r="A2492" s="66"/>
      <c r="B2492" s="66"/>
      <c r="C2492" s="66"/>
      <c r="D2492" s="66"/>
      <c r="E2492" s="66"/>
      <c r="F2492" s="66"/>
      <c r="G2492" s="66"/>
      <c r="H2492" s="66"/>
      <c r="I2492" s="66"/>
      <c r="J2492" s="66"/>
      <c r="K2492" s="66"/>
      <c r="L2492" s="66"/>
      <c r="M2492" s="66"/>
      <c r="N2492" s="66"/>
      <c r="O2492" s="66"/>
      <c r="P2492" s="66"/>
      <c r="Q2492" s="66"/>
      <c r="R2492" s="66"/>
      <c r="S2492" s="66"/>
      <c r="T2492" s="66"/>
      <c r="U2492" s="66"/>
      <c r="V2492" s="66"/>
      <c r="W2492" s="66"/>
      <c r="X2492" s="66"/>
      <c r="Y2492" s="66"/>
      <c r="Z2492" s="66"/>
    </row>
    <row r="2493">
      <c r="A2493" s="66"/>
      <c r="B2493" s="66"/>
      <c r="C2493" s="66"/>
      <c r="D2493" s="66"/>
      <c r="E2493" s="66"/>
      <c r="F2493" s="66"/>
      <c r="G2493" s="66"/>
      <c r="H2493" s="66"/>
      <c r="I2493" s="66"/>
      <c r="J2493" s="66"/>
      <c r="K2493" s="66"/>
      <c r="L2493" s="66"/>
      <c r="M2493" s="66"/>
      <c r="N2493" s="66"/>
      <c r="O2493" s="66"/>
      <c r="P2493" s="66"/>
      <c r="Q2493" s="66"/>
      <c r="R2493" s="66"/>
      <c r="S2493" s="66"/>
      <c r="T2493" s="66"/>
      <c r="U2493" s="66"/>
      <c r="V2493" s="66"/>
      <c r="W2493" s="66"/>
      <c r="X2493" s="66"/>
      <c r="Y2493" s="66"/>
      <c r="Z2493" s="66"/>
    </row>
    <row r="2494">
      <c r="A2494" s="66"/>
      <c r="B2494" s="66"/>
      <c r="C2494" s="66"/>
      <c r="D2494" s="66"/>
      <c r="E2494" s="66"/>
      <c r="F2494" s="66"/>
      <c r="G2494" s="66"/>
      <c r="H2494" s="66"/>
      <c r="I2494" s="66"/>
      <c r="J2494" s="66"/>
      <c r="K2494" s="66"/>
      <c r="L2494" s="66"/>
      <c r="M2494" s="66"/>
      <c r="N2494" s="66"/>
      <c r="O2494" s="66"/>
      <c r="P2494" s="66"/>
      <c r="Q2494" s="66"/>
      <c r="R2494" s="66"/>
      <c r="S2494" s="66"/>
      <c r="T2494" s="66"/>
      <c r="U2494" s="66"/>
      <c r="V2494" s="66"/>
      <c r="W2494" s="66"/>
      <c r="X2494" s="66"/>
      <c r="Y2494" s="66"/>
      <c r="Z2494" s="66"/>
    </row>
    <row r="2495">
      <c r="A2495" s="66"/>
      <c r="B2495" s="66"/>
      <c r="C2495" s="66"/>
      <c r="D2495" s="66"/>
      <c r="E2495" s="66"/>
      <c r="F2495" s="66"/>
      <c r="G2495" s="66"/>
      <c r="H2495" s="66"/>
      <c r="I2495" s="66"/>
      <c r="J2495" s="66"/>
      <c r="K2495" s="66"/>
      <c r="L2495" s="66"/>
      <c r="M2495" s="66"/>
      <c r="N2495" s="66"/>
      <c r="O2495" s="66"/>
      <c r="P2495" s="66"/>
      <c r="Q2495" s="66"/>
      <c r="R2495" s="66"/>
      <c r="S2495" s="66"/>
      <c r="T2495" s="66"/>
      <c r="U2495" s="66"/>
      <c r="V2495" s="66"/>
      <c r="W2495" s="66"/>
      <c r="X2495" s="66"/>
      <c r="Y2495" s="66"/>
      <c r="Z2495" s="66"/>
    </row>
    <row r="2496">
      <c r="A2496" s="66"/>
      <c r="B2496" s="66"/>
      <c r="C2496" s="66"/>
      <c r="D2496" s="66"/>
      <c r="E2496" s="66"/>
      <c r="F2496" s="66"/>
      <c r="G2496" s="66"/>
      <c r="H2496" s="66"/>
      <c r="I2496" s="66"/>
      <c r="J2496" s="66"/>
      <c r="K2496" s="66"/>
      <c r="L2496" s="66"/>
      <c r="M2496" s="66"/>
      <c r="N2496" s="66"/>
      <c r="O2496" s="66"/>
      <c r="P2496" s="66"/>
      <c r="Q2496" s="66"/>
      <c r="R2496" s="66"/>
      <c r="S2496" s="66"/>
      <c r="T2496" s="66"/>
      <c r="U2496" s="66"/>
      <c r="V2496" s="66"/>
      <c r="W2496" s="66"/>
      <c r="X2496" s="66"/>
      <c r="Y2496" s="66"/>
      <c r="Z2496" s="66"/>
    </row>
    <row r="2497">
      <c r="A2497" s="66"/>
      <c r="B2497" s="66"/>
      <c r="C2497" s="66"/>
      <c r="D2497" s="66"/>
      <c r="E2497" s="66"/>
      <c r="F2497" s="66"/>
      <c r="G2497" s="66"/>
      <c r="H2497" s="66"/>
      <c r="I2497" s="66"/>
      <c r="J2497" s="66"/>
      <c r="K2497" s="66"/>
      <c r="L2497" s="66"/>
      <c r="M2497" s="66"/>
      <c r="N2497" s="66"/>
      <c r="O2497" s="66"/>
      <c r="P2497" s="66"/>
      <c r="Q2497" s="66"/>
      <c r="R2497" s="66"/>
      <c r="S2497" s="66"/>
      <c r="T2497" s="66"/>
      <c r="U2497" s="66"/>
      <c r="V2497" s="66"/>
      <c r="W2497" s="66"/>
      <c r="X2497" s="66"/>
      <c r="Y2497" s="66"/>
      <c r="Z2497" s="66"/>
    </row>
    <row r="2498">
      <c r="A2498" s="66"/>
      <c r="B2498" s="66"/>
      <c r="C2498" s="66"/>
      <c r="D2498" s="66"/>
      <c r="E2498" s="66"/>
      <c r="F2498" s="66"/>
      <c r="G2498" s="66"/>
      <c r="H2498" s="66"/>
      <c r="I2498" s="66"/>
      <c r="J2498" s="66"/>
      <c r="K2498" s="66"/>
      <c r="L2498" s="66"/>
      <c r="M2498" s="66"/>
      <c r="N2498" s="66"/>
      <c r="O2498" s="66"/>
      <c r="P2498" s="66"/>
      <c r="Q2498" s="66"/>
      <c r="R2498" s="66"/>
      <c r="S2498" s="66"/>
      <c r="T2498" s="66"/>
      <c r="U2498" s="66"/>
      <c r="V2498" s="66"/>
      <c r="W2498" s="66"/>
      <c r="X2498" s="66"/>
      <c r="Y2498" s="66"/>
      <c r="Z2498" s="66"/>
    </row>
    <row r="2499">
      <c r="A2499" s="66"/>
      <c r="B2499" s="66"/>
      <c r="C2499" s="66"/>
      <c r="D2499" s="66"/>
      <c r="E2499" s="66"/>
      <c r="F2499" s="66"/>
      <c r="G2499" s="66"/>
      <c r="H2499" s="66"/>
      <c r="I2499" s="66"/>
      <c r="J2499" s="66"/>
      <c r="K2499" s="66"/>
      <c r="L2499" s="66"/>
      <c r="M2499" s="66"/>
      <c r="N2499" s="66"/>
      <c r="O2499" s="66"/>
      <c r="P2499" s="66"/>
      <c r="Q2499" s="66"/>
      <c r="R2499" s="66"/>
      <c r="S2499" s="66"/>
      <c r="T2499" s="66"/>
      <c r="U2499" s="66"/>
      <c r="V2499" s="66"/>
      <c r="W2499" s="66"/>
      <c r="X2499" s="66"/>
      <c r="Y2499" s="66"/>
      <c r="Z2499" s="66"/>
    </row>
    <row r="2500">
      <c r="A2500" s="66"/>
      <c r="B2500" s="66"/>
      <c r="C2500" s="66"/>
      <c r="D2500" s="66"/>
      <c r="E2500" s="66"/>
      <c r="F2500" s="66"/>
      <c r="G2500" s="66"/>
      <c r="H2500" s="66"/>
      <c r="I2500" s="66"/>
      <c r="J2500" s="66"/>
      <c r="K2500" s="66"/>
      <c r="L2500" s="66"/>
      <c r="M2500" s="66"/>
      <c r="N2500" s="66"/>
      <c r="O2500" s="66"/>
      <c r="P2500" s="66"/>
      <c r="Q2500" s="66"/>
      <c r="R2500" s="66"/>
      <c r="S2500" s="66"/>
      <c r="T2500" s="66"/>
      <c r="U2500" s="66"/>
      <c r="V2500" s="66"/>
      <c r="W2500" s="66"/>
      <c r="X2500" s="66"/>
      <c r="Y2500" s="66"/>
      <c r="Z2500" s="66"/>
    </row>
    <row r="2501">
      <c r="A2501" s="66"/>
      <c r="B2501" s="66"/>
      <c r="C2501" s="66"/>
      <c r="D2501" s="66"/>
      <c r="E2501" s="66"/>
      <c r="F2501" s="66"/>
      <c r="G2501" s="66"/>
      <c r="H2501" s="66"/>
      <c r="I2501" s="66"/>
      <c r="J2501" s="66"/>
      <c r="K2501" s="66"/>
      <c r="L2501" s="66"/>
      <c r="M2501" s="66"/>
      <c r="N2501" s="66"/>
      <c r="O2501" s="66"/>
      <c r="P2501" s="66"/>
      <c r="Q2501" s="66"/>
      <c r="R2501" s="66"/>
      <c r="S2501" s="66"/>
      <c r="T2501" s="66"/>
      <c r="U2501" s="66"/>
      <c r="V2501" s="66"/>
      <c r="W2501" s="66"/>
      <c r="X2501" s="66"/>
      <c r="Y2501" s="66"/>
      <c r="Z2501" s="66"/>
    </row>
    <row r="2502">
      <c r="A2502" s="66"/>
      <c r="B2502" s="66"/>
      <c r="C2502" s="66"/>
      <c r="D2502" s="66"/>
      <c r="E2502" s="66"/>
      <c r="F2502" s="66"/>
      <c r="G2502" s="66"/>
      <c r="H2502" s="66"/>
      <c r="I2502" s="66"/>
      <c r="J2502" s="66"/>
      <c r="K2502" s="66"/>
      <c r="L2502" s="66"/>
      <c r="M2502" s="66"/>
      <c r="N2502" s="66"/>
      <c r="O2502" s="66"/>
      <c r="P2502" s="66"/>
      <c r="Q2502" s="66"/>
      <c r="R2502" s="66"/>
      <c r="S2502" s="66"/>
      <c r="T2502" s="66"/>
      <c r="U2502" s="66"/>
      <c r="V2502" s="66"/>
      <c r="W2502" s="66"/>
      <c r="X2502" s="66"/>
      <c r="Y2502" s="66"/>
      <c r="Z2502" s="66"/>
    </row>
    <row r="2503">
      <c r="A2503" s="66"/>
      <c r="B2503" s="66"/>
      <c r="C2503" s="66"/>
      <c r="D2503" s="66"/>
      <c r="E2503" s="66"/>
      <c r="F2503" s="66"/>
      <c r="G2503" s="66"/>
      <c r="H2503" s="66"/>
      <c r="I2503" s="66"/>
      <c r="J2503" s="66"/>
      <c r="K2503" s="66"/>
      <c r="L2503" s="66"/>
      <c r="M2503" s="66"/>
      <c r="N2503" s="66"/>
      <c r="O2503" s="66"/>
      <c r="P2503" s="66"/>
      <c r="Q2503" s="66"/>
      <c r="R2503" s="66"/>
      <c r="S2503" s="66"/>
      <c r="T2503" s="66"/>
      <c r="U2503" s="66"/>
      <c r="V2503" s="66"/>
      <c r="W2503" s="66"/>
      <c r="X2503" s="66"/>
      <c r="Y2503" s="66"/>
      <c r="Z2503" s="66"/>
    </row>
    <row r="2504">
      <c r="A2504" s="66"/>
      <c r="B2504" s="66"/>
      <c r="C2504" s="66"/>
      <c r="D2504" s="66"/>
      <c r="E2504" s="66"/>
      <c r="F2504" s="66"/>
      <c r="G2504" s="66"/>
      <c r="H2504" s="66"/>
      <c r="I2504" s="66"/>
      <c r="J2504" s="66"/>
      <c r="K2504" s="66"/>
      <c r="L2504" s="66"/>
      <c r="M2504" s="66"/>
      <c r="N2504" s="66"/>
      <c r="O2504" s="66"/>
      <c r="P2504" s="66"/>
      <c r="Q2504" s="66"/>
      <c r="R2504" s="66"/>
      <c r="S2504" s="66"/>
      <c r="T2504" s="66"/>
      <c r="U2504" s="66"/>
      <c r="V2504" s="66"/>
      <c r="W2504" s="66"/>
      <c r="X2504" s="66"/>
      <c r="Y2504" s="66"/>
      <c r="Z2504" s="66"/>
    </row>
    <row r="2505">
      <c r="A2505" s="66"/>
      <c r="B2505" s="66"/>
      <c r="C2505" s="66"/>
      <c r="D2505" s="66"/>
      <c r="E2505" s="66"/>
      <c r="F2505" s="66"/>
      <c r="G2505" s="66"/>
      <c r="H2505" s="66"/>
      <c r="I2505" s="66"/>
      <c r="J2505" s="66"/>
      <c r="K2505" s="66"/>
      <c r="L2505" s="66"/>
      <c r="M2505" s="66"/>
      <c r="N2505" s="66"/>
      <c r="O2505" s="66"/>
      <c r="P2505" s="66"/>
      <c r="Q2505" s="66"/>
      <c r="R2505" s="66"/>
      <c r="S2505" s="66"/>
      <c r="T2505" s="66"/>
      <c r="U2505" s="66"/>
      <c r="V2505" s="66"/>
      <c r="W2505" s="66"/>
      <c r="X2505" s="66"/>
      <c r="Y2505" s="66"/>
      <c r="Z2505" s="66"/>
    </row>
    <row r="2506">
      <c r="A2506" s="66"/>
      <c r="B2506" s="66"/>
      <c r="C2506" s="66"/>
      <c r="D2506" s="66"/>
      <c r="E2506" s="66"/>
      <c r="F2506" s="66"/>
      <c r="G2506" s="66"/>
      <c r="H2506" s="66"/>
      <c r="I2506" s="66"/>
      <c r="J2506" s="66"/>
      <c r="K2506" s="66"/>
      <c r="L2506" s="66"/>
      <c r="M2506" s="66"/>
      <c r="N2506" s="66"/>
      <c r="O2506" s="66"/>
      <c r="P2506" s="66"/>
      <c r="Q2506" s="66"/>
      <c r="R2506" s="66"/>
      <c r="S2506" s="66"/>
      <c r="T2506" s="66"/>
      <c r="U2506" s="66"/>
      <c r="V2506" s="66"/>
      <c r="W2506" s="66"/>
      <c r="X2506" s="66"/>
      <c r="Y2506" s="66"/>
      <c r="Z2506" s="66"/>
    </row>
    <row r="2507">
      <c r="A2507" s="66"/>
      <c r="B2507" s="66"/>
      <c r="C2507" s="66"/>
      <c r="D2507" s="66"/>
      <c r="E2507" s="66"/>
      <c r="F2507" s="66"/>
      <c r="G2507" s="66"/>
      <c r="H2507" s="66"/>
      <c r="I2507" s="66"/>
      <c r="J2507" s="66"/>
      <c r="K2507" s="66"/>
      <c r="L2507" s="66"/>
      <c r="M2507" s="66"/>
      <c r="N2507" s="66"/>
      <c r="O2507" s="66"/>
      <c r="P2507" s="66"/>
      <c r="Q2507" s="66"/>
      <c r="R2507" s="66"/>
      <c r="S2507" s="66"/>
      <c r="T2507" s="66"/>
      <c r="U2507" s="66"/>
      <c r="V2507" s="66"/>
      <c r="W2507" s="66"/>
      <c r="X2507" s="66"/>
      <c r="Y2507" s="66"/>
      <c r="Z2507" s="66"/>
    </row>
    <row r="2508">
      <c r="A2508" s="66"/>
      <c r="B2508" s="66"/>
      <c r="C2508" s="66"/>
      <c r="D2508" s="66"/>
      <c r="E2508" s="66"/>
      <c r="F2508" s="66"/>
      <c r="G2508" s="66"/>
      <c r="H2508" s="66"/>
      <c r="I2508" s="66"/>
      <c r="J2508" s="66"/>
      <c r="K2508" s="66"/>
      <c r="L2508" s="66"/>
      <c r="M2508" s="66"/>
      <c r="N2508" s="66"/>
      <c r="O2508" s="66"/>
      <c r="P2508" s="66"/>
      <c r="Q2508" s="66"/>
      <c r="R2508" s="66"/>
      <c r="S2508" s="66"/>
      <c r="T2508" s="66"/>
      <c r="U2508" s="66"/>
      <c r="V2508" s="66"/>
      <c r="W2508" s="66"/>
      <c r="X2508" s="66"/>
      <c r="Y2508" s="66"/>
      <c r="Z2508" s="66"/>
    </row>
    <row r="2509">
      <c r="A2509" s="66"/>
      <c r="B2509" s="66"/>
      <c r="C2509" s="66"/>
      <c r="D2509" s="66"/>
      <c r="E2509" s="66"/>
      <c r="F2509" s="66"/>
      <c r="G2509" s="66"/>
      <c r="H2509" s="66"/>
      <c r="I2509" s="66"/>
      <c r="J2509" s="66"/>
      <c r="K2509" s="66"/>
      <c r="L2509" s="66"/>
      <c r="M2509" s="66"/>
      <c r="N2509" s="66"/>
      <c r="O2509" s="66"/>
      <c r="P2509" s="66"/>
      <c r="Q2509" s="66"/>
      <c r="R2509" s="66"/>
      <c r="S2509" s="66"/>
      <c r="T2509" s="66"/>
      <c r="U2509" s="66"/>
      <c r="V2509" s="66"/>
      <c r="W2509" s="66"/>
      <c r="X2509" s="66"/>
      <c r="Y2509" s="66"/>
      <c r="Z2509" s="66"/>
    </row>
    <row r="2510">
      <c r="A2510" s="66"/>
      <c r="B2510" s="66"/>
      <c r="C2510" s="66"/>
      <c r="D2510" s="66"/>
      <c r="E2510" s="66"/>
      <c r="F2510" s="66"/>
      <c r="G2510" s="66"/>
      <c r="H2510" s="66"/>
      <c r="I2510" s="66"/>
      <c r="J2510" s="66"/>
      <c r="K2510" s="66"/>
      <c r="L2510" s="66"/>
      <c r="M2510" s="66"/>
      <c r="N2510" s="66"/>
      <c r="O2510" s="66"/>
      <c r="P2510" s="66"/>
      <c r="Q2510" s="66"/>
      <c r="R2510" s="66"/>
      <c r="S2510" s="66"/>
      <c r="T2510" s="66"/>
      <c r="U2510" s="66"/>
      <c r="V2510" s="66"/>
      <c r="W2510" s="66"/>
      <c r="X2510" s="66"/>
      <c r="Y2510" s="66"/>
      <c r="Z2510" s="66"/>
    </row>
    <row r="2511">
      <c r="A2511" s="66"/>
      <c r="B2511" s="66"/>
      <c r="C2511" s="66"/>
      <c r="D2511" s="66"/>
      <c r="E2511" s="66"/>
      <c r="F2511" s="66"/>
      <c r="G2511" s="66"/>
      <c r="H2511" s="66"/>
      <c r="I2511" s="66"/>
      <c r="J2511" s="66"/>
      <c r="K2511" s="66"/>
      <c r="L2511" s="66"/>
      <c r="M2511" s="66"/>
      <c r="N2511" s="66"/>
      <c r="O2511" s="66"/>
      <c r="P2511" s="66"/>
      <c r="Q2511" s="66"/>
      <c r="R2511" s="66"/>
      <c r="S2511" s="66"/>
      <c r="T2511" s="66"/>
      <c r="U2511" s="66"/>
      <c r="V2511" s="66"/>
      <c r="W2511" s="66"/>
      <c r="X2511" s="66"/>
      <c r="Y2511" s="66"/>
      <c r="Z2511" s="66"/>
    </row>
    <row r="2512">
      <c r="A2512" s="66"/>
      <c r="B2512" s="66"/>
      <c r="C2512" s="66"/>
      <c r="D2512" s="66"/>
      <c r="E2512" s="66"/>
      <c r="F2512" s="66"/>
      <c r="G2512" s="66"/>
      <c r="H2512" s="66"/>
      <c r="I2512" s="66"/>
      <c r="J2512" s="66"/>
      <c r="K2512" s="66"/>
      <c r="L2512" s="66"/>
      <c r="M2512" s="66"/>
      <c r="N2512" s="66"/>
      <c r="O2512" s="66"/>
      <c r="P2512" s="66"/>
      <c r="Q2512" s="66"/>
      <c r="R2512" s="66"/>
      <c r="S2512" s="66"/>
      <c r="T2512" s="66"/>
      <c r="U2512" s="66"/>
      <c r="V2512" s="66"/>
      <c r="W2512" s="66"/>
      <c r="X2512" s="66"/>
      <c r="Y2512" s="66"/>
      <c r="Z2512" s="66"/>
    </row>
    <row r="2513">
      <c r="A2513" s="66"/>
      <c r="B2513" s="66"/>
      <c r="C2513" s="66"/>
      <c r="D2513" s="66"/>
      <c r="E2513" s="66"/>
      <c r="F2513" s="66"/>
      <c r="G2513" s="66"/>
      <c r="H2513" s="66"/>
      <c r="I2513" s="66"/>
      <c r="J2513" s="66"/>
      <c r="K2513" s="66"/>
      <c r="L2513" s="66"/>
      <c r="M2513" s="66"/>
      <c r="N2513" s="66"/>
      <c r="O2513" s="66"/>
      <c r="P2513" s="66"/>
      <c r="Q2513" s="66"/>
      <c r="R2513" s="66"/>
      <c r="S2513" s="66"/>
      <c r="T2513" s="66"/>
      <c r="U2513" s="66"/>
      <c r="V2513" s="66"/>
      <c r="W2513" s="66"/>
      <c r="X2513" s="66"/>
      <c r="Y2513" s="66"/>
      <c r="Z2513" s="66"/>
    </row>
    <row r="2514">
      <c r="A2514" s="66"/>
      <c r="B2514" s="66"/>
      <c r="C2514" s="66"/>
      <c r="D2514" s="66"/>
      <c r="E2514" s="66"/>
      <c r="F2514" s="66"/>
      <c r="G2514" s="66"/>
      <c r="H2514" s="66"/>
      <c r="I2514" s="66"/>
      <c r="J2514" s="66"/>
      <c r="K2514" s="66"/>
      <c r="L2514" s="66"/>
      <c r="M2514" s="66"/>
      <c r="N2514" s="66"/>
      <c r="O2514" s="66"/>
      <c r="P2514" s="66"/>
      <c r="Q2514" s="66"/>
      <c r="R2514" s="66"/>
      <c r="S2514" s="66"/>
      <c r="T2514" s="66"/>
      <c r="U2514" s="66"/>
      <c r="V2514" s="66"/>
      <c r="W2514" s="66"/>
      <c r="X2514" s="66"/>
      <c r="Y2514" s="66"/>
      <c r="Z2514" s="66"/>
    </row>
    <row r="2515">
      <c r="A2515" s="66"/>
      <c r="B2515" s="66"/>
      <c r="C2515" s="66"/>
      <c r="D2515" s="66"/>
      <c r="E2515" s="66"/>
      <c r="F2515" s="66"/>
      <c r="G2515" s="66"/>
      <c r="H2515" s="66"/>
      <c r="I2515" s="66"/>
      <c r="J2515" s="66"/>
      <c r="K2515" s="66"/>
      <c r="L2515" s="66"/>
      <c r="M2515" s="66"/>
      <c r="N2515" s="66"/>
      <c r="O2515" s="66"/>
      <c r="P2515" s="66"/>
      <c r="Q2515" s="66"/>
      <c r="R2515" s="66"/>
      <c r="S2515" s="66"/>
      <c r="T2515" s="66"/>
      <c r="U2515" s="66"/>
      <c r="V2515" s="66"/>
      <c r="W2515" s="66"/>
      <c r="X2515" s="66"/>
      <c r="Y2515" s="66"/>
      <c r="Z2515" s="66"/>
    </row>
    <row r="2516">
      <c r="A2516" s="66"/>
      <c r="B2516" s="66"/>
      <c r="C2516" s="66"/>
      <c r="D2516" s="66"/>
      <c r="E2516" s="66"/>
      <c r="F2516" s="66"/>
      <c r="G2516" s="66"/>
      <c r="H2516" s="66"/>
      <c r="I2516" s="66"/>
      <c r="J2516" s="66"/>
      <c r="K2516" s="66"/>
      <c r="L2516" s="66"/>
      <c r="M2516" s="66"/>
      <c r="N2516" s="66"/>
      <c r="O2516" s="66"/>
      <c r="P2516" s="66"/>
      <c r="Q2516" s="66"/>
      <c r="R2516" s="66"/>
      <c r="S2516" s="66"/>
      <c r="T2516" s="66"/>
      <c r="U2516" s="66"/>
      <c r="V2516" s="66"/>
      <c r="W2516" s="66"/>
      <c r="X2516" s="66"/>
      <c r="Y2516" s="66"/>
      <c r="Z2516" s="66"/>
    </row>
    <row r="2517">
      <c r="A2517" s="66"/>
      <c r="B2517" s="66"/>
      <c r="C2517" s="66"/>
      <c r="D2517" s="66"/>
      <c r="E2517" s="66"/>
      <c r="F2517" s="66"/>
      <c r="G2517" s="66"/>
      <c r="H2517" s="66"/>
      <c r="I2517" s="66"/>
      <c r="J2517" s="66"/>
      <c r="K2517" s="66"/>
      <c r="L2517" s="66"/>
      <c r="M2517" s="66"/>
      <c r="N2517" s="66"/>
      <c r="O2517" s="66"/>
      <c r="P2517" s="66"/>
      <c r="Q2517" s="66"/>
      <c r="R2517" s="66"/>
      <c r="S2517" s="66"/>
      <c r="T2517" s="66"/>
      <c r="U2517" s="66"/>
      <c r="V2517" s="66"/>
      <c r="W2517" s="66"/>
      <c r="X2517" s="66"/>
      <c r="Y2517" s="66"/>
      <c r="Z2517" s="66"/>
    </row>
    <row r="2518">
      <c r="A2518" s="66"/>
      <c r="B2518" s="66"/>
      <c r="C2518" s="66"/>
      <c r="D2518" s="66"/>
      <c r="E2518" s="66"/>
      <c r="F2518" s="66"/>
      <c r="G2518" s="66"/>
      <c r="H2518" s="66"/>
      <c r="I2518" s="66"/>
      <c r="J2518" s="66"/>
      <c r="K2518" s="66"/>
      <c r="L2518" s="66"/>
      <c r="M2518" s="66"/>
      <c r="N2518" s="66"/>
      <c r="O2518" s="66"/>
      <c r="P2518" s="66"/>
      <c r="Q2518" s="66"/>
      <c r="R2518" s="66"/>
      <c r="S2518" s="66"/>
      <c r="T2518" s="66"/>
      <c r="U2518" s="66"/>
      <c r="V2518" s="66"/>
      <c r="W2518" s="66"/>
      <c r="X2518" s="66"/>
      <c r="Y2518" s="66"/>
      <c r="Z2518" s="66"/>
    </row>
    <row r="2519">
      <c r="A2519" s="66"/>
      <c r="B2519" s="66"/>
      <c r="C2519" s="66"/>
      <c r="D2519" s="66"/>
      <c r="E2519" s="66"/>
      <c r="F2519" s="66"/>
      <c r="G2519" s="66"/>
      <c r="H2519" s="66"/>
      <c r="I2519" s="66"/>
      <c r="J2519" s="66"/>
      <c r="K2519" s="66"/>
      <c r="L2519" s="66"/>
      <c r="M2519" s="66"/>
      <c r="N2519" s="66"/>
      <c r="O2519" s="66"/>
      <c r="P2519" s="66"/>
      <c r="Q2519" s="66"/>
      <c r="R2519" s="66"/>
      <c r="S2519" s="66"/>
      <c r="T2519" s="66"/>
      <c r="U2519" s="66"/>
      <c r="V2519" s="66"/>
      <c r="W2519" s="66"/>
      <c r="X2519" s="66"/>
      <c r="Y2519" s="66"/>
      <c r="Z2519" s="66"/>
    </row>
    <row r="2520">
      <c r="A2520" s="66"/>
      <c r="B2520" s="66"/>
      <c r="C2520" s="66"/>
      <c r="D2520" s="66"/>
      <c r="E2520" s="66"/>
      <c r="F2520" s="66"/>
      <c r="G2520" s="66"/>
      <c r="H2520" s="66"/>
      <c r="I2520" s="66"/>
      <c r="J2520" s="66"/>
      <c r="K2520" s="66"/>
      <c r="L2520" s="66"/>
      <c r="M2520" s="66"/>
      <c r="N2520" s="66"/>
      <c r="O2520" s="66"/>
      <c r="P2520" s="66"/>
      <c r="Q2520" s="66"/>
      <c r="R2520" s="66"/>
      <c r="S2520" s="66"/>
      <c r="T2520" s="66"/>
      <c r="U2520" s="66"/>
      <c r="V2520" s="66"/>
      <c r="W2520" s="66"/>
      <c r="X2520" s="66"/>
      <c r="Y2520" s="66"/>
      <c r="Z2520" s="66"/>
    </row>
    <row r="2521">
      <c r="A2521" s="66"/>
      <c r="B2521" s="66"/>
      <c r="C2521" s="66"/>
      <c r="D2521" s="66"/>
      <c r="E2521" s="66"/>
      <c r="F2521" s="66"/>
      <c r="G2521" s="66"/>
      <c r="H2521" s="66"/>
      <c r="I2521" s="66"/>
      <c r="J2521" s="66"/>
      <c r="K2521" s="66"/>
      <c r="L2521" s="66"/>
      <c r="M2521" s="66"/>
      <c r="N2521" s="66"/>
      <c r="O2521" s="66"/>
      <c r="P2521" s="66"/>
      <c r="Q2521" s="66"/>
      <c r="R2521" s="66"/>
      <c r="S2521" s="66"/>
      <c r="T2521" s="66"/>
      <c r="U2521" s="66"/>
      <c r="V2521" s="66"/>
      <c r="W2521" s="66"/>
      <c r="X2521" s="66"/>
      <c r="Y2521" s="66"/>
      <c r="Z2521" s="66"/>
    </row>
    <row r="2522">
      <c r="A2522" s="66"/>
      <c r="B2522" s="66"/>
      <c r="C2522" s="66"/>
      <c r="D2522" s="66"/>
      <c r="E2522" s="66"/>
      <c r="F2522" s="66"/>
      <c r="G2522" s="66"/>
      <c r="H2522" s="66"/>
      <c r="I2522" s="66"/>
      <c r="J2522" s="66"/>
      <c r="K2522" s="66"/>
      <c r="L2522" s="66"/>
      <c r="M2522" s="66"/>
      <c r="N2522" s="66"/>
      <c r="O2522" s="66"/>
      <c r="P2522" s="66"/>
      <c r="Q2522" s="66"/>
      <c r="R2522" s="66"/>
      <c r="S2522" s="66"/>
      <c r="T2522" s="66"/>
      <c r="U2522" s="66"/>
      <c r="V2522" s="66"/>
      <c r="W2522" s="66"/>
      <c r="X2522" s="66"/>
      <c r="Y2522" s="66"/>
      <c r="Z2522" s="66"/>
    </row>
    <row r="2523">
      <c r="A2523" s="66"/>
      <c r="B2523" s="66"/>
      <c r="C2523" s="66"/>
      <c r="D2523" s="66"/>
      <c r="E2523" s="66"/>
      <c r="F2523" s="66"/>
      <c r="G2523" s="66"/>
      <c r="H2523" s="66"/>
      <c r="I2523" s="66"/>
      <c r="J2523" s="66"/>
      <c r="K2523" s="66"/>
      <c r="L2523" s="66"/>
      <c r="M2523" s="66"/>
      <c r="N2523" s="66"/>
      <c r="O2523" s="66"/>
      <c r="P2523" s="66"/>
      <c r="Q2523" s="66"/>
      <c r="R2523" s="66"/>
      <c r="S2523" s="66"/>
      <c r="T2523" s="66"/>
      <c r="U2523" s="66"/>
      <c r="V2523" s="66"/>
      <c r="W2523" s="66"/>
      <c r="X2523" s="66"/>
      <c r="Y2523" s="66"/>
      <c r="Z2523" s="66"/>
    </row>
    <row r="2524">
      <c r="A2524" s="66"/>
      <c r="B2524" s="66"/>
      <c r="C2524" s="66"/>
      <c r="D2524" s="66"/>
      <c r="E2524" s="66"/>
      <c r="F2524" s="66"/>
      <c r="G2524" s="66"/>
      <c r="H2524" s="66"/>
      <c r="I2524" s="66"/>
      <c r="J2524" s="66"/>
      <c r="K2524" s="66"/>
      <c r="L2524" s="66"/>
      <c r="M2524" s="66"/>
      <c r="N2524" s="66"/>
      <c r="O2524" s="66"/>
      <c r="P2524" s="66"/>
      <c r="Q2524" s="66"/>
      <c r="R2524" s="66"/>
      <c r="S2524" s="66"/>
      <c r="T2524" s="66"/>
      <c r="U2524" s="66"/>
      <c r="V2524" s="66"/>
      <c r="W2524" s="66"/>
      <c r="X2524" s="66"/>
      <c r="Y2524" s="66"/>
      <c r="Z2524" s="66"/>
    </row>
    <row r="2525">
      <c r="A2525" s="66"/>
      <c r="B2525" s="66"/>
      <c r="C2525" s="66"/>
      <c r="D2525" s="66"/>
      <c r="E2525" s="66"/>
      <c r="F2525" s="66"/>
      <c r="G2525" s="66"/>
      <c r="H2525" s="66"/>
      <c r="I2525" s="66"/>
      <c r="J2525" s="66"/>
      <c r="K2525" s="66"/>
      <c r="L2525" s="66"/>
      <c r="M2525" s="66"/>
      <c r="N2525" s="66"/>
      <c r="O2525" s="66"/>
      <c r="P2525" s="66"/>
      <c r="Q2525" s="66"/>
      <c r="R2525" s="66"/>
      <c r="S2525" s="66"/>
      <c r="T2525" s="66"/>
      <c r="U2525" s="66"/>
      <c r="V2525" s="66"/>
      <c r="W2525" s="66"/>
      <c r="X2525" s="66"/>
      <c r="Y2525" s="66"/>
      <c r="Z2525" s="66"/>
    </row>
    <row r="2526">
      <c r="A2526" s="66"/>
      <c r="B2526" s="66"/>
      <c r="C2526" s="66"/>
      <c r="D2526" s="66"/>
      <c r="E2526" s="66"/>
      <c r="F2526" s="66"/>
      <c r="G2526" s="66"/>
      <c r="H2526" s="66"/>
      <c r="I2526" s="66"/>
      <c r="J2526" s="66"/>
      <c r="K2526" s="66"/>
      <c r="L2526" s="66"/>
      <c r="M2526" s="66"/>
      <c r="N2526" s="66"/>
      <c r="O2526" s="66"/>
      <c r="P2526" s="66"/>
      <c r="Q2526" s="66"/>
      <c r="R2526" s="66"/>
      <c r="S2526" s="66"/>
      <c r="T2526" s="66"/>
      <c r="U2526" s="66"/>
      <c r="V2526" s="66"/>
      <c r="W2526" s="66"/>
      <c r="X2526" s="66"/>
      <c r="Y2526" s="66"/>
      <c r="Z2526" s="66"/>
    </row>
    <row r="2527">
      <c r="A2527" s="66"/>
      <c r="B2527" s="66"/>
      <c r="C2527" s="66"/>
      <c r="D2527" s="66"/>
      <c r="E2527" s="66"/>
      <c r="F2527" s="66"/>
      <c r="G2527" s="66"/>
      <c r="H2527" s="66"/>
      <c r="I2527" s="66"/>
      <c r="J2527" s="66"/>
      <c r="K2527" s="66"/>
      <c r="L2527" s="66"/>
      <c r="M2527" s="66"/>
      <c r="N2527" s="66"/>
      <c r="O2527" s="66"/>
      <c r="P2527" s="66"/>
      <c r="Q2527" s="66"/>
      <c r="R2527" s="66"/>
      <c r="S2527" s="66"/>
      <c r="T2527" s="66"/>
      <c r="U2527" s="66"/>
      <c r="V2527" s="66"/>
      <c r="W2527" s="66"/>
      <c r="X2527" s="66"/>
      <c r="Y2527" s="66"/>
      <c r="Z2527" s="66"/>
    </row>
    <row r="2528">
      <c r="A2528" s="66"/>
      <c r="B2528" s="66"/>
      <c r="C2528" s="66"/>
      <c r="D2528" s="66"/>
      <c r="E2528" s="66"/>
      <c r="F2528" s="66"/>
      <c r="G2528" s="66"/>
      <c r="H2528" s="66"/>
      <c r="I2528" s="66"/>
      <c r="J2528" s="66"/>
      <c r="K2528" s="66"/>
      <c r="L2528" s="66"/>
      <c r="M2528" s="66"/>
      <c r="N2528" s="66"/>
      <c r="O2528" s="66"/>
      <c r="P2528" s="66"/>
      <c r="Q2528" s="66"/>
      <c r="R2528" s="66"/>
      <c r="S2528" s="66"/>
      <c r="T2528" s="66"/>
      <c r="U2528" s="66"/>
      <c r="V2528" s="66"/>
      <c r="W2528" s="66"/>
      <c r="X2528" s="66"/>
      <c r="Y2528" s="66"/>
      <c r="Z2528" s="66"/>
    </row>
    <row r="2529">
      <c r="A2529" s="66"/>
      <c r="B2529" s="66"/>
      <c r="C2529" s="66"/>
      <c r="D2529" s="66"/>
      <c r="E2529" s="66"/>
      <c r="F2529" s="66"/>
      <c r="G2529" s="66"/>
      <c r="H2529" s="66"/>
      <c r="I2529" s="66"/>
      <c r="J2529" s="66"/>
      <c r="K2529" s="66"/>
      <c r="L2529" s="66"/>
      <c r="M2529" s="66"/>
      <c r="N2529" s="66"/>
      <c r="O2529" s="66"/>
      <c r="P2529" s="66"/>
      <c r="Q2529" s="66"/>
      <c r="R2529" s="66"/>
      <c r="S2529" s="66"/>
      <c r="T2529" s="66"/>
      <c r="U2529" s="66"/>
      <c r="V2529" s="66"/>
      <c r="W2529" s="66"/>
      <c r="X2529" s="66"/>
      <c r="Y2529" s="66"/>
      <c r="Z2529" s="66"/>
    </row>
    <row r="2530">
      <c r="A2530" s="66"/>
      <c r="B2530" s="66"/>
      <c r="C2530" s="66"/>
      <c r="D2530" s="66"/>
      <c r="E2530" s="66"/>
      <c r="F2530" s="66"/>
      <c r="G2530" s="66"/>
      <c r="H2530" s="66"/>
      <c r="I2530" s="66"/>
      <c r="J2530" s="66"/>
      <c r="K2530" s="66"/>
      <c r="L2530" s="66"/>
      <c r="M2530" s="66"/>
      <c r="N2530" s="66"/>
      <c r="O2530" s="66"/>
      <c r="P2530" s="66"/>
      <c r="Q2530" s="66"/>
      <c r="R2530" s="66"/>
      <c r="S2530" s="66"/>
      <c r="T2530" s="66"/>
      <c r="U2530" s="66"/>
      <c r="V2530" s="66"/>
      <c r="W2530" s="66"/>
      <c r="X2530" s="66"/>
      <c r="Y2530" s="66"/>
      <c r="Z2530" s="66"/>
    </row>
    <row r="2531">
      <c r="A2531" s="66"/>
      <c r="B2531" s="66"/>
      <c r="C2531" s="66"/>
      <c r="D2531" s="66"/>
      <c r="E2531" s="66"/>
      <c r="F2531" s="66"/>
      <c r="G2531" s="66"/>
      <c r="H2531" s="66"/>
      <c r="I2531" s="66"/>
      <c r="J2531" s="66"/>
      <c r="K2531" s="66"/>
      <c r="L2531" s="66"/>
      <c r="M2531" s="66"/>
      <c r="N2531" s="66"/>
      <c r="O2531" s="66"/>
      <c r="P2531" s="66"/>
      <c r="Q2531" s="66"/>
      <c r="R2531" s="66"/>
      <c r="S2531" s="66"/>
      <c r="T2531" s="66"/>
      <c r="U2531" s="66"/>
      <c r="V2531" s="66"/>
      <c r="W2531" s="66"/>
      <c r="X2531" s="66"/>
      <c r="Y2531" s="66"/>
      <c r="Z2531" s="66"/>
    </row>
    <row r="2532">
      <c r="A2532" s="66"/>
      <c r="B2532" s="66"/>
      <c r="C2532" s="66"/>
      <c r="D2532" s="66"/>
      <c r="E2532" s="66"/>
      <c r="F2532" s="66"/>
      <c r="G2532" s="66"/>
      <c r="H2532" s="66"/>
      <c r="I2532" s="66"/>
      <c r="J2532" s="66"/>
      <c r="K2532" s="66"/>
      <c r="L2532" s="66"/>
      <c r="M2532" s="66"/>
      <c r="N2532" s="66"/>
      <c r="O2532" s="66"/>
      <c r="P2532" s="66"/>
      <c r="Q2532" s="66"/>
      <c r="R2532" s="66"/>
      <c r="S2532" s="66"/>
      <c r="T2532" s="66"/>
      <c r="U2532" s="66"/>
      <c r="V2532" s="66"/>
      <c r="W2532" s="66"/>
      <c r="X2532" s="66"/>
      <c r="Y2532" s="66"/>
      <c r="Z2532" s="66"/>
    </row>
    <row r="2533">
      <c r="A2533" s="66"/>
      <c r="B2533" s="66"/>
      <c r="C2533" s="66"/>
      <c r="D2533" s="66"/>
      <c r="E2533" s="66"/>
      <c r="F2533" s="66"/>
      <c r="G2533" s="66"/>
      <c r="H2533" s="66"/>
      <c r="I2533" s="66"/>
      <c r="J2533" s="66"/>
      <c r="K2533" s="66"/>
      <c r="L2533" s="66"/>
      <c r="M2533" s="66"/>
      <c r="N2533" s="66"/>
      <c r="O2533" s="66"/>
      <c r="P2533" s="66"/>
      <c r="Q2533" s="66"/>
      <c r="R2533" s="66"/>
      <c r="S2533" s="66"/>
      <c r="T2533" s="66"/>
      <c r="U2533" s="66"/>
      <c r="V2533" s="66"/>
      <c r="W2533" s="66"/>
      <c r="X2533" s="66"/>
      <c r="Y2533" s="66"/>
      <c r="Z2533" s="66"/>
    </row>
    <row r="2534">
      <c r="A2534" s="66"/>
      <c r="B2534" s="66"/>
      <c r="C2534" s="66"/>
      <c r="D2534" s="66"/>
      <c r="E2534" s="66"/>
      <c r="F2534" s="66"/>
      <c r="G2534" s="66"/>
      <c r="H2534" s="66"/>
      <c r="I2534" s="66"/>
      <c r="J2534" s="66"/>
      <c r="K2534" s="66"/>
      <c r="L2534" s="66"/>
      <c r="M2534" s="66"/>
      <c r="N2534" s="66"/>
      <c r="O2534" s="66"/>
      <c r="P2534" s="66"/>
      <c r="Q2534" s="66"/>
      <c r="R2534" s="66"/>
      <c r="S2534" s="66"/>
      <c r="T2534" s="66"/>
      <c r="U2534" s="66"/>
      <c r="V2534" s="66"/>
      <c r="W2534" s="66"/>
      <c r="X2534" s="66"/>
      <c r="Y2534" s="66"/>
      <c r="Z2534" s="66"/>
    </row>
    <row r="2535">
      <c r="A2535" s="66"/>
      <c r="B2535" s="66"/>
      <c r="C2535" s="66"/>
      <c r="D2535" s="66"/>
      <c r="E2535" s="66"/>
      <c r="F2535" s="66"/>
      <c r="G2535" s="66"/>
      <c r="H2535" s="66"/>
      <c r="I2535" s="66"/>
      <c r="J2535" s="66"/>
      <c r="K2535" s="66"/>
      <c r="L2535" s="66"/>
      <c r="M2535" s="66"/>
      <c r="N2535" s="66"/>
      <c r="O2535" s="66"/>
      <c r="P2535" s="66"/>
      <c r="Q2535" s="66"/>
      <c r="R2535" s="66"/>
      <c r="S2535" s="66"/>
      <c r="T2535" s="66"/>
      <c r="U2535" s="66"/>
      <c r="V2535" s="66"/>
      <c r="W2535" s="66"/>
      <c r="X2535" s="66"/>
      <c r="Y2535" s="66"/>
      <c r="Z2535" s="66"/>
    </row>
    <row r="2536">
      <c r="A2536" s="66"/>
      <c r="B2536" s="66"/>
      <c r="C2536" s="66"/>
      <c r="D2536" s="66"/>
      <c r="E2536" s="66"/>
      <c r="F2536" s="66"/>
      <c r="G2536" s="66"/>
      <c r="H2536" s="66"/>
      <c r="I2536" s="66"/>
      <c r="J2536" s="66"/>
      <c r="K2536" s="66"/>
      <c r="L2536" s="66"/>
      <c r="M2536" s="66"/>
      <c r="N2536" s="66"/>
      <c r="O2536" s="66"/>
      <c r="P2536" s="66"/>
      <c r="Q2536" s="66"/>
      <c r="R2536" s="66"/>
      <c r="S2536" s="66"/>
      <c r="T2536" s="66"/>
      <c r="U2536" s="66"/>
      <c r="V2536" s="66"/>
      <c r="W2536" s="66"/>
      <c r="X2536" s="66"/>
      <c r="Y2536" s="66"/>
      <c r="Z2536" s="66"/>
    </row>
    <row r="2537">
      <c r="A2537" s="66"/>
      <c r="B2537" s="66"/>
      <c r="C2537" s="66"/>
      <c r="D2537" s="66"/>
      <c r="E2537" s="66"/>
      <c r="F2537" s="66"/>
      <c r="G2537" s="66"/>
      <c r="H2537" s="66"/>
      <c r="I2537" s="66"/>
      <c r="J2537" s="66"/>
      <c r="K2537" s="66"/>
      <c r="L2537" s="66"/>
      <c r="M2537" s="66"/>
      <c r="N2537" s="66"/>
      <c r="O2537" s="66"/>
      <c r="P2537" s="66"/>
      <c r="Q2537" s="66"/>
      <c r="R2537" s="66"/>
      <c r="S2537" s="66"/>
      <c r="T2537" s="66"/>
      <c r="U2537" s="66"/>
      <c r="V2537" s="66"/>
      <c r="W2537" s="66"/>
      <c r="X2537" s="66"/>
      <c r="Y2537" s="66"/>
      <c r="Z2537" s="66"/>
    </row>
    <row r="2538">
      <c r="A2538" s="66"/>
      <c r="B2538" s="66"/>
      <c r="C2538" s="66"/>
      <c r="D2538" s="66"/>
      <c r="E2538" s="66"/>
      <c r="F2538" s="66"/>
      <c r="G2538" s="66"/>
      <c r="H2538" s="66"/>
      <c r="I2538" s="66"/>
      <c r="J2538" s="66"/>
      <c r="K2538" s="66"/>
      <c r="L2538" s="66"/>
      <c r="M2538" s="66"/>
      <c r="N2538" s="66"/>
      <c r="O2538" s="66"/>
      <c r="P2538" s="66"/>
      <c r="Q2538" s="66"/>
      <c r="R2538" s="66"/>
      <c r="S2538" s="66"/>
      <c r="T2538" s="66"/>
      <c r="U2538" s="66"/>
      <c r="V2538" s="66"/>
      <c r="W2538" s="66"/>
      <c r="X2538" s="66"/>
      <c r="Y2538" s="66"/>
      <c r="Z2538" s="66"/>
    </row>
    <row r="2539">
      <c r="A2539" s="66"/>
      <c r="B2539" s="66"/>
      <c r="C2539" s="66"/>
      <c r="D2539" s="66"/>
      <c r="E2539" s="66"/>
      <c r="F2539" s="66"/>
      <c r="G2539" s="66"/>
      <c r="H2539" s="66"/>
      <c r="I2539" s="66"/>
      <c r="J2539" s="66"/>
      <c r="K2539" s="66"/>
      <c r="L2539" s="66"/>
      <c r="M2539" s="66"/>
      <c r="N2539" s="66"/>
      <c r="O2539" s="66"/>
      <c r="P2539" s="66"/>
      <c r="Q2539" s="66"/>
      <c r="R2539" s="66"/>
      <c r="S2539" s="66"/>
      <c r="T2539" s="66"/>
      <c r="U2539" s="66"/>
      <c r="V2539" s="66"/>
      <c r="W2539" s="66"/>
      <c r="X2539" s="66"/>
      <c r="Y2539" s="66"/>
      <c r="Z2539" s="66"/>
    </row>
    <row r="2540">
      <c r="A2540" s="66"/>
      <c r="B2540" s="66"/>
      <c r="C2540" s="66"/>
      <c r="D2540" s="66"/>
      <c r="E2540" s="66"/>
      <c r="F2540" s="66"/>
      <c r="G2540" s="66"/>
      <c r="H2540" s="66"/>
      <c r="I2540" s="66"/>
      <c r="J2540" s="66"/>
      <c r="K2540" s="66"/>
      <c r="L2540" s="66"/>
      <c r="M2540" s="66"/>
      <c r="N2540" s="66"/>
      <c r="O2540" s="66"/>
      <c r="P2540" s="66"/>
      <c r="Q2540" s="66"/>
      <c r="R2540" s="66"/>
      <c r="S2540" s="66"/>
      <c r="T2540" s="66"/>
      <c r="U2540" s="66"/>
      <c r="V2540" s="66"/>
      <c r="W2540" s="66"/>
      <c r="X2540" s="66"/>
      <c r="Y2540" s="66"/>
      <c r="Z2540" s="66"/>
    </row>
    <row r="2541">
      <c r="A2541" s="66"/>
      <c r="B2541" s="66"/>
      <c r="C2541" s="66"/>
      <c r="D2541" s="66"/>
      <c r="E2541" s="66"/>
      <c r="F2541" s="66"/>
      <c r="G2541" s="66"/>
      <c r="H2541" s="66"/>
      <c r="I2541" s="66"/>
      <c r="J2541" s="66"/>
      <c r="K2541" s="66"/>
      <c r="L2541" s="66"/>
      <c r="M2541" s="66"/>
      <c r="N2541" s="66"/>
      <c r="O2541" s="66"/>
      <c r="P2541" s="66"/>
      <c r="Q2541" s="66"/>
      <c r="R2541" s="66"/>
      <c r="S2541" s="66"/>
      <c r="T2541" s="66"/>
      <c r="U2541" s="66"/>
      <c r="V2541" s="66"/>
      <c r="W2541" s="66"/>
      <c r="X2541" s="66"/>
      <c r="Y2541" s="66"/>
      <c r="Z2541" s="66"/>
    </row>
    <row r="2542">
      <c r="A2542" s="66"/>
      <c r="B2542" s="66"/>
      <c r="C2542" s="66"/>
      <c r="D2542" s="66"/>
      <c r="E2542" s="66"/>
      <c r="F2542" s="66"/>
      <c r="G2542" s="66"/>
      <c r="H2542" s="66"/>
      <c r="I2542" s="66"/>
      <c r="J2542" s="66"/>
      <c r="K2542" s="66"/>
      <c r="L2542" s="66"/>
      <c r="M2542" s="66"/>
      <c r="N2542" s="66"/>
      <c r="O2542" s="66"/>
      <c r="P2542" s="66"/>
      <c r="Q2542" s="66"/>
      <c r="R2542" s="66"/>
      <c r="S2542" s="66"/>
      <c r="T2542" s="66"/>
      <c r="U2542" s="66"/>
      <c r="V2542" s="66"/>
      <c r="W2542" s="66"/>
      <c r="X2542" s="66"/>
      <c r="Y2542" s="66"/>
      <c r="Z2542" s="66"/>
    </row>
    <row r="2543">
      <c r="A2543" s="66"/>
      <c r="B2543" s="66"/>
      <c r="C2543" s="66"/>
      <c r="D2543" s="66"/>
      <c r="E2543" s="66"/>
      <c r="F2543" s="66"/>
      <c r="G2543" s="66"/>
      <c r="H2543" s="66"/>
      <c r="I2543" s="66"/>
      <c r="J2543" s="66"/>
      <c r="K2543" s="66"/>
      <c r="L2543" s="66"/>
      <c r="M2543" s="66"/>
      <c r="N2543" s="66"/>
      <c r="O2543" s="66"/>
      <c r="P2543" s="66"/>
      <c r="Q2543" s="66"/>
      <c r="R2543" s="66"/>
      <c r="S2543" s="66"/>
      <c r="T2543" s="66"/>
      <c r="U2543" s="66"/>
      <c r="V2543" s="66"/>
      <c r="W2543" s="66"/>
      <c r="X2543" s="66"/>
      <c r="Y2543" s="66"/>
      <c r="Z2543" s="66"/>
    </row>
    <row r="2544">
      <c r="A2544" s="66"/>
      <c r="B2544" s="66"/>
      <c r="C2544" s="66"/>
      <c r="D2544" s="66"/>
      <c r="E2544" s="66"/>
      <c r="F2544" s="66"/>
      <c r="G2544" s="66"/>
      <c r="H2544" s="66"/>
      <c r="I2544" s="66"/>
      <c r="J2544" s="66"/>
      <c r="K2544" s="66"/>
      <c r="L2544" s="66"/>
      <c r="M2544" s="66"/>
      <c r="N2544" s="66"/>
      <c r="O2544" s="66"/>
      <c r="P2544" s="66"/>
      <c r="Q2544" s="66"/>
      <c r="R2544" s="66"/>
      <c r="S2544" s="66"/>
      <c r="T2544" s="66"/>
      <c r="U2544" s="66"/>
      <c r="V2544" s="66"/>
      <c r="W2544" s="66"/>
      <c r="X2544" s="66"/>
      <c r="Y2544" s="66"/>
      <c r="Z2544" s="66"/>
    </row>
    <row r="2545">
      <c r="A2545" s="66"/>
      <c r="B2545" s="66"/>
      <c r="C2545" s="66"/>
      <c r="D2545" s="66"/>
      <c r="E2545" s="66"/>
      <c r="F2545" s="66"/>
      <c r="G2545" s="66"/>
      <c r="H2545" s="66"/>
      <c r="I2545" s="66"/>
      <c r="J2545" s="66"/>
      <c r="K2545" s="66"/>
      <c r="L2545" s="66"/>
      <c r="M2545" s="66"/>
      <c r="N2545" s="66"/>
      <c r="O2545" s="66"/>
      <c r="P2545" s="66"/>
      <c r="Q2545" s="66"/>
      <c r="R2545" s="66"/>
      <c r="S2545" s="66"/>
      <c r="T2545" s="66"/>
      <c r="U2545" s="66"/>
      <c r="V2545" s="66"/>
      <c r="W2545" s="66"/>
      <c r="X2545" s="66"/>
      <c r="Y2545" s="66"/>
      <c r="Z2545" s="66"/>
    </row>
    <row r="2546">
      <c r="A2546" s="66"/>
      <c r="B2546" s="66"/>
      <c r="C2546" s="66"/>
      <c r="D2546" s="66"/>
      <c r="E2546" s="66"/>
      <c r="F2546" s="66"/>
      <c r="G2546" s="66"/>
      <c r="H2546" s="66"/>
      <c r="I2546" s="66"/>
      <c r="J2546" s="66"/>
      <c r="K2546" s="66"/>
      <c r="L2546" s="66"/>
      <c r="M2546" s="66"/>
      <c r="N2546" s="66"/>
      <c r="O2546" s="66"/>
      <c r="P2546" s="66"/>
      <c r="Q2546" s="66"/>
      <c r="R2546" s="66"/>
      <c r="S2546" s="66"/>
      <c r="T2546" s="66"/>
      <c r="U2546" s="66"/>
      <c r="V2546" s="66"/>
      <c r="W2546" s="66"/>
      <c r="X2546" s="66"/>
      <c r="Y2546" s="66"/>
      <c r="Z2546" s="66"/>
    </row>
    <row r="2547">
      <c r="A2547" s="66"/>
      <c r="B2547" s="66"/>
      <c r="C2547" s="66"/>
      <c r="D2547" s="66"/>
      <c r="E2547" s="66"/>
      <c r="F2547" s="66"/>
      <c r="G2547" s="66"/>
      <c r="H2547" s="66"/>
      <c r="I2547" s="66"/>
      <c r="J2547" s="66"/>
      <c r="K2547" s="66"/>
      <c r="L2547" s="66"/>
      <c r="M2547" s="66"/>
      <c r="N2547" s="66"/>
      <c r="O2547" s="66"/>
      <c r="P2547" s="66"/>
      <c r="Q2547" s="66"/>
      <c r="R2547" s="66"/>
      <c r="S2547" s="66"/>
      <c r="T2547" s="66"/>
      <c r="U2547" s="66"/>
      <c r="V2547" s="66"/>
      <c r="W2547" s="66"/>
      <c r="X2547" s="66"/>
      <c r="Y2547" s="66"/>
      <c r="Z2547" s="66"/>
    </row>
    <row r="2548">
      <c r="A2548" s="66"/>
      <c r="B2548" s="66"/>
      <c r="C2548" s="66"/>
      <c r="D2548" s="66"/>
      <c r="E2548" s="66"/>
      <c r="F2548" s="66"/>
      <c r="G2548" s="66"/>
      <c r="H2548" s="66"/>
      <c r="I2548" s="66"/>
      <c r="J2548" s="66"/>
      <c r="K2548" s="66"/>
      <c r="L2548" s="66"/>
      <c r="M2548" s="66"/>
      <c r="N2548" s="66"/>
      <c r="O2548" s="66"/>
      <c r="P2548" s="66"/>
      <c r="Q2548" s="66"/>
      <c r="R2548" s="66"/>
      <c r="S2548" s="66"/>
      <c r="T2548" s="66"/>
      <c r="U2548" s="66"/>
      <c r="V2548" s="66"/>
      <c r="W2548" s="66"/>
      <c r="X2548" s="66"/>
      <c r="Y2548" s="66"/>
      <c r="Z2548" s="66"/>
    </row>
    <row r="2549">
      <c r="A2549" s="66"/>
      <c r="B2549" s="66"/>
      <c r="C2549" s="66"/>
      <c r="D2549" s="66"/>
      <c r="E2549" s="66"/>
      <c r="F2549" s="66"/>
      <c r="G2549" s="66"/>
      <c r="H2549" s="66"/>
      <c r="I2549" s="66"/>
      <c r="J2549" s="66"/>
      <c r="K2549" s="66"/>
      <c r="L2549" s="66"/>
      <c r="M2549" s="66"/>
      <c r="N2549" s="66"/>
      <c r="O2549" s="66"/>
      <c r="P2549" s="66"/>
      <c r="Q2549" s="66"/>
      <c r="R2549" s="66"/>
      <c r="S2549" s="66"/>
      <c r="T2549" s="66"/>
      <c r="U2549" s="66"/>
      <c r="V2549" s="66"/>
      <c r="W2549" s="66"/>
      <c r="X2549" s="66"/>
      <c r="Y2549" s="66"/>
      <c r="Z2549" s="66"/>
    </row>
    <row r="2550">
      <c r="A2550" s="66"/>
      <c r="B2550" s="66"/>
      <c r="C2550" s="66"/>
      <c r="D2550" s="66"/>
      <c r="E2550" s="66"/>
      <c r="F2550" s="66"/>
      <c r="G2550" s="66"/>
      <c r="H2550" s="66"/>
      <c r="I2550" s="66"/>
      <c r="J2550" s="66"/>
      <c r="K2550" s="66"/>
      <c r="L2550" s="66"/>
      <c r="M2550" s="66"/>
      <c r="N2550" s="66"/>
      <c r="O2550" s="66"/>
      <c r="P2550" s="66"/>
      <c r="Q2550" s="66"/>
      <c r="R2550" s="66"/>
      <c r="S2550" s="66"/>
      <c r="T2550" s="66"/>
      <c r="U2550" s="66"/>
      <c r="V2550" s="66"/>
      <c r="W2550" s="66"/>
      <c r="X2550" s="66"/>
      <c r="Y2550" s="66"/>
      <c r="Z2550" s="66"/>
    </row>
    <row r="2551">
      <c r="A2551" s="66"/>
      <c r="B2551" s="66"/>
      <c r="C2551" s="66"/>
      <c r="D2551" s="66"/>
      <c r="E2551" s="66"/>
      <c r="F2551" s="66"/>
      <c r="G2551" s="66"/>
      <c r="H2551" s="66"/>
      <c r="I2551" s="66"/>
      <c r="J2551" s="66"/>
      <c r="K2551" s="66"/>
      <c r="L2551" s="66"/>
      <c r="M2551" s="66"/>
      <c r="N2551" s="66"/>
      <c r="O2551" s="66"/>
      <c r="P2551" s="66"/>
      <c r="Q2551" s="66"/>
      <c r="R2551" s="66"/>
      <c r="S2551" s="66"/>
      <c r="T2551" s="66"/>
      <c r="U2551" s="66"/>
      <c r="V2551" s="66"/>
      <c r="W2551" s="66"/>
      <c r="X2551" s="66"/>
      <c r="Y2551" s="66"/>
      <c r="Z2551" s="66"/>
    </row>
    <row r="2552">
      <c r="A2552" s="66"/>
      <c r="B2552" s="66"/>
      <c r="C2552" s="66"/>
      <c r="D2552" s="66"/>
      <c r="E2552" s="66"/>
      <c r="F2552" s="66"/>
      <c r="G2552" s="66"/>
      <c r="H2552" s="66"/>
      <c r="I2552" s="66"/>
      <c r="J2552" s="66"/>
      <c r="K2552" s="66"/>
      <c r="L2552" s="66"/>
      <c r="M2552" s="66"/>
      <c r="N2552" s="66"/>
      <c r="O2552" s="66"/>
      <c r="P2552" s="66"/>
      <c r="Q2552" s="66"/>
      <c r="R2552" s="66"/>
      <c r="S2552" s="66"/>
      <c r="T2552" s="66"/>
      <c r="U2552" s="66"/>
      <c r="V2552" s="66"/>
      <c r="W2552" s="66"/>
      <c r="X2552" s="66"/>
      <c r="Y2552" s="66"/>
      <c r="Z2552" s="66"/>
    </row>
    <row r="2553">
      <c r="A2553" s="66"/>
      <c r="B2553" s="66"/>
      <c r="C2553" s="66"/>
      <c r="D2553" s="66"/>
      <c r="E2553" s="66"/>
      <c r="F2553" s="66"/>
      <c r="G2553" s="66"/>
      <c r="H2553" s="66"/>
      <c r="I2553" s="66"/>
      <c r="J2553" s="66"/>
      <c r="K2553" s="66"/>
      <c r="L2553" s="66"/>
      <c r="M2553" s="66"/>
      <c r="N2553" s="66"/>
      <c r="O2553" s="66"/>
      <c r="P2553" s="66"/>
      <c r="Q2553" s="66"/>
      <c r="R2553" s="66"/>
      <c r="S2553" s="66"/>
      <c r="T2553" s="66"/>
      <c r="U2553" s="66"/>
      <c r="V2553" s="66"/>
      <c r="W2553" s="66"/>
      <c r="X2553" s="66"/>
      <c r="Y2553" s="66"/>
      <c r="Z2553" s="66"/>
    </row>
    <row r="2554">
      <c r="A2554" s="66"/>
      <c r="B2554" s="66"/>
      <c r="C2554" s="66"/>
      <c r="D2554" s="66"/>
      <c r="E2554" s="66"/>
      <c r="F2554" s="66"/>
      <c r="G2554" s="66"/>
      <c r="H2554" s="66"/>
      <c r="I2554" s="66"/>
      <c r="J2554" s="66"/>
      <c r="K2554" s="66"/>
      <c r="L2554" s="66"/>
      <c r="M2554" s="66"/>
      <c r="N2554" s="66"/>
      <c r="O2554" s="66"/>
      <c r="P2554" s="66"/>
      <c r="Q2554" s="66"/>
      <c r="R2554" s="66"/>
      <c r="S2554" s="66"/>
      <c r="T2554" s="66"/>
      <c r="U2554" s="66"/>
      <c r="V2554" s="66"/>
      <c r="W2554" s="66"/>
      <c r="X2554" s="66"/>
      <c r="Y2554" s="66"/>
      <c r="Z2554" s="66"/>
    </row>
    <row r="2555">
      <c r="A2555" s="66"/>
      <c r="B2555" s="66"/>
      <c r="C2555" s="66"/>
      <c r="D2555" s="66"/>
      <c r="E2555" s="66"/>
      <c r="F2555" s="66"/>
      <c r="G2555" s="66"/>
      <c r="H2555" s="66"/>
      <c r="I2555" s="66"/>
      <c r="J2555" s="66"/>
      <c r="K2555" s="66"/>
      <c r="L2555" s="66"/>
      <c r="M2555" s="66"/>
      <c r="N2555" s="66"/>
      <c r="O2555" s="66"/>
      <c r="P2555" s="66"/>
      <c r="Q2555" s="66"/>
      <c r="R2555" s="66"/>
      <c r="S2555" s="66"/>
      <c r="T2555" s="66"/>
      <c r="U2555" s="66"/>
      <c r="V2555" s="66"/>
      <c r="W2555" s="66"/>
      <c r="X2555" s="66"/>
      <c r="Y2555" s="66"/>
      <c r="Z2555" s="66"/>
    </row>
    <row r="2556">
      <c r="A2556" s="66"/>
      <c r="B2556" s="66"/>
      <c r="C2556" s="66"/>
      <c r="D2556" s="66"/>
      <c r="E2556" s="66"/>
      <c r="F2556" s="66"/>
      <c r="G2556" s="66"/>
      <c r="H2556" s="66"/>
      <c r="I2556" s="66"/>
      <c r="J2556" s="66"/>
      <c r="K2556" s="66"/>
      <c r="L2556" s="66"/>
      <c r="M2556" s="66"/>
      <c r="N2556" s="66"/>
      <c r="O2556" s="66"/>
      <c r="P2556" s="66"/>
      <c r="Q2556" s="66"/>
      <c r="R2556" s="66"/>
      <c r="S2556" s="66"/>
      <c r="T2556" s="66"/>
      <c r="U2556" s="66"/>
      <c r="V2556" s="66"/>
      <c r="W2556" s="66"/>
      <c r="X2556" s="66"/>
      <c r="Y2556" s="66"/>
      <c r="Z2556" s="66"/>
    </row>
    <row r="2557">
      <c r="A2557" s="66"/>
      <c r="B2557" s="66"/>
      <c r="C2557" s="66"/>
      <c r="D2557" s="66"/>
      <c r="E2557" s="66"/>
      <c r="F2557" s="66"/>
      <c r="G2557" s="66"/>
      <c r="H2557" s="66"/>
      <c r="I2557" s="66"/>
      <c r="J2557" s="66"/>
      <c r="K2557" s="66"/>
      <c r="L2557" s="66"/>
      <c r="M2557" s="66"/>
      <c r="N2557" s="66"/>
      <c r="O2557" s="66"/>
      <c r="P2557" s="66"/>
      <c r="Q2557" s="66"/>
      <c r="R2557" s="66"/>
      <c r="S2557" s="66"/>
      <c r="T2557" s="66"/>
      <c r="U2557" s="66"/>
      <c r="V2557" s="66"/>
      <c r="W2557" s="66"/>
      <c r="X2557" s="66"/>
      <c r="Y2557" s="66"/>
      <c r="Z2557" s="66"/>
    </row>
    <row r="2558">
      <c r="A2558" s="66"/>
      <c r="B2558" s="66"/>
      <c r="C2558" s="66"/>
      <c r="D2558" s="66"/>
      <c r="E2558" s="66"/>
      <c r="F2558" s="66"/>
      <c r="G2558" s="66"/>
      <c r="H2558" s="66"/>
      <c r="I2558" s="66"/>
      <c r="J2558" s="66"/>
      <c r="K2558" s="66"/>
      <c r="L2558" s="66"/>
      <c r="M2558" s="66"/>
      <c r="N2558" s="66"/>
      <c r="O2558" s="66"/>
      <c r="P2558" s="66"/>
      <c r="Q2558" s="66"/>
      <c r="R2558" s="66"/>
      <c r="S2558" s="66"/>
      <c r="T2558" s="66"/>
      <c r="U2558" s="66"/>
      <c r="V2558" s="66"/>
      <c r="W2558" s="66"/>
      <c r="X2558" s="66"/>
      <c r="Y2558" s="66"/>
      <c r="Z2558" s="66"/>
    </row>
    <row r="2559">
      <c r="A2559" s="66"/>
      <c r="B2559" s="66"/>
      <c r="C2559" s="66"/>
      <c r="D2559" s="66"/>
      <c r="E2559" s="66"/>
      <c r="F2559" s="66"/>
      <c r="G2559" s="66"/>
      <c r="H2559" s="66"/>
      <c r="I2559" s="66"/>
      <c r="J2559" s="66"/>
      <c r="K2559" s="66"/>
      <c r="L2559" s="66"/>
      <c r="M2559" s="66"/>
      <c r="N2559" s="66"/>
      <c r="O2559" s="66"/>
      <c r="P2559" s="66"/>
      <c r="Q2559" s="66"/>
      <c r="R2559" s="66"/>
      <c r="S2559" s="66"/>
      <c r="T2559" s="66"/>
      <c r="U2559" s="66"/>
      <c r="V2559" s="66"/>
      <c r="W2559" s="66"/>
      <c r="X2559" s="66"/>
      <c r="Y2559" s="66"/>
      <c r="Z2559" s="66"/>
    </row>
    <row r="2560">
      <c r="A2560" s="66"/>
      <c r="B2560" s="66"/>
      <c r="C2560" s="66"/>
      <c r="D2560" s="66"/>
      <c r="E2560" s="66"/>
      <c r="F2560" s="66"/>
      <c r="G2560" s="66"/>
      <c r="H2560" s="66"/>
      <c r="I2560" s="66"/>
      <c r="J2560" s="66"/>
      <c r="K2560" s="66"/>
      <c r="L2560" s="66"/>
      <c r="M2560" s="66"/>
      <c r="N2560" s="66"/>
      <c r="O2560" s="66"/>
      <c r="P2560" s="66"/>
      <c r="Q2560" s="66"/>
      <c r="R2560" s="66"/>
      <c r="S2560" s="66"/>
      <c r="T2560" s="66"/>
      <c r="U2560" s="66"/>
      <c r="V2560" s="66"/>
      <c r="W2560" s="66"/>
      <c r="X2560" s="66"/>
      <c r="Y2560" s="66"/>
      <c r="Z2560" s="66"/>
    </row>
    <row r="2561">
      <c r="A2561" s="66"/>
      <c r="B2561" s="66"/>
      <c r="C2561" s="66"/>
      <c r="D2561" s="66"/>
      <c r="E2561" s="66"/>
      <c r="F2561" s="66"/>
      <c r="G2561" s="66"/>
      <c r="H2561" s="66"/>
      <c r="I2561" s="66"/>
      <c r="J2561" s="66"/>
      <c r="K2561" s="66"/>
      <c r="L2561" s="66"/>
      <c r="M2561" s="66"/>
      <c r="N2561" s="66"/>
      <c r="O2561" s="66"/>
      <c r="P2561" s="66"/>
      <c r="Q2561" s="66"/>
      <c r="R2561" s="66"/>
      <c r="S2561" s="66"/>
      <c r="T2561" s="66"/>
      <c r="U2561" s="66"/>
      <c r="V2561" s="66"/>
      <c r="W2561" s="66"/>
      <c r="X2561" s="66"/>
      <c r="Y2561" s="66"/>
      <c r="Z2561" s="66"/>
    </row>
    <row r="2562">
      <c r="A2562" s="66"/>
      <c r="B2562" s="66"/>
      <c r="C2562" s="66"/>
      <c r="D2562" s="66"/>
      <c r="E2562" s="66"/>
      <c r="F2562" s="66"/>
      <c r="G2562" s="66"/>
      <c r="H2562" s="66"/>
      <c r="I2562" s="66"/>
      <c r="J2562" s="66"/>
      <c r="K2562" s="66"/>
      <c r="L2562" s="66"/>
      <c r="M2562" s="66"/>
      <c r="N2562" s="66"/>
      <c r="O2562" s="66"/>
      <c r="P2562" s="66"/>
      <c r="Q2562" s="66"/>
      <c r="R2562" s="66"/>
      <c r="S2562" s="66"/>
      <c r="T2562" s="66"/>
      <c r="U2562" s="66"/>
      <c r="V2562" s="66"/>
      <c r="W2562" s="66"/>
      <c r="X2562" s="66"/>
      <c r="Y2562" s="66"/>
      <c r="Z2562" s="66"/>
    </row>
    <row r="2563">
      <c r="A2563" s="66"/>
      <c r="B2563" s="66"/>
      <c r="C2563" s="66"/>
      <c r="D2563" s="66"/>
      <c r="E2563" s="66"/>
      <c r="F2563" s="66"/>
      <c r="G2563" s="66"/>
      <c r="H2563" s="66"/>
      <c r="I2563" s="66"/>
      <c r="J2563" s="66"/>
      <c r="K2563" s="66"/>
      <c r="L2563" s="66"/>
      <c r="M2563" s="66"/>
      <c r="N2563" s="66"/>
      <c r="O2563" s="66"/>
      <c r="P2563" s="66"/>
      <c r="Q2563" s="66"/>
      <c r="R2563" s="66"/>
      <c r="S2563" s="66"/>
      <c r="T2563" s="66"/>
      <c r="U2563" s="66"/>
      <c r="V2563" s="66"/>
      <c r="W2563" s="66"/>
      <c r="X2563" s="66"/>
      <c r="Y2563" s="66"/>
      <c r="Z2563" s="66"/>
    </row>
    <row r="2564">
      <c r="A2564" s="66"/>
      <c r="B2564" s="66"/>
      <c r="C2564" s="66"/>
      <c r="D2564" s="66"/>
      <c r="E2564" s="66"/>
      <c r="F2564" s="66"/>
      <c r="G2564" s="66"/>
      <c r="H2564" s="66"/>
      <c r="I2564" s="66"/>
      <c r="J2564" s="66"/>
      <c r="K2564" s="66"/>
      <c r="L2564" s="66"/>
      <c r="M2564" s="66"/>
      <c r="N2564" s="66"/>
      <c r="O2564" s="66"/>
      <c r="P2564" s="66"/>
      <c r="Q2564" s="66"/>
      <c r="R2564" s="66"/>
      <c r="S2564" s="66"/>
      <c r="T2564" s="66"/>
      <c r="U2564" s="66"/>
      <c r="V2564" s="66"/>
      <c r="W2564" s="66"/>
      <c r="X2564" s="66"/>
      <c r="Y2564" s="66"/>
      <c r="Z2564" s="66"/>
    </row>
    <row r="2565">
      <c r="A2565" s="66"/>
      <c r="B2565" s="66"/>
      <c r="C2565" s="66"/>
      <c r="D2565" s="66"/>
      <c r="E2565" s="66"/>
      <c r="F2565" s="66"/>
      <c r="G2565" s="66"/>
      <c r="H2565" s="66"/>
      <c r="I2565" s="66"/>
      <c r="J2565" s="66"/>
      <c r="K2565" s="66"/>
      <c r="L2565" s="66"/>
      <c r="M2565" s="66"/>
      <c r="N2565" s="66"/>
      <c r="O2565" s="66"/>
      <c r="P2565" s="66"/>
      <c r="Q2565" s="66"/>
      <c r="R2565" s="66"/>
      <c r="S2565" s="66"/>
      <c r="T2565" s="66"/>
      <c r="U2565" s="66"/>
      <c r="V2565" s="66"/>
      <c r="W2565" s="66"/>
      <c r="X2565" s="66"/>
      <c r="Y2565" s="66"/>
      <c r="Z2565" s="66"/>
    </row>
    <row r="2566">
      <c r="A2566" s="66"/>
      <c r="B2566" s="66"/>
      <c r="C2566" s="66"/>
      <c r="D2566" s="66"/>
      <c r="E2566" s="66"/>
      <c r="F2566" s="66"/>
      <c r="G2566" s="66"/>
      <c r="H2566" s="66"/>
      <c r="I2566" s="66"/>
      <c r="J2566" s="66"/>
      <c r="K2566" s="66"/>
      <c r="L2566" s="66"/>
      <c r="M2566" s="66"/>
      <c r="N2566" s="66"/>
      <c r="O2566" s="66"/>
      <c r="P2566" s="66"/>
      <c r="Q2566" s="66"/>
      <c r="R2566" s="66"/>
      <c r="S2566" s="66"/>
      <c r="T2566" s="66"/>
      <c r="U2566" s="66"/>
      <c r="V2566" s="66"/>
      <c r="W2566" s="66"/>
      <c r="X2566" s="66"/>
      <c r="Y2566" s="66"/>
      <c r="Z2566" s="66"/>
    </row>
    <row r="2567">
      <c r="A2567" s="66"/>
      <c r="B2567" s="66"/>
      <c r="C2567" s="66"/>
      <c r="D2567" s="66"/>
      <c r="E2567" s="66"/>
      <c r="F2567" s="66"/>
      <c r="G2567" s="66"/>
      <c r="H2567" s="66"/>
      <c r="I2567" s="66"/>
      <c r="J2567" s="66"/>
      <c r="K2567" s="66"/>
      <c r="L2567" s="66"/>
      <c r="M2567" s="66"/>
      <c r="N2567" s="66"/>
      <c r="O2567" s="66"/>
      <c r="P2567" s="66"/>
      <c r="Q2567" s="66"/>
      <c r="R2567" s="66"/>
      <c r="S2567" s="66"/>
      <c r="T2567" s="66"/>
      <c r="U2567" s="66"/>
      <c r="V2567" s="66"/>
      <c r="W2567" s="66"/>
      <c r="X2567" s="66"/>
      <c r="Y2567" s="66"/>
      <c r="Z2567" s="66"/>
    </row>
    <row r="2568">
      <c r="A2568" s="66"/>
      <c r="B2568" s="66"/>
      <c r="C2568" s="66"/>
      <c r="D2568" s="66"/>
      <c r="E2568" s="66"/>
      <c r="F2568" s="66"/>
      <c r="G2568" s="66"/>
      <c r="H2568" s="66"/>
      <c r="I2568" s="66"/>
      <c r="J2568" s="66"/>
      <c r="K2568" s="66"/>
      <c r="L2568" s="66"/>
      <c r="M2568" s="66"/>
      <c r="N2568" s="66"/>
      <c r="O2568" s="66"/>
      <c r="P2568" s="66"/>
      <c r="Q2568" s="66"/>
      <c r="R2568" s="66"/>
      <c r="S2568" s="66"/>
      <c r="T2568" s="66"/>
      <c r="U2568" s="66"/>
      <c r="V2568" s="66"/>
      <c r="W2568" s="66"/>
      <c r="X2568" s="66"/>
      <c r="Y2568" s="66"/>
      <c r="Z2568" s="66"/>
    </row>
    <row r="2569">
      <c r="A2569" s="66"/>
      <c r="B2569" s="66"/>
      <c r="C2569" s="66"/>
      <c r="D2569" s="66"/>
      <c r="E2569" s="66"/>
      <c r="F2569" s="66"/>
      <c r="G2569" s="66"/>
      <c r="H2569" s="66"/>
      <c r="I2569" s="66"/>
      <c r="J2569" s="66"/>
      <c r="K2569" s="66"/>
      <c r="L2569" s="66"/>
      <c r="M2569" s="66"/>
      <c r="N2569" s="66"/>
      <c r="O2569" s="66"/>
      <c r="P2569" s="66"/>
      <c r="Q2569" s="66"/>
      <c r="R2569" s="66"/>
      <c r="S2569" s="66"/>
      <c r="T2569" s="66"/>
      <c r="U2569" s="66"/>
      <c r="V2569" s="66"/>
      <c r="W2569" s="66"/>
      <c r="X2569" s="66"/>
      <c r="Y2569" s="66"/>
      <c r="Z2569" s="66"/>
    </row>
    <row r="2570">
      <c r="A2570" s="66"/>
      <c r="B2570" s="66"/>
      <c r="C2570" s="66"/>
      <c r="D2570" s="66"/>
      <c r="E2570" s="66"/>
      <c r="F2570" s="66"/>
      <c r="G2570" s="66"/>
      <c r="H2570" s="66"/>
      <c r="I2570" s="66"/>
      <c r="J2570" s="66"/>
      <c r="K2570" s="66"/>
      <c r="L2570" s="66"/>
      <c r="M2570" s="66"/>
      <c r="N2570" s="66"/>
      <c r="O2570" s="66"/>
      <c r="P2570" s="66"/>
      <c r="Q2570" s="66"/>
      <c r="R2570" s="66"/>
      <c r="S2570" s="66"/>
      <c r="T2570" s="66"/>
      <c r="U2570" s="66"/>
      <c r="V2570" s="66"/>
      <c r="W2570" s="66"/>
      <c r="X2570" s="66"/>
      <c r="Y2570" s="66"/>
      <c r="Z2570" s="66"/>
    </row>
    <row r="2571">
      <c r="A2571" s="66"/>
      <c r="B2571" s="66"/>
      <c r="C2571" s="66"/>
      <c r="D2571" s="66"/>
      <c r="E2571" s="66"/>
      <c r="F2571" s="66"/>
      <c r="G2571" s="66"/>
      <c r="H2571" s="66"/>
      <c r="I2571" s="66"/>
      <c r="J2571" s="66"/>
      <c r="K2571" s="66"/>
      <c r="L2571" s="66"/>
      <c r="M2571" s="66"/>
      <c r="N2571" s="66"/>
      <c r="O2571" s="66"/>
      <c r="P2571" s="66"/>
      <c r="Q2571" s="66"/>
      <c r="R2571" s="66"/>
      <c r="S2571" s="66"/>
      <c r="T2571" s="66"/>
      <c r="U2571" s="66"/>
      <c r="V2571" s="66"/>
      <c r="W2571" s="66"/>
      <c r="X2571" s="66"/>
      <c r="Y2571" s="66"/>
      <c r="Z2571" s="66"/>
    </row>
    <row r="2572">
      <c r="A2572" s="66"/>
      <c r="B2572" s="66"/>
      <c r="C2572" s="66"/>
      <c r="D2572" s="66"/>
      <c r="E2572" s="66"/>
      <c r="F2572" s="66"/>
      <c r="G2572" s="66"/>
      <c r="H2572" s="66"/>
      <c r="I2572" s="66"/>
      <c r="J2572" s="66"/>
      <c r="K2572" s="66"/>
      <c r="L2572" s="66"/>
      <c r="M2572" s="66"/>
      <c r="N2572" s="66"/>
      <c r="O2572" s="66"/>
      <c r="P2572" s="66"/>
      <c r="Q2572" s="66"/>
      <c r="R2572" s="66"/>
      <c r="S2572" s="66"/>
      <c r="T2572" s="66"/>
      <c r="U2572" s="66"/>
      <c r="V2572" s="66"/>
      <c r="W2572" s="66"/>
      <c r="X2572" s="66"/>
      <c r="Y2572" s="66"/>
      <c r="Z2572" s="66"/>
    </row>
    <row r="2573">
      <c r="A2573" s="66"/>
      <c r="B2573" s="66"/>
      <c r="C2573" s="66"/>
      <c r="D2573" s="66"/>
      <c r="E2573" s="66"/>
      <c r="F2573" s="66"/>
      <c r="G2573" s="66"/>
      <c r="H2573" s="66"/>
      <c r="I2573" s="66"/>
      <c r="J2573" s="66"/>
      <c r="K2573" s="66"/>
      <c r="L2573" s="66"/>
      <c r="M2573" s="66"/>
      <c r="N2573" s="66"/>
      <c r="O2573" s="66"/>
      <c r="P2573" s="66"/>
      <c r="Q2573" s="66"/>
      <c r="R2573" s="66"/>
      <c r="S2573" s="66"/>
      <c r="T2573" s="66"/>
      <c r="U2573" s="66"/>
      <c r="V2573" s="66"/>
      <c r="W2573" s="66"/>
      <c r="X2573" s="66"/>
      <c r="Y2573" s="66"/>
      <c r="Z2573" s="66"/>
    </row>
    <row r="2574">
      <c r="A2574" s="66"/>
      <c r="B2574" s="66"/>
      <c r="C2574" s="66"/>
      <c r="D2574" s="66"/>
      <c r="E2574" s="66"/>
      <c r="F2574" s="66"/>
      <c r="G2574" s="66"/>
      <c r="H2574" s="66"/>
      <c r="I2574" s="66"/>
      <c r="J2574" s="66"/>
      <c r="K2574" s="66"/>
      <c r="L2574" s="66"/>
      <c r="M2574" s="66"/>
      <c r="N2574" s="66"/>
      <c r="O2574" s="66"/>
      <c r="P2574" s="66"/>
      <c r="Q2574" s="66"/>
      <c r="R2574" s="66"/>
      <c r="S2574" s="66"/>
      <c r="T2574" s="66"/>
      <c r="U2574" s="66"/>
      <c r="V2574" s="66"/>
      <c r="W2574" s="66"/>
      <c r="X2574" s="66"/>
      <c r="Y2574" s="66"/>
      <c r="Z2574" s="66"/>
    </row>
    <row r="2575">
      <c r="A2575" s="66"/>
      <c r="B2575" s="66"/>
      <c r="C2575" s="66"/>
      <c r="D2575" s="66"/>
      <c r="E2575" s="66"/>
      <c r="F2575" s="66"/>
      <c r="G2575" s="66"/>
      <c r="H2575" s="66"/>
      <c r="I2575" s="66"/>
      <c r="J2575" s="66"/>
      <c r="K2575" s="66"/>
      <c r="L2575" s="66"/>
      <c r="M2575" s="66"/>
      <c r="N2575" s="66"/>
      <c r="O2575" s="66"/>
      <c r="P2575" s="66"/>
      <c r="Q2575" s="66"/>
      <c r="R2575" s="66"/>
      <c r="S2575" s="66"/>
      <c r="T2575" s="66"/>
      <c r="U2575" s="66"/>
      <c r="V2575" s="66"/>
      <c r="W2575" s="66"/>
      <c r="X2575" s="66"/>
      <c r="Y2575" s="66"/>
      <c r="Z2575" s="66"/>
    </row>
    <row r="2576">
      <c r="A2576" s="66"/>
      <c r="B2576" s="66"/>
      <c r="C2576" s="66"/>
      <c r="D2576" s="66"/>
      <c r="E2576" s="66"/>
      <c r="F2576" s="66"/>
      <c r="G2576" s="66"/>
      <c r="H2576" s="66"/>
      <c r="I2576" s="66"/>
      <c r="J2576" s="66"/>
      <c r="K2576" s="66"/>
      <c r="L2576" s="66"/>
      <c r="M2576" s="66"/>
      <c r="N2576" s="66"/>
      <c r="O2576" s="66"/>
      <c r="P2576" s="66"/>
      <c r="Q2576" s="66"/>
      <c r="R2576" s="66"/>
      <c r="S2576" s="66"/>
      <c r="T2576" s="66"/>
      <c r="U2576" s="66"/>
      <c r="V2576" s="66"/>
      <c r="W2576" s="66"/>
      <c r="X2576" s="66"/>
      <c r="Y2576" s="66"/>
      <c r="Z2576" s="66"/>
    </row>
    <row r="2577">
      <c r="A2577" s="66"/>
      <c r="B2577" s="66"/>
      <c r="C2577" s="66"/>
      <c r="D2577" s="66"/>
      <c r="E2577" s="66"/>
      <c r="F2577" s="66"/>
      <c r="G2577" s="66"/>
      <c r="H2577" s="66"/>
      <c r="I2577" s="66"/>
      <c r="J2577" s="66"/>
      <c r="K2577" s="66"/>
      <c r="L2577" s="66"/>
      <c r="M2577" s="66"/>
      <c r="N2577" s="66"/>
      <c r="O2577" s="66"/>
      <c r="P2577" s="66"/>
      <c r="Q2577" s="66"/>
      <c r="R2577" s="66"/>
      <c r="S2577" s="66"/>
      <c r="T2577" s="66"/>
      <c r="U2577" s="66"/>
      <c r="V2577" s="66"/>
      <c r="W2577" s="66"/>
      <c r="X2577" s="66"/>
      <c r="Y2577" s="66"/>
      <c r="Z2577" s="66"/>
    </row>
    <row r="2578">
      <c r="A2578" s="66"/>
      <c r="B2578" s="66"/>
      <c r="C2578" s="66"/>
      <c r="D2578" s="66"/>
      <c r="E2578" s="66"/>
      <c r="F2578" s="66"/>
      <c r="G2578" s="66"/>
      <c r="H2578" s="66"/>
      <c r="I2578" s="66"/>
      <c r="J2578" s="66"/>
      <c r="K2578" s="66"/>
      <c r="L2578" s="66"/>
      <c r="M2578" s="66"/>
      <c r="N2578" s="66"/>
      <c r="O2578" s="66"/>
      <c r="P2578" s="66"/>
      <c r="Q2578" s="66"/>
      <c r="R2578" s="66"/>
      <c r="S2578" s="66"/>
      <c r="T2578" s="66"/>
      <c r="U2578" s="66"/>
      <c r="V2578" s="66"/>
      <c r="W2578" s="66"/>
      <c r="X2578" s="66"/>
      <c r="Y2578" s="66"/>
      <c r="Z2578" s="66"/>
    </row>
    <row r="2579">
      <c r="A2579" s="66"/>
      <c r="B2579" s="66"/>
      <c r="C2579" s="66"/>
      <c r="D2579" s="66"/>
      <c r="E2579" s="66"/>
      <c r="F2579" s="66"/>
      <c r="G2579" s="66"/>
      <c r="H2579" s="66"/>
      <c r="I2579" s="66"/>
      <c r="J2579" s="66"/>
      <c r="K2579" s="66"/>
      <c r="L2579" s="66"/>
      <c r="M2579" s="66"/>
      <c r="N2579" s="66"/>
      <c r="O2579" s="66"/>
      <c r="P2579" s="66"/>
      <c r="Q2579" s="66"/>
      <c r="R2579" s="66"/>
      <c r="S2579" s="66"/>
      <c r="T2579" s="66"/>
      <c r="U2579" s="66"/>
      <c r="V2579" s="66"/>
      <c r="W2579" s="66"/>
      <c r="X2579" s="66"/>
      <c r="Y2579" s="66"/>
      <c r="Z2579" s="66"/>
    </row>
    <row r="2580">
      <c r="A2580" s="66"/>
      <c r="B2580" s="66"/>
      <c r="C2580" s="66"/>
      <c r="D2580" s="66"/>
      <c r="E2580" s="66"/>
      <c r="F2580" s="66"/>
      <c r="G2580" s="66"/>
      <c r="H2580" s="66"/>
      <c r="I2580" s="66"/>
      <c r="J2580" s="66"/>
      <c r="K2580" s="66"/>
      <c r="L2580" s="66"/>
      <c r="M2580" s="66"/>
      <c r="N2580" s="66"/>
      <c r="O2580" s="66"/>
      <c r="P2580" s="66"/>
      <c r="Q2580" s="66"/>
      <c r="R2580" s="66"/>
      <c r="S2580" s="66"/>
      <c r="T2580" s="66"/>
      <c r="U2580" s="66"/>
      <c r="V2580" s="66"/>
      <c r="W2580" s="66"/>
      <c r="X2580" s="66"/>
      <c r="Y2580" s="66"/>
      <c r="Z2580" s="66"/>
    </row>
    <row r="2581">
      <c r="A2581" s="66"/>
      <c r="B2581" s="66"/>
      <c r="C2581" s="66"/>
      <c r="D2581" s="66"/>
      <c r="E2581" s="66"/>
      <c r="F2581" s="66"/>
      <c r="G2581" s="66"/>
      <c r="H2581" s="66"/>
      <c r="I2581" s="66"/>
      <c r="J2581" s="66"/>
      <c r="K2581" s="66"/>
      <c r="L2581" s="66"/>
      <c r="M2581" s="66"/>
      <c r="N2581" s="66"/>
      <c r="O2581" s="66"/>
      <c r="P2581" s="66"/>
      <c r="Q2581" s="66"/>
      <c r="R2581" s="66"/>
      <c r="S2581" s="66"/>
      <c r="T2581" s="66"/>
      <c r="U2581" s="66"/>
      <c r="V2581" s="66"/>
      <c r="W2581" s="66"/>
      <c r="X2581" s="66"/>
      <c r="Y2581" s="66"/>
      <c r="Z2581" s="66"/>
    </row>
    <row r="2582">
      <c r="A2582" s="66"/>
      <c r="B2582" s="66"/>
      <c r="C2582" s="66"/>
      <c r="D2582" s="66"/>
      <c r="E2582" s="66"/>
      <c r="F2582" s="66"/>
      <c r="G2582" s="66"/>
      <c r="H2582" s="66"/>
      <c r="I2582" s="66"/>
      <c r="J2582" s="66"/>
      <c r="K2582" s="66"/>
      <c r="L2582" s="66"/>
      <c r="M2582" s="66"/>
      <c r="N2582" s="66"/>
      <c r="O2582" s="66"/>
      <c r="P2582" s="66"/>
      <c r="Q2582" s="66"/>
      <c r="R2582" s="66"/>
      <c r="S2582" s="66"/>
      <c r="T2582" s="66"/>
      <c r="U2582" s="66"/>
      <c r="V2582" s="66"/>
      <c r="W2582" s="66"/>
      <c r="X2582" s="66"/>
      <c r="Y2582" s="66"/>
      <c r="Z2582" s="66"/>
    </row>
    <row r="2583">
      <c r="A2583" s="66"/>
      <c r="B2583" s="66"/>
      <c r="C2583" s="66"/>
      <c r="D2583" s="66"/>
      <c r="E2583" s="66"/>
      <c r="F2583" s="66"/>
      <c r="G2583" s="66"/>
      <c r="H2583" s="66"/>
      <c r="I2583" s="66"/>
      <c r="J2583" s="66"/>
      <c r="K2583" s="66"/>
      <c r="L2583" s="66"/>
      <c r="M2583" s="66"/>
      <c r="N2583" s="66"/>
      <c r="O2583" s="66"/>
      <c r="P2583" s="66"/>
      <c r="Q2583" s="66"/>
      <c r="R2583" s="66"/>
      <c r="S2583" s="66"/>
      <c r="T2583" s="66"/>
      <c r="U2583" s="66"/>
      <c r="V2583" s="66"/>
      <c r="W2583" s="66"/>
      <c r="X2583" s="66"/>
      <c r="Y2583" s="66"/>
      <c r="Z2583" s="66"/>
    </row>
    <row r="2584">
      <c r="A2584" s="66"/>
      <c r="B2584" s="66"/>
      <c r="C2584" s="66"/>
      <c r="D2584" s="66"/>
      <c r="E2584" s="66"/>
      <c r="F2584" s="66"/>
      <c r="G2584" s="66"/>
      <c r="H2584" s="66"/>
      <c r="I2584" s="66"/>
      <c r="J2584" s="66"/>
      <c r="K2584" s="66"/>
      <c r="L2584" s="66"/>
      <c r="M2584" s="66"/>
      <c r="N2584" s="66"/>
      <c r="O2584" s="66"/>
      <c r="P2584" s="66"/>
      <c r="Q2584" s="66"/>
      <c r="R2584" s="66"/>
      <c r="S2584" s="66"/>
      <c r="T2584" s="66"/>
      <c r="U2584" s="66"/>
      <c r="V2584" s="66"/>
      <c r="W2584" s="66"/>
      <c r="X2584" s="66"/>
      <c r="Y2584" s="66"/>
      <c r="Z2584" s="66"/>
    </row>
    <row r="2585">
      <c r="A2585" s="66"/>
      <c r="B2585" s="66"/>
      <c r="C2585" s="66"/>
      <c r="D2585" s="66"/>
      <c r="E2585" s="66"/>
      <c r="F2585" s="66"/>
      <c r="G2585" s="66"/>
      <c r="H2585" s="66"/>
      <c r="I2585" s="66"/>
      <c r="J2585" s="66"/>
      <c r="K2585" s="66"/>
      <c r="L2585" s="66"/>
      <c r="M2585" s="66"/>
      <c r="N2585" s="66"/>
      <c r="O2585" s="66"/>
      <c r="P2585" s="66"/>
      <c r="Q2585" s="66"/>
      <c r="R2585" s="66"/>
      <c r="S2585" s="66"/>
      <c r="T2585" s="66"/>
      <c r="U2585" s="66"/>
      <c r="V2585" s="66"/>
      <c r="W2585" s="66"/>
      <c r="X2585" s="66"/>
      <c r="Y2585" s="66"/>
      <c r="Z2585" s="66"/>
    </row>
    <row r="2586">
      <c r="A2586" s="66"/>
      <c r="B2586" s="66"/>
      <c r="C2586" s="66"/>
      <c r="D2586" s="66"/>
      <c r="E2586" s="66"/>
      <c r="F2586" s="66"/>
      <c r="G2586" s="66"/>
      <c r="H2586" s="66"/>
      <c r="I2586" s="66"/>
      <c r="J2586" s="66"/>
      <c r="K2586" s="66"/>
      <c r="L2586" s="66"/>
      <c r="M2586" s="66"/>
      <c r="N2586" s="66"/>
      <c r="O2586" s="66"/>
      <c r="P2586" s="66"/>
      <c r="Q2586" s="66"/>
      <c r="R2586" s="66"/>
      <c r="S2586" s="66"/>
      <c r="T2586" s="66"/>
      <c r="U2586" s="66"/>
      <c r="V2586" s="66"/>
      <c r="W2586" s="66"/>
      <c r="X2586" s="66"/>
      <c r="Y2586" s="66"/>
      <c r="Z2586" s="66"/>
    </row>
    <row r="2587">
      <c r="A2587" s="66"/>
      <c r="B2587" s="66"/>
      <c r="C2587" s="66"/>
      <c r="D2587" s="66"/>
      <c r="E2587" s="66"/>
      <c r="F2587" s="66"/>
      <c r="G2587" s="66"/>
      <c r="H2587" s="66"/>
      <c r="I2587" s="66"/>
      <c r="J2587" s="66"/>
      <c r="K2587" s="66"/>
      <c r="L2587" s="66"/>
      <c r="M2587" s="66"/>
      <c r="N2587" s="66"/>
      <c r="O2587" s="66"/>
      <c r="P2587" s="66"/>
      <c r="Q2587" s="66"/>
      <c r="R2587" s="66"/>
      <c r="S2587" s="66"/>
      <c r="T2587" s="66"/>
      <c r="U2587" s="66"/>
      <c r="V2587" s="66"/>
      <c r="W2587" s="66"/>
      <c r="X2587" s="66"/>
      <c r="Y2587" s="66"/>
      <c r="Z2587" s="66"/>
    </row>
    <row r="2588">
      <c r="A2588" s="66"/>
      <c r="B2588" s="66"/>
      <c r="C2588" s="66"/>
      <c r="D2588" s="66"/>
      <c r="E2588" s="66"/>
      <c r="F2588" s="66"/>
      <c r="G2588" s="66"/>
      <c r="H2588" s="66"/>
      <c r="I2588" s="66"/>
      <c r="J2588" s="66"/>
      <c r="K2588" s="66"/>
      <c r="L2588" s="66"/>
      <c r="M2588" s="66"/>
      <c r="N2588" s="66"/>
      <c r="O2588" s="66"/>
      <c r="P2588" s="66"/>
      <c r="Q2588" s="66"/>
      <c r="R2588" s="66"/>
      <c r="S2588" s="66"/>
      <c r="T2588" s="66"/>
      <c r="U2588" s="66"/>
      <c r="V2588" s="66"/>
      <c r="W2588" s="66"/>
      <c r="X2588" s="66"/>
      <c r="Y2588" s="66"/>
      <c r="Z2588" s="66"/>
    </row>
    <row r="2589">
      <c r="A2589" s="66"/>
      <c r="B2589" s="66"/>
      <c r="C2589" s="66"/>
      <c r="D2589" s="66"/>
      <c r="E2589" s="66"/>
      <c r="F2589" s="66"/>
      <c r="G2589" s="66"/>
      <c r="H2589" s="66"/>
      <c r="I2589" s="66"/>
      <c r="J2589" s="66"/>
      <c r="K2589" s="66"/>
      <c r="L2589" s="66"/>
      <c r="M2589" s="66"/>
      <c r="N2589" s="66"/>
      <c r="O2589" s="66"/>
      <c r="P2589" s="66"/>
      <c r="Q2589" s="66"/>
      <c r="R2589" s="66"/>
      <c r="S2589" s="66"/>
      <c r="T2589" s="66"/>
      <c r="U2589" s="66"/>
      <c r="V2589" s="66"/>
      <c r="W2589" s="66"/>
      <c r="X2589" s="66"/>
      <c r="Y2589" s="66"/>
      <c r="Z2589" s="66"/>
    </row>
    <row r="2590">
      <c r="A2590" s="66"/>
      <c r="B2590" s="66"/>
      <c r="C2590" s="66"/>
      <c r="D2590" s="66"/>
      <c r="E2590" s="66"/>
      <c r="F2590" s="66"/>
      <c r="G2590" s="66"/>
      <c r="H2590" s="66"/>
      <c r="I2590" s="66"/>
      <c r="J2590" s="66"/>
      <c r="K2590" s="66"/>
      <c r="L2590" s="66"/>
      <c r="M2590" s="66"/>
      <c r="N2590" s="66"/>
      <c r="O2590" s="66"/>
      <c r="P2590" s="66"/>
      <c r="Q2590" s="66"/>
      <c r="R2590" s="66"/>
      <c r="S2590" s="66"/>
      <c r="T2590" s="66"/>
      <c r="U2590" s="66"/>
      <c r="V2590" s="66"/>
      <c r="W2590" s="66"/>
      <c r="X2590" s="66"/>
      <c r="Y2590" s="66"/>
      <c r="Z2590" s="66"/>
    </row>
    <row r="2591">
      <c r="A2591" s="66"/>
      <c r="B2591" s="66"/>
      <c r="C2591" s="66"/>
      <c r="D2591" s="66"/>
      <c r="E2591" s="66"/>
      <c r="F2591" s="66"/>
      <c r="G2591" s="66"/>
      <c r="H2591" s="66"/>
      <c r="I2591" s="66"/>
      <c r="J2591" s="66"/>
      <c r="K2591" s="66"/>
      <c r="L2591" s="66"/>
      <c r="M2591" s="66"/>
      <c r="N2591" s="66"/>
      <c r="O2591" s="66"/>
      <c r="P2591" s="66"/>
      <c r="Q2591" s="66"/>
      <c r="R2591" s="66"/>
      <c r="S2591" s="66"/>
      <c r="T2591" s="66"/>
      <c r="U2591" s="66"/>
      <c r="V2591" s="66"/>
      <c r="W2591" s="66"/>
      <c r="X2591" s="66"/>
      <c r="Y2591" s="66"/>
      <c r="Z2591" s="66"/>
    </row>
    <row r="2592">
      <c r="A2592" s="66"/>
      <c r="B2592" s="66"/>
      <c r="C2592" s="66"/>
      <c r="D2592" s="66"/>
      <c r="E2592" s="66"/>
      <c r="F2592" s="66"/>
      <c r="G2592" s="66"/>
      <c r="H2592" s="66"/>
      <c r="I2592" s="66"/>
      <c r="J2592" s="66"/>
      <c r="K2592" s="66"/>
      <c r="L2592" s="66"/>
      <c r="M2592" s="66"/>
      <c r="N2592" s="66"/>
      <c r="O2592" s="66"/>
      <c r="P2592" s="66"/>
      <c r="Q2592" s="66"/>
      <c r="R2592" s="66"/>
      <c r="S2592" s="66"/>
      <c r="T2592" s="66"/>
      <c r="U2592" s="66"/>
      <c r="V2592" s="66"/>
      <c r="W2592" s="66"/>
      <c r="X2592" s="66"/>
      <c r="Y2592" s="66"/>
      <c r="Z2592" s="66"/>
    </row>
    <row r="2593">
      <c r="A2593" s="66"/>
      <c r="B2593" s="66"/>
      <c r="C2593" s="66"/>
      <c r="D2593" s="66"/>
      <c r="E2593" s="66"/>
      <c r="F2593" s="66"/>
      <c r="G2593" s="66"/>
      <c r="H2593" s="66"/>
      <c r="I2593" s="66"/>
      <c r="J2593" s="66"/>
      <c r="K2593" s="66"/>
      <c r="L2593" s="66"/>
      <c r="M2593" s="66"/>
      <c r="N2593" s="66"/>
      <c r="O2593" s="66"/>
      <c r="P2593" s="66"/>
      <c r="Q2593" s="66"/>
      <c r="R2593" s="66"/>
      <c r="S2593" s="66"/>
      <c r="T2593" s="66"/>
      <c r="U2593" s="66"/>
      <c r="V2593" s="66"/>
      <c r="W2593" s="66"/>
      <c r="X2593" s="66"/>
      <c r="Y2593" s="66"/>
      <c r="Z2593" s="66"/>
    </row>
    <row r="2594">
      <c r="A2594" s="66"/>
      <c r="B2594" s="66"/>
      <c r="C2594" s="66"/>
      <c r="D2594" s="66"/>
      <c r="E2594" s="66"/>
      <c r="F2594" s="66"/>
      <c r="G2594" s="66"/>
      <c r="H2594" s="66"/>
      <c r="I2594" s="66"/>
      <c r="J2594" s="66"/>
      <c r="K2594" s="66"/>
      <c r="L2594" s="66"/>
      <c r="M2594" s="66"/>
      <c r="N2594" s="66"/>
      <c r="O2594" s="66"/>
      <c r="P2594" s="66"/>
      <c r="Q2594" s="66"/>
      <c r="R2594" s="66"/>
      <c r="S2594" s="66"/>
      <c r="T2594" s="66"/>
      <c r="U2594" s="66"/>
      <c r="V2594" s="66"/>
      <c r="W2594" s="66"/>
      <c r="X2594" s="66"/>
      <c r="Y2594" s="66"/>
      <c r="Z2594" s="66"/>
    </row>
    <row r="2595">
      <c r="A2595" s="66"/>
      <c r="B2595" s="66"/>
      <c r="C2595" s="66"/>
      <c r="D2595" s="66"/>
      <c r="E2595" s="66"/>
      <c r="F2595" s="66"/>
      <c r="G2595" s="66"/>
      <c r="H2595" s="66"/>
      <c r="I2595" s="66"/>
      <c r="J2595" s="66"/>
      <c r="K2595" s="66"/>
      <c r="L2595" s="66"/>
      <c r="M2595" s="66"/>
      <c r="N2595" s="66"/>
      <c r="O2595" s="66"/>
      <c r="P2595" s="66"/>
      <c r="Q2595" s="66"/>
      <c r="R2595" s="66"/>
      <c r="S2595" s="66"/>
      <c r="T2595" s="66"/>
      <c r="U2595" s="66"/>
      <c r="V2595" s="66"/>
      <c r="W2595" s="66"/>
      <c r="X2595" s="66"/>
      <c r="Y2595" s="66"/>
      <c r="Z2595" s="66"/>
    </row>
    <row r="2596">
      <c r="A2596" s="66"/>
      <c r="B2596" s="66"/>
      <c r="C2596" s="66"/>
      <c r="D2596" s="66"/>
      <c r="E2596" s="66"/>
      <c r="F2596" s="66"/>
      <c r="G2596" s="66"/>
      <c r="H2596" s="66"/>
      <c r="I2596" s="66"/>
      <c r="J2596" s="66"/>
      <c r="K2596" s="66"/>
      <c r="L2596" s="66"/>
      <c r="M2596" s="66"/>
      <c r="N2596" s="66"/>
      <c r="O2596" s="66"/>
      <c r="P2596" s="66"/>
      <c r="Q2596" s="66"/>
      <c r="R2596" s="66"/>
      <c r="S2596" s="66"/>
      <c r="T2596" s="66"/>
      <c r="U2596" s="66"/>
      <c r="V2596" s="66"/>
      <c r="W2596" s="66"/>
      <c r="X2596" s="66"/>
      <c r="Y2596" s="66"/>
      <c r="Z2596" s="66"/>
    </row>
    <row r="2597">
      <c r="A2597" s="66"/>
      <c r="B2597" s="66"/>
      <c r="C2597" s="66"/>
      <c r="D2597" s="66"/>
      <c r="E2597" s="66"/>
      <c r="F2597" s="66"/>
      <c r="G2597" s="66"/>
      <c r="H2597" s="66"/>
      <c r="I2597" s="66"/>
      <c r="J2597" s="66"/>
      <c r="K2597" s="66"/>
      <c r="L2597" s="66"/>
      <c r="M2597" s="66"/>
      <c r="N2597" s="66"/>
      <c r="O2597" s="66"/>
      <c r="P2597" s="66"/>
      <c r="Q2597" s="66"/>
      <c r="R2597" s="66"/>
      <c r="S2597" s="66"/>
      <c r="T2597" s="66"/>
      <c r="U2597" s="66"/>
      <c r="V2597" s="66"/>
      <c r="W2597" s="66"/>
      <c r="X2597" s="66"/>
      <c r="Y2597" s="66"/>
      <c r="Z2597" s="66"/>
    </row>
    <row r="2598">
      <c r="A2598" s="66"/>
      <c r="B2598" s="66"/>
      <c r="C2598" s="66"/>
      <c r="D2598" s="66"/>
      <c r="E2598" s="66"/>
      <c r="F2598" s="66"/>
      <c r="G2598" s="66"/>
      <c r="H2598" s="66"/>
      <c r="I2598" s="66"/>
      <c r="J2598" s="66"/>
      <c r="K2598" s="66"/>
      <c r="L2598" s="66"/>
      <c r="M2598" s="66"/>
      <c r="N2598" s="66"/>
      <c r="O2598" s="66"/>
      <c r="P2598" s="66"/>
      <c r="Q2598" s="66"/>
      <c r="R2598" s="66"/>
      <c r="S2598" s="66"/>
      <c r="T2598" s="66"/>
      <c r="U2598" s="66"/>
      <c r="V2598" s="66"/>
      <c r="W2598" s="66"/>
      <c r="X2598" s="66"/>
      <c r="Y2598" s="66"/>
      <c r="Z2598" s="66"/>
    </row>
    <row r="2599">
      <c r="A2599" s="66"/>
      <c r="B2599" s="66"/>
      <c r="C2599" s="66"/>
      <c r="D2599" s="66"/>
      <c r="E2599" s="66"/>
      <c r="F2599" s="66"/>
      <c r="G2599" s="66"/>
      <c r="H2599" s="66"/>
      <c r="I2599" s="66"/>
      <c r="J2599" s="66"/>
      <c r="K2599" s="66"/>
      <c r="L2599" s="66"/>
      <c r="M2599" s="66"/>
      <c r="N2599" s="66"/>
      <c r="O2599" s="66"/>
      <c r="P2599" s="66"/>
      <c r="Q2599" s="66"/>
      <c r="R2599" s="66"/>
      <c r="S2599" s="66"/>
      <c r="T2599" s="66"/>
      <c r="U2599" s="66"/>
      <c r="V2599" s="66"/>
      <c r="W2599" s="66"/>
      <c r="X2599" s="66"/>
      <c r="Y2599" s="66"/>
      <c r="Z2599" s="66"/>
    </row>
    <row r="2600">
      <c r="A2600" s="66"/>
      <c r="B2600" s="66"/>
      <c r="C2600" s="66"/>
      <c r="D2600" s="66"/>
      <c r="E2600" s="66"/>
      <c r="F2600" s="66"/>
      <c r="G2600" s="66"/>
      <c r="H2600" s="66"/>
      <c r="I2600" s="66"/>
      <c r="J2600" s="66"/>
      <c r="K2600" s="66"/>
      <c r="L2600" s="66"/>
      <c r="M2600" s="66"/>
      <c r="N2600" s="66"/>
      <c r="O2600" s="66"/>
      <c r="P2600" s="66"/>
      <c r="Q2600" s="66"/>
      <c r="R2600" s="66"/>
      <c r="S2600" s="66"/>
      <c r="T2600" s="66"/>
      <c r="U2600" s="66"/>
      <c r="V2600" s="66"/>
      <c r="W2600" s="66"/>
      <c r="X2600" s="66"/>
      <c r="Y2600" s="66"/>
      <c r="Z2600" s="66"/>
    </row>
    <row r="2601">
      <c r="A2601" s="66"/>
      <c r="B2601" s="66"/>
      <c r="C2601" s="66"/>
      <c r="D2601" s="66"/>
      <c r="E2601" s="66"/>
      <c r="F2601" s="66"/>
      <c r="G2601" s="66"/>
      <c r="H2601" s="66"/>
      <c r="I2601" s="66"/>
      <c r="J2601" s="66"/>
      <c r="K2601" s="66"/>
      <c r="L2601" s="66"/>
      <c r="M2601" s="66"/>
      <c r="N2601" s="66"/>
      <c r="O2601" s="66"/>
      <c r="P2601" s="66"/>
      <c r="Q2601" s="66"/>
      <c r="R2601" s="66"/>
      <c r="S2601" s="66"/>
      <c r="T2601" s="66"/>
      <c r="U2601" s="66"/>
      <c r="V2601" s="66"/>
      <c r="W2601" s="66"/>
      <c r="X2601" s="66"/>
      <c r="Y2601" s="66"/>
      <c r="Z2601" s="66"/>
    </row>
    <row r="2602">
      <c r="A2602" s="66"/>
      <c r="B2602" s="66"/>
      <c r="C2602" s="66"/>
      <c r="D2602" s="66"/>
      <c r="E2602" s="66"/>
      <c r="F2602" s="66"/>
      <c r="G2602" s="66"/>
      <c r="H2602" s="66"/>
      <c r="I2602" s="66"/>
      <c r="J2602" s="66"/>
      <c r="K2602" s="66"/>
      <c r="L2602" s="66"/>
      <c r="M2602" s="66"/>
      <c r="N2602" s="66"/>
      <c r="O2602" s="66"/>
      <c r="P2602" s="66"/>
      <c r="Q2602" s="66"/>
      <c r="R2602" s="66"/>
      <c r="S2602" s="66"/>
      <c r="T2602" s="66"/>
      <c r="U2602" s="66"/>
      <c r="V2602" s="66"/>
      <c r="W2602" s="66"/>
      <c r="X2602" s="66"/>
      <c r="Y2602" s="66"/>
      <c r="Z2602" s="66"/>
    </row>
    <row r="2603">
      <c r="A2603" s="66"/>
      <c r="B2603" s="66"/>
      <c r="C2603" s="66"/>
      <c r="D2603" s="66"/>
      <c r="E2603" s="66"/>
      <c r="F2603" s="66"/>
      <c r="G2603" s="66"/>
      <c r="H2603" s="66"/>
      <c r="I2603" s="66"/>
      <c r="J2603" s="66"/>
      <c r="K2603" s="66"/>
      <c r="L2603" s="66"/>
      <c r="M2603" s="66"/>
      <c r="N2603" s="66"/>
      <c r="O2603" s="66"/>
      <c r="P2603" s="66"/>
      <c r="Q2603" s="66"/>
      <c r="R2603" s="66"/>
      <c r="S2603" s="66"/>
      <c r="T2603" s="66"/>
      <c r="U2603" s="66"/>
      <c r="V2603" s="66"/>
      <c r="W2603" s="66"/>
      <c r="X2603" s="66"/>
      <c r="Y2603" s="66"/>
      <c r="Z2603" s="66"/>
    </row>
    <row r="2604">
      <c r="A2604" s="66"/>
      <c r="B2604" s="66"/>
      <c r="C2604" s="66"/>
      <c r="D2604" s="66"/>
      <c r="E2604" s="66"/>
      <c r="F2604" s="66"/>
      <c r="G2604" s="66"/>
      <c r="H2604" s="66"/>
      <c r="I2604" s="66"/>
      <c r="J2604" s="66"/>
      <c r="K2604" s="66"/>
      <c r="L2604" s="66"/>
      <c r="M2604" s="66"/>
      <c r="N2604" s="66"/>
      <c r="O2604" s="66"/>
      <c r="P2604" s="66"/>
      <c r="Q2604" s="66"/>
      <c r="R2604" s="66"/>
      <c r="S2604" s="66"/>
      <c r="T2604" s="66"/>
      <c r="U2604" s="66"/>
      <c r="V2604" s="66"/>
      <c r="W2604" s="66"/>
      <c r="X2604" s="66"/>
      <c r="Y2604" s="66"/>
      <c r="Z2604" s="66"/>
    </row>
    <row r="2605">
      <c r="A2605" s="66"/>
      <c r="B2605" s="66"/>
      <c r="C2605" s="66"/>
      <c r="D2605" s="66"/>
      <c r="E2605" s="66"/>
      <c r="F2605" s="66"/>
      <c r="G2605" s="66"/>
      <c r="H2605" s="66"/>
      <c r="I2605" s="66"/>
      <c r="J2605" s="66"/>
      <c r="K2605" s="66"/>
      <c r="L2605" s="66"/>
      <c r="M2605" s="66"/>
      <c r="N2605" s="66"/>
      <c r="O2605" s="66"/>
      <c r="P2605" s="66"/>
      <c r="Q2605" s="66"/>
      <c r="R2605" s="66"/>
      <c r="S2605" s="66"/>
      <c r="T2605" s="66"/>
      <c r="U2605" s="66"/>
      <c r="V2605" s="66"/>
      <c r="W2605" s="66"/>
      <c r="X2605" s="66"/>
      <c r="Y2605" s="66"/>
      <c r="Z2605" s="66"/>
    </row>
    <row r="2606">
      <c r="A2606" s="66"/>
      <c r="B2606" s="66"/>
      <c r="C2606" s="66"/>
      <c r="D2606" s="66"/>
      <c r="E2606" s="66"/>
      <c r="F2606" s="66"/>
      <c r="G2606" s="66"/>
      <c r="H2606" s="66"/>
      <c r="I2606" s="66"/>
      <c r="J2606" s="66"/>
      <c r="K2606" s="66"/>
      <c r="L2606" s="66"/>
      <c r="M2606" s="66"/>
      <c r="N2606" s="66"/>
      <c r="O2606" s="66"/>
      <c r="P2606" s="66"/>
      <c r="Q2606" s="66"/>
      <c r="R2606" s="66"/>
      <c r="S2606" s="66"/>
      <c r="T2606" s="66"/>
      <c r="U2606" s="66"/>
      <c r="V2606" s="66"/>
      <c r="W2606" s="66"/>
      <c r="X2606" s="66"/>
      <c r="Y2606" s="66"/>
      <c r="Z2606" s="66"/>
    </row>
    <row r="2607">
      <c r="A2607" s="66"/>
      <c r="B2607" s="66"/>
      <c r="C2607" s="66"/>
      <c r="D2607" s="66"/>
      <c r="E2607" s="66"/>
      <c r="F2607" s="66"/>
      <c r="G2607" s="66"/>
      <c r="H2607" s="66"/>
      <c r="I2607" s="66"/>
      <c r="J2607" s="66"/>
      <c r="K2607" s="66"/>
      <c r="L2607" s="66"/>
      <c r="M2607" s="66"/>
      <c r="N2607" s="66"/>
      <c r="O2607" s="66"/>
      <c r="P2607" s="66"/>
      <c r="Q2607" s="66"/>
      <c r="R2607" s="66"/>
      <c r="S2607" s="66"/>
      <c r="T2607" s="66"/>
      <c r="U2607" s="66"/>
      <c r="V2607" s="66"/>
      <c r="W2607" s="66"/>
      <c r="X2607" s="66"/>
      <c r="Y2607" s="66"/>
      <c r="Z2607" s="66"/>
    </row>
    <row r="2608">
      <c r="A2608" s="66"/>
      <c r="B2608" s="66"/>
      <c r="C2608" s="66"/>
      <c r="D2608" s="66"/>
      <c r="E2608" s="66"/>
      <c r="F2608" s="66"/>
      <c r="G2608" s="66"/>
      <c r="H2608" s="66"/>
      <c r="I2608" s="66"/>
      <c r="J2608" s="66"/>
      <c r="K2608" s="66"/>
      <c r="L2608" s="66"/>
      <c r="M2608" s="66"/>
      <c r="N2608" s="66"/>
      <c r="O2608" s="66"/>
      <c r="P2608" s="66"/>
      <c r="Q2608" s="66"/>
      <c r="R2608" s="66"/>
      <c r="S2608" s="66"/>
      <c r="T2608" s="66"/>
      <c r="U2608" s="66"/>
      <c r="V2608" s="66"/>
      <c r="W2608" s="66"/>
      <c r="X2608" s="66"/>
      <c r="Y2608" s="66"/>
      <c r="Z2608" s="66"/>
    </row>
    <row r="2609">
      <c r="A2609" s="66"/>
      <c r="B2609" s="66"/>
      <c r="C2609" s="66"/>
      <c r="D2609" s="66"/>
      <c r="E2609" s="66"/>
      <c r="F2609" s="66"/>
      <c r="G2609" s="66"/>
      <c r="H2609" s="66"/>
      <c r="I2609" s="66"/>
      <c r="J2609" s="66"/>
      <c r="K2609" s="66"/>
      <c r="L2609" s="66"/>
      <c r="M2609" s="66"/>
      <c r="N2609" s="66"/>
      <c r="O2609" s="66"/>
      <c r="P2609" s="66"/>
      <c r="Q2609" s="66"/>
      <c r="R2609" s="66"/>
      <c r="S2609" s="66"/>
      <c r="T2609" s="66"/>
      <c r="U2609" s="66"/>
      <c r="V2609" s="66"/>
      <c r="W2609" s="66"/>
      <c r="X2609" s="66"/>
      <c r="Y2609" s="66"/>
      <c r="Z2609" s="66"/>
    </row>
    <row r="2610">
      <c r="A2610" s="66"/>
      <c r="B2610" s="66"/>
      <c r="C2610" s="66"/>
      <c r="D2610" s="66"/>
      <c r="E2610" s="66"/>
      <c r="F2610" s="66"/>
      <c r="G2610" s="66"/>
      <c r="H2610" s="66"/>
      <c r="I2610" s="66"/>
      <c r="J2610" s="66"/>
      <c r="K2610" s="66"/>
      <c r="L2610" s="66"/>
      <c r="M2610" s="66"/>
      <c r="N2610" s="66"/>
      <c r="O2610" s="66"/>
      <c r="P2610" s="66"/>
      <c r="Q2610" s="66"/>
      <c r="R2610" s="66"/>
      <c r="S2610" s="66"/>
      <c r="T2610" s="66"/>
      <c r="U2610" s="66"/>
      <c r="V2610" s="66"/>
      <c r="W2610" s="66"/>
      <c r="X2610" s="66"/>
      <c r="Y2610" s="66"/>
      <c r="Z2610" s="66"/>
    </row>
    <row r="2611">
      <c r="A2611" s="66"/>
      <c r="B2611" s="66"/>
      <c r="C2611" s="66"/>
      <c r="D2611" s="66"/>
      <c r="E2611" s="66"/>
      <c r="F2611" s="66"/>
      <c r="G2611" s="66"/>
      <c r="H2611" s="66"/>
      <c r="I2611" s="66"/>
      <c r="J2611" s="66"/>
      <c r="K2611" s="66"/>
      <c r="L2611" s="66"/>
      <c r="M2611" s="66"/>
      <c r="N2611" s="66"/>
      <c r="O2611" s="66"/>
      <c r="P2611" s="66"/>
      <c r="Q2611" s="66"/>
      <c r="R2611" s="66"/>
      <c r="S2611" s="66"/>
      <c r="T2611" s="66"/>
      <c r="U2611" s="66"/>
      <c r="V2611" s="66"/>
      <c r="W2611" s="66"/>
      <c r="X2611" s="66"/>
      <c r="Y2611" s="66"/>
      <c r="Z2611" s="66"/>
    </row>
    <row r="2612">
      <c r="A2612" s="66"/>
      <c r="B2612" s="66"/>
      <c r="C2612" s="66"/>
      <c r="D2612" s="66"/>
      <c r="E2612" s="66"/>
      <c r="F2612" s="66"/>
      <c r="G2612" s="66"/>
      <c r="H2612" s="66"/>
      <c r="I2612" s="66"/>
      <c r="J2612" s="66"/>
      <c r="K2612" s="66"/>
      <c r="L2612" s="66"/>
      <c r="M2612" s="66"/>
      <c r="N2612" s="66"/>
      <c r="O2612" s="66"/>
      <c r="P2612" s="66"/>
      <c r="Q2612" s="66"/>
      <c r="R2612" s="66"/>
      <c r="S2612" s="66"/>
      <c r="T2612" s="66"/>
      <c r="U2612" s="66"/>
      <c r="V2612" s="66"/>
      <c r="W2612" s="66"/>
      <c r="X2612" s="66"/>
      <c r="Y2612" s="66"/>
      <c r="Z2612" s="66"/>
    </row>
    <row r="2613">
      <c r="A2613" s="66"/>
      <c r="B2613" s="66"/>
      <c r="C2613" s="66"/>
      <c r="D2613" s="66"/>
      <c r="E2613" s="66"/>
      <c r="F2613" s="66"/>
      <c r="G2613" s="66"/>
      <c r="H2613" s="66"/>
      <c r="I2613" s="66"/>
      <c r="J2613" s="66"/>
      <c r="K2613" s="66"/>
      <c r="L2613" s="66"/>
      <c r="M2613" s="66"/>
      <c r="N2613" s="66"/>
      <c r="O2613" s="66"/>
      <c r="P2613" s="66"/>
      <c r="Q2613" s="66"/>
      <c r="R2613" s="66"/>
      <c r="S2613" s="66"/>
      <c r="T2613" s="66"/>
      <c r="U2613" s="66"/>
      <c r="V2613" s="66"/>
      <c r="W2613" s="66"/>
      <c r="X2613" s="66"/>
      <c r="Y2613" s="66"/>
      <c r="Z2613" s="66"/>
    </row>
    <row r="2614">
      <c r="A2614" s="66"/>
      <c r="B2614" s="66"/>
      <c r="C2614" s="66"/>
      <c r="D2614" s="66"/>
      <c r="E2614" s="66"/>
      <c r="F2614" s="66"/>
      <c r="G2614" s="66"/>
      <c r="H2614" s="66"/>
      <c r="I2614" s="66"/>
      <c r="J2614" s="66"/>
      <c r="K2614" s="66"/>
      <c r="L2614" s="66"/>
      <c r="M2614" s="66"/>
      <c r="N2614" s="66"/>
      <c r="O2614" s="66"/>
      <c r="P2614" s="66"/>
      <c r="Q2614" s="66"/>
      <c r="R2614" s="66"/>
      <c r="S2614" s="66"/>
      <c r="T2614" s="66"/>
      <c r="U2614" s="66"/>
      <c r="V2614" s="66"/>
      <c r="W2614" s="66"/>
      <c r="X2614" s="66"/>
      <c r="Y2614" s="66"/>
      <c r="Z2614" s="66"/>
    </row>
    <row r="2615">
      <c r="A2615" s="66"/>
      <c r="B2615" s="66"/>
      <c r="C2615" s="66"/>
      <c r="D2615" s="66"/>
      <c r="E2615" s="66"/>
      <c r="F2615" s="66"/>
      <c r="G2615" s="66"/>
      <c r="H2615" s="66"/>
      <c r="I2615" s="66"/>
      <c r="J2615" s="66"/>
      <c r="K2615" s="66"/>
      <c r="L2615" s="66"/>
      <c r="M2615" s="66"/>
      <c r="N2615" s="66"/>
      <c r="O2615" s="66"/>
      <c r="P2615" s="66"/>
      <c r="Q2615" s="66"/>
      <c r="R2615" s="66"/>
      <c r="S2615" s="66"/>
      <c r="T2615" s="66"/>
      <c r="U2615" s="66"/>
      <c r="V2615" s="66"/>
      <c r="W2615" s="66"/>
      <c r="X2615" s="66"/>
      <c r="Y2615" s="66"/>
      <c r="Z2615" s="66"/>
    </row>
    <row r="2616">
      <c r="A2616" s="66"/>
      <c r="B2616" s="66"/>
      <c r="C2616" s="66"/>
      <c r="D2616" s="66"/>
      <c r="E2616" s="66"/>
      <c r="F2616" s="66"/>
      <c r="G2616" s="66"/>
      <c r="H2616" s="66"/>
      <c r="I2616" s="66"/>
      <c r="J2616" s="66"/>
      <c r="K2616" s="66"/>
      <c r="L2616" s="66"/>
      <c r="M2616" s="66"/>
      <c r="N2616" s="66"/>
      <c r="O2616" s="66"/>
      <c r="P2616" s="66"/>
      <c r="Q2616" s="66"/>
      <c r="R2616" s="66"/>
      <c r="S2616" s="66"/>
      <c r="T2616" s="66"/>
      <c r="U2616" s="66"/>
      <c r="V2616" s="66"/>
      <c r="W2616" s="66"/>
      <c r="X2616" s="66"/>
      <c r="Y2616" s="66"/>
      <c r="Z2616" s="66"/>
    </row>
    <row r="2617">
      <c r="A2617" s="66"/>
      <c r="B2617" s="66"/>
      <c r="C2617" s="66"/>
      <c r="D2617" s="66"/>
      <c r="E2617" s="66"/>
      <c r="F2617" s="66"/>
      <c r="G2617" s="66"/>
      <c r="H2617" s="66"/>
      <c r="I2617" s="66"/>
      <c r="J2617" s="66"/>
      <c r="K2617" s="66"/>
      <c r="L2617" s="66"/>
      <c r="M2617" s="66"/>
      <c r="N2617" s="66"/>
      <c r="O2617" s="66"/>
      <c r="P2617" s="66"/>
      <c r="Q2617" s="66"/>
      <c r="R2617" s="66"/>
      <c r="S2617" s="66"/>
      <c r="T2617" s="66"/>
      <c r="U2617" s="66"/>
      <c r="V2617" s="66"/>
      <c r="W2617" s="66"/>
      <c r="X2617" s="66"/>
      <c r="Y2617" s="66"/>
      <c r="Z2617" s="66"/>
    </row>
    <row r="2618">
      <c r="A2618" s="66"/>
      <c r="B2618" s="66"/>
      <c r="C2618" s="66"/>
      <c r="D2618" s="66"/>
      <c r="E2618" s="66"/>
      <c r="F2618" s="66"/>
      <c r="G2618" s="66"/>
      <c r="H2618" s="66"/>
      <c r="I2618" s="66"/>
      <c r="J2618" s="66"/>
      <c r="K2618" s="66"/>
      <c r="L2618" s="66"/>
      <c r="M2618" s="66"/>
      <c r="N2618" s="66"/>
      <c r="O2618" s="66"/>
      <c r="P2618" s="66"/>
      <c r="Q2618" s="66"/>
      <c r="R2618" s="66"/>
      <c r="S2618" s="66"/>
      <c r="T2618" s="66"/>
      <c r="U2618" s="66"/>
      <c r="V2618" s="66"/>
      <c r="W2618" s="66"/>
      <c r="X2618" s="66"/>
      <c r="Y2618" s="66"/>
      <c r="Z2618" s="66"/>
    </row>
    <row r="2619">
      <c r="A2619" s="66"/>
      <c r="B2619" s="66"/>
      <c r="C2619" s="66"/>
      <c r="D2619" s="66"/>
      <c r="E2619" s="66"/>
      <c r="F2619" s="66"/>
      <c r="G2619" s="66"/>
      <c r="H2619" s="66"/>
      <c r="I2619" s="66"/>
      <c r="J2619" s="66"/>
      <c r="K2619" s="66"/>
      <c r="L2619" s="66"/>
      <c r="M2619" s="66"/>
      <c r="N2619" s="66"/>
      <c r="O2619" s="66"/>
      <c r="P2619" s="66"/>
      <c r="Q2619" s="66"/>
      <c r="R2619" s="66"/>
      <c r="S2619" s="66"/>
      <c r="T2619" s="66"/>
      <c r="U2619" s="66"/>
      <c r="V2619" s="66"/>
      <c r="W2619" s="66"/>
      <c r="X2619" s="66"/>
      <c r="Y2619" s="66"/>
      <c r="Z2619" s="66"/>
    </row>
    <row r="2620">
      <c r="A2620" s="66"/>
      <c r="B2620" s="66"/>
      <c r="C2620" s="66"/>
      <c r="D2620" s="66"/>
      <c r="E2620" s="66"/>
      <c r="F2620" s="66"/>
      <c r="G2620" s="66"/>
      <c r="H2620" s="66"/>
      <c r="I2620" s="66"/>
      <c r="J2620" s="66"/>
      <c r="K2620" s="66"/>
      <c r="L2620" s="66"/>
      <c r="M2620" s="66"/>
      <c r="N2620" s="66"/>
      <c r="O2620" s="66"/>
      <c r="P2620" s="66"/>
      <c r="Q2620" s="66"/>
      <c r="R2620" s="66"/>
      <c r="S2620" s="66"/>
      <c r="T2620" s="66"/>
      <c r="U2620" s="66"/>
      <c r="V2620" s="66"/>
      <c r="W2620" s="66"/>
      <c r="X2620" s="66"/>
      <c r="Y2620" s="66"/>
      <c r="Z2620" s="66"/>
    </row>
    <row r="2621">
      <c r="A2621" s="66"/>
      <c r="B2621" s="66"/>
      <c r="C2621" s="66"/>
      <c r="D2621" s="66"/>
      <c r="E2621" s="66"/>
      <c r="F2621" s="66"/>
      <c r="G2621" s="66"/>
      <c r="H2621" s="66"/>
      <c r="I2621" s="66"/>
      <c r="J2621" s="66"/>
      <c r="K2621" s="66"/>
      <c r="L2621" s="66"/>
      <c r="M2621" s="66"/>
      <c r="N2621" s="66"/>
      <c r="O2621" s="66"/>
      <c r="P2621" s="66"/>
      <c r="Q2621" s="66"/>
      <c r="R2621" s="66"/>
      <c r="S2621" s="66"/>
      <c r="T2621" s="66"/>
      <c r="U2621" s="66"/>
      <c r="V2621" s="66"/>
      <c r="W2621" s="66"/>
      <c r="X2621" s="66"/>
      <c r="Y2621" s="66"/>
      <c r="Z2621" s="66"/>
    </row>
    <row r="2622">
      <c r="A2622" s="66"/>
      <c r="B2622" s="66"/>
      <c r="C2622" s="66"/>
      <c r="D2622" s="66"/>
      <c r="E2622" s="66"/>
      <c r="F2622" s="66"/>
      <c r="G2622" s="66"/>
      <c r="H2622" s="66"/>
      <c r="I2622" s="66"/>
      <c r="J2622" s="66"/>
      <c r="K2622" s="66"/>
      <c r="L2622" s="66"/>
      <c r="M2622" s="66"/>
      <c r="N2622" s="66"/>
      <c r="O2622" s="66"/>
      <c r="P2622" s="66"/>
      <c r="Q2622" s="66"/>
      <c r="R2622" s="66"/>
      <c r="S2622" s="66"/>
      <c r="T2622" s="66"/>
      <c r="U2622" s="66"/>
      <c r="V2622" s="66"/>
      <c r="W2622" s="66"/>
      <c r="X2622" s="66"/>
      <c r="Y2622" s="66"/>
      <c r="Z2622" s="66"/>
    </row>
    <row r="2623">
      <c r="A2623" s="66"/>
      <c r="B2623" s="66"/>
      <c r="C2623" s="66"/>
      <c r="D2623" s="66"/>
      <c r="E2623" s="66"/>
      <c r="F2623" s="66"/>
      <c r="G2623" s="66"/>
      <c r="H2623" s="66"/>
      <c r="I2623" s="66"/>
      <c r="J2623" s="66"/>
      <c r="K2623" s="66"/>
      <c r="L2623" s="66"/>
      <c r="M2623" s="66"/>
      <c r="N2623" s="66"/>
      <c r="O2623" s="66"/>
      <c r="P2623" s="66"/>
      <c r="Q2623" s="66"/>
      <c r="R2623" s="66"/>
      <c r="S2623" s="66"/>
      <c r="T2623" s="66"/>
      <c r="U2623" s="66"/>
      <c r="V2623" s="66"/>
      <c r="W2623" s="66"/>
      <c r="X2623" s="66"/>
      <c r="Y2623" s="66"/>
      <c r="Z2623" s="66"/>
    </row>
    <row r="2624">
      <c r="A2624" s="66"/>
      <c r="B2624" s="66"/>
      <c r="C2624" s="66"/>
      <c r="D2624" s="66"/>
      <c r="E2624" s="66"/>
      <c r="F2624" s="66"/>
      <c r="G2624" s="66"/>
      <c r="H2624" s="66"/>
      <c r="I2624" s="66"/>
      <c r="J2624" s="66"/>
      <c r="K2624" s="66"/>
      <c r="L2624" s="66"/>
      <c r="M2624" s="66"/>
      <c r="N2624" s="66"/>
      <c r="O2624" s="66"/>
      <c r="P2624" s="66"/>
      <c r="Q2624" s="66"/>
      <c r="R2624" s="66"/>
      <c r="S2624" s="66"/>
      <c r="T2624" s="66"/>
      <c r="U2624" s="66"/>
      <c r="V2624" s="66"/>
      <c r="W2624" s="66"/>
      <c r="X2624" s="66"/>
      <c r="Y2624" s="66"/>
      <c r="Z2624" s="66"/>
    </row>
    <row r="2625">
      <c r="A2625" s="66"/>
      <c r="B2625" s="66"/>
      <c r="C2625" s="66"/>
      <c r="D2625" s="66"/>
      <c r="E2625" s="66"/>
      <c r="F2625" s="66"/>
      <c r="G2625" s="66"/>
      <c r="H2625" s="66"/>
      <c r="I2625" s="66"/>
      <c r="J2625" s="66"/>
      <c r="K2625" s="66"/>
      <c r="L2625" s="66"/>
      <c r="M2625" s="66"/>
      <c r="N2625" s="66"/>
      <c r="O2625" s="66"/>
      <c r="P2625" s="66"/>
      <c r="Q2625" s="66"/>
      <c r="R2625" s="66"/>
      <c r="S2625" s="66"/>
      <c r="T2625" s="66"/>
      <c r="U2625" s="66"/>
      <c r="V2625" s="66"/>
      <c r="W2625" s="66"/>
      <c r="X2625" s="66"/>
      <c r="Y2625" s="66"/>
      <c r="Z2625" s="66"/>
    </row>
    <row r="2626">
      <c r="A2626" s="66"/>
      <c r="B2626" s="66"/>
      <c r="C2626" s="66"/>
      <c r="D2626" s="66"/>
      <c r="E2626" s="66"/>
      <c r="F2626" s="66"/>
      <c r="G2626" s="66"/>
      <c r="H2626" s="66"/>
      <c r="I2626" s="66"/>
      <c r="J2626" s="66"/>
      <c r="K2626" s="66"/>
      <c r="L2626" s="66"/>
      <c r="M2626" s="66"/>
      <c r="N2626" s="66"/>
      <c r="O2626" s="66"/>
      <c r="P2626" s="66"/>
      <c r="Q2626" s="66"/>
      <c r="R2626" s="66"/>
      <c r="S2626" s="66"/>
      <c r="T2626" s="66"/>
      <c r="U2626" s="66"/>
      <c r="V2626" s="66"/>
      <c r="W2626" s="66"/>
      <c r="X2626" s="66"/>
      <c r="Y2626" s="66"/>
      <c r="Z2626" s="66"/>
    </row>
    <row r="2627">
      <c r="A2627" s="66"/>
      <c r="B2627" s="66"/>
      <c r="C2627" s="66"/>
      <c r="D2627" s="66"/>
      <c r="E2627" s="66"/>
      <c r="F2627" s="66"/>
      <c r="G2627" s="66"/>
      <c r="H2627" s="66"/>
      <c r="I2627" s="66"/>
      <c r="J2627" s="66"/>
      <c r="K2627" s="66"/>
      <c r="L2627" s="66"/>
      <c r="M2627" s="66"/>
      <c r="N2627" s="66"/>
      <c r="O2627" s="66"/>
      <c r="P2627" s="66"/>
      <c r="Q2627" s="66"/>
      <c r="R2627" s="66"/>
      <c r="S2627" s="66"/>
      <c r="T2627" s="66"/>
      <c r="U2627" s="66"/>
      <c r="V2627" s="66"/>
      <c r="W2627" s="66"/>
      <c r="X2627" s="66"/>
      <c r="Y2627" s="66"/>
      <c r="Z2627" s="66"/>
    </row>
    <row r="2628">
      <c r="A2628" s="66"/>
      <c r="B2628" s="66"/>
      <c r="C2628" s="66"/>
      <c r="D2628" s="66"/>
      <c r="E2628" s="66"/>
      <c r="F2628" s="66"/>
      <c r="G2628" s="66"/>
      <c r="H2628" s="66"/>
      <c r="I2628" s="66"/>
      <c r="J2628" s="66"/>
      <c r="K2628" s="66"/>
      <c r="L2628" s="66"/>
      <c r="M2628" s="66"/>
      <c r="N2628" s="66"/>
      <c r="O2628" s="66"/>
      <c r="P2628" s="66"/>
      <c r="Q2628" s="66"/>
      <c r="R2628" s="66"/>
      <c r="S2628" s="66"/>
      <c r="T2628" s="66"/>
      <c r="U2628" s="66"/>
      <c r="V2628" s="66"/>
      <c r="W2628" s="66"/>
      <c r="X2628" s="66"/>
      <c r="Y2628" s="66"/>
      <c r="Z2628" s="66"/>
    </row>
    <row r="2629">
      <c r="A2629" s="66"/>
      <c r="B2629" s="66"/>
      <c r="C2629" s="66"/>
      <c r="D2629" s="66"/>
      <c r="E2629" s="66"/>
      <c r="F2629" s="66"/>
      <c r="G2629" s="66"/>
      <c r="H2629" s="66"/>
      <c r="I2629" s="66"/>
      <c r="J2629" s="66"/>
      <c r="K2629" s="66"/>
      <c r="L2629" s="66"/>
      <c r="M2629" s="66"/>
      <c r="N2629" s="66"/>
      <c r="O2629" s="66"/>
      <c r="P2629" s="66"/>
      <c r="Q2629" s="66"/>
      <c r="R2629" s="66"/>
      <c r="S2629" s="66"/>
      <c r="T2629" s="66"/>
      <c r="U2629" s="66"/>
      <c r="V2629" s="66"/>
      <c r="W2629" s="66"/>
      <c r="X2629" s="66"/>
      <c r="Y2629" s="66"/>
      <c r="Z2629" s="66"/>
    </row>
    <row r="2630">
      <c r="A2630" s="66"/>
      <c r="B2630" s="66"/>
      <c r="C2630" s="66"/>
      <c r="D2630" s="66"/>
      <c r="E2630" s="66"/>
      <c r="F2630" s="66"/>
      <c r="G2630" s="66"/>
      <c r="H2630" s="66"/>
      <c r="I2630" s="66"/>
      <c r="J2630" s="66"/>
      <c r="K2630" s="66"/>
      <c r="L2630" s="66"/>
      <c r="M2630" s="66"/>
      <c r="N2630" s="66"/>
      <c r="O2630" s="66"/>
      <c r="P2630" s="66"/>
      <c r="Q2630" s="66"/>
      <c r="R2630" s="66"/>
      <c r="S2630" s="66"/>
      <c r="T2630" s="66"/>
      <c r="U2630" s="66"/>
      <c r="V2630" s="66"/>
      <c r="W2630" s="66"/>
      <c r="X2630" s="66"/>
      <c r="Y2630" s="66"/>
      <c r="Z2630" s="66"/>
    </row>
    <row r="2631">
      <c r="A2631" s="66"/>
      <c r="B2631" s="66"/>
      <c r="C2631" s="66"/>
      <c r="D2631" s="66"/>
      <c r="E2631" s="66"/>
      <c r="F2631" s="66"/>
      <c r="G2631" s="66"/>
      <c r="H2631" s="66"/>
      <c r="I2631" s="66"/>
      <c r="J2631" s="66"/>
      <c r="K2631" s="66"/>
      <c r="L2631" s="66"/>
      <c r="M2631" s="66"/>
      <c r="N2631" s="66"/>
      <c r="O2631" s="66"/>
      <c r="P2631" s="66"/>
      <c r="Q2631" s="66"/>
      <c r="R2631" s="66"/>
      <c r="S2631" s="66"/>
      <c r="T2631" s="66"/>
      <c r="U2631" s="66"/>
      <c r="V2631" s="66"/>
      <c r="W2631" s="66"/>
      <c r="X2631" s="66"/>
      <c r="Y2631" s="66"/>
      <c r="Z2631" s="66"/>
    </row>
    <row r="2632">
      <c r="A2632" s="66"/>
      <c r="B2632" s="66"/>
      <c r="C2632" s="66"/>
      <c r="D2632" s="66"/>
      <c r="E2632" s="66"/>
      <c r="F2632" s="66"/>
      <c r="G2632" s="66"/>
      <c r="H2632" s="66"/>
      <c r="I2632" s="66"/>
      <c r="J2632" s="66"/>
      <c r="K2632" s="66"/>
      <c r="L2632" s="66"/>
      <c r="M2632" s="66"/>
      <c r="N2632" s="66"/>
      <c r="O2632" s="66"/>
      <c r="P2632" s="66"/>
      <c r="Q2632" s="66"/>
      <c r="R2632" s="66"/>
      <c r="S2632" s="66"/>
      <c r="T2632" s="66"/>
      <c r="U2632" s="66"/>
      <c r="V2632" s="66"/>
      <c r="W2632" s="66"/>
      <c r="X2632" s="66"/>
      <c r="Y2632" s="66"/>
      <c r="Z2632" s="66"/>
    </row>
    <row r="2633">
      <c r="A2633" s="66"/>
      <c r="B2633" s="66"/>
      <c r="C2633" s="66"/>
      <c r="D2633" s="66"/>
      <c r="E2633" s="66"/>
      <c r="F2633" s="66"/>
      <c r="G2633" s="66"/>
      <c r="H2633" s="66"/>
      <c r="I2633" s="66"/>
      <c r="J2633" s="66"/>
      <c r="K2633" s="66"/>
      <c r="L2633" s="66"/>
      <c r="M2633" s="66"/>
      <c r="N2633" s="66"/>
      <c r="O2633" s="66"/>
      <c r="P2633" s="66"/>
      <c r="Q2633" s="66"/>
      <c r="R2633" s="66"/>
      <c r="S2633" s="66"/>
      <c r="T2633" s="66"/>
      <c r="U2633" s="66"/>
      <c r="V2633" s="66"/>
      <c r="W2633" s="66"/>
      <c r="X2633" s="66"/>
      <c r="Y2633" s="66"/>
      <c r="Z2633" s="66"/>
    </row>
    <row r="2634">
      <c r="A2634" s="66"/>
      <c r="B2634" s="66"/>
      <c r="C2634" s="66"/>
      <c r="D2634" s="66"/>
      <c r="E2634" s="66"/>
      <c r="F2634" s="66"/>
      <c r="G2634" s="66"/>
      <c r="H2634" s="66"/>
      <c r="I2634" s="66"/>
      <c r="J2634" s="66"/>
      <c r="K2634" s="66"/>
      <c r="L2634" s="66"/>
      <c r="M2634" s="66"/>
      <c r="N2634" s="66"/>
      <c r="O2634" s="66"/>
      <c r="P2634" s="66"/>
      <c r="Q2634" s="66"/>
      <c r="R2634" s="66"/>
      <c r="S2634" s="66"/>
      <c r="T2634" s="66"/>
      <c r="U2634" s="66"/>
      <c r="V2634" s="66"/>
      <c r="W2634" s="66"/>
      <c r="X2634" s="66"/>
      <c r="Y2634" s="66"/>
      <c r="Z2634" s="66"/>
    </row>
    <row r="2635">
      <c r="A2635" s="66"/>
      <c r="B2635" s="66"/>
      <c r="C2635" s="66"/>
      <c r="D2635" s="66"/>
      <c r="E2635" s="66"/>
      <c r="F2635" s="66"/>
      <c r="G2635" s="66"/>
      <c r="H2635" s="66"/>
      <c r="I2635" s="66"/>
      <c r="J2635" s="66"/>
      <c r="K2635" s="66"/>
      <c r="L2635" s="66"/>
      <c r="M2635" s="66"/>
      <c r="N2635" s="66"/>
      <c r="O2635" s="66"/>
      <c r="P2635" s="66"/>
      <c r="Q2635" s="66"/>
      <c r="R2635" s="66"/>
      <c r="S2635" s="66"/>
      <c r="T2635" s="66"/>
      <c r="U2635" s="66"/>
      <c r="V2635" s="66"/>
      <c r="W2635" s="66"/>
      <c r="X2635" s="66"/>
      <c r="Y2635" s="66"/>
      <c r="Z2635" s="66"/>
    </row>
    <row r="2636">
      <c r="A2636" s="66"/>
      <c r="B2636" s="66"/>
      <c r="C2636" s="66"/>
      <c r="D2636" s="66"/>
      <c r="E2636" s="66"/>
      <c r="F2636" s="66"/>
      <c r="G2636" s="66"/>
      <c r="H2636" s="66"/>
      <c r="I2636" s="66"/>
      <c r="J2636" s="66"/>
      <c r="K2636" s="66"/>
      <c r="L2636" s="66"/>
      <c r="M2636" s="66"/>
      <c r="N2636" s="66"/>
      <c r="O2636" s="66"/>
      <c r="P2636" s="66"/>
      <c r="Q2636" s="66"/>
      <c r="R2636" s="66"/>
      <c r="S2636" s="66"/>
      <c r="T2636" s="66"/>
      <c r="U2636" s="66"/>
      <c r="V2636" s="66"/>
      <c r="W2636" s="66"/>
      <c r="X2636" s="66"/>
      <c r="Y2636" s="66"/>
      <c r="Z2636" s="66"/>
    </row>
    <row r="2637">
      <c r="A2637" s="66"/>
      <c r="B2637" s="66"/>
      <c r="C2637" s="66"/>
      <c r="D2637" s="66"/>
      <c r="E2637" s="66"/>
      <c r="F2637" s="66"/>
      <c r="G2637" s="66"/>
      <c r="H2637" s="66"/>
      <c r="I2637" s="66"/>
      <c r="J2637" s="66"/>
      <c r="K2637" s="66"/>
      <c r="L2637" s="66"/>
      <c r="M2637" s="66"/>
      <c r="N2637" s="66"/>
      <c r="O2637" s="66"/>
      <c r="P2637" s="66"/>
      <c r="Q2637" s="66"/>
      <c r="R2637" s="66"/>
      <c r="S2637" s="66"/>
      <c r="T2637" s="66"/>
      <c r="U2637" s="66"/>
      <c r="V2637" s="66"/>
      <c r="W2637" s="66"/>
      <c r="X2637" s="66"/>
      <c r="Y2637" s="66"/>
      <c r="Z2637" s="66"/>
    </row>
    <row r="2638">
      <c r="A2638" s="66"/>
      <c r="B2638" s="66"/>
      <c r="C2638" s="66"/>
      <c r="D2638" s="66"/>
      <c r="E2638" s="66"/>
      <c r="F2638" s="66"/>
      <c r="G2638" s="66"/>
      <c r="H2638" s="66"/>
      <c r="I2638" s="66"/>
      <c r="J2638" s="66"/>
      <c r="K2638" s="66"/>
      <c r="L2638" s="66"/>
      <c r="M2638" s="66"/>
      <c r="N2638" s="66"/>
      <c r="O2638" s="66"/>
      <c r="P2638" s="66"/>
      <c r="Q2638" s="66"/>
      <c r="R2638" s="66"/>
      <c r="S2638" s="66"/>
      <c r="T2638" s="66"/>
      <c r="U2638" s="66"/>
      <c r="V2638" s="66"/>
      <c r="W2638" s="66"/>
      <c r="X2638" s="66"/>
      <c r="Y2638" s="66"/>
      <c r="Z2638" s="66"/>
    </row>
    <row r="2639">
      <c r="A2639" s="66"/>
      <c r="B2639" s="66"/>
      <c r="C2639" s="66"/>
      <c r="D2639" s="66"/>
      <c r="E2639" s="66"/>
      <c r="F2639" s="66"/>
      <c r="G2639" s="66"/>
      <c r="H2639" s="66"/>
      <c r="I2639" s="66"/>
      <c r="J2639" s="66"/>
      <c r="K2639" s="66"/>
      <c r="L2639" s="66"/>
      <c r="M2639" s="66"/>
      <c r="N2639" s="66"/>
      <c r="O2639" s="66"/>
      <c r="P2639" s="66"/>
      <c r="Q2639" s="66"/>
      <c r="R2639" s="66"/>
      <c r="S2639" s="66"/>
      <c r="T2639" s="66"/>
      <c r="U2639" s="66"/>
      <c r="V2639" s="66"/>
      <c r="W2639" s="66"/>
      <c r="X2639" s="66"/>
      <c r="Y2639" s="66"/>
      <c r="Z2639" s="66"/>
    </row>
    <row r="2640">
      <c r="A2640" s="66"/>
      <c r="B2640" s="66"/>
      <c r="C2640" s="66"/>
      <c r="D2640" s="66"/>
      <c r="E2640" s="66"/>
      <c r="F2640" s="66"/>
      <c r="G2640" s="66"/>
      <c r="H2640" s="66"/>
      <c r="I2640" s="66"/>
      <c r="J2640" s="66"/>
      <c r="K2640" s="66"/>
      <c r="L2640" s="66"/>
      <c r="M2640" s="66"/>
      <c r="N2640" s="66"/>
      <c r="O2640" s="66"/>
      <c r="P2640" s="66"/>
      <c r="Q2640" s="66"/>
      <c r="R2640" s="66"/>
      <c r="S2640" s="66"/>
      <c r="T2640" s="66"/>
      <c r="U2640" s="66"/>
      <c r="V2640" s="66"/>
      <c r="W2640" s="66"/>
      <c r="X2640" s="66"/>
      <c r="Y2640" s="66"/>
      <c r="Z2640" s="66"/>
    </row>
    <row r="2641">
      <c r="A2641" s="66"/>
      <c r="B2641" s="66"/>
      <c r="C2641" s="66"/>
      <c r="D2641" s="66"/>
      <c r="E2641" s="66"/>
      <c r="F2641" s="66"/>
      <c r="G2641" s="66"/>
      <c r="H2641" s="66"/>
      <c r="I2641" s="66"/>
      <c r="J2641" s="66"/>
      <c r="K2641" s="66"/>
      <c r="L2641" s="66"/>
      <c r="M2641" s="66"/>
      <c r="N2641" s="66"/>
      <c r="O2641" s="66"/>
      <c r="P2641" s="66"/>
      <c r="Q2641" s="66"/>
      <c r="R2641" s="66"/>
      <c r="S2641" s="66"/>
      <c r="T2641" s="66"/>
      <c r="U2641" s="66"/>
      <c r="V2641" s="66"/>
      <c r="W2641" s="66"/>
      <c r="X2641" s="66"/>
      <c r="Y2641" s="66"/>
      <c r="Z2641" s="66"/>
    </row>
    <row r="2642">
      <c r="A2642" s="66"/>
      <c r="B2642" s="66"/>
      <c r="C2642" s="66"/>
      <c r="D2642" s="66"/>
      <c r="E2642" s="66"/>
      <c r="F2642" s="66"/>
      <c r="G2642" s="66"/>
      <c r="H2642" s="66"/>
      <c r="I2642" s="66"/>
      <c r="J2642" s="66"/>
      <c r="K2642" s="66"/>
      <c r="L2642" s="66"/>
      <c r="M2642" s="66"/>
      <c r="N2642" s="66"/>
      <c r="O2642" s="66"/>
      <c r="P2642" s="66"/>
      <c r="Q2642" s="66"/>
      <c r="R2642" s="66"/>
      <c r="S2642" s="66"/>
      <c r="T2642" s="66"/>
      <c r="U2642" s="66"/>
      <c r="V2642" s="66"/>
      <c r="W2642" s="66"/>
      <c r="X2642" s="66"/>
      <c r="Y2642" s="66"/>
      <c r="Z2642" s="66"/>
    </row>
    <row r="2643">
      <c r="A2643" s="66"/>
      <c r="B2643" s="66"/>
      <c r="C2643" s="66"/>
      <c r="D2643" s="66"/>
      <c r="E2643" s="66"/>
      <c r="F2643" s="66"/>
      <c r="G2643" s="66"/>
      <c r="H2643" s="66"/>
      <c r="I2643" s="66"/>
      <c r="J2643" s="66"/>
      <c r="K2643" s="66"/>
      <c r="L2643" s="66"/>
      <c r="M2643" s="66"/>
      <c r="N2643" s="66"/>
      <c r="O2643" s="66"/>
      <c r="P2643" s="66"/>
      <c r="Q2643" s="66"/>
      <c r="R2643" s="66"/>
      <c r="S2643" s="66"/>
      <c r="T2643" s="66"/>
      <c r="U2643" s="66"/>
      <c r="V2643" s="66"/>
      <c r="W2643" s="66"/>
      <c r="X2643" s="66"/>
      <c r="Y2643" s="66"/>
      <c r="Z2643" s="66"/>
    </row>
    <row r="2644">
      <c r="A2644" s="66"/>
      <c r="B2644" s="66"/>
      <c r="C2644" s="66"/>
      <c r="D2644" s="66"/>
      <c r="E2644" s="66"/>
      <c r="F2644" s="66"/>
      <c r="G2644" s="66"/>
      <c r="H2644" s="66"/>
      <c r="I2644" s="66"/>
      <c r="J2644" s="66"/>
      <c r="K2644" s="66"/>
      <c r="L2644" s="66"/>
      <c r="M2644" s="66"/>
      <c r="N2644" s="66"/>
      <c r="O2644" s="66"/>
      <c r="P2644" s="66"/>
      <c r="Q2644" s="66"/>
      <c r="R2644" s="66"/>
      <c r="S2644" s="66"/>
      <c r="T2644" s="66"/>
      <c r="U2644" s="66"/>
      <c r="V2644" s="66"/>
      <c r="W2644" s="66"/>
      <c r="X2644" s="66"/>
      <c r="Y2644" s="66"/>
      <c r="Z2644" s="66"/>
    </row>
    <row r="2645">
      <c r="A2645" s="66"/>
      <c r="B2645" s="66"/>
      <c r="C2645" s="66"/>
      <c r="D2645" s="66"/>
      <c r="E2645" s="66"/>
      <c r="F2645" s="66"/>
      <c r="G2645" s="66"/>
      <c r="H2645" s="66"/>
      <c r="I2645" s="66"/>
      <c r="J2645" s="66"/>
      <c r="K2645" s="66"/>
      <c r="L2645" s="66"/>
      <c r="M2645" s="66"/>
      <c r="N2645" s="66"/>
      <c r="O2645" s="66"/>
      <c r="P2645" s="66"/>
      <c r="Q2645" s="66"/>
      <c r="R2645" s="66"/>
      <c r="S2645" s="66"/>
      <c r="T2645" s="66"/>
      <c r="U2645" s="66"/>
      <c r="V2645" s="66"/>
      <c r="W2645" s="66"/>
      <c r="X2645" s="66"/>
      <c r="Y2645" s="66"/>
      <c r="Z2645" s="66"/>
    </row>
    <row r="2646">
      <c r="A2646" s="66"/>
      <c r="B2646" s="66"/>
      <c r="C2646" s="66"/>
      <c r="D2646" s="66"/>
      <c r="E2646" s="66"/>
      <c r="F2646" s="66"/>
      <c r="G2646" s="66"/>
      <c r="H2646" s="66"/>
      <c r="I2646" s="66"/>
      <c r="J2646" s="66"/>
      <c r="K2646" s="66"/>
      <c r="L2646" s="66"/>
      <c r="M2646" s="66"/>
      <c r="N2646" s="66"/>
      <c r="O2646" s="66"/>
      <c r="P2646" s="66"/>
      <c r="Q2646" s="66"/>
      <c r="R2646" s="66"/>
      <c r="S2646" s="66"/>
      <c r="T2646" s="66"/>
      <c r="U2646" s="66"/>
      <c r="V2646" s="66"/>
      <c r="W2646" s="66"/>
      <c r="X2646" s="66"/>
      <c r="Y2646" s="66"/>
      <c r="Z2646" s="66"/>
    </row>
    <row r="2647">
      <c r="A2647" s="66"/>
      <c r="B2647" s="66"/>
      <c r="C2647" s="66"/>
      <c r="D2647" s="66"/>
      <c r="E2647" s="66"/>
      <c r="F2647" s="66"/>
      <c r="G2647" s="66"/>
      <c r="H2647" s="66"/>
      <c r="I2647" s="66"/>
      <c r="J2647" s="66"/>
      <c r="K2647" s="66"/>
      <c r="L2647" s="66"/>
      <c r="M2647" s="66"/>
      <c r="N2647" s="66"/>
      <c r="O2647" s="66"/>
      <c r="P2647" s="66"/>
      <c r="Q2647" s="66"/>
      <c r="R2647" s="66"/>
      <c r="S2647" s="66"/>
      <c r="T2647" s="66"/>
      <c r="U2647" s="66"/>
      <c r="V2647" s="66"/>
      <c r="W2647" s="66"/>
      <c r="X2647" s="66"/>
      <c r="Y2647" s="66"/>
      <c r="Z2647" s="66"/>
    </row>
    <row r="2648">
      <c r="A2648" s="66"/>
      <c r="B2648" s="66"/>
      <c r="C2648" s="66"/>
      <c r="D2648" s="66"/>
      <c r="E2648" s="66"/>
      <c r="F2648" s="66"/>
      <c r="G2648" s="66"/>
      <c r="H2648" s="66"/>
      <c r="I2648" s="66"/>
      <c r="J2648" s="66"/>
      <c r="K2648" s="66"/>
      <c r="L2648" s="66"/>
      <c r="M2648" s="66"/>
      <c r="N2648" s="66"/>
      <c r="O2648" s="66"/>
      <c r="P2648" s="66"/>
      <c r="Q2648" s="66"/>
      <c r="R2648" s="66"/>
      <c r="S2648" s="66"/>
      <c r="T2648" s="66"/>
      <c r="U2648" s="66"/>
      <c r="V2648" s="66"/>
      <c r="W2648" s="66"/>
      <c r="X2648" s="66"/>
      <c r="Y2648" s="66"/>
      <c r="Z2648" s="66"/>
    </row>
    <row r="2649">
      <c r="A2649" s="66"/>
      <c r="B2649" s="66"/>
      <c r="C2649" s="66"/>
      <c r="D2649" s="66"/>
      <c r="E2649" s="66"/>
      <c r="F2649" s="66"/>
      <c r="G2649" s="66"/>
      <c r="H2649" s="66"/>
      <c r="I2649" s="66"/>
      <c r="J2649" s="66"/>
      <c r="K2649" s="66"/>
      <c r="L2649" s="66"/>
      <c r="M2649" s="66"/>
      <c r="N2649" s="66"/>
      <c r="O2649" s="66"/>
      <c r="P2649" s="66"/>
      <c r="Q2649" s="66"/>
      <c r="R2649" s="66"/>
      <c r="S2649" s="66"/>
      <c r="T2649" s="66"/>
      <c r="U2649" s="66"/>
      <c r="V2649" s="66"/>
      <c r="W2649" s="66"/>
      <c r="X2649" s="66"/>
      <c r="Y2649" s="66"/>
      <c r="Z2649" s="66"/>
    </row>
    <row r="2650">
      <c r="A2650" s="66"/>
      <c r="B2650" s="66"/>
      <c r="C2650" s="66"/>
      <c r="D2650" s="66"/>
      <c r="E2650" s="66"/>
      <c r="F2650" s="66"/>
      <c r="G2650" s="66"/>
      <c r="H2650" s="66"/>
      <c r="I2650" s="66"/>
      <c r="J2650" s="66"/>
      <c r="K2650" s="66"/>
      <c r="L2650" s="66"/>
      <c r="M2650" s="66"/>
      <c r="N2650" s="66"/>
      <c r="O2650" s="66"/>
      <c r="P2650" s="66"/>
      <c r="Q2650" s="66"/>
      <c r="R2650" s="66"/>
      <c r="S2650" s="66"/>
      <c r="T2650" s="66"/>
      <c r="U2650" s="66"/>
      <c r="V2650" s="66"/>
      <c r="W2650" s="66"/>
      <c r="X2650" s="66"/>
      <c r="Y2650" s="66"/>
      <c r="Z2650" s="66"/>
    </row>
    <row r="2651">
      <c r="A2651" s="66"/>
      <c r="B2651" s="66"/>
      <c r="C2651" s="66"/>
      <c r="D2651" s="66"/>
      <c r="E2651" s="66"/>
      <c r="F2651" s="66"/>
      <c r="G2651" s="66"/>
      <c r="H2651" s="66"/>
      <c r="I2651" s="66"/>
      <c r="J2651" s="66"/>
      <c r="K2651" s="66"/>
      <c r="L2651" s="66"/>
      <c r="M2651" s="66"/>
      <c r="N2651" s="66"/>
      <c r="O2651" s="66"/>
      <c r="P2651" s="66"/>
      <c r="Q2651" s="66"/>
      <c r="R2651" s="66"/>
      <c r="S2651" s="66"/>
      <c r="T2651" s="66"/>
      <c r="U2651" s="66"/>
      <c r="V2651" s="66"/>
      <c r="W2651" s="66"/>
      <c r="X2651" s="66"/>
      <c r="Y2651" s="66"/>
      <c r="Z2651" s="66"/>
    </row>
    <row r="2652">
      <c r="A2652" s="66"/>
      <c r="B2652" s="66"/>
      <c r="C2652" s="66"/>
      <c r="D2652" s="66"/>
      <c r="E2652" s="66"/>
      <c r="F2652" s="66"/>
      <c r="G2652" s="66"/>
      <c r="H2652" s="66"/>
      <c r="I2652" s="66"/>
      <c r="J2652" s="66"/>
      <c r="K2652" s="66"/>
      <c r="L2652" s="66"/>
      <c r="M2652" s="66"/>
      <c r="N2652" s="66"/>
      <c r="O2652" s="66"/>
      <c r="P2652" s="66"/>
      <c r="Q2652" s="66"/>
      <c r="R2652" s="66"/>
      <c r="S2652" s="66"/>
      <c r="T2652" s="66"/>
      <c r="U2652" s="66"/>
      <c r="V2652" s="66"/>
      <c r="W2652" s="66"/>
      <c r="X2652" s="66"/>
      <c r="Y2652" s="66"/>
      <c r="Z2652" s="66"/>
    </row>
    <row r="2653">
      <c r="A2653" s="66"/>
      <c r="B2653" s="66"/>
      <c r="C2653" s="66"/>
      <c r="D2653" s="66"/>
      <c r="E2653" s="66"/>
      <c r="F2653" s="66"/>
      <c r="G2653" s="66"/>
      <c r="H2653" s="66"/>
      <c r="I2653" s="66"/>
      <c r="J2653" s="66"/>
      <c r="K2653" s="66"/>
      <c r="L2653" s="66"/>
      <c r="M2653" s="66"/>
      <c r="N2653" s="66"/>
      <c r="O2653" s="66"/>
      <c r="P2653" s="66"/>
      <c r="Q2653" s="66"/>
      <c r="R2653" s="66"/>
      <c r="S2653" s="66"/>
      <c r="T2653" s="66"/>
      <c r="U2653" s="66"/>
      <c r="V2653" s="66"/>
      <c r="W2653" s="66"/>
      <c r="X2653" s="66"/>
      <c r="Y2653" s="66"/>
      <c r="Z2653" s="66"/>
    </row>
    <row r="2654">
      <c r="A2654" s="66"/>
      <c r="B2654" s="66"/>
      <c r="C2654" s="66"/>
      <c r="D2654" s="66"/>
      <c r="E2654" s="66"/>
      <c r="F2654" s="66"/>
      <c r="G2654" s="66"/>
      <c r="H2654" s="66"/>
      <c r="I2654" s="66"/>
      <c r="J2654" s="66"/>
      <c r="K2654" s="66"/>
      <c r="L2654" s="66"/>
      <c r="M2654" s="66"/>
      <c r="N2654" s="66"/>
      <c r="O2654" s="66"/>
      <c r="P2654" s="66"/>
      <c r="Q2654" s="66"/>
      <c r="R2654" s="66"/>
      <c r="S2654" s="66"/>
      <c r="T2654" s="66"/>
      <c r="U2654" s="66"/>
      <c r="V2654" s="66"/>
      <c r="W2654" s="66"/>
      <c r="X2654" s="66"/>
      <c r="Y2654" s="66"/>
      <c r="Z2654" s="66"/>
    </row>
    <row r="2655">
      <c r="A2655" s="66"/>
      <c r="B2655" s="66"/>
      <c r="C2655" s="66"/>
      <c r="D2655" s="66"/>
      <c r="E2655" s="66"/>
      <c r="F2655" s="66"/>
      <c r="G2655" s="66"/>
      <c r="H2655" s="66"/>
      <c r="I2655" s="66"/>
      <c r="J2655" s="66"/>
      <c r="K2655" s="66"/>
      <c r="L2655" s="66"/>
      <c r="M2655" s="66"/>
      <c r="N2655" s="66"/>
      <c r="O2655" s="66"/>
      <c r="P2655" s="66"/>
      <c r="Q2655" s="66"/>
      <c r="R2655" s="66"/>
      <c r="S2655" s="66"/>
      <c r="T2655" s="66"/>
      <c r="U2655" s="66"/>
      <c r="V2655" s="66"/>
      <c r="W2655" s="66"/>
      <c r="X2655" s="66"/>
      <c r="Y2655" s="66"/>
      <c r="Z2655" s="66"/>
    </row>
    <row r="2656">
      <c r="A2656" s="66"/>
      <c r="B2656" s="66"/>
      <c r="C2656" s="66"/>
      <c r="D2656" s="66"/>
      <c r="E2656" s="66"/>
      <c r="F2656" s="66"/>
      <c r="G2656" s="66"/>
      <c r="H2656" s="66"/>
      <c r="I2656" s="66"/>
      <c r="J2656" s="66"/>
      <c r="K2656" s="66"/>
      <c r="L2656" s="66"/>
      <c r="M2656" s="66"/>
      <c r="N2656" s="66"/>
      <c r="O2656" s="66"/>
      <c r="P2656" s="66"/>
      <c r="Q2656" s="66"/>
      <c r="R2656" s="66"/>
      <c r="S2656" s="66"/>
      <c r="T2656" s="66"/>
      <c r="U2656" s="66"/>
      <c r="V2656" s="66"/>
      <c r="W2656" s="66"/>
      <c r="X2656" s="66"/>
      <c r="Y2656" s="66"/>
      <c r="Z2656" s="66"/>
    </row>
    <row r="2657">
      <c r="A2657" s="66"/>
      <c r="B2657" s="66"/>
      <c r="C2657" s="66"/>
      <c r="D2657" s="66"/>
      <c r="E2657" s="66"/>
      <c r="F2657" s="66"/>
      <c r="G2657" s="66"/>
      <c r="H2657" s="66"/>
      <c r="I2657" s="66"/>
      <c r="J2657" s="66"/>
      <c r="K2657" s="66"/>
      <c r="L2657" s="66"/>
      <c r="M2657" s="66"/>
      <c r="N2657" s="66"/>
      <c r="O2657" s="66"/>
      <c r="P2657" s="66"/>
      <c r="Q2657" s="66"/>
      <c r="R2657" s="66"/>
      <c r="S2657" s="66"/>
      <c r="T2657" s="66"/>
      <c r="U2657" s="66"/>
      <c r="V2657" s="66"/>
      <c r="W2657" s="66"/>
      <c r="X2657" s="66"/>
      <c r="Y2657" s="66"/>
      <c r="Z2657" s="66"/>
    </row>
    <row r="2658">
      <c r="A2658" s="66"/>
      <c r="B2658" s="66"/>
      <c r="C2658" s="66"/>
      <c r="D2658" s="66"/>
      <c r="E2658" s="66"/>
      <c r="F2658" s="66"/>
      <c r="G2658" s="66"/>
      <c r="H2658" s="66"/>
      <c r="I2658" s="66"/>
      <c r="J2658" s="66"/>
      <c r="K2658" s="66"/>
      <c r="L2658" s="66"/>
      <c r="M2658" s="66"/>
      <c r="N2658" s="66"/>
      <c r="O2658" s="66"/>
      <c r="P2658" s="66"/>
      <c r="Q2658" s="66"/>
      <c r="R2658" s="66"/>
      <c r="S2658" s="66"/>
      <c r="T2658" s="66"/>
      <c r="U2658" s="66"/>
      <c r="V2658" s="66"/>
      <c r="W2658" s="66"/>
      <c r="X2658" s="66"/>
      <c r="Y2658" s="66"/>
      <c r="Z2658" s="66"/>
    </row>
    <row r="2659">
      <c r="A2659" s="66"/>
      <c r="B2659" s="66"/>
      <c r="C2659" s="66"/>
      <c r="D2659" s="66"/>
      <c r="E2659" s="66"/>
      <c r="F2659" s="66"/>
      <c r="G2659" s="66"/>
      <c r="H2659" s="66"/>
      <c r="I2659" s="66"/>
      <c r="J2659" s="66"/>
      <c r="K2659" s="66"/>
      <c r="L2659" s="66"/>
      <c r="M2659" s="66"/>
      <c r="N2659" s="66"/>
      <c r="O2659" s="66"/>
      <c r="P2659" s="66"/>
      <c r="Q2659" s="66"/>
      <c r="R2659" s="66"/>
      <c r="S2659" s="66"/>
      <c r="T2659" s="66"/>
      <c r="U2659" s="66"/>
      <c r="V2659" s="66"/>
      <c r="W2659" s="66"/>
      <c r="X2659" s="66"/>
      <c r="Y2659" s="66"/>
      <c r="Z2659" s="66"/>
    </row>
    <row r="2660">
      <c r="A2660" s="66"/>
      <c r="B2660" s="66"/>
      <c r="C2660" s="66"/>
      <c r="D2660" s="66"/>
      <c r="E2660" s="66"/>
      <c r="F2660" s="66"/>
      <c r="G2660" s="66"/>
      <c r="H2660" s="66"/>
      <c r="I2660" s="66"/>
      <c r="J2660" s="66"/>
      <c r="K2660" s="66"/>
      <c r="L2660" s="66"/>
      <c r="M2660" s="66"/>
      <c r="N2660" s="66"/>
      <c r="O2660" s="66"/>
      <c r="P2660" s="66"/>
      <c r="Q2660" s="66"/>
      <c r="R2660" s="66"/>
      <c r="S2660" s="66"/>
      <c r="T2660" s="66"/>
      <c r="U2660" s="66"/>
      <c r="V2660" s="66"/>
      <c r="W2660" s="66"/>
      <c r="X2660" s="66"/>
      <c r="Y2660" s="66"/>
      <c r="Z2660" s="66"/>
    </row>
    <row r="2661">
      <c r="A2661" s="66"/>
      <c r="B2661" s="66"/>
      <c r="C2661" s="66"/>
      <c r="D2661" s="66"/>
      <c r="E2661" s="66"/>
      <c r="F2661" s="66"/>
      <c r="G2661" s="66"/>
      <c r="H2661" s="66"/>
      <c r="I2661" s="66"/>
      <c r="J2661" s="66"/>
      <c r="K2661" s="66"/>
      <c r="L2661" s="66"/>
      <c r="M2661" s="66"/>
      <c r="N2661" s="66"/>
      <c r="O2661" s="66"/>
      <c r="P2661" s="66"/>
      <c r="Q2661" s="66"/>
      <c r="R2661" s="66"/>
      <c r="S2661" s="66"/>
      <c r="T2661" s="66"/>
      <c r="U2661" s="66"/>
      <c r="V2661" s="66"/>
      <c r="W2661" s="66"/>
      <c r="X2661" s="66"/>
      <c r="Y2661" s="66"/>
      <c r="Z2661" s="66"/>
    </row>
    <row r="2662">
      <c r="A2662" s="66"/>
      <c r="B2662" s="66"/>
      <c r="C2662" s="66"/>
      <c r="D2662" s="66"/>
      <c r="E2662" s="66"/>
      <c r="F2662" s="66"/>
      <c r="G2662" s="66"/>
      <c r="H2662" s="66"/>
      <c r="I2662" s="66"/>
      <c r="J2662" s="66"/>
      <c r="K2662" s="66"/>
      <c r="L2662" s="66"/>
      <c r="M2662" s="66"/>
      <c r="N2662" s="66"/>
      <c r="O2662" s="66"/>
      <c r="P2662" s="66"/>
      <c r="Q2662" s="66"/>
      <c r="R2662" s="66"/>
      <c r="S2662" s="66"/>
      <c r="T2662" s="66"/>
      <c r="U2662" s="66"/>
      <c r="V2662" s="66"/>
      <c r="W2662" s="66"/>
      <c r="X2662" s="66"/>
      <c r="Y2662" s="66"/>
      <c r="Z2662" s="66"/>
    </row>
    <row r="2663">
      <c r="A2663" s="66"/>
      <c r="B2663" s="66"/>
      <c r="C2663" s="66"/>
      <c r="D2663" s="66"/>
      <c r="E2663" s="66"/>
      <c r="F2663" s="66"/>
      <c r="G2663" s="66"/>
      <c r="H2663" s="66"/>
      <c r="I2663" s="66"/>
      <c r="J2663" s="66"/>
      <c r="K2663" s="66"/>
      <c r="L2663" s="66"/>
      <c r="M2663" s="66"/>
      <c r="N2663" s="66"/>
      <c r="O2663" s="66"/>
      <c r="P2663" s="66"/>
      <c r="Q2663" s="66"/>
      <c r="R2663" s="66"/>
      <c r="S2663" s="66"/>
      <c r="T2663" s="66"/>
      <c r="U2663" s="66"/>
      <c r="V2663" s="66"/>
      <c r="W2663" s="66"/>
      <c r="X2663" s="66"/>
      <c r="Y2663" s="66"/>
      <c r="Z2663" s="66"/>
    </row>
    <row r="2664">
      <c r="A2664" s="66"/>
      <c r="B2664" s="66"/>
      <c r="C2664" s="66"/>
      <c r="D2664" s="66"/>
      <c r="E2664" s="66"/>
      <c r="F2664" s="66"/>
      <c r="G2664" s="66"/>
      <c r="H2664" s="66"/>
      <c r="I2664" s="66"/>
      <c r="J2664" s="66"/>
      <c r="K2664" s="66"/>
      <c r="L2664" s="66"/>
      <c r="M2664" s="66"/>
      <c r="N2664" s="66"/>
      <c r="O2664" s="66"/>
      <c r="P2664" s="66"/>
      <c r="Q2664" s="66"/>
      <c r="R2664" s="66"/>
      <c r="S2664" s="66"/>
      <c r="T2664" s="66"/>
      <c r="U2664" s="66"/>
      <c r="V2664" s="66"/>
      <c r="W2664" s="66"/>
      <c r="X2664" s="66"/>
      <c r="Y2664" s="66"/>
      <c r="Z2664" s="66"/>
    </row>
    <row r="2665">
      <c r="A2665" s="66"/>
      <c r="B2665" s="66"/>
      <c r="C2665" s="66"/>
      <c r="D2665" s="66"/>
      <c r="E2665" s="66"/>
      <c r="F2665" s="66"/>
      <c r="G2665" s="66"/>
      <c r="H2665" s="66"/>
      <c r="I2665" s="66"/>
      <c r="J2665" s="66"/>
      <c r="K2665" s="66"/>
      <c r="L2665" s="66"/>
      <c r="M2665" s="66"/>
      <c r="N2665" s="66"/>
      <c r="O2665" s="66"/>
      <c r="P2665" s="66"/>
      <c r="Q2665" s="66"/>
      <c r="R2665" s="66"/>
      <c r="S2665" s="66"/>
      <c r="T2665" s="66"/>
      <c r="U2665" s="66"/>
      <c r="V2665" s="66"/>
      <c r="W2665" s="66"/>
      <c r="X2665" s="66"/>
      <c r="Y2665" s="66"/>
      <c r="Z2665" s="66"/>
    </row>
    <row r="2666">
      <c r="A2666" s="66"/>
      <c r="B2666" s="66"/>
      <c r="C2666" s="66"/>
      <c r="D2666" s="66"/>
      <c r="E2666" s="66"/>
      <c r="F2666" s="66"/>
      <c r="G2666" s="66"/>
      <c r="H2666" s="66"/>
      <c r="I2666" s="66"/>
      <c r="J2666" s="66"/>
      <c r="K2666" s="66"/>
      <c r="L2666" s="66"/>
      <c r="M2666" s="66"/>
      <c r="N2666" s="66"/>
      <c r="O2666" s="66"/>
      <c r="P2666" s="66"/>
      <c r="Q2666" s="66"/>
      <c r="R2666" s="66"/>
      <c r="S2666" s="66"/>
      <c r="T2666" s="66"/>
      <c r="U2666" s="66"/>
      <c r="V2666" s="66"/>
      <c r="W2666" s="66"/>
      <c r="X2666" s="66"/>
      <c r="Y2666" s="66"/>
      <c r="Z2666" s="66"/>
    </row>
    <row r="2667">
      <c r="A2667" s="66"/>
      <c r="B2667" s="66"/>
      <c r="C2667" s="66"/>
      <c r="D2667" s="66"/>
      <c r="E2667" s="66"/>
      <c r="F2667" s="66"/>
      <c r="G2667" s="66"/>
      <c r="H2667" s="66"/>
      <c r="I2667" s="66"/>
      <c r="J2667" s="66"/>
      <c r="K2667" s="66"/>
      <c r="L2667" s="66"/>
      <c r="M2667" s="66"/>
      <c r="N2667" s="66"/>
      <c r="O2667" s="66"/>
      <c r="P2667" s="66"/>
      <c r="Q2667" s="66"/>
      <c r="R2667" s="66"/>
      <c r="S2667" s="66"/>
      <c r="T2667" s="66"/>
      <c r="U2667" s="66"/>
      <c r="V2667" s="66"/>
      <c r="W2667" s="66"/>
      <c r="X2667" s="66"/>
      <c r="Y2667" s="66"/>
      <c r="Z2667" s="66"/>
    </row>
    <row r="2668">
      <c r="A2668" s="66"/>
      <c r="B2668" s="66"/>
      <c r="C2668" s="66"/>
      <c r="D2668" s="66"/>
      <c r="E2668" s="66"/>
      <c r="F2668" s="66"/>
      <c r="G2668" s="66"/>
      <c r="H2668" s="66"/>
      <c r="I2668" s="66"/>
      <c r="J2668" s="66"/>
      <c r="K2668" s="66"/>
      <c r="L2668" s="66"/>
      <c r="M2668" s="66"/>
      <c r="N2668" s="66"/>
      <c r="O2668" s="66"/>
      <c r="P2668" s="66"/>
      <c r="Q2668" s="66"/>
      <c r="R2668" s="66"/>
      <c r="S2668" s="66"/>
      <c r="T2668" s="66"/>
      <c r="U2668" s="66"/>
      <c r="V2668" s="66"/>
      <c r="W2668" s="66"/>
      <c r="X2668" s="66"/>
      <c r="Y2668" s="66"/>
      <c r="Z2668" s="66"/>
    </row>
    <row r="2669">
      <c r="A2669" s="66"/>
      <c r="B2669" s="66"/>
      <c r="C2669" s="66"/>
      <c r="D2669" s="66"/>
      <c r="E2669" s="66"/>
      <c r="F2669" s="66"/>
      <c r="G2669" s="66"/>
      <c r="H2669" s="66"/>
      <c r="I2669" s="66"/>
      <c r="J2669" s="66"/>
      <c r="K2669" s="66"/>
      <c r="L2669" s="66"/>
      <c r="M2669" s="66"/>
      <c r="N2669" s="66"/>
      <c r="O2669" s="66"/>
      <c r="P2669" s="66"/>
      <c r="Q2669" s="66"/>
      <c r="R2669" s="66"/>
      <c r="S2669" s="66"/>
      <c r="T2669" s="66"/>
      <c r="U2669" s="66"/>
      <c r="V2669" s="66"/>
      <c r="W2669" s="66"/>
      <c r="X2669" s="66"/>
      <c r="Y2669" s="66"/>
      <c r="Z2669" s="66"/>
    </row>
    <row r="2670">
      <c r="A2670" s="66"/>
      <c r="B2670" s="66"/>
      <c r="C2670" s="66"/>
      <c r="D2670" s="66"/>
      <c r="E2670" s="66"/>
      <c r="F2670" s="66"/>
      <c r="G2670" s="66"/>
      <c r="H2670" s="66"/>
      <c r="I2670" s="66"/>
      <c r="J2670" s="66"/>
      <c r="K2670" s="66"/>
      <c r="L2670" s="66"/>
      <c r="M2670" s="66"/>
      <c r="N2670" s="66"/>
      <c r="O2670" s="66"/>
      <c r="P2670" s="66"/>
      <c r="Q2670" s="66"/>
      <c r="R2670" s="66"/>
      <c r="S2670" s="66"/>
      <c r="T2670" s="66"/>
      <c r="U2670" s="66"/>
      <c r="V2670" s="66"/>
      <c r="W2670" s="66"/>
      <c r="X2670" s="66"/>
      <c r="Y2670" s="66"/>
      <c r="Z2670" s="66"/>
    </row>
    <row r="2671">
      <c r="A2671" s="66"/>
      <c r="B2671" s="66"/>
      <c r="C2671" s="66"/>
      <c r="D2671" s="66"/>
      <c r="E2671" s="66"/>
      <c r="F2671" s="66"/>
      <c r="G2671" s="66"/>
      <c r="H2671" s="66"/>
      <c r="I2671" s="66"/>
      <c r="J2671" s="66"/>
      <c r="K2671" s="66"/>
      <c r="L2671" s="66"/>
      <c r="M2671" s="66"/>
      <c r="N2671" s="66"/>
      <c r="O2671" s="66"/>
      <c r="P2671" s="66"/>
      <c r="Q2671" s="66"/>
      <c r="R2671" s="66"/>
      <c r="S2671" s="66"/>
      <c r="T2671" s="66"/>
      <c r="U2671" s="66"/>
      <c r="V2671" s="66"/>
      <c r="W2671" s="66"/>
      <c r="X2671" s="66"/>
      <c r="Y2671" s="66"/>
      <c r="Z2671" s="66"/>
    </row>
    <row r="2672">
      <c r="A2672" s="66"/>
      <c r="B2672" s="66"/>
      <c r="C2672" s="66"/>
      <c r="D2672" s="66"/>
      <c r="E2672" s="66"/>
      <c r="F2672" s="66"/>
      <c r="G2672" s="66"/>
      <c r="H2672" s="66"/>
      <c r="I2672" s="66"/>
      <c r="J2672" s="66"/>
      <c r="K2672" s="66"/>
      <c r="L2672" s="66"/>
      <c r="M2672" s="66"/>
      <c r="N2672" s="66"/>
      <c r="O2672" s="66"/>
      <c r="P2672" s="66"/>
      <c r="Q2672" s="66"/>
      <c r="R2672" s="66"/>
      <c r="S2672" s="66"/>
      <c r="T2672" s="66"/>
      <c r="U2672" s="66"/>
      <c r="V2672" s="66"/>
      <c r="W2672" s="66"/>
      <c r="X2672" s="66"/>
      <c r="Y2672" s="66"/>
      <c r="Z2672" s="66"/>
    </row>
    <row r="2673">
      <c r="A2673" s="66"/>
      <c r="B2673" s="66"/>
      <c r="C2673" s="66"/>
      <c r="D2673" s="66"/>
      <c r="E2673" s="66"/>
      <c r="F2673" s="66"/>
      <c r="G2673" s="66"/>
      <c r="H2673" s="66"/>
      <c r="I2673" s="66"/>
      <c r="J2673" s="66"/>
      <c r="K2673" s="66"/>
      <c r="L2673" s="66"/>
      <c r="M2673" s="66"/>
      <c r="N2673" s="66"/>
      <c r="O2673" s="66"/>
      <c r="P2673" s="66"/>
      <c r="Q2673" s="66"/>
      <c r="R2673" s="66"/>
      <c r="S2673" s="66"/>
      <c r="T2673" s="66"/>
      <c r="U2673" s="66"/>
      <c r="V2673" s="66"/>
      <c r="W2673" s="66"/>
      <c r="X2673" s="66"/>
      <c r="Y2673" s="66"/>
      <c r="Z2673" s="66"/>
    </row>
    <row r="2674">
      <c r="A2674" s="66"/>
      <c r="B2674" s="66"/>
      <c r="C2674" s="66"/>
      <c r="D2674" s="66"/>
      <c r="E2674" s="66"/>
      <c r="F2674" s="66"/>
      <c r="G2674" s="66"/>
      <c r="H2674" s="66"/>
      <c r="I2674" s="66"/>
      <c r="J2674" s="66"/>
      <c r="K2674" s="66"/>
      <c r="L2674" s="66"/>
      <c r="M2674" s="66"/>
      <c r="N2674" s="66"/>
      <c r="O2674" s="66"/>
      <c r="P2674" s="66"/>
      <c r="Q2674" s="66"/>
      <c r="R2674" s="66"/>
      <c r="S2674" s="66"/>
      <c r="T2674" s="66"/>
      <c r="U2674" s="66"/>
      <c r="V2674" s="66"/>
      <c r="W2674" s="66"/>
      <c r="X2674" s="66"/>
      <c r="Y2674" s="66"/>
      <c r="Z2674" s="66"/>
    </row>
    <row r="2675">
      <c r="A2675" s="66"/>
      <c r="B2675" s="66"/>
      <c r="C2675" s="66"/>
      <c r="D2675" s="66"/>
      <c r="E2675" s="66"/>
      <c r="F2675" s="66"/>
      <c r="G2675" s="66"/>
      <c r="H2675" s="66"/>
      <c r="I2675" s="66"/>
      <c r="J2675" s="66"/>
      <c r="K2675" s="66"/>
      <c r="L2675" s="66"/>
      <c r="M2675" s="66"/>
      <c r="N2675" s="66"/>
      <c r="O2675" s="66"/>
      <c r="P2675" s="66"/>
      <c r="Q2675" s="66"/>
      <c r="R2675" s="66"/>
      <c r="S2675" s="66"/>
      <c r="T2675" s="66"/>
      <c r="U2675" s="66"/>
      <c r="V2675" s="66"/>
      <c r="W2675" s="66"/>
      <c r="X2675" s="66"/>
      <c r="Y2675" s="66"/>
      <c r="Z2675" s="66"/>
    </row>
    <row r="2676">
      <c r="A2676" s="66"/>
      <c r="B2676" s="66"/>
      <c r="C2676" s="66"/>
      <c r="D2676" s="66"/>
      <c r="E2676" s="66"/>
      <c r="F2676" s="66"/>
      <c r="G2676" s="66"/>
      <c r="H2676" s="66"/>
      <c r="I2676" s="66"/>
      <c r="J2676" s="66"/>
      <c r="K2676" s="66"/>
      <c r="L2676" s="66"/>
      <c r="M2676" s="66"/>
      <c r="N2676" s="66"/>
      <c r="O2676" s="66"/>
      <c r="P2676" s="66"/>
      <c r="Q2676" s="66"/>
      <c r="R2676" s="66"/>
      <c r="S2676" s="66"/>
      <c r="T2676" s="66"/>
      <c r="U2676" s="66"/>
      <c r="V2676" s="66"/>
      <c r="W2676" s="66"/>
      <c r="X2676" s="66"/>
      <c r="Y2676" s="66"/>
      <c r="Z2676" s="66"/>
    </row>
    <row r="2677">
      <c r="A2677" s="66"/>
      <c r="B2677" s="66"/>
      <c r="C2677" s="66"/>
      <c r="D2677" s="66"/>
      <c r="E2677" s="66"/>
      <c r="F2677" s="66"/>
      <c r="G2677" s="66"/>
      <c r="H2677" s="66"/>
      <c r="I2677" s="66"/>
      <c r="J2677" s="66"/>
      <c r="K2677" s="66"/>
      <c r="L2677" s="66"/>
      <c r="M2677" s="66"/>
      <c r="N2677" s="66"/>
      <c r="O2677" s="66"/>
      <c r="P2677" s="66"/>
      <c r="Q2677" s="66"/>
      <c r="R2677" s="66"/>
      <c r="S2677" s="66"/>
      <c r="T2677" s="66"/>
      <c r="U2677" s="66"/>
      <c r="V2677" s="66"/>
      <c r="W2677" s="66"/>
      <c r="X2677" s="66"/>
      <c r="Y2677" s="66"/>
      <c r="Z2677" s="66"/>
    </row>
    <row r="2678">
      <c r="A2678" s="66"/>
      <c r="B2678" s="66"/>
      <c r="C2678" s="66"/>
      <c r="D2678" s="66"/>
      <c r="E2678" s="66"/>
      <c r="F2678" s="66"/>
      <c r="G2678" s="66"/>
      <c r="H2678" s="66"/>
      <c r="I2678" s="66"/>
      <c r="J2678" s="66"/>
      <c r="K2678" s="66"/>
      <c r="L2678" s="66"/>
      <c r="M2678" s="66"/>
      <c r="N2678" s="66"/>
      <c r="O2678" s="66"/>
      <c r="P2678" s="66"/>
      <c r="Q2678" s="66"/>
      <c r="R2678" s="66"/>
      <c r="S2678" s="66"/>
      <c r="T2678" s="66"/>
      <c r="U2678" s="66"/>
      <c r="V2678" s="66"/>
      <c r="W2678" s="66"/>
      <c r="X2678" s="66"/>
      <c r="Y2678" s="66"/>
      <c r="Z2678" s="66"/>
    </row>
    <row r="2679">
      <c r="A2679" s="66"/>
      <c r="B2679" s="66"/>
      <c r="C2679" s="66"/>
      <c r="D2679" s="66"/>
      <c r="E2679" s="66"/>
      <c r="F2679" s="66"/>
      <c r="G2679" s="66"/>
      <c r="H2679" s="66"/>
      <c r="I2679" s="66"/>
      <c r="J2679" s="66"/>
      <c r="K2679" s="66"/>
      <c r="L2679" s="66"/>
      <c r="M2679" s="66"/>
      <c r="N2679" s="66"/>
      <c r="O2679" s="66"/>
      <c r="P2679" s="66"/>
      <c r="Q2679" s="66"/>
      <c r="R2679" s="66"/>
      <c r="S2679" s="66"/>
      <c r="T2679" s="66"/>
      <c r="U2679" s="66"/>
      <c r="V2679" s="66"/>
      <c r="W2679" s="66"/>
      <c r="X2679" s="66"/>
      <c r="Y2679" s="66"/>
      <c r="Z2679" s="66"/>
    </row>
    <row r="2680">
      <c r="A2680" s="66"/>
      <c r="B2680" s="66"/>
      <c r="C2680" s="66"/>
      <c r="D2680" s="66"/>
      <c r="E2680" s="66"/>
      <c r="F2680" s="66"/>
      <c r="G2680" s="66"/>
      <c r="H2680" s="66"/>
      <c r="I2680" s="66"/>
      <c r="J2680" s="66"/>
      <c r="K2680" s="66"/>
      <c r="L2680" s="66"/>
      <c r="M2680" s="66"/>
      <c r="N2680" s="66"/>
      <c r="O2680" s="66"/>
      <c r="P2680" s="66"/>
      <c r="Q2680" s="66"/>
      <c r="R2680" s="66"/>
      <c r="S2680" s="66"/>
      <c r="T2680" s="66"/>
      <c r="U2680" s="66"/>
      <c r="V2680" s="66"/>
      <c r="W2680" s="66"/>
      <c r="X2680" s="66"/>
      <c r="Y2680" s="66"/>
      <c r="Z2680" s="66"/>
    </row>
    <row r="2681">
      <c r="A2681" s="66"/>
      <c r="B2681" s="66"/>
      <c r="C2681" s="66"/>
      <c r="D2681" s="66"/>
      <c r="E2681" s="66"/>
      <c r="F2681" s="66"/>
      <c r="G2681" s="66"/>
      <c r="H2681" s="66"/>
      <c r="I2681" s="66"/>
      <c r="J2681" s="66"/>
      <c r="K2681" s="66"/>
      <c r="L2681" s="66"/>
      <c r="M2681" s="66"/>
      <c r="N2681" s="66"/>
      <c r="O2681" s="66"/>
      <c r="P2681" s="66"/>
      <c r="Q2681" s="66"/>
      <c r="R2681" s="66"/>
      <c r="S2681" s="66"/>
      <c r="T2681" s="66"/>
      <c r="U2681" s="66"/>
      <c r="V2681" s="66"/>
      <c r="W2681" s="66"/>
      <c r="X2681" s="66"/>
      <c r="Y2681" s="66"/>
      <c r="Z2681" s="66"/>
    </row>
    <row r="2682">
      <c r="A2682" s="66"/>
      <c r="B2682" s="66"/>
      <c r="C2682" s="66"/>
      <c r="D2682" s="66"/>
      <c r="E2682" s="66"/>
      <c r="F2682" s="66"/>
      <c r="G2682" s="66"/>
      <c r="H2682" s="66"/>
      <c r="I2682" s="66"/>
      <c r="J2682" s="66"/>
      <c r="K2682" s="66"/>
      <c r="L2682" s="66"/>
      <c r="M2682" s="66"/>
      <c r="N2682" s="66"/>
      <c r="O2682" s="66"/>
      <c r="P2682" s="66"/>
      <c r="Q2682" s="66"/>
      <c r="R2682" s="66"/>
      <c r="S2682" s="66"/>
      <c r="T2682" s="66"/>
      <c r="U2682" s="66"/>
      <c r="V2682" s="66"/>
      <c r="W2682" s="66"/>
      <c r="X2682" s="66"/>
      <c r="Y2682" s="66"/>
      <c r="Z2682" s="66"/>
    </row>
    <row r="2683">
      <c r="A2683" s="66"/>
      <c r="B2683" s="66"/>
      <c r="C2683" s="66"/>
      <c r="D2683" s="66"/>
      <c r="E2683" s="66"/>
      <c r="F2683" s="66"/>
      <c r="G2683" s="66"/>
      <c r="H2683" s="66"/>
      <c r="I2683" s="66"/>
      <c r="J2683" s="66"/>
      <c r="K2683" s="66"/>
      <c r="L2683" s="66"/>
      <c r="M2683" s="66"/>
      <c r="N2683" s="66"/>
      <c r="O2683" s="66"/>
      <c r="P2683" s="66"/>
      <c r="Q2683" s="66"/>
      <c r="R2683" s="66"/>
      <c r="S2683" s="66"/>
      <c r="T2683" s="66"/>
      <c r="U2683" s="66"/>
      <c r="V2683" s="66"/>
      <c r="W2683" s="66"/>
      <c r="X2683" s="66"/>
      <c r="Y2683" s="66"/>
      <c r="Z2683" s="66"/>
    </row>
    <row r="2684">
      <c r="A2684" s="66"/>
      <c r="B2684" s="66"/>
      <c r="C2684" s="66"/>
      <c r="D2684" s="66"/>
      <c r="E2684" s="66"/>
      <c r="F2684" s="66"/>
      <c r="G2684" s="66"/>
      <c r="H2684" s="66"/>
      <c r="I2684" s="66"/>
      <c r="J2684" s="66"/>
      <c r="K2684" s="66"/>
      <c r="L2684" s="66"/>
      <c r="M2684" s="66"/>
      <c r="N2684" s="66"/>
      <c r="O2684" s="66"/>
      <c r="P2684" s="66"/>
      <c r="Q2684" s="66"/>
      <c r="R2684" s="66"/>
      <c r="S2684" s="66"/>
      <c r="T2684" s="66"/>
      <c r="U2684" s="66"/>
      <c r="V2684" s="66"/>
      <c r="W2684" s="66"/>
      <c r="X2684" s="66"/>
      <c r="Y2684" s="66"/>
      <c r="Z2684" s="66"/>
    </row>
    <row r="2685">
      <c r="A2685" s="66"/>
      <c r="B2685" s="66"/>
      <c r="C2685" s="66"/>
      <c r="D2685" s="66"/>
      <c r="E2685" s="66"/>
      <c r="F2685" s="66"/>
      <c r="G2685" s="66"/>
      <c r="H2685" s="66"/>
      <c r="I2685" s="66"/>
      <c r="J2685" s="66"/>
      <c r="K2685" s="66"/>
      <c r="L2685" s="66"/>
      <c r="M2685" s="66"/>
      <c r="N2685" s="66"/>
      <c r="O2685" s="66"/>
      <c r="P2685" s="66"/>
      <c r="Q2685" s="66"/>
      <c r="R2685" s="66"/>
      <c r="S2685" s="66"/>
      <c r="T2685" s="66"/>
      <c r="U2685" s="66"/>
      <c r="V2685" s="66"/>
      <c r="W2685" s="66"/>
      <c r="X2685" s="66"/>
      <c r="Y2685" s="66"/>
      <c r="Z2685" s="66"/>
    </row>
    <row r="2686">
      <c r="A2686" s="66"/>
      <c r="B2686" s="66"/>
      <c r="C2686" s="66"/>
      <c r="D2686" s="66"/>
      <c r="E2686" s="66"/>
      <c r="F2686" s="66"/>
      <c r="G2686" s="66"/>
      <c r="H2686" s="66"/>
      <c r="I2686" s="66"/>
      <c r="J2686" s="66"/>
      <c r="K2686" s="66"/>
      <c r="L2686" s="66"/>
      <c r="M2686" s="66"/>
      <c r="N2686" s="66"/>
      <c r="O2686" s="66"/>
      <c r="P2686" s="66"/>
      <c r="Q2686" s="66"/>
      <c r="R2686" s="66"/>
      <c r="S2686" s="66"/>
      <c r="T2686" s="66"/>
      <c r="U2686" s="66"/>
      <c r="V2686" s="66"/>
      <c r="W2686" s="66"/>
      <c r="X2686" s="66"/>
      <c r="Y2686" s="66"/>
      <c r="Z2686" s="66"/>
    </row>
    <row r="2687">
      <c r="A2687" s="66"/>
      <c r="B2687" s="66"/>
      <c r="C2687" s="66"/>
      <c r="D2687" s="66"/>
      <c r="E2687" s="66"/>
      <c r="F2687" s="66"/>
      <c r="G2687" s="66"/>
      <c r="H2687" s="66"/>
      <c r="I2687" s="66"/>
      <c r="J2687" s="66"/>
      <c r="K2687" s="66"/>
      <c r="L2687" s="66"/>
      <c r="M2687" s="66"/>
      <c r="N2687" s="66"/>
      <c r="O2687" s="66"/>
      <c r="P2687" s="66"/>
      <c r="Q2687" s="66"/>
      <c r="R2687" s="66"/>
      <c r="S2687" s="66"/>
      <c r="T2687" s="66"/>
      <c r="U2687" s="66"/>
      <c r="V2687" s="66"/>
      <c r="W2687" s="66"/>
      <c r="X2687" s="66"/>
      <c r="Y2687" s="66"/>
      <c r="Z2687" s="66"/>
    </row>
    <row r="2688">
      <c r="A2688" s="66"/>
      <c r="B2688" s="66"/>
      <c r="C2688" s="66"/>
      <c r="D2688" s="66"/>
      <c r="E2688" s="66"/>
      <c r="F2688" s="66"/>
      <c r="G2688" s="66"/>
      <c r="H2688" s="66"/>
      <c r="I2688" s="66"/>
      <c r="J2688" s="66"/>
      <c r="K2688" s="66"/>
      <c r="L2688" s="66"/>
      <c r="M2688" s="66"/>
      <c r="N2688" s="66"/>
      <c r="O2688" s="66"/>
      <c r="P2688" s="66"/>
      <c r="Q2688" s="66"/>
      <c r="R2688" s="66"/>
      <c r="S2688" s="66"/>
      <c r="T2688" s="66"/>
      <c r="U2688" s="66"/>
      <c r="V2688" s="66"/>
      <c r="W2688" s="66"/>
      <c r="X2688" s="66"/>
      <c r="Y2688" s="66"/>
      <c r="Z2688" s="66"/>
    </row>
    <row r="2689">
      <c r="A2689" s="66"/>
      <c r="B2689" s="66"/>
      <c r="C2689" s="66"/>
      <c r="D2689" s="66"/>
      <c r="E2689" s="66"/>
      <c r="F2689" s="66"/>
      <c r="G2689" s="66"/>
      <c r="H2689" s="66"/>
      <c r="I2689" s="66"/>
      <c r="J2689" s="66"/>
      <c r="K2689" s="66"/>
      <c r="L2689" s="66"/>
      <c r="M2689" s="66"/>
      <c r="N2689" s="66"/>
      <c r="O2689" s="66"/>
      <c r="P2689" s="66"/>
      <c r="Q2689" s="66"/>
      <c r="R2689" s="66"/>
      <c r="S2689" s="66"/>
      <c r="T2689" s="66"/>
      <c r="U2689" s="66"/>
      <c r="V2689" s="66"/>
      <c r="W2689" s="66"/>
      <c r="X2689" s="66"/>
      <c r="Y2689" s="66"/>
      <c r="Z2689" s="66"/>
    </row>
    <row r="2690">
      <c r="A2690" s="66"/>
      <c r="B2690" s="66"/>
      <c r="C2690" s="66"/>
      <c r="D2690" s="66"/>
      <c r="E2690" s="66"/>
      <c r="F2690" s="66"/>
      <c r="G2690" s="66"/>
      <c r="H2690" s="66"/>
      <c r="I2690" s="66"/>
      <c r="J2690" s="66"/>
      <c r="K2690" s="66"/>
      <c r="L2690" s="66"/>
      <c r="M2690" s="66"/>
      <c r="N2690" s="66"/>
      <c r="O2690" s="66"/>
      <c r="P2690" s="66"/>
      <c r="Q2690" s="66"/>
      <c r="R2690" s="66"/>
      <c r="S2690" s="66"/>
      <c r="T2690" s="66"/>
      <c r="U2690" s="66"/>
      <c r="V2690" s="66"/>
      <c r="W2690" s="66"/>
      <c r="X2690" s="66"/>
      <c r="Y2690" s="66"/>
      <c r="Z2690" s="66"/>
    </row>
  </sheetData>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1.22" defaultRowHeight="15.0"/>
  <cols>
    <col customWidth="1" min="1" max="1" width="25.67"/>
    <col customWidth="1" min="2" max="2" width="29.56"/>
    <col customWidth="1" min="3" max="3" width="7.56"/>
    <col customWidth="1" min="4" max="4" width="17.44"/>
    <col customWidth="1" min="5" max="5" width="9.67"/>
    <col customWidth="1" min="6" max="6" width="9.22"/>
    <col customWidth="1" min="7" max="7" width="6.56"/>
    <col customWidth="1" min="8" max="8" width="13.44"/>
    <col customWidth="1" min="9" max="9" width="10.44"/>
    <col customWidth="1" min="10" max="10" width="13.33"/>
    <col customWidth="1" min="11" max="11" width="12.56"/>
    <col customWidth="1" min="12" max="12" width="13.44"/>
    <col customWidth="1" min="13" max="13" width="16.11"/>
    <col customWidth="1" min="14" max="14" width="16.0"/>
    <col customWidth="1" min="15" max="15" width="16.33"/>
    <col customWidth="1" min="16" max="16" width="6.0"/>
    <col customWidth="1" min="17" max="17" width="7.67"/>
    <col customWidth="1" min="18" max="18" width="12.89"/>
    <col customWidth="1" min="19" max="19" width="12.0"/>
    <col customWidth="1" min="20" max="20" width="66.56"/>
  </cols>
  <sheetData>
    <row r="1">
      <c r="A1" s="160"/>
      <c r="B1" s="160"/>
      <c r="C1" s="160"/>
      <c r="D1" s="161" t="s">
        <v>963</v>
      </c>
      <c r="E1" s="160"/>
      <c r="F1" s="160"/>
      <c r="G1" s="160"/>
      <c r="H1" s="162" t="str">
        <f>subtotal(9,H3:H199)</f>
        <v>#REF!</v>
      </c>
      <c r="I1" s="160"/>
      <c r="J1" s="163"/>
      <c r="K1" s="162"/>
      <c r="L1" s="162"/>
      <c r="M1" s="160"/>
      <c r="N1" s="160"/>
      <c r="O1" s="160"/>
      <c r="P1" s="160"/>
      <c r="Q1" s="160"/>
      <c r="R1" s="160"/>
      <c r="S1" s="160"/>
      <c r="T1" s="160"/>
      <c r="U1" s="164"/>
      <c r="V1" s="164"/>
      <c r="W1" s="164"/>
      <c r="X1" s="164"/>
      <c r="Y1" s="164"/>
      <c r="Z1" s="164"/>
      <c r="AA1" s="164"/>
      <c r="AB1" s="164"/>
      <c r="AC1" s="164"/>
      <c r="AD1" s="164"/>
      <c r="AE1" s="164"/>
      <c r="AF1" s="164"/>
      <c r="AG1" s="164"/>
      <c r="AH1" s="164"/>
      <c r="AI1" s="164"/>
      <c r="AJ1" s="164"/>
    </row>
    <row r="2" ht="39.75" customHeight="1">
      <c r="A2" s="165" t="s">
        <v>964</v>
      </c>
      <c r="B2" s="165" t="s">
        <v>965</v>
      </c>
      <c r="C2" s="165" t="s">
        <v>966</v>
      </c>
      <c r="D2" s="165" t="s">
        <v>967</v>
      </c>
      <c r="E2" s="165" t="s">
        <v>968</v>
      </c>
      <c r="F2" s="165" t="s">
        <v>969</v>
      </c>
      <c r="G2" s="165" t="s">
        <v>970</v>
      </c>
      <c r="H2" s="165" t="s">
        <v>971</v>
      </c>
      <c r="I2" s="165" t="s">
        <v>972</v>
      </c>
      <c r="J2" s="166" t="s">
        <v>973</v>
      </c>
      <c r="K2" s="165" t="s">
        <v>974</v>
      </c>
      <c r="L2" s="165" t="s">
        <v>975</v>
      </c>
      <c r="M2" s="165" t="s">
        <v>976</v>
      </c>
      <c r="N2" s="165" t="s">
        <v>977</v>
      </c>
      <c r="O2" s="165" t="s">
        <v>978</v>
      </c>
      <c r="P2" s="165" t="s">
        <v>979</v>
      </c>
      <c r="Q2" s="165" t="s">
        <v>980</v>
      </c>
      <c r="R2" s="165" t="s">
        <v>981</v>
      </c>
      <c r="S2" s="165" t="s">
        <v>982</v>
      </c>
      <c r="T2" s="167" t="s">
        <v>979</v>
      </c>
      <c r="U2" s="164"/>
      <c r="V2" s="164"/>
      <c r="W2" s="164"/>
      <c r="X2" s="164"/>
      <c r="Y2" s="164"/>
      <c r="Z2" s="164"/>
      <c r="AA2" s="164"/>
      <c r="AB2" s="164"/>
      <c r="AC2" s="164"/>
      <c r="AD2" s="164"/>
      <c r="AE2" s="164"/>
      <c r="AF2" s="164"/>
      <c r="AG2" s="164"/>
      <c r="AH2" s="164"/>
      <c r="AI2" s="164"/>
      <c r="AJ2" s="164"/>
    </row>
    <row r="3">
      <c r="A3" s="168" t="str">
        <f t="shared" ref="A3:AJ3" si="1">#REF!</f>
        <v>#REF!</v>
      </c>
      <c r="B3" s="168" t="str">
        <f t="shared" si="1"/>
        <v>#REF!</v>
      </c>
      <c r="C3" s="168" t="str">
        <f t="shared" si="1"/>
        <v>#REF!</v>
      </c>
      <c r="D3" s="168" t="str">
        <f t="shared" si="1"/>
        <v>#REF!</v>
      </c>
      <c r="E3" s="168" t="str">
        <f t="shared" si="1"/>
        <v>#REF!</v>
      </c>
      <c r="F3" s="168" t="str">
        <f t="shared" si="1"/>
        <v>#REF!</v>
      </c>
      <c r="G3" s="168" t="str">
        <f t="shared" si="1"/>
        <v>#REF!</v>
      </c>
      <c r="H3" s="168" t="str">
        <f t="shared" si="1"/>
        <v>#REF!</v>
      </c>
      <c r="I3" s="168" t="str">
        <f t="shared" si="1"/>
        <v>#REF!</v>
      </c>
      <c r="J3" s="168" t="str">
        <f t="shared" si="1"/>
        <v>#REF!</v>
      </c>
      <c r="K3" s="168" t="str">
        <f t="shared" si="1"/>
        <v>#REF!</v>
      </c>
      <c r="L3" s="168" t="str">
        <f t="shared" si="1"/>
        <v>#REF!</v>
      </c>
      <c r="M3" s="168" t="str">
        <f t="shared" si="1"/>
        <v>#REF!</v>
      </c>
      <c r="N3" s="168" t="str">
        <f t="shared" si="1"/>
        <v>#REF!</v>
      </c>
      <c r="O3" s="168" t="str">
        <f t="shared" si="1"/>
        <v>#REF!</v>
      </c>
      <c r="P3" s="168" t="str">
        <f t="shared" si="1"/>
        <v>#REF!</v>
      </c>
      <c r="Q3" s="168" t="str">
        <f t="shared" si="1"/>
        <v>#REF!</v>
      </c>
      <c r="R3" s="168" t="str">
        <f t="shared" si="1"/>
        <v>#REF!</v>
      </c>
      <c r="S3" s="168" t="str">
        <f t="shared" si="1"/>
        <v>#REF!</v>
      </c>
      <c r="T3" s="168" t="str">
        <f t="shared" si="1"/>
        <v>#REF!</v>
      </c>
      <c r="U3" s="168" t="str">
        <f t="shared" si="1"/>
        <v>#REF!</v>
      </c>
      <c r="V3" s="168" t="str">
        <f t="shared" si="1"/>
        <v>#REF!</v>
      </c>
      <c r="W3" s="168" t="str">
        <f t="shared" si="1"/>
        <v>#REF!</v>
      </c>
      <c r="X3" s="168" t="str">
        <f t="shared" si="1"/>
        <v>#REF!</v>
      </c>
      <c r="Y3" s="168" t="str">
        <f t="shared" si="1"/>
        <v>#REF!</v>
      </c>
      <c r="Z3" s="168" t="str">
        <f t="shared" si="1"/>
        <v>#REF!</v>
      </c>
      <c r="AA3" s="168" t="str">
        <f t="shared" si="1"/>
        <v>#REF!</v>
      </c>
      <c r="AB3" s="168" t="str">
        <f t="shared" si="1"/>
        <v>#REF!</v>
      </c>
      <c r="AC3" s="168" t="str">
        <f t="shared" si="1"/>
        <v>#REF!</v>
      </c>
      <c r="AD3" s="168" t="str">
        <f t="shared" si="1"/>
        <v>#REF!</v>
      </c>
      <c r="AE3" s="168" t="str">
        <f t="shared" si="1"/>
        <v>#REF!</v>
      </c>
      <c r="AF3" s="168" t="str">
        <f t="shared" si="1"/>
        <v>#REF!</v>
      </c>
      <c r="AG3" s="168" t="str">
        <f t="shared" si="1"/>
        <v>#REF!</v>
      </c>
      <c r="AH3" s="168" t="str">
        <f t="shared" si="1"/>
        <v>#REF!</v>
      </c>
      <c r="AI3" s="168" t="str">
        <f t="shared" si="1"/>
        <v>#REF!</v>
      </c>
      <c r="AJ3" s="168" t="str">
        <f t="shared" si="1"/>
        <v>#REF!</v>
      </c>
    </row>
    <row r="4">
      <c r="A4" s="168" t="str">
        <f t="shared" ref="A4:AJ4" si="2">#REF!</f>
        <v>#REF!</v>
      </c>
      <c r="B4" s="168" t="str">
        <f t="shared" si="2"/>
        <v>#REF!</v>
      </c>
      <c r="C4" s="168" t="str">
        <f t="shared" si="2"/>
        <v>#REF!</v>
      </c>
      <c r="D4" s="168" t="str">
        <f t="shared" si="2"/>
        <v>#REF!</v>
      </c>
      <c r="E4" s="168" t="str">
        <f t="shared" si="2"/>
        <v>#REF!</v>
      </c>
      <c r="F4" s="168" t="str">
        <f t="shared" si="2"/>
        <v>#REF!</v>
      </c>
      <c r="G4" s="168" t="str">
        <f t="shared" si="2"/>
        <v>#REF!</v>
      </c>
      <c r="H4" s="168" t="str">
        <f t="shared" si="2"/>
        <v>#REF!</v>
      </c>
      <c r="I4" s="168" t="str">
        <f t="shared" si="2"/>
        <v>#REF!</v>
      </c>
      <c r="J4" s="168" t="str">
        <f t="shared" si="2"/>
        <v>#REF!</v>
      </c>
      <c r="K4" s="168" t="str">
        <f t="shared" si="2"/>
        <v>#REF!</v>
      </c>
      <c r="L4" s="168" t="str">
        <f t="shared" si="2"/>
        <v>#REF!</v>
      </c>
      <c r="M4" s="168" t="str">
        <f t="shared" si="2"/>
        <v>#REF!</v>
      </c>
      <c r="N4" s="168" t="str">
        <f t="shared" si="2"/>
        <v>#REF!</v>
      </c>
      <c r="O4" s="168" t="str">
        <f t="shared" si="2"/>
        <v>#REF!</v>
      </c>
      <c r="P4" s="168" t="str">
        <f t="shared" si="2"/>
        <v>#REF!</v>
      </c>
      <c r="Q4" s="168" t="str">
        <f t="shared" si="2"/>
        <v>#REF!</v>
      </c>
      <c r="R4" s="168" t="str">
        <f t="shared" si="2"/>
        <v>#REF!</v>
      </c>
      <c r="S4" s="168" t="str">
        <f t="shared" si="2"/>
        <v>#REF!</v>
      </c>
      <c r="T4" s="168" t="str">
        <f t="shared" si="2"/>
        <v>#REF!</v>
      </c>
      <c r="U4" s="168" t="str">
        <f t="shared" si="2"/>
        <v>#REF!</v>
      </c>
      <c r="V4" s="168" t="str">
        <f t="shared" si="2"/>
        <v>#REF!</v>
      </c>
      <c r="W4" s="168" t="str">
        <f t="shared" si="2"/>
        <v>#REF!</v>
      </c>
      <c r="X4" s="168" t="str">
        <f t="shared" si="2"/>
        <v>#REF!</v>
      </c>
      <c r="Y4" s="168" t="str">
        <f t="shared" si="2"/>
        <v>#REF!</v>
      </c>
      <c r="Z4" s="168" t="str">
        <f t="shared" si="2"/>
        <v>#REF!</v>
      </c>
      <c r="AA4" s="168" t="str">
        <f t="shared" si="2"/>
        <v>#REF!</v>
      </c>
      <c r="AB4" s="168" t="str">
        <f t="shared" si="2"/>
        <v>#REF!</v>
      </c>
      <c r="AC4" s="168" t="str">
        <f t="shared" si="2"/>
        <v>#REF!</v>
      </c>
      <c r="AD4" s="168" t="str">
        <f t="shared" si="2"/>
        <v>#REF!</v>
      </c>
      <c r="AE4" s="168" t="str">
        <f t="shared" si="2"/>
        <v>#REF!</v>
      </c>
      <c r="AF4" s="168" t="str">
        <f t="shared" si="2"/>
        <v>#REF!</v>
      </c>
      <c r="AG4" s="168" t="str">
        <f t="shared" si="2"/>
        <v>#REF!</v>
      </c>
      <c r="AH4" s="168" t="str">
        <f t="shared" si="2"/>
        <v>#REF!</v>
      </c>
      <c r="AI4" s="168" t="str">
        <f t="shared" si="2"/>
        <v>#REF!</v>
      </c>
      <c r="AJ4" s="168" t="str">
        <f t="shared" si="2"/>
        <v>#REF!</v>
      </c>
    </row>
    <row r="5">
      <c r="A5" s="168" t="str">
        <f t="shared" ref="A5:AJ5" si="3">#REF!</f>
        <v>#REF!</v>
      </c>
      <c r="B5" s="168" t="str">
        <f t="shared" si="3"/>
        <v>#REF!</v>
      </c>
      <c r="C5" s="168" t="str">
        <f t="shared" si="3"/>
        <v>#REF!</v>
      </c>
      <c r="D5" s="168" t="str">
        <f t="shared" si="3"/>
        <v>#REF!</v>
      </c>
      <c r="E5" s="168" t="str">
        <f t="shared" si="3"/>
        <v>#REF!</v>
      </c>
      <c r="F5" s="168" t="str">
        <f t="shared" si="3"/>
        <v>#REF!</v>
      </c>
      <c r="G5" s="168" t="str">
        <f t="shared" si="3"/>
        <v>#REF!</v>
      </c>
      <c r="H5" s="168" t="str">
        <f t="shared" si="3"/>
        <v>#REF!</v>
      </c>
      <c r="I5" s="168" t="str">
        <f t="shared" si="3"/>
        <v>#REF!</v>
      </c>
      <c r="J5" s="168" t="str">
        <f t="shared" si="3"/>
        <v>#REF!</v>
      </c>
      <c r="K5" s="168" t="str">
        <f t="shared" si="3"/>
        <v>#REF!</v>
      </c>
      <c r="L5" s="168" t="str">
        <f t="shared" si="3"/>
        <v>#REF!</v>
      </c>
      <c r="M5" s="168" t="str">
        <f t="shared" si="3"/>
        <v>#REF!</v>
      </c>
      <c r="N5" s="168" t="str">
        <f t="shared" si="3"/>
        <v>#REF!</v>
      </c>
      <c r="O5" s="168" t="str">
        <f t="shared" si="3"/>
        <v>#REF!</v>
      </c>
      <c r="P5" s="168" t="str">
        <f t="shared" si="3"/>
        <v>#REF!</v>
      </c>
      <c r="Q5" s="168" t="str">
        <f t="shared" si="3"/>
        <v>#REF!</v>
      </c>
      <c r="R5" s="168" t="str">
        <f t="shared" si="3"/>
        <v>#REF!</v>
      </c>
      <c r="S5" s="168" t="str">
        <f t="shared" si="3"/>
        <v>#REF!</v>
      </c>
      <c r="T5" s="168" t="str">
        <f t="shared" si="3"/>
        <v>#REF!</v>
      </c>
      <c r="U5" s="168" t="str">
        <f t="shared" si="3"/>
        <v>#REF!</v>
      </c>
      <c r="V5" s="168" t="str">
        <f t="shared" si="3"/>
        <v>#REF!</v>
      </c>
      <c r="W5" s="168" t="str">
        <f t="shared" si="3"/>
        <v>#REF!</v>
      </c>
      <c r="X5" s="168" t="str">
        <f t="shared" si="3"/>
        <v>#REF!</v>
      </c>
      <c r="Y5" s="168" t="str">
        <f t="shared" si="3"/>
        <v>#REF!</v>
      </c>
      <c r="Z5" s="168" t="str">
        <f t="shared" si="3"/>
        <v>#REF!</v>
      </c>
      <c r="AA5" s="168" t="str">
        <f t="shared" si="3"/>
        <v>#REF!</v>
      </c>
      <c r="AB5" s="168" t="str">
        <f t="shared" si="3"/>
        <v>#REF!</v>
      </c>
      <c r="AC5" s="168" t="str">
        <f t="shared" si="3"/>
        <v>#REF!</v>
      </c>
      <c r="AD5" s="168" t="str">
        <f t="shared" si="3"/>
        <v>#REF!</v>
      </c>
      <c r="AE5" s="168" t="str">
        <f t="shared" si="3"/>
        <v>#REF!</v>
      </c>
      <c r="AF5" s="168" t="str">
        <f t="shared" si="3"/>
        <v>#REF!</v>
      </c>
      <c r="AG5" s="168" t="str">
        <f t="shared" si="3"/>
        <v>#REF!</v>
      </c>
      <c r="AH5" s="168" t="str">
        <f t="shared" si="3"/>
        <v>#REF!</v>
      </c>
      <c r="AI5" s="168" t="str">
        <f t="shared" si="3"/>
        <v>#REF!</v>
      </c>
      <c r="AJ5" s="168" t="str">
        <f t="shared" si="3"/>
        <v>#REF!</v>
      </c>
    </row>
    <row r="6">
      <c r="A6" s="168" t="str">
        <f t="shared" ref="A6:AJ6" si="4">#REF!</f>
        <v>#REF!</v>
      </c>
      <c r="B6" s="168" t="str">
        <f t="shared" si="4"/>
        <v>#REF!</v>
      </c>
      <c r="C6" s="168" t="str">
        <f t="shared" si="4"/>
        <v>#REF!</v>
      </c>
      <c r="D6" s="168" t="str">
        <f t="shared" si="4"/>
        <v>#REF!</v>
      </c>
      <c r="E6" s="168" t="str">
        <f t="shared" si="4"/>
        <v>#REF!</v>
      </c>
      <c r="F6" s="168" t="str">
        <f t="shared" si="4"/>
        <v>#REF!</v>
      </c>
      <c r="G6" s="168" t="str">
        <f t="shared" si="4"/>
        <v>#REF!</v>
      </c>
      <c r="H6" s="168" t="str">
        <f t="shared" si="4"/>
        <v>#REF!</v>
      </c>
      <c r="I6" s="168" t="str">
        <f t="shared" si="4"/>
        <v>#REF!</v>
      </c>
      <c r="J6" s="168" t="str">
        <f t="shared" si="4"/>
        <v>#REF!</v>
      </c>
      <c r="K6" s="168" t="str">
        <f t="shared" si="4"/>
        <v>#REF!</v>
      </c>
      <c r="L6" s="168" t="str">
        <f t="shared" si="4"/>
        <v>#REF!</v>
      </c>
      <c r="M6" s="168" t="str">
        <f t="shared" si="4"/>
        <v>#REF!</v>
      </c>
      <c r="N6" s="168" t="str">
        <f t="shared" si="4"/>
        <v>#REF!</v>
      </c>
      <c r="O6" s="168" t="str">
        <f t="shared" si="4"/>
        <v>#REF!</v>
      </c>
      <c r="P6" s="168" t="str">
        <f t="shared" si="4"/>
        <v>#REF!</v>
      </c>
      <c r="Q6" s="168" t="str">
        <f t="shared" si="4"/>
        <v>#REF!</v>
      </c>
      <c r="R6" s="168" t="str">
        <f t="shared" si="4"/>
        <v>#REF!</v>
      </c>
      <c r="S6" s="168" t="str">
        <f t="shared" si="4"/>
        <v>#REF!</v>
      </c>
      <c r="T6" s="168" t="str">
        <f t="shared" si="4"/>
        <v>#REF!</v>
      </c>
      <c r="U6" s="168" t="str">
        <f t="shared" si="4"/>
        <v>#REF!</v>
      </c>
      <c r="V6" s="168" t="str">
        <f t="shared" si="4"/>
        <v>#REF!</v>
      </c>
      <c r="W6" s="168" t="str">
        <f t="shared" si="4"/>
        <v>#REF!</v>
      </c>
      <c r="X6" s="168" t="str">
        <f t="shared" si="4"/>
        <v>#REF!</v>
      </c>
      <c r="Y6" s="168" t="str">
        <f t="shared" si="4"/>
        <v>#REF!</v>
      </c>
      <c r="Z6" s="168" t="str">
        <f t="shared" si="4"/>
        <v>#REF!</v>
      </c>
      <c r="AA6" s="168" t="str">
        <f t="shared" si="4"/>
        <v>#REF!</v>
      </c>
      <c r="AB6" s="168" t="str">
        <f t="shared" si="4"/>
        <v>#REF!</v>
      </c>
      <c r="AC6" s="168" t="str">
        <f t="shared" si="4"/>
        <v>#REF!</v>
      </c>
      <c r="AD6" s="168" t="str">
        <f t="shared" si="4"/>
        <v>#REF!</v>
      </c>
      <c r="AE6" s="168" t="str">
        <f t="shared" si="4"/>
        <v>#REF!</v>
      </c>
      <c r="AF6" s="168" t="str">
        <f t="shared" si="4"/>
        <v>#REF!</v>
      </c>
      <c r="AG6" s="168" t="str">
        <f t="shared" si="4"/>
        <v>#REF!</v>
      </c>
      <c r="AH6" s="168" t="str">
        <f t="shared" si="4"/>
        <v>#REF!</v>
      </c>
      <c r="AI6" s="168" t="str">
        <f t="shared" si="4"/>
        <v>#REF!</v>
      </c>
      <c r="AJ6" s="168" t="str">
        <f t="shared" si="4"/>
        <v>#REF!</v>
      </c>
    </row>
    <row r="7" hidden="1">
      <c r="A7" s="168" t="str">
        <f t="shared" ref="A7:AJ7" si="5">#REF!</f>
        <v>#REF!</v>
      </c>
      <c r="B7" s="168" t="str">
        <f t="shared" si="5"/>
        <v>#REF!</v>
      </c>
      <c r="C7" s="168" t="str">
        <f t="shared" si="5"/>
        <v>#REF!</v>
      </c>
      <c r="D7" s="168" t="str">
        <f t="shared" si="5"/>
        <v>#REF!</v>
      </c>
      <c r="E7" s="168" t="str">
        <f t="shared" si="5"/>
        <v>#REF!</v>
      </c>
      <c r="F7" s="168" t="str">
        <f t="shared" si="5"/>
        <v>#REF!</v>
      </c>
      <c r="G7" s="168" t="str">
        <f t="shared" si="5"/>
        <v>#REF!</v>
      </c>
      <c r="H7" s="168" t="str">
        <f t="shared" si="5"/>
        <v>#REF!</v>
      </c>
      <c r="I7" s="168" t="str">
        <f t="shared" si="5"/>
        <v>#REF!</v>
      </c>
      <c r="J7" s="168" t="str">
        <f t="shared" si="5"/>
        <v>#REF!</v>
      </c>
      <c r="K7" s="168" t="str">
        <f t="shared" si="5"/>
        <v>#REF!</v>
      </c>
      <c r="L7" s="168" t="str">
        <f t="shared" si="5"/>
        <v>#REF!</v>
      </c>
      <c r="M7" s="168" t="str">
        <f t="shared" si="5"/>
        <v>#REF!</v>
      </c>
      <c r="N7" s="168" t="str">
        <f t="shared" si="5"/>
        <v>#REF!</v>
      </c>
      <c r="O7" s="168" t="str">
        <f t="shared" si="5"/>
        <v>#REF!</v>
      </c>
      <c r="P7" s="168" t="str">
        <f t="shared" si="5"/>
        <v>#REF!</v>
      </c>
      <c r="Q7" s="168" t="str">
        <f t="shared" si="5"/>
        <v>#REF!</v>
      </c>
      <c r="R7" s="168" t="str">
        <f t="shared" si="5"/>
        <v>#REF!</v>
      </c>
      <c r="S7" s="168" t="str">
        <f t="shared" si="5"/>
        <v>#REF!</v>
      </c>
      <c r="T7" s="168" t="str">
        <f t="shared" si="5"/>
        <v>#REF!</v>
      </c>
      <c r="U7" s="168" t="str">
        <f t="shared" si="5"/>
        <v>#REF!</v>
      </c>
      <c r="V7" s="168" t="str">
        <f t="shared" si="5"/>
        <v>#REF!</v>
      </c>
      <c r="W7" s="168" t="str">
        <f t="shared" si="5"/>
        <v>#REF!</v>
      </c>
      <c r="X7" s="168" t="str">
        <f t="shared" si="5"/>
        <v>#REF!</v>
      </c>
      <c r="Y7" s="168" t="str">
        <f t="shared" si="5"/>
        <v>#REF!</v>
      </c>
      <c r="Z7" s="168" t="str">
        <f t="shared" si="5"/>
        <v>#REF!</v>
      </c>
      <c r="AA7" s="168" t="str">
        <f t="shared" si="5"/>
        <v>#REF!</v>
      </c>
      <c r="AB7" s="168" t="str">
        <f t="shared" si="5"/>
        <v>#REF!</v>
      </c>
      <c r="AC7" s="168" t="str">
        <f t="shared" si="5"/>
        <v>#REF!</v>
      </c>
      <c r="AD7" s="168" t="str">
        <f t="shared" si="5"/>
        <v>#REF!</v>
      </c>
      <c r="AE7" s="168" t="str">
        <f t="shared" si="5"/>
        <v>#REF!</v>
      </c>
      <c r="AF7" s="168" t="str">
        <f t="shared" si="5"/>
        <v>#REF!</v>
      </c>
      <c r="AG7" s="168" t="str">
        <f t="shared" si="5"/>
        <v>#REF!</v>
      </c>
      <c r="AH7" s="168" t="str">
        <f t="shared" si="5"/>
        <v>#REF!</v>
      </c>
      <c r="AI7" s="168" t="str">
        <f t="shared" si="5"/>
        <v>#REF!</v>
      </c>
      <c r="AJ7" s="168" t="str">
        <f t="shared" si="5"/>
        <v>#REF!</v>
      </c>
    </row>
    <row r="8">
      <c r="A8" s="168" t="str">
        <f t="shared" ref="A8:AJ8" si="6">#REF!</f>
        <v>#REF!</v>
      </c>
      <c r="B8" s="168" t="str">
        <f t="shared" si="6"/>
        <v>#REF!</v>
      </c>
      <c r="C8" s="168" t="str">
        <f t="shared" si="6"/>
        <v>#REF!</v>
      </c>
      <c r="D8" s="168" t="str">
        <f t="shared" si="6"/>
        <v>#REF!</v>
      </c>
      <c r="E8" s="168" t="str">
        <f t="shared" si="6"/>
        <v>#REF!</v>
      </c>
      <c r="F8" s="168" t="str">
        <f t="shared" si="6"/>
        <v>#REF!</v>
      </c>
      <c r="G8" s="168" t="str">
        <f t="shared" si="6"/>
        <v>#REF!</v>
      </c>
      <c r="H8" s="168" t="str">
        <f t="shared" si="6"/>
        <v>#REF!</v>
      </c>
      <c r="I8" s="168" t="str">
        <f t="shared" si="6"/>
        <v>#REF!</v>
      </c>
      <c r="J8" s="168" t="str">
        <f t="shared" si="6"/>
        <v>#REF!</v>
      </c>
      <c r="K8" s="168" t="str">
        <f t="shared" si="6"/>
        <v>#REF!</v>
      </c>
      <c r="L8" s="168" t="str">
        <f t="shared" si="6"/>
        <v>#REF!</v>
      </c>
      <c r="M8" s="168" t="str">
        <f t="shared" si="6"/>
        <v>#REF!</v>
      </c>
      <c r="N8" s="168" t="str">
        <f t="shared" si="6"/>
        <v>#REF!</v>
      </c>
      <c r="O8" s="168" t="str">
        <f t="shared" si="6"/>
        <v>#REF!</v>
      </c>
      <c r="P8" s="168" t="str">
        <f t="shared" si="6"/>
        <v>#REF!</v>
      </c>
      <c r="Q8" s="168" t="str">
        <f t="shared" si="6"/>
        <v>#REF!</v>
      </c>
      <c r="R8" s="168" t="str">
        <f t="shared" si="6"/>
        <v>#REF!</v>
      </c>
      <c r="S8" s="168" t="str">
        <f t="shared" si="6"/>
        <v>#REF!</v>
      </c>
      <c r="T8" s="168" t="str">
        <f t="shared" si="6"/>
        <v>#REF!</v>
      </c>
      <c r="U8" s="168" t="str">
        <f t="shared" si="6"/>
        <v>#REF!</v>
      </c>
      <c r="V8" s="168" t="str">
        <f t="shared" si="6"/>
        <v>#REF!</v>
      </c>
      <c r="W8" s="168" t="str">
        <f t="shared" si="6"/>
        <v>#REF!</v>
      </c>
      <c r="X8" s="168" t="str">
        <f t="shared" si="6"/>
        <v>#REF!</v>
      </c>
      <c r="Y8" s="168" t="str">
        <f t="shared" si="6"/>
        <v>#REF!</v>
      </c>
      <c r="Z8" s="168" t="str">
        <f t="shared" si="6"/>
        <v>#REF!</v>
      </c>
      <c r="AA8" s="168" t="str">
        <f t="shared" si="6"/>
        <v>#REF!</v>
      </c>
      <c r="AB8" s="168" t="str">
        <f t="shared" si="6"/>
        <v>#REF!</v>
      </c>
      <c r="AC8" s="168" t="str">
        <f t="shared" si="6"/>
        <v>#REF!</v>
      </c>
      <c r="AD8" s="168" t="str">
        <f t="shared" si="6"/>
        <v>#REF!</v>
      </c>
      <c r="AE8" s="168" t="str">
        <f t="shared" si="6"/>
        <v>#REF!</v>
      </c>
      <c r="AF8" s="168" t="str">
        <f t="shared" si="6"/>
        <v>#REF!</v>
      </c>
      <c r="AG8" s="168" t="str">
        <f t="shared" si="6"/>
        <v>#REF!</v>
      </c>
      <c r="AH8" s="168" t="str">
        <f t="shared" si="6"/>
        <v>#REF!</v>
      </c>
      <c r="AI8" s="168" t="str">
        <f t="shared" si="6"/>
        <v>#REF!</v>
      </c>
      <c r="AJ8" s="168" t="str">
        <f t="shared" si="6"/>
        <v>#REF!</v>
      </c>
    </row>
    <row r="9" hidden="1">
      <c r="A9" s="168" t="str">
        <f t="shared" ref="A9:AJ9" si="7">#REF!</f>
        <v>#REF!</v>
      </c>
      <c r="B9" s="168" t="str">
        <f t="shared" si="7"/>
        <v>#REF!</v>
      </c>
      <c r="C9" s="168" t="str">
        <f t="shared" si="7"/>
        <v>#REF!</v>
      </c>
      <c r="D9" s="168" t="str">
        <f t="shared" si="7"/>
        <v>#REF!</v>
      </c>
      <c r="E9" s="168" t="str">
        <f t="shared" si="7"/>
        <v>#REF!</v>
      </c>
      <c r="F9" s="168" t="str">
        <f t="shared" si="7"/>
        <v>#REF!</v>
      </c>
      <c r="G9" s="168" t="str">
        <f t="shared" si="7"/>
        <v>#REF!</v>
      </c>
      <c r="H9" s="168" t="str">
        <f t="shared" si="7"/>
        <v>#REF!</v>
      </c>
      <c r="I9" s="168" t="str">
        <f t="shared" si="7"/>
        <v>#REF!</v>
      </c>
      <c r="J9" s="168" t="str">
        <f t="shared" si="7"/>
        <v>#REF!</v>
      </c>
      <c r="K9" s="168" t="str">
        <f t="shared" si="7"/>
        <v>#REF!</v>
      </c>
      <c r="L9" s="168" t="str">
        <f t="shared" si="7"/>
        <v>#REF!</v>
      </c>
      <c r="M9" s="168" t="str">
        <f t="shared" si="7"/>
        <v>#REF!</v>
      </c>
      <c r="N9" s="168" t="str">
        <f t="shared" si="7"/>
        <v>#REF!</v>
      </c>
      <c r="O9" s="168" t="str">
        <f t="shared" si="7"/>
        <v>#REF!</v>
      </c>
      <c r="P9" s="168" t="str">
        <f t="shared" si="7"/>
        <v>#REF!</v>
      </c>
      <c r="Q9" s="168" t="str">
        <f t="shared" si="7"/>
        <v>#REF!</v>
      </c>
      <c r="R9" s="168" t="str">
        <f t="shared" si="7"/>
        <v>#REF!</v>
      </c>
      <c r="S9" s="168" t="str">
        <f t="shared" si="7"/>
        <v>#REF!</v>
      </c>
      <c r="T9" s="168" t="str">
        <f t="shared" si="7"/>
        <v>#REF!</v>
      </c>
      <c r="U9" s="168" t="str">
        <f t="shared" si="7"/>
        <v>#REF!</v>
      </c>
      <c r="V9" s="168" t="str">
        <f t="shared" si="7"/>
        <v>#REF!</v>
      </c>
      <c r="W9" s="168" t="str">
        <f t="shared" si="7"/>
        <v>#REF!</v>
      </c>
      <c r="X9" s="168" t="str">
        <f t="shared" si="7"/>
        <v>#REF!</v>
      </c>
      <c r="Y9" s="168" t="str">
        <f t="shared" si="7"/>
        <v>#REF!</v>
      </c>
      <c r="Z9" s="168" t="str">
        <f t="shared" si="7"/>
        <v>#REF!</v>
      </c>
      <c r="AA9" s="168" t="str">
        <f t="shared" si="7"/>
        <v>#REF!</v>
      </c>
      <c r="AB9" s="168" t="str">
        <f t="shared" si="7"/>
        <v>#REF!</v>
      </c>
      <c r="AC9" s="168" t="str">
        <f t="shared" si="7"/>
        <v>#REF!</v>
      </c>
      <c r="AD9" s="168" t="str">
        <f t="shared" si="7"/>
        <v>#REF!</v>
      </c>
      <c r="AE9" s="168" t="str">
        <f t="shared" si="7"/>
        <v>#REF!</v>
      </c>
      <c r="AF9" s="168" t="str">
        <f t="shared" si="7"/>
        <v>#REF!</v>
      </c>
      <c r="AG9" s="168" t="str">
        <f t="shared" si="7"/>
        <v>#REF!</v>
      </c>
      <c r="AH9" s="168" t="str">
        <f t="shared" si="7"/>
        <v>#REF!</v>
      </c>
      <c r="AI9" s="168" t="str">
        <f t="shared" si="7"/>
        <v>#REF!</v>
      </c>
      <c r="AJ9" s="168" t="str">
        <f t="shared" si="7"/>
        <v>#REF!</v>
      </c>
    </row>
    <row r="10" hidden="1">
      <c r="A10" s="168" t="str">
        <f t="shared" ref="A10:AJ10" si="8">#REF!</f>
        <v>#REF!</v>
      </c>
      <c r="B10" s="168" t="str">
        <f t="shared" si="8"/>
        <v>#REF!</v>
      </c>
      <c r="C10" s="168" t="str">
        <f t="shared" si="8"/>
        <v>#REF!</v>
      </c>
      <c r="D10" s="168" t="str">
        <f t="shared" si="8"/>
        <v>#REF!</v>
      </c>
      <c r="E10" s="168" t="str">
        <f t="shared" si="8"/>
        <v>#REF!</v>
      </c>
      <c r="F10" s="168" t="str">
        <f t="shared" si="8"/>
        <v>#REF!</v>
      </c>
      <c r="G10" s="168" t="str">
        <f t="shared" si="8"/>
        <v>#REF!</v>
      </c>
      <c r="H10" s="168" t="str">
        <f t="shared" si="8"/>
        <v>#REF!</v>
      </c>
      <c r="I10" s="168" t="str">
        <f t="shared" si="8"/>
        <v>#REF!</v>
      </c>
      <c r="J10" s="168" t="str">
        <f t="shared" si="8"/>
        <v>#REF!</v>
      </c>
      <c r="K10" s="168" t="str">
        <f t="shared" si="8"/>
        <v>#REF!</v>
      </c>
      <c r="L10" s="168" t="str">
        <f t="shared" si="8"/>
        <v>#REF!</v>
      </c>
      <c r="M10" s="168" t="str">
        <f t="shared" si="8"/>
        <v>#REF!</v>
      </c>
      <c r="N10" s="168" t="str">
        <f t="shared" si="8"/>
        <v>#REF!</v>
      </c>
      <c r="O10" s="168" t="str">
        <f t="shared" si="8"/>
        <v>#REF!</v>
      </c>
      <c r="P10" s="168" t="str">
        <f t="shared" si="8"/>
        <v>#REF!</v>
      </c>
      <c r="Q10" s="168" t="str">
        <f t="shared" si="8"/>
        <v>#REF!</v>
      </c>
      <c r="R10" s="168" t="str">
        <f t="shared" si="8"/>
        <v>#REF!</v>
      </c>
      <c r="S10" s="168" t="str">
        <f t="shared" si="8"/>
        <v>#REF!</v>
      </c>
      <c r="T10" s="168" t="str">
        <f t="shared" si="8"/>
        <v>#REF!</v>
      </c>
      <c r="U10" s="168" t="str">
        <f t="shared" si="8"/>
        <v>#REF!</v>
      </c>
      <c r="V10" s="168" t="str">
        <f t="shared" si="8"/>
        <v>#REF!</v>
      </c>
      <c r="W10" s="168" t="str">
        <f t="shared" si="8"/>
        <v>#REF!</v>
      </c>
      <c r="X10" s="168" t="str">
        <f t="shared" si="8"/>
        <v>#REF!</v>
      </c>
      <c r="Y10" s="168" t="str">
        <f t="shared" si="8"/>
        <v>#REF!</v>
      </c>
      <c r="Z10" s="168" t="str">
        <f t="shared" si="8"/>
        <v>#REF!</v>
      </c>
      <c r="AA10" s="168" t="str">
        <f t="shared" si="8"/>
        <v>#REF!</v>
      </c>
      <c r="AB10" s="168" t="str">
        <f t="shared" si="8"/>
        <v>#REF!</v>
      </c>
      <c r="AC10" s="168" t="str">
        <f t="shared" si="8"/>
        <v>#REF!</v>
      </c>
      <c r="AD10" s="168" t="str">
        <f t="shared" si="8"/>
        <v>#REF!</v>
      </c>
      <c r="AE10" s="168" t="str">
        <f t="shared" si="8"/>
        <v>#REF!</v>
      </c>
      <c r="AF10" s="168" t="str">
        <f t="shared" si="8"/>
        <v>#REF!</v>
      </c>
      <c r="AG10" s="168" t="str">
        <f t="shared" si="8"/>
        <v>#REF!</v>
      </c>
      <c r="AH10" s="168" t="str">
        <f t="shared" si="8"/>
        <v>#REF!</v>
      </c>
      <c r="AI10" s="168" t="str">
        <f t="shared" si="8"/>
        <v>#REF!</v>
      </c>
      <c r="AJ10" s="168" t="str">
        <f t="shared" si="8"/>
        <v>#REF!</v>
      </c>
    </row>
    <row r="11" hidden="1">
      <c r="A11" s="168" t="str">
        <f t="shared" ref="A11:AJ11" si="9">#REF!</f>
        <v>#REF!</v>
      </c>
      <c r="B11" s="168" t="str">
        <f t="shared" si="9"/>
        <v>#REF!</v>
      </c>
      <c r="C11" s="168" t="str">
        <f t="shared" si="9"/>
        <v>#REF!</v>
      </c>
      <c r="D11" s="168" t="str">
        <f t="shared" si="9"/>
        <v>#REF!</v>
      </c>
      <c r="E11" s="168" t="str">
        <f t="shared" si="9"/>
        <v>#REF!</v>
      </c>
      <c r="F11" s="168" t="str">
        <f t="shared" si="9"/>
        <v>#REF!</v>
      </c>
      <c r="G11" s="168" t="str">
        <f t="shared" si="9"/>
        <v>#REF!</v>
      </c>
      <c r="H11" s="168" t="str">
        <f t="shared" si="9"/>
        <v>#REF!</v>
      </c>
      <c r="I11" s="168" t="str">
        <f t="shared" si="9"/>
        <v>#REF!</v>
      </c>
      <c r="J11" s="168" t="str">
        <f t="shared" si="9"/>
        <v>#REF!</v>
      </c>
      <c r="K11" s="168" t="str">
        <f t="shared" si="9"/>
        <v>#REF!</v>
      </c>
      <c r="L11" s="168" t="str">
        <f t="shared" si="9"/>
        <v>#REF!</v>
      </c>
      <c r="M11" s="168" t="str">
        <f t="shared" si="9"/>
        <v>#REF!</v>
      </c>
      <c r="N11" s="168" t="str">
        <f t="shared" si="9"/>
        <v>#REF!</v>
      </c>
      <c r="O11" s="168" t="str">
        <f t="shared" si="9"/>
        <v>#REF!</v>
      </c>
      <c r="P11" s="168" t="str">
        <f t="shared" si="9"/>
        <v>#REF!</v>
      </c>
      <c r="Q11" s="168" t="str">
        <f t="shared" si="9"/>
        <v>#REF!</v>
      </c>
      <c r="R11" s="168" t="str">
        <f t="shared" si="9"/>
        <v>#REF!</v>
      </c>
      <c r="S11" s="168" t="str">
        <f t="shared" si="9"/>
        <v>#REF!</v>
      </c>
      <c r="T11" s="168" t="str">
        <f t="shared" si="9"/>
        <v>#REF!</v>
      </c>
      <c r="U11" s="168" t="str">
        <f t="shared" si="9"/>
        <v>#REF!</v>
      </c>
      <c r="V11" s="168" t="str">
        <f t="shared" si="9"/>
        <v>#REF!</v>
      </c>
      <c r="W11" s="168" t="str">
        <f t="shared" si="9"/>
        <v>#REF!</v>
      </c>
      <c r="X11" s="168" t="str">
        <f t="shared" si="9"/>
        <v>#REF!</v>
      </c>
      <c r="Y11" s="168" t="str">
        <f t="shared" si="9"/>
        <v>#REF!</v>
      </c>
      <c r="Z11" s="168" t="str">
        <f t="shared" si="9"/>
        <v>#REF!</v>
      </c>
      <c r="AA11" s="168" t="str">
        <f t="shared" si="9"/>
        <v>#REF!</v>
      </c>
      <c r="AB11" s="168" t="str">
        <f t="shared" si="9"/>
        <v>#REF!</v>
      </c>
      <c r="AC11" s="168" t="str">
        <f t="shared" si="9"/>
        <v>#REF!</v>
      </c>
      <c r="AD11" s="168" t="str">
        <f t="shared" si="9"/>
        <v>#REF!</v>
      </c>
      <c r="AE11" s="168" t="str">
        <f t="shared" si="9"/>
        <v>#REF!</v>
      </c>
      <c r="AF11" s="168" t="str">
        <f t="shared" si="9"/>
        <v>#REF!</v>
      </c>
      <c r="AG11" s="168" t="str">
        <f t="shared" si="9"/>
        <v>#REF!</v>
      </c>
      <c r="AH11" s="168" t="str">
        <f t="shared" si="9"/>
        <v>#REF!</v>
      </c>
      <c r="AI11" s="168" t="str">
        <f t="shared" si="9"/>
        <v>#REF!</v>
      </c>
      <c r="AJ11" s="168" t="str">
        <f t="shared" si="9"/>
        <v>#REF!</v>
      </c>
    </row>
    <row r="12" hidden="1">
      <c r="A12" s="168" t="str">
        <f t="shared" ref="A12:AJ12" si="10">#REF!</f>
        <v>#REF!</v>
      </c>
      <c r="B12" s="168" t="str">
        <f t="shared" si="10"/>
        <v>#REF!</v>
      </c>
      <c r="C12" s="168" t="str">
        <f t="shared" si="10"/>
        <v>#REF!</v>
      </c>
      <c r="D12" s="168" t="str">
        <f t="shared" si="10"/>
        <v>#REF!</v>
      </c>
      <c r="E12" s="168" t="str">
        <f t="shared" si="10"/>
        <v>#REF!</v>
      </c>
      <c r="F12" s="168" t="str">
        <f t="shared" si="10"/>
        <v>#REF!</v>
      </c>
      <c r="G12" s="168" t="str">
        <f t="shared" si="10"/>
        <v>#REF!</v>
      </c>
      <c r="H12" s="168" t="str">
        <f t="shared" si="10"/>
        <v>#REF!</v>
      </c>
      <c r="I12" s="168" t="str">
        <f t="shared" si="10"/>
        <v>#REF!</v>
      </c>
      <c r="J12" s="168" t="str">
        <f t="shared" si="10"/>
        <v>#REF!</v>
      </c>
      <c r="K12" s="168" t="str">
        <f t="shared" si="10"/>
        <v>#REF!</v>
      </c>
      <c r="L12" s="168" t="str">
        <f t="shared" si="10"/>
        <v>#REF!</v>
      </c>
      <c r="M12" s="168" t="str">
        <f t="shared" si="10"/>
        <v>#REF!</v>
      </c>
      <c r="N12" s="168" t="str">
        <f t="shared" si="10"/>
        <v>#REF!</v>
      </c>
      <c r="O12" s="168" t="str">
        <f t="shared" si="10"/>
        <v>#REF!</v>
      </c>
      <c r="P12" s="168" t="str">
        <f t="shared" si="10"/>
        <v>#REF!</v>
      </c>
      <c r="Q12" s="168" t="str">
        <f t="shared" si="10"/>
        <v>#REF!</v>
      </c>
      <c r="R12" s="168" t="str">
        <f t="shared" si="10"/>
        <v>#REF!</v>
      </c>
      <c r="S12" s="168" t="str">
        <f t="shared" si="10"/>
        <v>#REF!</v>
      </c>
      <c r="T12" s="168" t="str">
        <f t="shared" si="10"/>
        <v>#REF!</v>
      </c>
      <c r="U12" s="168" t="str">
        <f t="shared" si="10"/>
        <v>#REF!</v>
      </c>
      <c r="V12" s="168" t="str">
        <f t="shared" si="10"/>
        <v>#REF!</v>
      </c>
      <c r="W12" s="168" t="str">
        <f t="shared" si="10"/>
        <v>#REF!</v>
      </c>
      <c r="X12" s="168" t="str">
        <f t="shared" si="10"/>
        <v>#REF!</v>
      </c>
      <c r="Y12" s="168" t="str">
        <f t="shared" si="10"/>
        <v>#REF!</v>
      </c>
      <c r="Z12" s="168" t="str">
        <f t="shared" si="10"/>
        <v>#REF!</v>
      </c>
      <c r="AA12" s="168" t="str">
        <f t="shared" si="10"/>
        <v>#REF!</v>
      </c>
      <c r="AB12" s="168" t="str">
        <f t="shared" si="10"/>
        <v>#REF!</v>
      </c>
      <c r="AC12" s="168" t="str">
        <f t="shared" si="10"/>
        <v>#REF!</v>
      </c>
      <c r="AD12" s="168" t="str">
        <f t="shared" si="10"/>
        <v>#REF!</v>
      </c>
      <c r="AE12" s="168" t="str">
        <f t="shared" si="10"/>
        <v>#REF!</v>
      </c>
      <c r="AF12" s="168" t="str">
        <f t="shared" si="10"/>
        <v>#REF!</v>
      </c>
      <c r="AG12" s="168" t="str">
        <f t="shared" si="10"/>
        <v>#REF!</v>
      </c>
      <c r="AH12" s="168" t="str">
        <f t="shared" si="10"/>
        <v>#REF!</v>
      </c>
      <c r="AI12" s="168" t="str">
        <f t="shared" si="10"/>
        <v>#REF!</v>
      </c>
      <c r="AJ12" s="168" t="str">
        <f t="shared" si="10"/>
        <v>#REF!</v>
      </c>
    </row>
    <row r="13" hidden="1">
      <c r="A13" s="168" t="str">
        <f t="shared" ref="A13:AJ13" si="11">#REF!</f>
        <v>#REF!</v>
      </c>
      <c r="B13" s="168" t="str">
        <f t="shared" si="11"/>
        <v>#REF!</v>
      </c>
      <c r="C13" s="168" t="str">
        <f t="shared" si="11"/>
        <v>#REF!</v>
      </c>
      <c r="D13" s="168" t="str">
        <f t="shared" si="11"/>
        <v>#REF!</v>
      </c>
      <c r="E13" s="168" t="str">
        <f t="shared" si="11"/>
        <v>#REF!</v>
      </c>
      <c r="F13" s="168" t="str">
        <f t="shared" si="11"/>
        <v>#REF!</v>
      </c>
      <c r="G13" s="168" t="str">
        <f t="shared" si="11"/>
        <v>#REF!</v>
      </c>
      <c r="H13" s="168" t="str">
        <f t="shared" si="11"/>
        <v>#REF!</v>
      </c>
      <c r="I13" s="168" t="str">
        <f t="shared" si="11"/>
        <v>#REF!</v>
      </c>
      <c r="J13" s="168" t="str">
        <f t="shared" si="11"/>
        <v>#REF!</v>
      </c>
      <c r="K13" s="168" t="str">
        <f t="shared" si="11"/>
        <v>#REF!</v>
      </c>
      <c r="L13" s="168" t="str">
        <f t="shared" si="11"/>
        <v>#REF!</v>
      </c>
      <c r="M13" s="168" t="str">
        <f t="shared" si="11"/>
        <v>#REF!</v>
      </c>
      <c r="N13" s="168" t="str">
        <f t="shared" si="11"/>
        <v>#REF!</v>
      </c>
      <c r="O13" s="168" t="str">
        <f t="shared" si="11"/>
        <v>#REF!</v>
      </c>
      <c r="P13" s="168" t="str">
        <f t="shared" si="11"/>
        <v>#REF!</v>
      </c>
      <c r="Q13" s="168" t="str">
        <f t="shared" si="11"/>
        <v>#REF!</v>
      </c>
      <c r="R13" s="168" t="str">
        <f t="shared" si="11"/>
        <v>#REF!</v>
      </c>
      <c r="S13" s="168" t="str">
        <f t="shared" si="11"/>
        <v>#REF!</v>
      </c>
      <c r="T13" s="168" t="str">
        <f t="shared" si="11"/>
        <v>#REF!</v>
      </c>
      <c r="U13" s="168" t="str">
        <f t="shared" si="11"/>
        <v>#REF!</v>
      </c>
      <c r="V13" s="168" t="str">
        <f t="shared" si="11"/>
        <v>#REF!</v>
      </c>
      <c r="W13" s="168" t="str">
        <f t="shared" si="11"/>
        <v>#REF!</v>
      </c>
      <c r="X13" s="168" t="str">
        <f t="shared" si="11"/>
        <v>#REF!</v>
      </c>
      <c r="Y13" s="168" t="str">
        <f t="shared" si="11"/>
        <v>#REF!</v>
      </c>
      <c r="Z13" s="168" t="str">
        <f t="shared" si="11"/>
        <v>#REF!</v>
      </c>
      <c r="AA13" s="168" t="str">
        <f t="shared" si="11"/>
        <v>#REF!</v>
      </c>
      <c r="AB13" s="168" t="str">
        <f t="shared" si="11"/>
        <v>#REF!</v>
      </c>
      <c r="AC13" s="168" t="str">
        <f t="shared" si="11"/>
        <v>#REF!</v>
      </c>
      <c r="AD13" s="168" t="str">
        <f t="shared" si="11"/>
        <v>#REF!</v>
      </c>
      <c r="AE13" s="168" t="str">
        <f t="shared" si="11"/>
        <v>#REF!</v>
      </c>
      <c r="AF13" s="168" t="str">
        <f t="shared" si="11"/>
        <v>#REF!</v>
      </c>
      <c r="AG13" s="168" t="str">
        <f t="shared" si="11"/>
        <v>#REF!</v>
      </c>
      <c r="AH13" s="168" t="str">
        <f t="shared" si="11"/>
        <v>#REF!</v>
      </c>
      <c r="AI13" s="168" t="str">
        <f t="shared" si="11"/>
        <v>#REF!</v>
      </c>
      <c r="AJ13" s="168" t="str">
        <f t="shared" si="11"/>
        <v>#REF!</v>
      </c>
    </row>
    <row r="14" hidden="1">
      <c r="A14" s="168" t="str">
        <f t="shared" ref="A14:AJ14" si="12">#REF!</f>
        <v>#REF!</v>
      </c>
      <c r="B14" s="168" t="str">
        <f t="shared" si="12"/>
        <v>#REF!</v>
      </c>
      <c r="C14" s="168" t="str">
        <f t="shared" si="12"/>
        <v>#REF!</v>
      </c>
      <c r="D14" s="168" t="str">
        <f t="shared" si="12"/>
        <v>#REF!</v>
      </c>
      <c r="E14" s="168" t="str">
        <f t="shared" si="12"/>
        <v>#REF!</v>
      </c>
      <c r="F14" s="168" t="str">
        <f t="shared" si="12"/>
        <v>#REF!</v>
      </c>
      <c r="G14" s="168" t="str">
        <f t="shared" si="12"/>
        <v>#REF!</v>
      </c>
      <c r="H14" s="168" t="str">
        <f t="shared" si="12"/>
        <v>#REF!</v>
      </c>
      <c r="I14" s="168" t="str">
        <f t="shared" si="12"/>
        <v>#REF!</v>
      </c>
      <c r="J14" s="168" t="str">
        <f t="shared" si="12"/>
        <v>#REF!</v>
      </c>
      <c r="K14" s="168" t="str">
        <f t="shared" si="12"/>
        <v>#REF!</v>
      </c>
      <c r="L14" s="168" t="str">
        <f t="shared" si="12"/>
        <v>#REF!</v>
      </c>
      <c r="M14" s="168" t="str">
        <f t="shared" si="12"/>
        <v>#REF!</v>
      </c>
      <c r="N14" s="168" t="str">
        <f t="shared" si="12"/>
        <v>#REF!</v>
      </c>
      <c r="O14" s="168" t="str">
        <f t="shared" si="12"/>
        <v>#REF!</v>
      </c>
      <c r="P14" s="168" t="str">
        <f t="shared" si="12"/>
        <v>#REF!</v>
      </c>
      <c r="Q14" s="168" t="str">
        <f t="shared" si="12"/>
        <v>#REF!</v>
      </c>
      <c r="R14" s="168" t="str">
        <f t="shared" si="12"/>
        <v>#REF!</v>
      </c>
      <c r="S14" s="168" t="str">
        <f t="shared" si="12"/>
        <v>#REF!</v>
      </c>
      <c r="T14" s="168" t="str">
        <f t="shared" si="12"/>
        <v>#REF!</v>
      </c>
      <c r="U14" s="168" t="str">
        <f t="shared" si="12"/>
        <v>#REF!</v>
      </c>
      <c r="V14" s="168" t="str">
        <f t="shared" si="12"/>
        <v>#REF!</v>
      </c>
      <c r="W14" s="168" t="str">
        <f t="shared" si="12"/>
        <v>#REF!</v>
      </c>
      <c r="X14" s="168" t="str">
        <f t="shared" si="12"/>
        <v>#REF!</v>
      </c>
      <c r="Y14" s="168" t="str">
        <f t="shared" si="12"/>
        <v>#REF!</v>
      </c>
      <c r="Z14" s="168" t="str">
        <f t="shared" si="12"/>
        <v>#REF!</v>
      </c>
      <c r="AA14" s="168" t="str">
        <f t="shared" si="12"/>
        <v>#REF!</v>
      </c>
      <c r="AB14" s="168" t="str">
        <f t="shared" si="12"/>
        <v>#REF!</v>
      </c>
      <c r="AC14" s="168" t="str">
        <f t="shared" si="12"/>
        <v>#REF!</v>
      </c>
      <c r="AD14" s="168" t="str">
        <f t="shared" si="12"/>
        <v>#REF!</v>
      </c>
      <c r="AE14" s="168" t="str">
        <f t="shared" si="12"/>
        <v>#REF!</v>
      </c>
      <c r="AF14" s="168" t="str">
        <f t="shared" si="12"/>
        <v>#REF!</v>
      </c>
      <c r="AG14" s="168" t="str">
        <f t="shared" si="12"/>
        <v>#REF!</v>
      </c>
      <c r="AH14" s="168" t="str">
        <f t="shared" si="12"/>
        <v>#REF!</v>
      </c>
      <c r="AI14" s="168" t="str">
        <f t="shared" si="12"/>
        <v>#REF!</v>
      </c>
      <c r="AJ14" s="168" t="str">
        <f t="shared" si="12"/>
        <v>#REF!</v>
      </c>
    </row>
    <row r="15">
      <c r="A15" s="168" t="str">
        <f>'2026 Pipeline'!C6</f>
        <v>#REF!</v>
      </c>
      <c r="B15" s="168" t="str">
        <f t="shared" ref="B15:C15" si="13">'2026 Pipeline'!J6</f>
        <v>#REF!</v>
      </c>
      <c r="C15" s="168" t="str">
        <f t="shared" si="13"/>
        <v>#REF!</v>
      </c>
      <c r="D15" s="168" t="str">
        <f t="shared" ref="D15:F15" si="14">'2026 Pipeline'!M6</f>
        <v>#REF!</v>
      </c>
      <c r="E15" s="168" t="str">
        <f t="shared" si="14"/>
        <v>#REF!</v>
      </c>
      <c r="F15" s="168" t="str">
        <f t="shared" si="14"/>
        <v>#REF!</v>
      </c>
      <c r="G15" s="168" t="str">
        <f>'2026 Pipeline'!Q6</f>
        <v>#REF!</v>
      </c>
      <c r="H15" s="168" t="str">
        <f>'2026 Pipeline'!P6</f>
        <v>#REF!</v>
      </c>
      <c r="I15" s="168" t="str">
        <f>'2026 Pipeline'!R6</f>
        <v>#REF!</v>
      </c>
      <c r="J15" s="168" t="str">
        <f t="shared" ref="J15:L15" si="15">'2026 Pipeline'!V6</f>
        <v>#REF!</v>
      </c>
      <c r="K15" s="168" t="str">
        <f t="shared" si="15"/>
        <v>#REF!</v>
      </c>
      <c r="L15" s="168" t="str">
        <f t="shared" si="15"/>
        <v>#REF!</v>
      </c>
      <c r="M15" s="168" t="str">
        <f t="shared" ref="M15:O15" si="16">#REF!</f>
        <v>#REF!</v>
      </c>
      <c r="N15" s="168" t="str">
        <f t="shared" si="16"/>
        <v>#REF!</v>
      </c>
      <c r="O15" s="168" t="str">
        <f t="shared" si="16"/>
        <v>#REF!</v>
      </c>
      <c r="P15" s="168" t="str">
        <f>'2026 Pipeline'!AA6</f>
        <v>#REF!</v>
      </c>
      <c r="Q15" s="168" t="str">
        <f>'2026 Pipeline'!Y6</f>
        <v>#REF!</v>
      </c>
      <c r="R15" s="168" t="str">
        <f>#REF!</f>
        <v>#REF!</v>
      </c>
      <c r="S15" s="168" t="str">
        <f>'2026 Pipeline'!L6</f>
        <v>#REF!</v>
      </c>
      <c r="T15" s="168" t="str">
        <f>'2026 Pipeline'!CD6</f>
        <v>#REF!</v>
      </c>
      <c r="U15" s="168" t="str">
        <f t="shared" ref="U15:AJ15" si="17">#REF!</f>
        <v>#REF!</v>
      </c>
      <c r="V15" s="168" t="str">
        <f t="shared" si="17"/>
        <v>#REF!</v>
      </c>
      <c r="W15" s="168" t="str">
        <f t="shared" si="17"/>
        <v>#REF!</v>
      </c>
      <c r="X15" s="168" t="str">
        <f t="shared" si="17"/>
        <v>#REF!</v>
      </c>
      <c r="Y15" s="168" t="str">
        <f t="shared" si="17"/>
        <v>#REF!</v>
      </c>
      <c r="Z15" s="168" t="str">
        <f t="shared" si="17"/>
        <v>#REF!</v>
      </c>
      <c r="AA15" s="168" t="str">
        <f t="shared" si="17"/>
        <v>#REF!</v>
      </c>
      <c r="AB15" s="168" t="str">
        <f t="shared" si="17"/>
        <v>#REF!</v>
      </c>
      <c r="AC15" s="168" t="str">
        <f t="shared" si="17"/>
        <v>#REF!</v>
      </c>
      <c r="AD15" s="168" t="str">
        <f t="shared" si="17"/>
        <v>#REF!</v>
      </c>
      <c r="AE15" s="168" t="str">
        <f t="shared" si="17"/>
        <v>#REF!</v>
      </c>
      <c r="AF15" s="168" t="str">
        <f t="shared" si="17"/>
        <v>#REF!</v>
      </c>
      <c r="AG15" s="168" t="str">
        <f t="shared" si="17"/>
        <v>#REF!</v>
      </c>
      <c r="AH15" s="168" t="str">
        <f t="shared" si="17"/>
        <v>#REF!</v>
      </c>
      <c r="AI15" s="168" t="str">
        <f t="shared" si="17"/>
        <v>#REF!</v>
      </c>
      <c r="AJ15" s="168" t="str">
        <f t="shared" si="17"/>
        <v>#REF!</v>
      </c>
    </row>
    <row r="16">
      <c r="A16" s="168" t="str">
        <f t="shared" ref="A16:AJ16" si="18">#REF!</f>
        <v>#REF!</v>
      </c>
      <c r="B16" s="168" t="str">
        <f t="shared" si="18"/>
        <v>#REF!</v>
      </c>
      <c r="C16" s="168" t="str">
        <f t="shared" si="18"/>
        <v>#REF!</v>
      </c>
      <c r="D16" s="168" t="str">
        <f t="shared" si="18"/>
        <v>#REF!</v>
      </c>
      <c r="E16" s="168" t="str">
        <f t="shared" si="18"/>
        <v>#REF!</v>
      </c>
      <c r="F16" s="168" t="str">
        <f t="shared" si="18"/>
        <v>#REF!</v>
      </c>
      <c r="G16" s="168" t="str">
        <f t="shared" si="18"/>
        <v>#REF!</v>
      </c>
      <c r="H16" s="168" t="str">
        <f t="shared" si="18"/>
        <v>#REF!</v>
      </c>
      <c r="I16" s="168" t="str">
        <f t="shared" si="18"/>
        <v>#REF!</v>
      </c>
      <c r="J16" s="168" t="str">
        <f t="shared" si="18"/>
        <v>#REF!</v>
      </c>
      <c r="K16" s="168" t="str">
        <f t="shared" si="18"/>
        <v>#REF!</v>
      </c>
      <c r="L16" s="168" t="str">
        <f t="shared" si="18"/>
        <v>#REF!</v>
      </c>
      <c r="M16" s="168" t="str">
        <f t="shared" si="18"/>
        <v>#REF!</v>
      </c>
      <c r="N16" s="168" t="str">
        <f t="shared" si="18"/>
        <v>#REF!</v>
      </c>
      <c r="O16" s="168" t="str">
        <f t="shared" si="18"/>
        <v>#REF!</v>
      </c>
      <c r="P16" s="168" t="str">
        <f t="shared" si="18"/>
        <v>#REF!</v>
      </c>
      <c r="Q16" s="168" t="str">
        <f t="shared" si="18"/>
        <v>#REF!</v>
      </c>
      <c r="R16" s="168" t="str">
        <f t="shared" si="18"/>
        <v>#REF!</v>
      </c>
      <c r="S16" s="168" t="str">
        <f t="shared" si="18"/>
        <v>#REF!</v>
      </c>
      <c r="T16" s="168" t="str">
        <f t="shared" si="18"/>
        <v>#REF!</v>
      </c>
      <c r="U16" s="168" t="str">
        <f t="shared" si="18"/>
        <v>#REF!</v>
      </c>
      <c r="V16" s="168" t="str">
        <f t="shared" si="18"/>
        <v>#REF!</v>
      </c>
      <c r="W16" s="168" t="str">
        <f t="shared" si="18"/>
        <v>#REF!</v>
      </c>
      <c r="X16" s="168" t="str">
        <f t="shared" si="18"/>
        <v>#REF!</v>
      </c>
      <c r="Y16" s="168" t="str">
        <f t="shared" si="18"/>
        <v>#REF!</v>
      </c>
      <c r="Z16" s="168" t="str">
        <f t="shared" si="18"/>
        <v>#REF!</v>
      </c>
      <c r="AA16" s="168" t="str">
        <f t="shared" si="18"/>
        <v>#REF!</v>
      </c>
      <c r="AB16" s="168" t="str">
        <f t="shared" si="18"/>
        <v>#REF!</v>
      </c>
      <c r="AC16" s="168" t="str">
        <f t="shared" si="18"/>
        <v>#REF!</v>
      </c>
      <c r="AD16" s="168" t="str">
        <f t="shared" si="18"/>
        <v>#REF!</v>
      </c>
      <c r="AE16" s="168" t="str">
        <f t="shared" si="18"/>
        <v>#REF!</v>
      </c>
      <c r="AF16" s="168" t="str">
        <f t="shared" si="18"/>
        <v>#REF!</v>
      </c>
      <c r="AG16" s="168" t="str">
        <f t="shared" si="18"/>
        <v>#REF!</v>
      </c>
      <c r="AH16" s="168" t="str">
        <f t="shared" si="18"/>
        <v>#REF!</v>
      </c>
      <c r="AI16" s="168" t="str">
        <f t="shared" si="18"/>
        <v>#REF!</v>
      </c>
      <c r="AJ16" s="168" t="str">
        <f t="shared" si="18"/>
        <v>#REF!</v>
      </c>
    </row>
    <row r="17" hidden="1">
      <c r="A17" s="168" t="str">
        <f t="shared" ref="A17:T17" si="19">#REF!</f>
        <v>#REF!</v>
      </c>
      <c r="B17" s="168" t="str">
        <f t="shared" si="19"/>
        <v>#REF!</v>
      </c>
      <c r="C17" s="168" t="str">
        <f t="shared" si="19"/>
        <v>#REF!</v>
      </c>
      <c r="D17" s="168" t="str">
        <f t="shared" si="19"/>
        <v>#REF!</v>
      </c>
      <c r="E17" s="168" t="str">
        <f t="shared" si="19"/>
        <v>#REF!</v>
      </c>
      <c r="F17" s="168" t="str">
        <f t="shared" si="19"/>
        <v>#REF!</v>
      </c>
      <c r="G17" s="168" t="str">
        <f t="shared" si="19"/>
        <v>#REF!</v>
      </c>
      <c r="H17" s="168" t="str">
        <f t="shared" si="19"/>
        <v>#REF!</v>
      </c>
      <c r="I17" s="168" t="str">
        <f t="shared" si="19"/>
        <v>#REF!</v>
      </c>
      <c r="J17" s="168" t="str">
        <f t="shared" si="19"/>
        <v>#REF!</v>
      </c>
      <c r="K17" s="168" t="str">
        <f t="shared" si="19"/>
        <v>#REF!</v>
      </c>
      <c r="L17" s="168" t="str">
        <f t="shared" si="19"/>
        <v>#REF!</v>
      </c>
      <c r="M17" s="168" t="str">
        <f t="shared" si="19"/>
        <v>#REF!</v>
      </c>
      <c r="N17" s="168" t="str">
        <f t="shared" si="19"/>
        <v>#REF!</v>
      </c>
      <c r="O17" s="168" t="str">
        <f t="shared" si="19"/>
        <v>#REF!</v>
      </c>
      <c r="P17" s="168" t="str">
        <f t="shared" si="19"/>
        <v>#REF!</v>
      </c>
      <c r="Q17" s="168" t="str">
        <f t="shared" si="19"/>
        <v>#REF!</v>
      </c>
      <c r="R17" s="168" t="str">
        <f t="shared" si="19"/>
        <v>#REF!</v>
      </c>
      <c r="S17" s="168" t="str">
        <f t="shared" si="19"/>
        <v>#REF!</v>
      </c>
      <c r="T17" s="168" t="str">
        <f t="shared" si="19"/>
        <v>#REF!</v>
      </c>
      <c r="U17" s="168" t="str">
        <f>'2026 Pipeline'!AP6</f>
        <v>#REF!</v>
      </c>
      <c r="V17" s="168" t="str">
        <f t="shared" ref="V17:Z17" si="20">'2026 Pipeline'!CJ6</f>
        <v>#REF!</v>
      </c>
      <c r="W17" s="168" t="str">
        <f t="shared" si="20"/>
        <v>#REF!</v>
      </c>
      <c r="X17" s="168" t="str">
        <f t="shared" si="20"/>
        <v>#REF!</v>
      </c>
      <c r="Y17" s="168" t="str">
        <f t="shared" si="20"/>
        <v>#REF!</v>
      </c>
      <c r="Z17" s="168" t="str">
        <f t="shared" si="20"/>
        <v>#REF!</v>
      </c>
      <c r="AA17" s="168" t="str">
        <f t="shared" ref="AA17:AF17" si="21">#REF!</f>
        <v>#REF!</v>
      </c>
      <c r="AB17" s="168" t="str">
        <f t="shared" si="21"/>
        <v>#REF!</v>
      </c>
      <c r="AC17" s="168" t="str">
        <f t="shared" si="21"/>
        <v>#REF!</v>
      </c>
      <c r="AD17" s="168" t="str">
        <f t="shared" si="21"/>
        <v>#REF!</v>
      </c>
      <c r="AE17" s="168" t="str">
        <f t="shared" si="21"/>
        <v>#REF!</v>
      </c>
      <c r="AF17" s="168" t="str">
        <f t="shared" si="21"/>
        <v>#REF!</v>
      </c>
      <c r="AG17" s="168" t="str">
        <f>'2026 Pipeline'!CT6</f>
        <v>#REF!</v>
      </c>
      <c r="AH17" s="168" t="str">
        <f>'2026 Pipeline'!S6</f>
        <v>#REF!</v>
      </c>
      <c r="AI17" s="168" t="str">
        <f t="shared" ref="AI17:AJ17" si="22">#REF!</f>
        <v>#REF!</v>
      </c>
      <c r="AJ17" s="168" t="str">
        <f t="shared" si="22"/>
        <v>#REF!</v>
      </c>
    </row>
    <row r="18" hidden="1">
      <c r="A18" s="168" t="str">
        <f t="shared" ref="A18:AJ18" si="23">#REF!</f>
        <v>#REF!</v>
      </c>
      <c r="B18" s="168" t="str">
        <f t="shared" si="23"/>
        <v>#REF!</v>
      </c>
      <c r="C18" s="168" t="str">
        <f t="shared" si="23"/>
        <v>#REF!</v>
      </c>
      <c r="D18" s="168" t="str">
        <f t="shared" si="23"/>
        <v>#REF!</v>
      </c>
      <c r="E18" s="168" t="str">
        <f t="shared" si="23"/>
        <v>#REF!</v>
      </c>
      <c r="F18" s="168" t="str">
        <f t="shared" si="23"/>
        <v>#REF!</v>
      </c>
      <c r="G18" s="168" t="str">
        <f t="shared" si="23"/>
        <v>#REF!</v>
      </c>
      <c r="H18" s="168" t="str">
        <f t="shared" si="23"/>
        <v>#REF!</v>
      </c>
      <c r="I18" s="168" t="str">
        <f t="shared" si="23"/>
        <v>#REF!</v>
      </c>
      <c r="J18" s="168" t="str">
        <f t="shared" si="23"/>
        <v>#REF!</v>
      </c>
      <c r="K18" s="168" t="str">
        <f t="shared" si="23"/>
        <v>#REF!</v>
      </c>
      <c r="L18" s="168" t="str">
        <f t="shared" si="23"/>
        <v>#REF!</v>
      </c>
      <c r="M18" s="168" t="str">
        <f t="shared" si="23"/>
        <v>#REF!</v>
      </c>
      <c r="N18" s="168" t="str">
        <f t="shared" si="23"/>
        <v>#REF!</v>
      </c>
      <c r="O18" s="168" t="str">
        <f t="shared" si="23"/>
        <v>#REF!</v>
      </c>
      <c r="P18" s="168" t="str">
        <f t="shared" si="23"/>
        <v>#REF!</v>
      </c>
      <c r="Q18" s="168" t="str">
        <f t="shared" si="23"/>
        <v>#REF!</v>
      </c>
      <c r="R18" s="168" t="str">
        <f t="shared" si="23"/>
        <v>#REF!</v>
      </c>
      <c r="S18" s="168" t="str">
        <f t="shared" si="23"/>
        <v>#REF!</v>
      </c>
      <c r="T18" s="168" t="str">
        <f t="shared" si="23"/>
        <v>#REF!</v>
      </c>
      <c r="U18" s="168" t="str">
        <f t="shared" si="23"/>
        <v>#REF!</v>
      </c>
      <c r="V18" s="168" t="str">
        <f t="shared" si="23"/>
        <v>#REF!</v>
      </c>
      <c r="W18" s="168" t="str">
        <f t="shared" si="23"/>
        <v>#REF!</v>
      </c>
      <c r="X18" s="168" t="str">
        <f t="shared" si="23"/>
        <v>#REF!</v>
      </c>
      <c r="Y18" s="168" t="str">
        <f t="shared" si="23"/>
        <v>#REF!</v>
      </c>
      <c r="Z18" s="168" t="str">
        <f t="shared" si="23"/>
        <v>#REF!</v>
      </c>
      <c r="AA18" s="168" t="str">
        <f t="shared" si="23"/>
        <v>#REF!</v>
      </c>
      <c r="AB18" s="168" t="str">
        <f t="shared" si="23"/>
        <v>#REF!</v>
      </c>
      <c r="AC18" s="168" t="str">
        <f t="shared" si="23"/>
        <v>#REF!</v>
      </c>
      <c r="AD18" s="168" t="str">
        <f t="shared" si="23"/>
        <v>#REF!</v>
      </c>
      <c r="AE18" s="168" t="str">
        <f t="shared" si="23"/>
        <v>#REF!</v>
      </c>
      <c r="AF18" s="168" t="str">
        <f t="shared" si="23"/>
        <v>#REF!</v>
      </c>
      <c r="AG18" s="168" t="str">
        <f t="shared" si="23"/>
        <v>#REF!</v>
      </c>
      <c r="AH18" s="168" t="str">
        <f t="shared" si="23"/>
        <v>#REF!</v>
      </c>
      <c r="AI18" s="168" t="str">
        <f t="shared" si="23"/>
        <v>#REF!</v>
      </c>
      <c r="AJ18" s="168" t="str">
        <f t="shared" si="23"/>
        <v>#REF!</v>
      </c>
    </row>
    <row r="19" hidden="1">
      <c r="A19" s="168" t="str">
        <f t="shared" ref="A19:AJ19" si="24">#REF!</f>
        <v>#REF!</v>
      </c>
      <c r="B19" s="168" t="str">
        <f t="shared" si="24"/>
        <v>#REF!</v>
      </c>
      <c r="C19" s="168" t="str">
        <f t="shared" si="24"/>
        <v>#REF!</v>
      </c>
      <c r="D19" s="168" t="str">
        <f t="shared" si="24"/>
        <v>#REF!</v>
      </c>
      <c r="E19" s="168" t="str">
        <f t="shared" si="24"/>
        <v>#REF!</v>
      </c>
      <c r="F19" s="168" t="str">
        <f t="shared" si="24"/>
        <v>#REF!</v>
      </c>
      <c r="G19" s="168" t="str">
        <f t="shared" si="24"/>
        <v>#REF!</v>
      </c>
      <c r="H19" s="168" t="str">
        <f t="shared" si="24"/>
        <v>#REF!</v>
      </c>
      <c r="I19" s="168" t="str">
        <f t="shared" si="24"/>
        <v>#REF!</v>
      </c>
      <c r="J19" s="168" t="str">
        <f t="shared" si="24"/>
        <v>#REF!</v>
      </c>
      <c r="K19" s="168" t="str">
        <f t="shared" si="24"/>
        <v>#REF!</v>
      </c>
      <c r="L19" s="168" t="str">
        <f t="shared" si="24"/>
        <v>#REF!</v>
      </c>
      <c r="M19" s="168" t="str">
        <f t="shared" si="24"/>
        <v>#REF!</v>
      </c>
      <c r="N19" s="168" t="str">
        <f t="shared" si="24"/>
        <v>#REF!</v>
      </c>
      <c r="O19" s="168" t="str">
        <f t="shared" si="24"/>
        <v>#REF!</v>
      </c>
      <c r="P19" s="168" t="str">
        <f t="shared" si="24"/>
        <v>#REF!</v>
      </c>
      <c r="Q19" s="168" t="str">
        <f t="shared" si="24"/>
        <v>#REF!</v>
      </c>
      <c r="R19" s="168" t="str">
        <f t="shared" si="24"/>
        <v>#REF!</v>
      </c>
      <c r="S19" s="168" t="str">
        <f t="shared" si="24"/>
        <v>#REF!</v>
      </c>
      <c r="T19" s="168" t="str">
        <f t="shared" si="24"/>
        <v>#REF!</v>
      </c>
      <c r="U19" s="168" t="str">
        <f t="shared" si="24"/>
        <v>#REF!</v>
      </c>
      <c r="V19" s="168" t="str">
        <f t="shared" si="24"/>
        <v>#REF!</v>
      </c>
      <c r="W19" s="168" t="str">
        <f t="shared" si="24"/>
        <v>#REF!</v>
      </c>
      <c r="X19" s="168" t="str">
        <f t="shared" si="24"/>
        <v>#REF!</v>
      </c>
      <c r="Y19" s="168" t="str">
        <f t="shared" si="24"/>
        <v>#REF!</v>
      </c>
      <c r="Z19" s="168" t="str">
        <f t="shared" si="24"/>
        <v>#REF!</v>
      </c>
      <c r="AA19" s="168" t="str">
        <f t="shared" si="24"/>
        <v>#REF!</v>
      </c>
      <c r="AB19" s="168" t="str">
        <f t="shared" si="24"/>
        <v>#REF!</v>
      </c>
      <c r="AC19" s="168" t="str">
        <f t="shared" si="24"/>
        <v>#REF!</v>
      </c>
      <c r="AD19" s="168" t="str">
        <f t="shared" si="24"/>
        <v>#REF!</v>
      </c>
      <c r="AE19" s="168" t="str">
        <f t="shared" si="24"/>
        <v>#REF!</v>
      </c>
      <c r="AF19" s="168" t="str">
        <f t="shared" si="24"/>
        <v>#REF!</v>
      </c>
      <c r="AG19" s="168" t="str">
        <f t="shared" si="24"/>
        <v>#REF!</v>
      </c>
      <c r="AH19" s="168" t="str">
        <f t="shared" si="24"/>
        <v>#REF!</v>
      </c>
      <c r="AI19" s="168" t="str">
        <f t="shared" si="24"/>
        <v>#REF!</v>
      </c>
      <c r="AJ19" s="168" t="str">
        <f t="shared" si="24"/>
        <v>#REF!</v>
      </c>
    </row>
    <row r="20">
      <c r="A20" s="168" t="str">
        <f t="shared" ref="A20:AJ20" si="25">#REF!</f>
        <v>#REF!</v>
      </c>
      <c r="B20" s="168" t="str">
        <f t="shared" si="25"/>
        <v>#REF!</v>
      </c>
      <c r="C20" s="168" t="str">
        <f t="shared" si="25"/>
        <v>#REF!</v>
      </c>
      <c r="D20" s="168" t="str">
        <f t="shared" si="25"/>
        <v>#REF!</v>
      </c>
      <c r="E20" s="168" t="str">
        <f t="shared" si="25"/>
        <v>#REF!</v>
      </c>
      <c r="F20" s="168" t="str">
        <f t="shared" si="25"/>
        <v>#REF!</v>
      </c>
      <c r="G20" s="168" t="str">
        <f t="shared" si="25"/>
        <v>#REF!</v>
      </c>
      <c r="H20" s="168" t="str">
        <f t="shared" si="25"/>
        <v>#REF!</v>
      </c>
      <c r="I20" s="168" t="str">
        <f t="shared" si="25"/>
        <v>#REF!</v>
      </c>
      <c r="J20" s="168" t="str">
        <f t="shared" si="25"/>
        <v>#REF!</v>
      </c>
      <c r="K20" s="168" t="str">
        <f t="shared" si="25"/>
        <v>#REF!</v>
      </c>
      <c r="L20" s="168" t="str">
        <f t="shared" si="25"/>
        <v>#REF!</v>
      </c>
      <c r="M20" s="168" t="str">
        <f t="shared" si="25"/>
        <v>#REF!</v>
      </c>
      <c r="N20" s="168" t="str">
        <f t="shared" si="25"/>
        <v>#REF!</v>
      </c>
      <c r="O20" s="168" t="str">
        <f t="shared" si="25"/>
        <v>#REF!</v>
      </c>
      <c r="P20" s="168" t="str">
        <f t="shared" si="25"/>
        <v>#REF!</v>
      </c>
      <c r="Q20" s="168" t="str">
        <f t="shared" si="25"/>
        <v>#REF!</v>
      </c>
      <c r="R20" s="168" t="str">
        <f t="shared" si="25"/>
        <v>#REF!</v>
      </c>
      <c r="S20" s="168" t="str">
        <f t="shared" si="25"/>
        <v>#REF!</v>
      </c>
      <c r="T20" s="168" t="str">
        <f t="shared" si="25"/>
        <v>#REF!</v>
      </c>
      <c r="U20" s="168" t="str">
        <f t="shared" si="25"/>
        <v>#REF!</v>
      </c>
      <c r="V20" s="168" t="str">
        <f t="shared" si="25"/>
        <v>#REF!</v>
      </c>
      <c r="W20" s="168" t="str">
        <f t="shared" si="25"/>
        <v>#REF!</v>
      </c>
      <c r="X20" s="168" t="str">
        <f t="shared" si="25"/>
        <v>#REF!</v>
      </c>
      <c r="Y20" s="168" t="str">
        <f t="shared" si="25"/>
        <v>#REF!</v>
      </c>
      <c r="Z20" s="168" t="str">
        <f t="shared" si="25"/>
        <v>#REF!</v>
      </c>
      <c r="AA20" s="168" t="str">
        <f t="shared" si="25"/>
        <v>#REF!</v>
      </c>
      <c r="AB20" s="168" t="str">
        <f t="shared" si="25"/>
        <v>#REF!</v>
      </c>
      <c r="AC20" s="168" t="str">
        <f t="shared" si="25"/>
        <v>#REF!</v>
      </c>
      <c r="AD20" s="168" t="str">
        <f t="shared" si="25"/>
        <v>#REF!</v>
      </c>
      <c r="AE20" s="168" t="str">
        <f t="shared" si="25"/>
        <v>#REF!</v>
      </c>
      <c r="AF20" s="168" t="str">
        <f t="shared" si="25"/>
        <v>#REF!</v>
      </c>
      <c r="AG20" s="168" t="str">
        <f t="shared" si="25"/>
        <v>#REF!</v>
      </c>
      <c r="AH20" s="168" t="str">
        <f t="shared" si="25"/>
        <v>#REF!</v>
      </c>
      <c r="AI20" s="168" t="str">
        <f t="shared" si="25"/>
        <v>#REF!</v>
      </c>
      <c r="AJ20" s="168" t="str">
        <f t="shared" si="25"/>
        <v>#REF!</v>
      </c>
    </row>
    <row r="21" ht="15.75" customHeight="1">
      <c r="A21" s="168" t="str">
        <f t="shared" ref="A21:AJ21" si="26">#REF!</f>
        <v>#REF!</v>
      </c>
      <c r="B21" s="168" t="str">
        <f t="shared" si="26"/>
        <v>#REF!</v>
      </c>
      <c r="C21" s="168" t="str">
        <f t="shared" si="26"/>
        <v>#REF!</v>
      </c>
      <c r="D21" s="168" t="str">
        <f t="shared" si="26"/>
        <v>#REF!</v>
      </c>
      <c r="E21" s="168" t="str">
        <f t="shared" si="26"/>
        <v>#REF!</v>
      </c>
      <c r="F21" s="168" t="str">
        <f t="shared" si="26"/>
        <v>#REF!</v>
      </c>
      <c r="G21" s="168" t="str">
        <f t="shared" si="26"/>
        <v>#REF!</v>
      </c>
      <c r="H21" s="168" t="str">
        <f t="shared" si="26"/>
        <v>#REF!</v>
      </c>
      <c r="I21" s="168" t="str">
        <f t="shared" si="26"/>
        <v>#REF!</v>
      </c>
      <c r="J21" s="168" t="str">
        <f t="shared" si="26"/>
        <v>#REF!</v>
      </c>
      <c r="K21" s="168" t="str">
        <f t="shared" si="26"/>
        <v>#REF!</v>
      </c>
      <c r="L21" s="168" t="str">
        <f t="shared" si="26"/>
        <v>#REF!</v>
      </c>
      <c r="M21" s="168" t="str">
        <f t="shared" si="26"/>
        <v>#REF!</v>
      </c>
      <c r="N21" s="168" t="str">
        <f t="shared" si="26"/>
        <v>#REF!</v>
      </c>
      <c r="O21" s="168" t="str">
        <f t="shared" si="26"/>
        <v>#REF!</v>
      </c>
      <c r="P21" s="168" t="str">
        <f t="shared" si="26"/>
        <v>#REF!</v>
      </c>
      <c r="Q21" s="168" t="str">
        <f t="shared" si="26"/>
        <v>#REF!</v>
      </c>
      <c r="R21" s="168" t="str">
        <f t="shared" si="26"/>
        <v>#REF!</v>
      </c>
      <c r="S21" s="168" t="str">
        <f t="shared" si="26"/>
        <v>#REF!</v>
      </c>
      <c r="T21" s="168" t="str">
        <f t="shared" si="26"/>
        <v>#REF!</v>
      </c>
      <c r="U21" s="168" t="str">
        <f t="shared" si="26"/>
        <v>#REF!</v>
      </c>
      <c r="V21" s="168" t="str">
        <f t="shared" si="26"/>
        <v>#REF!</v>
      </c>
      <c r="W21" s="168" t="str">
        <f t="shared" si="26"/>
        <v>#REF!</v>
      </c>
      <c r="X21" s="168" t="str">
        <f t="shared" si="26"/>
        <v>#REF!</v>
      </c>
      <c r="Y21" s="168" t="str">
        <f t="shared" si="26"/>
        <v>#REF!</v>
      </c>
      <c r="Z21" s="168" t="str">
        <f t="shared" si="26"/>
        <v>#REF!</v>
      </c>
      <c r="AA21" s="168" t="str">
        <f t="shared" si="26"/>
        <v>#REF!</v>
      </c>
      <c r="AB21" s="168" t="str">
        <f t="shared" si="26"/>
        <v>#REF!</v>
      </c>
      <c r="AC21" s="168" t="str">
        <f t="shared" si="26"/>
        <v>#REF!</v>
      </c>
      <c r="AD21" s="168" t="str">
        <f t="shared" si="26"/>
        <v>#REF!</v>
      </c>
      <c r="AE21" s="168" t="str">
        <f t="shared" si="26"/>
        <v>#REF!</v>
      </c>
      <c r="AF21" s="168" t="str">
        <f t="shared" si="26"/>
        <v>#REF!</v>
      </c>
      <c r="AG21" s="168" t="str">
        <f t="shared" si="26"/>
        <v>#REF!</v>
      </c>
      <c r="AH21" s="168" t="str">
        <f t="shared" si="26"/>
        <v>#REF!</v>
      </c>
      <c r="AI21" s="168" t="str">
        <f t="shared" si="26"/>
        <v>#REF!</v>
      </c>
      <c r="AJ21" s="168" t="str">
        <f t="shared" si="26"/>
        <v>#REF!</v>
      </c>
    </row>
    <row r="22" ht="48.75" hidden="1" customHeight="1">
      <c r="A22" s="168" t="str">
        <f t="shared" ref="A22:AJ22" si="27">#REF!</f>
        <v>#REF!</v>
      </c>
      <c r="B22" s="168" t="str">
        <f t="shared" si="27"/>
        <v>#REF!</v>
      </c>
      <c r="C22" s="168" t="str">
        <f t="shared" si="27"/>
        <v>#REF!</v>
      </c>
      <c r="D22" s="168" t="str">
        <f t="shared" si="27"/>
        <v>#REF!</v>
      </c>
      <c r="E22" s="168" t="str">
        <f t="shared" si="27"/>
        <v>#REF!</v>
      </c>
      <c r="F22" s="168" t="str">
        <f t="shared" si="27"/>
        <v>#REF!</v>
      </c>
      <c r="G22" s="168" t="str">
        <f t="shared" si="27"/>
        <v>#REF!</v>
      </c>
      <c r="H22" s="168" t="str">
        <f t="shared" si="27"/>
        <v>#REF!</v>
      </c>
      <c r="I22" s="168" t="str">
        <f t="shared" si="27"/>
        <v>#REF!</v>
      </c>
      <c r="J22" s="168" t="str">
        <f t="shared" si="27"/>
        <v>#REF!</v>
      </c>
      <c r="K22" s="168" t="str">
        <f t="shared" si="27"/>
        <v>#REF!</v>
      </c>
      <c r="L22" s="168" t="str">
        <f t="shared" si="27"/>
        <v>#REF!</v>
      </c>
      <c r="M22" s="168" t="str">
        <f t="shared" si="27"/>
        <v>#REF!</v>
      </c>
      <c r="N22" s="168" t="str">
        <f t="shared" si="27"/>
        <v>#REF!</v>
      </c>
      <c r="O22" s="168" t="str">
        <f t="shared" si="27"/>
        <v>#REF!</v>
      </c>
      <c r="P22" s="168" t="str">
        <f t="shared" si="27"/>
        <v>#REF!</v>
      </c>
      <c r="Q22" s="168" t="str">
        <f t="shared" si="27"/>
        <v>#REF!</v>
      </c>
      <c r="R22" s="168" t="str">
        <f t="shared" si="27"/>
        <v>#REF!</v>
      </c>
      <c r="S22" s="168" t="str">
        <f t="shared" si="27"/>
        <v>#REF!</v>
      </c>
      <c r="T22" s="168" t="str">
        <f t="shared" si="27"/>
        <v>#REF!</v>
      </c>
      <c r="U22" s="168" t="str">
        <f t="shared" si="27"/>
        <v>#REF!</v>
      </c>
      <c r="V22" s="168" t="str">
        <f t="shared" si="27"/>
        <v>#REF!</v>
      </c>
      <c r="W22" s="168" t="str">
        <f t="shared" si="27"/>
        <v>#REF!</v>
      </c>
      <c r="X22" s="168" t="str">
        <f t="shared" si="27"/>
        <v>#REF!</v>
      </c>
      <c r="Y22" s="168" t="str">
        <f t="shared" si="27"/>
        <v>#REF!</v>
      </c>
      <c r="Z22" s="168" t="str">
        <f t="shared" si="27"/>
        <v>#REF!</v>
      </c>
      <c r="AA22" s="168" t="str">
        <f t="shared" si="27"/>
        <v>#REF!</v>
      </c>
      <c r="AB22" s="168" t="str">
        <f t="shared" si="27"/>
        <v>#REF!</v>
      </c>
      <c r="AC22" s="168" t="str">
        <f t="shared" si="27"/>
        <v>#REF!</v>
      </c>
      <c r="AD22" s="168" t="str">
        <f t="shared" si="27"/>
        <v>#REF!</v>
      </c>
      <c r="AE22" s="168" t="str">
        <f t="shared" si="27"/>
        <v>#REF!</v>
      </c>
      <c r="AF22" s="168" t="str">
        <f t="shared" si="27"/>
        <v>#REF!</v>
      </c>
      <c r="AG22" s="168" t="str">
        <f t="shared" si="27"/>
        <v>#REF!</v>
      </c>
      <c r="AH22" s="168" t="str">
        <f t="shared" si="27"/>
        <v>#REF!</v>
      </c>
      <c r="AI22" s="168" t="str">
        <f t="shared" si="27"/>
        <v>#REF!</v>
      </c>
      <c r="AJ22" s="168" t="str">
        <f t="shared" si="27"/>
        <v>#REF!</v>
      </c>
    </row>
    <row r="23" ht="15.75" hidden="1" customHeight="1">
      <c r="A23" s="168" t="str">
        <f t="shared" ref="A23:AJ23" si="28">#REF!</f>
        <v>#REF!</v>
      </c>
      <c r="B23" s="168" t="str">
        <f t="shared" si="28"/>
        <v>#REF!</v>
      </c>
      <c r="C23" s="168" t="str">
        <f t="shared" si="28"/>
        <v>#REF!</v>
      </c>
      <c r="D23" s="168" t="str">
        <f t="shared" si="28"/>
        <v>#REF!</v>
      </c>
      <c r="E23" s="168" t="str">
        <f t="shared" si="28"/>
        <v>#REF!</v>
      </c>
      <c r="F23" s="168" t="str">
        <f t="shared" si="28"/>
        <v>#REF!</v>
      </c>
      <c r="G23" s="168" t="str">
        <f t="shared" si="28"/>
        <v>#REF!</v>
      </c>
      <c r="H23" s="168" t="str">
        <f t="shared" si="28"/>
        <v>#REF!</v>
      </c>
      <c r="I23" s="168" t="str">
        <f t="shared" si="28"/>
        <v>#REF!</v>
      </c>
      <c r="J23" s="168" t="str">
        <f t="shared" si="28"/>
        <v>#REF!</v>
      </c>
      <c r="K23" s="168" t="str">
        <f t="shared" si="28"/>
        <v>#REF!</v>
      </c>
      <c r="L23" s="168" t="str">
        <f t="shared" si="28"/>
        <v>#REF!</v>
      </c>
      <c r="M23" s="168" t="str">
        <f t="shared" si="28"/>
        <v>#REF!</v>
      </c>
      <c r="N23" s="168" t="str">
        <f t="shared" si="28"/>
        <v>#REF!</v>
      </c>
      <c r="O23" s="168" t="str">
        <f t="shared" si="28"/>
        <v>#REF!</v>
      </c>
      <c r="P23" s="168" t="str">
        <f t="shared" si="28"/>
        <v>#REF!</v>
      </c>
      <c r="Q23" s="168" t="str">
        <f t="shared" si="28"/>
        <v>#REF!</v>
      </c>
      <c r="R23" s="168" t="str">
        <f t="shared" si="28"/>
        <v>#REF!</v>
      </c>
      <c r="S23" s="168" t="str">
        <f t="shared" si="28"/>
        <v>#REF!</v>
      </c>
      <c r="T23" s="168" t="str">
        <f t="shared" si="28"/>
        <v>#REF!</v>
      </c>
      <c r="U23" s="168" t="str">
        <f t="shared" si="28"/>
        <v>#REF!</v>
      </c>
      <c r="V23" s="168" t="str">
        <f t="shared" si="28"/>
        <v>#REF!</v>
      </c>
      <c r="W23" s="168" t="str">
        <f t="shared" si="28"/>
        <v>#REF!</v>
      </c>
      <c r="X23" s="168" t="str">
        <f t="shared" si="28"/>
        <v>#REF!</v>
      </c>
      <c r="Y23" s="168" t="str">
        <f t="shared" si="28"/>
        <v>#REF!</v>
      </c>
      <c r="Z23" s="168" t="str">
        <f t="shared" si="28"/>
        <v>#REF!</v>
      </c>
      <c r="AA23" s="168" t="str">
        <f t="shared" si="28"/>
        <v>#REF!</v>
      </c>
      <c r="AB23" s="168" t="str">
        <f t="shared" si="28"/>
        <v>#REF!</v>
      </c>
      <c r="AC23" s="168" t="str">
        <f t="shared" si="28"/>
        <v>#REF!</v>
      </c>
      <c r="AD23" s="168" t="str">
        <f t="shared" si="28"/>
        <v>#REF!</v>
      </c>
      <c r="AE23" s="168" t="str">
        <f t="shared" si="28"/>
        <v>#REF!</v>
      </c>
      <c r="AF23" s="168" t="str">
        <f t="shared" si="28"/>
        <v>#REF!</v>
      </c>
      <c r="AG23" s="168" t="str">
        <f t="shared" si="28"/>
        <v>#REF!</v>
      </c>
      <c r="AH23" s="168" t="str">
        <f t="shared" si="28"/>
        <v>#REF!</v>
      </c>
      <c r="AI23" s="168" t="str">
        <f t="shared" si="28"/>
        <v>#REF!</v>
      </c>
      <c r="AJ23" s="168" t="str">
        <f t="shared" si="28"/>
        <v>#REF!</v>
      </c>
    </row>
    <row r="24" ht="15.75" hidden="1" customHeight="1">
      <c r="A24" s="168" t="str">
        <f t="shared" ref="A24:AJ24" si="29">#REF!</f>
        <v>#REF!</v>
      </c>
      <c r="B24" s="168" t="str">
        <f t="shared" si="29"/>
        <v>#REF!</v>
      </c>
      <c r="C24" s="168" t="str">
        <f t="shared" si="29"/>
        <v>#REF!</v>
      </c>
      <c r="D24" s="168" t="str">
        <f t="shared" si="29"/>
        <v>#REF!</v>
      </c>
      <c r="E24" s="168" t="str">
        <f t="shared" si="29"/>
        <v>#REF!</v>
      </c>
      <c r="F24" s="168" t="str">
        <f t="shared" si="29"/>
        <v>#REF!</v>
      </c>
      <c r="G24" s="168" t="str">
        <f t="shared" si="29"/>
        <v>#REF!</v>
      </c>
      <c r="H24" s="168" t="str">
        <f t="shared" si="29"/>
        <v>#REF!</v>
      </c>
      <c r="I24" s="168" t="str">
        <f t="shared" si="29"/>
        <v>#REF!</v>
      </c>
      <c r="J24" s="168" t="str">
        <f t="shared" si="29"/>
        <v>#REF!</v>
      </c>
      <c r="K24" s="168" t="str">
        <f t="shared" si="29"/>
        <v>#REF!</v>
      </c>
      <c r="L24" s="168" t="str">
        <f t="shared" si="29"/>
        <v>#REF!</v>
      </c>
      <c r="M24" s="168" t="str">
        <f t="shared" si="29"/>
        <v>#REF!</v>
      </c>
      <c r="N24" s="168" t="str">
        <f t="shared" si="29"/>
        <v>#REF!</v>
      </c>
      <c r="O24" s="168" t="str">
        <f t="shared" si="29"/>
        <v>#REF!</v>
      </c>
      <c r="P24" s="168" t="str">
        <f t="shared" si="29"/>
        <v>#REF!</v>
      </c>
      <c r="Q24" s="168" t="str">
        <f t="shared" si="29"/>
        <v>#REF!</v>
      </c>
      <c r="R24" s="168" t="str">
        <f t="shared" si="29"/>
        <v>#REF!</v>
      </c>
      <c r="S24" s="168" t="str">
        <f t="shared" si="29"/>
        <v>#REF!</v>
      </c>
      <c r="T24" s="168" t="str">
        <f t="shared" si="29"/>
        <v>#REF!</v>
      </c>
      <c r="U24" s="168" t="str">
        <f t="shared" si="29"/>
        <v>#REF!</v>
      </c>
      <c r="V24" s="168" t="str">
        <f t="shared" si="29"/>
        <v>#REF!</v>
      </c>
      <c r="W24" s="168" t="str">
        <f t="shared" si="29"/>
        <v>#REF!</v>
      </c>
      <c r="X24" s="168" t="str">
        <f t="shared" si="29"/>
        <v>#REF!</v>
      </c>
      <c r="Y24" s="168" t="str">
        <f t="shared" si="29"/>
        <v>#REF!</v>
      </c>
      <c r="Z24" s="168" t="str">
        <f t="shared" si="29"/>
        <v>#REF!</v>
      </c>
      <c r="AA24" s="168" t="str">
        <f t="shared" si="29"/>
        <v>#REF!</v>
      </c>
      <c r="AB24" s="168" t="str">
        <f t="shared" si="29"/>
        <v>#REF!</v>
      </c>
      <c r="AC24" s="168" t="str">
        <f t="shared" si="29"/>
        <v>#REF!</v>
      </c>
      <c r="AD24" s="168" t="str">
        <f t="shared" si="29"/>
        <v>#REF!</v>
      </c>
      <c r="AE24" s="168" t="str">
        <f t="shared" si="29"/>
        <v>#REF!</v>
      </c>
      <c r="AF24" s="168" t="str">
        <f t="shared" si="29"/>
        <v>#REF!</v>
      </c>
      <c r="AG24" s="168" t="str">
        <f t="shared" si="29"/>
        <v>#REF!</v>
      </c>
      <c r="AH24" s="168" t="str">
        <f t="shared" si="29"/>
        <v>#REF!</v>
      </c>
      <c r="AI24" s="168" t="str">
        <f t="shared" si="29"/>
        <v>#REF!</v>
      </c>
      <c r="AJ24" s="168" t="str">
        <f t="shared" si="29"/>
        <v>#REF!</v>
      </c>
    </row>
    <row r="25" ht="15.75" customHeight="1">
      <c r="A25" s="168" t="str">
        <f t="shared" ref="A25:AJ25" si="30">#REF!</f>
        <v>#REF!</v>
      </c>
      <c r="B25" s="168" t="str">
        <f t="shared" si="30"/>
        <v>#REF!</v>
      </c>
      <c r="C25" s="168" t="str">
        <f t="shared" si="30"/>
        <v>#REF!</v>
      </c>
      <c r="D25" s="168" t="str">
        <f t="shared" si="30"/>
        <v>#REF!</v>
      </c>
      <c r="E25" s="168" t="str">
        <f t="shared" si="30"/>
        <v>#REF!</v>
      </c>
      <c r="F25" s="168" t="str">
        <f t="shared" si="30"/>
        <v>#REF!</v>
      </c>
      <c r="G25" s="168" t="str">
        <f t="shared" si="30"/>
        <v>#REF!</v>
      </c>
      <c r="H25" s="168" t="str">
        <f t="shared" si="30"/>
        <v>#REF!</v>
      </c>
      <c r="I25" s="168" t="str">
        <f t="shared" si="30"/>
        <v>#REF!</v>
      </c>
      <c r="J25" s="168" t="str">
        <f t="shared" si="30"/>
        <v>#REF!</v>
      </c>
      <c r="K25" s="168" t="str">
        <f t="shared" si="30"/>
        <v>#REF!</v>
      </c>
      <c r="L25" s="168" t="str">
        <f t="shared" si="30"/>
        <v>#REF!</v>
      </c>
      <c r="M25" s="168" t="str">
        <f t="shared" si="30"/>
        <v>#REF!</v>
      </c>
      <c r="N25" s="168" t="str">
        <f t="shared" si="30"/>
        <v>#REF!</v>
      </c>
      <c r="O25" s="168" t="str">
        <f t="shared" si="30"/>
        <v>#REF!</v>
      </c>
      <c r="P25" s="168" t="str">
        <f t="shared" si="30"/>
        <v>#REF!</v>
      </c>
      <c r="Q25" s="168" t="str">
        <f t="shared" si="30"/>
        <v>#REF!</v>
      </c>
      <c r="R25" s="168" t="str">
        <f t="shared" si="30"/>
        <v>#REF!</v>
      </c>
      <c r="S25" s="168" t="str">
        <f t="shared" si="30"/>
        <v>#REF!</v>
      </c>
      <c r="T25" s="168" t="str">
        <f t="shared" si="30"/>
        <v>#REF!</v>
      </c>
      <c r="U25" s="168" t="str">
        <f t="shared" si="30"/>
        <v>#REF!</v>
      </c>
      <c r="V25" s="168" t="str">
        <f t="shared" si="30"/>
        <v>#REF!</v>
      </c>
      <c r="W25" s="168" t="str">
        <f t="shared" si="30"/>
        <v>#REF!</v>
      </c>
      <c r="X25" s="168" t="str">
        <f t="shared" si="30"/>
        <v>#REF!</v>
      </c>
      <c r="Y25" s="168" t="str">
        <f t="shared" si="30"/>
        <v>#REF!</v>
      </c>
      <c r="Z25" s="168" t="str">
        <f t="shared" si="30"/>
        <v>#REF!</v>
      </c>
      <c r="AA25" s="168" t="str">
        <f t="shared" si="30"/>
        <v>#REF!</v>
      </c>
      <c r="AB25" s="168" t="str">
        <f t="shared" si="30"/>
        <v>#REF!</v>
      </c>
      <c r="AC25" s="168" t="str">
        <f t="shared" si="30"/>
        <v>#REF!</v>
      </c>
      <c r="AD25" s="168" t="str">
        <f t="shared" si="30"/>
        <v>#REF!</v>
      </c>
      <c r="AE25" s="168" t="str">
        <f t="shared" si="30"/>
        <v>#REF!</v>
      </c>
      <c r="AF25" s="168" t="str">
        <f t="shared" si="30"/>
        <v>#REF!</v>
      </c>
      <c r="AG25" s="168" t="str">
        <f t="shared" si="30"/>
        <v>#REF!</v>
      </c>
      <c r="AH25" s="168" t="str">
        <f t="shared" si="30"/>
        <v>#REF!</v>
      </c>
      <c r="AI25" s="168" t="str">
        <f t="shared" si="30"/>
        <v>#REF!</v>
      </c>
      <c r="AJ25" s="168" t="str">
        <f t="shared" si="30"/>
        <v>#REF!</v>
      </c>
    </row>
    <row r="26" ht="15.75" hidden="1" customHeight="1">
      <c r="A26" s="168" t="str">
        <f t="shared" ref="A26:AJ26" si="31">#REF!</f>
        <v>#REF!</v>
      </c>
      <c r="B26" s="168" t="str">
        <f t="shared" si="31"/>
        <v>#REF!</v>
      </c>
      <c r="C26" s="168" t="str">
        <f t="shared" si="31"/>
        <v>#REF!</v>
      </c>
      <c r="D26" s="168" t="str">
        <f t="shared" si="31"/>
        <v>#REF!</v>
      </c>
      <c r="E26" s="168" t="str">
        <f t="shared" si="31"/>
        <v>#REF!</v>
      </c>
      <c r="F26" s="168" t="str">
        <f t="shared" si="31"/>
        <v>#REF!</v>
      </c>
      <c r="G26" s="168" t="str">
        <f t="shared" si="31"/>
        <v>#REF!</v>
      </c>
      <c r="H26" s="168" t="str">
        <f t="shared" si="31"/>
        <v>#REF!</v>
      </c>
      <c r="I26" s="168" t="str">
        <f t="shared" si="31"/>
        <v>#REF!</v>
      </c>
      <c r="J26" s="168" t="str">
        <f t="shared" si="31"/>
        <v>#REF!</v>
      </c>
      <c r="K26" s="168" t="str">
        <f t="shared" si="31"/>
        <v>#REF!</v>
      </c>
      <c r="L26" s="168" t="str">
        <f t="shared" si="31"/>
        <v>#REF!</v>
      </c>
      <c r="M26" s="168" t="str">
        <f t="shared" si="31"/>
        <v>#REF!</v>
      </c>
      <c r="N26" s="168" t="str">
        <f t="shared" si="31"/>
        <v>#REF!</v>
      </c>
      <c r="O26" s="168" t="str">
        <f t="shared" si="31"/>
        <v>#REF!</v>
      </c>
      <c r="P26" s="168" t="str">
        <f t="shared" si="31"/>
        <v>#REF!</v>
      </c>
      <c r="Q26" s="168" t="str">
        <f t="shared" si="31"/>
        <v>#REF!</v>
      </c>
      <c r="R26" s="168" t="str">
        <f t="shared" si="31"/>
        <v>#REF!</v>
      </c>
      <c r="S26" s="168" t="str">
        <f t="shared" si="31"/>
        <v>#REF!</v>
      </c>
      <c r="T26" s="168" t="str">
        <f t="shared" si="31"/>
        <v>#REF!</v>
      </c>
      <c r="U26" s="168" t="str">
        <f t="shared" si="31"/>
        <v>#REF!</v>
      </c>
      <c r="V26" s="168" t="str">
        <f t="shared" si="31"/>
        <v>#REF!</v>
      </c>
      <c r="W26" s="168" t="str">
        <f t="shared" si="31"/>
        <v>#REF!</v>
      </c>
      <c r="X26" s="168" t="str">
        <f t="shared" si="31"/>
        <v>#REF!</v>
      </c>
      <c r="Y26" s="168" t="str">
        <f t="shared" si="31"/>
        <v>#REF!</v>
      </c>
      <c r="Z26" s="168" t="str">
        <f t="shared" si="31"/>
        <v>#REF!</v>
      </c>
      <c r="AA26" s="168" t="str">
        <f t="shared" si="31"/>
        <v>#REF!</v>
      </c>
      <c r="AB26" s="168" t="str">
        <f t="shared" si="31"/>
        <v>#REF!</v>
      </c>
      <c r="AC26" s="168" t="str">
        <f t="shared" si="31"/>
        <v>#REF!</v>
      </c>
      <c r="AD26" s="168" t="str">
        <f t="shared" si="31"/>
        <v>#REF!</v>
      </c>
      <c r="AE26" s="168" t="str">
        <f t="shared" si="31"/>
        <v>#REF!</v>
      </c>
      <c r="AF26" s="168" t="str">
        <f t="shared" si="31"/>
        <v>#REF!</v>
      </c>
      <c r="AG26" s="168" t="str">
        <f t="shared" si="31"/>
        <v>#REF!</v>
      </c>
      <c r="AH26" s="168" t="str">
        <f t="shared" si="31"/>
        <v>#REF!</v>
      </c>
      <c r="AI26" s="168" t="str">
        <f t="shared" si="31"/>
        <v>#REF!</v>
      </c>
      <c r="AJ26" s="168" t="str">
        <f t="shared" si="31"/>
        <v>#REF!</v>
      </c>
    </row>
    <row r="27" ht="15.75" hidden="1" customHeight="1">
      <c r="A27" s="168" t="str">
        <f t="shared" ref="A27:AJ27" si="32">#REF!</f>
        <v>#REF!</v>
      </c>
      <c r="B27" s="168" t="str">
        <f t="shared" si="32"/>
        <v>#REF!</v>
      </c>
      <c r="C27" s="168" t="str">
        <f t="shared" si="32"/>
        <v>#REF!</v>
      </c>
      <c r="D27" s="168" t="str">
        <f t="shared" si="32"/>
        <v>#REF!</v>
      </c>
      <c r="E27" s="168" t="str">
        <f t="shared" si="32"/>
        <v>#REF!</v>
      </c>
      <c r="F27" s="168" t="str">
        <f t="shared" si="32"/>
        <v>#REF!</v>
      </c>
      <c r="G27" s="168" t="str">
        <f t="shared" si="32"/>
        <v>#REF!</v>
      </c>
      <c r="H27" s="168" t="str">
        <f t="shared" si="32"/>
        <v>#REF!</v>
      </c>
      <c r="I27" s="168" t="str">
        <f t="shared" si="32"/>
        <v>#REF!</v>
      </c>
      <c r="J27" s="168" t="str">
        <f t="shared" si="32"/>
        <v>#REF!</v>
      </c>
      <c r="K27" s="168" t="str">
        <f t="shared" si="32"/>
        <v>#REF!</v>
      </c>
      <c r="L27" s="168" t="str">
        <f t="shared" si="32"/>
        <v>#REF!</v>
      </c>
      <c r="M27" s="168" t="str">
        <f t="shared" si="32"/>
        <v>#REF!</v>
      </c>
      <c r="N27" s="168" t="str">
        <f t="shared" si="32"/>
        <v>#REF!</v>
      </c>
      <c r="O27" s="168" t="str">
        <f t="shared" si="32"/>
        <v>#REF!</v>
      </c>
      <c r="P27" s="168" t="str">
        <f t="shared" si="32"/>
        <v>#REF!</v>
      </c>
      <c r="Q27" s="168" t="str">
        <f t="shared" si="32"/>
        <v>#REF!</v>
      </c>
      <c r="R27" s="168" t="str">
        <f t="shared" si="32"/>
        <v>#REF!</v>
      </c>
      <c r="S27" s="168" t="str">
        <f t="shared" si="32"/>
        <v>#REF!</v>
      </c>
      <c r="T27" s="168" t="str">
        <f t="shared" si="32"/>
        <v>#REF!</v>
      </c>
      <c r="U27" s="168" t="str">
        <f t="shared" si="32"/>
        <v>#REF!</v>
      </c>
      <c r="V27" s="168" t="str">
        <f t="shared" si="32"/>
        <v>#REF!</v>
      </c>
      <c r="W27" s="168" t="str">
        <f t="shared" si="32"/>
        <v>#REF!</v>
      </c>
      <c r="X27" s="168" t="str">
        <f t="shared" si="32"/>
        <v>#REF!</v>
      </c>
      <c r="Y27" s="168" t="str">
        <f t="shared" si="32"/>
        <v>#REF!</v>
      </c>
      <c r="Z27" s="168" t="str">
        <f t="shared" si="32"/>
        <v>#REF!</v>
      </c>
      <c r="AA27" s="168" t="str">
        <f t="shared" si="32"/>
        <v>#REF!</v>
      </c>
      <c r="AB27" s="168" t="str">
        <f t="shared" si="32"/>
        <v>#REF!</v>
      </c>
      <c r="AC27" s="168" t="str">
        <f t="shared" si="32"/>
        <v>#REF!</v>
      </c>
      <c r="AD27" s="168" t="str">
        <f t="shared" si="32"/>
        <v>#REF!</v>
      </c>
      <c r="AE27" s="168" t="str">
        <f t="shared" si="32"/>
        <v>#REF!</v>
      </c>
      <c r="AF27" s="168" t="str">
        <f t="shared" si="32"/>
        <v>#REF!</v>
      </c>
      <c r="AG27" s="168" t="str">
        <f t="shared" si="32"/>
        <v>#REF!</v>
      </c>
      <c r="AH27" s="168" t="str">
        <f t="shared" si="32"/>
        <v>#REF!</v>
      </c>
      <c r="AI27" s="168" t="str">
        <f t="shared" si="32"/>
        <v>#REF!</v>
      </c>
      <c r="AJ27" s="168" t="str">
        <f t="shared" si="32"/>
        <v>#REF!</v>
      </c>
    </row>
    <row r="28" ht="15.75" hidden="1" customHeight="1">
      <c r="A28" s="168" t="str">
        <f t="shared" ref="A28:AJ28" si="33">#REF!</f>
        <v>#REF!</v>
      </c>
      <c r="B28" s="168" t="str">
        <f t="shared" si="33"/>
        <v>#REF!</v>
      </c>
      <c r="C28" s="168" t="str">
        <f t="shared" si="33"/>
        <v>#REF!</v>
      </c>
      <c r="D28" s="168" t="str">
        <f t="shared" si="33"/>
        <v>#REF!</v>
      </c>
      <c r="E28" s="168" t="str">
        <f t="shared" si="33"/>
        <v>#REF!</v>
      </c>
      <c r="F28" s="168" t="str">
        <f t="shared" si="33"/>
        <v>#REF!</v>
      </c>
      <c r="G28" s="168" t="str">
        <f t="shared" si="33"/>
        <v>#REF!</v>
      </c>
      <c r="H28" s="168" t="str">
        <f t="shared" si="33"/>
        <v>#REF!</v>
      </c>
      <c r="I28" s="168" t="str">
        <f t="shared" si="33"/>
        <v>#REF!</v>
      </c>
      <c r="J28" s="168" t="str">
        <f t="shared" si="33"/>
        <v>#REF!</v>
      </c>
      <c r="K28" s="168" t="str">
        <f t="shared" si="33"/>
        <v>#REF!</v>
      </c>
      <c r="L28" s="168" t="str">
        <f t="shared" si="33"/>
        <v>#REF!</v>
      </c>
      <c r="M28" s="168" t="str">
        <f t="shared" si="33"/>
        <v>#REF!</v>
      </c>
      <c r="N28" s="168" t="str">
        <f t="shared" si="33"/>
        <v>#REF!</v>
      </c>
      <c r="O28" s="168" t="str">
        <f t="shared" si="33"/>
        <v>#REF!</v>
      </c>
      <c r="P28" s="168" t="str">
        <f t="shared" si="33"/>
        <v>#REF!</v>
      </c>
      <c r="Q28" s="168" t="str">
        <f t="shared" si="33"/>
        <v>#REF!</v>
      </c>
      <c r="R28" s="168" t="str">
        <f t="shared" si="33"/>
        <v>#REF!</v>
      </c>
      <c r="S28" s="168" t="str">
        <f t="shared" si="33"/>
        <v>#REF!</v>
      </c>
      <c r="T28" s="168" t="str">
        <f t="shared" si="33"/>
        <v>#REF!</v>
      </c>
      <c r="U28" s="168" t="str">
        <f t="shared" si="33"/>
        <v>#REF!</v>
      </c>
      <c r="V28" s="168" t="str">
        <f t="shared" si="33"/>
        <v>#REF!</v>
      </c>
      <c r="W28" s="168" t="str">
        <f t="shared" si="33"/>
        <v>#REF!</v>
      </c>
      <c r="X28" s="168" t="str">
        <f t="shared" si="33"/>
        <v>#REF!</v>
      </c>
      <c r="Y28" s="168" t="str">
        <f t="shared" si="33"/>
        <v>#REF!</v>
      </c>
      <c r="Z28" s="168" t="str">
        <f t="shared" si="33"/>
        <v>#REF!</v>
      </c>
      <c r="AA28" s="168" t="str">
        <f t="shared" si="33"/>
        <v>#REF!</v>
      </c>
      <c r="AB28" s="168" t="str">
        <f t="shared" si="33"/>
        <v>#REF!</v>
      </c>
      <c r="AC28" s="168" t="str">
        <f t="shared" si="33"/>
        <v>#REF!</v>
      </c>
      <c r="AD28" s="168" t="str">
        <f t="shared" si="33"/>
        <v>#REF!</v>
      </c>
      <c r="AE28" s="168" t="str">
        <f t="shared" si="33"/>
        <v>#REF!</v>
      </c>
      <c r="AF28" s="168" t="str">
        <f t="shared" si="33"/>
        <v>#REF!</v>
      </c>
      <c r="AG28" s="168" t="str">
        <f t="shared" si="33"/>
        <v>#REF!</v>
      </c>
      <c r="AH28" s="168" t="str">
        <f t="shared" si="33"/>
        <v>#REF!</v>
      </c>
      <c r="AI28" s="168" t="str">
        <f t="shared" si="33"/>
        <v>#REF!</v>
      </c>
      <c r="AJ28" s="168" t="str">
        <f t="shared" si="33"/>
        <v>#REF!</v>
      </c>
    </row>
    <row r="29" ht="15.75" hidden="1" customHeight="1">
      <c r="A29" s="168" t="str">
        <f t="shared" ref="A29:AJ29" si="34">#REF!</f>
        <v>#REF!</v>
      </c>
      <c r="B29" s="168" t="str">
        <f t="shared" si="34"/>
        <v>#REF!</v>
      </c>
      <c r="C29" s="168" t="str">
        <f t="shared" si="34"/>
        <v>#REF!</v>
      </c>
      <c r="D29" s="168" t="str">
        <f t="shared" si="34"/>
        <v>#REF!</v>
      </c>
      <c r="E29" s="168" t="str">
        <f t="shared" si="34"/>
        <v>#REF!</v>
      </c>
      <c r="F29" s="168" t="str">
        <f t="shared" si="34"/>
        <v>#REF!</v>
      </c>
      <c r="G29" s="168" t="str">
        <f t="shared" si="34"/>
        <v>#REF!</v>
      </c>
      <c r="H29" s="168" t="str">
        <f t="shared" si="34"/>
        <v>#REF!</v>
      </c>
      <c r="I29" s="168" t="str">
        <f t="shared" si="34"/>
        <v>#REF!</v>
      </c>
      <c r="J29" s="168" t="str">
        <f t="shared" si="34"/>
        <v>#REF!</v>
      </c>
      <c r="K29" s="168" t="str">
        <f t="shared" si="34"/>
        <v>#REF!</v>
      </c>
      <c r="L29" s="168" t="str">
        <f t="shared" si="34"/>
        <v>#REF!</v>
      </c>
      <c r="M29" s="168" t="str">
        <f t="shared" si="34"/>
        <v>#REF!</v>
      </c>
      <c r="N29" s="168" t="str">
        <f t="shared" si="34"/>
        <v>#REF!</v>
      </c>
      <c r="O29" s="168" t="str">
        <f t="shared" si="34"/>
        <v>#REF!</v>
      </c>
      <c r="P29" s="168" t="str">
        <f t="shared" si="34"/>
        <v>#REF!</v>
      </c>
      <c r="Q29" s="168" t="str">
        <f t="shared" si="34"/>
        <v>#REF!</v>
      </c>
      <c r="R29" s="168" t="str">
        <f t="shared" si="34"/>
        <v>#REF!</v>
      </c>
      <c r="S29" s="168" t="str">
        <f t="shared" si="34"/>
        <v>#REF!</v>
      </c>
      <c r="T29" s="168" t="str">
        <f t="shared" si="34"/>
        <v>#REF!</v>
      </c>
      <c r="U29" s="168" t="str">
        <f t="shared" si="34"/>
        <v>#REF!</v>
      </c>
      <c r="V29" s="168" t="str">
        <f t="shared" si="34"/>
        <v>#REF!</v>
      </c>
      <c r="W29" s="168" t="str">
        <f t="shared" si="34"/>
        <v>#REF!</v>
      </c>
      <c r="X29" s="168" t="str">
        <f t="shared" si="34"/>
        <v>#REF!</v>
      </c>
      <c r="Y29" s="168" t="str">
        <f t="shared" si="34"/>
        <v>#REF!</v>
      </c>
      <c r="Z29" s="168" t="str">
        <f t="shared" si="34"/>
        <v>#REF!</v>
      </c>
      <c r="AA29" s="168" t="str">
        <f t="shared" si="34"/>
        <v>#REF!</v>
      </c>
      <c r="AB29" s="168" t="str">
        <f t="shared" si="34"/>
        <v>#REF!</v>
      </c>
      <c r="AC29" s="168" t="str">
        <f t="shared" si="34"/>
        <v>#REF!</v>
      </c>
      <c r="AD29" s="168" t="str">
        <f t="shared" si="34"/>
        <v>#REF!</v>
      </c>
      <c r="AE29" s="168" t="str">
        <f t="shared" si="34"/>
        <v>#REF!</v>
      </c>
      <c r="AF29" s="168" t="str">
        <f t="shared" si="34"/>
        <v>#REF!</v>
      </c>
      <c r="AG29" s="168" t="str">
        <f t="shared" si="34"/>
        <v>#REF!</v>
      </c>
      <c r="AH29" s="168" t="str">
        <f t="shared" si="34"/>
        <v>#REF!</v>
      </c>
      <c r="AI29" s="168" t="str">
        <f t="shared" si="34"/>
        <v>#REF!</v>
      </c>
      <c r="AJ29" s="168" t="str">
        <f t="shared" si="34"/>
        <v>#REF!</v>
      </c>
    </row>
    <row r="30" ht="15.75" hidden="1" customHeight="1">
      <c r="A30" s="168" t="str">
        <f t="shared" ref="A30:AJ30" si="35">#REF!</f>
        <v>#REF!</v>
      </c>
      <c r="B30" s="168" t="str">
        <f t="shared" si="35"/>
        <v>#REF!</v>
      </c>
      <c r="C30" s="168" t="str">
        <f t="shared" si="35"/>
        <v>#REF!</v>
      </c>
      <c r="D30" s="168" t="str">
        <f t="shared" si="35"/>
        <v>#REF!</v>
      </c>
      <c r="E30" s="168" t="str">
        <f t="shared" si="35"/>
        <v>#REF!</v>
      </c>
      <c r="F30" s="168" t="str">
        <f t="shared" si="35"/>
        <v>#REF!</v>
      </c>
      <c r="G30" s="168" t="str">
        <f t="shared" si="35"/>
        <v>#REF!</v>
      </c>
      <c r="H30" s="168" t="str">
        <f t="shared" si="35"/>
        <v>#REF!</v>
      </c>
      <c r="I30" s="168" t="str">
        <f t="shared" si="35"/>
        <v>#REF!</v>
      </c>
      <c r="J30" s="168" t="str">
        <f t="shared" si="35"/>
        <v>#REF!</v>
      </c>
      <c r="K30" s="168" t="str">
        <f t="shared" si="35"/>
        <v>#REF!</v>
      </c>
      <c r="L30" s="168" t="str">
        <f t="shared" si="35"/>
        <v>#REF!</v>
      </c>
      <c r="M30" s="168" t="str">
        <f t="shared" si="35"/>
        <v>#REF!</v>
      </c>
      <c r="N30" s="168" t="str">
        <f t="shared" si="35"/>
        <v>#REF!</v>
      </c>
      <c r="O30" s="168" t="str">
        <f t="shared" si="35"/>
        <v>#REF!</v>
      </c>
      <c r="P30" s="168" t="str">
        <f t="shared" si="35"/>
        <v>#REF!</v>
      </c>
      <c r="Q30" s="168" t="str">
        <f t="shared" si="35"/>
        <v>#REF!</v>
      </c>
      <c r="R30" s="168" t="str">
        <f t="shared" si="35"/>
        <v>#REF!</v>
      </c>
      <c r="S30" s="168" t="str">
        <f t="shared" si="35"/>
        <v>#REF!</v>
      </c>
      <c r="T30" s="168" t="str">
        <f t="shared" si="35"/>
        <v>#REF!</v>
      </c>
      <c r="U30" s="168" t="str">
        <f t="shared" si="35"/>
        <v>#REF!</v>
      </c>
      <c r="V30" s="168" t="str">
        <f t="shared" si="35"/>
        <v>#REF!</v>
      </c>
      <c r="W30" s="168" t="str">
        <f t="shared" si="35"/>
        <v>#REF!</v>
      </c>
      <c r="X30" s="168" t="str">
        <f t="shared" si="35"/>
        <v>#REF!</v>
      </c>
      <c r="Y30" s="168" t="str">
        <f t="shared" si="35"/>
        <v>#REF!</v>
      </c>
      <c r="Z30" s="168" t="str">
        <f t="shared" si="35"/>
        <v>#REF!</v>
      </c>
      <c r="AA30" s="168" t="str">
        <f t="shared" si="35"/>
        <v>#REF!</v>
      </c>
      <c r="AB30" s="168" t="str">
        <f t="shared" si="35"/>
        <v>#REF!</v>
      </c>
      <c r="AC30" s="168" t="str">
        <f t="shared" si="35"/>
        <v>#REF!</v>
      </c>
      <c r="AD30" s="168" t="str">
        <f t="shared" si="35"/>
        <v>#REF!</v>
      </c>
      <c r="AE30" s="168" t="str">
        <f t="shared" si="35"/>
        <v>#REF!</v>
      </c>
      <c r="AF30" s="168" t="str">
        <f t="shared" si="35"/>
        <v>#REF!</v>
      </c>
      <c r="AG30" s="168" t="str">
        <f t="shared" si="35"/>
        <v>#REF!</v>
      </c>
      <c r="AH30" s="168" t="str">
        <f t="shared" si="35"/>
        <v>#REF!</v>
      </c>
      <c r="AI30" s="168" t="str">
        <f t="shared" si="35"/>
        <v>#REF!</v>
      </c>
      <c r="AJ30" s="168" t="str">
        <f t="shared" si="35"/>
        <v>#REF!</v>
      </c>
    </row>
    <row r="31" ht="15.75" customHeight="1">
      <c r="A31" s="168" t="str">
        <f t="shared" ref="A31:AJ31" si="36">#REF!</f>
        <v>#REF!</v>
      </c>
      <c r="B31" s="168" t="str">
        <f t="shared" si="36"/>
        <v>#REF!</v>
      </c>
      <c r="C31" s="168" t="str">
        <f t="shared" si="36"/>
        <v>#REF!</v>
      </c>
      <c r="D31" s="168" t="str">
        <f t="shared" si="36"/>
        <v>#REF!</v>
      </c>
      <c r="E31" s="168" t="str">
        <f t="shared" si="36"/>
        <v>#REF!</v>
      </c>
      <c r="F31" s="168" t="str">
        <f t="shared" si="36"/>
        <v>#REF!</v>
      </c>
      <c r="G31" s="168" t="str">
        <f t="shared" si="36"/>
        <v>#REF!</v>
      </c>
      <c r="H31" s="168" t="str">
        <f t="shared" si="36"/>
        <v>#REF!</v>
      </c>
      <c r="I31" s="168" t="str">
        <f t="shared" si="36"/>
        <v>#REF!</v>
      </c>
      <c r="J31" s="168" t="str">
        <f t="shared" si="36"/>
        <v>#REF!</v>
      </c>
      <c r="K31" s="168" t="str">
        <f t="shared" si="36"/>
        <v>#REF!</v>
      </c>
      <c r="L31" s="168" t="str">
        <f t="shared" si="36"/>
        <v>#REF!</v>
      </c>
      <c r="M31" s="168" t="str">
        <f t="shared" si="36"/>
        <v>#REF!</v>
      </c>
      <c r="N31" s="168" t="str">
        <f t="shared" si="36"/>
        <v>#REF!</v>
      </c>
      <c r="O31" s="168" t="str">
        <f t="shared" si="36"/>
        <v>#REF!</v>
      </c>
      <c r="P31" s="168" t="str">
        <f t="shared" si="36"/>
        <v>#REF!</v>
      </c>
      <c r="Q31" s="168" t="str">
        <f t="shared" si="36"/>
        <v>#REF!</v>
      </c>
      <c r="R31" s="168" t="str">
        <f t="shared" si="36"/>
        <v>#REF!</v>
      </c>
      <c r="S31" s="168" t="str">
        <f t="shared" si="36"/>
        <v>#REF!</v>
      </c>
      <c r="T31" s="168" t="str">
        <f t="shared" si="36"/>
        <v>#REF!</v>
      </c>
      <c r="U31" s="168" t="str">
        <f t="shared" si="36"/>
        <v>#REF!</v>
      </c>
      <c r="V31" s="168" t="str">
        <f t="shared" si="36"/>
        <v>#REF!</v>
      </c>
      <c r="W31" s="168" t="str">
        <f t="shared" si="36"/>
        <v>#REF!</v>
      </c>
      <c r="X31" s="168" t="str">
        <f t="shared" si="36"/>
        <v>#REF!</v>
      </c>
      <c r="Y31" s="168" t="str">
        <f t="shared" si="36"/>
        <v>#REF!</v>
      </c>
      <c r="Z31" s="168" t="str">
        <f t="shared" si="36"/>
        <v>#REF!</v>
      </c>
      <c r="AA31" s="168" t="str">
        <f t="shared" si="36"/>
        <v>#REF!</v>
      </c>
      <c r="AB31" s="168" t="str">
        <f t="shared" si="36"/>
        <v>#REF!</v>
      </c>
      <c r="AC31" s="168" t="str">
        <f t="shared" si="36"/>
        <v>#REF!</v>
      </c>
      <c r="AD31" s="168" t="str">
        <f t="shared" si="36"/>
        <v>#REF!</v>
      </c>
      <c r="AE31" s="168" t="str">
        <f t="shared" si="36"/>
        <v>#REF!</v>
      </c>
      <c r="AF31" s="168" t="str">
        <f t="shared" si="36"/>
        <v>#REF!</v>
      </c>
      <c r="AG31" s="168" t="str">
        <f t="shared" si="36"/>
        <v>#REF!</v>
      </c>
      <c r="AH31" s="168" t="str">
        <f t="shared" si="36"/>
        <v>#REF!</v>
      </c>
      <c r="AI31" s="168" t="str">
        <f t="shared" si="36"/>
        <v>#REF!</v>
      </c>
      <c r="AJ31" s="168" t="str">
        <f t="shared" si="36"/>
        <v>#REF!</v>
      </c>
    </row>
    <row r="32" ht="15.75" hidden="1" customHeight="1">
      <c r="A32" s="168" t="str">
        <f t="shared" ref="A32:AJ32" si="37">#REF!</f>
        <v>#REF!</v>
      </c>
      <c r="B32" s="168" t="str">
        <f t="shared" si="37"/>
        <v>#REF!</v>
      </c>
      <c r="C32" s="168" t="str">
        <f t="shared" si="37"/>
        <v>#REF!</v>
      </c>
      <c r="D32" s="168" t="str">
        <f t="shared" si="37"/>
        <v>#REF!</v>
      </c>
      <c r="E32" s="168" t="str">
        <f t="shared" si="37"/>
        <v>#REF!</v>
      </c>
      <c r="F32" s="168" t="str">
        <f t="shared" si="37"/>
        <v>#REF!</v>
      </c>
      <c r="G32" s="168" t="str">
        <f t="shared" si="37"/>
        <v>#REF!</v>
      </c>
      <c r="H32" s="168" t="str">
        <f t="shared" si="37"/>
        <v>#REF!</v>
      </c>
      <c r="I32" s="168" t="str">
        <f t="shared" si="37"/>
        <v>#REF!</v>
      </c>
      <c r="J32" s="168" t="str">
        <f t="shared" si="37"/>
        <v>#REF!</v>
      </c>
      <c r="K32" s="168" t="str">
        <f t="shared" si="37"/>
        <v>#REF!</v>
      </c>
      <c r="L32" s="168" t="str">
        <f t="shared" si="37"/>
        <v>#REF!</v>
      </c>
      <c r="M32" s="168" t="str">
        <f t="shared" si="37"/>
        <v>#REF!</v>
      </c>
      <c r="N32" s="168" t="str">
        <f t="shared" si="37"/>
        <v>#REF!</v>
      </c>
      <c r="O32" s="168" t="str">
        <f t="shared" si="37"/>
        <v>#REF!</v>
      </c>
      <c r="P32" s="168" t="str">
        <f t="shared" si="37"/>
        <v>#REF!</v>
      </c>
      <c r="Q32" s="168" t="str">
        <f t="shared" si="37"/>
        <v>#REF!</v>
      </c>
      <c r="R32" s="168" t="str">
        <f t="shared" si="37"/>
        <v>#REF!</v>
      </c>
      <c r="S32" s="168" t="str">
        <f t="shared" si="37"/>
        <v>#REF!</v>
      </c>
      <c r="T32" s="168" t="str">
        <f t="shared" si="37"/>
        <v>#REF!</v>
      </c>
      <c r="U32" s="168" t="str">
        <f t="shared" si="37"/>
        <v>#REF!</v>
      </c>
      <c r="V32" s="168" t="str">
        <f t="shared" si="37"/>
        <v>#REF!</v>
      </c>
      <c r="W32" s="168" t="str">
        <f t="shared" si="37"/>
        <v>#REF!</v>
      </c>
      <c r="X32" s="168" t="str">
        <f t="shared" si="37"/>
        <v>#REF!</v>
      </c>
      <c r="Y32" s="168" t="str">
        <f t="shared" si="37"/>
        <v>#REF!</v>
      </c>
      <c r="Z32" s="168" t="str">
        <f t="shared" si="37"/>
        <v>#REF!</v>
      </c>
      <c r="AA32" s="168" t="str">
        <f t="shared" si="37"/>
        <v>#REF!</v>
      </c>
      <c r="AB32" s="168" t="str">
        <f t="shared" si="37"/>
        <v>#REF!</v>
      </c>
      <c r="AC32" s="168" t="str">
        <f t="shared" si="37"/>
        <v>#REF!</v>
      </c>
      <c r="AD32" s="168" t="str">
        <f t="shared" si="37"/>
        <v>#REF!</v>
      </c>
      <c r="AE32" s="168" t="str">
        <f t="shared" si="37"/>
        <v>#REF!</v>
      </c>
      <c r="AF32" s="168" t="str">
        <f t="shared" si="37"/>
        <v>#REF!</v>
      </c>
      <c r="AG32" s="168" t="str">
        <f t="shared" si="37"/>
        <v>#REF!</v>
      </c>
      <c r="AH32" s="168" t="str">
        <f t="shared" si="37"/>
        <v>#REF!</v>
      </c>
      <c r="AI32" s="168" t="str">
        <f t="shared" si="37"/>
        <v>#REF!</v>
      </c>
      <c r="AJ32" s="168" t="str">
        <f t="shared" si="37"/>
        <v>#REF!</v>
      </c>
    </row>
    <row r="33" ht="15.75" hidden="1" customHeight="1">
      <c r="A33" s="168" t="str">
        <f t="shared" ref="A33:AJ33" si="38">#REF!</f>
        <v>#REF!</v>
      </c>
      <c r="B33" s="168" t="str">
        <f t="shared" si="38"/>
        <v>#REF!</v>
      </c>
      <c r="C33" s="168" t="str">
        <f t="shared" si="38"/>
        <v>#REF!</v>
      </c>
      <c r="D33" s="168" t="str">
        <f t="shared" si="38"/>
        <v>#REF!</v>
      </c>
      <c r="E33" s="168" t="str">
        <f t="shared" si="38"/>
        <v>#REF!</v>
      </c>
      <c r="F33" s="168" t="str">
        <f t="shared" si="38"/>
        <v>#REF!</v>
      </c>
      <c r="G33" s="168" t="str">
        <f t="shared" si="38"/>
        <v>#REF!</v>
      </c>
      <c r="H33" s="168" t="str">
        <f t="shared" si="38"/>
        <v>#REF!</v>
      </c>
      <c r="I33" s="168" t="str">
        <f t="shared" si="38"/>
        <v>#REF!</v>
      </c>
      <c r="J33" s="168" t="str">
        <f t="shared" si="38"/>
        <v>#REF!</v>
      </c>
      <c r="K33" s="168" t="str">
        <f t="shared" si="38"/>
        <v>#REF!</v>
      </c>
      <c r="L33" s="168" t="str">
        <f t="shared" si="38"/>
        <v>#REF!</v>
      </c>
      <c r="M33" s="168" t="str">
        <f t="shared" si="38"/>
        <v>#REF!</v>
      </c>
      <c r="N33" s="168" t="str">
        <f t="shared" si="38"/>
        <v>#REF!</v>
      </c>
      <c r="O33" s="168" t="str">
        <f t="shared" si="38"/>
        <v>#REF!</v>
      </c>
      <c r="P33" s="168" t="str">
        <f t="shared" si="38"/>
        <v>#REF!</v>
      </c>
      <c r="Q33" s="168" t="str">
        <f t="shared" si="38"/>
        <v>#REF!</v>
      </c>
      <c r="R33" s="168" t="str">
        <f t="shared" si="38"/>
        <v>#REF!</v>
      </c>
      <c r="S33" s="168" t="str">
        <f t="shared" si="38"/>
        <v>#REF!</v>
      </c>
      <c r="T33" s="168" t="str">
        <f t="shared" si="38"/>
        <v>#REF!</v>
      </c>
      <c r="U33" s="168" t="str">
        <f t="shared" si="38"/>
        <v>#REF!</v>
      </c>
      <c r="V33" s="168" t="str">
        <f t="shared" si="38"/>
        <v>#REF!</v>
      </c>
      <c r="W33" s="168" t="str">
        <f t="shared" si="38"/>
        <v>#REF!</v>
      </c>
      <c r="X33" s="168" t="str">
        <f t="shared" si="38"/>
        <v>#REF!</v>
      </c>
      <c r="Y33" s="168" t="str">
        <f t="shared" si="38"/>
        <v>#REF!</v>
      </c>
      <c r="Z33" s="168" t="str">
        <f t="shared" si="38"/>
        <v>#REF!</v>
      </c>
      <c r="AA33" s="168" t="str">
        <f t="shared" si="38"/>
        <v>#REF!</v>
      </c>
      <c r="AB33" s="168" t="str">
        <f t="shared" si="38"/>
        <v>#REF!</v>
      </c>
      <c r="AC33" s="168" t="str">
        <f t="shared" si="38"/>
        <v>#REF!</v>
      </c>
      <c r="AD33" s="168" t="str">
        <f t="shared" si="38"/>
        <v>#REF!</v>
      </c>
      <c r="AE33" s="168" t="str">
        <f t="shared" si="38"/>
        <v>#REF!</v>
      </c>
      <c r="AF33" s="168" t="str">
        <f t="shared" si="38"/>
        <v>#REF!</v>
      </c>
      <c r="AG33" s="168" t="str">
        <f t="shared" si="38"/>
        <v>#REF!</v>
      </c>
      <c r="AH33" s="168" t="str">
        <f t="shared" si="38"/>
        <v>#REF!</v>
      </c>
      <c r="AI33" s="168" t="str">
        <f t="shared" si="38"/>
        <v>#REF!</v>
      </c>
      <c r="AJ33" s="168" t="str">
        <f t="shared" si="38"/>
        <v>#REF!</v>
      </c>
    </row>
    <row r="34" ht="15.75" hidden="1" customHeight="1">
      <c r="A34" s="168" t="str">
        <f t="shared" ref="A34:AJ34" si="39">#REF!</f>
        <v>#REF!</v>
      </c>
      <c r="B34" s="168" t="str">
        <f t="shared" si="39"/>
        <v>#REF!</v>
      </c>
      <c r="C34" s="168" t="str">
        <f t="shared" si="39"/>
        <v>#REF!</v>
      </c>
      <c r="D34" s="168" t="str">
        <f t="shared" si="39"/>
        <v>#REF!</v>
      </c>
      <c r="E34" s="168" t="str">
        <f t="shared" si="39"/>
        <v>#REF!</v>
      </c>
      <c r="F34" s="168" t="str">
        <f t="shared" si="39"/>
        <v>#REF!</v>
      </c>
      <c r="G34" s="168" t="str">
        <f t="shared" si="39"/>
        <v>#REF!</v>
      </c>
      <c r="H34" s="168" t="str">
        <f t="shared" si="39"/>
        <v>#REF!</v>
      </c>
      <c r="I34" s="168" t="str">
        <f t="shared" si="39"/>
        <v>#REF!</v>
      </c>
      <c r="J34" s="168" t="str">
        <f t="shared" si="39"/>
        <v>#REF!</v>
      </c>
      <c r="K34" s="168" t="str">
        <f t="shared" si="39"/>
        <v>#REF!</v>
      </c>
      <c r="L34" s="168" t="str">
        <f t="shared" si="39"/>
        <v>#REF!</v>
      </c>
      <c r="M34" s="168" t="str">
        <f t="shared" si="39"/>
        <v>#REF!</v>
      </c>
      <c r="N34" s="168" t="str">
        <f t="shared" si="39"/>
        <v>#REF!</v>
      </c>
      <c r="O34" s="168" t="str">
        <f t="shared" si="39"/>
        <v>#REF!</v>
      </c>
      <c r="P34" s="168" t="str">
        <f t="shared" si="39"/>
        <v>#REF!</v>
      </c>
      <c r="Q34" s="168" t="str">
        <f t="shared" si="39"/>
        <v>#REF!</v>
      </c>
      <c r="R34" s="168" t="str">
        <f t="shared" si="39"/>
        <v>#REF!</v>
      </c>
      <c r="S34" s="168" t="str">
        <f t="shared" si="39"/>
        <v>#REF!</v>
      </c>
      <c r="T34" s="168" t="str">
        <f t="shared" si="39"/>
        <v>#REF!</v>
      </c>
      <c r="U34" s="168" t="str">
        <f t="shared" si="39"/>
        <v>#REF!</v>
      </c>
      <c r="V34" s="168" t="str">
        <f t="shared" si="39"/>
        <v>#REF!</v>
      </c>
      <c r="W34" s="168" t="str">
        <f t="shared" si="39"/>
        <v>#REF!</v>
      </c>
      <c r="X34" s="168" t="str">
        <f t="shared" si="39"/>
        <v>#REF!</v>
      </c>
      <c r="Y34" s="168" t="str">
        <f t="shared" si="39"/>
        <v>#REF!</v>
      </c>
      <c r="Z34" s="168" t="str">
        <f t="shared" si="39"/>
        <v>#REF!</v>
      </c>
      <c r="AA34" s="168" t="str">
        <f t="shared" si="39"/>
        <v>#REF!</v>
      </c>
      <c r="AB34" s="168" t="str">
        <f t="shared" si="39"/>
        <v>#REF!</v>
      </c>
      <c r="AC34" s="168" t="str">
        <f t="shared" si="39"/>
        <v>#REF!</v>
      </c>
      <c r="AD34" s="168" t="str">
        <f t="shared" si="39"/>
        <v>#REF!</v>
      </c>
      <c r="AE34" s="168" t="str">
        <f t="shared" si="39"/>
        <v>#REF!</v>
      </c>
      <c r="AF34" s="168" t="str">
        <f t="shared" si="39"/>
        <v>#REF!</v>
      </c>
      <c r="AG34" s="168" t="str">
        <f t="shared" si="39"/>
        <v>#REF!</v>
      </c>
      <c r="AH34" s="168" t="str">
        <f t="shared" si="39"/>
        <v>#REF!</v>
      </c>
      <c r="AI34" s="168" t="str">
        <f t="shared" si="39"/>
        <v>#REF!</v>
      </c>
      <c r="AJ34" s="168" t="str">
        <f t="shared" si="39"/>
        <v>#REF!</v>
      </c>
    </row>
    <row r="35" ht="15.75" hidden="1" customHeight="1">
      <c r="A35" s="168" t="str">
        <f t="shared" ref="A35:AJ35" si="40">#REF!</f>
        <v>#REF!</v>
      </c>
      <c r="B35" s="168" t="str">
        <f t="shared" si="40"/>
        <v>#REF!</v>
      </c>
      <c r="C35" s="168" t="str">
        <f t="shared" si="40"/>
        <v>#REF!</v>
      </c>
      <c r="D35" s="168" t="str">
        <f t="shared" si="40"/>
        <v>#REF!</v>
      </c>
      <c r="E35" s="168" t="str">
        <f t="shared" si="40"/>
        <v>#REF!</v>
      </c>
      <c r="F35" s="168" t="str">
        <f t="shared" si="40"/>
        <v>#REF!</v>
      </c>
      <c r="G35" s="168" t="str">
        <f t="shared" si="40"/>
        <v>#REF!</v>
      </c>
      <c r="H35" s="168" t="str">
        <f t="shared" si="40"/>
        <v>#REF!</v>
      </c>
      <c r="I35" s="168" t="str">
        <f t="shared" si="40"/>
        <v>#REF!</v>
      </c>
      <c r="J35" s="168" t="str">
        <f t="shared" si="40"/>
        <v>#REF!</v>
      </c>
      <c r="K35" s="168" t="str">
        <f t="shared" si="40"/>
        <v>#REF!</v>
      </c>
      <c r="L35" s="168" t="str">
        <f t="shared" si="40"/>
        <v>#REF!</v>
      </c>
      <c r="M35" s="168" t="str">
        <f t="shared" si="40"/>
        <v>#REF!</v>
      </c>
      <c r="N35" s="168" t="str">
        <f t="shared" si="40"/>
        <v>#REF!</v>
      </c>
      <c r="O35" s="168" t="str">
        <f t="shared" si="40"/>
        <v>#REF!</v>
      </c>
      <c r="P35" s="168" t="str">
        <f t="shared" si="40"/>
        <v>#REF!</v>
      </c>
      <c r="Q35" s="168" t="str">
        <f t="shared" si="40"/>
        <v>#REF!</v>
      </c>
      <c r="R35" s="168" t="str">
        <f t="shared" si="40"/>
        <v>#REF!</v>
      </c>
      <c r="S35" s="168" t="str">
        <f t="shared" si="40"/>
        <v>#REF!</v>
      </c>
      <c r="T35" s="168" t="str">
        <f t="shared" si="40"/>
        <v>#REF!</v>
      </c>
      <c r="U35" s="168" t="str">
        <f t="shared" si="40"/>
        <v>#REF!</v>
      </c>
      <c r="V35" s="168" t="str">
        <f t="shared" si="40"/>
        <v>#REF!</v>
      </c>
      <c r="W35" s="168" t="str">
        <f t="shared" si="40"/>
        <v>#REF!</v>
      </c>
      <c r="X35" s="168" t="str">
        <f t="shared" si="40"/>
        <v>#REF!</v>
      </c>
      <c r="Y35" s="168" t="str">
        <f t="shared" si="40"/>
        <v>#REF!</v>
      </c>
      <c r="Z35" s="168" t="str">
        <f t="shared" si="40"/>
        <v>#REF!</v>
      </c>
      <c r="AA35" s="168" t="str">
        <f t="shared" si="40"/>
        <v>#REF!</v>
      </c>
      <c r="AB35" s="168" t="str">
        <f t="shared" si="40"/>
        <v>#REF!</v>
      </c>
      <c r="AC35" s="168" t="str">
        <f t="shared" si="40"/>
        <v>#REF!</v>
      </c>
      <c r="AD35" s="168" t="str">
        <f t="shared" si="40"/>
        <v>#REF!</v>
      </c>
      <c r="AE35" s="168" t="str">
        <f t="shared" si="40"/>
        <v>#REF!</v>
      </c>
      <c r="AF35" s="168" t="str">
        <f t="shared" si="40"/>
        <v>#REF!</v>
      </c>
      <c r="AG35" s="168" t="str">
        <f t="shared" si="40"/>
        <v>#REF!</v>
      </c>
      <c r="AH35" s="168" t="str">
        <f t="shared" si="40"/>
        <v>#REF!</v>
      </c>
      <c r="AI35" s="168" t="str">
        <f t="shared" si="40"/>
        <v>#REF!</v>
      </c>
      <c r="AJ35" s="168" t="str">
        <f t="shared" si="40"/>
        <v>#REF!</v>
      </c>
    </row>
    <row r="36" ht="15.75" hidden="1" customHeight="1">
      <c r="A36" s="168" t="str">
        <f t="shared" ref="A36:AJ36" si="41">#REF!</f>
        <v>#REF!</v>
      </c>
      <c r="B36" s="168" t="str">
        <f t="shared" si="41"/>
        <v>#REF!</v>
      </c>
      <c r="C36" s="168" t="str">
        <f t="shared" si="41"/>
        <v>#REF!</v>
      </c>
      <c r="D36" s="168" t="str">
        <f t="shared" si="41"/>
        <v>#REF!</v>
      </c>
      <c r="E36" s="168" t="str">
        <f t="shared" si="41"/>
        <v>#REF!</v>
      </c>
      <c r="F36" s="168" t="str">
        <f t="shared" si="41"/>
        <v>#REF!</v>
      </c>
      <c r="G36" s="168" t="str">
        <f t="shared" si="41"/>
        <v>#REF!</v>
      </c>
      <c r="H36" s="168" t="str">
        <f t="shared" si="41"/>
        <v>#REF!</v>
      </c>
      <c r="I36" s="168" t="str">
        <f t="shared" si="41"/>
        <v>#REF!</v>
      </c>
      <c r="J36" s="168" t="str">
        <f t="shared" si="41"/>
        <v>#REF!</v>
      </c>
      <c r="K36" s="168" t="str">
        <f t="shared" si="41"/>
        <v>#REF!</v>
      </c>
      <c r="L36" s="168" t="str">
        <f t="shared" si="41"/>
        <v>#REF!</v>
      </c>
      <c r="M36" s="168" t="str">
        <f t="shared" si="41"/>
        <v>#REF!</v>
      </c>
      <c r="N36" s="168" t="str">
        <f t="shared" si="41"/>
        <v>#REF!</v>
      </c>
      <c r="O36" s="168" t="str">
        <f t="shared" si="41"/>
        <v>#REF!</v>
      </c>
      <c r="P36" s="168" t="str">
        <f t="shared" si="41"/>
        <v>#REF!</v>
      </c>
      <c r="Q36" s="168" t="str">
        <f t="shared" si="41"/>
        <v>#REF!</v>
      </c>
      <c r="R36" s="168" t="str">
        <f t="shared" si="41"/>
        <v>#REF!</v>
      </c>
      <c r="S36" s="168" t="str">
        <f t="shared" si="41"/>
        <v>#REF!</v>
      </c>
      <c r="T36" s="168" t="str">
        <f t="shared" si="41"/>
        <v>#REF!</v>
      </c>
      <c r="U36" s="168" t="str">
        <f t="shared" si="41"/>
        <v>#REF!</v>
      </c>
      <c r="V36" s="168" t="str">
        <f t="shared" si="41"/>
        <v>#REF!</v>
      </c>
      <c r="W36" s="168" t="str">
        <f t="shared" si="41"/>
        <v>#REF!</v>
      </c>
      <c r="X36" s="168" t="str">
        <f t="shared" si="41"/>
        <v>#REF!</v>
      </c>
      <c r="Y36" s="168" t="str">
        <f t="shared" si="41"/>
        <v>#REF!</v>
      </c>
      <c r="Z36" s="168" t="str">
        <f t="shared" si="41"/>
        <v>#REF!</v>
      </c>
      <c r="AA36" s="168" t="str">
        <f t="shared" si="41"/>
        <v>#REF!</v>
      </c>
      <c r="AB36" s="168" t="str">
        <f t="shared" si="41"/>
        <v>#REF!</v>
      </c>
      <c r="AC36" s="168" t="str">
        <f t="shared" si="41"/>
        <v>#REF!</v>
      </c>
      <c r="AD36" s="168" t="str">
        <f t="shared" si="41"/>
        <v>#REF!</v>
      </c>
      <c r="AE36" s="168" t="str">
        <f t="shared" si="41"/>
        <v>#REF!</v>
      </c>
      <c r="AF36" s="168" t="str">
        <f t="shared" si="41"/>
        <v>#REF!</v>
      </c>
      <c r="AG36" s="168" t="str">
        <f t="shared" si="41"/>
        <v>#REF!</v>
      </c>
      <c r="AH36" s="168" t="str">
        <f t="shared" si="41"/>
        <v>#REF!</v>
      </c>
      <c r="AI36" s="168" t="str">
        <f t="shared" si="41"/>
        <v>#REF!</v>
      </c>
      <c r="AJ36" s="168" t="str">
        <f t="shared" si="41"/>
        <v>#REF!</v>
      </c>
    </row>
    <row r="37" ht="15.75" customHeight="1">
      <c r="A37" s="168" t="str">
        <f t="shared" ref="A37:AJ37" si="42">#REF!</f>
        <v>#REF!</v>
      </c>
      <c r="B37" s="168" t="str">
        <f t="shared" si="42"/>
        <v>#REF!</v>
      </c>
      <c r="C37" s="168" t="str">
        <f t="shared" si="42"/>
        <v>#REF!</v>
      </c>
      <c r="D37" s="168" t="str">
        <f t="shared" si="42"/>
        <v>#REF!</v>
      </c>
      <c r="E37" s="168" t="str">
        <f t="shared" si="42"/>
        <v>#REF!</v>
      </c>
      <c r="F37" s="168" t="str">
        <f t="shared" si="42"/>
        <v>#REF!</v>
      </c>
      <c r="G37" s="168" t="str">
        <f t="shared" si="42"/>
        <v>#REF!</v>
      </c>
      <c r="H37" s="168" t="str">
        <f t="shared" si="42"/>
        <v>#REF!</v>
      </c>
      <c r="I37" s="168" t="str">
        <f t="shared" si="42"/>
        <v>#REF!</v>
      </c>
      <c r="J37" s="168" t="str">
        <f t="shared" si="42"/>
        <v>#REF!</v>
      </c>
      <c r="K37" s="168" t="str">
        <f t="shared" si="42"/>
        <v>#REF!</v>
      </c>
      <c r="L37" s="168" t="str">
        <f t="shared" si="42"/>
        <v>#REF!</v>
      </c>
      <c r="M37" s="168" t="str">
        <f t="shared" si="42"/>
        <v>#REF!</v>
      </c>
      <c r="N37" s="168" t="str">
        <f t="shared" si="42"/>
        <v>#REF!</v>
      </c>
      <c r="O37" s="168" t="str">
        <f t="shared" si="42"/>
        <v>#REF!</v>
      </c>
      <c r="P37" s="168" t="str">
        <f t="shared" si="42"/>
        <v>#REF!</v>
      </c>
      <c r="Q37" s="168" t="str">
        <f t="shared" si="42"/>
        <v>#REF!</v>
      </c>
      <c r="R37" s="168" t="str">
        <f t="shared" si="42"/>
        <v>#REF!</v>
      </c>
      <c r="S37" s="168" t="str">
        <f t="shared" si="42"/>
        <v>#REF!</v>
      </c>
      <c r="T37" s="168" t="str">
        <f t="shared" si="42"/>
        <v>#REF!</v>
      </c>
      <c r="U37" s="168" t="str">
        <f t="shared" si="42"/>
        <v>#REF!</v>
      </c>
      <c r="V37" s="168" t="str">
        <f t="shared" si="42"/>
        <v>#REF!</v>
      </c>
      <c r="W37" s="168" t="str">
        <f t="shared" si="42"/>
        <v>#REF!</v>
      </c>
      <c r="X37" s="168" t="str">
        <f t="shared" si="42"/>
        <v>#REF!</v>
      </c>
      <c r="Y37" s="168" t="str">
        <f t="shared" si="42"/>
        <v>#REF!</v>
      </c>
      <c r="Z37" s="168" t="str">
        <f t="shared" si="42"/>
        <v>#REF!</v>
      </c>
      <c r="AA37" s="168" t="str">
        <f t="shared" si="42"/>
        <v>#REF!</v>
      </c>
      <c r="AB37" s="168" t="str">
        <f t="shared" si="42"/>
        <v>#REF!</v>
      </c>
      <c r="AC37" s="168" t="str">
        <f t="shared" si="42"/>
        <v>#REF!</v>
      </c>
      <c r="AD37" s="168" t="str">
        <f t="shared" si="42"/>
        <v>#REF!</v>
      </c>
      <c r="AE37" s="168" t="str">
        <f t="shared" si="42"/>
        <v>#REF!</v>
      </c>
      <c r="AF37" s="168" t="str">
        <f t="shared" si="42"/>
        <v>#REF!</v>
      </c>
      <c r="AG37" s="168" t="str">
        <f t="shared" si="42"/>
        <v>#REF!</v>
      </c>
      <c r="AH37" s="168" t="str">
        <f t="shared" si="42"/>
        <v>#REF!</v>
      </c>
      <c r="AI37" s="168" t="str">
        <f t="shared" si="42"/>
        <v>#REF!</v>
      </c>
      <c r="AJ37" s="168" t="str">
        <f t="shared" si="42"/>
        <v>#REF!</v>
      </c>
    </row>
    <row r="38" ht="15.75" hidden="1" customHeight="1">
      <c r="A38" s="168" t="str">
        <f>'2026 Pipeline'!C7</f>
        <v>#REF!</v>
      </c>
      <c r="B38" s="168" t="str">
        <f t="shared" ref="B38:C38" si="43">'2026 Pipeline'!J7</f>
        <v>#REF!</v>
      </c>
      <c r="C38" s="168" t="str">
        <f t="shared" si="43"/>
        <v>#REF!</v>
      </c>
      <c r="D38" s="168" t="str">
        <f t="shared" ref="D38:F38" si="44">'2026 Pipeline'!M7</f>
        <v>#REF!</v>
      </c>
      <c r="E38" s="168" t="str">
        <f t="shared" si="44"/>
        <v>#REF!</v>
      </c>
      <c r="F38" s="168" t="str">
        <f t="shared" si="44"/>
        <v>#REF!</v>
      </c>
      <c r="G38" s="168" t="str">
        <f>'2026 Pipeline'!Q7</f>
        <v>#REF!</v>
      </c>
      <c r="H38" s="168" t="str">
        <f>'2026 Pipeline'!P7</f>
        <v>#REF!</v>
      </c>
      <c r="I38" s="168" t="str">
        <f>'2026 Pipeline'!R7</f>
        <v>#REF!</v>
      </c>
      <c r="J38" s="168" t="str">
        <f t="shared" ref="J38:L38" si="45">'2026 Pipeline'!V7</f>
        <v>#REF!</v>
      </c>
      <c r="K38" s="168" t="str">
        <f t="shared" si="45"/>
        <v>#REF!</v>
      </c>
      <c r="L38" s="168" t="str">
        <f t="shared" si="45"/>
        <v>#REF!</v>
      </c>
      <c r="M38" s="168" t="str">
        <f t="shared" ref="M38:O38" si="46">#REF!</f>
        <v>#REF!</v>
      </c>
      <c r="N38" s="168" t="str">
        <f t="shared" si="46"/>
        <v>#REF!</v>
      </c>
      <c r="O38" s="168" t="str">
        <f t="shared" si="46"/>
        <v>#REF!</v>
      </c>
      <c r="P38" s="168" t="str">
        <f>'2026 Pipeline'!AA7</f>
        <v>#REF!</v>
      </c>
      <c r="Q38" s="168" t="str">
        <f>'2026 Pipeline'!Y7</f>
        <v>#REF!</v>
      </c>
      <c r="R38" s="168" t="str">
        <f>#REF!</f>
        <v>#REF!</v>
      </c>
      <c r="S38" s="168" t="str">
        <f>'2026 Pipeline'!L7</f>
        <v>#REF!</v>
      </c>
      <c r="T38" s="168" t="str">
        <f>'2026 Pipeline'!CD7</f>
        <v>#REF!</v>
      </c>
      <c r="U38" s="168" t="str">
        <f t="shared" ref="U38:AJ38" si="47">#REF!</f>
        <v>#REF!</v>
      </c>
      <c r="V38" s="168" t="str">
        <f t="shared" si="47"/>
        <v>#REF!</v>
      </c>
      <c r="W38" s="168" t="str">
        <f t="shared" si="47"/>
        <v>#REF!</v>
      </c>
      <c r="X38" s="168" t="str">
        <f t="shared" si="47"/>
        <v>#REF!</v>
      </c>
      <c r="Y38" s="168" t="str">
        <f t="shared" si="47"/>
        <v>#REF!</v>
      </c>
      <c r="Z38" s="168" t="str">
        <f t="shared" si="47"/>
        <v>#REF!</v>
      </c>
      <c r="AA38" s="168" t="str">
        <f t="shared" si="47"/>
        <v>#REF!</v>
      </c>
      <c r="AB38" s="168" t="str">
        <f t="shared" si="47"/>
        <v>#REF!</v>
      </c>
      <c r="AC38" s="168" t="str">
        <f t="shared" si="47"/>
        <v>#REF!</v>
      </c>
      <c r="AD38" s="168" t="str">
        <f t="shared" si="47"/>
        <v>#REF!</v>
      </c>
      <c r="AE38" s="168" t="str">
        <f t="shared" si="47"/>
        <v>#REF!</v>
      </c>
      <c r="AF38" s="168" t="str">
        <f t="shared" si="47"/>
        <v>#REF!</v>
      </c>
      <c r="AG38" s="168" t="str">
        <f t="shared" si="47"/>
        <v>#REF!</v>
      </c>
      <c r="AH38" s="168" t="str">
        <f t="shared" si="47"/>
        <v>#REF!</v>
      </c>
      <c r="AI38" s="168" t="str">
        <f t="shared" si="47"/>
        <v>#REF!</v>
      </c>
      <c r="AJ38" s="168" t="str">
        <f t="shared" si="47"/>
        <v>#REF!</v>
      </c>
    </row>
    <row r="39" ht="15.75" hidden="1" customHeight="1">
      <c r="A39" s="168" t="str">
        <f t="shared" ref="A39:AJ39" si="48">#REF!</f>
        <v>#REF!</v>
      </c>
      <c r="B39" s="168" t="str">
        <f t="shared" si="48"/>
        <v>#REF!</v>
      </c>
      <c r="C39" s="168" t="str">
        <f t="shared" si="48"/>
        <v>#REF!</v>
      </c>
      <c r="D39" s="168" t="str">
        <f t="shared" si="48"/>
        <v>#REF!</v>
      </c>
      <c r="E39" s="168" t="str">
        <f t="shared" si="48"/>
        <v>#REF!</v>
      </c>
      <c r="F39" s="168" t="str">
        <f t="shared" si="48"/>
        <v>#REF!</v>
      </c>
      <c r="G39" s="168" t="str">
        <f t="shared" si="48"/>
        <v>#REF!</v>
      </c>
      <c r="H39" s="168" t="str">
        <f t="shared" si="48"/>
        <v>#REF!</v>
      </c>
      <c r="I39" s="168" t="str">
        <f t="shared" si="48"/>
        <v>#REF!</v>
      </c>
      <c r="J39" s="168" t="str">
        <f t="shared" si="48"/>
        <v>#REF!</v>
      </c>
      <c r="K39" s="168" t="str">
        <f t="shared" si="48"/>
        <v>#REF!</v>
      </c>
      <c r="L39" s="168" t="str">
        <f t="shared" si="48"/>
        <v>#REF!</v>
      </c>
      <c r="M39" s="168" t="str">
        <f t="shared" si="48"/>
        <v>#REF!</v>
      </c>
      <c r="N39" s="168" t="str">
        <f t="shared" si="48"/>
        <v>#REF!</v>
      </c>
      <c r="O39" s="168" t="str">
        <f t="shared" si="48"/>
        <v>#REF!</v>
      </c>
      <c r="P39" s="168" t="str">
        <f t="shared" si="48"/>
        <v>#REF!</v>
      </c>
      <c r="Q39" s="168" t="str">
        <f t="shared" si="48"/>
        <v>#REF!</v>
      </c>
      <c r="R39" s="168" t="str">
        <f t="shared" si="48"/>
        <v>#REF!</v>
      </c>
      <c r="S39" s="168" t="str">
        <f t="shared" si="48"/>
        <v>#REF!</v>
      </c>
      <c r="T39" s="168" t="str">
        <f t="shared" si="48"/>
        <v>#REF!</v>
      </c>
      <c r="U39" s="168" t="str">
        <f t="shared" si="48"/>
        <v>#REF!</v>
      </c>
      <c r="V39" s="168" t="str">
        <f t="shared" si="48"/>
        <v>#REF!</v>
      </c>
      <c r="W39" s="168" t="str">
        <f t="shared" si="48"/>
        <v>#REF!</v>
      </c>
      <c r="X39" s="168" t="str">
        <f t="shared" si="48"/>
        <v>#REF!</v>
      </c>
      <c r="Y39" s="168" t="str">
        <f t="shared" si="48"/>
        <v>#REF!</v>
      </c>
      <c r="Z39" s="168" t="str">
        <f t="shared" si="48"/>
        <v>#REF!</v>
      </c>
      <c r="AA39" s="168" t="str">
        <f t="shared" si="48"/>
        <v>#REF!</v>
      </c>
      <c r="AB39" s="168" t="str">
        <f t="shared" si="48"/>
        <v>#REF!</v>
      </c>
      <c r="AC39" s="168" t="str">
        <f t="shared" si="48"/>
        <v>#REF!</v>
      </c>
      <c r="AD39" s="168" t="str">
        <f t="shared" si="48"/>
        <v>#REF!</v>
      </c>
      <c r="AE39" s="168" t="str">
        <f t="shared" si="48"/>
        <v>#REF!</v>
      </c>
      <c r="AF39" s="168" t="str">
        <f t="shared" si="48"/>
        <v>#REF!</v>
      </c>
      <c r="AG39" s="168" t="str">
        <f t="shared" si="48"/>
        <v>#REF!</v>
      </c>
      <c r="AH39" s="168" t="str">
        <f t="shared" si="48"/>
        <v>#REF!</v>
      </c>
      <c r="AI39" s="168" t="str">
        <f t="shared" si="48"/>
        <v>#REF!</v>
      </c>
      <c r="AJ39" s="168" t="str">
        <f t="shared" si="48"/>
        <v>#REF!</v>
      </c>
    </row>
    <row r="40" ht="15.75" hidden="1" customHeight="1">
      <c r="A40" s="168" t="str">
        <f t="shared" ref="A40:AJ40" si="49">#REF!</f>
        <v>#REF!</v>
      </c>
      <c r="B40" s="168" t="str">
        <f t="shared" si="49"/>
        <v>#REF!</v>
      </c>
      <c r="C40" s="168" t="str">
        <f t="shared" si="49"/>
        <v>#REF!</v>
      </c>
      <c r="D40" s="168" t="str">
        <f t="shared" si="49"/>
        <v>#REF!</v>
      </c>
      <c r="E40" s="168" t="str">
        <f t="shared" si="49"/>
        <v>#REF!</v>
      </c>
      <c r="F40" s="168" t="str">
        <f t="shared" si="49"/>
        <v>#REF!</v>
      </c>
      <c r="G40" s="168" t="str">
        <f t="shared" si="49"/>
        <v>#REF!</v>
      </c>
      <c r="H40" s="168" t="str">
        <f t="shared" si="49"/>
        <v>#REF!</v>
      </c>
      <c r="I40" s="168" t="str">
        <f t="shared" si="49"/>
        <v>#REF!</v>
      </c>
      <c r="J40" s="168" t="str">
        <f t="shared" si="49"/>
        <v>#REF!</v>
      </c>
      <c r="K40" s="168" t="str">
        <f t="shared" si="49"/>
        <v>#REF!</v>
      </c>
      <c r="L40" s="168" t="str">
        <f t="shared" si="49"/>
        <v>#REF!</v>
      </c>
      <c r="M40" s="168" t="str">
        <f t="shared" si="49"/>
        <v>#REF!</v>
      </c>
      <c r="N40" s="168" t="str">
        <f t="shared" si="49"/>
        <v>#REF!</v>
      </c>
      <c r="O40" s="168" t="str">
        <f t="shared" si="49"/>
        <v>#REF!</v>
      </c>
      <c r="P40" s="168" t="str">
        <f t="shared" si="49"/>
        <v>#REF!</v>
      </c>
      <c r="Q40" s="168" t="str">
        <f t="shared" si="49"/>
        <v>#REF!</v>
      </c>
      <c r="R40" s="168" t="str">
        <f t="shared" si="49"/>
        <v>#REF!</v>
      </c>
      <c r="S40" s="168" t="str">
        <f t="shared" si="49"/>
        <v>#REF!</v>
      </c>
      <c r="T40" s="168" t="str">
        <f t="shared" si="49"/>
        <v>#REF!</v>
      </c>
      <c r="U40" s="168" t="str">
        <f t="shared" si="49"/>
        <v>#REF!</v>
      </c>
      <c r="V40" s="168" t="str">
        <f t="shared" si="49"/>
        <v>#REF!</v>
      </c>
      <c r="W40" s="168" t="str">
        <f t="shared" si="49"/>
        <v>#REF!</v>
      </c>
      <c r="X40" s="168" t="str">
        <f t="shared" si="49"/>
        <v>#REF!</v>
      </c>
      <c r="Y40" s="168" t="str">
        <f t="shared" si="49"/>
        <v>#REF!</v>
      </c>
      <c r="Z40" s="168" t="str">
        <f t="shared" si="49"/>
        <v>#REF!</v>
      </c>
      <c r="AA40" s="168" t="str">
        <f t="shared" si="49"/>
        <v>#REF!</v>
      </c>
      <c r="AB40" s="168" t="str">
        <f t="shared" si="49"/>
        <v>#REF!</v>
      </c>
      <c r="AC40" s="168" t="str">
        <f t="shared" si="49"/>
        <v>#REF!</v>
      </c>
      <c r="AD40" s="168" t="str">
        <f t="shared" si="49"/>
        <v>#REF!</v>
      </c>
      <c r="AE40" s="168" t="str">
        <f t="shared" si="49"/>
        <v>#REF!</v>
      </c>
      <c r="AF40" s="168" t="str">
        <f t="shared" si="49"/>
        <v>#REF!</v>
      </c>
      <c r="AG40" s="168" t="str">
        <f t="shared" si="49"/>
        <v>#REF!</v>
      </c>
      <c r="AH40" s="168" t="str">
        <f t="shared" si="49"/>
        <v>#REF!</v>
      </c>
      <c r="AI40" s="168" t="str">
        <f t="shared" si="49"/>
        <v>#REF!</v>
      </c>
      <c r="AJ40" s="168" t="str">
        <f t="shared" si="49"/>
        <v>#REF!</v>
      </c>
    </row>
    <row r="41" ht="15.75" hidden="1" customHeight="1">
      <c r="A41" s="168" t="str">
        <f t="shared" ref="A41:AJ41" si="50">#REF!</f>
        <v>#REF!</v>
      </c>
      <c r="B41" s="168" t="str">
        <f t="shared" si="50"/>
        <v>#REF!</v>
      </c>
      <c r="C41" s="168" t="str">
        <f t="shared" si="50"/>
        <v>#REF!</v>
      </c>
      <c r="D41" s="168" t="str">
        <f t="shared" si="50"/>
        <v>#REF!</v>
      </c>
      <c r="E41" s="168" t="str">
        <f t="shared" si="50"/>
        <v>#REF!</v>
      </c>
      <c r="F41" s="168" t="str">
        <f t="shared" si="50"/>
        <v>#REF!</v>
      </c>
      <c r="G41" s="168" t="str">
        <f t="shared" si="50"/>
        <v>#REF!</v>
      </c>
      <c r="H41" s="168" t="str">
        <f t="shared" si="50"/>
        <v>#REF!</v>
      </c>
      <c r="I41" s="168" t="str">
        <f t="shared" si="50"/>
        <v>#REF!</v>
      </c>
      <c r="J41" s="168" t="str">
        <f t="shared" si="50"/>
        <v>#REF!</v>
      </c>
      <c r="K41" s="168" t="str">
        <f t="shared" si="50"/>
        <v>#REF!</v>
      </c>
      <c r="L41" s="168" t="str">
        <f t="shared" si="50"/>
        <v>#REF!</v>
      </c>
      <c r="M41" s="168" t="str">
        <f t="shared" si="50"/>
        <v>#REF!</v>
      </c>
      <c r="N41" s="168" t="str">
        <f t="shared" si="50"/>
        <v>#REF!</v>
      </c>
      <c r="O41" s="168" t="str">
        <f t="shared" si="50"/>
        <v>#REF!</v>
      </c>
      <c r="P41" s="168" t="str">
        <f t="shared" si="50"/>
        <v>#REF!</v>
      </c>
      <c r="Q41" s="168" t="str">
        <f t="shared" si="50"/>
        <v>#REF!</v>
      </c>
      <c r="R41" s="168" t="str">
        <f t="shared" si="50"/>
        <v>#REF!</v>
      </c>
      <c r="S41" s="168" t="str">
        <f t="shared" si="50"/>
        <v>#REF!</v>
      </c>
      <c r="T41" s="168" t="str">
        <f t="shared" si="50"/>
        <v>#REF!</v>
      </c>
      <c r="U41" s="168" t="str">
        <f t="shared" si="50"/>
        <v>#REF!</v>
      </c>
      <c r="V41" s="168" t="str">
        <f t="shared" si="50"/>
        <v>#REF!</v>
      </c>
      <c r="W41" s="168" t="str">
        <f t="shared" si="50"/>
        <v>#REF!</v>
      </c>
      <c r="X41" s="168" t="str">
        <f t="shared" si="50"/>
        <v>#REF!</v>
      </c>
      <c r="Y41" s="168" t="str">
        <f t="shared" si="50"/>
        <v>#REF!</v>
      </c>
      <c r="Z41" s="168" t="str">
        <f t="shared" si="50"/>
        <v>#REF!</v>
      </c>
      <c r="AA41" s="168" t="str">
        <f t="shared" si="50"/>
        <v>#REF!</v>
      </c>
      <c r="AB41" s="168" t="str">
        <f t="shared" si="50"/>
        <v>#REF!</v>
      </c>
      <c r="AC41" s="168" t="str">
        <f t="shared" si="50"/>
        <v>#REF!</v>
      </c>
      <c r="AD41" s="168" t="str">
        <f t="shared" si="50"/>
        <v>#REF!</v>
      </c>
      <c r="AE41" s="168" t="str">
        <f t="shared" si="50"/>
        <v>#REF!</v>
      </c>
      <c r="AF41" s="168" t="str">
        <f t="shared" si="50"/>
        <v>#REF!</v>
      </c>
      <c r="AG41" s="168" t="str">
        <f t="shared" si="50"/>
        <v>#REF!</v>
      </c>
      <c r="AH41" s="168" t="str">
        <f t="shared" si="50"/>
        <v>#REF!</v>
      </c>
      <c r="AI41" s="168" t="str">
        <f t="shared" si="50"/>
        <v>#REF!</v>
      </c>
      <c r="AJ41" s="168" t="str">
        <f t="shared" si="50"/>
        <v>#REF!</v>
      </c>
    </row>
    <row r="42" ht="15.75" customHeight="1">
      <c r="A42" s="168" t="str">
        <f t="shared" ref="A42:AJ42" si="51">#REF!</f>
        <v>#REF!</v>
      </c>
      <c r="B42" s="168" t="str">
        <f t="shared" si="51"/>
        <v>#REF!</v>
      </c>
      <c r="C42" s="168" t="str">
        <f t="shared" si="51"/>
        <v>#REF!</v>
      </c>
      <c r="D42" s="168" t="str">
        <f t="shared" si="51"/>
        <v>#REF!</v>
      </c>
      <c r="E42" s="168" t="str">
        <f t="shared" si="51"/>
        <v>#REF!</v>
      </c>
      <c r="F42" s="168" t="str">
        <f t="shared" si="51"/>
        <v>#REF!</v>
      </c>
      <c r="G42" s="168" t="str">
        <f t="shared" si="51"/>
        <v>#REF!</v>
      </c>
      <c r="H42" s="168" t="str">
        <f t="shared" si="51"/>
        <v>#REF!</v>
      </c>
      <c r="I42" s="168" t="str">
        <f t="shared" si="51"/>
        <v>#REF!</v>
      </c>
      <c r="J42" s="168" t="str">
        <f t="shared" si="51"/>
        <v>#REF!</v>
      </c>
      <c r="K42" s="168" t="str">
        <f t="shared" si="51"/>
        <v>#REF!</v>
      </c>
      <c r="L42" s="168" t="str">
        <f t="shared" si="51"/>
        <v>#REF!</v>
      </c>
      <c r="M42" s="168" t="str">
        <f t="shared" si="51"/>
        <v>#REF!</v>
      </c>
      <c r="N42" s="168" t="str">
        <f t="shared" si="51"/>
        <v>#REF!</v>
      </c>
      <c r="O42" s="168" t="str">
        <f t="shared" si="51"/>
        <v>#REF!</v>
      </c>
      <c r="P42" s="168" t="str">
        <f t="shared" si="51"/>
        <v>#REF!</v>
      </c>
      <c r="Q42" s="168" t="str">
        <f t="shared" si="51"/>
        <v>#REF!</v>
      </c>
      <c r="R42" s="168" t="str">
        <f t="shared" si="51"/>
        <v>#REF!</v>
      </c>
      <c r="S42" s="168" t="str">
        <f t="shared" si="51"/>
        <v>#REF!</v>
      </c>
      <c r="T42" s="168" t="str">
        <f t="shared" si="51"/>
        <v>#REF!</v>
      </c>
      <c r="U42" s="168" t="str">
        <f t="shared" si="51"/>
        <v>#REF!</v>
      </c>
      <c r="V42" s="168" t="str">
        <f t="shared" si="51"/>
        <v>#REF!</v>
      </c>
      <c r="W42" s="168" t="str">
        <f t="shared" si="51"/>
        <v>#REF!</v>
      </c>
      <c r="X42" s="168" t="str">
        <f t="shared" si="51"/>
        <v>#REF!</v>
      </c>
      <c r="Y42" s="168" t="str">
        <f t="shared" si="51"/>
        <v>#REF!</v>
      </c>
      <c r="Z42" s="168" t="str">
        <f t="shared" si="51"/>
        <v>#REF!</v>
      </c>
      <c r="AA42" s="168" t="str">
        <f t="shared" si="51"/>
        <v>#REF!</v>
      </c>
      <c r="AB42" s="168" t="str">
        <f t="shared" si="51"/>
        <v>#REF!</v>
      </c>
      <c r="AC42" s="168" t="str">
        <f t="shared" si="51"/>
        <v>#REF!</v>
      </c>
      <c r="AD42" s="168" t="str">
        <f t="shared" si="51"/>
        <v>#REF!</v>
      </c>
      <c r="AE42" s="168" t="str">
        <f t="shared" si="51"/>
        <v>#REF!</v>
      </c>
      <c r="AF42" s="168" t="str">
        <f t="shared" si="51"/>
        <v>#REF!</v>
      </c>
      <c r="AG42" s="168" t="str">
        <f t="shared" si="51"/>
        <v>#REF!</v>
      </c>
      <c r="AH42" s="168" t="str">
        <f t="shared" si="51"/>
        <v>#REF!</v>
      </c>
      <c r="AI42" s="168" t="str">
        <f t="shared" si="51"/>
        <v>#REF!</v>
      </c>
      <c r="AJ42" s="168" t="str">
        <f t="shared" si="51"/>
        <v>#REF!</v>
      </c>
    </row>
    <row r="43" ht="15.75" hidden="1" customHeight="1">
      <c r="A43" s="168" t="str">
        <f t="shared" ref="A43:T43" si="52">#REF!</f>
        <v>#REF!</v>
      </c>
      <c r="B43" s="168" t="str">
        <f t="shared" si="52"/>
        <v>#REF!</v>
      </c>
      <c r="C43" s="168" t="str">
        <f t="shared" si="52"/>
        <v>#REF!</v>
      </c>
      <c r="D43" s="168" t="str">
        <f t="shared" si="52"/>
        <v>#REF!</v>
      </c>
      <c r="E43" s="168" t="str">
        <f t="shared" si="52"/>
        <v>#REF!</v>
      </c>
      <c r="F43" s="168" t="str">
        <f t="shared" si="52"/>
        <v>#REF!</v>
      </c>
      <c r="G43" s="168" t="str">
        <f t="shared" si="52"/>
        <v>#REF!</v>
      </c>
      <c r="H43" s="168" t="str">
        <f t="shared" si="52"/>
        <v>#REF!</v>
      </c>
      <c r="I43" s="168" t="str">
        <f t="shared" si="52"/>
        <v>#REF!</v>
      </c>
      <c r="J43" s="168" t="str">
        <f t="shared" si="52"/>
        <v>#REF!</v>
      </c>
      <c r="K43" s="168" t="str">
        <f t="shared" si="52"/>
        <v>#REF!</v>
      </c>
      <c r="L43" s="168" t="str">
        <f t="shared" si="52"/>
        <v>#REF!</v>
      </c>
      <c r="M43" s="168" t="str">
        <f t="shared" si="52"/>
        <v>#REF!</v>
      </c>
      <c r="N43" s="168" t="str">
        <f t="shared" si="52"/>
        <v>#REF!</v>
      </c>
      <c r="O43" s="168" t="str">
        <f t="shared" si="52"/>
        <v>#REF!</v>
      </c>
      <c r="P43" s="168" t="str">
        <f t="shared" si="52"/>
        <v>#REF!</v>
      </c>
      <c r="Q43" s="168" t="str">
        <f t="shared" si="52"/>
        <v>#REF!</v>
      </c>
      <c r="R43" s="168" t="str">
        <f t="shared" si="52"/>
        <v>#REF!</v>
      </c>
      <c r="S43" s="168" t="str">
        <f t="shared" si="52"/>
        <v>#REF!</v>
      </c>
      <c r="T43" s="168" t="str">
        <f t="shared" si="52"/>
        <v>#REF!</v>
      </c>
      <c r="U43" s="168" t="str">
        <f>'2026 Pipeline'!AP7</f>
        <v>#REF!</v>
      </c>
      <c r="V43" s="168" t="str">
        <f t="shared" ref="V43:Z43" si="53">'2026 Pipeline'!CJ7</f>
        <v>#REF!</v>
      </c>
      <c r="W43" s="168" t="str">
        <f t="shared" si="53"/>
        <v>#REF!</v>
      </c>
      <c r="X43" s="168" t="str">
        <f t="shared" si="53"/>
        <v>#REF!</v>
      </c>
      <c r="Y43" s="168" t="str">
        <f t="shared" si="53"/>
        <v>#REF!</v>
      </c>
      <c r="Z43" s="168" t="str">
        <f t="shared" si="53"/>
        <v>#REF!</v>
      </c>
      <c r="AA43" s="168" t="str">
        <f t="shared" ref="AA43:AF43" si="54">#REF!</f>
        <v>#REF!</v>
      </c>
      <c r="AB43" s="168" t="str">
        <f t="shared" si="54"/>
        <v>#REF!</v>
      </c>
      <c r="AC43" s="168" t="str">
        <f t="shared" si="54"/>
        <v>#REF!</v>
      </c>
      <c r="AD43" s="168" t="str">
        <f t="shared" si="54"/>
        <v>#REF!</v>
      </c>
      <c r="AE43" s="168" t="str">
        <f t="shared" si="54"/>
        <v>#REF!</v>
      </c>
      <c r="AF43" s="168" t="str">
        <f t="shared" si="54"/>
        <v>#REF!</v>
      </c>
      <c r="AG43" s="168" t="str">
        <f>'2026 Pipeline'!CT7</f>
        <v>#REF!</v>
      </c>
      <c r="AH43" s="168" t="str">
        <f>'2026 Pipeline'!S7</f>
        <v>#REF!</v>
      </c>
      <c r="AI43" s="168" t="str">
        <f t="shared" ref="AI43:AJ43" si="55">#REF!</f>
        <v>#REF!</v>
      </c>
      <c r="AJ43" s="168" t="str">
        <f t="shared" si="55"/>
        <v>#REF!</v>
      </c>
    </row>
    <row r="44" ht="15.75" hidden="1" customHeight="1">
      <c r="A44" s="168" t="str">
        <f t="shared" ref="A44:AJ44" si="56">#REF!</f>
        <v>#REF!</v>
      </c>
      <c r="B44" s="168" t="str">
        <f t="shared" si="56"/>
        <v>#REF!</v>
      </c>
      <c r="C44" s="168" t="str">
        <f t="shared" si="56"/>
        <v>#REF!</v>
      </c>
      <c r="D44" s="168" t="str">
        <f t="shared" si="56"/>
        <v>#REF!</v>
      </c>
      <c r="E44" s="168" t="str">
        <f t="shared" si="56"/>
        <v>#REF!</v>
      </c>
      <c r="F44" s="168" t="str">
        <f t="shared" si="56"/>
        <v>#REF!</v>
      </c>
      <c r="G44" s="168" t="str">
        <f t="shared" si="56"/>
        <v>#REF!</v>
      </c>
      <c r="H44" s="168" t="str">
        <f t="shared" si="56"/>
        <v>#REF!</v>
      </c>
      <c r="I44" s="168" t="str">
        <f t="shared" si="56"/>
        <v>#REF!</v>
      </c>
      <c r="J44" s="168" t="str">
        <f t="shared" si="56"/>
        <v>#REF!</v>
      </c>
      <c r="K44" s="168" t="str">
        <f t="shared" si="56"/>
        <v>#REF!</v>
      </c>
      <c r="L44" s="168" t="str">
        <f t="shared" si="56"/>
        <v>#REF!</v>
      </c>
      <c r="M44" s="168" t="str">
        <f t="shared" si="56"/>
        <v>#REF!</v>
      </c>
      <c r="N44" s="168" t="str">
        <f t="shared" si="56"/>
        <v>#REF!</v>
      </c>
      <c r="O44" s="168" t="str">
        <f t="shared" si="56"/>
        <v>#REF!</v>
      </c>
      <c r="P44" s="168" t="str">
        <f t="shared" si="56"/>
        <v>#REF!</v>
      </c>
      <c r="Q44" s="168" t="str">
        <f t="shared" si="56"/>
        <v>#REF!</v>
      </c>
      <c r="R44" s="168" t="str">
        <f t="shared" si="56"/>
        <v>#REF!</v>
      </c>
      <c r="S44" s="168" t="str">
        <f t="shared" si="56"/>
        <v>#REF!</v>
      </c>
      <c r="T44" s="168" t="str">
        <f t="shared" si="56"/>
        <v>#REF!</v>
      </c>
      <c r="U44" s="168" t="str">
        <f t="shared" si="56"/>
        <v>#REF!</v>
      </c>
      <c r="V44" s="168" t="str">
        <f t="shared" si="56"/>
        <v>#REF!</v>
      </c>
      <c r="W44" s="168" t="str">
        <f t="shared" si="56"/>
        <v>#REF!</v>
      </c>
      <c r="X44" s="168" t="str">
        <f t="shared" si="56"/>
        <v>#REF!</v>
      </c>
      <c r="Y44" s="168" t="str">
        <f t="shared" si="56"/>
        <v>#REF!</v>
      </c>
      <c r="Z44" s="168" t="str">
        <f t="shared" si="56"/>
        <v>#REF!</v>
      </c>
      <c r="AA44" s="168" t="str">
        <f t="shared" si="56"/>
        <v>#REF!</v>
      </c>
      <c r="AB44" s="168" t="str">
        <f t="shared" si="56"/>
        <v>#REF!</v>
      </c>
      <c r="AC44" s="168" t="str">
        <f t="shared" si="56"/>
        <v>#REF!</v>
      </c>
      <c r="AD44" s="168" t="str">
        <f t="shared" si="56"/>
        <v>#REF!</v>
      </c>
      <c r="AE44" s="168" t="str">
        <f t="shared" si="56"/>
        <v>#REF!</v>
      </c>
      <c r="AF44" s="168" t="str">
        <f t="shared" si="56"/>
        <v>#REF!</v>
      </c>
      <c r="AG44" s="168" t="str">
        <f t="shared" si="56"/>
        <v>#REF!</v>
      </c>
      <c r="AH44" s="168" t="str">
        <f t="shared" si="56"/>
        <v>#REF!</v>
      </c>
      <c r="AI44" s="168" t="str">
        <f t="shared" si="56"/>
        <v>#REF!</v>
      </c>
      <c r="AJ44" s="168" t="str">
        <f t="shared" si="56"/>
        <v>#REF!</v>
      </c>
    </row>
    <row r="45" ht="15.75" customHeight="1">
      <c r="A45" s="168" t="str">
        <f t="shared" ref="A45:AJ45" si="57">#REF!</f>
        <v>#REF!</v>
      </c>
      <c r="B45" s="168" t="str">
        <f t="shared" si="57"/>
        <v>#REF!</v>
      </c>
      <c r="C45" s="168" t="str">
        <f t="shared" si="57"/>
        <v>#REF!</v>
      </c>
      <c r="D45" s="168" t="str">
        <f t="shared" si="57"/>
        <v>#REF!</v>
      </c>
      <c r="E45" s="168" t="str">
        <f t="shared" si="57"/>
        <v>#REF!</v>
      </c>
      <c r="F45" s="168" t="str">
        <f t="shared" si="57"/>
        <v>#REF!</v>
      </c>
      <c r="G45" s="168" t="str">
        <f t="shared" si="57"/>
        <v>#REF!</v>
      </c>
      <c r="H45" s="168" t="str">
        <f t="shared" si="57"/>
        <v>#REF!</v>
      </c>
      <c r="I45" s="168" t="str">
        <f t="shared" si="57"/>
        <v>#REF!</v>
      </c>
      <c r="J45" s="168" t="str">
        <f t="shared" si="57"/>
        <v>#REF!</v>
      </c>
      <c r="K45" s="168" t="str">
        <f t="shared" si="57"/>
        <v>#REF!</v>
      </c>
      <c r="L45" s="168" t="str">
        <f t="shared" si="57"/>
        <v>#REF!</v>
      </c>
      <c r="M45" s="168" t="str">
        <f t="shared" si="57"/>
        <v>#REF!</v>
      </c>
      <c r="N45" s="168" t="str">
        <f t="shared" si="57"/>
        <v>#REF!</v>
      </c>
      <c r="O45" s="168" t="str">
        <f t="shared" si="57"/>
        <v>#REF!</v>
      </c>
      <c r="P45" s="168" t="str">
        <f t="shared" si="57"/>
        <v>#REF!</v>
      </c>
      <c r="Q45" s="168" t="str">
        <f t="shared" si="57"/>
        <v>#REF!</v>
      </c>
      <c r="R45" s="168" t="str">
        <f t="shared" si="57"/>
        <v>#REF!</v>
      </c>
      <c r="S45" s="168" t="str">
        <f t="shared" si="57"/>
        <v>#REF!</v>
      </c>
      <c r="T45" s="168" t="str">
        <f t="shared" si="57"/>
        <v>#REF!</v>
      </c>
      <c r="U45" s="168" t="str">
        <f t="shared" si="57"/>
        <v>#REF!</v>
      </c>
      <c r="V45" s="168" t="str">
        <f t="shared" si="57"/>
        <v>#REF!</v>
      </c>
      <c r="W45" s="168" t="str">
        <f t="shared" si="57"/>
        <v>#REF!</v>
      </c>
      <c r="X45" s="168" t="str">
        <f t="shared" si="57"/>
        <v>#REF!</v>
      </c>
      <c r="Y45" s="168" t="str">
        <f t="shared" si="57"/>
        <v>#REF!</v>
      </c>
      <c r="Z45" s="168" t="str">
        <f t="shared" si="57"/>
        <v>#REF!</v>
      </c>
      <c r="AA45" s="168" t="str">
        <f t="shared" si="57"/>
        <v>#REF!</v>
      </c>
      <c r="AB45" s="168" t="str">
        <f t="shared" si="57"/>
        <v>#REF!</v>
      </c>
      <c r="AC45" s="168" t="str">
        <f t="shared" si="57"/>
        <v>#REF!</v>
      </c>
      <c r="AD45" s="168" t="str">
        <f t="shared" si="57"/>
        <v>#REF!</v>
      </c>
      <c r="AE45" s="168" t="str">
        <f t="shared" si="57"/>
        <v>#REF!</v>
      </c>
      <c r="AF45" s="168" t="str">
        <f t="shared" si="57"/>
        <v>#REF!</v>
      </c>
      <c r="AG45" s="168" t="str">
        <f t="shared" si="57"/>
        <v>#REF!</v>
      </c>
      <c r="AH45" s="168" t="str">
        <f t="shared" si="57"/>
        <v>#REF!</v>
      </c>
      <c r="AI45" s="168" t="str">
        <f t="shared" si="57"/>
        <v>#REF!</v>
      </c>
      <c r="AJ45" s="168" t="str">
        <f t="shared" si="57"/>
        <v>#REF!</v>
      </c>
    </row>
    <row r="46" ht="15.75" customHeight="1">
      <c r="A46" s="168" t="str">
        <f t="shared" ref="A46:AJ46" si="58">#REF!</f>
        <v>#REF!</v>
      </c>
      <c r="B46" s="168" t="str">
        <f t="shared" si="58"/>
        <v>#REF!</v>
      </c>
      <c r="C46" s="168" t="str">
        <f t="shared" si="58"/>
        <v>#REF!</v>
      </c>
      <c r="D46" s="168" t="str">
        <f t="shared" si="58"/>
        <v>#REF!</v>
      </c>
      <c r="E46" s="168" t="str">
        <f t="shared" si="58"/>
        <v>#REF!</v>
      </c>
      <c r="F46" s="168" t="str">
        <f t="shared" si="58"/>
        <v>#REF!</v>
      </c>
      <c r="G46" s="168" t="str">
        <f t="shared" si="58"/>
        <v>#REF!</v>
      </c>
      <c r="H46" s="168" t="str">
        <f t="shared" si="58"/>
        <v>#REF!</v>
      </c>
      <c r="I46" s="168" t="str">
        <f t="shared" si="58"/>
        <v>#REF!</v>
      </c>
      <c r="J46" s="168" t="str">
        <f t="shared" si="58"/>
        <v>#REF!</v>
      </c>
      <c r="K46" s="168" t="str">
        <f t="shared" si="58"/>
        <v>#REF!</v>
      </c>
      <c r="L46" s="168" t="str">
        <f t="shared" si="58"/>
        <v>#REF!</v>
      </c>
      <c r="M46" s="168" t="str">
        <f t="shared" si="58"/>
        <v>#REF!</v>
      </c>
      <c r="N46" s="168" t="str">
        <f t="shared" si="58"/>
        <v>#REF!</v>
      </c>
      <c r="O46" s="168" t="str">
        <f t="shared" si="58"/>
        <v>#REF!</v>
      </c>
      <c r="P46" s="168" t="str">
        <f t="shared" si="58"/>
        <v>#REF!</v>
      </c>
      <c r="Q46" s="168" t="str">
        <f t="shared" si="58"/>
        <v>#REF!</v>
      </c>
      <c r="R46" s="168" t="str">
        <f t="shared" si="58"/>
        <v>#REF!</v>
      </c>
      <c r="S46" s="168" t="str">
        <f t="shared" si="58"/>
        <v>#REF!</v>
      </c>
      <c r="T46" s="168" t="str">
        <f t="shared" si="58"/>
        <v>#REF!</v>
      </c>
      <c r="U46" s="168" t="str">
        <f t="shared" si="58"/>
        <v>#REF!</v>
      </c>
      <c r="V46" s="168" t="str">
        <f t="shared" si="58"/>
        <v>#REF!</v>
      </c>
      <c r="W46" s="168" t="str">
        <f t="shared" si="58"/>
        <v>#REF!</v>
      </c>
      <c r="X46" s="168" t="str">
        <f t="shared" si="58"/>
        <v>#REF!</v>
      </c>
      <c r="Y46" s="168" t="str">
        <f t="shared" si="58"/>
        <v>#REF!</v>
      </c>
      <c r="Z46" s="168" t="str">
        <f t="shared" si="58"/>
        <v>#REF!</v>
      </c>
      <c r="AA46" s="168" t="str">
        <f t="shared" si="58"/>
        <v>#REF!</v>
      </c>
      <c r="AB46" s="168" t="str">
        <f t="shared" si="58"/>
        <v>#REF!</v>
      </c>
      <c r="AC46" s="168" t="str">
        <f t="shared" si="58"/>
        <v>#REF!</v>
      </c>
      <c r="AD46" s="168" t="str">
        <f t="shared" si="58"/>
        <v>#REF!</v>
      </c>
      <c r="AE46" s="168" t="str">
        <f t="shared" si="58"/>
        <v>#REF!</v>
      </c>
      <c r="AF46" s="168" t="str">
        <f t="shared" si="58"/>
        <v>#REF!</v>
      </c>
      <c r="AG46" s="168" t="str">
        <f t="shared" si="58"/>
        <v>#REF!</v>
      </c>
      <c r="AH46" s="168" t="str">
        <f t="shared" si="58"/>
        <v>#REF!</v>
      </c>
      <c r="AI46" s="168" t="str">
        <f t="shared" si="58"/>
        <v>#REF!</v>
      </c>
      <c r="AJ46" s="168" t="str">
        <f t="shared" si="58"/>
        <v>#REF!</v>
      </c>
    </row>
    <row r="47" ht="15.75" customHeight="1">
      <c r="A47" s="168" t="str">
        <f t="shared" ref="A47:AJ47" si="59">#REF!</f>
        <v>#REF!</v>
      </c>
      <c r="B47" s="168" t="str">
        <f t="shared" si="59"/>
        <v>#REF!</v>
      </c>
      <c r="C47" s="168" t="str">
        <f t="shared" si="59"/>
        <v>#REF!</v>
      </c>
      <c r="D47" s="168" t="str">
        <f t="shared" si="59"/>
        <v>#REF!</v>
      </c>
      <c r="E47" s="168" t="str">
        <f t="shared" si="59"/>
        <v>#REF!</v>
      </c>
      <c r="F47" s="168" t="str">
        <f t="shared" si="59"/>
        <v>#REF!</v>
      </c>
      <c r="G47" s="168" t="str">
        <f t="shared" si="59"/>
        <v>#REF!</v>
      </c>
      <c r="H47" s="168" t="str">
        <f t="shared" si="59"/>
        <v>#REF!</v>
      </c>
      <c r="I47" s="168" t="str">
        <f t="shared" si="59"/>
        <v>#REF!</v>
      </c>
      <c r="J47" s="168" t="str">
        <f t="shared" si="59"/>
        <v>#REF!</v>
      </c>
      <c r="K47" s="168" t="str">
        <f t="shared" si="59"/>
        <v>#REF!</v>
      </c>
      <c r="L47" s="168" t="str">
        <f t="shared" si="59"/>
        <v>#REF!</v>
      </c>
      <c r="M47" s="168" t="str">
        <f t="shared" si="59"/>
        <v>#REF!</v>
      </c>
      <c r="N47" s="168" t="str">
        <f t="shared" si="59"/>
        <v>#REF!</v>
      </c>
      <c r="O47" s="168" t="str">
        <f t="shared" si="59"/>
        <v>#REF!</v>
      </c>
      <c r="P47" s="168" t="str">
        <f t="shared" si="59"/>
        <v>#REF!</v>
      </c>
      <c r="Q47" s="168" t="str">
        <f t="shared" si="59"/>
        <v>#REF!</v>
      </c>
      <c r="R47" s="168" t="str">
        <f t="shared" si="59"/>
        <v>#REF!</v>
      </c>
      <c r="S47" s="168" t="str">
        <f t="shared" si="59"/>
        <v>#REF!</v>
      </c>
      <c r="T47" s="168" t="str">
        <f t="shared" si="59"/>
        <v>#REF!</v>
      </c>
      <c r="U47" s="168" t="str">
        <f t="shared" si="59"/>
        <v>#REF!</v>
      </c>
      <c r="V47" s="168" t="str">
        <f t="shared" si="59"/>
        <v>#REF!</v>
      </c>
      <c r="W47" s="168" t="str">
        <f t="shared" si="59"/>
        <v>#REF!</v>
      </c>
      <c r="X47" s="168" t="str">
        <f t="shared" si="59"/>
        <v>#REF!</v>
      </c>
      <c r="Y47" s="168" t="str">
        <f t="shared" si="59"/>
        <v>#REF!</v>
      </c>
      <c r="Z47" s="168" t="str">
        <f t="shared" si="59"/>
        <v>#REF!</v>
      </c>
      <c r="AA47" s="168" t="str">
        <f t="shared" si="59"/>
        <v>#REF!</v>
      </c>
      <c r="AB47" s="168" t="str">
        <f t="shared" si="59"/>
        <v>#REF!</v>
      </c>
      <c r="AC47" s="168" t="str">
        <f t="shared" si="59"/>
        <v>#REF!</v>
      </c>
      <c r="AD47" s="168" t="str">
        <f t="shared" si="59"/>
        <v>#REF!</v>
      </c>
      <c r="AE47" s="168" t="str">
        <f t="shared" si="59"/>
        <v>#REF!</v>
      </c>
      <c r="AF47" s="168" t="str">
        <f t="shared" si="59"/>
        <v>#REF!</v>
      </c>
      <c r="AG47" s="168" t="str">
        <f t="shared" si="59"/>
        <v>#REF!</v>
      </c>
      <c r="AH47" s="168" t="str">
        <f t="shared" si="59"/>
        <v>#REF!</v>
      </c>
      <c r="AI47" s="168" t="str">
        <f t="shared" si="59"/>
        <v>#REF!</v>
      </c>
      <c r="AJ47" s="168" t="str">
        <f t="shared" si="59"/>
        <v>#REF!</v>
      </c>
    </row>
    <row r="48" ht="15.75" customHeight="1">
      <c r="A48" s="168" t="str">
        <f t="shared" ref="A48:AJ48" si="60">#REF!</f>
        <v>#REF!</v>
      </c>
      <c r="B48" s="168" t="str">
        <f t="shared" si="60"/>
        <v>#REF!</v>
      </c>
      <c r="C48" s="168" t="str">
        <f t="shared" si="60"/>
        <v>#REF!</v>
      </c>
      <c r="D48" s="168" t="str">
        <f t="shared" si="60"/>
        <v>#REF!</v>
      </c>
      <c r="E48" s="168" t="str">
        <f t="shared" si="60"/>
        <v>#REF!</v>
      </c>
      <c r="F48" s="168" t="str">
        <f t="shared" si="60"/>
        <v>#REF!</v>
      </c>
      <c r="G48" s="168" t="str">
        <f t="shared" si="60"/>
        <v>#REF!</v>
      </c>
      <c r="H48" s="168" t="str">
        <f t="shared" si="60"/>
        <v>#REF!</v>
      </c>
      <c r="I48" s="168" t="str">
        <f t="shared" si="60"/>
        <v>#REF!</v>
      </c>
      <c r="J48" s="168" t="str">
        <f t="shared" si="60"/>
        <v>#REF!</v>
      </c>
      <c r="K48" s="168" t="str">
        <f t="shared" si="60"/>
        <v>#REF!</v>
      </c>
      <c r="L48" s="168" t="str">
        <f t="shared" si="60"/>
        <v>#REF!</v>
      </c>
      <c r="M48" s="168" t="str">
        <f t="shared" si="60"/>
        <v>#REF!</v>
      </c>
      <c r="N48" s="168" t="str">
        <f t="shared" si="60"/>
        <v>#REF!</v>
      </c>
      <c r="O48" s="168" t="str">
        <f t="shared" si="60"/>
        <v>#REF!</v>
      </c>
      <c r="P48" s="168" t="str">
        <f t="shared" si="60"/>
        <v>#REF!</v>
      </c>
      <c r="Q48" s="168" t="str">
        <f t="shared" si="60"/>
        <v>#REF!</v>
      </c>
      <c r="R48" s="168" t="str">
        <f t="shared" si="60"/>
        <v>#REF!</v>
      </c>
      <c r="S48" s="168" t="str">
        <f t="shared" si="60"/>
        <v>#REF!</v>
      </c>
      <c r="T48" s="168" t="str">
        <f t="shared" si="60"/>
        <v>#REF!</v>
      </c>
      <c r="U48" s="168" t="str">
        <f t="shared" si="60"/>
        <v>#REF!</v>
      </c>
      <c r="V48" s="168" t="str">
        <f t="shared" si="60"/>
        <v>#REF!</v>
      </c>
      <c r="W48" s="168" t="str">
        <f t="shared" si="60"/>
        <v>#REF!</v>
      </c>
      <c r="X48" s="168" t="str">
        <f t="shared" si="60"/>
        <v>#REF!</v>
      </c>
      <c r="Y48" s="168" t="str">
        <f t="shared" si="60"/>
        <v>#REF!</v>
      </c>
      <c r="Z48" s="168" t="str">
        <f t="shared" si="60"/>
        <v>#REF!</v>
      </c>
      <c r="AA48" s="168" t="str">
        <f t="shared" si="60"/>
        <v>#REF!</v>
      </c>
      <c r="AB48" s="168" t="str">
        <f t="shared" si="60"/>
        <v>#REF!</v>
      </c>
      <c r="AC48" s="168" t="str">
        <f t="shared" si="60"/>
        <v>#REF!</v>
      </c>
      <c r="AD48" s="168" t="str">
        <f t="shared" si="60"/>
        <v>#REF!</v>
      </c>
      <c r="AE48" s="168" t="str">
        <f t="shared" si="60"/>
        <v>#REF!</v>
      </c>
      <c r="AF48" s="168" t="str">
        <f t="shared" si="60"/>
        <v>#REF!</v>
      </c>
      <c r="AG48" s="168" t="str">
        <f t="shared" si="60"/>
        <v>#REF!</v>
      </c>
      <c r="AH48" s="168" t="str">
        <f t="shared" si="60"/>
        <v>#REF!</v>
      </c>
      <c r="AI48" s="168" t="str">
        <f t="shared" si="60"/>
        <v>#REF!</v>
      </c>
      <c r="AJ48" s="168" t="str">
        <f t="shared" si="60"/>
        <v>#REF!</v>
      </c>
    </row>
    <row r="49" ht="15.75" customHeight="1">
      <c r="A49" s="168" t="str">
        <f>'2026 Pipeline'!C8</f>
        <v>#REF!</v>
      </c>
      <c r="B49" s="168" t="str">
        <f t="shared" ref="B49:C49" si="61">'2026 Pipeline'!J8</f>
        <v>#REF!</v>
      </c>
      <c r="C49" s="168" t="str">
        <f t="shared" si="61"/>
        <v>#REF!</v>
      </c>
      <c r="D49" s="168" t="str">
        <f t="shared" ref="D49:F49" si="62">'2026 Pipeline'!M8</f>
        <v>#REF!</v>
      </c>
      <c r="E49" s="168" t="str">
        <f t="shared" si="62"/>
        <v>#REF!</v>
      </c>
      <c r="F49" s="168" t="str">
        <f t="shared" si="62"/>
        <v>#REF!</v>
      </c>
      <c r="G49" s="168" t="str">
        <f>'2026 Pipeline'!Q8</f>
        <v>#REF!</v>
      </c>
      <c r="H49" s="168" t="str">
        <f>'2026 Pipeline'!P8</f>
        <v>#REF!</v>
      </c>
      <c r="I49" s="168" t="str">
        <f>'2026 Pipeline'!R8</f>
        <v>#REF!</v>
      </c>
      <c r="J49" s="168" t="str">
        <f t="shared" ref="J49:L49" si="63">'2026 Pipeline'!V8</f>
        <v>#REF!</v>
      </c>
      <c r="K49" s="168" t="str">
        <f t="shared" si="63"/>
        <v>#REF!</v>
      </c>
      <c r="L49" s="168" t="str">
        <f t="shared" si="63"/>
        <v>#REF!</v>
      </c>
      <c r="M49" s="168" t="str">
        <f t="shared" ref="M49:O49" si="64">#REF!</f>
        <v>#REF!</v>
      </c>
      <c r="N49" s="168" t="str">
        <f t="shared" si="64"/>
        <v>#REF!</v>
      </c>
      <c r="O49" s="168" t="str">
        <f t="shared" si="64"/>
        <v>#REF!</v>
      </c>
      <c r="P49" s="168" t="str">
        <f>'2026 Pipeline'!AA8</f>
        <v>#REF!</v>
      </c>
      <c r="Q49" s="168" t="str">
        <f>'2026 Pipeline'!Y8</f>
        <v>#REF!</v>
      </c>
      <c r="R49" s="168" t="str">
        <f>#REF!</f>
        <v>#REF!</v>
      </c>
      <c r="S49" s="168" t="str">
        <f>'2026 Pipeline'!L8</f>
        <v>#REF!</v>
      </c>
      <c r="T49" s="168" t="str">
        <f>'2026 Pipeline'!CD8</f>
        <v>#REF!</v>
      </c>
      <c r="U49" s="168" t="str">
        <f t="shared" ref="U49:AJ49" si="65">#REF!</f>
        <v>#REF!</v>
      </c>
      <c r="V49" s="168" t="str">
        <f t="shared" si="65"/>
        <v>#REF!</v>
      </c>
      <c r="W49" s="168" t="str">
        <f t="shared" si="65"/>
        <v>#REF!</v>
      </c>
      <c r="X49" s="168" t="str">
        <f t="shared" si="65"/>
        <v>#REF!</v>
      </c>
      <c r="Y49" s="168" t="str">
        <f t="shared" si="65"/>
        <v>#REF!</v>
      </c>
      <c r="Z49" s="168" t="str">
        <f t="shared" si="65"/>
        <v>#REF!</v>
      </c>
      <c r="AA49" s="168" t="str">
        <f t="shared" si="65"/>
        <v>#REF!</v>
      </c>
      <c r="AB49" s="168" t="str">
        <f t="shared" si="65"/>
        <v>#REF!</v>
      </c>
      <c r="AC49" s="168" t="str">
        <f t="shared" si="65"/>
        <v>#REF!</v>
      </c>
      <c r="AD49" s="168" t="str">
        <f t="shared" si="65"/>
        <v>#REF!</v>
      </c>
      <c r="AE49" s="168" t="str">
        <f t="shared" si="65"/>
        <v>#REF!</v>
      </c>
      <c r="AF49" s="168" t="str">
        <f t="shared" si="65"/>
        <v>#REF!</v>
      </c>
      <c r="AG49" s="168" t="str">
        <f t="shared" si="65"/>
        <v>#REF!</v>
      </c>
      <c r="AH49" s="168" t="str">
        <f t="shared" si="65"/>
        <v>#REF!</v>
      </c>
      <c r="AI49" s="168" t="str">
        <f t="shared" si="65"/>
        <v>#REF!</v>
      </c>
      <c r="AJ49" s="168" t="str">
        <f t="shared" si="65"/>
        <v>#REF!</v>
      </c>
    </row>
    <row r="50" ht="15.75" customHeight="1">
      <c r="A50" s="168" t="str">
        <f t="shared" ref="A50:AJ50" si="66">#REF!</f>
        <v>#REF!</v>
      </c>
      <c r="B50" s="168" t="str">
        <f t="shared" si="66"/>
        <v>#REF!</v>
      </c>
      <c r="C50" s="168" t="str">
        <f t="shared" si="66"/>
        <v>#REF!</v>
      </c>
      <c r="D50" s="168" t="str">
        <f t="shared" si="66"/>
        <v>#REF!</v>
      </c>
      <c r="E50" s="168" t="str">
        <f t="shared" si="66"/>
        <v>#REF!</v>
      </c>
      <c r="F50" s="168" t="str">
        <f t="shared" si="66"/>
        <v>#REF!</v>
      </c>
      <c r="G50" s="168" t="str">
        <f t="shared" si="66"/>
        <v>#REF!</v>
      </c>
      <c r="H50" s="168" t="str">
        <f t="shared" si="66"/>
        <v>#REF!</v>
      </c>
      <c r="I50" s="168" t="str">
        <f t="shared" si="66"/>
        <v>#REF!</v>
      </c>
      <c r="J50" s="168" t="str">
        <f t="shared" si="66"/>
        <v>#REF!</v>
      </c>
      <c r="K50" s="168" t="str">
        <f t="shared" si="66"/>
        <v>#REF!</v>
      </c>
      <c r="L50" s="168" t="str">
        <f t="shared" si="66"/>
        <v>#REF!</v>
      </c>
      <c r="M50" s="168" t="str">
        <f t="shared" si="66"/>
        <v>#REF!</v>
      </c>
      <c r="N50" s="168" t="str">
        <f t="shared" si="66"/>
        <v>#REF!</v>
      </c>
      <c r="O50" s="168" t="str">
        <f t="shared" si="66"/>
        <v>#REF!</v>
      </c>
      <c r="P50" s="168" t="str">
        <f t="shared" si="66"/>
        <v>#REF!</v>
      </c>
      <c r="Q50" s="168" t="str">
        <f t="shared" si="66"/>
        <v>#REF!</v>
      </c>
      <c r="R50" s="168" t="str">
        <f t="shared" si="66"/>
        <v>#REF!</v>
      </c>
      <c r="S50" s="168" t="str">
        <f t="shared" si="66"/>
        <v>#REF!</v>
      </c>
      <c r="T50" s="168" t="str">
        <f t="shared" si="66"/>
        <v>#REF!</v>
      </c>
      <c r="U50" s="168" t="str">
        <f t="shared" si="66"/>
        <v>#REF!</v>
      </c>
      <c r="V50" s="168" t="str">
        <f t="shared" si="66"/>
        <v>#REF!</v>
      </c>
      <c r="W50" s="168" t="str">
        <f t="shared" si="66"/>
        <v>#REF!</v>
      </c>
      <c r="X50" s="168" t="str">
        <f t="shared" si="66"/>
        <v>#REF!</v>
      </c>
      <c r="Y50" s="168" t="str">
        <f t="shared" si="66"/>
        <v>#REF!</v>
      </c>
      <c r="Z50" s="168" t="str">
        <f t="shared" si="66"/>
        <v>#REF!</v>
      </c>
      <c r="AA50" s="168" t="str">
        <f t="shared" si="66"/>
        <v>#REF!</v>
      </c>
      <c r="AB50" s="168" t="str">
        <f t="shared" si="66"/>
        <v>#REF!</v>
      </c>
      <c r="AC50" s="168" t="str">
        <f t="shared" si="66"/>
        <v>#REF!</v>
      </c>
      <c r="AD50" s="168" t="str">
        <f t="shared" si="66"/>
        <v>#REF!</v>
      </c>
      <c r="AE50" s="168" t="str">
        <f t="shared" si="66"/>
        <v>#REF!</v>
      </c>
      <c r="AF50" s="168" t="str">
        <f t="shared" si="66"/>
        <v>#REF!</v>
      </c>
      <c r="AG50" s="168" t="str">
        <f t="shared" si="66"/>
        <v>#REF!</v>
      </c>
      <c r="AH50" s="168" t="str">
        <f t="shared" si="66"/>
        <v>#REF!</v>
      </c>
      <c r="AI50" s="168" t="str">
        <f t="shared" si="66"/>
        <v>#REF!</v>
      </c>
      <c r="AJ50" s="168" t="str">
        <f t="shared" si="66"/>
        <v>#REF!</v>
      </c>
    </row>
    <row r="51" ht="15.75" customHeight="1">
      <c r="A51" s="168" t="str">
        <f t="shared" ref="A51:T51" si="67">#REF!</f>
        <v>#REF!</v>
      </c>
      <c r="B51" s="168" t="str">
        <f t="shared" si="67"/>
        <v>#REF!</v>
      </c>
      <c r="C51" s="168" t="str">
        <f t="shared" si="67"/>
        <v>#REF!</v>
      </c>
      <c r="D51" s="168" t="str">
        <f t="shared" si="67"/>
        <v>#REF!</v>
      </c>
      <c r="E51" s="168" t="str">
        <f t="shared" si="67"/>
        <v>#REF!</v>
      </c>
      <c r="F51" s="168" t="str">
        <f t="shared" si="67"/>
        <v>#REF!</v>
      </c>
      <c r="G51" s="168" t="str">
        <f t="shared" si="67"/>
        <v>#REF!</v>
      </c>
      <c r="H51" s="168" t="str">
        <f t="shared" si="67"/>
        <v>#REF!</v>
      </c>
      <c r="I51" s="168" t="str">
        <f t="shared" si="67"/>
        <v>#REF!</v>
      </c>
      <c r="J51" s="168" t="str">
        <f t="shared" si="67"/>
        <v>#REF!</v>
      </c>
      <c r="K51" s="168" t="str">
        <f t="shared" si="67"/>
        <v>#REF!</v>
      </c>
      <c r="L51" s="168" t="str">
        <f t="shared" si="67"/>
        <v>#REF!</v>
      </c>
      <c r="M51" s="168" t="str">
        <f t="shared" si="67"/>
        <v>#REF!</v>
      </c>
      <c r="N51" s="168" t="str">
        <f t="shared" si="67"/>
        <v>#REF!</v>
      </c>
      <c r="O51" s="168" t="str">
        <f t="shared" si="67"/>
        <v>#REF!</v>
      </c>
      <c r="P51" s="168" t="str">
        <f t="shared" si="67"/>
        <v>#REF!</v>
      </c>
      <c r="Q51" s="168" t="str">
        <f t="shared" si="67"/>
        <v>#REF!</v>
      </c>
      <c r="R51" s="168" t="str">
        <f t="shared" si="67"/>
        <v>#REF!</v>
      </c>
      <c r="S51" s="168" t="str">
        <f t="shared" si="67"/>
        <v>#REF!</v>
      </c>
      <c r="T51" s="168" t="str">
        <f t="shared" si="67"/>
        <v>#REF!</v>
      </c>
      <c r="U51" s="168" t="str">
        <f>'2026 Pipeline'!AP8</f>
        <v>#REF!</v>
      </c>
      <c r="V51" s="168" t="str">
        <f t="shared" ref="V51:Z51" si="68">'2026 Pipeline'!CJ8</f>
        <v>#REF!</v>
      </c>
      <c r="W51" s="168" t="str">
        <f t="shared" si="68"/>
        <v>#REF!</v>
      </c>
      <c r="X51" s="168" t="str">
        <f t="shared" si="68"/>
        <v>#REF!</v>
      </c>
      <c r="Y51" s="168" t="str">
        <f t="shared" si="68"/>
        <v>#REF!</v>
      </c>
      <c r="Z51" s="168" t="str">
        <f t="shared" si="68"/>
        <v>#REF!</v>
      </c>
      <c r="AA51" s="168" t="str">
        <f t="shared" ref="AA51:AF51" si="69">#REF!</f>
        <v>#REF!</v>
      </c>
      <c r="AB51" s="168" t="str">
        <f t="shared" si="69"/>
        <v>#REF!</v>
      </c>
      <c r="AC51" s="168" t="str">
        <f t="shared" si="69"/>
        <v>#REF!</v>
      </c>
      <c r="AD51" s="168" t="str">
        <f t="shared" si="69"/>
        <v>#REF!</v>
      </c>
      <c r="AE51" s="168" t="str">
        <f t="shared" si="69"/>
        <v>#REF!</v>
      </c>
      <c r="AF51" s="168" t="str">
        <f t="shared" si="69"/>
        <v>#REF!</v>
      </c>
      <c r="AG51" s="168" t="str">
        <f>'2026 Pipeline'!CT8</f>
        <v>#REF!</v>
      </c>
      <c r="AH51" s="168" t="str">
        <f>'2026 Pipeline'!S8</f>
        <v>#REF!</v>
      </c>
      <c r="AI51" s="168" t="str">
        <f t="shared" ref="AI51:AJ51" si="70">#REF!</f>
        <v>#REF!</v>
      </c>
      <c r="AJ51" s="168" t="str">
        <f t="shared" si="70"/>
        <v>#REF!</v>
      </c>
    </row>
    <row r="52" ht="15.75" customHeight="1">
      <c r="A52" s="168" t="str">
        <f t="shared" ref="A52:AJ52" si="71">#REF!</f>
        <v>#REF!</v>
      </c>
      <c r="B52" s="168" t="str">
        <f t="shared" si="71"/>
        <v>#REF!</v>
      </c>
      <c r="C52" s="168" t="str">
        <f t="shared" si="71"/>
        <v>#REF!</v>
      </c>
      <c r="D52" s="168" t="str">
        <f t="shared" si="71"/>
        <v>#REF!</v>
      </c>
      <c r="E52" s="168" t="str">
        <f t="shared" si="71"/>
        <v>#REF!</v>
      </c>
      <c r="F52" s="168" t="str">
        <f t="shared" si="71"/>
        <v>#REF!</v>
      </c>
      <c r="G52" s="168" t="str">
        <f t="shared" si="71"/>
        <v>#REF!</v>
      </c>
      <c r="H52" s="168" t="str">
        <f t="shared" si="71"/>
        <v>#REF!</v>
      </c>
      <c r="I52" s="168" t="str">
        <f t="shared" si="71"/>
        <v>#REF!</v>
      </c>
      <c r="J52" s="168" t="str">
        <f t="shared" si="71"/>
        <v>#REF!</v>
      </c>
      <c r="K52" s="168" t="str">
        <f t="shared" si="71"/>
        <v>#REF!</v>
      </c>
      <c r="L52" s="168" t="str">
        <f t="shared" si="71"/>
        <v>#REF!</v>
      </c>
      <c r="M52" s="168" t="str">
        <f t="shared" si="71"/>
        <v>#REF!</v>
      </c>
      <c r="N52" s="168" t="str">
        <f t="shared" si="71"/>
        <v>#REF!</v>
      </c>
      <c r="O52" s="168" t="str">
        <f t="shared" si="71"/>
        <v>#REF!</v>
      </c>
      <c r="P52" s="168" t="str">
        <f t="shared" si="71"/>
        <v>#REF!</v>
      </c>
      <c r="Q52" s="168" t="str">
        <f t="shared" si="71"/>
        <v>#REF!</v>
      </c>
      <c r="R52" s="168" t="str">
        <f t="shared" si="71"/>
        <v>#REF!</v>
      </c>
      <c r="S52" s="168" t="str">
        <f t="shared" si="71"/>
        <v>#REF!</v>
      </c>
      <c r="T52" s="168" t="str">
        <f t="shared" si="71"/>
        <v>#REF!</v>
      </c>
      <c r="U52" s="168" t="str">
        <f t="shared" si="71"/>
        <v>#REF!</v>
      </c>
      <c r="V52" s="168" t="str">
        <f t="shared" si="71"/>
        <v>#REF!</v>
      </c>
      <c r="W52" s="168" t="str">
        <f t="shared" si="71"/>
        <v>#REF!</v>
      </c>
      <c r="X52" s="168" t="str">
        <f t="shared" si="71"/>
        <v>#REF!</v>
      </c>
      <c r="Y52" s="168" t="str">
        <f t="shared" si="71"/>
        <v>#REF!</v>
      </c>
      <c r="Z52" s="168" t="str">
        <f t="shared" si="71"/>
        <v>#REF!</v>
      </c>
      <c r="AA52" s="168" t="str">
        <f t="shared" si="71"/>
        <v>#REF!</v>
      </c>
      <c r="AB52" s="168" t="str">
        <f t="shared" si="71"/>
        <v>#REF!</v>
      </c>
      <c r="AC52" s="168" t="str">
        <f t="shared" si="71"/>
        <v>#REF!</v>
      </c>
      <c r="AD52" s="168" t="str">
        <f t="shared" si="71"/>
        <v>#REF!</v>
      </c>
      <c r="AE52" s="168" t="str">
        <f t="shared" si="71"/>
        <v>#REF!</v>
      </c>
      <c r="AF52" s="168" t="str">
        <f t="shared" si="71"/>
        <v>#REF!</v>
      </c>
      <c r="AG52" s="168" t="str">
        <f t="shared" si="71"/>
        <v>#REF!</v>
      </c>
      <c r="AH52" s="168" t="str">
        <f t="shared" si="71"/>
        <v>#REF!</v>
      </c>
      <c r="AI52" s="168" t="str">
        <f t="shared" si="71"/>
        <v>#REF!</v>
      </c>
      <c r="AJ52" s="168" t="str">
        <f t="shared" si="71"/>
        <v>#REF!</v>
      </c>
    </row>
    <row r="53" ht="15.75" customHeight="1">
      <c r="A53" s="168" t="str">
        <f t="shared" ref="A53:AJ53" si="72">#REF!</f>
        <v>#REF!</v>
      </c>
      <c r="B53" s="168" t="str">
        <f t="shared" si="72"/>
        <v>#REF!</v>
      </c>
      <c r="C53" s="168" t="str">
        <f t="shared" si="72"/>
        <v>#REF!</v>
      </c>
      <c r="D53" s="168" t="str">
        <f t="shared" si="72"/>
        <v>#REF!</v>
      </c>
      <c r="E53" s="168" t="str">
        <f t="shared" si="72"/>
        <v>#REF!</v>
      </c>
      <c r="F53" s="168" t="str">
        <f t="shared" si="72"/>
        <v>#REF!</v>
      </c>
      <c r="G53" s="168" t="str">
        <f t="shared" si="72"/>
        <v>#REF!</v>
      </c>
      <c r="H53" s="168" t="str">
        <f t="shared" si="72"/>
        <v>#REF!</v>
      </c>
      <c r="I53" s="168" t="str">
        <f t="shared" si="72"/>
        <v>#REF!</v>
      </c>
      <c r="J53" s="168" t="str">
        <f t="shared" si="72"/>
        <v>#REF!</v>
      </c>
      <c r="K53" s="168" t="str">
        <f t="shared" si="72"/>
        <v>#REF!</v>
      </c>
      <c r="L53" s="168" t="str">
        <f t="shared" si="72"/>
        <v>#REF!</v>
      </c>
      <c r="M53" s="168" t="str">
        <f t="shared" si="72"/>
        <v>#REF!</v>
      </c>
      <c r="N53" s="168" t="str">
        <f t="shared" si="72"/>
        <v>#REF!</v>
      </c>
      <c r="O53" s="168" t="str">
        <f t="shared" si="72"/>
        <v>#REF!</v>
      </c>
      <c r="P53" s="168" t="str">
        <f t="shared" si="72"/>
        <v>#REF!</v>
      </c>
      <c r="Q53" s="168" t="str">
        <f t="shared" si="72"/>
        <v>#REF!</v>
      </c>
      <c r="R53" s="168" t="str">
        <f t="shared" si="72"/>
        <v>#REF!</v>
      </c>
      <c r="S53" s="168" t="str">
        <f t="shared" si="72"/>
        <v>#REF!</v>
      </c>
      <c r="T53" s="168" t="str">
        <f t="shared" si="72"/>
        <v>#REF!</v>
      </c>
      <c r="U53" s="168" t="str">
        <f t="shared" si="72"/>
        <v>#REF!</v>
      </c>
      <c r="V53" s="168" t="str">
        <f t="shared" si="72"/>
        <v>#REF!</v>
      </c>
      <c r="W53" s="168" t="str">
        <f t="shared" si="72"/>
        <v>#REF!</v>
      </c>
      <c r="X53" s="168" t="str">
        <f t="shared" si="72"/>
        <v>#REF!</v>
      </c>
      <c r="Y53" s="168" t="str">
        <f t="shared" si="72"/>
        <v>#REF!</v>
      </c>
      <c r="Z53" s="168" t="str">
        <f t="shared" si="72"/>
        <v>#REF!</v>
      </c>
      <c r="AA53" s="168" t="str">
        <f t="shared" si="72"/>
        <v>#REF!</v>
      </c>
      <c r="AB53" s="168" t="str">
        <f t="shared" si="72"/>
        <v>#REF!</v>
      </c>
      <c r="AC53" s="168" t="str">
        <f t="shared" si="72"/>
        <v>#REF!</v>
      </c>
      <c r="AD53" s="168" t="str">
        <f t="shared" si="72"/>
        <v>#REF!</v>
      </c>
      <c r="AE53" s="168" t="str">
        <f t="shared" si="72"/>
        <v>#REF!</v>
      </c>
      <c r="AF53" s="168" t="str">
        <f t="shared" si="72"/>
        <v>#REF!</v>
      </c>
      <c r="AG53" s="168" t="str">
        <f t="shared" si="72"/>
        <v>#REF!</v>
      </c>
      <c r="AH53" s="168" t="str">
        <f t="shared" si="72"/>
        <v>#REF!</v>
      </c>
      <c r="AI53" s="168" t="str">
        <f t="shared" si="72"/>
        <v>#REF!</v>
      </c>
      <c r="AJ53" s="168" t="str">
        <f t="shared" si="72"/>
        <v>#REF!</v>
      </c>
    </row>
    <row r="54" ht="17.25" customHeight="1">
      <c r="A54" s="168" t="str">
        <f t="shared" ref="A54:AJ54" si="73">#REF!</f>
        <v>#REF!</v>
      </c>
      <c r="B54" s="168" t="str">
        <f t="shared" si="73"/>
        <v>#REF!</v>
      </c>
      <c r="C54" s="168" t="str">
        <f t="shared" si="73"/>
        <v>#REF!</v>
      </c>
      <c r="D54" s="168" t="str">
        <f t="shared" si="73"/>
        <v>#REF!</v>
      </c>
      <c r="E54" s="168" t="str">
        <f t="shared" si="73"/>
        <v>#REF!</v>
      </c>
      <c r="F54" s="168" t="str">
        <f t="shared" si="73"/>
        <v>#REF!</v>
      </c>
      <c r="G54" s="168" t="str">
        <f t="shared" si="73"/>
        <v>#REF!</v>
      </c>
      <c r="H54" s="168" t="str">
        <f t="shared" si="73"/>
        <v>#REF!</v>
      </c>
      <c r="I54" s="168" t="str">
        <f t="shared" si="73"/>
        <v>#REF!</v>
      </c>
      <c r="J54" s="168" t="str">
        <f t="shared" si="73"/>
        <v>#REF!</v>
      </c>
      <c r="K54" s="168" t="str">
        <f t="shared" si="73"/>
        <v>#REF!</v>
      </c>
      <c r="L54" s="168" t="str">
        <f t="shared" si="73"/>
        <v>#REF!</v>
      </c>
      <c r="M54" s="168" t="str">
        <f t="shared" si="73"/>
        <v>#REF!</v>
      </c>
      <c r="N54" s="168" t="str">
        <f t="shared" si="73"/>
        <v>#REF!</v>
      </c>
      <c r="O54" s="168" t="str">
        <f t="shared" si="73"/>
        <v>#REF!</v>
      </c>
      <c r="P54" s="168" t="str">
        <f t="shared" si="73"/>
        <v>#REF!</v>
      </c>
      <c r="Q54" s="168" t="str">
        <f t="shared" si="73"/>
        <v>#REF!</v>
      </c>
      <c r="R54" s="168" t="str">
        <f t="shared" si="73"/>
        <v>#REF!</v>
      </c>
      <c r="S54" s="168" t="str">
        <f t="shared" si="73"/>
        <v>#REF!</v>
      </c>
      <c r="T54" s="168" t="str">
        <f t="shared" si="73"/>
        <v>#REF!</v>
      </c>
      <c r="U54" s="168" t="str">
        <f t="shared" si="73"/>
        <v>#REF!</v>
      </c>
      <c r="V54" s="168" t="str">
        <f t="shared" si="73"/>
        <v>#REF!</v>
      </c>
      <c r="W54" s="168" t="str">
        <f t="shared" si="73"/>
        <v>#REF!</v>
      </c>
      <c r="X54" s="168" t="str">
        <f t="shared" si="73"/>
        <v>#REF!</v>
      </c>
      <c r="Y54" s="168" t="str">
        <f t="shared" si="73"/>
        <v>#REF!</v>
      </c>
      <c r="Z54" s="168" t="str">
        <f t="shared" si="73"/>
        <v>#REF!</v>
      </c>
      <c r="AA54" s="168" t="str">
        <f t="shared" si="73"/>
        <v>#REF!</v>
      </c>
      <c r="AB54" s="168" t="str">
        <f t="shared" si="73"/>
        <v>#REF!</v>
      </c>
      <c r="AC54" s="168" t="str">
        <f t="shared" si="73"/>
        <v>#REF!</v>
      </c>
      <c r="AD54" s="168" t="str">
        <f t="shared" si="73"/>
        <v>#REF!</v>
      </c>
      <c r="AE54" s="168" t="str">
        <f t="shared" si="73"/>
        <v>#REF!</v>
      </c>
      <c r="AF54" s="168" t="str">
        <f t="shared" si="73"/>
        <v>#REF!</v>
      </c>
      <c r="AG54" s="168" t="str">
        <f t="shared" si="73"/>
        <v>#REF!</v>
      </c>
      <c r="AH54" s="168" t="str">
        <f t="shared" si="73"/>
        <v>#REF!</v>
      </c>
      <c r="AI54" s="168" t="str">
        <f t="shared" si="73"/>
        <v>#REF!</v>
      </c>
      <c r="AJ54" s="168" t="str">
        <f t="shared" si="73"/>
        <v>#REF!</v>
      </c>
    </row>
    <row r="55" ht="15.75" hidden="1" customHeight="1">
      <c r="A55" s="168" t="str">
        <f t="shared" ref="A55:A56" si="79">'2026 Pipeline'!C9</f>
        <v>#REF!</v>
      </c>
      <c r="B55" s="168" t="str">
        <f t="shared" ref="B55:C55" si="74">'2026 Pipeline'!J9</f>
        <v>#REF!</v>
      </c>
      <c r="C55" s="168" t="str">
        <f t="shared" si="74"/>
        <v>#REF!</v>
      </c>
      <c r="D55" s="168" t="str">
        <f t="shared" ref="D55:F55" si="75">'2026 Pipeline'!M9</f>
        <v>#REF!</v>
      </c>
      <c r="E55" s="168" t="str">
        <f t="shared" si="75"/>
        <v>#REF!</v>
      </c>
      <c r="F55" s="168" t="str">
        <f t="shared" si="75"/>
        <v>#REF!</v>
      </c>
      <c r="G55" s="168" t="str">
        <f t="shared" ref="G55:G56" si="82">'2026 Pipeline'!Q9</f>
        <v>#REF!</v>
      </c>
      <c r="H55" s="168" t="str">
        <f t="shared" ref="H55:H56" si="83">'2026 Pipeline'!P9</f>
        <v>#REF!</v>
      </c>
      <c r="I55" s="168" t="str">
        <f t="shared" ref="I55:I56" si="84">'2026 Pipeline'!R9</f>
        <v>#REF!</v>
      </c>
      <c r="J55" s="168" t="str">
        <f t="shared" ref="J55:L55" si="76">'2026 Pipeline'!V9</f>
        <v>#REF!</v>
      </c>
      <c r="K55" s="168" t="str">
        <f t="shared" si="76"/>
        <v>#REF!</v>
      </c>
      <c r="L55" s="168" t="str">
        <f t="shared" si="76"/>
        <v>#REF!</v>
      </c>
      <c r="M55" s="168" t="str">
        <f t="shared" ref="M55:O55" si="77">#REF!</f>
        <v>#REF!</v>
      </c>
      <c r="N55" s="168" t="str">
        <f t="shared" si="77"/>
        <v>#REF!</v>
      </c>
      <c r="O55" s="168" t="str">
        <f t="shared" si="77"/>
        <v>#REF!</v>
      </c>
      <c r="P55" s="168" t="str">
        <f t="shared" ref="P55:P56" si="87">'2026 Pipeline'!AA9</f>
        <v>#REF!</v>
      </c>
      <c r="Q55" s="168" t="str">
        <f t="shared" ref="Q55:Q56" si="88">'2026 Pipeline'!Y9</f>
        <v>#REF!</v>
      </c>
      <c r="R55" s="168" t="str">
        <f t="shared" ref="R55:R56" si="89">#REF!</f>
        <v>#REF!</v>
      </c>
      <c r="S55" s="168" t="str">
        <f t="shared" ref="S55:S56" si="90">'2026 Pipeline'!L9</f>
        <v>#REF!</v>
      </c>
      <c r="T55" s="168" t="str">
        <f t="shared" ref="T55:T56" si="91">'2026 Pipeline'!CD9</f>
        <v>#REF!</v>
      </c>
      <c r="U55" s="168" t="str">
        <f t="shared" ref="U55:AJ55" si="78">#REF!</f>
        <v>#REF!</v>
      </c>
      <c r="V55" s="168" t="str">
        <f t="shared" si="78"/>
        <v>#REF!</v>
      </c>
      <c r="W55" s="168" t="str">
        <f t="shared" si="78"/>
        <v>#REF!</v>
      </c>
      <c r="X55" s="168" t="str">
        <f t="shared" si="78"/>
        <v>#REF!</v>
      </c>
      <c r="Y55" s="168" t="str">
        <f t="shared" si="78"/>
        <v>#REF!</v>
      </c>
      <c r="Z55" s="168" t="str">
        <f t="shared" si="78"/>
        <v>#REF!</v>
      </c>
      <c r="AA55" s="168" t="str">
        <f t="shared" si="78"/>
        <v>#REF!</v>
      </c>
      <c r="AB55" s="168" t="str">
        <f t="shared" si="78"/>
        <v>#REF!</v>
      </c>
      <c r="AC55" s="168" t="str">
        <f t="shared" si="78"/>
        <v>#REF!</v>
      </c>
      <c r="AD55" s="168" t="str">
        <f t="shared" si="78"/>
        <v>#REF!</v>
      </c>
      <c r="AE55" s="168" t="str">
        <f t="shared" si="78"/>
        <v>#REF!</v>
      </c>
      <c r="AF55" s="168" t="str">
        <f t="shared" si="78"/>
        <v>#REF!</v>
      </c>
      <c r="AG55" s="168" t="str">
        <f t="shared" si="78"/>
        <v>#REF!</v>
      </c>
      <c r="AH55" s="168" t="str">
        <f t="shared" si="78"/>
        <v>#REF!</v>
      </c>
      <c r="AI55" s="168" t="str">
        <f t="shared" si="78"/>
        <v>#REF!</v>
      </c>
      <c r="AJ55" s="168" t="str">
        <f t="shared" si="78"/>
        <v>#REF!</v>
      </c>
    </row>
    <row r="56" ht="15.75" hidden="1" customHeight="1">
      <c r="A56" s="168" t="str">
        <f t="shared" si="79"/>
        <v>#REF!</v>
      </c>
      <c r="B56" s="168" t="str">
        <f t="shared" ref="B56:C56" si="80">'2026 Pipeline'!J10</f>
        <v>#REF!</v>
      </c>
      <c r="C56" s="168" t="str">
        <f t="shared" si="80"/>
        <v>#REF!</v>
      </c>
      <c r="D56" s="168" t="str">
        <f t="shared" ref="D56:F56" si="81">'2026 Pipeline'!M10</f>
        <v>#REF!</v>
      </c>
      <c r="E56" s="168" t="str">
        <f t="shared" si="81"/>
        <v>#REF!</v>
      </c>
      <c r="F56" s="168" t="str">
        <f t="shared" si="81"/>
        <v>#REF!</v>
      </c>
      <c r="G56" s="168" t="str">
        <f t="shared" si="82"/>
        <v>#REF!</v>
      </c>
      <c r="H56" s="168" t="str">
        <f t="shared" si="83"/>
        <v>#REF!</v>
      </c>
      <c r="I56" s="168" t="str">
        <f t="shared" si="84"/>
        <v>#REF!</v>
      </c>
      <c r="J56" s="168" t="str">
        <f t="shared" ref="J56:L56" si="85">'2026 Pipeline'!V10</f>
        <v>#REF!</v>
      </c>
      <c r="K56" s="168" t="str">
        <f t="shared" si="85"/>
        <v>#REF!</v>
      </c>
      <c r="L56" s="168" t="str">
        <f t="shared" si="85"/>
        <v>#REF!</v>
      </c>
      <c r="M56" s="168" t="str">
        <f t="shared" ref="M56:O56" si="86">#REF!</f>
        <v>#REF!</v>
      </c>
      <c r="N56" s="168" t="str">
        <f t="shared" si="86"/>
        <v>#REF!</v>
      </c>
      <c r="O56" s="168" t="str">
        <f t="shared" si="86"/>
        <v>#REF!</v>
      </c>
      <c r="P56" s="168" t="str">
        <f t="shared" si="87"/>
        <v>#REF!</v>
      </c>
      <c r="Q56" s="168" t="str">
        <f t="shared" si="88"/>
        <v>#REF!</v>
      </c>
      <c r="R56" s="168" t="str">
        <f t="shared" si="89"/>
        <v>#REF!</v>
      </c>
      <c r="S56" s="168" t="str">
        <f t="shared" si="90"/>
        <v>#REF!</v>
      </c>
      <c r="T56" s="168" t="str">
        <f t="shared" si="91"/>
        <v>#REF!</v>
      </c>
      <c r="U56" s="168" t="str">
        <f t="shared" ref="U56:AJ56" si="92">#REF!</f>
        <v>#REF!</v>
      </c>
      <c r="V56" s="168" t="str">
        <f t="shared" si="92"/>
        <v>#REF!</v>
      </c>
      <c r="W56" s="168" t="str">
        <f t="shared" si="92"/>
        <v>#REF!</v>
      </c>
      <c r="X56" s="168" t="str">
        <f t="shared" si="92"/>
        <v>#REF!</v>
      </c>
      <c r="Y56" s="168" t="str">
        <f t="shared" si="92"/>
        <v>#REF!</v>
      </c>
      <c r="Z56" s="168" t="str">
        <f t="shared" si="92"/>
        <v>#REF!</v>
      </c>
      <c r="AA56" s="168" t="str">
        <f t="shared" si="92"/>
        <v>#REF!</v>
      </c>
      <c r="AB56" s="168" t="str">
        <f t="shared" si="92"/>
        <v>#REF!</v>
      </c>
      <c r="AC56" s="168" t="str">
        <f t="shared" si="92"/>
        <v>#REF!</v>
      </c>
      <c r="AD56" s="168" t="str">
        <f t="shared" si="92"/>
        <v>#REF!</v>
      </c>
      <c r="AE56" s="168" t="str">
        <f t="shared" si="92"/>
        <v>#REF!</v>
      </c>
      <c r="AF56" s="168" t="str">
        <f t="shared" si="92"/>
        <v>#REF!</v>
      </c>
      <c r="AG56" s="168" t="str">
        <f t="shared" si="92"/>
        <v>#REF!</v>
      </c>
      <c r="AH56" s="168" t="str">
        <f t="shared" si="92"/>
        <v>#REF!</v>
      </c>
      <c r="AI56" s="168" t="str">
        <f t="shared" si="92"/>
        <v>#REF!</v>
      </c>
      <c r="AJ56" s="168" t="str">
        <f t="shared" si="92"/>
        <v>#REF!</v>
      </c>
    </row>
    <row r="57" ht="15.75" customHeight="1">
      <c r="A57" s="168" t="str">
        <f t="shared" ref="A57:T57" si="93">#REF!</f>
        <v>#REF!</v>
      </c>
      <c r="B57" s="168" t="str">
        <f t="shared" si="93"/>
        <v>#REF!</v>
      </c>
      <c r="C57" s="168" t="str">
        <f t="shared" si="93"/>
        <v>#REF!</v>
      </c>
      <c r="D57" s="168" t="str">
        <f t="shared" si="93"/>
        <v>#REF!</v>
      </c>
      <c r="E57" s="168" t="str">
        <f t="shared" si="93"/>
        <v>#REF!</v>
      </c>
      <c r="F57" s="168" t="str">
        <f t="shared" si="93"/>
        <v>#REF!</v>
      </c>
      <c r="G57" s="168" t="str">
        <f t="shared" si="93"/>
        <v>#REF!</v>
      </c>
      <c r="H57" s="168" t="str">
        <f t="shared" si="93"/>
        <v>#REF!</v>
      </c>
      <c r="I57" s="168" t="str">
        <f t="shared" si="93"/>
        <v>#REF!</v>
      </c>
      <c r="J57" s="168" t="str">
        <f t="shared" si="93"/>
        <v>#REF!</v>
      </c>
      <c r="K57" s="168" t="str">
        <f t="shared" si="93"/>
        <v>#REF!</v>
      </c>
      <c r="L57" s="168" t="str">
        <f t="shared" si="93"/>
        <v>#REF!</v>
      </c>
      <c r="M57" s="168" t="str">
        <f t="shared" si="93"/>
        <v>#REF!</v>
      </c>
      <c r="N57" s="168" t="str">
        <f t="shared" si="93"/>
        <v>#REF!</v>
      </c>
      <c r="O57" s="168" t="str">
        <f t="shared" si="93"/>
        <v>#REF!</v>
      </c>
      <c r="P57" s="168" t="str">
        <f t="shared" si="93"/>
        <v>#REF!</v>
      </c>
      <c r="Q57" s="168" t="str">
        <f t="shared" si="93"/>
        <v>#REF!</v>
      </c>
      <c r="R57" s="168" t="str">
        <f t="shared" si="93"/>
        <v>#REF!</v>
      </c>
      <c r="S57" s="168" t="str">
        <f t="shared" si="93"/>
        <v>#REF!</v>
      </c>
      <c r="T57" s="168" t="str">
        <f t="shared" si="93"/>
        <v>#REF!</v>
      </c>
      <c r="U57" s="168" t="str">
        <f t="shared" ref="U57:U58" si="98">'2026 Pipeline'!AP9</f>
        <v>#REF!</v>
      </c>
      <c r="V57" s="168" t="str">
        <f t="shared" ref="V57:Z57" si="94">'2026 Pipeline'!CJ9</f>
        <v>#REF!</v>
      </c>
      <c r="W57" s="168" t="str">
        <f t="shared" si="94"/>
        <v>#REF!</v>
      </c>
      <c r="X57" s="168" t="str">
        <f t="shared" si="94"/>
        <v>#REF!</v>
      </c>
      <c r="Y57" s="168" t="str">
        <f t="shared" si="94"/>
        <v>#REF!</v>
      </c>
      <c r="Z57" s="168" t="str">
        <f t="shared" si="94"/>
        <v>#REF!</v>
      </c>
      <c r="AA57" s="168" t="str">
        <f t="shared" ref="AA57:AF57" si="95">#REF!</f>
        <v>#REF!</v>
      </c>
      <c r="AB57" s="168" t="str">
        <f t="shared" si="95"/>
        <v>#REF!</v>
      </c>
      <c r="AC57" s="168" t="str">
        <f t="shared" si="95"/>
        <v>#REF!</v>
      </c>
      <c r="AD57" s="168" t="str">
        <f t="shared" si="95"/>
        <v>#REF!</v>
      </c>
      <c r="AE57" s="168" t="str">
        <f t="shared" si="95"/>
        <v>#REF!</v>
      </c>
      <c r="AF57" s="168" t="str">
        <f t="shared" si="95"/>
        <v>#REF!</v>
      </c>
      <c r="AG57" s="168" t="str">
        <f t="shared" ref="AG57:AG58" si="101">'2026 Pipeline'!CT9</f>
        <v>#REF!</v>
      </c>
      <c r="AH57" s="168" t="str">
        <f t="shared" ref="AH57:AH58" si="102">'2026 Pipeline'!S9</f>
        <v>#REF!</v>
      </c>
      <c r="AI57" s="168" t="str">
        <f t="shared" ref="AI57:AJ57" si="96">#REF!</f>
        <v>#REF!</v>
      </c>
      <c r="AJ57" s="168" t="str">
        <f t="shared" si="96"/>
        <v>#REF!</v>
      </c>
    </row>
    <row r="58" ht="15.75" customHeight="1">
      <c r="A58" s="168" t="str">
        <f t="shared" ref="A58:T58" si="97">#REF!</f>
        <v>#REF!</v>
      </c>
      <c r="B58" s="168" t="str">
        <f t="shared" si="97"/>
        <v>#REF!</v>
      </c>
      <c r="C58" s="168" t="str">
        <f t="shared" si="97"/>
        <v>#REF!</v>
      </c>
      <c r="D58" s="168" t="str">
        <f t="shared" si="97"/>
        <v>#REF!</v>
      </c>
      <c r="E58" s="168" t="str">
        <f t="shared" si="97"/>
        <v>#REF!</v>
      </c>
      <c r="F58" s="168" t="str">
        <f t="shared" si="97"/>
        <v>#REF!</v>
      </c>
      <c r="G58" s="168" t="str">
        <f t="shared" si="97"/>
        <v>#REF!</v>
      </c>
      <c r="H58" s="168" t="str">
        <f t="shared" si="97"/>
        <v>#REF!</v>
      </c>
      <c r="I58" s="168" t="str">
        <f t="shared" si="97"/>
        <v>#REF!</v>
      </c>
      <c r="J58" s="168" t="str">
        <f t="shared" si="97"/>
        <v>#REF!</v>
      </c>
      <c r="K58" s="168" t="str">
        <f t="shared" si="97"/>
        <v>#REF!</v>
      </c>
      <c r="L58" s="168" t="str">
        <f t="shared" si="97"/>
        <v>#REF!</v>
      </c>
      <c r="M58" s="168" t="str">
        <f t="shared" si="97"/>
        <v>#REF!</v>
      </c>
      <c r="N58" s="168" t="str">
        <f t="shared" si="97"/>
        <v>#REF!</v>
      </c>
      <c r="O58" s="168" t="str">
        <f t="shared" si="97"/>
        <v>#REF!</v>
      </c>
      <c r="P58" s="168" t="str">
        <f t="shared" si="97"/>
        <v>#REF!</v>
      </c>
      <c r="Q58" s="168" t="str">
        <f t="shared" si="97"/>
        <v>#REF!</v>
      </c>
      <c r="R58" s="168" t="str">
        <f t="shared" si="97"/>
        <v>#REF!</v>
      </c>
      <c r="S58" s="168" t="str">
        <f t="shared" si="97"/>
        <v>#REF!</v>
      </c>
      <c r="T58" s="168" t="str">
        <f t="shared" si="97"/>
        <v>#REF!</v>
      </c>
      <c r="U58" s="168" t="str">
        <f t="shared" si="98"/>
        <v>#REF!</v>
      </c>
      <c r="V58" s="168" t="str">
        <f t="shared" ref="V58:Z58" si="99">'2026 Pipeline'!CJ10</f>
        <v>#REF!</v>
      </c>
      <c r="W58" s="168" t="str">
        <f t="shared" si="99"/>
        <v>#REF!</v>
      </c>
      <c r="X58" s="168" t="str">
        <f t="shared" si="99"/>
        <v>#REF!</v>
      </c>
      <c r="Y58" s="168" t="str">
        <f t="shared" si="99"/>
        <v>#REF!</v>
      </c>
      <c r="Z58" s="168" t="str">
        <f t="shared" si="99"/>
        <v>#REF!</v>
      </c>
      <c r="AA58" s="168" t="str">
        <f t="shared" ref="AA58:AF58" si="100">#REF!</f>
        <v>#REF!</v>
      </c>
      <c r="AB58" s="168" t="str">
        <f t="shared" si="100"/>
        <v>#REF!</v>
      </c>
      <c r="AC58" s="168" t="str">
        <f t="shared" si="100"/>
        <v>#REF!</v>
      </c>
      <c r="AD58" s="168" t="str">
        <f t="shared" si="100"/>
        <v>#REF!</v>
      </c>
      <c r="AE58" s="168" t="str">
        <f t="shared" si="100"/>
        <v>#REF!</v>
      </c>
      <c r="AF58" s="168" t="str">
        <f t="shared" si="100"/>
        <v>#REF!</v>
      </c>
      <c r="AG58" s="168" t="str">
        <f t="shared" si="101"/>
        <v>#REF!</v>
      </c>
      <c r="AH58" s="168" t="str">
        <f t="shared" si="102"/>
        <v>#REF!</v>
      </c>
      <c r="AI58" s="168" t="str">
        <f t="shared" ref="AI58:AJ58" si="103">#REF!</f>
        <v>#REF!</v>
      </c>
      <c r="AJ58" s="168" t="str">
        <f t="shared" si="103"/>
        <v>#REF!</v>
      </c>
    </row>
    <row r="59" ht="15.75" hidden="1" customHeight="1">
      <c r="A59" s="168" t="str">
        <f t="shared" ref="A59:AJ59" si="104">#REF!</f>
        <v>#REF!</v>
      </c>
      <c r="B59" s="168" t="str">
        <f t="shared" si="104"/>
        <v>#REF!</v>
      </c>
      <c r="C59" s="168" t="str">
        <f t="shared" si="104"/>
        <v>#REF!</v>
      </c>
      <c r="D59" s="168" t="str">
        <f t="shared" si="104"/>
        <v>#REF!</v>
      </c>
      <c r="E59" s="168" t="str">
        <f t="shared" si="104"/>
        <v>#REF!</v>
      </c>
      <c r="F59" s="168" t="str">
        <f t="shared" si="104"/>
        <v>#REF!</v>
      </c>
      <c r="G59" s="168" t="str">
        <f t="shared" si="104"/>
        <v>#REF!</v>
      </c>
      <c r="H59" s="168" t="str">
        <f t="shared" si="104"/>
        <v>#REF!</v>
      </c>
      <c r="I59" s="168" t="str">
        <f t="shared" si="104"/>
        <v>#REF!</v>
      </c>
      <c r="J59" s="168" t="str">
        <f t="shared" si="104"/>
        <v>#REF!</v>
      </c>
      <c r="K59" s="168" t="str">
        <f t="shared" si="104"/>
        <v>#REF!</v>
      </c>
      <c r="L59" s="168" t="str">
        <f t="shared" si="104"/>
        <v>#REF!</v>
      </c>
      <c r="M59" s="168" t="str">
        <f t="shared" si="104"/>
        <v>#REF!</v>
      </c>
      <c r="N59" s="168" t="str">
        <f t="shared" si="104"/>
        <v>#REF!</v>
      </c>
      <c r="O59" s="168" t="str">
        <f t="shared" si="104"/>
        <v>#REF!</v>
      </c>
      <c r="P59" s="168" t="str">
        <f t="shared" si="104"/>
        <v>#REF!</v>
      </c>
      <c r="Q59" s="168" t="str">
        <f t="shared" si="104"/>
        <v>#REF!</v>
      </c>
      <c r="R59" s="168" t="str">
        <f t="shared" si="104"/>
        <v>#REF!</v>
      </c>
      <c r="S59" s="168" t="str">
        <f t="shared" si="104"/>
        <v>#REF!</v>
      </c>
      <c r="T59" s="168" t="str">
        <f t="shared" si="104"/>
        <v>#REF!</v>
      </c>
      <c r="U59" s="168" t="str">
        <f t="shared" si="104"/>
        <v>#REF!</v>
      </c>
      <c r="V59" s="168" t="str">
        <f t="shared" si="104"/>
        <v>#REF!</v>
      </c>
      <c r="W59" s="168" t="str">
        <f t="shared" si="104"/>
        <v>#REF!</v>
      </c>
      <c r="X59" s="168" t="str">
        <f t="shared" si="104"/>
        <v>#REF!</v>
      </c>
      <c r="Y59" s="168" t="str">
        <f t="shared" si="104"/>
        <v>#REF!</v>
      </c>
      <c r="Z59" s="168" t="str">
        <f t="shared" si="104"/>
        <v>#REF!</v>
      </c>
      <c r="AA59" s="168" t="str">
        <f t="shared" si="104"/>
        <v>#REF!</v>
      </c>
      <c r="AB59" s="168" t="str">
        <f t="shared" si="104"/>
        <v>#REF!</v>
      </c>
      <c r="AC59" s="168" t="str">
        <f t="shared" si="104"/>
        <v>#REF!</v>
      </c>
      <c r="AD59" s="168" t="str">
        <f t="shared" si="104"/>
        <v>#REF!</v>
      </c>
      <c r="AE59" s="168" t="str">
        <f t="shared" si="104"/>
        <v>#REF!</v>
      </c>
      <c r="AF59" s="168" t="str">
        <f t="shared" si="104"/>
        <v>#REF!</v>
      </c>
      <c r="AG59" s="168" t="str">
        <f t="shared" si="104"/>
        <v>#REF!</v>
      </c>
      <c r="AH59" s="168" t="str">
        <f t="shared" si="104"/>
        <v>#REF!</v>
      </c>
      <c r="AI59" s="168" t="str">
        <f t="shared" si="104"/>
        <v>#REF!</v>
      </c>
      <c r="AJ59" s="168" t="str">
        <f t="shared" si="104"/>
        <v>#REF!</v>
      </c>
    </row>
    <row r="60" ht="15.75" customHeight="1">
      <c r="A60" s="168" t="str">
        <f t="shared" ref="A60:AJ60" si="105">#REF!</f>
        <v>#REF!</v>
      </c>
      <c r="B60" s="168" t="str">
        <f t="shared" si="105"/>
        <v>#REF!</v>
      </c>
      <c r="C60" s="168" t="str">
        <f t="shared" si="105"/>
        <v>#REF!</v>
      </c>
      <c r="D60" s="168" t="str">
        <f t="shared" si="105"/>
        <v>#REF!</v>
      </c>
      <c r="E60" s="168" t="str">
        <f t="shared" si="105"/>
        <v>#REF!</v>
      </c>
      <c r="F60" s="168" t="str">
        <f t="shared" si="105"/>
        <v>#REF!</v>
      </c>
      <c r="G60" s="168" t="str">
        <f t="shared" si="105"/>
        <v>#REF!</v>
      </c>
      <c r="H60" s="168" t="str">
        <f t="shared" si="105"/>
        <v>#REF!</v>
      </c>
      <c r="I60" s="168" t="str">
        <f t="shared" si="105"/>
        <v>#REF!</v>
      </c>
      <c r="J60" s="168" t="str">
        <f t="shared" si="105"/>
        <v>#REF!</v>
      </c>
      <c r="K60" s="168" t="str">
        <f t="shared" si="105"/>
        <v>#REF!</v>
      </c>
      <c r="L60" s="168" t="str">
        <f t="shared" si="105"/>
        <v>#REF!</v>
      </c>
      <c r="M60" s="168" t="str">
        <f t="shared" si="105"/>
        <v>#REF!</v>
      </c>
      <c r="N60" s="168" t="str">
        <f t="shared" si="105"/>
        <v>#REF!</v>
      </c>
      <c r="O60" s="168" t="str">
        <f t="shared" si="105"/>
        <v>#REF!</v>
      </c>
      <c r="P60" s="168" t="str">
        <f t="shared" si="105"/>
        <v>#REF!</v>
      </c>
      <c r="Q60" s="168" t="str">
        <f t="shared" si="105"/>
        <v>#REF!</v>
      </c>
      <c r="R60" s="168" t="str">
        <f t="shared" si="105"/>
        <v>#REF!</v>
      </c>
      <c r="S60" s="168" t="str">
        <f t="shared" si="105"/>
        <v>#REF!</v>
      </c>
      <c r="T60" s="168" t="str">
        <f t="shared" si="105"/>
        <v>#REF!</v>
      </c>
      <c r="U60" s="168" t="str">
        <f t="shared" si="105"/>
        <v>#REF!</v>
      </c>
      <c r="V60" s="168" t="str">
        <f t="shared" si="105"/>
        <v>#REF!</v>
      </c>
      <c r="W60" s="168" t="str">
        <f t="shared" si="105"/>
        <v>#REF!</v>
      </c>
      <c r="X60" s="168" t="str">
        <f t="shared" si="105"/>
        <v>#REF!</v>
      </c>
      <c r="Y60" s="168" t="str">
        <f t="shared" si="105"/>
        <v>#REF!</v>
      </c>
      <c r="Z60" s="168" t="str">
        <f t="shared" si="105"/>
        <v>#REF!</v>
      </c>
      <c r="AA60" s="168" t="str">
        <f t="shared" si="105"/>
        <v>#REF!</v>
      </c>
      <c r="AB60" s="168" t="str">
        <f t="shared" si="105"/>
        <v>#REF!</v>
      </c>
      <c r="AC60" s="168" t="str">
        <f t="shared" si="105"/>
        <v>#REF!</v>
      </c>
      <c r="AD60" s="168" t="str">
        <f t="shared" si="105"/>
        <v>#REF!</v>
      </c>
      <c r="AE60" s="168" t="str">
        <f t="shared" si="105"/>
        <v>#REF!</v>
      </c>
      <c r="AF60" s="168" t="str">
        <f t="shared" si="105"/>
        <v>#REF!</v>
      </c>
      <c r="AG60" s="168" t="str">
        <f t="shared" si="105"/>
        <v>#REF!</v>
      </c>
      <c r="AH60" s="168" t="str">
        <f t="shared" si="105"/>
        <v>#REF!</v>
      </c>
      <c r="AI60" s="168" t="str">
        <f t="shared" si="105"/>
        <v>#REF!</v>
      </c>
      <c r="AJ60" s="168" t="str">
        <f t="shared" si="105"/>
        <v>#REF!</v>
      </c>
    </row>
    <row r="61" ht="15.75" customHeight="1">
      <c r="A61" s="168" t="str">
        <f t="shared" ref="A61:AJ61" si="106">#REF!</f>
        <v>#REF!</v>
      </c>
      <c r="B61" s="168" t="str">
        <f t="shared" si="106"/>
        <v>#REF!</v>
      </c>
      <c r="C61" s="168" t="str">
        <f t="shared" si="106"/>
        <v>#REF!</v>
      </c>
      <c r="D61" s="168" t="str">
        <f t="shared" si="106"/>
        <v>#REF!</v>
      </c>
      <c r="E61" s="168" t="str">
        <f t="shared" si="106"/>
        <v>#REF!</v>
      </c>
      <c r="F61" s="168" t="str">
        <f t="shared" si="106"/>
        <v>#REF!</v>
      </c>
      <c r="G61" s="168" t="str">
        <f t="shared" si="106"/>
        <v>#REF!</v>
      </c>
      <c r="H61" s="168" t="str">
        <f t="shared" si="106"/>
        <v>#REF!</v>
      </c>
      <c r="I61" s="168" t="str">
        <f t="shared" si="106"/>
        <v>#REF!</v>
      </c>
      <c r="J61" s="168" t="str">
        <f t="shared" si="106"/>
        <v>#REF!</v>
      </c>
      <c r="K61" s="168" t="str">
        <f t="shared" si="106"/>
        <v>#REF!</v>
      </c>
      <c r="L61" s="168" t="str">
        <f t="shared" si="106"/>
        <v>#REF!</v>
      </c>
      <c r="M61" s="168" t="str">
        <f t="shared" si="106"/>
        <v>#REF!</v>
      </c>
      <c r="N61" s="168" t="str">
        <f t="shared" si="106"/>
        <v>#REF!</v>
      </c>
      <c r="O61" s="168" t="str">
        <f t="shared" si="106"/>
        <v>#REF!</v>
      </c>
      <c r="P61" s="168" t="str">
        <f t="shared" si="106"/>
        <v>#REF!</v>
      </c>
      <c r="Q61" s="168" t="str">
        <f t="shared" si="106"/>
        <v>#REF!</v>
      </c>
      <c r="R61" s="168" t="str">
        <f t="shared" si="106"/>
        <v>#REF!</v>
      </c>
      <c r="S61" s="168" t="str">
        <f t="shared" si="106"/>
        <v>#REF!</v>
      </c>
      <c r="T61" s="168" t="str">
        <f t="shared" si="106"/>
        <v>#REF!</v>
      </c>
      <c r="U61" s="168" t="str">
        <f t="shared" si="106"/>
        <v>#REF!</v>
      </c>
      <c r="V61" s="168" t="str">
        <f t="shared" si="106"/>
        <v>#REF!</v>
      </c>
      <c r="W61" s="168" t="str">
        <f t="shared" si="106"/>
        <v>#REF!</v>
      </c>
      <c r="X61" s="168" t="str">
        <f t="shared" si="106"/>
        <v>#REF!</v>
      </c>
      <c r="Y61" s="168" t="str">
        <f t="shared" si="106"/>
        <v>#REF!</v>
      </c>
      <c r="Z61" s="168" t="str">
        <f t="shared" si="106"/>
        <v>#REF!</v>
      </c>
      <c r="AA61" s="168" t="str">
        <f t="shared" si="106"/>
        <v>#REF!</v>
      </c>
      <c r="AB61" s="168" t="str">
        <f t="shared" si="106"/>
        <v>#REF!</v>
      </c>
      <c r="AC61" s="168" t="str">
        <f t="shared" si="106"/>
        <v>#REF!</v>
      </c>
      <c r="AD61" s="168" t="str">
        <f t="shared" si="106"/>
        <v>#REF!</v>
      </c>
      <c r="AE61" s="168" t="str">
        <f t="shared" si="106"/>
        <v>#REF!</v>
      </c>
      <c r="AF61" s="168" t="str">
        <f t="shared" si="106"/>
        <v>#REF!</v>
      </c>
      <c r="AG61" s="168" t="str">
        <f t="shared" si="106"/>
        <v>#REF!</v>
      </c>
      <c r="AH61" s="168" t="str">
        <f t="shared" si="106"/>
        <v>#REF!</v>
      </c>
      <c r="AI61" s="168" t="str">
        <f t="shared" si="106"/>
        <v>#REF!</v>
      </c>
      <c r="AJ61" s="168" t="str">
        <f t="shared" si="106"/>
        <v>#REF!</v>
      </c>
    </row>
    <row r="62" ht="15.75" customHeight="1">
      <c r="A62" s="168" t="str">
        <f t="shared" ref="A62:AJ62" si="107">#REF!</f>
        <v>#REF!</v>
      </c>
      <c r="B62" s="168" t="str">
        <f t="shared" si="107"/>
        <v>#REF!</v>
      </c>
      <c r="C62" s="168" t="str">
        <f t="shared" si="107"/>
        <v>#REF!</v>
      </c>
      <c r="D62" s="168" t="str">
        <f t="shared" si="107"/>
        <v>#REF!</v>
      </c>
      <c r="E62" s="168" t="str">
        <f t="shared" si="107"/>
        <v>#REF!</v>
      </c>
      <c r="F62" s="168" t="str">
        <f t="shared" si="107"/>
        <v>#REF!</v>
      </c>
      <c r="G62" s="168" t="str">
        <f t="shared" si="107"/>
        <v>#REF!</v>
      </c>
      <c r="H62" s="168" t="str">
        <f t="shared" si="107"/>
        <v>#REF!</v>
      </c>
      <c r="I62" s="168" t="str">
        <f t="shared" si="107"/>
        <v>#REF!</v>
      </c>
      <c r="J62" s="168" t="str">
        <f t="shared" si="107"/>
        <v>#REF!</v>
      </c>
      <c r="K62" s="168" t="str">
        <f t="shared" si="107"/>
        <v>#REF!</v>
      </c>
      <c r="L62" s="168" t="str">
        <f t="shared" si="107"/>
        <v>#REF!</v>
      </c>
      <c r="M62" s="168" t="str">
        <f t="shared" si="107"/>
        <v>#REF!</v>
      </c>
      <c r="N62" s="168" t="str">
        <f t="shared" si="107"/>
        <v>#REF!</v>
      </c>
      <c r="O62" s="168" t="str">
        <f t="shared" si="107"/>
        <v>#REF!</v>
      </c>
      <c r="P62" s="168" t="str">
        <f t="shared" si="107"/>
        <v>#REF!</v>
      </c>
      <c r="Q62" s="168" t="str">
        <f t="shared" si="107"/>
        <v>#REF!</v>
      </c>
      <c r="R62" s="168" t="str">
        <f t="shared" si="107"/>
        <v>#REF!</v>
      </c>
      <c r="S62" s="168" t="str">
        <f t="shared" si="107"/>
        <v>#REF!</v>
      </c>
      <c r="T62" s="168" t="str">
        <f t="shared" si="107"/>
        <v>#REF!</v>
      </c>
      <c r="U62" s="168" t="str">
        <f t="shared" si="107"/>
        <v>#REF!</v>
      </c>
      <c r="V62" s="168" t="str">
        <f t="shared" si="107"/>
        <v>#REF!</v>
      </c>
      <c r="W62" s="168" t="str">
        <f t="shared" si="107"/>
        <v>#REF!</v>
      </c>
      <c r="X62" s="168" t="str">
        <f t="shared" si="107"/>
        <v>#REF!</v>
      </c>
      <c r="Y62" s="168" t="str">
        <f t="shared" si="107"/>
        <v>#REF!</v>
      </c>
      <c r="Z62" s="168" t="str">
        <f t="shared" si="107"/>
        <v>#REF!</v>
      </c>
      <c r="AA62" s="168" t="str">
        <f t="shared" si="107"/>
        <v>#REF!</v>
      </c>
      <c r="AB62" s="168" t="str">
        <f t="shared" si="107"/>
        <v>#REF!</v>
      </c>
      <c r="AC62" s="168" t="str">
        <f t="shared" si="107"/>
        <v>#REF!</v>
      </c>
      <c r="AD62" s="168" t="str">
        <f t="shared" si="107"/>
        <v>#REF!</v>
      </c>
      <c r="AE62" s="168" t="str">
        <f t="shared" si="107"/>
        <v>#REF!</v>
      </c>
      <c r="AF62" s="168" t="str">
        <f t="shared" si="107"/>
        <v>#REF!</v>
      </c>
      <c r="AG62" s="168" t="str">
        <f t="shared" si="107"/>
        <v>#REF!</v>
      </c>
      <c r="AH62" s="168" t="str">
        <f t="shared" si="107"/>
        <v>#REF!</v>
      </c>
      <c r="AI62" s="168" t="str">
        <f t="shared" si="107"/>
        <v>#REF!</v>
      </c>
      <c r="AJ62" s="168" t="str">
        <f t="shared" si="107"/>
        <v>#REF!</v>
      </c>
    </row>
    <row r="63" ht="15.75" customHeight="1">
      <c r="A63" s="168" t="str">
        <f t="shared" ref="A63:A64" si="113">'2026 Pipeline'!C11</f>
        <v>#REF!</v>
      </c>
      <c r="B63" s="168" t="str">
        <f t="shared" ref="B63:C63" si="108">'2026 Pipeline'!J11</f>
        <v>#REF!</v>
      </c>
      <c r="C63" s="168" t="str">
        <f t="shared" si="108"/>
        <v>#REF!</v>
      </c>
      <c r="D63" s="168" t="str">
        <f t="shared" ref="D63:F63" si="109">'2026 Pipeline'!M11</f>
        <v>#REF!</v>
      </c>
      <c r="E63" s="168" t="str">
        <f t="shared" si="109"/>
        <v>#REF!</v>
      </c>
      <c r="F63" s="168" t="str">
        <f t="shared" si="109"/>
        <v>#REF!</v>
      </c>
      <c r="G63" s="168" t="str">
        <f t="shared" ref="G63:G64" si="116">'2026 Pipeline'!Q11</f>
        <v>#REF!</v>
      </c>
      <c r="H63" s="168" t="str">
        <f t="shared" ref="H63:H64" si="117">'2026 Pipeline'!P11</f>
        <v>#REF!</v>
      </c>
      <c r="I63" s="168" t="str">
        <f t="shared" ref="I63:I64" si="118">'2026 Pipeline'!R11</f>
        <v>#REF!</v>
      </c>
      <c r="J63" s="168" t="str">
        <f t="shared" ref="J63:L63" si="110">'2026 Pipeline'!V11</f>
        <v>#REF!</v>
      </c>
      <c r="K63" s="168" t="str">
        <f t="shared" si="110"/>
        <v>#REF!</v>
      </c>
      <c r="L63" s="168" t="str">
        <f t="shared" si="110"/>
        <v>#REF!</v>
      </c>
      <c r="M63" s="168" t="str">
        <f t="shared" ref="M63:O63" si="111">#REF!</f>
        <v>#REF!</v>
      </c>
      <c r="N63" s="168" t="str">
        <f t="shared" si="111"/>
        <v>#REF!</v>
      </c>
      <c r="O63" s="168" t="str">
        <f t="shared" si="111"/>
        <v>#REF!</v>
      </c>
      <c r="P63" s="168" t="str">
        <f t="shared" ref="P63:P64" si="121">'2026 Pipeline'!AA11</f>
        <v>#REF!</v>
      </c>
      <c r="Q63" s="168" t="str">
        <f t="shared" ref="Q63:Q64" si="122">'2026 Pipeline'!Y11</f>
        <v>#REF!</v>
      </c>
      <c r="R63" s="168" t="str">
        <f t="shared" ref="R63:R64" si="123">#REF!</f>
        <v>#REF!</v>
      </c>
      <c r="S63" s="168" t="str">
        <f t="shared" ref="S63:S64" si="124">'2026 Pipeline'!L11</f>
        <v>#REF!</v>
      </c>
      <c r="T63" s="168" t="str">
        <f t="shared" ref="T63:T64" si="125">'2026 Pipeline'!CD11</f>
        <v>#REF!</v>
      </c>
      <c r="U63" s="168" t="str">
        <f t="shared" ref="U63:AJ63" si="112">#REF!</f>
        <v>#REF!</v>
      </c>
      <c r="V63" s="168" t="str">
        <f t="shared" si="112"/>
        <v>#REF!</v>
      </c>
      <c r="W63" s="168" t="str">
        <f t="shared" si="112"/>
        <v>#REF!</v>
      </c>
      <c r="X63" s="168" t="str">
        <f t="shared" si="112"/>
        <v>#REF!</v>
      </c>
      <c r="Y63" s="168" t="str">
        <f t="shared" si="112"/>
        <v>#REF!</v>
      </c>
      <c r="Z63" s="168" t="str">
        <f t="shared" si="112"/>
        <v>#REF!</v>
      </c>
      <c r="AA63" s="168" t="str">
        <f t="shared" si="112"/>
        <v>#REF!</v>
      </c>
      <c r="AB63" s="168" t="str">
        <f t="shared" si="112"/>
        <v>#REF!</v>
      </c>
      <c r="AC63" s="168" t="str">
        <f t="shared" si="112"/>
        <v>#REF!</v>
      </c>
      <c r="AD63" s="168" t="str">
        <f t="shared" si="112"/>
        <v>#REF!</v>
      </c>
      <c r="AE63" s="168" t="str">
        <f t="shared" si="112"/>
        <v>#REF!</v>
      </c>
      <c r="AF63" s="168" t="str">
        <f t="shared" si="112"/>
        <v>#REF!</v>
      </c>
      <c r="AG63" s="168" t="str">
        <f t="shared" si="112"/>
        <v>#REF!</v>
      </c>
      <c r="AH63" s="168" t="str">
        <f t="shared" si="112"/>
        <v>#REF!</v>
      </c>
      <c r="AI63" s="168" t="str">
        <f t="shared" si="112"/>
        <v>#REF!</v>
      </c>
      <c r="AJ63" s="168" t="str">
        <f t="shared" si="112"/>
        <v>#REF!</v>
      </c>
    </row>
    <row r="64" ht="15.75" customHeight="1">
      <c r="A64" s="168" t="str">
        <f t="shared" si="113"/>
        <v>#REF!</v>
      </c>
      <c r="B64" s="168" t="str">
        <f t="shared" ref="B64:C64" si="114">'2026 Pipeline'!J12</f>
        <v>#REF!</v>
      </c>
      <c r="C64" s="168" t="str">
        <f t="shared" si="114"/>
        <v>#REF!</v>
      </c>
      <c r="D64" s="168" t="str">
        <f t="shared" ref="D64:F64" si="115">'2026 Pipeline'!M12</f>
        <v>#REF!</v>
      </c>
      <c r="E64" s="168" t="str">
        <f t="shared" si="115"/>
        <v>#REF!</v>
      </c>
      <c r="F64" s="168" t="str">
        <f t="shared" si="115"/>
        <v>#REF!</v>
      </c>
      <c r="G64" s="168" t="str">
        <f t="shared" si="116"/>
        <v>#REF!</v>
      </c>
      <c r="H64" s="168" t="str">
        <f t="shared" si="117"/>
        <v>#REF!</v>
      </c>
      <c r="I64" s="168" t="str">
        <f t="shared" si="118"/>
        <v>#REF!</v>
      </c>
      <c r="J64" s="168" t="str">
        <f t="shared" ref="J64:L64" si="119">'2026 Pipeline'!V12</f>
        <v>#REF!</v>
      </c>
      <c r="K64" s="168" t="str">
        <f t="shared" si="119"/>
        <v>#REF!</v>
      </c>
      <c r="L64" s="168" t="str">
        <f t="shared" si="119"/>
        <v>#REF!</v>
      </c>
      <c r="M64" s="168" t="str">
        <f t="shared" ref="M64:O64" si="120">#REF!</f>
        <v>#REF!</v>
      </c>
      <c r="N64" s="168" t="str">
        <f t="shared" si="120"/>
        <v>#REF!</v>
      </c>
      <c r="O64" s="168" t="str">
        <f t="shared" si="120"/>
        <v>#REF!</v>
      </c>
      <c r="P64" s="168" t="str">
        <f t="shared" si="121"/>
        <v>#REF!</v>
      </c>
      <c r="Q64" s="168" t="str">
        <f t="shared" si="122"/>
        <v>#REF!</v>
      </c>
      <c r="R64" s="168" t="str">
        <f t="shared" si="123"/>
        <v>#REF!</v>
      </c>
      <c r="S64" s="168" t="str">
        <f t="shared" si="124"/>
        <v>#REF!</v>
      </c>
      <c r="T64" s="168" t="str">
        <f t="shared" si="125"/>
        <v>#REF!</v>
      </c>
      <c r="U64" s="168" t="str">
        <f t="shared" ref="U64:AJ64" si="126">#REF!</f>
        <v>#REF!</v>
      </c>
      <c r="V64" s="168" t="str">
        <f t="shared" si="126"/>
        <v>#REF!</v>
      </c>
      <c r="W64" s="168" t="str">
        <f t="shared" si="126"/>
        <v>#REF!</v>
      </c>
      <c r="X64" s="168" t="str">
        <f t="shared" si="126"/>
        <v>#REF!</v>
      </c>
      <c r="Y64" s="168" t="str">
        <f t="shared" si="126"/>
        <v>#REF!</v>
      </c>
      <c r="Z64" s="168" t="str">
        <f t="shared" si="126"/>
        <v>#REF!</v>
      </c>
      <c r="AA64" s="168" t="str">
        <f t="shared" si="126"/>
        <v>#REF!</v>
      </c>
      <c r="AB64" s="168" t="str">
        <f t="shared" si="126"/>
        <v>#REF!</v>
      </c>
      <c r="AC64" s="168" t="str">
        <f t="shared" si="126"/>
        <v>#REF!</v>
      </c>
      <c r="AD64" s="168" t="str">
        <f t="shared" si="126"/>
        <v>#REF!</v>
      </c>
      <c r="AE64" s="168" t="str">
        <f t="shared" si="126"/>
        <v>#REF!</v>
      </c>
      <c r="AF64" s="168" t="str">
        <f t="shared" si="126"/>
        <v>#REF!</v>
      </c>
      <c r="AG64" s="168" t="str">
        <f t="shared" si="126"/>
        <v>#REF!</v>
      </c>
      <c r="AH64" s="168" t="str">
        <f t="shared" si="126"/>
        <v>#REF!</v>
      </c>
      <c r="AI64" s="168" t="str">
        <f t="shared" si="126"/>
        <v>#REF!</v>
      </c>
      <c r="AJ64" s="168" t="str">
        <f t="shared" si="126"/>
        <v>#REF!</v>
      </c>
    </row>
    <row r="65" ht="15.75" customHeight="1">
      <c r="A65" s="168" t="str">
        <f t="shared" ref="A65:T65" si="127">#REF!</f>
        <v>#REF!</v>
      </c>
      <c r="B65" s="168" t="str">
        <f t="shared" si="127"/>
        <v>#REF!</v>
      </c>
      <c r="C65" s="168" t="str">
        <f t="shared" si="127"/>
        <v>#REF!</v>
      </c>
      <c r="D65" s="168" t="str">
        <f t="shared" si="127"/>
        <v>#REF!</v>
      </c>
      <c r="E65" s="168" t="str">
        <f t="shared" si="127"/>
        <v>#REF!</v>
      </c>
      <c r="F65" s="168" t="str">
        <f t="shared" si="127"/>
        <v>#REF!</v>
      </c>
      <c r="G65" s="168" t="str">
        <f t="shared" si="127"/>
        <v>#REF!</v>
      </c>
      <c r="H65" s="168" t="str">
        <f t="shared" si="127"/>
        <v>#REF!</v>
      </c>
      <c r="I65" s="168" t="str">
        <f t="shared" si="127"/>
        <v>#REF!</v>
      </c>
      <c r="J65" s="168" t="str">
        <f t="shared" si="127"/>
        <v>#REF!</v>
      </c>
      <c r="K65" s="168" t="str">
        <f t="shared" si="127"/>
        <v>#REF!</v>
      </c>
      <c r="L65" s="168" t="str">
        <f t="shared" si="127"/>
        <v>#REF!</v>
      </c>
      <c r="M65" s="168" t="str">
        <f t="shared" si="127"/>
        <v>#REF!</v>
      </c>
      <c r="N65" s="168" t="str">
        <f t="shared" si="127"/>
        <v>#REF!</v>
      </c>
      <c r="O65" s="168" t="str">
        <f t="shared" si="127"/>
        <v>#REF!</v>
      </c>
      <c r="P65" s="168" t="str">
        <f t="shared" si="127"/>
        <v>#REF!</v>
      </c>
      <c r="Q65" s="168" t="str">
        <f t="shared" si="127"/>
        <v>#REF!</v>
      </c>
      <c r="R65" s="168" t="str">
        <f t="shared" si="127"/>
        <v>#REF!</v>
      </c>
      <c r="S65" s="168" t="str">
        <f t="shared" si="127"/>
        <v>#REF!</v>
      </c>
      <c r="T65" s="168" t="str">
        <f t="shared" si="127"/>
        <v>#REF!</v>
      </c>
      <c r="U65" s="168" t="str">
        <f t="shared" ref="U65:U66" si="132">'2026 Pipeline'!AP12</f>
        <v>#REF!</v>
      </c>
      <c r="V65" s="168" t="str">
        <f t="shared" ref="V65:Z65" si="128">'2026 Pipeline'!CJ12</f>
        <v>#REF!</v>
      </c>
      <c r="W65" s="168" t="str">
        <f t="shared" si="128"/>
        <v>#REF!</v>
      </c>
      <c r="X65" s="168" t="str">
        <f t="shared" si="128"/>
        <v>#REF!</v>
      </c>
      <c r="Y65" s="168" t="str">
        <f t="shared" si="128"/>
        <v>#REF!</v>
      </c>
      <c r="Z65" s="168" t="str">
        <f t="shared" si="128"/>
        <v>#REF!</v>
      </c>
      <c r="AA65" s="168" t="str">
        <f t="shared" ref="AA65:AF65" si="129">#REF!</f>
        <v>#REF!</v>
      </c>
      <c r="AB65" s="168" t="str">
        <f t="shared" si="129"/>
        <v>#REF!</v>
      </c>
      <c r="AC65" s="168" t="str">
        <f t="shared" si="129"/>
        <v>#REF!</v>
      </c>
      <c r="AD65" s="168" t="str">
        <f t="shared" si="129"/>
        <v>#REF!</v>
      </c>
      <c r="AE65" s="168" t="str">
        <f t="shared" si="129"/>
        <v>#REF!</v>
      </c>
      <c r="AF65" s="168" t="str">
        <f t="shared" si="129"/>
        <v>#REF!</v>
      </c>
      <c r="AG65" s="168" t="str">
        <f t="shared" ref="AG65:AG66" si="135">'2026 Pipeline'!CT12</f>
        <v>#REF!</v>
      </c>
      <c r="AH65" s="168" t="str">
        <f t="shared" ref="AH65:AH66" si="136">'2026 Pipeline'!S12</f>
        <v>#REF!</v>
      </c>
      <c r="AI65" s="168" t="str">
        <f t="shared" ref="AI65:AJ65" si="130">#REF!</f>
        <v>#REF!</v>
      </c>
      <c r="AJ65" s="168" t="str">
        <f t="shared" si="130"/>
        <v>#REF!</v>
      </c>
    </row>
    <row r="66" ht="15.75" customHeight="1">
      <c r="A66" s="168" t="str">
        <f t="shared" ref="A66:T66" si="131">#REF!</f>
        <v>#REF!</v>
      </c>
      <c r="B66" s="168" t="str">
        <f t="shared" si="131"/>
        <v>#REF!</v>
      </c>
      <c r="C66" s="168" t="str">
        <f t="shared" si="131"/>
        <v>#REF!</v>
      </c>
      <c r="D66" s="168" t="str">
        <f t="shared" si="131"/>
        <v>#REF!</v>
      </c>
      <c r="E66" s="168" t="str">
        <f t="shared" si="131"/>
        <v>#REF!</v>
      </c>
      <c r="F66" s="168" t="str">
        <f t="shared" si="131"/>
        <v>#REF!</v>
      </c>
      <c r="G66" s="168" t="str">
        <f t="shared" si="131"/>
        <v>#REF!</v>
      </c>
      <c r="H66" s="168" t="str">
        <f t="shared" si="131"/>
        <v>#REF!</v>
      </c>
      <c r="I66" s="168" t="str">
        <f t="shared" si="131"/>
        <v>#REF!</v>
      </c>
      <c r="J66" s="168" t="str">
        <f t="shared" si="131"/>
        <v>#REF!</v>
      </c>
      <c r="K66" s="168" t="str">
        <f t="shared" si="131"/>
        <v>#REF!</v>
      </c>
      <c r="L66" s="168" t="str">
        <f t="shared" si="131"/>
        <v>#REF!</v>
      </c>
      <c r="M66" s="168" t="str">
        <f t="shared" si="131"/>
        <v>#REF!</v>
      </c>
      <c r="N66" s="168" t="str">
        <f t="shared" si="131"/>
        <v>#REF!</v>
      </c>
      <c r="O66" s="168" t="str">
        <f t="shared" si="131"/>
        <v>#REF!</v>
      </c>
      <c r="P66" s="168" t="str">
        <f t="shared" si="131"/>
        <v>#REF!</v>
      </c>
      <c r="Q66" s="168" t="str">
        <f t="shared" si="131"/>
        <v>#REF!</v>
      </c>
      <c r="R66" s="168" t="str">
        <f t="shared" si="131"/>
        <v>#REF!</v>
      </c>
      <c r="S66" s="168" t="str">
        <f t="shared" si="131"/>
        <v>#REF!</v>
      </c>
      <c r="T66" s="168" t="str">
        <f t="shared" si="131"/>
        <v>#REF!</v>
      </c>
      <c r="U66" s="168" t="str">
        <f t="shared" si="132"/>
        <v>#REF!</v>
      </c>
      <c r="V66" s="168" t="str">
        <f t="shared" ref="V66:Z66" si="133">'2026 Pipeline'!CJ13</f>
        <v>#REF!</v>
      </c>
      <c r="W66" s="168" t="str">
        <f t="shared" si="133"/>
        <v>#REF!</v>
      </c>
      <c r="X66" s="168" t="str">
        <f t="shared" si="133"/>
        <v>#REF!</v>
      </c>
      <c r="Y66" s="168" t="str">
        <f t="shared" si="133"/>
        <v>#REF!</v>
      </c>
      <c r="Z66" s="168" t="str">
        <f t="shared" si="133"/>
        <v>#REF!</v>
      </c>
      <c r="AA66" s="168" t="str">
        <f t="shared" ref="AA66:AF66" si="134">#REF!</f>
        <v>#REF!</v>
      </c>
      <c r="AB66" s="168" t="str">
        <f t="shared" si="134"/>
        <v>#REF!</v>
      </c>
      <c r="AC66" s="168" t="str">
        <f t="shared" si="134"/>
        <v>#REF!</v>
      </c>
      <c r="AD66" s="168" t="str">
        <f t="shared" si="134"/>
        <v>#REF!</v>
      </c>
      <c r="AE66" s="168" t="str">
        <f t="shared" si="134"/>
        <v>#REF!</v>
      </c>
      <c r="AF66" s="168" t="str">
        <f t="shared" si="134"/>
        <v>#REF!</v>
      </c>
      <c r="AG66" s="168" t="str">
        <f t="shared" si="135"/>
        <v>#REF!</v>
      </c>
      <c r="AH66" s="168" t="str">
        <f t="shared" si="136"/>
        <v>#REF!</v>
      </c>
      <c r="AI66" s="168" t="str">
        <f t="shared" ref="AI66:AJ66" si="137">#REF!</f>
        <v>#REF!</v>
      </c>
      <c r="AJ66" s="168" t="str">
        <f t="shared" si="137"/>
        <v>#REF!</v>
      </c>
    </row>
    <row r="67" ht="15.75" customHeight="1">
      <c r="A67" s="168" t="str">
        <f t="shared" ref="A67:AJ67" si="138">#REF!</f>
        <v>#REF!</v>
      </c>
      <c r="B67" s="168" t="str">
        <f t="shared" si="138"/>
        <v>#REF!</v>
      </c>
      <c r="C67" s="168" t="str">
        <f t="shared" si="138"/>
        <v>#REF!</v>
      </c>
      <c r="D67" s="168" t="str">
        <f t="shared" si="138"/>
        <v>#REF!</v>
      </c>
      <c r="E67" s="168" t="str">
        <f t="shared" si="138"/>
        <v>#REF!</v>
      </c>
      <c r="F67" s="168" t="str">
        <f t="shared" si="138"/>
        <v>#REF!</v>
      </c>
      <c r="G67" s="168" t="str">
        <f t="shared" si="138"/>
        <v>#REF!</v>
      </c>
      <c r="H67" s="168" t="str">
        <f t="shared" si="138"/>
        <v>#REF!</v>
      </c>
      <c r="I67" s="168" t="str">
        <f t="shared" si="138"/>
        <v>#REF!</v>
      </c>
      <c r="J67" s="168" t="str">
        <f t="shared" si="138"/>
        <v>#REF!</v>
      </c>
      <c r="K67" s="168" t="str">
        <f t="shared" si="138"/>
        <v>#REF!</v>
      </c>
      <c r="L67" s="168" t="str">
        <f t="shared" si="138"/>
        <v>#REF!</v>
      </c>
      <c r="M67" s="168" t="str">
        <f t="shared" si="138"/>
        <v>#REF!</v>
      </c>
      <c r="N67" s="168" t="str">
        <f t="shared" si="138"/>
        <v>#REF!</v>
      </c>
      <c r="O67" s="168" t="str">
        <f t="shared" si="138"/>
        <v>#REF!</v>
      </c>
      <c r="P67" s="168" t="str">
        <f t="shared" si="138"/>
        <v>#REF!</v>
      </c>
      <c r="Q67" s="168" t="str">
        <f t="shared" si="138"/>
        <v>#REF!</v>
      </c>
      <c r="R67" s="168" t="str">
        <f t="shared" si="138"/>
        <v>#REF!</v>
      </c>
      <c r="S67" s="168" t="str">
        <f t="shared" si="138"/>
        <v>#REF!</v>
      </c>
      <c r="T67" s="168" t="str">
        <f t="shared" si="138"/>
        <v>#REF!</v>
      </c>
      <c r="U67" s="168" t="str">
        <f t="shared" si="138"/>
        <v>#REF!</v>
      </c>
      <c r="V67" s="168" t="str">
        <f t="shared" si="138"/>
        <v>#REF!</v>
      </c>
      <c r="W67" s="168" t="str">
        <f t="shared" si="138"/>
        <v>#REF!</v>
      </c>
      <c r="X67" s="168" t="str">
        <f t="shared" si="138"/>
        <v>#REF!</v>
      </c>
      <c r="Y67" s="168" t="str">
        <f t="shared" si="138"/>
        <v>#REF!</v>
      </c>
      <c r="Z67" s="168" t="str">
        <f t="shared" si="138"/>
        <v>#REF!</v>
      </c>
      <c r="AA67" s="168" t="str">
        <f t="shared" si="138"/>
        <v>#REF!</v>
      </c>
      <c r="AB67" s="168" t="str">
        <f t="shared" si="138"/>
        <v>#REF!</v>
      </c>
      <c r="AC67" s="168" t="str">
        <f t="shared" si="138"/>
        <v>#REF!</v>
      </c>
      <c r="AD67" s="168" t="str">
        <f t="shared" si="138"/>
        <v>#REF!</v>
      </c>
      <c r="AE67" s="168" t="str">
        <f t="shared" si="138"/>
        <v>#REF!</v>
      </c>
      <c r="AF67" s="168" t="str">
        <f t="shared" si="138"/>
        <v>#REF!</v>
      </c>
      <c r="AG67" s="168" t="str">
        <f t="shared" si="138"/>
        <v>#REF!</v>
      </c>
      <c r="AH67" s="168" t="str">
        <f t="shared" si="138"/>
        <v>#REF!</v>
      </c>
      <c r="AI67" s="168" t="str">
        <f t="shared" si="138"/>
        <v>#REF!</v>
      </c>
      <c r="AJ67" s="168" t="str">
        <f t="shared" si="138"/>
        <v>#REF!</v>
      </c>
    </row>
    <row r="68" ht="15.75" customHeight="1">
      <c r="A68" s="168" t="str">
        <f t="shared" ref="A68:AJ68" si="139">#REF!</f>
        <v>#REF!</v>
      </c>
      <c r="B68" s="168" t="str">
        <f t="shared" si="139"/>
        <v>#REF!</v>
      </c>
      <c r="C68" s="168" t="str">
        <f t="shared" si="139"/>
        <v>#REF!</v>
      </c>
      <c r="D68" s="168" t="str">
        <f t="shared" si="139"/>
        <v>#REF!</v>
      </c>
      <c r="E68" s="168" t="str">
        <f t="shared" si="139"/>
        <v>#REF!</v>
      </c>
      <c r="F68" s="168" t="str">
        <f t="shared" si="139"/>
        <v>#REF!</v>
      </c>
      <c r="G68" s="168" t="str">
        <f t="shared" si="139"/>
        <v>#REF!</v>
      </c>
      <c r="H68" s="168" t="str">
        <f t="shared" si="139"/>
        <v>#REF!</v>
      </c>
      <c r="I68" s="168" t="str">
        <f t="shared" si="139"/>
        <v>#REF!</v>
      </c>
      <c r="J68" s="168" t="str">
        <f t="shared" si="139"/>
        <v>#REF!</v>
      </c>
      <c r="K68" s="168" t="str">
        <f t="shared" si="139"/>
        <v>#REF!</v>
      </c>
      <c r="L68" s="168" t="str">
        <f t="shared" si="139"/>
        <v>#REF!</v>
      </c>
      <c r="M68" s="168" t="str">
        <f t="shared" si="139"/>
        <v>#REF!</v>
      </c>
      <c r="N68" s="168" t="str">
        <f t="shared" si="139"/>
        <v>#REF!</v>
      </c>
      <c r="O68" s="168" t="str">
        <f t="shared" si="139"/>
        <v>#REF!</v>
      </c>
      <c r="P68" s="168" t="str">
        <f t="shared" si="139"/>
        <v>#REF!</v>
      </c>
      <c r="Q68" s="168" t="str">
        <f t="shared" si="139"/>
        <v>#REF!</v>
      </c>
      <c r="R68" s="168" t="str">
        <f t="shared" si="139"/>
        <v>#REF!</v>
      </c>
      <c r="S68" s="168" t="str">
        <f t="shared" si="139"/>
        <v>#REF!</v>
      </c>
      <c r="T68" s="168" t="str">
        <f t="shared" si="139"/>
        <v>#REF!</v>
      </c>
      <c r="U68" s="168" t="str">
        <f t="shared" si="139"/>
        <v>#REF!</v>
      </c>
      <c r="V68" s="168" t="str">
        <f t="shared" si="139"/>
        <v>#REF!</v>
      </c>
      <c r="W68" s="168" t="str">
        <f t="shared" si="139"/>
        <v>#REF!</v>
      </c>
      <c r="X68" s="168" t="str">
        <f t="shared" si="139"/>
        <v>#REF!</v>
      </c>
      <c r="Y68" s="168" t="str">
        <f t="shared" si="139"/>
        <v>#REF!</v>
      </c>
      <c r="Z68" s="168" t="str">
        <f t="shared" si="139"/>
        <v>#REF!</v>
      </c>
      <c r="AA68" s="168" t="str">
        <f t="shared" si="139"/>
        <v>#REF!</v>
      </c>
      <c r="AB68" s="168" t="str">
        <f t="shared" si="139"/>
        <v>#REF!</v>
      </c>
      <c r="AC68" s="168" t="str">
        <f t="shared" si="139"/>
        <v>#REF!</v>
      </c>
      <c r="AD68" s="168" t="str">
        <f t="shared" si="139"/>
        <v>#REF!</v>
      </c>
      <c r="AE68" s="168" t="str">
        <f t="shared" si="139"/>
        <v>#REF!</v>
      </c>
      <c r="AF68" s="168" t="str">
        <f t="shared" si="139"/>
        <v>#REF!</v>
      </c>
      <c r="AG68" s="168" t="str">
        <f t="shared" si="139"/>
        <v>#REF!</v>
      </c>
      <c r="AH68" s="168" t="str">
        <f t="shared" si="139"/>
        <v>#REF!</v>
      </c>
      <c r="AI68" s="168" t="str">
        <f t="shared" si="139"/>
        <v>#REF!</v>
      </c>
      <c r="AJ68" s="168" t="str">
        <f t="shared" si="139"/>
        <v>#REF!</v>
      </c>
    </row>
    <row r="69" ht="15.75" customHeight="1">
      <c r="A69" s="168" t="str">
        <f t="shared" ref="A69:F69" si="140">#REF!</f>
        <v>#REF!</v>
      </c>
      <c r="B69" s="168" t="str">
        <f t="shared" si="140"/>
        <v>#REF!</v>
      </c>
      <c r="C69" s="168" t="str">
        <f t="shared" si="140"/>
        <v>#REF!</v>
      </c>
      <c r="D69" s="168" t="str">
        <f t="shared" si="140"/>
        <v>#REF!</v>
      </c>
      <c r="E69" s="168" t="str">
        <f t="shared" si="140"/>
        <v>#REF!</v>
      </c>
      <c r="F69" s="168" t="str">
        <f t="shared" si="140"/>
        <v>#REF!</v>
      </c>
      <c r="G69" s="168" t="s">
        <v>983</v>
      </c>
      <c r="H69" s="168" t="str">
        <f t="shared" ref="H69:AJ69" si="141">#REF!</f>
        <v>#REF!</v>
      </c>
      <c r="I69" s="168" t="str">
        <f t="shared" si="141"/>
        <v>#REF!</v>
      </c>
      <c r="J69" s="168" t="str">
        <f t="shared" si="141"/>
        <v>#REF!</v>
      </c>
      <c r="K69" s="168" t="str">
        <f t="shared" si="141"/>
        <v>#REF!</v>
      </c>
      <c r="L69" s="168" t="str">
        <f t="shared" si="141"/>
        <v>#REF!</v>
      </c>
      <c r="M69" s="168" t="str">
        <f t="shared" si="141"/>
        <v>#REF!</v>
      </c>
      <c r="N69" s="168" t="str">
        <f t="shared" si="141"/>
        <v>#REF!</v>
      </c>
      <c r="O69" s="168" t="str">
        <f t="shared" si="141"/>
        <v>#REF!</v>
      </c>
      <c r="P69" s="168" t="str">
        <f t="shared" si="141"/>
        <v>#REF!</v>
      </c>
      <c r="Q69" s="168" t="str">
        <f t="shared" si="141"/>
        <v>#REF!</v>
      </c>
      <c r="R69" s="168" t="str">
        <f t="shared" si="141"/>
        <v>#REF!</v>
      </c>
      <c r="S69" s="168" t="str">
        <f t="shared" si="141"/>
        <v>#REF!</v>
      </c>
      <c r="T69" s="168" t="str">
        <f t="shared" si="141"/>
        <v>#REF!</v>
      </c>
      <c r="U69" s="168" t="str">
        <f t="shared" si="141"/>
        <v>#REF!</v>
      </c>
      <c r="V69" s="168" t="str">
        <f t="shared" si="141"/>
        <v>#REF!</v>
      </c>
      <c r="W69" s="168" t="str">
        <f t="shared" si="141"/>
        <v>#REF!</v>
      </c>
      <c r="X69" s="168" t="str">
        <f t="shared" si="141"/>
        <v>#REF!</v>
      </c>
      <c r="Y69" s="168" t="str">
        <f t="shared" si="141"/>
        <v>#REF!</v>
      </c>
      <c r="Z69" s="168" t="str">
        <f t="shared" si="141"/>
        <v>#REF!</v>
      </c>
      <c r="AA69" s="168" t="str">
        <f t="shared" si="141"/>
        <v>#REF!</v>
      </c>
      <c r="AB69" s="168" t="str">
        <f t="shared" si="141"/>
        <v>#REF!</v>
      </c>
      <c r="AC69" s="168" t="str">
        <f t="shared" si="141"/>
        <v>#REF!</v>
      </c>
      <c r="AD69" s="168" t="str">
        <f t="shared" si="141"/>
        <v>#REF!</v>
      </c>
      <c r="AE69" s="168" t="str">
        <f t="shared" si="141"/>
        <v>#REF!</v>
      </c>
      <c r="AF69" s="168" t="str">
        <f t="shared" si="141"/>
        <v>#REF!</v>
      </c>
      <c r="AG69" s="168" t="str">
        <f t="shared" si="141"/>
        <v>#REF!</v>
      </c>
      <c r="AH69" s="168" t="str">
        <f t="shared" si="141"/>
        <v>#REF!</v>
      </c>
      <c r="AI69" s="168" t="str">
        <f t="shared" si="141"/>
        <v>#REF!</v>
      </c>
      <c r="AJ69" s="168" t="str">
        <f t="shared" si="141"/>
        <v>#REF!</v>
      </c>
    </row>
    <row r="70" ht="15.75" hidden="1" customHeight="1">
      <c r="A70" s="168" t="str">
        <f t="shared" ref="A70:AJ70" si="142">#REF!</f>
        <v>#REF!</v>
      </c>
      <c r="B70" s="168" t="str">
        <f t="shared" si="142"/>
        <v>#REF!</v>
      </c>
      <c r="C70" s="168" t="str">
        <f t="shared" si="142"/>
        <v>#REF!</v>
      </c>
      <c r="D70" s="168" t="str">
        <f t="shared" si="142"/>
        <v>#REF!</v>
      </c>
      <c r="E70" s="168" t="str">
        <f t="shared" si="142"/>
        <v>#REF!</v>
      </c>
      <c r="F70" s="168" t="str">
        <f t="shared" si="142"/>
        <v>#REF!</v>
      </c>
      <c r="G70" s="168" t="str">
        <f t="shared" si="142"/>
        <v>#REF!</v>
      </c>
      <c r="H70" s="168" t="str">
        <f t="shared" si="142"/>
        <v>#REF!</v>
      </c>
      <c r="I70" s="168" t="str">
        <f t="shared" si="142"/>
        <v>#REF!</v>
      </c>
      <c r="J70" s="168" t="str">
        <f t="shared" si="142"/>
        <v>#REF!</v>
      </c>
      <c r="K70" s="168" t="str">
        <f t="shared" si="142"/>
        <v>#REF!</v>
      </c>
      <c r="L70" s="168" t="str">
        <f t="shared" si="142"/>
        <v>#REF!</v>
      </c>
      <c r="M70" s="168" t="str">
        <f t="shared" si="142"/>
        <v>#REF!</v>
      </c>
      <c r="N70" s="168" t="str">
        <f t="shared" si="142"/>
        <v>#REF!</v>
      </c>
      <c r="O70" s="168" t="str">
        <f t="shared" si="142"/>
        <v>#REF!</v>
      </c>
      <c r="P70" s="168" t="str">
        <f t="shared" si="142"/>
        <v>#REF!</v>
      </c>
      <c r="Q70" s="168" t="str">
        <f t="shared" si="142"/>
        <v>#REF!</v>
      </c>
      <c r="R70" s="168" t="str">
        <f t="shared" si="142"/>
        <v>#REF!</v>
      </c>
      <c r="S70" s="168" t="str">
        <f t="shared" si="142"/>
        <v>#REF!</v>
      </c>
      <c r="T70" s="168" t="str">
        <f t="shared" si="142"/>
        <v>#REF!</v>
      </c>
      <c r="U70" s="168" t="str">
        <f t="shared" si="142"/>
        <v>#REF!</v>
      </c>
      <c r="V70" s="168" t="str">
        <f t="shared" si="142"/>
        <v>#REF!</v>
      </c>
      <c r="W70" s="168" t="str">
        <f t="shared" si="142"/>
        <v>#REF!</v>
      </c>
      <c r="X70" s="168" t="str">
        <f t="shared" si="142"/>
        <v>#REF!</v>
      </c>
      <c r="Y70" s="168" t="str">
        <f t="shared" si="142"/>
        <v>#REF!</v>
      </c>
      <c r="Z70" s="168" t="str">
        <f t="shared" si="142"/>
        <v>#REF!</v>
      </c>
      <c r="AA70" s="168" t="str">
        <f t="shared" si="142"/>
        <v>#REF!</v>
      </c>
      <c r="AB70" s="168" t="str">
        <f t="shared" si="142"/>
        <v>#REF!</v>
      </c>
      <c r="AC70" s="168" t="str">
        <f t="shared" si="142"/>
        <v>#REF!</v>
      </c>
      <c r="AD70" s="168" t="str">
        <f t="shared" si="142"/>
        <v>#REF!</v>
      </c>
      <c r="AE70" s="168" t="str">
        <f t="shared" si="142"/>
        <v>#REF!</v>
      </c>
      <c r="AF70" s="168" t="str">
        <f t="shared" si="142"/>
        <v>#REF!</v>
      </c>
      <c r="AG70" s="168" t="str">
        <f t="shared" si="142"/>
        <v>#REF!</v>
      </c>
      <c r="AH70" s="168" t="str">
        <f t="shared" si="142"/>
        <v>#REF!</v>
      </c>
      <c r="AI70" s="168" t="str">
        <f t="shared" si="142"/>
        <v>#REF!</v>
      </c>
      <c r="AJ70" s="168" t="str">
        <f t="shared" si="142"/>
        <v>#REF!</v>
      </c>
    </row>
    <row r="71" ht="15.75" customHeight="1">
      <c r="A71" s="168" t="str">
        <f t="shared" ref="A71:T71" si="143">if(#REF!=$D$1,#REF!,"")</f>
        <v>#REF!</v>
      </c>
      <c r="B71" s="168" t="str">
        <f t="shared" si="143"/>
        <v>#REF!</v>
      </c>
      <c r="C71" s="168" t="str">
        <f t="shared" si="143"/>
        <v>#REF!</v>
      </c>
      <c r="D71" s="168" t="str">
        <f t="shared" si="143"/>
        <v>#REF!</v>
      </c>
      <c r="E71" s="168" t="str">
        <f t="shared" si="143"/>
        <v>#REF!</v>
      </c>
      <c r="F71" s="168" t="str">
        <f t="shared" si="143"/>
        <v>#REF!</v>
      </c>
      <c r="G71" s="168" t="str">
        <f t="shared" si="143"/>
        <v>#REF!</v>
      </c>
      <c r="H71" s="168" t="str">
        <f t="shared" si="143"/>
        <v>#REF!</v>
      </c>
      <c r="I71" s="168" t="str">
        <f t="shared" si="143"/>
        <v>#REF!</v>
      </c>
      <c r="J71" s="168" t="str">
        <f t="shared" si="143"/>
        <v>#REF!</v>
      </c>
      <c r="K71" s="168" t="str">
        <f t="shared" si="143"/>
        <v>#REF!</v>
      </c>
      <c r="L71" s="168" t="str">
        <f t="shared" si="143"/>
        <v>#REF!</v>
      </c>
      <c r="M71" s="168" t="str">
        <f t="shared" si="143"/>
        <v>#REF!</v>
      </c>
      <c r="N71" s="168" t="str">
        <f t="shared" si="143"/>
        <v>#REF!</v>
      </c>
      <c r="O71" s="168" t="str">
        <f t="shared" si="143"/>
        <v>#REF!</v>
      </c>
      <c r="P71" s="168" t="str">
        <f t="shared" si="143"/>
        <v>#REF!</v>
      </c>
      <c r="Q71" s="168" t="str">
        <f t="shared" si="143"/>
        <v>#REF!</v>
      </c>
      <c r="R71" s="168" t="str">
        <f t="shared" si="143"/>
        <v>#REF!</v>
      </c>
      <c r="S71" s="168" t="str">
        <f t="shared" si="143"/>
        <v>#REF!</v>
      </c>
      <c r="T71" s="168" t="str">
        <f t="shared" si="143"/>
        <v>#REF!</v>
      </c>
      <c r="U71" s="168" t="str">
        <f t="shared" ref="U71:AJ71" si="144">#REF!</f>
        <v>#REF!</v>
      </c>
      <c r="V71" s="168" t="str">
        <f t="shared" si="144"/>
        <v>#REF!</v>
      </c>
      <c r="W71" s="168" t="str">
        <f t="shared" si="144"/>
        <v>#REF!</v>
      </c>
      <c r="X71" s="168" t="str">
        <f t="shared" si="144"/>
        <v>#REF!</v>
      </c>
      <c r="Y71" s="168" t="str">
        <f t="shared" si="144"/>
        <v>#REF!</v>
      </c>
      <c r="Z71" s="168" t="str">
        <f t="shared" si="144"/>
        <v>#REF!</v>
      </c>
      <c r="AA71" s="168" t="str">
        <f t="shared" si="144"/>
        <v>#REF!</v>
      </c>
      <c r="AB71" s="168" t="str">
        <f t="shared" si="144"/>
        <v>#REF!</v>
      </c>
      <c r="AC71" s="168" t="str">
        <f t="shared" si="144"/>
        <v>#REF!</v>
      </c>
      <c r="AD71" s="168" t="str">
        <f t="shared" si="144"/>
        <v>#REF!</v>
      </c>
      <c r="AE71" s="168" t="str">
        <f t="shared" si="144"/>
        <v>#REF!</v>
      </c>
      <c r="AF71" s="168" t="str">
        <f t="shared" si="144"/>
        <v>#REF!</v>
      </c>
      <c r="AG71" s="168" t="str">
        <f t="shared" si="144"/>
        <v>#REF!</v>
      </c>
      <c r="AH71" s="168" t="str">
        <f t="shared" si="144"/>
        <v>#REF!</v>
      </c>
      <c r="AI71" s="168" t="str">
        <f t="shared" si="144"/>
        <v>#REF!</v>
      </c>
      <c r="AJ71" s="168" t="str">
        <f t="shared" si="144"/>
        <v>#REF!</v>
      </c>
    </row>
    <row r="72" ht="15.75" customHeight="1">
      <c r="A72" s="168" t="str">
        <f t="shared" ref="A72:T72" si="145">if(#REF!=$D$1,#REF!,"")</f>
        <v>#REF!</v>
      </c>
      <c r="B72" s="168" t="str">
        <f t="shared" si="145"/>
        <v>#REF!</v>
      </c>
      <c r="C72" s="168" t="str">
        <f t="shared" si="145"/>
        <v>#REF!</v>
      </c>
      <c r="D72" s="168" t="str">
        <f t="shared" si="145"/>
        <v>#REF!</v>
      </c>
      <c r="E72" s="168" t="str">
        <f t="shared" si="145"/>
        <v>#REF!</v>
      </c>
      <c r="F72" s="168" t="str">
        <f t="shared" si="145"/>
        <v>#REF!</v>
      </c>
      <c r="G72" s="168" t="str">
        <f t="shared" si="145"/>
        <v>#REF!</v>
      </c>
      <c r="H72" s="168" t="str">
        <f t="shared" si="145"/>
        <v>#REF!</v>
      </c>
      <c r="I72" s="168" t="str">
        <f t="shared" si="145"/>
        <v>#REF!</v>
      </c>
      <c r="J72" s="168" t="str">
        <f t="shared" si="145"/>
        <v>#REF!</v>
      </c>
      <c r="K72" s="168" t="str">
        <f t="shared" si="145"/>
        <v>#REF!</v>
      </c>
      <c r="L72" s="168" t="str">
        <f t="shared" si="145"/>
        <v>#REF!</v>
      </c>
      <c r="M72" s="168" t="str">
        <f t="shared" si="145"/>
        <v>#REF!</v>
      </c>
      <c r="N72" s="168" t="str">
        <f t="shared" si="145"/>
        <v>#REF!</v>
      </c>
      <c r="O72" s="168" t="str">
        <f t="shared" si="145"/>
        <v>#REF!</v>
      </c>
      <c r="P72" s="168" t="str">
        <f t="shared" si="145"/>
        <v>#REF!</v>
      </c>
      <c r="Q72" s="168" t="str">
        <f t="shared" si="145"/>
        <v>#REF!</v>
      </c>
      <c r="R72" s="168" t="str">
        <f t="shared" si="145"/>
        <v>#REF!</v>
      </c>
      <c r="S72" s="168" t="str">
        <f t="shared" si="145"/>
        <v>#REF!</v>
      </c>
      <c r="T72" s="168" t="str">
        <f t="shared" si="145"/>
        <v>#REF!</v>
      </c>
      <c r="U72" s="168" t="str">
        <f t="shared" ref="U72:AJ72" si="146">#REF!</f>
        <v>#REF!</v>
      </c>
      <c r="V72" s="168" t="str">
        <f t="shared" si="146"/>
        <v>#REF!</v>
      </c>
      <c r="W72" s="168" t="str">
        <f t="shared" si="146"/>
        <v>#REF!</v>
      </c>
      <c r="X72" s="168" t="str">
        <f t="shared" si="146"/>
        <v>#REF!</v>
      </c>
      <c r="Y72" s="168" t="str">
        <f t="shared" si="146"/>
        <v>#REF!</v>
      </c>
      <c r="Z72" s="168" t="str">
        <f t="shared" si="146"/>
        <v>#REF!</v>
      </c>
      <c r="AA72" s="168" t="str">
        <f t="shared" si="146"/>
        <v>#REF!</v>
      </c>
      <c r="AB72" s="168" t="str">
        <f t="shared" si="146"/>
        <v>#REF!</v>
      </c>
      <c r="AC72" s="168" t="str">
        <f t="shared" si="146"/>
        <v>#REF!</v>
      </c>
      <c r="AD72" s="168" t="str">
        <f t="shared" si="146"/>
        <v>#REF!</v>
      </c>
      <c r="AE72" s="168" t="str">
        <f t="shared" si="146"/>
        <v>#REF!</v>
      </c>
      <c r="AF72" s="168" t="str">
        <f t="shared" si="146"/>
        <v>#REF!</v>
      </c>
      <c r="AG72" s="168" t="str">
        <f t="shared" si="146"/>
        <v>#REF!</v>
      </c>
      <c r="AH72" s="168" t="str">
        <f t="shared" si="146"/>
        <v>#REF!</v>
      </c>
      <c r="AI72" s="168" t="str">
        <f t="shared" si="146"/>
        <v>#REF!</v>
      </c>
      <c r="AJ72" s="168" t="str">
        <f t="shared" si="146"/>
        <v>#REF!</v>
      </c>
    </row>
    <row r="73" ht="15.75" customHeight="1">
      <c r="A73" s="168" t="str">
        <f t="shared" ref="A73:T73" si="147">if(#REF!=$D$1,#REF!,"")</f>
        <v>#REF!</v>
      </c>
      <c r="B73" s="168" t="str">
        <f t="shared" si="147"/>
        <v>#REF!</v>
      </c>
      <c r="C73" s="168" t="str">
        <f t="shared" si="147"/>
        <v>#REF!</v>
      </c>
      <c r="D73" s="168" t="str">
        <f t="shared" si="147"/>
        <v>#REF!</v>
      </c>
      <c r="E73" s="168" t="str">
        <f t="shared" si="147"/>
        <v>#REF!</v>
      </c>
      <c r="F73" s="168" t="str">
        <f t="shared" si="147"/>
        <v>#REF!</v>
      </c>
      <c r="G73" s="168" t="str">
        <f t="shared" si="147"/>
        <v>#REF!</v>
      </c>
      <c r="H73" s="168" t="str">
        <f t="shared" si="147"/>
        <v>#REF!</v>
      </c>
      <c r="I73" s="168" t="str">
        <f t="shared" si="147"/>
        <v>#REF!</v>
      </c>
      <c r="J73" s="168" t="str">
        <f t="shared" si="147"/>
        <v>#REF!</v>
      </c>
      <c r="K73" s="168" t="str">
        <f t="shared" si="147"/>
        <v>#REF!</v>
      </c>
      <c r="L73" s="168" t="str">
        <f t="shared" si="147"/>
        <v>#REF!</v>
      </c>
      <c r="M73" s="168" t="str">
        <f t="shared" si="147"/>
        <v>#REF!</v>
      </c>
      <c r="N73" s="168" t="str">
        <f t="shared" si="147"/>
        <v>#REF!</v>
      </c>
      <c r="O73" s="168" t="str">
        <f t="shared" si="147"/>
        <v>#REF!</v>
      </c>
      <c r="P73" s="168" t="str">
        <f t="shared" si="147"/>
        <v>#REF!</v>
      </c>
      <c r="Q73" s="168" t="str">
        <f t="shared" si="147"/>
        <v>#REF!</v>
      </c>
      <c r="R73" s="168" t="str">
        <f t="shared" si="147"/>
        <v>#REF!</v>
      </c>
      <c r="S73" s="168" t="str">
        <f t="shared" si="147"/>
        <v>#REF!</v>
      </c>
      <c r="T73" s="168" t="str">
        <f t="shared" si="147"/>
        <v>#REF!</v>
      </c>
      <c r="U73" s="168" t="str">
        <f t="shared" ref="U73:AJ73" si="148">#REF!</f>
        <v>#REF!</v>
      </c>
      <c r="V73" s="168" t="str">
        <f t="shared" si="148"/>
        <v>#REF!</v>
      </c>
      <c r="W73" s="168" t="str">
        <f t="shared" si="148"/>
        <v>#REF!</v>
      </c>
      <c r="X73" s="168" t="str">
        <f t="shared" si="148"/>
        <v>#REF!</v>
      </c>
      <c r="Y73" s="168" t="str">
        <f t="shared" si="148"/>
        <v>#REF!</v>
      </c>
      <c r="Z73" s="168" t="str">
        <f t="shared" si="148"/>
        <v>#REF!</v>
      </c>
      <c r="AA73" s="168" t="str">
        <f t="shared" si="148"/>
        <v>#REF!</v>
      </c>
      <c r="AB73" s="168" t="str">
        <f t="shared" si="148"/>
        <v>#REF!</v>
      </c>
      <c r="AC73" s="168" t="str">
        <f t="shared" si="148"/>
        <v>#REF!</v>
      </c>
      <c r="AD73" s="168" t="str">
        <f t="shared" si="148"/>
        <v>#REF!</v>
      </c>
      <c r="AE73" s="168" t="str">
        <f t="shared" si="148"/>
        <v>#REF!</v>
      </c>
      <c r="AF73" s="168" t="str">
        <f t="shared" si="148"/>
        <v>#REF!</v>
      </c>
      <c r="AG73" s="168" t="str">
        <f t="shared" si="148"/>
        <v>#REF!</v>
      </c>
      <c r="AH73" s="168" t="str">
        <f t="shared" si="148"/>
        <v>#REF!</v>
      </c>
      <c r="AI73" s="168" t="str">
        <f t="shared" si="148"/>
        <v>#REF!</v>
      </c>
      <c r="AJ73" s="168" t="str">
        <f t="shared" si="148"/>
        <v>#REF!</v>
      </c>
    </row>
    <row r="74" ht="15.75" customHeight="1">
      <c r="A74" s="168" t="str">
        <f>if('2026 Pipeline'!$M14=$D$1,'2026 Pipeline'!C14,"")</f>
        <v>#REF!</v>
      </c>
      <c r="B74" s="168" t="str">
        <f t="shared" ref="B74:C74" si="149">if('2026 Pipeline'!$M14=$D$1,'2026 Pipeline'!J14,"")</f>
        <v>#REF!</v>
      </c>
      <c r="C74" s="168" t="str">
        <f t="shared" si="149"/>
        <v>#REF!</v>
      </c>
      <c r="D74" s="168" t="str">
        <f t="shared" ref="D74:F74" si="150">if('2026 Pipeline'!$M14=$D$1,'2026 Pipeline'!M14,"")</f>
        <v>#REF!</v>
      </c>
      <c r="E74" s="168" t="str">
        <f t="shared" si="150"/>
        <v>#REF!</v>
      </c>
      <c r="F74" s="168" t="str">
        <f t="shared" si="150"/>
        <v>#REF!</v>
      </c>
      <c r="G74" s="168" t="str">
        <f>if('2026 Pipeline'!$M14=$D$1,'2026 Pipeline'!Q14,"")</f>
        <v>#REF!</v>
      </c>
      <c r="H74" s="168" t="str">
        <f>if('2026 Pipeline'!$M14=$D$1,'2026 Pipeline'!P14,"")</f>
        <v>#REF!</v>
      </c>
      <c r="I74" s="168" t="str">
        <f>if('2026 Pipeline'!$M14=$D$1,'2026 Pipeline'!R14,"")</f>
        <v>#REF!</v>
      </c>
      <c r="J74" s="168" t="str">
        <f t="shared" ref="J74:L74" si="151">if('2026 Pipeline'!$M14=$D$1,'2026 Pipeline'!V14,"")</f>
        <v>#REF!</v>
      </c>
      <c r="K74" s="168" t="str">
        <f t="shared" si="151"/>
        <v>#REF!</v>
      </c>
      <c r="L74" s="168" t="str">
        <f t="shared" si="151"/>
        <v>#REF!</v>
      </c>
      <c r="M74" s="168" t="str">
        <f t="shared" ref="M74:O74" si="152">if('2026 Pipeline'!$M14=$D$1,#REF!,"")</f>
        <v>#REF!</v>
      </c>
      <c r="N74" s="168" t="str">
        <f t="shared" si="152"/>
        <v>#REF!</v>
      </c>
      <c r="O74" s="168" t="str">
        <f t="shared" si="152"/>
        <v>#REF!</v>
      </c>
      <c r="P74" s="168" t="str">
        <f>if('2026 Pipeline'!$M14=$D$1,'2026 Pipeline'!AA14,"")</f>
        <v>#REF!</v>
      </c>
      <c r="Q74" s="168" t="str">
        <f>if('2026 Pipeline'!$M14=$D$1,'2026 Pipeline'!Y14,"")</f>
        <v>#REF!</v>
      </c>
      <c r="R74" s="168" t="str">
        <f>if('2026 Pipeline'!$M14=$D$1,#REF!,"")</f>
        <v>#REF!</v>
      </c>
      <c r="S74" s="168" t="str">
        <f>if('2026 Pipeline'!$M14=$D$1,'2026 Pipeline'!L14,"")</f>
        <v>#REF!</v>
      </c>
      <c r="T74" s="168" t="str">
        <f>if('2026 Pipeline'!$M14=$D$1,'2026 Pipeline'!CD14,"")</f>
        <v>#REF!</v>
      </c>
      <c r="U74" s="168" t="str">
        <f t="shared" ref="U74:AJ74" si="153">#REF!</f>
        <v>#REF!</v>
      </c>
      <c r="V74" s="168" t="str">
        <f t="shared" si="153"/>
        <v>#REF!</v>
      </c>
      <c r="W74" s="168" t="str">
        <f t="shared" si="153"/>
        <v>#REF!</v>
      </c>
      <c r="X74" s="168" t="str">
        <f t="shared" si="153"/>
        <v>#REF!</v>
      </c>
      <c r="Y74" s="168" t="str">
        <f t="shared" si="153"/>
        <v>#REF!</v>
      </c>
      <c r="Z74" s="168" t="str">
        <f t="shared" si="153"/>
        <v>#REF!</v>
      </c>
      <c r="AA74" s="168" t="str">
        <f t="shared" si="153"/>
        <v>#REF!</v>
      </c>
      <c r="AB74" s="168" t="str">
        <f t="shared" si="153"/>
        <v>#REF!</v>
      </c>
      <c r="AC74" s="168" t="str">
        <f t="shared" si="153"/>
        <v>#REF!</v>
      </c>
      <c r="AD74" s="168" t="str">
        <f t="shared" si="153"/>
        <v>#REF!</v>
      </c>
      <c r="AE74" s="168" t="str">
        <f t="shared" si="153"/>
        <v>#REF!</v>
      </c>
      <c r="AF74" s="168" t="str">
        <f t="shared" si="153"/>
        <v>#REF!</v>
      </c>
      <c r="AG74" s="168" t="str">
        <f t="shared" si="153"/>
        <v>#REF!</v>
      </c>
      <c r="AH74" s="168" t="str">
        <f t="shared" si="153"/>
        <v>#REF!</v>
      </c>
      <c r="AI74" s="168" t="str">
        <f t="shared" si="153"/>
        <v>#REF!</v>
      </c>
      <c r="AJ74" s="168" t="str">
        <f t="shared" si="153"/>
        <v>#REF!</v>
      </c>
    </row>
    <row r="75" ht="15.75" customHeight="1">
      <c r="A75" s="168" t="str">
        <f t="shared" ref="A75:T75" si="154">if(#REF!=$D$1,#REF!,"")</f>
        <v>#REF!</v>
      </c>
      <c r="B75" s="168" t="str">
        <f t="shared" si="154"/>
        <v>#REF!</v>
      </c>
      <c r="C75" s="168" t="str">
        <f t="shared" si="154"/>
        <v>#REF!</v>
      </c>
      <c r="D75" s="168" t="str">
        <f t="shared" si="154"/>
        <v>#REF!</v>
      </c>
      <c r="E75" s="168" t="str">
        <f t="shared" si="154"/>
        <v>#REF!</v>
      </c>
      <c r="F75" s="168" t="str">
        <f t="shared" si="154"/>
        <v>#REF!</v>
      </c>
      <c r="G75" s="168" t="str">
        <f t="shared" si="154"/>
        <v>#REF!</v>
      </c>
      <c r="H75" s="168" t="str">
        <f t="shared" si="154"/>
        <v>#REF!</v>
      </c>
      <c r="I75" s="168" t="str">
        <f t="shared" si="154"/>
        <v>#REF!</v>
      </c>
      <c r="J75" s="168" t="str">
        <f t="shared" si="154"/>
        <v>#REF!</v>
      </c>
      <c r="K75" s="168" t="str">
        <f t="shared" si="154"/>
        <v>#REF!</v>
      </c>
      <c r="L75" s="168" t="str">
        <f t="shared" si="154"/>
        <v>#REF!</v>
      </c>
      <c r="M75" s="168" t="str">
        <f t="shared" si="154"/>
        <v>#REF!</v>
      </c>
      <c r="N75" s="168" t="str">
        <f t="shared" si="154"/>
        <v>#REF!</v>
      </c>
      <c r="O75" s="168" t="str">
        <f t="shared" si="154"/>
        <v>#REF!</v>
      </c>
      <c r="P75" s="168" t="str">
        <f t="shared" si="154"/>
        <v>#REF!</v>
      </c>
      <c r="Q75" s="168" t="str">
        <f t="shared" si="154"/>
        <v>#REF!</v>
      </c>
      <c r="R75" s="168" t="str">
        <f t="shared" si="154"/>
        <v>#REF!</v>
      </c>
      <c r="S75" s="168" t="str">
        <f t="shared" si="154"/>
        <v>#REF!</v>
      </c>
      <c r="T75" s="168" t="str">
        <f t="shared" si="154"/>
        <v>#REF!</v>
      </c>
      <c r="U75" s="168" t="str">
        <f t="shared" ref="U75:AJ75" si="155">#REF!</f>
        <v>#REF!</v>
      </c>
      <c r="V75" s="168" t="str">
        <f t="shared" si="155"/>
        <v>#REF!</v>
      </c>
      <c r="W75" s="168" t="str">
        <f t="shared" si="155"/>
        <v>#REF!</v>
      </c>
      <c r="X75" s="168" t="str">
        <f t="shared" si="155"/>
        <v>#REF!</v>
      </c>
      <c r="Y75" s="168" t="str">
        <f t="shared" si="155"/>
        <v>#REF!</v>
      </c>
      <c r="Z75" s="168" t="str">
        <f t="shared" si="155"/>
        <v>#REF!</v>
      </c>
      <c r="AA75" s="168" t="str">
        <f t="shared" si="155"/>
        <v>#REF!</v>
      </c>
      <c r="AB75" s="168" t="str">
        <f t="shared" si="155"/>
        <v>#REF!</v>
      </c>
      <c r="AC75" s="168" t="str">
        <f t="shared" si="155"/>
        <v>#REF!</v>
      </c>
      <c r="AD75" s="168" t="str">
        <f t="shared" si="155"/>
        <v>#REF!</v>
      </c>
      <c r="AE75" s="168" t="str">
        <f t="shared" si="155"/>
        <v>#REF!</v>
      </c>
      <c r="AF75" s="168" t="str">
        <f t="shared" si="155"/>
        <v>#REF!</v>
      </c>
      <c r="AG75" s="168" t="str">
        <f t="shared" si="155"/>
        <v>#REF!</v>
      </c>
      <c r="AH75" s="168" t="str">
        <f t="shared" si="155"/>
        <v>#REF!</v>
      </c>
      <c r="AI75" s="168" t="str">
        <f t="shared" si="155"/>
        <v>#REF!</v>
      </c>
      <c r="AJ75" s="168" t="str">
        <f t="shared" si="155"/>
        <v>#REF!</v>
      </c>
    </row>
    <row r="76" ht="15.75" customHeight="1">
      <c r="A76" s="168" t="str">
        <f t="shared" ref="A76:T76" si="156">if(#REF!=$D$1,#REF!,"")</f>
        <v>#REF!</v>
      </c>
      <c r="B76" s="168" t="str">
        <f t="shared" si="156"/>
        <v>#REF!</v>
      </c>
      <c r="C76" s="168" t="str">
        <f t="shared" si="156"/>
        <v>#REF!</v>
      </c>
      <c r="D76" s="168" t="str">
        <f t="shared" si="156"/>
        <v>#REF!</v>
      </c>
      <c r="E76" s="168" t="str">
        <f t="shared" si="156"/>
        <v>#REF!</v>
      </c>
      <c r="F76" s="168" t="str">
        <f t="shared" si="156"/>
        <v>#REF!</v>
      </c>
      <c r="G76" s="168" t="str">
        <f t="shared" si="156"/>
        <v>#REF!</v>
      </c>
      <c r="H76" s="168" t="str">
        <f t="shared" si="156"/>
        <v>#REF!</v>
      </c>
      <c r="I76" s="168" t="str">
        <f t="shared" si="156"/>
        <v>#REF!</v>
      </c>
      <c r="J76" s="168" t="str">
        <f t="shared" si="156"/>
        <v>#REF!</v>
      </c>
      <c r="K76" s="168" t="str">
        <f t="shared" si="156"/>
        <v>#REF!</v>
      </c>
      <c r="L76" s="168" t="str">
        <f t="shared" si="156"/>
        <v>#REF!</v>
      </c>
      <c r="M76" s="168" t="str">
        <f t="shared" si="156"/>
        <v>#REF!</v>
      </c>
      <c r="N76" s="168" t="str">
        <f t="shared" si="156"/>
        <v>#REF!</v>
      </c>
      <c r="O76" s="168" t="str">
        <f t="shared" si="156"/>
        <v>#REF!</v>
      </c>
      <c r="P76" s="168" t="str">
        <f t="shared" si="156"/>
        <v>#REF!</v>
      </c>
      <c r="Q76" s="168" t="str">
        <f t="shared" si="156"/>
        <v>#REF!</v>
      </c>
      <c r="R76" s="168" t="str">
        <f t="shared" si="156"/>
        <v>#REF!</v>
      </c>
      <c r="S76" s="168" t="str">
        <f t="shared" si="156"/>
        <v>#REF!</v>
      </c>
      <c r="T76" s="168" t="str">
        <f t="shared" si="156"/>
        <v>#REF!</v>
      </c>
      <c r="U76" s="168" t="str">
        <f>'2026 Pipeline'!AP14</f>
        <v>#REF!</v>
      </c>
      <c r="V76" s="168" t="str">
        <f t="shared" ref="V76:Z76" si="157">'2026 Pipeline'!CJ14</f>
        <v>#REF!</v>
      </c>
      <c r="W76" s="168" t="str">
        <f t="shared" si="157"/>
        <v>#REF!</v>
      </c>
      <c r="X76" s="168" t="str">
        <f t="shared" si="157"/>
        <v>#REF!</v>
      </c>
      <c r="Y76" s="168" t="str">
        <f t="shared" si="157"/>
        <v>#REF!</v>
      </c>
      <c r="Z76" s="168" t="str">
        <f t="shared" si="157"/>
        <v>#REF!</v>
      </c>
      <c r="AA76" s="168" t="str">
        <f t="shared" ref="AA76:AF76" si="158">#REF!</f>
        <v>#REF!</v>
      </c>
      <c r="AB76" s="168" t="str">
        <f t="shared" si="158"/>
        <v>#REF!</v>
      </c>
      <c r="AC76" s="168" t="str">
        <f t="shared" si="158"/>
        <v>#REF!</v>
      </c>
      <c r="AD76" s="168" t="str">
        <f t="shared" si="158"/>
        <v>#REF!</v>
      </c>
      <c r="AE76" s="168" t="str">
        <f t="shared" si="158"/>
        <v>#REF!</v>
      </c>
      <c r="AF76" s="168" t="str">
        <f t="shared" si="158"/>
        <v>#REF!</v>
      </c>
      <c r="AG76" s="168" t="str">
        <f>'2026 Pipeline'!CT14</f>
        <v>#REF!</v>
      </c>
      <c r="AH76" s="168" t="str">
        <f>'2026 Pipeline'!S14</f>
        <v>#REF!</v>
      </c>
      <c r="AI76" s="168" t="str">
        <f t="shared" ref="AI76:AJ76" si="159">#REF!</f>
        <v>#REF!</v>
      </c>
      <c r="AJ76" s="168" t="str">
        <f t="shared" si="159"/>
        <v>#REF!</v>
      </c>
    </row>
    <row r="77" ht="15.75" customHeight="1">
      <c r="A77" s="168" t="str">
        <f t="shared" ref="A77:T77" si="160">if(#REF!=$D$1,#REF!,"")</f>
        <v>#REF!</v>
      </c>
      <c r="B77" s="168" t="str">
        <f t="shared" si="160"/>
        <v>#REF!</v>
      </c>
      <c r="C77" s="168" t="str">
        <f t="shared" si="160"/>
        <v>#REF!</v>
      </c>
      <c r="D77" s="168" t="str">
        <f t="shared" si="160"/>
        <v>#REF!</v>
      </c>
      <c r="E77" s="168" t="str">
        <f t="shared" si="160"/>
        <v>#REF!</v>
      </c>
      <c r="F77" s="168" t="str">
        <f t="shared" si="160"/>
        <v>#REF!</v>
      </c>
      <c r="G77" s="168" t="str">
        <f t="shared" si="160"/>
        <v>#REF!</v>
      </c>
      <c r="H77" s="168" t="str">
        <f t="shared" si="160"/>
        <v>#REF!</v>
      </c>
      <c r="I77" s="168" t="str">
        <f t="shared" si="160"/>
        <v>#REF!</v>
      </c>
      <c r="J77" s="168" t="str">
        <f t="shared" si="160"/>
        <v>#REF!</v>
      </c>
      <c r="K77" s="168" t="str">
        <f t="shared" si="160"/>
        <v>#REF!</v>
      </c>
      <c r="L77" s="168" t="str">
        <f t="shared" si="160"/>
        <v>#REF!</v>
      </c>
      <c r="M77" s="168" t="str">
        <f t="shared" si="160"/>
        <v>#REF!</v>
      </c>
      <c r="N77" s="168" t="str">
        <f t="shared" si="160"/>
        <v>#REF!</v>
      </c>
      <c r="O77" s="168" t="str">
        <f t="shared" si="160"/>
        <v>#REF!</v>
      </c>
      <c r="P77" s="168" t="str">
        <f t="shared" si="160"/>
        <v>#REF!</v>
      </c>
      <c r="Q77" s="168" t="str">
        <f t="shared" si="160"/>
        <v>#REF!</v>
      </c>
      <c r="R77" s="168" t="str">
        <f t="shared" si="160"/>
        <v>#REF!</v>
      </c>
      <c r="S77" s="168" t="str">
        <f t="shared" si="160"/>
        <v>#REF!</v>
      </c>
      <c r="T77" s="168" t="str">
        <f t="shared" si="160"/>
        <v>#REF!</v>
      </c>
      <c r="U77" s="168" t="str">
        <f t="shared" ref="U77:AJ77" si="161">#REF!</f>
        <v>#REF!</v>
      </c>
      <c r="V77" s="168" t="str">
        <f t="shared" si="161"/>
        <v>#REF!</v>
      </c>
      <c r="W77" s="168" t="str">
        <f t="shared" si="161"/>
        <v>#REF!</v>
      </c>
      <c r="X77" s="168" t="str">
        <f t="shared" si="161"/>
        <v>#REF!</v>
      </c>
      <c r="Y77" s="168" t="str">
        <f t="shared" si="161"/>
        <v>#REF!</v>
      </c>
      <c r="Z77" s="168" t="str">
        <f t="shared" si="161"/>
        <v>#REF!</v>
      </c>
      <c r="AA77" s="168" t="str">
        <f t="shared" si="161"/>
        <v>#REF!</v>
      </c>
      <c r="AB77" s="168" t="str">
        <f t="shared" si="161"/>
        <v>#REF!</v>
      </c>
      <c r="AC77" s="168" t="str">
        <f t="shared" si="161"/>
        <v>#REF!</v>
      </c>
      <c r="AD77" s="168" t="str">
        <f t="shared" si="161"/>
        <v>#REF!</v>
      </c>
      <c r="AE77" s="168" t="str">
        <f t="shared" si="161"/>
        <v>#REF!</v>
      </c>
      <c r="AF77" s="168" t="str">
        <f t="shared" si="161"/>
        <v>#REF!</v>
      </c>
      <c r="AG77" s="168" t="str">
        <f t="shared" si="161"/>
        <v>#REF!</v>
      </c>
      <c r="AH77" s="168" t="str">
        <f t="shared" si="161"/>
        <v>#REF!</v>
      </c>
      <c r="AI77" s="168" t="str">
        <f t="shared" si="161"/>
        <v>#REF!</v>
      </c>
      <c r="AJ77" s="168" t="str">
        <f t="shared" si="161"/>
        <v>#REF!</v>
      </c>
    </row>
    <row r="78" ht="15.75" customHeight="1">
      <c r="A78" s="168" t="str">
        <f>if('2026 Pipeline'!$M15=$D$1,'2026 Pipeline'!C15,"")</f>
        <v>#REF!</v>
      </c>
      <c r="B78" s="168" t="str">
        <f t="shared" ref="B78:C78" si="162">if('2026 Pipeline'!$M15=$D$1,'2026 Pipeline'!J15,"")</f>
        <v>#REF!</v>
      </c>
      <c r="C78" s="168" t="str">
        <f t="shared" si="162"/>
        <v>#REF!</v>
      </c>
      <c r="D78" s="168" t="str">
        <f t="shared" ref="D78:F78" si="163">if('2026 Pipeline'!$M15=$D$1,'2026 Pipeline'!M15,"")</f>
        <v>#REF!</v>
      </c>
      <c r="E78" s="168" t="str">
        <f t="shared" si="163"/>
        <v>#REF!</v>
      </c>
      <c r="F78" s="168" t="str">
        <f t="shared" si="163"/>
        <v>#REF!</v>
      </c>
      <c r="G78" s="168" t="str">
        <f>if('2026 Pipeline'!$M15=$D$1,'2026 Pipeline'!Q15,"")</f>
        <v>#REF!</v>
      </c>
      <c r="H78" s="168" t="str">
        <f>if('2026 Pipeline'!$M15=$D$1,'2026 Pipeline'!P15,"")</f>
        <v>#REF!</v>
      </c>
      <c r="I78" s="168" t="str">
        <f>if('2026 Pipeline'!$M15=$D$1,'2026 Pipeline'!R15,"")</f>
        <v>#REF!</v>
      </c>
      <c r="J78" s="168" t="str">
        <f t="shared" ref="J78:L78" si="164">if('2026 Pipeline'!$M15=$D$1,'2026 Pipeline'!V15,"")</f>
        <v>#REF!</v>
      </c>
      <c r="K78" s="168" t="str">
        <f t="shared" si="164"/>
        <v>#REF!</v>
      </c>
      <c r="L78" s="168" t="str">
        <f t="shared" si="164"/>
        <v>#REF!</v>
      </c>
      <c r="M78" s="168" t="str">
        <f t="shared" ref="M78:O78" si="165">if('2026 Pipeline'!$M15=$D$1,#REF!,"")</f>
        <v>#REF!</v>
      </c>
      <c r="N78" s="168" t="str">
        <f t="shared" si="165"/>
        <v>#REF!</v>
      </c>
      <c r="O78" s="168" t="str">
        <f t="shared" si="165"/>
        <v>#REF!</v>
      </c>
      <c r="P78" s="168" t="str">
        <f>if('2026 Pipeline'!$M15=$D$1,'2026 Pipeline'!AA15,"")</f>
        <v>#REF!</v>
      </c>
      <c r="Q78" s="168" t="str">
        <f>if('2026 Pipeline'!$M15=$D$1,'2026 Pipeline'!Y15,"")</f>
        <v>#REF!</v>
      </c>
      <c r="R78" s="168" t="str">
        <f>if('2026 Pipeline'!$M15=$D$1,#REF!,"")</f>
        <v>#REF!</v>
      </c>
      <c r="S78" s="168" t="str">
        <f>if('2026 Pipeline'!$M15=$D$1,'2026 Pipeline'!L15,"")</f>
        <v>#REF!</v>
      </c>
      <c r="T78" s="168" t="str">
        <f>if('2026 Pipeline'!$M15=$D$1,'2026 Pipeline'!CD15,"")</f>
        <v>#REF!</v>
      </c>
      <c r="U78" s="168" t="str">
        <f t="shared" ref="U78:AJ78" si="166">#REF!</f>
        <v>#REF!</v>
      </c>
      <c r="V78" s="168" t="str">
        <f t="shared" si="166"/>
        <v>#REF!</v>
      </c>
      <c r="W78" s="168" t="str">
        <f t="shared" si="166"/>
        <v>#REF!</v>
      </c>
      <c r="X78" s="168" t="str">
        <f t="shared" si="166"/>
        <v>#REF!</v>
      </c>
      <c r="Y78" s="168" t="str">
        <f t="shared" si="166"/>
        <v>#REF!</v>
      </c>
      <c r="Z78" s="168" t="str">
        <f t="shared" si="166"/>
        <v>#REF!</v>
      </c>
      <c r="AA78" s="168" t="str">
        <f t="shared" si="166"/>
        <v>#REF!</v>
      </c>
      <c r="AB78" s="168" t="str">
        <f t="shared" si="166"/>
        <v>#REF!</v>
      </c>
      <c r="AC78" s="168" t="str">
        <f t="shared" si="166"/>
        <v>#REF!</v>
      </c>
      <c r="AD78" s="168" t="str">
        <f t="shared" si="166"/>
        <v>#REF!</v>
      </c>
      <c r="AE78" s="168" t="str">
        <f t="shared" si="166"/>
        <v>#REF!</v>
      </c>
      <c r="AF78" s="168" t="str">
        <f t="shared" si="166"/>
        <v>#REF!</v>
      </c>
      <c r="AG78" s="168" t="str">
        <f t="shared" si="166"/>
        <v>#REF!</v>
      </c>
      <c r="AH78" s="168" t="str">
        <f t="shared" si="166"/>
        <v>#REF!</v>
      </c>
      <c r="AI78" s="168" t="str">
        <f t="shared" si="166"/>
        <v>#REF!</v>
      </c>
      <c r="AJ78" s="168" t="str">
        <f t="shared" si="166"/>
        <v>#REF!</v>
      </c>
    </row>
    <row r="79" ht="15.75" customHeight="1">
      <c r="A79" s="168" t="str">
        <f t="shared" ref="A79:T79" si="167">if(#REF!=$D$1,#REF!,"")</f>
        <v>#REF!</v>
      </c>
      <c r="B79" s="168" t="str">
        <f t="shared" si="167"/>
        <v>#REF!</v>
      </c>
      <c r="C79" s="168" t="str">
        <f t="shared" si="167"/>
        <v>#REF!</v>
      </c>
      <c r="D79" s="168" t="str">
        <f t="shared" si="167"/>
        <v>#REF!</v>
      </c>
      <c r="E79" s="168" t="str">
        <f t="shared" si="167"/>
        <v>#REF!</v>
      </c>
      <c r="F79" s="168" t="str">
        <f t="shared" si="167"/>
        <v>#REF!</v>
      </c>
      <c r="G79" s="168" t="str">
        <f t="shared" si="167"/>
        <v>#REF!</v>
      </c>
      <c r="H79" s="168" t="str">
        <f t="shared" si="167"/>
        <v>#REF!</v>
      </c>
      <c r="I79" s="168" t="str">
        <f t="shared" si="167"/>
        <v>#REF!</v>
      </c>
      <c r="J79" s="168" t="str">
        <f t="shared" si="167"/>
        <v>#REF!</v>
      </c>
      <c r="K79" s="168" t="str">
        <f t="shared" si="167"/>
        <v>#REF!</v>
      </c>
      <c r="L79" s="168" t="str">
        <f t="shared" si="167"/>
        <v>#REF!</v>
      </c>
      <c r="M79" s="168" t="str">
        <f t="shared" si="167"/>
        <v>#REF!</v>
      </c>
      <c r="N79" s="168" t="str">
        <f t="shared" si="167"/>
        <v>#REF!</v>
      </c>
      <c r="O79" s="168" t="str">
        <f t="shared" si="167"/>
        <v>#REF!</v>
      </c>
      <c r="P79" s="168" t="str">
        <f t="shared" si="167"/>
        <v>#REF!</v>
      </c>
      <c r="Q79" s="168" t="str">
        <f t="shared" si="167"/>
        <v>#REF!</v>
      </c>
      <c r="R79" s="168" t="str">
        <f t="shared" si="167"/>
        <v>#REF!</v>
      </c>
      <c r="S79" s="168" t="str">
        <f t="shared" si="167"/>
        <v>#REF!</v>
      </c>
      <c r="T79" s="168" t="str">
        <f t="shared" si="167"/>
        <v>#REF!</v>
      </c>
      <c r="U79" s="168" t="str">
        <f t="shared" ref="U79:AJ79" si="168">#REF!</f>
        <v>#REF!</v>
      </c>
      <c r="V79" s="168" t="str">
        <f t="shared" si="168"/>
        <v>#REF!</v>
      </c>
      <c r="W79" s="168" t="str">
        <f t="shared" si="168"/>
        <v>#REF!</v>
      </c>
      <c r="X79" s="168" t="str">
        <f t="shared" si="168"/>
        <v>#REF!</v>
      </c>
      <c r="Y79" s="168" t="str">
        <f t="shared" si="168"/>
        <v>#REF!</v>
      </c>
      <c r="Z79" s="168" t="str">
        <f t="shared" si="168"/>
        <v>#REF!</v>
      </c>
      <c r="AA79" s="168" t="str">
        <f t="shared" si="168"/>
        <v>#REF!</v>
      </c>
      <c r="AB79" s="168" t="str">
        <f t="shared" si="168"/>
        <v>#REF!</v>
      </c>
      <c r="AC79" s="168" t="str">
        <f t="shared" si="168"/>
        <v>#REF!</v>
      </c>
      <c r="AD79" s="168" t="str">
        <f t="shared" si="168"/>
        <v>#REF!</v>
      </c>
      <c r="AE79" s="168" t="str">
        <f t="shared" si="168"/>
        <v>#REF!</v>
      </c>
      <c r="AF79" s="168" t="str">
        <f t="shared" si="168"/>
        <v>#REF!</v>
      </c>
      <c r="AG79" s="168" t="str">
        <f t="shared" si="168"/>
        <v>#REF!</v>
      </c>
      <c r="AH79" s="168" t="str">
        <f t="shared" si="168"/>
        <v>#REF!</v>
      </c>
      <c r="AI79" s="168" t="str">
        <f t="shared" si="168"/>
        <v>#REF!</v>
      </c>
      <c r="AJ79" s="168" t="str">
        <f t="shared" si="168"/>
        <v>#REF!</v>
      </c>
    </row>
    <row r="80" ht="15.75" customHeight="1">
      <c r="A80" s="168" t="str">
        <f>if('2026 Pipeline'!$M16=$D$1,'2026 Pipeline'!C16,"")</f>
        <v>#REF!</v>
      </c>
      <c r="B80" s="168" t="str">
        <f t="shared" ref="B80:C80" si="169">if('2026 Pipeline'!$M16=$D$1,'2026 Pipeline'!J16,"")</f>
        <v>#REF!</v>
      </c>
      <c r="C80" s="168" t="str">
        <f t="shared" si="169"/>
        <v>#REF!</v>
      </c>
      <c r="D80" s="168" t="str">
        <f t="shared" ref="D80:F80" si="170">if('2026 Pipeline'!$M16=$D$1,'2026 Pipeline'!M16,"")</f>
        <v>#REF!</v>
      </c>
      <c r="E80" s="168" t="str">
        <f t="shared" si="170"/>
        <v>#REF!</v>
      </c>
      <c r="F80" s="168" t="str">
        <f t="shared" si="170"/>
        <v>#REF!</v>
      </c>
      <c r="G80" s="168" t="str">
        <f>if('2026 Pipeline'!$M16=$D$1,'2026 Pipeline'!Q16,"")</f>
        <v>#REF!</v>
      </c>
      <c r="H80" s="168" t="str">
        <f>if('2026 Pipeline'!$M16=$D$1,'2026 Pipeline'!P16,"")</f>
        <v>#REF!</v>
      </c>
      <c r="I80" s="168" t="str">
        <f>if('2026 Pipeline'!$M16=$D$1,'2026 Pipeline'!R16,"")</f>
        <v>#REF!</v>
      </c>
      <c r="J80" s="168" t="str">
        <f t="shared" ref="J80:L80" si="171">if('2026 Pipeline'!$M16=$D$1,'2026 Pipeline'!V16,"")</f>
        <v>#REF!</v>
      </c>
      <c r="K80" s="168" t="str">
        <f t="shared" si="171"/>
        <v>#REF!</v>
      </c>
      <c r="L80" s="168" t="str">
        <f t="shared" si="171"/>
        <v>#REF!</v>
      </c>
      <c r="M80" s="168" t="str">
        <f t="shared" ref="M80:O80" si="172">if('2026 Pipeline'!$M16=$D$1,#REF!,"")</f>
        <v>#REF!</v>
      </c>
      <c r="N80" s="168" t="str">
        <f t="shared" si="172"/>
        <v>#REF!</v>
      </c>
      <c r="O80" s="168" t="str">
        <f t="shared" si="172"/>
        <v>#REF!</v>
      </c>
      <c r="P80" s="168" t="str">
        <f>if('2026 Pipeline'!$M16=$D$1,'2026 Pipeline'!AA16,"")</f>
        <v>#REF!</v>
      </c>
      <c r="Q80" s="168" t="str">
        <f>if('2026 Pipeline'!$M16=$D$1,'2026 Pipeline'!Y16,"")</f>
        <v>#REF!</v>
      </c>
      <c r="R80" s="168" t="str">
        <f>if('2026 Pipeline'!$M16=$D$1,#REF!,"")</f>
        <v>#REF!</v>
      </c>
      <c r="S80" s="168" t="str">
        <f>if('2026 Pipeline'!$M16=$D$1,'2026 Pipeline'!L16,"")</f>
        <v>#REF!</v>
      </c>
      <c r="T80" s="168" t="str">
        <f>if('2026 Pipeline'!$M16=$D$1,'2026 Pipeline'!CD16,"")</f>
        <v>#REF!</v>
      </c>
      <c r="U80" s="168" t="str">
        <f>'2026 Pipeline'!AP15</f>
        <v>#REF!</v>
      </c>
      <c r="V80" s="168" t="str">
        <f t="shared" ref="V80:Z80" si="173">'2026 Pipeline'!CJ15</f>
        <v>#REF!</v>
      </c>
      <c r="W80" s="168" t="str">
        <f t="shared" si="173"/>
        <v>#REF!</v>
      </c>
      <c r="X80" s="168" t="str">
        <f t="shared" si="173"/>
        <v>#REF!</v>
      </c>
      <c r="Y80" s="168" t="str">
        <f t="shared" si="173"/>
        <v>#REF!</v>
      </c>
      <c r="Z80" s="168" t="str">
        <f t="shared" si="173"/>
        <v>#REF!</v>
      </c>
      <c r="AA80" s="168" t="str">
        <f t="shared" ref="AA80:AF80" si="174">#REF!</f>
        <v>#REF!</v>
      </c>
      <c r="AB80" s="168" t="str">
        <f t="shared" si="174"/>
        <v>#REF!</v>
      </c>
      <c r="AC80" s="168" t="str">
        <f t="shared" si="174"/>
        <v>#REF!</v>
      </c>
      <c r="AD80" s="168" t="str">
        <f t="shared" si="174"/>
        <v>#REF!</v>
      </c>
      <c r="AE80" s="168" t="str">
        <f t="shared" si="174"/>
        <v>#REF!</v>
      </c>
      <c r="AF80" s="168" t="str">
        <f t="shared" si="174"/>
        <v>#REF!</v>
      </c>
      <c r="AG80" s="168" t="str">
        <f>'2026 Pipeline'!CT15</f>
        <v>#REF!</v>
      </c>
      <c r="AH80" s="168" t="str">
        <f>'2026 Pipeline'!S15</f>
        <v>#REF!</v>
      </c>
      <c r="AI80" s="168" t="str">
        <f t="shared" ref="AI80:AJ80" si="175">#REF!</f>
        <v>#REF!</v>
      </c>
      <c r="AJ80" s="168" t="str">
        <f t="shared" si="175"/>
        <v>#REF!</v>
      </c>
    </row>
    <row r="81" ht="15.75" customHeight="1">
      <c r="A81" s="168" t="str">
        <f t="shared" ref="A81:T81" si="176">if(#REF!=$D$1,#REF!,"")</f>
        <v>#REF!</v>
      </c>
      <c r="B81" s="168" t="str">
        <f t="shared" si="176"/>
        <v>#REF!</v>
      </c>
      <c r="C81" s="168" t="str">
        <f t="shared" si="176"/>
        <v>#REF!</v>
      </c>
      <c r="D81" s="168" t="str">
        <f t="shared" si="176"/>
        <v>#REF!</v>
      </c>
      <c r="E81" s="168" t="str">
        <f t="shared" si="176"/>
        <v>#REF!</v>
      </c>
      <c r="F81" s="168" t="str">
        <f t="shared" si="176"/>
        <v>#REF!</v>
      </c>
      <c r="G81" s="168" t="str">
        <f t="shared" si="176"/>
        <v>#REF!</v>
      </c>
      <c r="H81" s="168" t="str">
        <f t="shared" si="176"/>
        <v>#REF!</v>
      </c>
      <c r="I81" s="168" t="str">
        <f t="shared" si="176"/>
        <v>#REF!</v>
      </c>
      <c r="J81" s="168" t="str">
        <f t="shared" si="176"/>
        <v>#REF!</v>
      </c>
      <c r="K81" s="168" t="str">
        <f t="shared" si="176"/>
        <v>#REF!</v>
      </c>
      <c r="L81" s="168" t="str">
        <f t="shared" si="176"/>
        <v>#REF!</v>
      </c>
      <c r="M81" s="168" t="str">
        <f t="shared" si="176"/>
        <v>#REF!</v>
      </c>
      <c r="N81" s="168" t="str">
        <f t="shared" si="176"/>
        <v>#REF!</v>
      </c>
      <c r="O81" s="168" t="str">
        <f t="shared" si="176"/>
        <v>#REF!</v>
      </c>
      <c r="P81" s="168" t="str">
        <f t="shared" si="176"/>
        <v>#REF!</v>
      </c>
      <c r="Q81" s="168" t="str">
        <f t="shared" si="176"/>
        <v>#REF!</v>
      </c>
      <c r="R81" s="168" t="str">
        <f t="shared" si="176"/>
        <v>#REF!</v>
      </c>
      <c r="S81" s="168" t="str">
        <f t="shared" si="176"/>
        <v>#REF!</v>
      </c>
      <c r="T81" s="168" t="str">
        <f t="shared" si="176"/>
        <v>#REF!</v>
      </c>
      <c r="U81" s="168" t="str">
        <f t="shared" ref="U81:AJ81" si="177">#REF!</f>
        <v>#REF!</v>
      </c>
      <c r="V81" s="168" t="str">
        <f t="shared" si="177"/>
        <v>#REF!</v>
      </c>
      <c r="W81" s="168" t="str">
        <f t="shared" si="177"/>
        <v>#REF!</v>
      </c>
      <c r="X81" s="168" t="str">
        <f t="shared" si="177"/>
        <v>#REF!</v>
      </c>
      <c r="Y81" s="168" t="str">
        <f t="shared" si="177"/>
        <v>#REF!</v>
      </c>
      <c r="Z81" s="168" t="str">
        <f t="shared" si="177"/>
        <v>#REF!</v>
      </c>
      <c r="AA81" s="168" t="str">
        <f t="shared" si="177"/>
        <v>#REF!</v>
      </c>
      <c r="AB81" s="168" t="str">
        <f t="shared" si="177"/>
        <v>#REF!</v>
      </c>
      <c r="AC81" s="168" t="str">
        <f t="shared" si="177"/>
        <v>#REF!</v>
      </c>
      <c r="AD81" s="168" t="str">
        <f t="shared" si="177"/>
        <v>#REF!</v>
      </c>
      <c r="AE81" s="168" t="str">
        <f t="shared" si="177"/>
        <v>#REF!</v>
      </c>
      <c r="AF81" s="168" t="str">
        <f t="shared" si="177"/>
        <v>#REF!</v>
      </c>
      <c r="AG81" s="168" t="str">
        <f t="shared" si="177"/>
        <v>#REF!</v>
      </c>
      <c r="AH81" s="168" t="str">
        <f t="shared" si="177"/>
        <v>#REF!</v>
      </c>
      <c r="AI81" s="168" t="str">
        <f t="shared" si="177"/>
        <v>#REF!</v>
      </c>
      <c r="AJ81" s="168" t="str">
        <f t="shared" si="177"/>
        <v>#REF!</v>
      </c>
    </row>
    <row r="82" ht="15.75" customHeight="1">
      <c r="A82" s="168" t="str">
        <f t="shared" ref="A82:T82" si="178">if(#REF!=$D$1,#REF!,"")</f>
        <v>#REF!</v>
      </c>
      <c r="B82" s="168" t="str">
        <f t="shared" si="178"/>
        <v>#REF!</v>
      </c>
      <c r="C82" s="168" t="str">
        <f t="shared" si="178"/>
        <v>#REF!</v>
      </c>
      <c r="D82" s="168" t="str">
        <f t="shared" si="178"/>
        <v>#REF!</v>
      </c>
      <c r="E82" s="168" t="str">
        <f t="shared" si="178"/>
        <v>#REF!</v>
      </c>
      <c r="F82" s="168" t="str">
        <f t="shared" si="178"/>
        <v>#REF!</v>
      </c>
      <c r="G82" s="168" t="str">
        <f t="shared" si="178"/>
        <v>#REF!</v>
      </c>
      <c r="H82" s="168" t="str">
        <f t="shared" si="178"/>
        <v>#REF!</v>
      </c>
      <c r="I82" s="168" t="str">
        <f t="shared" si="178"/>
        <v>#REF!</v>
      </c>
      <c r="J82" s="168" t="str">
        <f t="shared" si="178"/>
        <v>#REF!</v>
      </c>
      <c r="K82" s="168" t="str">
        <f t="shared" si="178"/>
        <v>#REF!</v>
      </c>
      <c r="L82" s="168" t="str">
        <f t="shared" si="178"/>
        <v>#REF!</v>
      </c>
      <c r="M82" s="168" t="str">
        <f t="shared" si="178"/>
        <v>#REF!</v>
      </c>
      <c r="N82" s="168" t="str">
        <f t="shared" si="178"/>
        <v>#REF!</v>
      </c>
      <c r="O82" s="168" t="str">
        <f t="shared" si="178"/>
        <v>#REF!</v>
      </c>
      <c r="P82" s="168" t="str">
        <f t="shared" si="178"/>
        <v>#REF!</v>
      </c>
      <c r="Q82" s="168" t="str">
        <f t="shared" si="178"/>
        <v>#REF!</v>
      </c>
      <c r="R82" s="168" t="str">
        <f t="shared" si="178"/>
        <v>#REF!</v>
      </c>
      <c r="S82" s="168" t="str">
        <f t="shared" si="178"/>
        <v>#REF!</v>
      </c>
      <c r="T82" s="168" t="str">
        <f t="shared" si="178"/>
        <v>#REF!</v>
      </c>
      <c r="U82" s="168" t="str">
        <f>'2026 Pipeline'!AP16</f>
        <v>#REF!</v>
      </c>
      <c r="V82" s="168" t="str">
        <f t="shared" ref="V82:Z82" si="179">'2026 Pipeline'!CJ16</f>
        <v>#REF!</v>
      </c>
      <c r="W82" s="168" t="str">
        <f t="shared" si="179"/>
        <v>#REF!</v>
      </c>
      <c r="X82" s="168" t="str">
        <f t="shared" si="179"/>
        <v>#REF!</v>
      </c>
      <c r="Y82" s="168" t="str">
        <f t="shared" si="179"/>
        <v>#REF!</v>
      </c>
      <c r="Z82" s="168" t="str">
        <f t="shared" si="179"/>
        <v>#REF!</v>
      </c>
      <c r="AA82" s="168" t="str">
        <f t="shared" ref="AA82:AF82" si="180">#REF!</f>
        <v>#REF!</v>
      </c>
      <c r="AB82" s="168" t="str">
        <f t="shared" si="180"/>
        <v>#REF!</v>
      </c>
      <c r="AC82" s="168" t="str">
        <f t="shared" si="180"/>
        <v>#REF!</v>
      </c>
      <c r="AD82" s="168" t="str">
        <f t="shared" si="180"/>
        <v>#REF!</v>
      </c>
      <c r="AE82" s="168" t="str">
        <f t="shared" si="180"/>
        <v>#REF!</v>
      </c>
      <c r="AF82" s="168" t="str">
        <f t="shared" si="180"/>
        <v>#REF!</v>
      </c>
      <c r="AG82" s="168" t="str">
        <f>'2026 Pipeline'!CT16</f>
        <v>#REF!</v>
      </c>
      <c r="AH82" s="168" t="str">
        <f>'2026 Pipeline'!S16</f>
        <v>#REF!</v>
      </c>
      <c r="AI82" s="168" t="str">
        <f t="shared" ref="AI82:AJ82" si="181">#REF!</f>
        <v>#REF!</v>
      </c>
      <c r="AJ82" s="168" t="str">
        <f t="shared" si="181"/>
        <v>#REF!</v>
      </c>
    </row>
    <row r="83" ht="15.75" customHeight="1">
      <c r="A83" s="168" t="str">
        <f t="shared" ref="A83:T83" si="182">if(#REF!=$D$1,#REF!,"")</f>
        <v>#REF!</v>
      </c>
      <c r="B83" s="168" t="str">
        <f t="shared" si="182"/>
        <v>#REF!</v>
      </c>
      <c r="C83" s="168" t="str">
        <f t="shared" si="182"/>
        <v>#REF!</v>
      </c>
      <c r="D83" s="168" t="str">
        <f t="shared" si="182"/>
        <v>#REF!</v>
      </c>
      <c r="E83" s="168" t="str">
        <f t="shared" si="182"/>
        <v>#REF!</v>
      </c>
      <c r="F83" s="168" t="str">
        <f t="shared" si="182"/>
        <v>#REF!</v>
      </c>
      <c r="G83" s="168" t="str">
        <f t="shared" si="182"/>
        <v>#REF!</v>
      </c>
      <c r="H83" s="168" t="str">
        <f t="shared" si="182"/>
        <v>#REF!</v>
      </c>
      <c r="I83" s="168" t="str">
        <f t="shared" si="182"/>
        <v>#REF!</v>
      </c>
      <c r="J83" s="168" t="str">
        <f t="shared" si="182"/>
        <v>#REF!</v>
      </c>
      <c r="K83" s="168" t="str">
        <f t="shared" si="182"/>
        <v>#REF!</v>
      </c>
      <c r="L83" s="168" t="str">
        <f t="shared" si="182"/>
        <v>#REF!</v>
      </c>
      <c r="M83" s="168" t="str">
        <f t="shared" si="182"/>
        <v>#REF!</v>
      </c>
      <c r="N83" s="168" t="str">
        <f t="shared" si="182"/>
        <v>#REF!</v>
      </c>
      <c r="O83" s="168" t="str">
        <f t="shared" si="182"/>
        <v>#REF!</v>
      </c>
      <c r="P83" s="168" t="str">
        <f t="shared" si="182"/>
        <v>#REF!</v>
      </c>
      <c r="Q83" s="168" t="str">
        <f t="shared" si="182"/>
        <v>#REF!</v>
      </c>
      <c r="R83" s="168" t="str">
        <f t="shared" si="182"/>
        <v>#REF!</v>
      </c>
      <c r="S83" s="168" t="str">
        <f t="shared" si="182"/>
        <v>#REF!</v>
      </c>
      <c r="T83" s="168" t="str">
        <f t="shared" si="182"/>
        <v>#REF!</v>
      </c>
      <c r="U83" s="168" t="str">
        <f t="shared" ref="U83:AJ83" si="183">#REF!</f>
        <v>#REF!</v>
      </c>
      <c r="V83" s="168" t="str">
        <f t="shared" si="183"/>
        <v>#REF!</v>
      </c>
      <c r="W83" s="168" t="str">
        <f t="shared" si="183"/>
        <v>#REF!</v>
      </c>
      <c r="X83" s="168" t="str">
        <f t="shared" si="183"/>
        <v>#REF!</v>
      </c>
      <c r="Y83" s="168" t="str">
        <f t="shared" si="183"/>
        <v>#REF!</v>
      </c>
      <c r="Z83" s="168" t="str">
        <f t="shared" si="183"/>
        <v>#REF!</v>
      </c>
      <c r="AA83" s="168" t="str">
        <f t="shared" si="183"/>
        <v>#REF!</v>
      </c>
      <c r="AB83" s="168" t="str">
        <f t="shared" si="183"/>
        <v>#REF!</v>
      </c>
      <c r="AC83" s="168" t="str">
        <f t="shared" si="183"/>
        <v>#REF!</v>
      </c>
      <c r="AD83" s="168" t="str">
        <f t="shared" si="183"/>
        <v>#REF!</v>
      </c>
      <c r="AE83" s="168" t="str">
        <f t="shared" si="183"/>
        <v>#REF!</v>
      </c>
      <c r="AF83" s="168" t="str">
        <f t="shared" si="183"/>
        <v>#REF!</v>
      </c>
      <c r="AG83" s="168" t="str">
        <f t="shared" si="183"/>
        <v>#REF!</v>
      </c>
      <c r="AH83" s="168" t="str">
        <f t="shared" si="183"/>
        <v>#REF!</v>
      </c>
      <c r="AI83" s="168" t="str">
        <f t="shared" si="183"/>
        <v>#REF!</v>
      </c>
      <c r="AJ83" s="168" t="str">
        <f t="shared" si="183"/>
        <v>#REF!</v>
      </c>
    </row>
    <row r="84" ht="15.75" customHeight="1">
      <c r="A84" s="168" t="str">
        <f t="shared" ref="A84:T84" si="184">if(#REF!=$D$1,#REF!,"")</f>
        <v>#REF!</v>
      </c>
      <c r="B84" s="168" t="str">
        <f t="shared" si="184"/>
        <v>#REF!</v>
      </c>
      <c r="C84" s="168" t="str">
        <f t="shared" si="184"/>
        <v>#REF!</v>
      </c>
      <c r="D84" s="168" t="str">
        <f t="shared" si="184"/>
        <v>#REF!</v>
      </c>
      <c r="E84" s="168" t="str">
        <f t="shared" si="184"/>
        <v>#REF!</v>
      </c>
      <c r="F84" s="168" t="str">
        <f t="shared" si="184"/>
        <v>#REF!</v>
      </c>
      <c r="G84" s="168" t="str">
        <f t="shared" si="184"/>
        <v>#REF!</v>
      </c>
      <c r="H84" s="168" t="str">
        <f t="shared" si="184"/>
        <v>#REF!</v>
      </c>
      <c r="I84" s="168" t="str">
        <f t="shared" si="184"/>
        <v>#REF!</v>
      </c>
      <c r="J84" s="168" t="str">
        <f t="shared" si="184"/>
        <v>#REF!</v>
      </c>
      <c r="K84" s="168" t="str">
        <f t="shared" si="184"/>
        <v>#REF!</v>
      </c>
      <c r="L84" s="168" t="str">
        <f t="shared" si="184"/>
        <v>#REF!</v>
      </c>
      <c r="M84" s="168" t="str">
        <f t="shared" si="184"/>
        <v>#REF!</v>
      </c>
      <c r="N84" s="168" t="str">
        <f t="shared" si="184"/>
        <v>#REF!</v>
      </c>
      <c r="O84" s="168" t="str">
        <f t="shared" si="184"/>
        <v>#REF!</v>
      </c>
      <c r="P84" s="168" t="str">
        <f t="shared" si="184"/>
        <v>#REF!</v>
      </c>
      <c r="Q84" s="168" t="str">
        <f t="shared" si="184"/>
        <v>#REF!</v>
      </c>
      <c r="R84" s="168" t="str">
        <f t="shared" si="184"/>
        <v>#REF!</v>
      </c>
      <c r="S84" s="168" t="str">
        <f t="shared" si="184"/>
        <v>#REF!</v>
      </c>
      <c r="T84" s="168" t="str">
        <f t="shared" si="184"/>
        <v>#REF!</v>
      </c>
      <c r="U84" s="168" t="str">
        <f t="shared" ref="U84:AJ84" si="185">#REF!</f>
        <v>#REF!</v>
      </c>
      <c r="V84" s="168" t="str">
        <f t="shared" si="185"/>
        <v>#REF!</v>
      </c>
      <c r="W84" s="168" t="str">
        <f t="shared" si="185"/>
        <v>#REF!</v>
      </c>
      <c r="X84" s="168" t="str">
        <f t="shared" si="185"/>
        <v>#REF!</v>
      </c>
      <c r="Y84" s="168" t="str">
        <f t="shared" si="185"/>
        <v>#REF!</v>
      </c>
      <c r="Z84" s="168" t="str">
        <f t="shared" si="185"/>
        <v>#REF!</v>
      </c>
      <c r="AA84" s="168" t="str">
        <f t="shared" si="185"/>
        <v>#REF!</v>
      </c>
      <c r="AB84" s="168" t="str">
        <f t="shared" si="185"/>
        <v>#REF!</v>
      </c>
      <c r="AC84" s="168" t="str">
        <f t="shared" si="185"/>
        <v>#REF!</v>
      </c>
      <c r="AD84" s="168" t="str">
        <f t="shared" si="185"/>
        <v>#REF!</v>
      </c>
      <c r="AE84" s="168" t="str">
        <f t="shared" si="185"/>
        <v>#REF!</v>
      </c>
      <c r="AF84" s="168" t="str">
        <f t="shared" si="185"/>
        <v>#REF!</v>
      </c>
      <c r="AG84" s="168" t="str">
        <f t="shared" si="185"/>
        <v>#REF!</v>
      </c>
      <c r="AH84" s="168" t="str">
        <f t="shared" si="185"/>
        <v>#REF!</v>
      </c>
      <c r="AI84" s="168" t="str">
        <f t="shared" si="185"/>
        <v>#REF!</v>
      </c>
      <c r="AJ84" s="168" t="str">
        <f t="shared" si="185"/>
        <v>#REF!</v>
      </c>
    </row>
    <row r="85" ht="15.75" customHeight="1">
      <c r="A85" s="168" t="str">
        <f t="shared" ref="A85:T85" si="186">if(#REF!=$D$1,#REF!,"")</f>
        <v>#REF!</v>
      </c>
      <c r="B85" s="168" t="str">
        <f t="shared" si="186"/>
        <v>#REF!</v>
      </c>
      <c r="C85" s="168" t="str">
        <f t="shared" si="186"/>
        <v>#REF!</v>
      </c>
      <c r="D85" s="168" t="str">
        <f t="shared" si="186"/>
        <v>#REF!</v>
      </c>
      <c r="E85" s="168" t="str">
        <f t="shared" si="186"/>
        <v>#REF!</v>
      </c>
      <c r="F85" s="168" t="str">
        <f t="shared" si="186"/>
        <v>#REF!</v>
      </c>
      <c r="G85" s="168" t="str">
        <f t="shared" si="186"/>
        <v>#REF!</v>
      </c>
      <c r="H85" s="168" t="str">
        <f t="shared" si="186"/>
        <v>#REF!</v>
      </c>
      <c r="I85" s="168" t="str">
        <f t="shared" si="186"/>
        <v>#REF!</v>
      </c>
      <c r="J85" s="168" t="str">
        <f t="shared" si="186"/>
        <v>#REF!</v>
      </c>
      <c r="K85" s="168" t="str">
        <f t="shared" si="186"/>
        <v>#REF!</v>
      </c>
      <c r="L85" s="168" t="str">
        <f t="shared" si="186"/>
        <v>#REF!</v>
      </c>
      <c r="M85" s="168" t="str">
        <f t="shared" si="186"/>
        <v>#REF!</v>
      </c>
      <c r="N85" s="168" t="str">
        <f t="shared" si="186"/>
        <v>#REF!</v>
      </c>
      <c r="O85" s="168" t="str">
        <f t="shared" si="186"/>
        <v>#REF!</v>
      </c>
      <c r="P85" s="168" t="str">
        <f t="shared" si="186"/>
        <v>#REF!</v>
      </c>
      <c r="Q85" s="168" t="str">
        <f t="shared" si="186"/>
        <v>#REF!</v>
      </c>
      <c r="R85" s="168" t="str">
        <f t="shared" si="186"/>
        <v>#REF!</v>
      </c>
      <c r="S85" s="168" t="str">
        <f t="shared" si="186"/>
        <v>#REF!</v>
      </c>
      <c r="T85" s="168" t="str">
        <f t="shared" si="186"/>
        <v>#REF!</v>
      </c>
      <c r="U85" s="168" t="str">
        <f t="shared" ref="U85:AJ85" si="187">#REF!</f>
        <v>#REF!</v>
      </c>
      <c r="V85" s="168" t="str">
        <f t="shared" si="187"/>
        <v>#REF!</v>
      </c>
      <c r="W85" s="168" t="str">
        <f t="shared" si="187"/>
        <v>#REF!</v>
      </c>
      <c r="X85" s="168" t="str">
        <f t="shared" si="187"/>
        <v>#REF!</v>
      </c>
      <c r="Y85" s="168" t="str">
        <f t="shared" si="187"/>
        <v>#REF!</v>
      </c>
      <c r="Z85" s="168" t="str">
        <f t="shared" si="187"/>
        <v>#REF!</v>
      </c>
      <c r="AA85" s="168" t="str">
        <f t="shared" si="187"/>
        <v>#REF!</v>
      </c>
      <c r="AB85" s="168" t="str">
        <f t="shared" si="187"/>
        <v>#REF!</v>
      </c>
      <c r="AC85" s="168" t="str">
        <f t="shared" si="187"/>
        <v>#REF!</v>
      </c>
      <c r="AD85" s="168" t="str">
        <f t="shared" si="187"/>
        <v>#REF!</v>
      </c>
      <c r="AE85" s="168" t="str">
        <f t="shared" si="187"/>
        <v>#REF!</v>
      </c>
      <c r="AF85" s="168" t="str">
        <f t="shared" si="187"/>
        <v>#REF!</v>
      </c>
      <c r="AG85" s="168" t="str">
        <f t="shared" si="187"/>
        <v>#REF!</v>
      </c>
      <c r="AH85" s="168" t="str">
        <f t="shared" si="187"/>
        <v>#REF!</v>
      </c>
      <c r="AI85" s="168" t="str">
        <f t="shared" si="187"/>
        <v>#REF!</v>
      </c>
      <c r="AJ85" s="168" t="str">
        <f t="shared" si="187"/>
        <v>#REF!</v>
      </c>
    </row>
    <row r="86" ht="15.75" customHeight="1">
      <c r="A86" s="168" t="str">
        <f t="shared" ref="A86:T86" si="188">if(#REF!=$D$1,#REF!,"")</f>
        <v>#REF!</v>
      </c>
      <c r="B86" s="168" t="str">
        <f t="shared" si="188"/>
        <v>#REF!</v>
      </c>
      <c r="C86" s="168" t="str">
        <f t="shared" si="188"/>
        <v>#REF!</v>
      </c>
      <c r="D86" s="168" t="str">
        <f t="shared" si="188"/>
        <v>#REF!</v>
      </c>
      <c r="E86" s="168" t="str">
        <f t="shared" si="188"/>
        <v>#REF!</v>
      </c>
      <c r="F86" s="168" t="str">
        <f t="shared" si="188"/>
        <v>#REF!</v>
      </c>
      <c r="G86" s="168" t="str">
        <f t="shared" si="188"/>
        <v>#REF!</v>
      </c>
      <c r="H86" s="168" t="str">
        <f t="shared" si="188"/>
        <v>#REF!</v>
      </c>
      <c r="I86" s="168" t="str">
        <f t="shared" si="188"/>
        <v>#REF!</v>
      </c>
      <c r="J86" s="168" t="str">
        <f t="shared" si="188"/>
        <v>#REF!</v>
      </c>
      <c r="K86" s="168" t="str">
        <f t="shared" si="188"/>
        <v>#REF!</v>
      </c>
      <c r="L86" s="168" t="str">
        <f t="shared" si="188"/>
        <v>#REF!</v>
      </c>
      <c r="M86" s="168" t="str">
        <f t="shared" si="188"/>
        <v>#REF!</v>
      </c>
      <c r="N86" s="168" t="str">
        <f t="shared" si="188"/>
        <v>#REF!</v>
      </c>
      <c r="O86" s="168" t="str">
        <f t="shared" si="188"/>
        <v>#REF!</v>
      </c>
      <c r="P86" s="168" t="str">
        <f t="shared" si="188"/>
        <v>#REF!</v>
      </c>
      <c r="Q86" s="168" t="str">
        <f t="shared" si="188"/>
        <v>#REF!</v>
      </c>
      <c r="R86" s="168" t="str">
        <f t="shared" si="188"/>
        <v>#REF!</v>
      </c>
      <c r="S86" s="168" t="str">
        <f t="shared" si="188"/>
        <v>#REF!</v>
      </c>
      <c r="T86" s="168" t="str">
        <f t="shared" si="188"/>
        <v>#REF!</v>
      </c>
      <c r="U86" s="168" t="str">
        <f t="shared" ref="U86:AJ86" si="189">#REF!</f>
        <v>#REF!</v>
      </c>
      <c r="V86" s="168" t="str">
        <f t="shared" si="189"/>
        <v>#REF!</v>
      </c>
      <c r="W86" s="168" t="str">
        <f t="shared" si="189"/>
        <v>#REF!</v>
      </c>
      <c r="X86" s="168" t="str">
        <f t="shared" si="189"/>
        <v>#REF!</v>
      </c>
      <c r="Y86" s="168" t="str">
        <f t="shared" si="189"/>
        <v>#REF!</v>
      </c>
      <c r="Z86" s="168" t="str">
        <f t="shared" si="189"/>
        <v>#REF!</v>
      </c>
      <c r="AA86" s="168" t="str">
        <f t="shared" si="189"/>
        <v>#REF!</v>
      </c>
      <c r="AB86" s="168" t="str">
        <f t="shared" si="189"/>
        <v>#REF!</v>
      </c>
      <c r="AC86" s="168" t="str">
        <f t="shared" si="189"/>
        <v>#REF!</v>
      </c>
      <c r="AD86" s="168" t="str">
        <f t="shared" si="189"/>
        <v>#REF!</v>
      </c>
      <c r="AE86" s="168" t="str">
        <f t="shared" si="189"/>
        <v>#REF!</v>
      </c>
      <c r="AF86" s="168" t="str">
        <f t="shared" si="189"/>
        <v>#REF!</v>
      </c>
      <c r="AG86" s="168" t="str">
        <f t="shared" si="189"/>
        <v>#REF!</v>
      </c>
      <c r="AH86" s="168" t="str">
        <f t="shared" si="189"/>
        <v>#REF!</v>
      </c>
      <c r="AI86" s="168" t="str">
        <f t="shared" si="189"/>
        <v>#REF!</v>
      </c>
      <c r="AJ86" s="168" t="str">
        <f t="shared" si="189"/>
        <v>#REF!</v>
      </c>
    </row>
    <row r="87" ht="15.75" customHeight="1">
      <c r="A87" s="168" t="str">
        <f t="shared" ref="A87:T87" si="190">if(#REF!=$D$1,#REF!,"")</f>
        <v>#REF!</v>
      </c>
      <c r="B87" s="168" t="str">
        <f t="shared" si="190"/>
        <v>#REF!</v>
      </c>
      <c r="C87" s="168" t="str">
        <f t="shared" si="190"/>
        <v>#REF!</v>
      </c>
      <c r="D87" s="168" t="str">
        <f t="shared" si="190"/>
        <v>#REF!</v>
      </c>
      <c r="E87" s="168" t="str">
        <f t="shared" si="190"/>
        <v>#REF!</v>
      </c>
      <c r="F87" s="168" t="str">
        <f t="shared" si="190"/>
        <v>#REF!</v>
      </c>
      <c r="G87" s="168" t="str">
        <f t="shared" si="190"/>
        <v>#REF!</v>
      </c>
      <c r="H87" s="168" t="str">
        <f t="shared" si="190"/>
        <v>#REF!</v>
      </c>
      <c r="I87" s="168" t="str">
        <f t="shared" si="190"/>
        <v>#REF!</v>
      </c>
      <c r="J87" s="168" t="str">
        <f t="shared" si="190"/>
        <v>#REF!</v>
      </c>
      <c r="K87" s="168" t="str">
        <f t="shared" si="190"/>
        <v>#REF!</v>
      </c>
      <c r="L87" s="168" t="str">
        <f t="shared" si="190"/>
        <v>#REF!</v>
      </c>
      <c r="M87" s="168" t="str">
        <f t="shared" si="190"/>
        <v>#REF!</v>
      </c>
      <c r="N87" s="168" t="str">
        <f t="shared" si="190"/>
        <v>#REF!</v>
      </c>
      <c r="O87" s="168" t="str">
        <f t="shared" si="190"/>
        <v>#REF!</v>
      </c>
      <c r="P87" s="168" t="str">
        <f t="shared" si="190"/>
        <v>#REF!</v>
      </c>
      <c r="Q87" s="168" t="str">
        <f t="shared" si="190"/>
        <v>#REF!</v>
      </c>
      <c r="R87" s="168" t="str">
        <f t="shared" si="190"/>
        <v>#REF!</v>
      </c>
      <c r="S87" s="168" t="str">
        <f t="shared" si="190"/>
        <v>#REF!</v>
      </c>
      <c r="T87" s="168" t="str">
        <f t="shared" si="190"/>
        <v>#REF!</v>
      </c>
      <c r="U87" s="168" t="str">
        <f t="shared" ref="U87:AJ87" si="191">#REF!</f>
        <v>#REF!</v>
      </c>
      <c r="V87" s="168" t="str">
        <f t="shared" si="191"/>
        <v>#REF!</v>
      </c>
      <c r="W87" s="168" t="str">
        <f t="shared" si="191"/>
        <v>#REF!</v>
      </c>
      <c r="X87" s="168" t="str">
        <f t="shared" si="191"/>
        <v>#REF!</v>
      </c>
      <c r="Y87" s="168" t="str">
        <f t="shared" si="191"/>
        <v>#REF!</v>
      </c>
      <c r="Z87" s="168" t="str">
        <f t="shared" si="191"/>
        <v>#REF!</v>
      </c>
      <c r="AA87" s="168" t="str">
        <f t="shared" si="191"/>
        <v>#REF!</v>
      </c>
      <c r="AB87" s="168" t="str">
        <f t="shared" si="191"/>
        <v>#REF!</v>
      </c>
      <c r="AC87" s="168" t="str">
        <f t="shared" si="191"/>
        <v>#REF!</v>
      </c>
      <c r="AD87" s="168" t="str">
        <f t="shared" si="191"/>
        <v>#REF!</v>
      </c>
      <c r="AE87" s="168" t="str">
        <f t="shared" si="191"/>
        <v>#REF!</v>
      </c>
      <c r="AF87" s="168" t="str">
        <f t="shared" si="191"/>
        <v>#REF!</v>
      </c>
      <c r="AG87" s="168" t="str">
        <f t="shared" si="191"/>
        <v>#REF!</v>
      </c>
      <c r="AH87" s="168" t="str">
        <f t="shared" si="191"/>
        <v>#REF!</v>
      </c>
      <c r="AI87" s="168" t="str">
        <f t="shared" si="191"/>
        <v>#REF!</v>
      </c>
      <c r="AJ87" s="168" t="str">
        <f t="shared" si="191"/>
        <v>#REF!</v>
      </c>
    </row>
    <row r="88" ht="15.75" customHeight="1">
      <c r="A88" s="168" t="str">
        <f>if('2026 Pipeline'!$M17=$D$1,'2026 Pipeline'!C17,"")</f>
        <v>#REF!</v>
      </c>
      <c r="B88" s="168" t="str">
        <f t="shared" ref="B88:C88" si="192">if('2026 Pipeline'!$M17=$D$1,'2026 Pipeline'!J17,"")</f>
        <v>#REF!</v>
      </c>
      <c r="C88" s="168" t="str">
        <f t="shared" si="192"/>
        <v>#REF!</v>
      </c>
      <c r="D88" s="168" t="str">
        <f t="shared" ref="D88:F88" si="193">if('2026 Pipeline'!$M17=$D$1,'2026 Pipeline'!M17,"")</f>
        <v>#REF!</v>
      </c>
      <c r="E88" s="168" t="str">
        <f t="shared" si="193"/>
        <v>#REF!</v>
      </c>
      <c r="F88" s="168" t="str">
        <f t="shared" si="193"/>
        <v>#REF!</v>
      </c>
      <c r="G88" s="168" t="str">
        <f>if('2026 Pipeline'!$M17=$D$1,'2026 Pipeline'!Q17,"")</f>
        <v>#REF!</v>
      </c>
      <c r="H88" s="168" t="str">
        <f>if('2026 Pipeline'!$M17=$D$1,'2026 Pipeline'!P17,"")</f>
        <v>#REF!</v>
      </c>
      <c r="I88" s="168" t="str">
        <f>if('2026 Pipeline'!$M17=$D$1,'2026 Pipeline'!R17,"")</f>
        <v>#REF!</v>
      </c>
      <c r="J88" s="168" t="str">
        <f t="shared" ref="J88:L88" si="194">if('2026 Pipeline'!$M17=$D$1,'2026 Pipeline'!V17,"")</f>
        <v>#REF!</v>
      </c>
      <c r="K88" s="168" t="str">
        <f t="shared" si="194"/>
        <v>#REF!</v>
      </c>
      <c r="L88" s="168" t="str">
        <f t="shared" si="194"/>
        <v>#REF!</v>
      </c>
      <c r="M88" s="168" t="str">
        <f t="shared" ref="M88:O88" si="195">if('2026 Pipeline'!$M17=$D$1,#REF!,"")</f>
        <v>#REF!</v>
      </c>
      <c r="N88" s="168" t="str">
        <f t="shared" si="195"/>
        <v>#REF!</v>
      </c>
      <c r="O88" s="168" t="str">
        <f t="shared" si="195"/>
        <v>#REF!</v>
      </c>
      <c r="P88" s="168" t="str">
        <f>if('2026 Pipeline'!$M17=$D$1,'2026 Pipeline'!AA17,"")</f>
        <v>#REF!</v>
      </c>
      <c r="Q88" s="168" t="str">
        <f>if('2026 Pipeline'!$M17=$D$1,'2026 Pipeline'!Y17,"")</f>
        <v>#REF!</v>
      </c>
      <c r="R88" s="168" t="str">
        <f>if('2026 Pipeline'!$M17=$D$1,#REF!,"")</f>
        <v>#REF!</v>
      </c>
      <c r="S88" s="168" t="str">
        <f>if('2026 Pipeline'!$M17=$D$1,'2026 Pipeline'!L17,"")</f>
        <v>#REF!</v>
      </c>
      <c r="T88" s="168" t="str">
        <f>if('2026 Pipeline'!$M17=$D$1,'2026 Pipeline'!CD17,"")</f>
        <v>#REF!</v>
      </c>
      <c r="U88" s="168" t="str">
        <f t="shared" ref="U88:AJ88" si="196">#REF!</f>
        <v>#REF!</v>
      </c>
      <c r="V88" s="168" t="str">
        <f t="shared" si="196"/>
        <v>#REF!</v>
      </c>
      <c r="W88" s="168" t="str">
        <f t="shared" si="196"/>
        <v>#REF!</v>
      </c>
      <c r="X88" s="168" t="str">
        <f t="shared" si="196"/>
        <v>#REF!</v>
      </c>
      <c r="Y88" s="168" t="str">
        <f t="shared" si="196"/>
        <v>#REF!</v>
      </c>
      <c r="Z88" s="168" t="str">
        <f t="shared" si="196"/>
        <v>#REF!</v>
      </c>
      <c r="AA88" s="168" t="str">
        <f t="shared" si="196"/>
        <v>#REF!</v>
      </c>
      <c r="AB88" s="168" t="str">
        <f t="shared" si="196"/>
        <v>#REF!</v>
      </c>
      <c r="AC88" s="168" t="str">
        <f t="shared" si="196"/>
        <v>#REF!</v>
      </c>
      <c r="AD88" s="168" t="str">
        <f t="shared" si="196"/>
        <v>#REF!</v>
      </c>
      <c r="AE88" s="168" t="str">
        <f t="shared" si="196"/>
        <v>#REF!</v>
      </c>
      <c r="AF88" s="168" t="str">
        <f t="shared" si="196"/>
        <v>#REF!</v>
      </c>
      <c r="AG88" s="168" t="str">
        <f t="shared" si="196"/>
        <v>#REF!</v>
      </c>
      <c r="AH88" s="168" t="str">
        <f t="shared" si="196"/>
        <v>#REF!</v>
      </c>
      <c r="AI88" s="168" t="str">
        <f t="shared" si="196"/>
        <v>#REF!</v>
      </c>
      <c r="AJ88" s="168" t="str">
        <f t="shared" si="196"/>
        <v>#REF!</v>
      </c>
    </row>
    <row r="89" ht="15.75" customHeight="1">
      <c r="A89" s="168" t="str">
        <f t="shared" ref="A89:T89" si="197">if(#REF!=$D$1,#REF!,"")</f>
        <v>#REF!</v>
      </c>
      <c r="B89" s="168" t="str">
        <f t="shared" si="197"/>
        <v>#REF!</v>
      </c>
      <c r="C89" s="168" t="str">
        <f t="shared" si="197"/>
        <v>#REF!</v>
      </c>
      <c r="D89" s="168" t="str">
        <f t="shared" si="197"/>
        <v>#REF!</v>
      </c>
      <c r="E89" s="168" t="str">
        <f t="shared" si="197"/>
        <v>#REF!</v>
      </c>
      <c r="F89" s="168" t="str">
        <f t="shared" si="197"/>
        <v>#REF!</v>
      </c>
      <c r="G89" s="168" t="str">
        <f t="shared" si="197"/>
        <v>#REF!</v>
      </c>
      <c r="H89" s="168" t="str">
        <f t="shared" si="197"/>
        <v>#REF!</v>
      </c>
      <c r="I89" s="168" t="str">
        <f t="shared" si="197"/>
        <v>#REF!</v>
      </c>
      <c r="J89" s="168" t="str">
        <f t="shared" si="197"/>
        <v>#REF!</v>
      </c>
      <c r="K89" s="168" t="str">
        <f t="shared" si="197"/>
        <v>#REF!</v>
      </c>
      <c r="L89" s="168" t="str">
        <f t="shared" si="197"/>
        <v>#REF!</v>
      </c>
      <c r="M89" s="168" t="str">
        <f t="shared" si="197"/>
        <v>#REF!</v>
      </c>
      <c r="N89" s="168" t="str">
        <f t="shared" si="197"/>
        <v>#REF!</v>
      </c>
      <c r="O89" s="168" t="str">
        <f t="shared" si="197"/>
        <v>#REF!</v>
      </c>
      <c r="P89" s="168" t="str">
        <f t="shared" si="197"/>
        <v>#REF!</v>
      </c>
      <c r="Q89" s="168" t="str">
        <f t="shared" si="197"/>
        <v>#REF!</v>
      </c>
      <c r="R89" s="168" t="str">
        <f t="shared" si="197"/>
        <v>#REF!</v>
      </c>
      <c r="S89" s="168" t="str">
        <f t="shared" si="197"/>
        <v>#REF!</v>
      </c>
      <c r="T89" s="168" t="str">
        <f t="shared" si="197"/>
        <v>#REF!</v>
      </c>
      <c r="U89" s="168" t="str">
        <f t="shared" ref="U89:AJ89" si="198">#REF!</f>
        <v>#REF!</v>
      </c>
      <c r="V89" s="168" t="str">
        <f t="shared" si="198"/>
        <v>#REF!</v>
      </c>
      <c r="W89" s="168" t="str">
        <f t="shared" si="198"/>
        <v>#REF!</v>
      </c>
      <c r="X89" s="168" t="str">
        <f t="shared" si="198"/>
        <v>#REF!</v>
      </c>
      <c r="Y89" s="168" t="str">
        <f t="shared" si="198"/>
        <v>#REF!</v>
      </c>
      <c r="Z89" s="168" t="str">
        <f t="shared" si="198"/>
        <v>#REF!</v>
      </c>
      <c r="AA89" s="168" t="str">
        <f t="shared" si="198"/>
        <v>#REF!</v>
      </c>
      <c r="AB89" s="168" t="str">
        <f t="shared" si="198"/>
        <v>#REF!</v>
      </c>
      <c r="AC89" s="168" t="str">
        <f t="shared" si="198"/>
        <v>#REF!</v>
      </c>
      <c r="AD89" s="168" t="str">
        <f t="shared" si="198"/>
        <v>#REF!</v>
      </c>
      <c r="AE89" s="168" t="str">
        <f t="shared" si="198"/>
        <v>#REF!</v>
      </c>
      <c r="AF89" s="168" t="str">
        <f t="shared" si="198"/>
        <v>#REF!</v>
      </c>
      <c r="AG89" s="168" t="str">
        <f t="shared" si="198"/>
        <v>#REF!</v>
      </c>
      <c r="AH89" s="168" t="str">
        <f t="shared" si="198"/>
        <v>#REF!</v>
      </c>
      <c r="AI89" s="168" t="str">
        <f t="shared" si="198"/>
        <v>#REF!</v>
      </c>
      <c r="AJ89" s="168" t="str">
        <f t="shared" si="198"/>
        <v>#REF!</v>
      </c>
    </row>
    <row r="90" ht="15.75" customHeight="1">
      <c r="A90" s="168" t="str">
        <f t="shared" ref="A90:T90" si="199">if(#REF!=$D$1,#REF!,"")</f>
        <v>#REF!</v>
      </c>
      <c r="B90" s="168" t="str">
        <f t="shared" si="199"/>
        <v>#REF!</v>
      </c>
      <c r="C90" s="168" t="str">
        <f t="shared" si="199"/>
        <v>#REF!</v>
      </c>
      <c r="D90" s="168" t="str">
        <f t="shared" si="199"/>
        <v>#REF!</v>
      </c>
      <c r="E90" s="168" t="str">
        <f t="shared" si="199"/>
        <v>#REF!</v>
      </c>
      <c r="F90" s="168" t="str">
        <f t="shared" si="199"/>
        <v>#REF!</v>
      </c>
      <c r="G90" s="168" t="str">
        <f t="shared" si="199"/>
        <v>#REF!</v>
      </c>
      <c r="H90" s="168" t="str">
        <f t="shared" si="199"/>
        <v>#REF!</v>
      </c>
      <c r="I90" s="168" t="str">
        <f t="shared" si="199"/>
        <v>#REF!</v>
      </c>
      <c r="J90" s="168" t="str">
        <f t="shared" si="199"/>
        <v>#REF!</v>
      </c>
      <c r="K90" s="168" t="str">
        <f t="shared" si="199"/>
        <v>#REF!</v>
      </c>
      <c r="L90" s="168" t="str">
        <f t="shared" si="199"/>
        <v>#REF!</v>
      </c>
      <c r="M90" s="168" t="str">
        <f t="shared" si="199"/>
        <v>#REF!</v>
      </c>
      <c r="N90" s="168" t="str">
        <f t="shared" si="199"/>
        <v>#REF!</v>
      </c>
      <c r="O90" s="168" t="str">
        <f t="shared" si="199"/>
        <v>#REF!</v>
      </c>
      <c r="P90" s="168" t="str">
        <f t="shared" si="199"/>
        <v>#REF!</v>
      </c>
      <c r="Q90" s="168" t="str">
        <f t="shared" si="199"/>
        <v>#REF!</v>
      </c>
      <c r="R90" s="168" t="str">
        <f t="shared" si="199"/>
        <v>#REF!</v>
      </c>
      <c r="S90" s="168" t="str">
        <f t="shared" si="199"/>
        <v>#REF!</v>
      </c>
      <c r="T90" s="168" t="str">
        <f t="shared" si="199"/>
        <v>#REF!</v>
      </c>
      <c r="U90" s="168" t="str">
        <f>'2026 Pipeline'!AP17</f>
        <v>#REF!</v>
      </c>
      <c r="V90" s="168" t="str">
        <f t="shared" ref="V90:Z90" si="200">'2026 Pipeline'!CJ17</f>
        <v>#REF!</v>
      </c>
      <c r="W90" s="168" t="str">
        <f t="shared" si="200"/>
        <v>#REF!</v>
      </c>
      <c r="X90" s="168" t="str">
        <f t="shared" si="200"/>
        <v>#REF!</v>
      </c>
      <c r="Y90" s="168" t="str">
        <f t="shared" si="200"/>
        <v>#REF!</v>
      </c>
      <c r="Z90" s="168" t="str">
        <f t="shared" si="200"/>
        <v>#REF!</v>
      </c>
      <c r="AA90" s="168" t="str">
        <f t="shared" ref="AA90:AF90" si="201">#REF!</f>
        <v>#REF!</v>
      </c>
      <c r="AB90" s="168" t="str">
        <f t="shared" si="201"/>
        <v>#REF!</v>
      </c>
      <c r="AC90" s="168" t="str">
        <f t="shared" si="201"/>
        <v>#REF!</v>
      </c>
      <c r="AD90" s="168" t="str">
        <f t="shared" si="201"/>
        <v>#REF!</v>
      </c>
      <c r="AE90" s="168" t="str">
        <f t="shared" si="201"/>
        <v>#REF!</v>
      </c>
      <c r="AF90" s="168" t="str">
        <f t="shared" si="201"/>
        <v>#REF!</v>
      </c>
      <c r="AG90" s="168" t="str">
        <f>'2026 Pipeline'!CT17</f>
        <v>#REF!</v>
      </c>
      <c r="AH90" s="168" t="str">
        <f>'2026 Pipeline'!S17</f>
        <v>#REF!</v>
      </c>
      <c r="AI90" s="168" t="str">
        <f t="shared" ref="AI90:AJ90" si="202">#REF!</f>
        <v>#REF!</v>
      </c>
      <c r="AJ90" s="168" t="str">
        <f t="shared" si="202"/>
        <v>#REF!</v>
      </c>
    </row>
    <row r="91" ht="15.75" customHeight="1">
      <c r="A91" s="168" t="str">
        <f t="shared" ref="A91:T91" si="203">if(#REF!=$D$1,#REF!,"")</f>
        <v>#REF!</v>
      </c>
      <c r="B91" s="168" t="str">
        <f t="shared" si="203"/>
        <v>#REF!</v>
      </c>
      <c r="C91" s="168" t="str">
        <f t="shared" si="203"/>
        <v>#REF!</v>
      </c>
      <c r="D91" s="168" t="str">
        <f t="shared" si="203"/>
        <v>#REF!</v>
      </c>
      <c r="E91" s="168" t="str">
        <f t="shared" si="203"/>
        <v>#REF!</v>
      </c>
      <c r="F91" s="168" t="str">
        <f t="shared" si="203"/>
        <v>#REF!</v>
      </c>
      <c r="G91" s="168" t="str">
        <f t="shared" si="203"/>
        <v>#REF!</v>
      </c>
      <c r="H91" s="168" t="str">
        <f t="shared" si="203"/>
        <v>#REF!</v>
      </c>
      <c r="I91" s="168" t="str">
        <f t="shared" si="203"/>
        <v>#REF!</v>
      </c>
      <c r="J91" s="168" t="str">
        <f t="shared" si="203"/>
        <v>#REF!</v>
      </c>
      <c r="K91" s="168" t="str">
        <f t="shared" si="203"/>
        <v>#REF!</v>
      </c>
      <c r="L91" s="168" t="str">
        <f t="shared" si="203"/>
        <v>#REF!</v>
      </c>
      <c r="M91" s="168" t="str">
        <f t="shared" si="203"/>
        <v>#REF!</v>
      </c>
      <c r="N91" s="168" t="str">
        <f t="shared" si="203"/>
        <v>#REF!</v>
      </c>
      <c r="O91" s="168" t="str">
        <f t="shared" si="203"/>
        <v>#REF!</v>
      </c>
      <c r="P91" s="168" t="str">
        <f t="shared" si="203"/>
        <v>#REF!</v>
      </c>
      <c r="Q91" s="168" t="str">
        <f t="shared" si="203"/>
        <v>#REF!</v>
      </c>
      <c r="R91" s="168" t="str">
        <f t="shared" si="203"/>
        <v>#REF!</v>
      </c>
      <c r="S91" s="168" t="str">
        <f t="shared" si="203"/>
        <v>#REF!</v>
      </c>
      <c r="T91" s="168" t="str">
        <f t="shared" si="203"/>
        <v>#REF!</v>
      </c>
      <c r="U91" s="168" t="str">
        <f t="shared" ref="U91:AJ91" si="204">#REF!</f>
        <v>#REF!</v>
      </c>
      <c r="V91" s="168" t="str">
        <f t="shared" si="204"/>
        <v>#REF!</v>
      </c>
      <c r="W91" s="168" t="str">
        <f t="shared" si="204"/>
        <v>#REF!</v>
      </c>
      <c r="X91" s="168" t="str">
        <f t="shared" si="204"/>
        <v>#REF!</v>
      </c>
      <c r="Y91" s="168" t="str">
        <f t="shared" si="204"/>
        <v>#REF!</v>
      </c>
      <c r="Z91" s="168" t="str">
        <f t="shared" si="204"/>
        <v>#REF!</v>
      </c>
      <c r="AA91" s="168" t="str">
        <f t="shared" si="204"/>
        <v>#REF!</v>
      </c>
      <c r="AB91" s="168" t="str">
        <f t="shared" si="204"/>
        <v>#REF!</v>
      </c>
      <c r="AC91" s="168" t="str">
        <f t="shared" si="204"/>
        <v>#REF!</v>
      </c>
      <c r="AD91" s="168" t="str">
        <f t="shared" si="204"/>
        <v>#REF!</v>
      </c>
      <c r="AE91" s="168" t="str">
        <f t="shared" si="204"/>
        <v>#REF!</v>
      </c>
      <c r="AF91" s="168" t="str">
        <f t="shared" si="204"/>
        <v>#REF!</v>
      </c>
      <c r="AG91" s="168" t="str">
        <f t="shared" si="204"/>
        <v>#REF!</v>
      </c>
      <c r="AH91" s="168" t="str">
        <f t="shared" si="204"/>
        <v>#REF!</v>
      </c>
      <c r="AI91" s="168" t="str">
        <f t="shared" si="204"/>
        <v>#REF!</v>
      </c>
      <c r="AJ91" s="168" t="str">
        <f t="shared" si="204"/>
        <v>#REF!</v>
      </c>
    </row>
    <row r="92" ht="15.75" customHeight="1">
      <c r="A92" s="168" t="str">
        <f t="shared" ref="A92:T92" si="205">if(#REF!=$D$1,#REF!,"")</f>
        <v>#REF!</v>
      </c>
      <c r="B92" s="168" t="str">
        <f t="shared" si="205"/>
        <v>#REF!</v>
      </c>
      <c r="C92" s="168" t="str">
        <f t="shared" si="205"/>
        <v>#REF!</v>
      </c>
      <c r="D92" s="168" t="str">
        <f t="shared" si="205"/>
        <v>#REF!</v>
      </c>
      <c r="E92" s="168" t="str">
        <f t="shared" si="205"/>
        <v>#REF!</v>
      </c>
      <c r="F92" s="168" t="str">
        <f t="shared" si="205"/>
        <v>#REF!</v>
      </c>
      <c r="G92" s="168" t="str">
        <f t="shared" si="205"/>
        <v>#REF!</v>
      </c>
      <c r="H92" s="168" t="str">
        <f t="shared" si="205"/>
        <v>#REF!</v>
      </c>
      <c r="I92" s="168" t="str">
        <f t="shared" si="205"/>
        <v>#REF!</v>
      </c>
      <c r="J92" s="168" t="str">
        <f t="shared" si="205"/>
        <v>#REF!</v>
      </c>
      <c r="K92" s="168" t="str">
        <f t="shared" si="205"/>
        <v>#REF!</v>
      </c>
      <c r="L92" s="168" t="str">
        <f t="shared" si="205"/>
        <v>#REF!</v>
      </c>
      <c r="M92" s="168" t="str">
        <f t="shared" si="205"/>
        <v>#REF!</v>
      </c>
      <c r="N92" s="168" t="str">
        <f t="shared" si="205"/>
        <v>#REF!</v>
      </c>
      <c r="O92" s="168" t="str">
        <f t="shared" si="205"/>
        <v>#REF!</v>
      </c>
      <c r="P92" s="168" t="str">
        <f t="shared" si="205"/>
        <v>#REF!</v>
      </c>
      <c r="Q92" s="168" t="str">
        <f t="shared" si="205"/>
        <v>#REF!</v>
      </c>
      <c r="R92" s="168" t="str">
        <f t="shared" si="205"/>
        <v>#REF!</v>
      </c>
      <c r="S92" s="168" t="str">
        <f t="shared" si="205"/>
        <v>#REF!</v>
      </c>
      <c r="T92" s="168" t="str">
        <f t="shared" si="205"/>
        <v>#REF!</v>
      </c>
      <c r="U92" s="168" t="str">
        <f t="shared" ref="U92:AJ92" si="206">#REF!</f>
        <v>#REF!</v>
      </c>
      <c r="V92" s="168" t="str">
        <f t="shared" si="206"/>
        <v>#REF!</v>
      </c>
      <c r="W92" s="168" t="str">
        <f t="shared" si="206"/>
        <v>#REF!</v>
      </c>
      <c r="X92" s="168" t="str">
        <f t="shared" si="206"/>
        <v>#REF!</v>
      </c>
      <c r="Y92" s="168" t="str">
        <f t="shared" si="206"/>
        <v>#REF!</v>
      </c>
      <c r="Z92" s="168" t="str">
        <f t="shared" si="206"/>
        <v>#REF!</v>
      </c>
      <c r="AA92" s="168" t="str">
        <f t="shared" si="206"/>
        <v>#REF!</v>
      </c>
      <c r="AB92" s="168" t="str">
        <f t="shared" si="206"/>
        <v>#REF!</v>
      </c>
      <c r="AC92" s="168" t="str">
        <f t="shared" si="206"/>
        <v>#REF!</v>
      </c>
      <c r="AD92" s="168" t="str">
        <f t="shared" si="206"/>
        <v>#REF!</v>
      </c>
      <c r="AE92" s="168" t="str">
        <f t="shared" si="206"/>
        <v>#REF!</v>
      </c>
      <c r="AF92" s="168" t="str">
        <f t="shared" si="206"/>
        <v>#REF!</v>
      </c>
      <c r="AG92" s="168" t="str">
        <f t="shared" si="206"/>
        <v>#REF!</v>
      </c>
      <c r="AH92" s="168" t="str">
        <f t="shared" si="206"/>
        <v>#REF!</v>
      </c>
      <c r="AI92" s="168" t="str">
        <f t="shared" si="206"/>
        <v>#REF!</v>
      </c>
      <c r="AJ92" s="168" t="str">
        <f t="shared" si="206"/>
        <v>#REF!</v>
      </c>
    </row>
    <row r="93" ht="15.75" customHeight="1">
      <c r="A93" s="168" t="str">
        <f t="shared" ref="A93:T93" si="207">if(#REF!=$D$1,#REF!,"")</f>
        <v>#REF!</v>
      </c>
      <c r="B93" s="168" t="str">
        <f t="shared" si="207"/>
        <v>#REF!</v>
      </c>
      <c r="C93" s="168" t="str">
        <f t="shared" si="207"/>
        <v>#REF!</v>
      </c>
      <c r="D93" s="168" t="str">
        <f t="shared" si="207"/>
        <v>#REF!</v>
      </c>
      <c r="E93" s="168" t="str">
        <f t="shared" si="207"/>
        <v>#REF!</v>
      </c>
      <c r="F93" s="168" t="str">
        <f t="shared" si="207"/>
        <v>#REF!</v>
      </c>
      <c r="G93" s="168" t="str">
        <f t="shared" si="207"/>
        <v>#REF!</v>
      </c>
      <c r="H93" s="168" t="str">
        <f t="shared" si="207"/>
        <v>#REF!</v>
      </c>
      <c r="I93" s="168" t="str">
        <f t="shared" si="207"/>
        <v>#REF!</v>
      </c>
      <c r="J93" s="168" t="str">
        <f t="shared" si="207"/>
        <v>#REF!</v>
      </c>
      <c r="K93" s="168" t="str">
        <f t="shared" si="207"/>
        <v>#REF!</v>
      </c>
      <c r="L93" s="168" t="str">
        <f t="shared" si="207"/>
        <v>#REF!</v>
      </c>
      <c r="M93" s="168" t="str">
        <f t="shared" si="207"/>
        <v>#REF!</v>
      </c>
      <c r="N93" s="168" t="str">
        <f t="shared" si="207"/>
        <v>#REF!</v>
      </c>
      <c r="O93" s="168" t="str">
        <f t="shared" si="207"/>
        <v>#REF!</v>
      </c>
      <c r="P93" s="168" t="str">
        <f t="shared" si="207"/>
        <v>#REF!</v>
      </c>
      <c r="Q93" s="168" t="str">
        <f t="shared" si="207"/>
        <v>#REF!</v>
      </c>
      <c r="R93" s="168" t="str">
        <f t="shared" si="207"/>
        <v>#REF!</v>
      </c>
      <c r="S93" s="168" t="str">
        <f t="shared" si="207"/>
        <v>#REF!</v>
      </c>
      <c r="T93" s="168" t="str">
        <f t="shared" si="207"/>
        <v>#REF!</v>
      </c>
      <c r="U93" s="168" t="str">
        <f t="shared" ref="U93:AJ93" si="208">#REF!</f>
        <v>#REF!</v>
      </c>
      <c r="V93" s="168" t="str">
        <f t="shared" si="208"/>
        <v>#REF!</v>
      </c>
      <c r="W93" s="168" t="str">
        <f t="shared" si="208"/>
        <v>#REF!</v>
      </c>
      <c r="X93" s="168" t="str">
        <f t="shared" si="208"/>
        <v>#REF!</v>
      </c>
      <c r="Y93" s="168" t="str">
        <f t="shared" si="208"/>
        <v>#REF!</v>
      </c>
      <c r="Z93" s="168" t="str">
        <f t="shared" si="208"/>
        <v>#REF!</v>
      </c>
      <c r="AA93" s="168" t="str">
        <f t="shared" si="208"/>
        <v>#REF!</v>
      </c>
      <c r="AB93" s="168" t="str">
        <f t="shared" si="208"/>
        <v>#REF!</v>
      </c>
      <c r="AC93" s="168" t="str">
        <f t="shared" si="208"/>
        <v>#REF!</v>
      </c>
      <c r="AD93" s="168" t="str">
        <f t="shared" si="208"/>
        <v>#REF!</v>
      </c>
      <c r="AE93" s="168" t="str">
        <f t="shared" si="208"/>
        <v>#REF!</v>
      </c>
      <c r="AF93" s="168" t="str">
        <f t="shared" si="208"/>
        <v>#REF!</v>
      </c>
      <c r="AG93" s="168" t="str">
        <f t="shared" si="208"/>
        <v>#REF!</v>
      </c>
      <c r="AH93" s="168" t="str">
        <f t="shared" si="208"/>
        <v>#REF!</v>
      </c>
      <c r="AI93" s="168" t="str">
        <f t="shared" si="208"/>
        <v>#REF!</v>
      </c>
      <c r="AJ93" s="168" t="str">
        <f t="shared" si="208"/>
        <v>#REF!</v>
      </c>
    </row>
    <row r="94" ht="15.75" customHeight="1">
      <c r="A94" s="168" t="str">
        <f t="shared" ref="A94:T94" si="209">if(#REF!=$D$1,#REF!,"")</f>
        <v>#REF!</v>
      </c>
      <c r="B94" s="168" t="str">
        <f t="shared" si="209"/>
        <v>#REF!</v>
      </c>
      <c r="C94" s="168" t="str">
        <f t="shared" si="209"/>
        <v>#REF!</v>
      </c>
      <c r="D94" s="168" t="str">
        <f t="shared" si="209"/>
        <v>#REF!</v>
      </c>
      <c r="E94" s="168" t="str">
        <f t="shared" si="209"/>
        <v>#REF!</v>
      </c>
      <c r="F94" s="168" t="str">
        <f t="shared" si="209"/>
        <v>#REF!</v>
      </c>
      <c r="G94" s="168" t="str">
        <f t="shared" si="209"/>
        <v>#REF!</v>
      </c>
      <c r="H94" s="168" t="str">
        <f t="shared" si="209"/>
        <v>#REF!</v>
      </c>
      <c r="I94" s="168" t="str">
        <f t="shared" si="209"/>
        <v>#REF!</v>
      </c>
      <c r="J94" s="168" t="str">
        <f t="shared" si="209"/>
        <v>#REF!</v>
      </c>
      <c r="K94" s="168" t="str">
        <f t="shared" si="209"/>
        <v>#REF!</v>
      </c>
      <c r="L94" s="168" t="str">
        <f t="shared" si="209"/>
        <v>#REF!</v>
      </c>
      <c r="M94" s="168" t="str">
        <f t="shared" si="209"/>
        <v>#REF!</v>
      </c>
      <c r="N94" s="168" t="str">
        <f t="shared" si="209"/>
        <v>#REF!</v>
      </c>
      <c r="O94" s="168" t="str">
        <f t="shared" si="209"/>
        <v>#REF!</v>
      </c>
      <c r="P94" s="168" t="str">
        <f t="shared" si="209"/>
        <v>#REF!</v>
      </c>
      <c r="Q94" s="168" t="str">
        <f t="shared" si="209"/>
        <v>#REF!</v>
      </c>
      <c r="R94" s="168" t="str">
        <f t="shared" si="209"/>
        <v>#REF!</v>
      </c>
      <c r="S94" s="168" t="str">
        <f t="shared" si="209"/>
        <v>#REF!</v>
      </c>
      <c r="T94" s="168" t="str">
        <f t="shared" si="209"/>
        <v>#REF!</v>
      </c>
      <c r="U94" s="168" t="str">
        <f t="shared" ref="U94:AJ94" si="210">#REF!</f>
        <v>#REF!</v>
      </c>
      <c r="V94" s="168" t="str">
        <f t="shared" si="210"/>
        <v>#REF!</v>
      </c>
      <c r="W94" s="168" t="str">
        <f t="shared" si="210"/>
        <v>#REF!</v>
      </c>
      <c r="X94" s="168" t="str">
        <f t="shared" si="210"/>
        <v>#REF!</v>
      </c>
      <c r="Y94" s="168" t="str">
        <f t="shared" si="210"/>
        <v>#REF!</v>
      </c>
      <c r="Z94" s="168" t="str">
        <f t="shared" si="210"/>
        <v>#REF!</v>
      </c>
      <c r="AA94" s="168" t="str">
        <f t="shared" si="210"/>
        <v>#REF!</v>
      </c>
      <c r="AB94" s="168" t="str">
        <f t="shared" si="210"/>
        <v>#REF!</v>
      </c>
      <c r="AC94" s="168" t="str">
        <f t="shared" si="210"/>
        <v>#REF!</v>
      </c>
      <c r="AD94" s="168" t="str">
        <f t="shared" si="210"/>
        <v>#REF!</v>
      </c>
      <c r="AE94" s="168" t="str">
        <f t="shared" si="210"/>
        <v>#REF!</v>
      </c>
      <c r="AF94" s="168" t="str">
        <f t="shared" si="210"/>
        <v>#REF!</v>
      </c>
      <c r="AG94" s="168" t="str">
        <f t="shared" si="210"/>
        <v>#REF!</v>
      </c>
      <c r="AH94" s="168" t="str">
        <f t="shared" si="210"/>
        <v>#REF!</v>
      </c>
      <c r="AI94" s="168" t="str">
        <f t="shared" si="210"/>
        <v>#REF!</v>
      </c>
      <c r="AJ94" s="168" t="str">
        <f t="shared" si="210"/>
        <v>#REF!</v>
      </c>
    </row>
    <row r="95" ht="15.75" customHeight="1">
      <c r="A95" s="168" t="str">
        <f>if('2026 Pipeline'!$M18=$D$1,'2026 Pipeline'!C18,"")</f>
        <v>#REF!</v>
      </c>
      <c r="B95" s="168" t="str">
        <f t="shared" ref="B95:C95" si="211">if('2026 Pipeline'!$M18=$D$1,'2026 Pipeline'!J18,"")</f>
        <v>#REF!</v>
      </c>
      <c r="C95" s="168" t="str">
        <f t="shared" si="211"/>
        <v>#REF!</v>
      </c>
      <c r="D95" s="168" t="str">
        <f t="shared" ref="D95:F95" si="212">if('2026 Pipeline'!$M18=$D$1,'2026 Pipeline'!M18,"")</f>
        <v>#REF!</v>
      </c>
      <c r="E95" s="168" t="str">
        <f t="shared" si="212"/>
        <v>#REF!</v>
      </c>
      <c r="F95" s="168" t="str">
        <f t="shared" si="212"/>
        <v>#REF!</v>
      </c>
      <c r="G95" s="168" t="str">
        <f>if('2026 Pipeline'!$M18=$D$1,'2026 Pipeline'!Q18,"")</f>
        <v>#REF!</v>
      </c>
      <c r="H95" s="168" t="str">
        <f>if('2026 Pipeline'!$M18=$D$1,'2026 Pipeline'!P18,"")</f>
        <v>#REF!</v>
      </c>
      <c r="I95" s="168" t="str">
        <f>if('2026 Pipeline'!$M18=$D$1,'2026 Pipeline'!R18,"")</f>
        <v>#REF!</v>
      </c>
      <c r="J95" s="168" t="str">
        <f t="shared" ref="J95:L95" si="213">if('2026 Pipeline'!$M18=$D$1,'2026 Pipeline'!V18,"")</f>
        <v>#REF!</v>
      </c>
      <c r="K95" s="168" t="str">
        <f t="shared" si="213"/>
        <v>#REF!</v>
      </c>
      <c r="L95" s="168" t="str">
        <f t="shared" si="213"/>
        <v>#REF!</v>
      </c>
      <c r="M95" s="168" t="str">
        <f t="shared" ref="M95:O95" si="214">if('2026 Pipeline'!$M18=$D$1,#REF!,"")</f>
        <v>#REF!</v>
      </c>
      <c r="N95" s="168" t="str">
        <f t="shared" si="214"/>
        <v>#REF!</v>
      </c>
      <c r="O95" s="168" t="str">
        <f t="shared" si="214"/>
        <v>#REF!</v>
      </c>
      <c r="P95" s="168" t="str">
        <f>if('2026 Pipeline'!$M18=$D$1,'2026 Pipeline'!AA18,"")</f>
        <v>#REF!</v>
      </c>
      <c r="Q95" s="168" t="str">
        <f>if('2026 Pipeline'!$M18=$D$1,'2026 Pipeline'!Y18,"")</f>
        <v>#REF!</v>
      </c>
      <c r="R95" s="168" t="str">
        <f>if('2026 Pipeline'!$M18=$D$1,#REF!,"")</f>
        <v>#REF!</v>
      </c>
      <c r="S95" s="168" t="str">
        <f>if('2026 Pipeline'!$M18=$D$1,'2026 Pipeline'!L18,"")</f>
        <v>#REF!</v>
      </c>
      <c r="T95" s="168" t="str">
        <f>if('2026 Pipeline'!$M18=$D$1,'2026 Pipeline'!CD18,"")</f>
        <v>#REF!</v>
      </c>
      <c r="U95" s="168" t="str">
        <f t="shared" ref="U95:AJ95" si="215">#REF!</f>
        <v>#REF!</v>
      </c>
      <c r="V95" s="168" t="str">
        <f t="shared" si="215"/>
        <v>#REF!</v>
      </c>
      <c r="W95" s="168" t="str">
        <f t="shared" si="215"/>
        <v>#REF!</v>
      </c>
      <c r="X95" s="168" t="str">
        <f t="shared" si="215"/>
        <v>#REF!</v>
      </c>
      <c r="Y95" s="168" t="str">
        <f t="shared" si="215"/>
        <v>#REF!</v>
      </c>
      <c r="Z95" s="168" t="str">
        <f t="shared" si="215"/>
        <v>#REF!</v>
      </c>
      <c r="AA95" s="168" t="str">
        <f t="shared" si="215"/>
        <v>#REF!</v>
      </c>
      <c r="AB95" s="168" t="str">
        <f t="shared" si="215"/>
        <v>#REF!</v>
      </c>
      <c r="AC95" s="168" t="str">
        <f t="shared" si="215"/>
        <v>#REF!</v>
      </c>
      <c r="AD95" s="168" t="str">
        <f t="shared" si="215"/>
        <v>#REF!</v>
      </c>
      <c r="AE95" s="168" t="str">
        <f t="shared" si="215"/>
        <v>#REF!</v>
      </c>
      <c r="AF95" s="168" t="str">
        <f t="shared" si="215"/>
        <v>#REF!</v>
      </c>
      <c r="AG95" s="168" t="str">
        <f t="shared" si="215"/>
        <v>#REF!</v>
      </c>
      <c r="AH95" s="168" t="str">
        <f t="shared" si="215"/>
        <v>#REF!</v>
      </c>
      <c r="AI95" s="168" t="str">
        <f t="shared" si="215"/>
        <v>#REF!</v>
      </c>
      <c r="AJ95" s="168" t="str">
        <f t="shared" si="215"/>
        <v>#REF!</v>
      </c>
    </row>
    <row r="96" ht="15.75" customHeight="1">
      <c r="A96" s="168" t="str">
        <f t="shared" ref="A96:T96" si="216">if(#REF!=$D$1,#REF!,"")</f>
        <v>#REF!</v>
      </c>
      <c r="B96" s="168" t="str">
        <f t="shared" si="216"/>
        <v>#REF!</v>
      </c>
      <c r="C96" s="168" t="str">
        <f t="shared" si="216"/>
        <v>#REF!</v>
      </c>
      <c r="D96" s="168" t="str">
        <f t="shared" si="216"/>
        <v>#REF!</v>
      </c>
      <c r="E96" s="168" t="str">
        <f t="shared" si="216"/>
        <v>#REF!</v>
      </c>
      <c r="F96" s="168" t="str">
        <f t="shared" si="216"/>
        <v>#REF!</v>
      </c>
      <c r="G96" s="168" t="str">
        <f t="shared" si="216"/>
        <v>#REF!</v>
      </c>
      <c r="H96" s="168" t="str">
        <f t="shared" si="216"/>
        <v>#REF!</v>
      </c>
      <c r="I96" s="168" t="str">
        <f t="shared" si="216"/>
        <v>#REF!</v>
      </c>
      <c r="J96" s="168" t="str">
        <f t="shared" si="216"/>
        <v>#REF!</v>
      </c>
      <c r="K96" s="168" t="str">
        <f t="shared" si="216"/>
        <v>#REF!</v>
      </c>
      <c r="L96" s="168" t="str">
        <f t="shared" si="216"/>
        <v>#REF!</v>
      </c>
      <c r="M96" s="168" t="str">
        <f t="shared" si="216"/>
        <v>#REF!</v>
      </c>
      <c r="N96" s="168" t="str">
        <f t="shared" si="216"/>
        <v>#REF!</v>
      </c>
      <c r="O96" s="168" t="str">
        <f t="shared" si="216"/>
        <v>#REF!</v>
      </c>
      <c r="P96" s="168" t="str">
        <f t="shared" si="216"/>
        <v>#REF!</v>
      </c>
      <c r="Q96" s="168" t="str">
        <f t="shared" si="216"/>
        <v>#REF!</v>
      </c>
      <c r="R96" s="168" t="str">
        <f t="shared" si="216"/>
        <v>#REF!</v>
      </c>
      <c r="S96" s="168" t="str">
        <f t="shared" si="216"/>
        <v>#REF!</v>
      </c>
      <c r="T96" s="168" t="str">
        <f t="shared" si="216"/>
        <v>#REF!</v>
      </c>
      <c r="U96" s="168" t="str">
        <f t="shared" ref="U96:AJ96" si="217">#REF!</f>
        <v>#REF!</v>
      </c>
      <c r="V96" s="168" t="str">
        <f t="shared" si="217"/>
        <v>#REF!</v>
      </c>
      <c r="W96" s="168" t="str">
        <f t="shared" si="217"/>
        <v>#REF!</v>
      </c>
      <c r="X96" s="168" t="str">
        <f t="shared" si="217"/>
        <v>#REF!</v>
      </c>
      <c r="Y96" s="168" t="str">
        <f t="shared" si="217"/>
        <v>#REF!</v>
      </c>
      <c r="Z96" s="168" t="str">
        <f t="shared" si="217"/>
        <v>#REF!</v>
      </c>
      <c r="AA96" s="168" t="str">
        <f t="shared" si="217"/>
        <v>#REF!</v>
      </c>
      <c r="AB96" s="168" t="str">
        <f t="shared" si="217"/>
        <v>#REF!</v>
      </c>
      <c r="AC96" s="168" t="str">
        <f t="shared" si="217"/>
        <v>#REF!</v>
      </c>
      <c r="AD96" s="168" t="str">
        <f t="shared" si="217"/>
        <v>#REF!</v>
      </c>
      <c r="AE96" s="168" t="str">
        <f t="shared" si="217"/>
        <v>#REF!</v>
      </c>
      <c r="AF96" s="168" t="str">
        <f t="shared" si="217"/>
        <v>#REF!</v>
      </c>
      <c r="AG96" s="168" t="str">
        <f t="shared" si="217"/>
        <v>#REF!</v>
      </c>
      <c r="AH96" s="168" t="str">
        <f t="shared" si="217"/>
        <v>#REF!</v>
      </c>
      <c r="AI96" s="168" t="str">
        <f t="shared" si="217"/>
        <v>#REF!</v>
      </c>
      <c r="AJ96" s="168" t="str">
        <f t="shared" si="217"/>
        <v>#REF!</v>
      </c>
    </row>
    <row r="97" ht="15.75" customHeight="1">
      <c r="A97" s="168" t="str">
        <f t="shared" ref="A97:T97" si="218">if(#REF!=$D$1,#REF!,"")</f>
        <v>#REF!</v>
      </c>
      <c r="B97" s="168" t="str">
        <f t="shared" si="218"/>
        <v>#REF!</v>
      </c>
      <c r="C97" s="168" t="str">
        <f t="shared" si="218"/>
        <v>#REF!</v>
      </c>
      <c r="D97" s="168" t="str">
        <f t="shared" si="218"/>
        <v>#REF!</v>
      </c>
      <c r="E97" s="168" t="str">
        <f t="shared" si="218"/>
        <v>#REF!</v>
      </c>
      <c r="F97" s="168" t="str">
        <f t="shared" si="218"/>
        <v>#REF!</v>
      </c>
      <c r="G97" s="168" t="str">
        <f t="shared" si="218"/>
        <v>#REF!</v>
      </c>
      <c r="H97" s="168" t="str">
        <f t="shared" si="218"/>
        <v>#REF!</v>
      </c>
      <c r="I97" s="168" t="str">
        <f t="shared" si="218"/>
        <v>#REF!</v>
      </c>
      <c r="J97" s="168" t="str">
        <f t="shared" si="218"/>
        <v>#REF!</v>
      </c>
      <c r="K97" s="168" t="str">
        <f t="shared" si="218"/>
        <v>#REF!</v>
      </c>
      <c r="L97" s="168" t="str">
        <f t="shared" si="218"/>
        <v>#REF!</v>
      </c>
      <c r="M97" s="168" t="str">
        <f t="shared" si="218"/>
        <v>#REF!</v>
      </c>
      <c r="N97" s="168" t="str">
        <f t="shared" si="218"/>
        <v>#REF!</v>
      </c>
      <c r="O97" s="168" t="str">
        <f t="shared" si="218"/>
        <v>#REF!</v>
      </c>
      <c r="P97" s="168" t="str">
        <f t="shared" si="218"/>
        <v>#REF!</v>
      </c>
      <c r="Q97" s="168" t="str">
        <f t="shared" si="218"/>
        <v>#REF!</v>
      </c>
      <c r="R97" s="168" t="str">
        <f t="shared" si="218"/>
        <v>#REF!</v>
      </c>
      <c r="S97" s="168" t="str">
        <f t="shared" si="218"/>
        <v>#REF!</v>
      </c>
      <c r="T97" s="168" t="str">
        <f t="shared" si="218"/>
        <v>#REF!</v>
      </c>
      <c r="U97" s="168" t="str">
        <f>'2026 Pipeline'!AP18</f>
        <v>#REF!</v>
      </c>
      <c r="V97" s="168" t="str">
        <f t="shared" ref="V97:Z97" si="219">'2026 Pipeline'!CJ18</f>
        <v>#REF!</v>
      </c>
      <c r="W97" s="168" t="str">
        <f t="shared" si="219"/>
        <v>#REF!</v>
      </c>
      <c r="X97" s="168" t="str">
        <f t="shared" si="219"/>
        <v>#REF!</v>
      </c>
      <c r="Y97" s="168" t="str">
        <f t="shared" si="219"/>
        <v>#REF!</v>
      </c>
      <c r="Z97" s="168" t="str">
        <f t="shared" si="219"/>
        <v>#REF!</v>
      </c>
      <c r="AA97" s="168" t="str">
        <f t="shared" ref="AA97:AF97" si="220">#REF!</f>
        <v>#REF!</v>
      </c>
      <c r="AB97" s="168" t="str">
        <f t="shared" si="220"/>
        <v>#REF!</v>
      </c>
      <c r="AC97" s="168" t="str">
        <f t="shared" si="220"/>
        <v>#REF!</v>
      </c>
      <c r="AD97" s="168" t="str">
        <f t="shared" si="220"/>
        <v>#REF!</v>
      </c>
      <c r="AE97" s="168" t="str">
        <f t="shared" si="220"/>
        <v>#REF!</v>
      </c>
      <c r="AF97" s="168" t="str">
        <f t="shared" si="220"/>
        <v>#REF!</v>
      </c>
      <c r="AG97" s="168" t="str">
        <f>'2026 Pipeline'!CT18</f>
        <v>#REF!</v>
      </c>
      <c r="AH97" s="168" t="str">
        <f>'2026 Pipeline'!S18</f>
        <v>#REF!</v>
      </c>
      <c r="AI97" s="168" t="str">
        <f t="shared" ref="AI97:AJ97" si="221">#REF!</f>
        <v>#REF!</v>
      </c>
      <c r="AJ97" s="168" t="str">
        <f t="shared" si="221"/>
        <v>#REF!</v>
      </c>
    </row>
    <row r="98" ht="15.75" customHeight="1">
      <c r="A98" s="168" t="str">
        <f t="shared" ref="A98:T98" si="222">if(#REF!=$D$1,#REF!,"")</f>
        <v>#REF!</v>
      </c>
      <c r="B98" s="168" t="str">
        <f t="shared" si="222"/>
        <v>#REF!</v>
      </c>
      <c r="C98" s="168" t="str">
        <f t="shared" si="222"/>
        <v>#REF!</v>
      </c>
      <c r="D98" s="168" t="str">
        <f t="shared" si="222"/>
        <v>#REF!</v>
      </c>
      <c r="E98" s="168" t="str">
        <f t="shared" si="222"/>
        <v>#REF!</v>
      </c>
      <c r="F98" s="168" t="str">
        <f t="shared" si="222"/>
        <v>#REF!</v>
      </c>
      <c r="G98" s="168" t="str">
        <f t="shared" si="222"/>
        <v>#REF!</v>
      </c>
      <c r="H98" s="168" t="str">
        <f t="shared" si="222"/>
        <v>#REF!</v>
      </c>
      <c r="I98" s="168" t="str">
        <f t="shared" si="222"/>
        <v>#REF!</v>
      </c>
      <c r="J98" s="168" t="str">
        <f t="shared" si="222"/>
        <v>#REF!</v>
      </c>
      <c r="K98" s="168" t="str">
        <f t="shared" si="222"/>
        <v>#REF!</v>
      </c>
      <c r="L98" s="168" t="str">
        <f t="shared" si="222"/>
        <v>#REF!</v>
      </c>
      <c r="M98" s="168" t="str">
        <f t="shared" si="222"/>
        <v>#REF!</v>
      </c>
      <c r="N98" s="168" t="str">
        <f t="shared" si="222"/>
        <v>#REF!</v>
      </c>
      <c r="O98" s="168" t="str">
        <f t="shared" si="222"/>
        <v>#REF!</v>
      </c>
      <c r="P98" s="168" t="str">
        <f t="shared" si="222"/>
        <v>#REF!</v>
      </c>
      <c r="Q98" s="168" t="str">
        <f t="shared" si="222"/>
        <v>#REF!</v>
      </c>
      <c r="R98" s="168" t="str">
        <f t="shared" si="222"/>
        <v>#REF!</v>
      </c>
      <c r="S98" s="168" t="str">
        <f t="shared" si="222"/>
        <v>#REF!</v>
      </c>
      <c r="T98" s="168" t="str">
        <f t="shared" si="222"/>
        <v>#REF!</v>
      </c>
      <c r="U98" s="168" t="str">
        <f t="shared" ref="U98:AJ98" si="223">#REF!</f>
        <v>#REF!</v>
      </c>
      <c r="V98" s="168" t="str">
        <f t="shared" si="223"/>
        <v>#REF!</v>
      </c>
      <c r="W98" s="168" t="str">
        <f t="shared" si="223"/>
        <v>#REF!</v>
      </c>
      <c r="X98" s="168" t="str">
        <f t="shared" si="223"/>
        <v>#REF!</v>
      </c>
      <c r="Y98" s="168" t="str">
        <f t="shared" si="223"/>
        <v>#REF!</v>
      </c>
      <c r="Z98" s="168" t="str">
        <f t="shared" si="223"/>
        <v>#REF!</v>
      </c>
      <c r="AA98" s="168" t="str">
        <f t="shared" si="223"/>
        <v>#REF!</v>
      </c>
      <c r="AB98" s="168" t="str">
        <f t="shared" si="223"/>
        <v>#REF!</v>
      </c>
      <c r="AC98" s="168" t="str">
        <f t="shared" si="223"/>
        <v>#REF!</v>
      </c>
      <c r="AD98" s="168" t="str">
        <f t="shared" si="223"/>
        <v>#REF!</v>
      </c>
      <c r="AE98" s="168" t="str">
        <f t="shared" si="223"/>
        <v>#REF!</v>
      </c>
      <c r="AF98" s="168" t="str">
        <f t="shared" si="223"/>
        <v>#REF!</v>
      </c>
      <c r="AG98" s="168" t="str">
        <f t="shared" si="223"/>
        <v>#REF!</v>
      </c>
      <c r="AH98" s="168" t="str">
        <f t="shared" si="223"/>
        <v>#REF!</v>
      </c>
      <c r="AI98" s="168" t="str">
        <f t="shared" si="223"/>
        <v>#REF!</v>
      </c>
      <c r="AJ98" s="168" t="str">
        <f t="shared" si="223"/>
        <v>#REF!</v>
      </c>
    </row>
    <row r="99" ht="15.75" customHeight="1">
      <c r="A99" s="168" t="str">
        <f t="shared" ref="A99:T99" si="224">if(#REF!=$D$1,#REF!,"")</f>
        <v>#REF!</v>
      </c>
      <c r="B99" s="168" t="str">
        <f t="shared" si="224"/>
        <v>#REF!</v>
      </c>
      <c r="C99" s="168" t="str">
        <f t="shared" si="224"/>
        <v>#REF!</v>
      </c>
      <c r="D99" s="168" t="str">
        <f t="shared" si="224"/>
        <v>#REF!</v>
      </c>
      <c r="E99" s="168" t="str">
        <f t="shared" si="224"/>
        <v>#REF!</v>
      </c>
      <c r="F99" s="168" t="str">
        <f t="shared" si="224"/>
        <v>#REF!</v>
      </c>
      <c r="G99" s="168" t="str">
        <f t="shared" si="224"/>
        <v>#REF!</v>
      </c>
      <c r="H99" s="168" t="str">
        <f t="shared" si="224"/>
        <v>#REF!</v>
      </c>
      <c r="I99" s="168" t="str">
        <f t="shared" si="224"/>
        <v>#REF!</v>
      </c>
      <c r="J99" s="168" t="str">
        <f t="shared" si="224"/>
        <v>#REF!</v>
      </c>
      <c r="K99" s="168" t="str">
        <f t="shared" si="224"/>
        <v>#REF!</v>
      </c>
      <c r="L99" s="168" t="str">
        <f t="shared" si="224"/>
        <v>#REF!</v>
      </c>
      <c r="M99" s="168" t="str">
        <f t="shared" si="224"/>
        <v>#REF!</v>
      </c>
      <c r="N99" s="168" t="str">
        <f t="shared" si="224"/>
        <v>#REF!</v>
      </c>
      <c r="O99" s="168" t="str">
        <f t="shared" si="224"/>
        <v>#REF!</v>
      </c>
      <c r="P99" s="168" t="str">
        <f t="shared" si="224"/>
        <v>#REF!</v>
      </c>
      <c r="Q99" s="168" t="str">
        <f t="shared" si="224"/>
        <v>#REF!</v>
      </c>
      <c r="R99" s="168" t="str">
        <f t="shared" si="224"/>
        <v>#REF!</v>
      </c>
      <c r="S99" s="168" t="str">
        <f t="shared" si="224"/>
        <v>#REF!</v>
      </c>
      <c r="T99" s="168" t="str">
        <f t="shared" si="224"/>
        <v>#REF!</v>
      </c>
      <c r="U99" s="168" t="str">
        <f t="shared" ref="U99:AJ99" si="225">#REF!</f>
        <v>#REF!</v>
      </c>
      <c r="V99" s="168" t="str">
        <f t="shared" si="225"/>
        <v>#REF!</v>
      </c>
      <c r="W99" s="168" t="str">
        <f t="shared" si="225"/>
        <v>#REF!</v>
      </c>
      <c r="X99" s="168" t="str">
        <f t="shared" si="225"/>
        <v>#REF!</v>
      </c>
      <c r="Y99" s="168" t="str">
        <f t="shared" si="225"/>
        <v>#REF!</v>
      </c>
      <c r="Z99" s="168" t="str">
        <f t="shared" si="225"/>
        <v>#REF!</v>
      </c>
      <c r="AA99" s="168" t="str">
        <f t="shared" si="225"/>
        <v>#REF!</v>
      </c>
      <c r="AB99" s="168" t="str">
        <f t="shared" si="225"/>
        <v>#REF!</v>
      </c>
      <c r="AC99" s="168" t="str">
        <f t="shared" si="225"/>
        <v>#REF!</v>
      </c>
      <c r="AD99" s="168" t="str">
        <f t="shared" si="225"/>
        <v>#REF!</v>
      </c>
      <c r="AE99" s="168" t="str">
        <f t="shared" si="225"/>
        <v>#REF!</v>
      </c>
      <c r="AF99" s="168" t="str">
        <f t="shared" si="225"/>
        <v>#REF!</v>
      </c>
      <c r="AG99" s="168" t="str">
        <f t="shared" si="225"/>
        <v>#REF!</v>
      </c>
      <c r="AH99" s="168" t="str">
        <f t="shared" si="225"/>
        <v>#REF!</v>
      </c>
      <c r="AI99" s="168" t="str">
        <f t="shared" si="225"/>
        <v>#REF!</v>
      </c>
      <c r="AJ99" s="168" t="str">
        <f t="shared" si="225"/>
        <v>#REF!</v>
      </c>
    </row>
    <row r="100" ht="15.75" customHeight="1">
      <c r="A100" s="168" t="str">
        <f t="shared" ref="A100:T100" si="226">if(#REF!=$D$1,#REF!,"")</f>
        <v>#REF!</v>
      </c>
      <c r="B100" s="168" t="str">
        <f t="shared" si="226"/>
        <v>#REF!</v>
      </c>
      <c r="C100" s="168" t="str">
        <f t="shared" si="226"/>
        <v>#REF!</v>
      </c>
      <c r="D100" s="168" t="str">
        <f t="shared" si="226"/>
        <v>#REF!</v>
      </c>
      <c r="E100" s="168" t="str">
        <f t="shared" si="226"/>
        <v>#REF!</v>
      </c>
      <c r="F100" s="168" t="str">
        <f t="shared" si="226"/>
        <v>#REF!</v>
      </c>
      <c r="G100" s="168" t="str">
        <f t="shared" si="226"/>
        <v>#REF!</v>
      </c>
      <c r="H100" s="168" t="str">
        <f t="shared" si="226"/>
        <v>#REF!</v>
      </c>
      <c r="I100" s="168" t="str">
        <f t="shared" si="226"/>
        <v>#REF!</v>
      </c>
      <c r="J100" s="168" t="str">
        <f t="shared" si="226"/>
        <v>#REF!</v>
      </c>
      <c r="K100" s="168" t="str">
        <f t="shared" si="226"/>
        <v>#REF!</v>
      </c>
      <c r="L100" s="168" t="str">
        <f t="shared" si="226"/>
        <v>#REF!</v>
      </c>
      <c r="M100" s="168" t="str">
        <f t="shared" si="226"/>
        <v>#REF!</v>
      </c>
      <c r="N100" s="168" t="str">
        <f t="shared" si="226"/>
        <v>#REF!</v>
      </c>
      <c r="O100" s="168" t="str">
        <f t="shared" si="226"/>
        <v>#REF!</v>
      </c>
      <c r="P100" s="168" t="str">
        <f t="shared" si="226"/>
        <v>#REF!</v>
      </c>
      <c r="Q100" s="168" t="str">
        <f t="shared" si="226"/>
        <v>#REF!</v>
      </c>
      <c r="R100" s="168" t="str">
        <f t="shared" si="226"/>
        <v>#REF!</v>
      </c>
      <c r="S100" s="168" t="str">
        <f t="shared" si="226"/>
        <v>#REF!</v>
      </c>
      <c r="T100" s="168" t="str">
        <f t="shared" si="226"/>
        <v>#REF!</v>
      </c>
      <c r="U100" s="168" t="str">
        <f t="shared" ref="U100:AJ100" si="227">#REF!</f>
        <v>#REF!</v>
      </c>
      <c r="V100" s="168" t="str">
        <f t="shared" si="227"/>
        <v>#REF!</v>
      </c>
      <c r="W100" s="168" t="str">
        <f t="shared" si="227"/>
        <v>#REF!</v>
      </c>
      <c r="X100" s="168" t="str">
        <f t="shared" si="227"/>
        <v>#REF!</v>
      </c>
      <c r="Y100" s="168" t="str">
        <f t="shared" si="227"/>
        <v>#REF!</v>
      </c>
      <c r="Z100" s="168" t="str">
        <f t="shared" si="227"/>
        <v>#REF!</v>
      </c>
      <c r="AA100" s="168" t="str">
        <f t="shared" si="227"/>
        <v>#REF!</v>
      </c>
      <c r="AB100" s="168" t="str">
        <f t="shared" si="227"/>
        <v>#REF!</v>
      </c>
      <c r="AC100" s="168" t="str">
        <f t="shared" si="227"/>
        <v>#REF!</v>
      </c>
      <c r="AD100" s="168" t="str">
        <f t="shared" si="227"/>
        <v>#REF!</v>
      </c>
      <c r="AE100" s="168" t="str">
        <f t="shared" si="227"/>
        <v>#REF!</v>
      </c>
      <c r="AF100" s="168" t="str">
        <f t="shared" si="227"/>
        <v>#REF!</v>
      </c>
      <c r="AG100" s="168" t="str">
        <f t="shared" si="227"/>
        <v>#REF!</v>
      </c>
      <c r="AH100" s="168" t="str">
        <f t="shared" si="227"/>
        <v>#REF!</v>
      </c>
      <c r="AI100" s="168" t="str">
        <f t="shared" si="227"/>
        <v>#REF!</v>
      </c>
      <c r="AJ100" s="168" t="str">
        <f t="shared" si="227"/>
        <v>#REF!</v>
      </c>
    </row>
    <row r="101" ht="15.75" customHeight="1">
      <c r="A101" s="168" t="str">
        <f t="shared" ref="A101:T101" si="228">if(#REF!=$D$1,#REF!,"")</f>
        <v>#REF!</v>
      </c>
      <c r="B101" s="168" t="str">
        <f t="shared" si="228"/>
        <v>#REF!</v>
      </c>
      <c r="C101" s="168" t="str">
        <f t="shared" si="228"/>
        <v>#REF!</v>
      </c>
      <c r="D101" s="168" t="str">
        <f t="shared" si="228"/>
        <v>#REF!</v>
      </c>
      <c r="E101" s="168" t="str">
        <f t="shared" si="228"/>
        <v>#REF!</v>
      </c>
      <c r="F101" s="168" t="str">
        <f t="shared" si="228"/>
        <v>#REF!</v>
      </c>
      <c r="G101" s="168" t="str">
        <f t="shared" si="228"/>
        <v>#REF!</v>
      </c>
      <c r="H101" s="168" t="str">
        <f t="shared" si="228"/>
        <v>#REF!</v>
      </c>
      <c r="I101" s="168" t="str">
        <f t="shared" si="228"/>
        <v>#REF!</v>
      </c>
      <c r="J101" s="168" t="str">
        <f t="shared" si="228"/>
        <v>#REF!</v>
      </c>
      <c r="K101" s="168" t="str">
        <f t="shared" si="228"/>
        <v>#REF!</v>
      </c>
      <c r="L101" s="168" t="str">
        <f t="shared" si="228"/>
        <v>#REF!</v>
      </c>
      <c r="M101" s="168" t="str">
        <f t="shared" si="228"/>
        <v>#REF!</v>
      </c>
      <c r="N101" s="168" t="str">
        <f t="shared" si="228"/>
        <v>#REF!</v>
      </c>
      <c r="O101" s="168" t="str">
        <f t="shared" si="228"/>
        <v>#REF!</v>
      </c>
      <c r="P101" s="168" t="str">
        <f t="shared" si="228"/>
        <v>#REF!</v>
      </c>
      <c r="Q101" s="168" t="str">
        <f t="shared" si="228"/>
        <v>#REF!</v>
      </c>
      <c r="R101" s="168" t="str">
        <f t="shared" si="228"/>
        <v>#REF!</v>
      </c>
      <c r="S101" s="168" t="str">
        <f t="shared" si="228"/>
        <v>#REF!</v>
      </c>
      <c r="T101" s="168" t="str">
        <f t="shared" si="228"/>
        <v>#REF!</v>
      </c>
      <c r="U101" s="168" t="str">
        <f t="shared" ref="U101:AJ101" si="229">#REF!</f>
        <v>#REF!</v>
      </c>
      <c r="V101" s="168" t="str">
        <f t="shared" si="229"/>
        <v>#REF!</v>
      </c>
      <c r="W101" s="168" t="str">
        <f t="shared" si="229"/>
        <v>#REF!</v>
      </c>
      <c r="X101" s="168" t="str">
        <f t="shared" si="229"/>
        <v>#REF!</v>
      </c>
      <c r="Y101" s="168" t="str">
        <f t="shared" si="229"/>
        <v>#REF!</v>
      </c>
      <c r="Z101" s="168" t="str">
        <f t="shared" si="229"/>
        <v>#REF!</v>
      </c>
      <c r="AA101" s="168" t="str">
        <f t="shared" si="229"/>
        <v>#REF!</v>
      </c>
      <c r="AB101" s="168" t="str">
        <f t="shared" si="229"/>
        <v>#REF!</v>
      </c>
      <c r="AC101" s="168" t="str">
        <f t="shared" si="229"/>
        <v>#REF!</v>
      </c>
      <c r="AD101" s="168" t="str">
        <f t="shared" si="229"/>
        <v>#REF!</v>
      </c>
      <c r="AE101" s="168" t="str">
        <f t="shared" si="229"/>
        <v>#REF!</v>
      </c>
      <c r="AF101" s="168" t="str">
        <f t="shared" si="229"/>
        <v>#REF!</v>
      </c>
      <c r="AG101" s="168" t="str">
        <f t="shared" si="229"/>
        <v>#REF!</v>
      </c>
      <c r="AH101" s="168" t="str">
        <f t="shared" si="229"/>
        <v>#REF!</v>
      </c>
      <c r="AI101" s="168" t="str">
        <f t="shared" si="229"/>
        <v>#REF!</v>
      </c>
      <c r="AJ101" s="168" t="str">
        <f t="shared" si="229"/>
        <v>#REF!</v>
      </c>
    </row>
    <row r="102" ht="15.75" customHeight="1">
      <c r="A102" s="168" t="str">
        <f t="shared" ref="A102:T102" si="230">if(#REF!=$D$1,#REF!,"")</f>
        <v>#REF!</v>
      </c>
      <c r="B102" s="168" t="str">
        <f t="shared" si="230"/>
        <v>#REF!</v>
      </c>
      <c r="C102" s="168" t="str">
        <f t="shared" si="230"/>
        <v>#REF!</v>
      </c>
      <c r="D102" s="168" t="str">
        <f t="shared" si="230"/>
        <v>#REF!</v>
      </c>
      <c r="E102" s="168" t="str">
        <f t="shared" si="230"/>
        <v>#REF!</v>
      </c>
      <c r="F102" s="168" t="str">
        <f t="shared" si="230"/>
        <v>#REF!</v>
      </c>
      <c r="G102" s="168" t="str">
        <f t="shared" si="230"/>
        <v>#REF!</v>
      </c>
      <c r="H102" s="168" t="str">
        <f t="shared" si="230"/>
        <v>#REF!</v>
      </c>
      <c r="I102" s="168" t="str">
        <f t="shared" si="230"/>
        <v>#REF!</v>
      </c>
      <c r="J102" s="168" t="str">
        <f t="shared" si="230"/>
        <v>#REF!</v>
      </c>
      <c r="K102" s="168" t="str">
        <f t="shared" si="230"/>
        <v>#REF!</v>
      </c>
      <c r="L102" s="168" t="str">
        <f t="shared" si="230"/>
        <v>#REF!</v>
      </c>
      <c r="M102" s="168" t="str">
        <f t="shared" si="230"/>
        <v>#REF!</v>
      </c>
      <c r="N102" s="168" t="str">
        <f t="shared" si="230"/>
        <v>#REF!</v>
      </c>
      <c r="O102" s="168" t="str">
        <f t="shared" si="230"/>
        <v>#REF!</v>
      </c>
      <c r="P102" s="168" t="str">
        <f t="shared" si="230"/>
        <v>#REF!</v>
      </c>
      <c r="Q102" s="168" t="str">
        <f t="shared" si="230"/>
        <v>#REF!</v>
      </c>
      <c r="R102" s="168" t="str">
        <f t="shared" si="230"/>
        <v>#REF!</v>
      </c>
      <c r="S102" s="168" t="str">
        <f t="shared" si="230"/>
        <v>#REF!</v>
      </c>
      <c r="T102" s="168" t="str">
        <f t="shared" si="230"/>
        <v>#REF!</v>
      </c>
      <c r="U102" s="168" t="str">
        <f t="shared" ref="U102:AJ102" si="231">#REF!</f>
        <v>#REF!</v>
      </c>
      <c r="V102" s="168" t="str">
        <f t="shared" si="231"/>
        <v>#REF!</v>
      </c>
      <c r="W102" s="168" t="str">
        <f t="shared" si="231"/>
        <v>#REF!</v>
      </c>
      <c r="X102" s="168" t="str">
        <f t="shared" si="231"/>
        <v>#REF!</v>
      </c>
      <c r="Y102" s="168" t="str">
        <f t="shared" si="231"/>
        <v>#REF!</v>
      </c>
      <c r="Z102" s="168" t="str">
        <f t="shared" si="231"/>
        <v>#REF!</v>
      </c>
      <c r="AA102" s="168" t="str">
        <f t="shared" si="231"/>
        <v>#REF!</v>
      </c>
      <c r="AB102" s="168" t="str">
        <f t="shared" si="231"/>
        <v>#REF!</v>
      </c>
      <c r="AC102" s="168" t="str">
        <f t="shared" si="231"/>
        <v>#REF!</v>
      </c>
      <c r="AD102" s="168" t="str">
        <f t="shared" si="231"/>
        <v>#REF!</v>
      </c>
      <c r="AE102" s="168" t="str">
        <f t="shared" si="231"/>
        <v>#REF!</v>
      </c>
      <c r="AF102" s="168" t="str">
        <f t="shared" si="231"/>
        <v>#REF!</v>
      </c>
      <c r="AG102" s="168" t="str">
        <f t="shared" si="231"/>
        <v>#REF!</v>
      </c>
      <c r="AH102" s="168" t="str">
        <f t="shared" si="231"/>
        <v>#REF!</v>
      </c>
      <c r="AI102" s="168" t="str">
        <f t="shared" si="231"/>
        <v>#REF!</v>
      </c>
      <c r="AJ102" s="168" t="str">
        <f t="shared" si="231"/>
        <v>#REF!</v>
      </c>
    </row>
    <row r="103" ht="15.75" customHeight="1">
      <c r="A103" s="168" t="str">
        <f t="shared" ref="A103:T103" si="232">if(#REF!=$D$1,#REF!,"")</f>
        <v>#REF!</v>
      </c>
      <c r="B103" s="168" t="str">
        <f t="shared" si="232"/>
        <v>#REF!</v>
      </c>
      <c r="C103" s="168" t="str">
        <f t="shared" si="232"/>
        <v>#REF!</v>
      </c>
      <c r="D103" s="168" t="str">
        <f t="shared" si="232"/>
        <v>#REF!</v>
      </c>
      <c r="E103" s="168" t="str">
        <f t="shared" si="232"/>
        <v>#REF!</v>
      </c>
      <c r="F103" s="168" t="str">
        <f t="shared" si="232"/>
        <v>#REF!</v>
      </c>
      <c r="G103" s="168" t="str">
        <f t="shared" si="232"/>
        <v>#REF!</v>
      </c>
      <c r="H103" s="168" t="str">
        <f t="shared" si="232"/>
        <v>#REF!</v>
      </c>
      <c r="I103" s="168" t="str">
        <f t="shared" si="232"/>
        <v>#REF!</v>
      </c>
      <c r="J103" s="168" t="str">
        <f t="shared" si="232"/>
        <v>#REF!</v>
      </c>
      <c r="K103" s="168" t="str">
        <f t="shared" si="232"/>
        <v>#REF!</v>
      </c>
      <c r="L103" s="168" t="str">
        <f t="shared" si="232"/>
        <v>#REF!</v>
      </c>
      <c r="M103" s="168" t="str">
        <f t="shared" si="232"/>
        <v>#REF!</v>
      </c>
      <c r="N103" s="168" t="str">
        <f t="shared" si="232"/>
        <v>#REF!</v>
      </c>
      <c r="O103" s="168" t="str">
        <f t="shared" si="232"/>
        <v>#REF!</v>
      </c>
      <c r="P103" s="168" t="str">
        <f t="shared" si="232"/>
        <v>#REF!</v>
      </c>
      <c r="Q103" s="168" t="str">
        <f t="shared" si="232"/>
        <v>#REF!</v>
      </c>
      <c r="R103" s="168" t="str">
        <f t="shared" si="232"/>
        <v>#REF!</v>
      </c>
      <c r="S103" s="168" t="str">
        <f t="shared" si="232"/>
        <v>#REF!</v>
      </c>
      <c r="T103" s="168" t="str">
        <f t="shared" si="232"/>
        <v>#REF!</v>
      </c>
      <c r="U103" s="168" t="str">
        <f t="shared" ref="U103:AJ103" si="233">#REF!</f>
        <v>#REF!</v>
      </c>
      <c r="V103" s="168" t="str">
        <f t="shared" si="233"/>
        <v>#REF!</v>
      </c>
      <c r="W103" s="168" t="str">
        <f t="shared" si="233"/>
        <v>#REF!</v>
      </c>
      <c r="X103" s="168" t="str">
        <f t="shared" si="233"/>
        <v>#REF!</v>
      </c>
      <c r="Y103" s="168" t="str">
        <f t="shared" si="233"/>
        <v>#REF!</v>
      </c>
      <c r="Z103" s="168" t="str">
        <f t="shared" si="233"/>
        <v>#REF!</v>
      </c>
      <c r="AA103" s="168" t="str">
        <f t="shared" si="233"/>
        <v>#REF!</v>
      </c>
      <c r="AB103" s="168" t="str">
        <f t="shared" si="233"/>
        <v>#REF!</v>
      </c>
      <c r="AC103" s="168" t="str">
        <f t="shared" si="233"/>
        <v>#REF!</v>
      </c>
      <c r="AD103" s="168" t="str">
        <f t="shared" si="233"/>
        <v>#REF!</v>
      </c>
      <c r="AE103" s="168" t="str">
        <f t="shared" si="233"/>
        <v>#REF!</v>
      </c>
      <c r="AF103" s="168" t="str">
        <f t="shared" si="233"/>
        <v>#REF!</v>
      </c>
      <c r="AG103" s="168" t="str">
        <f t="shared" si="233"/>
        <v>#REF!</v>
      </c>
      <c r="AH103" s="168" t="str">
        <f t="shared" si="233"/>
        <v>#REF!</v>
      </c>
      <c r="AI103" s="168" t="str">
        <f t="shared" si="233"/>
        <v>#REF!</v>
      </c>
      <c r="AJ103" s="168" t="str">
        <f t="shared" si="233"/>
        <v>#REF!</v>
      </c>
    </row>
    <row r="104" ht="15.75" customHeight="1">
      <c r="A104" s="168" t="str">
        <f t="shared" ref="A104:T104" si="234">if(#REF!=$D$1,#REF!,"")</f>
        <v>#REF!</v>
      </c>
      <c r="B104" s="168" t="str">
        <f t="shared" si="234"/>
        <v>#REF!</v>
      </c>
      <c r="C104" s="168" t="str">
        <f t="shared" si="234"/>
        <v>#REF!</v>
      </c>
      <c r="D104" s="168" t="str">
        <f t="shared" si="234"/>
        <v>#REF!</v>
      </c>
      <c r="E104" s="168" t="str">
        <f t="shared" si="234"/>
        <v>#REF!</v>
      </c>
      <c r="F104" s="168" t="str">
        <f t="shared" si="234"/>
        <v>#REF!</v>
      </c>
      <c r="G104" s="168" t="str">
        <f t="shared" si="234"/>
        <v>#REF!</v>
      </c>
      <c r="H104" s="168" t="str">
        <f t="shared" si="234"/>
        <v>#REF!</v>
      </c>
      <c r="I104" s="168" t="str">
        <f t="shared" si="234"/>
        <v>#REF!</v>
      </c>
      <c r="J104" s="168" t="str">
        <f t="shared" si="234"/>
        <v>#REF!</v>
      </c>
      <c r="K104" s="168" t="str">
        <f t="shared" si="234"/>
        <v>#REF!</v>
      </c>
      <c r="L104" s="168" t="str">
        <f t="shared" si="234"/>
        <v>#REF!</v>
      </c>
      <c r="M104" s="168" t="str">
        <f t="shared" si="234"/>
        <v>#REF!</v>
      </c>
      <c r="N104" s="168" t="str">
        <f t="shared" si="234"/>
        <v>#REF!</v>
      </c>
      <c r="O104" s="168" t="str">
        <f t="shared" si="234"/>
        <v>#REF!</v>
      </c>
      <c r="P104" s="168" t="str">
        <f t="shared" si="234"/>
        <v>#REF!</v>
      </c>
      <c r="Q104" s="168" t="str">
        <f t="shared" si="234"/>
        <v>#REF!</v>
      </c>
      <c r="R104" s="168" t="str">
        <f t="shared" si="234"/>
        <v>#REF!</v>
      </c>
      <c r="S104" s="168" t="str">
        <f t="shared" si="234"/>
        <v>#REF!</v>
      </c>
      <c r="T104" s="168" t="str">
        <f t="shared" si="234"/>
        <v>#REF!</v>
      </c>
      <c r="U104" s="168" t="str">
        <f t="shared" ref="U104:AJ104" si="235">#REF!</f>
        <v>#REF!</v>
      </c>
      <c r="V104" s="168" t="str">
        <f t="shared" si="235"/>
        <v>#REF!</v>
      </c>
      <c r="W104" s="168" t="str">
        <f t="shared" si="235"/>
        <v>#REF!</v>
      </c>
      <c r="X104" s="168" t="str">
        <f t="shared" si="235"/>
        <v>#REF!</v>
      </c>
      <c r="Y104" s="168" t="str">
        <f t="shared" si="235"/>
        <v>#REF!</v>
      </c>
      <c r="Z104" s="168" t="str">
        <f t="shared" si="235"/>
        <v>#REF!</v>
      </c>
      <c r="AA104" s="168" t="str">
        <f t="shared" si="235"/>
        <v>#REF!</v>
      </c>
      <c r="AB104" s="168" t="str">
        <f t="shared" si="235"/>
        <v>#REF!</v>
      </c>
      <c r="AC104" s="168" t="str">
        <f t="shared" si="235"/>
        <v>#REF!</v>
      </c>
      <c r="AD104" s="168" t="str">
        <f t="shared" si="235"/>
        <v>#REF!</v>
      </c>
      <c r="AE104" s="168" t="str">
        <f t="shared" si="235"/>
        <v>#REF!</v>
      </c>
      <c r="AF104" s="168" t="str">
        <f t="shared" si="235"/>
        <v>#REF!</v>
      </c>
      <c r="AG104" s="168" t="str">
        <f t="shared" si="235"/>
        <v>#REF!</v>
      </c>
      <c r="AH104" s="168" t="str">
        <f t="shared" si="235"/>
        <v>#REF!</v>
      </c>
      <c r="AI104" s="168" t="str">
        <f t="shared" si="235"/>
        <v>#REF!</v>
      </c>
      <c r="AJ104" s="168" t="str">
        <f t="shared" si="235"/>
        <v>#REF!</v>
      </c>
    </row>
    <row r="105" ht="15.75" customHeight="1">
      <c r="A105" s="168" t="str">
        <f t="shared" ref="A105:T105" si="236">if(#REF!=$D$1,#REF!,"")</f>
        <v>#REF!</v>
      </c>
      <c r="B105" s="168" t="str">
        <f t="shared" si="236"/>
        <v>#REF!</v>
      </c>
      <c r="C105" s="168" t="str">
        <f t="shared" si="236"/>
        <v>#REF!</v>
      </c>
      <c r="D105" s="168" t="str">
        <f t="shared" si="236"/>
        <v>#REF!</v>
      </c>
      <c r="E105" s="168" t="str">
        <f t="shared" si="236"/>
        <v>#REF!</v>
      </c>
      <c r="F105" s="168" t="str">
        <f t="shared" si="236"/>
        <v>#REF!</v>
      </c>
      <c r="G105" s="168" t="str">
        <f t="shared" si="236"/>
        <v>#REF!</v>
      </c>
      <c r="H105" s="168" t="str">
        <f t="shared" si="236"/>
        <v>#REF!</v>
      </c>
      <c r="I105" s="168" t="str">
        <f t="shared" si="236"/>
        <v>#REF!</v>
      </c>
      <c r="J105" s="168" t="str">
        <f t="shared" si="236"/>
        <v>#REF!</v>
      </c>
      <c r="K105" s="168" t="str">
        <f t="shared" si="236"/>
        <v>#REF!</v>
      </c>
      <c r="L105" s="168" t="str">
        <f t="shared" si="236"/>
        <v>#REF!</v>
      </c>
      <c r="M105" s="168" t="str">
        <f t="shared" si="236"/>
        <v>#REF!</v>
      </c>
      <c r="N105" s="168" t="str">
        <f t="shared" si="236"/>
        <v>#REF!</v>
      </c>
      <c r="O105" s="168" t="str">
        <f t="shared" si="236"/>
        <v>#REF!</v>
      </c>
      <c r="P105" s="168" t="str">
        <f t="shared" si="236"/>
        <v>#REF!</v>
      </c>
      <c r="Q105" s="168" t="str">
        <f t="shared" si="236"/>
        <v>#REF!</v>
      </c>
      <c r="R105" s="168" t="str">
        <f t="shared" si="236"/>
        <v>#REF!</v>
      </c>
      <c r="S105" s="168" t="str">
        <f t="shared" si="236"/>
        <v>#REF!</v>
      </c>
      <c r="T105" s="168" t="str">
        <f t="shared" si="236"/>
        <v>#REF!</v>
      </c>
      <c r="U105" s="168" t="str">
        <f t="shared" ref="U105:AJ105" si="237">#REF!</f>
        <v>#REF!</v>
      </c>
      <c r="V105" s="168" t="str">
        <f t="shared" si="237"/>
        <v>#REF!</v>
      </c>
      <c r="W105" s="168" t="str">
        <f t="shared" si="237"/>
        <v>#REF!</v>
      </c>
      <c r="X105" s="168" t="str">
        <f t="shared" si="237"/>
        <v>#REF!</v>
      </c>
      <c r="Y105" s="168" t="str">
        <f t="shared" si="237"/>
        <v>#REF!</v>
      </c>
      <c r="Z105" s="168" t="str">
        <f t="shared" si="237"/>
        <v>#REF!</v>
      </c>
      <c r="AA105" s="168" t="str">
        <f t="shared" si="237"/>
        <v>#REF!</v>
      </c>
      <c r="AB105" s="168" t="str">
        <f t="shared" si="237"/>
        <v>#REF!</v>
      </c>
      <c r="AC105" s="168" t="str">
        <f t="shared" si="237"/>
        <v>#REF!</v>
      </c>
      <c r="AD105" s="168" t="str">
        <f t="shared" si="237"/>
        <v>#REF!</v>
      </c>
      <c r="AE105" s="168" t="str">
        <f t="shared" si="237"/>
        <v>#REF!</v>
      </c>
      <c r="AF105" s="168" t="str">
        <f t="shared" si="237"/>
        <v>#REF!</v>
      </c>
      <c r="AG105" s="168" t="str">
        <f t="shared" si="237"/>
        <v>#REF!</v>
      </c>
      <c r="AH105" s="168" t="str">
        <f t="shared" si="237"/>
        <v>#REF!</v>
      </c>
      <c r="AI105" s="168" t="str">
        <f t="shared" si="237"/>
        <v>#REF!</v>
      </c>
      <c r="AJ105" s="168" t="str">
        <f t="shared" si="237"/>
        <v>#REF!</v>
      </c>
    </row>
    <row r="106" ht="15.75" customHeight="1">
      <c r="A106" s="168" t="str">
        <f t="shared" ref="A106:T106" si="238">if(#REF!=$D$1,#REF!,"")</f>
        <v>#REF!</v>
      </c>
      <c r="B106" s="168" t="str">
        <f t="shared" si="238"/>
        <v>#REF!</v>
      </c>
      <c r="C106" s="168" t="str">
        <f t="shared" si="238"/>
        <v>#REF!</v>
      </c>
      <c r="D106" s="168" t="str">
        <f t="shared" si="238"/>
        <v>#REF!</v>
      </c>
      <c r="E106" s="168" t="str">
        <f t="shared" si="238"/>
        <v>#REF!</v>
      </c>
      <c r="F106" s="168" t="str">
        <f t="shared" si="238"/>
        <v>#REF!</v>
      </c>
      <c r="G106" s="168" t="str">
        <f t="shared" si="238"/>
        <v>#REF!</v>
      </c>
      <c r="H106" s="168" t="str">
        <f t="shared" si="238"/>
        <v>#REF!</v>
      </c>
      <c r="I106" s="168" t="str">
        <f t="shared" si="238"/>
        <v>#REF!</v>
      </c>
      <c r="J106" s="168" t="str">
        <f t="shared" si="238"/>
        <v>#REF!</v>
      </c>
      <c r="K106" s="168" t="str">
        <f t="shared" si="238"/>
        <v>#REF!</v>
      </c>
      <c r="L106" s="168" t="str">
        <f t="shared" si="238"/>
        <v>#REF!</v>
      </c>
      <c r="M106" s="168" t="str">
        <f t="shared" si="238"/>
        <v>#REF!</v>
      </c>
      <c r="N106" s="168" t="str">
        <f t="shared" si="238"/>
        <v>#REF!</v>
      </c>
      <c r="O106" s="168" t="str">
        <f t="shared" si="238"/>
        <v>#REF!</v>
      </c>
      <c r="P106" s="168" t="str">
        <f t="shared" si="238"/>
        <v>#REF!</v>
      </c>
      <c r="Q106" s="168" t="str">
        <f t="shared" si="238"/>
        <v>#REF!</v>
      </c>
      <c r="R106" s="168" t="str">
        <f t="shared" si="238"/>
        <v>#REF!</v>
      </c>
      <c r="S106" s="168" t="str">
        <f t="shared" si="238"/>
        <v>#REF!</v>
      </c>
      <c r="T106" s="168" t="str">
        <f t="shared" si="238"/>
        <v>#REF!</v>
      </c>
      <c r="U106" s="168" t="str">
        <f t="shared" ref="U106:AJ106" si="239">#REF!</f>
        <v>#REF!</v>
      </c>
      <c r="V106" s="168" t="str">
        <f t="shared" si="239"/>
        <v>#REF!</v>
      </c>
      <c r="W106" s="168" t="str">
        <f t="shared" si="239"/>
        <v>#REF!</v>
      </c>
      <c r="X106" s="168" t="str">
        <f t="shared" si="239"/>
        <v>#REF!</v>
      </c>
      <c r="Y106" s="168" t="str">
        <f t="shared" si="239"/>
        <v>#REF!</v>
      </c>
      <c r="Z106" s="168" t="str">
        <f t="shared" si="239"/>
        <v>#REF!</v>
      </c>
      <c r="AA106" s="168" t="str">
        <f t="shared" si="239"/>
        <v>#REF!</v>
      </c>
      <c r="AB106" s="168" t="str">
        <f t="shared" si="239"/>
        <v>#REF!</v>
      </c>
      <c r="AC106" s="168" t="str">
        <f t="shared" si="239"/>
        <v>#REF!</v>
      </c>
      <c r="AD106" s="168" t="str">
        <f t="shared" si="239"/>
        <v>#REF!</v>
      </c>
      <c r="AE106" s="168" t="str">
        <f t="shared" si="239"/>
        <v>#REF!</v>
      </c>
      <c r="AF106" s="168" t="str">
        <f t="shared" si="239"/>
        <v>#REF!</v>
      </c>
      <c r="AG106" s="168" t="str">
        <f t="shared" si="239"/>
        <v>#REF!</v>
      </c>
      <c r="AH106" s="168" t="str">
        <f t="shared" si="239"/>
        <v>#REF!</v>
      </c>
      <c r="AI106" s="168" t="str">
        <f t="shared" si="239"/>
        <v>#REF!</v>
      </c>
      <c r="AJ106" s="168" t="str">
        <f t="shared" si="239"/>
        <v>#REF!</v>
      </c>
    </row>
    <row r="107" ht="15.75" customHeight="1">
      <c r="A107" s="168" t="str">
        <f t="shared" ref="A107:T107" si="240">if(#REF!=$D$1,#REF!,"")</f>
        <v>#REF!</v>
      </c>
      <c r="B107" s="168" t="str">
        <f t="shared" si="240"/>
        <v>#REF!</v>
      </c>
      <c r="C107" s="168" t="str">
        <f t="shared" si="240"/>
        <v>#REF!</v>
      </c>
      <c r="D107" s="168" t="str">
        <f t="shared" si="240"/>
        <v>#REF!</v>
      </c>
      <c r="E107" s="168" t="str">
        <f t="shared" si="240"/>
        <v>#REF!</v>
      </c>
      <c r="F107" s="168" t="str">
        <f t="shared" si="240"/>
        <v>#REF!</v>
      </c>
      <c r="G107" s="168" t="str">
        <f t="shared" si="240"/>
        <v>#REF!</v>
      </c>
      <c r="H107" s="168" t="str">
        <f t="shared" si="240"/>
        <v>#REF!</v>
      </c>
      <c r="I107" s="168" t="str">
        <f t="shared" si="240"/>
        <v>#REF!</v>
      </c>
      <c r="J107" s="168" t="str">
        <f t="shared" si="240"/>
        <v>#REF!</v>
      </c>
      <c r="K107" s="168" t="str">
        <f t="shared" si="240"/>
        <v>#REF!</v>
      </c>
      <c r="L107" s="168" t="str">
        <f t="shared" si="240"/>
        <v>#REF!</v>
      </c>
      <c r="M107" s="168" t="str">
        <f t="shared" si="240"/>
        <v>#REF!</v>
      </c>
      <c r="N107" s="168" t="str">
        <f t="shared" si="240"/>
        <v>#REF!</v>
      </c>
      <c r="O107" s="168" t="str">
        <f t="shared" si="240"/>
        <v>#REF!</v>
      </c>
      <c r="P107" s="168" t="str">
        <f t="shared" si="240"/>
        <v>#REF!</v>
      </c>
      <c r="Q107" s="168" t="str">
        <f t="shared" si="240"/>
        <v>#REF!</v>
      </c>
      <c r="R107" s="168" t="str">
        <f t="shared" si="240"/>
        <v>#REF!</v>
      </c>
      <c r="S107" s="168" t="str">
        <f t="shared" si="240"/>
        <v>#REF!</v>
      </c>
      <c r="T107" s="168" t="str">
        <f t="shared" si="240"/>
        <v>#REF!</v>
      </c>
      <c r="U107" s="168" t="str">
        <f t="shared" ref="U107:AJ107" si="241">#REF!</f>
        <v>#REF!</v>
      </c>
      <c r="V107" s="168" t="str">
        <f t="shared" si="241"/>
        <v>#REF!</v>
      </c>
      <c r="W107" s="168" t="str">
        <f t="shared" si="241"/>
        <v>#REF!</v>
      </c>
      <c r="X107" s="168" t="str">
        <f t="shared" si="241"/>
        <v>#REF!</v>
      </c>
      <c r="Y107" s="168" t="str">
        <f t="shared" si="241"/>
        <v>#REF!</v>
      </c>
      <c r="Z107" s="168" t="str">
        <f t="shared" si="241"/>
        <v>#REF!</v>
      </c>
      <c r="AA107" s="168" t="str">
        <f t="shared" si="241"/>
        <v>#REF!</v>
      </c>
      <c r="AB107" s="168" t="str">
        <f t="shared" si="241"/>
        <v>#REF!</v>
      </c>
      <c r="AC107" s="168" t="str">
        <f t="shared" si="241"/>
        <v>#REF!</v>
      </c>
      <c r="AD107" s="168" t="str">
        <f t="shared" si="241"/>
        <v>#REF!</v>
      </c>
      <c r="AE107" s="168" t="str">
        <f t="shared" si="241"/>
        <v>#REF!</v>
      </c>
      <c r="AF107" s="168" t="str">
        <f t="shared" si="241"/>
        <v>#REF!</v>
      </c>
      <c r="AG107" s="168" t="str">
        <f t="shared" si="241"/>
        <v>#REF!</v>
      </c>
      <c r="AH107" s="168" t="str">
        <f t="shared" si="241"/>
        <v>#REF!</v>
      </c>
      <c r="AI107" s="168" t="str">
        <f t="shared" si="241"/>
        <v>#REF!</v>
      </c>
      <c r="AJ107" s="168" t="str">
        <f t="shared" si="241"/>
        <v>#REF!</v>
      </c>
    </row>
    <row r="108" ht="15.75" customHeight="1">
      <c r="A108" s="168" t="str">
        <f t="shared" ref="A108:T108" si="242">if(#REF!=$D$1,#REF!,"")</f>
        <v>#REF!</v>
      </c>
      <c r="B108" s="168" t="str">
        <f t="shared" si="242"/>
        <v>#REF!</v>
      </c>
      <c r="C108" s="168" t="str">
        <f t="shared" si="242"/>
        <v>#REF!</v>
      </c>
      <c r="D108" s="168" t="str">
        <f t="shared" si="242"/>
        <v>#REF!</v>
      </c>
      <c r="E108" s="168" t="str">
        <f t="shared" si="242"/>
        <v>#REF!</v>
      </c>
      <c r="F108" s="168" t="str">
        <f t="shared" si="242"/>
        <v>#REF!</v>
      </c>
      <c r="G108" s="168" t="str">
        <f t="shared" si="242"/>
        <v>#REF!</v>
      </c>
      <c r="H108" s="168" t="str">
        <f t="shared" si="242"/>
        <v>#REF!</v>
      </c>
      <c r="I108" s="168" t="str">
        <f t="shared" si="242"/>
        <v>#REF!</v>
      </c>
      <c r="J108" s="168" t="str">
        <f t="shared" si="242"/>
        <v>#REF!</v>
      </c>
      <c r="K108" s="168" t="str">
        <f t="shared" si="242"/>
        <v>#REF!</v>
      </c>
      <c r="L108" s="168" t="str">
        <f t="shared" si="242"/>
        <v>#REF!</v>
      </c>
      <c r="M108" s="168" t="str">
        <f t="shared" si="242"/>
        <v>#REF!</v>
      </c>
      <c r="N108" s="168" t="str">
        <f t="shared" si="242"/>
        <v>#REF!</v>
      </c>
      <c r="O108" s="168" t="str">
        <f t="shared" si="242"/>
        <v>#REF!</v>
      </c>
      <c r="P108" s="168" t="str">
        <f t="shared" si="242"/>
        <v>#REF!</v>
      </c>
      <c r="Q108" s="168" t="str">
        <f t="shared" si="242"/>
        <v>#REF!</v>
      </c>
      <c r="R108" s="168" t="str">
        <f t="shared" si="242"/>
        <v>#REF!</v>
      </c>
      <c r="S108" s="168" t="str">
        <f t="shared" si="242"/>
        <v>#REF!</v>
      </c>
      <c r="T108" s="168" t="str">
        <f t="shared" si="242"/>
        <v>#REF!</v>
      </c>
      <c r="U108" s="168" t="str">
        <f t="shared" ref="U108:AJ108" si="243">#REF!</f>
        <v>#REF!</v>
      </c>
      <c r="V108" s="168" t="str">
        <f t="shared" si="243"/>
        <v>#REF!</v>
      </c>
      <c r="W108" s="168" t="str">
        <f t="shared" si="243"/>
        <v>#REF!</v>
      </c>
      <c r="X108" s="168" t="str">
        <f t="shared" si="243"/>
        <v>#REF!</v>
      </c>
      <c r="Y108" s="168" t="str">
        <f t="shared" si="243"/>
        <v>#REF!</v>
      </c>
      <c r="Z108" s="168" t="str">
        <f t="shared" si="243"/>
        <v>#REF!</v>
      </c>
      <c r="AA108" s="168" t="str">
        <f t="shared" si="243"/>
        <v>#REF!</v>
      </c>
      <c r="AB108" s="168" t="str">
        <f t="shared" si="243"/>
        <v>#REF!</v>
      </c>
      <c r="AC108" s="168" t="str">
        <f t="shared" si="243"/>
        <v>#REF!</v>
      </c>
      <c r="AD108" s="168" t="str">
        <f t="shared" si="243"/>
        <v>#REF!</v>
      </c>
      <c r="AE108" s="168" t="str">
        <f t="shared" si="243"/>
        <v>#REF!</v>
      </c>
      <c r="AF108" s="168" t="str">
        <f t="shared" si="243"/>
        <v>#REF!</v>
      </c>
      <c r="AG108" s="168" t="str">
        <f t="shared" si="243"/>
        <v>#REF!</v>
      </c>
      <c r="AH108" s="168" t="str">
        <f t="shared" si="243"/>
        <v>#REF!</v>
      </c>
      <c r="AI108" s="168" t="str">
        <f t="shared" si="243"/>
        <v>#REF!</v>
      </c>
      <c r="AJ108" s="168" t="str">
        <f t="shared" si="243"/>
        <v>#REF!</v>
      </c>
    </row>
    <row r="109" ht="15.75" customHeight="1">
      <c r="A109" s="168" t="str">
        <f t="shared" ref="A109:T109" si="244">if(#REF!=$D$1,#REF!,"")</f>
        <v>#REF!</v>
      </c>
      <c r="B109" s="168" t="str">
        <f t="shared" si="244"/>
        <v>#REF!</v>
      </c>
      <c r="C109" s="168" t="str">
        <f t="shared" si="244"/>
        <v>#REF!</v>
      </c>
      <c r="D109" s="168" t="str">
        <f t="shared" si="244"/>
        <v>#REF!</v>
      </c>
      <c r="E109" s="168" t="str">
        <f t="shared" si="244"/>
        <v>#REF!</v>
      </c>
      <c r="F109" s="168" t="str">
        <f t="shared" si="244"/>
        <v>#REF!</v>
      </c>
      <c r="G109" s="168" t="str">
        <f t="shared" si="244"/>
        <v>#REF!</v>
      </c>
      <c r="H109" s="168" t="str">
        <f t="shared" si="244"/>
        <v>#REF!</v>
      </c>
      <c r="I109" s="168" t="str">
        <f t="shared" si="244"/>
        <v>#REF!</v>
      </c>
      <c r="J109" s="168" t="str">
        <f t="shared" si="244"/>
        <v>#REF!</v>
      </c>
      <c r="K109" s="168" t="str">
        <f t="shared" si="244"/>
        <v>#REF!</v>
      </c>
      <c r="L109" s="168" t="str">
        <f t="shared" si="244"/>
        <v>#REF!</v>
      </c>
      <c r="M109" s="168" t="str">
        <f t="shared" si="244"/>
        <v>#REF!</v>
      </c>
      <c r="N109" s="168" t="str">
        <f t="shared" si="244"/>
        <v>#REF!</v>
      </c>
      <c r="O109" s="168" t="str">
        <f t="shared" si="244"/>
        <v>#REF!</v>
      </c>
      <c r="P109" s="168" t="str">
        <f t="shared" si="244"/>
        <v>#REF!</v>
      </c>
      <c r="Q109" s="168" t="str">
        <f t="shared" si="244"/>
        <v>#REF!</v>
      </c>
      <c r="R109" s="168" t="str">
        <f t="shared" si="244"/>
        <v>#REF!</v>
      </c>
      <c r="S109" s="168" t="str">
        <f t="shared" si="244"/>
        <v>#REF!</v>
      </c>
      <c r="T109" s="168" t="str">
        <f t="shared" si="244"/>
        <v>#REF!</v>
      </c>
      <c r="U109" s="168" t="str">
        <f t="shared" ref="U109:AJ109" si="245">#REF!</f>
        <v>#REF!</v>
      </c>
      <c r="V109" s="168" t="str">
        <f t="shared" si="245"/>
        <v>#REF!</v>
      </c>
      <c r="W109" s="168" t="str">
        <f t="shared" si="245"/>
        <v>#REF!</v>
      </c>
      <c r="X109" s="168" t="str">
        <f t="shared" si="245"/>
        <v>#REF!</v>
      </c>
      <c r="Y109" s="168" t="str">
        <f t="shared" si="245"/>
        <v>#REF!</v>
      </c>
      <c r="Z109" s="168" t="str">
        <f t="shared" si="245"/>
        <v>#REF!</v>
      </c>
      <c r="AA109" s="168" t="str">
        <f t="shared" si="245"/>
        <v>#REF!</v>
      </c>
      <c r="AB109" s="168" t="str">
        <f t="shared" si="245"/>
        <v>#REF!</v>
      </c>
      <c r="AC109" s="168" t="str">
        <f t="shared" si="245"/>
        <v>#REF!</v>
      </c>
      <c r="AD109" s="168" t="str">
        <f t="shared" si="245"/>
        <v>#REF!</v>
      </c>
      <c r="AE109" s="168" t="str">
        <f t="shared" si="245"/>
        <v>#REF!</v>
      </c>
      <c r="AF109" s="168" t="str">
        <f t="shared" si="245"/>
        <v>#REF!</v>
      </c>
      <c r="AG109" s="168" t="str">
        <f t="shared" si="245"/>
        <v>#REF!</v>
      </c>
      <c r="AH109" s="168" t="str">
        <f t="shared" si="245"/>
        <v>#REF!</v>
      </c>
      <c r="AI109" s="168" t="str">
        <f t="shared" si="245"/>
        <v>#REF!</v>
      </c>
      <c r="AJ109" s="168" t="str">
        <f t="shared" si="245"/>
        <v>#REF!</v>
      </c>
    </row>
    <row r="110" ht="15.75" customHeight="1">
      <c r="A110" s="168" t="str">
        <f t="shared" ref="A110:T110" si="246">if(#REF!=$D$1,#REF!,"")</f>
        <v>#REF!</v>
      </c>
      <c r="B110" s="168" t="str">
        <f t="shared" si="246"/>
        <v>#REF!</v>
      </c>
      <c r="C110" s="168" t="str">
        <f t="shared" si="246"/>
        <v>#REF!</v>
      </c>
      <c r="D110" s="168" t="str">
        <f t="shared" si="246"/>
        <v>#REF!</v>
      </c>
      <c r="E110" s="168" t="str">
        <f t="shared" si="246"/>
        <v>#REF!</v>
      </c>
      <c r="F110" s="168" t="str">
        <f t="shared" si="246"/>
        <v>#REF!</v>
      </c>
      <c r="G110" s="168" t="str">
        <f t="shared" si="246"/>
        <v>#REF!</v>
      </c>
      <c r="H110" s="168" t="str">
        <f t="shared" si="246"/>
        <v>#REF!</v>
      </c>
      <c r="I110" s="168" t="str">
        <f t="shared" si="246"/>
        <v>#REF!</v>
      </c>
      <c r="J110" s="168" t="str">
        <f t="shared" si="246"/>
        <v>#REF!</v>
      </c>
      <c r="K110" s="168" t="str">
        <f t="shared" si="246"/>
        <v>#REF!</v>
      </c>
      <c r="L110" s="168" t="str">
        <f t="shared" si="246"/>
        <v>#REF!</v>
      </c>
      <c r="M110" s="168" t="str">
        <f t="shared" si="246"/>
        <v>#REF!</v>
      </c>
      <c r="N110" s="168" t="str">
        <f t="shared" si="246"/>
        <v>#REF!</v>
      </c>
      <c r="O110" s="168" t="str">
        <f t="shared" si="246"/>
        <v>#REF!</v>
      </c>
      <c r="P110" s="168" t="str">
        <f t="shared" si="246"/>
        <v>#REF!</v>
      </c>
      <c r="Q110" s="168" t="str">
        <f t="shared" si="246"/>
        <v>#REF!</v>
      </c>
      <c r="R110" s="168" t="str">
        <f t="shared" si="246"/>
        <v>#REF!</v>
      </c>
      <c r="S110" s="168" t="str">
        <f t="shared" si="246"/>
        <v>#REF!</v>
      </c>
      <c r="T110" s="168" t="str">
        <f t="shared" si="246"/>
        <v>#REF!</v>
      </c>
      <c r="U110" s="168" t="str">
        <f t="shared" ref="U110:AJ110" si="247">#REF!</f>
        <v>#REF!</v>
      </c>
      <c r="V110" s="168" t="str">
        <f t="shared" si="247"/>
        <v>#REF!</v>
      </c>
      <c r="W110" s="168" t="str">
        <f t="shared" si="247"/>
        <v>#REF!</v>
      </c>
      <c r="X110" s="168" t="str">
        <f t="shared" si="247"/>
        <v>#REF!</v>
      </c>
      <c r="Y110" s="168" t="str">
        <f t="shared" si="247"/>
        <v>#REF!</v>
      </c>
      <c r="Z110" s="168" t="str">
        <f t="shared" si="247"/>
        <v>#REF!</v>
      </c>
      <c r="AA110" s="168" t="str">
        <f t="shared" si="247"/>
        <v>#REF!</v>
      </c>
      <c r="AB110" s="168" t="str">
        <f t="shared" si="247"/>
        <v>#REF!</v>
      </c>
      <c r="AC110" s="168" t="str">
        <f t="shared" si="247"/>
        <v>#REF!</v>
      </c>
      <c r="AD110" s="168" t="str">
        <f t="shared" si="247"/>
        <v>#REF!</v>
      </c>
      <c r="AE110" s="168" t="str">
        <f t="shared" si="247"/>
        <v>#REF!</v>
      </c>
      <c r="AF110" s="168" t="str">
        <f t="shared" si="247"/>
        <v>#REF!</v>
      </c>
      <c r="AG110" s="168" t="str">
        <f t="shared" si="247"/>
        <v>#REF!</v>
      </c>
      <c r="AH110" s="168" t="str">
        <f t="shared" si="247"/>
        <v>#REF!</v>
      </c>
      <c r="AI110" s="168" t="str">
        <f t="shared" si="247"/>
        <v>#REF!</v>
      </c>
      <c r="AJ110" s="168" t="str">
        <f t="shared" si="247"/>
        <v>#REF!</v>
      </c>
    </row>
    <row r="111" ht="15.75" customHeight="1">
      <c r="A111" s="168" t="str">
        <f t="shared" ref="A111:T111" si="248">if(#REF!=$D$1,#REF!,"")</f>
        <v>#REF!</v>
      </c>
      <c r="B111" s="168" t="str">
        <f t="shared" si="248"/>
        <v>#REF!</v>
      </c>
      <c r="C111" s="168" t="str">
        <f t="shared" si="248"/>
        <v>#REF!</v>
      </c>
      <c r="D111" s="168" t="str">
        <f t="shared" si="248"/>
        <v>#REF!</v>
      </c>
      <c r="E111" s="168" t="str">
        <f t="shared" si="248"/>
        <v>#REF!</v>
      </c>
      <c r="F111" s="168" t="str">
        <f t="shared" si="248"/>
        <v>#REF!</v>
      </c>
      <c r="G111" s="168" t="str">
        <f t="shared" si="248"/>
        <v>#REF!</v>
      </c>
      <c r="H111" s="168" t="str">
        <f t="shared" si="248"/>
        <v>#REF!</v>
      </c>
      <c r="I111" s="168" t="str">
        <f t="shared" si="248"/>
        <v>#REF!</v>
      </c>
      <c r="J111" s="168" t="str">
        <f t="shared" si="248"/>
        <v>#REF!</v>
      </c>
      <c r="K111" s="168" t="str">
        <f t="shared" si="248"/>
        <v>#REF!</v>
      </c>
      <c r="L111" s="168" t="str">
        <f t="shared" si="248"/>
        <v>#REF!</v>
      </c>
      <c r="M111" s="168" t="str">
        <f t="shared" si="248"/>
        <v>#REF!</v>
      </c>
      <c r="N111" s="168" t="str">
        <f t="shared" si="248"/>
        <v>#REF!</v>
      </c>
      <c r="O111" s="168" t="str">
        <f t="shared" si="248"/>
        <v>#REF!</v>
      </c>
      <c r="P111" s="168" t="str">
        <f t="shared" si="248"/>
        <v>#REF!</v>
      </c>
      <c r="Q111" s="168" t="str">
        <f t="shared" si="248"/>
        <v>#REF!</v>
      </c>
      <c r="R111" s="168" t="str">
        <f t="shared" si="248"/>
        <v>#REF!</v>
      </c>
      <c r="S111" s="168" t="str">
        <f t="shared" si="248"/>
        <v>#REF!</v>
      </c>
      <c r="T111" s="168" t="str">
        <f t="shared" si="248"/>
        <v>#REF!</v>
      </c>
      <c r="U111" s="168" t="str">
        <f t="shared" ref="U111:AJ111" si="249">#REF!</f>
        <v>#REF!</v>
      </c>
      <c r="V111" s="168" t="str">
        <f t="shared" si="249"/>
        <v>#REF!</v>
      </c>
      <c r="W111" s="168" t="str">
        <f t="shared" si="249"/>
        <v>#REF!</v>
      </c>
      <c r="X111" s="168" t="str">
        <f t="shared" si="249"/>
        <v>#REF!</v>
      </c>
      <c r="Y111" s="168" t="str">
        <f t="shared" si="249"/>
        <v>#REF!</v>
      </c>
      <c r="Z111" s="168" t="str">
        <f t="shared" si="249"/>
        <v>#REF!</v>
      </c>
      <c r="AA111" s="168" t="str">
        <f t="shared" si="249"/>
        <v>#REF!</v>
      </c>
      <c r="AB111" s="168" t="str">
        <f t="shared" si="249"/>
        <v>#REF!</v>
      </c>
      <c r="AC111" s="168" t="str">
        <f t="shared" si="249"/>
        <v>#REF!</v>
      </c>
      <c r="AD111" s="168" t="str">
        <f t="shared" si="249"/>
        <v>#REF!</v>
      </c>
      <c r="AE111" s="168" t="str">
        <f t="shared" si="249"/>
        <v>#REF!</v>
      </c>
      <c r="AF111" s="168" t="str">
        <f t="shared" si="249"/>
        <v>#REF!</v>
      </c>
      <c r="AG111" s="168" t="str">
        <f t="shared" si="249"/>
        <v>#REF!</v>
      </c>
      <c r="AH111" s="168" t="str">
        <f t="shared" si="249"/>
        <v>#REF!</v>
      </c>
      <c r="AI111" s="168" t="str">
        <f t="shared" si="249"/>
        <v>#REF!</v>
      </c>
      <c r="AJ111" s="168" t="str">
        <f t="shared" si="249"/>
        <v>#REF!</v>
      </c>
    </row>
    <row r="112" ht="15.75" customHeight="1">
      <c r="A112" s="168" t="str">
        <f t="shared" ref="A112:T112" si="250">if(#REF!=$D$1,#REF!,"")</f>
        <v>#REF!</v>
      </c>
      <c r="B112" s="168" t="str">
        <f t="shared" si="250"/>
        <v>#REF!</v>
      </c>
      <c r="C112" s="168" t="str">
        <f t="shared" si="250"/>
        <v>#REF!</v>
      </c>
      <c r="D112" s="168" t="str">
        <f t="shared" si="250"/>
        <v>#REF!</v>
      </c>
      <c r="E112" s="168" t="str">
        <f t="shared" si="250"/>
        <v>#REF!</v>
      </c>
      <c r="F112" s="168" t="str">
        <f t="shared" si="250"/>
        <v>#REF!</v>
      </c>
      <c r="G112" s="168" t="str">
        <f t="shared" si="250"/>
        <v>#REF!</v>
      </c>
      <c r="H112" s="168" t="str">
        <f t="shared" si="250"/>
        <v>#REF!</v>
      </c>
      <c r="I112" s="168" t="str">
        <f t="shared" si="250"/>
        <v>#REF!</v>
      </c>
      <c r="J112" s="168" t="str">
        <f t="shared" si="250"/>
        <v>#REF!</v>
      </c>
      <c r="K112" s="168" t="str">
        <f t="shared" si="250"/>
        <v>#REF!</v>
      </c>
      <c r="L112" s="168" t="str">
        <f t="shared" si="250"/>
        <v>#REF!</v>
      </c>
      <c r="M112" s="168" t="str">
        <f t="shared" si="250"/>
        <v>#REF!</v>
      </c>
      <c r="N112" s="168" t="str">
        <f t="shared" si="250"/>
        <v>#REF!</v>
      </c>
      <c r="O112" s="168" t="str">
        <f t="shared" si="250"/>
        <v>#REF!</v>
      </c>
      <c r="P112" s="168" t="str">
        <f t="shared" si="250"/>
        <v>#REF!</v>
      </c>
      <c r="Q112" s="168" t="str">
        <f t="shared" si="250"/>
        <v>#REF!</v>
      </c>
      <c r="R112" s="168" t="str">
        <f t="shared" si="250"/>
        <v>#REF!</v>
      </c>
      <c r="S112" s="168" t="str">
        <f t="shared" si="250"/>
        <v>#REF!</v>
      </c>
      <c r="T112" s="168" t="str">
        <f t="shared" si="250"/>
        <v>#REF!</v>
      </c>
      <c r="U112" s="168" t="str">
        <f t="shared" ref="U112:AJ112" si="251">#REF!</f>
        <v>#REF!</v>
      </c>
      <c r="V112" s="168" t="str">
        <f t="shared" si="251"/>
        <v>#REF!</v>
      </c>
      <c r="W112" s="168" t="str">
        <f t="shared" si="251"/>
        <v>#REF!</v>
      </c>
      <c r="X112" s="168" t="str">
        <f t="shared" si="251"/>
        <v>#REF!</v>
      </c>
      <c r="Y112" s="168" t="str">
        <f t="shared" si="251"/>
        <v>#REF!</v>
      </c>
      <c r="Z112" s="168" t="str">
        <f t="shared" si="251"/>
        <v>#REF!</v>
      </c>
      <c r="AA112" s="168" t="str">
        <f t="shared" si="251"/>
        <v>#REF!</v>
      </c>
      <c r="AB112" s="168" t="str">
        <f t="shared" si="251"/>
        <v>#REF!</v>
      </c>
      <c r="AC112" s="168" t="str">
        <f t="shared" si="251"/>
        <v>#REF!</v>
      </c>
      <c r="AD112" s="168" t="str">
        <f t="shared" si="251"/>
        <v>#REF!</v>
      </c>
      <c r="AE112" s="168" t="str">
        <f t="shared" si="251"/>
        <v>#REF!</v>
      </c>
      <c r="AF112" s="168" t="str">
        <f t="shared" si="251"/>
        <v>#REF!</v>
      </c>
      <c r="AG112" s="168" t="str">
        <f t="shared" si="251"/>
        <v>#REF!</v>
      </c>
      <c r="AH112" s="168" t="str">
        <f t="shared" si="251"/>
        <v>#REF!</v>
      </c>
      <c r="AI112" s="168" t="str">
        <f t="shared" si="251"/>
        <v>#REF!</v>
      </c>
      <c r="AJ112" s="168" t="str">
        <f t="shared" si="251"/>
        <v>#REF!</v>
      </c>
    </row>
    <row r="113" ht="15.75" customHeight="1">
      <c r="A113" s="168" t="str">
        <f t="shared" ref="A113:T113" si="252">if(#REF!=$D$1,#REF!,"")</f>
        <v>#REF!</v>
      </c>
      <c r="B113" s="168" t="str">
        <f t="shared" si="252"/>
        <v>#REF!</v>
      </c>
      <c r="C113" s="168" t="str">
        <f t="shared" si="252"/>
        <v>#REF!</v>
      </c>
      <c r="D113" s="168" t="str">
        <f t="shared" si="252"/>
        <v>#REF!</v>
      </c>
      <c r="E113" s="168" t="str">
        <f t="shared" si="252"/>
        <v>#REF!</v>
      </c>
      <c r="F113" s="168" t="str">
        <f t="shared" si="252"/>
        <v>#REF!</v>
      </c>
      <c r="G113" s="168" t="str">
        <f t="shared" si="252"/>
        <v>#REF!</v>
      </c>
      <c r="H113" s="168" t="str">
        <f t="shared" si="252"/>
        <v>#REF!</v>
      </c>
      <c r="I113" s="168" t="str">
        <f t="shared" si="252"/>
        <v>#REF!</v>
      </c>
      <c r="J113" s="168" t="str">
        <f t="shared" si="252"/>
        <v>#REF!</v>
      </c>
      <c r="K113" s="168" t="str">
        <f t="shared" si="252"/>
        <v>#REF!</v>
      </c>
      <c r="L113" s="168" t="str">
        <f t="shared" si="252"/>
        <v>#REF!</v>
      </c>
      <c r="M113" s="168" t="str">
        <f t="shared" si="252"/>
        <v>#REF!</v>
      </c>
      <c r="N113" s="168" t="str">
        <f t="shared" si="252"/>
        <v>#REF!</v>
      </c>
      <c r="O113" s="168" t="str">
        <f t="shared" si="252"/>
        <v>#REF!</v>
      </c>
      <c r="P113" s="168" t="str">
        <f t="shared" si="252"/>
        <v>#REF!</v>
      </c>
      <c r="Q113" s="168" t="str">
        <f t="shared" si="252"/>
        <v>#REF!</v>
      </c>
      <c r="R113" s="168" t="str">
        <f t="shared" si="252"/>
        <v>#REF!</v>
      </c>
      <c r="S113" s="168" t="str">
        <f t="shared" si="252"/>
        <v>#REF!</v>
      </c>
      <c r="T113" s="168" t="str">
        <f t="shared" si="252"/>
        <v>#REF!</v>
      </c>
      <c r="U113" s="168" t="str">
        <f t="shared" ref="U113:AJ113" si="253">#REF!</f>
        <v>#REF!</v>
      </c>
      <c r="V113" s="168" t="str">
        <f t="shared" si="253"/>
        <v>#REF!</v>
      </c>
      <c r="W113" s="168" t="str">
        <f t="shared" si="253"/>
        <v>#REF!</v>
      </c>
      <c r="X113" s="168" t="str">
        <f t="shared" si="253"/>
        <v>#REF!</v>
      </c>
      <c r="Y113" s="168" t="str">
        <f t="shared" si="253"/>
        <v>#REF!</v>
      </c>
      <c r="Z113" s="168" t="str">
        <f t="shared" si="253"/>
        <v>#REF!</v>
      </c>
      <c r="AA113" s="168" t="str">
        <f t="shared" si="253"/>
        <v>#REF!</v>
      </c>
      <c r="AB113" s="168" t="str">
        <f t="shared" si="253"/>
        <v>#REF!</v>
      </c>
      <c r="AC113" s="168" t="str">
        <f t="shared" si="253"/>
        <v>#REF!</v>
      </c>
      <c r="AD113" s="168" t="str">
        <f t="shared" si="253"/>
        <v>#REF!</v>
      </c>
      <c r="AE113" s="168" t="str">
        <f t="shared" si="253"/>
        <v>#REF!</v>
      </c>
      <c r="AF113" s="168" t="str">
        <f t="shared" si="253"/>
        <v>#REF!</v>
      </c>
      <c r="AG113" s="168" t="str">
        <f t="shared" si="253"/>
        <v>#REF!</v>
      </c>
      <c r="AH113" s="168" t="str">
        <f t="shared" si="253"/>
        <v>#REF!</v>
      </c>
      <c r="AI113" s="168" t="str">
        <f t="shared" si="253"/>
        <v>#REF!</v>
      </c>
      <c r="AJ113" s="168" t="str">
        <f t="shared" si="253"/>
        <v>#REF!</v>
      </c>
    </row>
    <row r="114" ht="15.75" customHeight="1">
      <c r="A114" s="168" t="str">
        <f t="shared" ref="A114:T114" si="254">if(#REF!=$D$1,#REF!,"")</f>
        <v>#REF!</v>
      </c>
      <c r="B114" s="168" t="str">
        <f t="shared" si="254"/>
        <v>#REF!</v>
      </c>
      <c r="C114" s="168" t="str">
        <f t="shared" si="254"/>
        <v>#REF!</v>
      </c>
      <c r="D114" s="168" t="str">
        <f t="shared" si="254"/>
        <v>#REF!</v>
      </c>
      <c r="E114" s="168" t="str">
        <f t="shared" si="254"/>
        <v>#REF!</v>
      </c>
      <c r="F114" s="168" t="str">
        <f t="shared" si="254"/>
        <v>#REF!</v>
      </c>
      <c r="G114" s="168" t="str">
        <f t="shared" si="254"/>
        <v>#REF!</v>
      </c>
      <c r="H114" s="168" t="str">
        <f t="shared" si="254"/>
        <v>#REF!</v>
      </c>
      <c r="I114" s="168" t="str">
        <f t="shared" si="254"/>
        <v>#REF!</v>
      </c>
      <c r="J114" s="168" t="str">
        <f t="shared" si="254"/>
        <v>#REF!</v>
      </c>
      <c r="K114" s="168" t="str">
        <f t="shared" si="254"/>
        <v>#REF!</v>
      </c>
      <c r="L114" s="168" t="str">
        <f t="shared" si="254"/>
        <v>#REF!</v>
      </c>
      <c r="M114" s="168" t="str">
        <f t="shared" si="254"/>
        <v>#REF!</v>
      </c>
      <c r="N114" s="168" t="str">
        <f t="shared" si="254"/>
        <v>#REF!</v>
      </c>
      <c r="O114" s="168" t="str">
        <f t="shared" si="254"/>
        <v>#REF!</v>
      </c>
      <c r="P114" s="168" t="str">
        <f t="shared" si="254"/>
        <v>#REF!</v>
      </c>
      <c r="Q114" s="168" t="str">
        <f t="shared" si="254"/>
        <v>#REF!</v>
      </c>
      <c r="R114" s="168" t="str">
        <f t="shared" si="254"/>
        <v>#REF!</v>
      </c>
      <c r="S114" s="168" t="str">
        <f t="shared" si="254"/>
        <v>#REF!</v>
      </c>
      <c r="T114" s="168" t="str">
        <f t="shared" si="254"/>
        <v>#REF!</v>
      </c>
      <c r="U114" s="168" t="str">
        <f t="shared" ref="U114:AJ114" si="255">#REF!</f>
        <v>#REF!</v>
      </c>
      <c r="V114" s="168" t="str">
        <f t="shared" si="255"/>
        <v>#REF!</v>
      </c>
      <c r="W114" s="168" t="str">
        <f t="shared" si="255"/>
        <v>#REF!</v>
      </c>
      <c r="X114" s="168" t="str">
        <f t="shared" si="255"/>
        <v>#REF!</v>
      </c>
      <c r="Y114" s="168" t="str">
        <f t="shared" si="255"/>
        <v>#REF!</v>
      </c>
      <c r="Z114" s="168" t="str">
        <f t="shared" si="255"/>
        <v>#REF!</v>
      </c>
      <c r="AA114" s="168" t="str">
        <f t="shared" si="255"/>
        <v>#REF!</v>
      </c>
      <c r="AB114" s="168" t="str">
        <f t="shared" si="255"/>
        <v>#REF!</v>
      </c>
      <c r="AC114" s="168" t="str">
        <f t="shared" si="255"/>
        <v>#REF!</v>
      </c>
      <c r="AD114" s="168" t="str">
        <f t="shared" si="255"/>
        <v>#REF!</v>
      </c>
      <c r="AE114" s="168" t="str">
        <f t="shared" si="255"/>
        <v>#REF!</v>
      </c>
      <c r="AF114" s="168" t="str">
        <f t="shared" si="255"/>
        <v>#REF!</v>
      </c>
      <c r="AG114" s="168" t="str">
        <f t="shared" si="255"/>
        <v>#REF!</v>
      </c>
      <c r="AH114" s="168" t="str">
        <f t="shared" si="255"/>
        <v>#REF!</v>
      </c>
      <c r="AI114" s="168" t="str">
        <f t="shared" si="255"/>
        <v>#REF!</v>
      </c>
      <c r="AJ114" s="168" t="str">
        <f t="shared" si="255"/>
        <v>#REF!</v>
      </c>
    </row>
    <row r="115" ht="15.75" customHeight="1">
      <c r="A115" s="168" t="str">
        <f t="shared" ref="A115:T115" si="256">if(#REF!=$D$1,#REF!,"")</f>
        <v>#REF!</v>
      </c>
      <c r="B115" s="168" t="str">
        <f t="shared" si="256"/>
        <v>#REF!</v>
      </c>
      <c r="C115" s="168" t="str">
        <f t="shared" si="256"/>
        <v>#REF!</v>
      </c>
      <c r="D115" s="168" t="str">
        <f t="shared" si="256"/>
        <v>#REF!</v>
      </c>
      <c r="E115" s="168" t="str">
        <f t="shared" si="256"/>
        <v>#REF!</v>
      </c>
      <c r="F115" s="168" t="str">
        <f t="shared" si="256"/>
        <v>#REF!</v>
      </c>
      <c r="G115" s="168" t="str">
        <f t="shared" si="256"/>
        <v>#REF!</v>
      </c>
      <c r="H115" s="168" t="str">
        <f t="shared" si="256"/>
        <v>#REF!</v>
      </c>
      <c r="I115" s="168" t="str">
        <f t="shared" si="256"/>
        <v>#REF!</v>
      </c>
      <c r="J115" s="168" t="str">
        <f t="shared" si="256"/>
        <v>#REF!</v>
      </c>
      <c r="K115" s="168" t="str">
        <f t="shared" si="256"/>
        <v>#REF!</v>
      </c>
      <c r="L115" s="168" t="str">
        <f t="shared" si="256"/>
        <v>#REF!</v>
      </c>
      <c r="M115" s="168" t="str">
        <f t="shared" si="256"/>
        <v>#REF!</v>
      </c>
      <c r="N115" s="168" t="str">
        <f t="shared" si="256"/>
        <v>#REF!</v>
      </c>
      <c r="O115" s="168" t="str">
        <f t="shared" si="256"/>
        <v>#REF!</v>
      </c>
      <c r="P115" s="168" t="str">
        <f t="shared" si="256"/>
        <v>#REF!</v>
      </c>
      <c r="Q115" s="168" t="str">
        <f t="shared" si="256"/>
        <v>#REF!</v>
      </c>
      <c r="R115" s="168" t="str">
        <f t="shared" si="256"/>
        <v>#REF!</v>
      </c>
      <c r="S115" s="168" t="str">
        <f t="shared" si="256"/>
        <v>#REF!</v>
      </c>
      <c r="T115" s="168" t="str">
        <f t="shared" si="256"/>
        <v>#REF!</v>
      </c>
      <c r="U115" s="168" t="str">
        <f t="shared" ref="U115:AJ115" si="257">#REF!</f>
        <v>#REF!</v>
      </c>
      <c r="V115" s="168" t="str">
        <f t="shared" si="257"/>
        <v>#REF!</v>
      </c>
      <c r="W115" s="168" t="str">
        <f t="shared" si="257"/>
        <v>#REF!</v>
      </c>
      <c r="X115" s="168" t="str">
        <f t="shared" si="257"/>
        <v>#REF!</v>
      </c>
      <c r="Y115" s="168" t="str">
        <f t="shared" si="257"/>
        <v>#REF!</v>
      </c>
      <c r="Z115" s="168" t="str">
        <f t="shared" si="257"/>
        <v>#REF!</v>
      </c>
      <c r="AA115" s="168" t="str">
        <f t="shared" si="257"/>
        <v>#REF!</v>
      </c>
      <c r="AB115" s="168" t="str">
        <f t="shared" si="257"/>
        <v>#REF!</v>
      </c>
      <c r="AC115" s="168" t="str">
        <f t="shared" si="257"/>
        <v>#REF!</v>
      </c>
      <c r="AD115" s="168" t="str">
        <f t="shared" si="257"/>
        <v>#REF!</v>
      </c>
      <c r="AE115" s="168" t="str">
        <f t="shared" si="257"/>
        <v>#REF!</v>
      </c>
      <c r="AF115" s="168" t="str">
        <f t="shared" si="257"/>
        <v>#REF!</v>
      </c>
      <c r="AG115" s="168" t="str">
        <f t="shared" si="257"/>
        <v>#REF!</v>
      </c>
      <c r="AH115" s="168" t="str">
        <f t="shared" si="257"/>
        <v>#REF!</v>
      </c>
      <c r="AI115" s="168" t="str">
        <f t="shared" si="257"/>
        <v>#REF!</v>
      </c>
      <c r="AJ115" s="168" t="str">
        <f t="shared" si="257"/>
        <v>#REF!</v>
      </c>
    </row>
    <row r="116" ht="15.75" customHeight="1">
      <c r="A116" s="168" t="str">
        <f>if('2026 Pipeline'!$M20=$D$1,'2026 Pipeline'!C20,"")</f>
        <v>#REF!</v>
      </c>
      <c r="B116" s="168" t="str">
        <f t="shared" ref="B116:C116" si="258">if('2026 Pipeline'!$M20=$D$1,'2026 Pipeline'!J20,"")</f>
        <v>#REF!</v>
      </c>
      <c r="C116" s="168" t="str">
        <f t="shared" si="258"/>
        <v>#REF!</v>
      </c>
      <c r="D116" s="168" t="str">
        <f t="shared" ref="D116:F116" si="259">if('2026 Pipeline'!$M20=$D$1,'2026 Pipeline'!M20,"")</f>
        <v>#REF!</v>
      </c>
      <c r="E116" s="168" t="str">
        <f t="shared" si="259"/>
        <v>#REF!</v>
      </c>
      <c r="F116" s="168" t="str">
        <f t="shared" si="259"/>
        <v>#REF!</v>
      </c>
      <c r="G116" s="168" t="str">
        <f>if('2026 Pipeline'!$M20=$D$1,'2026 Pipeline'!Q20,"")</f>
        <v>#REF!</v>
      </c>
      <c r="H116" s="168" t="str">
        <f>if('2026 Pipeline'!$M20=$D$1,'2026 Pipeline'!P20,"")</f>
        <v>#REF!</v>
      </c>
      <c r="I116" s="168" t="str">
        <f>if('2026 Pipeline'!$M20=$D$1,'2026 Pipeline'!R20,"")</f>
        <v>#REF!</v>
      </c>
      <c r="J116" s="168" t="str">
        <f t="shared" ref="J116:L116" si="260">if('2026 Pipeline'!$M20=$D$1,'2026 Pipeline'!V20,"")</f>
        <v>#REF!</v>
      </c>
      <c r="K116" s="168" t="str">
        <f t="shared" si="260"/>
        <v>#REF!</v>
      </c>
      <c r="L116" s="168" t="str">
        <f t="shared" si="260"/>
        <v>#REF!</v>
      </c>
      <c r="M116" s="168" t="str">
        <f t="shared" ref="M116:O116" si="261">if('2026 Pipeline'!$M20=$D$1,#REF!,"")</f>
        <v>#REF!</v>
      </c>
      <c r="N116" s="168" t="str">
        <f t="shared" si="261"/>
        <v>#REF!</v>
      </c>
      <c r="O116" s="168" t="str">
        <f t="shared" si="261"/>
        <v>#REF!</v>
      </c>
      <c r="P116" s="168" t="str">
        <f>if('2026 Pipeline'!$M20=$D$1,'2026 Pipeline'!AA20,"")</f>
        <v>#REF!</v>
      </c>
      <c r="Q116" s="168" t="str">
        <f>if('2026 Pipeline'!$M20=$D$1,'2026 Pipeline'!Y20,"")</f>
        <v>#REF!</v>
      </c>
      <c r="R116" s="168" t="str">
        <f>if('2026 Pipeline'!$M20=$D$1,#REF!,"")</f>
        <v>#REF!</v>
      </c>
      <c r="S116" s="168" t="str">
        <f>if('2026 Pipeline'!$M20=$D$1,'2026 Pipeline'!L20,"")</f>
        <v>#REF!</v>
      </c>
      <c r="T116" s="168" t="str">
        <f>if('2026 Pipeline'!$M20=$D$1,'2026 Pipeline'!CD20,"")</f>
        <v>#REF!</v>
      </c>
      <c r="U116" s="168" t="str">
        <f t="shared" ref="U116:AJ116" si="262">#REF!</f>
        <v>#REF!</v>
      </c>
      <c r="V116" s="168" t="str">
        <f t="shared" si="262"/>
        <v>#REF!</v>
      </c>
      <c r="W116" s="168" t="str">
        <f t="shared" si="262"/>
        <v>#REF!</v>
      </c>
      <c r="X116" s="168" t="str">
        <f t="shared" si="262"/>
        <v>#REF!</v>
      </c>
      <c r="Y116" s="168" t="str">
        <f t="shared" si="262"/>
        <v>#REF!</v>
      </c>
      <c r="Z116" s="168" t="str">
        <f t="shared" si="262"/>
        <v>#REF!</v>
      </c>
      <c r="AA116" s="168" t="str">
        <f t="shared" si="262"/>
        <v>#REF!</v>
      </c>
      <c r="AB116" s="168" t="str">
        <f t="shared" si="262"/>
        <v>#REF!</v>
      </c>
      <c r="AC116" s="168" t="str">
        <f t="shared" si="262"/>
        <v>#REF!</v>
      </c>
      <c r="AD116" s="168" t="str">
        <f t="shared" si="262"/>
        <v>#REF!</v>
      </c>
      <c r="AE116" s="168" t="str">
        <f t="shared" si="262"/>
        <v>#REF!</v>
      </c>
      <c r="AF116" s="168" t="str">
        <f t="shared" si="262"/>
        <v>#REF!</v>
      </c>
      <c r="AG116" s="168" t="str">
        <f t="shared" si="262"/>
        <v>#REF!</v>
      </c>
      <c r="AH116" s="168" t="str">
        <f t="shared" si="262"/>
        <v>#REF!</v>
      </c>
      <c r="AI116" s="168" t="str">
        <f t="shared" si="262"/>
        <v>#REF!</v>
      </c>
      <c r="AJ116" s="168" t="str">
        <f t="shared" si="262"/>
        <v>#REF!</v>
      </c>
    </row>
    <row r="117" ht="15.75" customHeight="1">
      <c r="A117" s="168" t="str">
        <f t="shared" ref="A117:A124" si="268">if('2026 Pipeline'!$M22=$D$1,'2026 Pipeline'!C22,"")</f>
        <v>#REF!</v>
      </c>
      <c r="B117" s="168" t="str">
        <f t="shared" ref="B117:C117" si="263">if('2026 Pipeline'!$M22=$D$1,'2026 Pipeline'!J22,"")</f>
        <v>#REF!</v>
      </c>
      <c r="C117" s="168" t="str">
        <f t="shared" si="263"/>
        <v>#REF!</v>
      </c>
      <c r="D117" s="168" t="str">
        <f t="shared" ref="D117:F117" si="264">if('2026 Pipeline'!$M22=$D$1,'2026 Pipeline'!M22,"")</f>
        <v>#REF!</v>
      </c>
      <c r="E117" s="168" t="str">
        <f t="shared" si="264"/>
        <v>#REF!</v>
      </c>
      <c r="F117" s="168" t="str">
        <f t="shared" si="264"/>
        <v>#REF!</v>
      </c>
      <c r="G117" s="168" t="str">
        <f t="shared" ref="G117:G124" si="271">if('2026 Pipeline'!$M22=$D$1,'2026 Pipeline'!Q22,"")</f>
        <v>#REF!</v>
      </c>
      <c r="H117" s="168" t="str">
        <f t="shared" ref="H117:H124" si="272">if('2026 Pipeline'!$M22=$D$1,'2026 Pipeline'!P22,"")</f>
        <v>#REF!</v>
      </c>
      <c r="I117" s="168" t="str">
        <f t="shared" ref="I117:I124" si="273">if('2026 Pipeline'!$M22=$D$1,'2026 Pipeline'!R22,"")</f>
        <v>#REF!</v>
      </c>
      <c r="J117" s="168" t="str">
        <f t="shared" ref="J117:L117" si="265">if('2026 Pipeline'!$M22=$D$1,'2026 Pipeline'!V22,"")</f>
        <v>#REF!</v>
      </c>
      <c r="K117" s="168" t="str">
        <f t="shared" si="265"/>
        <v>#REF!</v>
      </c>
      <c r="L117" s="168" t="str">
        <f t="shared" si="265"/>
        <v>#REF!</v>
      </c>
      <c r="M117" s="168" t="str">
        <f t="shared" ref="M117:O117" si="266">if('2026 Pipeline'!$M22=$D$1,#REF!,"")</f>
        <v>#REF!</v>
      </c>
      <c r="N117" s="168" t="str">
        <f t="shared" si="266"/>
        <v>#REF!</v>
      </c>
      <c r="O117" s="168" t="str">
        <f t="shared" si="266"/>
        <v>#REF!</v>
      </c>
      <c r="P117" s="168" t="str">
        <f t="shared" ref="P117:P124" si="276">if('2026 Pipeline'!$M22=$D$1,'2026 Pipeline'!AA22,"")</f>
        <v>#REF!</v>
      </c>
      <c r="Q117" s="168" t="str">
        <f t="shared" ref="Q117:Q124" si="277">if('2026 Pipeline'!$M22=$D$1,'2026 Pipeline'!Y22,"")</f>
        <v>#REF!</v>
      </c>
      <c r="R117" s="168" t="str">
        <f t="shared" ref="R117:R124" si="278">if('2026 Pipeline'!$M22=$D$1,#REF!,"")</f>
        <v>#REF!</v>
      </c>
      <c r="S117" s="168" t="str">
        <f t="shared" ref="S117:S124" si="279">if('2026 Pipeline'!$M22=$D$1,'2026 Pipeline'!L22,"")</f>
        <v>#REF!</v>
      </c>
      <c r="T117" s="168" t="str">
        <f t="shared" ref="T117:T124" si="280">if('2026 Pipeline'!$M22=$D$1,'2026 Pipeline'!CD22,"")</f>
        <v>#REF!</v>
      </c>
      <c r="U117" s="168" t="str">
        <f t="shared" ref="U117:AJ117" si="267">#REF!</f>
        <v>#REF!</v>
      </c>
      <c r="V117" s="168" t="str">
        <f t="shared" si="267"/>
        <v>#REF!</v>
      </c>
      <c r="W117" s="168" t="str">
        <f t="shared" si="267"/>
        <v>#REF!</v>
      </c>
      <c r="X117" s="168" t="str">
        <f t="shared" si="267"/>
        <v>#REF!</v>
      </c>
      <c r="Y117" s="168" t="str">
        <f t="shared" si="267"/>
        <v>#REF!</v>
      </c>
      <c r="Z117" s="168" t="str">
        <f t="shared" si="267"/>
        <v>#REF!</v>
      </c>
      <c r="AA117" s="168" t="str">
        <f t="shared" si="267"/>
        <v>#REF!</v>
      </c>
      <c r="AB117" s="168" t="str">
        <f t="shared" si="267"/>
        <v>#REF!</v>
      </c>
      <c r="AC117" s="168" t="str">
        <f t="shared" si="267"/>
        <v>#REF!</v>
      </c>
      <c r="AD117" s="168" t="str">
        <f t="shared" si="267"/>
        <v>#REF!</v>
      </c>
      <c r="AE117" s="168" t="str">
        <f t="shared" si="267"/>
        <v>#REF!</v>
      </c>
      <c r="AF117" s="168" t="str">
        <f t="shared" si="267"/>
        <v>#REF!</v>
      </c>
      <c r="AG117" s="168" t="str">
        <f t="shared" si="267"/>
        <v>#REF!</v>
      </c>
      <c r="AH117" s="168" t="str">
        <f t="shared" si="267"/>
        <v>#REF!</v>
      </c>
      <c r="AI117" s="168" t="str">
        <f t="shared" si="267"/>
        <v>#REF!</v>
      </c>
      <c r="AJ117" s="168" t="str">
        <f t="shared" si="267"/>
        <v>#REF!</v>
      </c>
    </row>
    <row r="118" ht="15.75" customHeight="1">
      <c r="A118" s="168" t="str">
        <f t="shared" si="268"/>
        <v>#REF!</v>
      </c>
      <c r="B118" s="168" t="str">
        <f t="shared" ref="B118:C118" si="269">if('2026 Pipeline'!$M23=$D$1,'2026 Pipeline'!J23,"")</f>
        <v>#REF!</v>
      </c>
      <c r="C118" s="168" t="str">
        <f t="shared" si="269"/>
        <v>#REF!</v>
      </c>
      <c r="D118" s="168" t="str">
        <f t="shared" ref="D118:F118" si="270">if('2026 Pipeline'!$M23=$D$1,'2026 Pipeline'!M23,"")</f>
        <v>#REF!</v>
      </c>
      <c r="E118" s="168" t="str">
        <f t="shared" si="270"/>
        <v>#REF!</v>
      </c>
      <c r="F118" s="168" t="str">
        <f t="shared" si="270"/>
        <v>#REF!</v>
      </c>
      <c r="G118" s="168" t="str">
        <f t="shared" si="271"/>
        <v>#REF!</v>
      </c>
      <c r="H118" s="168" t="str">
        <f t="shared" si="272"/>
        <v>#REF!</v>
      </c>
      <c r="I118" s="168" t="str">
        <f t="shared" si="273"/>
        <v>#REF!</v>
      </c>
      <c r="J118" s="168" t="str">
        <f t="shared" ref="J118:L118" si="274">if('2026 Pipeline'!$M23=$D$1,'2026 Pipeline'!V23,"")</f>
        <v>#REF!</v>
      </c>
      <c r="K118" s="168" t="str">
        <f t="shared" si="274"/>
        <v>#REF!</v>
      </c>
      <c r="L118" s="168" t="str">
        <f t="shared" si="274"/>
        <v>#REF!</v>
      </c>
      <c r="M118" s="168" t="str">
        <f t="shared" ref="M118:O118" si="275">if('2026 Pipeline'!$M23=$D$1,#REF!,"")</f>
        <v>#REF!</v>
      </c>
      <c r="N118" s="168" t="str">
        <f t="shared" si="275"/>
        <v>#REF!</v>
      </c>
      <c r="O118" s="168" t="str">
        <f t="shared" si="275"/>
        <v>#REF!</v>
      </c>
      <c r="P118" s="168" t="str">
        <f t="shared" si="276"/>
        <v>#REF!</v>
      </c>
      <c r="Q118" s="168" t="str">
        <f t="shared" si="277"/>
        <v>#REF!</v>
      </c>
      <c r="R118" s="168" t="str">
        <f t="shared" si="278"/>
        <v>#REF!</v>
      </c>
      <c r="S118" s="168" t="str">
        <f t="shared" si="279"/>
        <v>#REF!</v>
      </c>
      <c r="T118" s="168" t="str">
        <f t="shared" si="280"/>
        <v>#REF!</v>
      </c>
      <c r="U118" s="168" t="str">
        <f>'2026 Pipeline'!AP20</f>
        <v>#REF!</v>
      </c>
      <c r="V118" s="168" t="str">
        <f t="shared" ref="V118:Z118" si="281">'2026 Pipeline'!CJ20</f>
        <v>#REF!</v>
      </c>
      <c r="W118" s="168" t="str">
        <f t="shared" si="281"/>
        <v>#REF!</v>
      </c>
      <c r="X118" s="168" t="str">
        <f t="shared" si="281"/>
        <v>#REF!</v>
      </c>
      <c r="Y118" s="168" t="str">
        <f t="shared" si="281"/>
        <v>#REF!</v>
      </c>
      <c r="Z118" s="168" t="str">
        <f t="shared" si="281"/>
        <v>#REF!</v>
      </c>
      <c r="AA118" s="168" t="str">
        <f t="shared" ref="AA118:AF118" si="282">#REF!</f>
        <v>#REF!</v>
      </c>
      <c r="AB118" s="168" t="str">
        <f t="shared" si="282"/>
        <v>#REF!</v>
      </c>
      <c r="AC118" s="168" t="str">
        <f t="shared" si="282"/>
        <v>#REF!</v>
      </c>
      <c r="AD118" s="168" t="str">
        <f t="shared" si="282"/>
        <v>#REF!</v>
      </c>
      <c r="AE118" s="168" t="str">
        <f t="shared" si="282"/>
        <v>#REF!</v>
      </c>
      <c r="AF118" s="168" t="str">
        <f t="shared" si="282"/>
        <v>#REF!</v>
      </c>
      <c r="AG118" s="168" t="str">
        <f>'2026 Pipeline'!CT20</f>
        <v>#REF!</v>
      </c>
      <c r="AH118" s="168" t="str">
        <f>'2026 Pipeline'!S20</f>
        <v>#REF!</v>
      </c>
      <c r="AI118" s="168" t="str">
        <f t="shared" ref="AI118:AJ118" si="283">#REF!</f>
        <v>#REF!</v>
      </c>
      <c r="AJ118" s="168" t="str">
        <f t="shared" si="283"/>
        <v>#REF!</v>
      </c>
    </row>
    <row r="119" ht="15.75" customHeight="1">
      <c r="A119" s="168" t="str">
        <f t="shared" si="268"/>
        <v>#REF!</v>
      </c>
      <c r="B119" s="168" t="str">
        <f t="shared" ref="B119:C119" si="284">if('2026 Pipeline'!$M24=$D$1,'2026 Pipeline'!J24,"")</f>
        <v>#REF!</v>
      </c>
      <c r="C119" s="168" t="str">
        <f t="shared" si="284"/>
        <v>#REF!</v>
      </c>
      <c r="D119" s="168" t="str">
        <f t="shared" ref="D119:F119" si="285">if('2026 Pipeline'!$M24=$D$1,'2026 Pipeline'!M24,"")</f>
        <v>#REF!</v>
      </c>
      <c r="E119" s="168" t="str">
        <f t="shared" si="285"/>
        <v>#REF!</v>
      </c>
      <c r="F119" s="168" t="str">
        <f t="shared" si="285"/>
        <v>#REF!</v>
      </c>
      <c r="G119" s="168" t="str">
        <f t="shared" si="271"/>
        <v>#REF!</v>
      </c>
      <c r="H119" s="168" t="str">
        <f t="shared" si="272"/>
        <v>#REF!</v>
      </c>
      <c r="I119" s="168" t="str">
        <f t="shared" si="273"/>
        <v>#REF!</v>
      </c>
      <c r="J119" s="168" t="str">
        <f t="shared" ref="J119:L119" si="286">if('2026 Pipeline'!$M24=$D$1,'2026 Pipeline'!V24,"")</f>
        <v>#REF!</v>
      </c>
      <c r="K119" s="168" t="str">
        <f t="shared" si="286"/>
        <v>#REF!</v>
      </c>
      <c r="L119" s="168" t="str">
        <f t="shared" si="286"/>
        <v>#REF!</v>
      </c>
      <c r="M119" s="168" t="str">
        <f t="shared" ref="M119:O119" si="287">if('2026 Pipeline'!$M24=$D$1,#REF!,"")</f>
        <v>#REF!</v>
      </c>
      <c r="N119" s="168" t="str">
        <f t="shared" si="287"/>
        <v>#REF!</v>
      </c>
      <c r="O119" s="168" t="str">
        <f t="shared" si="287"/>
        <v>#REF!</v>
      </c>
      <c r="P119" s="168" t="str">
        <f t="shared" si="276"/>
        <v>#REF!</v>
      </c>
      <c r="Q119" s="168" t="str">
        <f t="shared" si="277"/>
        <v>#REF!</v>
      </c>
      <c r="R119" s="168" t="str">
        <f t="shared" si="278"/>
        <v>#REF!</v>
      </c>
      <c r="S119" s="168" t="str">
        <f t="shared" si="279"/>
        <v>#REF!</v>
      </c>
      <c r="T119" s="168" t="str">
        <f t="shared" si="280"/>
        <v>#REF!</v>
      </c>
      <c r="U119" s="168" t="str">
        <f t="shared" ref="U119:U126" si="295">'2026 Pipeline'!AP22</f>
        <v>#REF!</v>
      </c>
      <c r="V119" s="168" t="str">
        <f t="shared" ref="V119:Z119" si="288">'2026 Pipeline'!CJ22</f>
        <v>#REF!</v>
      </c>
      <c r="W119" s="168" t="str">
        <f t="shared" si="288"/>
        <v>#REF!</v>
      </c>
      <c r="X119" s="168" t="str">
        <f t="shared" si="288"/>
        <v>#REF!</v>
      </c>
      <c r="Y119" s="168" t="str">
        <f t="shared" si="288"/>
        <v>#REF!</v>
      </c>
      <c r="Z119" s="168" t="str">
        <f t="shared" si="288"/>
        <v>#REF!</v>
      </c>
      <c r="AA119" s="168" t="str">
        <f t="shared" ref="AA119:AF119" si="289">#REF!</f>
        <v>#REF!</v>
      </c>
      <c r="AB119" s="168" t="str">
        <f t="shared" si="289"/>
        <v>#REF!</v>
      </c>
      <c r="AC119" s="168" t="str">
        <f t="shared" si="289"/>
        <v>#REF!</v>
      </c>
      <c r="AD119" s="168" t="str">
        <f t="shared" si="289"/>
        <v>#REF!</v>
      </c>
      <c r="AE119" s="168" t="str">
        <f t="shared" si="289"/>
        <v>#REF!</v>
      </c>
      <c r="AF119" s="168" t="str">
        <f t="shared" si="289"/>
        <v>#REF!</v>
      </c>
      <c r="AG119" s="168" t="str">
        <f t="shared" ref="AG119:AG126" si="298">'2026 Pipeline'!CT22</f>
        <v>#REF!</v>
      </c>
      <c r="AH119" s="168" t="str">
        <f t="shared" ref="AH119:AH126" si="299">'2026 Pipeline'!S22</f>
        <v>#REF!</v>
      </c>
      <c r="AI119" s="168" t="str">
        <f t="shared" ref="AI119:AJ119" si="290">#REF!</f>
        <v>#REF!</v>
      </c>
      <c r="AJ119" s="168" t="str">
        <f t="shared" si="290"/>
        <v>#REF!</v>
      </c>
    </row>
    <row r="120" ht="15.75" customHeight="1">
      <c r="A120" s="168" t="str">
        <f t="shared" si="268"/>
        <v>#REF!</v>
      </c>
      <c r="B120" s="168" t="str">
        <f t="shared" ref="B120:C120" si="291">if('2026 Pipeline'!$M25=$D$1,'2026 Pipeline'!J25,"")</f>
        <v>#REF!</v>
      </c>
      <c r="C120" s="168" t="str">
        <f t="shared" si="291"/>
        <v>#REF!</v>
      </c>
      <c r="D120" s="168" t="str">
        <f t="shared" ref="D120:F120" si="292">if('2026 Pipeline'!$M25=$D$1,'2026 Pipeline'!M25,"")</f>
        <v>#REF!</v>
      </c>
      <c r="E120" s="168" t="str">
        <f t="shared" si="292"/>
        <v>#REF!</v>
      </c>
      <c r="F120" s="168" t="str">
        <f t="shared" si="292"/>
        <v>#REF!</v>
      </c>
      <c r="G120" s="168" t="str">
        <f t="shared" si="271"/>
        <v>#REF!</v>
      </c>
      <c r="H120" s="168" t="str">
        <f t="shared" si="272"/>
        <v>#REF!</v>
      </c>
      <c r="I120" s="168" t="str">
        <f t="shared" si="273"/>
        <v>#REF!</v>
      </c>
      <c r="J120" s="168" t="str">
        <f t="shared" ref="J120:L120" si="293">if('2026 Pipeline'!$M25=$D$1,'2026 Pipeline'!V25,"")</f>
        <v>#REF!</v>
      </c>
      <c r="K120" s="168" t="str">
        <f t="shared" si="293"/>
        <v>#REF!</v>
      </c>
      <c r="L120" s="168" t="str">
        <f t="shared" si="293"/>
        <v>#REF!</v>
      </c>
      <c r="M120" s="168" t="str">
        <f t="shared" ref="M120:O120" si="294">if('2026 Pipeline'!$M25=$D$1,#REF!,"")</f>
        <v>#REF!</v>
      </c>
      <c r="N120" s="168" t="str">
        <f t="shared" si="294"/>
        <v>#REF!</v>
      </c>
      <c r="O120" s="168" t="str">
        <f t="shared" si="294"/>
        <v>#REF!</v>
      </c>
      <c r="P120" s="168" t="str">
        <f t="shared" si="276"/>
        <v>#REF!</v>
      </c>
      <c r="Q120" s="168" t="str">
        <f t="shared" si="277"/>
        <v>#REF!</v>
      </c>
      <c r="R120" s="168" t="str">
        <f t="shared" si="278"/>
        <v>#REF!</v>
      </c>
      <c r="S120" s="168" t="str">
        <f t="shared" si="279"/>
        <v>#REF!</v>
      </c>
      <c r="T120" s="168" t="str">
        <f t="shared" si="280"/>
        <v>#REF!</v>
      </c>
      <c r="U120" s="168" t="str">
        <f t="shared" si="295"/>
        <v>#REF!</v>
      </c>
      <c r="V120" s="168" t="str">
        <f t="shared" ref="V120:Z120" si="296">'2026 Pipeline'!CJ23</f>
        <v>#REF!</v>
      </c>
      <c r="W120" s="168" t="str">
        <f t="shared" si="296"/>
        <v>#REF!</v>
      </c>
      <c r="X120" s="168" t="str">
        <f t="shared" si="296"/>
        <v>#REF!</v>
      </c>
      <c r="Y120" s="168" t="str">
        <f t="shared" si="296"/>
        <v>#REF!</v>
      </c>
      <c r="Z120" s="168" t="str">
        <f t="shared" si="296"/>
        <v>#REF!</v>
      </c>
      <c r="AA120" s="168" t="str">
        <f t="shared" ref="AA120:AF120" si="297">#REF!</f>
        <v>#REF!</v>
      </c>
      <c r="AB120" s="168" t="str">
        <f t="shared" si="297"/>
        <v>#REF!</v>
      </c>
      <c r="AC120" s="168" t="str">
        <f t="shared" si="297"/>
        <v>#REF!</v>
      </c>
      <c r="AD120" s="168" t="str">
        <f t="shared" si="297"/>
        <v>#REF!</v>
      </c>
      <c r="AE120" s="168" t="str">
        <f t="shared" si="297"/>
        <v>#REF!</v>
      </c>
      <c r="AF120" s="168" t="str">
        <f t="shared" si="297"/>
        <v>#REF!</v>
      </c>
      <c r="AG120" s="168" t="str">
        <f t="shared" si="298"/>
        <v>#REF!</v>
      </c>
      <c r="AH120" s="168" t="str">
        <f t="shared" si="299"/>
        <v>#REF!</v>
      </c>
      <c r="AI120" s="168" t="str">
        <f t="shared" ref="AI120:AJ120" si="300">#REF!</f>
        <v>#REF!</v>
      </c>
      <c r="AJ120" s="168" t="str">
        <f t="shared" si="300"/>
        <v>#REF!</v>
      </c>
    </row>
    <row r="121" ht="15.75" customHeight="1">
      <c r="A121" s="168" t="str">
        <f t="shared" si="268"/>
        <v>#REF!</v>
      </c>
      <c r="B121" s="168" t="str">
        <f t="shared" ref="B121:C121" si="301">if('2026 Pipeline'!$M26=$D$1,'2026 Pipeline'!J26,"")</f>
        <v>#REF!</v>
      </c>
      <c r="C121" s="168" t="str">
        <f t="shared" si="301"/>
        <v>#REF!</v>
      </c>
      <c r="D121" s="168" t="str">
        <f t="shared" ref="D121:F121" si="302">if('2026 Pipeline'!$M26=$D$1,'2026 Pipeline'!M26,"")</f>
        <v>#REF!</v>
      </c>
      <c r="E121" s="168" t="str">
        <f t="shared" si="302"/>
        <v>#REF!</v>
      </c>
      <c r="F121" s="168" t="str">
        <f t="shared" si="302"/>
        <v>#REF!</v>
      </c>
      <c r="G121" s="168" t="str">
        <f t="shared" si="271"/>
        <v>#REF!</v>
      </c>
      <c r="H121" s="168" t="str">
        <f t="shared" si="272"/>
        <v>#REF!</v>
      </c>
      <c r="I121" s="168" t="str">
        <f t="shared" si="273"/>
        <v>#REF!</v>
      </c>
      <c r="J121" s="168" t="str">
        <f t="shared" ref="J121:L121" si="303">if('2026 Pipeline'!$M26=$D$1,'2026 Pipeline'!V26,"")</f>
        <v>#REF!</v>
      </c>
      <c r="K121" s="168" t="str">
        <f t="shared" si="303"/>
        <v>#REF!</v>
      </c>
      <c r="L121" s="168" t="str">
        <f t="shared" si="303"/>
        <v>#REF!</v>
      </c>
      <c r="M121" s="168" t="str">
        <f t="shared" ref="M121:O121" si="304">if('2026 Pipeline'!$M26=$D$1,#REF!,"")</f>
        <v>#REF!</v>
      </c>
      <c r="N121" s="168" t="str">
        <f t="shared" si="304"/>
        <v>#REF!</v>
      </c>
      <c r="O121" s="168" t="str">
        <f t="shared" si="304"/>
        <v>#REF!</v>
      </c>
      <c r="P121" s="168" t="str">
        <f t="shared" si="276"/>
        <v>#REF!</v>
      </c>
      <c r="Q121" s="168" t="str">
        <f t="shared" si="277"/>
        <v>#REF!</v>
      </c>
      <c r="R121" s="168" t="str">
        <f t="shared" si="278"/>
        <v>#REF!</v>
      </c>
      <c r="S121" s="168" t="str">
        <f t="shared" si="279"/>
        <v>#REF!</v>
      </c>
      <c r="T121" s="168" t="str">
        <f t="shared" si="280"/>
        <v>#REF!</v>
      </c>
      <c r="U121" s="168" t="str">
        <f t="shared" si="295"/>
        <v>#REF!</v>
      </c>
      <c r="V121" s="168" t="str">
        <f t="shared" ref="V121:Z121" si="305">'2026 Pipeline'!CJ24</f>
        <v>#REF!</v>
      </c>
      <c r="W121" s="168" t="str">
        <f t="shared" si="305"/>
        <v>#REF!</v>
      </c>
      <c r="X121" s="168" t="str">
        <f t="shared" si="305"/>
        <v>#REF!</v>
      </c>
      <c r="Y121" s="168" t="str">
        <f t="shared" si="305"/>
        <v>#REF!</v>
      </c>
      <c r="Z121" s="168" t="str">
        <f t="shared" si="305"/>
        <v>#REF!</v>
      </c>
      <c r="AA121" s="168" t="str">
        <f t="shared" ref="AA121:AF121" si="306">#REF!</f>
        <v>#REF!</v>
      </c>
      <c r="AB121" s="168" t="str">
        <f t="shared" si="306"/>
        <v>#REF!</v>
      </c>
      <c r="AC121" s="168" t="str">
        <f t="shared" si="306"/>
        <v>#REF!</v>
      </c>
      <c r="AD121" s="168" t="str">
        <f t="shared" si="306"/>
        <v>#REF!</v>
      </c>
      <c r="AE121" s="168" t="str">
        <f t="shared" si="306"/>
        <v>#REF!</v>
      </c>
      <c r="AF121" s="168" t="str">
        <f t="shared" si="306"/>
        <v>#REF!</v>
      </c>
      <c r="AG121" s="168" t="str">
        <f t="shared" si="298"/>
        <v>#REF!</v>
      </c>
      <c r="AH121" s="168" t="str">
        <f t="shared" si="299"/>
        <v>#REF!</v>
      </c>
      <c r="AI121" s="168" t="str">
        <f t="shared" ref="AI121:AJ121" si="307">#REF!</f>
        <v>#REF!</v>
      </c>
      <c r="AJ121" s="168" t="str">
        <f t="shared" si="307"/>
        <v>#REF!</v>
      </c>
    </row>
    <row r="122" ht="15.75" customHeight="1">
      <c r="A122" s="168" t="str">
        <f t="shared" si="268"/>
        <v>#REF!</v>
      </c>
      <c r="B122" s="168" t="str">
        <f t="shared" ref="B122:C122" si="308">if('2026 Pipeline'!$M27=$D$1,'2026 Pipeline'!J27,"")</f>
        <v>#REF!</v>
      </c>
      <c r="C122" s="168" t="str">
        <f t="shared" si="308"/>
        <v>#REF!</v>
      </c>
      <c r="D122" s="168" t="str">
        <f t="shared" ref="D122:F122" si="309">if('2026 Pipeline'!$M27=$D$1,'2026 Pipeline'!M27,"")</f>
        <v>#REF!</v>
      </c>
      <c r="E122" s="168" t="str">
        <f t="shared" si="309"/>
        <v>#REF!</v>
      </c>
      <c r="F122" s="168" t="str">
        <f t="shared" si="309"/>
        <v>#REF!</v>
      </c>
      <c r="G122" s="168" t="str">
        <f t="shared" si="271"/>
        <v>#REF!</v>
      </c>
      <c r="H122" s="168" t="str">
        <f t="shared" si="272"/>
        <v>#REF!</v>
      </c>
      <c r="I122" s="168" t="str">
        <f t="shared" si="273"/>
        <v>#REF!</v>
      </c>
      <c r="J122" s="168" t="str">
        <f t="shared" ref="J122:L122" si="310">if('2026 Pipeline'!$M27=$D$1,'2026 Pipeline'!V27,"")</f>
        <v>#REF!</v>
      </c>
      <c r="K122" s="168" t="str">
        <f t="shared" si="310"/>
        <v>#REF!</v>
      </c>
      <c r="L122" s="168" t="str">
        <f t="shared" si="310"/>
        <v>#REF!</v>
      </c>
      <c r="M122" s="168" t="str">
        <f t="shared" ref="M122:O122" si="311">if('2026 Pipeline'!$M27=$D$1,#REF!,"")</f>
        <v>#REF!</v>
      </c>
      <c r="N122" s="168" t="str">
        <f t="shared" si="311"/>
        <v>#REF!</v>
      </c>
      <c r="O122" s="168" t="str">
        <f t="shared" si="311"/>
        <v>#REF!</v>
      </c>
      <c r="P122" s="168" t="str">
        <f t="shared" si="276"/>
        <v>#REF!</v>
      </c>
      <c r="Q122" s="168" t="str">
        <f t="shared" si="277"/>
        <v>#REF!</v>
      </c>
      <c r="R122" s="168" t="str">
        <f t="shared" si="278"/>
        <v>#REF!</v>
      </c>
      <c r="S122" s="168" t="str">
        <f t="shared" si="279"/>
        <v>#REF!</v>
      </c>
      <c r="T122" s="168" t="str">
        <f t="shared" si="280"/>
        <v>#REF!</v>
      </c>
      <c r="U122" s="168" t="str">
        <f t="shared" si="295"/>
        <v>#REF!</v>
      </c>
      <c r="V122" s="168" t="str">
        <f t="shared" ref="V122:Z122" si="312">'2026 Pipeline'!CJ25</f>
        <v>#REF!</v>
      </c>
      <c r="W122" s="168" t="str">
        <f t="shared" si="312"/>
        <v>#REF!</v>
      </c>
      <c r="X122" s="168" t="str">
        <f t="shared" si="312"/>
        <v>#REF!</v>
      </c>
      <c r="Y122" s="168" t="str">
        <f t="shared" si="312"/>
        <v>#REF!</v>
      </c>
      <c r="Z122" s="168" t="str">
        <f t="shared" si="312"/>
        <v>#REF!</v>
      </c>
      <c r="AA122" s="168" t="str">
        <f t="shared" ref="AA122:AF122" si="313">#REF!</f>
        <v>#REF!</v>
      </c>
      <c r="AB122" s="168" t="str">
        <f t="shared" si="313"/>
        <v>#REF!</v>
      </c>
      <c r="AC122" s="168" t="str">
        <f t="shared" si="313"/>
        <v>#REF!</v>
      </c>
      <c r="AD122" s="168" t="str">
        <f t="shared" si="313"/>
        <v>#REF!</v>
      </c>
      <c r="AE122" s="168" t="str">
        <f t="shared" si="313"/>
        <v>#REF!</v>
      </c>
      <c r="AF122" s="168" t="str">
        <f t="shared" si="313"/>
        <v>#REF!</v>
      </c>
      <c r="AG122" s="168" t="str">
        <f t="shared" si="298"/>
        <v>#REF!</v>
      </c>
      <c r="AH122" s="168" t="str">
        <f t="shared" si="299"/>
        <v>#REF!</v>
      </c>
      <c r="AI122" s="168" t="str">
        <f t="shared" ref="AI122:AJ122" si="314">#REF!</f>
        <v>#REF!</v>
      </c>
      <c r="AJ122" s="168" t="str">
        <f t="shared" si="314"/>
        <v>#REF!</v>
      </c>
    </row>
    <row r="123" ht="15.75" customHeight="1">
      <c r="A123" s="168" t="str">
        <f t="shared" si="268"/>
        <v>#REF!</v>
      </c>
      <c r="B123" s="168" t="str">
        <f t="shared" ref="B123:C123" si="315">if('2026 Pipeline'!$M28=$D$1,'2026 Pipeline'!J28,"")</f>
        <v>#REF!</v>
      </c>
      <c r="C123" s="168" t="str">
        <f t="shared" si="315"/>
        <v>#REF!</v>
      </c>
      <c r="D123" s="168" t="str">
        <f t="shared" ref="D123:F123" si="316">if('2026 Pipeline'!$M28=$D$1,'2026 Pipeline'!M28,"")</f>
        <v>#REF!</v>
      </c>
      <c r="E123" s="168" t="str">
        <f t="shared" si="316"/>
        <v>#REF!</v>
      </c>
      <c r="F123" s="168" t="str">
        <f t="shared" si="316"/>
        <v>#REF!</v>
      </c>
      <c r="G123" s="168" t="str">
        <f t="shared" si="271"/>
        <v>#REF!</v>
      </c>
      <c r="H123" s="168" t="str">
        <f t="shared" si="272"/>
        <v>#REF!</v>
      </c>
      <c r="I123" s="168" t="str">
        <f t="shared" si="273"/>
        <v>#REF!</v>
      </c>
      <c r="J123" s="168" t="str">
        <f t="shared" ref="J123:L123" si="317">if('2026 Pipeline'!$M28=$D$1,'2026 Pipeline'!V28,"")</f>
        <v>#REF!</v>
      </c>
      <c r="K123" s="168" t="str">
        <f t="shared" si="317"/>
        <v>#REF!</v>
      </c>
      <c r="L123" s="168" t="str">
        <f t="shared" si="317"/>
        <v>#REF!</v>
      </c>
      <c r="M123" s="168" t="str">
        <f t="shared" ref="M123:O123" si="318">if('2026 Pipeline'!$M28=$D$1,#REF!,"")</f>
        <v>#REF!</v>
      </c>
      <c r="N123" s="168" t="str">
        <f t="shared" si="318"/>
        <v>#REF!</v>
      </c>
      <c r="O123" s="168" t="str">
        <f t="shared" si="318"/>
        <v>#REF!</v>
      </c>
      <c r="P123" s="168" t="str">
        <f t="shared" si="276"/>
        <v>#REF!</v>
      </c>
      <c r="Q123" s="168" t="str">
        <f t="shared" si="277"/>
        <v>#REF!</v>
      </c>
      <c r="R123" s="168" t="str">
        <f t="shared" si="278"/>
        <v>#REF!</v>
      </c>
      <c r="S123" s="168" t="str">
        <f t="shared" si="279"/>
        <v>#REF!</v>
      </c>
      <c r="T123" s="168" t="str">
        <f t="shared" si="280"/>
        <v>#REF!</v>
      </c>
      <c r="U123" s="168" t="str">
        <f t="shared" si="295"/>
        <v>#REF!</v>
      </c>
      <c r="V123" s="168" t="str">
        <f t="shared" ref="V123:Z123" si="319">'2026 Pipeline'!CJ26</f>
        <v>#REF!</v>
      </c>
      <c r="W123" s="168" t="str">
        <f t="shared" si="319"/>
        <v>#REF!</v>
      </c>
      <c r="X123" s="168" t="str">
        <f t="shared" si="319"/>
        <v>#REF!</v>
      </c>
      <c r="Y123" s="168" t="str">
        <f t="shared" si="319"/>
        <v>#REF!</v>
      </c>
      <c r="Z123" s="168" t="str">
        <f t="shared" si="319"/>
        <v>#REF!</v>
      </c>
      <c r="AA123" s="168" t="str">
        <f t="shared" ref="AA123:AF123" si="320">#REF!</f>
        <v>#REF!</v>
      </c>
      <c r="AB123" s="168" t="str">
        <f t="shared" si="320"/>
        <v>#REF!</v>
      </c>
      <c r="AC123" s="168" t="str">
        <f t="shared" si="320"/>
        <v>#REF!</v>
      </c>
      <c r="AD123" s="168" t="str">
        <f t="shared" si="320"/>
        <v>#REF!</v>
      </c>
      <c r="AE123" s="168" t="str">
        <f t="shared" si="320"/>
        <v>#REF!</v>
      </c>
      <c r="AF123" s="168" t="str">
        <f t="shared" si="320"/>
        <v>#REF!</v>
      </c>
      <c r="AG123" s="168" t="str">
        <f t="shared" si="298"/>
        <v>#REF!</v>
      </c>
      <c r="AH123" s="168" t="str">
        <f t="shared" si="299"/>
        <v>#REF!</v>
      </c>
      <c r="AI123" s="168" t="str">
        <f t="shared" ref="AI123:AJ123" si="321">#REF!</f>
        <v>#REF!</v>
      </c>
      <c r="AJ123" s="168" t="str">
        <f t="shared" si="321"/>
        <v>#REF!</v>
      </c>
    </row>
    <row r="124" ht="15.75" customHeight="1">
      <c r="A124" s="168" t="str">
        <f t="shared" si="268"/>
        <v>#REF!</v>
      </c>
      <c r="B124" s="168" t="str">
        <f t="shared" ref="B124:C124" si="322">if('2026 Pipeline'!$M29=$D$1,'2026 Pipeline'!J29,"")</f>
        <v>#REF!</v>
      </c>
      <c r="C124" s="168" t="str">
        <f t="shared" si="322"/>
        <v>#REF!</v>
      </c>
      <c r="D124" s="168" t="str">
        <f t="shared" ref="D124:F124" si="323">if('2026 Pipeline'!$M29=$D$1,'2026 Pipeline'!M29,"")</f>
        <v>#REF!</v>
      </c>
      <c r="E124" s="168" t="str">
        <f t="shared" si="323"/>
        <v>#REF!</v>
      </c>
      <c r="F124" s="168" t="str">
        <f t="shared" si="323"/>
        <v>#REF!</v>
      </c>
      <c r="G124" s="168" t="str">
        <f t="shared" si="271"/>
        <v>#REF!</v>
      </c>
      <c r="H124" s="168" t="str">
        <f t="shared" si="272"/>
        <v>#REF!</v>
      </c>
      <c r="I124" s="168" t="str">
        <f t="shared" si="273"/>
        <v>#REF!</v>
      </c>
      <c r="J124" s="168" t="str">
        <f t="shared" ref="J124:L124" si="324">if('2026 Pipeline'!$M29=$D$1,'2026 Pipeline'!V29,"")</f>
        <v>#REF!</v>
      </c>
      <c r="K124" s="168" t="str">
        <f t="shared" si="324"/>
        <v>#REF!</v>
      </c>
      <c r="L124" s="168" t="str">
        <f t="shared" si="324"/>
        <v>#REF!</v>
      </c>
      <c r="M124" s="168" t="str">
        <f t="shared" ref="M124:O124" si="325">if('2026 Pipeline'!$M29=$D$1,#REF!,"")</f>
        <v>#REF!</v>
      </c>
      <c r="N124" s="168" t="str">
        <f t="shared" si="325"/>
        <v>#REF!</v>
      </c>
      <c r="O124" s="168" t="str">
        <f t="shared" si="325"/>
        <v>#REF!</v>
      </c>
      <c r="P124" s="168" t="str">
        <f t="shared" si="276"/>
        <v>#REF!</v>
      </c>
      <c r="Q124" s="168" t="str">
        <f t="shared" si="277"/>
        <v>#REF!</v>
      </c>
      <c r="R124" s="168" t="str">
        <f t="shared" si="278"/>
        <v>#REF!</v>
      </c>
      <c r="S124" s="168" t="str">
        <f t="shared" si="279"/>
        <v>#REF!</v>
      </c>
      <c r="T124" s="168" t="str">
        <f t="shared" si="280"/>
        <v>#REF!</v>
      </c>
      <c r="U124" s="168" t="str">
        <f t="shared" si="295"/>
        <v>#REF!</v>
      </c>
      <c r="V124" s="168" t="str">
        <f t="shared" ref="V124:Z124" si="326">'2026 Pipeline'!CJ27</f>
        <v>#REF!</v>
      </c>
      <c r="W124" s="168" t="str">
        <f t="shared" si="326"/>
        <v>#REF!</v>
      </c>
      <c r="X124" s="168" t="str">
        <f t="shared" si="326"/>
        <v>#REF!</v>
      </c>
      <c r="Y124" s="168" t="str">
        <f t="shared" si="326"/>
        <v>#REF!</v>
      </c>
      <c r="Z124" s="168" t="str">
        <f t="shared" si="326"/>
        <v>#REF!</v>
      </c>
      <c r="AA124" s="168" t="str">
        <f t="shared" ref="AA124:AF124" si="327">#REF!</f>
        <v>#REF!</v>
      </c>
      <c r="AB124" s="168" t="str">
        <f t="shared" si="327"/>
        <v>#REF!</v>
      </c>
      <c r="AC124" s="168" t="str">
        <f t="shared" si="327"/>
        <v>#REF!</v>
      </c>
      <c r="AD124" s="168" t="str">
        <f t="shared" si="327"/>
        <v>#REF!</v>
      </c>
      <c r="AE124" s="168" t="str">
        <f t="shared" si="327"/>
        <v>#REF!</v>
      </c>
      <c r="AF124" s="168" t="str">
        <f t="shared" si="327"/>
        <v>#REF!</v>
      </c>
      <c r="AG124" s="168" t="str">
        <f t="shared" si="298"/>
        <v>#REF!</v>
      </c>
      <c r="AH124" s="168" t="str">
        <f t="shared" si="299"/>
        <v>#REF!</v>
      </c>
      <c r="AI124" s="168" t="str">
        <f t="shared" ref="AI124:AJ124" si="328">#REF!</f>
        <v>#REF!</v>
      </c>
      <c r="AJ124" s="168" t="str">
        <f t="shared" si="328"/>
        <v>#REF!</v>
      </c>
    </row>
    <row r="125" ht="15.75" customHeight="1">
      <c r="A125" s="168" t="str">
        <f t="shared" ref="A125:T125" si="329">if(#REF!=$D$1,#REF!,"")</f>
        <v>#REF!</v>
      </c>
      <c r="B125" s="168" t="str">
        <f t="shared" si="329"/>
        <v>#REF!</v>
      </c>
      <c r="C125" s="168" t="str">
        <f t="shared" si="329"/>
        <v>#REF!</v>
      </c>
      <c r="D125" s="168" t="str">
        <f t="shared" si="329"/>
        <v>#REF!</v>
      </c>
      <c r="E125" s="168" t="str">
        <f t="shared" si="329"/>
        <v>#REF!</v>
      </c>
      <c r="F125" s="168" t="str">
        <f t="shared" si="329"/>
        <v>#REF!</v>
      </c>
      <c r="G125" s="168" t="str">
        <f t="shared" si="329"/>
        <v>#REF!</v>
      </c>
      <c r="H125" s="168" t="str">
        <f t="shared" si="329"/>
        <v>#REF!</v>
      </c>
      <c r="I125" s="168" t="str">
        <f t="shared" si="329"/>
        <v>#REF!</v>
      </c>
      <c r="J125" s="168" t="str">
        <f t="shared" si="329"/>
        <v>#REF!</v>
      </c>
      <c r="K125" s="168" t="str">
        <f t="shared" si="329"/>
        <v>#REF!</v>
      </c>
      <c r="L125" s="168" t="str">
        <f t="shared" si="329"/>
        <v>#REF!</v>
      </c>
      <c r="M125" s="168" t="str">
        <f t="shared" si="329"/>
        <v>#REF!</v>
      </c>
      <c r="N125" s="168" t="str">
        <f t="shared" si="329"/>
        <v>#REF!</v>
      </c>
      <c r="O125" s="168" t="str">
        <f t="shared" si="329"/>
        <v>#REF!</v>
      </c>
      <c r="P125" s="168" t="str">
        <f t="shared" si="329"/>
        <v>#REF!</v>
      </c>
      <c r="Q125" s="168" t="str">
        <f t="shared" si="329"/>
        <v>#REF!</v>
      </c>
      <c r="R125" s="168" t="str">
        <f t="shared" si="329"/>
        <v>#REF!</v>
      </c>
      <c r="S125" s="168" t="str">
        <f t="shared" si="329"/>
        <v>#REF!</v>
      </c>
      <c r="T125" s="168" t="str">
        <f t="shared" si="329"/>
        <v>#REF!</v>
      </c>
      <c r="U125" s="168" t="str">
        <f t="shared" si="295"/>
        <v>#REF!</v>
      </c>
      <c r="V125" s="168" t="str">
        <f t="shared" ref="V125:Z125" si="330">'2026 Pipeline'!CJ28</f>
        <v>#REF!</v>
      </c>
      <c r="W125" s="168" t="str">
        <f t="shared" si="330"/>
        <v>#REF!</v>
      </c>
      <c r="X125" s="168" t="str">
        <f t="shared" si="330"/>
        <v>#REF!</v>
      </c>
      <c r="Y125" s="168" t="str">
        <f t="shared" si="330"/>
        <v>#REF!</v>
      </c>
      <c r="Z125" s="168" t="str">
        <f t="shared" si="330"/>
        <v>#REF!</v>
      </c>
      <c r="AA125" s="168" t="str">
        <f t="shared" ref="AA125:AF125" si="331">#REF!</f>
        <v>#REF!</v>
      </c>
      <c r="AB125" s="168" t="str">
        <f t="shared" si="331"/>
        <v>#REF!</v>
      </c>
      <c r="AC125" s="168" t="str">
        <f t="shared" si="331"/>
        <v>#REF!</v>
      </c>
      <c r="AD125" s="168" t="str">
        <f t="shared" si="331"/>
        <v>#REF!</v>
      </c>
      <c r="AE125" s="168" t="str">
        <f t="shared" si="331"/>
        <v>#REF!</v>
      </c>
      <c r="AF125" s="168" t="str">
        <f t="shared" si="331"/>
        <v>#REF!</v>
      </c>
      <c r="AG125" s="168" t="str">
        <f t="shared" si="298"/>
        <v>#REF!</v>
      </c>
      <c r="AH125" s="168" t="str">
        <f t="shared" si="299"/>
        <v>#REF!</v>
      </c>
      <c r="AI125" s="168" t="str">
        <f t="shared" ref="AI125:AJ125" si="332">#REF!</f>
        <v>#REF!</v>
      </c>
      <c r="AJ125" s="168" t="str">
        <f t="shared" si="332"/>
        <v>#REF!</v>
      </c>
    </row>
    <row r="126" ht="15.75" customHeight="1">
      <c r="A126" s="168" t="str">
        <f t="shared" ref="A126:T126" si="333">if(#REF!=$D$1,#REF!,"")</f>
        <v>#REF!</v>
      </c>
      <c r="B126" s="168" t="str">
        <f t="shared" si="333"/>
        <v>#REF!</v>
      </c>
      <c r="C126" s="168" t="str">
        <f t="shared" si="333"/>
        <v>#REF!</v>
      </c>
      <c r="D126" s="168" t="str">
        <f t="shared" si="333"/>
        <v>#REF!</v>
      </c>
      <c r="E126" s="168" t="str">
        <f t="shared" si="333"/>
        <v>#REF!</v>
      </c>
      <c r="F126" s="168" t="str">
        <f t="shared" si="333"/>
        <v>#REF!</v>
      </c>
      <c r="G126" s="168" t="str">
        <f t="shared" si="333"/>
        <v>#REF!</v>
      </c>
      <c r="H126" s="168" t="str">
        <f t="shared" si="333"/>
        <v>#REF!</v>
      </c>
      <c r="I126" s="168" t="str">
        <f t="shared" si="333"/>
        <v>#REF!</v>
      </c>
      <c r="J126" s="168" t="str">
        <f t="shared" si="333"/>
        <v>#REF!</v>
      </c>
      <c r="K126" s="168" t="str">
        <f t="shared" si="333"/>
        <v>#REF!</v>
      </c>
      <c r="L126" s="168" t="str">
        <f t="shared" si="333"/>
        <v>#REF!</v>
      </c>
      <c r="M126" s="168" t="str">
        <f t="shared" si="333"/>
        <v>#REF!</v>
      </c>
      <c r="N126" s="168" t="str">
        <f t="shared" si="333"/>
        <v>#REF!</v>
      </c>
      <c r="O126" s="168" t="str">
        <f t="shared" si="333"/>
        <v>#REF!</v>
      </c>
      <c r="P126" s="168" t="str">
        <f t="shared" si="333"/>
        <v>#REF!</v>
      </c>
      <c r="Q126" s="168" t="str">
        <f t="shared" si="333"/>
        <v>#REF!</v>
      </c>
      <c r="R126" s="168" t="str">
        <f t="shared" si="333"/>
        <v>#REF!</v>
      </c>
      <c r="S126" s="168" t="str">
        <f t="shared" si="333"/>
        <v>#REF!</v>
      </c>
      <c r="T126" s="168" t="str">
        <f t="shared" si="333"/>
        <v>#REF!</v>
      </c>
      <c r="U126" s="168" t="str">
        <f t="shared" si="295"/>
        <v>#REF!</v>
      </c>
      <c r="V126" s="168" t="str">
        <f t="shared" ref="V126:Z126" si="334">'2026 Pipeline'!CJ29</f>
        <v>#REF!</v>
      </c>
      <c r="W126" s="168" t="str">
        <f t="shared" si="334"/>
        <v>#REF!</v>
      </c>
      <c r="X126" s="168" t="str">
        <f t="shared" si="334"/>
        <v>#REF!</v>
      </c>
      <c r="Y126" s="168" t="str">
        <f t="shared" si="334"/>
        <v>#REF!</v>
      </c>
      <c r="Z126" s="168" t="str">
        <f t="shared" si="334"/>
        <v>#REF!</v>
      </c>
      <c r="AA126" s="168" t="str">
        <f t="shared" ref="AA126:AF126" si="335">#REF!</f>
        <v>#REF!</v>
      </c>
      <c r="AB126" s="168" t="str">
        <f t="shared" si="335"/>
        <v>#REF!</v>
      </c>
      <c r="AC126" s="168" t="str">
        <f t="shared" si="335"/>
        <v>#REF!</v>
      </c>
      <c r="AD126" s="168" t="str">
        <f t="shared" si="335"/>
        <v>#REF!</v>
      </c>
      <c r="AE126" s="168" t="str">
        <f t="shared" si="335"/>
        <v>#REF!</v>
      </c>
      <c r="AF126" s="168" t="str">
        <f t="shared" si="335"/>
        <v>#REF!</v>
      </c>
      <c r="AG126" s="168" t="str">
        <f t="shared" si="298"/>
        <v>#REF!</v>
      </c>
      <c r="AH126" s="168" t="str">
        <f t="shared" si="299"/>
        <v>#REF!</v>
      </c>
      <c r="AI126" s="168" t="str">
        <f t="shared" ref="AI126:AJ126" si="336">#REF!</f>
        <v>#REF!</v>
      </c>
      <c r="AJ126" s="168" t="str">
        <f t="shared" si="336"/>
        <v>#REF!</v>
      </c>
    </row>
    <row r="127" ht="15.75" customHeight="1">
      <c r="A127" s="168" t="str">
        <f t="shared" ref="A127:T127" si="337">if(#REF!=$D$1,#REF!,"")</f>
        <v>#REF!</v>
      </c>
      <c r="B127" s="168" t="str">
        <f t="shared" si="337"/>
        <v>#REF!</v>
      </c>
      <c r="C127" s="168" t="str">
        <f t="shared" si="337"/>
        <v>#REF!</v>
      </c>
      <c r="D127" s="168" t="str">
        <f t="shared" si="337"/>
        <v>#REF!</v>
      </c>
      <c r="E127" s="168" t="str">
        <f t="shared" si="337"/>
        <v>#REF!</v>
      </c>
      <c r="F127" s="168" t="str">
        <f t="shared" si="337"/>
        <v>#REF!</v>
      </c>
      <c r="G127" s="168" t="str">
        <f t="shared" si="337"/>
        <v>#REF!</v>
      </c>
      <c r="H127" s="168" t="str">
        <f t="shared" si="337"/>
        <v>#REF!</v>
      </c>
      <c r="I127" s="168" t="str">
        <f t="shared" si="337"/>
        <v>#REF!</v>
      </c>
      <c r="J127" s="168" t="str">
        <f t="shared" si="337"/>
        <v>#REF!</v>
      </c>
      <c r="K127" s="168" t="str">
        <f t="shared" si="337"/>
        <v>#REF!</v>
      </c>
      <c r="L127" s="168" t="str">
        <f t="shared" si="337"/>
        <v>#REF!</v>
      </c>
      <c r="M127" s="168" t="str">
        <f t="shared" si="337"/>
        <v>#REF!</v>
      </c>
      <c r="N127" s="168" t="str">
        <f t="shared" si="337"/>
        <v>#REF!</v>
      </c>
      <c r="O127" s="168" t="str">
        <f t="shared" si="337"/>
        <v>#REF!</v>
      </c>
      <c r="P127" s="168" t="str">
        <f t="shared" si="337"/>
        <v>#REF!</v>
      </c>
      <c r="Q127" s="168" t="str">
        <f t="shared" si="337"/>
        <v>#REF!</v>
      </c>
      <c r="R127" s="168" t="str">
        <f t="shared" si="337"/>
        <v>#REF!</v>
      </c>
      <c r="S127" s="168" t="str">
        <f t="shared" si="337"/>
        <v>#REF!</v>
      </c>
      <c r="T127" s="168" t="str">
        <f t="shared" si="337"/>
        <v>#REF!</v>
      </c>
      <c r="U127" s="168" t="str">
        <f t="shared" ref="U127:AJ127" si="338">#REF!</f>
        <v>#REF!</v>
      </c>
      <c r="V127" s="168" t="str">
        <f t="shared" si="338"/>
        <v>#REF!</v>
      </c>
      <c r="W127" s="168" t="str">
        <f t="shared" si="338"/>
        <v>#REF!</v>
      </c>
      <c r="X127" s="168" t="str">
        <f t="shared" si="338"/>
        <v>#REF!</v>
      </c>
      <c r="Y127" s="168" t="str">
        <f t="shared" si="338"/>
        <v>#REF!</v>
      </c>
      <c r="Z127" s="168" t="str">
        <f t="shared" si="338"/>
        <v>#REF!</v>
      </c>
      <c r="AA127" s="168" t="str">
        <f t="shared" si="338"/>
        <v>#REF!</v>
      </c>
      <c r="AB127" s="168" t="str">
        <f t="shared" si="338"/>
        <v>#REF!</v>
      </c>
      <c r="AC127" s="168" t="str">
        <f t="shared" si="338"/>
        <v>#REF!</v>
      </c>
      <c r="AD127" s="168" t="str">
        <f t="shared" si="338"/>
        <v>#REF!</v>
      </c>
      <c r="AE127" s="168" t="str">
        <f t="shared" si="338"/>
        <v>#REF!</v>
      </c>
      <c r="AF127" s="168" t="str">
        <f t="shared" si="338"/>
        <v>#REF!</v>
      </c>
      <c r="AG127" s="168" t="str">
        <f t="shared" si="338"/>
        <v>#REF!</v>
      </c>
      <c r="AH127" s="168" t="str">
        <f t="shared" si="338"/>
        <v>#REF!</v>
      </c>
      <c r="AI127" s="168" t="str">
        <f t="shared" si="338"/>
        <v>#REF!</v>
      </c>
      <c r="AJ127" s="168" t="str">
        <f t="shared" si="338"/>
        <v>#REF!</v>
      </c>
    </row>
    <row r="128" ht="15.75" customHeight="1">
      <c r="A128" s="168" t="str">
        <f t="shared" ref="A128:T128" si="339">if(#REF!=$D$1,#REF!,"")</f>
        <v>#REF!</v>
      </c>
      <c r="B128" s="168" t="str">
        <f t="shared" si="339"/>
        <v>#REF!</v>
      </c>
      <c r="C128" s="168" t="str">
        <f t="shared" si="339"/>
        <v>#REF!</v>
      </c>
      <c r="D128" s="168" t="str">
        <f t="shared" si="339"/>
        <v>#REF!</v>
      </c>
      <c r="E128" s="168" t="str">
        <f t="shared" si="339"/>
        <v>#REF!</v>
      </c>
      <c r="F128" s="168" t="str">
        <f t="shared" si="339"/>
        <v>#REF!</v>
      </c>
      <c r="G128" s="168" t="str">
        <f t="shared" si="339"/>
        <v>#REF!</v>
      </c>
      <c r="H128" s="168" t="str">
        <f t="shared" si="339"/>
        <v>#REF!</v>
      </c>
      <c r="I128" s="168" t="str">
        <f t="shared" si="339"/>
        <v>#REF!</v>
      </c>
      <c r="J128" s="168" t="str">
        <f t="shared" si="339"/>
        <v>#REF!</v>
      </c>
      <c r="K128" s="168" t="str">
        <f t="shared" si="339"/>
        <v>#REF!</v>
      </c>
      <c r="L128" s="168" t="str">
        <f t="shared" si="339"/>
        <v>#REF!</v>
      </c>
      <c r="M128" s="168" t="str">
        <f t="shared" si="339"/>
        <v>#REF!</v>
      </c>
      <c r="N128" s="168" t="str">
        <f t="shared" si="339"/>
        <v>#REF!</v>
      </c>
      <c r="O128" s="168" t="str">
        <f t="shared" si="339"/>
        <v>#REF!</v>
      </c>
      <c r="P128" s="168" t="str">
        <f t="shared" si="339"/>
        <v>#REF!</v>
      </c>
      <c r="Q128" s="168" t="str">
        <f t="shared" si="339"/>
        <v>#REF!</v>
      </c>
      <c r="R128" s="168" t="str">
        <f t="shared" si="339"/>
        <v>#REF!</v>
      </c>
      <c r="S128" s="168" t="str">
        <f t="shared" si="339"/>
        <v>#REF!</v>
      </c>
      <c r="T128" s="168" t="str">
        <f t="shared" si="339"/>
        <v>#REF!</v>
      </c>
      <c r="U128" s="168" t="str">
        <f t="shared" ref="U128:AJ128" si="340">#REF!</f>
        <v>#REF!</v>
      </c>
      <c r="V128" s="168" t="str">
        <f t="shared" si="340"/>
        <v>#REF!</v>
      </c>
      <c r="W128" s="168" t="str">
        <f t="shared" si="340"/>
        <v>#REF!</v>
      </c>
      <c r="X128" s="168" t="str">
        <f t="shared" si="340"/>
        <v>#REF!</v>
      </c>
      <c r="Y128" s="168" t="str">
        <f t="shared" si="340"/>
        <v>#REF!</v>
      </c>
      <c r="Z128" s="168" t="str">
        <f t="shared" si="340"/>
        <v>#REF!</v>
      </c>
      <c r="AA128" s="168" t="str">
        <f t="shared" si="340"/>
        <v>#REF!</v>
      </c>
      <c r="AB128" s="168" t="str">
        <f t="shared" si="340"/>
        <v>#REF!</v>
      </c>
      <c r="AC128" s="168" t="str">
        <f t="shared" si="340"/>
        <v>#REF!</v>
      </c>
      <c r="AD128" s="168" t="str">
        <f t="shared" si="340"/>
        <v>#REF!</v>
      </c>
      <c r="AE128" s="168" t="str">
        <f t="shared" si="340"/>
        <v>#REF!</v>
      </c>
      <c r="AF128" s="168" t="str">
        <f t="shared" si="340"/>
        <v>#REF!</v>
      </c>
      <c r="AG128" s="168" t="str">
        <f t="shared" si="340"/>
        <v>#REF!</v>
      </c>
      <c r="AH128" s="168" t="str">
        <f t="shared" si="340"/>
        <v>#REF!</v>
      </c>
      <c r="AI128" s="168" t="str">
        <f t="shared" si="340"/>
        <v>#REF!</v>
      </c>
      <c r="AJ128" s="168" t="str">
        <f t="shared" si="340"/>
        <v>#REF!</v>
      </c>
    </row>
    <row r="129" ht="15.75" customHeight="1">
      <c r="A129" s="168" t="str">
        <f t="shared" ref="A129:T129" si="341">if(#REF!=$D$1,#REF!,"")</f>
        <v>#REF!</v>
      </c>
      <c r="B129" s="168" t="str">
        <f t="shared" si="341"/>
        <v>#REF!</v>
      </c>
      <c r="C129" s="168" t="str">
        <f t="shared" si="341"/>
        <v>#REF!</v>
      </c>
      <c r="D129" s="168" t="str">
        <f t="shared" si="341"/>
        <v>#REF!</v>
      </c>
      <c r="E129" s="168" t="str">
        <f t="shared" si="341"/>
        <v>#REF!</v>
      </c>
      <c r="F129" s="168" t="str">
        <f t="shared" si="341"/>
        <v>#REF!</v>
      </c>
      <c r="G129" s="168" t="str">
        <f t="shared" si="341"/>
        <v>#REF!</v>
      </c>
      <c r="H129" s="168" t="str">
        <f t="shared" si="341"/>
        <v>#REF!</v>
      </c>
      <c r="I129" s="168" t="str">
        <f t="shared" si="341"/>
        <v>#REF!</v>
      </c>
      <c r="J129" s="168" t="str">
        <f t="shared" si="341"/>
        <v>#REF!</v>
      </c>
      <c r="K129" s="168" t="str">
        <f t="shared" si="341"/>
        <v>#REF!</v>
      </c>
      <c r="L129" s="168" t="str">
        <f t="shared" si="341"/>
        <v>#REF!</v>
      </c>
      <c r="M129" s="168" t="str">
        <f t="shared" si="341"/>
        <v>#REF!</v>
      </c>
      <c r="N129" s="168" t="str">
        <f t="shared" si="341"/>
        <v>#REF!</v>
      </c>
      <c r="O129" s="168" t="str">
        <f t="shared" si="341"/>
        <v>#REF!</v>
      </c>
      <c r="P129" s="168" t="str">
        <f t="shared" si="341"/>
        <v>#REF!</v>
      </c>
      <c r="Q129" s="168" t="str">
        <f t="shared" si="341"/>
        <v>#REF!</v>
      </c>
      <c r="R129" s="168" t="str">
        <f t="shared" si="341"/>
        <v>#REF!</v>
      </c>
      <c r="S129" s="168" t="str">
        <f t="shared" si="341"/>
        <v>#REF!</v>
      </c>
      <c r="T129" s="168" t="str">
        <f t="shared" si="341"/>
        <v>#REF!</v>
      </c>
      <c r="U129" s="168" t="str">
        <f t="shared" ref="U129:AJ129" si="342">#REF!</f>
        <v>#REF!</v>
      </c>
      <c r="V129" s="168" t="str">
        <f t="shared" si="342"/>
        <v>#REF!</v>
      </c>
      <c r="W129" s="168" t="str">
        <f t="shared" si="342"/>
        <v>#REF!</v>
      </c>
      <c r="X129" s="168" t="str">
        <f t="shared" si="342"/>
        <v>#REF!</v>
      </c>
      <c r="Y129" s="168" t="str">
        <f t="shared" si="342"/>
        <v>#REF!</v>
      </c>
      <c r="Z129" s="168" t="str">
        <f t="shared" si="342"/>
        <v>#REF!</v>
      </c>
      <c r="AA129" s="168" t="str">
        <f t="shared" si="342"/>
        <v>#REF!</v>
      </c>
      <c r="AB129" s="168" t="str">
        <f t="shared" si="342"/>
        <v>#REF!</v>
      </c>
      <c r="AC129" s="168" t="str">
        <f t="shared" si="342"/>
        <v>#REF!</v>
      </c>
      <c r="AD129" s="168" t="str">
        <f t="shared" si="342"/>
        <v>#REF!</v>
      </c>
      <c r="AE129" s="168" t="str">
        <f t="shared" si="342"/>
        <v>#REF!</v>
      </c>
      <c r="AF129" s="168" t="str">
        <f t="shared" si="342"/>
        <v>#REF!</v>
      </c>
      <c r="AG129" s="168" t="str">
        <f t="shared" si="342"/>
        <v>#REF!</v>
      </c>
      <c r="AH129" s="168" t="str">
        <f t="shared" si="342"/>
        <v>#REF!</v>
      </c>
      <c r="AI129" s="168" t="str">
        <f t="shared" si="342"/>
        <v>#REF!</v>
      </c>
      <c r="AJ129" s="168" t="str">
        <f t="shared" si="342"/>
        <v>#REF!</v>
      </c>
    </row>
    <row r="130" ht="15.75" customHeight="1">
      <c r="A130" s="168" t="str">
        <f t="shared" ref="A130:T130" si="343">if(#REF!=$D$1,#REF!,"")</f>
        <v>#REF!</v>
      </c>
      <c r="B130" s="168" t="str">
        <f t="shared" si="343"/>
        <v>#REF!</v>
      </c>
      <c r="C130" s="168" t="str">
        <f t="shared" si="343"/>
        <v>#REF!</v>
      </c>
      <c r="D130" s="168" t="str">
        <f t="shared" si="343"/>
        <v>#REF!</v>
      </c>
      <c r="E130" s="168" t="str">
        <f t="shared" si="343"/>
        <v>#REF!</v>
      </c>
      <c r="F130" s="168" t="str">
        <f t="shared" si="343"/>
        <v>#REF!</v>
      </c>
      <c r="G130" s="168" t="str">
        <f t="shared" si="343"/>
        <v>#REF!</v>
      </c>
      <c r="H130" s="168" t="str">
        <f t="shared" si="343"/>
        <v>#REF!</v>
      </c>
      <c r="I130" s="168" t="str">
        <f t="shared" si="343"/>
        <v>#REF!</v>
      </c>
      <c r="J130" s="168" t="str">
        <f t="shared" si="343"/>
        <v>#REF!</v>
      </c>
      <c r="K130" s="168" t="str">
        <f t="shared" si="343"/>
        <v>#REF!</v>
      </c>
      <c r="L130" s="168" t="str">
        <f t="shared" si="343"/>
        <v>#REF!</v>
      </c>
      <c r="M130" s="168" t="str">
        <f t="shared" si="343"/>
        <v>#REF!</v>
      </c>
      <c r="N130" s="168" t="str">
        <f t="shared" si="343"/>
        <v>#REF!</v>
      </c>
      <c r="O130" s="168" t="str">
        <f t="shared" si="343"/>
        <v>#REF!</v>
      </c>
      <c r="P130" s="168" t="str">
        <f t="shared" si="343"/>
        <v>#REF!</v>
      </c>
      <c r="Q130" s="168" t="str">
        <f t="shared" si="343"/>
        <v>#REF!</v>
      </c>
      <c r="R130" s="168" t="str">
        <f t="shared" si="343"/>
        <v>#REF!</v>
      </c>
      <c r="S130" s="168" t="str">
        <f t="shared" si="343"/>
        <v>#REF!</v>
      </c>
      <c r="T130" s="168" t="str">
        <f t="shared" si="343"/>
        <v>#REF!</v>
      </c>
      <c r="U130" s="168" t="str">
        <f t="shared" ref="U130:AJ130" si="344">#REF!</f>
        <v>#REF!</v>
      </c>
      <c r="V130" s="168" t="str">
        <f t="shared" si="344"/>
        <v>#REF!</v>
      </c>
      <c r="W130" s="168" t="str">
        <f t="shared" si="344"/>
        <v>#REF!</v>
      </c>
      <c r="X130" s="168" t="str">
        <f t="shared" si="344"/>
        <v>#REF!</v>
      </c>
      <c r="Y130" s="168" t="str">
        <f t="shared" si="344"/>
        <v>#REF!</v>
      </c>
      <c r="Z130" s="168" t="str">
        <f t="shared" si="344"/>
        <v>#REF!</v>
      </c>
      <c r="AA130" s="168" t="str">
        <f t="shared" si="344"/>
        <v>#REF!</v>
      </c>
      <c r="AB130" s="168" t="str">
        <f t="shared" si="344"/>
        <v>#REF!</v>
      </c>
      <c r="AC130" s="168" t="str">
        <f t="shared" si="344"/>
        <v>#REF!</v>
      </c>
      <c r="AD130" s="168" t="str">
        <f t="shared" si="344"/>
        <v>#REF!</v>
      </c>
      <c r="AE130" s="168" t="str">
        <f t="shared" si="344"/>
        <v>#REF!</v>
      </c>
      <c r="AF130" s="168" t="str">
        <f t="shared" si="344"/>
        <v>#REF!</v>
      </c>
      <c r="AG130" s="168" t="str">
        <f t="shared" si="344"/>
        <v>#REF!</v>
      </c>
      <c r="AH130" s="168" t="str">
        <f t="shared" si="344"/>
        <v>#REF!</v>
      </c>
      <c r="AI130" s="168" t="str">
        <f t="shared" si="344"/>
        <v>#REF!</v>
      </c>
      <c r="AJ130" s="168" t="str">
        <f t="shared" si="344"/>
        <v>#REF!</v>
      </c>
    </row>
    <row r="131" ht="15.75" customHeight="1">
      <c r="A131" s="168" t="str">
        <f t="shared" ref="A131:T131" si="345">if(#REF!=$D$1,#REF!,"")</f>
        <v>#REF!</v>
      </c>
      <c r="B131" s="168" t="str">
        <f t="shared" si="345"/>
        <v>#REF!</v>
      </c>
      <c r="C131" s="168" t="str">
        <f t="shared" si="345"/>
        <v>#REF!</v>
      </c>
      <c r="D131" s="168" t="str">
        <f t="shared" si="345"/>
        <v>#REF!</v>
      </c>
      <c r="E131" s="168" t="str">
        <f t="shared" si="345"/>
        <v>#REF!</v>
      </c>
      <c r="F131" s="168" t="str">
        <f t="shared" si="345"/>
        <v>#REF!</v>
      </c>
      <c r="G131" s="168" t="str">
        <f t="shared" si="345"/>
        <v>#REF!</v>
      </c>
      <c r="H131" s="168" t="str">
        <f t="shared" si="345"/>
        <v>#REF!</v>
      </c>
      <c r="I131" s="168" t="str">
        <f t="shared" si="345"/>
        <v>#REF!</v>
      </c>
      <c r="J131" s="168" t="str">
        <f t="shared" si="345"/>
        <v>#REF!</v>
      </c>
      <c r="K131" s="168" t="str">
        <f t="shared" si="345"/>
        <v>#REF!</v>
      </c>
      <c r="L131" s="168" t="str">
        <f t="shared" si="345"/>
        <v>#REF!</v>
      </c>
      <c r="M131" s="168" t="str">
        <f t="shared" si="345"/>
        <v>#REF!</v>
      </c>
      <c r="N131" s="168" t="str">
        <f t="shared" si="345"/>
        <v>#REF!</v>
      </c>
      <c r="O131" s="168" t="str">
        <f t="shared" si="345"/>
        <v>#REF!</v>
      </c>
      <c r="P131" s="168" t="str">
        <f t="shared" si="345"/>
        <v>#REF!</v>
      </c>
      <c r="Q131" s="168" t="str">
        <f t="shared" si="345"/>
        <v>#REF!</v>
      </c>
      <c r="R131" s="168" t="str">
        <f t="shared" si="345"/>
        <v>#REF!</v>
      </c>
      <c r="S131" s="168" t="str">
        <f t="shared" si="345"/>
        <v>#REF!</v>
      </c>
      <c r="T131" s="168" t="str">
        <f t="shared" si="345"/>
        <v>#REF!</v>
      </c>
      <c r="U131" s="168" t="str">
        <f t="shared" ref="U131:AJ131" si="346">#REF!</f>
        <v>#REF!</v>
      </c>
      <c r="V131" s="168" t="str">
        <f t="shared" si="346"/>
        <v>#REF!</v>
      </c>
      <c r="W131" s="168" t="str">
        <f t="shared" si="346"/>
        <v>#REF!</v>
      </c>
      <c r="X131" s="168" t="str">
        <f t="shared" si="346"/>
        <v>#REF!</v>
      </c>
      <c r="Y131" s="168" t="str">
        <f t="shared" si="346"/>
        <v>#REF!</v>
      </c>
      <c r="Z131" s="168" t="str">
        <f t="shared" si="346"/>
        <v>#REF!</v>
      </c>
      <c r="AA131" s="168" t="str">
        <f t="shared" si="346"/>
        <v>#REF!</v>
      </c>
      <c r="AB131" s="168" t="str">
        <f t="shared" si="346"/>
        <v>#REF!</v>
      </c>
      <c r="AC131" s="168" t="str">
        <f t="shared" si="346"/>
        <v>#REF!</v>
      </c>
      <c r="AD131" s="168" t="str">
        <f t="shared" si="346"/>
        <v>#REF!</v>
      </c>
      <c r="AE131" s="168" t="str">
        <f t="shared" si="346"/>
        <v>#REF!</v>
      </c>
      <c r="AF131" s="168" t="str">
        <f t="shared" si="346"/>
        <v>#REF!</v>
      </c>
      <c r="AG131" s="168" t="str">
        <f t="shared" si="346"/>
        <v>#REF!</v>
      </c>
      <c r="AH131" s="168" t="str">
        <f t="shared" si="346"/>
        <v>#REF!</v>
      </c>
      <c r="AI131" s="168" t="str">
        <f t="shared" si="346"/>
        <v>#REF!</v>
      </c>
      <c r="AJ131" s="168" t="str">
        <f t="shared" si="346"/>
        <v>#REF!</v>
      </c>
    </row>
    <row r="132" ht="15.75" customHeight="1">
      <c r="A132" s="168" t="str">
        <f t="shared" ref="A132:T132" si="347">if(#REF!=$D$1,#REF!,"")</f>
        <v>#REF!</v>
      </c>
      <c r="B132" s="168" t="str">
        <f t="shared" si="347"/>
        <v>#REF!</v>
      </c>
      <c r="C132" s="168" t="str">
        <f t="shared" si="347"/>
        <v>#REF!</v>
      </c>
      <c r="D132" s="168" t="str">
        <f t="shared" si="347"/>
        <v>#REF!</v>
      </c>
      <c r="E132" s="168" t="str">
        <f t="shared" si="347"/>
        <v>#REF!</v>
      </c>
      <c r="F132" s="168" t="str">
        <f t="shared" si="347"/>
        <v>#REF!</v>
      </c>
      <c r="G132" s="168" t="str">
        <f t="shared" si="347"/>
        <v>#REF!</v>
      </c>
      <c r="H132" s="168" t="str">
        <f t="shared" si="347"/>
        <v>#REF!</v>
      </c>
      <c r="I132" s="168" t="str">
        <f t="shared" si="347"/>
        <v>#REF!</v>
      </c>
      <c r="J132" s="168" t="str">
        <f t="shared" si="347"/>
        <v>#REF!</v>
      </c>
      <c r="K132" s="168" t="str">
        <f t="shared" si="347"/>
        <v>#REF!</v>
      </c>
      <c r="L132" s="168" t="str">
        <f t="shared" si="347"/>
        <v>#REF!</v>
      </c>
      <c r="M132" s="168" t="str">
        <f t="shared" si="347"/>
        <v>#REF!</v>
      </c>
      <c r="N132" s="168" t="str">
        <f t="shared" si="347"/>
        <v>#REF!</v>
      </c>
      <c r="O132" s="168" t="str">
        <f t="shared" si="347"/>
        <v>#REF!</v>
      </c>
      <c r="P132" s="168" t="str">
        <f t="shared" si="347"/>
        <v>#REF!</v>
      </c>
      <c r="Q132" s="168" t="str">
        <f t="shared" si="347"/>
        <v>#REF!</v>
      </c>
      <c r="R132" s="168" t="str">
        <f t="shared" si="347"/>
        <v>#REF!</v>
      </c>
      <c r="S132" s="168" t="str">
        <f t="shared" si="347"/>
        <v>#REF!</v>
      </c>
      <c r="T132" s="168" t="str">
        <f t="shared" si="347"/>
        <v>#REF!</v>
      </c>
      <c r="U132" s="168" t="str">
        <f t="shared" ref="U132:AJ132" si="348">#REF!</f>
        <v>#REF!</v>
      </c>
      <c r="V132" s="168" t="str">
        <f t="shared" si="348"/>
        <v>#REF!</v>
      </c>
      <c r="W132" s="168" t="str">
        <f t="shared" si="348"/>
        <v>#REF!</v>
      </c>
      <c r="X132" s="168" t="str">
        <f t="shared" si="348"/>
        <v>#REF!</v>
      </c>
      <c r="Y132" s="168" t="str">
        <f t="shared" si="348"/>
        <v>#REF!</v>
      </c>
      <c r="Z132" s="168" t="str">
        <f t="shared" si="348"/>
        <v>#REF!</v>
      </c>
      <c r="AA132" s="168" t="str">
        <f t="shared" si="348"/>
        <v>#REF!</v>
      </c>
      <c r="AB132" s="168" t="str">
        <f t="shared" si="348"/>
        <v>#REF!</v>
      </c>
      <c r="AC132" s="168" t="str">
        <f t="shared" si="348"/>
        <v>#REF!</v>
      </c>
      <c r="AD132" s="168" t="str">
        <f t="shared" si="348"/>
        <v>#REF!</v>
      </c>
      <c r="AE132" s="168" t="str">
        <f t="shared" si="348"/>
        <v>#REF!</v>
      </c>
      <c r="AF132" s="168" t="str">
        <f t="shared" si="348"/>
        <v>#REF!</v>
      </c>
      <c r="AG132" s="168" t="str">
        <f t="shared" si="348"/>
        <v>#REF!</v>
      </c>
      <c r="AH132" s="168" t="str">
        <f t="shared" si="348"/>
        <v>#REF!</v>
      </c>
      <c r="AI132" s="168" t="str">
        <f t="shared" si="348"/>
        <v>#REF!</v>
      </c>
      <c r="AJ132" s="168" t="str">
        <f t="shared" si="348"/>
        <v>#REF!</v>
      </c>
    </row>
    <row r="133" ht="15.75" customHeight="1">
      <c r="A133" s="168" t="str">
        <f t="shared" ref="A133:T133" si="349">if(#REF!=$D$1,#REF!,"")</f>
        <v>#REF!</v>
      </c>
      <c r="B133" s="168" t="str">
        <f t="shared" si="349"/>
        <v>#REF!</v>
      </c>
      <c r="C133" s="168" t="str">
        <f t="shared" si="349"/>
        <v>#REF!</v>
      </c>
      <c r="D133" s="168" t="str">
        <f t="shared" si="349"/>
        <v>#REF!</v>
      </c>
      <c r="E133" s="168" t="str">
        <f t="shared" si="349"/>
        <v>#REF!</v>
      </c>
      <c r="F133" s="168" t="str">
        <f t="shared" si="349"/>
        <v>#REF!</v>
      </c>
      <c r="G133" s="168" t="str">
        <f t="shared" si="349"/>
        <v>#REF!</v>
      </c>
      <c r="H133" s="168" t="str">
        <f t="shared" si="349"/>
        <v>#REF!</v>
      </c>
      <c r="I133" s="168" t="str">
        <f t="shared" si="349"/>
        <v>#REF!</v>
      </c>
      <c r="J133" s="168" t="str">
        <f t="shared" si="349"/>
        <v>#REF!</v>
      </c>
      <c r="K133" s="168" t="str">
        <f t="shared" si="349"/>
        <v>#REF!</v>
      </c>
      <c r="L133" s="168" t="str">
        <f t="shared" si="349"/>
        <v>#REF!</v>
      </c>
      <c r="M133" s="168" t="str">
        <f t="shared" si="349"/>
        <v>#REF!</v>
      </c>
      <c r="N133" s="168" t="str">
        <f t="shared" si="349"/>
        <v>#REF!</v>
      </c>
      <c r="O133" s="168" t="str">
        <f t="shared" si="349"/>
        <v>#REF!</v>
      </c>
      <c r="P133" s="168" t="str">
        <f t="shared" si="349"/>
        <v>#REF!</v>
      </c>
      <c r="Q133" s="168" t="str">
        <f t="shared" si="349"/>
        <v>#REF!</v>
      </c>
      <c r="R133" s="168" t="str">
        <f t="shared" si="349"/>
        <v>#REF!</v>
      </c>
      <c r="S133" s="168" t="str">
        <f t="shared" si="349"/>
        <v>#REF!</v>
      </c>
      <c r="T133" s="168" t="str">
        <f t="shared" si="349"/>
        <v>#REF!</v>
      </c>
      <c r="U133" s="168" t="str">
        <f t="shared" ref="U133:AJ133" si="350">#REF!</f>
        <v>#REF!</v>
      </c>
      <c r="V133" s="168" t="str">
        <f t="shared" si="350"/>
        <v>#REF!</v>
      </c>
      <c r="W133" s="168" t="str">
        <f t="shared" si="350"/>
        <v>#REF!</v>
      </c>
      <c r="X133" s="168" t="str">
        <f t="shared" si="350"/>
        <v>#REF!</v>
      </c>
      <c r="Y133" s="168" t="str">
        <f t="shared" si="350"/>
        <v>#REF!</v>
      </c>
      <c r="Z133" s="168" t="str">
        <f t="shared" si="350"/>
        <v>#REF!</v>
      </c>
      <c r="AA133" s="168" t="str">
        <f t="shared" si="350"/>
        <v>#REF!</v>
      </c>
      <c r="AB133" s="168" t="str">
        <f t="shared" si="350"/>
        <v>#REF!</v>
      </c>
      <c r="AC133" s="168" t="str">
        <f t="shared" si="350"/>
        <v>#REF!</v>
      </c>
      <c r="AD133" s="168" t="str">
        <f t="shared" si="350"/>
        <v>#REF!</v>
      </c>
      <c r="AE133" s="168" t="str">
        <f t="shared" si="350"/>
        <v>#REF!</v>
      </c>
      <c r="AF133" s="168" t="str">
        <f t="shared" si="350"/>
        <v>#REF!</v>
      </c>
      <c r="AG133" s="168" t="str">
        <f t="shared" si="350"/>
        <v>#REF!</v>
      </c>
      <c r="AH133" s="168" t="str">
        <f t="shared" si="350"/>
        <v>#REF!</v>
      </c>
      <c r="AI133" s="168" t="str">
        <f t="shared" si="350"/>
        <v>#REF!</v>
      </c>
      <c r="AJ133" s="168" t="str">
        <f t="shared" si="350"/>
        <v>#REF!</v>
      </c>
    </row>
    <row r="134" ht="15.75" customHeight="1">
      <c r="A134" s="168" t="str">
        <f t="shared" ref="A134:T134" si="351">if(#REF!=$D$1,#REF!,"")</f>
        <v>#REF!</v>
      </c>
      <c r="B134" s="168" t="str">
        <f t="shared" si="351"/>
        <v>#REF!</v>
      </c>
      <c r="C134" s="168" t="str">
        <f t="shared" si="351"/>
        <v>#REF!</v>
      </c>
      <c r="D134" s="168" t="str">
        <f t="shared" si="351"/>
        <v>#REF!</v>
      </c>
      <c r="E134" s="168" t="str">
        <f t="shared" si="351"/>
        <v>#REF!</v>
      </c>
      <c r="F134" s="168" t="str">
        <f t="shared" si="351"/>
        <v>#REF!</v>
      </c>
      <c r="G134" s="168" t="str">
        <f t="shared" si="351"/>
        <v>#REF!</v>
      </c>
      <c r="H134" s="168" t="str">
        <f t="shared" si="351"/>
        <v>#REF!</v>
      </c>
      <c r="I134" s="168" t="str">
        <f t="shared" si="351"/>
        <v>#REF!</v>
      </c>
      <c r="J134" s="168" t="str">
        <f t="shared" si="351"/>
        <v>#REF!</v>
      </c>
      <c r="K134" s="168" t="str">
        <f t="shared" si="351"/>
        <v>#REF!</v>
      </c>
      <c r="L134" s="168" t="str">
        <f t="shared" si="351"/>
        <v>#REF!</v>
      </c>
      <c r="M134" s="168" t="str">
        <f t="shared" si="351"/>
        <v>#REF!</v>
      </c>
      <c r="N134" s="168" t="str">
        <f t="shared" si="351"/>
        <v>#REF!</v>
      </c>
      <c r="O134" s="168" t="str">
        <f t="shared" si="351"/>
        <v>#REF!</v>
      </c>
      <c r="P134" s="168" t="str">
        <f t="shared" si="351"/>
        <v>#REF!</v>
      </c>
      <c r="Q134" s="168" t="str">
        <f t="shared" si="351"/>
        <v>#REF!</v>
      </c>
      <c r="R134" s="168" t="str">
        <f t="shared" si="351"/>
        <v>#REF!</v>
      </c>
      <c r="S134" s="168" t="str">
        <f t="shared" si="351"/>
        <v>#REF!</v>
      </c>
      <c r="T134" s="168" t="str">
        <f t="shared" si="351"/>
        <v>#REF!</v>
      </c>
      <c r="U134" s="168" t="str">
        <f t="shared" ref="U134:AJ134" si="352">#REF!</f>
        <v>#REF!</v>
      </c>
      <c r="V134" s="168" t="str">
        <f t="shared" si="352"/>
        <v>#REF!</v>
      </c>
      <c r="W134" s="168" t="str">
        <f t="shared" si="352"/>
        <v>#REF!</v>
      </c>
      <c r="X134" s="168" t="str">
        <f t="shared" si="352"/>
        <v>#REF!</v>
      </c>
      <c r="Y134" s="168" t="str">
        <f t="shared" si="352"/>
        <v>#REF!</v>
      </c>
      <c r="Z134" s="168" t="str">
        <f t="shared" si="352"/>
        <v>#REF!</v>
      </c>
      <c r="AA134" s="168" t="str">
        <f t="shared" si="352"/>
        <v>#REF!</v>
      </c>
      <c r="AB134" s="168" t="str">
        <f t="shared" si="352"/>
        <v>#REF!</v>
      </c>
      <c r="AC134" s="168" t="str">
        <f t="shared" si="352"/>
        <v>#REF!</v>
      </c>
      <c r="AD134" s="168" t="str">
        <f t="shared" si="352"/>
        <v>#REF!</v>
      </c>
      <c r="AE134" s="168" t="str">
        <f t="shared" si="352"/>
        <v>#REF!</v>
      </c>
      <c r="AF134" s="168" t="str">
        <f t="shared" si="352"/>
        <v>#REF!</v>
      </c>
      <c r="AG134" s="168" t="str">
        <f t="shared" si="352"/>
        <v>#REF!</v>
      </c>
      <c r="AH134" s="168" t="str">
        <f t="shared" si="352"/>
        <v>#REF!</v>
      </c>
      <c r="AI134" s="168" t="str">
        <f t="shared" si="352"/>
        <v>#REF!</v>
      </c>
      <c r="AJ134" s="168" t="str">
        <f t="shared" si="352"/>
        <v>#REF!</v>
      </c>
    </row>
    <row r="135" ht="15.75" customHeight="1">
      <c r="A135" s="168" t="str">
        <f t="shared" ref="A135:T135" si="353">if(#REF!=$D$1,#REF!,"")</f>
        <v>#REF!</v>
      </c>
      <c r="B135" s="168" t="str">
        <f t="shared" si="353"/>
        <v>#REF!</v>
      </c>
      <c r="C135" s="168" t="str">
        <f t="shared" si="353"/>
        <v>#REF!</v>
      </c>
      <c r="D135" s="168" t="str">
        <f t="shared" si="353"/>
        <v>#REF!</v>
      </c>
      <c r="E135" s="168" t="str">
        <f t="shared" si="353"/>
        <v>#REF!</v>
      </c>
      <c r="F135" s="168" t="str">
        <f t="shared" si="353"/>
        <v>#REF!</v>
      </c>
      <c r="G135" s="168" t="str">
        <f t="shared" si="353"/>
        <v>#REF!</v>
      </c>
      <c r="H135" s="168" t="str">
        <f t="shared" si="353"/>
        <v>#REF!</v>
      </c>
      <c r="I135" s="168" t="str">
        <f t="shared" si="353"/>
        <v>#REF!</v>
      </c>
      <c r="J135" s="168" t="str">
        <f t="shared" si="353"/>
        <v>#REF!</v>
      </c>
      <c r="K135" s="168" t="str">
        <f t="shared" si="353"/>
        <v>#REF!</v>
      </c>
      <c r="L135" s="168" t="str">
        <f t="shared" si="353"/>
        <v>#REF!</v>
      </c>
      <c r="M135" s="168" t="str">
        <f t="shared" si="353"/>
        <v>#REF!</v>
      </c>
      <c r="N135" s="168" t="str">
        <f t="shared" si="353"/>
        <v>#REF!</v>
      </c>
      <c r="O135" s="168" t="str">
        <f t="shared" si="353"/>
        <v>#REF!</v>
      </c>
      <c r="P135" s="168" t="str">
        <f t="shared" si="353"/>
        <v>#REF!</v>
      </c>
      <c r="Q135" s="168" t="str">
        <f t="shared" si="353"/>
        <v>#REF!</v>
      </c>
      <c r="R135" s="168" t="str">
        <f t="shared" si="353"/>
        <v>#REF!</v>
      </c>
      <c r="S135" s="168" t="str">
        <f t="shared" si="353"/>
        <v>#REF!</v>
      </c>
      <c r="T135" s="168" t="str">
        <f t="shared" si="353"/>
        <v>#REF!</v>
      </c>
      <c r="U135" s="168" t="str">
        <f t="shared" ref="U135:AJ135" si="354">#REF!</f>
        <v>#REF!</v>
      </c>
      <c r="V135" s="168" t="str">
        <f t="shared" si="354"/>
        <v>#REF!</v>
      </c>
      <c r="W135" s="168" t="str">
        <f t="shared" si="354"/>
        <v>#REF!</v>
      </c>
      <c r="X135" s="168" t="str">
        <f t="shared" si="354"/>
        <v>#REF!</v>
      </c>
      <c r="Y135" s="168" t="str">
        <f t="shared" si="354"/>
        <v>#REF!</v>
      </c>
      <c r="Z135" s="168" t="str">
        <f t="shared" si="354"/>
        <v>#REF!</v>
      </c>
      <c r="AA135" s="168" t="str">
        <f t="shared" si="354"/>
        <v>#REF!</v>
      </c>
      <c r="AB135" s="168" t="str">
        <f t="shared" si="354"/>
        <v>#REF!</v>
      </c>
      <c r="AC135" s="168" t="str">
        <f t="shared" si="354"/>
        <v>#REF!</v>
      </c>
      <c r="AD135" s="168" t="str">
        <f t="shared" si="354"/>
        <v>#REF!</v>
      </c>
      <c r="AE135" s="168" t="str">
        <f t="shared" si="354"/>
        <v>#REF!</v>
      </c>
      <c r="AF135" s="168" t="str">
        <f t="shared" si="354"/>
        <v>#REF!</v>
      </c>
      <c r="AG135" s="168" t="str">
        <f t="shared" si="354"/>
        <v>#REF!</v>
      </c>
      <c r="AH135" s="168" t="str">
        <f t="shared" si="354"/>
        <v>#REF!</v>
      </c>
      <c r="AI135" s="168" t="str">
        <f t="shared" si="354"/>
        <v>#REF!</v>
      </c>
      <c r="AJ135" s="168" t="str">
        <f t="shared" si="354"/>
        <v>#REF!</v>
      </c>
    </row>
    <row r="136" ht="15.75" customHeight="1">
      <c r="A136" s="168" t="str">
        <f t="shared" ref="A136:T136" si="355">if(#REF!=$D$1,#REF!,"")</f>
        <v>#REF!</v>
      </c>
      <c r="B136" s="168" t="str">
        <f t="shared" si="355"/>
        <v>#REF!</v>
      </c>
      <c r="C136" s="168" t="str">
        <f t="shared" si="355"/>
        <v>#REF!</v>
      </c>
      <c r="D136" s="168" t="str">
        <f t="shared" si="355"/>
        <v>#REF!</v>
      </c>
      <c r="E136" s="168" t="str">
        <f t="shared" si="355"/>
        <v>#REF!</v>
      </c>
      <c r="F136" s="168" t="str">
        <f t="shared" si="355"/>
        <v>#REF!</v>
      </c>
      <c r="G136" s="168" t="str">
        <f t="shared" si="355"/>
        <v>#REF!</v>
      </c>
      <c r="H136" s="168" t="str">
        <f t="shared" si="355"/>
        <v>#REF!</v>
      </c>
      <c r="I136" s="168" t="str">
        <f t="shared" si="355"/>
        <v>#REF!</v>
      </c>
      <c r="J136" s="168" t="str">
        <f t="shared" si="355"/>
        <v>#REF!</v>
      </c>
      <c r="K136" s="168" t="str">
        <f t="shared" si="355"/>
        <v>#REF!</v>
      </c>
      <c r="L136" s="168" t="str">
        <f t="shared" si="355"/>
        <v>#REF!</v>
      </c>
      <c r="M136" s="168" t="str">
        <f t="shared" si="355"/>
        <v>#REF!</v>
      </c>
      <c r="N136" s="168" t="str">
        <f t="shared" si="355"/>
        <v>#REF!</v>
      </c>
      <c r="O136" s="168" t="str">
        <f t="shared" si="355"/>
        <v>#REF!</v>
      </c>
      <c r="P136" s="168" t="str">
        <f t="shared" si="355"/>
        <v>#REF!</v>
      </c>
      <c r="Q136" s="168" t="str">
        <f t="shared" si="355"/>
        <v>#REF!</v>
      </c>
      <c r="R136" s="168" t="str">
        <f t="shared" si="355"/>
        <v>#REF!</v>
      </c>
      <c r="S136" s="168" t="str">
        <f t="shared" si="355"/>
        <v>#REF!</v>
      </c>
      <c r="T136" s="168" t="str">
        <f t="shared" si="355"/>
        <v>#REF!</v>
      </c>
      <c r="U136" s="168" t="str">
        <f t="shared" ref="U136:AJ136" si="356">#REF!</f>
        <v>#REF!</v>
      </c>
      <c r="V136" s="168" t="str">
        <f t="shared" si="356"/>
        <v>#REF!</v>
      </c>
      <c r="W136" s="168" t="str">
        <f t="shared" si="356"/>
        <v>#REF!</v>
      </c>
      <c r="X136" s="168" t="str">
        <f t="shared" si="356"/>
        <v>#REF!</v>
      </c>
      <c r="Y136" s="168" t="str">
        <f t="shared" si="356"/>
        <v>#REF!</v>
      </c>
      <c r="Z136" s="168" t="str">
        <f t="shared" si="356"/>
        <v>#REF!</v>
      </c>
      <c r="AA136" s="168" t="str">
        <f t="shared" si="356"/>
        <v>#REF!</v>
      </c>
      <c r="AB136" s="168" t="str">
        <f t="shared" si="356"/>
        <v>#REF!</v>
      </c>
      <c r="AC136" s="168" t="str">
        <f t="shared" si="356"/>
        <v>#REF!</v>
      </c>
      <c r="AD136" s="168" t="str">
        <f t="shared" si="356"/>
        <v>#REF!</v>
      </c>
      <c r="AE136" s="168" t="str">
        <f t="shared" si="356"/>
        <v>#REF!</v>
      </c>
      <c r="AF136" s="168" t="str">
        <f t="shared" si="356"/>
        <v>#REF!</v>
      </c>
      <c r="AG136" s="168" t="str">
        <f t="shared" si="356"/>
        <v>#REF!</v>
      </c>
      <c r="AH136" s="168" t="str">
        <f t="shared" si="356"/>
        <v>#REF!</v>
      </c>
      <c r="AI136" s="168" t="str">
        <f t="shared" si="356"/>
        <v>#REF!</v>
      </c>
      <c r="AJ136" s="168" t="str">
        <f t="shared" si="356"/>
        <v>#REF!</v>
      </c>
    </row>
    <row r="137" ht="15.75" customHeight="1">
      <c r="A137" s="168" t="str">
        <f t="shared" ref="A137:T137" si="357">if(#REF!=$D$1,#REF!,"")</f>
        <v>#REF!</v>
      </c>
      <c r="B137" s="168" t="str">
        <f t="shared" si="357"/>
        <v>#REF!</v>
      </c>
      <c r="C137" s="168" t="str">
        <f t="shared" si="357"/>
        <v>#REF!</v>
      </c>
      <c r="D137" s="168" t="str">
        <f t="shared" si="357"/>
        <v>#REF!</v>
      </c>
      <c r="E137" s="168" t="str">
        <f t="shared" si="357"/>
        <v>#REF!</v>
      </c>
      <c r="F137" s="168" t="str">
        <f t="shared" si="357"/>
        <v>#REF!</v>
      </c>
      <c r="G137" s="168" t="str">
        <f t="shared" si="357"/>
        <v>#REF!</v>
      </c>
      <c r="H137" s="168" t="str">
        <f t="shared" si="357"/>
        <v>#REF!</v>
      </c>
      <c r="I137" s="168" t="str">
        <f t="shared" si="357"/>
        <v>#REF!</v>
      </c>
      <c r="J137" s="168" t="str">
        <f t="shared" si="357"/>
        <v>#REF!</v>
      </c>
      <c r="K137" s="168" t="str">
        <f t="shared" si="357"/>
        <v>#REF!</v>
      </c>
      <c r="L137" s="168" t="str">
        <f t="shared" si="357"/>
        <v>#REF!</v>
      </c>
      <c r="M137" s="168" t="str">
        <f t="shared" si="357"/>
        <v>#REF!</v>
      </c>
      <c r="N137" s="168" t="str">
        <f t="shared" si="357"/>
        <v>#REF!</v>
      </c>
      <c r="O137" s="168" t="str">
        <f t="shared" si="357"/>
        <v>#REF!</v>
      </c>
      <c r="P137" s="168" t="str">
        <f t="shared" si="357"/>
        <v>#REF!</v>
      </c>
      <c r="Q137" s="168" t="str">
        <f t="shared" si="357"/>
        <v>#REF!</v>
      </c>
      <c r="R137" s="168" t="str">
        <f t="shared" si="357"/>
        <v>#REF!</v>
      </c>
      <c r="S137" s="168" t="str">
        <f t="shared" si="357"/>
        <v>#REF!</v>
      </c>
      <c r="T137" s="168" t="str">
        <f t="shared" si="357"/>
        <v>#REF!</v>
      </c>
      <c r="U137" s="168" t="str">
        <f t="shared" ref="U137:AJ137" si="358">#REF!</f>
        <v>#REF!</v>
      </c>
      <c r="V137" s="168" t="str">
        <f t="shared" si="358"/>
        <v>#REF!</v>
      </c>
      <c r="W137" s="168" t="str">
        <f t="shared" si="358"/>
        <v>#REF!</v>
      </c>
      <c r="X137" s="168" t="str">
        <f t="shared" si="358"/>
        <v>#REF!</v>
      </c>
      <c r="Y137" s="168" t="str">
        <f t="shared" si="358"/>
        <v>#REF!</v>
      </c>
      <c r="Z137" s="168" t="str">
        <f t="shared" si="358"/>
        <v>#REF!</v>
      </c>
      <c r="AA137" s="168" t="str">
        <f t="shared" si="358"/>
        <v>#REF!</v>
      </c>
      <c r="AB137" s="168" t="str">
        <f t="shared" si="358"/>
        <v>#REF!</v>
      </c>
      <c r="AC137" s="168" t="str">
        <f t="shared" si="358"/>
        <v>#REF!</v>
      </c>
      <c r="AD137" s="168" t="str">
        <f t="shared" si="358"/>
        <v>#REF!</v>
      </c>
      <c r="AE137" s="168" t="str">
        <f t="shared" si="358"/>
        <v>#REF!</v>
      </c>
      <c r="AF137" s="168" t="str">
        <f t="shared" si="358"/>
        <v>#REF!</v>
      </c>
      <c r="AG137" s="168" t="str">
        <f t="shared" si="358"/>
        <v>#REF!</v>
      </c>
      <c r="AH137" s="168" t="str">
        <f t="shared" si="358"/>
        <v>#REF!</v>
      </c>
      <c r="AI137" s="168" t="str">
        <f t="shared" si="358"/>
        <v>#REF!</v>
      </c>
      <c r="AJ137" s="168" t="str">
        <f t="shared" si="358"/>
        <v>#REF!</v>
      </c>
    </row>
    <row r="138" ht="15.75" customHeight="1">
      <c r="A138" s="168" t="str">
        <f t="shared" ref="A138:T138" si="359">if(#REF!=$D$1,#REF!,"")</f>
        <v>#REF!</v>
      </c>
      <c r="B138" s="168" t="str">
        <f t="shared" si="359"/>
        <v>#REF!</v>
      </c>
      <c r="C138" s="168" t="str">
        <f t="shared" si="359"/>
        <v>#REF!</v>
      </c>
      <c r="D138" s="168" t="str">
        <f t="shared" si="359"/>
        <v>#REF!</v>
      </c>
      <c r="E138" s="168" t="str">
        <f t="shared" si="359"/>
        <v>#REF!</v>
      </c>
      <c r="F138" s="168" t="str">
        <f t="shared" si="359"/>
        <v>#REF!</v>
      </c>
      <c r="G138" s="168" t="str">
        <f t="shared" si="359"/>
        <v>#REF!</v>
      </c>
      <c r="H138" s="168" t="str">
        <f t="shared" si="359"/>
        <v>#REF!</v>
      </c>
      <c r="I138" s="168" t="str">
        <f t="shared" si="359"/>
        <v>#REF!</v>
      </c>
      <c r="J138" s="168" t="str">
        <f t="shared" si="359"/>
        <v>#REF!</v>
      </c>
      <c r="K138" s="168" t="str">
        <f t="shared" si="359"/>
        <v>#REF!</v>
      </c>
      <c r="L138" s="168" t="str">
        <f t="shared" si="359"/>
        <v>#REF!</v>
      </c>
      <c r="M138" s="168" t="str">
        <f t="shared" si="359"/>
        <v>#REF!</v>
      </c>
      <c r="N138" s="168" t="str">
        <f t="shared" si="359"/>
        <v>#REF!</v>
      </c>
      <c r="O138" s="168" t="str">
        <f t="shared" si="359"/>
        <v>#REF!</v>
      </c>
      <c r="P138" s="168" t="str">
        <f t="shared" si="359"/>
        <v>#REF!</v>
      </c>
      <c r="Q138" s="168" t="str">
        <f t="shared" si="359"/>
        <v>#REF!</v>
      </c>
      <c r="R138" s="168" t="str">
        <f t="shared" si="359"/>
        <v>#REF!</v>
      </c>
      <c r="S138" s="168" t="str">
        <f t="shared" si="359"/>
        <v>#REF!</v>
      </c>
      <c r="T138" s="168" t="str">
        <f t="shared" si="359"/>
        <v>#REF!</v>
      </c>
      <c r="U138" s="168" t="str">
        <f t="shared" ref="U138:AJ138" si="360">#REF!</f>
        <v>#REF!</v>
      </c>
      <c r="V138" s="168" t="str">
        <f t="shared" si="360"/>
        <v>#REF!</v>
      </c>
      <c r="W138" s="168" t="str">
        <f t="shared" si="360"/>
        <v>#REF!</v>
      </c>
      <c r="X138" s="168" t="str">
        <f t="shared" si="360"/>
        <v>#REF!</v>
      </c>
      <c r="Y138" s="168" t="str">
        <f t="shared" si="360"/>
        <v>#REF!</v>
      </c>
      <c r="Z138" s="168" t="str">
        <f t="shared" si="360"/>
        <v>#REF!</v>
      </c>
      <c r="AA138" s="168" t="str">
        <f t="shared" si="360"/>
        <v>#REF!</v>
      </c>
      <c r="AB138" s="168" t="str">
        <f t="shared" si="360"/>
        <v>#REF!</v>
      </c>
      <c r="AC138" s="168" t="str">
        <f t="shared" si="360"/>
        <v>#REF!</v>
      </c>
      <c r="AD138" s="168" t="str">
        <f t="shared" si="360"/>
        <v>#REF!</v>
      </c>
      <c r="AE138" s="168" t="str">
        <f t="shared" si="360"/>
        <v>#REF!</v>
      </c>
      <c r="AF138" s="168" t="str">
        <f t="shared" si="360"/>
        <v>#REF!</v>
      </c>
      <c r="AG138" s="168" t="str">
        <f t="shared" si="360"/>
        <v>#REF!</v>
      </c>
      <c r="AH138" s="168" t="str">
        <f t="shared" si="360"/>
        <v>#REF!</v>
      </c>
      <c r="AI138" s="168" t="str">
        <f t="shared" si="360"/>
        <v>#REF!</v>
      </c>
      <c r="AJ138" s="168" t="str">
        <f t="shared" si="360"/>
        <v>#REF!</v>
      </c>
    </row>
    <row r="139" ht="15.75" customHeight="1">
      <c r="A139" s="168" t="str">
        <f t="shared" ref="A139:T139" si="361">if(#REF!=$D$1,#REF!,"")</f>
        <v>#REF!</v>
      </c>
      <c r="B139" s="168" t="str">
        <f t="shared" si="361"/>
        <v>#REF!</v>
      </c>
      <c r="C139" s="168" t="str">
        <f t="shared" si="361"/>
        <v>#REF!</v>
      </c>
      <c r="D139" s="168" t="str">
        <f t="shared" si="361"/>
        <v>#REF!</v>
      </c>
      <c r="E139" s="168" t="str">
        <f t="shared" si="361"/>
        <v>#REF!</v>
      </c>
      <c r="F139" s="168" t="str">
        <f t="shared" si="361"/>
        <v>#REF!</v>
      </c>
      <c r="G139" s="168" t="str">
        <f t="shared" si="361"/>
        <v>#REF!</v>
      </c>
      <c r="H139" s="168" t="str">
        <f t="shared" si="361"/>
        <v>#REF!</v>
      </c>
      <c r="I139" s="168" t="str">
        <f t="shared" si="361"/>
        <v>#REF!</v>
      </c>
      <c r="J139" s="168" t="str">
        <f t="shared" si="361"/>
        <v>#REF!</v>
      </c>
      <c r="K139" s="168" t="str">
        <f t="shared" si="361"/>
        <v>#REF!</v>
      </c>
      <c r="L139" s="168" t="str">
        <f t="shared" si="361"/>
        <v>#REF!</v>
      </c>
      <c r="M139" s="168" t="str">
        <f t="shared" si="361"/>
        <v>#REF!</v>
      </c>
      <c r="N139" s="168" t="str">
        <f t="shared" si="361"/>
        <v>#REF!</v>
      </c>
      <c r="O139" s="168" t="str">
        <f t="shared" si="361"/>
        <v>#REF!</v>
      </c>
      <c r="P139" s="168" t="str">
        <f t="shared" si="361"/>
        <v>#REF!</v>
      </c>
      <c r="Q139" s="168" t="str">
        <f t="shared" si="361"/>
        <v>#REF!</v>
      </c>
      <c r="R139" s="168" t="str">
        <f t="shared" si="361"/>
        <v>#REF!</v>
      </c>
      <c r="S139" s="168" t="str">
        <f t="shared" si="361"/>
        <v>#REF!</v>
      </c>
      <c r="T139" s="168" t="str">
        <f t="shared" si="361"/>
        <v>#REF!</v>
      </c>
      <c r="U139" s="168" t="str">
        <f t="shared" ref="U139:AJ139" si="362">#REF!</f>
        <v>#REF!</v>
      </c>
      <c r="V139" s="168" t="str">
        <f t="shared" si="362"/>
        <v>#REF!</v>
      </c>
      <c r="W139" s="168" t="str">
        <f t="shared" si="362"/>
        <v>#REF!</v>
      </c>
      <c r="X139" s="168" t="str">
        <f t="shared" si="362"/>
        <v>#REF!</v>
      </c>
      <c r="Y139" s="168" t="str">
        <f t="shared" si="362"/>
        <v>#REF!</v>
      </c>
      <c r="Z139" s="168" t="str">
        <f t="shared" si="362"/>
        <v>#REF!</v>
      </c>
      <c r="AA139" s="168" t="str">
        <f t="shared" si="362"/>
        <v>#REF!</v>
      </c>
      <c r="AB139" s="168" t="str">
        <f t="shared" si="362"/>
        <v>#REF!</v>
      </c>
      <c r="AC139" s="168" t="str">
        <f t="shared" si="362"/>
        <v>#REF!</v>
      </c>
      <c r="AD139" s="168" t="str">
        <f t="shared" si="362"/>
        <v>#REF!</v>
      </c>
      <c r="AE139" s="168" t="str">
        <f t="shared" si="362"/>
        <v>#REF!</v>
      </c>
      <c r="AF139" s="168" t="str">
        <f t="shared" si="362"/>
        <v>#REF!</v>
      </c>
      <c r="AG139" s="168" t="str">
        <f t="shared" si="362"/>
        <v>#REF!</v>
      </c>
      <c r="AH139" s="168" t="str">
        <f t="shared" si="362"/>
        <v>#REF!</v>
      </c>
      <c r="AI139" s="168" t="str">
        <f t="shared" si="362"/>
        <v>#REF!</v>
      </c>
      <c r="AJ139" s="168" t="str">
        <f t="shared" si="362"/>
        <v>#REF!</v>
      </c>
    </row>
    <row r="140" ht="15.75" customHeight="1">
      <c r="A140" s="168" t="str">
        <f t="shared" ref="A140:T140" si="363">if(#REF!=$D$1,#REF!,"")</f>
        <v>#REF!</v>
      </c>
      <c r="B140" s="168" t="str">
        <f t="shared" si="363"/>
        <v>#REF!</v>
      </c>
      <c r="C140" s="168" t="str">
        <f t="shared" si="363"/>
        <v>#REF!</v>
      </c>
      <c r="D140" s="168" t="str">
        <f t="shared" si="363"/>
        <v>#REF!</v>
      </c>
      <c r="E140" s="168" t="str">
        <f t="shared" si="363"/>
        <v>#REF!</v>
      </c>
      <c r="F140" s="168" t="str">
        <f t="shared" si="363"/>
        <v>#REF!</v>
      </c>
      <c r="G140" s="168" t="str">
        <f t="shared" si="363"/>
        <v>#REF!</v>
      </c>
      <c r="H140" s="168" t="str">
        <f t="shared" si="363"/>
        <v>#REF!</v>
      </c>
      <c r="I140" s="168" t="str">
        <f t="shared" si="363"/>
        <v>#REF!</v>
      </c>
      <c r="J140" s="168" t="str">
        <f t="shared" si="363"/>
        <v>#REF!</v>
      </c>
      <c r="K140" s="168" t="str">
        <f t="shared" si="363"/>
        <v>#REF!</v>
      </c>
      <c r="L140" s="168" t="str">
        <f t="shared" si="363"/>
        <v>#REF!</v>
      </c>
      <c r="M140" s="168" t="str">
        <f t="shared" si="363"/>
        <v>#REF!</v>
      </c>
      <c r="N140" s="168" t="str">
        <f t="shared" si="363"/>
        <v>#REF!</v>
      </c>
      <c r="O140" s="168" t="str">
        <f t="shared" si="363"/>
        <v>#REF!</v>
      </c>
      <c r="P140" s="168" t="str">
        <f t="shared" si="363"/>
        <v>#REF!</v>
      </c>
      <c r="Q140" s="168" t="str">
        <f t="shared" si="363"/>
        <v>#REF!</v>
      </c>
      <c r="R140" s="168" t="str">
        <f t="shared" si="363"/>
        <v>#REF!</v>
      </c>
      <c r="S140" s="168" t="str">
        <f t="shared" si="363"/>
        <v>#REF!</v>
      </c>
      <c r="T140" s="168" t="str">
        <f t="shared" si="363"/>
        <v>#REF!</v>
      </c>
      <c r="U140" s="168" t="str">
        <f t="shared" ref="U140:AJ140" si="364">#REF!</f>
        <v>#REF!</v>
      </c>
      <c r="V140" s="168" t="str">
        <f t="shared" si="364"/>
        <v>#REF!</v>
      </c>
      <c r="W140" s="168" t="str">
        <f t="shared" si="364"/>
        <v>#REF!</v>
      </c>
      <c r="X140" s="168" t="str">
        <f t="shared" si="364"/>
        <v>#REF!</v>
      </c>
      <c r="Y140" s="168" t="str">
        <f t="shared" si="364"/>
        <v>#REF!</v>
      </c>
      <c r="Z140" s="168" t="str">
        <f t="shared" si="364"/>
        <v>#REF!</v>
      </c>
      <c r="AA140" s="168" t="str">
        <f t="shared" si="364"/>
        <v>#REF!</v>
      </c>
      <c r="AB140" s="168" t="str">
        <f t="shared" si="364"/>
        <v>#REF!</v>
      </c>
      <c r="AC140" s="168" t="str">
        <f t="shared" si="364"/>
        <v>#REF!</v>
      </c>
      <c r="AD140" s="168" t="str">
        <f t="shared" si="364"/>
        <v>#REF!</v>
      </c>
      <c r="AE140" s="168" t="str">
        <f t="shared" si="364"/>
        <v>#REF!</v>
      </c>
      <c r="AF140" s="168" t="str">
        <f t="shared" si="364"/>
        <v>#REF!</v>
      </c>
      <c r="AG140" s="168" t="str">
        <f t="shared" si="364"/>
        <v>#REF!</v>
      </c>
      <c r="AH140" s="168" t="str">
        <f t="shared" si="364"/>
        <v>#REF!</v>
      </c>
      <c r="AI140" s="168" t="str">
        <f t="shared" si="364"/>
        <v>#REF!</v>
      </c>
      <c r="AJ140" s="168" t="str">
        <f t="shared" si="364"/>
        <v>#REF!</v>
      </c>
    </row>
    <row r="141" ht="15.75" customHeight="1">
      <c r="A141" s="168" t="str">
        <f t="shared" ref="A141:T141" si="365">if(#REF!=$D$1,#REF!,"")</f>
        <v>#REF!</v>
      </c>
      <c r="B141" s="168" t="str">
        <f t="shared" si="365"/>
        <v>#REF!</v>
      </c>
      <c r="C141" s="168" t="str">
        <f t="shared" si="365"/>
        <v>#REF!</v>
      </c>
      <c r="D141" s="168" t="str">
        <f t="shared" si="365"/>
        <v>#REF!</v>
      </c>
      <c r="E141" s="168" t="str">
        <f t="shared" si="365"/>
        <v>#REF!</v>
      </c>
      <c r="F141" s="168" t="str">
        <f t="shared" si="365"/>
        <v>#REF!</v>
      </c>
      <c r="G141" s="168" t="str">
        <f t="shared" si="365"/>
        <v>#REF!</v>
      </c>
      <c r="H141" s="168" t="str">
        <f t="shared" si="365"/>
        <v>#REF!</v>
      </c>
      <c r="I141" s="168" t="str">
        <f t="shared" si="365"/>
        <v>#REF!</v>
      </c>
      <c r="J141" s="168" t="str">
        <f t="shared" si="365"/>
        <v>#REF!</v>
      </c>
      <c r="K141" s="168" t="str">
        <f t="shared" si="365"/>
        <v>#REF!</v>
      </c>
      <c r="L141" s="168" t="str">
        <f t="shared" si="365"/>
        <v>#REF!</v>
      </c>
      <c r="M141" s="168" t="str">
        <f t="shared" si="365"/>
        <v>#REF!</v>
      </c>
      <c r="N141" s="168" t="str">
        <f t="shared" si="365"/>
        <v>#REF!</v>
      </c>
      <c r="O141" s="168" t="str">
        <f t="shared" si="365"/>
        <v>#REF!</v>
      </c>
      <c r="P141" s="168" t="str">
        <f t="shared" si="365"/>
        <v>#REF!</v>
      </c>
      <c r="Q141" s="168" t="str">
        <f t="shared" si="365"/>
        <v>#REF!</v>
      </c>
      <c r="R141" s="168" t="str">
        <f t="shared" si="365"/>
        <v>#REF!</v>
      </c>
      <c r="S141" s="168" t="str">
        <f t="shared" si="365"/>
        <v>#REF!</v>
      </c>
      <c r="T141" s="168" t="str">
        <f t="shared" si="365"/>
        <v>#REF!</v>
      </c>
      <c r="U141" s="168" t="str">
        <f t="shared" ref="U141:AJ141" si="366">#REF!</f>
        <v>#REF!</v>
      </c>
      <c r="V141" s="168" t="str">
        <f t="shared" si="366"/>
        <v>#REF!</v>
      </c>
      <c r="W141" s="168" t="str">
        <f t="shared" si="366"/>
        <v>#REF!</v>
      </c>
      <c r="X141" s="168" t="str">
        <f t="shared" si="366"/>
        <v>#REF!</v>
      </c>
      <c r="Y141" s="168" t="str">
        <f t="shared" si="366"/>
        <v>#REF!</v>
      </c>
      <c r="Z141" s="168" t="str">
        <f t="shared" si="366"/>
        <v>#REF!</v>
      </c>
      <c r="AA141" s="168" t="str">
        <f t="shared" si="366"/>
        <v>#REF!</v>
      </c>
      <c r="AB141" s="168" t="str">
        <f t="shared" si="366"/>
        <v>#REF!</v>
      </c>
      <c r="AC141" s="168" t="str">
        <f t="shared" si="366"/>
        <v>#REF!</v>
      </c>
      <c r="AD141" s="168" t="str">
        <f t="shared" si="366"/>
        <v>#REF!</v>
      </c>
      <c r="AE141" s="168" t="str">
        <f t="shared" si="366"/>
        <v>#REF!</v>
      </c>
      <c r="AF141" s="168" t="str">
        <f t="shared" si="366"/>
        <v>#REF!</v>
      </c>
      <c r="AG141" s="168" t="str">
        <f t="shared" si="366"/>
        <v>#REF!</v>
      </c>
      <c r="AH141" s="168" t="str">
        <f t="shared" si="366"/>
        <v>#REF!</v>
      </c>
      <c r="AI141" s="168" t="str">
        <f t="shared" si="366"/>
        <v>#REF!</v>
      </c>
      <c r="AJ141" s="168" t="str">
        <f t="shared" si="366"/>
        <v>#REF!</v>
      </c>
    </row>
    <row r="142" ht="15.75" customHeight="1">
      <c r="A142" s="168" t="str">
        <f t="shared" ref="A142:T142" si="367">if(#REF!=$D$1,#REF!,"")</f>
        <v>#REF!</v>
      </c>
      <c r="B142" s="168" t="str">
        <f t="shared" si="367"/>
        <v>#REF!</v>
      </c>
      <c r="C142" s="168" t="str">
        <f t="shared" si="367"/>
        <v>#REF!</v>
      </c>
      <c r="D142" s="168" t="str">
        <f t="shared" si="367"/>
        <v>#REF!</v>
      </c>
      <c r="E142" s="168" t="str">
        <f t="shared" si="367"/>
        <v>#REF!</v>
      </c>
      <c r="F142" s="168" t="str">
        <f t="shared" si="367"/>
        <v>#REF!</v>
      </c>
      <c r="G142" s="168" t="str">
        <f t="shared" si="367"/>
        <v>#REF!</v>
      </c>
      <c r="H142" s="168" t="str">
        <f t="shared" si="367"/>
        <v>#REF!</v>
      </c>
      <c r="I142" s="168" t="str">
        <f t="shared" si="367"/>
        <v>#REF!</v>
      </c>
      <c r="J142" s="168" t="str">
        <f t="shared" si="367"/>
        <v>#REF!</v>
      </c>
      <c r="K142" s="168" t="str">
        <f t="shared" si="367"/>
        <v>#REF!</v>
      </c>
      <c r="L142" s="168" t="str">
        <f t="shared" si="367"/>
        <v>#REF!</v>
      </c>
      <c r="M142" s="168" t="str">
        <f t="shared" si="367"/>
        <v>#REF!</v>
      </c>
      <c r="N142" s="168" t="str">
        <f t="shared" si="367"/>
        <v>#REF!</v>
      </c>
      <c r="O142" s="168" t="str">
        <f t="shared" si="367"/>
        <v>#REF!</v>
      </c>
      <c r="P142" s="168" t="str">
        <f t="shared" si="367"/>
        <v>#REF!</v>
      </c>
      <c r="Q142" s="168" t="str">
        <f t="shared" si="367"/>
        <v>#REF!</v>
      </c>
      <c r="R142" s="168" t="str">
        <f t="shared" si="367"/>
        <v>#REF!</v>
      </c>
      <c r="S142" s="168" t="str">
        <f t="shared" si="367"/>
        <v>#REF!</v>
      </c>
      <c r="T142" s="168" t="str">
        <f t="shared" si="367"/>
        <v>#REF!</v>
      </c>
      <c r="U142" s="168" t="str">
        <f t="shared" ref="U142:AJ142" si="368">#REF!</f>
        <v>#REF!</v>
      </c>
      <c r="V142" s="168" t="str">
        <f t="shared" si="368"/>
        <v>#REF!</v>
      </c>
      <c r="W142" s="168" t="str">
        <f t="shared" si="368"/>
        <v>#REF!</v>
      </c>
      <c r="X142" s="168" t="str">
        <f t="shared" si="368"/>
        <v>#REF!</v>
      </c>
      <c r="Y142" s="168" t="str">
        <f t="shared" si="368"/>
        <v>#REF!</v>
      </c>
      <c r="Z142" s="168" t="str">
        <f t="shared" si="368"/>
        <v>#REF!</v>
      </c>
      <c r="AA142" s="168" t="str">
        <f t="shared" si="368"/>
        <v>#REF!</v>
      </c>
      <c r="AB142" s="168" t="str">
        <f t="shared" si="368"/>
        <v>#REF!</v>
      </c>
      <c r="AC142" s="168" t="str">
        <f t="shared" si="368"/>
        <v>#REF!</v>
      </c>
      <c r="AD142" s="168" t="str">
        <f t="shared" si="368"/>
        <v>#REF!</v>
      </c>
      <c r="AE142" s="168" t="str">
        <f t="shared" si="368"/>
        <v>#REF!</v>
      </c>
      <c r="AF142" s="168" t="str">
        <f t="shared" si="368"/>
        <v>#REF!</v>
      </c>
      <c r="AG142" s="168" t="str">
        <f t="shared" si="368"/>
        <v>#REF!</v>
      </c>
      <c r="AH142" s="168" t="str">
        <f t="shared" si="368"/>
        <v>#REF!</v>
      </c>
      <c r="AI142" s="168" t="str">
        <f t="shared" si="368"/>
        <v>#REF!</v>
      </c>
      <c r="AJ142" s="168" t="str">
        <f t="shared" si="368"/>
        <v>#REF!</v>
      </c>
    </row>
    <row r="143" ht="15.75" customHeight="1">
      <c r="A143" s="168" t="str">
        <f t="shared" ref="A143:T143" si="369">if(#REF!=$D$1,#REF!,"")</f>
        <v>#REF!</v>
      </c>
      <c r="B143" s="168" t="str">
        <f t="shared" si="369"/>
        <v>#REF!</v>
      </c>
      <c r="C143" s="168" t="str">
        <f t="shared" si="369"/>
        <v>#REF!</v>
      </c>
      <c r="D143" s="168" t="str">
        <f t="shared" si="369"/>
        <v>#REF!</v>
      </c>
      <c r="E143" s="168" t="str">
        <f t="shared" si="369"/>
        <v>#REF!</v>
      </c>
      <c r="F143" s="168" t="str">
        <f t="shared" si="369"/>
        <v>#REF!</v>
      </c>
      <c r="G143" s="168" t="str">
        <f t="shared" si="369"/>
        <v>#REF!</v>
      </c>
      <c r="H143" s="168" t="str">
        <f t="shared" si="369"/>
        <v>#REF!</v>
      </c>
      <c r="I143" s="168" t="str">
        <f t="shared" si="369"/>
        <v>#REF!</v>
      </c>
      <c r="J143" s="168" t="str">
        <f t="shared" si="369"/>
        <v>#REF!</v>
      </c>
      <c r="K143" s="168" t="str">
        <f t="shared" si="369"/>
        <v>#REF!</v>
      </c>
      <c r="L143" s="168" t="str">
        <f t="shared" si="369"/>
        <v>#REF!</v>
      </c>
      <c r="M143" s="168" t="str">
        <f t="shared" si="369"/>
        <v>#REF!</v>
      </c>
      <c r="N143" s="168" t="str">
        <f t="shared" si="369"/>
        <v>#REF!</v>
      </c>
      <c r="O143" s="168" t="str">
        <f t="shared" si="369"/>
        <v>#REF!</v>
      </c>
      <c r="P143" s="168" t="str">
        <f t="shared" si="369"/>
        <v>#REF!</v>
      </c>
      <c r="Q143" s="168" t="str">
        <f t="shared" si="369"/>
        <v>#REF!</v>
      </c>
      <c r="R143" s="168" t="str">
        <f t="shared" si="369"/>
        <v>#REF!</v>
      </c>
      <c r="S143" s="168" t="str">
        <f t="shared" si="369"/>
        <v>#REF!</v>
      </c>
      <c r="T143" s="168" t="str">
        <f t="shared" si="369"/>
        <v>#REF!</v>
      </c>
      <c r="U143" s="168" t="str">
        <f t="shared" ref="U143:AJ143" si="370">#REF!</f>
        <v>#REF!</v>
      </c>
      <c r="V143" s="168" t="str">
        <f t="shared" si="370"/>
        <v>#REF!</v>
      </c>
      <c r="W143" s="168" t="str">
        <f t="shared" si="370"/>
        <v>#REF!</v>
      </c>
      <c r="X143" s="168" t="str">
        <f t="shared" si="370"/>
        <v>#REF!</v>
      </c>
      <c r="Y143" s="168" t="str">
        <f t="shared" si="370"/>
        <v>#REF!</v>
      </c>
      <c r="Z143" s="168" t="str">
        <f t="shared" si="370"/>
        <v>#REF!</v>
      </c>
      <c r="AA143" s="168" t="str">
        <f t="shared" si="370"/>
        <v>#REF!</v>
      </c>
      <c r="AB143" s="168" t="str">
        <f t="shared" si="370"/>
        <v>#REF!</v>
      </c>
      <c r="AC143" s="168" t="str">
        <f t="shared" si="370"/>
        <v>#REF!</v>
      </c>
      <c r="AD143" s="168" t="str">
        <f t="shared" si="370"/>
        <v>#REF!</v>
      </c>
      <c r="AE143" s="168" t="str">
        <f t="shared" si="370"/>
        <v>#REF!</v>
      </c>
      <c r="AF143" s="168" t="str">
        <f t="shared" si="370"/>
        <v>#REF!</v>
      </c>
      <c r="AG143" s="168" t="str">
        <f t="shared" si="370"/>
        <v>#REF!</v>
      </c>
      <c r="AH143" s="168" t="str">
        <f t="shared" si="370"/>
        <v>#REF!</v>
      </c>
      <c r="AI143" s="168" t="str">
        <f t="shared" si="370"/>
        <v>#REF!</v>
      </c>
      <c r="AJ143" s="168" t="str">
        <f t="shared" si="370"/>
        <v>#REF!</v>
      </c>
    </row>
    <row r="144" ht="15.75" customHeight="1">
      <c r="A144" s="168" t="str">
        <f t="shared" ref="A144:T144" si="371">if(#REF!=$D$1,#REF!,"")</f>
        <v>#REF!</v>
      </c>
      <c r="B144" s="168" t="str">
        <f t="shared" si="371"/>
        <v>#REF!</v>
      </c>
      <c r="C144" s="168" t="str">
        <f t="shared" si="371"/>
        <v>#REF!</v>
      </c>
      <c r="D144" s="168" t="str">
        <f t="shared" si="371"/>
        <v>#REF!</v>
      </c>
      <c r="E144" s="168" t="str">
        <f t="shared" si="371"/>
        <v>#REF!</v>
      </c>
      <c r="F144" s="168" t="str">
        <f t="shared" si="371"/>
        <v>#REF!</v>
      </c>
      <c r="G144" s="168" t="str">
        <f t="shared" si="371"/>
        <v>#REF!</v>
      </c>
      <c r="H144" s="168" t="str">
        <f t="shared" si="371"/>
        <v>#REF!</v>
      </c>
      <c r="I144" s="168" t="str">
        <f t="shared" si="371"/>
        <v>#REF!</v>
      </c>
      <c r="J144" s="168" t="str">
        <f t="shared" si="371"/>
        <v>#REF!</v>
      </c>
      <c r="K144" s="168" t="str">
        <f t="shared" si="371"/>
        <v>#REF!</v>
      </c>
      <c r="L144" s="168" t="str">
        <f t="shared" si="371"/>
        <v>#REF!</v>
      </c>
      <c r="M144" s="168" t="str">
        <f t="shared" si="371"/>
        <v>#REF!</v>
      </c>
      <c r="N144" s="168" t="str">
        <f t="shared" si="371"/>
        <v>#REF!</v>
      </c>
      <c r="O144" s="168" t="str">
        <f t="shared" si="371"/>
        <v>#REF!</v>
      </c>
      <c r="P144" s="168" t="str">
        <f t="shared" si="371"/>
        <v>#REF!</v>
      </c>
      <c r="Q144" s="168" t="str">
        <f t="shared" si="371"/>
        <v>#REF!</v>
      </c>
      <c r="R144" s="168" t="str">
        <f t="shared" si="371"/>
        <v>#REF!</v>
      </c>
      <c r="S144" s="168" t="str">
        <f t="shared" si="371"/>
        <v>#REF!</v>
      </c>
      <c r="T144" s="168" t="str">
        <f t="shared" si="371"/>
        <v>#REF!</v>
      </c>
      <c r="U144" s="168" t="str">
        <f t="shared" ref="U144:AJ144" si="372">#REF!</f>
        <v>#REF!</v>
      </c>
      <c r="V144" s="168" t="str">
        <f t="shared" si="372"/>
        <v>#REF!</v>
      </c>
      <c r="W144" s="168" t="str">
        <f t="shared" si="372"/>
        <v>#REF!</v>
      </c>
      <c r="X144" s="168" t="str">
        <f t="shared" si="372"/>
        <v>#REF!</v>
      </c>
      <c r="Y144" s="168" t="str">
        <f t="shared" si="372"/>
        <v>#REF!</v>
      </c>
      <c r="Z144" s="168" t="str">
        <f t="shared" si="372"/>
        <v>#REF!</v>
      </c>
      <c r="AA144" s="168" t="str">
        <f t="shared" si="372"/>
        <v>#REF!</v>
      </c>
      <c r="AB144" s="168" t="str">
        <f t="shared" si="372"/>
        <v>#REF!</v>
      </c>
      <c r="AC144" s="168" t="str">
        <f t="shared" si="372"/>
        <v>#REF!</v>
      </c>
      <c r="AD144" s="168" t="str">
        <f t="shared" si="372"/>
        <v>#REF!</v>
      </c>
      <c r="AE144" s="168" t="str">
        <f t="shared" si="372"/>
        <v>#REF!</v>
      </c>
      <c r="AF144" s="168" t="str">
        <f t="shared" si="372"/>
        <v>#REF!</v>
      </c>
      <c r="AG144" s="168" t="str">
        <f t="shared" si="372"/>
        <v>#REF!</v>
      </c>
      <c r="AH144" s="168" t="str">
        <f t="shared" si="372"/>
        <v>#REF!</v>
      </c>
      <c r="AI144" s="168" t="str">
        <f t="shared" si="372"/>
        <v>#REF!</v>
      </c>
      <c r="AJ144" s="168" t="str">
        <f t="shared" si="372"/>
        <v>#REF!</v>
      </c>
    </row>
    <row r="145" ht="15.75" customHeight="1">
      <c r="A145" s="168" t="str">
        <f t="shared" ref="A145:T145" si="373">if(#REF!=$D$1,#REF!,"")</f>
        <v>#REF!</v>
      </c>
      <c r="B145" s="168" t="str">
        <f t="shared" si="373"/>
        <v>#REF!</v>
      </c>
      <c r="C145" s="168" t="str">
        <f t="shared" si="373"/>
        <v>#REF!</v>
      </c>
      <c r="D145" s="168" t="str">
        <f t="shared" si="373"/>
        <v>#REF!</v>
      </c>
      <c r="E145" s="168" t="str">
        <f t="shared" si="373"/>
        <v>#REF!</v>
      </c>
      <c r="F145" s="168" t="str">
        <f t="shared" si="373"/>
        <v>#REF!</v>
      </c>
      <c r="G145" s="168" t="str">
        <f t="shared" si="373"/>
        <v>#REF!</v>
      </c>
      <c r="H145" s="168" t="str">
        <f t="shared" si="373"/>
        <v>#REF!</v>
      </c>
      <c r="I145" s="168" t="str">
        <f t="shared" si="373"/>
        <v>#REF!</v>
      </c>
      <c r="J145" s="168" t="str">
        <f t="shared" si="373"/>
        <v>#REF!</v>
      </c>
      <c r="K145" s="168" t="str">
        <f t="shared" si="373"/>
        <v>#REF!</v>
      </c>
      <c r="L145" s="168" t="str">
        <f t="shared" si="373"/>
        <v>#REF!</v>
      </c>
      <c r="M145" s="168" t="str">
        <f t="shared" si="373"/>
        <v>#REF!</v>
      </c>
      <c r="N145" s="168" t="str">
        <f t="shared" si="373"/>
        <v>#REF!</v>
      </c>
      <c r="O145" s="168" t="str">
        <f t="shared" si="373"/>
        <v>#REF!</v>
      </c>
      <c r="P145" s="168" t="str">
        <f t="shared" si="373"/>
        <v>#REF!</v>
      </c>
      <c r="Q145" s="168" t="str">
        <f t="shared" si="373"/>
        <v>#REF!</v>
      </c>
      <c r="R145" s="168" t="str">
        <f t="shared" si="373"/>
        <v>#REF!</v>
      </c>
      <c r="S145" s="168" t="str">
        <f t="shared" si="373"/>
        <v>#REF!</v>
      </c>
      <c r="T145" s="168" t="str">
        <f t="shared" si="373"/>
        <v>#REF!</v>
      </c>
      <c r="U145" s="168" t="str">
        <f t="shared" ref="U145:AJ145" si="374">#REF!</f>
        <v>#REF!</v>
      </c>
      <c r="V145" s="168" t="str">
        <f t="shared" si="374"/>
        <v>#REF!</v>
      </c>
      <c r="W145" s="168" t="str">
        <f t="shared" si="374"/>
        <v>#REF!</v>
      </c>
      <c r="X145" s="168" t="str">
        <f t="shared" si="374"/>
        <v>#REF!</v>
      </c>
      <c r="Y145" s="168" t="str">
        <f t="shared" si="374"/>
        <v>#REF!</v>
      </c>
      <c r="Z145" s="168" t="str">
        <f t="shared" si="374"/>
        <v>#REF!</v>
      </c>
      <c r="AA145" s="168" t="str">
        <f t="shared" si="374"/>
        <v>#REF!</v>
      </c>
      <c r="AB145" s="168" t="str">
        <f t="shared" si="374"/>
        <v>#REF!</v>
      </c>
      <c r="AC145" s="168" t="str">
        <f t="shared" si="374"/>
        <v>#REF!</v>
      </c>
      <c r="AD145" s="168" t="str">
        <f t="shared" si="374"/>
        <v>#REF!</v>
      </c>
      <c r="AE145" s="168" t="str">
        <f t="shared" si="374"/>
        <v>#REF!</v>
      </c>
      <c r="AF145" s="168" t="str">
        <f t="shared" si="374"/>
        <v>#REF!</v>
      </c>
      <c r="AG145" s="168" t="str">
        <f t="shared" si="374"/>
        <v>#REF!</v>
      </c>
      <c r="AH145" s="168" t="str">
        <f t="shared" si="374"/>
        <v>#REF!</v>
      </c>
      <c r="AI145" s="168" t="str">
        <f t="shared" si="374"/>
        <v>#REF!</v>
      </c>
      <c r="AJ145" s="168" t="str">
        <f t="shared" si="374"/>
        <v>#REF!</v>
      </c>
    </row>
    <row r="146" ht="15.75" customHeight="1">
      <c r="A146" s="168" t="str">
        <f t="shared" ref="A146:T146" si="375">if(#REF!=$D$1,#REF!,"")</f>
        <v>#REF!</v>
      </c>
      <c r="B146" s="168" t="str">
        <f t="shared" si="375"/>
        <v>#REF!</v>
      </c>
      <c r="C146" s="168" t="str">
        <f t="shared" si="375"/>
        <v>#REF!</v>
      </c>
      <c r="D146" s="168" t="str">
        <f t="shared" si="375"/>
        <v>#REF!</v>
      </c>
      <c r="E146" s="168" t="str">
        <f t="shared" si="375"/>
        <v>#REF!</v>
      </c>
      <c r="F146" s="168" t="str">
        <f t="shared" si="375"/>
        <v>#REF!</v>
      </c>
      <c r="G146" s="168" t="str">
        <f t="shared" si="375"/>
        <v>#REF!</v>
      </c>
      <c r="H146" s="168" t="str">
        <f t="shared" si="375"/>
        <v>#REF!</v>
      </c>
      <c r="I146" s="168" t="str">
        <f t="shared" si="375"/>
        <v>#REF!</v>
      </c>
      <c r="J146" s="168" t="str">
        <f t="shared" si="375"/>
        <v>#REF!</v>
      </c>
      <c r="K146" s="168" t="str">
        <f t="shared" si="375"/>
        <v>#REF!</v>
      </c>
      <c r="L146" s="168" t="str">
        <f t="shared" si="375"/>
        <v>#REF!</v>
      </c>
      <c r="M146" s="168" t="str">
        <f t="shared" si="375"/>
        <v>#REF!</v>
      </c>
      <c r="N146" s="168" t="str">
        <f t="shared" si="375"/>
        <v>#REF!</v>
      </c>
      <c r="O146" s="168" t="str">
        <f t="shared" si="375"/>
        <v>#REF!</v>
      </c>
      <c r="P146" s="168" t="str">
        <f t="shared" si="375"/>
        <v>#REF!</v>
      </c>
      <c r="Q146" s="168" t="str">
        <f t="shared" si="375"/>
        <v>#REF!</v>
      </c>
      <c r="R146" s="168" t="str">
        <f t="shared" si="375"/>
        <v>#REF!</v>
      </c>
      <c r="S146" s="168" t="str">
        <f t="shared" si="375"/>
        <v>#REF!</v>
      </c>
      <c r="T146" s="168" t="str">
        <f t="shared" si="375"/>
        <v>#REF!</v>
      </c>
      <c r="U146" s="168" t="str">
        <f t="shared" ref="U146:AJ146" si="376">#REF!</f>
        <v>#REF!</v>
      </c>
      <c r="V146" s="168" t="str">
        <f t="shared" si="376"/>
        <v>#REF!</v>
      </c>
      <c r="W146" s="168" t="str">
        <f t="shared" si="376"/>
        <v>#REF!</v>
      </c>
      <c r="X146" s="168" t="str">
        <f t="shared" si="376"/>
        <v>#REF!</v>
      </c>
      <c r="Y146" s="168" t="str">
        <f t="shared" si="376"/>
        <v>#REF!</v>
      </c>
      <c r="Z146" s="168" t="str">
        <f t="shared" si="376"/>
        <v>#REF!</v>
      </c>
      <c r="AA146" s="168" t="str">
        <f t="shared" si="376"/>
        <v>#REF!</v>
      </c>
      <c r="AB146" s="168" t="str">
        <f t="shared" si="376"/>
        <v>#REF!</v>
      </c>
      <c r="AC146" s="168" t="str">
        <f t="shared" si="376"/>
        <v>#REF!</v>
      </c>
      <c r="AD146" s="168" t="str">
        <f t="shared" si="376"/>
        <v>#REF!</v>
      </c>
      <c r="AE146" s="168" t="str">
        <f t="shared" si="376"/>
        <v>#REF!</v>
      </c>
      <c r="AF146" s="168" t="str">
        <f t="shared" si="376"/>
        <v>#REF!</v>
      </c>
      <c r="AG146" s="168" t="str">
        <f t="shared" si="376"/>
        <v>#REF!</v>
      </c>
      <c r="AH146" s="168" t="str">
        <f t="shared" si="376"/>
        <v>#REF!</v>
      </c>
      <c r="AI146" s="168" t="str">
        <f t="shared" si="376"/>
        <v>#REF!</v>
      </c>
      <c r="AJ146" s="168" t="str">
        <f t="shared" si="376"/>
        <v>#REF!</v>
      </c>
    </row>
    <row r="147" ht="15.75" customHeight="1">
      <c r="A147" s="168" t="str">
        <f t="shared" ref="A147:T147" si="377">if(#REF!=$D$1,#REF!,"")</f>
        <v>#REF!</v>
      </c>
      <c r="B147" s="168" t="str">
        <f t="shared" si="377"/>
        <v>#REF!</v>
      </c>
      <c r="C147" s="168" t="str">
        <f t="shared" si="377"/>
        <v>#REF!</v>
      </c>
      <c r="D147" s="168" t="str">
        <f t="shared" si="377"/>
        <v>#REF!</v>
      </c>
      <c r="E147" s="168" t="str">
        <f t="shared" si="377"/>
        <v>#REF!</v>
      </c>
      <c r="F147" s="168" t="str">
        <f t="shared" si="377"/>
        <v>#REF!</v>
      </c>
      <c r="G147" s="168" t="str">
        <f t="shared" si="377"/>
        <v>#REF!</v>
      </c>
      <c r="H147" s="168" t="str">
        <f t="shared" si="377"/>
        <v>#REF!</v>
      </c>
      <c r="I147" s="168" t="str">
        <f t="shared" si="377"/>
        <v>#REF!</v>
      </c>
      <c r="J147" s="168" t="str">
        <f t="shared" si="377"/>
        <v>#REF!</v>
      </c>
      <c r="K147" s="168" t="str">
        <f t="shared" si="377"/>
        <v>#REF!</v>
      </c>
      <c r="L147" s="168" t="str">
        <f t="shared" si="377"/>
        <v>#REF!</v>
      </c>
      <c r="M147" s="168" t="str">
        <f t="shared" si="377"/>
        <v>#REF!</v>
      </c>
      <c r="N147" s="168" t="str">
        <f t="shared" si="377"/>
        <v>#REF!</v>
      </c>
      <c r="O147" s="168" t="str">
        <f t="shared" si="377"/>
        <v>#REF!</v>
      </c>
      <c r="P147" s="168" t="str">
        <f t="shared" si="377"/>
        <v>#REF!</v>
      </c>
      <c r="Q147" s="168" t="str">
        <f t="shared" si="377"/>
        <v>#REF!</v>
      </c>
      <c r="R147" s="168" t="str">
        <f t="shared" si="377"/>
        <v>#REF!</v>
      </c>
      <c r="S147" s="168" t="str">
        <f t="shared" si="377"/>
        <v>#REF!</v>
      </c>
      <c r="T147" s="168" t="str">
        <f t="shared" si="377"/>
        <v>#REF!</v>
      </c>
      <c r="U147" s="168" t="str">
        <f t="shared" ref="U147:AJ147" si="378">#REF!</f>
        <v>#REF!</v>
      </c>
      <c r="V147" s="168" t="str">
        <f t="shared" si="378"/>
        <v>#REF!</v>
      </c>
      <c r="W147" s="168" t="str">
        <f t="shared" si="378"/>
        <v>#REF!</v>
      </c>
      <c r="X147" s="168" t="str">
        <f t="shared" si="378"/>
        <v>#REF!</v>
      </c>
      <c r="Y147" s="168" t="str">
        <f t="shared" si="378"/>
        <v>#REF!</v>
      </c>
      <c r="Z147" s="168" t="str">
        <f t="shared" si="378"/>
        <v>#REF!</v>
      </c>
      <c r="AA147" s="168" t="str">
        <f t="shared" si="378"/>
        <v>#REF!</v>
      </c>
      <c r="AB147" s="168" t="str">
        <f t="shared" si="378"/>
        <v>#REF!</v>
      </c>
      <c r="AC147" s="168" t="str">
        <f t="shared" si="378"/>
        <v>#REF!</v>
      </c>
      <c r="AD147" s="168" t="str">
        <f t="shared" si="378"/>
        <v>#REF!</v>
      </c>
      <c r="AE147" s="168" t="str">
        <f t="shared" si="378"/>
        <v>#REF!</v>
      </c>
      <c r="AF147" s="168" t="str">
        <f t="shared" si="378"/>
        <v>#REF!</v>
      </c>
      <c r="AG147" s="168" t="str">
        <f t="shared" si="378"/>
        <v>#REF!</v>
      </c>
      <c r="AH147" s="168" t="str">
        <f t="shared" si="378"/>
        <v>#REF!</v>
      </c>
      <c r="AI147" s="168" t="str">
        <f t="shared" si="378"/>
        <v>#REF!</v>
      </c>
      <c r="AJ147" s="168" t="str">
        <f t="shared" si="378"/>
        <v>#REF!</v>
      </c>
    </row>
    <row r="148" ht="15.75" customHeight="1">
      <c r="A148" s="168" t="str">
        <f t="shared" ref="A148:T148" si="379">if(#REF!=$D$1,#REF!,"")</f>
        <v>#REF!</v>
      </c>
      <c r="B148" s="168" t="str">
        <f t="shared" si="379"/>
        <v>#REF!</v>
      </c>
      <c r="C148" s="168" t="str">
        <f t="shared" si="379"/>
        <v>#REF!</v>
      </c>
      <c r="D148" s="168" t="str">
        <f t="shared" si="379"/>
        <v>#REF!</v>
      </c>
      <c r="E148" s="168" t="str">
        <f t="shared" si="379"/>
        <v>#REF!</v>
      </c>
      <c r="F148" s="168" t="str">
        <f t="shared" si="379"/>
        <v>#REF!</v>
      </c>
      <c r="G148" s="168" t="str">
        <f t="shared" si="379"/>
        <v>#REF!</v>
      </c>
      <c r="H148" s="168" t="str">
        <f t="shared" si="379"/>
        <v>#REF!</v>
      </c>
      <c r="I148" s="168" t="str">
        <f t="shared" si="379"/>
        <v>#REF!</v>
      </c>
      <c r="J148" s="168" t="str">
        <f t="shared" si="379"/>
        <v>#REF!</v>
      </c>
      <c r="K148" s="168" t="str">
        <f t="shared" si="379"/>
        <v>#REF!</v>
      </c>
      <c r="L148" s="168" t="str">
        <f t="shared" si="379"/>
        <v>#REF!</v>
      </c>
      <c r="M148" s="168" t="str">
        <f t="shared" si="379"/>
        <v>#REF!</v>
      </c>
      <c r="N148" s="168" t="str">
        <f t="shared" si="379"/>
        <v>#REF!</v>
      </c>
      <c r="O148" s="168" t="str">
        <f t="shared" si="379"/>
        <v>#REF!</v>
      </c>
      <c r="P148" s="168" t="str">
        <f t="shared" si="379"/>
        <v>#REF!</v>
      </c>
      <c r="Q148" s="168" t="str">
        <f t="shared" si="379"/>
        <v>#REF!</v>
      </c>
      <c r="R148" s="168" t="str">
        <f t="shared" si="379"/>
        <v>#REF!</v>
      </c>
      <c r="S148" s="168" t="str">
        <f t="shared" si="379"/>
        <v>#REF!</v>
      </c>
      <c r="T148" s="168" t="str">
        <f t="shared" si="379"/>
        <v>#REF!</v>
      </c>
      <c r="U148" s="168" t="str">
        <f t="shared" ref="U148:AJ148" si="380">#REF!</f>
        <v>#REF!</v>
      </c>
      <c r="V148" s="168" t="str">
        <f t="shared" si="380"/>
        <v>#REF!</v>
      </c>
      <c r="W148" s="168" t="str">
        <f t="shared" si="380"/>
        <v>#REF!</v>
      </c>
      <c r="X148" s="168" t="str">
        <f t="shared" si="380"/>
        <v>#REF!</v>
      </c>
      <c r="Y148" s="168" t="str">
        <f t="shared" si="380"/>
        <v>#REF!</v>
      </c>
      <c r="Z148" s="168" t="str">
        <f t="shared" si="380"/>
        <v>#REF!</v>
      </c>
      <c r="AA148" s="168" t="str">
        <f t="shared" si="380"/>
        <v>#REF!</v>
      </c>
      <c r="AB148" s="168" t="str">
        <f t="shared" si="380"/>
        <v>#REF!</v>
      </c>
      <c r="AC148" s="168" t="str">
        <f t="shared" si="380"/>
        <v>#REF!</v>
      </c>
      <c r="AD148" s="168" t="str">
        <f t="shared" si="380"/>
        <v>#REF!</v>
      </c>
      <c r="AE148" s="168" t="str">
        <f t="shared" si="380"/>
        <v>#REF!</v>
      </c>
      <c r="AF148" s="168" t="str">
        <f t="shared" si="380"/>
        <v>#REF!</v>
      </c>
      <c r="AG148" s="168" t="str">
        <f t="shared" si="380"/>
        <v>#REF!</v>
      </c>
      <c r="AH148" s="168" t="str">
        <f t="shared" si="380"/>
        <v>#REF!</v>
      </c>
      <c r="AI148" s="168" t="str">
        <f t="shared" si="380"/>
        <v>#REF!</v>
      </c>
      <c r="AJ148" s="168" t="str">
        <f t="shared" si="380"/>
        <v>#REF!</v>
      </c>
    </row>
    <row r="149" ht="15.75" customHeight="1">
      <c r="A149" s="168" t="str">
        <f t="shared" ref="A149:T149" si="381">if(#REF!=$D$1,#REF!,"")</f>
        <v>#REF!</v>
      </c>
      <c r="B149" s="168" t="str">
        <f t="shared" si="381"/>
        <v>#REF!</v>
      </c>
      <c r="C149" s="168" t="str">
        <f t="shared" si="381"/>
        <v>#REF!</v>
      </c>
      <c r="D149" s="168" t="str">
        <f t="shared" si="381"/>
        <v>#REF!</v>
      </c>
      <c r="E149" s="168" t="str">
        <f t="shared" si="381"/>
        <v>#REF!</v>
      </c>
      <c r="F149" s="168" t="str">
        <f t="shared" si="381"/>
        <v>#REF!</v>
      </c>
      <c r="G149" s="168" t="str">
        <f t="shared" si="381"/>
        <v>#REF!</v>
      </c>
      <c r="H149" s="168" t="str">
        <f t="shared" si="381"/>
        <v>#REF!</v>
      </c>
      <c r="I149" s="168" t="str">
        <f t="shared" si="381"/>
        <v>#REF!</v>
      </c>
      <c r="J149" s="168" t="str">
        <f t="shared" si="381"/>
        <v>#REF!</v>
      </c>
      <c r="K149" s="168" t="str">
        <f t="shared" si="381"/>
        <v>#REF!</v>
      </c>
      <c r="L149" s="168" t="str">
        <f t="shared" si="381"/>
        <v>#REF!</v>
      </c>
      <c r="M149" s="168" t="str">
        <f t="shared" si="381"/>
        <v>#REF!</v>
      </c>
      <c r="N149" s="168" t="str">
        <f t="shared" si="381"/>
        <v>#REF!</v>
      </c>
      <c r="O149" s="168" t="str">
        <f t="shared" si="381"/>
        <v>#REF!</v>
      </c>
      <c r="P149" s="168" t="str">
        <f t="shared" si="381"/>
        <v>#REF!</v>
      </c>
      <c r="Q149" s="168" t="str">
        <f t="shared" si="381"/>
        <v>#REF!</v>
      </c>
      <c r="R149" s="168" t="str">
        <f t="shared" si="381"/>
        <v>#REF!</v>
      </c>
      <c r="S149" s="168" t="str">
        <f t="shared" si="381"/>
        <v>#REF!</v>
      </c>
      <c r="T149" s="168" t="str">
        <f t="shared" si="381"/>
        <v>#REF!</v>
      </c>
      <c r="U149" s="168" t="str">
        <f t="shared" ref="U149:AJ149" si="382">#REF!</f>
        <v>#REF!</v>
      </c>
      <c r="V149" s="168" t="str">
        <f t="shared" si="382"/>
        <v>#REF!</v>
      </c>
      <c r="W149" s="168" t="str">
        <f t="shared" si="382"/>
        <v>#REF!</v>
      </c>
      <c r="X149" s="168" t="str">
        <f t="shared" si="382"/>
        <v>#REF!</v>
      </c>
      <c r="Y149" s="168" t="str">
        <f t="shared" si="382"/>
        <v>#REF!</v>
      </c>
      <c r="Z149" s="168" t="str">
        <f t="shared" si="382"/>
        <v>#REF!</v>
      </c>
      <c r="AA149" s="168" t="str">
        <f t="shared" si="382"/>
        <v>#REF!</v>
      </c>
      <c r="AB149" s="168" t="str">
        <f t="shared" si="382"/>
        <v>#REF!</v>
      </c>
      <c r="AC149" s="168" t="str">
        <f t="shared" si="382"/>
        <v>#REF!</v>
      </c>
      <c r="AD149" s="168" t="str">
        <f t="shared" si="382"/>
        <v>#REF!</v>
      </c>
      <c r="AE149" s="168" t="str">
        <f t="shared" si="382"/>
        <v>#REF!</v>
      </c>
      <c r="AF149" s="168" t="str">
        <f t="shared" si="382"/>
        <v>#REF!</v>
      </c>
      <c r="AG149" s="168" t="str">
        <f t="shared" si="382"/>
        <v>#REF!</v>
      </c>
      <c r="AH149" s="168" t="str">
        <f t="shared" si="382"/>
        <v>#REF!</v>
      </c>
      <c r="AI149" s="168" t="str">
        <f t="shared" si="382"/>
        <v>#REF!</v>
      </c>
      <c r="AJ149" s="168" t="str">
        <f t="shared" si="382"/>
        <v>#REF!</v>
      </c>
    </row>
    <row r="150" ht="15.75" customHeight="1">
      <c r="A150" s="168" t="str">
        <f t="shared" ref="A150:T150" si="383">if(#REF!=$D$1,#REF!,"")</f>
        <v>#REF!</v>
      </c>
      <c r="B150" s="168" t="str">
        <f t="shared" si="383"/>
        <v>#REF!</v>
      </c>
      <c r="C150" s="168" t="str">
        <f t="shared" si="383"/>
        <v>#REF!</v>
      </c>
      <c r="D150" s="168" t="str">
        <f t="shared" si="383"/>
        <v>#REF!</v>
      </c>
      <c r="E150" s="168" t="str">
        <f t="shared" si="383"/>
        <v>#REF!</v>
      </c>
      <c r="F150" s="168" t="str">
        <f t="shared" si="383"/>
        <v>#REF!</v>
      </c>
      <c r="G150" s="168" t="str">
        <f t="shared" si="383"/>
        <v>#REF!</v>
      </c>
      <c r="H150" s="168" t="str">
        <f t="shared" si="383"/>
        <v>#REF!</v>
      </c>
      <c r="I150" s="168" t="str">
        <f t="shared" si="383"/>
        <v>#REF!</v>
      </c>
      <c r="J150" s="168" t="str">
        <f t="shared" si="383"/>
        <v>#REF!</v>
      </c>
      <c r="K150" s="168" t="str">
        <f t="shared" si="383"/>
        <v>#REF!</v>
      </c>
      <c r="L150" s="168" t="str">
        <f t="shared" si="383"/>
        <v>#REF!</v>
      </c>
      <c r="M150" s="168" t="str">
        <f t="shared" si="383"/>
        <v>#REF!</v>
      </c>
      <c r="N150" s="168" t="str">
        <f t="shared" si="383"/>
        <v>#REF!</v>
      </c>
      <c r="O150" s="168" t="str">
        <f t="shared" si="383"/>
        <v>#REF!</v>
      </c>
      <c r="P150" s="168" t="str">
        <f t="shared" si="383"/>
        <v>#REF!</v>
      </c>
      <c r="Q150" s="168" t="str">
        <f t="shared" si="383"/>
        <v>#REF!</v>
      </c>
      <c r="R150" s="168" t="str">
        <f t="shared" si="383"/>
        <v>#REF!</v>
      </c>
      <c r="S150" s="168" t="str">
        <f t="shared" si="383"/>
        <v>#REF!</v>
      </c>
      <c r="T150" s="168" t="str">
        <f t="shared" si="383"/>
        <v>#REF!</v>
      </c>
      <c r="U150" s="168" t="str">
        <f t="shared" ref="U150:AJ150" si="384">#REF!</f>
        <v>#REF!</v>
      </c>
      <c r="V150" s="168" t="str">
        <f t="shared" si="384"/>
        <v>#REF!</v>
      </c>
      <c r="W150" s="168" t="str">
        <f t="shared" si="384"/>
        <v>#REF!</v>
      </c>
      <c r="X150" s="168" t="str">
        <f t="shared" si="384"/>
        <v>#REF!</v>
      </c>
      <c r="Y150" s="168" t="str">
        <f t="shared" si="384"/>
        <v>#REF!</v>
      </c>
      <c r="Z150" s="168" t="str">
        <f t="shared" si="384"/>
        <v>#REF!</v>
      </c>
      <c r="AA150" s="168" t="str">
        <f t="shared" si="384"/>
        <v>#REF!</v>
      </c>
      <c r="AB150" s="168" t="str">
        <f t="shared" si="384"/>
        <v>#REF!</v>
      </c>
      <c r="AC150" s="168" t="str">
        <f t="shared" si="384"/>
        <v>#REF!</v>
      </c>
      <c r="AD150" s="168" t="str">
        <f t="shared" si="384"/>
        <v>#REF!</v>
      </c>
      <c r="AE150" s="168" t="str">
        <f t="shared" si="384"/>
        <v>#REF!</v>
      </c>
      <c r="AF150" s="168" t="str">
        <f t="shared" si="384"/>
        <v>#REF!</v>
      </c>
      <c r="AG150" s="168" t="str">
        <f t="shared" si="384"/>
        <v>#REF!</v>
      </c>
      <c r="AH150" s="168" t="str">
        <f t="shared" si="384"/>
        <v>#REF!</v>
      </c>
      <c r="AI150" s="168" t="str">
        <f t="shared" si="384"/>
        <v>#REF!</v>
      </c>
      <c r="AJ150" s="168" t="str">
        <f t="shared" si="384"/>
        <v>#REF!</v>
      </c>
    </row>
    <row r="151" ht="15.75" customHeight="1">
      <c r="A151" s="168" t="str">
        <f t="shared" ref="A151:T151" si="385">if(#REF!=$D$1,#REF!,"")</f>
        <v>#REF!</v>
      </c>
      <c r="B151" s="168" t="str">
        <f t="shared" si="385"/>
        <v>#REF!</v>
      </c>
      <c r="C151" s="168" t="str">
        <f t="shared" si="385"/>
        <v>#REF!</v>
      </c>
      <c r="D151" s="168" t="str">
        <f t="shared" si="385"/>
        <v>#REF!</v>
      </c>
      <c r="E151" s="168" t="str">
        <f t="shared" si="385"/>
        <v>#REF!</v>
      </c>
      <c r="F151" s="168" t="str">
        <f t="shared" si="385"/>
        <v>#REF!</v>
      </c>
      <c r="G151" s="168" t="str">
        <f t="shared" si="385"/>
        <v>#REF!</v>
      </c>
      <c r="H151" s="168" t="str">
        <f t="shared" si="385"/>
        <v>#REF!</v>
      </c>
      <c r="I151" s="168" t="str">
        <f t="shared" si="385"/>
        <v>#REF!</v>
      </c>
      <c r="J151" s="168" t="str">
        <f t="shared" si="385"/>
        <v>#REF!</v>
      </c>
      <c r="K151" s="168" t="str">
        <f t="shared" si="385"/>
        <v>#REF!</v>
      </c>
      <c r="L151" s="168" t="str">
        <f t="shared" si="385"/>
        <v>#REF!</v>
      </c>
      <c r="M151" s="168" t="str">
        <f t="shared" si="385"/>
        <v>#REF!</v>
      </c>
      <c r="N151" s="168" t="str">
        <f t="shared" si="385"/>
        <v>#REF!</v>
      </c>
      <c r="O151" s="168" t="str">
        <f t="shared" si="385"/>
        <v>#REF!</v>
      </c>
      <c r="P151" s="168" t="str">
        <f t="shared" si="385"/>
        <v>#REF!</v>
      </c>
      <c r="Q151" s="168" t="str">
        <f t="shared" si="385"/>
        <v>#REF!</v>
      </c>
      <c r="R151" s="168" t="str">
        <f t="shared" si="385"/>
        <v>#REF!</v>
      </c>
      <c r="S151" s="168" t="str">
        <f t="shared" si="385"/>
        <v>#REF!</v>
      </c>
      <c r="T151" s="168" t="str">
        <f t="shared" si="385"/>
        <v>#REF!</v>
      </c>
      <c r="U151" s="168" t="str">
        <f t="shared" ref="U151:AJ151" si="386">#REF!</f>
        <v>#REF!</v>
      </c>
      <c r="V151" s="168" t="str">
        <f t="shared" si="386"/>
        <v>#REF!</v>
      </c>
      <c r="W151" s="168" t="str">
        <f t="shared" si="386"/>
        <v>#REF!</v>
      </c>
      <c r="X151" s="168" t="str">
        <f t="shared" si="386"/>
        <v>#REF!</v>
      </c>
      <c r="Y151" s="168" t="str">
        <f t="shared" si="386"/>
        <v>#REF!</v>
      </c>
      <c r="Z151" s="168" t="str">
        <f t="shared" si="386"/>
        <v>#REF!</v>
      </c>
      <c r="AA151" s="168" t="str">
        <f t="shared" si="386"/>
        <v>#REF!</v>
      </c>
      <c r="AB151" s="168" t="str">
        <f t="shared" si="386"/>
        <v>#REF!</v>
      </c>
      <c r="AC151" s="168" t="str">
        <f t="shared" si="386"/>
        <v>#REF!</v>
      </c>
      <c r="AD151" s="168" t="str">
        <f t="shared" si="386"/>
        <v>#REF!</v>
      </c>
      <c r="AE151" s="168" t="str">
        <f t="shared" si="386"/>
        <v>#REF!</v>
      </c>
      <c r="AF151" s="168" t="str">
        <f t="shared" si="386"/>
        <v>#REF!</v>
      </c>
      <c r="AG151" s="168" t="str">
        <f t="shared" si="386"/>
        <v>#REF!</v>
      </c>
      <c r="AH151" s="168" t="str">
        <f t="shared" si="386"/>
        <v>#REF!</v>
      </c>
      <c r="AI151" s="168" t="str">
        <f t="shared" si="386"/>
        <v>#REF!</v>
      </c>
      <c r="AJ151" s="168" t="str">
        <f t="shared" si="386"/>
        <v>#REF!</v>
      </c>
    </row>
    <row r="152" ht="15.75" customHeight="1">
      <c r="A152" s="168" t="str">
        <f t="shared" ref="A152:T152" si="387">if(#REF!=$D$1,#REF!,"")</f>
        <v>#REF!</v>
      </c>
      <c r="B152" s="168" t="str">
        <f t="shared" si="387"/>
        <v>#REF!</v>
      </c>
      <c r="C152" s="168" t="str">
        <f t="shared" si="387"/>
        <v>#REF!</v>
      </c>
      <c r="D152" s="168" t="str">
        <f t="shared" si="387"/>
        <v>#REF!</v>
      </c>
      <c r="E152" s="168" t="str">
        <f t="shared" si="387"/>
        <v>#REF!</v>
      </c>
      <c r="F152" s="168" t="str">
        <f t="shared" si="387"/>
        <v>#REF!</v>
      </c>
      <c r="G152" s="168" t="str">
        <f t="shared" si="387"/>
        <v>#REF!</v>
      </c>
      <c r="H152" s="168" t="str">
        <f t="shared" si="387"/>
        <v>#REF!</v>
      </c>
      <c r="I152" s="168" t="str">
        <f t="shared" si="387"/>
        <v>#REF!</v>
      </c>
      <c r="J152" s="168" t="str">
        <f t="shared" si="387"/>
        <v>#REF!</v>
      </c>
      <c r="K152" s="168" t="str">
        <f t="shared" si="387"/>
        <v>#REF!</v>
      </c>
      <c r="L152" s="168" t="str">
        <f t="shared" si="387"/>
        <v>#REF!</v>
      </c>
      <c r="M152" s="168" t="str">
        <f t="shared" si="387"/>
        <v>#REF!</v>
      </c>
      <c r="N152" s="168" t="str">
        <f t="shared" si="387"/>
        <v>#REF!</v>
      </c>
      <c r="O152" s="168" t="str">
        <f t="shared" si="387"/>
        <v>#REF!</v>
      </c>
      <c r="P152" s="168" t="str">
        <f t="shared" si="387"/>
        <v>#REF!</v>
      </c>
      <c r="Q152" s="168" t="str">
        <f t="shared" si="387"/>
        <v>#REF!</v>
      </c>
      <c r="R152" s="168" t="str">
        <f t="shared" si="387"/>
        <v>#REF!</v>
      </c>
      <c r="S152" s="168" t="str">
        <f t="shared" si="387"/>
        <v>#REF!</v>
      </c>
      <c r="T152" s="168" t="str">
        <f t="shared" si="387"/>
        <v>#REF!</v>
      </c>
      <c r="U152" s="168" t="str">
        <f t="shared" ref="U152:AJ152" si="388">#REF!</f>
        <v>#REF!</v>
      </c>
      <c r="V152" s="168" t="str">
        <f t="shared" si="388"/>
        <v>#REF!</v>
      </c>
      <c r="W152" s="168" t="str">
        <f t="shared" si="388"/>
        <v>#REF!</v>
      </c>
      <c r="X152" s="168" t="str">
        <f t="shared" si="388"/>
        <v>#REF!</v>
      </c>
      <c r="Y152" s="168" t="str">
        <f t="shared" si="388"/>
        <v>#REF!</v>
      </c>
      <c r="Z152" s="168" t="str">
        <f t="shared" si="388"/>
        <v>#REF!</v>
      </c>
      <c r="AA152" s="168" t="str">
        <f t="shared" si="388"/>
        <v>#REF!</v>
      </c>
      <c r="AB152" s="168" t="str">
        <f t="shared" si="388"/>
        <v>#REF!</v>
      </c>
      <c r="AC152" s="168" t="str">
        <f t="shared" si="388"/>
        <v>#REF!</v>
      </c>
      <c r="AD152" s="168" t="str">
        <f t="shared" si="388"/>
        <v>#REF!</v>
      </c>
      <c r="AE152" s="168" t="str">
        <f t="shared" si="388"/>
        <v>#REF!</v>
      </c>
      <c r="AF152" s="168" t="str">
        <f t="shared" si="388"/>
        <v>#REF!</v>
      </c>
      <c r="AG152" s="168" t="str">
        <f t="shared" si="388"/>
        <v>#REF!</v>
      </c>
      <c r="AH152" s="168" t="str">
        <f t="shared" si="388"/>
        <v>#REF!</v>
      </c>
      <c r="AI152" s="168" t="str">
        <f t="shared" si="388"/>
        <v>#REF!</v>
      </c>
      <c r="AJ152" s="168" t="str">
        <f t="shared" si="388"/>
        <v>#REF!</v>
      </c>
    </row>
    <row r="153" ht="15.75" customHeight="1">
      <c r="A153" s="168" t="str">
        <f t="shared" ref="A153:T153" si="389">if(#REF!=$D$1,#REF!,"")</f>
        <v>#REF!</v>
      </c>
      <c r="B153" s="168" t="str">
        <f t="shared" si="389"/>
        <v>#REF!</v>
      </c>
      <c r="C153" s="168" t="str">
        <f t="shared" si="389"/>
        <v>#REF!</v>
      </c>
      <c r="D153" s="168" t="str">
        <f t="shared" si="389"/>
        <v>#REF!</v>
      </c>
      <c r="E153" s="168" t="str">
        <f t="shared" si="389"/>
        <v>#REF!</v>
      </c>
      <c r="F153" s="168" t="str">
        <f t="shared" si="389"/>
        <v>#REF!</v>
      </c>
      <c r="G153" s="168" t="str">
        <f t="shared" si="389"/>
        <v>#REF!</v>
      </c>
      <c r="H153" s="168" t="str">
        <f t="shared" si="389"/>
        <v>#REF!</v>
      </c>
      <c r="I153" s="168" t="str">
        <f t="shared" si="389"/>
        <v>#REF!</v>
      </c>
      <c r="J153" s="168" t="str">
        <f t="shared" si="389"/>
        <v>#REF!</v>
      </c>
      <c r="K153" s="168" t="str">
        <f t="shared" si="389"/>
        <v>#REF!</v>
      </c>
      <c r="L153" s="168" t="str">
        <f t="shared" si="389"/>
        <v>#REF!</v>
      </c>
      <c r="M153" s="168" t="str">
        <f t="shared" si="389"/>
        <v>#REF!</v>
      </c>
      <c r="N153" s="168" t="str">
        <f t="shared" si="389"/>
        <v>#REF!</v>
      </c>
      <c r="O153" s="168" t="str">
        <f t="shared" si="389"/>
        <v>#REF!</v>
      </c>
      <c r="P153" s="168" t="str">
        <f t="shared" si="389"/>
        <v>#REF!</v>
      </c>
      <c r="Q153" s="168" t="str">
        <f t="shared" si="389"/>
        <v>#REF!</v>
      </c>
      <c r="R153" s="168" t="str">
        <f t="shared" si="389"/>
        <v>#REF!</v>
      </c>
      <c r="S153" s="168" t="str">
        <f t="shared" si="389"/>
        <v>#REF!</v>
      </c>
      <c r="T153" s="168" t="str">
        <f t="shared" si="389"/>
        <v>#REF!</v>
      </c>
      <c r="U153" s="168" t="str">
        <f t="shared" ref="U153:AJ153" si="390">#REF!</f>
        <v>#REF!</v>
      </c>
      <c r="V153" s="168" t="str">
        <f t="shared" si="390"/>
        <v>#REF!</v>
      </c>
      <c r="W153" s="168" t="str">
        <f t="shared" si="390"/>
        <v>#REF!</v>
      </c>
      <c r="X153" s="168" t="str">
        <f t="shared" si="390"/>
        <v>#REF!</v>
      </c>
      <c r="Y153" s="168" t="str">
        <f t="shared" si="390"/>
        <v>#REF!</v>
      </c>
      <c r="Z153" s="168" t="str">
        <f t="shared" si="390"/>
        <v>#REF!</v>
      </c>
      <c r="AA153" s="168" t="str">
        <f t="shared" si="390"/>
        <v>#REF!</v>
      </c>
      <c r="AB153" s="168" t="str">
        <f t="shared" si="390"/>
        <v>#REF!</v>
      </c>
      <c r="AC153" s="168" t="str">
        <f t="shared" si="390"/>
        <v>#REF!</v>
      </c>
      <c r="AD153" s="168" t="str">
        <f t="shared" si="390"/>
        <v>#REF!</v>
      </c>
      <c r="AE153" s="168" t="str">
        <f t="shared" si="390"/>
        <v>#REF!</v>
      </c>
      <c r="AF153" s="168" t="str">
        <f t="shared" si="390"/>
        <v>#REF!</v>
      </c>
      <c r="AG153" s="168" t="str">
        <f t="shared" si="390"/>
        <v>#REF!</v>
      </c>
      <c r="AH153" s="168" t="str">
        <f t="shared" si="390"/>
        <v>#REF!</v>
      </c>
      <c r="AI153" s="168" t="str">
        <f t="shared" si="390"/>
        <v>#REF!</v>
      </c>
      <c r="AJ153" s="168" t="str">
        <f t="shared" si="390"/>
        <v>#REF!</v>
      </c>
    </row>
    <row r="154" ht="15.75" customHeight="1">
      <c r="A154" s="168" t="str">
        <f t="shared" ref="A154:T154" si="391">if(#REF!=$D$1,#REF!,"")</f>
        <v>#REF!</v>
      </c>
      <c r="B154" s="168" t="str">
        <f t="shared" si="391"/>
        <v>#REF!</v>
      </c>
      <c r="C154" s="168" t="str">
        <f t="shared" si="391"/>
        <v>#REF!</v>
      </c>
      <c r="D154" s="168" t="str">
        <f t="shared" si="391"/>
        <v>#REF!</v>
      </c>
      <c r="E154" s="168" t="str">
        <f t="shared" si="391"/>
        <v>#REF!</v>
      </c>
      <c r="F154" s="168" t="str">
        <f t="shared" si="391"/>
        <v>#REF!</v>
      </c>
      <c r="G154" s="168" t="str">
        <f t="shared" si="391"/>
        <v>#REF!</v>
      </c>
      <c r="H154" s="168" t="str">
        <f t="shared" si="391"/>
        <v>#REF!</v>
      </c>
      <c r="I154" s="168" t="str">
        <f t="shared" si="391"/>
        <v>#REF!</v>
      </c>
      <c r="J154" s="168" t="str">
        <f t="shared" si="391"/>
        <v>#REF!</v>
      </c>
      <c r="K154" s="168" t="str">
        <f t="shared" si="391"/>
        <v>#REF!</v>
      </c>
      <c r="L154" s="168" t="str">
        <f t="shared" si="391"/>
        <v>#REF!</v>
      </c>
      <c r="M154" s="168" t="str">
        <f t="shared" si="391"/>
        <v>#REF!</v>
      </c>
      <c r="N154" s="168" t="str">
        <f t="shared" si="391"/>
        <v>#REF!</v>
      </c>
      <c r="O154" s="168" t="str">
        <f t="shared" si="391"/>
        <v>#REF!</v>
      </c>
      <c r="P154" s="168" t="str">
        <f t="shared" si="391"/>
        <v>#REF!</v>
      </c>
      <c r="Q154" s="168" t="str">
        <f t="shared" si="391"/>
        <v>#REF!</v>
      </c>
      <c r="R154" s="168" t="str">
        <f t="shared" si="391"/>
        <v>#REF!</v>
      </c>
      <c r="S154" s="168" t="str">
        <f t="shared" si="391"/>
        <v>#REF!</v>
      </c>
      <c r="T154" s="168" t="str">
        <f t="shared" si="391"/>
        <v>#REF!</v>
      </c>
      <c r="U154" s="168" t="str">
        <f t="shared" ref="U154:AJ154" si="392">#REF!</f>
        <v>#REF!</v>
      </c>
      <c r="V154" s="168" t="str">
        <f t="shared" si="392"/>
        <v>#REF!</v>
      </c>
      <c r="W154" s="168" t="str">
        <f t="shared" si="392"/>
        <v>#REF!</v>
      </c>
      <c r="X154" s="168" t="str">
        <f t="shared" si="392"/>
        <v>#REF!</v>
      </c>
      <c r="Y154" s="168" t="str">
        <f t="shared" si="392"/>
        <v>#REF!</v>
      </c>
      <c r="Z154" s="168" t="str">
        <f t="shared" si="392"/>
        <v>#REF!</v>
      </c>
      <c r="AA154" s="168" t="str">
        <f t="shared" si="392"/>
        <v>#REF!</v>
      </c>
      <c r="AB154" s="168" t="str">
        <f t="shared" si="392"/>
        <v>#REF!</v>
      </c>
      <c r="AC154" s="168" t="str">
        <f t="shared" si="392"/>
        <v>#REF!</v>
      </c>
      <c r="AD154" s="168" t="str">
        <f t="shared" si="392"/>
        <v>#REF!</v>
      </c>
      <c r="AE154" s="168" t="str">
        <f t="shared" si="392"/>
        <v>#REF!</v>
      </c>
      <c r="AF154" s="168" t="str">
        <f t="shared" si="392"/>
        <v>#REF!</v>
      </c>
      <c r="AG154" s="168" t="str">
        <f t="shared" si="392"/>
        <v>#REF!</v>
      </c>
      <c r="AH154" s="168" t="str">
        <f t="shared" si="392"/>
        <v>#REF!</v>
      </c>
      <c r="AI154" s="168" t="str">
        <f t="shared" si="392"/>
        <v>#REF!</v>
      </c>
      <c r="AJ154" s="168" t="str">
        <f t="shared" si="392"/>
        <v>#REF!</v>
      </c>
    </row>
    <row r="155" ht="15.75" customHeight="1">
      <c r="A155" s="168" t="str">
        <f t="shared" ref="A155:T155" si="393">if(#REF!=$D$1,#REF!,"")</f>
        <v>#REF!</v>
      </c>
      <c r="B155" s="168" t="str">
        <f t="shared" si="393"/>
        <v>#REF!</v>
      </c>
      <c r="C155" s="168" t="str">
        <f t="shared" si="393"/>
        <v>#REF!</v>
      </c>
      <c r="D155" s="168" t="str">
        <f t="shared" si="393"/>
        <v>#REF!</v>
      </c>
      <c r="E155" s="168" t="str">
        <f t="shared" si="393"/>
        <v>#REF!</v>
      </c>
      <c r="F155" s="168" t="str">
        <f t="shared" si="393"/>
        <v>#REF!</v>
      </c>
      <c r="G155" s="168" t="str">
        <f t="shared" si="393"/>
        <v>#REF!</v>
      </c>
      <c r="H155" s="168" t="str">
        <f t="shared" si="393"/>
        <v>#REF!</v>
      </c>
      <c r="I155" s="168" t="str">
        <f t="shared" si="393"/>
        <v>#REF!</v>
      </c>
      <c r="J155" s="168" t="str">
        <f t="shared" si="393"/>
        <v>#REF!</v>
      </c>
      <c r="K155" s="168" t="str">
        <f t="shared" si="393"/>
        <v>#REF!</v>
      </c>
      <c r="L155" s="168" t="str">
        <f t="shared" si="393"/>
        <v>#REF!</v>
      </c>
      <c r="M155" s="168" t="str">
        <f t="shared" si="393"/>
        <v>#REF!</v>
      </c>
      <c r="N155" s="168" t="str">
        <f t="shared" si="393"/>
        <v>#REF!</v>
      </c>
      <c r="O155" s="168" t="str">
        <f t="shared" si="393"/>
        <v>#REF!</v>
      </c>
      <c r="P155" s="168" t="str">
        <f t="shared" si="393"/>
        <v>#REF!</v>
      </c>
      <c r="Q155" s="168" t="str">
        <f t="shared" si="393"/>
        <v>#REF!</v>
      </c>
      <c r="R155" s="168" t="str">
        <f t="shared" si="393"/>
        <v>#REF!</v>
      </c>
      <c r="S155" s="168" t="str">
        <f t="shared" si="393"/>
        <v>#REF!</v>
      </c>
      <c r="T155" s="168" t="str">
        <f t="shared" si="393"/>
        <v>#REF!</v>
      </c>
      <c r="U155" s="168" t="str">
        <f t="shared" ref="U155:AJ155" si="394">#REF!</f>
        <v>#REF!</v>
      </c>
      <c r="V155" s="168" t="str">
        <f t="shared" si="394"/>
        <v>#REF!</v>
      </c>
      <c r="W155" s="168" t="str">
        <f t="shared" si="394"/>
        <v>#REF!</v>
      </c>
      <c r="X155" s="168" t="str">
        <f t="shared" si="394"/>
        <v>#REF!</v>
      </c>
      <c r="Y155" s="168" t="str">
        <f t="shared" si="394"/>
        <v>#REF!</v>
      </c>
      <c r="Z155" s="168" t="str">
        <f t="shared" si="394"/>
        <v>#REF!</v>
      </c>
      <c r="AA155" s="168" t="str">
        <f t="shared" si="394"/>
        <v>#REF!</v>
      </c>
      <c r="AB155" s="168" t="str">
        <f t="shared" si="394"/>
        <v>#REF!</v>
      </c>
      <c r="AC155" s="168" t="str">
        <f t="shared" si="394"/>
        <v>#REF!</v>
      </c>
      <c r="AD155" s="168" t="str">
        <f t="shared" si="394"/>
        <v>#REF!</v>
      </c>
      <c r="AE155" s="168" t="str">
        <f t="shared" si="394"/>
        <v>#REF!</v>
      </c>
      <c r="AF155" s="168" t="str">
        <f t="shared" si="394"/>
        <v>#REF!</v>
      </c>
      <c r="AG155" s="168" t="str">
        <f t="shared" si="394"/>
        <v>#REF!</v>
      </c>
      <c r="AH155" s="168" t="str">
        <f t="shared" si="394"/>
        <v>#REF!</v>
      </c>
      <c r="AI155" s="168" t="str">
        <f t="shared" si="394"/>
        <v>#REF!</v>
      </c>
      <c r="AJ155" s="168" t="str">
        <f t="shared" si="394"/>
        <v>#REF!</v>
      </c>
    </row>
    <row r="156" ht="15.75" customHeight="1">
      <c r="A156" s="168" t="str">
        <f t="shared" ref="A156:T156" si="395">if(#REF!=$D$1,#REF!,"")</f>
        <v>#REF!</v>
      </c>
      <c r="B156" s="168" t="str">
        <f t="shared" si="395"/>
        <v>#REF!</v>
      </c>
      <c r="C156" s="168" t="str">
        <f t="shared" si="395"/>
        <v>#REF!</v>
      </c>
      <c r="D156" s="168" t="str">
        <f t="shared" si="395"/>
        <v>#REF!</v>
      </c>
      <c r="E156" s="168" t="str">
        <f t="shared" si="395"/>
        <v>#REF!</v>
      </c>
      <c r="F156" s="168" t="str">
        <f t="shared" si="395"/>
        <v>#REF!</v>
      </c>
      <c r="G156" s="168" t="str">
        <f t="shared" si="395"/>
        <v>#REF!</v>
      </c>
      <c r="H156" s="168" t="str">
        <f t="shared" si="395"/>
        <v>#REF!</v>
      </c>
      <c r="I156" s="168" t="str">
        <f t="shared" si="395"/>
        <v>#REF!</v>
      </c>
      <c r="J156" s="168" t="str">
        <f t="shared" si="395"/>
        <v>#REF!</v>
      </c>
      <c r="K156" s="168" t="str">
        <f t="shared" si="395"/>
        <v>#REF!</v>
      </c>
      <c r="L156" s="168" t="str">
        <f t="shared" si="395"/>
        <v>#REF!</v>
      </c>
      <c r="M156" s="168" t="str">
        <f t="shared" si="395"/>
        <v>#REF!</v>
      </c>
      <c r="N156" s="168" t="str">
        <f t="shared" si="395"/>
        <v>#REF!</v>
      </c>
      <c r="O156" s="168" t="str">
        <f t="shared" si="395"/>
        <v>#REF!</v>
      </c>
      <c r="P156" s="168" t="str">
        <f t="shared" si="395"/>
        <v>#REF!</v>
      </c>
      <c r="Q156" s="168" t="str">
        <f t="shared" si="395"/>
        <v>#REF!</v>
      </c>
      <c r="R156" s="168" t="str">
        <f t="shared" si="395"/>
        <v>#REF!</v>
      </c>
      <c r="S156" s="168" t="str">
        <f t="shared" si="395"/>
        <v>#REF!</v>
      </c>
      <c r="T156" s="168" t="str">
        <f t="shared" si="395"/>
        <v>#REF!</v>
      </c>
      <c r="U156" s="168" t="str">
        <f t="shared" ref="U156:AJ156" si="396">#REF!</f>
        <v>#REF!</v>
      </c>
      <c r="V156" s="168" t="str">
        <f t="shared" si="396"/>
        <v>#REF!</v>
      </c>
      <c r="W156" s="168" t="str">
        <f t="shared" si="396"/>
        <v>#REF!</v>
      </c>
      <c r="X156" s="168" t="str">
        <f t="shared" si="396"/>
        <v>#REF!</v>
      </c>
      <c r="Y156" s="168" t="str">
        <f t="shared" si="396"/>
        <v>#REF!</v>
      </c>
      <c r="Z156" s="168" t="str">
        <f t="shared" si="396"/>
        <v>#REF!</v>
      </c>
      <c r="AA156" s="168" t="str">
        <f t="shared" si="396"/>
        <v>#REF!</v>
      </c>
      <c r="AB156" s="168" t="str">
        <f t="shared" si="396"/>
        <v>#REF!</v>
      </c>
      <c r="AC156" s="168" t="str">
        <f t="shared" si="396"/>
        <v>#REF!</v>
      </c>
      <c r="AD156" s="168" t="str">
        <f t="shared" si="396"/>
        <v>#REF!</v>
      </c>
      <c r="AE156" s="168" t="str">
        <f t="shared" si="396"/>
        <v>#REF!</v>
      </c>
      <c r="AF156" s="168" t="str">
        <f t="shared" si="396"/>
        <v>#REF!</v>
      </c>
      <c r="AG156" s="168" t="str">
        <f t="shared" si="396"/>
        <v>#REF!</v>
      </c>
      <c r="AH156" s="168" t="str">
        <f t="shared" si="396"/>
        <v>#REF!</v>
      </c>
      <c r="AI156" s="168" t="str">
        <f t="shared" si="396"/>
        <v>#REF!</v>
      </c>
      <c r="AJ156" s="168" t="str">
        <f t="shared" si="396"/>
        <v>#REF!</v>
      </c>
    </row>
    <row r="157" ht="15.75" customHeight="1">
      <c r="A157" s="168" t="str">
        <f t="shared" ref="A157:T157" si="397">if(#REF!=$D$1,#REF!,"")</f>
        <v>#REF!</v>
      </c>
      <c r="B157" s="168" t="str">
        <f t="shared" si="397"/>
        <v>#REF!</v>
      </c>
      <c r="C157" s="168" t="str">
        <f t="shared" si="397"/>
        <v>#REF!</v>
      </c>
      <c r="D157" s="168" t="str">
        <f t="shared" si="397"/>
        <v>#REF!</v>
      </c>
      <c r="E157" s="168" t="str">
        <f t="shared" si="397"/>
        <v>#REF!</v>
      </c>
      <c r="F157" s="168" t="str">
        <f t="shared" si="397"/>
        <v>#REF!</v>
      </c>
      <c r="G157" s="168" t="str">
        <f t="shared" si="397"/>
        <v>#REF!</v>
      </c>
      <c r="H157" s="168" t="str">
        <f t="shared" si="397"/>
        <v>#REF!</v>
      </c>
      <c r="I157" s="168" t="str">
        <f t="shared" si="397"/>
        <v>#REF!</v>
      </c>
      <c r="J157" s="168" t="str">
        <f t="shared" si="397"/>
        <v>#REF!</v>
      </c>
      <c r="K157" s="168" t="str">
        <f t="shared" si="397"/>
        <v>#REF!</v>
      </c>
      <c r="L157" s="168" t="str">
        <f t="shared" si="397"/>
        <v>#REF!</v>
      </c>
      <c r="M157" s="168" t="str">
        <f t="shared" si="397"/>
        <v>#REF!</v>
      </c>
      <c r="N157" s="168" t="str">
        <f t="shared" si="397"/>
        <v>#REF!</v>
      </c>
      <c r="O157" s="168" t="str">
        <f t="shared" si="397"/>
        <v>#REF!</v>
      </c>
      <c r="P157" s="168" t="str">
        <f t="shared" si="397"/>
        <v>#REF!</v>
      </c>
      <c r="Q157" s="168" t="str">
        <f t="shared" si="397"/>
        <v>#REF!</v>
      </c>
      <c r="R157" s="168" t="str">
        <f t="shared" si="397"/>
        <v>#REF!</v>
      </c>
      <c r="S157" s="168" t="str">
        <f t="shared" si="397"/>
        <v>#REF!</v>
      </c>
      <c r="T157" s="168" t="str">
        <f t="shared" si="397"/>
        <v>#REF!</v>
      </c>
      <c r="U157" s="168" t="str">
        <f t="shared" ref="U157:AJ157" si="398">#REF!</f>
        <v>#REF!</v>
      </c>
      <c r="V157" s="168" t="str">
        <f t="shared" si="398"/>
        <v>#REF!</v>
      </c>
      <c r="W157" s="168" t="str">
        <f t="shared" si="398"/>
        <v>#REF!</v>
      </c>
      <c r="X157" s="168" t="str">
        <f t="shared" si="398"/>
        <v>#REF!</v>
      </c>
      <c r="Y157" s="168" t="str">
        <f t="shared" si="398"/>
        <v>#REF!</v>
      </c>
      <c r="Z157" s="168" t="str">
        <f t="shared" si="398"/>
        <v>#REF!</v>
      </c>
      <c r="AA157" s="168" t="str">
        <f t="shared" si="398"/>
        <v>#REF!</v>
      </c>
      <c r="AB157" s="168" t="str">
        <f t="shared" si="398"/>
        <v>#REF!</v>
      </c>
      <c r="AC157" s="168" t="str">
        <f t="shared" si="398"/>
        <v>#REF!</v>
      </c>
      <c r="AD157" s="168" t="str">
        <f t="shared" si="398"/>
        <v>#REF!</v>
      </c>
      <c r="AE157" s="168" t="str">
        <f t="shared" si="398"/>
        <v>#REF!</v>
      </c>
      <c r="AF157" s="168" t="str">
        <f t="shared" si="398"/>
        <v>#REF!</v>
      </c>
      <c r="AG157" s="168" t="str">
        <f t="shared" si="398"/>
        <v>#REF!</v>
      </c>
      <c r="AH157" s="168" t="str">
        <f t="shared" si="398"/>
        <v>#REF!</v>
      </c>
      <c r="AI157" s="168" t="str">
        <f t="shared" si="398"/>
        <v>#REF!</v>
      </c>
      <c r="AJ157" s="168" t="str">
        <f t="shared" si="398"/>
        <v>#REF!</v>
      </c>
    </row>
    <row r="158" ht="15.75" customHeight="1">
      <c r="A158" s="168" t="str">
        <f t="shared" ref="A158:T158" si="399">if(#REF!=$D$1,#REF!,"")</f>
        <v>#REF!</v>
      </c>
      <c r="B158" s="168" t="str">
        <f t="shared" si="399"/>
        <v>#REF!</v>
      </c>
      <c r="C158" s="168" t="str">
        <f t="shared" si="399"/>
        <v>#REF!</v>
      </c>
      <c r="D158" s="168" t="str">
        <f t="shared" si="399"/>
        <v>#REF!</v>
      </c>
      <c r="E158" s="168" t="str">
        <f t="shared" si="399"/>
        <v>#REF!</v>
      </c>
      <c r="F158" s="168" t="str">
        <f t="shared" si="399"/>
        <v>#REF!</v>
      </c>
      <c r="G158" s="168" t="str">
        <f t="shared" si="399"/>
        <v>#REF!</v>
      </c>
      <c r="H158" s="168" t="str">
        <f t="shared" si="399"/>
        <v>#REF!</v>
      </c>
      <c r="I158" s="168" t="str">
        <f t="shared" si="399"/>
        <v>#REF!</v>
      </c>
      <c r="J158" s="168" t="str">
        <f t="shared" si="399"/>
        <v>#REF!</v>
      </c>
      <c r="K158" s="168" t="str">
        <f t="shared" si="399"/>
        <v>#REF!</v>
      </c>
      <c r="L158" s="168" t="str">
        <f t="shared" si="399"/>
        <v>#REF!</v>
      </c>
      <c r="M158" s="168" t="str">
        <f t="shared" si="399"/>
        <v>#REF!</v>
      </c>
      <c r="N158" s="168" t="str">
        <f t="shared" si="399"/>
        <v>#REF!</v>
      </c>
      <c r="O158" s="168" t="str">
        <f t="shared" si="399"/>
        <v>#REF!</v>
      </c>
      <c r="P158" s="168" t="str">
        <f t="shared" si="399"/>
        <v>#REF!</v>
      </c>
      <c r="Q158" s="168" t="str">
        <f t="shared" si="399"/>
        <v>#REF!</v>
      </c>
      <c r="R158" s="168" t="str">
        <f t="shared" si="399"/>
        <v>#REF!</v>
      </c>
      <c r="S158" s="168" t="str">
        <f t="shared" si="399"/>
        <v>#REF!</v>
      </c>
      <c r="T158" s="168" t="str">
        <f t="shared" si="399"/>
        <v>#REF!</v>
      </c>
      <c r="U158" s="168" t="str">
        <f t="shared" ref="U158:AJ158" si="400">#REF!</f>
        <v>#REF!</v>
      </c>
      <c r="V158" s="168" t="str">
        <f t="shared" si="400"/>
        <v>#REF!</v>
      </c>
      <c r="W158" s="168" t="str">
        <f t="shared" si="400"/>
        <v>#REF!</v>
      </c>
      <c r="X158" s="168" t="str">
        <f t="shared" si="400"/>
        <v>#REF!</v>
      </c>
      <c r="Y158" s="168" t="str">
        <f t="shared" si="400"/>
        <v>#REF!</v>
      </c>
      <c r="Z158" s="168" t="str">
        <f t="shared" si="400"/>
        <v>#REF!</v>
      </c>
      <c r="AA158" s="168" t="str">
        <f t="shared" si="400"/>
        <v>#REF!</v>
      </c>
      <c r="AB158" s="168" t="str">
        <f t="shared" si="400"/>
        <v>#REF!</v>
      </c>
      <c r="AC158" s="168" t="str">
        <f t="shared" si="400"/>
        <v>#REF!</v>
      </c>
      <c r="AD158" s="168" t="str">
        <f t="shared" si="400"/>
        <v>#REF!</v>
      </c>
      <c r="AE158" s="168" t="str">
        <f t="shared" si="400"/>
        <v>#REF!</v>
      </c>
      <c r="AF158" s="168" t="str">
        <f t="shared" si="400"/>
        <v>#REF!</v>
      </c>
      <c r="AG158" s="168" t="str">
        <f t="shared" si="400"/>
        <v>#REF!</v>
      </c>
      <c r="AH158" s="168" t="str">
        <f t="shared" si="400"/>
        <v>#REF!</v>
      </c>
      <c r="AI158" s="168" t="str">
        <f t="shared" si="400"/>
        <v>#REF!</v>
      </c>
      <c r="AJ158" s="168" t="str">
        <f t="shared" si="400"/>
        <v>#REF!</v>
      </c>
    </row>
    <row r="159" ht="15.75" customHeight="1">
      <c r="A159" s="168" t="str">
        <f t="shared" ref="A159:T159" si="401">if(#REF!=$D$1,#REF!,"")</f>
        <v>#REF!</v>
      </c>
      <c r="B159" s="168" t="str">
        <f t="shared" si="401"/>
        <v>#REF!</v>
      </c>
      <c r="C159" s="168" t="str">
        <f t="shared" si="401"/>
        <v>#REF!</v>
      </c>
      <c r="D159" s="168" t="str">
        <f t="shared" si="401"/>
        <v>#REF!</v>
      </c>
      <c r="E159" s="168" t="str">
        <f t="shared" si="401"/>
        <v>#REF!</v>
      </c>
      <c r="F159" s="168" t="str">
        <f t="shared" si="401"/>
        <v>#REF!</v>
      </c>
      <c r="G159" s="168" t="str">
        <f t="shared" si="401"/>
        <v>#REF!</v>
      </c>
      <c r="H159" s="168" t="str">
        <f t="shared" si="401"/>
        <v>#REF!</v>
      </c>
      <c r="I159" s="168" t="str">
        <f t="shared" si="401"/>
        <v>#REF!</v>
      </c>
      <c r="J159" s="168" t="str">
        <f t="shared" si="401"/>
        <v>#REF!</v>
      </c>
      <c r="K159" s="168" t="str">
        <f t="shared" si="401"/>
        <v>#REF!</v>
      </c>
      <c r="L159" s="168" t="str">
        <f t="shared" si="401"/>
        <v>#REF!</v>
      </c>
      <c r="M159" s="168" t="str">
        <f t="shared" si="401"/>
        <v>#REF!</v>
      </c>
      <c r="N159" s="168" t="str">
        <f t="shared" si="401"/>
        <v>#REF!</v>
      </c>
      <c r="O159" s="168" t="str">
        <f t="shared" si="401"/>
        <v>#REF!</v>
      </c>
      <c r="P159" s="168" t="str">
        <f t="shared" si="401"/>
        <v>#REF!</v>
      </c>
      <c r="Q159" s="168" t="str">
        <f t="shared" si="401"/>
        <v>#REF!</v>
      </c>
      <c r="R159" s="168" t="str">
        <f t="shared" si="401"/>
        <v>#REF!</v>
      </c>
      <c r="S159" s="168" t="str">
        <f t="shared" si="401"/>
        <v>#REF!</v>
      </c>
      <c r="T159" s="168" t="str">
        <f t="shared" si="401"/>
        <v>#REF!</v>
      </c>
      <c r="U159" s="168" t="str">
        <f t="shared" ref="U159:AJ159" si="402">#REF!</f>
        <v>#REF!</v>
      </c>
      <c r="V159" s="168" t="str">
        <f t="shared" si="402"/>
        <v>#REF!</v>
      </c>
      <c r="W159" s="168" t="str">
        <f t="shared" si="402"/>
        <v>#REF!</v>
      </c>
      <c r="X159" s="168" t="str">
        <f t="shared" si="402"/>
        <v>#REF!</v>
      </c>
      <c r="Y159" s="168" t="str">
        <f t="shared" si="402"/>
        <v>#REF!</v>
      </c>
      <c r="Z159" s="168" t="str">
        <f t="shared" si="402"/>
        <v>#REF!</v>
      </c>
      <c r="AA159" s="168" t="str">
        <f t="shared" si="402"/>
        <v>#REF!</v>
      </c>
      <c r="AB159" s="168" t="str">
        <f t="shared" si="402"/>
        <v>#REF!</v>
      </c>
      <c r="AC159" s="168" t="str">
        <f t="shared" si="402"/>
        <v>#REF!</v>
      </c>
      <c r="AD159" s="168" t="str">
        <f t="shared" si="402"/>
        <v>#REF!</v>
      </c>
      <c r="AE159" s="168" t="str">
        <f t="shared" si="402"/>
        <v>#REF!</v>
      </c>
      <c r="AF159" s="168" t="str">
        <f t="shared" si="402"/>
        <v>#REF!</v>
      </c>
      <c r="AG159" s="168" t="str">
        <f t="shared" si="402"/>
        <v>#REF!</v>
      </c>
      <c r="AH159" s="168" t="str">
        <f t="shared" si="402"/>
        <v>#REF!</v>
      </c>
      <c r="AI159" s="168" t="str">
        <f t="shared" si="402"/>
        <v>#REF!</v>
      </c>
      <c r="AJ159" s="168" t="str">
        <f t="shared" si="402"/>
        <v>#REF!</v>
      </c>
    </row>
    <row r="160" ht="15.75" customHeight="1">
      <c r="A160" s="168" t="str">
        <f t="shared" ref="A160:T160" si="403">if(#REF!=$D$1,#REF!,"")</f>
        <v>#REF!</v>
      </c>
      <c r="B160" s="168" t="str">
        <f t="shared" si="403"/>
        <v>#REF!</v>
      </c>
      <c r="C160" s="168" t="str">
        <f t="shared" si="403"/>
        <v>#REF!</v>
      </c>
      <c r="D160" s="168" t="str">
        <f t="shared" si="403"/>
        <v>#REF!</v>
      </c>
      <c r="E160" s="168" t="str">
        <f t="shared" si="403"/>
        <v>#REF!</v>
      </c>
      <c r="F160" s="168" t="str">
        <f t="shared" si="403"/>
        <v>#REF!</v>
      </c>
      <c r="G160" s="168" t="str">
        <f t="shared" si="403"/>
        <v>#REF!</v>
      </c>
      <c r="H160" s="168" t="str">
        <f t="shared" si="403"/>
        <v>#REF!</v>
      </c>
      <c r="I160" s="168" t="str">
        <f t="shared" si="403"/>
        <v>#REF!</v>
      </c>
      <c r="J160" s="168" t="str">
        <f t="shared" si="403"/>
        <v>#REF!</v>
      </c>
      <c r="K160" s="168" t="str">
        <f t="shared" si="403"/>
        <v>#REF!</v>
      </c>
      <c r="L160" s="168" t="str">
        <f t="shared" si="403"/>
        <v>#REF!</v>
      </c>
      <c r="M160" s="168" t="str">
        <f t="shared" si="403"/>
        <v>#REF!</v>
      </c>
      <c r="N160" s="168" t="str">
        <f t="shared" si="403"/>
        <v>#REF!</v>
      </c>
      <c r="O160" s="168" t="str">
        <f t="shared" si="403"/>
        <v>#REF!</v>
      </c>
      <c r="P160" s="168" t="str">
        <f t="shared" si="403"/>
        <v>#REF!</v>
      </c>
      <c r="Q160" s="168" t="str">
        <f t="shared" si="403"/>
        <v>#REF!</v>
      </c>
      <c r="R160" s="168" t="str">
        <f t="shared" si="403"/>
        <v>#REF!</v>
      </c>
      <c r="S160" s="168" t="str">
        <f t="shared" si="403"/>
        <v>#REF!</v>
      </c>
      <c r="T160" s="168" t="str">
        <f t="shared" si="403"/>
        <v>#REF!</v>
      </c>
      <c r="U160" s="168" t="str">
        <f t="shared" ref="U160:AJ160" si="404">#REF!</f>
        <v>#REF!</v>
      </c>
      <c r="V160" s="168" t="str">
        <f t="shared" si="404"/>
        <v>#REF!</v>
      </c>
      <c r="W160" s="168" t="str">
        <f t="shared" si="404"/>
        <v>#REF!</v>
      </c>
      <c r="X160" s="168" t="str">
        <f t="shared" si="404"/>
        <v>#REF!</v>
      </c>
      <c r="Y160" s="168" t="str">
        <f t="shared" si="404"/>
        <v>#REF!</v>
      </c>
      <c r="Z160" s="168" t="str">
        <f t="shared" si="404"/>
        <v>#REF!</v>
      </c>
      <c r="AA160" s="168" t="str">
        <f t="shared" si="404"/>
        <v>#REF!</v>
      </c>
      <c r="AB160" s="168" t="str">
        <f t="shared" si="404"/>
        <v>#REF!</v>
      </c>
      <c r="AC160" s="168" t="str">
        <f t="shared" si="404"/>
        <v>#REF!</v>
      </c>
      <c r="AD160" s="168" t="str">
        <f t="shared" si="404"/>
        <v>#REF!</v>
      </c>
      <c r="AE160" s="168" t="str">
        <f t="shared" si="404"/>
        <v>#REF!</v>
      </c>
      <c r="AF160" s="168" t="str">
        <f t="shared" si="404"/>
        <v>#REF!</v>
      </c>
      <c r="AG160" s="168" t="str">
        <f t="shared" si="404"/>
        <v>#REF!</v>
      </c>
      <c r="AH160" s="168" t="str">
        <f t="shared" si="404"/>
        <v>#REF!</v>
      </c>
      <c r="AI160" s="168" t="str">
        <f t="shared" si="404"/>
        <v>#REF!</v>
      </c>
      <c r="AJ160" s="168" t="str">
        <f t="shared" si="404"/>
        <v>#REF!</v>
      </c>
    </row>
    <row r="161" ht="15.75" customHeight="1">
      <c r="A161" s="168" t="str">
        <f t="shared" ref="A161:T161" si="405">if(#REF!=$D$1,#REF!,"")</f>
        <v>#REF!</v>
      </c>
      <c r="B161" s="168" t="str">
        <f t="shared" si="405"/>
        <v>#REF!</v>
      </c>
      <c r="C161" s="168" t="str">
        <f t="shared" si="405"/>
        <v>#REF!</v>
      </c>
      <c r="D161" s="168" t="str">
        <f t="shared" si="405"/>
        <v>#REF!</v>
      </c>
      <c r="E161" s="168" t="str">
        <f t="shared" si="405"/>
        <v>#REF!</v>
      </c>
      <c r="F161" s="168" t="str">
        <f t="shared" si="405"/>
        <v>#REF!</v>
      </c>
      <c r="G161" s="168" t="str">
        <f t="shared" si="405"/>
        <v>#REF!</v>
      </c>
      <c r="H161" s="168" t="str">
        <f t="shared" si="405"/>
        <v>#REF!</v>
      </c>
      <c r="I161" s="168" t="str">
        <f t="shared" si="405"/>
        <v>#REF!</v>
      </c>
      <c r="J161" s="168" t="str">
        <f t="shared" si="405"/>
        <v>#REF!</v>
      </c>
      <c r="K161" s="168" t="str">
        <f t="shared" si="405"/>
        <v>#REF!</v>
      </c>
      <c r="L161" s="168" t="str">
        <f t="shared" si="405"/>
        <v>#REF!</v>
      </c>
      <c r="M161" s="168" t="str">
        <f t="shared" si="405"/>
        <v>#REF!</v>
      </c>
      <c r="N161" s="168" t="str">
        <f t="shared" si="405"/>
        <v>#REF!</v>
      </c>
      <c r="O161" s="168" t="str">
        <f t="shared" si="405"/>
        <v>#REF!</v>
      </c>
      <c r="P161" s="168" t="str">
        <f t="shared" si="405"/>
        <v>#REF!</v>
      </c>
      <c r="Q161" s="168" t="str">
        <f t="shared" si="405"/>
        <v>#REF!</v>
      </c>
      <c r="R161" s="168" t="str">
        <f t="shared" si="405"/>
        <v>#REF!</v>
      </c>
      <c r="S161" s="168" t="str">
        <f t="shared" si="405"/>
        <v>#REF!</v>
      </c>
      <c r="T161" s="168" t="str">
        <f t="shared" si="405"/>
        <v>#REF!</v>
      </c>
      <c r="U161" s="168" t="str">
        <f t="shared" ref="U161:AJ161" si="406">#REF!</f>
        <v>#REF!</v>
      </c>
      <c r="V161" s="168" t="str">
        <f t="shared" si="406"/>
        <v>#REF!</v>
      </c>
      <c r="W161" s="168" t="str">
        <f t="shared" si="406"/>
        <v>#REF!</v>
      </c>
      <c r="X161" s="168" t="str">
        <f t="shared" si="406"/>
        <v>#REF!</v>
      </c>
      <c r="Y161" s="168" t="str">
        <f t="shared" si="406"/>
        <v>#REF!</v>
      </c>
      <c r="Z161" s="168" t="str">
        <f t="shared" si="406"/>
        <v>#REF!</v>
      </c>
      <c r="AA161" s="168" t="str">
        <f t="shared" si="406"/>
        <v>#REF!</v>
      </c>
      <c r="AB161" s="168" t="str">
        <f t="shared" si="406"/>
        <v>#REF!</v>
      </c>
      <c r="AC161" s="168" t="str">
        <f t="shared" si="406"/>
        <v>#REF!</v>
      </c>
      <c r="AD161" s="168" t="str">
        <f t="shared" si="406"/>
        <v>#REF!</v>
      </c>
      <c r="AE161" s="168" t="str">
        <f t="shared" si="406"/>
        <v>#REF!</v>
      </c>
      <c r="AF161" s="168" t="str">
        <f t="shared" si="406"/>
        <v>#REF!</v>
      </c>
      <c r="AG161" s="168" t="str">
        <f t="shared" si="406"/>
        <v>#REF!</v>
      </c>
      <c r="AH161" s="168" t="str">
        <f t="shared" si="406"/>
        <v>#REF!</v>
      </c>
      <c r="AI161" s="168" t="str">
        <f t="shared" si="406"/>
        <v>#REF!</v>
      </c>
      <c r="AJ161" s="168" t="str">
        <f t="shared" si="406"/>
        <v>#REF!</v>
      </c>
    </row>
    <row r="162" ht="15.75" customHeight="1">
      <c r="A162" s="168" t="str">
        <f t="shared" ref="A162:T162" si="407">if(#REF!=$D$1,#REF!,"")</f>
        <v>#REF!</v>
      </c>
      <c r="B162" s="168" t="str">
        <f t="shared" si="407"/>
        <v>#REF!</v>
      </c>
      <c r="C162" s="168" t="str">
        <f t="shared" si="407"/>
        <v>#REF!</v>
      </c>
      <c r="D162" s="168" t="str">
        <f t="shared" si="407"/>
        <v>#REF!</v>
      </c>
      <c r="E162" s="168" t="str">
        <f t="shared" si="407"/>
        <v>#REF!</v>
      </c>
      <c r="F162" s="168" t="str">
        <f t="shared" si="407"/>
        <v>#REF!</v>
      </c>
      <c r="G162" s="168" t="str">
        <f t="shared" si="407"/>
        <v>#REF!</v>
      </c>
      <c r="H162" s="168" t="str">
        <f t="shared" si="407"/>
        <v>#REF!</v>
      </c>
      <c r="I162" s="168" t="str">
        <f t="shared" si="407"/>
        <v>#REF!</v>
      </c>
      <c r="J162" s="168" t="str">
        <f t="shared" si="407"/>
        <v>#REF!</v>
      </c>
      <c r="K162" s="168" t="str">
        <f t="shared" si="407"/>
        <v>#REF!</v>
      </c>
      <c r="L162" s="168" t="str">
        <f t="shared" si="407"/>
        <v>#REF!</v>
      </c>
      <c r="M162" s="168" t="str">
        <f t="shared" si="407"/>
        <v>#REF!</v>
      </c>
      <c r="N162" s="168" t="str">
        <f t="shared" si="407"/>
        <v>#REF!</v>
      </c>
      <c r="O162" s="168" t="str">
        <f t="shared" si="407"/>
        <v>#REF!</v>
      </c>
      <c r="P162" s="168" t="str">
        <f t="shared" si="407"/>
        <v>#REF!</v>
      </c>
      <c r="Q162" s="168" t="str">
        <f t="shared" si="407"/>
        <v>#REF!</v>
      </c>
      <c r="R162" s="168" t="str">
        <f t="shared" si="407"/>
        <v>#REF!</v>
      </c>
      <c r="S162" s="168" t="str">
        <f t="shared" si="407"/>
        <v>#REF!</v>
      </c>
      <c r="T162" s="168" t="str">
        <f t="shared" si="407"/>
        <v>#REF!</v>
      </c>
      <c r="U162" s="168" t="str">
        <f t="shared" ref="U162:AJ162" si="408">#REF!</f>
        <v>#REF!</v>
      </c>
      <c r="V162" s="168" t="str">
        <f t="shared" si="408"/>
        <v>#REF!</v>
      </c>
      <c r="W162" s="168" t="str">
        <f t="shared" si="408"/>
        <v>#REF!</v>
      </c>
      <c r="X162" s="168" t="str">
        <f t="shared" si="408"/>
        <v>#REF!</v>
      </c>
      <c r="Y162" s="168" t="str">
        <f t="shared" si="408"/>
        <v>#REF!</v>
      </c>
      <c r="Z162" s="168" t="str">
        <f t="shared" si="408"/>
        <v>#REF!</v>
      </c>
      <c r="AA162" s="168" t="str">
        <f t="shared" si="408"/>
        <v>#REF!</v>
      </c>
      <c r="AB162" s="168" t="str">
        <f t="shared" si="408"/>
        <v>#REF!</v>
      </c>
      <c r="AC162" s="168" t="str">
        <f t="shared" si="408"/>
        <v>#REF!</v>
      </c>
      <c r="AD162" s="168" t="str">
        <f t="shared" si="408"/>
        <v>#REF!</v>
      </c>
      <c r="AE162" s="168" t="str">
        <f t="shared" si="408"/>
        <v>#REF!</v>
      </c>
      <c r="AF162" s="168" t="str">
        <f t="shared" si="408"/>
        <v>#REF!</v>
      </c>
      <c r="AG162" s="168" t="str">
        <f t="shared" si="408"/>
        <v>#REF!</v>
      </c>
      <c r="AH162" s="168" t="str">
        <f t="shared" si="408"/>
        <v>#REF!</v>
      </c>
      <c r="AI162" s="168" t="str">
        <f t="shared" si="408"/>
        <v>#REF!</v>
      </c>
      <c r="AJ162" s="168" t="str">
        <f t="shared" si="408"/>
        <v>#REF!</v>
      </c>
    </row>
    <row r="163" ht="15.75" customHeight="1">
      <c r="A163" s="168" t="str">
        <f t="shared" ref="A163:T163" si="409">if(#REF!=$D$1,#REF!,"")</f>
        <v>#REF!</v>
      </c>
      <c r="B163" s="168" t="str">
        <f t="shared" si="409"/>
        <v>#REF!</v>
      </c>
      <c r="C163" s="168" t="str">
        <f t="shared" si="409"/>
        <v>#REF!</v>
      </c>
      <c r="D163" s="168" t="str">
        <f t="shared" si="409"/>
        <v>#REF!</v>
      </c>
      <c r="E163" s="168" t="str">
        <f t="shared" si="409"/>
        <v>#REF!</v>
      </c>
      <c r="F163" s="168" t="str">
        <f t="shared" si="409"/>
        <v>#REF!</v>
      </c>
      <c r="G163" s="168" t="str">
        <f t="shared" si="409"/>
        <v>#REF!</v>
      </c>
      <c r="H163" s="168" t="str">
        <f t="shared" si="409"/>
        <v>#REF!</v>
      </c>
      <c r="I163" s="168" t="str">
        <f t="shared" si="409"/>
        <v>#REF!</v>
      </c>
      <c r="J163" s="168" t="str">
        <f t="shared" si="409"/>
        <v>#REF!</v>
      </c>
      <c r="K163" s="168" t="str">
        <f t="shared" si="409"/>
        <v>#REF!</v>
      </c>
      <c r="L163" s="168" t="str">
        <f t="shared" si="409"/>
        <v>#REF!</v>
      </c>
      <c r="M163" s="168" t="str">
        <f t="shared" si="409"/>
        <v>#REF!</v>
      </c>
      <c r="N163" s="168" t="str">
        <f t="shared" si="409"/>
        <v>#REF!</v>
      </c>
      <c r="O163" s="168" t="str">
        <f t="shared" si="409"/>
        <v>#REF!</v>
      </c>
      <c r="P163" s="168" t="str">
        <f t="shared" si="409"/>
        <v>#REF!</v>
      </c>
      <c r="Q163" s="168" t="str">
        <f t="shared" si="409"/>
        <v>#REF!</v>
      </c>
      <c r="R163" s="168" t="str">
        <f t="shared" si="409"/>
        <v>#REF!</v>
      </c>
      <c r="S163" s="168" t="str">
        <f t="shared" si="409"/>
        <v>#REF!</v>
      </c>
      <c r="T163" s="168" t="str">
        <f t="shared" si="409"/>
        <v>#REF!</v>
      </c>
      <c r="U163" s="168" t="str">
        <f t="shared" ref="U163:AJ163" si="410">#REF!</f>
        <v>#REF!</v>
      </c>
      <c r="V163" s="168" t="str">
        <f t="shared" si="410"/>
        <v>#REF!</v>
      </c>
      <c r="W163" s="168" t="str">
        <f t="shared" si="410"/>
        <v>#REF!</v>
      </c>
      <c r="X163" s="168" t="str">
        <f t="shared" si="410"/>
        <v>#REF!</v>
      </c>
      <c r="Y163" s="168" t="str">
        <f t="shared" si="410"/>
        <v>#REF!</v>
      </c>
      <c r="Z163" s="168" t="str">
        <f t="shared" si="410"/>
        <v>#REF!</v>
      </c>
      <c r="AA163" s="168" t="str">
        <f t="shared" si="410"/>
        <v>#REF!</v>
      </c>
      <c r="AB163" s="168" t="str">
        <f t="shared" si="410"/>
        <v>#REF!</v>
      </c>
      <c r="AC163" s="168" t="str">
        <f t="shared" si="410"/>
        <v>#REF!</v>
      </c>
      <c r="AD163" s="168" t="str">
        <f t="shared" si="410"/>
        <v>#REF!</v>
      </c>
      <c r="AE163" s="168" t="str">
        <f t="shared" si="410"/>
        <v>#REF!</v>
      </c>
      <c r="AF163" s="168" t="str">
        <f t="shared" si="410"/>
        <v>#REF!</v>
      </c>
      <c r="AG163" s="168" t="str">
        <f t="shared" si="410"/>
        <v>#REF!</v>
      </c>
      <c r="AH163" s="168" t="str">
        <f t="shared" si="410"/>
        <v>#REF!</v>
      </c>
      <c r="AI163" s="168" t="str">
        <f t="shared" si="410"/>
        <v>#REF!</v>
      </c>
      <c r="AJ163" s="168" t="str">
        <f t="shared" si="410"/>
        <v>#REF!</v>
      </c>
    </row>
    <row r="164" ht="15.75" customHeight="1">
      <c r="A164" s="168" t="str">
        <f t="shared" ref="A164:T164" si="411">if(#REF!=$D$1,#REF!,"")</f>
        <v>#REF!</v>
      </c>
      <c r="B164" s="168" t="str">
        <f t="shared" si="411"/>
        <v>#REF!</v>
      </c>
      <c r="C164" s="168" t="str">
        <f t="shared" si="411"/>
        <v>#REF!</v>
      </c>
      <c r="D164" s="168" t="str">
        <f t="shared" si="411"/>
        <v>#REF!</v>
      </c>
      <c r="E164" s="168" t="str">
        <f t="shared" si="411"/>
        <v>#REF!</v>
      </c>
      <c r="F164" s="168" t="str">
        <f t="shared" si="411"/>
        <v>#REF!</v>
      </c>
      <c r="G164" s="168" t="str">
        <f t="shared" si="411"/>
        <v>#REF!</v>
      </c>
      <c r="H164" s="168" t="str">
        <f t="shared" si="411"/>
        <v>#REF!</v>
      </c>
      <c r="I164" s="168" t="str">
        <f t="shared" si="411"/>
        <v>#REF!</v>
      </c>
      <c r="J164" s="168" t="str">
        <f t="shared" si="411"/>
        <v>#REF!</v>
      </c>
      <c r="K164" s="168" t="str">
        <f t="shared" si="411"/>
        <v>#REF!</v>
      </c>
      <c r="L164" s="168" t="str">
        <f t="shared" si="411"/>
        <v>#REF!</v>
      </c>
      <c r="M164" s="168" t="str">
        <f t="shared" si="411"/>
        <v>#REF!</v>
      </c>
      <c r="N164" s="168" t="str">
        <f t="shared" si="411"/>
        <v>#REF!</v>
      </c>
      <c r="O164" s="168" t="str">
        <f t="shared" si="411"/>
        <v>#REF!</v>
      </c>
      <c r="P164" s="168" t="str">
        <f t="shared" si="411"/>
        <v>#REF!</v>
      </c>
      <c r="Q164" s="168" t="str">
        <f t="shared" si="411"/>
        <v>#REF!</v>
      </c>
      <c r="R164" s="168" t="str">
        <f t="shared" si="411"/>
        <v>#REF!</v>
      </c>
      <c r="S164" s="168" t="str">
        <f t="shared" si="411"/>
        <v>#REF!</v>
      </c>
      <c r="T164" s="168" t="str">
        <f t="shared" si="411"/>
        <v>#REF!</v>
      </c>
      <c r="U164" s="168" t="str">
        <f t="shared" ref="U164:AJ164" si="412">#REF!</f>
        <v>#REF!</v>
      </c>
      <c r="V164" s="168" t="str">
        <f t="shared" si="412"/>
        <v>#REF!</v>
      </c>
      <c r="W164" s="168" t="str">
        <f t="shared" si="412"/>
        <v>#REF!</v>
      </c>
      <c r="X164" s="168" t="str">
        <f t="shared" si="412"/>
        <v>#REF!</v>
      </c>
      <c r="Y164" s="168" t="str">
        <f t="shared" si="412"/>
        <v>#REF!</v>
      </c>
      <c r="Z164" s="168" t="str">
        <f t="shared" si="412"/>
        <v>#REF!</v>
      </c>
      <c r="AA164" s="168" t="str">
        <f t="shared" si="412"/>
        <v>#REF!</v>
      </c>
      <c r="AB164" s="168" t="str">
        <f t="shared" si="412"/>
        <v>#REF!</v>
      </c>
      <c r="AC164" s="168" t="str">
        <f t="shared" si="412"/>
        <v>#REF!</v>
      </c>
      <c r="AD164" s="168" t="str">
        <f t="shared" si="412"/>
        <v>#REF!</v>
      </c>
      <c r="AE164" s="168" t="str">
        <f t="shared" si="412"/>
        <v>#REF!</v>
      </c>
      <c r="AF164" s="168" t="str">
        <f t="shared" si="412"/>
        <v>#REF!</v>
      </c>
      <c r="AG164" s="168" t="str">
        <f t="shared" si="412"/>
        <v>#REF!</v>
      </c>
      <c r="AH164" s="168" t="str">
        <f t="shared" si="412"/>
        <v>#REF!</v>
      </c>
      <c r="AI164" s="168" t="str">
        <f t="shared" si="412"/>
        <v>#REF!</v>
      </c>
      <c r="AJ164" s="168" t="str">
        <f t="shared" si="412"/>
        <v>#REF!</v>
      </c>
    </row>
    <row r="165" ht="15.75" customHeight="1">
      <c r="A165" s="168" t="str">
        <f t="shared" ref="A165:T165" si="413">if(#REF!=$D$1,#REF!,"")</f>
        <v>#REF!</v>
      </c>
      <c r="B165" s="168" t="str">
        <f t="shared" si="413"/>
        <v>#REF!</v>
      </c>
      <c r="C165" s="168" t="str">
        <f t="shared" si="413"/>
        <v>#REF!</v>
      </c>
      <c r="D165" s="168" t="str">
        <f t="shared" si="413"/>
        <v>#REF!</v>
      </c>
      <c r="E165" s="168" t="str">
        <f t="shared" si="413"/>
        <v>#REF!</v>
      </c>
      <c r="F165" s="168" t="str">
        <f t="shared" si="413"/>
        <v>#REF!</v>
      </c>
      <c r="G165" s="168" t="str">
        <f t="shared" si="413"/>
        <v>#REF!</v>
      </c>
      <c r="H165" s="168" t="str">
        <f t="shared" si="413"/>
        <v>#REF!</v>
      </c>
      <c r="I165" s="168" t="str">
        <f t="shared" si="413"/>
        <v>#REF!</v>
      </c>
      <c r="J165" s="168" t="str">
        <f t="shared" si="413"/>
        <v>#REF!</v>
      </c>
      <c r="K165" s="168" t="str">
        <f t="shared" si="413"/>
        <v>#REF!</v>
      </c>
      <c r="L165" s="168" t="str">
        <f t="shared" si="413"/>
        <v>#REF!</v>
      </c>
      <c r="M165" s="168" t="str">
        <f t="shared" si="413"/>
        <v>#REF!</v>
      </c>
      <c r="N165" s="168" t="str">
        <f t="shared" si="413"/>
        <v>#REF!</v>
      </c>
      <c r="O165" s="168" t="str">
        <f t="shared" si="413"/>
        <v>#REF!</v>
      </c>
      <c r="P165" s="168" t="str">
        <f t="shared" si="413"/>
        <v>#REF!</v>
      </c>
      <c r="Q165" s="168" t="str">
        <f t="shared" si="413"/>
        <v>#REF!</v>
      </c>
      <c r="R165" s="168" t="str">
        <f t="shared" si="413"/>
        <v>#REF!</v>
      </c>
      <c r="S165" s="168" t="str">
        <f t="shared" si="413"/>
        <v>#REF!</v>
      </c>
      <c r="T165" s="168" t="str">
        <f t="shared" si="413"/>
        <v>#REF!</v>
      </c>
      <c r="U165" s="168" t="str">
        <f t="shared" ref="U165:AJ165" si="414">#REF!</f>
        <v>#REF!</v>
      </c>
      <c r="V165" s="168" t="str">
        <f t="shared" si="414"/>
        <v>#REF!</v>
      </c>
      <c r="W165" s="168" t="str">
        <f t="shared" si="414"/>
        <v>#REF!</v>
      </c>
      <c r="X165" s="168" t="str">
        <f t="shared" si="414"/>
        <v>#REF!</v>
      </c>
      <c r="Y165" s="168" t="str">
        <f t="shared" si="414"/>
        <v>#REF!</v>
      </c>
      <c r="Z165" s="168" t="str">
        <f t="shared" si="414"/>
        <v>#REF!</v>
      </c>
      <c r="AA165" s="168" t="str">
        <f t="shared" si="414"/>
        <v>#REF!</v>
      </c>
      <c r="AB165" s="168" t="str">
        <f t="shared" si="414"/>
        <v>#REF!</v>
      </c>
      <c r="AC165" s="168" t="str">
        <f t="shared" si="414"/>
        <v>#REF!</v>
      </c>
      <c r="AD165" s="168" t="str">
        <f t="shared" si="414"/>
        <v>#REF!</v>
      </c>
      <c r="AE165" s="168" t="str">
        <f t="shared" si="414"/>
        <v>#REF!</v>
      </c>
      <c r="AF165" s="168" t="str">
        <f t="shared" si="414"/>
        <v>#REF!</v>
      </c>
      <c r="AG165" s="168" t="str">
        <f t="shared" si="414"/>
        <v>#REF!</v>
      </c>
      <c r="AH165" s="168" t="str">
        <f t="shared" si="414"/>
        <v>#REF!</v>
      </c>
      <c r="AI165" s="168" t="str">
        <f t="shared" si="414"/>
        <v>#REF!</v>
      </c>
      <c r="AJ165" s="168" t="str">
        <f t="shared" si="414"/>
        <v>#REF!</v>
      </c>
    </row>
    <row r="166" ht="15.75" customHeight="1">
      <c r="A166" s="168" t="str">
        <f t="shared" ref="A166:T166" si="415">if(#REF!=$D$1,#REF!,"")</f>
        <v>#REF!</v>
      </c>
      <c r="B166" s="168" t="str">
        <f t="shared" si="415"/>
        <v>#REF!</v>
      </c>
      <c r="C166" s="168" t="str">
        <f t="shared" si="415"/>
        <v>#REF!</v>
      </c>
      <c r="D166" s="168" t="str">
        <f t="shared" si="415"/>
        <v>#REF!</v>
      </c>
      <c r="E166" s="168" t="str">
        <f t="shared" si="415"/>
        <v>#REF!</v>
      </c>
      <c r="F166" s="168" t="str">
        <f t="shared" si="415"/>
        <v>#REF!</v>
      </c>
      <c r="G166" s="168" t="str">
        <f t="shared" si="415"/>
        <v>#REF!</v>
      </c>
      <c r="H166" s="168" t="str">
        <f t="shared" si="415"/>
        <v>#REF!</v>
      </c>
      <c r="I166" s="168" t="str">
        <f t="shared" si="415"/>
        <v>#REF!</v>
      </c>
      <c r="J166" s="168" t="str">
        <f t="shared" si="415"/>
        <v>#REF!</v>
      </c>
      <c r="K166" s="168" t="str">
        <f t="shared" si="415"/>
        <v>#REF!</v>
      </c>
      <c r="L166" s="168" t="str">
        <f t="shared" si="415"/>
        <v>#REF!</v>
      </c>
      <c r="M166" s="168" t="str">
        <f t="shared" si="415"/>
        <v>#REF!</v>
      </c>
      <c r="N166" s="168" t="str">
        <f t="shared" si="415"/>
        <v>#REF!</v>
      </c>
      <c r="O166" s="168" t="str">
        <f t="shared" si="415"/>
        <v>#REF!</v>
      </c>
      <c r="P166" s="168" t="str">
        <f t="shared" si="415"/>
        <v>#REF!</v>
      </c>
      <c r="Q166" s="168" t="str">
        <f t="shared" si="415"/>
        <v>#REF!</v>
      </c>
      <c r="R166" s="168" t="str">
        <f t="shared" si="415"/>
        <v>#REF!</v>
      </c>
      <c r="S166" s="168" t="str">
        <f t="shared" si="415"/>
        <v>#REF!</v>
      </c>
      <c r="T166" s="168" t="str">
        <f t="shared" si="415"/>
        <v>#REF!</v>
      </c>
      <c r="U166" s="168" t="str">
        <f t="shared" ref="U166:AJ166" si="416">#REF!</f>
        <v>#REF!</v>
      </c>
      <c r="V166" s="168" t="str">
        <f t="shared" si="416"/>
        <v>#REF!</v>
      </c>
      <c r="W166" s="168" t="str">
        <f t="shared" si="416"/>
        <v>#REF!</v>
      </c>
      <c r="X166" s="168" t="str">
        <f t="shared" si="416"/>
        <v>#REF!</v>
      </c>
      <c r="Y166" s="168" t="str">
        <f t="shared" si="416"/>
        <v>#REF!</v>
      </c>
      <c r="Z166" s="168" t="str">
        <f t="shared" si="416"/>
        <v>#REF!</v>
      </c>
      <c r="AA166" s="168" t="str">
        <f t="shared" si="416"/>
        <v>#REF!</v>
      </c>
      <c r="AB166" s="168" t="str">
        <f t="shared" si="416"/>
        <v>#REF!</v>
      </c>
      <c r="AC166" s="168" t="str">
        <f t="shared" si="416"/>
        <v>#REF!</v>
      </c>
      <c r="AD166" s="168" t="str">
        <f t="shared" si="416"/>
        <v>#REF!</v>
      </c>
      <c r="AE166" s="168" t="str">
        <f t="shared" si="416"/>
        <v>#REF!</v>
      </c>
      <c r="AF166" s="168" t="str">
        <f t="shared" si="416"/>
        <v>#REF!</v>
      </c>
      <c r="AG166" s="168" t="str">
        <f t="shared" si="416"/>
        <v>#REF!</v>
      </c>
      <c r="AH166" s="168" t="str">
        <f t="shared" si="416"/>
        <v>#REF!</v>
      </c>
      <c r="AI166" s="168" t="str">
        <f t="shared" si="416"/>
        <v>#REF!</v>
      </c>
      <c r="AJ166" s="168" t="str">
        <f t="shared" si="416"/>
        <v>#REF!</v>
      </c>
    </row>
    <row r="167" ht="15.75" customHeight="1">
      <c r="A167" s="168" t="str">
        <f t="shared" ref="A167:T167" si="417">if(#REF!=$D$1,#REF!,"")</f>
        <v>#REF!</v>
      </c>
      <c r="B167" s="168" t="str">
        <f t="shared" si="417"/>
        <v>#REF!</v>
      </c>
      <c r="C167" s="168" t="str">
        <f t="shared" si="417"/>
        <v>#REF!</v>
      </c>
      <c r="D167" s="168" t="str">
        <f t="shared" si="417"/>
        <v>#REF!</v>
      </c>
      <c r="E167" s="168" t="str">
        <f t="shared" si="417"/>
        <v>#REF!</v>
      </c>
      <c r="F167" s="168" t="str">
        <f t="shared" si="417"/>
        <v>#REF!</v>
      </c>
      <c r="G167" s="168" t="str">
        <f t="shared" si="417"/>
        <v>#REF!</v>
      </c>
      <c r="H167" s="168" t="str">
        <f t="shared" si="417"/>
        <v>#REF!</v>
      </c>
      <c r="I167" s="168" t="str">
        <f t="shared" si="417"/>
        <v>#REF!</v>
      </c>
      <c r="J167" s="168" t="str">
        <f t="shared" si="417"/>
        <v>#REF!</v>
      </c>
      <c r="K167" s="168" t="str">
        <f t="shared" si="417"/>
        <v>#REF!</v>
      </c>
      <c r="L167" s="168" t="str">
        <f t="shared" si="417"/>
        <v>#REF!</v>
      </c>
      <c r="M167" s="168" t="str">
        <f t="shared" si="417"/>
        <v>#REF!</v>
      </c>
      <c r="N167" s="168" t="str">
        <f t="shared" si="417"/>
        <v>#REF!</v>
      </c>
      <c r="O167" s="168" t="str">
        <f t="shared" si="417"/>
        <v>#REF!</v>
      </c>
      <c r="P167" s="168" t="str">
        <f t="shared" si="417"/>
        <v>#REF!</v>
      </c>
      <c r="Q167" s="168" t="str">
        <f t="shared" si="417"/>
        <v>#REF!</v>
      </c>
      <c r="R167" s="168" t="str">
        <f t="shared" si="417"/>
        <v>#REF!</v>
      </c>
      <c r="S167" s="168" t="str">
        <f t="shared" si="417"/>
        <v>#REF!</v>
      </c>
      <c r="T167" s="168" t="str">
        <f t="shared" si="417"/>
        <v>#REF!</v>
      </c>
      <c r="U167" s="168" t="str">
        <f t="shared" ref="U167:AJ167" si="418">#REF!</f>
        <v>#REF!</v>
      </c>
      <c r="V167" s="168" t="str">
        <f t="shared" si="418"/>
        <v>#REF!</v>
      </c>
      <c r="W167" s="168" t="str">
        <f t="shared" si="418"/>
        <v>#REF!</v>
      </c>
      <c r="X167" s="168" t="str">
        <f t="shared" si="418"/>
        <v>#REF!</v>
      </c>
      <c r="Y167" s="168" t="str">
        <f t="shared" si="418"/>
        <v>#REF!</v>
      </c>
      <c r="Z167" s="168" t="str">
        <f t="shared" si="418"/>
        <v>#REF!</v>
      </c>
      <c r="AA167" s="168" t="str">
        <f t="shared" si="418"/>
        <v>#REF!</v>
      </c>
      <c r="AB167" s="168" t="str">
        <f t="shared" si="418"/>
        <v>#REF!</v>
      </c>
      <c r="AC167" s="168" t="str">
        <f t="shared" si="418"/>
        <v>#REF!</v>
      </c>
      <c r="AD167" s="168" t="str">
        <f t="shared" si="418"/>
        <v>#REF!</v>
      </c>
      <c r="AE167" s="168" t="str">
        <f t="shared" si="418"/>
        <v>#REF!</v>
      </c>
      <c r="AF167" s="168" t="str">
        <f t="shared" si="418"/>
        <v>#REF!</v>
      </c>
      <c r="AG167" s="168" t="str">
        <f t="shared" si="418"/>
        <v>#REF!</v>
      </c>
      <c r="AH167" s="168" t="str">
        <f t="shared" si="418"/>
        <v>#REF!</v>
      </c>
      <c r="AI167" s="168" t="str">
        <f t="shared" si="418"/>
        <v>#REF!</v>
      </c>
      <c r="AJ167" s="168" t="str">
        <f t="shared" si="418"/>
        <v>#REF!</v>
      </c>
    </row>
    <row r="168" ht="15.75" customHeight="1">
      <c r="A168" s="168" t="str">
        <f t="shared" ref="A168:T168" si="419">if(#REF!=$D$1,#REF!,"")</f>
        <v>#REF!</v>
      </c>
      <c r="B168" s="168" t="str">
        <f t="shared" si="419"/>
        <v>#REF!</v>
      </c>
      <c r="C168" s="168" t="str">
        <f t="shared" si="419"/>
        <v>#REF!</v>
      </c>
      <c r="D168" s="168" t="str">
        <f t="shared" si="419"/>
        <v>#REF!</v>
      </c>
      <c r="E168" s="168" t="str">
        <f t="shared" si="419"/>
        <v>#REF!</v>
      </c>
      <c r="F168" s="168" t="str">
        <f t="shared" si="419"/>
        <v>#REF!</v>
      </c>
      <c r="G168" s="168" t="str">
        <f t="shared" si="419"/>
        <v>#REF!</v>
      </c>
      <c r="H168" s="168" t="str">
        <f t="shared" si="419"/>
        <v>#REF!</v>
      </c>
      <c r="I168" s="168" t="str">
        <f t="shared" si="419"/>
        <v>#REF!</v>
      </c>
      <c r="J168" s="168" t="str">
        <f t="shared" si="419"/>
        <v>#REF!</v>
      </c>
      <c r="K168" s="168" t="str">
        <f t="shared" si="419"/>
        <v>#REF!</v>
      </c>
      <c r="L168" s="168" t="str">
        <f t="shared" si="419"/>
        <v>#REF!</v>
      </c>
      <c r="M168" s="168" t="str">
        <f t="shared" si="419"/>
        <v>#REF!</v>
      </c>
      <c r="N168" s="168" t="str">
        <f t="shared" si="419"/>
        <v>#REF!</v>
      </c>
      <c r="O168" s="168" t="str">
        <f t="shared" si="419"/>
        <v>#REF!</v>
      </c>
      <c r="P168" s="168" t="str">
        <f t="shared" si="419"/>
        <v>#REF!</v>
      </c>
      <c r="Q168" s="168" t="str">
        <f t="shared" si="419"/>
        <v>#REF!</v>
      </c>
      <c r="R168" s="168" t="str">
        <f t="shared" si="419"/>
        <v>#REF!</v>
      </c>
      <c r="S168" s="168" t="str">
        <f t="shared" si="419"/>
        <v>#REF!</v>
      </c>
      <c r="T168" s="168" t="str">
        <f t="shared" si="419"/>
        <v>#REF!</v>
      </c>
      <c r="U168" s="168" t="str">
        <f t="shared" ref="U168:AJ168" si="420">#REF!</f>
        <v>#REF!</v>
      </c>
      <c r="V168" s="168" t="str">
        <f t="shared" si="420"/>
        <v>#REF!</v>
      </c>
      <c r="W168" s="168" t="str">
        <f t="shared" si="420"/>
        <v>#REF!</v>
      </c>
      <c r="X168" s="168" t="str">
        <f t="shared" si="420"/>
        <v>#REF!</v>
      </c>
      <c r="Y168" s="168" t="str">
        <f t="shared" si="420"/>
        <v>#REF!</v>
      </c>
      <c r="Z168" s="168" t="str">
        <f t="shared" si="420"/>
        <v>#REF!</v>
      </c>
      <c r="AA168" s="168" t="str">
        <f t="shared" si="420"/>
        <v>#REF!</v>
      </c>
      <c r="AB168" s="168" t="str">
        <f t="shared" si="420"/>
        <v>#REF!</v>
      </c>
      <c r="AC168" s="168" t="str">
        <f t="shared" si="420"/>
        <v>#REF!</v>
      </c>
      <c r="AD168" s="168" t="str">
        <f t="shared" si="420"/>
        <v>#REF!</v>
      </c>
      <c r="AE168" s="168" t="str">
        <f t="shared" si="420"/>
        <v>#REF!</v>
      </c>
      <c r="AF168" s="168" t="str">
        <f t="shared" si="420"/>
        <v>#REF!</v>
      </c>
      <c r="AG168" s="168" t="str">
        <f t="shared" si="420"/>
        <v>#REF!</v>
      </c>
      <c r="AH168" s="168" t="str">
        <f t="shared" si="420"/>
        <v>#REF!</v>
      </c>
      <c r="AI168" s="168" t="str">
        <f t="shared" si="420"/>
        <v>#REF!</v>
      </c>
      <c r="AJ168" s="168" t="str">
        <f t="shared" si="420"/>
        <v>#REF!</v>
      </c>
    </row>
    <row r="169" ht="15.75" customHeight="1">
      <c r="A169" s="168" t="str">
        <f t="shared" ref="A169:T169" si="421">if(#REF!=$D$1,#REF!,"")</f>
        <v>#REF!</v>
      </c>
      <c r="B169" s="168" t="str">
        <f t="shared" si="421"/>
        <v>#REF!</v>
      </c>
      <c r="C169" s="168" t="str">
        <f t="shared" si="421"/>
        <v>#REF!</v>
      </c>
      <c r="D169" s="168" t="str">
        <f t="shared" si="421"/>
        <v>#REF!</v>
      </c>
      <c r="E169" s="168" t="str">
        <f t="shared" si="421"/>
        <v>#REF!</v>
      </c>
      <c r="F169" s="168" t="str">
        <f t="shared" si="421"/>
        <v>#REF!</v>
      </c>
      <c r="G169" s="168" t="str">
        <f t="shared" si="421"/>
        <v>#REF!</v>
      </c>
      <c r="H169" s="168" t="str">
        <f t="shared" si="421"/>
        <v>#REF!</v>
      </c>
      <c r="I169" s="168" t="str">
        <f t="shared" si="421"/>
        <v>#REF!</v>
      </c>
      <c r="J169" s="168" t="str">
        <f t="shared" si="421"/>
        <v>#REF!</v>
      </c>
      <c r="K169" s="168" t="str">
        <f t="shared" si="421"/>
        <v>#REF!</v>
      </c>
      <c r="L169" s="168" t="str">
        <f t="shared" si="421"/>
        <v>#REF!</v>
      </c>
      <c r="M169" s="168" t="str">
        <f t="shared" si="421"/>
        <v>#REF!</v>
      </c>
      <c r="N169" s="168" t="str">
        <f t="shared" si="421"/>
        <v>#REF!</v>
      </c>
      <c r="O169" s="168" t="str">
        <f t="shared" si="421"/>
        <v>#REF!</v>
      </c>
      <c r="P169" s="168" t="str">
        <f t="shared" si="421"/>
        <v>#REF!</v>
      </c>
      <c r="Q169" s="168" t="str">
        <f t="shared" si="421"/>
        <v>#REF!</v>
      </c>
      <c r="R169" s="168" t="str">
        <f t="shared" si="421"/>
        <v>#REF!</v>
      </c>
      <c r="S169" s="168" t="str">
        <f t="shared" si="421"/>
        <v>#REF!</v>
      </c>
      <c r="T169" s="168" t="str">
        <f t="shared" si="421"/>
        <v>#REF!</v>
      </c>
      <c r="U169" s="168" t="str">
        <f t="shared" ref="U169:AJ169" si="422">#REF!</f>
        <v>#REF!</v>
      </c>
      <c r="V169" s="168" t="str">
        <f t="shared" si="422"/>
        <v>#REF!</v>
      </c>
      <c r="W169" s="168" t="str">
        <f t="shared" si="422"/>
        <v>#REF!</v>
      </c>
      <c r="X169" s="168" t="str">
        <f t="shared" si="422"/>
        <v>#REF!</v>
      </c>
      <c r="Y169" s="168" t="str">
        <f t="shared" si="422"/>
        <v>#REF!</v>
      </c>
      <c r="Z169" s="168" t="str">
        <f t="shared" si="422"/>
        <v>#REF!</v>
      </c>
      <c r="AA169" s="168" t="str">
        <f t="shared" si="422"/>
        <v>#REF!</v>
      </c>
      <c r="AB169" s="168" t="str">
        <f t="shared" si="422"/>
        <v>#REF!</v>
      </c>
      <c r="AC169" s="168" t="str">
        <f t="shared" si="422"/>
        <v>#REF!</v>
      </c>
      <c r="AD169" s="168" t="str">
        <f t="shared" si="422"/>
        <v>#REF!</v>
      </c>
      <c r="AE169" s="168" t="str">
        <f t="shared" si="422"/>
        <v>#REF!</v>
      </c>
      <c r="AF169" s="168" t="str">
        <f t="shared" si="422"/>
        <v>#REF!</v>
      </c>
      <c r="AG169" s="168" t="str">
        <f t="shared" si="422"/>
        <v>#REF!</v>
      </c>
      <c r="AH169" s="168" t="str">
        <f t="shared" si="422"/>
        <v>#REF!</v>
      </c>
      <c r="AI169" s="168" t="str">
        <f t="shared" si="422"/>
        <v>#REF!</v>
      </c>
      <c r="AJ169" s="168" t="str">
        <f t="shared" si="422"/>
        <v>#REF!</v>
      </c>
    </row>
    <row r="170" ht="15.75" customHeight="1">
      <c r="A170" s="168" t="str">
        <f t="shared" ref="A170:T170" si="423">if(#REF!=$D$1,#REF!,"")</f>
        <v>#REF!</v>
      </c>
      <c r="B170" s="168" t="str">
        <f t="shared" si="423"/>
        <v>#REF!</v>
      </c>
      <c r="C170" s="168" t="str">
        <f t="shared" si="423"/>
        <v>#REF!</v>
      </c>
      <c r="D170" s="168" t="str">
        <f t="shared" si="423"/>
        <v>#REF!</v>
      </c>
      <c r="E170" s="168" t="str">
        <f t="shared" si="423"/>
        <v>#REF!</v>
      </c>
      <c r="F170" s="168" t="str">
        <f t="shared" si="423"/>
        <v>#REF!</v>
      </c>
      <c r="G170" s="168" t="str">
        <f t="shared" si="423"/>
        <v>#REF!</v>
      </c>
      <c r="H170" s="168" t="str">
        <f t="shared" si="423"/>
        <v>#REF!</v>
      </c>
      <c r="I170" s="168" t="str">
        <f t="shared" si="423"/>
        <v>#REF!</v>
      </c>
      <c r="J170" s="168" t="str">
        <f t="shared" si="423"/>
        <v>#REF!</v>
      </c>
      <c r="K170" s="168" t="str">
        <f t="shared" si="423"/>
        <v>#REF!</v>
      </c>
      <c r="L170" s="168" t="str">
        <f t="shared" si="423"/>
        <v>#REF!</v>
      </c>
      <c r="M170" s="168" t="str">
        <f t="shared" si="423"/>
        <v>#REF!</v>
      </c>
      <c r="N170" s="168" t="str">
        <f t="shared" si="423"/>
        <v>#REF!</v>
      </c>
      <c r="O170" s="168" t="str">
        <f t="shared" si="423"/>
        <v>#REF!</v>
      </c>
      <c r="P170" s="168" t="str">
        <f t="shared" si="423"/>
        <v>#REF!</v>
      </c>
      <c r="Q170" s="168" t="str">
        <f t="shared" si="423"/>
        <v>#REF!</v>
      </c>
      <c r="R170" s="168" t="str">
        <f t="shared" si="423"/>
        <v>#REF!</v>
      </c>
      <c r="S170" s="168" t="str">
        <f t="shared" si="423"/>
        <v>#REF!</v>
      </c>
      <c r="T170" s="168" t="str">
        <f t="shared" si="423"/>
        <v>#REF!</v>
      </c>
      <c r="U170" s="168" t="str">
        <f t="shared" ref="U170:AJ170" si="424">#REF!</f>
        <v>#REF!</v>
      </c>
      <c r="V170" s="168" t="str">
        <f t="shared" si="424"/>
        <v>#REF!</v>
      </c>
      <c r="W170" s="168" t="str">
        <f t="shared" si="424"/>
        <v>#REF!</v>
      </c>
      <c r="X170" s="168" t="str">
        <f t="shared" si="424"/>
        <v>#REF!</v>
      </c>
      <c r="Y170" s="168" t="str">
        <f t="shared" si="424"/>
        <v>#REF!</v>
      </c>
      <c r="Z170" s="168" t="str">
        <f t="shared" si="424"/>
        <v>#REF!</v>
      </c>
      <c r="AA170" s="168" t="str">
        <f t="shared" si="424"/>
        <v>#REF!</v>
      </c>
      <c r="AB170" s="168" t="str">
        <f t="shared" si="424"/>
        <v>#REF!</v>
      </c>
      <c r="AC170" s="168" t="str">
        <f t="shared" si="424"/>
        <v>#REF!</v>
      </c>
      <c r="AD170" s="168" t="str">
        <f t="shared" si="424"/>
        <v>#REF!</v>
      </c>
      <c r="AE170" s="168" t="str">
        <f t="shared" si="424"/>
        <v>#REF!</v>
      </c>
      <c r="AF170" s="168" t="str">
        <f t="shared" si="424"/>
        <v>#REF!</v>
      </c>
      <c r="AG170" s="168" t="str">
        <f t="shared" si="424"/>
        <v>#REF!</v>
      </c>
      <c r="AH170" s="168" t="str">
        <f t="shared" si="424"/>
        <v>#REF!</v>
      </c>
      <c r="AI170" s="168" t="str">
        <f t="shared" si="424"/>
        <v>#REF!</v>
      </c>
      <c r="AJ170" s="168" t="str">
        <f t="shared" si="424"/>
        <v>#REF!</v>
      </c>
    </row>
    <row r="171" ht="15.75" customHeight="1">
      <c r="A171" s="168" t="str">
        <f t="shared" ref="A171:T171" si="425">if(#REF!=$D$1,#REF!,"")</f>
        <v>#REF!</v>
      </c>
      <c r="B171" s="168" t="str">
        <f t="shared" si="425"/>
        <v>#REF!</v>
      </c>
      <c r="C171" s="168" t="str">
        <f t="shared" si="425"/>
        <v>#REF!</v>
      </c>
      <c r="D171" s="168" t="str">
        <f t="shared" si="425"/>
        <v>#REF!</v>
      </c>
      <c r="E171" s="168" t="str">
        <f t="shared" si="425"/>
        <v>#REF!</v>
      </c>
      <c r="F171" s="168" t="str">
        <f t="shared" si="425"/>
        <v>#REF!</v>
      </c>
      <c r="G171" s="168" t="str">
        <f t="shared" si="425"/>
        <v>#REF!</v>
      </c>
      <c r="H171" s="168" t="str">
        <f t="shared" si="425"/>
        <v>#REF!</v>
      </c>
      <c r="I171" s="168" t="str">
        <f t="shared" si="425"/>
        <v>#REF!</v>
      </c>
      <c r="J171" s="168" t="str">
        <f t="shared" si="425"/>
        <v>#REF!</v>
      </c>
      <c r="K171" s="168" t="str">
        <f t="shared" si="425"/>
        <v>#REF!</v>
      </c>
      <c r="L171" s="168" t="str">
        <f t="shared" si="425"/>
        <v>#REF!</v>
      </c>
      <c r="M171" s="168" t="str">
        <f t="shared" si="425"/>
        <v>#REF!</v>
      </c>
      <c r="N171" s="168" t="str">
        <f t="shared" si="425"/>
        <v>#REF!</v>
      </c>
      <c r="O171" s="168" t="str">
        <f t="shared" si="425"/>
        <v>#REF!</v>
      </c>
      <c r="P171" s="168" t="str">
        <f t="shared" si="425"/>
        <v>#REF!</v>
      </c>
      <c r="Q171" s="168" t="str">
        <f t="shared" si="425"/>
        <v>#REF!</v>
      </c>
      <c r="R171" s="168" t="str">
        <f t="shared" si="425"/>
        <v>#REF!</v>
      </c>
      <c r="S171" s="168" t="str">
        <f t="shared" si="425"/>
        <v>#REF!</v>
      </c>
      <c r="T171" s="168" t="str">
        <f t="shared" si="425"/>
        <v>#REF!</v>
      </c>
      <c r="U171" s="168" t="str">
        <f t="shared" ref="U171:AJ171" si="426">#REF!</f>
        <v>#REF!</v>
      </c>
      <c r="V171" s="168" t="str">
        <f t="shared" si="426"/>
        <v>#REF!</v>
      </c>
      <c r="W171" s="168" t="str">
        <f t="shared" si="426"/>
        <v>#REF!</v>
      </c>
      <c r="X171" s="168" t="str">
        <f t="shared" si="426"/>
        <v>#REF!</v>
      </c>
      <c r="Y171" s="168" t="str">
        <f t="shared" si="426"/>
        <v>#REF!</v>
      </c>
      <c r="Z171" s="168" t="str">
        <f t="shared" si="426"/>
        <v>#REF!</v>
      </c>
      <c r="AA171" s="168" t="str">
        <f t="shared" si="426"/>
        <v>#REF!</v>
      </c>
      <c r="AB171" s="168" t="str">
        <f t="shared" si="426"/>
        <v>#REF!</v>
      </c>
      <c r="AC171" s="168" t="str">
        <f t="shared" si="426"/>
        <v>#REF!</v>
      </c>
      <c r="AD171" s="168" t="str">
        <f t="shared" si="426"/>
        <v>#REF!</v>
      </c>
      <c r="AE171" s="168" t="str">
        <f t="shared" si="426"/>
        <v>#REF!</v>
      </c>
      <c r="AF171" s="168" t="str">
        <f t="shared" si="426"/>
        <v>#REF!</v>
      </c>
      <c r="AG171" s="168" t="str">
        <f t="shared" si="426"/>
        <v>#REF!</v>
      </c>
      <c r="AH171" s="168" t="str">
        <f t="shared" si="426"/>
        <v>#REF!</v>
      </c>
      <c r="AI171" s="168" t="str">
        <f t="shared" si="426"/>
        <v>#REF!</v>
      </c>
      <c r="AJ171" s="168" t="str">
        <f t="shared" si="426"/>
        <v>#REF!</v>
      </c>
    </row>
    <row r="172" ht="15.75" customHeight="1">
      <c r="A172" s="168" t="str">
        <f t="shared" ref="A172:T172" si="427">if(#REF!=$D$1,#REF!,"")</f>
        <v>#REF!</v>
      </c>
      <c r="B172" s="168" t="str">
        <f t="shared" si="427"/>
        <v>#REF!</v>
      </c>
      <c r="C172" s="168" t="str">
        <f t="shared" si="427"/>
        <v>#REF!</v>
      </c>
      <c r="D172" s="168" t="str">
        <f t="shared" si="427"/>
        <v>#REF!</v>
      </c>
      <c r="E172" s="168" t="str">
        <f t="shared" si="427"/>
        <v>#REF!</v>
      </c>
      <c r="F172" s="168" t="str">
        <f t="shared" si="427"/>
        <v>#REF!</v>
      </c>
      <c r="G172" s="168" t="str">
        <f t="shared" si="427"/>
        <v>#REF!</v>
      </c>
      <c r="H172" s="168" t="str">
        <f t="shared" si="427"/>
        <v>#REF!</v>
      </c>
      <c r="I172" s="168" t="str">
        <f t="shared" si="427"/>
        <v>#REF!</v>
      </c>
      <c r="J172" s="168" t="str">
        <f t="shared" si="427"/>
        <v>#REF!</v>
      </c>
      <c r="K172" s="168" t="str">
        <f t="shared" si="427"/>
        <v>#REF!</v>
      </c>
      <c r="L172" s="168" t="str">
        <f t="shared" si="427"/>
        <v>#REF!</v>
      </c>
      <c r="M172" s="168" t="str">
        <f t="shared" si="427"/>
        <v>#REF!</v>
      </c>
      <c r="N172" s="168" t="str">
        <f t="shared" si="427"/>
        <v>#REF!</v>
      </c>
      <c r="O172" s="168" t="str">
        <f t="shared" si="427"/>
        <v>#REF!</v>
      </c>
      <c r="P172" s="168" t="str">
        <f t="shared" si="427"/>
        <v>#REF!</v>
      </c>
      <c r="Q172" s="168" t="str">
        <f t="shared" si="427"/>
        <v>#REF!</v>
      </c>
      <c r="R172" s="168" t="str">
        <f t="shared" si="427"/>
        <v>#REF!</v>
      </c>
      <c r="S172" s="168" t="str">
        <f t="shared" si="427"/>
        <v>#REF!</v>
      </c>
      <c r="T172" s="168" t="str">
        <f t="shared" si="427"/>
        <v>#REF!</v>
      </c>
      <c r="U172" s="168" t="str">
        <f t="shared" ref="U172:AJ172" si="428">#REF!</f>
        <v>#REF!</v>
      </c>
      <c r="V172" s="168" t="str">
        <f t="shared" si="428"/>
        <v>#REF!</v>
      </c>
      <c r="W172" s="168" t="str">
        <f t="shared" si="428"/>
        <v>#REF!</v>
      </c>
      <c r="X172" s="168" t="str">
        <f t="shared" si="428"/>
        <v>#REF!</v>
      </c>
      <c r="Y172" s="168" t="str">
        <f t="shared" si="428"/>
        <v>#REF!</v>
      </c>
      <c r="Z172" s="168" t="str">
        <f t="shared" si="428"/>
        <v>#REF!</v>
      </c>
      <c r="AA172" s="168" t="str">
        <f t="shared" si="428"/>
        <v>#REF!</v>
      </c>
      <c r="AB172" s="168" t="str">
        <f t="shared" si="428"/>
        <v>#REF!</v>
      </c>
      <c r="AC172" s="168" t="str">
        <f t="shared" si="428"/>
        <v>#REF!</v>
      </c>
      <c r="AD172" s="168" t="str">
        <f t="shared" si="428"/>
        <v>#REF!</v>
      </c>
      <c r="AE172" s="168" t="str">
        <f t="shared" si="428"/>
        <v>#REF!</v>
      </c>
      <c r="AF172" s="168" t="str">
        <f t="shared" si="428"/>
        <v>#REF!</v>
      </c>
      <c r="AG172" s="168" t="str">
        <f t="shared" si="428"/>
        <v>#REF!</v>
      </c>
      <c r="AH172" s="168" t="str">
        <f t="shared" si="428"/>
        <v>#REF!</v>
      </c>
      <c r="AI172" s="168" t="str">
        <f t="shared" si="428"/>
        <v>#REF!</v>
      </c>
      <c r="AJ172" s="168" t="str">
        <f t="shared" si="428"/>
        <v>#REF!</v>
      </c>
    </row>
    <row r="173" ht="15.75" customHeight="1">
      <c r="A173" s="168" t="str">
        <f t="shared" ref="A173:T173" si="429">if(#REF!=$D$1,#REF!,"")</f>
        <v>#REF!</v>
      </c>
      <c r="B173" s="168" t="str">
        <f t="shared" si="429"/>
        <v>#REF!</v>
      </c>
      <c r="C173" s="168" t="str">
        <f t="shared" si="429"/>
        <v>#REF!</v>
      </c>
      <c r="D173" s="168" t="str">
        <f t="shared" si="429"/>
        <v>#REF!</v>
      </c>
      <c r="E173" s="168" t="str">
        <f t="shared" si="429"/>
        <v>#REF!</v>
      </c>
      <c r="F173" s="168" t="str">
        <f t="shared" si="429"/>
        <v>#REF!</v>
      </c>
      <c r="G173" s="168" t="str">
        <f t="shared" si="429"/>
        <v>#REF!</v>
      </c>
      <c r="H173" s="168" t="str">
        <f t="shared" si="429"/>
        <v>#REF!</v>
      </c>
      <c r="I173" s="168" t="str">
        <f t="shared" si="429"/>
        <v>#REF!</v>
      </c>
      <c r="J173" s="168" t="str">
        <f t="shared" si="429"/>
        <v>#REF!</v>
      </c>
      <c r="K173" s="168" t="str">
        <f t="shared" si="429"/>
        <v>#REF!</v>
      </c>
      <c r="L173" s="168" t="str">
        <f t="shared" si="429"/>
        <v>#REF!</v>
      </c>
      <c r="M173" s="168" t="str">
        <f t="shared" si="429"/>
        <v>#REF!</v>
      </c>
      <c r="N173" s="168" t="str">
        <f t="shared" si="429"/>
        <v>#REF!</v>
      </c>
      <c r="O173" s="168" t="str">
        <f t="shared" si="429"/>
        <v>#REF!</v>
      </c>
      <c r="P173" s="168" t="str">
        <f t="shared" si="429"/>
        <v>#REF!</v>
      </c>
      <c r="Q173" s="168" t="str">
        <f t="shared" si="429"/>
        <v>#REF!</v>
      </c>
      <c r="R173" s="168" t="str">
        <f t="shared" si="429"/>
        <v>#REF!</v>
      </c>
      <c r="S173" s="168" t="str">
        <f t="shared" si="429"/>
        <v>#REF!</v>
      </c>
      <c r="T173" s="168" t="str">
        <f t="shared" si="429"/>
        <v>#REF!</v>
      </c>
      <c r="U173" s="168" t="str">
        <f t="shared" ref="U173:AJ173" si="430">#REF!</f>
        <v>#REF!</v>
      </c>
      <c r="V173" s="168" t="str">
        <f t="shared" si="430"/>
        <v>#REF!</v>
      </c>
      <c r="W173" s="168" t="str">
        <f t="shared" si="430"/>
        <v>#REF!</v>
      </c>
      <c r="X173" s="168" t="str">
        <f t="shared" si="430"/>
        <v>#REF!</v>
      </c>
      <c r="Y173" s="168" t="str">
        <f t="shared" si="430"/>
        <v>#REF!</v>
      </c>
      <c r="Z173" s="168" t="str">
        <f t="shared" si="430"/>
        <v>#REF!</v>
      </c>
      <c r="AA173" s="168" t="str">
        <f t="shared" si="430"/>
        <v>#REF!</v>
      </c>
      <c r="AB173" s="168" t="str">
        <f t="shared" si="430"/>
        <v>#REF!</v>
      </c>
      <c r="AC173" s="168" t="str">
        <f t="shared" si="430"/>
        <v>#REF!</v>
      </c>
      <c r="AD173" s="168" t="str">
        <f t="shared" si="430"/>
        <v>#REF!</v>
      </c>
      <c r="AE173" s="168" t="str">
        <f t="shared" si="430"/>
        <v>#REF!</v>
      </c>
      <c r="AF173" s="168" t="str">
        <f t="shared" si="430"/>
        <v>#REF!</v>
      </c>
      <c r="AG173" s="168" t="str">
        <f t="shared" si="430"/>
        <v>#REF!</v>
      </c>
      <c r="AH173" s="168" t="str">
        <f t="shared" si="430"/>
        <v>#REF!</v>
      </c>
      <c r="AI173" s="168" t="str">
        <f t="shared" si="430"/>
        <v>#REF!</v>
      </c>
      <c r="AJ173" s="168" t="str">
        <f t="shared" si="430"/>
        <v>#REF!</v>
      </c>
    </row>
    <row r="174" ht="15.75" customHeight="1">
      <c r="A174" s="168" t="str">
        <f>if('2026 Pipeline'!$M30=$D$1,'2026 Pipeline'!C30,"")</f>
        <v>#REF!</v>
      </c>
      <c r="B174" s="168" t="str">
        <f t="shared" ref="B174:C174" si="431">if('2026 Pipeline'!$M30=$D$1,'2026 Pipeline'!J30,"")</f>
        <v>#REF!</v>
      </c>
      <c r="C174" s="168" t="str">
        <f t="shared" si="431"/>
        <v>#REF!</v>
      </c>
      <c r="D174" s="168" t="str">
        <f t="shared" ref="D174:F174" si="432">if('2026 Pipeline'!$M30=$D$1,'2026 Pipeline'!M30,"")</f>
        <v>#REF!</v>
      </c>
      <c r="E174" s="168" t="str">
        <f t="shared" si="432"/>
        <v>#REF!</v>
      </c>
      <c r="F174" s="168" t="str">
        <f t="shared" si="432"/>
        <v>#REF!</v>
      </c>
      <c r="G174" s="168" t="str">
        <f>if('2026 Pipeline'!$M30=$D$1,'2026 Pipeline'!Q30,"")</f>
        <v>#REF!</v>
      </c>
      <c r="H174" s="168" t="str">
        <f>if('2026 Pipeline'!$M30=$D$1,'2026 Pipeline'!P30,"")</f>
        <v>#REF!</v>
      </c>
      <c r="I174" s="168" t="str">
        <f>if('2026 Pipeline'!$M30=$D$1,'2026 Pipeline'!R30,"")</f>
        <v>#REF!</v>
      </c>
      <c r="J174" s="168" t="str">
        <f t="shared" ref="J174:L174" si="433">if('2026 Pipeline'!$M30=$D$1,'2026 Pipeline'!V30,"")</f>
        <v>#REF!</v>
      </c>
      <c r="K174" s="168" t="str">
        <f t="shared" si="433"/>
        <v>#REF!</v>
      </c>
      <c r="L174" s="168" t="str">
        <f t="shared" si="433"/>
        <v>#REF!</v>
      </c>
      <c r="M174" s="168" t="str">
        <f t="shared" ref="M174:O174" si="434">if('2026 Pipeline'!$M30=$D$1,#REF!,"")</f>
        <v>#REF!</v>
      </c>
      <c r="N174" s="168" t="str">
        <f t="shared" si="434"/>
        <v>#REF!</v>
      </c>
      <c r="O174" s="168" t="str">
        <f t="shared" si="434"/>
        <v>#REF!</v>
      </c>
      <c r="P174" s="168" t="str">
        <f>if('2026 Pipeline'!$M30=$D$1,'2026 Pipeline'!AA30,"")</f>
        <v>#REF!</v>
      </c>
      <c r="Q174" s="168" t="str">
        <f>if('2026 Pipeline'!$M30=$D$1,'2026 Pipeline'!Y30,"")</f>
        <v>#REF!</v>
      </c>
      <c r="R174" s="168" t="str">
        <f>if('2026 Pipeline'!$M30=$D$1,#REF!,"")</f>
        <v>#REF!</v>
      </c>
      <c r="S174" s="168" t="str">
        <f>if('2026 Pipeline'!$M30=$D$1,'2026 Pipeline'!L30,"")</f>
        <v>#REF!</v>
      </c>
      <c r="T174" s="168" t="str">
        <f>if('2026 Pipeline'!$M30=$D$1,'2026 Pipeline'!CD30,"")</f>
        <v>#REF!</v>
      </c>
      <c r="U174" s="168" t="str">
        <f t="shared" ref="U174:AJ174" si="435">#REF!</f>
        <v>#REF!</v>
      </c>
      <c r="V174" s="168" t="str">
        <f t="shared" si="435"/>
        <v>#REF!</v>
      </c>
      <c r="W174" s="168" t="str">
        <f t="shared" si="435"/>
        <v>#REF!</v>
      </c>
      <c r="X174" s="168" t="str">
        <f t="shared" si="435"/>
        <v>#REF!</v>
      </c>
      <c r="Y174" s="168" t="str">
        <f t="shared" si="435"/>
        <v>#REF!</v>
      </c>
      <c r="Z174" s="168" t="str">
        <f t="shared" si="435"/>
        <v>#REF!</v>
      </c>
      <c r="AA174" s="168" t="str">
        <f t="shared" si="435"/>
        <v>#REF!</v>
      </c>
      <c r="AB174" s="168" t="str">
        <f t="shared" si="435"/>
        <v>#REF!</v>
      </c>
      <c r="AC174" s="168" t="str">
        <f t="shared" si="435"/>
        <v>#REF!</v>
      </c>
      <c r="AD174" s="168" t="str">
        <f t="shared" si="435"/>
        <v>#REF!</v>
      </c>
      <c r="AE174" s="168" t="str">
        <f t="shared" si="435"/>
        <v>#REF!</v>
      </c>
      <c r="AF174" s="168" t="str">
        <f t="shared" si="435"/>
        <v>#REF!</v>
      </c>
      <c r="AG174" s="168" t="str">
        <f t="shared" si="435"/>
        <v>#REF!</v>
      </c>
      <c r="AH174" s="168" t="str">
        <f t="shared" si="435"/>
        <v>#REF!</v>
      </c>
      <c r="AI174" s="168" t="str">
        <f t="shared" si="435"/>
        <v>#REF!</v>
      </c>
      <c r="AJ174" s="168" t="str">
        <f t="shared" si="435"/>
        <v>#REF!</v>
      </c>
    </row>
    <row r="175" ht="15.75" customHeight="1">
      <c r="A175" s="168" t="str">
        <f t="shared" ref="A175:T175" si="436">if(#REF!=$D$1,#REF!,"")</f>
        <v>#REF!</v>
      </c>
      <c r="B175" s="168" t="str">
        <f t="shared" si="436"/>
        <v>#REF!</v>
      </c>
      <c r="C175" s="168" t="str">
        <f t="shared" si="436"/>
        <v>#REF!</v>
      </c>
      <c r="D175" s="168" t="str">
        <f t="shared" si="436"/>
        <v>#REF!</v>
      </c>
      <c r="E175" s="168" t="str">
        <f t="shared" si="436"/>
        <v>#REF!</v>
      </c>
      <c r="F175" s="168" t="str">
        <f t="shared" si="436"/>
        <v>#REF!</v>
      </c>
      <c r="G175" s="168" t="str">
        <f t="shared" si="436"/>
        <v>#REF!</v>
      </c>
      <c r="H175" s="168" t="str">
        <f t="shared" si="436"/>
        <v>#REF!</v>
      </c>
      <c r="I175" s="168" t="str">
        <f t="shared" si="436"/>
        <v>#REF!</v>
      </c>
      <c r="J175" s="168" t="str">
        <f t="shared" si="436"/>
        <v>#REF!</v>
      </c>
      <c r="K175" s="168" t="str">
        <f t="shared" si="436"/>
        <v>#REF!</v>
      </c>
      <c r="L175" s="168" t="str">
        <f t="shared" si="436"/>
        <v>#REF!</v>
      </c>
      <c r="M175" s="168" t="str">
        <f t="shared" si="436"/>
        <v>#REF!</v>
      </c>
      <c r="N175" s="168" t="str">
        <f t="shared" si="436"/>
        <v>#REF!</v>
      </c>
      <c r="O175" s="168" t="str">
        <f t="shared" si="436"/>
        <v>#REF!</v>
      </c>
      <c r="P175" s="168" t="str">
        <f t="shared" si="436"/>
        <v>#REF!</v>
      </c>
      <c r="Q175" s="168" t="str">
        <f t="shared" si="436"/>
        <v>#REF!</v>
      </c>
      <c r="R175" s="168" t="str">
        <f t="shared" si="436"/>
        <v>#REF!</v>
      </c>
      <c r="S175" s="168" t="str">
        <f t="shared" si="436"/>
        <v>#REF!</v>
      </c>
      <c r="T175" s="168" t="str">
        <f t="shared" si="436"/>
        <v>#REF!</v>
      </c>
      <c r="U175" s="168" t="str">
        <f t="shared" ref="U175:AJ175" si="437">#REF!</f>
        <v>#REF!</v>
      </c>
      <c r="V175" s="168" t="str">
        <f t="shared" si="437"/>
        <v>#REF!</v>
      </c>
      <c r="W175" s="168" t="str">
        <f t="shared" si="437"/>
        <v>#REF!</v>
      </c>
      <c r="X175" s="168" t="str">
        <f t="shared" si="437"/>
        <v>#REF!</v>
      </c>
      <c r="Y175" s="168" t="str">
        <f t="shared" si="437"/>
        <v>#REF!</v>
      </c>
      <c r="Z175" s="168" t="str">
        <f t="shared" si="437"/>
        <v>#REF!</v>
      </c>
      <c r="AA175" s="168" t="str">
        <f t="shared" si="437"/>
        <v>#REF!</v>
      </c>
      <c r="AB175" s="168" t="str">
        <f t="shared" si="437"/>
        <v>#REF!</v>
      </c>
      <c r="AC175" s="168" t="str">
        <f t="shared" si="437"/>
        <v>#REF!</v>
      </c>
      <c r="AD175" s="168" t="str">
        <f t="shared" si="437"/>
        <v>#REF!</v>
      </c>
      <c r="AE175" s="168" t="str">
        <f t="shared" si="437"/>
        <v>#REF!</v>
      </c>
      <c r="AF175" s="168" t="str">
        <f t="shared" si="437"/>
        <v>#REF!</v>
      </c>
      <c r="AG175" s="168" t="str">
        <f t="shared" si="437"/>
        <v>#REF!</v>
      </c>
      <c r="AH175" s="168" t="str">
        <f t="shared" si="437"/>
        <v>#REF!</v>
      </c>
      <c r="AI175" s="168" t="str">
        <f t="shared" si="437"/>
        <v>#REF!</v>
      </c>
      <c r="AJ175" s="168" t="str">
        <f t="shared" si="437"/>
        <v>#REF!</v>
      </c>
    </row>
    <row r="176" ht="15.75" customHeight="1">
      <c r="A176" s="168" t="str">
        <f t="shared" ref="A176:T176" si="438">if(#REF!=$D$1,#REF!,"")</f>
        <v>#REF!</v>
      </c>
      <c r="B176" s="168" t="str">
        <f t="shared" si="438"/>
        <v>#REF!</v>
      </c>
      <c r="C176" s="168" t="str">
        <f t="shared" si="438"/>
        <v>#REF!</v>
      </c>
      <c r="D176" s="168" t="str">
        <f t="shared" si="438"/>
        <v>#REF!</v>
      </c>
      <c r="E176" s="168" t="str">
        <f t="shared" si="438"/>
        <v>#REF!</v>
      </c>
      <c r="F176" s="168" t="str">
        <f t="shared" si="438"/>
        <v>#REF!</v>
      </c>
      <c r="G176" s="168" t="str">
        <f t="shared" si="438"/>
        <v>#REF!</v>
      </c>
      <c r="H176" s="168" t="str">
        <f t="shared" si="438"/>
        <v>#REF!</v>
      </c>
      <c r="I176" s="168" t="str">
        <f t="shared" si="438"/>
        <v>#REF!</v>
      </c>
      <c r="J176" s="168" t="str">
        <f t="shared" si="438"/>
        <v>#REF!</v>
      </c>
      <c r="K176" s="168" t="str">
        <f t="shared" si="438"/>
        <v>#REF!</v>
      </c>
      <c r="L176" s="168" t="str">
        <f t="shared" si="438"/>
        <v>#REF!</v>
      </c>
      <c r="M176" s="168" t="str">
        <f t="shared" si="438"/>
        <v>#REF!</v>
      </c>
      <c r="N176" s="168" t="str">
        <f t="shared" si="438"/>
        <v>#REF!</v>
      </c>
      <c r="O176" s="168" t="str">
        <f t="shared" si="438"/>
        <v>#REF!</v>
      </c>
      <c r="P176" s="168" t="str">
        <f t="shared" si="438"/>
        <v>#REF!</v>
      </c>
      <c r="Q176" s="168" t="str">
        <f t="shared" si="438"/>
        <v>#REF!</v>
      </c>
      <c r="R176" s="168" t="str">
        <f t="shared" si="438"/>
        <v>#REF!</v>
      </c>
      <c r="S176" s="168" t="str">
        <f t="shared" si="438"/>
        <v>#REF!</v>
      </c>
      <c r="T176" s="168" t="str">
        <f t="shared" si="438"/>
        <v>#REF!</v>
      </c>
      <c r="U176" s="168" t="str">
        <f>'2026 Pipeline'!AP30</f>
        <v>#REF!</v>
      </c>
      <c r="V176" s="168" t="str">
        <f t="shared" ref="V176:Z176" si="439">'2026 Pipeline'!CJ30</f>
        <v>#REF!</v>
      </c>
      <c r="W176" s="168" t="str">
        <f t="shared" si="439"/>
        <v>#REF!</v>
      </c>
      <c r="X176" s="168" t="str">
        <f t="shared" si="439"/>
        <v>#REF!</v>
      </c>
      <c r="Y176" s="168" t="str">
        <f t="shared" si="439"/>
        <v>#REF!</v>
      </c>
      <c r="Z176" s="168" t="str">
        <f t="shared" si="439"/>
        <v>#REF!</v>
      </c>
      <c r="AA176" s="168" t="str">
        <f t="shared" ref="AA176:AF176" si="440">#REF!</f>
        <v>#REF!</v>
      </c>
      <c r="AB176" s="168" t="str">
        <f t="shared" si="440"/>
        <v>#REF!</v>
      </c>
      <c r="AC176" s="168" t="str">
        <f t="shared" si="440"/>
        <v>#REF!</v>
      </c>
      <c r="AD176" s="168" t="str">
        <f t="shared" si="440"/>
        <v>#REF!</v>
      </c>
      <c r="AE176" s="168" t="str">
        <f t="shared" si="440"/>
        <v>#REF!</v>
      </c>
      <c r="AF176" s="168" t="str">
        <f t="shared" si="440"/>
        <v>#REF!</v>
      </c>
      <c r="AG176" s="168" t="str">
        <f>'2026 Pipeline'!CT30</f>
        <v>#REF!</v>
      </c>
      <c r="AH176" s="168" t="str">
        <f>'2026 Pipeline'!S30</f>
        <v>#REF!</v>
      </c>
      <c r="AI176" s="168" t="str">
        <f t="shared" ref="AI176:AJ176" si="441">#REF!</f>
        <v>#REF!</v>
      </c>
      <c r="AJ176" s="168" t="str">
        <f t="shared" si="441"/>
        <v>#REF!</v>
      </c>
    </row>
    <row r="177" ht="15.75" customHeight="1">
      <c r="A177" s="168" t="str">
        <f t="shared" ref="A177:T177" si="442">if(#REF!=$D$1,#REF!,"")</f>
        <v>#REF!</v>
      </c>
      <c r="B177" s="168" t="str">
        <f t="shared" si="442"/>
        <v>#REF!</v>
      </c>
      <c r="C177" s="168" t="str">
        <f t="shared" si="442"/>
        <v>#REF!</v>
      </c>
      <c r="D177" s="168" t="str">
        <f t="shared" si="442"/>
        <v>#REF!</v>
      </c>
      <c r="E177" s="168" t="str">
        <f t="shared" si="442"/>
        <v>#REF!</v>
      </c>
      <c r="F177" s="168" t="str">
        <f t="shared" si="442"/>
        <v>#REF!</v>
      </c>
      <c r="G177" s="168" t="str">
        <f t="shared" si="442"/>
        <v>#REF!</v>
      </c>
      <c r="H177" s="168" t="str">
        <f t="shared" si="442"/>
        <v>#REF!</v>
      </c>
      <c r="I177" s="168" t="str">
        <f t="shared" si="442"/>
        <v>#REF!</v>
      </c>
      <c r="J177" s="168" t="str">
        <f t="shared" si="442"/>
        <v>#REF!</v>
      </c>
      <c r="K177" s="168" t="str">
        <f t="shared" si="442"/>
        <v>#REF!</v>
      </c>
      <c r="L177" s="168" t="str">
        <f t="shared" si="442"/>
        <v>#REF!</v>
      </c>
      <c r="M177" s="168" t="str">
        <f t="shared" si="442"/>
        <v>#REF!</v>
      </c>
      <c r="N177" s="168" t="str">
        <f t="shared" si="442"/>
        <v>#REF!</v>
      </c>
      <c r="O177" s="168" t="str">
        <f t="shared" si="442"/>
        <v>#REF!</v>
      </c>
      <c r="P177" s="168" t="str">
        <f t="shared" si="442"/>
        <v>#REF!</v>
      </c>
      <c r="Q177" s="168" t="str">
        <f t="shared" si="442"/>
        <v>#REF!</v>
      </c>
      <c r="R177" s="168" t="str">
        <f t="shared" si="442"/>
        <v>#REF!</v>
      </c>
      <c r="S177" s="168" t="str">
        <f t="shared" si="442"/>
        <v>#REF!</v>
      </c>
      <c r="T177" s="168" t="str">
        <f t="shared" si="442"/>
        <v>#REF!</v>
      </c>
      <c r="U177" s="168" t="str">
        <f t="shared" ref="U177:AJ177" si="443">#REF!</f>
        <v>#REF!</v>
      </c>
      <c r="V177" s="168" t="str">
        <f t="shared" si="443"/>
        <v>#REF!</v>
      </c>
      <c r="W177" s="168" t="str">
        <f t="shared" si="443"/>
        <v>#REF!</v>
      </c>
      <c r="X177" s="168" t="str">
        <f t="shared" si="443"/>
        <v>#REF!</v>
      </c>
      <c r="Y177" s="168" t="str">
        <f t="shared" si="443"/>
        <v>#REF!</v>
      </c>
      <c r="Z177" s="168" t="str">
        <f t="shared" si="443"/>
        <v>#REF!</v>
      </c>
      <c r="AA177" s="168" t="str">
        <f t="shared" si="443"/>
        <v>#REF!</v>
      </c>
      <c r="AB177" s="168" t="str">
        <f t="shared" si="443"/>
        <v>#REF!</v>
      </c>
      <c r="AC177" s="168" t="str">
        <f t="shared" si="443"/>
        <v>#REF!</v>
      </c>
      <c r="AD177" s="168" t="str">
        <f t="shared" si="443"/>
        <v>#REF!</v>
      </c>
      <c r="AE177" s="168" t="str">
        <f t="shared" si="443"/>
        <v>#REF!</v>
      </c>
      <c r="AF177" s="168" t="str">
        <f t="shared" si="443"/>
        <v>#REF!</v>
      </c>
      <c r="AG177" s="168" t="str">
        <f t="shared" si="443"/>
        <v>#REF!</v>
      </c>
      <c r="AH177" s="168" t="str">
        <f t="shared" si="443"/>
        <v>#REF!</v>
      </c>
      <c r="AI177" s="168" t="str">
        <f t="shared" si="443"/>
        <v>#REF!</v>
      </c>
      <c r="AJ177" s="168" t="str">
        <f t="shared" si="443"/>
        <v>#REF!</v>
      </c>
    </row>
    <row r="178" ht="15.75" customHeight="1">
      <c r="A178" s="168" t="str">
        <f t="shared" ref="A178:T178" si="444">if(#REF!=$D$1,#REF!,"")</f>
        <v>#REF!</v>
      </c>
      <c r="B178" s="168" t="str">
        <f t="shared" si="444"/>
        <v>#REF!</v>
      </c>
      <c r="C178" s="168" t="str">
        <f t="shared" si="444"/>
        <v>#REF!</v>
      </c>
      <c r="D178" s="168" t="str">
        <f t="shared" si="444"/>
        <v>#REF!</v>
      </c>
      <c r="E178" s="168" t="str">
        <f t="shared" si="444"/>
        <v>#REF!</v>
      </c>
      <c r="F178" s="168" t="str">
        <f t="shared" si="444"/>
        <v>#REF!</v>
      </c>
      <c r="G178" s="168" t="str">
        <f t="shared" si="444"/>
        <v>#REF!</v>
      </c>
      <c r="H178" s="168" t="str">
        <f t="shared" si="444"/>
        <v>#REF!</v>
      </c>
      <c r="I178" s="168" t="str">
        <f t="shared" si="444"/>
        <v>#REF!</v>
      </c>
      <c r="J178" s="168" t="str">
        <f t="shared" si="444"/>
        <v>#REF!</v>
      </c>
      <c r="K178" s="168" t="str">
        <f t="shared" si="444"/>
        <v>#REF!</v>
      </c>
      <c r="L178" s="168" t="str">
        <f t="shared" si="444"/>
        <v>#REF!</v>
      </c>
      <c r="M178" s="168" t="str">
        <f t="shared" si="444"/>
        <v>#REF!</v>
      </c>
      <c r="N178" s="168" t="str">
        <f t="shared" si="444"/>
        <v>#REF!</v>
      </c>
      <c r="O178" s="168" t="str">
        <f t="shared" si="444"/>
        <v>#REF!</v>
      </c>
      <c r="P178" s="168" t="str">
        <f t="shared" si="444"/>
        <v>#REF!</v>
      </c>
      <c r="Q178" s="168" t="str">
        <f t="shared" si="444"/>
        <v>#REF!</v>
      </c>
      <c r="R178" s="168" t="str">
        <f t="shared" si="444"/>
        <v>#REF!</v>
      </c>
      <c r="S178" s="168" t="str">
        <f t="shared" si="444"/>
        <v>#REF!</v>
      </c>
      <c r="T178" s="168" t="str">
        <f t="shared" si="444"/>
        <v>#REF!</v>
      </c>
      <c r="U178" s="168" t="str">
        <f t="shared" ref="U178:AJ178" si="445">#REF!</f>
        <v>#REF!</v>
      </c>
      <c r="V178" s="168" t="str">
        <f t="shared" si="445"/>
        <v>#REF!</v>
      </c>
      <c r="W178" s="168" t="str">
        <f t="shared" si="445"/>
        <v>#REF!</v>
      </c>
      <c r="X178" s="168" t="str">
        <f t="shared" si="445"/>
        <v>#REF!</v>
      </c>
      <c r="Y178" s="168" t="str">
        <f t="shared" si="445"/>
        <v>#REF!</v>
      </c>
      <c r="Z178" s="168" t="str">
        <f t="shared" si="445"/>
        <v>#REF!</v>
      </c>
      <c r="AA178" s="168" t="str">
        <f t="shared" si="445"/>
        <v>#REF!</v>
      </c>
      <c r="AB178" s="168" t="str">
        <f t="shared" si="445"/>
        <v>#REF!</v>
      </c>
      <c r="AC178" s="168" t="str">
        <f t="shared" si="445"/>
        <v>#REF!</v>
      </c>
      <c r="AD178" s="168" t="str">
        <f t="shared" si="445"/>
        <v>#REF!</v>
      </c>
      <c r="AE178" s="168" t="str">
        <f t="shared" si="445"/>
        <v>#REF!</v>
      </c>
      <c r="AF178" s="168" t="str">
        <f t="shared" si="445"/>
        <v>#REF!</v>
      </c>
      <c r="AG178" s="168" t="str">
        <f t="shared" si="445"/>
        <v>#REF!</v>
      </c>
      <c r="AH178" s="168" t="str">
        <f t="shared" si="445"/>
        <v>#REF!</v>
      </c>
      <c r="AI178" s="168" t="str">
        <f t="shared" si="445"/>
        <v>#REF!</v>
      </c>
      <c r="AJ178" s="168" t="str">
        <f t="shared" si="445"/>
        <v>#REF!</v>
      </c>
    </row>
    <row r="179" ht="15.75" customHeight="1">
      <c r="A179" s="168" t="str">
        <f t="shared" ref="A179:T179" si="446">if(#REF!=$D$1,#REF!,"")</f>
        <v>#REF!</v>
      </c>
      <c r="B179" s="168" t="str">
        <f t="shared" si="446"/>
        <v>#REF!</v>
      </c>
      <c r="C179" s="168" t="str">
        <f t="shared" si="446"/>
        <v>#REF!</v>
      </c>
      <c r="D179" s="168" t="str">
        <f t="shared" si="446"/>
        <v>#REF!</v>
      </c>
      <c r="E179" s="168" t="str">
        <f t="shared" si="446"/>
        <v>#REF!</v>
      </c>
      <c r="F179" s="168" t="str">
        <f t="shared" si="446"/>
        <v>#REF!</v>
      </c>
      <c r="G179" s="168" t="str">
        <f t="shared" si="446"/>
        <v>#REF!</v>
      </c>
      <c r="H179" s="168" t="str">
        <f t="shared" si="446"/>
        <v>#REF!</v>
      </c>
      <c r="I179" s="168" t="str">
        <f t="shared" si="446"/>
        <v>#REF!</v>
      </c>
      <c r="J179" s="168" t="str">
        <f t="shared" si="446"/>
        <v>#REF!</v>
      </c>
      <c r="K179" s="168" t="str">
        <f t="shared" si="446"/>
        <v>#REF!</v>
      </c>
      <c r="L179" s="168" t="str">
        <f t="shared" si="446"/>
        <v>#REF!</v>
      </c>
      <c r="M179" s="168" t="str">
        <f t="shared" si="446"/>
        <v>#REF!</v>
      </c>
      <c r="N179" s="168" t="str">
        <f t="shared" si="446"/>
        <v>#REF!</v>
      </c>
      <c r="O179" s="168" t="str">
        <f t="shared" si="446"/>
        <v>#REF!</v>
      </c>
      <c r="P179" s="168" t="str">
        <f t="shared" si="446"/>
        <v>#REF!</v>
      </c>
      <c r="Q179" s="168" t="str">
        <f t="shared" si="446"/>
        <v>#REF!</v>
      </c>
      <c r="R179" s="168" t="str">
        <f t="shared" si="446"/>
        <v>#REF!</v>
      </c>
      <c r="S179" s="168" t="str">
        <f t="shared" si="446"/>
        <v>#REF!</v>
      </c>
      <c r="T179" s="168" t="str">
        <f t="shared" si="446"/>
        <v>#REF!</v>
      </c>
      <c r="U179" s="168" t="str">
        <f t="shared" ref="U179:AJ179" si="447">#REF!</f>
        <v>#REF!</v>
      </c>
      <c r="V179" s="168" t="str">
        <f t="shared" si="447"/>
        <v>#REF!</v>
      </c>
      <c r="W179" s="168" t="str">
        <f t="shared" si="447"/>
        <v>#REF!</v>
      </c>
      <c r="X179" s="168" t="str">
        <f t="shared" si="447"/>
        <v>#REF!</v>
      </c>
      <c r="Y179" s="168" t="str">
        <f t="shared" si="447"/>
        <v>#REF!</v>
      </c>
      <c r="Z179" s="168" t="str">
        <f t="shared" si="447"/>
        <v>#REF!</v>
      </c>
      <c r="AA179" s="168" t="str">
        <f t="shared" si="447"/>
        <v>#REF!</v>
      </c>
      <c r="AB179" s="168" t="str">
        <f t="shared" si="447"/>
        <v>#REF!</v>
      </c>
      <c r="AC179" s="168" t="str">
        <f t="shared" si="447"/>
        <v>#REF!</v>
      </c>
      <c r="AD179" s="168" t="str">
        <f t="shared" si="447"/>
        <v>#REF!</v>
      </c>
      <c r="AE179" s="168" t="str">
        <f t="shared" si="447"/>
        <v>#REF!</v>
      </c>
      <c r="AF179" s="168" t="str">
        <f t="shared" si="447"/>
        <v>#REF!</v>
      </c>
      <c r="AG179" s="168" t="str">
        <f t="shared" si="447"/>
        <v>#REF!</v>
      </c>
      <c r="AH179" s="168" t="str">
        <f t="shared" si="447"/>
        <v>#REF!</v>
      </c>
      <c r="AI179" s="168" t="str">
        <f t="shared" si="447"/>
        <v>#REF!</v>
      </c>
      <c r="AJ179" s="168" t="str">
        <f t="shared" si="447"/>
        <v>#REF!</v>
      </c>
    </row>
    <row r="180" ht="15.75" customHeight="1">
      <c r="A180" s="168" t="str">
        <f>if('2026 Pipeline'!$M31=$D$1,'2026 Pipeline'!C31,"")</f>
        <v>#REF!</v>
      </c>
      <c r="B180" s="168" t="str">
        <f t="shared" ref="B180:C180" si="448">if('2026 Pipeline'!$M31=$D$1,'2026 Pipeline'!J31,"")</f>
        <v>#REF!</v>
      </c>
      <c r="C180" s="168" t="str">
        <f t="shared" si="448"/>
        <v>#REF!</v>
      </c>
      <c r="D180" s="168" t="str">
        <f t="shared" ref="D180:F180" si="449">if('2026 Pipeline'!$M31=$D$1,'2026 Pipeline'!M31,"")</f>
        <v>#REF!</v>
      </c>
      <c r="E180" s="168" t="str">
        <f t="shared" si="449"/>
        <v>#REF!</v>
      </c>
      <c r="F180" s="168" t="str">
        <f t="shared" si="449"/>
        <v>#REF!</v>
      </c>
      <c r="G180" s="168" t="str">
        <f>if('2026 Pipeline'!$M31=$D$1,'2026 Pipeline'!Q31,"")</f>
        <v>#REF!</v>
      </c>
      <c r="H180" s="168" t="str">
        <f>if('2026 Pipeline'!$M31=$D$1,'2026 Pipeline'!P31,"")</f>
        <v>#REF!</v>
      </c>
      <c r="I180" s="168" t="str">
        <f>if('2026 Pipeline'!$M31=$D$1,'2026 Pipeline'!R31,"")</f>
        <v>#REF!</v>
      </c>
      <c r="J180" s="168" t="str">
        <f t="shared" ref="J180:L180" si="450">if('2026 Pipeline'!$M31=$D$1,'2026 Pipeline'!V31,"")</f>
        <v>#REF!</v>
      </c>
      <c r="K180" s="168" t="str">
        <f t="shared" si="450"/>
        <v>#REF!</v>
      </c>
      <c r="L180" s="168" t="str">
        <f t="shared" si="450"/>
        <v>#REF!</v>
      </c>
      <c r="M180" s="168" t="str">
        <f t="shared" ref="M180:O180" si="451">if('2026 Pipeline'!$M31=$D$1,#REF!,"")</f>
        <v>#REF!</v>
      </c>
      <c r="N180" s="168" t="str">
        <f t="shared" si="451"/>
        <v>#REF!</v>
      </c>
      <c r="O180" s="168" t="str">
        <f t="shared" si="451"/>
        <v>#REF!</v>
      </c>
      <c r="P180" s="168" t="str">
        <f>if('2026 Pipeline'!$M31=$D$1,'2026 Pipeline'!AA31,"")</f>
        <v>#REF!</v>
      </c>
      <c r="Q180" s="168" t="str">
        <f>if('2026 Pipeline'!$M31=$D$1,'2026 Pipeline'!Y31,"")</f>
        <v>#REF!</v>
      </c>
      <c r="R180" s="168" t="str">
        <f>if('2026 Pipeline'!$M31=$D$1,#REF!,"")</f>
        <v>#REF!</v>
      </c>
      <c r="S180" s="168" t="str">
        <f>if('2026 Pipeline'!$M31=$D$1,'2026 Pipeline'!L31,"")</f>
        <v>#REF!</v>
      </c>
      <c r="T180" s="168" t="str">
        <f>if('2026 Pipeline'!$M31=$D$1,'2026 Pipeline'!CD31,"")</f>
        <v>#REF!</v>
      </c>
      <c r="U180" s="168" t="str">
        <f t="shared" ref="U180:AJ180" si="452">#REF!</f>
        <v>#REF!</v>
      </c>
      <c r="V180" s="168" t="str">
        <f t="shared" si="452"/>
        <v>#REF!</v>
      </c>
      <c r="W180" s="168" t="str">
        <f t="shared" si="452"/>
        <v>#REF!</v>
      </c>
      <c r="X180" s="168" t="str">
        <f t="shared" si="452"/>
        <v>#REF!</v>
      </c>
      <c r="Y180" s="168" t="str">
        <f t="shared" si="452"/>
        <v>#REF!</v>
      </c>
      <c r="Z180" s="168" t="str">
        <f t="shared" si="452"/>
        <v>#REF!</v>
      </c>
      <c r="AA180" s="168" t="str">
        <f t="shared" si="452"/>
        <v>#REF!</v>
      </c>
      <c r="AB180" s="168" t="str">
        <f t="shared" si="452"/>
        <v>#REF!</v>
      </c>
      <c r="AC180" s="168" t="str">
        <f t="shared" si="452"/>
        <v>#REF!</v>
      </c>
      <c r="AD180" s="168" t="str">
        <f t="shared" si="452"/>
        <v>#REF!</v>
      </c>
      <c r="AE180" s="168" t="str">
        <f t="shared" si="452"/>
        <v>#REF!</v>
      </c>
      <c r="AF180" s="168" t="str">
        <f t="shared" si="452"/>
        <v>#REF!</v>
      </c>
      <c r="AG180" s="168" t="str">
        <f t="shared" si="452"/>
        <v>#REF!</v>
      </c>
      <c r="AH180" s="168" t="str">
        <f t="shared" si="452"/>
        <v>#REF!</v>
      </c>
      <c r="AI180" s="168" t="str">
        <f t="shared" si="452"/>
        <v>#REF!</v>
      </c>
      <c r="AJ180" s="168" t="str">
        <f t="shared" si="452"/>
        <v>#REF!</v>
      </c>
    </row>
    <row r="181" ht="15.75" customHeight="1">
      <c r="A181" s="168" t="str">
        <f t="shared" ref="A181:T181" si="453">if(#REF!=$D$1,#REF!,"")</f>
        <v>#REF!</v>
      </c>
      <c r="B181" s="168" t="str">
        <f t="shared" si="453"/>
        <v>#REF!</v>
      </c>
      <c r="C181" s="168" t="str">
        <f t="shared" si="453"/>
        <v>#REF!</v>
      </c>
      <c r="D181" s="168" t="str">
        <f t="shared" si="453"/>
        <v>#REF!</v>
      </c>
      <c r="E181" s="168" t="str">
        <f t="shared" si="453"/>
        <v>#REF!</v>
      </c>
      <c r="F181" s="168" t="str">
        <f t="shared" si="453"/>
        <v>#REF!</v>
      </c>
      <c r="G181" s="168" t="str">
        <f t="shared" si="453"/>
        <v>#REF!</v>
      </c>
      <c r="H181" s="168" t="str">
        <f t="shared" si="453"/>
        <v>#REF!</v>
      </c>
      <c r="I181" s="168" t="str">
        <f t="shared" si="453"/>
        <v>#REF!</v>
      </c>
      <c r="J181" s="168" t="str">
        <f t="shared" si="453"/>
        <v>#REF!</v>
      </c>
      <c r="K181" s="168" t="str">
        <f t="shared" si="453"/>
        <v>#REF!</v>
      </c>
      <c r="L181" s="168" t="str">
        <f t="shared" si="453"/>
        <v>#REF!</v>
      </c>
      <c r="M181" s="168" t="str">
        <f t="shared" si="453"/>
        <v>#REF!</v>
      </c>
      <c r="N181" s="168" t="str">
        <f t="shared" si="453"/>
        <v>#REF!</v>
      </c>
      <c r="O181" s="168" t="str">
        <f t="shared" si="453"/>
        <v>#REF!</v>
      </c>
      <c r="P181" s="168" t="str">
        <f t="shared" si="453"/>
        <v>#REF!</v>
      </c>
      <c r="Q181" s="168" t="str">
        <f t="shared" si="453"/>
        <v>#REF!</v>
      </c>
      <c r="R181" s="168" t="str">
        <f t="shared" si="453"/>
        <v>#REF!</v>
      </c>
      <c r="S181" s="168" t="str">
        <f t="shared" si="453"/>
        <v>#REF!</v>
      </c>
      <c r="T181" s="168" t="str">
        <f t="shared" si="453"/>
        <v>#REF!</v>
      </c>
      <c r="U181" s="168" t="str">
        <f t="shared" ref="U181:AJ181" si="454">#REF!</f>
        <v>#REF!</v>
      </c>
      <c r="V181" s="168" t="str">
        <f t="shared" si="454"/>
        <v>#REF!</v>
      </c>
      <c r="W181" s="168" t="str">
        <f t="shared" si="454"/>
        <v>#REF!</v>
      </c>
      <c r="X181" s="168" t="str">
        <f t="shared" si="454"/>
        <v>#REF!</v>
      </c>
      <c r="Y181" s="168" t="str">
        <f t="shared" si="454"/>
        <v>#REF!</v>
      </c>
      <c r="Z181" s="168" t="str">
        <f t="shared" si="454"/>
        <v>#REF!</v>
      </c>
      <c r="AA181" s="168" t="str">
        <f t="shared" si="454"/>
        <v>#REF!</v>
      </c>
      <c r="AB181" s="168" t="str">
        <f t="shared" si="454"/>
        <v>#REF!</v>
      </c>
      <c r="AC181" s="168" t="str">
        <f t="shared" si="454"/>
        <v>#REF!</v>
      </c>
      <c r="AD181" s="168" t="str">
        <f t="shared" si="454"/>
        <v>#REF!</v>
      </c>
      <c r="AE181" s="168" t="str">
        <f t="shared" si="454"/>
        <v>#REF!</v>
      </c>
      <c r="AF181" s="168" t="str">
        <f t="shared" si="454"/>
        <v>#REF!</v>
      </c>
      <c r="AG181" s="168" t="str">
        <f t="shared" si="454"/>
        <v>#REF!</v>
      </c>
      <c r="AH181" s="168" t="str">
        <f t="shared" si="454"/>
        <v>#REF!</v>
      </c>
      <c r="AI181" s="168" t="str">
        <f t="shared" si="454"/>
        <v>#REF!</v>
      </c>
      <c r="AJ181" s="168" t="str">
        <f t="shared" si="454"/>
        <v>#REF!</v>
      </c>
    </row>
    <row r="182" ht="15.75" customHeight="1">
      <c r="A182" s="168" t="str">
        <f t="shared" ref="A182:T182" si="455">if(#REF!=$D$1,#REF!,"")</f>
        <v>#REF!</v>
      </c>
      <c r="B182" s="168" t="str">
        <f t="shared" si="455"/>
        <v>#REF!</v>
      </c>
      <c r="C182" s="168" t="str">
        <f t="shared" si="455"/>
        <v>#REF!</v>
      </c>
      <c r="D182" s="168" t="str">
        <f t="shared" si="455"/>
        <v>#REF!</v>
      </c>
      <c r="E182" s="168" t="str">
        <f t="shared" si="455"/>
        <v>#REF!</v>
      </c>
      <c r="F182" s="168" t="str">
        <f t="shared" si="455"/>
        <v>#REF!</v>
      </c>
      <c r="G182" s="168" t="str">
        <f t="shared" si="455"/>
        <v>#REF!</v>
      </c>
      <c r="H182" s="168" t="str">
        <f t="shared" si="455"/>
        <v>#REF!</v>
      </c>
      <c r="I182" s="168" t="str">
        <f t="shared" si="455"/>
        <v>#REF!</v>
      </c>
      <c r="J182" s="168" t="str">
        <f t="shared" si="455"/>
        <v>#REF!</v>
      </c>
      <c r="K182" s="168" t="str">
        <f t="shared" si="455"/>
        <v>#REF!</v>
      </c>
      <c r="L182" s="168" t="str">
        <f t="shared" si="455"/>
        <v>#REF!</v>
      </c>
      <c r="M182" s="168" t="str">
        <f t="shared" si="455"/>
        <v>#REF!</v>
      </c>
      <c r="N182" s="168" t="str">
        <f t="shared" si="455"/>
        <v>#REF!</v>
      </c>
      <c r="O182" s="168" t="str">
        <f t="shared" si="455"/>
        <v>#REF!</v>
      </c>
      <c r="P182" s="168" t="str">
        <f t="shared" si="455"/>
        <v>#REF!</v>
      </c>
      <c r="Q182" s="168" t="str">
        <f t="shared" si="455"/>
        <v>#REF!</v>
      </c>
      <c r="R182" s="168" t="str">
        <f t="shared" si="455"/>
        <v>#REF!</v>
      </c>
      <c r="S182" s="168" t="str">
        <f t="shared" si="455"/>
        <v>#REF!</v>
      </c>
      <c r="T182" s="168" t="str">
        <f t="shared" si="455"/>
        <v>#REF!</v>
      </c>
      <c r="U182" s="168" t="str">
        <f>'2026 Pipeline'!AP31</f>
        <v>#REF!</v>
      </c>
      <c r="V182" s="168" t="str">
        <f t="shared" ref="V182:Z182" si="456">'2026 Pipeline'!CJ31</f>
        <v>#REF!</v>
      </c>
      <c r="W182" s="168" t="str">
        <f t="shared" si="456"/>
        <v>#REF!</v>
      </c>
      <c r="X182" s="168" t="str">
        <f t="shared" si="456"/>
        <v>#REF!</v>
      </c>
      <c r="Y182" s="168" t="str">
        <f t="shared" si="456"/>
        <v>#REF!</v>
      </c>
      <c r="Z182" s="168" t="str">
        <f t="shared" si="456"/>
        <v>#REF!</v>
      </c>
      <c r="AA182" s="168" t="str">
        <f t="shared" ref="AA182:AF182" si="457">#REF!</f>
        <v>#REF!</v>
      </c>
      <c r="AB182" s="168" t="str">
        <f t="shared" si="457"/>
        <v>#REF!</v>
      </c>
      <c r="AC182" s="168" t="str">
        <f t="shared" si="457"/>
        <v>#REF!</v>
      </c>
      <c r="AD182" s="168" t="str">
        <f t="shared" si="457"/>
        <v>#REF!</v>
      </c>
      <c r="AE182" s="168" t="str">
        <f t="shared" si="457"/>
        <v>#REF!</v>
      </c>
      <c r="AF182" s="168" t="str">
        <f t="shared" si="457"/>
        <v>#REF!</v>
      </c>
      <c r="AG182" s="168" t="str">
        <f>'2026 Pipeline'!CT31</f>
        <v>#REF!</v>
      </c>
      <c r="AH182" s="168" t="str">
        <f>'2026 Pipeline'!S31</f>
        <v>#REF!</v>
      </c>
      <c r="AI182" s="168" t="str">
        <f t="shared" ref="AI182:AJ182" si="458">#REF!</f>
        <v>#REF!</v>
      </c>
      <c r="AJ182" s="168" t="str">
        <f t="shared" si="458"/>
        <v>#REF!</v>
      </c>
    </row>
    <row r="183" ht="15.75" customHeight="1">
      <c r="A183" s="168" t="str">
        <f t="shared" ref="A183:T183" si="459">if(#REF!=$D$1,#REF!,"")</f>
        <v>#REF!</v>
      </c>
      <c r="B183" s="168" t="str">
        <f t="shared" si="459"/>
        <v>#REF!</v>
      </c>
      <c r="C183" s="168" t="str">
        <f t="shared" si="459"/>
        <v>#REF!</v>
      </c>
      <c r="D183" s="168" t="str">
        <f t="shared" si="459"/>
        <v>#REF!</v>
      </c>
      <c r="E183" s="168" t="str">
        <f t="shared" si="459"/>
        <v>#REF!</v>
      </c>
      <c r="F183" s="168" t="str">
        <f t="shared" si="459"/>
        <v>#REF!</v>
      </c>
      <c r="G183" s="168" t="str">
        <f t="shared" si="459"/>
        <v>#REF!</v>
      </c>
      <c r="H183" s="168" t="str">
        <f t="shared" si="459"/>
        <v>#REF!</v>
      </c>
      <c r="I183" s="168" t="str">
        <f t="shared" si="459"/>
        <v>#REF!</v>
      </c>
      <c r="J183" s="168" t="str">
        <f t="shared" si="459"/>
        <v>#REF!</v>
      </c>
      <c r="K183" s="168" t="str">
        <f t="shared" si="459"/>
        <v>#REF!</v>
      </c>
      <c r="L183" s="168" t="str">
        <f t="shared" si="459"/>
        <v>#REF!</v>
      </c>
      <c r="M183" s="168" t="str">
        <f t="shared" si="459"/>
        <v>#REF!</v>
      </c>
      <c r="N183" s="168" t="str">
        <f t="shared" si="459"/>
        <v>#REF!</v>
      </c>
      <c r="O183" s="168" t="str">
        <f t="shared" si="459"/>
        <v>#REF!</v>
      </c>
      <c r="P183" s="168" t="str">
        <f t="shared" si="459"/>
        <v>#REF!</v>
      </c>
      <c r="Q183" s="168" t="str">
        <f t="shared" si="459"/>
        <v>#REF!</v>
      </c>
      <c r="R183" s="168" t="str">
        <f t="shared" si="459"/>
        <v>#REF!</v>
      </c>
      <c r="S183" s="168" t="str">
        <f t="shared" si="459"/>
        <v>#REF!</v>
      </c>
      <c r="T183" s="168" t="str">
        <f t="shared" si="459"/>
        <v>#REF!</v>
      </c>
      <c r="U183" s="168" t="str">
        <f t="shared" ref="U183:AJ183" si="460">#REF!</f>
        <v>#REF!</v>
      </c>
      <c r="V183" s="168" t="str">
        <f t="shared" si="460"/>
        <v>#REF!</v>
      </c>
      <c r="W183" s="168" t="str">
        <f t="shared" si="460"/>
        <v>#REF!</v>
      </c>
      <c r="X183" s="168" t="str">
        <f t="shared" si="460"/>
        <v>#REF!</v>
      </c>
      <c r="Y183" s="168" t="str">
        <f t="shared" si="460"/>
        <v>#REF!</v>
      </c>
      <c r="Z183" s="168" t="str">
        <f t="shared" si="460"/>
        <v>#REF!</v>
      </c>
      <c r="AA183" s="168" t="str">
        <f t="shared" si="460"/>
        <v>#REF!</v>
      </c>
      <c r="AB183" s="168" t="str">
        <f t="shared" si="460"/>
        <v>#REF!</v>
      </c>
      <c r="AC183" s="168" t="str">
        <f t="shared" si="460"/>
        <v>#REF!</v>
      </c>
      <c r="AD183" s="168" t="str">
        <f t="shared" si="460"/>
        <v>#REF!</v>
      </c>
      <c r="AE183" s="168" t="str">
        <f t="shared" si="460"/>
        <v>#REF!</v>
      </c>
      <c r="AF183" s="168" t="str">
        <f t="shared" si="460"/>
        <v>#REF!</v>
      </c>
      <c r="AG183" s="168" t="str">
        <f t="shared" si="460"/>
        <v>#REF!</v>
      </c>
      <c r="AH183" s="168" t="str">
        <f t="shared" si="460"/>
        <v>#REF!</v>
      </c>
      <c r="AI183" s="168" t="str">
        <f t="shared" si="460"/>
        <v>#REF!</v>
      </c>
      <c r="AJ183" s="168" t="str">
        <f t="shared" si="460"/>
        <v>#REF!</v>
      </c>
    </row>
    <row r="184" ht="15.75" customHeight="1">
      <c r="A184" s="168" t="str">
        <f t="shared" ref="A184:T184" si="461">if(#REF!=$D$1,#REF!,"")</f>
        <v>#REF!</v>
      </c>
      <c r="B184" s="168" t="str">
        <f t="shared" si="461"/>
        <v>#REF!</v>
      </c>
      <c r="C184" s="168" t="str">
        <f t="shared" si="461"/>
        <v>#REF!</v>
      </c>
      <c r="D184" s="168" t="str">
        <f t="shared" si="461"/>
        <v>#REF!</v>
      </c>
      <c r="E184" s="168" t="str">
        <f t="shared" si="461"/>
        <v>#REF!</v>
      </c>
      <c r="F184" s="168" t="str">
        <f t="shared" si="461"/>
        <v>#REF!</v>
      </c>
      <c r="G184" s="168" t="str">
        <f t="shared" si="461"/>
        <v>#REF!</v>
      </c>
      <c r="H184" s="168" t="str">
        <f t="shared" si="461"/>
        <v>#REF!</v>
      </c>
      <c r="I184" s="168" t="str">
        <f t="shared" si="461"/>
        <v>#REF!</v>
      </c>
      <c r="J184" s="168" t="str">
        <f t="shared" si="461"/>
        <v>#REF!</v>
      </c>
      <c r="K184" s="168" t="str">
        <f t="shared" si="461"/>
        <v>#REF!</v>
      </c>
      <c r="L184" s="168" t="str">
        <f t="shared" si="461"/>
        <v>#REF!</v>
      </c>
      <c r="M184" s="168" t="str">
        <f t="shared" si="461"/>
        <v>#REF!</v>
      </c>
      <c r="N184" s="168" t="str">
        <f t="shared" si="461"/>
        <v>#REF!</v>
      </c>
      <c r="O184" s="168" t="str">
        <f t="shared" si="461"/>
        <v>#REF!</v>
      </c>
      <c r="P184" s="168" t="str">
        <f t="shared" si="461"/>
        <v>#REF!</v>
      </c>
      <c r="Q184" s="168" t="str">
        <f t="shared" si="461"/>
        <v>#REF!</v>
      </c>
      <c r="R184" s="168" t="str">
        <f t="shared" si="461"/>
        <v>#REF!</v>
      </c>
      <c r="S184" s="168" t="str">
        <f t="shared" si="461"/>
        <v>#REF!</v>
      </c>
      <c r="T184" s="168" t="str">
        <f t="shared" si="461"/>
        <v>#REF!</v>
      </c>
      <c r="U184" s="168" t="str">
        <f t="shared" ref="U184:AJ184" si="462">#REF!</f>
        <v>#REF!</v>
      </c>
      <c r="V184" s="168" t="str">
        <f t="shared" si="462"/>
        <v>#REF!</v>
      </c>
      <c r="W184" s="168" t="str">
        <f t="shared" si="462"/>
        <v>#REF!</v>
      </c>
      <c r="X184" s="168" t="str">
        <f t="shared" si="462"/>
        <v>#REF!</v>
      </c>
      <c r="Y184" s="168" t="str">
        <f t="shared" si="462"/>
        <v>#REF!</v>
      </c>
      <c r="Z184" s="168" t="str">
        <f t="shared" si="462"/>
        <v>#REF!</v>
      </c>
      <c r="AA184" s="168" t="str">
        <f t="shared" si="462"/>
        <v>#REF!</v>
      </c>
      <c r="AB184" s="168" t="str">
        <f t="shared" si="462"/>
        <v>#REF!</v>
      </c>
      <c r="AC184" s="168" t="str">
        <f t="shared" si="462"/>
        <v>#REF!</v>
      </c>
      <c r="AD184" s="168" t="str">
        <f t="shared" si="462"/>
        <v>#REF!</v>
      </c>
      <c r="AE184" s="168" t="str">
        <f t="shared" si="462"/>
        <v>#REF!</v>
      </c>
      <c r="AF184" s="168" t="str">
        <f t="shared" si="462"/>
        <v>#REF!</v>
      </c>
      <c r="AG184" s="168" t="str">
        <f t="shared" si="462"/>
        <v>#REF!</v>
      </c>
      <c r="AH184" s="168" t="str">
        <f t="shared" si="462"/>
        <v>#REF!</v>
      </c>
      <c r="AI184" s="168" t="str">
        <f t="shared" si="462"/>
        <v>#REF!</v>
      </c>
      <c r="AJ184" s="168" t="str">
        <f t="shared" si="462"/>
        <v>#REF!</v>
      </c>
    </row>
    <row r="185" ht="15.75" customHeight="1">
      <c r="A185" s="168" t="str">
        <f t="shared" ref="A185:T185" si="463">if(#REF!=$D$1,#REF!,"")</f>
        <v>#REF!</v>
      </c>
      <c r="B185" s="168" t="str">
        <f t="shared" si="463"/>
        <v>#REF!</v>
      </c>
      <c r="C185" s="168" t="str">
        <f t="shared" si="463"/>
        <v>#REF!</v>
      </c>
      <c r="D185" s="168" t="str">
        <f t="shared" si="463"/>
        <v>#REF!</v>
      </c>
      <c r="E185" s="168" t="str">
        <f t="shared" si="463"/>
        <v>#REF!</v>
      </c>
      <c r="F185" s="168" t="str">
        <f t="shared" si="463"/>
        <v>#REF!</v>
      </c>
      <c r="G185" s="168" t="str">
        <f t="shared" si="463"/>
        <v>#REF!</v>
      </c>
      <c r="H185" s="168" t="str">
        <f t="shared" si="463"/>
        <v>#REF!</v>
      </c>
      <c r="I185" s="168" t="str">
        <f t="shared" si="463"/>
        <v>#REF!</v>
      </c>
      <c r="J185" s="168" t="str">
        <f t="shared" si="463"/>
        <v>#REF!</v>
      </c>
      <c r="K185" s="168" t="str">
        <f t="shared" si="463"/>
        <v>#REF!</v>
      </c>
      <c r="L185" s="168" t="str">
        <f t="shared" si="463"/>
        <v>#REF!</v>
      </c>
      <c r="M185" s="168" t="str">
        <f t="shared" si="463"/>
        <v>#REF!</v>
      </c>
      <c r="N185" s="168" t="str">
        <f t="shared" si="463"/>
        <v>#REF!</v>
      </c>
      <c r="O185" s="168" t="str">
        <f t="shared" si="463"/>
        <v>#REF!</v>
      </c>
      <c r="P185" s="168" t="str">
        <f t="shared" si="463"/>
        <v>#REF!</v>
      </c>
      <c r="Q185" s="168" t="str">
        <f t="shared" si="463"/>
        <v>#REF!</v>
      </c>
      <c r="R185" s="168" t="str">
        <f t="shared" si="463"/>
        <v>#REF!</v>
      </c>
      <c r="S185" s="168" t="str">
        <f t="shared" si="463"/>
        <v>#REF!</v>
      </c>
      <c r="T185" s="168" t="str">
        <f t="shared" si="463"/>
        <v>#REF!</v>
      </c>
      <c r="U185" s="168" t="str">
        <f t="shared" ref="U185:AJ185" si="464">#REF!</f>
        <v>#REF!</v>
      </c>
      <c r="V185" s="168" t="str">
        <f t="shared" si="464"/>
        <v>#REF!</v>
      </c>
      <c r="W185" s="168" t="str">
        <f t="shared" si="464"/>
        <v>#REF!</v>
      </c>
      <c r="X185" s="168" t="str">
        <f t="shared" si="464"/>
        <v>#REF!</v>
      </c>
      <c r="Y185" s="168" t="str">
        <f t="shared" si="464"/>
        <v>#REF!</v>
      </c>
      <c r="Z185" s="168" t="str">
        <f t="shared" si="464"/>
        <v>#REF!</v>
      </c>
      <c r="AA185" s="168" t="str">
        <f t="shared" si="464"/>
        <v>#REF!</v>
      </c>
      <c r="AB185" s="168" t="str">
        <f t="shared" si="464"/>
        <v>#REF!</v>
      </c>
      <c r="AC185" s="168" t="str">
        <f t="shared" si="464"/>
        <v>#REF!</v>
      </c>
      <c r="AD185" s="168" t="str">
        <f t="shared" si="464"/>
        <v>#REF!</v>
      </c>
      <c r="AE185" s="168" t="str">
        <f t="shared" si="464"/>
        <v>#REF!</v>
      </c>
      <c r="AF185" s="168" t="str">
        <f t="shared" si="464"/>
        <v>#REF!</v>
      </c>
      <c r="AG185" s="168" t="str">
        <f t="shared" si="464"/>
        <v>#REF!</v>
      </c>
      <c r="AH185" s="168" t="str">
        <f t="shared" si="464"/>
        <v>#REF!</v>
      </c>
      <c r="AI185" s="168" t="str">
        <f t="shared" si="464"/>
        <v>#REF!</v>
      </c>
      <c r="AJ185" s="168" t="str">
        <f t="shared" si="464"/>
        <v>#REF!</v>
      </c>
    </row>
    <row r="186" ht="15.75" customHeight="1">
      <c r="A186" s="168" t="str">
        <f t="shared" ref="A186:T186" si="465">if(#REF!=$D$1,#REF!,"")</f>
        <v>#REF!</v>
      </c>
      <c r="B186" s="168" t="str">
        <f t="shared" si="465"/>
        <v>#REF!</v>
      </c>
      <c r="C186" s="168" t="str">
        <f t="shared" si="465"/>
        <v>#REF!</v>
      </c>
      <c r="D186" s="168" t="str">
        <f t="shared" si="465"/>
        <v>#REF!</v>
      </c>
      <c r="E186" s="168" t="str">
        <f t="shared" si="465"/>
        <v>#REF!</v>
      </c>
      <c r="F186" s="168" t="str">
        <f t="shared" si="465"/>
        <v>#REF!</v>
      </c>
      <c r="G186" s="168" t="str">
        <f t="shared" si="465"/>
        <v>#REF!</v>
      </c>
      <c r="H186" s="168" t="str">
        <f t="shared" si="465"/>
        <v>#REF!</v>
      </c>
      <c r="I186" s="168" t="str">
        <f t="shared" si="465"/>
        <v>#REF!</v>
      </c>
      <c r="J186" s="168" t="str">
        <f t="shared" si="465"/>
        <v>#REF!</v>
      </c>
      <c r="K186" s="168" t="str">
        <f t="shared" si="465"/>
        <v>#REF!</v>
      </c>
      <c r="L186" s="168" t="str">
        <f t="shared" si="465"/>
        <v>#REF!</v>
      </c>
      <c r="M186" s="168" t="str">
        <f t="shared" si="465"/>
        <v>#REF!</v>
      </c>
      <c r="N186" s="168" t="str">
        <f t="shared" si="465"/>
        <v>#REF!</v>
      </c>
      <c r="O186" s="168" t="str">
        <f t="shared" si="465"/>
        <v>#REF!</v>
      </c>
      <c r="P186" s="168" t="str">
        <f t="shared" si="465"/>
        <v>#REF!</v>
      </c>
      <c r="Q186" s="168" t="str">
        <f t="shared" si="465"/>
        <v>#REF!</v>
      </c>
      <c r="R186" s="168" t="str">
        <f t="shared" si="465"/>
        <v>#REF!</v>
      </c>
      <c r="S186" s="168" t="str">
        <f t="shared" si="465"/>
        <v>#REF!</v>
      </c>
      <c r="T186" s="168" t="str">
        <f t="shared" si="465"/>
        <v>#REF!</v>
      </c>
      <c r="U186" s="168" t="str">
        <f t="shared" ref="U186:AJ186" si="466">#REF!</f>
        <v>#REF!</v>
      </c>
      <c r="V186" s="168" t="str">
        <f t="shared" si="466"/>
        <v>#REF!</v>
      </c>
      <c r="W186" s="168" t="str">
        <f t="shared" si="466"/>
        <v>#REF!</v>
      </c>
      <c r="X186" s="168" t="str">
        <f t="shared" si="466"/>
        <v>#REF!</v>
      </c>
      <c r="Y186" s="168" t="str">
        <f t="shared" si="466"/>
        <v>#REF!</v>
      </c>
      <c r="Z186" s="168" t="str">
        <f t="shared" si="466"/>
        <v>#REF!</v>
      </c>
      <c r="AA186" s="168" t="str">
        <f t="shared" si="466"/>
        <v>#REF!</v>
      </c>
      <c r="AB186" s="168" t="str">
        <f t="shared" si="466"/>
        <v>#REF!</v>
      </c>
      <c r="AC186" s="168" t="str">
        <f t="shared" si="466"/>
        <v>#REF!</v>
      </c>
      <c r="AD186" s="168" t="str">
        <f t="shared" si="466"/>
        <v>#REF!</v>
      </c>
      <c r="AE186" s="168" t="str">
        <f t="shared" si="466"/>
        <v>#REF!</v>
      </c>
      <c r="AF186" s="168" t="str">
        <f t="shared" si="466"/>
        <v>#REF!</v>
      </c>
      <c r="AG186" s="168" t="str">
        <f t="shared" si="466"/>
        <v>#REF!</v>
      </c>
      <c r="AH186" s="168" t="str">
        <f t="shared" si="466"/>
        <v>#REF!</v>
      </c>
      <c r="AI186" s="168" t="str">
        <f t="shared" si="466"/>
        <v>#REF!</v>
      </c>
      <c r="AJ186" s="168" t="str">
        <f t="shared" si="466"/>
        <v>#REF!</v>
      </c>
    </row>
    <row r="187" ht="15.75" customHeight="1">
      <c r="A187" s="168" t="str">
        <f t="shared" ref="A187:T187" si="467">if(#REF!=$D$1,#REF!,"")</f>
        <v>#REF!</v>
      </c>
      <c r="B187" s="168" t="str">
        <f t="shared" si="467"/>
        <v>#REF!</v>
      </c>
      <c r="C187" s="168" t="str">
        <f t="shared" si="467"/>
        <v>#REF!</v>
      </c>
      <c r="D187" s="168" t="str">
        <f t="shared" si="467"/>
        <v>#REF!</v>
      </c>
      <c r="E187" s="168" t="str">
        <f t="shared" si="467"/>
        <v>#REF!</v>
      </c>
      <c r="F187" s="168" t="str">
        <f t="shared" si="467"/>
        <v>#REF!</v>
      </c>
      <c r="G187" s="168" t="str">
        <f t="shared" si="467"/>
        <v>#REF!</v>
      </c>
      <c r="H187" s="168" t="str">
        <f t="shared" si="467"/>
        <v>#REF!</v>
      </c>
      <c r="I187" s="168" t="str">
        <f t="shared" si="467"/>
        <v>#REF!</v>
      </c>
      <c r="J187" s="168" t="str">
        <f t="shared" si="467"/>
        <v>#REF!</v>
      </c>
      <c r="K187" s="168" t="str">
        <f t="shared" si="467"/>
        <v>#REF!</v>
      </c>
      <c r="L187" s="168" t="str">
        <f t="shared" si="467"/>
        <v>#REF!</v>
      </c>
      <c r="M187" s="168" t="str">
        <f t="shared" si="467"/>
        <v>#REF!</v>
      </c>
      <c r="N187" s="168" t="str">
        <f t="shared" si="467"/>
        <v>#REF!</v>
      </c>
      <c r="O187" s="168" t="str">
        <f t="shared" si="467"/>
        <v>#REF!</v>
      </c>
      <c r="P187" s="168" t="str">
        <f t="shared" si="467"/>
        <v>#REF!</v>
      </c>
      <c r="Q187" s="168" t="str">
        <f t="shared" si="467"/>
        <v>#REF!</v>
      </c>
      <c r="R187" s="168" t="str">
        <f t="shared" si="467"/>
        <v>#REF!</v>
      </c>
      <c r="S187" s="168" t="str">
        <f t="shared" si="467"/>
        <v>#REF!</v>
      </c>
      <c r="T187" s="168" t="str">
        <f t="shared" si="467"/>
        <v>#REF!</v>
      </c>
      <c r="U187" s="168" t="str">
        <f t="shared" ref="U187:AJ187" si="468">#REF!</f>
        <v>#REF!</v>
      </c>
      <c r="V187" s="168" t="str">
        <f t="shared" si="468"/>
        <v>#REF!</v>
      </c>
      <c r="W187" s="168" t="str">
        <f t="shared" si="468"/>
        <v>#REF!</v>
      </c>
      <c r="X187" s="168" t="str">
        <f t="shared" si="468"/>
        <v>#REF!</v>
      </c>
      <c r="Y187" s="168" t="str">
        <f t="shared" si="468"/>
        <v>#REF!</v>
      </c>
      <c r="Z187" s="168" t="str">
        <f t="shared" si="468"/>
        <v>#REF!</v>
      </c>
      <c r="AA187" s="168" t="str">
        <f t="shared" si="468"/>
        <v>#REF!</v>
      </c>
      <c r="AB187" s="168" t="str">
        <f t="shared" si="468"/>
        <v>#REF!</v>
      </c>
      <c r="AC187" s="168" t="str">
        <f t="shared" si="468"/>
        <v>#REF!</v>
      </c>
      <c r="AD187" s="168" t="str">
        <f t="shared" si="468"/>
        <v>#REF!</v>
      </c>
      <c r="AE187" s="168" t="str">
        <f t="shared" si="468"/>
        <v>#REF!</v>
      </c>
      <c r="AF187" s="168" t="str">
        <f t="shared" si="468"/>
        <v>#REF!</v>
      </c>
      <c r="AG187" s="168" t="str">
        <f t="shared" si="468"/>
        <v>#REF!</v>
      </c>
      <c r="AH187" s="168" t="str">
        <f t="shared" si="468"/>
        <v>#REF!</v>
      </c>
      <c r="AI187" s="168" t="str">
        <f t="shared" si="468"/>
        <v>#REF!</v>
      </c>
      <c r="AJ187" s="168" t="str">
        <f t="shared" si="468"/>
        <v>#REF!</v>
      </c>
    </row>
    <row r="188" ht="15.75" customHeight="1">
      <c r="A188" s="168" t="str">
        <f t="shared" ref="A188:T188" si="469">if(#REF!=$D$1,#REF!,"")</f>
        <v>#REF!</v>
      </c>
      <c r="B188" s="168" t="str">
        <f t="shared" si="469"/>
        <v>#REF!</v>
      </c>
      <c r="C188" s="168" t="str">
        <f t="shared" si="469"/>
        <v>#REF!</v>
      </c>
      <c r="D188" s="168" t="str">
        <f t="shared" si="469"/>
        <v>#REF!</v>
      </c>
      <c r="E188" s="168" t="str">
        <f t="shared" si="469"/>
        <v>#REF!</v>
      </c>
      <c r="F188" s="168" t="str">
        <f t="shared" si="469"/>
        <v>#REF!</v>
      </c>
      <c r="G188" s="168" t="str">
        <f t="shared" si="469"/>
        <v>#REF!</v>
      </c>
      <c r="H188" s="168" t="str">
        <f t="shared" si="469"/>
        <v>#REF!</v>
      </c>
      <c r="I188" s="168" t="str">
        <f t="shared" si="469"/>
        <v>#REF!</v>
      </c>
      <c r="J188" s="168" t="str">
        <f t="shared" si="469"/>
        <v>#REF!</v>
      </c>
      <c r="K188" s="168" t="str">
        <f t="shared" si="469"/>
        <v>#REF!</v>
      </c>
      <c r="L188" s="168" t="str">
        <f t="shared" si="469"/>
        <v>#REF!</v>
      </c>
      <c r="M188" s="168" t="str">
        <f t="shared" si="469"/>
        <v>#REF!</v>
      </c>
      <c r="N188" s="168" t="str">
        <f t="shared" si="469"/>
        <v>#REF!</v>
      </c>
      <c r="O188" s="168" t="str">
        <f t="shared" si="469"/>
        <v>#REF!</v>
      </c>
      <c r="P188" s="168" t="str">
        <f t="shared" si="469"/>
        <v>#REF!</v>
      </c>
      <c r="Q188" s="168" t="str">
        <f t="shared" si="469"/>
        <v>#REF!</v>
      </c>
      <c r="R188" s="168" t="str">
        <f t="shared" si="469"/>
        <v>#REF!</v>
      </c>
      <c r="S188" s="168" t="str">
        <f t="shared" si="469"/>
        <v>#REF!</v>
      </c>
      <c r="T188" s="168" t="str">
        <f t="shared" si="469"/>
        <v>#REF!</v>
      </c>
      <c r="U188" s="168" t="str">
        <f t="shared" ref="U188:AJ188" si="470">#REF!</f>
        <v>#REF!</v>
      </c>
      <c r="V188" s="168" t="str">
        <f t="shared" si="470"/>
        <v>#REF!</v>
      </c>
      <c r="W188" s="168" t="str">
        <f t="shared" si="470"/>
        <v>#REF!</v>
      </c>
      <c r="X188" s="168" t="str">
        <f t="shared" si="470"/>
        <v>#REF!</v>
      </c>
      <c r="Y188" s="168" t="str">
        <f t="shared" si="470"/>
        <v>#REF!</v>
      </c>
      <c r="Z188" s="168" t="str">
        <f t="shared" si="470"/>
        <v>#REF!</v>
      </c>
      <c r="AA188" s="168" t="str">
        <f t="shared" si="470"/>
        <v>#REF!</v>
      </c>
      <c r="AB188" s="168" t="str">
        <f t="shared" si="470"/>
        <v>#REF!</v>
      </c>
      <c r="AC188" s="168" t="str">
        <f t="shared" si="470"/>
        <v>#REF!</v>
      </c>
      <c r="AD188" s="168" t="str">
        <f t="shared" si="470"/>
        <v>#REF!</v>
      </c>
      <c r="AE188" s="168" t="str">
        <f t="shared" si="470"/>
        <v>#REF!</v>
      </c>
      <c r="AF188" s="168" t="str">
        <f t="shared" si="470"/>
        <v>#REF!</v>
      </c>
      <c r="AG188" s="168" t="str">
        <f t="shared" si="470"/>
        <v>#REF!</v>
      </c>
      <c r="AH188" s="168" t="str">
        <f t="shared" si="470"/>
        <v>#REF!</v>
      </c>
      <c r="AI188" s="168" t="str">
        <f t="shared" si="470"/>
        <v>#REF!</v>
      </c>
      <c r="AJ188" s="168" t="str">
        <f t="shared" si="470"/>
        <v>#REF!</v>
      </c>
    </row>
    <row r="189" ht="15.75" customHeight="1">
      <c r="A189" s="168" t="str">
        <f t="shared" ref="A189:T189" si="471">if(#REF!=$D$1,#REF!,"")</f>
        <v>#REF!</v>
      </c>
      <c r="B189" s="168" t="str">
        <f t="shared" si="471"/>
        <v>#REF!</v>
      </c>
      <c r="C189" s="168" t="str">
        <f t="shared" si="471"/>
        <v>#REF!</v>
      </c>
      <c r="D189" s="168" t="str">
        <f t="shared" si="471"/>
        <v>#REF!</v>
      </c>
      <c r="E189" s="168" t="str">
        <f t="shared" si="471"/>
        <v>#REF!</v>
      </c>
      <c r="F189" s="168" t="str">
        <f t="shared" si="471"/>
        <v>#REF!</v>
      </c>
      <c r="G189" s="168" t="str">
        <f t="shared" si="471"/>
        <v>#REF!</v>
      </c>
      <c r="H189" s="168" t="str">
        <f t="shared" si="471"/>
        <v>#REF!</v>
      </c>
      <c r="I189" s="168" t="str">
        <f t="shared" si="471"/>
        <v>#REF!</v>
      </c>
      <c r="J189" s="168" t="str">
        <f t="shared" si="471"/>
        <v>#REF!</v>
      </c>
      <c r="K189" s="168" t="str">
        <f t="shared" si="471"/>
        <v>#REF!</v>
      </c>
      <c r="L189" s="168" t="str">
        <f t="shared" si="471"/>
        <v>#REF!</v>
      </c>
      <c r="M189" s="168" t="str">
        <f t="shared" si="471"/>
        <v>#REF!</v>
      </c>
      <c r="N189" s="168" t="str">
        <f t="shared" si="471"/>
        <v>#REF!</v>
      </c>
      <c r="O189" s="168" t="str">
        <f t="shared" si="471"/>
        <v>#REF!</v>
      </c>
      <c r="P189" s="168" t="str">
        <f t="shared" si="471"/>
        <v>#REF!</v>
      </c>
      <c r="Q189" s="168" t="str">
        <f t="shared" si="471"/>
        <v>#REF!</v>
      </c>
      <c r="R189" s="168" t="str">
        <f t="shared" si="471"/>
        <v>#REF!</v>
      </c>
      <c r="S189" s="168" t="str">
        <f t="shared" si="471"/>
        <v>#REF!</v>
      </c>
      <c r="T189" s="168" t="str">
        <f t="shared" si="471"/>
        <v>#REF!</v>
      </c>
      <c r="U189" s="168" t="str">
        <f t="shared" ref="U189:AJ189" si="472">#REF!</f>
        <v>#REF!</v>
      </c>
      <c r="V189" s="168" t="str">
        <f t="shared" si="472"/>
        <v>#REF!</v>
      </c>
      <c r="W189" s="168" t="str">
        <f t="shared" si="472"/>
        <v>#REF!</v>
      </c>
      <c r="X189" s="168" t="str">
        <f t="shared" si="472"/>
        <v>#REF!</v>
      </c>
      <c r="Y189" s="168" t="str">
        <f t="shared" si="472"/>
        <v>#REF!</v>
      </c>
      <c r="Z189" s="168" t="str">
        <f t="shared" si="472"/>
        <v>#REF!</v>
      </c>
      <c r="AA189" s="168" t="str">
        <f t="shared" si="472"/>
        <v>#REF!</v>
      </c>
      <c r="AB189" s="168" t="str">
        <f t="shared" si="472"/>
        <v>#REF!</v>
      </c>
      <c r="AC189" s="168" t="str">
        <f t="shared" si="472"/>
        <v>#REF!</v>
      </c>
      <c r="AD189" s="168" t="str">
        <f t="shared" si="472"/>
        <v>#REF!</v>
      </c>
      <c r="AE189" s="168" t="str">
        <f t="shared" si="472"/>
        <v>#REF!</v>
      </c>
      <c r="AF189" s="168" t="str">
        <f t="shared" si="472"/>
        <v>#REF!</v>
      </c>
      <c r="AG189" s="168" t="str">
        <f t="shared" si="472"/>
        <v>#REF!</v>
      </c>
      <c r="AH189" s="168" t="str">
        <f t="shared" si="472"/>
        <v>#REF!</v>
      </c>
      <c r="AI189" s="168" t="str">
        <f t="shared" si="472"/>
        <v>#REF!</v>
      </c>
      <c r="AJ189" s="168" t="str">
        <f t="shared" si="472"/>
        <v>#REF!</v>
      </c>
    </row>
    <row r="190" ht="15.75" customHeight="1">
      <c r="A190" s="168" t="str">
        <f t="shared" ref="A190:T190" si="473">if(#REF!=$D$1,#REF!,"")</f>
        <v>#REF!</v>
      </c>
      <c r="B190" s="168" t="str">
        <f t="shared" si="473"/>
        <v>#REF!</v>
      </c>
      <c r="C190" s="168" t="str">
        <f t="shared" si="473"/>
        <v>#REF!</v>
      </c>
      <c r="D190" s="168" t="str">
        <f t="shared" si="473"/>
        <v>#REF!</v>
      </c>
      <c r="E190" s="168" t="str">
        <f t="shared" si="473"/>
        <v>#REF!</v>
      </c>
      <c r="F190" s="168" t="str">
        <f t="shared" si="473"/>
        <v>#REF!</v>
      </c>
      <c r="G190" s="168" t="str">
        <f t="shared" si="473"/>
        <v>#REF!</v>
      </c>
      <c r="H190" s="168" t="str">
        <f t="shared" si="473"/>
        <v>#REF!</v>
      </c>
      <c r="I190" s="168" t="str">
        <f t="shared" si="473"/>
        <v>#REF!</v>
      </c>
      <c r="J190" s="168" t="str">
        <f t="shared" si="473"/>
        <v>#REF!</v>
      </c>
      <c r="K190" s="168" t="str">
        <f t="shared" si="473"/>
        <v>#REF!</v>
      </c>
      <c r="L190" s="168" t="str">
        <f t="shared" si="473"/>
        <v>#REF!</v>
      </c>
      <c r="M190" s="168" t="str">
        <f t="shared" si="473"/>
        <v>#REF!</v>
      </c>
      <c r="N190" s="168" t="str">
        <f t="shared" si="473"/>
        <v>#REF!</v>
      </c>
      <c r="O190" s="168" t="str">
        <f t="shared" si="473"/>
        <v>#REF!</v>
      </c>
      <c r="P190" s="168" t="str">
        <f t="shared" si="473"/>
        <v>#REF!</v>
      </c>
      <c r="Q190" s="168" t="str">
        <f t="shared" si="473"/>
        <v>#REF!</v>
      </c>
      <c r="R190" s="168" t="str">
        <f t="shared" si="473"/>
        <v>#REF!</v>
      </c>
      <c r="S190" s="168" t="str">
        <f t="shared" si="473"/>
        <v>#REF!</v>
      </c>
      <c r="T190" s="168" t="str">
        <f t="shared" si="473"/>
        <v>#REF!</v>
      </c>
      <c r="U190" s="168" t="str">
        <f t="shared" ref="U190:AJ190" si="474">#REF!</f>
        <v>#REF!</v>
      </c>
      <c r="V190" s="168" t="str">
        <f t="shared" si="474"/>
        <v>#REF!</v>
      </c>
      <c r="W190" s="168" t="str">
        <f t="shared" si="474"/>
        <v>#REF!</v>
      </c>
      <c r="X190" s="168" t="str">
        <f t="shared" si="474"/>
        <v>#REF!</v>
      </c>
      <c r="Y190" s="168" t="str">
        <f t="shared" si="474"/>
        <v>#REF!</v>
      </c>
      <c r="Z190" s="168" t="str">
        <f t="shared" si="474"/>
        <v>#REF!</v>
      </c>
      <c r="AA190" s="168" t="str">
        <f t="shared" si="474"/>
        <v>#REF!</v>
      </c>
      <c r="AB190" s="168" t="str">
        <f t="shared" si="474"/>
        <v>#REF!</v>
      </c>
      <c r="AC190" s="168" t="str">
        <f t="shared" si="474"/>
        <v>#REF!</v>
      </c>
      <c r="AD190" s="168" t="str">
        <f t="shared" si="474"/>
        <v>#REF!</v>
      </c>
      <c r="AE190" s="168" t="str">
        <f t="shared" si="474"/>
        <v>#REF!</v>
      </c>
      <c r="AF190" s="168" t="str">
        <f t="shared" si="474"/>
        <v>#REF!</v>
      </c>
      <c r="AG190" s="168" t="str">
        <f t="shared" si="474"/>
        <v>#REF!</v>
      </c>
      <c r="AH190" s="168" t="str">
        <f t="shared" si="474"/>
        <v>#REF!</v>
      </c>
      <c r="AI190" s="168" t="str">
        <f t="shared" si="474"/>
        <v>#REF!</v>
      </c>
      <c r="AJ190" s="168" t="str">
        <f t="shared" si="474"/>
        <v>#REF!</v>
      </c>
    </row>
    <row r="191" ht="15.75" customHeight="1">
      <c r="A191" s="168" t="str">
        <f t="shared" ref="A191:T191" si="475">if(#REF!=$D$1,#REF!,"")</f>
        <v>#REF!</v>
      </c>
      <c r="B191" s="168" t="str">
        <f t="shared" si="475"/>
        <v>#REF!</v>
      </c>
      <c r="C191" s="168" t="str">
        <f t="shared" si="475"/>
        <v>#REF!</v>
      </c>
      <c r="D191" s="168" t="str">
        <f t="shared" si="475"/>
        <v>#REF!</v>
      </c>
      <c r="E191" s="168" t="str">
        <f t="shared" si="475"/>
        <v>#REF!</v>
      </c>
      <c r="F191" s="168" t="str">
        <f t="shared" si="475"/>
        <v>#REF!</v>
      </c>
      <c r="G191" s="168" t="str">
        <f t="shared" si="475"/>
        <v>#REF!</v>
      </c>
      <c r="H191" s="168" t="str">
        <f t="shared" si="475"/>
        <v>#REF!</v>
      </c>
      <c r="I191" s="168" t="str">
        <f t="shared" si="475"/>
        <v>#REF!</v>
      </c>
      <c r="J191" s="168" t="str">
        <f t="shared" si="475"/>
        <v>#REF!</v>
      </c>
      <c r="K191" s="168" t="str">
        <f t="shared" si="475"/>
        <v>#REF!</v>
      </c>
      <c r="L191" s="168" t="str">
        <f t="shared" si="475"/>
        <v>#REF!</v>
      </c>
      <c r="M191" s="168" t="str">
        <f t="shared" si="475"/>
        <v>#REF!</v>
      </c>
      <c r="N191" s="168" t="str">
        <f t="shared" si="475"/>
        <v>#REF!</v>
      </c>
      <c r="O191" s="168" t="str">
        <f t="shared" si="475"/>
        <v>#REF!</v>
      </c>
      <c r="P191" s="168" t="str">
        <f t="shared" si="475"/>
        <v>#REF!</v>
      </c>
      <c r="Q191" s="168" t="str">
        <f t="shared" si="475"/>
        <v>#REF!</v>
      </c>
      <c r="R191" s="168" t="str">
        <f t="shared" si="475"/>
        <v>#REF!</v>
      </c>
      <c r="S191" s="168" t="str">
        <f t="shared" si="475"/>
        <v>#REF!</v>
      </c>
      <c r="T191" s="168" t="str">
        <f t="shared" si="475"/>
        <v>#REF!</v>
      </c>
      <c r="U191" s="168" t="str">
        <f t="shared" ref="U191:AJ191" si="476">#REF!</f>
        <v>#REF!</v>
      </c>
      <c r="V191" s="168" t="str">
        <f t="shared" si="476"/>
        <v>#REF!</v>
      </c>
      <c r="W191" s="168" t="str">
        <f t="shared" si="476"/>
        <v>#REF!</v>
      </c>
      <c r="X191" s="168" t="str">
        <f t="shared" si="476"/>
        <v>#REF!</v>
      </c>
      <c r="Y191" s="168" t="str">
        <f t="shared" si="476"/>
        <v>#REF!</v>
      </c>
      <c r="Z191" s="168" t="str">
        <f t="shared" si="476"/>
        <v>#REF!</v>
      </c>
      <c r="AA191" s="168" t="str">
        <f t="shared" si="476"/>
        <v>#REF!</v>
      </c>
      <c r="AB191" s="168" t="str">
        <f t="shared" si="476"/>
        <v>#REF!</v>
      </c>
      <c r="AC191" s="168" t="str">
        <f t="shared" si="476"/>
        <v>#REF!</v>
      </c>
      <c r="AD191" s="168" t="str">
        <f t="shared" si="476"/>
        <v>#REF!</v>
      </c>
      <c r="AE191" s="168" t="str">
        <f t="shared" si="476"/>
        <v>#REF!</v>
      </c>
      <c r="AF191" s="168" t="str">
        <f t="shared" si="476"/>
        <v>#REF!</v>
      </c>
      <c r="AG191" s="168" t="str">
        <f t="shared" si="476"/>
        <v>#REF!</v>
      </c>
      <c r="AH191" s="168" t="str">
        <f t="shared" si="476"/>
        <v>#REF!</v>
      </c>
      <c r="AI191" s="168" t="str">
        <f t="shared" si="476"/>
        <v>#REF!</v>
      </c>
      <c r="AJ191" s="168" t="str">
        <f t="shared" si="476"/>
        <v>#REF!</v>
      </c>
    </row>
    <row r="192" ht="15.75" customHeight="1">
      <c r="A192" s="168" t="str">
        <f t="shared" ref="A192:T192" si="477">if(#REF!=$D$1,#REF!,"")</f>
        <v>#REF!</v>
      </c>
      <c r="B192" s="168" t="str">
        <f t="shared" si="477"/>
        <v>#REF!</v>
      </c>
      <c r="C192" s="168" t="str">
        <f t="shared" si="477"/>
        <v>#REF!</v>
      </c>
      <c r="D192" s="168" t="str">
        <f t="shared" si="477"/>
        <v>#REF!</v>
      </c>
      <c r="E192" s="168" t="str">
        <f t="shared" si="477"/>
        <v>#REF!</v>
      </c>
      <c r="F192" s="168" t="str">
        <f t="shared" si="477"/>
        <v>#REF!</v>
      </c>
      <c r="G192" s="168" t="str">
        <f t="shared" si="477"/>
        <v>#REF!</v>
      </c>
      <c r="H192" s="168" t="str">
        <f t="shared" si="477"/>
        <v>#REF!</v>
      </c>
      <c r="I192" s="168" t="str">
        <f t="shared" si="477"/>
        <v>#REF!</v>
      </c>
      <c r="J192" s="168" t="str">
        <f t="shared" si="477"/>
        <v>#REF!</v>
      </c>
      <c r="K192" s="168" t="str">
        <f t="shared" si="477"/>
        <v>#REF!</v>
      </c>
      <c r="L192" s="168" t="str">
        <f t="shared" si="477"/>
        <v>#REF!</v>
      </c>
      <c r="M192" s="168" t="str">
        <f t="shared" si="477"/>
        <v>#REF!</v>
      </c>
      <c r="N192" s="168" t="str">
        <f t="shared" si="477"/>
        <v>#REF!</v>
      </c>
      <c r="O192" s="168" t="str">
        <f t="shared" si="477"/>
        <v>#REF!</v>
      </c>
      <c r="P192" s="168" t="str">
        <f t="shared" si="477"/>
        <v>#REF!</v>
      </c>
      <c r="Q192" s="168" t="str">
        <f t="shared" si="477"/>
        <v>#REF!</v>
      </c>
      <c r="R192" s="168" t="str">
        <f t="shared" si="477"/>
        <v>#REF!</v>
      </c>
      <c r="S192" s="168" t="str">
        <f t="shared" si="477"/>
        <v>#REF!</v>
      </c>
      <c r="T192" s="168" t="str">
        <f t="shared" si="477"/>
        <v>#REF!</v>
      </c>
      <c r="U192" s="168" t="str">
        <f t="shared" ref="U192:AJ192" si="478">#REF!</f>
        <v>#REF!</v>
      </c>
      <c r="V192" s="168" t="str">
        <f t="shared" si="478"/>
        <v>#REF!</v>
      </c>
      <c r="W192" s="168" t="str">
        <f t="shared" si="478"/>
        <v>#REF!</v>
      </c>
      <c r="X192" s="168" t="str">
        <f t="shared" si="478"/>
        <v>#REF!</v>
      </c>
      <c r="Y192" s="168" t="str">
        <f t="shared" si="478"/>
        <v>#REF!</v>
      </c>
      <c r="Z192" s="168" t="str">
        <f t="shared" si="478"/>
        <v>#REF!</v>
      </c>
      <c r="AA192" s="168" t="str">
        <f t="shared" si="478"/>
        <v>#REF!</v>
      </c>
      <c r="AB192" s="168" t="str">
        <f t="shared" si="478"/>
        <v>#REF!</v>
      </c>
      <c r="AC192" s="168" t="str">
        <f t="shared" si="478"/>
        <v>#REF!</v>
      </c>
      <c r="AD192" s="168" t="str">
        <f t="shared" si="478"/>
        <v>#REF!</v>
      </c>
      <c r="AE192" s="168" t="str">
        <f t="shared" si="478"/>
        <v>#REF!</v>
      </c>
      <c r="AF192" s="168" t="str">
        <f t="shared" si="478"/>
        <v>#REF!</v>
      </c>
      <c r="AG192" s="168" t="str">
        <f t="shared" si="478"/>
        <v>#REF!</v>
      </c>
      <c r="AH192" s="168" t="str">
        <f t="shared" si="478"/>
        <v>#REF!</v>
      </c>
      <c r="AI192" s="168" t="str">
        <f t="shared" si="478"/>
        <v>#REF!</v>
      </c>
      <c r="AJ192" s="168" t="str">
        <f t="shared" si="478"/>
        <v>#REF!</v>
      </c>
    </row>
    <row r="193" ht="15.75" customHeight="1">
      <c r="A193" s="168" t="str">
        <f t="shared" ref="A193:T193" si="479">if(#REF!=$D$1,#REF!,"")</f>
        <v>#REF!</v>
      </c>
      <c r="B193" s="168" t="str">
        <f t="shared" si="479"/>
        <v>#REF!</v>
      </c>
      <c r="C193" s="168" t="str">
        <f t="shared" si="479"/>
        <v>#REF!</v>
      </c>
      <c r="D193" s="168" t="str">
        <f t="shared" si="479"/>
        <v>#REF!</v>
      </c>
      <c r="E193" s="168" t="str">
        <f t="shared" si="479"/>
        <v>#REF!</v>
      </c>
      <c r="F193" s="168" t="str">
        <f t="shared" si="479"/>
        <v>#REF!</v>
      </c>
      <c r="G193" s="168" t="str">
        <f t="shared" si="479"/>
        <v>#REF!</v>
      </c>
      <c r="H193" s="168" t="str">
        <f t="shared" si="479"/>
        <v>#REF!</v>
      </c>
      <c r="I193" s="168" t="str">
        <f t="shared" si="479"/>
        <v>#REF!</v>
      </c>
      <c r="J193" s="168" t="str">
        <f t="shared" si="479"/>
        <v>#REF!</v>
      </c>
      <c r="K193" s="168" t="str">
        <f t="shared" si="479"/>
        <v>#REF!</v>
      </c>
      <c r="L193" s="168" t="str">
        <f t="shared" si="479"/>
        <v>#REF!</v>
      </c>
      <c r="M193" s="168" t="str">
        <f t="shared" si="479"/>
        <v>#REF!</v>
      </c>
      <c r="N193" s="168" t="str">
        <f t="shared" si="479"/>
        <v>#REF!</v>
      </c>
      <c r="O193" s="168" t="str">
        <f t="shared" si="479"/>
        <v>#REF!</v>
      </c>
      <c r="P193" s="168" t="str">
        <f t="shared" si="479"/>
        <v>#REF!</v>
      </c>
      <c r="Q193" s="168" t="str">
        <f t="shared" si="479"/>
        <v>#REF!</v>
      </c>
      <c r="R193" s="168" t="str">
        <f t="shared" si="479"/>
        <v>#REF!</v>
      </c>
      <c r="S193" s="168" t="str">
        <f t="shared" si="479"/>
        <v>#REF!</v>
      </c>
      <c r="T193" s="168" t="str">
        <f t="shared" si="479"/>
        <v>#REF!</v>
      </c>
      <c r="U193" s="168" t="str">
        <f t="shared" ref="U193:AJ193" si="480">#REF!</f>
        <v>#REF!</v>
      </c>
      <c r="V193" s="168" t="str">
        <f t="shared" si="480"/>
        <v>#REF!</v>
      </c>
      <c r="W193" s="168" t="str">
        <f t="shared" si="480"/>
        <v>#REF!</v>
      </c>
      <c r="X193" s="168" t="str">
        <f t="shared" si="480"/>
        <v>#REF!</v>
      </c>
      <c r="Y193" s="168" t="str">
        <f t="shared" si="480"/>
        <v>#REF!</v>
      </c>
      <c r="Z193" s="168" t="str">
        <f t="shared" si="480"/>
        <v>#REF!</v>
      </c>
      <c r="AA193" s="168" t="str">
        <f t="shared" si="480"/>
        <v>#REF!</v>
      </c>
      <c r="AB193" s="168" t="str">
        <f t="shared" si="480"/>
        <v>#REF!</v>
      </c>
      <c r="AC193" s="168" t="str">
        <f t="shared" si="480"/>
        <v>#REF!</v>
      </c>
      <c r="AD193" s="168" t="str">
        <f t="shared" si="480"/>
        <v>#REF!</v>
      </c>
      <c r="AE193" s="168" t="str">
        <f t="shared" si="480"/>
        <v>#REF!</v>
      </c>
      <c r="AF193" s="168" t="str">
        <f t="shared" si="480"/>
        <v>#REF!</v>
      </c>
      <c r="AG193" s="168" t="str">
        <f t="shared" si="480"/>
        <v>#REF!</v>
      </c>
      <c r="AH193" s="168" t="str">
        <f t="shared" si="480"/>
        <v>#REF!</v>
      </c>
      <c r="AI193" s="168" t="str">
        <f t="shared" si="480"/>
        <v>#REF!</v>
      </c>
      <c r="AJ193" s="168" t="str">
        <f t="shared" si="480"/>
        <v>#REF!</v>
      </c>
    </row>
    <row r="194" ht="15.75" customHeight="1">
      <c r="A194" s="168" t="str">
        <f t="shared" ref="A194:T194" si="481">if(#REF!=$D$1,#REF!,"")</f>
        <v>#REF!</v>
      </c>
      <c r="B194" s="168" t="str">
        <f t="shared" si="481"/>
        <v>#REF!</v>
      </c>
      <c r="C194" s="168" t="str">
        <f t="shared" si="481"/>
        <v>#REF!</v>
      </c>
      <c r="D194" s="168" t="str">
        <f t="shared" si="481"/>
        <v>#REF!</v>
      </c>
      <c r="E194" s="168" t="str">
        <f t="shared" si="481"/>
        <v>#REF!</v>
      </c>
      <c r="F194" s="168" t="str">
        <f t="shared" si="481"/>
        <v>#REF!</v>
      </c>
      <c r="G194" s="168" t="str">
        <f t="shared" si="481"/>
        <v>#REF!</v>
      </c>
      <c r="H194" s="168" t="str">
        <f t="shared" si="481"/>
        <v>#REF!</v>
      </c>
      <c r="I194" s="168" t="str">
        <f t="shared" si="481"/>
        <v>#REF!</v>
      </c>
      <c r="J194" s="168" t="str">
        <f t="shared" si="481"/>
        <v>#REF!</v>
      </c>
      <c r="K194" s="168" t="str">
        <f t="shared" si="481"/>
        <v>#REF!</v>
      </c>
      <c r="L194" s="168" t="str">
        <f t="shared" si="481"/>
        <v>#REF!</v>
      </c>
      <c r="M194" s="168" t="str">
        <f t="shared" si="481"/>
        <v>#REF!</v>
      </c>
      <c r="N194" s="168" t="str">
        <f t="shared" si="481"/>
        <v>#REF!</v>
      </c>
      <c r="O194" s="168" t="str">
        <f t="shared" si="481"/>
        <v>#REF!</v>
      </c>
      <c r="P194" s="168" t="str">
        <f t="shared" si="481"/>
        <v>#REF!</v>
      </c>
      <c r="Q194" s="168" t="str">
        <f t="shared" si="481"/>
        <v>#REF!</v>
      </c>
      <c r="R194" s="168" t="str">
        <f t="shared" si="481"/>
        <v>#REF!</v>
      </c>
      <c r="S194" s="168" t="str">
        <f t="shared" si="481"/>
        <v>#REF!</v>
      </c>
      <c r="T194" s="168" t="str">
        <f t="shared" si="481"/>
        <v>#REF!</v>
      </c>
      <c r="U194" s="168" t="str">
        <f t="shared" ref="U194:AJ194" si="482">#REF!</f>
        <v>#REF!</v>
      </c>
      <c r="V194" s="168" t="str">
        <f t="shared" si="482"/>
        <v>#REF!</v>
      </c>
      <c r="W194" s="168" t="str">
        <f t="shared" si="482"/>
        <v>#REF!</v>
      </c>
      <c r="X194" s="168" t="str">
        <f t="shared" si="482"/>
        <v>#REF!</v>
      </c>
      <c r="Y194" s="168" t="str">
        <f t="shared" si="482"/>
        <v>#REF!</v>
      </c>
      <c r="Z194" s="168" t="str">
        <f t="shared" si="482"/>
        <v>#REF!</v>
      </c>
      <c r="AA194" s="168" t="str">
        <f t="shared" si="482"/>
        <v>#REF!</v>
      </c>
      <c r="AB194" s="168" t="str">
        <f t="shared" si="482"/>
        <v>#REF!</v>
      </c>
      <c r="AC194" s="168" t="str">
        <f t="shared" si="482"/>
        <v>#REF!</v>
      </c>
      <c r="AD194" s="168" t="str">
        <f t="shared" si="482"/>
        <v>#REF!</v>
      </c>
      <c r="AE194" s="168" t="str">
        <f t="shared" si="482"/>
        <v>#REF!</v>
      </c>
      <c r="AF194" s="168" t="str">
        <f t="shared" si="482"/>
        <v>#REF!</v>
      </c>
      <c r="AG194" s="168" t="str">
        <f t="shared" si="482"/>
        <v>#REF!</v>
      </c>
      <c r="AH194" s="168" t="str">
        <f t="shared" si="482"/>
        <v>#REF!</v>
      </c>
      <c r="AI194" s="168" t="str">
        <f t="shared" si="482"/>
        <v>#REF!</v>
      </c>
      <c r="AJ194" s="168" t="str">
        <f t="shared" si="482"/>
        <v>#REF!</v>
      </c>
    </row>
    <row r="195" ht="15.75" customHeight="1">
      <c r="A195" s="168" t="str">
        <f t="shared" ref="A195:T195" si="483">if(#REF!=$D$1,#REF!,"")</f>
        <v>#REF!</v>
      </c>
      <c r="B195" s="168" t="str">
        <f t="shared" si="483"/>
        <v>#REF!</v>
      </c>
      <c r="C195" s="168" t="str">
        <f t="shared" si="483"/>
        <v>#REF!</v>
      </c>
      <c r="D195" s="168" t="str">
        <f t="shared" si="483"/>
        <v>#REF!</v>
      </c>
      <c r="E195" s="168" t="str">
        <f t="shared" si="483"/>
        <v>#REF!</v>
      </c>
      <c r="F195" s="168" t="str">
        <f t="shared" si="483"/>
        <v>#REF!</v>
      </c>
      <c r="G195" s="168" t="str">
        <f t="shared" si="483"/>
        <v>#REF!</v>
      </c>
      <c r="H195" s="168" t="str">
        <f t="shared" si="483"/>
        <v>#REF!</v>
      </c>
      <c r="I195" s="168" t="str">
        <f t="shared" si="483"/>
        <v>#REF!</v>
      </c>
      <c r="J195" s="168" t="str">
        <f t="shared" si="483"/>
        <v>#REF!</v>
      </c>
      <c r="K195" s="168" t="str">
        <f t="shared" si="483"/>
        <v>#REF!</v>
      </c>
      <c r="L195" s="168" t="str">
        <f t="shared" si="483"/>
        <v>#REF!</v>
      </c>
      <c r="M195" s="168" t="str">
        <f t="shared" si="483"/>
        <v>#REF!</v>
      </c>
      <c r="N195" s="168" t="str">
        <f t="shared" si="483"/>
        <v>#REF!</v>
      </c>
      <c r="O195" s="168" t="str">
        <f t="shared" si="483"/>
        <v>#REF!</v>
      </c>
      <c r="P195" s="168" t="str">
        <f t="shared" si="483"/>
        <v>#REF!</v>
      </c>
      <c r="Q195" s="168" t="str">
        <f t="shared" si="483"/>
        <v>#REF!</v>
      </c>
      <c r="R195" s="168" t="str">
        <f t="shared" si="483"/>
        <v>#REF!</v>
      </c>
      <c r="S195" s="168" t="str">
        <f t="shared" si="483"/>
        <v>#REF!</v>
      </c>
      <c r="T195" s="168" t="str">
        <f t="shared" si="483"/>
        <v>#REF!</v>
      </c>
      <c r="U195" s="168" t="str">
        <f t="shared" ref="U195:AJ195" si="484">#REF!</f>
        <v>#REF!</v>
      </c>
      <c r="V195" s="168" t="str">
        <f t="shared" si="484"/>
        <v>#REF!</v>
      </c>
      <c r="W195" s="168" t="str">
        <f t="shared" si="484"/>
        <v>#REF!</v>
      </c>
      <c r="X195" s="168" t="str">
        <f t="shared" si="484"/>
        <v>#REF!</v>
      </c>
      <c r="Y195" s="168" t="str">
        <f t="shared" si="484"/>
        <v>#REF!</v>
      </c>
      <c r="Z195" s="168" t="str">
        <f t="shared" si="484"/>
        <v>#REF!</v>
      </c>
      <c r="AA195" s="168" t="str">
        <f t="shared" si="484"/>
        <v>#REF!</v>
      </c>
      <c r="AB195" s="168" t="str">
        <f t="shared" si="484"/>
        <v>#REF!</v>
      </c>
      <c r="AC195" s="168" t="str">
        <f t="shared" si="484"/>
        <v>#REF!</v>
      </c>
      <c r="AD195" s="168" t="str">
        <f t="shared" si="484"/>
        <v>#REF!</v>
      </c>
      <c r="AE195" s="168" t="str">
        <f t="shared" si="484"/>
        <v>#REF!</v>
      </c>
      <c r="AF195" s="168" t="str">
        <f t="shared" si="484"/>
        <v>#REF!</v>
      </c>
      <c r="AG195" s="168" t="str">
        <f t="shared" si="484"/>
        <v>#REF!</v>
      </c>
      <c r="AH195" s="168" t="str">
        <f t="shared" si="484"/>
        <v>#REF!</v>
      </c>
      <c r="AI195" s="168" t="str">
        <f t="shared" si="484"/>
        <v>#REF!</v>
      </c>
      <c r="AJ195" s="168" t="str">
        <f t="shared" si="484"/>
        <v>#REF!</v>
      </c>
    </row>
    <row r="196" ht="15.75" customHeight="1">
      <c r="A196" s="168" t="str">
        <f t="shared" ref="A196:T196" si="485">if(#REF!=$D$1,#REF!,"")</f>
        <v>#REF!</v>
      </c>
      <c r="B196" s="168" t="str">
        <f t="shared" si="485"/>
        <v>#REF!</v>
      </c>
      <c r="C196" s="168" t="str">
        <f t="shared" si="485"/>
        <v>#REF!</v>
      </c>
      <c r="D196" s="168" t="str">
        <f t="shared" si="485"/>
        <v>#REF!</v>
      </c>
      <c r="E196" s="168" t="str">
        <f t="shared" si="485"/>
        <v>#REF!</v>
      </c>
      <c r="F196" s="168" t="str">
        <f t="shared" si="485"/>
        <v>#REF!</v>
      </c>
      <c r="G196" s="168" t="str">
        <f t="shared" si="485"/>
        <v>#REF!</v>
      </c>
      <c r="H196" s="168" t="str">
        <f t="shared" si="485"/>
        <v>#REF!</v>
      </c>
      <c r="I196" s="168" t="str">
        <f t="shared" si="485"/>
        <v>#REF!</v>
      </c>
      <c r="J196" s="168" t="str">
        <f t="shared" si="485"/>
        <v>#REF!</v>
      </c>
      <c r="K196" s="168" t="str">
        <f t="shared" si="485"/>
        <v>#REF!</v>
      </c>
      <c r="L196" s="168" t="str">
        <f t="shared" si="485"/>
        <v>#REF!</v>
      </c>
      <c r="M196" s="168" t="str">
        <f t="shared" si="485"/>
        <v>#REF!</v>
      </c>
      <c r="N196" s="168" t="str">
        <f t="shared" si="485"/>
        <v>#REF!</v>
      </c>
      <c r="O196" s="168" t="str">
        <f t="shared" si="485"/>
        <v>#REF!</v>
      </c>
      <c r="P196" s="168" t="str">
        <f t="shared" si="485"/>
        <v>#REF!</v>
      </c>
      <c r="Q196" s="168" t="str">
        <f t="shared" si="485"/>
        <v>#REF!</v>
      </c>
      <c r="R196" s="168" t="str">
        <f t="shared" si="485"/>
        <v>#REF!</v>
      </c>
      <c r="S196" s="168" t="str">
        <f t="shared" si="485"/>
        <v>#REF!</v>
      </c>
      <c r="T196" s="168" t="str">
        <f t="shared" si="485"/>
        <v>#REF!</v>
      </c>
      <c r="U196" s="168" t="str">
        <f t="shared" ref="U196:AJ196" si="486">#REF!</f>
        <v>#REF!</v>
      </c>
      <c r="V196" s="168" t="str">
        <f t="shared" si="486"/>
        <v>#REF!</v>
      </c>
      <c r="W196" s="168" t="str">
        <f t="shared" si="486"/>
        <v>#REF!</v>
      </c>
      <c r="X196" s="168" t="str">
        <f t="shared" si="486"/>
        <v>#REF!</v>
      </c>
      <c r="Y196" s="168" t="str">
        <f t="shared" si="486"/>
        <v>#REF!</v>
      </c>
      <c r="Z196" s="168" t="str">
        <f t="shared" si="486"/>
        <v>#REF!</v>
      </c>
      <c r="AA196" s="168" t="str">
        <f t="shared" si="486"/>
        <v>#REF!</v>
      </c>
      <c r="AB196" s="168" t="str">
        <f t="shared" si="486"/>
        <v>#REF!</v>
      </c>
      <c r="AC196" s="168" t="str">
        <f t="shared" si="486"/>
        <v>#REF!</v>
      </c>
      <c r="AD196" s="168" t="str">
        <f t="shared" si="486"/>
        <v>#REF!</v>
      </c>
      <c r="AE196" s="168" t="str">
        <f t="shared" si="486"/>
        <v>#REF!</v>
      </c>
      <c r="AF196" s="168" t="str">
        <f t="shared" si="486"/>
        <v>#REF!</v>
      </c>
      <c r="AG196" s="168" t="str">
        <f t="shared" si="486"/>
        <v>#REF!</v>
      </c>
      <c r="AH196" s="168" t="str">
        <f t="shared" si="486"/>
        <v>#REF!</v>
      </c>
      <c r="AI196" s="168" t="str">
        <f t="shared" si="486"/>
        <v>#REF!</v>
      </c>
      <c r="AJ196" s="168" t="str">
        <f t="shared" si="486"/>
        <v>#REF!</v>
      </c>
    </row>
    <row r="197" ht="15.75" customHeight="1">
      <c r="A197" s="168" t="str">
        <f t="shared" ref="A197:T197" si="487">if(#REF!=$D$1,#REF!,"")</f>
        <v>#REF!</v>
      </c>
      <c r="B197" s="168" t="str">
        <f t="shared" si="487"/>
        <v>#REF!</v>
      </c>
      <c r="C197" s="168" t="str">
        <f t="shared" si="487"/>
        <v>#REF!</v>
      </c>
      <c r="D197" s="168" t="str">
        <f t="shared" si="487"/>
        <v>#REF!</v>
      </c>
      <c r="E197" s="168" t="str">
        <f t="shared" si="487"/>
        <v>#REF!</v>
      </c>
      <c r="F197" s="168" t="str">
        <f t="shared" si="487"/>
        <v>#REF!</v>
      </c>
      <c r="G197" s="168" t="str">
        <f t="shared" si="487"/>
        <v>#REF!</v>
      </c>
      <c r="H197" s="168" t="str">
        <f t="shared" si="487"/>
        <v>#REF!</v>
      </c>
      <c r="I197" s="168" t="str">
        <f t="shared" si="487"/>
        <v>#REF!</v>
      </c>
      <c r="J197" s="168" t="str">
        <f t="shared" si="487"/>
        <v>#REF!</v>
      </c>
      <c r="K197" s="168" t="str">
        <f t="shared" si="487"/>
        <v>#REF!</v>
      </c>
      <c r="L197" s="168" t="str">
        <f t="shared" si="487"/>
        <v>#REF!</v>
      </c>
      <c r="M197" s="168" t="str">
        <f t="shared" si="487"/>
        <v>#REF!</v>
      </c>
      <c r="N197" s="168" t="str">
        <f t="shared" si="487"/>
        <v>#REF!</v>
      </c>
      <c r="O197" s="168" t="str">
        <f t="shared" si="487"/>
        <v>#REF!</v>
      </c>
      <c r="P197" s="168" t="str">
        <f t="shared" si="487"/>
        <v>#REF!</v>
      </c>
      <c r="Q197" s="168" t="str">
        <f t="shared" si="487"/>
        <v>#REF!</v>
      </c>
      <c r="R197" s="168" t="str">
        <f t="shared" si="487"/>
        <v>#REF!</v>
      </c>
      <c r="S197" s="168" t="str">
        <f t="shared" si="487"/>
        <v>#REF!</v>
      </c>
      <c r="T197" s="168" t="str">
        <f t="shared" si="487"/>
        <v>#REF!</v>
      </c>
      <c r="U197" s="168" t="str">
        <f t="shared" ref="U197:AJ197" si="488">#REF!</f>
        <v>#REF!</v>
      </c>
      <c r="V197" s="168" t="str">
        <f t="shared" si="488"/>
        <v>#REF!</v>
      </c>
      <c r="W197" s="168" t="str">
        <f t="shared" si="488"/>
        <v>#REF!</v>
      </c>
      <c r="X197" s="168" t="str">
        <f t="shared" si="488"/>
        <v>#REF!</v>
      </c>
      <c r="Y197" s="168" t="str">
        <f t="shared" si="488"/>
        <v>#REF!</v>
      </c>
      <c r="Z197" s="168" t="str">
        <f t="shared" si="488"/>
        <v>#REF!</v>
      </c>
      <c r="AA197" s="168" t="str">
        <f t="shared" si="488"/>
        <v>#REF!</v>
      </c>
      <c r="AB197" s="168" t="str">
        <f t="shared" si="488"/>
        <v>#REF!</v>
      </c>
      <c r="AC197" s="168" t="str">
        <f t="shared" si="488"/>
        <v>#REF!</v>
      </c>
      <c r="AD197" s="168" t="str">
        <f t="shared" si="488"/>
        <v>#REF!</v>
      </c>
      <c r="AE197" s="168" t="str">
        <f t="shared" si="488"/>
        <v>#REF!</v>
      </c>
      <c r="AF197" s="168" t="str">
        <f t="shared" si="488"/>
        <v>#REF!</v>
      </c>
      <c r="AG197" s="168" t="str">
        <f t="shared" si="488"/>
        <v>#REF!</v>
      </c>
      <c r="AH197" s="168" t="str">
        <f t="shared" si="488"/>
        <v>#REF!</v>
      </c>
      <c r="AI197" s="168" t="str">
        <f t="shared" si="488"/>
        <v>#REF!</v>
      </c>
      <c r="AJ197" s="168" t="str">
        <f t="shared" si="488"/>
        <v>#REF!</v>
      </c>
    </row>
    <row r="198" ht="15.75" customHeight="1">
      <c r="A198" s="168" t="str">
        <f t="shared" ref="A198:T198" si="489">if(#REF!=$D$1,#REF!,"")</f>
        <v>#REF!</v>
      </c>
      <c r="B198" s="168" t="str">
        <f t="shared" si="489"/>
        <v>#REF!</v>
      </c>
      <c r="C198" s="168" t="str">
        <f t="shared" si="489"/>
        <v>#REF!</v>
      </c>
      <c r="D198" s="168" t="str">
        <f t="shared" si="489"/>
        <v>#REF!</v>
      </c>
      <c r="E198" s="168" t="str">
        <f t="shared" si="489"/>
        <v>#REF!</v>
      </c>
      <c r="F198" s="168" t="str">
        <f t="shared" si="489"/>
        <v>#REF!</v>
      </c>
      <c r="G198" s="168" t="str">
        <f t="shared" si="489"/>
        <v>#REF!</v>
      </c>
      <c r="H198" s="168" t="str">
        <f t="shared" si="489"/>
        <v>#REF!</v>
      </c>
      <c r="I198" s="168" t="str">
        <f t="shared" si="489"/>
        <v>#REF!</v>
      </c>
      <c r="J198" s="168" t="str">
        <f t="shared" si="489"/>
        <v>#REF!</v>
      </c>
      <c r="K198" s="168" t="str">
        <f t="shared" si="489"/>
        <v>#REF!</v>
      </c>
      <c r="L198" s="168" t="str">
        <f t="shared" si="489"/>
        <v>#REF!</v>
      </c>
      <c r="M198" s="168" t="str">
        <f t="shared" si="489"/>
        <v>#REF!</v>
      </c>
      <c r="N198" s="168" t="str">
        <f t="shared" si="489"/>
        <v>#REF!</v>
      </c>
      <c r="O198" s="168" t="str">
        <f t="shared" si="489"/>
        <v>#REF!</v>
      </c>
      <c r="P198" s="168" t="str">
        <f t="shared" si="489"/>
        <v>#REF!</v>
      </c>
      <c r="Q198" s="168" t="str">
        <f t="shared" si="489"/>
        <v>#REF!</v>
      </c>
      <c r="R198" s="168" t="str">
        <f t="shared" si="489"/>
        <v>#REF!</v>
      </c>
      <c r="S198" s="168" t="str">
        <f t="shared" si="489"/>
        <v>#REF!</v>
      </c>
      <c r="T198" s="168" t="str">
        <f t="shared" si="489"/>
        <v>#REF!</v>
      </c>
      <c r="U198" s="168" t="str">
        <f t="shared" ref="U198:AJ198" si="490">#REF!</f>
        <v>#REF!</v>
      </c>
      <c r="V198" s="168" t="str">
        <f t="shared" si="490"/>
        <v>#REF!</v>
      </c>
      <c r="W198" s="168" t="str">
        <f t="shared" si="490"/>
        <v>#REF!</v>
      </c>
      <c r="X198" s="168" t="str">
        <f t="shared" si="490"/>
        <v>#REF!</v>
      </c>
      <c r="Y198" s="168" t="str">
        <f t="shared" si="490"/>
        <v>#REF!</v>
      </c>
      <c r="Z198" s="168" t="str">
        <f t="shared" si="490"/>
        <v>#REF!</v>
      </c>
      <c r="AA198" s="168" t="str">
        <f t="shared" si="490"/>
        <v>#REF!</v>
      </c>
      <c r="AB198" s="168" t="str">
        <f t="shared" si="490"/>
        <v>#REF!</v>
      </c>
      <c r="AC198" s="168" t="str">
        <f t="shared" si="490"/>
        <v>#REF!</v>
      </c>
      <c r="AD198" s="168" t="str">
        <f t="shared" si="490"/>
        <v>#REF!</v>
      </c>
      <c r="AE198" s="168" t="str">
        <f t="shared" si="490"/>
        <v>#REF!</v>
      </c>
      <c r="AF198" s="168" t="str">
        <f t="shared" si="490"/>
        <v>#REF!</v>
      </c>
      <c r="AG198" s="168" t="str">
        <f t="shared" si="490"/>
        <v>#REF!</v>
      </c>
      <c r="AH198" s="168" t="str">
        <f t="shared" si="490"/>
        <v>#REF!</v>
      </c>
      <c r="AI198" s="168" t="str">
        <f t="shared" si="490"/>
        <v>#REF!</v>
      </c>
      <c r="AJ198" s="168" t="str">
        <f t="shared" si="490"/>
        <v>#REF!</v>
      </c>
    </row>
    <row r="199" ht="15.75" customHeight="1">
      <c r="A199" s="168" t="str">
        <f t="shared" ref="A199:T199" si="491">if(#REF!=$D$1,#REF!,"")</f>
        <v>#REF!</v>
      </c>
      <c r="B199" s="168" t="str">
        <f t="shared" si="491"/>
        <v>#REF!</v>
      </c>
      <c r="C199" s="168" t="str">
        <f t="shared" si="491"/>
        <v>#REF!</v>
      </c>
      <c r="D199" s="168" t="str">
        <f t="shared" si="491"/>
        <v>#REF!</v>
      </c>
      <c r="E199" s="168" t="str">
        <f t="shared" si="491"/>
        <v>#REF!</v>
      </c>
      <c r="F199" s="168" t="str">
        <f t="shared" si="491"/>
        <v>#REF!</v>
      </c>
      <c r="G199" s="168" t="str">
        <f t="shared" si="491"/>
        <v>#REF!</v>
      </c>
      <c r="H199" s="168" t="str">
        <f t="shared" si="491"/>
        <v>#REF!</v>
      </c>
      <c r="I199" s="168" t="str">
        <f t="shared" si="491"/>
        <v>#REF!</v>
      </c>
      <c r="J199" s="168" t="str">
        <f t="shared" si="491"/>
        <v>#REF!</v>
      </c>
      <c r="K199" s="168" t="str">
        <f t="shared" si="491"/>
        <v>#REF!</v>
      </c>
      <c r="L199" s="168" t="str">
        <f t="shared" si="491"/>
        <v>#REF!</v>
      </c>
      <c r="M199" s="168" t="str">
        <f t="shared" si="491"/>
        <v>#REF!</v>
      </c>
      <c r="N199" s="168" t="str">
        <f t="shared" si="491"/>
        <v>#REF!</v>
      </c>
      <c r="O199" s="168" t="str">
        <f t="shared" si="491"/>
        <v>#REF!</v>
      </c>
      <c r="P199" s="168" t="str">
        <f t="shared" si="491"/>
        <v>#REF!</v>
      </c>
      <c r="Q199" s="168" t="str">
        <f t="shared" si="491"/>
        <v>#REF!</v>
      </c>
      <c r="R199" s="168" t="str">
        <f t="shared" si="491"/>
        <v>#REF!</v>
      </c>
      <c r="S199" s="168" t="str">
        <f t="shared" si="491"/>
        <v>#REF!</v>
      </c>
      <c r="T199" s="168" t="str">
        <f t="shared" si="491"/>
        <v>#REF!</v>
      </c>
      <c r="U199" s="168" t="str">
        <f t="shared" ref="U199:AJ199" si="492">#REF!</f>
        <v>#REF!</v>
      </c>
      <c r="V199" s="168" t="str">
        <f t="shared" si="492"/>
        <v>#REF!</v>
      </c>
      <c r="W199" s="168" t="str">
        <f t="shared" si="492"/>
        <v>#REF!</v>
      </c>
      <c r="X199" s="168" t="str">
        <f t="shared" si="492"/>
        <v>#REF!</v>
      </c>
      <c r="Y199" s="168" t="str">
        <f t="shared" si="492"/>
        <v>#REF!</v>
      </c>
      <c r="Z199" s="168" t="str">
        <f t="shared" si="492"/>
        <v>#REF!</v>
      </c>
      <c r="AA199" s="168" t="str">
        <f t="shared" si="492"/>
        <v>#REF!</v>
      </c>
      <c r="AB199" s="168" t="str">
        <f t="shared" si="492"/>
        <v>#REF!</v>
      </c>
      <c r="AC199" s="168" t="str">
        <f t="shared" si="492"/>
        <v>#REF!</v>
      </c>
      <c r="AD199" s="168" t="str">
        <f t="shared" si="492"/>
        <v>#REF!</v>
      </c>
      <c r="AE199" s="168" t="str">
        <f t="shared" si="492"/>
        <v>#REF!</v>
      </c>
      <c r="AF199" s="168" t="str">
        <f t="shared" si="492"/>
        <v>#REF!</v>
      </c>
      <c r="AG199" s="168" t="str">
        <f t="shared" si="492"/>
        <v>#REF!</v>
      </c>
      <c r="AH199" s="168" t="str">
        <f t="shared" si="492"/>
        <v>#REF!</v>
      </c>
      <c r="AI199" s="168" t="str">
        <f t="shared" si="492"/>
        <v>#REF!</v>
      </c>
      <c r="AJ199" s="168" t="str">
        <f t="shared" si="492"/>
        <v>#REF!</v>
      </c>
    </row>
    <row r="200" ht="15.75" customHeight="1">
      <c r="A200" s="168" t="str">
        <f t="shared" ref="A200:T200" si="493">if(#REF!=$D$1,#REF!,"")</f>
        <v>#REF!</v>
      </c>
      <c r="B200" s="168" t="str">
        <f t="shared" si="493"/>
        <v>#REF!</v>
      </c>
      <c r="C200" s="168" t="str">
        <f t="shared" si="493"/>
        <v>#REF!</v>
      </c>
      <c r="D200" s="168" t="str">
        <f t="shared" si="493"/>
        <v>#REF!</v>
      </c>
      <c r="E200" s="168" t="str">
        <f t="shared" si="493"/>
        <v>#REF!</v>
      </c>
      <c r="F200" s="168" t="str">
        <f t="shared" si="493"/>
        <v>#REF!</v>
      </c>
      <c r="G200" s="168" t="str">
        <f t="shared" si="493"/>
        <v>#REF!</v>
      </c>
      <c r="H200" s="168" t="str">
        <f t="shared" si="493"/>
        <v>#REF!</v>
      </c>
      <c r="I200" s="168" t="str">
        <f t="shared" si="493"/>
        <v>#REF!</v>
      </c>
      <c r="J200" s="168" t="str">
        <f t="shared" si="493"/>
        <v>#REF!</v>
      </c>
      <c r="K200" s="168" t="str">
        <f t="shared" si="493"/>
        <v>#REF!</v>
      </c>
      <c r="L200" s="168" t="str">
        <f t="shared" si="493"/>
        <v>#REF!</v>
      </c>
      <c r="M200" s="168" t="str">
        <f t="shared" si="493"/>
        <v>#REF!</v>
      </c>
      <c r="N200" s="168" t="str">
        <f t="shared" si="493"/>
        <v>#REF!</v>
      </c>
      <c r="O200" s="168" t="str">
        <f t="shared" si="493"/>
        <v>#REF!</v>
      </c>
      <c r="P200" s="168" t="str">
        <f t="shared" si="493"/>
        <v>#REF!</v>
      </c>
      <c r="Q200" s="168" t="str">
        <f t="shared" si="493"/>
        <v>#REF!</v>
      </c>
      <c r="R200" s="168" t="str">
        <f t="shared" si="493"/>
        <v>#REF!</v>
      </c>
      <c r="S200" s="168" t="str">
        <f t="shared" si="493"/>
        <v>#REF!</v>
      </c>
      <c r="T200" s="168" t="str">
        <f t="shared" si="493"/>
        <v>#REF!</v>
      </c>
      <c r="U200" s="168" t="str">
        <f t="shared" ref="U200:AJ200" si="494">#REF!</f>
        <v>#REF!</v>
      </c>
      <c r="V200" s="168" t="str">
        <f t="shared" si="494"/>
        <v>#REF!</v>
      </c>
      <c r="W200" s="168" t="str">
        <f t="shared" si="494"/>
        <v>#REF!</v>
      </c>
      <c r="X200" s="168" t="str">
        <f t="shared" si="494"/>
        <v>#REF!</v>
      </c>
      <c r="Y200" s="168" t="str">
        <f t="shared" si="494"/>
        <v>#REF!</v>
      </c>
      <c r="Z200" s="168" t="str">
        <f t="shared" si="494"/>
        <v>#REF!</v>
      </c>
      <c r="AA200" s="168" t="str">
        <f t="shared" si="494"/>
        <v>#REF!</v>
      </c>
      <c r="AB200" s="168" t="str">
        <f t="shared" si="494"/>
        <v>#REF!</v>
      </c>
      <c r="AC200" s="168" t="str">
        <f t="shared" si="494"/>
        <v>#REF!</v>
      </c>
      <c r="AD200" s="168" t="str">
        <f t="shared" si="494"/>
        <v>#REF!</v>
      </c>
      <c r="AE200" s="168" t="str">
        <f t="shared" si="494"/>
        <v>#REF!</v>
      </c>
      <c r="AF200" s="168" t="str">
        <f t="shared" si="494"/>
        <v>#REF!</v>
      </c>
      <c r="AG200" s="168" t="str">
        <f t="shared" si="494"/>
        <v>#REF!</v>
      </c>
      <c r="AH200" s="168" t="str">
        <f t="shared" si="494"/>
        <v>#REF!</v>
      </c>
      <c r="AI200" s="168" t="str">
        <f t="shared" si="494"/>
        <v>#REF!</v>
      </c>
      <c r="AJ200" s="168" t="str">
        <f t="shared" si="494"/>
        <v>#REF!</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T$200"/>
  <dataValidations>
    <dataValidation type="list" allowBlank="1" sqref="A3:A200">
      <formula1>"Nami Intelligence,NamiChat,NamiGen Chatbot,NamiGen Voicebot,NamiSense AA,NamiSense CC,NamiSense JP,NamiSense-ANW-AI Counter,VoiceDNA,VoiceGate,VoiceGate P2"</formula1>
    </dataValidation>
    <dataValidation type="list" allowBlank="1" sqref="C3:C70">
      <formula1>"JP,VN,US"</formula1>
    </dataValidation>
    <dataValidation type="list" allowBlank="1" sqref="G3:G70">
      <formula1>"A,B,C,D"</formula1>
    </dataValidation>
  </dataValidations>
  <hyperlinks>
    <hyperlink r:id="rId1" ref="D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1.22" defaultRowHeight="15.0"/>
  <cols>
    <col customWidth="1" min="1" max="1" width="25.67"/>
    <col customWidth="1" min="2" max="2" width="29.56"/>
    <col customWidth="1" min="3" max="3" width="7.56"/>
    <col customWidth="1" min="4" max="4" width="17.44"/>
    <col customWidth="1" min="5" max="5" width="9.67"/>
    <col customWidth="1" min="6" max="6" width="9.22"/>
    <col customWidth="1" min="7" max="7" width="6.56"/>
    <col customWidth="1" min="8" max="8" width="13.44"/>
    <col customWidth="1" min="9" max="9" width="10.44"/>
    <col customWidth="1" min="10" max="10" width="13.33"/>
    <col customWidth="1" min="11" max="11" width="12.56"/>
    <col customWidth="1" min="12" max="12" width="13.44"/>
    <col customWidth="1" min="13" max="13" width="16.11"/>
    <col customWidth="1" min="14" max="14" width="16.0"/>
    <col customWidth="1" min="15" max="15" width="16.33"/>
    <col customWidth="1" min="16" max="16" width="6.0"/>
    <col customWidth="1" min="17" max="17" width="7.67"/>
    <col customWidth="1" min="18" max="18" width="12.89"/>
    <col customWidth="1" min="19" max="19" width="12.0"/>
    <col customWidth="1" min="20" max="20" width="66.56"/>
  </cols>
  <sheetData>
    <row r="1">
      <c r="A1" s="160"/>
      <c r="B1" s="160"/>
      <c r="C1" s="160"/>
      <c r="D1" s="161" t="s">
        <v>984</v>
      </c>
      <c r="E1" s="160"/>
      <c r="F1" s="160"/>
      <c r="G1" s="160"/>
      <c r="H1" s="162" t="str">
        <f>subtotal(9,H3:H200)</f>
        <v>#REF!</v>
      </c>
      <c r="I1" s="160"/>
      <c r="J1" s="163"/>
      <c r="K1" s="162"/>
      <c r="L1" s="162"/>
      <c r="M1" s="160"/>
      <c r="N1" s="160"/>
      <c r="O1" s="160"/>
      <c r="P1" s="160"/>
      <c r="Q1" s="160"/>
      <c r="R1" s="160"/>
      <c r="S1" s="160"/>
      <c r="T1" s="160"/>
      <c r="U1" s="164"/>
      <c r="V1" s="164"/>
      <c r="W1" s="164"/>
      <c r="X1" s="164"/>
      <c r="Y1" s="164"/>
      <c r="Z1" s="164"/>
      <c r="AA1" s="164"/>
      <c r="AB1" s="164"/>
      <c r="AC1" s="164"/>
      <c r="AD1" s="164"/>
      <c r="AE1" s="164"/>
      <c r="AF1" s="164"/>
      <c r="AG1" s="164"/>
      <c r="AH1" s="164"/>
      <c r="AI1" s="164"/>
      <c r="AJ1" s="164"/>
    </row>
    <row r="2" ht="39.75" customHeight="1">
      <c r="A2" s="165" t="s">
        <v>964</v>
      </c>
      <c r="B2" s="165" t="s">
        <v>965</v>
      </c>
      <c r="C2" s="165" t="s">
        <v>966</v>
      </c>
      <c r="D2" s="165" t="s">
        <v>967</v>
      </c>
      <c r="E2" s="165" t="s">
        <v>968</v>
      </c>
      <c r="F2" s="165" t="s">
        <v>969</v>
      </c>
      <c r="G2" s="165" t="s">
        <v>970</v>
      </c>
      <c r="H2" s="165" t="s">
        <v>971</v>
      </c>
      <c r="I2" s="165" t="s">
        <v>972</v>
      </c>
      <c r="J2" s="166" t="s">
        <v>973</v>
      </c>
      <c r="K2" s="165" t="s">
        <v>974</v>
      </c>
      <c r="L2" s="165" t="s">
        <v>975</v>
      </c>
      <c r="M2" s="165" t="s">
        <v>976</v>
      </c>
      <c r="N2" s="165" t="s">
        <v>977</v>
      </c>
      <c r="O2" s="165" t="s">
        <v>978</v>
      </c>
      <c r="P2" s="165" t="s">
        <v>979</v>
      </c>
      <c r="Q2" s="165" t="s">
        <v>980</v>
      </c>
      <c r="R2" s="165" t="s">
        <v>981</v>
      </c>
      <c r="S2" s="165" t="s">
        <v>982</v>
      </c>
      <c r="T2" s="167" t="s">
        <v>979</v>
      </c>
      <c r="U2" s="164"/>
      <c r="V2" s="164"/>
      <c r="W2" s="164"/>
      <c r="X2" s="164"/>
      <c r="Y2" s="164"/>
      <c r="Z2" s="164"/>
      <c r="AA2" s="164"/>
      <c r="AB2" s="164"/>
      <c r="AC2" s="164"/>
      <c r="AD2" s="164"/>
      <c r="AE2" s="164"/>
      <c r="AF2" s="164"/>
      <c r="AG2" s="164"/>
      <c r="AH2" s="164"/>
      <c r="AI2" s="164"/>
      <c r="AJ2" s="164"/>
    </row>
    <row r="3" hidden="1">
      <c r="A3" s="168" t="str">
        <f t="shared" ref="A3:AJ3" si="1">#REF!</f>
        <v>#REF!</v>
      </c>
      <c r="B3" s="168" t="str">
        <f t="shared" si="1"/>
        <v>#REF!</v>
      </c>
      <c r="C3" s="168" t="str">
        <f t="shared" si="1"/>
        <v>#REF!</v>
      </c>
      <c r="D3" s="168" t="str">
        <f t="shared" si="1"/>
        <v>#REF!</v>
      </c>
      <c r="E3" s="168" t="str">
        <f t="shared" si="1"/>
        <v>#REF!</v>
      </c>
      <c r="F3" s="168" t="str">
        <f t="shared" si="1"/>
        <v>#REF!</v>
      </c>
      <c r="G3" s="168" t="str">
        <f t="shared" si="1"/>
        <v>#REF!</v>
      </c>
      <c r="H3" s="168" t="str">
        <f t="shared" si="1"/>
        <v>#REF!</v>
      </c>
      <c r="I3" s="168" t="str">
        <f t="shared" si="1"/>
        <v>#REF!</v>
      </c>
      <c r="J3" s="168" t="str">
        <f t="shared" si="1"/>
        <v>#REF!</v>
      </c>
      <c r="K3" s="168" t="str">
        <f t="shared" si="1"/>
        <v>#REF!</v>
      </c>
      <c r="L3" s="168" t="str">
        <f t="shared" si="1"/>
        <v>#REF!</v>
      </c>
      <c r="M3" s="168" t="str">
        <f t="shared" si="1"/>
        <v>#REF!</v>
      </c>
      <c r="N3" s="168" t="str">
        <f t="shared" si="1"/>
        <v>#REF!</v>
      </c>
      <c r="O3" s="168" t="str">
        <f t="shared" si="1"/>
        <v>#REF!</v>
      </c>
      <c r="P3" s="168" t="str">
        <f t="shared" si="1"/>
        <v>#REF!</v>
      </c>
      <c r="Q3" s="168" t="str">
        <f t="shared" si="1"/>
        <v>#REF!</v>
      </c>
      <c r="R3" s="168" t="str">
        <f t="shared" si="1"/>
        <v>#REF!</v>
      </c>
      <c r="S3" s="168" t="str">
        <f t="shared" si="1"/>
        <v>#REF!</v>
      </c>
      <c r="T3" s="168" t="str">
        <f t="shared" si="1"/>
        <v>#REF!</v>
      </c>
      <c r="U3" s="168" t="str">
        <f t="shared" si="1"/>
        <v>#REF!</v>
      </c>
      <c r="V3" s="168" t="str">
        <f t="shared" si="1"/>
        <v>#REF!</v>
      </c>
      <c r="W3" s="168" t="str">
        <f t="shared" si="1"/>
        <v>#REF!</v>
      </c>
      <c r="X3" s="168" t="str">
        <f t="shared" si="1"/>
        <v>#REF!</v>
      </c>
      <c r="Y3" s="168" t="str">
        <f t="shared" si="1"/>
        <v>#REF!</v>
      </c>
      <c r="Z3" s="168" t="str">
        <f t="shared" si="1"/>
        <v>#REF!</v>
      </c>
      <c r="AA3" s="168" t="str">
        <f t="shared" si="1"/>
        <v>#REF!</v>
      </c>
      <c r="AB3" s="168" t="str">
        <f t="shared" si="1"/>
        <v>#REF!</v>
      </c>
      <c r="AC3" s="168" t="str">
        <f t="shared" si="1"/>
        <v>#REF!</v>
      </c>
      <c r="AD3" s="168" t="str">
        <f t="shared" si="1"/>
        <v>#REF!</v>
      </c>
      <c r="AE3" s="168" t="str">
        <f t="shared" si="1"/>
        <v>#REF!</v>
      </c>
      <c r="AF3" s="168" t="str">
        <f t="shared" si="1"/>
        <v>#REF!</v>
      </c>
      <c r="AG3" s="168" t="str">
        <f t="shared" si="1"/>
        <v>#REF!</v>
      </c>
      <c r="AH3" s="168" t="str">
        <f t="shared" si="1"/>
        <v>#REF!</v>
      </c>
      <c r="AI3" s="168" t="str">
        <f t="shared" si="1"/>
        <v>#REF!</v>
      </c>
      <c r="AJ3" s="168" t="str">
        <f t="shared" si="1"/>
        <v>#REF!</v>
      </c>
    </row>
    <row r="4" hidden="1">
      <c r="A4" s="168" t="str">
        <f t="shared" ref="A4:AJ4" si="2">#REF!</f>
        <v>#REF!</v>
      </c>
      <c r="B4" s="168" t="str">
        <f t="shared" si="2"/>
        <v>#REF!</v>
      </c>
      <c r="C4" s="168" t="str">
        <f t="shared" si="2"/>
        <v>#REF!</v>
      </c>
      <c r="D4" s="168" t="str">
        <f t="shared" si="2"/>
        <v>#REF!</v>
      </c>
      <c r="E4" s="168" t="str">
        <f t="shared" si="2"/>
        <v>#REF!</v>
      </c>
      <c r="F4" s="168" t="str">
        <f t="shared" si="2"/>
        <v>#REF!</v>
      </c>
      <c r="G4" s="168" t="str">
        <f t="shared" si="2"/>
        <v>#REF!</v>
      </c>
      <c r="H4" s="168" t="str">
        <f t="shared" si="2"/>
        <v>#REF!</v>
      </c>
      <c r="I4" s="168" t="str">
        <f t="shared" si="2"/>
        <v>#REF!</v>
      </c>
      <c r="J4" s="168" t="str">
        <f t="shared" si="2"/>
        <v>#REF!</v>
      </c>
      <c r="K4" s="168" t="str">
        <f t="shared" si="2"/>
        <v>#REF!</v>
      </c>
      <c r="L4" s="168" t="str">
        <f t="shared" si="2"/>
        <v>#REF!</v>
      </c>
      <c r="M4" s="168" t="str">
        <f t="shared" si="2"/>
        <v>#REF!</v>
      </c>
      <c r="N4" s="168" t="str">
        <f t="shared" si="2"/>
        <v>#REF!</v>
      </c>
      <c r="O4" s="168" t="str">
        <f t="shared" si="2"/>
        <v>#REF!</v>
      </c>
      <c r="P4" s="168" t="str">
        <f t="shared" si="2"/>
        <v>#REF!</v>
      </c>
      <c r="Q4" s="168" t="str">
        <f t="shared" si="2"/>
        <v>#REF!</v>
      </c>
      <c r="R4" s="168" t="str">
        <f t="shared" si="2"/>
        <v>#REF!</v>
      </c>
      <c r="S4" s="168" t="str">
        <f t="shared" si="2"/>
        <v>#REF!</v>
      </c>
      <c r="T4" s="168" t="str">
        <f t="shared" si="2"/>
        <v>#REF!</v>
      </c>
      <c r="U4" s="168" t="str">
        <f t="shared" si="2"/>
        <v>#REF!</v>
      </c>
      <c r="V4" s="168" t="str">
        <f t="shared" si="2"/>
        <v>#REF!</v>
      </c>
      <c r="W4" s="168" t="str">
        <f t="shared" si="2"/>
        <v>#REF!</v>
      </c>
      <c r="X4" s="168" t="str">
        <f t="shared" si="2"/>
        <v>#REF!</v>
      </c>
      <c r="Y4" s="168" t="str">
        <f t="shared" si="2"/>
        <v>#REF!</v>
      </c>
      <c r="Z4" s="168" t="str">
        <f t="shared" si="2"/>
        <v>#REF!</v>
      </c>
      <c r="AA4" s="168" t="str">
        <f t="shared" si="2"/>
        <v>#REF!</v>
      </c>
      <c r="AB4" s="168" t="str">
        <f t="shared" si="2"/>
        <v>#REF!</v>
      </c>
      <c r="AC4" s="168" t="str">
        <f t="shared" si="2"/>
        <v>#REF!</v>
      </c>
      <c r="AD4" s="168" t="str">
        <f t="shared" si="2"/>
        <v>#REF!</v>
      </c>
      <c r="AE4" s="168" t="str">
        <f t="shared" si="2"/>
        <v>#REF!</v>
      </c>
      <c r="AF4" s="168" t="str">
        <f t="shared" si="2"/>
        <v>#REF!</v>
      </c>
      <c r="AG4" s="168" t="str">
        <f t="shared" si="2"/>
        <v>#REF!</v>
      </c>
      <c r="AH4" s="168" t="str">
        <f t="shared" si="2"/>
        <v>#REF!</v>
      </c>
      <c r="AI4" s="168" t="str">
        <f t="shared" si="2"/>
        <v>#REF!</v>
      </c>
      <c r="AJ4" s="168" t="str">
        <f t="shared" si="2"/>
        <v>#REF!</v>
      </c>
    </row>
    <row r="5" hidden="1">
      <c r="A5" s="168" t="str">
        <f t="shared" ref="A5:AJ5" si="3">#REF!</f>
        <v>#REF!</v>
      </c>
      <c r="B5" s="168" t="str">
        <f t="shared" si="3"/>
        <v>#REF!</v>
      </c>
      <c r="C5" s="168" t="str">
        <f t="shared" si="3"/>
        <v>#REF!</v>
      </c>
      <c r="D5" s="168" t="str">
        <f t="shared" si="3"/>
        <v>#REF!</v>
      </c>
      <c r="E5" s="168" t="str">
        <f t="shared" si="3"/>
        <v>#REF!</v>
      </c>
      <c r="F5" s="168" t="str">
        <f t="shared" si="3"/>
        <v>#REF!</v>
      </c>
      <c r="G5" s="168" t="str">
        <f t="shared" si="3"/>
        <v>#REF!</v>
      </c>
      <c r="H5" s="168" t="str">
        <f t="shared" si="3"/>
        <v>#REF!</v>
      </c>
      <c r="I5" s="168" t="str">
        <f t="shared" si="3"/>
        <v>#REF!</v>
      </c>
      <c r="J5" s="168" t="str">
        <f t="shared" si="3"/>
        <v>#REF!</v>
      </c>
      <c r="K5" s="168" t="str">
        <f t="shared" si="3"/>
        <v>#REF!</v>
      </c>
      <c r="L5" s="168" t="str">
        <f t="shared" si="3"/>
        <v>#REF!</v>
      </c>
      <c r="M5" s="168" t="str">
        <f t="shared" si="3"/>
        <v>#REF!</v>
      </c>
      <c r="N5" s="168" t="str">
        <f t="shared" si="3"/>
        <v>#REF!</v>
      </c>
      <c r="O5" s="168" t="str">
        <f t="shared" si="3"/>
        <v>#REF!</v>
      </c>
      <c r="P5" s="168" t="str">
        <f t="shared" si="3"/>
        <v>#REF!</v>
      </c>
      <c r="Q5" s="168" t="str">
        <f t="shared" si="3"/>
        <v>#REF!</v>
      </c>
      <c r="R5" s="168" t="str">
        <f t="shared" si="3"/>
        <v>#REF!</v>
      </c>
      <c r="S5" s="168" t="str">
        <f t="shared" si="3"/>
        <v>#REF!</v>
      </c>
      <c r="T5" s="168" t="str">
        <f t="shared" si="3"/>
        <v>#REF!</v>
      </c>
      <c r="U5" s="168" t="str">
        <f t="shared" si="3"/>
        <v>#REF!</v>
      </c>
      <c r="V5" s="168" t="str">
        <f t="shared" si="3"/>
        <v>#REF!</v>
      </c>
      <c r="W5" s="168" t="str">
        <f t="shared" si="3"/>
        <v>#REF!</v>
      </c>
      <c r="X5" s="168" t="str">
        <f t="shared" si="3"/>
        <v>#REF!</v>
      </c>
      <c r="Y5" s="168" t="str">
        <f t="shared" si="3"/>
        <v>#REF!</v>
      </c>
      <c r="Z5" s="168" t="str">
        <f t="shared" si="3"/>
        <v>#REF!</v>
      </c>
      <c r="AA5" s="168" t="str">
        <f t="shared" si="3"/>
        <v>#REF!</v>
      </c>
      <c r="AB5" s="168" t="str">
        <f t="shared" si="3"/>
        <v>#REF!</v>
      </c>
      <c r="AC5" s="168" t="str">
        <f t="shared" si="3"/>
        <v>#REF!</v>
      </c>
      <c r="AD5" s="168" t="str">
        <f t="shared" si="3"/>
        <v>#REF!</v>
      </c>
      <c r="AE5" s="168" t="str">
        <f t="shared" si="3"/>
        <v>#REF!</v>
      </c>
      <c r="AF5" s="168" t="str">
        <f t="shared" si="3"/>
        <v>#REF!</v>
      </c>
      <c r="AG5" s="168" t="str">
        <f t="shared" si="3"/>
        <v>#REF!</v>
      </c>
      <c r="AH5" s="168" t="str">
        <f t="shared" si="3"/>
        <v>#REF!</v>
      </c>
      <c r="AI5" s="168" t="str">
        <f t="shared" si="3"/>
        <v>#REF!</v>
      </c>
      <c r="AJ5" s="168" t="str">
        <f t="shared" si="3"/>
        <v>#REF!</v>
      </c>
    </row>
    <row r="6" hidden="1">
      <c r="A6" s="168" t="str">
        <f t="shared" ref="A6:AJ6" si="4">#REF!</f>
        <v>#REF!</v>
      </c>
      <c r="B6" s="168" t="str">
        <f t="shared" si="4"/>
        <v>#REF!</v>
      </c>
      <c r="C6" s="168" t="str">
        <f t="shared" si="4"/>
        <v>#REF!</v>
      </c>
      <c r="D6" s="168" t="str">
        <f t="shared" si="4"/>
        <v>#REF!</v>
      </c>
      <c r="E6" s="168" t="str">
        <f t="shared" si="4"/>
        <v>#REF!</v>
      </c>
      <c r="F6" s="168" t="str">
        <f t="shared" si="4"/>
        <v>#REF!</v>
      </c>
      <c r="G6" s="168" t="str">
        <f t="shared" si="4"/>
        <v>#REF!</v>
      </c>
      <c r="H6" s="168" t="str">
        <f t="shared" si="4"/>
        <v>#REF!</v>
      </c>
      <c r="I6" s="168" t="str">
        <f t="shared" si="4"/>
        <v>#REF!</v>
      </c>
      <c r="J6" s="168" t="str">
        <f t="shared" si="4"/>
        <v>#REF!</v>
      </c>
      <c r="K6" s="168" t="str">
        <f t="shared" si="4"/>
        <v>#REF!</v>
      </c>
      <c r="L6" s="168" t="str">
        <f t="shared" si="4"/>
        <v>#REF!</v>
      </c>
      <c r="M6" s="168" t="str">
        <f t="shared" si="4"/>
        <v>#REF!</v>
      </c>
      <c r="N6" s="168" t="str">
        <f t="shared" si="4"/>
        <v>#REF!</v>
      </c>
      <c r="O6" s="168" t="str">
        <f t="shared" si="4"/>
        <v>#REF!</v>
      </c>
      <c r="P6" s="168" t="str">
        <f t="shared" si="4"/>
        <v>#REF!</v>
      </c>
      <c r="Q6" s="168" t="str">
        <f t="shared" si="4"/>
        <v>#REF!</v>
      </c>
      <c r="R6" s="168" t="str">
        <f t="shared" si="4"/>
        <v>#REF!</v>
      </c>
      <c r="S6" s="168" t="str">
        <f t="shared" si="4"/>
        <v>#REF!</v>
      </c>
      <c r="T6" s="168" t="str">
        <f t="shared" si="4"/>
        <v>#REF!</v>
      </c>
      <c r="U6" s="168" t="str">
        <f t="shared" si="4"/>
        <v>#REF!</v>
      </c>
      <c r="V6" s="168" t="str">
        <f t="shared" si="4"/>
        <v>#REF!</v>
      </c>
      <c r="W6" s="168" t="str">
        <f t="shared" si="4"/>
        <v>#REF!</v>
      </c>
      <c r="X6" s="168" t="str">
        <f t="shared" si="4"/>
        <v>#REF!</v>
      </c>
      <c r="Y6" s="168" t="str">
        <f t="shared" si="4"/>
        <v>#REF!</v>
      </c>
      <c r="Z6" s="168" t="str">
        <f t="shared" si="4"/>
        <v>#REF!</v>
      </c>
      <c r="AA6" s="168" t="str">
        <f t="shared" si="4"/>
        <v>#REF!</v>
      </c>
      <c r="AB6" s="168" t="str">
        <f t="shared" si="4"/>
        <v>#REF!</v>
      </c>
      <c r="AC6" s="168" t="str">
        <f t="shared" si="4"/>
        <v>#REF!</v>
      </c>
      <c r="AD6" s="168" t="str">
        <f t="shared" si="4"/>
        <v>#REF!</v>
      </c>
      <c r="AE6" s="168" t="str">
        <f t="shared" si="4"/>
        <v>#REF!</v>
      </c>
      <c r="AF6" s="168" t="str">
        <f t="shared" si="4"/>
        <v>#REF!</v>
      </c>
      <c r="AG6" s="168" t="str">
        <f t="shared" si="4"/>
        <v>#REF!</v>
      </c>
      <c r="AH6" s="168" t="str">
        <f t="shared" si="4"/>
        <v>#REF!</v>
      </c>
      <c r="AI6" s="168" t="str">
        <f t="shared" si="4"/>
        <v>#REF!</v>
      </c>
      <c r="AJ6" s="168" t="str">
        <f t="shared" si="4"/>
        <v>#REF!</v>
      </c>
    </row>
    <row r="7">
      <c r="A7" s="168" t="str">
        <f t="shared" ref="A7:AJ7" si="5">#REF!</f>
        <v>#REF!</v>
      </c>
      <c r="B7" s="168" t="str">
        <f t="shared" si="5"/>
        <v>#REF!</v>
      </c>
      <c r="C7" s="168" t="str">
        <f t="shared" si="5"/>
        <v>#REF!</v>
      </c>
      <c r="D7" s="168" t="str">
        <f t="shared" si="5"/>
        <v>#REF!</v>
      </c>
      <c r="E7" s="168" t="str">
        <f t="shared" si="5"/>
        <v>#REF!</v>
      </c>
      <c r="F7" s="168" t="str">
        <f t="shared" si="5"/>
        <v>#REF!</v>
      </c>
      <c r="G7" s="168" t="str">
        <f t="shared" si="5"/>
        <v>#REF!</v>
      </c>
      <c r="H7" s="168" t="str">
        <f t="shared" si="5"/>
        <v>#REF!</v>
      </c>
      <c r="I7" s="168" t="str">
        <f t="shared" si="5"/>
        <v>#REF!</v>
      </c>
      <c r="J7" s="168" t="str">
        <f t="shared" si="5"/>
        <v>#REF!</v>
      </c>
      <c r="K7" s="168" t="str">
        <f t="shared" si="5"/>
        <v>#REF!</v>
      </c>
      <c r="L7" s="168" t="str">
        <f t="shared" si="5"/>
        <v>#REF!</v>
      </c>
      <c r="M7" s="168" t="str">
        <f t="shared" si="5"/>
        <v>#REF!</v>
      </c>
      <c r="N7" s="168" t="str">
        <f t="shared" si="5"/>
        <v>#REF!</v>
      </c>
      <c r="O7" s="168" t="str">
        <f t="shared" si="5"/>
        <v>#REF!</v>
      </c>
      <c r="P7" s="168" t="str">
        <f t="shared" si="5"/>
        <v>#REF!</v>
      </c>
      <c r="Q7" s="168" t="str">
        <f t="shared" si="5"/>
        <v>#REF!</v>
      </c>
      <c r="R7" s="168" t="str">
        <f t="shared" si="5"/>
        <v>#REF!</v>
      </c>
      <c r="S7" s="168" t="str">
        <f t="shared" si="5"/>
        <v>#REF!</v>
      </c>
      <c r="T7" s="168" t="str">
        <f t="shared" si="5"/>
        <v>#REF!</v>
      </c>
      <c r="U7" s="168" t="str">
        <f t="shared" si="5"/>
        <v>#REF!</v>
      </c>
      <c r="V7" s="168" t="str">
        <f t="shared" si="5"/>
        <v>#REF!</v>
      </c>
      <c r="W7" s="168" t="str">
        <f t="shared" si="5"/>
        <v>#REF!</v>
      </c>
      <c r="X7" s="168" t="str">
        <f t="shared" si="5"/>
        <v>#REF!</v>
      </c>
      <c r="Y7" s="168" t="str">
        <f t="shared" si="5"/>
        <v>#REF!</v>
      </c>
      <c r="Z7" s="168" t="str">
        <f t="shared" si="5"/>
        <v>#REF!</v>
      </c>
      <c r="AA7" s="168" t="str">
        <f t="shared" si="5"/>
        <v>#REF!</v>
      </c>
      <c r="AB7" s="168" t="str">
        <f t="shared" si="5"/>
        <v>#REF!</v>
      </c>
      <c r="AC7" s="168" t="str">
        <f t="shared" si="5"/>
        <v>#REF!</v>
      </c>
      <c r="AD7" s="168" t="str">
        <f t="shared" si="5"/>
        <v>#REF!</v>
      </c>
      <c r="AE7" s="168" t="str">
        <f t="shared" si="5"/>
        <v>#REF!</v>
      </c>
      <c r="AF7" s="168" t="str">
        <f t="shared" si="5"/>
        <v>#REF!</v>
      </c>
      <c r="AG7" s="168" t="str">
        <f t="shared" si="5"/>
        <v>#REF!</v>
      </c>
      <c r="AH7" s="168" t="str">
        <f t="shared" si="5"/>
        <v>#REF!</v>
      </c>
      <c r="AI7" s="168" t="str">
        <f t="shared" si="5"/>
        <v>#REF!</v>
      </c>
      <c r="AJ7" s="168" t="str">
        <f t="shared" si="5"/>
        <v>#REF!</v>
      </c>
    </row>
    <row r="8" hidden="1">
      <c r="A8" s="168" t="str">
        <f t="shared" ref="A8:AJ8" si="6">#REF!</f>
        <v>#REF!</v>
      </c>
      <c r="B8" s="168" t="str">
        <f t="shared" si="6"/>
        <v>#REF!</v>
      </c>
      <c r="C8" s="168" t="str">
        <f t="shared" si="6"/>
        <v>#REF!</v>
      </c>
      <c r="D8" s="168" t="str">
        <f t="shared" si="6"/>
        <v>#REF!</v>
      </c>
      <c r="E8" s="168" t="str">
        <f t="shared" si="6"/>
        <v>#REF!</v>
      </c>
      <c r="F8" s="168" t="str">
        <f t="shared" si="6"/>
        <v>#REF!</v>
      </c>
      <c r="G8" s="168" t="str">
        <f t="shared" si="6"/>
        <v>#REF!</v>
      </c>
      <c r="H8" s="168" t="str">
        <f t="shared" si="6"/>
        <v>#REF!</v>
      </c>
      <c r="I8" s="168" t="str">
        <f t="shared" si="6"/>
        <v>#REF!</v>
      </c>
      <c r="J8" s="168" t="str">
        <f t="shared" si="6"/>
        <v>#REF!</v>
      </c>
      <c r="K8" s="168" t="str">
        <f t="shared" si="6"/>
        <v>#REF!</v>
      </c>
      <c r="L8" s="168" t="str">
        <f t="shared" si="6"/>
        <v>#REF!</v>
      </c>
      <c r="M8" s="168" t="str">
        <f t="shared" si="6"/>
        <v>#REF!</v>
      </c>
      <c r="N8" s="168" t="str">
        <f t="shared" si="6"/>
        <v>#REF!</v>
      </c>
      <c r="O8" s="168" t="str">
        <f t="shared" si="6"/>
        <v>#REF!</v>
      </c>
      <c r="P8" s="168" t="str">
        <f t="shared" si="6"/>
        <v>#REF!</v>
      </c>
      <c r="Q8" s="168" t="str">
        <f t="shared" si="6"/>
        <v>#REF!</v>
      </c>
      <c r="R8" s="168" t="str">
        <f t="shared" si="6"/>
        <v>#REF!</v>
      </c>
      <c r="S8" s="168" t="str">
        <f t="shared" si="6"/>
        <v>#REF!</v>
      </c>
      <c r="T8" s="168" t="str">
        <f t="shared" si="6"/>
        <v>#REF!</v>
      </c>
      <c r="U8" s="168" t="str">
        <f t="shared" si="6"/>
        <v>#REF!</v>
      </c>
      <c r="V8" s="168" t="str">
        <f t="shared" si="6"/>
        <v>#REF!</v>
      </c>
      <c r="W8" s="168" t="str">
        <f t="shared" si="6"/>
        <v>#REF!</v>
      </c>
      <c r="X8" s="168" t="str">
        <f t="shared" si="6"/>
        <v>#REF!</v>
      </c>
      <c r="Y8" s="168" t="str">
        <f t="shared" si="6"/>
        <v>#REF!</v>
      </c>
      <c r="Z8" s="168" t="str">
        <f t="shared" si="6"/>
        <v>#REF!</v>
      </c>
      <c r="AA8" s="168" t="str">
        <f t="shared" si="6"/>
        <v>#REF!</v>
      </c>
      <c r="AB8" s="168" t="str">
        <f t="shared" si="6"/>
        <v>#REF!</v>
      </c>
      <c r="AC8" s="168" t="str">
        <f t="shared" si="6"/>
        <v>#REF!</v>
      </c>
      <c r="AD8" s="168" t="str">
        <f t="shared" si="6"/>
        <v>#REF!</v>
      </c>
      <c r="AE8" s="168" t="str">
        <f t="shared" si="6"/>
        <v>#REF!</v>
      </c>
      <c r="AF8" s="168" t="str">
        <f t="shared" si="6"/>
        <v>#REF!</v>
      </c>
      <c r="AG8" s="168" t="str">
        <f t="shared" si="6"/>
        <v>#REF!</v>
      </c>
      <c r="AH8" s="168" t="str">
        <f t="shared" si="6"/>
        <v>#REF!</v>
      </c>
      <c r="AI8" s="168" t="str">
        <f t="shared" si="6"/>
        <v>#REF!</v>
      </c>
      <c r="AJ8" s="168" t="str">
        <f t="shared" si="6"/>
        <v>#REF!</v>
      </c>
    </row>
    <row r="9">
      <c r="A9" s="168" t="str">
        <f t="shared" ref="A9:AJ9" si="7">#REF!</f>
        <v>#REF!</v>
      </c>
      <c r="B9" s="168" t="str">
        <f t="shared" si="7"/>
        <v>#REF!</v>
      </c>
      <c r="C9" s="168" t="str">
        <f t="shared" si="7"/>
        <v>#REF!</v>
      </c>
      <c r="D9" s="168" t="str">
        <f t="shared" si="7"/>
        <v>#REF!</v>
      </c>
      <c r="E9" s="168" t="str">
        <f t="shared" si="7"/>
        <v>#REF!</v>
      </c>
      <c r="F9" s="168" t="str">
        <f t="shared" si="7"/>
        <v>#REF!</v>
      </c>
      <c r="G9" s="168" t="str">
        <f t="shared" si="7"/>
        <v>#REF!</v>
      </c>
      <c r="H9" s="168" t="str">
        <f t="shared" si="7"/>
        <v>#REF!</v>
      </c>
      <c r="I9" s="168" t="str">
        <f t="shared" si="7"/>
        <v>#REF!</v>
      </c>
      <c r="J9" s="168" t="str">
        <f t="shared" si="7"/>
        <v>#REF!</v>
      </c>
      <c r="K9" s="168" t="str">
        <f t="shared" si="7"/>
        <v>#REF!</v>
      </c>
      <c r="L9" s="168" t="str">
        <f t="shared" si="7"/>
        <v>#REF!</v>
      </c>
      <c r="M9" s="168" t="str">
        <f t="shared" si="7"/>
        <v>#REF!</v>
      </c>
      <c r="N9" s="168" t="str">
        <f t="shared" si="7"/>
        <v>#REF!</v>
      </c>
      <c r="O9" s="168" t="str">
        <f t="shared" si="7"/>
        <v>#REF!</v>
      </c>
      <c r="P9" s="168" t="str">
        <f t="shared" si="7"/>
        <v>#REF!</v>
      </c>
      <c r="Q9" s="168" t="str">
        <f t="shared" si="7"/>
        <v>#REF!</v>
      </c>
      <c r="R9" s="168" t="str">
        <f t="shared" si="7"/>
        <v>#REF!</v>
      </c>
      <c r="S9" s="168" t="str">
        <f t="shared" si="7"/>
        <v>#REF!</v>
      </c>
      <c r="T9" s="168" t="str">
        <f t="shared" si="7"/>
        <v>#REF!</v>
      </c>
      <c r="U9" s="168" t="str">
        <f t="shared" si="7"/>
        <v>#REF!</v>
      </c>
      <c r="V9" s="168" t="str">
        <f t="shared" si="7"/>
        <v>#REF!</v>
      </c>
      <c r="W9" s="168" t="str">
        <f t="shared" si="7"/>
        <v>#REF!</v>
      </c>
      <c r="X9" s="168" t="str">
        <f t="shared" si="7"/>
        <v>#REF!</v>
      </c>
      <c r="Y9" s="168" t="str">
        <f t="shared" si="7"/>
        <v>#REF!</v>
      </c>
      <c r="Z9" s="168" t="str">
        <f t="shared" si="7"/>
        <v>#REF!</v>
      </c>
      <c r="AA9" s="168" t="str">
        <f t="shared" si="7"/>
        <v>#REF!</v>
      </c>
      <c r="AB9" s="168" t="str">
        <f t="shared" si="7"/>
        <v>#REF!</v>
      </c>
      <c r="AC9" s="168" t="str">
        <f t="shared" si="7"/>
        <v>#REF!</v>
      </c>
      <c r="AD9" s="168" t="str">
        <f t="shared" si="7"/>
        <v>#REF!</v>
      </c>
      <c r="AE9" s="168" t="str">
        <f t="shared" si="7"/>
        <v>#REF!</v>
      </c>
      <c r="AF9" s="168" t="str">
        <f t="shared" si="7"/>
        <v>#REF!</v>
      </c>
      <c r="AG9" s="168" t="str">
        <f t="shared" si="7"/>
        <v>#REF!</v>
      </c>
      <c r="AH9" s="168" t="str">
        <f t="shared" si="7"/>
        <v>#REF!</v>
      </c>
      <c r="AI9" s="168" t="str">
        <f t="shared" si="7"/>
        <v>#REF!</v>
      </c>
      <c r="AJ9" s="168" t="str">
        <f t="shared" si="7"/>
        <v>#REF!</v>
      </c>
    </row>
    <row r="10">
      <c r="A10" s="168" t="str">
        <f t="shared" ref="A10:AJ10" si="8">#REF!</f>
        <v>#REF!</v>
      </c>
      <c r="B10" s="168" t="str">
        <f t="shared" si="8"/>
        <v>#REF!</v>
      </c>
      <c r="C10" s="168" t="str">
        <f t="shared" si="8"/>
        <v>#REF!</v>
      </c>
      <c r="D10" s="168" t="str">
        <f t="shared" si="8"/>
        <v>#REF!</v>
      </c>
      <c r="E10" s="168" t="str">
        <f t="shared" si="8"/>
        <v>#REF!</v>
      </c>
      <c r="F10" s="168" t="str">
        <f t="shared" si="8"/>
        <v>#REF!</v>
      </c>
      <c r="G10" s="168" t="str">
        <f t="shared" si="8"/>
        <v>#REF!</v>
      </c>
      <c r="H10" s="168" t="str">
        <f t="shared" si="8"/>
        <v>#REF!</v>
      </c>
      <c r="I10" s="168" t="str">
        <f t="shared" si="8"/>
        <v>#REF!</v>
      </c>
      <c r="J10" s="168" t="str">
        <f t="shared" si="8"/>
        <v>#REF!</v>
      </c>
      <c r="K10" s="168" t="str">
        <f t="shared" si="8"/>
        <v>#REF!</v>
      </c>
      <c r="L10" s="168" t="str">
        <f t="shared" si="8"/>
        <v>#REF!</v>
      </c>
      <c r="M10" s="168" t="str">
        <f t="shared" si="8"/>
        <v>#REF!</v>
      </c>
      <c r="N10" s="168" t="str">
        <f t="shared" si="8"/>
        <v>#REF!</v>
      </c>
      <c r="O10" s="168" t="str">
        <f t="shared" si="8"/>
        <v>#REF!</v>
      </c>
      <c r="P10" s="168" t="str">
        <f t="shared" si="8"/>
        <v>#REF!</v>
      </c>
      <c r="Q10" s="168" t="str">
        <f t="shared" si="8"/>
        <v>#REF!</v>
      </c>
      <c r="R10" s="168" t="str">
        <f t="shared" si="8"/>
        <v>#REF!</v>
      </c>
      <c r="S10" s="168" t="str">
        <f t="shared" si="8"/>
        <v>#REF!</v>
      </c>
      <c r="T10" s="168" t="str">
        <f t="shared" si="8"/>
        <v>#REF!</v>
      </c>
      <c r="U10" s="168" t="str">
        <f t="shared" si="8"/>
        <v>#REF!</v>
      </c>
      <c r="V10" s="168" t="str">
        <f t="shared" si="8"/>
        <v>#REF!</v>
      </c>
      <c r="W10" s="168" t="str">
        <f t="shared" si="8"/>
        <v>#REF!</v>
      </c>
      <c r="X10" s="168" t="str">
        <f t="shared" si="8"/>
        <v>#REF!</v>
      </c>
      <c r="Y10" s="168" t="str">
        <f t="shared" si="8"/>
        <v>#REF!</v>
      </c>
      <c r="Z10" s="168" t="str">
        <f t="shared" si="8"/>
        <v>#REF!</v>
      </c>
      <c r="AA10" s="168" t="str">
        <f t="shared" si="8"/>
        <v>#REF!</v>
      </c>
      <c r="AB10" s="168" t="str">
        <f t="shared" si="8"/>
        <v>#REF!</v>
      </c>
      <c r="AC10" s="168" t="str">
        <f t="shared" si="8"/>
        <v>#REF!</v>
      </c>
      <c r="AD10" s="168" t="str">
        <f t="shared" si="8"/>
        <v>#REF!</v>
      </c>
      <c r="AE10" s="168" t="str">
        <f t="shared" si="8"/>
        <v>#REF!</v>
      </c>
      <c r="AF10" s="168" t="str">
        <f t="shared" si="8"/>
        <v>#REF!</v>
      </c>
      <c r="AG10" s="168" t="str">
        <f t="shared" si="8"/>
        <v>#REF!</v>
      </c>
      <c r="AH10" s="168" t="str">
        <f t="shared" si="8"/>
        <v>#REF!</v>
      </c>
      <c r="AI10" s="168" t="str">
        <f t="shared" si="8"/>
        <v>#REF!</v>
      </c>
      <c r="AJ10" s="168" t="str">
        <f t="shared" si="8"/>
        <v>#REF!</v>
      </c>
    </row>
    <row r="11">
      <c r="A11" s="168" t="str">
        <f t="shared" ref="A11:AJ11" si="9">#REF!</f>
        <v>#REF!</v>
      </c>
      <c r="B11" s="168" t="str">
        <f t="shared" si="9"/>
        <v>#REF!</v>
      </c>
      <c r="C11" s="168" t="str">
        <f t="shared" si="9"/>
        <v>#REF!</v>
      </c>
      <c r="D11" s="168" t="str">
        <f t="shared" si="9"/>
        <v>#REF!</v>
      </c>
      <c r="E11" s="168" t="str">
        <f t="shared" si="9"/>
        <v>#REF!</v>
      </c>
      <c r="F11" s="168" t="str">
        <f t="shared" si="9"/>
        <v>#REF!</v>
      </c>
      <c r="G11" s="168" t="str">
        <f t="shared" si="9"/>
        <v>#REF!</v>
      </c>
      <c r="H11" s="168" t="str">
        <f t="shared" si="9"/>
        <v>#REF!</v>
      </c>
      <c r="I11" s="168" t="str">
        <f t="shared" si="9"/>
        <v>#REF!</v>
      </c>
      <c r="J11" s="168" t="str">
        <f t="shared" si="9"/>
        <v>#REF!</v>
      </c>
      <c r="K11" s="168" t="str">
        <f t="shared" si="9"/>
        <v>#REF!</v>
      </c>
      <c r="L11" s="168" t="str">
        <f t="shared" si="9"/>
        <v>#REF!</v>
      </c>
      <c r="M11" s="168" t="str">
        <f t="shared" si="9"/>
        <v>#REF!</v>
      </c>
      <c r="N11" s="168" t="str">
        <f t="shared" si="9"/>
        <v>#REF!</v>
      </c>
      <c r="O11" s="168" t="str">
        <f t="shared" si="9"/>
        <v>#REF!</v>
      </c>
      <c r="P11" s="168" t="str">
        <f t="shared" si="9"/>
        <v>#REF!</v>
      </c>
      <c r="Q11" s="168" t="str">
        <f t="shared" si="9"/>
        <v>#REF!</v>
      </c>
      <c r="R11" s="168" t="str">
        <f t="shared" si="9"/>
        <v>#REF!</v>
      </c>
      <c r="S11" s="168" t="str">
        <f t="shared" si="9"/>
        <v>#REF!</v>
      </c>
      <c r="T11" s="168" t="str">
        <f t="shared" si="9"/>
        <v>#REF!</v>
      </c>
      <c r="U11" s="168" t="str">
        <f t="shared" si="9"/>
        <v>#REF!</v>
      </c>
      <c r="V11" s="168" t="str">
        <f t="shared" si="9"/>
        <v>#REF!</v>
      </c>
      <c r="W11" s="168" t="str">
        <f t="shared" si="9"/>
        <v>#REF!</v>
      </c>
      <c r="X11" s="168" t="str">
        <f t="shared" si="9"/>
        <v>#REF!</v>
      </c>
      <c r="Y11" s="168" t="str">
        <f t="shared" si="9"/>
        <v>#REF!</v>
      </c>
      <c r="Z11" s="168" t="str">
        <f t="shared" si="9"/>
        <v>#REF!</v>
      </c>
      <c r="AA11" s="168" t="str">
        <f t="shared" si="9"/>
        <v>#REF!</v>
      </c>
      <c r="AB11" s="168" t="str">
        <f t="shared" si="9"/>
        <v>#REF!</v>
      </c>
      <c r="AC11" s="168" t="str">
        <f t="shared" si="9"/>
        <v>#REF!</v>
      </c>
      <c r="AD11" s="168" t="str">
        <f t="shared" si="9"/>
        <v>#REF!</v>
      </c>
      <c r="AE11" s="168" t="str">
        <f t="shared" si="9"/>
        <v>#REF!</v>
      </c>
      <c r="AF11" s="168" t="str">
        <f t="shared" si="9"/>
        <v>#REF!</v>
      </c>
      <c r="AG11" s="168" t="str">
        <f t="shared" si="9"/>
        <v>#REF!</v>
      </c>
      <c r="AH11" s="168" t="str">
        <f t="shared" si="9"/>
        <v>#REF!</v>
      </c>
      <c r="AI11" s="168" t="str">
        <f t="shared" si="9"/>
        <v>#REF!</v>
      </c>
      <c r="AJ11" s="168" t="str">
        <f t="shared" si="9"/>
        <v>#REF!</v>
      </c>
    </row>
    <row r="12">
      <c r="A12" s="168" t="str">
        <f t="shared" ref="A12:AJ12" si="10">#REF!</f>
        <v>#REF!</v>
      </c>
      <c r="B12" s="168" t="str">
        <f t="shared" si="10"/>
        <v>#REF!</v>
      </c>
      <c r="C12" s="168" t="str">
        <f t="shared" si="10"/>
        <v>#REF!</v>
      </c>
      <c r="D12" s="168" t="str">
        <f t="shared" si="10"/>
        <v>#REF!</v>
      </c>
      <c r="E12" s="168" t="str">
        <f t="shared" si="10"/>
        <v>#REF!</v>
      </c>
      <c r="F12" s="168" t="str">
        <f t="shared" si="10"/>
        <v>#REF!</v>
      </c>
      <c r="G12" s="168" t="str">
        <f t="shared" si="10"/>
        <v>#REF!</v>
      </c>
      <c r="H12" s="168" t="str">
        <f t="shared" si="10"/>
        <v>#REF!</v>
      </c>
      <c r="I12" s="168" t="str">
        <f t="shared" si="10"/>
        <v>#REF!</v>
      </c>
      <c r="J12" s="168" t="str">
        <f t="shared" si="10"/>
        <v>#REF!</v>
      </c>
      <c r="K12" s="168" t="str">
        <f t="shared" si="10"/>
        <v>#REF!</v>
      </c>
      <c r="L12" s="168" t="str">
        <f t="shared" si="10"/>
        <v>#REF!</v>
      </c>
      <c r="M12" s="168" t="str">
        <f t="shared" si="10"/>
        <v>#REF!</v>
      </c>
      <c r="N12" s="168" t="str">
        <f t="shared" si="10"/>
        <v>#REF!</v>
      </c>
      <c r="O12" s="168" t="str">
        <f t="shared" si="10"/>
        <v>#REF!</v>
      </c>
      <c r="P12" s="168" t="str">
        <f t="shared" si="10"/>
        <v>#REF!</v>
      </c>
      <c r="Q12" s="168" t="str">
        <f t="shared" si="10"/>
        <v>#REF!</v>
      </c>
      <c r="R12" s="168" t="str">
        <f t="shared" si="10"/>
        <v>#REF!</v>
      </c>
      <c r="S12" s="168" t="str">
        <f t="shared" si="10"/>
        <v>#REF!</v>
      </c>
      <c r="T12" s="168" t="str">
        <f t="shared" si="10"/>
        <v>#REF!</v>
      </c>
      <c r="U12" s="168" t="str">
        <f t="shared" si="10"/>
        <v>#REF!</v>
      </c>
      <c r="V12" s="168" t="str">
        <f t="shared" si="10"/>
        <v>#REF!</v>
      </c>
      <c r="W12" s="168" t="str">
        <f t="shared" si="10"/>
        <v>#REF!</v>
      </c>
      <c r="X12" s="168" t="str">
        <f t="shared" si="10"/>
        <v>#REF!</v>
      </c>
      <c r="Y12" s="168" t="str">
        <f t="shared" si="10"/>
        <v>#REF!</v>
      </c>
      <c r="Z12" s="168" t="str">
        <f t="shared" si="10"/>
        <v>#REF!</v>
      </c>
      <c r="AA12" s="168" t="str">
        <f t="shared" si="10"/>
        <v>#REF!</v>
      </c>
      <c r="AB12" s="168" t="str">
        <f t="shared" si="10"/>
        <v>#REF!</v>
      </c>
      <c r="AC12" s="168" t="str">
        <f t="shared" si="10"/>
        <v>#REF!</v>
      </c>
      <c r="AD12" s="168" t="str">
        <f t="shared" si="10"/>
        <v>#REF!</v>
      </c>
      <c r="AE12" s="168" t="str">
        <f t="shared" si="10"/>
        <v>#REF!</v>
      </c>
      <c r="AF12" s="168" t="str">
        <f t="shared" si="10"/>
        <v>#REF!</v>
      </c>
      <c r="AG12" s="168" t="str">
        <f t="shared" si="10"/>
        <v>#REF!</v>
      </c>
      <c r="AH12" s="168" t="str">
        <f t="shared" si="10"/>
        <v>#REF!</v>
      </c>
      <c r="AI12" s="168" t="str">
        <f t="shared" si="10"/>
        <v>#REF!</v>
      </c>
      <c r="AJ12" s="168" t="str">
        <f t="shared" si="10"/>
        <v>#REF!</v>
      </c>
    </row>
    <row r="13">
      <c r="A13" s="168" t="str">
        <f t="shared" ref="A13:AJ13" si="11">#REF!</f>
        <v>#REF!</v>
      </c>
      <c r="B13" s="168" t="str">
        <f t="shared" si="11"/>
        <v>#REF!</v>
      </c>
      <c r="C13" s="168" t="str">
        <f t="shared" si="11"/>
        <v>#REF!</v>
      </c>
      <c r="D13" s="168" t="str">
        <f t="shared" si="11"/>
        <v>#REF!</v>
      </c>
      <c r="E13" s="168" t="str">
        <f t="shared" si="11"/>
        <v>#REF!</v>
      </c>
      <c r="F13" s="168" t="str">
        <f t="shared" si="11"/>
        <v>#REF!</v>
      </c>
      <c r="G13" s="168" t="str">
        <f t="shared" si="11"/>
        <v>#REF!</v>
      </c>
      <c r="H13" s="168" t="str">
        <f t="shared" si="11"/>
        <v>#REF!</v>
      </c>
      <c r="I13" s="168" t="str">
        <f t="shared" si="11"/>
        <v>#REF!</v>
      </c>
      <c r="J13" s="168" t="str">
        <f t="shared" si="11"/>
        <v>#REF!</v>
      </c>
      <c r="K13" s="168" t="str">
        <f t="shared" si="11"/>
        <v>#REF!</v>
      </c>
      <c r="L13" s="168" t="str">
        <f t="shared" si="11"/>
        <v>#REF!</v>
      </c>
      <c r="M13" s="168" t="str">
        <f t="shared" si="11"/>
        <v>#REF!</v>
      </c>
      <c r="N13" s="168" t="str">
        <f t="shared" si="11"/>
        <v>#REF!</v>
      </c>
      <c r="O13" s="168" t="str">
        <f t="shared" si="11"/>
        <v>#REF!</v>
      </c>
      <c r="P13" s="168" t="str">
        <f t="shared" si="11"/>
        <v>#REF!</v>
      </c>
      <c r="Q13" s="168" t="str">
        <f t="shared" si="11"/>
        <v>#REF!</v>
      </c>
      <c r="R13" s="168" t="str">
        <f t="shared" si="11"/>
        <v>#REF!</v>
      </c>
      <c r="S13" s="168" t="str">
        <f t="shared" si="11"/>
        <v>#REF!</v>
      </c>
      <c r="T13" s="168" t="str">
        <f t="shared" si="11"/>
        <v>#REF!</v>
      </c>
      <c r="U13" s="168" t="str">
        <f t="shared" si="11"/>
        <v>#REF!</v>
      </c>
      <c r="V13" s="168" t="str">
        <f t="shared" si="11"/>
        <v>#REF!</v>
      </c>
      <c r="W13" s="168" t="str">
        <f t="shared" si="11"/>
        <v>#REF!</v>
      </c>
      <c r="X13" s="168" t="str">
        <f t="shared" si="11"/>
        <v>#REF!</v>
      </c>
      <c r="Y13" s="168" t="str">
        <f t="shared" si="11"/>
        <v>#REF!</v>
      </c>
      <c r="Z13" s="168" t="str">
        <f t="shared" si="11"/>
        <v>#REF!</v>
      </c>
      <c r="AA13" s="168" t="str">
        <f t="shared" si="11"/>
        <v>#REF!</v>
      </c>
      <c r="AB13" s="168" t="str">
        <f t="shared" si="11"/>
        <v>#REF!</v>
      </c>
      <c r="AC13" s="168" t="str">
        <f t="shared" si="11"/>
        <v>#REF!</v>
      </c>
      <c r="AD13" s="168" t="str">
        <f t="shared" si="11"/>
        <v>#REF!</v>
      </c>
      <c r="AE13" s="168" t="str">
        <f t="shared" si="11"/>
        <v>#REF!</v>
      </c>
      <c r="AF13" s="168" t="str">
        <f t="shared" si="11"/>
        <v>#REF!</v>
      </c>
      <c r="AG13" s="168" t="str">
        <f t="shared" si="11"/>
        <v>#REF!</v>
      </c>
      <c r="AH13" s="168" t="str">
        <f t="shared" si="11"/>
        <v>#REF!</v>
      </c>
      <c r="AI13" s="168" t="str">
        <f t="shared" si="11"/>
        <v>#REF!</v>
      </c>
      <c r="AJ13" s="168" t="str">
        <f t="shared" si="11"/>
        <v>#REF!</v>
      </c>
    </row>
    <row r="14">
      <c r="A14" s="168" t="str">
        <f t="shared" ref="A14:AJ14" si="12">#REF!</f>
        <v>#REF!</v>
      </c>
      <c r="B14" s="168" t="str">
        <f t="shared" si="12"/>
        <v>#REF!</v>
      </c>
      <c r="C14" s="168" t="str">
        <f t="shared" si="12"/>
        <v>#REF!</v>
      </c>
      <c r="D14" s="168" t="str">
        <f t="shared" si="12"/>
        <v>#REF!</v>
      </c>
      <c r="E14" s="168" t="str">
        <f t="shared" si="12"/>
        <v>#REF!</v>
      </c>
      <c r="F14" s="168" t="str">
        <f t="shared" si="12"/>
        <v>#REF!</v>
      </c>
      <c r="G14" s="168" t="str">
        <f t="shared" si="12"/>
        <v>#REF!</v>
      </c>
      <c r="H14" s="168" t="str">
        <f t="shared" si="12"/>
        <v>#REF!</v>
      </c>
      <c r="I14" s="168" t="str">
        <f t="shared" si="12"/>
        <v>#REF!</v>
      </c>
      <c r="J14" s="168" t="str">
        <f t="shared" si="12"/>
        <v>#REF!</v>
      </c>
      <c r="K14" s="168" t="str">
        <f t="shared" si="12"/>
        <v>#REF!</v>
      </c>
      <c r="L14" s="168" t="str">
        <f t="shared" si="12"/>
        <v>#REF!</v>
      </c>
      <c r="M14" s="168" t="str">
        <f t="shared" si="12"/>
        <v>#REF!</v>
      </c>
      <c r="N14" s="168" t="str">
        <f t="shared" si="12"/>
        <v>#REF!</v>
      </c>
      <c r="O14" s="168" t="str">
        <f t="shared" si="12"/>
        <v>#REF!</v>
      </c>
      <c r="P14" s="168" t="str">
        <f t="shared" si="12"/>
        <v>#REF!</v>
      </c>
      <c r="Q14" s="168" t="str">
        <f t="shared" si="12"/>
        <v>#REF!</v>
      </c>
      <c r="R14" s="168" t="str">
        <f t="shared" si="12"/>
        <v>#REF!</v>
      </c>
      <c r="S14" s="168" t="str">
        <f t="shared" si="12"/>
        <v>#REF!</v>
      </c>
      <c r="T14" s="168" t="str">
        <f t="shared" si="12"/>
        <v>#REF!</v>
      </c>
      <c r="U14" s="168" t="str">
        <f t="shared" si="12"/>
        <v>#REF!</v>
      </c>
      <c r="V14" s="168" t="str">
        <f t="shared" si="12"/>
        <v>#REF!</v>
      </c>
      <c r="W14" s="168" t="str">
        <f t="shared" si="12"/>
        <v>#REF!</v>
      </c>
      <c r="X14" s="168" t="str">
        <f t="shared" si="12"/>
        <v>#REF!</v>
      </c>
      <c r="Y14" s="168" t="str">
        <f t="shared" si="12"/>
        <v>#REF!</v>
      </c>
      <c r="Z14" s="168" t="str">
        <f t="shared" si="12"/>
        <v>#REF!</v>
      </c>
      <c r="AA14" s="168" t="str">
        <f t="shared" si="12"/>
        <v>#REF!</v>
      </c>
      <c r="AB14" s="168" t="str">
        <f t="shared" si="12"/>
        <v>#REF!</v>
      </c>
      <c r="AC14" s="168" t="str">
        <f t="shared" si="12"/>
        <v>#REF!</v>
      </c>
      <c r="AD14" s="168" t="str">
        <f t="shared" si="12"/>
        <v>#REF!</v>
      </c>
      <c r="AE14" s="168" t="str">
        <f t="shared" si="12"/>
        <v>#REF!</v>
      </c>
      <c r="AF14" s="168" t="str">
        <f t="shared" si="12"/>
        <v>#REF!</v>
      </c>
      <c r="AG14" s="168" t="str">
        <f t="shared" si="12"/>
        <v>#REF!</v>
      </c>
      <c r="AH14" s="168" t="str">
        <f t="shared" si="12"/>
        <v>#REF!</v>
      </c>
      <c r="AI14" s="168" t="str">
        <f t="shared" si="12"/>
        <v>#REF!</v>
      </c>
      <c r="AJ14" s="168" t="str">
        <f t="shared" si="12"/>
        <v>#REF!</v>
      </c>
    </row>
    <row r="15" hidden="1">
      <c r="A15" s="168" t="str">
        <f>'2026 Pipeline'!C6</f>
        <v>#REF!</v>
      </c>
      <c r="B15" s="168" t="str">
        <f t="shared" ref="B15:C15" si="13">'2026 Pipeline'!J6</f>
        <v>#REF!</v>
      </c>
      <c r="C15" s="168" t="str">
        <f t="shared" si="13"/>
        <v>#REF!</v>
      </c>
      <c r="D15" s="168" t="str">
        <f t="shared" ref="D15:F15" si="14">'2026 Pipeline'!M6</f>
        <v>#REF!</v>
      </c>
      <c r="E15" s="168" t="str">
        <f t="shared" si="14"/>
        <v>#REF!</v>
      </c>
      <c r="F15" s="168" t="str">
        <f t="shared" si="14"/>
        <v>#REF!</v>
      </c>
      <c r="G15" s="168" t="str">
        <f>'2026 Pipeline'!Q6</f>
        <v>#REF!</v>
      </c>
      <c r="H15" s="168" t="str">
        <f>'2026 Pipeline'!P6</f>
        <v>#REF!</v>
      </c>
      <c r="I15" s="168" t="str">
        <f>'2026 Pipeline'!R6</f>
        <v>#REF!</v>
      </c>
      <c r="J15" s="168" t="str">
        <f t="shared" ref="J15:L15" si="15">'2026 Pipeline'!V6</f>
        <v>#REF!</v>
      </c>
      <c r="K15" s="168" t="str">
        <f t="shared" si="15"/>
        <v>#REF!</v>
      </c>
      <c r="L15" s="168" t="str">
        <f t="shared" si="15"/>
        <v>#REF!</v>
      </c>
      <c r="M15" s="168" t="str">
        <f t="shared" ref="M15:O15" si="16">#REF!</f>
        <v>#REF!</v>
      </c>
      <c r="N15" s="168" t="str">
        <f t="shared" si="16"/>
        <v>#REF!</v>
      </c>
      <c r="O15" s="168" t="str">
        <f t="shared" si="16"/>
        <v>#REF!</v>
      </c>
      <c r="P15" s="168" t="str">
        <f>'2026 Pipeline'!AA6</f>
        <v>#REF!</v>
      </c>
      <c r="Q15" s="168" t="str">
        <f>'2026 Pipeline'!Y6</f>
        <v>#REF!</v>
      </c>
      <c r="R15" s="168" t="str">
        <f>#REF!</f>
        <v>#REF!</v>
      </c>
      <c r="S15" s="168" t="str">
        <f>'2026 Pipeline'!L6</f>
        <v>#REF!</v>
      </c>
      <c r="T15" s="168" t="str">
        <f>'2026 Pipeline'!CD6</f>
        <v>#REF!</v>
      </c>
      <c r="U15" s="168" t="str">
        <f t="shared" ref="U15:AJ15" si="17">#REF!</f>
        <v>#REF!</v>
      </c>
      <c r="V15" s="168" t="str">
        <f t="shared" si="17"/>
        <v>#REF!</v>
      </c>
      <c r="W15" s="168" t="str">
        <f t="shared" si="17"/>
        <v>#REF!</v>
      </c>
      <c r="X15" s="168" t="str">
        <f t="shared" si="17"/>
        <v>#REF!</v>
      </c>
      <c r="Y15" s="168" t="str">
        <f t="shared" si="17"/>
        <v>#REF!</v>
      </c>
      <c r="Z15" s="168" t="str">
        <f t="shared" si="17"/>
        <v>#REF!</v>
      </c>
      <c r="AA15" s="168" t="str">
        <f t="shared" si="17"/>
        <v>#REF!</v>
      </c>
      <c r="AB15" s="168" t="str">
        <f t="shared" si="17"/>
        <v>#REF!</v>
      </c>
      <c r="AC15" s="168" t="str">
        <f t="shared" si="17"/>
        <v>#REF!</v>
      </c>
      <c r="AD15" s="168" t="str">
        <f t="shared" si="17"/>
        <v>#REF!</v>
      </c>
      <c r="AE15" s="168" t="str">
        <f t="shared" si="17"/>
        <v>#REF!</v>
      </c>
      <c r="AF15" s="168" t="str">
        <f t="shared" si="17"/>
        <v>#REF!</v>
      </c>
      <c r="AG15" s="168" t="str">
        <f t="shared" si="17"/>
        <v>#REF!</v>
      </c>
      <c r="AH15" s="168" t="str">
        <f t="shared" si="17"/>
        <v>#REF!</v>
      </c>
      <c r="AI15" s="168" t="str">
        <f t="shared" si="17"/>
        <v>#REF!</v>
      </c>
      <c r="AJ15" s="168" t="str">
        <f t="shared" si="17"/>
        <v>#REF!</v>
      </c>
    </row>
    <row r="16" hidden="1">
      <c r="A16" s="168" t="str">
        <f t="shared" ref="A16:AJ16" si="18">#REF!</f>
        <v>#REF!</v>
      </c>
      <c r="B16" s="168" t="str">
        <f t="shared" si="18"/>
        <v>#REF!</v>
      </c>
      <c r="C16" s="168" t="str">
        <f t="shared" si="18"/>
        <v>#REF!</v>
      </c>
      <c r="D16" s="168" t="str">
        <f t="shared" si="18"/>
        <v>#REF!</v>
      </c>
      <c r="E16" s="168" t="str">
        <f t="shared" si="18"/>
        <v>#REF!</v>
      </c>
      <c r="F16" s="168" t="str">
        <f t="shared" si="18"/>
        <v>#REF!</v>
      </c>
      <c r="G16" s="168" t="str">
        <f t="shared" si="18"/>
        <v>#REF!</v>
      </c>
      <c r="H16" s="168" t="str">
        <f t="shared" si="18"/>
        <v>#REF!</v>
      </c>
      <c r="I16" s="168" t="str">
        <f t="shared" si="18"/>
        <v>#REF!</v>
      </c>
      <c r="J16" s="168" t="str">
        <f t="shared" si="18"/>
        <v>#REF!</v>
      </c>
      <c r="K16" s="168" t="str">
        <f t="shared" si="18"/>
        <v>#REF!</v>
      </c>
      <c r="L16" s="168" t="str">
        <f t="shared" si="18"/>
        <v>#REF!</v>
      </c>
      <c r="M16" s="168" t="str">
        <f t="shared" si="18"/>
        <v>#REF!</v>
      </c>
      <c r="N16" s="168" t="str">
        <f t="shared" si="18"/>
        <v>#REF!</v>
      </c>
      <c r="O16" s="168" t="str">
        <f t="shared" si="18"/>
        <v>#REF!</v>
      </c>
      <c r="P16" s="168" t="str">
        <f t="shared" si="18"/>
        <v>#REF!</v>
      </c>
      <c r="Q16" s="168" t="str">
        <f t="shared" si="18"/>
        <v>#REF!</v>
      </c>
      <c r="R16" s="168" t="str">
        <f t="shared" si="18"/>
        <v>#REF!</v>
      </c>
      <c r="S16" s="168" t="str">
        <f t="shared" si="18"/>
        <v>#REF!</v>
      </c>
      <c r="T16" s="168" t="str">
        <f t="shared" si="18"/>
        <v>#REF!</v>
      </c>
      <c r="U16" s="168" t="str">
        <f t="shared" si="18"/>
        <v>#REF!</v>
      </c>
      <c r="V16" s="168" t="str">
        <f t="shared" si="18"/>
        <v>#REF!</v>
      </c>
      <c r="W16" s="168" t="str">
        <f t="shared" si="18"/>
        <v>#REF!</v>
      </c>
      <c r="X16" s="168" t="str">
        <f t="shared" si="18"/>
        <v>#REF!</v>
      </c>
      <c r="Y16" s="168" t="str">
        <f t="shared" si="18"/>
        <v>#REF!</v>
      </c>
      <c r="Z16" s="168" t="str">
        <f t="shared" si="18"/>
        <v>#REF!</v>
      </c>
      <c r="AA16" s="168" t="str">
        <f t="shared" si="18"/>
        <v>#REF!</v>
      </c>
      <c r="AB16" s="168" t="str">
        <f t="shared" si="18"/>
        <v>#REF!</v>
      </c>
      <c r="AC16" s="168" t="str">
        <f t="shared" si="18"/>
        <v>#REF!</v>
      </c>
      <c r="AD16" s="168" t="str">
        <f t="shared" si="18"/>
        <v>#REF!</v>
      </c>
      <c r="AE16" s="168" t="str">
        <f t="shared" si="18"/>
        <v>#REF!</v>
      </c>
      <c r="AF16" s="168" t="str">
        <f t="shared" si="18"/>
        <v>#REF!</v>
      </c>
      <c r="AG16" s="168" t="str">
        <f t="shared" si="18"/>
        <v>#REF!</v>
      </c>
      <c r="AH16" s="168" t="str">
        <f t="shared" si="18"/>
        <v>#REF!</v>
      </c>
      <c r="AI16" s="168" t="str">
        <f t="shared" si="18"/>
        <v>#REF!</v>
      </c>
      <c r="AJ16" s="168" t="str">
        <f t="shared" si="18"/>
        <v>#REF!</v>
      </c>
    </row>
    <row r="17" hidden="1">
      <c r="A17" s="168" t="str">
        <f t="shared" ref="A17:T17" si="19">#REF!</f>
        <v>#REF!</v>
      </c>
      <c r="B17" s="168" t="str">
        <f t="shared" si="19"/>
        <v>#REF!</v>
      </c>
      <c r="C17" s="168" t="str">
        <f t="shared" si="19"/>
        <v>#REF!</v>
      </c>
      <c r="D17" s="168" t="str">
        <f t="shared" si="19"/>
        <v>#REF!</v>
      </c>
      <c r="E17" s="168" t="str">
        <f t="shared" si="19"/>
        <v>#REF!</v>
      </c>
      <c r="F17" s="168" t="str">
        <f t="shared" si="19"/>
        <v>#REF!</v>
      </c>
      <c r="G17" s="168" t="str">
        <f t="shared" si="19"/>
        <v>#REF!</v>
      </c>
      <c r="H17" s="168" t="str">
        <f t="shared" si="19"/>
        <v>#REF!</v>
      </c>
      <c r="I17" s="168" t="str">
        <f t="shared" si="19"/>
        <v>#REF!</v>
      </c>
      <c r="J17" s="168" t="str">
        <f t="shared" si="19"/>
        <v>#REF!</v>
      </c>
      <c r="K17" s="168" t="str">
        <f t="shared" si="19"/>
        <v>#REF!</v>
      </c>
      <c r="L17" s="168" t="str">
        <f t="shared" si="19"/>
        <v>#REF!</v>
      </c>
      <c r="M17" s="168" t="str">
        <f t="shared" si="19"/>
        <v>#REF!</v>
      </c>
      <c r="N17" s="168" t="str">
        <f t="shared" si="19"/>
        <v>#REF!</v>
      </c>
      <c r="O17" s="168" t="str">
        <f t="shared" si="19"/>
        <v>#REF!</v>
      </c>
      <c r="P17" s="168" t="str">
        <f t="shared" si="19"/>
        <v>#REF!</v>
      </c>
      <c r="Q17" s="168" t="str">
        <f t="shared" si="19"/>
        <v>#REF!</v>
      </c>
      <c r="R17" s="168" t="str">
        <f t="shared" si="19"/>
        <v>#REF!</v>
      </c>
      <c r="S17" s="168" t="str">
        <f t="shared" si="19"/>
        <v>#REF!</v>
      </c>
      <c r="T17" s="168" t="str">
        <f t="shared" si="19"/>
        <v>#REF!</v>
      </c>
      <c r="U17" s="168" t="str">
        <f>'2026 Pipeline'!AP6</f>
        <v>#REF!</v>
      </c>
      <c r="V17" s="168" t="str">
        <f t="shared" ref="V17:Z17" si="20">'2026 Pipeline'!CJ6</f>
        <v>#REF!</v>
      </c>
      <c r="W17" s="168" t="str">
        <f t="shared" si="20"/>
        <v>#REF!</v>
      </c>
      <c r="X17" s="168" t="str">
        <f t="shared" si="20"/>
        <v>#REF!</v>
      </c>
      <c r="Y17" s="168" t="str">
        <f t="shared" si="20"/>
        <v>#REF!</v>
      </c>
      <c r="Z17" s="168" t="str">
        <f t="shared" si="20"/>
        <v>#REF!</v>
      </c>
      <c r="AA17" s="168" t="str">
        <f t="shared" ref="AA17:AF17" si="21">#REF!</f>
        <v>#REF!</v>
      </c>
      <c r="AB17" s="168" t="str">
        <f t="shared" si="21"/>
        <v>#REF!</v>
      </c>
      <c r="AC17" s="168" t="str">
        <f t="shared" si="21"/>
        <v>#REF!</v>
      </c>
      <c r="AD17" s="168" t="str">
        <f t="shared" si="21"/>
        <v>#REF!</v>
      </c>
      <c r="AE17" s="168" t="str">
        <f t="shared" si="21"/>
        <v>#REF!</v>
      </c>
      <c r="AF17" s="168" t="str">
        <f t="shared" si="21"/>
        <v>#REF!</v>
      </c>
      <c r="AG17" s="168" t="str">
        <f>'2026 Pipeline'!CT6</f>
        <v>#REF!</v>
      </c>
      <c r="AH17" s="168" t="str">
        <f>'2026 Pipeline'!S6</f>
        <v>#REF!</v>
      </c>
      <c r="AI17" s="168" t="str">
        <f t="shared" ref="AI17:AJ17" si="22">#REF!</f>
        <v>#REF!</v>
      </c>
      <c r="AJ17" s="168" t="str">
        <f t="shared" si="22"/>
        <v>#REF!</v>
      </c>
    </row>
    <row r="18" hidden="1">
      <c r="A18" s="168" t="str">
        <f t="shared" ref="A18:AJ18" si="23">#REF!</f>
        <v>#REF!</v>
      </c>
      <c r="B18" s="168" t="str">
        <f t="shared" si="23"/>
        <v>#REF!</v>
      </c>
      <c r="C18" s="168" t="str">
        <f t="shared" si="23"/>
        <v>#REF!</v>
      </c>
      <c r="D18" s="168" t="str">
        <f t="shared" si="23"/>
        <v>#REF!</v>
      </c>
      <c r="E18" s="168" t="str">
        <f t="shared" si="23"/>
        <v>#REF!</v>
      </c>
      <c r="F18" s="168" t="str">
        <f t="shared" si="23"/>
        <v>#REF!</v>
      </c>
      <c r="G18" s="168" t="str">
        <f t="shared" si="23"/>
        <v>#REF!</v>
      </c>
      <c r="H18" s="168" t="str">
        <f t="shared" si="23"/>
        <v>#REF!</v>
      </c>
      <c r="I18" s="168" t="str">
        <f t="shared" si="23"/>
        <v>#REF!</v>
      </c>
      <c r="J18" s="168" t="str">
        <f t="shared" si="23"/>
        <v>#REF!</v>
      </c>
      <c r="K18" s="168" t="str">
        <f t="shared" si="23"/>
        <v>#REF!</v>
      </c>
      <c r="L18" s="168" t="str">
        <f t="shared" si="23"/>
        <v>#REF!</v>
      </c>
      <c r="M18" s="168" t="str">
        <f t="shared" si="23"/>
        <v>#REF!</v>
      </c>
      <c r="N18" s="168" t="str">
        <f t="shared" si="23"/>
        <v>#REF!</v>
      </c>
      <c r="O18" s="168" t="str">
        <f t="shared" si="23"/>
        <v>#REF!</v>
      </c>
      <c r="P18" s="168" t="str">
        <f t="shared" si="23"/>
        <v>#REF!</v>
      </c>
      <c r="Q18" s="168" t="str">
        <f t="shared" si="23"/>
        <v>#REF!</v>
      </c>
      <c r="R18" s="168" t="str">
        <f t="shared" si="23"/>
        <v>#REF!</v>
      </c>
      <c r="S18" s="168" t="str">
        <f t="shared" si="23"/>
        <v>#REF!</v>
      </c>
      <c r="T18" s="168" t="str">
        <f t="shared" si="23"/>
        <v>#REF!</v>
      </c>
      <c r="U18" s="168" t="str">
        <f t="shared" si="23"/>
        <v>#REF!</v>
      </c>
      <c r="V18" s="168" t="str">
        <f t="shared" si="23"/>
        <v>#REF!</v>
      </c>
      <c r="W18" s="168" t="str">
        <f t="shared" si="23"/>
        <v>#REF!</v>
      </c>
      <c r="X18" s="168" t="str">
        <f t="shared" si="23"/>
        <v>#REF!</v>
      </c>
      <c r="Y18" s="168" t="str">
        <f t="shared" si="23"/>
        <v>#REF!</v>
      </c>
      <c r="Z18" s="168" t="str">
        <f t="shared" si="23"/>
        <v>#REF!</v>
      </c>
      <c r="AA18" s="168" t="str">
        <f t="shared" si="23"/>
        <v>#REF!</v>
      </c>
      <c r="AB18" s="168" t="str">
        <f t="shared" si="23"/>
        <v>#REF!</v>
      </c>
      <c r="AC18" s="168" t="str">
        <f t="shared" si="23"/>
        <v>#REF!</v>
      </c>
      <c r="AD18" s="168" t="str">
        <f t="shared" si="23"/>
        <v>#REF!</v>
      </c>
      <c r="AE18" s="168" t="str">
        <f t="shared" si="23"/>
        <v>#REF!</v>
      </c>
      <c r="AF18" s="168" t="str">
        <f t="shared" si="23"/>
        <v>#REF!</v>
      </c>
      <c r="AG18" s="168" t="str">
        <f t="shared" si="23"/>
        <v>#REF!</v>
      </c>
      <c r="AH18" s="168" t="str">
        <f t="shared" si="23"/>
        <v>#REF!</v>
      </c>
      <c r="AI18" s="168" t="str">
        <f t="shared" si="23"/>
        <v>#REF!</v>
      </c>
      <c r="AJ18" s="168" t="str">
        <f t="shared" si="23"/>
        <v>#REF!</v>
      </c>
    </row>
    <row r="19" hidden="1">
      <c r="A19" s="168" t="str">
        <f t="shared" ref="A19:AJ19" si="24">#REF!</f>
        <v>#REF!</v>
      </c>
      <c r="B19" s="168" t="str">
        <f t="shared" si="24"/>
        <v>#REF!</v>
      </c>
      <c r="C19" s="168" t="str">
        <f t="shared" si="24"/>
        <v>#REF!</v>
      </c>
      <c r="D19" s="168" t="str">
        <f t="shared" si="24"/>
        <v>#REF!</v>
      </c>
      <c r="E19" s="168" t="str">
        <f t="shared" si="24"/>
        <v>#REF!</v>
      </c>
      <c r="F19" s="168" t="str">
        <f t="shared" si="24"/>
        <v>#REF!</v>
      </c>
      <c r="G19" s="168" t="str">
        <f t="shared" si="24"/>
        <v>#REF!</v>
      </c>
      <c r="H19" s="168" t="str">
        <f t="shared" si="24"/>
        <v>#REF!</v>
      </c>
      <c r="I19" s="168" t="str">
        <f t="shared" si="24"/>
        <v>#REF!</v>
      </c>
      <c r="J19" s="168" t="str">
        <f t="shared" si="24"/>
        <v>#REF!</v>
      </c>
      <c r="K19" s="168" t="str">
        <f t="shared" si="24"/>
        <v>#REF!</v>
      </c>
      <c r="L19" s="168" t="str">
        <f t="shared" si="24"/>
        <v>#REF!</v>
      </c>
      <c r="M19" s="168" t="str">
        <f t="shared" si="24"/>
        <v>#REF!</v>
      </c>
      <c r="N19" s="168" t="str">
        <f t="shared" si="24"/>
        <v>#REF!</v>
      </c>
      <c r="O19" s="168" t="str">
        <f t="shared" si="24"/>
        <v>#REF!</v>
      </c>
      <c r="P19" s="168" t="str">
        <f t="shared" si="24"/>
        <v>#REF!</v>
      </c>
      <c r="Q19" s="168" t="str">
        <f t="shared" si="24"/>
        <v>#REF!</v>
      </c>
      <c r="R19" s="168" t="str">
        <f t="shared" si="24"/>
        <v>#REF!</v>
      </c>
      <c r="S19" s="168" t="str">
        <f t="shared" si="24"/>
        <v>#REF!</v>
      </c>
      <c r="T19" s="168" t="str">
        <f t="shared" si="24"/>
        <v>#REF!</v>
      </c>
      <c r="U19" s="168" t="str">
        <f t="shared" si="24"/>
        <v>#REF!</v>
      </c>
      <c r="V19" s="168" t="str">
        <f t="shared" si="24"/>
        <v>#REF!</v>
      </c>
      <c r="W19" s="168" t="str">
        <f t="shared" si="24"/>
        <v>#REF!</v>
      </c>
      <c r="X19" s="168" t="str">
        <f t="shared" si="24"/>
        <v>#REF!</v>
      </c>
      <c r="Y19" s="168" t="str">
        <f t="shared" si="24"/>
        <v>#REF!</v>
      </c>
      <c r="Z19" s="168" t="str">
        <f t="shared" si="24"/>
        <v>#REF!</v>
      </c>
      <c r="AA19" s="168" t="str">
        <f t="shared" si="24"/>
        <v>#REF!</v>
      </c>
      <c r="AB19" s="168" t="str">
        <f t="shared" si="24"/>
        <v>#REF!</v>
      </c>
      <c r="AC19" s="168" t="str">
        <f t="shared" si="24"/>
        <v>#REF!</v>
      </c>
      <c r="AD19" s="168" t="str">
        <f t="shared" si="24"/>
        <v>#REF!</v>
      </c>
      <c r="AE19" s="168" t="str">
        <f t="shared" si="24"/>
        <v>#REF!</v>
      </c>
      <c r="AF19" s="168" t="str">
        <f t="shared" si="24"/>
        <v>#REF!</v>
      </c>
      <c r="AG19" s="168" t="str">
        <f t="shared" si="24"/>
        <v>#REF!</v>
      </c>
      <c r="AH19" s="168" t="str">
        <f t="shared" si="24"/>
        <v>#REF!</v>
      </c>
      <c r="AI19" s="168" t="str">
        <f t="shared" si="24"/>
        <v>#REF!</v>
      </c>
      <c r="AJ19" s="168" t="str">
        <f t="shared" si="24"/>
        <v>#REF!</v>
      </c>
    </row>
    <row r="20" hidden="1">
      <c r="A20" s="168" t="str">
        <f t="shared" ref="A20:AJ20" si="25">#REF!</f>
        <v>#REF!</v>
      </c>
      <c r="B20" s="168" t="str">
        <f t="shared" si="25"/>
        <v>#REF!</v>
      </c>
      <c r="C20" s="168" t="str">
        <f t="shared" si="25"/>
        <v>#REF!</v>
      </c>
      <c r="D20" s="168" t="str">
        <f t="shared" si="25"/>
        <v>#REF!</v>
      </c>
      <c r="E20" s="168" t="str">
        <f t="shared" si="25"/>
        <v>#REF!</v>
      </c>
      <c r="F20" s="168" t="str">
        <f t="shared" si="25"/>
        <v>#REF!</v>
      </c>
      <c r="G20" s="168" t="str">
        <f t="shared" si="25"/>
        <v>#REF!</v>
      </c>
      <c r="H20" s="168" t="str">
        <f t="shared" si="25"/>
        <v>#REF!</v>
      </c>
      <c r="I20" s="168" t="str">
        <f t="shared" si="25"/>
        <v>#REF!</v>
      </c>
      <c r="J20" s="168" t="str">
        <f t="shared" si="25"/>
        <v>#REF!</v>
      </c>
      <c r="K20" s="168" t="str">
        <f t="shared" si="25"/>
        <v>#REF!</v>
      </c>
      <c r="L20" s="168" t="str">
        <f t="shared" si="25"/>
        <v>#REF!</v>
      </c>
      <c r="M20" s="168" t="str">
        <f t="shared" si="25"/>
        <v>#REF!</v>
      </c>
      <c r="N20" s="168" t="str">
        <f t="shared" si="25"/>
        <v>#REF!</v>
      </c>
      <c r="O20" s="168" t="str">
        <f t="shared" si="25"/>
        <v>#REF!</v>
      </c>
      <c r="P20" s="168" t="str">
        <f t="shared" si="25"/>
        <v>#REF!</v>
      </c>
      <c r="Q20" s="168" t="str">
        <f t="shared" si="25"/>
        <v>#REF!</v>
      </c>
      <c r="R20" s="168" t="str">
        <f t="shared" si="25"/>
        <v>#REF!</v>
      </c>
      <c r="S20" s="168" t="str">
        <f t="shared" si="25"/>
        <v>#REF!</v>
      </c>
      <c r="T20" s="168" t="str">
        <f t="shared" si="25"/>
        <v>#REF!</v>
      </c>
      <c r="U20" s="168" t="str">
        <f t="shared" si="25"/>
        <v>#REF!</v>
      </c>
      <c r="V20" s="168" t="str">
        <f t="shared" si="25"/>
        <v>#REF!</v>
      </c>
      <c r="W20" s="168" t="str">
        <f t="shared" si="25"/>
        <v>#REF!</v>
      </c>
      <c r="X20" s="168" t="str">
        <f t="shared" si="25"/>
        <v>#REF!</v>
      </c>
      <c r="Y20" s="168" t="str">
        <f t="shared" si="25"/>
        <v>#REF!</v>
      </c>
      <c r="Z20" s="168" t="str">
        <f t="shared" si="25"/>
        <v>#REF!</v>
      </c>
      <c r="AA20" s="168" t="str">
        <f t="shared" si="25"/>
        <v>#REF!</v>
      </c>
      <c r="AB20" s="168" t="str">
        <f t="shared" si="25"/>
        <v>#REF!</v>
      </c>
      <c r="AC20" s="168" t="str">
        <f t="shared" si="25"/>
        <v>#REF!</v>
      </c>
      <c r="AD20" s="168" t="str">
        <f t="shared" si="25"/>
        <v>#REF!</v>
      </c>
      <c r="AE20" s="168" t="str">
        <f t="shared" si="25"/>
        <v>#REF!</v>
      </c>
      <c r="AF20" s="168" t="str">
        <f t="shared" si="25"/>
        <v>#REF!</v>
      </c>
      <c r="AG20" s="168" t="str">
        <f t="shared" si="25"/>
        <v>#REF!</v>
      </c>
      <c r="AH20" s="168" t="str">
        <f t="shared" si="25"/>
        <v>#REF!</v>
      </c>
      <c r="AI20" s="168" t="str">
        <f t="shared" si="25"/>
        <v>#REF!</v>
      </c>
      <c r="AJ20" s="168" t="str">
        <f t="shared" si="25"/>
        <v>#REF!</v>
      </c>
    </row>
    <row r="21" ht="15.75" hidden="1" customHeight="1">
      <c r="A21" s="168" t="str">
        <f t="shared" ref="A21:AJ21" si="26">#REF!</f>
        <v>#REF!</v>
      </c>
      <c r="B21" s="168" t="str">
        <f t="shared" si="26"/>
        <v>#REF!</v>
      </c>
      <c r="C21" s="168" t="str">
        <f t="shared" si="26"/>
        <v>#REF!</v>
      </c>
      <c r="D21" s="168" t="str">
        <f t="shared" si="26"/>
        <v>#REF!</v>
      </c>
      <c r="E21" s="168" t="str">
        <f t="shared" si="26"/>
        <v>#REF!</v>
      </c>
      <c r="F21" s="168" t="str">
        <f t="shared" si="26"/>
        <v>#REF!</v>
      </c>
      <c r="G21" s="168" t="str">
        <f t="shared" si="26"/>
        <v>#REF!</v>
      </c>
      <c r="H21" s="168" t="str">
        <f t="shared" si="26"/>
        <v>#REF!</v>
      </c>
      <c r="I21" s="168" t="str">
        <f t="shared" si="26"/>
        <v>#REF!</v>
      </c>
      <c r="J21" s="168" t="str">
        <f t="shared" si="26"/>
        <v>#REF!</v>
      </c>
      <c r="K21" s="168" t="str">
        <f t="shared" si="26"/>
        <v>#REF!</v>
      </c>
      <c r="L21" s="168" t="str">
        <f t="shared" si="26"/>
        <v>#REF!</v>
      </c>
      <c r="M21" s="168" t="str">
        <f t="shared" si="26"/>
        <v>#REF!</v>
      </c>
      <c r="N21" s="168" t="str">
        <f t="shared" si="26"/>
        <v>#REF!</v>
      </c>
      <c r="O21" s="168" t="str">
        <f t="shared" si="26"/>
        <v>#REF!</v>
      </c>
      <c r="P21" s="168" t="str">
        <f t="shared" si="26"/>
        <v>#REF!</v>
      </c>
      <c r="Q21" s="168" t="str">
        <f t="shared" si="26"/>
        <v>#REF!</v>
      </c>
      <c r="R21" s="168" t="str">
        <f t="shared" si="26"/>
        <v>#REF!</v>
      </c>
      <c r="S21" s="168" t="str">
        <f t="shared" si="26"/>
        <v>#REF!</v>
      </c>
      <c r="T21" s="168" t="str">
        <f t="shared" si="26"/>
        <v>#REF!</v>
      </c>
      <c r="U21" s="168" t="str">
        <f t="shared" si="26"/>
        <v>#REF!</v>
      </c>
      <c r="V21" s="168" t="str">
        <f t="shared" si="26"/>
        <v>#REF!</v>
      </c>
      <c r="W21" s="168" t="str">
        <f t="shared" si="26"/>
        <v>#REF!</v>
      </c>
      <c r="X21" s="168" t="str">
        <f t="shared" si="26"/>
        <v>#REF!</v>
      </c>
      <c r="Y21" s="168" t="str">
        <f t="shared" si="26"/>
        <v>#REF!</v>
      </c>
      <c r="Z21" s="168" t="str">
        <f t="shared" si="26"/>
        <v>#REF!</v>
      </c>
      <c r="AA21" s="168" t="str">
        <f t="shared" si="26"/>
        <v>#REF!</v>
      </c>
      <c r="AB21" s="168" t="str">
        <f t="shared" si="26"/>
        <v>#REF!</v>
      </c>
      <c r="AC21" s="168" t="str">
        <f t="shared" si="26"/>
        <v>#REF!</v>
      </c>
      <c r="AD21" s="168" t="str">
        <f t="shared" si="26"/>
        <v>#REF!</v>
      </c>
      <c r="AE21" s="168" t="str">
        <f t="shared" si="26"/>
        <v>#REF!</v>
      </c>
      <c r="AF21" s="168" t="str">
        <f t="shared" si="26"/>
        <v>#REF!</v>
      </c>
      <c r="AG21" s="168" t="str">
        <f t="shared" si="26"/>
        <v>#REF!</v>
      </c>
      <c r="AH21" s="168" t="str">
        <f t="shared" si="26"/>
        <v>#REF!</v>
      </c>
      <c r="AI21" s="168" t="str">
        <f t="shared" si="26"/>
        <v>#REF!</v>
      </c>
      <c r="AJ21" s="168" t="str">
        <f t="shared" si="26"/>
        <v>#REF!</v>
      </c>
    </row>
    <row r="22" ht="48.75" hidden="1" customHeight="1">
      <c r="A22" s="168" t="str">
        <f t="shared" ref="A22:AJ22" si="27">#REF!</f>
        <v>#REF!</v>
      </c>
      <c r="B22" s="168" t="str">
        <f t="shared" si="27"/>
        <v>#REF!</v>
      </c>
      <c r="C22" s="168" t="str">
        <f t="shared" si="27"/>
        <v>#REF!</v>
      </c>
      <c r="D22" s="168" t="str">
        <f t="shared" si="27"/>
        <v>#REF!</v>
      </c>
      <c r="E22" s="168" t="str">
        <f t="shared" si="27"/>
        <v>#REF!</v>
      </c>
      <c r="F22" s="168" t="str">
        <f t="shared" si="27"/>
        <v>#REF!</v>
      </c>
      <c r="G22" s="168" t="str">
        <f t="shared" si="27"/>
        <v>#REF!</v>
      </c>
      <c r="H22" s="168" t="str">
        <f t="shared" si="27"/>
        <v>#REF!</v>
      </c>
      <c r="I22" s="168" t="str">
        <f t="shared" si="27"/>
        <v>#REF!</v>
      </c>
      <c r="J22" s="168" t="str">
        <f t="shared" si="27"/>
        <v>#REF!</v>
      </c>
      <c r="K22" s="168" t="str">
        <f t="shared" si="27"/>
        <v>#REF!</v>
      </c>
      <c r="L22" s="168" t="str">
        <f t="shared" si="27"/>
        <v>#REF!</v>
      </c>
      <c r="M22" s="168" t="str">
        <f t="shared" si="27"/>
        <v>#REF!</v>
      </c>
      <c r="N22" s="168" t="str">
        <f t="shared" si="27"/>
        <v>#REF!</v>
      </c>
      <c r="O22" s="168" t="str">
        <f t="shared" si="27"/>
        <v>#REF!</v>
      </c>
      <c r="P22" s="168" t="str">
        <f t="shared" si="27"/>
        <v>#REF!</v>
      </c>
      <c r="Q22" s="168" t="str">
        <f t="shared" si="27"/>
        <v>#REF!</v>
      </c>
      <c r="R22" s="168" t="str">
        <f t="shared" si="27"/>
        <v>#REF!</v>
      </c>
      <c r="S22" s="168" t="str">
        <f t="shared" si="27"/>
        <v>#REF!</v>
      </c>
      <c r="T22" s="168" t="str">
        <f t="shared" si="27"/>
        <v>#REF!</v>
      </c>
      <c r="U22" s="168" t="str">
        <f t="shared" si="27"/>
        <v>#REF!</v>
      </c>
      <c r="V22" s="168" t="str">
        <f t="shared" si="27"/>
        <v>#REF!</v>
      </c>
      <c r="W22" s="168" t="str">
        <f t="shared" si="27"/>
        <v>#REF!</v>
      </c>
      <c r="X22" s="168" t="str">
        <f t="shared" si="27"/>
        <v>#REF!</v>
      </c>
      <c r="Y22" s="168" t="str">
        <f t="shared" si="27"/>
        <v>#REF!</v>
      </c>
      <c r="Z22" s="168" t="str">
        <f t="shared" si="27"/>
        <v>#REF!</v>
      </c>
      <c r="AA22" s="168" t="str">
        <f t="shared" si="27"/>
        <v>#REF!</v>
      </c>
      <c r="AB22" s="168" t="str">
        <f t="shared" si="27"/>
        <v>#REF!</v>
      </c>
      <c r="AC22" s="168" t="str">
        <f t="shared" si="27"/>
        <v>#REF!</v>
      </c>
      <c r="AD22" s="168" t="str">
        <f t="shared" si="27"/>
        <v>#REF!</v>
      </c>
      <c r="AE22" s="168" t="str">
        <f t="shared" si="27"/>
        <v>#REF!</v>
      </c>
      <c r="AF22" s="168" t="str">
        <f t="shared" si="27"/>
        <v>#REF!</v>
      </c>
      <c r="AG22" s="168" t="str">
        <f t="shared" si="27"/>
        <v>#REF!</v>
      </c>
      <c r="AH22" s="168" t="str">
        <f t="shared" si="27"/>
        <v>#REF!</v>
      </c>
      <c r="AI22" s="168" t="str">
        <f t="shared" si="27"/>
        <v>#REF!</v>
      </c>
      <c r="AJ22" s="168" t="str">
        <f t="shared" si="27"/>
        <v>#REF!</v>
      </c>
    </row>
    <row r="23" ht="15.75" hidden="1" customHeight="1">
      <c r="A23" s="168" t="str">
        <f t="shared" ref="A23:AJ23" si="28">#REF!</f>
        <v>#REF!</v>
      </c>
      <c r="B23" s="168" t="str">
        <f t="shared" si="28"/>
        <v>#REF!</v>
      </c>
      <c r="C23" s="168" t="str">
        <f t="shared" si="28"/>
        <v>#REF!</v>
      </c>
      <c r="D23" s="168" t="str">
        <f t="shared" si="28"/>
        <v>#REF!</v>
      </c>
      <c r="E23" s="168" t="str">
        <f t="shared" si="28"/>
        <v>#REF!</v>
      </c>
      <c r="F23" s="168" t="str">
        <f t="shared" si="28"/>
        <v>#REF!</v>
      </c>
      <c r="G23" s="168" t="str">
        <f t="shared" si="28"/>
        <v>#REF!</v>
      </c>
      <c r="H23" s="168" t="str">
        <f t="shared" si="28"/>
        <v>#REF!</v>
      </c>
      <c r="I23" s="168" t="str">
        <f t="shared" si="28"/>
        <v>#REF!</v>
      </c>
      <c r="J23" s="168" t="str">
        <f t="shared" si="28"/>
        <v>#REF!</v>
      </c>
      <c r="K23" s="168" t="str">
        <f t="shared" si="28"/>
        <v>#REF!</v>
      </c>
      <c r="L23" s="168" t="str">
        <f t="shared" si="28"/>
        <v>#REF!</v>
      </c>
      <c r="M23" s="168" t="str">
        <f t="shared" si="28"/>
        <v>#REF!</v>
      </c>
      <c r="N23" s="168" t="str">
        <f t="shared" si="28"/>
        <v>#REF!</v>
      </c>
      <c r="O23" s="168" t="str">
        <f t="shared" si="28"/>
        <v>#REF!</v>
      </c>
      <c r="P23" s="168" t="str">
        <f t="shared" si="28"/>
        <v>#REF!</v>
      </c>
      <c r="Q23" s="168" t="str">
        <f t="shared" si="28"/>
        <v>#REF!</v>
      </c>
      <c r="R23" s="168" t="str">
        <f t="shared" si="28"/>
        <v>#REF!</v>
      </c>
      <c r="S23" s="168" t="str">
        <f t="shared" si="28"/>
        <v>#REF!</v>
      </c>
      <c r="T23" s="168" t="str">
        <f t="shared" si="28"/>
        <v>#REF!</v>
      </c>
      <c r="U23" s="168" t="str">
        <f t="shared" si="28"/>
        <v>#REF!</v>
      </c>
      <c r="V23" s="168" t="str">
        <f t="shared" si="28"/>
        <v>#REF!</v>
      </c>
      <c r="W23" s="168" t="str">
        <f t="shared" si="28"/>
        <v>#REF!</v>
      </c>
      <c r="X23" s="168" t="str">
        <f t="shared" si="28"/>
        <v>#REF!</v>
      </c>
      <c r="Y23" s="168" t="str">
        <f t="shared" si="28"/>
        <v>#REF!</v>
      </c>
      <c r="Z23" s="168" t="str">
        <f t="shared" si="28"/>
        <v>#REF!</v>
      </c>
      <c r="AA23" s="168" t="str">
        <f t="shared" si="28"/>
        <v>#REF!</v>
      </c>
      <c r="AB23" s="168" t="str">
        <f t="shared" si="28"/>
        <v>#REF!</v>
      </c>
      <c r="AC23" s="168" t="str">
        <f t="shared" si="28"/>
        <v>#REF!</v>
      </c>
      <c r="AD23" s="168" t="str">
        <f t="shared" si="28"/>
        <v>#REF!</v>
      </c>
      <c r="AE23" s="168" t="str">
        <f t="shared" si="28"/>
        <v>#REF!</v>
      </c>
      <c r="AF23" s="168" t="str">
        <f t="shared" si="28"/>
        <v>#REF!</v>
      </c>
      <c r="AG23" s="168" t="str">
        <f t="shared" si="28"/>
        <v>#REF!</v>
      </c>
      <c r="AH23" s="168" t="str">
        <f t="shared" si="28"/>
        <v>#REF!</v>
      </c>
      <c r="AI23" s="168" t="str">
        <f t="shared" si="28"/>
        <v>#REF!</v>
      </c>
      <c r="AJ23" s="168" t="str">
        <f t="shared" si="28"/>
        <v>#REF!</v>
      </c>
    </row>
    <row r="24" ht="15.75" hidden="1" customHeight="1">
      <c r="A24" s="168" t="str">
        <f t="shared" ref="A24:AJ24" si="29">#REF!</f>
        <v>#REF!</v>
      </c>
      <c r="B24" s="168" t="str">
        <f t="shared" si="29"/>
        <v>#REF!</v>
      </c>
      <c r="C24" s="168" t="str">
        <f t="shared" si="29"/>
        <v>#REF!</v>
      </c>
      <c r="D24" s="168" t="str">
        <f t="shared" si="29"/>
        <v>#REF!</v>
      </c>
      <c r="E24" s="168" t="str">
        <f t="shared" si="29"/>
        <v>#REF!</v>
      </c>
      <c r="F24" s="168" t="str">
        <f t="shared" si="29"/>
        <v>#REF!</v>
      </c>
      <c r="G24" s="168" t="str">
        <f t="shared" si="29"/>
        <v>#REF!</v>
      </c>
      <c r="H24" s="168" t="str">
        <f t="shared" si="29"/>
        <v>#REF!</v>
      </c>
      <c r="I24" s="168" t="str">
        <f t="shared" si="29"/>
        <v>#REF!</v>
      </c>
      <c r="J24" s="168" t="str">
        <f t="shared" si="29"/>
        <v>#REF!</v>
      </c>
      <c r="K24" s="168" t="str">
        <f t="shared" si="29"/>
        <v>#REF!</v>
      </c>
      <c r="L24" s="168" t="str">
        <f t="shared" si="29"/>
        <v>#REF!</v>
      </c>
      <c r="M24" s="168" t="str">
        <f t="shared" si="29"/>
        <v>#REF!</v>
      </c>
      <c r="N24" s="168" t="str">
        <f t="shared" si="29"/>
        <v>#REF!</v>
      </c>
      <c r="O24" s="168" t="str">
        <f t="shared" si="29"/>
        <v>#REF!</v>
      </c>
      <c r="P24" s="168" t="str">
        <f t="shared" si="29"/>
        <v>#REF!</v>
      </c>
      <c r="Q24" s="168" t="str">
        <f t="shared" si="29"/>
        <v>#REF!</v>
      </c>
      <c r="R24" s="168" t="str">
        <f t="shared" si="29"/>
        <v>#REF!</v>
      </c>
      <c r="S24" s="168" t="str">
        <f t="shared" si="29"/>
        <v>#REF!</v>
      </c>
      <c r="T24" s="168" t="str">
        <f t="shared" si="29"/>
        <v>#REF!</v>
      </c>
      <c r="U24" s="168" t="str">
        <f t="shared" si="29"/>
        <v>#REF!</v>
      </c>
      <c r="V24" s="168" t="str">
        <f t="shared" si="29"/>
        <v>#REF!</v>
      </c>
      <c r="W24" s="168" t="str">
        <f t="shared" si="29"/>
        <v>#REF!</v>
      </c>
      <c r="X24" s="168" t="str">
        <f t="shared" si="29"/>
        <v>#REF!</v>
      </c>
      <c r="Y24" s="168" t="str">
        <f t="shared" si="29"/>
        <v>#REF!</v>
      </c>
      <c r="Z24" s="168" t="str">
        <f t="shared" si="29"/>
        <v>#REF!</v>
      </c>
      <c r="AA24" s="168" t="str">
        <f t="shared" si="29"/>
        <v>#REF!</v>
      </c>
      <c r="AB24" s="168" t="str">
        <f t="shared" si="29"/>
        <v>#REF!</v>
      </c>
      <c r="AC24" s="168" t="str">
        <f t="shared" si="29"/>
        <v>#REF!</v>
      </c>
      <c r="AD24" s="168" t="str">
        <f t="shared" si="29"/>
        <v>#REF!</v>
      </c>
      <c r="AE24" s="168" t="str">
        <f t="shared" si="29"/>
        <v>#REF!</v>
      </c>
      <c r="AF24" s="168" t="str">
        <f t="shared" si="29"/>
        <v>#REF!</v>
      </c>
      <c r="AG24" s="168" t="str">
        <f t="shared" si="29"/>
        <v>#REF!</v>
      </c>
      <c r="AH24" s="168" t="str">
        <f t="shared" si="29"/>
        <v>#REF!</v>
      </c>
      <c r="AI24" s="168" t="str">
        <f t="shared" si="29"/>
        <v>#REF!</v>
      </c>
      <c r="AJ24" s="168" t="str">
        <f t="shared" si="29"/>
        <v>#REF!</v>
      </c>
    </row>
    <row r="25" ht="15.75" hidden="1" customHeight="1">
      <c r="A25" s="168" t="str">
        <f t="shared" ref="A25:AJ25" si="30">#REF!</f>
        <v>#REF!</v>
      </c>
      <c r="B25" s="168" t="str">
        <f t="shared" si="30"/>
        <v>#REF!</v>
      </c>
      <c r="C25" s="168" t="str">
        <f t="shared" si="30"/>
        <v>#REF!</v>
      </c>
      <c r="D25" s="168" t="str">
        <f t="shared" si="30"/>
        <v>#REF!</v>
      </c>
      <c r="E25" s="168" t="str">
        <f t="shared" si="30"/>
        <v>#REF!</v>
      </c>
      <c r="F25" s="168" t="str">
        <f t="shared" si="30"/>
        <v>#REF!</v>
      </c>
      <c r="G25" s="168" t="str">
        <f t="shared" si="30"/>
        <v>#REF!</v>
      </c>
      <c r="H25" s="168" t="str">
        <f t="shared" si="30"/>
        <v>#REF!</v>
      </c>
      <c r="I25" s="168" t="str">
        <f t="shared" si="30"/>
        <v>#REF!</v>
      </c>
      <c r="J25" s="168" t="str">
        <f t="shared" si="30"/>
        <v>#REF!</v>
      </c>
      <c r="K25" s="168" t="str">
        <f t="shared" si="30"/>
        <v>#REF!</v>
      </c>
      <c r="L25" s="168" t="str">
        <f t="shared" si="30"/>
        <v>#REF!</v>
      </c>
      <c r="M25" s="168" t="str">
        <f t="shared" si="30"/>
        <v>#REF!</v>
      </c>
      <c r="N25" s="168" t="str">
        <f t="shared" si="30"/>
        <v>#REF!</v>
      </c>
      <c r="O25" s="168" t="str">
        <f t="shared" si="30"/>
        <v>#REF!</v>
      </c>
      <c r="P25" s="168" t="str">
        <f t="shared" si="30"/>
        <v>#REF!</v>
      </c>
      <c r="Q25" s="168" t="str">
        <f t="shared" si="30"/>
        <v>#REF!</v>
      </c>
      <c r="R25" s="168" t="str">
        <f t="shared" si="30"/>
        <v>#REF!</v>
      </c>
      <c r="S25" s="168" t="str">
        <f t="shared" si="30"/>
        <v>#REF!</v>
      </c>
      <c r="T25" s="168" t="str">
        <f t="shared" si="30"/>
        <v>#REF!</v>
      </c>
      <c r="U25" s="168" t="str">
        <f t="shared" si="30"/>
        <v>#REF!</v>
      </c>
      <c r="V25" s="168" t="str">
        <f t="shared" si="30"/>
        <v>#REF!</v>
      </c>
      <c r="W25" s="168" t="str">
        <f t="shared" si="30"/>
        <v>#REF!</v>
      </c>
      <c r="X25" s="168" t="str">
        <f t="shared" si="30"/>
        <v>#REF!</v>
      </c>
      <c r="Y25" s="168" t="str">
        <f t="shared" si="30"/>
        <v>#REF!</v>
      </c>
      <c r="Z25" s="168" t="str">
        <f t="shared" si="30"/>
        <v>#REF!</v>
      </c>
      <c r="AA25" s="168" t="str">
        <f t="shared" si="30"/>
        <v>#REF!</v>
      </c>
      <c r="AB25" s="168" t="str">
        <f t="shared" si="30"/>
        <v>#REF!</v>
      </c>
      <c r="AC25" s="168" t="str">
        <f t="shared" si="30"/>
        <v>#REF!</v>
      </c>
      <c r="AD25" s="168" t="str">
        <f t="shared" si="30"/>
        <v>#REF!</v>
      </c>
      <c r="AE25" s="168" t="str">
        <f t="shared" si="30"/>
        <v>#REF!</v>
      </c>
      <c r="AF25" s="168" t="str">
        <f t="shared" si="30"/>
        <v>#REF!</v>
      </c>
      <c r="AG25" s="168" t="str">
        <f t="shared" si="30"/>
        <v>#REF!</v>
      </c>
      <c r="AH25" s="168" t="str">
        <f t="shared" si="30"/>
        <v>#REF!</v>
      </c>
      <c r="AI25" s="168" t="str">
        <f t="shared" si="30"/>
        <v>#REF!</v>
      </c>
      <c r="AJ25" s="168" t="str">
        <f t="shared" si="30"/>
        <v>#REF!</v>
      </c>
    </row>
    <row r="26" ht="15.75" hidden="1" customHeight="1">
      <c r="A26" s="168" t="str">
        <f t="shared" ref="A26:AJ26" si="31">#REF!</f>
        <v>#REF!</v>
      </c>
      <c r="B26" s="168" t="str">
        <f t="shared" si="31"/>
        <v>#REF!</v>
      </c>
      <c r="C26" s="168" t="str">
        <f t="shared" si="31"/>
        <v>#REF!</v>
      </c>
      <c r="D26" s="168" t="str">
        <f t="shared" si="31"/>
        <v>#REF!</v>
      </c>
      <c r="E26" s="168" t="str">
        <f t="shared" si="31"/>
        <v>#REF!</v>
      </c>
      <c r="F26" s="168" t="str">
        <f t="shared" si="31"/>
        <v>#REF!</v>
      </c>
      <c r="G26" s="168" t="str">
        <f t="shared" si="31"/>
        <v>#REF!</v>
      </c>
      <c r="H26" s="168" t="str">
        <f t="shared" si="31"/>
        <v>#REF!</v>
      </c>
      <c r="I26" s="168" t="str">
        <f t="shared" si="31"/>
        <v>#REF!</v>
      </c>
      <c r="J26" s="168" t="str">
        <f t="shared" si="31"/>
        <v>#REF!</v>
      </c>
      <c r="K26" s="168" t="str">
        <f t="shared" si="31"/>
        <v>#REF!</v>
      </c>
      <c r="L26" s="168" t="str">
        <f t="shared" si="31"/>
        <v>#REF!</v>
      </c>
      <c r="M26" s="168" t="str">
        <f t="shared" si="31"/>
        <v>#REF!</v>
      </c>
      <c r="N26" s="168" t="str">
        <f t="shared" si="31"/>
        <v>#REF!</v>
      </c>
      <c r="O26" s="168" t="str">
        <f t="shared" si="31"/>
        <v>#REF!</v>
      </c>
      <c r="P26" s="168" t="str">
        <f t="shared" si="31"/>
        <v>#REF!</v>
      </c>
      <c r="Q26" s="168" t="str">
        <f t="shared" si="31"/>
        <v>#REF!</v>
      </c>
      <c r="R26" s="168" t="str">
        <f t="shared" si="31"/>
        <v>#REF!</v>
      </c>
      <c r="S26" s="168" t="str">
        <f t="shared" si="31"/>
        <v>#REF!</v>
      </c>
      <c r="T26" s="168" t="str">
        <f t="shared" si="31"/>
        <v>#REF!</v>
      </c>
      <c r="U26" s="168" t="str">
        <f t="shared" si="31"/>
        <v>#REF!</v>
      </c>
      <c r="V26" s="168" t="str">
        <f t="shared" si="31"/>
        <v>#REF!</v>
      </c>
      <c r="W26" s="168" t="str">
        <f t="shared" si="31"/>
        <v>#REF!</v>
      </c>
      <c r="X26" s="168" t="str">
        <f t="shared" si="31"/>
        <v>#REF!</v>
      </c>
      <c r="Y26" s="168" t="str">
        <f t="shared" si="31"/>
        <v>#REF!</v>
      </c>
      <c r="Z26" s="168" t="str">
        <f t="shared" si="31"/>
        <v>#REF!</v>
      </c>
      <c r="AA26" s="168" t="str">
        <f t="shared" si="31"/>
        <v>#REF!</v>
      </c>
      <c r="AB26" s="168" t="str">
        <f t="shared" si="31"/>
        <v>#REF!</v>
      </c>
      <c r="AC26" s="168" t="str">
        <f t="shared" si="31"/>
        <v>#REF!</v>
      </c>
      <c r="AD26" s="168" t="str">
        <f t="shared" si="31"/>
        <v>#REF!</v>
      </c>
      <c r="AE26" s="168" t="str">
        <f t="shared" si="31"/>
        <v>#REF!</v>
      </c>
      <c r="AF26" s="168" t="str">
        <f t="shared" si="31"/>
        <v>#REF!</v>
      </c>
      <c r="AG26" s="168" t="str">
        <f t="shared" si="31"/>
        <v>#REF!</v>
      </c>
      <c r="AH26" s="168" t="str">
        <f t="shared" si="31"/>
        <v>#REF!</v>
      </c>
      <c r="AI26" s="168" t="str">
        <f t="shared" si="31"/>
        <v>#REF!</v>
      </c>
      <c r="AJ26" s="168" t="str">
        <f t="shared" si="31"/>
        <v>#REF!</v>
      </c>
    </row>
    <row r="27" ht="15.75" hidden="1" customHeight="1">
      <c r="A27" s="168" t="str">
        <f t="shared" ref="A27:AJ27" si="32">#REF!</f>
        <v>#REF!</v>
      </c>
      <c r="B27" s="168" t="str">
        <f t="shared" si="32"/>
        <v>#REF!</v>
      </c>
      <c r="C27" s="168" t="str">
        <f t="shared" si="32"/>
        <v>#REF!</v>
      </c>
      <c r="D27" s="168" t="str">
        <f t="shared" si="32"/>
        <v>#REF!</v>
      </c>
      <c r="E27" s="168" t="str">
        <f t="shared" si="32"/>
        <v>#REF!</v>
      </c>
      <c r="F27" s="168" t="str">
        <f t="shared" si="32"/>
        <v>#REF!</v>
      </c>
      <c r="G27" s="168" t="str">
        <f t="shared" si="32"/>
        <v>#REF!</v>
      </c>
      <c r="H27" s="168" t="str">
        <f t="shared" si="32"/>
        <v>#REF!</v>
      </c>
      <c r="I27" s="168" t="str">
        <f t="shared" si="32"/>
        <v>#REF!</v>
      </c>
      <c r="J27" s="168" t="str">
        <f t="shared" si="32"/>
        <v>#REF!</v>
      </c>
      <c r="K27" s="168" t="str">
        <f t="shared" si="32"/>
        <v>#REF!</v>
      </c>
      <c r="L27" s="168" t="str">
        <f t="shared" si="32"/>
        <v>#REF!</v>
      </c>
      <c r="M27" s="168" t="str">
        <f t="shared" si="32"/>
        <v>#REF!</v>
      </c>
      <c r="N27" s="168" t="str">
        <f t="shared" si="32"/>
        <v>#REF!</v>
      </c>
      <c r="O27" s="168" t="str">
        <f t="shared" si="32"/>
        <v>#REF!</v>
      </c>
      <c r="P27" s="168" t="str">
        <f t="shared" si="32"/>
        <v>#REF!</v>
      </c>
      <c r="Q27" s="168" t="str">
        <f t="shared" si="32"/>
        <v>#REF!</v>
      </c>
      <c r="R27" s="168" t="str">
        <f t="shared" si="32"/>
        <v>#REF!</v>
      </c>
      <c r="S27" s="168" t="str">
        <f t="shared" si="32"/>
        <v>#REF!</v>
      </c>
      <c r="T27" s="168" t="str">
        <f t="shared" si="32"/>
        <v>#REF!</v>
      </c>
      <c r="U27" s="168" t="str">
        <f t="shared" si="32"/>
        <v>#REF!</v>
      </c>
      <c r="V27" s="168" t="str">
        <f t="shared" si="32"/>
        <v>#REF!</v>
      </c>
      <c r="W27" s="168" t="str">
        <f t="shared" si="32"/>
        <v>#REF!</v>
      </c>
      <c r="X27" s="168" t="str">
        <f t="shared" si="32"/>
        <v>#REF!</v>
      </c>
      <c r="Y27" s="168" t="str">
        <f t="shared" si="32"/>
        <v>#REF!</v>
      </c>
      <c r="Z27" s="168" t="str">
        <f t="shared" si="32"/>
        <v>#REF!</v>
      </c>
      <c r="AA27" s="168" t="str">
        <f t="shared" si="32"/>
        <v>#REF!</v>
      </c>
      <c r="AB27" s="168" t="str">
        <f t="shared" si="32"/>
        <v>#REF!</v>
      </c>
      <c r="AC27" s="168" t="str">
        <f t="shared" si="32"/>
        <v>#REF!</v>
      </c>
      <c r="AD27" s="168" t="str">
        <f t="shared" si="32"/>
        <v>#REF!</v>
      </c>
      <c r="AE27" s="168" t="str">
        <f t="shared" si="32"/>
        <v>#REF!</v>
      </c>
      <c r="AF27" s="168" t="str">
        <f t="shared" si="32"/>
        <v>#REF!</v>
      </c>
      <c r="AG27" s="168" t="str">
        <f t="shared" si="32"/>
        <v>#REF!</v>
      </c>
      <c r="AH27" s="168" t="str">
        <f t="shared" si="32"/>
        <v>#REF!</v>
      </c>
      <c r="AI27" s="168" t="str">
        <f t="shared" si="32"/>
        <v>#REF!</v>
      </c>
      <c r="AJ27" s="168" t="str">
        <f t="shared" si="32"/>
        <v>#REF!</v>
      </c>
    </row>
    <row r="28" ht="15.75" hidden="1" customHeight="1">
      <c r="A28" s="168" t="str">
        <f t="shared" ref="A28:AJ28" si="33">#REF!</f>
        <v>#REF!</v>
      </c>
      <c r="B28" s="168" t="str">
        <f t="shared" si="33"/>
        <v>#REF!</v>
      </c>
      <c r="C28" s="168" t="str">
        <f t="shared" si="33"/>
        <v>#REF!</v>
      </c>
      <c r="D28" s="168" t="str">
        <f t="shared" si="33"/>
        <v>#REF!</v>
      </c>
      <c r="E28" s="168" t="str">
        <f t="shared" si="33"/>
        <v>#REF!</v>
      </c>
      <c r="F28" s="168" t="str">
        <f t="shared" si="33"/>
        <v>#REF!</v>
      </c>
      <c r="G28" s="168" t="str">
        <f t="shared" si="33"/>
        <v>#REF!</v>
      </c>
      <c r="H28" s="168" t="str">
        <f t="shared" si="33"/>
        <v>#REF!</v>
      </c>
      <c r="I28" s="168" t="str">
        <f t="shared" si="33"/>
        <v>#REF!</v>
      </c>
      <c r="J28" s="168" t="str">
        <f t="shared" si="33"/>
        <v>#REF!</v>
      </c>
      <c r="K28" s="168" t="str">
        <f t="shared" si="33"/>
        <v>#REF!</v>
      </c>
      <c r="L28" s="168" t="str">
        <f t="shared" si="33"/>
        <v>#REF!</v>
      </c>
      <c r="M28" s="168" t="str">
        <f t="shared" si="33"/>
        <v>#REF!</v>
      </c>
      <c r="N28" s="168" t="str">
        <f t="shared" si="33"/>
        <v>#REF!</v>
      </c>
      <c r="O28" s="168" t="str">
        <f t="shared" si="33"/>
        <v>#REF!</v>
      </c>
      <c r="P28" s="168" t="str">
        <f t="shared" si="33"/>
        <v>#REF!</v>
      </c>
      <c r="Q28" s="168" t="str">
        <f t="shared" si="33"/>
        <v>#REF!</v>
      </c>
      <c r="R28" s="168" t="str">
        <f t="shared" si="33"/>
        <v>#REF!</v>
      </c>
      <c r="S28" s="168" t="str">
        <f t="shared" si="33"/>
        <v>#REF!</v>
      </c>
      <c r="T28" s="168" t="str">
        <f t="shared" si="33"/>
        <v>#REF!</v>
      </c>
      <c r="U28" s="168" t="str">
        <f t="shared" si="33"/>
        <v>#REF!</v>
      </c>
      <c r="V28" s="168" t="str">
        <f t="shared" si="33"/>
        <v>#REF!</v>
      </c>
      <c r="W28" s="168" t="str">
        <f t="shared" si="33"/>
        <v>#REF!</v>
      </c>
      <c r="X28" s="168" t="str">
        <f t="shared" si="33"/>
        <v>#REF!</v>
      </c>
      <c r="Y28" s="168" t="str">
        <f t="shared" si="33"/>
        <v>#REF!</v>
      </c>
      <c r="Z28" s="168" t="str">
        <f t="shared" si="33"/>
        <v>#REF!</v>
      </c>
      <c r="AA28" s="168" t="str">
        <f t="shared" si="33"/>
        <v>#REF!</v>
      </c>
      <c r="AB28" s="168" t="str">
        <f t="shared" si="33"/>
        <v>#REF!</v>
      </c>
      <c r="AC28" s="168" t="str">
        <f t="shared" si="33"/>
        <v>#REF!</v>
      </c>
      <c r="AD28" s="168" t="str">
        <f t="shared" si="33"/>
        <v>#REF!</v>
      </c>
      <c r="AE28" s="168" t="str">
        <f t="shared" si="33"/>
        <v>#REF!</v>
      </c>
      <c r="AF28" s="168" t="str">
        <f t="shared" si="33"/>
        <v>#REF!</v>
      </c>
      <c r="AG28" s="168" t="str">
        <f t="shared" si="33"/>
        <v>#REF!</v>
      </c>
      <c r="AH28" s="168" t="str">
        <f t="shared" si="33"/>
        <v>#REF!</v>
      </c>
      <c r="AI28" s="168" t="str">
        <f t="shared" si="33"/>
        <v>#REF!</v>
      </c>
      <c r="AJ28" s="168" t="str">
        <f t="shared" si="33"/>
        <v>#REF!</v>
      </c>
    </row>
    <row r="29" ht="15.75" hidden="1" customHeight="1">
      <c r="A29" s="168" t="str">
        <f t="shared" ref="A29:AJ29" si="34">#REF!</f>
        <v>#REF!</v>
      </c>
      <c r="B29" s="168" t="str">
        <f t="shared" si="34"/>
        <v>#REF!</v>
      </c>
      <c r="C29" s="168" t="str">
        <f t="shared" si="34"/>
        <v>#REF!</v>
      </c>
      <c r="D29" s="168" t="str">
        <f t="shared" si="34"/>
        <v>#REF!</v>
      </c>
      <c r="E29" s="168" t="str">
        <f t="shared" si="34"/>
        <v>#REF!</v>
      </c>
      <c r="F29" s="168" t="str">
        <f t="shared" si="34"/>
        <v>#REF!</v>
      </c>
      <c r="G29" s="168" t="str">
        <f t="shared" si="34"/>
        <v>#REF!</v>
      </c>
      <c r="H29" s="168" t="str">
        <f t="shared" si="34"/>
        <v>#REF!</v>
      </c>
      <c r="I29" s="168" t="str">
        <f t="shared" si="34"/>
        <v>#REF!</v>
      </c>
      <c r="J29" s="168" t="str">
        <f t="shared" si="34"/>
        <v>#REF!</v>
      </c>
      <c r="K29" s="168" t="str">
        <f t="shared" si="34"/>
        <v>#REF!</v>
      </c>
      <c r="L29" s="168" t="str">
        <f t="shared" si="34"/>
        <v>#REF!</v>
      </c>
      <c r="M29" s="168" t="str">
        <f t="shared" si="34"/>
        <v>#REF!</v>
      </c>
      <c r="N29" s="168" t="str">
        <f t="shared" si="34"/>
        <v>#REF!</v>
      </c>
      <c r="O29" s="168" t="str">
        <f t="shared" si="34"/>
        <v>#REF!</v>
      </c>
      <c r="P29" s="168" t="str">
        <f t="shared" si="34"/>
        <v>#REF!</v>
      </c>
      <c r="Q29" s="168" t="str">
        <f t="shared" si="34"/>
        <v>#REF!</v>
      </c>
      <c r="R29" s="168" t="str">
        <f t="shared" si="34"/>
        <v>#REF!</v>
      </c>
      <c r="S29" s="168" t="str">
        <f t="shared" si="34"/>
        <v>#REF!</v>
      </c>
      <c r="T29" s="168" t="str">
        <f t="shared" si="34"/>
        <v>#REF!</v>
      </c>
      <c r="U29" s="168" t="str">
        <f t="shared" si="34"/>
        <v>#REF!</v>
      </c>
      <c r="V29" s="168" t="str">
        <f t="shared" si="34"/>
        <v>#REF!</v>
      </c>
      <c r="W29" s="168" t="str">
        <f t="shared" si="34"/>
        <v>#REF!</v>
      </c>
      <c r="X29" s="168" t="str">
        <f t="shared" si="34"/>
        <v>#REF!</v>
      </c>
      <c r="Y29" s="168" t="str">
        <f t="shared" si="34"/>
        <v>#REF!</v>
      </c>
      <c r="Z29" s="168" t="str">
        <f t="shared" si="34"/>
        <v>#REF!</v>
      </c>
      <c r="AA29" s="168" t="str">
        <f t="shared" si="34"/>
        <v>#REF!</v>
      </c>
      <c r="AB29" s="168" t="str">
        <f t="shared" si="34"/>
        <v>#REF!</v>
      </c>
      <c r="AC29" s="168" t="str">
        <f t="shared" si="34"/>
        <v>#REF!</v>
      </c>
      <c r="AD29" s="168" t="str">
        <f t="shared" si="34"/>
        <v>#REF!</v>
      </c>
      <c r="AE29" s="168" t="str">
        <f t="shared" si="34"/>
        <v>#REF!</v>
      </c>
      <c r="AF29" s="168" t="str">
        <f t="shared" si="34"/>
        <v>#REF!</v>
      </c>
      <c r="AG29" s="168" t="str">
        <f t="shared" si="34"/>
        <v>#REF!</v>
      </c>
      <c r="AH29" s="168" t="str">
        <f t="shared" si="34"/>
        <v>#REF!</v>
      </c>
      <c r="AI29" s="168" t="str">
        <f t="shared" si="34"/>
        <v>#REF!</v>
      </c>
      <c r="AJ29" s="168" t="str">
        <f t="shared" si="34"/>
        <v>#REF!</v>
      </c>
    </row>
    <row r="30" ht="15.75" hidden="1" customHeight="1">
      <c r="A30" s="168" t="str">
        <f t="shared" ref="A30:AJ30" si="35">#REF!</f>
        <v>#REF!</v>
      </c>
      <c r="B30" s="168" t="str">
        <f t="shared" si="35"/>
        <v>#REF!</v>
      </c>
      <c r="C30" s="168" t="str">
        <f t="shared" si="35"/>
        <v>#REF!</v>
      </c>
      <c r="D30" s="168" t="str">
        <f t="shared" si="35"/>
        <v>#REF!</v>
      </c>
      <c r="E30" s="168" t="str">
        <f t="shared" si="35"/>
        <v>#REF!</v>
      </c>
      <c r="F30" s="168" t="str">
        <f t="shared" si="35"/>
        <v>#REF!</v>
      </c>
      <c r="G30" s="168" t="str">
        <f t="shared" si="35"/>
        <v>#REF!</v>
      </c>
      <c r="H30" s="168" t="str">
        <f t="shared" si="35"/>
        <v>#REF!</v>
      </c>
      <c r="I30" s="168" t="str">
        <f t="shared" si="35"/>
        <v>#REF!</v>
      </c>
      <c r="J30" s="168" t="str">
        <f t="shared" si="35"/>
        <v>#REF!</v>
      </c>
      <c r="K30" s="168" t="str">
        <f t="shared" si="35"/>
        <v>#REF!</v>
      </c>
      <c r="L30" s="168" t="str">
        <f t="shared" si="35"/>
        <v>#REF!</v>
      </c>
      <c r="M30" s="168" t="str">
        <f t="shared" si="35"/>
        <v>#REF!</v>
      </c>
      <c r="N30" s="168" t="str">
        <f t="shared" si="35"/>
        <v>#REF!</v>
      </c>
      <c r="O30" s="168" t="str">
        <f t="shared" si="35"/>
        <v>#REF!</v>
      </c>
      <c r="P30" s="168" t="str">
        <f t="shared" si="35"/>
        <v>#REF!</v>
      </c>
      <c r="Q30" s="168" t="str">
        <f t="shared" si="35"/>
        <v>#REF!</v>
      </c>
      <c r="R30" s="168" t="str">
        <f t="shared" si="35"/>
        <v>#REF!</v>
      </c>
      <c r="S30" s="168" t="str">
        <f t="shared" si="35"/>
        <v>#REF!</v>
      </c>
      <c r="T30" s="168" t="str">
        <f t="shared" si="35"/>
        <v>#REF!</v>
      </c>
      <c r="U30" s="168" t="str">
        <f t="shared" si="35"/>
        <v>#REF!</v>
      </c>
      <c r="V30" s="168" t="str">
        <f t="shared" si="35"/>
        <v>#REF!</v>
      </c>
      <c r="W30" s="168" t="str">
        <f t="shared" si="35"/>
        <v>#REF!</v>
      </c>
      <c r="X30" s="168" t="str">
        <f t="shared" si="35"/>
        <v>#REF!</v>
      </c>
      <c r="Y30" s="168" t="str">
        <f t="shared" si="35"/>
        <v>#REF!</v>
      </c>
      <c r="Z30" s="168" t="str">
        <f t="shared" si="35"/>
        <v>#REF!</v>
      </c>
      <c r="AA30" s="168" t="str">
        <f t="shared" si="35"/>
        <v>#REF!</v>
      </c>
      <c r="AB30" s="168" t="str">
        <f t="shared" si="35"/>
        <v>#REF!</v>
      </c>
      <c r="AC30" s="168" t="str">
        <f t="shared" si="35"/>
        <v>#REF!</v>
      </c>
      <c r="AD30" s="168" t="str">
        <f t="shared" si="35"/>
        <v>#REF!</v>
      </c>
      <c r="AE30" s="168" t="str">
        <f t="shared" si="35"/>
        <v>#REF!</v>
      </c>
      <c r="AF30" s="168" t="str">
        <f t="shared" si="35"/>
        <v>#REF!</v>
      </c>
      <c r="AG30" s="168" t="str">
        <f t="shared" si="35"/>
        <v>#REF!</v>
      </c>
      <c r="AH30" s="168" t="str">
        <f t="shared" si="35"/>
        <v>#REF!</v>
      </c>
      <c r="AI30" s="168" t="str">
        <f t="shared" si="35"/>
        <v>#REF!</v>
      </c>
      <c r="AJ30" s="168" t="str">
        <f t="shared" si="35"/>
        <v>#REF!</v>
      </c>
    </row>
    <row r="31" ht="15.75" hidden="1" customHeight="1">
      <c r="A31" s="168" t="str">
        <f t="shared" ref="A31:AJ31" si="36">#REF!</f>
        <v>#REF!</v>
      </c>
      <c r="B31" s="168" t="str">
        <f t="shared" si="36"/>
        <v>#REF!</v>
      </c>
      <c r="C31" s="168" t="str">
        <f t="shared" si="36"/>
        <v>#REF!</v>
      </c>
      <c r="D31" s="168" t="str">
        <f t="shared" si="36"/>
        <v>#REF!</v>
      </c>
      <c r="E31" s="168" t="str">
        <f t="shared" si="36"/>
        <v>#REF!</v>
      </c>
      <c r="F31" s="168" t="str">
        <f t="shared" si="36"/>
        <v>#REF!</v>
      </c>
      <c r="G31" s="168" t="str">
        <f t="shared" si="36"/>
        <v>#REF!</v>
      </c>
      <c r="H31" s="168" t="str">
        <f t="shared" si="36"/>
        <v>#REF!</v>
      </c>
      <c r="I31" s="168" t="str">
        <f t="shared" si="36"/>
        <v>#REF!</v>
      </c>
      <c r="J31" s="168" t="str">
        <f t="shared" si="36"/>
        <v>#REF!</v>
      </c>
      <c r="K31" s="168" t="str">
        <f t="shared" si="36"/>
        <v>#REF!</v>
      </c>
      <c r="L31" s="168" t="str">
        <f t="shared" si="36"/>
        <v>#REF!</v>
      </c>
      <c r="M31" s="168" t="str">
        <f t="shared" si="36"/>
        <v>#REF!</v>
      </c>
      <c r="N31" s="168" t="str">
        <f t="shared" si="36"/>
        <v>#REF!</v>
      </c>
      <c r="O31" s="168" t="str">
        <f t="shared" si="36"/>
        <v>#REF!</v>
      </c>
      <c r="P31" s="168" t="str">
        <f t="shared" si="36"/>
        <v>#REF!</v>
      </c>
      <c r="Q31" s="168" t="str">
        <f t="shared" si="36"/>
        <v>#REF!</v>
      </c>
      <c r="R31" s="168" t="str">
        <f t="shared" si="36"/>
        <v>#REF!</v>
      </c>
      <c r="S31" s="168" t="str">
        <f t="shared" si="36"/>
        <v>#REF!</v>
      </c>
      <c r="T31" s="168" t="str">
        <f t="shared" si="36"/>
        <v>#REF!</v>
      </c>
      <c r="U31" s="168" t="str">
        <f t="shared" si="36"/>
        <v>#REF!</v>
      </c>
      <c r="V31" s="168" t="str">
        <f t="shared" si="36"/>
        <v>#REF!</v>
      </c>
      <c r="W31" s="168" t="str">
        <f t="shared" si="36"/>
        <v>#REF!</v>
      </c>
      <c r="X31" s="168" t="str">
        <f t="shared" si="36"/>
        <v>#REF!</v>
      </c>
      <c r="Y31" s="168" t="str">
        <f t="shared" si="36"/>
        <v>#REF!</v>
      </c>
      <c r="Z31" s="168" t="str">
        <f t="shared" si="36"/>
        <v>#REF!</v>
      </c>
      <c r="AA31" s="168" t="str">
        <f t="shared" si="36"/>
        <v>#REF!</v>
      </c>
      <c r="AB31" s="168" t="str">
        <f t="shared" si="36"/>
        <v>#REF!</v>
      </c>
      <c r="AC31" s="168" t="str">
        <f t="shared" si="36"/>
        <v>#REF!</v>
      </c>
      <c r="AD31" s="168" t="str">
        <f t="shared" si="36"/>
        <v>#REF!</v>
      </c>
      <c r="AE31" s="168" t="str">
        <f t="shared" si="36"/>
        <v>#REF!</v>
      </c>
      <c r="AF31" s="168" t="str">
        <f t="shared" si="36"/>
        <v>#REF!</v>
      </c>
      <c r="AG31" s="168" t="str">
        <f t="shared" si="36"/>
        <v>#REF!</v>
      </c>
      <c r="AH31" s="168" t="str">
        <f t="shared" si="36"/>
        <v>#REF!</v>
      </c>
      <c r="AI31" s="168" t="str">
        <f t="shared" si="36"/>
        <v>#REF!</v>
      </c>
      <c r="AJ31" s="168" t="str">
        <f t="shared" si="36"/>
        <v>#REF!</v>
      </c>
    </row>
    <row r="32" ht="15.75" hidden="1" customHeight="1">
      <c r="A32" s="168" t="str">
        <f t="shared" ref="A32:AJ32" si="37">#REF!</f>
        <v>#REF!</v>
      </c>
      <c r="B32" s="168" t="str">
        <f t="shared" si="37"/>
        <v>#REF!</v>
      </c>
      <c r="C32" s="168" t="str">
        <f t="shared" si="37"/>
        <v>#REF!</v>
      </c>
      <c r="D32" s="168" t="str">
        <f t="shared" si="37"/>
        <v>#REF!</v>
      </c>
      <c r="E32" s="168" t="str">
        <f t="shared" si="37"/>
        <v>#REF!</v>
      </c>
      <c r="F32" s="168" t="str">
        <f t="shared" si="37"/>
        <v>#REF!</v>
      </c>
      <c r="G32" s="168" t="str">
        <f t="shared" si="37"/>
        <v>#REF!</v>
      </c>
      <c r="H32" s="168" t="str">
        <f t="shared" si="37"/>
        <v>#REF!</v>
      </c>
      <c r="I32" s="168" t="str">
        <f t="shared" si="37"/>
        <v>#REF!</v>
      </c>
      <c r="J32" s="168" t="str">
        <f t="shared" si="37"/>
        <v>#REF!</v>
      </c>
      <c r="K32" s="168" t="str">
        <f t="shared" si="37"/>
        <v>#REF!</v>
      </c>
      <c r="L32" s="168" t="str">
        <f t="shared" si="37"/>
        <v>#REF!</v>
      </c>
      <c r="M32" s="168" t="str">
        <f t="shared" si="37"/>
        <v>#REF!</v>
      </c>
      <c r="N32" s="168" t="str">
        <f t="shared" si="37"/>
        <v>#REF!</v>
      </c>
      <c r="O32" s="168" t="str">
        <f t="shared" si="37"/>
        <v>#REF!</v>
      </c>
      <c r="P32" s="168" t="str">
        <f t="shared" si="37"/>
        <v>#REF!</v>
      </c>
      <c r="Q32" s="168" t="str">
        <f t="shared" si="37"/>
        <v>#REF!</v>
      </c>
      <c r="R32" s="168" t="str">
        <f t="shared" si="37"/>
        <v>#REF!</v>
      </c>
      <c r="S32" s="168" t="str">
        <f t="shared" si="37"/>
        <v>#REF!</v>
      </c>
      <c r="T32" s="168" t="str">
        <f t="shared" si="37"/>
        <v>#REF!</v>
      </c>
      <c r="U32" s="168" t="str">
        <f t="shared" si="37"/>
        <v>#REF!</v>
      </c>
      <c r="V32" s="168" t="str">
        <f t="shared" si="37"/>
        <v>#REF!</v>
      </c>
      <c r="W32" s="168" t="str">
        <f t="shared" si="37"/>
        <v>#REF!</v>
      </c>
      <c r="X32" s="168" t="str">
        <f t="shared" si="37"/>
        <v>#REF!</v>
      </c>
      <c r="Y32" s="168" t="str">
        <f t="shared" si="37"/>
        <v>#REF!</v>
      </c>
      <c r="Z32" s="168" t="str">
        <f t="shared" si="37"/>
        <v>#REF!</v>
      </c>
      <c r="AA32" s="168" t="str">
        <f t="shared" si="37"/>
        <v>#REF!</v>
      </c>
      <c r="AB32" s="168" t="str">
        <f t="shared" si="37"/>
        <v>#REF!</v>
      </c>
      <c r="AC32" s="168" t="str">
        <f t="shared" si="37"/>
        <v>#REF!</v>
      </c>
      <c r="AD32" s="168" t="str">
        <f t="shared" si="37"/>
        <v>#REF!</v>
      </c>
      <c r="AE32" s="168" t="str">
        <f t="shared" si="37"/>
        <v>#REF!</v>
      </c>
      <c r="AF32" s="168" t="str">
        <f t="shared" si="37"/>
        <v>#REF!</v>
      </c>
      <c r="AG32" s="168" t="str">
        <f t="shared" si="37"/>
        <v>#REF!</v>
      </c>
      <c r="AH32" s="168" t="str">
        <f t="shared" si="37"/>
        <v>#REF!</v>
      </c>
      <c r="AI32" s="168" t="str">
        <f t="shared" si="37"/>
        <v>#REF!</v>
      </c>
      <c r="AJ32" s="168" t="str">
        <f t="shared" si="37"/>
        <v>#REF!</v>
      </c>
    </row>
    <row r="33" ht="15.75" customHeight="1">
      <c r="A33" s="168" t="str">
        <f t="shared" ref="A33:AJ33" si="38">#REF!</f>
        <v>#REF!</v>
      </c>
      <c r="B33" s="168" t="str">
        <f t="shared" si="38"/>
        <v>#REF!</v>
      </c>
      <c r="C33" s="168" t="str">
        <f t="shared" si="38"/>
        <v>#REF!</v>
      </c>
      <c r="D33" s="168" t="str">
        <f t="shared" si="38"/>
        <v>#REF!</v>
      </c>
      <c r="E33" s="168" t="str">
        <f t="shared" si="38"/>
        <v>#REF!</v>
      </c>
      <c r="F33" s="168" t="str">
        <f t="shared" si="38"/>
        <v>#REF!</v>
      </c>
      <c r="G33" s="168" t="str">
        <f t="shared" si="38"/>
        <v>#REF!</v>
      </c>
      <c r="H33" s="168" t="str">
        <f t="shared" si="38"/>
        <v>#REF!</v>
      </c>
      <c r="I33" s="168" t="str">
        <f t="shared" si="38"/>
        <v>#REF!</v>
      </c>
      <c r="J33" s="168" t="str">
        <f t="shared" si="38"/>
        <v>#REF!</v>
      </c>
      <c r="K33" s="168" t="str">
        <f t="shared" si="38"/>
        <v>#REF!</v>
      </c>
      <c r="L33" s="168" t="str">
        <f t="shared" si="38"/>
        <v>#REF!</v>
      </c>
      <c r="M33" s="168" t="str">
        <f t="shared" si="38"/>
        <v>#REF!</v>
      </c>
      <c r="N33" s="168" t="str">
        <f t="shared" si="38"/>
        <v>#REF!</v>
      </c>
      <c r="O33" s="168" t="str">
        <f t="shared" si="38"/>
        <v>#REF!</v>
      </c>
      <c r="P33" s="168" t="str">
        <f t="shared" si="38"/>
        <v>#REF!</v>
      </c>
      <c r="Q33" s="168" t="str">
        <f t="shared" si="38"/>
        <v>#REF!</v>
      </c>
      <c r="R33" s="168" t="str">
        <f t="shared" si="38"/>
        <v>#REF!</v>
      </c>
      <c r="S33" s="168" t="str">
        <f t="shared" si="38"/>
        <v>#REF!</v>
      </c>
      <c r="T33" s="168" t="str">
        <f t="shared" si="38"/>
        <v>#REF!</v>
      </c>
      <c r="U33" s="168" t="str">
        <f t="shared" si="38"/>
        <v>#REF!</v>
      </c>
      <c r="V33" s="168" t="str">
        <f t="shared" si="38"/>
        <v>#REF!</v>
      </c>
      <c r="W33" s="168" t="str">
        <f t="shared" si="38"/>
        <v>#REF!</v>
      </c>
      <c r="X33" s="168" t="str">
        <f t="shared" si="38"/>
        <v>#REF!</v>
      </c>
      <c r="Y33" s="168" t="str">
        <f t="shared" si="38"/>
        <v>#REF!</v>
      </c>
      <c r="Z33" s="168" t="str">
        <f t="shared" si="38"/>
        <v>#REF!</v>
      </c>
      <c r="AA33" s="168" t="str">
        <f t="shared" si="38"/>
        <v>#REF!</v>
      </c>
      <c r="AB33" s="168" t="str">
        <f t="shared" si="38"/>
        <v>#REF!</v>
      </c>
      <c r="AC33" s="168" t="str">
        <f t="shared" si="38"/>
        <v>#REF!</v>
      </c>
      <c r="AD33" s="168" t="str">
        <f t="shared" si="38"/>
        <v>#REF!</v>
      </c>
      <c r="AE33" s="168" t="str">
        <f t="shared" si="38"/>
        <v>#REF!</v>
      </c>
      <c r="AF33" s="168" t="str">
        <f t="shared" si="38"/>
        <v>#REF!</v>
      </c>
      <c r="AG33" s="168" t="str">
        <f t="shared" si="38"/>
        <v>#REF!</v>
      </c>
      <c r="AH33" s="168" t="str">
        <f t="shared" si="38"/>
        <v>#REF!</v>
      </c>
      <c r="AI33" s="168" t="str">
        <f t="shared" si="38"/>
        <v>#REF!</v>
      </c>
      <c r="AJ33" s="168" t="str">
        <f t="shared" si="38"/>
        <v>#REF!</v>
      </c>
    </row>
    <row r="34" ht="15.75" customHeight="1">
      <c r="A34" s="168" t="str">
        <f t="shared" ref="A34:AJ34" si="39">#REF!</f>
        <v>#REF!</v>
      </c>
      <c r="B34" s="168" t="str">
        <f t="shared" si="39"/>
        <v>#REF!</v>
      </c>
      <c r="C34" s="168" t="str">
        <f t="shared" si="39"/>
        <v>#REF!</v>
      </c>
      <c r="D34" s="168" t="str">
        <f t="shared" si="39"/>
        <v>#REF!</v>
      </c>
      <c r="E34" s="168" t="str">
        <f t="shared" si="39"/>
        <v>#REF!</v>
      </c>
      <c r="F34" s="168" t="str">
        <f t="shared" si="39"/>
        <v>#REF!</v>
      </c>
      <c r="G34" s="168" t="str">
        <f t="shared" si="39"/>
        <v>#REF!</v>
      </c>
      <c r="H34" s="168" t="str">
        <f t="shared" si="39"/>
        <v>#REF!</v>
      </c>
      <c r="I34" s="168" t="str">
        <f t="shared" si="39"/>
        <v>#REF!</v>
      </c>
      <c r="J34" s="168" t="str">
        <f t="shared" si="39"/>
        <v>#REF!</v>
      </c>
      <c r="K34" s="168" t="str">
        <f t="shared" si="39"/>
        <v>#REF!</v>
      </c>
      <c r="L34" s="168" t="str">
        <f t="shared" si="39"/>
        <v>#REF!</v>
      </c>
      <c r="M34" s="168" t="str">
        <f t="shared" si="39"/>
        <v>#REF!</v>
      </c>
      <c r="N34" s="168" t="str">
        <f t="shared" si="39"/>
        <v>#REF!</v>
      </c>
      <c r="O34" s="168" t="str">
        <f t="shared" si="39"/>
        <v>#REF!</v>
      </c>
      <c r="P34" s="168" t="str">
        <f t="shared" si="39"/>
        <v>#REF!</v>
      </c>
      <c r="Q34" s="168" t="str">
        <f t="shared" si="39"/>
        <v>#REF!</v>
      </c>
      <c r="R34" s="168" t="str">
        <f t="shared" si="39"/>
        <v>#REF!</v>
      </c>
      <c r="S34" s="168" t="str">
        <f t="shared" si="39"/>
        <v>#REF!</v>
      </c>
      <c r="T34" s="168" t="str">
        <f t="shared" si="39"/>
        <v>#REF!</v>
      </c>
      <c r="U34" s="168" t="str">
        <f t="shared" si="39"/>
        <v>#REF!</v>
      </c>
      <c r="V34" s="168" t="str">
        <f t="shared" si="39"/>
        <v>#REF!</v>
      </c>
      <c r="W34" s="168" t="str">
        <f t="shared" si="39"/>
        <v>#REF!</v>
      </c>
      <c r="X34" s="168" t="str">
        <f t="shared" si="39"/>
        <v>#REF!</v>
      </c>
      <c r="Y34" s="168" t="str">
        <f t="shared" si="39"/>
        <v>#REF!</v>
      </c>
      <c r="Z34" s="168" t="str">
        <f t="shared" si="39"/>
        <v>#REF!</v>
      </c>
      <c r="AA34" s="168" t="str">
        <f t="shared" si="39"/>
        <v>#REF!</v>
      </c>
      <c r="AB34" s="168" t="str">
        <f t="shared" si="39"/>
        <v>#REF!</v>
      </c>
      <c r="AC34" s="168" t="str">
        <f t="shared" si="39"/>
        <v>#REF!</v>
      </c>
      <c r="AD34" s="168" t="str">
        <f t="shared" si="39"/>
        <v>#REF!</v>
      </c>
      <c r="AE34" s="168" t="str">
        <f t="shared" si="39"/>
        <v>#REF!</v>
      </c>
      <c r="AF34" s="168" t="str">
        <f t="shared" si="39"/>
        <v>#REF!</v>
      </c>
      <c r="AG34" s="168" t="str">
        <f t="shared" si="39"/>
        <v>#REF!</v>
      </c>
      <c r="AH34" s="168" t="str">
        <f t="shared" si="39"/>
        <v>#REF!</v>
      </c>
      <c r="AI34" s="168" t="str">
        <f t="shared" si="39"/>
        <v>#REF!</v>
      </c>
      <c r="AJ34" s="168" t="str">
        <f t="shared" si="39"/>
        <v>#REF!</v>
      </c>
    </row>
    <row r="35" ht="15.75" customHeight="1">
      <c r="A35" s="168" t="str">
        <f t="shared" ref="A35:AJ35" si="40">#REF!</f>
        <v>#REF!</v>
      </c>
      <c r="B35" s="168" t="str">
        <f t="shared" si="40"/>
        <v>#REF!</v>
      </c>
      <c r="C35" s="168" t="str">
        <f t="shared" si="40"/>
        <v>#REF!</v>
      </c>
      <c r="D35" s="168" t="str">
        <f t="shared" si="40"/>
        <v>#REF!</v>
      </c>
      <c r="E35" s="168" t="str">
        <f t="shared" si="40"/>
        <v>#REF!</v>
      </c>
      <c r="F35" s="168" t="str">
        <f t="shared" si="40"/>
        <v>#REF!</v>
      </c>
      <c r="G35" s="168" t="str">
        <f t="shared" si="40"/>
        <v>#REF!</v>
      </c>
      <c r="H35" s="168" t="str">
        <f t="shared" si="40"/>
        <v>#REF!</v>
      </c>
      <c r="I35" s="168" t="str">
        <f t="shared" si="40"/>
        <v>#REF!</v>
      </c>
      <c r="J35" s="168" t="str">
        <f t="shared" si="40"/>
        <v>#REF!</v>
      </c>
      <c r="K35" s="168" t="str">
        <f t="shared" si="40"/>
        <v>#REF!</v>
      </c>
      <c r="L35" s="168" t="str">
        <f t="shared" si="40"/>
        <v>#REF!</v>
      </c>
      <c r="M35" s="168" t="str">
        <f t="shared" si="40"/>
        <v>#REF!</v>
      </c>
      <c r="N35" s="168" t="str">
        <f t="shared" si="40"/>
        <v>#REF!</v>
      </c>
      <c r="O35" s="168" t="str">
        <f t="shared" si="40"/>
        <v>#REF!</v>
      </c>
      <c r="P35" s="168" t="str">
        <f t="shared" si="40"/>
        <v>#REF!</v>
      </c>
      <c r="Q35" s="168" t="str">
        <f t="shared" si="40"/>
        <v>#REF!</v>
      </c>
      <c r="R35" s="168" t="str">
        <f t="shared" si="40"/>
        <v>#REF!</v>
      </c>
      <c r="S35" s="168" t="str">
        <f t="shared" si="40"/>
        <v>#REF!</v>
      </c>
      <c r="T35" s="168" t="str">
        <f t="shared" si="40"/>
        <v>#REF!</v>
      </c>
      <c r="U35" s="168" t="str">
        <f t="shared" si="40"/>
        <v>#REF!</v>
      </c>
      <c r="V35" s="168" t="str">
        <f t="shared" si="40"/>
        <v>#REF!</v>
      </c>
      <c r="W35" s="168" t="str">
        <f t="shared" si="40"/>
        <v>#REF!</v>
      </c>
      <c r="X35" s="168" t="str">
        <f t="shared" si="40"/>
        <v>#REF!</v>
      </c>
      <c r="Y35" s="168" t="str">
        <f t="shared" si="40"/>
        <v>#REF!</v>
      </c>
      <c r="Z35" s="168" t="str">
        <f t="shared" si="40"/>
        <v>#REF!</v>
      </c>
      <c r="AA35" s="168" t="str">
        <f t="shared" si="40"/>
        <v>#REF!</v>
      </c>
      <c r="AB35" s="168" t="str">
        <f t="shared" si="40"/>
        <v>#REF!</v>
      </c>
      <c r="AC35" s="168" t="str">
        <f t="shared" si="40"/>
        <v>#REF!</v>
      </c>
      <c r="AD35" s="168" t="str">
        <f t="shared" si="40"/>
        <v>#REF!</v>
      </c>
      <c r="AE35" s="168" t="str">
        <f t="shared" si="40"/>
        <v>#REF!</v>
      </c>
      <c r="AF35" s="168" t="str">
        <f t="shared" si="40"/>
        <v>#REF!</v>
      </c>
      <c r="AG35" s="168" t="str">
        <f t="shared" si="40"/>
        <v>#REF!</v>
      </c>
      <c r="AH35" s="168" t="str">
        <f t="shared" si="40"/>
        <v>#REF!</v>
      </c>
      <c r="AI35" s="168" t="str">
        <f t="shared" si="40"/>
        <v>#REF!</v>
      </c>
      <c r="AJ35" s="168" t="str">
        <f t="shared" si="40"/>
        <v>#REF!</v>
      </c>
    </row>
    <row r="36" ht="15.75" hidden="1" customHeight="1">
      <c r="A36" s="168" t="str">
        <f t="shared" ref="A36:AJ36" si="41">#REF!</f>
        <v>#REF!</v>
      </c>
      <c r="B36" s="168" t="str">
        <f t="shared" si="41"/>
        <v>#REF!</v>
      </c>
      <c r="C36" s="168" t="str">
        <f t="shared" si="41"/>
        <v>#REF!</v>
      </c>
      <c r="D36" s="168" t="str">
        <f t="shared" si="41"/>
        <v>#REF!</v>
      </c>
      <c r="E36" s="168" t="str">
        <f t="shared" si="41"/>
        <v>#REF!</v>
      </c>
      <c r="F36" s="168" t="str">
        <f t="shared" si="41"/>
        <v>#REF!</v>
      </c>
      <c r="G36" s="168" t="str">
        <f t="shared" si="41"/>
        <v>#REF!</v>
      </c>
      <c r="H36" s="168" t="str">
        <f t="shared" si="41"/>
        <v>#REF!</v>
      </c>
      <c r="I36" s="168" t="str">
        <f t="shared" si="41"/>
        <v>#REF!</v>
      </c>
      <c r="J36" s="168" t="str">
        <f t="shared" si="41"/>
        <v>#REF!</v>
      </c>
      <c r="K36" s="168" t="str">
        <f t="shared" si="41"/>
        <v>#REF!</v>
      </c>
      <c r="L36" s="168" t="str">
        <f t="shared" si="41"/>
        <v>#REF!</v>
      </c>
      <c r="M36" s="168" t="str">
        <f t="shared" si="41"/>
        <v>#REF!</v>
      </c>
      <c r="N36" s="168" t="str">
        <f t="shared" si="41"/>
        <v>#REF!</v>
      </c>
      <c r="O36" s="168" t="str">
        <f t="shared" si="41"/>
        <v>#REF!</v>
      </c>
      <c r="P36" s="168" t="str">
        <f t="shared" si="41"/>
        <v>#REF!</v>
      </c>
      <c r="Q36" s="168" t="str">
        <f t="shared" si="41"/>
        <v>#REF!</v>
      </c>
      <c r="R36" s="168" t="str">
        <f t="shared" si="41"/>
        <v>#REF!</v>
      </c>
      <c r="S36" s="168" t="str">
        <f t="shared" si="41"/>
        <v>#REF!</v>
      </c>
      <c r="T36" s="168" t="str">
        <f t="shared" si="41"/>
        <v>#REF!</v>
      </c>
      <c r="U36" s="168" t="str">
        <f t="shared" si="41"/>
        <v>#REF!</v>
      </c>
      <c r="V36" s="168" t="str">
        <f t="shared" si="41"/>
        <v>#REF!</v>
      </c>
      <c r="W36" s="168" t="str">
        <f t="shared" si="41"/>
        <v>#REF!</v>
      </c>
      <c r="X36" s="168" t="str">
        <f t="shared" si="41"/>
        <v>#REF!</v>
      </c>
      <c r="Y36" s="168" t="str">
        <f t="shared" si="41"/>
        <v>#REF!</v>
      </c>
      <c r="Z36" s="168" t="str">
        <f t="shared" si="41"/>
        <v>#REF!</v>
      </c>
      <c r="AA36" s="168" t="str">
        <f t="shared" si="41"/>
        <v>#REF!</v>
      </c>
      <c r="AB36" s="168" t="str">
        <f t="shared" si="41"/>
        <v>#REF!</v>
      </c>
      <c r="AC36" s="168" t="str">
        <f t="shared" si="41"/>
        <v>#REF!</v>
      </c>
      <c r="AD36" s="168" t="str">
        <f t="shared" si="41"/>
        <v>#REF!</v>
      </c>
      <c r="AE36" s="168" t="str">
        <f t="shared" si="41"/>
        <v>#REF!</v>
      </c>
      <c r="AF36" s="168" t="str">
        <f t="shared" si="41"/>
        <v>#REF!</v>
      </c>
      <c r="AG36" s="168" t="str">
        <f t="shared" si="41"/>
        <v>#REF!</v>
      </c>
      <c r="AH36" s="168" t="str">
        <f t="shared" si="41"/>
        <v>#REF!</v>
      </c>
      <c r="AI36" s="168" t="str">
        <f t="shared" si="41"/>
        <v>#REF!</v>
      </c>
      <c r="AJ36" s="168" t="str">
        <f t="shared" si="41"/>
        <v>#REF!</v>
      </c>
    </row>
    <row r="37" ht="15.75" hidden="1" customHeight="1">
      <c r="A37" s="168" t="str">
        <f t="shared" ref="A37:AJ37" si="42">#REF!</f>
        <v>#REF!</v>
      </c>
      <c r="B37" s="168" t="str">
        <f t="shared" si="42"/>
        <v>#REF!</v>
      </c>
      <c r="C37" s="168" t="str">
        <f t="shared" si="42"/>
        <v>#REF!</v>
      </c>
      <c r="D37" s="168" t="str">
        <f t="shared" si="42"/>
        <v>#REF!</v>
      </c>
      <c r="E37" s="168" t="str">
        <f t="shared" si="42"/>
        <v>#REF!</v>
      </c>
      <c r="F37" s="168" t="str">
        <f t="shared" si="42"/>
        <v>#REF!</v>
      </c>
      <c r="G37" s="168" t="str">
        <f t="shared" si="42"/>
        <v>#REF!</v>
      </c>
      <c r="H37" s="168" t="str">
        <f t="shared" si="42"/>
        <v>#REF!</v>
      </c>
      <c r="I37" s="168" t="str">
        <f t="shared" si="42"/>
        <v>#REF!</v>
      </c>
      <c r="J37" s="168" t="str">
        <f t="shared" si="42"/>
        <v>#REF!</v>
      </c>
      <c r="K37" s="168" t="str">
        <f t="shared" si="42"/>
        <v>#REF!</v>
      </c>
      <c r="L37" s="168" t="str">
        <f t="shared" si="42"/>
        <v>#REF!</v>
      </c>
      <c r="M37" s="168" t="str">
        <f t="shared" si="42"/>
        <v>#REF!</v>
      </c>
      <c r="N37" s="168" t="str">
        <f t="shared" si="42"/>
        <v>#REF!</v>
      </c>
      <c r="O37" s="168" t="str">
        <f t="shared" si="42"/>
        <v>#REF!</v>
      </c>
      <c r="P37" s="168" t="str">
        <f t="shared" si="42"/>
        <v>#REF!</v>
      </c>
      <c r="Q37" s="168" t="str">
        <f t="shared" si="42"/>
        <v>#REF!</v>
      </c>
      <c r="R37" s="168" t="str">
        <f t="shared" si="42"/>
        <v>#REF!</v>
      </c>
      <c r="S37" s="168" t="str">
        <f t="shared" si="42"/>
        <v>#REF!</v>
      </c>
      <c r="T37" s="168" t="str">
        <f t="shared" si="42"/>
        <v>#REF!</v>
      </c>
      <c r="U37" s="168" t="str">
        <f t="shared" si="42"/>
        <v>#REF!</v>
      </c>
      <c r="V37" s="168" t="str">
        <f t="shared" si="42"/>
        <v>#REF!</v>
      </c>
      <c r="W37" s="168" t="str">
        <f t="shared" si="42"/>
        <v>#REF!</v>
      </c>
      <c r="X37" s="168" t="str">
        <f t="shared" si="42"/>
        <v>#REF!</v>
      </c>
      <c r="Y37" s="168" t="str">
        <f t="shared" si="42"/>
        <v>#REF!</v>
      </c>
      <c r="Z37" s="168" t="str">
        <f t="shared" si="42"/>
        <v>#REF!</v>
      </c>
      <c r="AA37" s="168" t="str">
        <f t="shared" si="42"/>
        <v>#REF!</v>
      </c>
      <c r="AB37" s="168" t="str">
        <f t="shared" si="42"/>
        <v>#REF!</v>
      </c>
      <c r="AC37" s="168" t="str">
        <f t="shared" si="42"/>
        <v>#REF!</v>
      </c>
      <c r="AD37" s="168" t="str">
        <f t="shared" si="42"/>
        <v>#REF!</v>
      </c>
      <c r="AE37" s="168" t="str">
        <f t="shared" si="42"/>
        <v>#REF!</v>
      </c>
      <c r="AF37" s="168" t="str">
        <f t="shared" si="42"/>
        <v>#REF!</v>
      </c>
      <c r="AG37" s="168" t="str">
        <f t="shared" si="42"/>
        <v>#REF!</v>
      </c>
      <c r="AH37" s="168" t="str">
        <f t="shared" si="42"/>
        <v>#REF!</v>
      </c>
      <c r="AI37" s="168" t="str">
        <f t="shared" si="42"/>
        <v>#REF!</v>
      </c>
      <c r="AJ37" s="168" t="str">
        <f t="shared" si="42"/>
        <v>#REF!</v>
      </c>
    </row>
    <row r="38" ht="15.75" hidden="1" customHeight="1">
      <c r="A38" s="168" t="str">
        <f>'2026 Pipeline'!C7</f>
        <v>#REF!</v>
      </c>
      <c r="B38" s="168" t="str">
        <f t="shared" ref="B38:C38" si="43">'2026 Pipeline'!J7</f>
        <v>#REF!</v>
      </c>
      <c r="C38" s="168" t="str">
        <f t="shared" si="43"/>
        <v>#REF!</v>
      </c>
      <c r="D38" s="168" t="str">
        <f t="shared" ref="D38:F38" si="44">'2026 Pipeline'!M7</f>
        <v>#REF!</v>
      </c>
      <c r="E38" s="168" t="str">
        <f t="shared" si="44"/>
        <v>#REF!</v>
      </c>
      <c r="F38" s="168" t="str">
        <f t="shared" si="44"/>
        <v>#REF!</v>
      </c>
      <c r="G38" s="168" t="str">
        <f>'2026 Pipeline'!Q7</f>
        <v>#REF!</v>
      </c>
      <c r="H38" s="168" t="str">
        <f>'2026 Pipeline'!P7</f>
        <v>#REF!</v>
      </c>
      <c r="I38" s="168" t="str">
        <f>'2026 Pipeline'!R7</f>
        <v>#REF!</v>
      </c>
      <c r="J38" s="168" t="str">
        <f t="shared" ref="J38:L38" si="45">'2026 Pipeline'!V7</f>
        <v>#REF!</v>
      </c>
      <c r="K38" s="168" t="str">
        <f t="shared" si="45"/>
        <v>#REF!</v>
      </c>
      <c r="L38" s="168" t="str">
        <f t="shared" si="45"/>
        <v>#REF!</v>
      </c>
      <c r="M38" s="168" t="str">
        <f t="shared" ref="M38:O38" si="46">#REF!</f>
        <v>#REF!</v>
      </c>
      <c r="N38" s="168" t="str">
        <f t="shared" si="46"/>
        <v>#REF!</v>
      </c>
      <c r="O38" s="168" t="str">
        <f t="shared" si="46"/>
        <v>#REF!</v>
      </c>
      <c r="P38" s="168" t="str">
        <f>'2026 Pipeline'!AA7</f>
        <v>#REF!</v>
      </c>
      <c r="Q38" s="168" t="str">
        <f>'2026 Pipeline'!Y7</f>
        <v>#REF!</v>
      </c>
      <c r="R38" s="168" t="str">
        <f>#REF!</f>
        <v>#REF!</v>
      </c>
      <c r="S38" s="168" t="str">
        <f>'2026 Pipeline'!L7</f>
        <v>#REF!</v>
      </c>
      <c r="T38" s="168" t="str">
        <f>'2026 Pipeline'!CD7</f>
        <v>#REF!</v>
      </c>
      <c r="U38" s="168" t="str">
        <f t="shared" ref="U38:AJ38" si="47">#REF!</f>
        <v>#REF!</v>
      </c>
      <c r="V38" s="168" t="str">
        <f t="shared" si="47"/>
        <v>#REF!</v>
      </c>
      <c r="W38" s="168" t="str">
        <f t="shared" si="47"/>
        <v>#REF!</v>
      </c>
      <c r="X38" s="168" t="str">
        <f t="shared" si="47"/>
        <v>#REF!</v>
      </c>
      <c r="Y38" s="168" t="str">
        <f t="shared" si="47"/>
        <v>#REF!</v>
      </c>
      <c r="Z38" s="168" t="str">
        <f t="shared" si="47"/>
        <v>#REF!</v>
      </c>
      <c r="AA38" s="168" t="str">
        <f t="shared" si="47"/>
        <v>#REF!</v>
      </c>
      <c r="AB38" s="168" t="str">
        <f t="shared" si="47"/>
        <v>#REF!</v>
      </c>
      <c r="AC38" s="168" t="str">
        <f t="shared" si="47"/>
        <v>#REF!</v>
      </c>
      <c r="AD38" s="168" t="str">
        <f t="shared" si="47"/>
        <v>#REF!</v>
      </c>
      <c r="AE38" s="168" t="str">
        <f t="shared" si="47"/>
        <v>#REF!</v>
      </c>
      <c r="AF38" s="168" t="str">
        <f t="shared" si="47"/>
        <v>#REF!</v>
      </c>
      <c r="AG38" s="168" t="str">
        <f t="shared" si="47"/>
        <v>#REF!</v>
      </c>
      <c r="AH38" s="168" t="str">
        <f t="shared" si="47"/>
        <v>#REF!</v>
      </c>
      <c r="AI38" s="168" t="str">
        <f t="shared" si="47"/>
        <v>#REF!</v>
      </c>
      <c r="AJ38" s="168" t="str">
        <f t="shared" si="47"/>
        <v>#REF!</v>
      </c>
    </row>
    <row r="39" ht="15.75" hidden="1" customHeight="1">
      <c r="A39" s="168" t="str">
        <f t="shared" ref="A39:AJ39" si="48">#REF!</f>
        <v>#REF!</v>
      </c>
      <c r="B39" s="168" t="str">
        <f t="shared" si="48"/>
        <v>#REF!</v>
      </c>
      <c r="C39" s="168" t="str">
        <f t="shared" si="48"/>
        <v>#REF!</v>
      </c>
      <c r="D39" s="168" t="str">
        <f t="shared" si="48"/>
        <v>#REF!</v>
      </c>
      <c r="E39" s="168" t="str">
        <f t="shared" si="48"/>
        <v>#REF!</v>
      </c>
      <c r="F39" s="168" t="str">
        <f t="shared" si="48"/>
        <v>#REF!</v>
      </c>
      <c r="G39" s="168" t="str">
        <f t="shared" si="48"/>
        <v>#REF!</v>
      </c>
      <c r="H39" s="168" t="str">
        <f t="shared" si="48"/>
        <v>#REF!</v>
      </c>
      <c r="I39" s="168" t="str">
        <f t="shared" si="48"/>
        <v>#REF!</v>
      </c>
      <c r="J39" s="168" t="str">
        <f t="shared" si="48"/>
        <v>#REF!</v>
      </c>
      <c r="K39" s="168" t="str">
        <f t="shared" si="48"/>
        <v>#REF!</v>
      </c>
      <c r="L39" s="168" t="str">
        <f t="shared" si="48"/>
        <v>#REF!</v>
      </c>
      <c r="M39" s="168" t="str">
        <f t="shared" si="48"/>
        <v>#REF!</v>
      </c>
      <c r="N39" s="168" t="str">
        <f t="shared" si="48"/>
        <v>#REF!</v>
      </c>
      <c r="O39" s="168" t="str">
        <f t="shared" si="48"/>
        <v>#REF!</v>
      </c>
      <c r="P39" s="168" t="str">
        <f t="shared" si="48"/>
        <v>#REF!</v>
      </c>
      <c r="Q39" s="168" t="str">
        <f t="shared" si="48"/>
        <v>#REF!</v>
      </c>
      <c r="R39" s="168" t="str">
        <f t="shared" si="48"/>
        <v>#REF!</v>
      </c>
      <c r="S39" s="168" t="str">
        <f t="shared" si="48"/>
        <v>#REF!</v>
      </c>
      <c r="T39" s="168" t="str">
        <f t="shared" si="48"/>
        <v>#REF!</v>
      </c>
      <c r="U39" s="168" t="str">
        <f t="shared" si="48"/>
        <v>#REF!</v>
      </c>
      <c r="V39" s="168" t="str">
        <f t="shared" si="48"/>
        <v>#REF!</v>
      </c>
      <c r="W39" s="168" t="str">
        <f t="shared" si="48"/>
        <v>#REF!</v>
      </c>
      <c r="X39" s="168" t="str">
        <f t="shared" si="48"/>
        <v>#REF!</v>
      </c>
      <c r="Y39" s="168" t="str">
        <f t="shared" si="48"/>
        <v>#REF!</v>
      </c>
      <c r="Z39" s="168" t="str">
        <f t="shared" si="48"/>
        <v>#REF!</v>
      </c>
      <c r="AA39" s="168" t="str">
        <f t="shared" si="48"/>
        <v>#REF!</v>
      </c>
      <c r="AB39" s="168" t="str">
        <f t="shared" si="48"/>
        <v>#REF!</v>
      </c>
      <c r="AC39" s="168" t="str">
        <f t="shared" si="48"/>
        <v>#REF!</v>
      </c>
      <c r="AD39" s="168" t="str">
        <f t="shared" si="48"/>
        <v>#REF!</v>
      </c>
      <c r="AE39" s="168" t="str">
        <f t="shared" si="48"/>
        <v>#REF!</v>
      </c>
      <c r="AF39" s="168" t="str">
        <f t="shared" si="48"/>
        <v>#REF!</v>
      </c>
      <c r="AG39" s="168" t="str">
        <f t="shared" si="48"/>
        <v>#REF!</v>
      </c>
      <c r="AH39" s="168" t="str">
        <f t="shared" si="48"/>
        <v>#REF!</v>
      </c>
      <c r="AI39" s="168" t="str">
        <f t="shared" si="48"/>
        <v>#REF!</v>
      </c>
      <c r="AJ39" s="168" t="str">
        <f t="shared" si="48"/>
        <v>#REF!</v>
      </c>
    </row>
    <row r="40" ht="15.75" hidden="1" customHeight="1">
      <c r="A40" s="168" t="str">
        <f t="shared" ref="A40:AJ40" si="49">#REF!</f>
        <v>#REF!</v>
      </c>
      <c r="B40" s="168" t="str">
        <f t="shared" si="49"/>
        <v>#REF!</v>
      </c>
      <c r="C40" s="168" t="str">
        <f t="shared" si="49"/>
        <v>#REF!</v>
      </c>
      <c r="D40" s="168" t="str">
        <f t="shared" si="49"/>
        <v>#REF!</v>
      </c>
      <c r="E40" s="168" t="str">
        <f t="shared" si="49"/>
        <v>#REF!</v>
      </c>
      <c r="F40" s="168" t="str">
        <f t="shared" si="49"/>
        <v>#REF!</v>
      </c>
      <c r="G40" s="168" t="str">
        <f t="shared" si="49"/>
        <v>#REF!</v>
      </c>
      <c r="H40" s="168" t="str">
        <f t="shared" si="49"/>
        <v>#REF!</v>
      </c>
      <c r="I40" s="168" t="str">
        <f t="shared" si="49"/>
        <v>#REF!</v>
      </c>
      <c r="J40" s="168" t="str">
        <f t="shared" si="49"/>
        <v>#REF!</v>
      </c>
      <c r="K40" s="168" t="str">
        <f t="shared" si="49"/>
        <v>#REF!</v>
      </c>
      <c r="L40" s="168" t="str">
        <f t="shared" si="49"/>
        <v>#REF!</v>
      </c>
      <c r="M40" s="168" t="str">
        <f t="shared" si="49"/>
        <v>#REF!</v>
      </c>
      <c r="N40" s="168" t="str">
        <f t="shared" si="49"/>
        <v>#REF!</v>
      </c>
      <c r="O40" s="168" t="str">
        <f t="shared" si="49"/>
        <v>#REF!</v>
      </c>
      <c r="P40" s="168" t="str">
        <f t="shared" si="49"/>
        <v>#REF!</v>
      </c>
      <c r="Q40" s="168" t="str">
        <f t="shared" si="49"/>
        <v>#REF!</v>
      </c>
      <c r="R40" s="168" t="str">
        <f t="shared" si="49"/>
        <v>#REF!</v>
      </c>
      <c r="S40" s="168" t="str">
        <f t="shared" si="49"/>
        <v>#REF!</v>
      </c>
      <c r="T40" s="168" t="str">
        <f t="shared" si="49"/>
        <v>#REF!</v>
      </c>
      <c r="U40" s="168" t="str">
        <f t="shared" si="49"/>
        <v>#REF!</v>
      </c>
      <c r="V40" s="168" t="str">
        <f t="shared" si="49"/>
        <v>#REF!</v>
      </c>
      <c r="W40" s="168" t="str">
        <f t="shared" si="49"/>
        <v>#REF!</v>
      </c>
      <c r="X40" s="168" t="str">
        <f t="shared" si="49"/>
        <v>#REF!</v>
      </c>
      <c r="Y40" s="168" t="str">
        <f t="shared" si="49"/>
        <v>#REF!</v>
      </c>
      <c r="Z40" s="168" t="str">
        <f t="shared" si="49"/>
        <v>#REF!</v>
      </c>
      <c r="AA40" s="168" t="str">
        <f t="shared" si="49"/>
        <v>#REF!</v>
      </c>
      <c r="AB40" s="168" t="str">
        <f t="shared" si="49"/>
        <v>#REF!</v>
      </c>
      <c r="AC40" s="168" t="str">
        <f t="shared" si="49"/>
        <v>#REF!</v>
      </c>
      <c r="AD40" s="168" t="str">
        <f t="shared" si="49"/>
        <v>#REF!</v>
      </c>
      <c r="AE40" s="168" t="str">
        <f t="shared" si="49"/>
        <v>#REF!</v>
      </c>
      <c r="AF40" s="168" t="str">
        <f t="shared" si="49"/>
        <v>#REF!</v>
      </c>
      <c r="AG40" s="168" t="str">
        <f t="shared" si="49"/>
        <v>#REF!</v>
      </c>
      <c r="AH40" s="168" t="str">
        <f t="shared" si="49"/>
        <v>#REF!</v>
      </c>
      <c r="AI40" s="168" t="str">
        <f t="shared" si="49"/>
        <v>#REF!</v>
      </c>
      <c r="AJ40" s="168" t="str">
        <f t="shared" si="49"/>
        <v>#REF!</v>
      </c>
    </row>
    <row r="41" ht="15.75" hidden="1" customHeight="1">
      <c r="A41" s="168" t="str">
        <f t="shared" ref="A41:AJ41" si="50">#REF!</f>
        <v>#REF!</v>
      </c>
      <c r="B41" s="168" t="str">
        <f t="shared" si="50"/>
        <v>#REF!</v>
      </c>
      <c r="C41" s="168" t="str">
        <f t="shared" si="50"/>
        <v>#REF!</v>
      </c>
      <c r="D41" s="168" t="str">
        <f t="shared" si="50"/>
        <v>#REF!</v>
      </c>
      <c r="E41" s="168" t="str">
        <f t="shared" si="50"/>
        <v>#REF!</v>
      </c>
      <c r="F41" s="168" t="str">
        <f t="shared" si="50"/>
        <v>#REF!</v>
      </c>
      <c r="G41" s="168" t="str">
        <f t="shared" si="50"/>
        <v>#REF!</v>
      </c>
      <c r="H41" s="168" t="str">
        <f t="shared" si="50"/>
        <v>#REF!</v>
      </c>
      <c r="I41" s="168" t="str">
        <f t="shared" si="50"/>
        <v>#REF!</v>
      </c>
      <c r="J41" s="168" t="str">
        <f t="shared" si="50"/>
        <v>#REF!</v>
      </c>
      <c r="K41" s="168" t="str">
        <f t="shared" si="50"/>
        <v>#REF!</v>
      </c>
      <c r="L41" s="168" t="str">
        <f t="shared" si="50"/>
        <v>#REF!</v>
      </c>
      <c r="M41" s="168" t="str">
        <f t="shared" si="50"/>
        <v>#REF!</v>
      </c>
      <c r="N41" s="168" t="str">
        <f t="shared" si="50"/>
        <v>#REF!</v>
      </c>
      <c r="O41" s="168" t="str">
        <f t="shared" si="50"/>
        <v>#REF!</v>
      </c>
      <c r="P41" s="168" t="str">
        <f t="shared" si="50"/>
        <v>#REF!</v>
      </c>
      <c r="Q41" s="168" t="str">
        <f t="shared" si="50"/>
        <v>#REF!</v>
      </c>
      <c r="R41" s="168" t="str">
        <f t="shared" si="50"/>
        <v>#REF!</v>
      </c>
      <c r="S41" s="168" t="str">
        <f t="shared" si="50"/>
        <v>#REF!</v>
      </c>
      <c r="T41" s="168" t="str">
        <f t="shared" si="50"/>
        <v>#REF!</v>
      </c>
      <c r="U41" s="168" t="str">
        <f t="shared" si="50"/>
        <v>#REF!</v>
      </c>
      <c r="V41" s="168" t="str">
        <f t="shared" si="50"/>
        <v>#REF!</v>
      </c>
      <c r="W41" s="168" t="str">
        <f t="shared" si="50"/>
        <v>#REF!</v>
      </c>
      <c r="X41" s="168" t="str">
        <f t="shared" si="50"/>
        <v>#REF!</v>
      </c>
      <c r="Y41" s="168" t="str">
        <f t="shared" si="50"/>
        <v>#REF!</v>
      </c>
      <c r="Z41" s="168" t="str">
        <f t="shared" si="50"/>
        <v>#REF!</v>
      </c>
      <c r="AA41" s="168" t="str">
        <f t="shared" si="50"/>
        <v>#REF!</v>
      </c>
      <c r="AB41" s="168" t="str">
        <f t="shared" si="50"/>
        <v>#REF!</v>
      </c>
      <c r="AC41" s="168" t="str">
        <f t="shared" si="50"/>
        <v>#REF!</v>
      </c>
      <c r="AD41" s="168" t="str">
        <f t="shared" si="50"/>
        <v>#REF!</v>
      </c>
      <c r="AE41" s="168" t="str">
        <f t="shared" si="50"/>
        <v>#REF!</v>
      </c>
      <c r="AF41" s="168" t="str">
        <f t="shared" si="50"/>
        <v>#REF!</v>
      </c>
      <c r="AG41" s="168" t="str">
        <f t="shared" si="50"/>
        <v>#REF!</v>
      </c>
      <c r="AH41" s="168" t="str">
        <f t="shared" si="50"/>
        <v>#REF!</v>
      </c>
      <c r="AI41" s="168" t="str">
        <f t="shared" si="50"/>
        <v>#REF!</v>
      </c>
      <c r="AJ41" s="168" t="str">
        <f t="shared" si="50"/>
        <v>#REF!</v>
      </c>
    </row>
    <row r="42" ht="15.75" hidden="1" customHeight="1">
      <c r="A42" s="168" t="str">
        <f t="shared" ref="A42:AJ42" si="51">#REF!</f>
        <v>#REF!</v>
      </c>
      <c r="B42" s="168" t="str">
        <f t="shared" si="51"/>
        <v>#REF!</v>
      </c>
      <c r="C42" s="168" t="str">
        <f t="shared" si="51"/>
        <v>#REF!</v>
      </c>
      <c r="D42" s="168" t="str">
        <f t="shared" si="51"/>
        <v>#REF!</v>
      </c>
      <c r="E42" s="168" t="str">
        <f t="shared" si="51"/>
        <v>#REF!</v>
      </c>
      <c r="F42" s="168" t="str">
        <f t="shared" si="51"/>
        <v>#REF!</v>
      </c>
      <c r="G42" s="168" t="str">
        <f t="shared" si="51"/>
        <v>#REF!</v>
      </c>
      <c r="H42" s="168" t="str">
        <f t="shared" si="51"/>
        <v>#REF!</v>
      </c>
      <c r="I42" s="168" t="str">
        <f t="shared" si="51"/>
        <v>#REF!</v>
      </c>
      <c r="J42" s="168" t="str">
        <f t="shared" si="51"/>
        <v>#REF!</v>
      </c>
      <c r="K42" s="168" t="str">
        <f t="shared" si="51"/>
        <v>#REF!</v>
      </c>
      <c r="L42" s="168" t="str">
        <f t="shared" si="51"/>
        <v>#REF!</v>
      </c>
      <c r="M42" s="168" t="str">
        <f t="shared" si="51"/>
        <v>#REF!</v>
      </c>
      <c r="N42" s="168" t="str">
        <f t="shared" si="51"/>
        <v>#REF!</v>
      </c>
      <c r="O42" s="168" t="str">
        <f t="shared" si="51"/>
        <v>#REF!</v>
      </c>
      <c r="P42" s="168" t="str">
        <f t="shared" si="51"/>
        <v>#REF!</v>
      </c>
      <c r="Q42" s="168" t="str">
        <f t="shared" si="51"/>
        <v>#REF!</v>
      </c>
      <c r="R42" s="168" t="str">
        <f t="shared" si="51"/>
        <v>#REF!</v>
      </c>
      <c r="S42" s="168" t="str">
        <f t="shared" si="51"/>
        <v>#REF!</v>
      </c>
      <c r="T42" s="168" t="str">
        <f t="shared" si="51"/>
        <v>#REF!</v>
      </c>
      <c r="U42" s="168" t="str">
        <f t="shared" si="51"/>
        <v>#REF!</v>
      </c>
      <c r="V42" s="168" t="str">
        <f t="shared" si="51"/>
        <v>#REF!</v>
      </c>
      <c r="W42" s="168" t="str">
        <f t="shared" si="51"/>
        <v>#REF!</v>
      </c>
      <c r="X42" s="168" t="str">
        <f t="shared" si="51"/>
        <v>#REF!</v>
      </c>
      <c r="Y42" s="168" t="str">
        <f t="shared" si="51"/>
        <v>#REF!</v>
      </c>
      <c r="Z42" s="168" t="str">
        <f t="shared" si="51"/>
        <v>#REF!</v>
      </c>
      <c r="AA42" s="168" t="str">
        <f t="shared" si="51"/>
        <v>#REF!</v>
      </c>
      <c r="AB42" s="168" t="str">
        <f t="shared" si="51"/>
        <v>#REF!</v>
      </c>
      <c r="AC42" s="168" t="str">
        <f t="shared" si="51"/>
        <v>#REF!</v>
      </c>
      <c r="AD42" s="168" t="str">
        <f t="shared" si="51"/>
        <v>#REF!</v>
      </c>
      <c r="AE42" s="168" t="str">
        <f t="shared" si="51"/>
        <v>#REF!</v>
      </c>
      <c r="AF42" s="168" t="str">
        <f t="shared" si="51"/>
        <v>#REF!</v>
      </c>
      <c r="AG42" s="168" t="str">
        <f t="shared" si="51"/>
        <v>#REF!</v>
      </c>
      <c r="AH42" s="168" t="str">
        <f t="shared" si="51"/>
        <v>#REF!</v>
      </c>
      <c r="AI42" s="168" t="str">
        <f t="shared" si="51"/>
        <v>#REF!</v>
      </c>
      <c r="AJ42" s="168" t="str">
        <f t="shared" si="51"/>
        <v>#REF!</v>
      </c>
    </row>
    <row r="43" ht="15.75" customHeight="1">
      <c r="A43" s="168" t="str">
        <f t="shared" ref="A43:T43" si="52">#REF!</f>
        <v>#REF!</v>
      </c>
      <c r="B43" s="168" t="str">
        <f t="shared" si="52"/>
        <v>#REF!</v>
      </c>
      <c r="C43" s="168" t="str">
        <f t="shared" si="52"/>
        <v>#REF!</v>
      </c>
      <c r="D43" s="168" t="str">
        <f t="shared" si="52"/>
        <v>#REF!</v>
      </c>
      <c r="E43" s="168" t="str">
        <f t="shared" si="52"/>
        <v>#REF!</v>
      </c>
      <c r="F43" s="168" t="str">
        <f t="shared" si="52"/>
        <v>#REF!</v>
      </c>
      <c r="G43" s="168" t="str">
        <f t="shared" si="52"/>
        <v>#REF!</v>
      </c>
      <c r="H43" s="168" t="str">
        <f t="shared" si="52"/>
        <v>#REF!</v>
      </c>
      <c r="I43" s="168" t="str">
        <f t="shared" si="52"/>
        <v>#REF!</v>
      </c>
      <c r="J43" s="168" t="str">
        <f t="shared" si="52"/>
        <v>#REF!</v>
      </c>
      <c r="K43" s="168" t="str">
        <f t="shared" si="52"/>
        <v>#REF!</v>
      </c>
      <c r="L43" s="168" t="str">
        <f t="shared" si="52"/>
        <v>#REF!</v>
      </c>
      <c r="M43" s="168" t="str">
        <f t="shared" si="52"/>
        <v>#REF!</v>
      </c>
      <c r="N43" s="168" t="str">
        <f t="shared" si="52"/>
        <v>#REF!</v>
      </c>
      <c r="O43" s="168" t="str">
        <f t="shared" si="52"/>
        <v>#REF!</v>
      </c>
      <c r="P43" s="168" t="str">
        <f t="shared" si="52"/>
        <v>#REF!</v>
      </c>
      <c r="Q43" s="168" t="str">
        <f t="shared" si="52"/>
        <v>#REF!</v>
      </c>
      <c r="R43" s="168" t="str">
        <f t="shared" si="52"/>
        <v>#REF!</v>
      </c>
      <c r="S43" s="168" t="str">
        <f t="shared" si="52"/>
        <v>#REF!</v>
      </c>
      <c r="T43" s="168" t="str">
        <f t="shared" si="52"/>
        <v>#REF!</v>
      </c>
      <c r="U43" s="168" t="str">
        <f>'2026 Pipeline'!AP7</f>
        <v>#REF!</v>
      </c>
      <c r="V43" s="168" t="str">
        <f t="shared" ref="V43:Z43" si="53">'2026 Pipeline'!CJ7</f>
        <v>#REF!</v>
      </c>
      <c r="W43" s="168" t="str">
        <f t="shared" si="53"/>
        <v>#REF!</v>
      </c>
      <c r="X43" s="168" t="str">
        <f t="shared" si="53"/>
        <v>#REF!</v>
      </c>
      <c r="Y43" s="168" t="str">
        <f t="shared" si="53"/>
        <v>#REF!</v>
      </c>
      <c r="Z43" s="168" t="str">
        <f t="shared" si="53"/>
        <v>#REF!</v>
      </c>
      <c r="AA43" s="168" t="str">
        <f t="shared" ref="AA43:AF43" si="54">#REF!</f>
        <v>#REF!</v>
      </c>
      <c r="AB43" s="168" t="str">
        <f t="shared" si="54"/>
        <v>#REF!</v>
      </c>
      <c r="AC43" s="168" t="str">
        <f t="shared" si="54"/>
        <v>#REF!</v>
      </c>
      <c r="AD43" s="168" t="str">
        <f t="shared" si="54"/>
        <v>#REF!</v>
      </c>
      <c r="AE43" s="168" t="str">
        <f t="shared" si="54"/>
        <v>#REF!</v>
      </c>
      <c r="AF43" s="168" t="str">
        <f t="shared" si="54"/>
        <v>#REF!</v>
      </c>
      <c r="AG43" s="168" t="str">
        <f>'2026 Pipeline'!CT7</f>
        <v>#REF!</v>
      </c>
      <c r="AH43" s="168" t="str">
        <f>'2026 Pipeline'!S7</f>
        <v>#REF!</v>
      </c>
      <c r="AI43" s="168" t="str">
        <f t="shared" ref="AI43:AJ43" si="55">#REF!</f>
        <v>#REF!</v>
      </c>
      <c r="AJ43" s="168" t="str">
        <f t="shared" si="55"/>
        <v>#REF!</v>
      </c>
    </row>
    <row r="44" ht="15.75" customHeight="1">
      <c r="A44" s="168" t="str">
        <f t="shared" ref="A44:AJ44" si="56">#REF!</f>
        <v>#REF!</v>
      </c>
      <c r="B44" s="168" t="str">
        <f t="shared" si="56"/>
        <v>#REF!</v>
      </c>
      <c r="C44" s="168" t="str">
        <f t="shared" si="56"/>
        <v>#REF!</v>
      </c>
      <c r="D44" s="168" t="str">
        <f t="shared" si="56"/>
        <v>#REF!</v>
      </c>
      <c r="E44" s="168" t="str">
        <f t="shared" si="56"/>
        <v>#REF!</v>
      </c>
      <c r="F44" s="168" t="str">
        <f t="shared" si="56"/>
        <v>#REF!</v>
      </c>
      <c r="G44" s="168" t="str">
        <f t="shared" si="56"/>
        <v>#REF!</v>
      </c>
      <c r="H44" s="168" t="str">
        <f t="shared" si="56"/>
        <v>#REF!</v>
      </c>
      <c r="I44" s="168" t="str">
        <f t="shared" si="56"/>
        <v>#REF!</v>
      </c>
      <c r="J44" s="168" t="str">
        <f t="shared" si="56"/>
        <v>#REF!</v>
      </c>
      <c r="K44" s="168" t="str">
        <f t="shared" si="56"/>
        <v>#REF!</v>
      </c>
      <c r="L44" s="168" t="str">
        <f t="shared" si="56"/>
        <v>#REF!</v>
      </c>
      <c r="M44" s="168" t="str">
        <f t="shared" si="56"/>
        <v>#REF!</v>
      </c>
      <c r="N44" s="168" t="str">
        <f t="shared" si="56"/>
        <v>#REF!</v>
      </c>
      <c r="O44" s="168" t="str">
        <f t="shared" si="56"/>
        <v>#REF!</v>
      </c>
      <c r="P44" s="168" t="str">
        <f t="shared" si="56"/>
        <v>#REF!</v>
      </c>
      <c r="Q44" s="168" t="str">
        <f t="shared" si="56"/>
        <v>#REF!</v>
      </c>
      <c r="R44" s="168" t="str">
        <f t="shared" si="56"/>
        <v>#REF!</v>
      </c>
      <c r="S44" s="168" t="str">
        <f t="shared" si="56"/>
        <v>#REF!</v>
      </c>
      <c r="T44" s="168" t="str">
        <f t="shared" si="56"/>
        <v>#REF!</v>
      </c>
      <c r="U44" s="168" t="str">
        <f t="shared" si="56"/>
        <v>#REF!</v>
      </c>
      <c r="V44" s="168" t="str">
        <f t="shared" si="56"/>
        <v>#REF!</v>
      </c>
      <c r="W44" s="168" t="str">
        <f t="shared" si="56"/>
        <v>#REF!</v>
      </c>
      <c r="X44" s="168" t="str">
        <f t="shared" si="56"/>
        <v>#REF!</v>
      </c>
      <c r="Y44" s="168" t="str">
        <f t="shared" si="56"/>
        <v>#REF!</v>
      </c>
      <c r="Z44" s="168" t="str">
        <f t="shared" si="56"/>
        <v>#REF!</v>
      </c>
      <c r="AA44" s="168" t="str">
        <f t="shared" si="56"/>
        <v>#REF!</v>
      </c>
      <c r="AB44" s="168" t="str">
        <f t="shared" si="56"/>
        <v>#REF!</v>
      </c>
      <c r="AC44" s="168" t="str">
        <f t="shared" si="56"/>
        <v>#REF!</v>
      </c>
      <c r="AD44" s="168" t="str">
        <f t="shared" si="56"/>
        <v>#REF!</v>
      </c>
      <c r="AE44" s="168" t="str">
        <f t="shared" si="56"/>
        <v>#REF!</v>
      </c>
      <c r="AF44" s="168" t="str">
        <f t="shared" si="56"/>
        <v>#REF!</v>
      </c>
      <c r="AG44" s="168" t="str">
        <f t="shared" si="56"/>
        <v>#REF!</v>
      </c>
      <c r="AH44" s="168" t="str">
        <f t="shared" si="56"/>
        <v>#REF!</v>
      </c>
      <c r="AI44" s="168" t="str">
        <f t="shared" si="56"/>
        <v>#REF!</v>
      </c>
      <c r="AJ44" s="168" t="str">
        <f t="shared" si="56"/>
        <v>#REF!</v>
      </c>
    </row>
    <row r="45" ht="15.75" hidden="1" customHeight="1">
      <c r="A45" s="168" t="str">
        <f t="shared" ref="A45:AJ45" si="57">#REF!</f>
        <v>#REF!</v>
      </c>
      <c r="B45" s="168" t="str">
        <f t="shared" si="57"/>
        <v>#REF!</v>
      </c>
      <c r="C45" s="168" t="str">
        <f t="shared" si="57"/>
        <v>#REF!</v>
      </c>
      <c r="D45" s="168" t="str">
        <f t="shared" si="57"/>
        <v>#REF!</v>
      </c>
      <c r="E45" s="168" t="str">
        <f t="shared" si="57"/>
        <v>#REF!</v>
      </c>
      <c r="F45" s="168" t="str">
        <f t="shared" si="57"/>
        <v>#REF!</v>
      </c>
      <c r="G45" s="168" t="str">
        <f t="shared" si="57"/>
        <v>#REF!</v>
      </c>
      <c r="H45" s="168" t="str">
        <f t="shared" si="57"/>
        <v>#REF!</v>
      </c>
      <c r="I45" s="168" t="str">
        <f t="shared" si="57"/>
        <v>#REF!</v>
      </c>
      <c r="J45" s="168" t="str">
        <f t="shared" si="57"/>
        <v>#REF!</v>
      </c>
      <c r="K45" s="168" t="str">
        <f t="shared" si="57"/>
        <v>#REF!</v>
      </c>
      <c r="L45" s="168" t="str">
        <f t="shared" si="57"/>
        <v>#REF!</v>
      </c>
      <c r="M45" s="168" t="str">
        <f t="shared" si="57"/>
        <v>#REF!</v>
      </c>
      <c r="N45" s="168" t="str">
        <f t="shared" si="57"/>
        <v>#REF!</v>
      </c>
      <c r="O45" s="168" t="str">
        <f t="shared" si="57"/>
        <v>#REF!</v>
      </c>
      <c r="P45" s="168" t="str">
        <f t="shared" si="57"/>
        <v>#REF!</v>
      </c>
      <c r="Q45" s="168" t="str">
        <f t="shared" si="57"/>
        <v>#REF!</v>
      </c>
      <c r="R45" s="168" t="str">
        <f t="shared" si="57"/>
        <v>#REF!</v>
      </c>
      <c r="S45" s="168" t="str">
        <f t="shared" si="57"/>
        <v>#REF!</v>
      </c>
      <c r="T45" s="168" t="str">
        <f t="shared" si="57"/>
        <v>#REF!</v>
      </c>
      <c r="U45" s="168" t="str">
        <f t="shared" si="57"/>
        <v>#REF!</v>
      </c>
      <c r="V45" s="168" t="str">
        <f t="shared" si="57"/>
        <v>#REF!</v>
      </c>
      <c r="W45" s="168" t="str">
        <f t="shared" si="57"/>
        <v>#REF!</v>
      </c>
      <c r="X45" s="168" t="str">
        <f t="shared" si="57"/>
        <v>#REF!</v>
      </c>
      <c r="Y45" s="168" t="str">
        <f t="shared" si="57"/>
        <v>#REF!</v>
      </c>
      <c r="Z45" s="168" t="str">
        <f t="shared" si="57"/>
        <v>#REF!</v>
      </c>
      <c r="AA45" s="168" t="str">
        <f t="shared" si="57"/>
        <v>#REF!</v>
      </c>
      <c r="AB45" s="168" t="str">
        <f t="shared" si="57"/>
        <v>#REF!</v>
      </c>
      <c r="AC45" s="168" t="str">
        <f t="shared" si="57"/>
        <v>#REF!</v>
      </c>
      <c r="AD45" s="168" t="str">
        <f t="shared" si="57"/>
        <v>#REF!</v>
      </c>
      <c r="AE45" s="168" t="str">
        <f t="shared" si="57"/>
        <v>#REF!</v>
      </c>
      <c r="AF45" s="168" t="str">
        <f t="shared" si="57"/>
        <v>#REF!</v>
      </c>
      <c r="AG45" s="168" t="str">
        <f t="shared" si="57"/>
        <v>#REF!</v>
      </c>
      <c r="AH45" s="168" t="str">
        <f t="shared" si="57"/>
        <v>#REF!</v>
      </c>
      <c r="AI45" s="168" t="str">
        <f t="shared" si="57"/>
        <v>#REF!</v>
      </c>
      <c r="AJ45" s="168" t="str">
        <f t="shared" si="57"/>
        <v>#REF!</v>
      </c>
    </row>
    <row r="46" ht="15.75" hidden="1" customHeight="1">
      <c r="A46" s="168" t="str">
        <f t="shared" ref="A46:AJ46" si="58">#REF!</f>
        <v>#REF!</v>
      </c>
      <c r="B46" s="168" t="str">
        <f t="shared" si="58"/>
        <v>#REF!</v>
      </c>
      <c r="C46" s="168" t="str">
        <f t="shared" si="58"/>
        <v>#REF!</v>
      </c>
      <c r="D46" s="168" t="str">
        <f t="shared" si="58"/>
        <v>#REF!</v>
      </c>
      <c r="E46" s="168" t="str">
        <f t="shared" si="58"/>
        <v>#REF!</v>
      </c>
      <c r="F46" s="168" t="str">
        <f t="shared" si="58"/>
        <v>#REF!</v>
      </c>
      <c r="G46" s="168" t="str">
        <f t="shared" si="58"/>
        <v>#REF!</v>
      </c>
      <c r="H46" s="168" t="str">
        <f t="shared" si="58"/>
        <v>#REF!</v>
      </c>
      <c r="I46" s="168" t="str">
        <f t="shared" si="58"/>
        <v>#REF!</v>
      </c>
      <c r="J46" s="168" t="str">
        <f t="shared" si="58"/>
        <v>#REF!</v>
      </c>
      <c r="K46" s="168" t="str">
        <f t="shared" si="58"/>
        <v>#REF!</v>
      </c>
      <c r="L46" s="168" t="str">
        <f t="shared" si="58"/>
        <v>#REF!</v>
      </c>
      <c r="M46" s="168" t="str">
        <f t="shared" si="58"/>
        <v>#REF!</v>
      </c>
      <c r="N46" s="168" t="str">
        <f t="shared" si="58"/>
        <v>#REF!</v>
      </c>
      <c r="O46" s="168" t="str">
        <f t="shared" si="58"/>
        <v>#REF!</v>
      </c>
      <c r="P46" s="168" t="str">
        <f t="shared" si="58"/>
        <v>#REF!</v>
      </c>
      <c r="Q46" s="168" t="str">
        <f t="shared" si="58"/>
        <v>#REF!</v>
      </c>
      <c r="R46" s="168" t="str">
        <f t="shared" si="58"/>
        <v>#REF!</v>
      </c>
      <c r="S46" s="168" t="str">
        <f t="shared" si="58"/>
        <v>#REF!</v>
      </c>
      <c r="T46" s="168" t="str">
        <f t="shared" si="58"/>
        <v>#REF!</v>
      </c>
      <c r="U46" s="168" t="str">
        <f t="shared" si="58"/>
        <v>#REF!</v>
      </c>
      <c r="V46" s="168" t="str">
        <f t="shared" si="58"/>
        <v>#REF!</v>
      </c>
      <c r="W46" s="168" t="str">
        <f t="shared" si="58"/>
        <v>#REF!</v>
      </c>
      <c r="X46" s="168" t="str">
        <f t="shared" si="58"/>
        <v>#REF!</v>
      </c>
      <c r="Y46" s="168" t="str">
        <f t="shared" si="58"/>
        <v>#REF!</v>
      </c>
      <c r="Z46" s="168" t="str">
        <f t="shared" si="58"/>
        <v>#REF!</v>
      </c>
      <c r="AA46" s="168" t="str">
        <f t="shared" si="58"/>
        <v>#REF!</v>
      </c>
      <c r="AB46" s="168" t="str">
        <f t="shared" si="58"/>
        <v>#REF!</v>
      </c>
      <c r="AC46" s="168" t="str">
        <f t="shared" si="58"/>
        <v>#REF!</v>
      </c>
      <c r="AD46" s="168" t="str">
        <f t="shared" si="58"/>
        <v>#REF!</v>
      </c>
      <c r="AE46" s="168" t="str">
        <f t="shared" si="58"/>
        <v>#REF!</v>
      </c>
      <c r="AF46" s="168" t="str">
        <f t="shared" si="58"/>
        <v>#REF!</v>
      </c>
      <c r="AG46" s="168" t="str">
        <f t="shared" si="58"/>
        <v>#REF!</v>
      </c>
      <c r="AH46" s="168" t="str">
        <f t="shared" si="58"/>
        <v>#REF!</v>
      </c>
      <c r="AI46" s="168" t="str">
        <f t="shared" si="58"/>
        <v>#REF!</v>
      </c>
      <c r="AJ46" s="168" t="str">
        <f t="shared" si="58"/>
        <v>#REF!</v>
      </c>
    </row>
    <row r="47" ht="15.75" hidden="1" customHeight="1">
      <c r="A47" s="168" t="str">
        <f t="shared" ref="A47:AJ47" si="59">#REF!</f>
        <v>#REF!</v>
      </c>
      <c r="B47" s="168" t="str">
        <f t="shared" si="59"/>
        <v>#REF!</v>
      </c>
      <c r="C47" s="168" t="str">
        <f t="shared" si="59"/>
        <v>#REF!</v>
      </c>
      <c r="D47" s="168" t="str">
        <f t="shared" si="59"/>
        <v>#REF!</v>
      </c>
      <c r="E47" s="168" t="str">
        <f t="shared" si="59"/>
        <v>#REF!</v>
      </c>
      <c r="F47" s="168" t="str">
        <f t="shared" si="59"/>
        <v>#REF!</v>
      </c>
      <c r="G47" s="168" t="str">
        <f t="shared" si="59"/>
        <v>#REF!</v>
      </c>
      <c r="H47" s="168" t="str">
        <f t="shared" si="59"/>
        <v>#REF!</v>
      </c>
      <c r="I47" s="168" t="str">
        <f t="shared" si="59"/>
        <v>#REF!</v>
      </c>
      <c r="J47" s="168" t="str">
        <f t="shared" si="59"/>
        <v>#REF!</v>
      </c>
      <c r="K47" s="168" t="str">
        <f t="shared" si="59"/>
        <v>#REF!</v>
      </c>
      <c r="L47" s="168" t="str">
        <f t="shared" si="59"/>
        <v>#REF!</v>
      </c>
      <c r="M47" s="168" t="str">
        <f t="shared" si="59"/>
        <v>#REF!</v>
      </c>
      <c r="N47" s="168" t="str">
        <f t="shared" si="59"/>
        <v>#REF!</v>
      </c>
      <c r="O47" s="168" t="str">
        <f t="shared" si="59"/>
        <v>#REF!</v>
      </c>
      <c r="P47" s="168" t="str">
        <f t="shared" si="59"/>
        <v>#REF!</v>
      </c>
      <c r="Q47" s="168" t="str">
        <f t="shared" si="59"/>
        <v>#REF!</v>
      </c>
      <c r="R47" s="168" t="str">
        <f t="shared" si="59"/>
        <v>#REF!</v>
      </c>
      <c r="S47" s="168" t="str">
        <f t="shared" si="59"/>
        <v>#REF!</v>
      </c>
      <c r="T47" s="168" t="str">
        <f t="shared" si="59"/>
        <v>#REF!</v>
      </c>
      <c r="U47" s="168" t="str">
        <f t="shared" si="59"/>
        <v>#REF!</v>
      </c>
      <c r="V47" s="168" t="str">
        <f t="shared" si="59"/>
        <v>#REF!</v>
      </c>
      <c r="W47" s="168" t="str">
        <f t="shared" si="59"/>
        <v>#REF!</v>
      </c>
      <c r="X47" s="168" t="str">
        <f t="shared" si="59"/>
        <v>#REF!</v>
      </c>
      <c r="Y47" s="168" t="str">
        <f t="shared" si="59"/>
        <v>#REF!</v>
      </c>
      <c r="Z47" s="168" t="str">
        <f t="shared" si="59"/>
        <v>#REF!</v>
      </c>
      <c r="AA47" s="168" t="str">
        <f t="shared" si="59"/>
        <v>#REF!</v>
      </c>
      <c r="AB47" s="168" t="str">
        <f t="shared" si="59"/>
        <v>#REF!</v>
      </c>
      <c r="AC47" s="168" t="str">
        <f t="shared" si="59"/>
        <v>#REF!</v>
      </c>
      <c r="AD47" s="168" t="str">
        <f t="shared" si="59"/>
        <v>#REF!</v>
      </c>
      <c r="AE47" s="168" t="str">
        <f t="shared" si="59"/>
        <v>#REF!</v>
      </c>
      <c r="AF47" s="168" t="str">
        <f t="shared" si="59"/>
        <v>#REF!</v>
      </c>
      <c r="AG47" s="168" t="str">
        <f t="shared" si="59"/>
        <v>#REF!</v>
      </c>
      <c r="AH47" s="168" t="str">
        <f t="shared" si="59"/>
        <v>#REF!</v>
      </c>
      <c r="AI47" s="168" t="str">
        <f t="shared" si="59"/>
        <v>#REF!</v>
      </c>
      <c r="AJ47" s="168" t="str">
        <f t="shared" si="59"/>
        <v>#REF!</v>
      </c>
    </row>
    <row r="48" ht="15.75" hidden="1" customHeight="1">
      <c r="A48" s="168" t="str">
        <f t="shared" ref="A48:AJ48" si="60">#REF!</f>
        <v>#REF!</v>
      </c>
      <c r="B48" s="168" t="str">
        <f t="shared" si="60"/>
        <v>#REF!</v>
      </c>
      <c r="C48" s="168" t="str">
        <f t="shared" si="60"/>
        <v>#REF!</v>
      </c>
      <c r="D48" s="168" t="str">
        <f t="shared" si="60"/>
        <v>#REF!</v>
      </c>
      <c r="E48" s="168" t="str">
        <f t="shared" si="60"/>
        <v>#REF!</v>
      </c>
      <c r="F48" s="168" t="str">
        <f t="shared" si="60"/>
        <v>#REF!</v>
      </c>
      <c r="G48" s="168" t="str">
        <f t="shared" si="60"/>
        <v>#REF!</v>
      </c>
      <c r="H48" s="168" t="str">
        <f t="shared" si="60"/>
        <v>#REF!</v>
      </c>
      <c r="I48" s="168" t="str">
        <f t="shared" si="60"/>
        <v>#REF!</v>
      </c>
      <c r="J48" s="168" t="str">
        <f t="shared" si="60"/>
        <v>#REF!</v>
      </c>
      <c r="K48" s="168" t="str">
        <f t="shared" si="60"/>
        <v>#REF!</v>
      </c>
      <c r="L48" s="168" t="str">
        <f t="shared" si="60"/>
        <v>#REF!</v>
      </c>
      <c r="M48" s="168" t="str">
        <f t="shared" si="60"/>
        <v>#REF!</v>
      </c>
      <c r="N48" s="168" t="str">
        <f t="shared" si="60"/>
        <v>#REF!</v>
      </c>
      <c r="O48" s="168" t="str">
        <f t="shared" si="60"/>
        <v>#REF!</v>
      </c>
      <c r="P48" s="168" t="str">
        <f t="shared" si="60"/>
        <v>#REF!</v>
      </c>
      <c r="Q48" s="168" t="str">
        <f t="shared" si="60"/>
        <v>#REF!</v>
      </c>
      <c r="R48" s="168" t="str">
        <f t="shared" si="60"/>
        <v>#REF!</v>
      </c>
      <c r="S48" s="168" t="str">
        <f t="shared" si="60"/>
        <v>#REF!</v>
      </c>
      <c r="T48" s="168" t="str">
        <f t="shared" si="60"/>
        <v>#REF!</v>
      </c>
      <c r="U48" s="168" t="str">
        <f t="shared" si="60"/>
        <v>#REF!</v>
      </c>
      <c r="V48" s="168" t="str">
        <f t="shared" si="60"/>
        <v>#REF!</v>
      </c>
      <c r="W48" s="168" t="str">
        <f t="shared" si="60"/>
        <v>#REF!</v>
      </c>
      <c r="X48" s="168" t="str">
        <f t="shared" si="60"/>
        <v>#REF!</v>
      </c>
      <c r="Y48" s="168" t="str">
        <f t="shared" si="60"/>
        <v>#REF!</v>
      </c>
      <c r="Z48" s="168" t="str">
        <f t="shared" si="60"/>
        <v>#REF!</v>
      </c>
      <c r="AA48" s="168" t="str">
        <f t="shared" si="60"/>
        <v>#REF!</v>
      </c>
      <c r="AB48" s="168" t="str">
        <f t="shared" si="60"/>
        <v>#REF!</v>
      </c>
      <c r="AC48" s="168" t="str">
        <f t="shared" si="60"/>
        <v>#REF!</v>
      </c>
      <c r="AD48" s="168" t="str">
        <f t="shared" si="60"/>
        <v>#REF!</v>
      </c>
      <c r="AE48" s="168" t="str">
        <f t="shared" si="60"/>
        <v>#REF!</v>
      </c>
      <c r="AF48" s="168" t="str">
        <f t="shared" si="60"/>
        <v>#REF!</v>
      </c>
      <c r="AG48" s="168" t="str">
        <f t="shared" si="60"/>
        <v>#REF!</v>
      </c>
      <c r="AH48" s="168" t="str">
        <f t="shared" si="60"/>
        <v>#REF!</v>
      </c>
      <c r="AI48" s="168" t="str">
        <f t="shared" si="60"/>
        <v>#REF!</v>
      </c>
      <c r="AJ48" s="168" t="str">
        <f t="shared" si="60"/>
        <v>#REF!</v>
      </c>
    </row>
    <row r="49" ht="15.75" hidden="1" customHeight="1">
      <c r="A49" s="168" t="str">
        <f>'2026 Pipeline'!C8</f>
        <v>#REF!</v>
      </c>
      <c r="B49" s="168" t="str">
        <f t="shared" ref="B49:C49" si="61">'2026 Pipeline'!J8</f>
        <v>#REF!</v>
      </c>
      <c r="C49" s="168" t="str">
        <f t="shared" si="61"/>
        <v>#REF!</v>
      </c>
      <c r="D49" s="168" t="str">
        <f t="shared" ref="D49:F49" si="62">'2026 Pipeline'!M8</f>
        <v>#REF!</v>
      </c>
      <c r="E49" s="168" t="str">
        <f t="shared" si="62"/>
        <v>#REF!</v>
      </c>
      <c r="F49" s="168" t="str">
        <f t="shared" si="62"/>
        <v>#REF!</v>
      </c>
      <c r="G49" s="168" t="str">
        <f>'2026 Pipeline'!Q8</f>
        <v>#REF!</v>
      </c>
      <c r="H49" s="168" t="str">
        <f>'2026 Pipeline'!P8</f>
        <v>#REF!</v>
      </c>
      <c r="I49" s="168" t="str">
        <f>'2026 Pipeline'!R8</f>
        <v>#REF!</v>
      </c>
      <c r="J49" s="168" t="str">
        <f t="shared" ref="J49:L49" si="63">'2026 Pipeline'!V8</f>
        <v>#REF!</v>
      </c>
      <c r="K49" s="168" t="str">
        <f t="shared" si="63"/>
        <v>#REF!</v>
      </c>
      <c r="L49" s="168" t="str">
        <f t="shared" si="63"/>
        <v>#REF!</v>
      </c>
      <c r="M49" s="168" t="str">
        <f t="shared" ref="M49:O49" si="64">#REF!</f>
        <v>#REF!</v>
      </c>
      <c r="N49" s="168" t="str">
        <f t="shared" si="64"/>
        <v>#REF!</v>
      </c>
      <c r="O49" s="168" t="str">
        <f t="shared" si="64"/>
        <v>#REF!</v>
      </c>
      <c r="P49" s="168" t="str">
        <f>'2026 Pipeline'!AA8</f>
        <v>#REF!</v>
      </c>
      <c r="Q49" s="168" t="str">
        <f>'2026 Pipeline'!Y8</f>
        <v>#REF!</v>
      </c>
      <c r="R49" s="168" t="str">
        <f>#REF!</f>
        <v>#REF!</v>
      </c>
      <c r="S49" s="168" t="str">
        <f>'2026 Pipeline'!L8</f>
        <v>#REF!</v>
      </c>
      <c r="T49" s="168" t="str">
        <f>'2026 Pipeline'!CD8</f>
        <v>#REF!</v>
      </c>
      <c r="U49" s="168" t="str">
        <f t="shared" ref="U49:AJ49" si="65">#REF!</f>
        <v>#REF!</v>
      </c>
      <c r="V49" s="168" t="str">
        <f t="shared" si="65"/>
        <v>#REF!</v>
      </c>
      <c r="W49" s="168" t="str">
        <f t="shared" si="65"/>
        <v>#REF!</v>
      </c>
      <c r="X49" s="168" t="str">
        <f t="shared" si="65"/>
        <v>#REF!</v>
      </c>
      <c r="Y49" s="168" t="str">
        <f t="shared" si="65"/>
        <v>#REF!</v>
      </c>
      <c r="Z49" s="168" t="str">
        <f t="shared" si="65"/>
        <v>#REF!</v>
      </c>
      <c r="AA49" s="168" t="str">
        <f t="shared" si="65"/>
        <v>#REF!</v>
      </c>
      <c r="AB49" s="168" t="str">
        <f t="shared" si="65"/>
        <v>#REF!</v>
      </c>
      <c r="AC49" s="168" t="str">
        <f t="shared" si="65"/>
        <v>#REF!</v>
      </c>
      <c r="AD49" s="168" t="str">
        <f t="shared" si="65"/>
        <v>#REF!</v>
      </c>
      <c r="AE49" s="168" t="str">
        <f t="shared" si="65"/>
        <v>#REF!</v>
      </c>
      <c r="AF49" s="168" t="str">
        <f t="shared" si="65"/>
        <v>#REF!</v>
      </c>
      <c r="AG49" s="168" t="str">
        <f t="shared" si="65"/>
        <v>#REF!</v>
      </c>
      <c r="AH49" s="168" t="str">
        <f t="shared" si="65"/>
        <v>#REF!</v>
      </c>
      <c r="AI49" s="168" t="str">
        <f t="shared" si="65"/>
        <v>#REF!</v>
      </c>
      <c r="AJ49" s="168" t="str">
        <f t="shared" si="65"/>
        <v>#REF!</v>
      </c>
    </row>
    <row r="50" ht="15.75" hidden="1" customHeight="1">
      <c r="A50" s="168" t="str">
        <f t="shared" ref="A50:AJ50" si="66">#REF!</f>
        <v>#REF!</v>
      </c>
      <c r="B50" s="168" t="str">
        <f t="shared" si="66"/>
        <v>#REF!</v>
      </c>
      <c r="C50" s="168" t="str">
        <f t="shared" si="66"/>
        <v>#REF!</v>
      </c>
      <c r="D50" s="168" t="str">
        <f t="shared" si="66"/>
        <v>#REF!</v>
      </c>
      <c r="E50" s="168" t="str">
        <f t="shared" si="66"/>
        <v>#REF!</v>
      </c>
      <c r="F50" s="168" t="str">
        <f t="shared" si="66"/>
        <v>#REF!</v>
      </c>
      <c r="G50" s="168" t="str">
        <f t="shared" si="66"/>
        <v>#REF!</v>
      </c>
      <c r="H50" s="168" t="str">
        <f t="shared" si="66"/>
        <v>#REF!</v>
      </c>
      <c r="I50" s="168" t="str">
        <f t="shared" si="66"/>
        <v>#REF!</v>
      </c>
      <c r="J50" s="168" t="str">
        <f t="shared" si="66"/>
        <v>#REF!</v>
      </c>
      <c r="K50" s="168" t="str">
        <f t="shared" si="66"/>
        <v>#REF!</v>
      </c>
      <c r="L50" s="168" t="str">
        <f t="shared" si="66"/>
        <v>#REF!</v>
      </c>
      <c r="M50" s="168" t="str">
        <f t="shared" si="66"/>
        <v>#REF!</v>
      </c>
      <c r="N50" s="168" t="str">
        <f t="shared" si="66"/>
        <v>#REF!</v>
      </c>
      <c r="O50" s="168" t="str">
        <f t="shared" si="66"/>
        <v>#REF!</v>
      </c>
      <c r="P50" s="168" t="str">
        <f t="shared" si="66"/>
        <v>#REF!</v>
      </c>
      <c r="Q50" s="168" t="str">
        <f t="shared" si="66"/>
        <v>#REF!</v>
      </c>
      <c r="R50" s="168" t="str">
        <f t="shared" si="66"/>
        <v>#REF!</v>
      </c>
      <c r="S50" s="168" t="str">
        <f t="shared" si="66"/>
        <v>#REF!</v>
      </c>
      <c r="T50" s="168" t="str">
        <f t="shared" si="66"/>
        <v>#REF!</v>
      </c>
      <c r="U50" s="168" t="str">
        <f t="shared" si="66"/>
        <v>#REF!</v>
      </c>
      <c r="V50" s="168" t="str">
        <f t="shared" si="66"/>
        <v>#REF!</v>
      </c>
      <c r="W50" s="168" t="str">
        <f t="shared" si="66"/>
        <v>#REF!</v>
      </c>
      <c r="X50" s="168" t="str">
        <f t="shared" si="66"/>
        <v>#REF!</v>
      </c>
      <c r="Y50" s="168" t="str">
        <f t="shared" si="66"/>
        <v>#REF!</v>
      </c>
      <c r="Z50" s="168" t="str">
        <f t="shared" si="66"/>
        <v>#REF!</v>
      </c>
      <c r="AA50" s="168" t="str">
        <f t="shared" si="66"/>
        <v>#REF!</v>
      </c>
      <c r="AB50" s="168" t="str">
        <f t="shared" si="66"/>
        <v>#REF!</v>
      </c>
      <c r="AC50" s="168" t="str">
        <f t="shared" si="66"/>
        <v>#REF!</v>
      </c>
      <c r="AD50" s="168" t="str">
        <f t="shared" si="66"/>
        <v>#REF!</v>
      </c>
      <c r="AE50" s="168" t="str">
        <f t="shared" si="66"/>
        <v>#REF!</v>
      </c>
      <c r="AF50" s="168" t="str">
        <f t="shared" si="66"/>
        <v>#REF!</v>
      </c>
      <c r="AG50" s="168" t="str">
        <f t="shared" si="66"/>
        <v>#REF!</v>
      </c>
      <c r="AH50" s="168" t="str">
        <f t="shared" si="66"/>
        <v>#REF!</v>
      </c>
      <c r="AI50" s="168" t="str">
        <f t="shared" si="66"/>
        <v>#REF!</v>
      </c>
      <c r="AJ50" s="168" t="str">
        <f t="shared" si="66"/>
        <v>#REF!</v>
      </c>
    </row>
    <row r="51" ht="15.75" hidden="1" customHeight="1">
      <c r="A51" s="168" t="str">
        <f t="shared" ref="A51:T51" si="67">#REF!</f>
        <v>#REF!</v>
      </c>
      <c r="B51" s="168" t="str">
        <f t="shared" si="67"/>
        <v>#REF!</v>
      </c>
      <c r="C51" s="168" t="str">
        <f t="shared" si="67"/>
        <v>#REF!</v>
      </c>
      <c r="D51" s="168" t="str">
        <f t="shared" si="67"/>
        <v>#REF!</v>
      </c>
      <c r="E51" s="168" t="str">
        <f t="shared" si="67"/>
        <v>#REF!</v>
      </c>
      <c r="F51" s="168" t="str">
        <f t="shared" si="67"/>
        <v>#REF!</v>
      </c>
      <c r="G51" s="168" t="str">
        <f t="shared" si="67"/>
        <v>#REF!</v>
      </c>
      <c r="H51" s="168" t="str">
        <f t="shared" si="67"/>
        <v>#REF!</v>
      </c>
      <c r="I51" s="168" t="str">
        <f t="shared" si="67"/>
        <v>#REF!</v>
      </c>
      <c r="J51" s="168" t="str">
        <f t="shared" si="67"/>
        <v>#REF!</v>
      </c>
      <c r="K51" s="168" t="str">
        <f t="shared" si="67"/>
        <v>#REF!</v>
      </c>
      <c r="L51" s="168" t="str">
        <f t="shared" si="67"/>
        <v>#REF!</v>
      </c>
      <c r="M51" s="168" t="str">
        <f t="shared" si="67"/>
        <v>#REF!</v>
      </c>
      <c r="N51" s="168" t="str">
        <f t="shared" si="67"/>
        <v>#REF!</v>
      </c>
      <c r="O51" s="168" t="str">
        <f t="shared" si="67"/>
        <v>#REF!</v>
      </c>
      <c r="P51" s="168" t="str">
        <f t="shared" si="67"/>
        <v>#REF!</v>
      </c>
      <c r="Q51" s="168" t="str">
        <f t="shared" si="67"/>
        <v>#REF!</v>
      </c>
      <c r="R51" s="168" t="str">
        <f t="shared" si="67"/>
        <v>#REF!</v>
      </c>
      <c r="S51" s="168" t="str">
        <f t="shared" si="67"/>
        <v>#REF!</v>
      </c>
      <c r="T51" s="168" t="str">
        <f t="shared" si="67"/>
        <v>#REF!</v>
      </c>
      <c r="U51" s="168" t="str">
        <f>'2026 Pipeline'!AP8</f>
        <v>#REF!</v>
      </c>
      <c r="V51" s="168" t="str">
        <f t="shared" ref="V51:Z51" si="68">'2026 Pipeline'!CJ8</f>
        <v>#REF!</v>
      </c>
      <c r="W51" s="168" t="str">
        <f t="shared" si="68"/>
        <v>#REF!</v>
      </c>
      <c r="X51" s="168" t="str">
        <f t="shared" si="68"/>
        <v>#REF!</v>
      </c>
      <c r="Y51" s="168" t="str">
        <f t="shared" si="68"/>
        <v>#REF!</v>
      </c>
      <c r="Z51" s="168" t="str">
        <f t="shared" si="68"/>
        <v>#REF!</v>
      </c>
      <c r="AA51" s="168" t="str">
        <f t="shared" ref="AA51:AF51" si="69">#REF!</f>
        <v>#REF!</v>
      </c>
      <c r="AB51" s="168" t="str">
        <f t="shared" si="69"/>
        <v>#REF!</v>
      </c>
      <c r="AC51" s="168" t="str">
        <f t="shared" si="69"/>
        <v>#REF!</v>
      </c>
      <c r="AD51" s="168" t="str">
        <f t="shared" si="69"/>
        <v>#REF!</v>
      </c>
      <c r="AE51" s="168" t="str">
        <f t="shared" si="69"/>
        <v>#REF!</v>
      </c>
      <c r="AF51" s="168" t="str">
        <f t="shared" si="69"/>
        <v>#REF!</v>
      </c>
      <c r="AG51" s="168" t="str">
        <f>'2026 Pipeline'!CT8</f>
        <v>#REF!</v>
      </c>
      <c r="AH51" s="168" t="str">
        <f>'2026 Pipeline'!S8</f>
        <v>#REF!</v>
      </c>
      <c r="AI51" s="168" t="str">
        <f t="shared" ref="AI51:AJ51" si="70">#REF!</f>
        <v>#REF!</v>
      </c>
      <c r="AJ51" s="168" t="str">
        <f t="shared" si="70"/>
        <v>#REF!</v>
      </c>
    </row>
    <row r="52" ht="15.75" hidden="1" customHeight="1">
      <c r="A52" s="168" t="str">
        <f t="shared" ref="A52:AJ52" si="71">#REF!</f>
        <v>#REF!</v>
      </c>
      <c r="B52" s="168" t="str">
        <f t="shared" si="71"/>
        <v>#REF!</v>
      </c>
      <c r="C52" s="168" t="str">
        <f t="shared" si="71"/>
        <v>#REF!</v>
      </c>
      <c r="D52" s="168" t="str">
        <f t="shared" si="71"/>
        <v>#REF!</v>
      </c>
      <c r="E52" s="168" t="str">
        <f t="shared" si="71"/>
        <v>#REF!</v>
      </c>
      <c r="F52" s="168" t="str">
        <f t="shared" si="71"/>
        <v>#REF!</v>
      </c>
      <c r="G52" s="168" t="str">
        <f t="shared" si="71"/>
        <v>#REF!</v>
      </c>
      <c r="H52" s="168" t="str">
        <f t="shared" si="71"/>
        <v>#REF!</v>
      </c>
      <c r="I52" s="168" t="str">
        <f t="shared" si="71"/>
        <v>#REF!</v>
      </c>
      <c r="J52" s="168" t="str">
        <f t="shared" si="71"/>
        <v>#REF!</v>
      </c>
      <c r="K52" s="168" t="str">
        <f t="shared" si="71"/>
        <v>#REF!</v>
      </c>
      <c r="L52" s="168" t="str">
        <f t="shared" si="71"/>
        <v>#REF!</v>
      </c>
      <c r="M52" s="168" t="str">
        <f t="shared" si="71"/>
        <v>#REF!</v>
      </c>
      <c r="N52" s="168" t="str">
        <f t="shared" si="71"/>
        <v>#REF!</v>
      </c>
      <c r="O52" s="168" t="str">
        <f t="shared" si="71"/>
        <v>#REF!</v>
      </c>
      <c r="P52" s="168" t="str">
        <f t="shared" si="71"/>
        <v>#REF!</v>
      </c>
      <c r="Q52" s="168" t="str">
        <f t="shared" si="71"/>
        <v>#REF!</v>
      </c>
      <c r="R52" s="168" t="str">
        <f t="shared" si="71"/>
        <v>#REF!</v>
      </c>
      <c r="S52" s="168" t="str">
        <f t="shared" si="71"/>
        <v>#REF!</v>
      </c>
      <c r="T52" s="168" t="str">
        <f t="shared" si="71"/>
        <v>#REF!</v>
      </c>
      <c r="U52" s="168" t="str">
        <f t="shared" si="71"/>
        <v>#REF!</v>
      </c>
      <c r="V52" s="168" t="str">
        <f t="shared" si="71"/>
        <v>#REF!</v>
      </c>
      <c r="W52" s="168" t="str">
        <f t="shared" si="71"/>
        <v>#REF!</v>
      </c>
      <c r="X52" s="168" t="str">
        <f t="shared" si="71"/>
        <v>#REF!</v>
      </c>
      <c r="Y52" s="168" t="str">
        <f t="shared" si="71"/>
        <v>#REF!</v>
      </c>
      <c r="Z52" s="168" t="str">
        <f t="shared" si="71"/>
        <v>#REF!</v>
      </c>
      <c r="AA52" s="168" t="str">
        <f t="shared" si="71"/>
        <v>#REF!</v>
      </c>
      <c r="AB52" s="168" t="str">
        <f t="shared" si="71"/>
        <v>#REF!</v>
      </c>
      <c r="AC52" s="168" t="str">
        <f t="shared" si="71"/>
        <v>#REF!</v>
      </c>
      <c r="AD52" s="168" t="str">
        <f t="shared" si="71"/>
        <v>#REF!</v>
      </c>
      <c r="AE52" s="168" t="str">
        <f t="shared" si="71"/>
        <v>#REF!</v>
      </c>
      <c r="AF52" s="168" t="str">
        <f t="shared" si="71"/>
        <v>#REF!</v>
      </c>
      <c r="AG52" s="168" t="str">
        <f t="shared" si="71"/>
        <v>#REF!</v>
      </c>
      <c r="AH52" s="168" t="str">
        <f t="shared" si="71"/>
        <v>#REF!</v>
      </c>
      <c r="AI52" s="168" t="str">
        <f t="shared" si="71"/>
        <v>#REF!</v>
      </c>
      <c r="AJ52" s="168" t="str">
        <f t="shared" si="71"/>
        <v>#REF!</v>
      </c>
    </row>
    <row r="53" ht="15.75" hidden="1" customHeight="1">
      <c r="A53" s="168" t="str">
        <f t="shared" ref="A53:AJ53" si="72">#REF!</f>
        <v>#REF!</v>
      </c>
      <c r="B53" s="168" t="str">
        <f t="shared" si="72"/>
        <v>#REF!</v>
      </c>
      <c r="C53" s="168" t="str">
        <f t="shared" si="72"/>
        <v>#REF!</v>
      </c>
      <c r="D53" s="168" t="str">
        <f t="shared" si="72"/>
        <v>#REF!</v>
      </c>
      <c r="E53" s="168" t="str">
        <f t="shared" si="72"/>
        <v>#REF!</v>
      </c>
      <c r="F53" s="168" t="str">
        <f t="shared" si="72"/>
        <v>#REF!</v>
      </c>
      <c r="G53" s="168" t="str">
        <f t="shared" si="72"/>
        <v>#REF!</v>
      </c>
      <c r="H53" s="168" t="str">
        <f t="shared" si="72"/>
        <v>#REF!</v>
      </c>
      <c r="I53" s="168" t="str">
        <f t="shared" si="72"/>
        <v>#REF!</v>
      </c>
      <c r="J53" s="168" t="str">
        <f t="shared" si="72"/>
        <v>#REF!</v>
      </c>
      <c r="K53" s="168" t="str">
        <f t="shared" si="72"/>
        <v>#REF!</v>
      </c>
      <c r="L53" s="168" t="str">
        <f t="shared" si="72"/>
        <v>#REF!</v>
      </c>
      <c r="M53" s="168" t="str">
        <f t="shared" si="72"/>
        <v>#REF!</v>
      </c>
      <c r="N53" s="168" t="str">
        <f t="shared" si="72"/>
        <v>#REF!</v>
      </c>
      <c r="O53" s="168" t="str">
        <f t="shared" si="72"/>
        <v>#REF!</v>
      </c>
      <c r="P53" s="168" t="str">
        <f t="shared" si="72"/>
        <v>#REF!</v>
      </c>
      <c r="Q53" s="168" t="str">
        <f t="shared" si="72"/>
        <v>#REF!</v>
      </c>
      <c r="R53" s="168" t="str">
        <f t="shared" si="72"/>
        <v>#REF!</v>
      </c>
      <c r="S53" s="168" t="str">
        <f t="shared" si="72"/>
        <v>#REF!</v>
      </c>
      <c r="T53" s="168" t="str">
        <f t="shared" si="72"/>
        <v>#REF!</v>
      </c>
      <c r="U53" s="168" t="str">
        <f t="shared" si="72"/>
        <v>#REF!</v>
      </c>
      <c r="V53" s="168" t="str">
        <f t="shared" si="72"/>
        <v>#REF!</v>
      </c>
      <c r="W53" s="168" t="str">
        <f t="shared" si="72"/>
        <v>#REF!</v>
      </c>
      <c r="X53" s="168" t="str">
        <f t="shared" si="72"/>
        <v>#REF!</v>
      </c>
      <c r="Y53" s="168" t="str">
        <f t="shared" si="72"/>
        <v>#REF!</v>
      </c>
      <c r="Z53" s="168" t="str">
        <f t="shared" si="72"/>
        <v>#REF!</v>
      </c>
      <c r="AA53" s="168" t="str">
        <f t="shared" si="72"/>
        <v>#REF!</v>
      </c>
      <c r="AB53" s="168" t="str">
        <f t="shared" si="72"/>
        <v>#REF!</v>
      </c>
      <c r="AC53" s="168" t="str">
        <f t="shared" si="72"/>
        <v>#REF!</v>
      </c>
      <c r="AD53" s="168" t="str">
        <f t="shared" si="72"/>
        <v>#REF!</v>
      </c>
      <c r="AE53" s="168" t="str">
        <f t="shared" si="72"/>
        <v>#REF!</v>
      </c>
      <c r="AF53" s="168" t="str">
        <f t="shared" si="72"/>
        <v>#REF!</v>
      </c>
      <c r="AG53" s="168" t="str">
        <f t="shared" si="72"/>
        <v>#REF!</v>
      </c>
      <c r="AH53" s="168" t="str">
        <f t="shared" si="72"/>
        <v>#REF!</v>
      </c>
      <c r="AI53" s="168" t="str">
        <f t="shared" si="72"/>
        <v>#REF!</v>
      </c>
      <c r="AJ53" s="168" t="str">
        <f t="shared" si="72"/>
        <v>#REF!</v>
      </c>
    </row>
    <row r="54" ht="17.25" hidden="1" customHeight="1">
      <c r="A54" s="168" t="str">
        <f t="shared" ref="A54:AJ54" si="73">#REF!</f>
        <v>#REF!</v>
      </c>
      <c r="B54" s="168" t="str">
        <f t="shared" si="73"/>
        <v>#REF!</v>
      </c>
      <c r="C54" s="168" t="str">
        <f t="shared" si="73"/>
        <v>#REF!</v>
      </c>
      <c r="D54" s="168" t="str">
        <f t="shared" si="73"/>
        <v>#REF!</v>
      </c>
      <c r="E54" s="168" t="str">
        <f t="shared" si="73"/>
        <v>#REF!</v>
      </c>
      <c r="F54" s="168" t="str">
        <f t="shared" si="73"/>
        <v>#REF!</v>
      </c>
      <c r="G54" s="168" t="str">
        <f t="shared" si="73"/>
        <v>#REF!</v>
      </c>
      <c r="H54" s="168" t="str">
        <f t="shared" si="73"/>
        <v>#REF!</v>
      </c>
      <c r="I54" s="168" t="str">
        <f t="shared" si="73"/>
        <v>#REF!</v>
      </c>
      <c r="J54" s="168" t="str">
        <f t="shared" si="73"/>
        <v>#REF!</v>
      </c>
      <c r="K54" s="168" t="str">
        <f t="shared" si="73"/>
        <v>#REF!</v>
      </c>
      <c r="L54" s="168" t="str">
        <f t="shared" si="73"/>
        <v>#REF!</v>
      </c>
      <c r="M54" s="168" t="str">
        <f t="shared" si="73"/>
        <v>#REF!</v>
      </c>
      <c r="N54" s="168" t="str">
        <f t="shared" si="73"/>
        <v>#REF!</v>
      </c>
      <c r="O54" s="168" t="str">
        <f t="shared" si="73"/>
        <v>#REF!</v>
      </c>
      <c r="P54" s="168" t="str">
        <f t="shared" si="73"/>
        <v>#REF!</v>
      </c>
      <c r="Q54" s="168" t="str">
        <f t="shared" si="73"/>
        <v>#REF!</v>
      </c>
      <c r="R54" s="168" t="str">
        <f t="shared" si="73"/>
        <v>#REF!</v>
      </c>
      <c r="S54" s="168" t="str">
        <f t="shared" si="73"/>
        <v>#REF!</v>
      </c>
      <c r="T54" s="168" t="str">
        <f t="shared" si="73"/>
        <v>#REF!</v>
      </c>
      <c r="U54" s="168" t="str">
        <f t="shared" si="73"/>
        <v>#REF!</v>
      </c>
      <c r="V54" s="168" t="str">
        <f t="shared" si="73"/>
        <v>#REF!</v>
      </c>
      <c r="W54" s="168" t="str">
        <f t="shared" si="73"/>
        <v>#REF!</v>
      </c>
      <c r="X54" s="168" t="str">
        <f t="shared" si="73"/>
        <v>#REF!</v>
      </c>
      <c r="Y54" s="168" t="str">
        <f t="shared" si="73"/>
        <v>#REF!</v>
      </c>
      <c r="Z54" s="168" t="str">
        <f t="shared" si="73"/>
        <v>#REF!</v>
      </c>
      <c r="AA54" s="168" t="str">
        <f t="shared" si="73"/>
        <v>#REF!</v>
      </c>
      <c r="AB54" s="168" t="str">
        <f t="shared" si="73"/>
        <v>#REF!</v>
      </c>
      <c r="AC54" s="168" t="str">
        <f t="shared" si="73"/>
        <v>#REF!</v>
      </c>
      <c r="AD54" s="168" t="str">
        <f t="shared" si="73"/>
        <v>#REF!</v>
      </c>
      <c r="AE54" s="168" t="str">
        <f t="shared" si="73"/>
        <v>#REF!</v>
      </c>
      <c r="AF54" s="168" t="str">
        <f t="shared" si="73"/>
        <v>#REF!</v>
      </c>
      <c r="AG54" s="168" t="str">
        <f t="shared" si="73"/>
        <v>#REF!</v>
      </c>
      <c r="AH54" s="168" t="str">
        <f t="shared" si="73"/>
        <v>#REF!</v>
      </c>
      <c r="AI54" s="168" t="str">
        <f t="shared" si="73"/>
        <v>#REF!</v>
      </c>
      <c r="AJ54" s="168" t="str">
        <f t="shared" si="73"/>
        <v>#REF!</v>
      </c>
    </row>
    <row r="55" ht="15.75" hidden="1" customHeight="1">
      <c r="A55" s="168" t="str">
        <f t="shared" ref="A55:A56" si="79">'2026 Pipeline'!C9</f>
        <v>#REF!</v>
      </c>
      <c r="B55" s="168" t="str">
        <f t="shared" ref="B55:C55" si="74">'2026 Pipeline'!J9</f>
        <v>#REF!</v>
      </c>
      <c r="C55" s="168" t="str">
        <f t="shared" si="74"/>
        <v>#REF!</v>
      </c>
      <c r="D55" s="168" t="str">
        <f t="shared" ref="D55:F55" si="75">'2026 Pipeline'!M9</f>
        <v>#REF!</v>
      </c>
      <c r="E55" s="168" t="str">
        <f t="shared" si="75"/>
        <v>#REF!</v>
      </c>
      <c r="F55" s="168" t="str">
        <f t="shared" si="75"/>
        <v>#REF!</v>
      </c>
      <c r="G55" s="168" t="str">
        <f t="shared" ref="G55:G56" si="82">'2026 Pipeline'!Q9</f>
        <v>#REF!</v>
      </c>
      <c r="H55" s="168" t="str">
        <f t="shared" ref="H55:H56" si="83">'2026 Pipeline'!P9</f>
        <v>#REF!</v>
      </c>
      <c r="I55" s="168" t="str">
        <f t="shared" ref="I55:I56" si="84">'2026 Pipeline'!R9</f>
        <v>#REF!</v>
      </c>
      <c r="J55" s="168" t="str">
        <f t="shared" ref="J55:L55" si="76">'2026 Pipeline'!V9</f>
        <v>#REF!</v>
      </c>
      <c r="K55" s="168" t="str">
        <f t="shared" si="76"/>
        <v>#REF!</v>
      </c>
      <c r="L55" s="168" t="str">
        <f t="shared" si="76"/>
        <v>#REF!</v>
      </c>
      <c r="M55" s="168" t="str">
        <f t="shared" ref="M55:O55" si="77">#REF!</f>
        <v>#REF!</v>
      </c>
      <c r="N55" s="168" t="str">
        <f t="shared" si="77"/>
        <v>#REF!</v>
      </c>
      <c r="O55" s="168" t="str">
        <f t="shared" si="77"/>
        <v>#REF!</v>
      </c>
      <c r="P55" s="168" t="str">
        <f t="shared" ref="P55:P56" si="87">'2026 Pipeline'!AA9</f>
        <v>#REF!</v>
      </c>
      <c r="Q55" s="168" t="str">
        <f t="shared" ref="Q55:Q56" si="88">'2026 Pipeline'!Y9</f>
        <v>#REF!</v>
      </c>
      <c r="R55" s="168" t="str">
        <f t="shared" ref="R55:R56" si="89">#REF!</f>
        <v>#REF!</v>
      </c>
      <c r="S55" s="168" t="str">
        <f t="shared" ref="S55:S56" si="90">'2026 Pipeline'!L9</f>
        <v>#REF!</v>
      </c>
      <c r="T55" s="168" t="str">
        <f t="shared" ref="T55:T56" si="91">'2026 Pipeline'!CD9</f>
        <v>#REF!</v>
      </c>
      <c r="U55" s="168" t="str">
        <f t="shared" ref="U55:AJ55" si="78">#REF!</f>
        <v>#REF!</v>
      </c>
      <c r="V55" s="168" t="str">
        <f t="shared" si="78"/>
        <v>#REF!</v>
      </c>
      <c r="W55" s="168" t="str">
        <f t="shared" si="78"/>
        <v>#REF!</v>
      </c>
      <c r="X55" s="168" t="str">
        <f t="shared" si="78"/>
        <v>#REF!</v>
      </c>
      <c r="Y55" s="168" t="str">
        <f t="shared" si="78"/>
        <v>#REF!</v>
      </c>
      <c r="Z55" s="168" t="str">
        <f t="shared" si="78"/>
        <v>#REF!</v>
      </c>
      <c r="AA55" s="168" t="str">
        <f t="shared" si="78"/>
        <v>#REF!</v>
      </c>
      <c r="AB55" s="168" t="str">
        <f t="shared" si="78"/>
        <v>#REF!</v>
      </c>
      <c r="AC55" s="168" t="str">
        <f t="shared" si="78"/>
        <v>#REF!</v>
      </c>
      <c r="AD55" s="168" t="str">
        <f t="shared" si="78"/>
        <v>#REF!</v>
      </c>
      <c r="AE55" s="168" t="str">
        <f t="shared" si="78"/>
        <v>#REF!</v>
      </c>
      <c r="AF55" s="168" t="str">
        <f t="shared" si="78"/>
        <v>#REF!</v>
      </c>
      <c r="AG55" s="168" t="str">
        <f t="shared" si="78"/>
        <v>#REF!</v>
      </c>
      <c r="AH55" s="168" t="str">
        <f t="shared" si="78"/>
        <v>#REF!</v>
      </c>
      <c r="AI55" s="168" t="str">
        <f t="shared" si="78"/>
        <v>#REF!</v>
      </c>
      <c r="AJ55" s="168" t="str">
        <f t="shared" si="78"/>
        <v>#REF!</v>
      </c>
    </row>
    <row r="56" ht="15.75" hidden="1" customHeight="1">
      <c r="A56" s="168" t="str">
        <f t="shared" si="79"/>
        <v>#REF!</v>
      </c>
      <c r="B56" s="168" t="str">
        <f t="shared" ref="B56:C56" si="80">'2026 Pipeline'!J10</f>
        <v>#REF!</v>
      </c>
      <c r="C56" s="168" t="str">
        <f t="shared" si="80"/>
        <v>#REF!</v>
      </c>
      <c r="D56" s="168" t="str">
        <f t="shared" ref="D56:F56" si="81">'2026 Pipeline'!M10</f>
        <v>#REF!</v>
      </c>
      <c r="E56" s="168" t="str">
        <f t="shared" si="81"/>
        <v>#REF!</v>
      </c>
      <c r="F56" s="168" t="str">
        <f t="shared" si="81"/>
        <v>#REF!</v>
      </c>
      <c r="G56" s="168" t="str">
        <f t="shared" si="82"/>
        <v>#REF!</v>
      </c>
      <c r="H56" s="168" t="str">
        <f t="shared" si="83"/>
        <v>#REF!</v>
      </c>
      <c r="I56" s="168" t="str">
        <f t="shared" si="84"/>
        <v>#REF!</v>
      </c>
      <c r="J56" s="168" t="str">
        <f t="shared" ref="J56:L56" si="85">'2026 Pipeline'!V10</f>
        <v>#REF!</v>
      </c>
      <c r="K56" s="168" t="str">
        <f t="shared" si="85"/>
        <v>#REF!</v>
      </c>
      <c r="L56" s="168" t="str">
        <f t="shared" si="85"/>
        <v>#REF!</v>
      </c>
      <c r="M56" s="168" t="str">
        <f t="shared" ref="M56:O56" si="86">#REF!</f>
        <v>#REF!</v>
      </c>
      <c r="N56" s="168" t="str">
        <f t="shared" si="86"/>
        <v>#REF!</v>
      </c>
      <c r="O56" s="168" t="str">
        <f t="shared" si="86"/>
        <v>#REF!</v>
      </c>
      <c r="P56" s="168" t="str">
        <f t="shared" si="87"/>
        <v>#REF!</v>
      </c>
      <c r="Q56" s="168" t="str">
        <f t="shared" si="88"/>
        <v>#REF!</v>
      </c>
      <c r="R56" s="168" t="str">
        <f t="shared" si="89"/>
        <v>#REF!</v>
      </c>
      <c r="S56" s="168" t="str">
        <f t="shared" si="90"/>
        <v>#REF!</v>
      </c>
      <c r="T56" s="168" t="str">
        <f t="shared" si="91"/>
        <v>#REF!</v>
      </c>
      <c r="U56" s="168" t="str">
        <f t="shared" ref="U56:AJ56" si="92">#REF!</f>
        <v>#REF!</v>
      </c>
      <c r="V56" s="168" t="str">
        <f t="shared" si="92"/>
        <v>#REF!</v>
      </c>
      <c r="W56" s="168" t="str">
        <f t="shared" si="92"/>
        <v>#REF!</v>
      </c>
      <c r="X56" s="168" t="str">
        <f t="shared" si="92"/>
        <v>#REF!</v>
      </c>
      <c r="Y56" s="168" t="str">
        <f t="shared" si="92"/>
        <v>#REF!</v>
      </c>
      <c r="Z56" s="168" t="str">
        <f t="shared" si="92"/>
        <v>#REF!</v>
      </c>
      <c r="AA56" s="168" t="str">
        <f t="shared" si="92"/>
        <v>#REF!</v>
      </c>
      <c r="AB56" s="168" t="str">
        <f t="shared" si="92"/>
        <v>#REF!</v>
      </c>
      <c r="AC56" s="168" t="str">
        <f t="shared" si="92"/>
        <v>#REF!</v>
      </c>
      <c r="AD56" s="168" t="str">
        <f t="shared" si="92"/>
        <v>#REF!</v>
      </c>
      <c r="AE56" s="168" t="str">
        <f t="shared" si="92"/>
        <v>#REF!</v>
      </c>
      <c r="AF56" s="168" t="str">
        <f t="shared" si="92"/>
        <v>#REF!</v>
      </c>
      <c r="AG56" s="168" t="str">
        <f t="shared" si="92"/>
        <v>#REF!</v>
      </c>
      <c r="AH56" s="168" t="str">
        <f t="shared" si="92"/>
        <v>#REF!</v>
      </c>
      <c r="AI56" s="168" t="str">
        <f t="shared" si="92"/>
        <v>#REF!</v>
      </c>
      <c r="AJ56" s="168" t="str">
        <f t="shared" si="92"/>
        <v>#REF!</v>
      </c>
    </row>
    <row r="57" ht="15.75" hidden="1" customHeight="1">
      <c r="A57" s="168" t="str">
        <f t="shared" ref="A57:T57" si="93">#REF!</f>
        <v>#REF!</v>
      </c>
      <c r="B57" s="168" t="str">
        <f t="shared" si="93"/>
        <v>#REF!</v>
      </c>
      <c r="C57" s="168" t="str">
        <f t="shared" si="93"/>
        <v>#REF!</v>
      </c>
      <c r="D57" s="168" t="str">
        <f t="shared" si="93"/>
        <v>#REF!</v>
      </c>
      <c r="E57" s="168" t="str">
        <f t="shared" si="93"/>
        <v>#REF!</v>
      </c>
      <c r="F57" s="168" t="str">
        <f t="shared" si="93"/>
        <v>#REF!</v>
      </c>
      <c r="G57" s="168" t="str">
        <f t="shared" si="93"/>
        <v>#REF!</v>
      </c>
      <c r="H57" s="168" t="str">
        <f t="shared" si="93"/>
        <v>#REF!</v>
      </c>
      <c r="I57" s="168" t="str">
        <f t="shared" si="93"/>
        <v>#REF!</v>
      </c>
      <c r="J57" s="168" t="str">
        <f t="shared" si="93"/>
        <v>#REF!</v>
      </c>
      <c r="K57" s="168" t="str">
        <f t="shared" si="93"/>
        <v>#REF!</v>
      </c>
      <c r="L57" s="168" t="str">
        <f t="shared" si="93"/>
        <v>#REF!</v>
      </c>
      <c r="M57" s="168" t="str">
        <f t="shared" si="93"/>
        <v>#REF!</v>
      </c>
      <c r="N57" s="168" t="str">
        <f t="shared" si="93"/>
        <v>#REF!</v>
      </c>
      <c r="O57" s="168" t="str">
        <f t="shared" si="93"/>
        <v>#REF!</v>
      </c>
      <c r="P57" s="168" t="str">
        <f t="shared" si="93"/>
        <v>#REF!</v>
      </c>
      <c r="Q57" s="168" t="str">
        <f t="shared" si="93"/>
        <v>#REF!</v>
      </c>
      <c r="R57" s="168" t="str">
        <f t="shared" si="93"/>
        <v>#REF!</v>
      </c>
      <c r="S57" s="168" t="str">
        <f t="shared" si="93"/>
        <v>#REF!</v>
      </c>
      <c r="T57" s="168" t="str">
        <f t="shared" si="93"/>
        <v>#REF!</v>
      </c>
      <c r="U57" s="168" t="str">
        <f t="shared" ref="U57:U58" si="98">'2026 Pipeline'!AP9</f>
        <v>#REF!</v>
      </c>
      <c r="V57" s="168" t="str">
        <f t="shared" ref="V57:Z57" si="94">'2026 Pipeline'!CJ9</f>
        <v>#REF!</v>
      </c>
      <c r="W57" s="168" t="str">
        <f t="shared" si="94"/>
        <v>#REF!</v>
      </c>
      <c r="X57" s="168" t="str">
        <f t="shared" si="94"/>
        <v>#REF!</v>
      </c>
      <c r="Y57" s="168" t="str">
        <f t="shared" si="94"/>
        <v>#REF!</v>
      </c>
      <c r="Z57" s="168" t="str">
        <f t="shared" si="94"/>
        <v>#REF!</v>
      </c>
      <c r="AA57" s="168" t="str">
        <f t="shared" ref="AA57:AF57" si="95">#REF!</f>
        <v>#REF!</v>
      </c>
      <c r="AB57" s="168" t="str">
        <f t="shared" si="95"/>
        <v>#REF!</v>
      </c>
      <c r="AC57" s="168" t="str">
        <f t="shared" si="95"/>
        <v>#REF!</v>
      </c>
      <c r="AD57" s="168" t="str">
        <f t="shared" si="95"/>
        <v>#REF!</v>
      </c>
      <c r="AE57" s="168" t="str">
        <f t="shared" si="95"/>
        <v>#REF!</v>
      </c>
      <c r="AF57" s="168" t="str">
        <f t="shared" si="95"/>
        <v>#REF!</v>
      </c>
      <c r="AG57" s="168" t="str">
        <f t="shared" ref="AG57:AG58" si="101">'2026 Pipeline'!CT9</f>
        <v>#REF!</v>
      </c>
      <c r="AH57" s="168" t="str">
        <f t="shared" ref="AH57:AH58" si="102">'2026 Pipeline'!S9</f>
        <v>#REF!</v>
      </c>
      <c r="AI57" s="168" t="str">
        <f t="shared" ref="AI57:AJ57" si="96">#REF!</f>
        <v>#REF!</v>
      </c>
      <c r="AJ57" s="168" t="str">
        <f t="shared" si="96"/>
        <v>#REF!</v>
      </c>
    </row>
    <row r="58" ht="15.75" hidden="1" customHeight="1">
      <c r="A58" s="168" t="str">
        <f t="shared" ref="A58:T58" si="97">#REF!</f>
        <v>#REF!</v>
      </c>
      <c r="B58" s="168" t="str">
        <f t="shared" si="97"/>
        <v>#REF!</v>
      </c>
      <c r="C58" s="168" t="str">
        <f t="shared" si="97"/>
        <v>#REF!</v>
      </c>
      <c r="D58" s="168" t="str">
        <f t="shared" si="97"/>
        <v>#REF!</v>
      </c>
      <c r="E58" s="168" t="str">
        <f t="shared" si="97"/>
        <v>#REF!</v>
      </c>
      <c r="F58" s="168" t="str">
        <f t="shared" si="97"/>
        <v>#REF!</v>
      </c>
      <c r="G58" s="168" t="str">
        <f t="shared" si="97"/>
        <v>#REF!</v>
      </c>
      <c r="H58" s="168" t="str">
        <f t="shared" si="97"/>
        <v>#REF!</v>
      </c>
      <c r="I58" s="168" t="str">
        <f t="shared" si="97"/>
        <v>#REF!</v>
      </c>
      <c r="J58" s="168" t="str">
        <f t="shared" si="97"/>
        <v>#REF!</v>
      </c>
      <c r="K58" s="168" t="str">
        <f t="shared" si="97"/>
        <v>#REF!</v>
      </c>
      <c r="L58" s="168" t="str">
        <f t="shared" si="97"/>
        <v>#REF!</v>
      </c>
      <c r="M58" s="168" t="str">
        <f t="shared" si="97"/>
        <v>#REF!</v>
      </c>
      <c r="N58" s="168" t="str">
        <f t="shared" si="97"/>
        <v>#REF!</v>
      </c>
      <c r="O58" s="168" t="str">
        <f t="shared" si="97"/>
        <v>#REF!</v>
      </c>
      <c r="P58" s="168" t="str">
        <f t="shared" si="97"/>
        <v>#REF!</v>
      </c>
      <c r="Q58" s="168" t="str">
        <f t="shared" si="97"/>
        <v>#REF!</v>
      </c>
      <c r="R58" s="168" t="str">
        <f t="shared" si="97"/>
        <v>#REF!</v>
      </c>
      <c r="S58" s="168" t="str">
        <f t="shared" si="97"/>
        <v>#REF!</v>
      </c>
      <c r="T58" s="168" t="str">
        <f t="shared" si="97"/>
        <v>#REF!</v>
      </c>
      <c r="U58" s="168" t="str">
        <f t="shared" si="98"/>
        <v>#REF!</v>
      </c>
      <c r="V58" s="168" t="str">
        <f t="shared" ref="V58:Z58" si="99">'2026 Pipeline'!CJ10</f>
        <v>#REF!</v>
      </c>
      <c r="W58" s="168" t="str">
        <f t="shared" si="99"/>
        <v>#REF!</v>
      </c>
      <c r="X58" s="168" t="str">
        <f t="shared" si="99"/>
        <v>#REF!</v>
      </c>
      <c r="Y58" s="168" t="str">
        <f t="shared" si="99"/>
        <v>#REF!</v>
      </c>
      <c r="Z58" s="168" t="str">
        <f t="shared" si="99"/>
        <v>#REF!</v>
      </c>
      <c r="AA58" s="168" t="str">
        <f t="shared" ref="AA58:AF58" si="100">#REF!</f>
        <v>#REF!</v>
      </c>
      <c r="AB58" s="168" t="str">
        <f t="shared" si="100"/>
        <v>#REF!</v>
      </c>
      <c r="AC58" s="168" t="str">
        <f t="shared" si="100"/>
        <v>#REF!</v>
      </c>
      <c r="AD58" s="168" t="str">
        <f t="shared" si="100"/>
        <v>#REF!</v>
      </c>
      <c r="AE58" s="168" t="str">
        <f t="shared" si="100"/>
        <v>#REF!</v>
      </c>
      <c r="AF58" s="168" t="str">
        <f t="shared" si="100"/>
        <v>#REF!</v>
      </c>
      <c r="AG58" s="168" t="str">
        <f t="shared" si="101"/>
        <v>#REF!</v>
      </c>
      <c r="AH58" s="168" t="str">
        <f t="shared" si="102"/>
        <v>#REF!</v>
      </c>
      <c r="AI58" s="168" t="str">
        <f t="shared" ref="AI58:AJ58" si="103">#REF!</f>
        <v>#REF!</v>
      </c>
      <c r="AJ58" s="168" t="str">
        <f t="shared" si="103"/>
        <v>#REF!</v>
      </c>
    </row>
    <row r="59" ht="15.75" customHeight="1">
      <c r="A59" s="168" t="str">
        <f t="shared" ref="A59:AJ59" si="104">#REF!</f>
        <v>#REF!</v>
      </c>
      <c r="B59" s="168" t="str">
        <f t="shared" si="104"/>
        <v>#REF!</v>
      </c>
      <c r="C59" s="168" t="str">
        <f t="shared" si="104"/>
        <v>#REF!</v>
      </c>
      <c r="D59" s="168" t="str">
        <f t="shared" si="104"/>
        <v>#REF!</v>
      </c>
      <c r="E59" s="168" t="str">
        <f t="shared" si="104"/>
        <v>#REF!</v>
      </c>
      <c r="F59" s="168" t="str">
        <f t="shared" si="104"/>
        <v>#REF!</v>
      </c>
      <c r="G59" s="168" t="str">
        <f t="shared" si="104"/>
        <v>#REF!</v>
      </c>
      <c r="H59" s="168" t="str">
        <f t="shared" si="104"/>
        <v>#REF!</v>
      </c>
      <c r="I59" s="168" t="str">
        <f t="shared" si="104"/>
        <v>#REF!</v>
      </c>
      <c r="J59" s="168" t="str">
        <f t="shared" si="104"/>
        <v>#REF!</v>
      </c>
      <c r="K59" s="168" t="str">
        <f t="shared" si="104"/>
        <v>#REF!</v>
      </c>
      <c r="L59" s="168" t="str">
        <f t="shared" si="104"/>
        <v>#REF!</v>
      </c>
      <c r="M59" s="168" t="str">
        <f t="shared" si="104"/>
        <v>#REF!</v>
      </c>
      <c r="N59" s="168" t="str">
        <f t="shared" si="104"/>
        <v>#REF!</v>
      </c>
      <c r="O59" s="168" t="str">
        <f t="shared" si="104"/>
        <v>#REF!</v>
      </c>
      <c r="P59" s="168" t="str">
        <f t="shared" si="104"/>
        <v>#REF!</v>
      </c>
      <c r="Q59" s="168" t="str">
        <f t="shared" si="104"/>
        <v>#REF!</v>
      </c>
      <c r="R59" s="168" t="str">
        <f t="shared" si="104"/>
        <v>#REF!</v>
      </c>
      <c r="S59" s="168" t="str">
        <f t="shared" si="104"/>
        <v>#REF!</v>
      </c>
      <c r="T59" s="168" t="str">
        <f t="shared" si="104"/>
        <v>#REF!</v>
      </c>
      <c r="U59" s="168" t="str">
        <f t="shared" si="104"/>
        <v>#REF!</v>
      </c>
      <c r="V59" s="168" t="str">
        <f t="shared" si="104"/>
        <v>#REF!</v>
      </c>
      <c r="W59" s="168" t="str">
        <f t="shared" si="104"/>
        <v>#REF!</v>
      </c>
      <c r="X59" s="168" t="str">
        <f t="shared" si="104"/>
        <v>#REF!</v>
      </c>
      <c r="Y59" s="168" t="str">
        <f t="shared" si="104"/>
        <v>#REF!</v>
      </c>
      <c r="Z59" s="168" t="str">
        <f t="shared" si="104"/>
        <v>#REF!</v>
      </c>
      <c r="AA59" s="168" t="str">
        <f t="shared" si="104"/>
        <v>#REF!</v>
      </c>
      <c r="AB59" s="168" t="str">
        <f t="shared" si="104"/>
        <v>#REF!</v>
      </c>
      <c r="AC59" s="168" t="str">
        <f t="shared" si="104"/>
        <v>#REF!</v>
      </c>
      <c r="AD59" s="168" t="str">
        <f t="shared" si="104"/>
        <v>#REF!</v>
      </c>
      <c r="AE59" s="168" t="str">
        <f t="shared" si="104"/>
        <v>#REF!</v>
      </c>
      <c r="AF59" s="168" t="str">
        <f t="shared" si="104"/>
        <v>#REF!</v>
      </c>
      <c r="AG59" s="168" t="str">
        <f t="shared" si="104"/>
        <v>#REF!</v>
      </c>
      <c r="AH59" s="168" t="str">
        <f t="shared" si="104"/>
        <v>#REF!</v>
      </c>
      <c r="AI59" s="168" t="str">
        <f t="shared" si="104"/>
        <v>#REF!</v>
      </c>
      <c r="AJ59" s="168" t="str">
        <f t="shared" si="104"/>
        <v>#REF!</v>
      </c>
    </row>
    <row r="60" ht="15.75" hidden="1" customHeight="1">
      <c r="A60" s="168" t="str">
        <f t="shared" ref="A60:AJ60" si="105">#REF!</f>
        <v>#REF!</v>
      </c>
      <c r="B60" s="168" t="str">
        <f t="shared" si="105"/>
        <v>#REF!</v>
      </c>
      <c r="C60" s="168" t="str">
        <f t="shared" si="105"/>
        <v>#REF!</v>
      </c>
      <c r="D60" s="168" t="str">
        <f t="shared" si="105"/>
        <v>#REF!</v>
      </c>
      <c r="E60" s="168" t="str">
        <f t="shared" si="105"/>
        <v>#REF!</v>
      </c>
      <c r="F60" s="168" t="str">
        <f t="shared" si="105"/>
        <v>#REF!</v>
      </c>
      <c r="G60" s="168" t="str">
        <f t="shared" si="105"/>
        <v>#REF!</v>
      </c>
      <c r="H60" s="168" t="str">
        <f t="shared" si="105"/>
        <v>#REF!</v>
      </c>
      <c r="I60" s="168" t="str">
        <f t="shared" si="105"/>
        <v>#REF!</v>
      </c>
      <c r="J60" s="168" t="str">
        <f t="shared" si="105"/>
        <v>#REF!</v>
      </c>
      <c r="K60" s="168" t="str">
        <f t="shared" si="105"/>
        <v>#REF!</v>
      </c>
      <c r="L60" s="168" t="str">
        <f t="shared" si="105"/>
        <v>#REF!</v>
      </c>
      <c r="M60" s="168" t="str">
        <f t="shared" si="105"/>
        <v>#REF!</v>
      </c>
      <c r="N60" s="168" t="str">
        <f t="shared" si="105"/>
        <v>#REF!</v>
      </c>
      <c r="O60" s="168" t="str">
        <f t="shared" si="105"/>
        <v>#REF!</v>
      </c>
      <c r="P60" s="168" t="str">
        <f t="shared" si="105"/>
        <v>#REF!</v>
      </c>
      <c r="Q60" s="168" t="str">
        <f t="shared" si="105"/>
        <v>#REF!</v>
      </c>
      <c r="R60" s="168" t="str">
        <f t="shared" si="105"/>
        <v>#REF!</v>
      </c>
      <c r="S60" s="168" t="str">
        <f t="shared" si="105"/>
        <v>#REF!</v>
      </c>
      <c r="T60" s="168" t="str">
        <f t="shared" si="105"/>
        <v>#REF!</v>
      </c>
      <c r="U60" s="168" t="str">
        <f t="shared" si="105"/>
        <v>#REF!</v>
      </c>
      <c r="V60" s="168" t="str">
        <f t="shared" si="105"/>
        <v>#REF!</v>
      </c>
      <c r="W60" s="168" t="str">
        <f t="shared" si="105"/>
        <v>#REF!</v>
      </c>
      <c r="X60" s="168" t="str">
        <f t="shared" si="105"/>
        <v>#REF!</v>
      </c>
      <c r="Y60" s="168" t="str">
        <f t="shared" si="105"/>
        <v>#REF!</v>
      </c>
      <c r="Z60" s="168" t="str">
        <f t="shared" si="105"/>
        <v>#REF!</v>
      </c>
      <c r="AA60" s="168" t="str">
        <f t="shared" si="105"/>
        <v>#REF!</v>
      </c>
      <c r="AB60" s="168" t="str">
        <f t="shared" si="105"/>
        <v>#REF!</v>
      </c>
      <c r="AC60" s="168" t="str">
        <f t="shared" si="105"/>
        <v>#REF!</v>
      </c>
      <c r="AD60" s="168" t="str">
        <f t="shared" si="105"/>
        <v>#REF!</v>
      </c>
      <c r="AE60" s="168" t="str">
        <f t="shared" si="105"/>
        <v>#REF!</v>
      </c>
      <c r="AF60" s="168" t="str">
        <f t="shared" si="105"/>
        <v>#REF!</v>
      </c>
      <c r="AG60" s="168" t="str">
        <f t="shared" si="105"/>
        <v>#REF!</v>
      </c>
      <c r="AH60" s="168" t="str">
        <f t="shared" si="105"/>
        <v>#REF!</v>
      </c>
      <c r="AI60" s="168" t="str">
        <f t="shared" si="105"/>
        <v>#REF!</v>
      </c>
      <c r="AJ60" s="168" t="str">
        <f t="shared" si="105"/>
        <v>#REF!</v>
      </c>
    </row>
    <row r="61" ht="15.75" hidden="1" customHeight="1">
      <c r="A61" s="168" t="str">
        <f t="shared" ref="A61:AJ61" si="106">#REF!</f>
        <v>#REF!</v>
      </c>
      <c r="B61" s="168" t="str">
        <f t="shared" si="106"/>
        <v>#REF!</v>
      </c>
      <c r="C61" s="168" t="str">
        <f t="shared" si="106"/>
        <v>#REF!</v>
      </c>
      <c r="D61" s="168" t="str">
        <f t="shared" si="106"/>
        <v>#REF!</v>
      </c>
      <c r="E61" s="168" t="str">
        <f t="shared" si="106"/>
        <v>#REF!</v>
      </c>
      <c r="F61" s="168" t="str">
        <f t="shared" si="106"/>
        <v>#REF!</v>
      </c>
      <c r="G61" s="168" t="str">
        <f t="shared" si="106"/>
        <v>#REF!</v>
      </c>
      <c r="H61" s="168" t="str">
        <f t="shared" si="106"/>
        <v>#REF!</v>
      </c>
      <c r="I61" s="168" t="str">
        <f t="shared" si="106"/>
        <v>#REF!</v>
      </c>
      <c r="J61" s="168" t="str">
        <f t="shared" si="106"/>
        <v>#REF!</v>
      </c>
      <c r="K61" s="168" t="str">
        <f t="shared" si="106"/>
        <v>#REF!</v>
      </c>
      <c r="L61" s="168" t="str">
        <f t="shared" si="106"/>
        <v>#REF!</v>
      </c>
      <c r="M61" s="168" t="str">
        <f t="shared" si="106"/>
        <v>#REF!</v>
      </c>
      <c r="N61" s="168" t="str">
        <f t="shared" si="106"/>
        <v>#REF!</v>
      </c>
      <c r="O61" s="168" t="str">
        <f t="shared" si="106"/>
        <v>#REF!</v>
      </c>
      <c r="P61" s="168" t="str">
        <f t="shared" si="106"/>
        <v>#REF!</v>
      </c>
      <c r="Q61" s="168" t="str">
        <f t="shared" si="106"/>
        <v>#REF!</v>
      </c>
      <c r="R61" s="168" t="str">
        <f t="shared" si="106"/>
        <v>#REF!</v>
      </c>
      <c r="S61" s="168" t="str">
        <f t="shared" si="106"/>
        <v>#REF!</v>
      </c>
      <c r="T61" s="168" t="str">
        <f t="shared" si="106"/>
        <v>#REF!</v>
      </c>
      <c r="U61" s="168" t="str">
        <f t="shared" si="106"/>
        <v>#REF!</v>
      </c>
      <c r="V61" s="168" t="str">
        <f t="shared" si="106"/>
        <v>#REF!</v>
      </c>
      <c r="W61" s="168" t="str">
        <f t="shared" si="106"/>
        <v>#REF!</v>
      </c>
      <c r="X61" s="168" t="str">
        <f t="shared" si="106"/>
        <v>#REF!</v>
      </c>
      <c r="Y61" s="168" t="str">
        <f t="shared" si="106"/>
        <v>#REF!</v>
      </c>
      <c r="Z61" s="168" t="str">
        <f t="shared" si="106"/>
        <v>#REF!</v>
      </c>
      <c r="AA61" s="168" t="str">
        <f t="shared" si="106"/>
        <v>#REF!</v>
      </c>
      <c r="AB61" s="168" t="str">
        <f t="shared" si="106"/>
        <v>#REF!</v>
      </c>
      <c r="AC61" s="168" t="str">
        <f t="shared" si="106"/>
        <v>#REF!</v>
      </c>
      <c r="AD61" s="168" t="str">
        <f t="shared" si="106"/>
        <v>#REF!</v>
      </c>
      <c r="AE61" s="168" t="str">
        <f t="shared" si="106"/>
        <v>#REF!</v>
      </c>
      <c r="AF61" s="168" t="str">
        <f t="shared" si="106"/>
        <v>#REF!</v>
      </c>
      <c r="AG61" s="168" t="str">
        <f t="shared" si="106"/>
        <v>#REF!</v>
      </c>
      <c r="AH61" s="168" t="str">
        <f t="shared" si="106"/>
        <v>#REF!</v>
      </c>
      <c r="AI61" s="168" t="str">
        <f t="shared" si="106"/>
        <v>#REF!</v>
      </c>
      <c r="AJ61" s="168" t="str">
        <f t="shared" si="106"/>
        <v>#REF!</v>
      </c>
    </row>
    <row r="62" ht="15.75" hidden="1" customHeight="1">
      <c r="A62" s="168" t="str">
        <f t="shared" ref="A62:AJ62" si="107">#REF!</f>
        <v>#REF!</v>
      </c>
      <c r="B62" s="168" t="str">
        <f t="shared" si="107"/>
        <v>#REF!</v>
      </c>
      <c r="C62" s="168" t="str">
        <f t="shared" si="107"/>
        <v>#REF!</v>
      </c>
      <c r="D62" s="168" t="str">
        <f t="shared" si="107"/>
        <v>#REF!</v>
      </c>
      <c r="E62" s="168" t="str">
        <f t="shared" si="107"/>
        <v>#REF!</v>
      </c>
      <c r="F62" s="168" t="str">
        <f t="shared" si="107"/>
        <v>#REF!</v>
      </c>
      <c r="G62" s="168" t="str">
        <f t="shared" si="107"/>
        <v>#REF!</v>
      </c>
      <c r="H62" s="168" t="str">
        <f t="shared" si="107"/>
        <v>#REF!</v>
      </c>
      <c r="I62" s="168" t="str">
        <f t="shared" si="107"/>
        <v>#REF!</v>
      </c>
      <c r="J62" s="168" t="str">
        <f t="shared" si="107"/>
        <v>#REF!</v>
      </c>
      <c r="K62" s="168" t="str">
        <f t="shared" si="107"/>
        <v>#REF!</v>
      </c>
      <c r="L62" s="168" t="str">
        <f t="shared" si="107"/>
        <v>#REF!</v>
      </c>
      <c r="M62" s="168" t="str">
        <f t="shared" si="107"/>
        <v>#REF!</v>
      </c>
      <c r="N62" s="168" t="str">
        <f t="shared" si="107"/>
        <v>#REF!</v>
      </c>
      <c r="O62" s="168" t="str">
        <f t="shared" si="107"/>
        <v>#REF!</v>
      </c>
      <c r="P62" s="168" t="str">
        <f t="shared" si="107"/>
        <v>#REF!</v>
      </c>
      <c r="Q62" s="168" t="str">
        <f t="shared" si="107"/>
        <v>#REF!</v>
      </c>
      <c r="R62" s="168" t="str">
        <f t="shared" si="107"/>
        <v>#REF!</v>
      </c>
      <c r="S62" s="168" t="str">
        <f t="shared" si="107"/>
        <v>#REF!</v>
      </c>
      <c r="T62" s="168" t="str">
        <f t="shared" si="107"/>
        <v>#REF!</v>
      </c>
      <c r="U62" s="168" t="str">
        <f t="shared" si="107"/>
        <v>#REF!</v>
      </c>
      <c r="V62" s="168" t="str">
        <f t="shared" si="107"/>
        <v>#REF!</v>
      </c>
      <c r="W62" s="168" t="str">
        <f t="shared" si="107"/>
        <v>#REF!</v>
      </c>
      <c r="X62" s="168" t="str">
        <f t="shared" si="107"/>
        <v>#REF!</v>
      </c>
      <c r="Y62" s="168" t="str">
        <f t="shared" si="107"/>
        <v>#REF!</v>
      </c>
      <c r="Z62" s="168" t="str">
        <f t="shared" si="107"/>
        <v>#REF!</v>
      </c>
      <c r="AA62" s="168" t="str">
        <f t="shared" si="107"/>
        <v>#REF!</v>
      </c>
      <c r="AB62" s="168" t="str">
        <f t="shared" si="107"/>
        <v>#REF!</v>
      </c>
      <c r="AC62" s="168" t="str">
        <f t="shared" si="107"/>
        <v>#REF!</v>
      </c>
      <c r="AD62" s="168" t="str">
        <f t="shared" si="107"/>
        <v>#REF!</v>
      </c>
      <c r="AE62" s="168" t="str">
        <f t="shared" si="107"/>
        <v>#REF!</v>
      </c>
      <c r="AF62" s="168" t="str">
        <f t="shared" si="107"/>
        <v>#REF!</v>
      </c>
      <c r="AG62" s="168" t="str">
        <f t="shared" si="107"/>
        <v>#REF!</v>
      </c>
      <c r="AH62" s="168" t="str">
        <f t="shared" si="107"/>
        <v>#REF!</v>
      </c>
      <c r="AI62" s="168" t="str">
        <f t="shared" si="107"/>
        <v>#REF!</v>
      </c>
      <c r="AJ62" s="168" t="str">
        <f t="shared" si="107"/>
        <v>#REF!</v>
      </c>
    </row>
    <row r="63" ht="15.75" hidden="1" customHeight="1">
      <c r="A63" s="168" t="str">
        <f t="shared" ref="A63:A65" si="113">'2026 Pipeline'!C11</f>
        <v>#REF!</v>
      </c>
      <c r="B63" s="168" t="str">
        <f t="shared" ref="B63:C63" si="108">'2026 Pipeline'!J11</f>
        <v>#REF!</v>
      </c>
      <c r="C63" s="168" t="str">
        <f t="shared" si="108"/>
        <v>#REF!</v>
      </c>
      <c r="D63" s="168" t="str">
        <f t="shared" ref="D63:F63" si="109">'2026 Pipeline'!M11</f>
        <v>#REF!</v>
      </c>
      <c r="E63" s="168" t="str">
        <f t="shared" si="109"/>
        <v>#REF!</v>
      </c>
      <c r="F63" s="168" t="str">
        <f t="shared" si="109"/>
        <v>#REF!</v>
      </c>
      <c r="G63" s="168" t="str">
        <f t="shared" ref="G63:G65" si="116">'2026 Pipeline'!Q11</f>
        <v>#REF!</v>
      </c>
      <c r="H63" s="168" t="str">
        <f t="shared" ref="H63:H65" si="117">'2026 Pipeline'!P11</f>
        <v>#REF!</v>
      </c>
      <c r="I63" s="168" t="str">
        <f t="shared" ref="I63:I65" si="118">'2026 Pipeline'!R11</f>
        <v>#REF!</v>
      </c>
      <c r="J63" s="168" t="str">
        <f t="shared" ref="J63:L63" si="110">'2026 Pipeline'!V11</f>
        <v>#REF!</v>
      </c>
      <c r="K63" s="168" t="str">
        <f t="shared" si="110"/>
        <v>#REF!</v>
      </c>
      <c r="L63" s="168" t="str">
        <f t="shared" si="110"/>
        <v>#REF!</v>
      </c>
      <c r="M63" s="168" t="str">
        <f t="shared" ref="M63:O63" si="111">#REF!</f>
        <v>#REF!</v>
      </c>
      <c r="N63" s="168" t="str">
        <f t="shared" si="111"/>
        <v>#REF!</v>
      </c>
      <c r="O63" s="168" t="str">
        <f t="shared" si="111"/>
        <v>#REF!</v>
      </c>
      <c r="P63" s="168" t="str">
        <f t="shared" ref="P63:P65" si="121">'2026 Pipeline'!AA11</f>
        <v>#REF!</v>
      </c>
      <c r="Q63" s="168" t="str">
        <f t="shared" ref="Q63:Q65" si="122">'2026 Pipeline'!Y11</f>
        <v>#REF!</v>
      </c>
      <c r="R63" s="168" t="str">
        <f t="shared" ref="R63:R65" si="123">#REF!</f>
        <v>#REF!</v>
      </c>
      <c r="S63" s="168" t="str">
        <f t="shared" ref="S63:S65" si="124">'2026 Pipeline'!L11</f>
        <v>#REF!</v>
      </c>
      <c r="T63" s="168" t="str">
        <f t="shared" ref="T63:T65" si="125">'2026 Pipeline'!CD11</f>
        <v>#REF!</v>
      </c>
      <c r="U63" s="168" t="str">
        <f t="shared" ref="U63:AJ63" si="112">#REF!</f>
        <v>#REF!</v>
      </c>
      <c r="V63" s="168" t="str">
        <f t="shared" si="112"/>
        <v>#REF!</v>
      </c>
      <c r="W63" s="168" t="str">
        <f t="shared" si="112"/>
        <v>#REF!</v>
      </c>
      <c r="X63" s="168" t="str">
        <f t="shared" si="112"/>
        <v>#REF!</v>
      </c>
      <c r="Y63" s="168" t="str">
        <f t="shared" si="112"/>
        <v>#REF!</v>
      </c>
      <c r="Z63" s="168" t="str">
        <f t="shared" si="112"/>
        <v>#REF!</v>
      </c>
      <c r="AA63" s="168" t="str">
        <f t="shared" si="112"/>
        <v>#REF!</v>
      </c>
      <c r="AB63" s="168" t="str">
        <f t="shared" si="112"/>
        <v>#REF!</v>
      </c>
      <c r="AC63" s="168" t="str">
        <f t="shared" si="112"/>
        <v>#REF!</v>
      </c>
      <c r="AD63" s="168" t="str">
        <f t="shared" si="112"/>
        <v>#REF!</v>
      </c>
      <c r="AE63" s="168" t="str">
        <f t="shared" si="112"/>
        <v>#REF!</v>
      </c>
      <c r="AF63" s="168" t="str">
        <f t="shared" si="112"/>
        <v>#REF!</v>
      </c>
      <c r="AG63" s="168" t="str">
        <f t="shared" si="112"/>
        <v>#REF!</v>
      </c>
      <c r="AH63" s="168" t="str">
        <f t="shared" si="112"/>
        <v>#REF!</v>
      </c>
      <c r="AI63" s="168" t="str">
        <f t="shared" si="112"/>
        <v>#REF!</v>
      </c>
      <c r="AJ63" s="168" t="str">
        <f t="shared" si="112"/>
        <v>#REF!</v>
      </c>
    </row>
    <row r="64" ht="15.75" hidden="1" customHeight="1">
      <c r="A64" s="168" t="str">
        <f t="shared" si="113"/>
        <v>#REF!</v>
      </c>
      <c r="B64" s="168" t="str">
        <f t="shared" ref="B64:C64" si="114">'2026 Pipeline'!J12</f>
        <v>#REF!</v>
      </c>
      <c r="C64" s="168" t="str">
        <f t="shared" si="114"/>
        <v>#REF!</v>
      </c>
      <c r="D64" s="168" t="str">
        <f t="shared" ref="D64:F64" si="115">'2026 Pipeline'!M12</f>
        <v>#REF!</v>
      </c>
      <c r="E64" s="168" t="str">
        <f t="shared" si="115"/>
        <v>#REF!</v>
      </c>
      <c r="F64" s="168" t="str">
        <f t="shared" si="115"/>
        <v>#REF!</v>
      </c>
      <c r="G64" s="168" t="str">
        <f t="shared" si="116"/>
        <v>#REF!</v>
      </c>
      <c r="H64" s="168" t="str">
        <f t="shared" si="117"/>
        <v>#REF!</v>
      </c>
      <c r="I64" s="168" t="str">
        <f t="shared" si="118"/>
        <v>#REF!</v>
      </c>
      <c r="J64" s="168" t="str">
        <f t="shared" ref="J64:L64" si="119">'2026 Pipeline'!V12</f>
        <v>#REF!</v>
      </c>
      <c r="K64" s="168" t="str">
        <f t="shared" si="119"/>
        <v>#REF!</v>
      </c>
      <c r="L64" s="168" t="str">
        <f t="shared" si="119"/>
        <v>#REF!</v>
      </c>
      <c r="M64" s="168" t="str">
        <f t="shared" ref="M64:O64" si="120">#REF!</f>
        <v>#REF!</v>
      </c>
      <c r="N64" s="168" t="str">
        <f t="shared" si="120"/>
        <v>#REF!</v>
      </c>
      <c r="O64" s="168" t="str">
        <f t="shared" si="120"/>
        <v>#REF!</v>
      </c>
      <c r="P64" s="168" t="str">
        <f t="shared" si="121"/>
        <v>#REF!</v>
      </c>
      <c r="Q64" s="168" t="str">
        <f t="shared" si="122"/>
        <v>#REF!</v>
      </c>
      <c r="R64" s="168" t="str">
        <f t="shared" si="123"/>
        <v>#REF!</v>
      </c>
      <c r="S64" s="168" t="str">
        <f t="shared" si="124"/>
        <v>#REF!</v>
      </c>
      <c r="T64" s="168" t="str">
        <f t="shared" si="125"/>
        <v>#REF!</v>
      </c>
      <c r="U64" s="168" t="str">
        <f t="shared" ref="U64:AJ64" si="126">#REF!</f>
        <v>#REF!</v>
      </c>
      <c r="V64" s="168" t="str">
        <f t="shared" si="126"/>
        <v>#REF!</v>
      </c>
      <c r="W64" s="168" t="str">
        <f t="shared" si="126"/>
        <v>#REF!</v>
      </c>
      <c r="X64" s="168" t="str">
        <f t="shared" si="126"/>
        <v>#REF!</v>
      </c>
      <c r="Y64" s="168" t="str">
        <f t="shared" si="126"/>
        <v>#REF!</v>
      </c>
      <c r="Z64" s="168" t="str">
        <f t="shared" si="126"/>
        <v>#REF!</v>
      </c>
      <c r="AA64" s="168" t="str">
        <f t="shared" si="126"/>
        <v>#REF!</v>
      </c>
      <c r="AB64" s="168" t="str">
        <f t="shared" si="126"/>
        <v>#REF!</v>
      </c>
      <c r="AC64" s="168" t="str">
        <f t="shared" si="126"/>
        <v>#REF!</v>
      </c>
      <c r="AD64" s="168" t="str">
        <f t="shared" si="126"/>
        <v>#REF!</v>
      </c>
      <c r="AE64" s="168" t="str">
        <f t="shared" si="126"/>
        <v>#REF!</v>
      </c>
      <c r="AF64" s="168" t="str">
        <f t="shared" si="126"/>
        <v>#REF!</v>
      </c>
      <c r="AG64" s="168" t="str">
        <f t="shared" si="126"/>
        <v>#REF!</v>
      </c>
      <c r="AH64" s="168" t="str">
        <f t="shared" si="126"/>
        <v>#REF!</v>
      </c>
      <c r="AI64" s="168" t="str">
        <f t="shared" si="126"/>
        <v>#REF!</v>
      </c>
      <c r="AJ64" s="168" t="str">
        <f t="shared" si="126"/>
        <v>#REF!</v>
      </c>
    </row>
    <row r="65" ht="15.75" customHeight="1">
      <c r="A65" s="168" t="str">
        <f t="shared" si="113"/>
        <v>#REF!</v>
      </c>
      <c r="B65" s="168" t="str">
        <f t="shared" ref="B65:C65" si="127">'2026 Pipeline'!J13</f>
        <v>#REF!</v>
      </c>
      <c r="C65" s="168" t="str">
        <f t="shared" si="127"/>
        <v>#REF!</v>
      </c>
      <c r="D65" s="168" t="str">
        <f t="shared" ref="D65:F65" si="128">'2026 Pipeline'!M13</f>
        <v>#REF!</v>
      </c>
      <c r="E65" s="168" t="str">
        <f t="shared" si="128"/>
        <v>#REF!</v>
      </c>
      <c r="F65" s="168" t="str">
        <f t="shared" si="128"/>
        <v>#REF!</v>
      </c>
      <c r="G65" s="168" t="str">
        <f t="shared" si="116"/>
        <v>#REF!</v>
      </c>
      <c r="H65" s="168" t="str">
        <f t="shared" si="117"/>
        <v>#REF!</v>
      </c>
      <c r="I65" s="168" t="str">
        <f t="shared" si="118"/>
        <v>#REF!</v>
      </c>
      <c r="J65" s="168" t="str">
        <f t="shared" ref="J65:L65" si="129">'2026 Pipeline'!V13</f>
        <v>#REF!</v>
      </c>
      <c r="K65" s="168" t="str">
        <f t="shared" si="129"/>
        <v>#REF!</v>
      </c>
      <c r="L65" s="168" t="str">
        <f t="shared" si="129"/>
        <v>#REF!</v>
      </c>
      <c r="M65" s="168" t="str">
        <f t="shared" ref="M65:O65" si="130">#REF!</f>
        <v>#REF!</v>
      </c>
      <c r="N65" s="168" t="str">
        <f t="shared" si="130"/>
        <v>#REF!</v>
      </c>
      <c r="O65" s="168" t="str">
        <f t="shared" si="130"/>
        <v>#REF!</v>
      </c>
      <c r="P65" s="168" t="str">
        <f t="shared" si="121"/>
        <v>#REF!</v>
      </c>
      <c r="Q65" s="168" t="str">
        <f t="shared" si="122"/>
        <v>#REF!</v>
      </c>
      <c r="R65" s="168" t="str">
        <f t="shared" si="123"/>
        <v>#REF!</v>
      </c>
      <c r="S65" s="168" t="str">
        <f t="shared" si="124"/>
        <v>#REF!</v>
      </c>
      <c r="T65" s="168" t="str">
        <f t="shared" si="125"/>
        <v>#REF!</v>
      </c>
      <c r="U65" s="168" t="str">
        <f t="shared" ref="U65:U67" si="135">'2026 Pipeline'!AP11</f>
        <v>#REF!</v>
      </c>
      <c r="V65" s="168" t="str">
        <f t="shared" ref="V65:Z65" si="131">'2026 Pipeline'!CJ11</f>
        <v>#REF!</v>
      </c>
      <c r="W65" s="168" t="str">
        <f t="shared" si="131"/>
        <v>#REF!</v>
      </c>
      <c r="X65" s="168" t="str">
        <f t="shared" si="131"/>
        <v>#REF!</v>
      </c>
      <c r="Y65" s="168" t="str">
        <f t="shared" si="131"/>
        <v>#REF!</v>
      </c>
      <c r="Z65" s="168" t="str">
        <f t="shared" si="131"/>
        <v>#REF!</v>
      </c>
      <c r="AA65" s="168" t="str">
        <f t="shared" ref="AA65:AF65" si="132">#REF!</f>
        <v>#REF!</v>
      </c>
      <c r="AB65" s="168" t="str">
        <f t="shared" si="132"/>
        <v>#REF!</v>
      </c>
      <c r="AC65" s="168" t="str">
        <f t="shared" si="132"/>
        <v>#REF!</v>
      </c>
      <c r="AD65" s="168" t="str">
        <f t="shared" si="132"/>
        <v>#REF!</v>
      </c>
      <c r="AE65" s="168" t="str">
        <f t="shared" si="132"/>
        <v>#REF!</v>
      </c>
      <c r="AF65" s="168" t="str">
        <f t="shared" si="132"/>
        <v>#REF!</v>
      </c>
      <c r="AG65" s="168" t="str">
        <f t="shared" ref="AG65:AG67" si="138">'2026 Pipeline'!CT11</f>
        <v>#REF!</v>
      </c>
      <c r="AH65" s="168" t="str">
        <f t="shared" ref="AH65:AH67" si="139">'2026 Pipeline'!S11</f>
        <v>#REF!</v>
      </c>
      <c r="AI65" s="168" t="str">
        <f t="shared" ref="AI65:AJ65" si="133">#REF!</f>
        <v>#REF!</v>
      </c>
      <c r="AJ65" s="168" t="str">
        <f t="shared" si="133"/>
        <v>#REF!</v>
      </c>
    </row>
    <row r="66" ht="15.75" hidden="1" customHeight="1">
      <c r="A66" s="168" t="str">
        <f t="shared" ref="A66:T66" si="134">#REF!</f>
        <v>#REF!</v>
      </c>
      <c r="B66" s="168" t="str">
        <f t="shared" si="134"/>
        <v>#REF!</v>
      </c>
      <c r="C66" s="168" t="str">
        <f t="shared" si="134"/>
        <v>#REF!</v>
      </c>
      <c r="D66" s="168" t="str">
        <f t="shared" si="134"/>
        <v>#REF!</v>
      </c>
      <c r="E66" s="168" t="str">
        <f t="shared" si="134"/>
        <v>#REF!</v>
      </c>
      <c r="F66" s="168" t="str">
        <f t="shared" si="134"/>
        <v>#REF!</v>
      </c>
      <c r="G66" s="168" t="str">
        <f t="shared" si="134"/>
        <v>#REF!</v>
      </c>
      <c r="H66" s="168" t="str">
        <f t="shared" si="134"/>
        <v>#REF!</v>
      </c>
      <c r="I66" s="168" t="str">
        <f t="shared" si="134"/>
        <v>#REF!</v>
      </c>
      <c r="J66" s="168" t="str">
        <f t="shared" si="134"/>
        <v>#REF!</v>
      </c>
      <c r="K66" s="168" t="str">
        <f t="shared" si="134"/>
        <v>#REF!</v>
      </c>
      <c r="L66" s="168" t="str">
        <f t="shared" si="134"/>
        <v>#REF!</v>
      </c>
      <c r="M66" s="168" t="str">
        <f t="shared" si="134"/>
        <v>#REF!</v>
      </c>
      <c r="N66" s="168" t="str">
        <f t="shared" si="134"/>
        <v>#REF!</v>
      </c>
      <c r="O66" s="168" t="str">
        <f t="shared" si="134"/>
        <v>#REF!</v>
      </c>
      <c r="P66" s="168" t="str">
        <f t="shared" si="134"/>
        <v>#REF!</v>
      </c>
      <c r="Q66" s="168" t="str">
        <f t="shared" si="134"/>
        <v>#REF!</v>
      </c>
      <c r="R66" s="168" t="str">
        <f t="shared" si="134"/>
        <v>#REF!</v>
      </c>
      <c r="S66" s="168" t="str">
        <f t="shared" si="134"/>
        <v>#REF!</v>
      </c>
      <c r="T66" s="168" t="str">
        <f t="shared" si="134"/>
        <v>#REF!</v>
      </c>
      <c r="U66" s="168" t="str">
        <f t="shared" si="135"/>
        <v>#REF!</v>
      </c>
      <c r="V66" s="168" t="str">
        <f t="shared" ref="V66:Z66" si="136">'2026 Pipeline'!CJ12</f>
        <v>#REF!</v>
      </c>
      <c r="W66" s="168" t="str">
        <f t="shared" si="136"/>
        <v>#REF!</v>
      </c>
      <c r="X66" s="168" t="str">
        <f t="shared" si="136"/>
        <v>#REF!</v>
      </c>
      <c r="Y66" s="168" t="str">
        <f t="shared" si="136"/>
        <v>#REF!</v>
      </c>
      <c r="Z66" s="168" t="str">
        <f t="shared" si="136"/>
        <v>#REF!</v>
      </c>
      <c r="AA66" s="168" t="str">
        <f t="shared" ref="AA66:AF66" si="137">#REF!</f>
        <v>#REF!</v>
      </c>
      <c r="AB66" s="168" t="str">
        <f t="shared" si="137"/>
        <v>#REF!</v>
      </c>
      <c r="AC66" s="168" t="str">
        <f t="shared" si="137"/>
        <v>#REF!</v>
      </c>
      <c r="AD66" s="168" t="str">
        <f t="shared" si="137"/>
        <v>#REF!</v>
      </c>
      <c r="AE66" s="168" t="str">
        <f t="shared" si="137"/>
        <v>#REF!</v>
      </c>
      <c r="AF66" s="168" t="str">
        <f t="shared" si="137"/>
        <v>#REF!</v>
      </c>
      <c r="AG66" s="168" t="str">
        <f t="shared" si="138"/>
        <v>#REF!</v>
      </c>
      <c r="AH66" s="168" t="str">
        <f t="shared" si="139"/>
        <v>#REF!</v>
      </c>
      <c r="AI66" s="168" t="str">
        <f t="shared" ref="AI66:AJ66" si="140">#REF!</f>
        <v>#REF!</v>
      </c>
      <c r="AJ66" s="168" t="str">
        <f t="shared" si="140"/>
        <v>#REF!</v>
      </c>
    </row>
    <row r="67" ht="15.75" hidden="1" customHeight="1">
      <c r="A67" s="168" t="str">
        <f t="shared" ref="A67:T67" si="141">#REF!</f>
        <v>#REF!</v>
      </c>
      <c r="B67" s="168" t="str">
        <f t="shared" si="141"/>
        <v>#REF!</v>
      </c>
      <c r="C67" s="168" t="str">
        <f t="shared" si="141"/>
        <v>#REF!</v>
      </c>
      <c r="D67" s="168" t="str">
        <f t="shared" si="141"/>
        <v>#REF!</v>
      </c>
      <c r="E67" s="168" t="str">
        <f t="shared" si="141"/>
        <v>#REF!</v>
      </c>
      <c r="F67" s="168" t="str">
        <f t="shared" si="141"/>
        <v>#REF!</v>
      </c>
      <c r="G67" s="168" t="str">
        <f t="shared" si="141"/>
        <v>#REF!</v>
      </c>
      <c r="H67" s="168" t="str">
        <f t="shared" si="141"/>
        <v>#REF!</v>
      </c>
      <c r="I67" s="168" t="str">
        <f t="shared" si="141"/>
        <v>#REF!</v>
      </c>
      <c r="J67" s="168" t="str">
        <f t="shared" si="141"/>
        <v>#REF!</v>
      </c>
      <c r="K67" s="168" t="str">
        <f t="shared" si="141"/>
        <v>#REF!</v>
      </c>
      <c r="L67" s="168" t="str">
        <f t="shared" si="141"/>
        <v>#REF!</v>
      </c>
      <c r="M67" s="168" t="str">
        <f t="shared" si="141"/>
        <v>#REF!</v>
      </c>
      <c r="N67" s="168" t="str">
        <f t="shared" si="141"/>
        <v>#REF!</v>
      </c>
      <c r="O67" s="168" t="str">
        <f t="shared" si="141"/>
        <v>#REF!</v>
      </c>
      <c r="P67" s="168" t="str">
        <f t="shared" si="141"/>
        <v>#REF!</v>
      </c>
      <c r="Q67" s="168" t="str">
        <f t="shared" si="141"/>
        <v>#REF!</v>
      </c>
      <c r="R67" s="168" t="str">
        <f t="shared" si="141"/>
        <v>#REF!</v>
      </c>
      <c r="S67" s="168" t="str">
        <f t="shared" si="141"/>
        <v>#REF!</v>
      </c>
      <c r="T67" s="168" t="str">
        <f t="shared" si="141"/>
        <v>#REF!</v>
      </c>
      <c r="U67" s="168" t="str">
        <f t="shared" si="135"/>
        <v>#REF!</v>
      </c>
      <c r="V67" s="168" t="str">
        <f t="shared" ref="V67:Z67" si="142">'2026 Pipeline'!CJ13</f>
        <v>#REF!</v>
      </c>
      <c r="W67" s="168" t="str">
        <f t="shared" si="142"/>
        <v>#REF!</v>
      </c>
      <c r="X67" s="168" t="str">
        <f t="shared" si="142"/>
        <v>#REF!</v>
      </c>
      <c r="Y67" s="168" t="str">
        <f t="shared" si="142"/>
        <v>#REF!</v>
      </c>
      <c r="Z67" s="168" t="str">
        <f t="shared" si="142"/>
        <v>#REF!</v>
      </c>
      <c r="AA67" s="168" t="str">
        <f t="shared" ref="AA67:AF67" si="143">#REF!</f>
        <v>#REF!</v>
      </c>
      <c r="AB67" s="168" t="str">
        <f t="shared" si="143"/>
        <v>#REF!</v>
      </c>
      <c r="AC67" s="168" t="str">
        <f t="shared" si="143"/>
        <v>#REF!</v>
      </c>
      <c r="AD67" s="168" t="str">
        <f t="shared" si="143"/>
        <v>#REF!</v>
      </c>
      <c r="AE67" s="168" t="str">
        <f t="shared" si="143"/>
        <v>#REF!</v>
      </c>
      <c r="AF67" s="168" t="str">
        <f t="shared" si="143"/>
        <v>#REF!</v>
      </c>
      <c r="AG67" s="168" t="str">
        <f t="shared" si="138"/>
        <v>#REF!</v>
      </c>
      <c r="AH67" s="168" t="str">
        <f t="shared" si="139"/>
        <v>#REF!</v>
      </c>
      <c r="AI67" s="168" t="str">
        <f t="shared" ref="AI67:AJ67" si="144">#REF!</f>
        <v>#REF!</v>
      </c>
      <c r="AJ67" s="168" t="str">
        <f t="shared" si="144"/>
        <v>#REF!</v>
      </c>
    </row>
    <row r="68" ht="15.75" hidden="1" customHeight="1">
      <c r="A68" s="168" t="str">
        <f t="shared" ref="A68:AJ68" si="145">#REF!</f>
        <v>#REF!</v>
      </c>
      <c r="B68" s="168" t="str">
        <f t="shared" si="145"/>
        <v>#REF!</v>
      </c>
      <c r="C68" s="168" t="str">
        <f t="shared" si="145"/>
        <v>#REF!</v>
      </c>
      <c r="D68" s="168" t="str">
        <f t="shared" si="145"/>
        <v>#REF!</v>
      </c>
      <c r="E68" s="168" t="str">
        <f t="shared" si="145"/>
        <v>#REF!</v>
      </c>
      <c r="F68" s="168" t="str">
        <f t="shared" si="145"/>
        <v>#REF!</v>
      </c>
      <c r="G68" s="168" t="str">
        <f t="shared" si="145"/>
        <v>#REF!</v>
      </c>
      <c r="H68" s="168" t="str">
        <f t="shared" si="145"/>
        <v>#REF!</v>
      </c>
      <c r="I68" s="168" t="str">
        <f t="shared" si="145"/>
        <v>#REF!</v>
      </c>
      <c r="J68" s="168" t="str">
        <f t="shared" si="145"/>
        <v>#REF!</v>
      </c>
      <c r="K68" s="168" t="str">
        <f t="shared" si="145"/>
        <v>#REF!</v>
      </c>
      <c r="L68" s="168" t="str">
        <f t="shared" si="145"/>
        <v>#REF!</v>
      </c>
      <c r="M68" s="168" t="str">
        <f t="shared" si="145"/>
        <v>#REF!</v>
      </c>
      <c r="N68" s="168" t="str">
        <f t="shared" si="145"/>
        <v>#REF!</v>
      </c>
      <c r="O68" s="168" t="str">
        <f t="shared" si="145"/>
        <v>#REF!</v>
      </c>
      <c r="P68" s="168" t="str">
        <f t="shared" si="145"/>
        <v>#REF!</v>
      </c>
      <c r="Q68" s="168" t="str">
        <f t="shared" si="145"/>
        <v>#REF!</v>
      </c>
      <c r="R68" s="168" t="str">
        <f t="shared" si="145"/>
        <v>#REF!</v>
      </c>
      <c r="S68" s="168" t="str">
        <f t="shared" si="145"/>
        <v>#REF!</v>
      </c>
      <c r="T68" s="168" t="str">
        <f t="shared" si="145"/>
        <v>#REF!</v>
      </c>
      <c r="U68" s="168" t="str">
        <f t="shared" si="145"/>
        <v>#REF!</v>
      </c>
      <c r="V68" s="168" t="str">
        <f t="shared" si="145"/>
        <v>#REF!</v>
      </c>
      <c r="W68" s="168" t="str">
        <f t="shared" si="145"/>
        <v>#REF!</v>
      </c>
      <c r="X68" s="168" t="str">
        <f t="shared" si="145"/>
        <v>#REF!</v>
      </c>
      <c r="Y68" s="168" t="str">
        <f t="shared" si="145"/>
        <v>#REF!</v>
      </c>
      <c r="Z68" s="168" t="str">
        <f t="shared" si="145"/>
        <v>#REF!</v>
      </c>
      <c r="AA68" s="168" t="str">
        <f t="shared" si="145"/>
        <v>#REF!</v>
      </c>
      <c r="AB68" s="168" t="str">
        <f t="shared" si="145"/>
        <v>#REF!</v>
      </c>
      <c r="AC68" s="168" t="str">
        <f t="shared" si="145"/>
        <v>#REF!</v>
      </c>
      <c r="AD68" s="168" t="str">
        <f t="shared" si="145"/>
        <v>#REF!</v>
      </c>
      <c r="AE68" s="168" t="str">
        <f t="shared" si="145"/>
        <v>#REF!</v>
      </c>
      <c r="AF68" s="168" t="str">
        <f t="shared" si="145"/>
        <v>#REF!</v>
      </c>
      <c r="AG68" s="168" t="str">
        <f t="shared" si="145"/>
        <v>#REF!</v>
      </c>
      <c r="AH68" s="168" t="str">
        <f t="shared" si="145"/>
        <v>#REF!</v>
      </c>
      <c r="AI68" s="168" t="str">
        <f t="shared" si="145"/>
        <v>#REF!</v>
      </c>
      <c r="AJ68" s="168" t="str">
        <f t="shared" si="145"/>
        <v>#REF!</v>
      </c>
    </row>
    <row r="69" ht="15.75" hidden="1" customHeight="1">
      <c r="A69" s="168" t="str">
        <f t="shared" ref="A69:AJ69" si="146">#REF!</f>
        <v>#REF!</v>
      </c>
      <c r="B69" s="168" t="str">
        <f t="shared" si="146"/>
        <v>#REF!</v>
      </c>
      <c r="C69" s="168" t="str">
        <f t="shared" si="146"/>
        <v>#REF!</v>
      </c>
      <c r="D69" s="168" t="str">
        <f t="shared" si="146"/>
        <v>#REF!</v>
      </c>
      <c r="E69" s="168" t="str">
        <f t="shared" si="146"/>
        <v>#REF!</v>
      </c>
      <c r="F69" s="168" t="str">
        <f t="shared" si="146"/>
        <v>#REF!</v>
      </c>
      <c r="G69" s="168" t="str">
        <f t="shared" si="146"/>
        <v>#REF!</v>
      </c>
      <c r="H69" s="168" t="str">
        <f t="shared" si="146"/>
        <v>#REF!</v>
      </c>
      <c r="I69" s="168" t="str">
        <f t="shared" si="146"/>
        <v>#REF!</v>
      </c>
      <c r="J69" s="168" t="str">
        <f t="shared" si="146"/>
        <v>#REF!</v>
      </c>
      <c r="K69" s="168" t="str">
        <f t="shared" si="146"/>
        <v>#REF!</v>
      </c>
      <c r="L69" s="168" t="str">
        <f t="shared" si="146"/>
        <v>#REF!</v>
      </c>
      <c r="M69" s="168" t="str">
        <f t="shared" si="146"/>
        <v>#REF!</v>
      </c>
      <c r="N69" s="168" t="str">
        <f t="shared" si="146"/>
        <v>#REF!</v>
      </c>
      <c r="O69" s="168" t="str">
        <f t="shared" si="146"/>
        <v>#REF!</v>
      </c>
      <c r="P69" s="168" t="str">
        <f t="shared" si="146"/>
        <v>#REF!</v>
      </c>
      <c r="Q69" s="168" t="str">
        <f t="shared" si="146"/>
        <v>#REF!</v>
      </c>
      <c r="R69" s="168" t="str">
        <f t="shared" si="146"/>
        <v>#REF!</v>
      </c>
      <c r="S69" s="168" t="str">
        <f t="shared" si="146"/>
        <v>#REF!</v>
      </c>
      <c r="T69" s="168" t="str">
        <f t="shared" si="146"/>
        <v>#REF!</v>
      </c>
      <c r="U69" s="168" t="str">
        <f t="shared" si="146"/>
        <v>#REF!</v>
      </c>
      <c r="V69" s="168" t="str">
        <f t="shared" si="146"/>
        <v>#REF!</v>
      </c>
      <c r="W69" s="168" t="str">
        <f t="shared" si="146"/>
        <v>#REF!</v>
      </c>
      <c r="X69" s="168" t="str">
        <f t="shared" si="146"/>
        <v>#REF!</v>
      </c>
      <c r="Y69" s="168" t="str">
        <f t="shared" si="146"/>
        <v>#REF!</v>
      </c>
      <c r="Z69" s="168" t="str">
        <f t="shared" si="146"/>
        <v>#REF!</v>
      </c>
      <c r="AA69" s="168" t="str">
        <f t="shared" si="146"/>
        <v>#REF!</v>
      </c>
      <c r="AB69" s="168" t="str">
        <f t="shared" si="146"/>
        <v>#REF!</v>
      </c>
      <c r="AC69" s="168" t="str">
        <f t="shared" si="146"/>
        <v>#REF!</v>
      </c>
      <c r="AD69" s="168" t="str">
        <f t="shared" si="146"/>
        <v>#REF!</v>
      </c>
      <c r="AE69" s="168" t="str">
        <f t="shared" si="146"/>
        <v>#REF!</v>
      </c>
      <c r="AF69" s="168" t="str">
        <f t="shared" si="146"/>
        <v>#REF!</v>
      </c>
      <c r="AG69" s="168" t="str">
        <f t="shared" si="146"/>
        <v>#REF!</v>
      </c>
      <c r="AH69" s="168" t="str">
        <f t="shared" si="146"/>
        <v>#REF!</v>
      </c>
      <c r="AI69" s="168" t="str">
        <f t="shared" si="146"/>
        <v>#REF!</v>
      </c>
      <c r="AJ69" s="168" t="str">
        <f t="shared" si="146"/>
        <v>#REF!</v>
      </c>
    </row>
    <row r="70" ht="15.75" hidden="1" customHeight="1">
      <c r="A70" s="168" t="str">
        <f t="shared" ref="A70:AJ70" si="147">#REF!</f>
        <v>#REF!</v>
      </c>
      <c r="B70" s="168" t="str">
        <f t="shared" si="147"/>
        <v>#REF!</v>
      </c>
      <c r="C70" s="168" t="str">
        <f t="shared" si="147"/>
        <v>#REF!</v>
      </c>
      <c r="D70" s="168" t="str">
        <f t="shared" si="147"/>
        <v>#REF!</v>
      </c>
      <c r="E70" s="168" t="str">
        <f t="shared" si="147"/>
        <v>#REF!</v>
      </c>
      <c r="F70" s="168" t="str">
        <f t="shared" si="147"/>
        <v>#REF!</v>
      </c>
      <c r="G70" s="168" t="str">
        <f t="shared" si="147"/>
        <v>#REF!</v>
      </c>
      <c r="H70" s="168" t="str">
        <f t="shared" si="147"/>
        <v>#REF!</v>
      </c>
      <c r="I70" s="168" t="str">
        <f t="shared" si="147"/>
        <v>#REF!</v>
      </c>
      <c r="J70" s="168" t="str">
        <f t="shared" si="147"/>
        <v>#REF!</v>
      </c>
      <c r="K70" s="168" t="str">
        <f t="shared" si="147"/>
        <v>#REF!</v>
      </c>
      <c r="L70" s="168" t="str">
        <f t="shared" si="147"/>
        <v>#REF!</v>
      </c>
      <c r="M70" s="168" t="str">
        <f t="shared" si="147"/>
        <v>#REF!</v>
      </c>
      <c r="N70" s="168" t="str">
        <f t="shared" si="147"/>
        <v>#REF!</v>
      </c>
      <c r="O70" s="168" t="str">
        <f t="shared" si="147"/>
        <v>#REF!</v>
      </c>
      <c r="P70" s="168" t="str">
        <f t="shared" si="147"/>
        <v>#REF!</v>
      </c>
      <c r="Q70" s="168" t="str">
        <f t="shared" si="147"/>
        <v>#REF!</v>
      </c>
      <c r="R70" s="168" t="str">
        <f t="shared" si="147"/>
        <v>#REF!</v>
      </c>
      <c r="S70" s="168" t="str">
        <f t="shared" si="147"/>
        <v>#REF!</v>
      </c>
      <c r="T70" s="168" t="str">
        <f t="shared" si="147"/>
        <v>#REF!</v>
      </c>
      <c r="U70" s="168" t="str">
        <f t="shared" si="147"/>
        <v>#REF!</v>
      </c>
      <c r="V70" s="168" t="str">
        <f t="shared" si="147"/>
        <v>#REF!</v>
      </c>
      <c r="W70" s="168" t="str">
        <f t="shared" si="147"/>
        <v>#REF!</v>
      </c>
      <c r="X70" s="168" t="str">
        <f t="shared" si="147"/>
        <v>#REF!</v>
      </c>
      <c r="Y70" s="168" t="str">
        <f t="shared" si="147"/>
        <v>#REF!</v>
      </c>
      <c r="Z70" s="168" t="str">
        <f t="shared" si="147"/>
        <v>#REF!</v>
      </c>
      <c r="AA70" s="168" t="str">
        <f t="shared" si="147"/>
        <v>#REF!</v>
      </c>
      <c r="AB70" s="168" t="str">
        <f t="shared" si="147"/>
        <v>#REF!</v>
      </c>
      <c r="AC70" s="168" t="str">
        <f t="shared" si="147"/>
        <v>#REF!</v>
      </c>
      <c r="AD70" s="168" t="str">
        <f t="shared" si="147"/>
        <v>#REF!</v>
      </c>
      <c r="AE70" s="168" t="str">
        <f t="shared" si="147"/>
        <v>#REF!</v>
      </c>
      <c r="AF70" s="168" t="str">
        <f t="shared" si="147"/>
        <v>#REF!</v>
      </c>
      <c r="AG70" s="168" t="str">
        <f t="shared" si="147"/>
        <v>#REF!</v>
      </c>
      <c r="AH70" s="168" t="str">
        <f t="shared" si="147"/>
        <v>#REF!</v>
      </c>
      <c r="AI70" s="168" t="str">
        <f t="shared" si="147"/>
        <v>#REF!</v>
      </c>
      <c r="AJ70" s="168" t="str">
        <f t="shared" si="147"/>
        <v>#REF!</v>
      </c>
    </row>
    <row r="71" ht="15.75" customHeight="1">
      <c r="A71" s="168" t="str">
        <f t="shared" ref="A71:AJ71" si="148">#REF!</f>
        <v>#REF!</v>
      </c>
      <c r="B71" s="168" t="str">
        <f t="shared" si="148"/>
        <v>#REF!</v>
      </c>
      <c r="C71" s="168" t="str">
        <f t="shared" si="148"/>
        <v>#REF!</v>
      </c>
      <c r="D71" s="168" t="str">
        <f t="shared" si="148"/>
        <v>#REF!</v>
      </c>
      <c r="E71" s="168" t="str">
        <f t="shared" si="148"/>
        <v>#REF!</v>
      </c>
      <c r="F71" s="168" t="str">
        <f t="shared" si="148"/>
        <v>#REF!</v>
      </c>
      <c r="G71" s="168" t="str">
        <f t="shared" si="148"/>
        <v>#REF!</v>
      </c>
      <c r="H71" s="168" t="str">
        <f t="shared" si="148"/>
        <v>#REF!</v>
      </c>
      <c r="I71" s="168" t="str">
        <f t="shared" si="148"/>
        <v>#REF!</v>
      </c>
      <c r="J71" s="168" t="str">
        <f t="shared" si="148"/>
        <v>#REF!</v>
      </c>
      <c r="K71" s="168" t="str">
        <f t="shared" si="148"/>
        <v>#REF!</v>
      </c>
      <c r="L71" s="168" t="str">
        <f t="shared" si="148"/>
        <v>#REF!</v>
      </c>
      <c r="M71" s="168" t="str">
        <f t="shared" si="148"/>
        <v>#REF!</v>
      </c>
      <c r="N71" s="168" t="str">
        <f t="shared" si="148"/>
        <v>#REF!</v>
      </c>
      <c r="O71" s="168" t="str">
        <f t="shared" si="148"/>
        <v>#REF!</v>
      </c>
      <c r="P71" s="168" t="str">
        <f t="shared" si="148"/>
        <v>#REF!</v>
      </c>
      <c r="Q71" s="168" t="str">
        <f t="shared" si="148"/>
        <v>#REF!</v>
      </c>
      <c r="R71" s="168" t="str">
        <f t="shared" si="148"/>
        <v>#REF!</v>
      </c>
      <c r="S71" s="168" t="str">
        <f t="shared" si="148"/>
        <v>#REF!</v>
      </c>
      <c r="T71" s="168" t="str">
        <f t="shared" si="148"/>
        <v>#REF!</v>
      </c>
      <c r="U71" s="168" t="str">
        <f t="shared" si="148"/>
        <v>#REF!</v>
      </c>
      <c r="V71" s="168" t="str">
        <f t="shared" si="148"/>
        <v>#REF!</v>
      </c>
      <c r="W71" s="168" t="str">
        <f t="shared" si="148"/>
        <v>#REF!</v>
      </c>
      <c r="X71" s="168" t="str">
        <f t="shared" si="148"/>
        <v>#REF!</v>
      </c>
      <c r="Y71" s="168" t="str">
        <f t="shared" si="148"/>
        <v>#REF!</v>
      </c>
      <c r="Z71" s="168" t="str">
        <f t="shared" si="148"/>
        <v>#REF!</v>
      </c>
      <c r="AA71" s="168" t="str">
        <f t="shared" si="148"/>
        <v>#REF!</v>
      </c>
      <c r="AB71" s="168" t="str">
        <f t="shared" si="148"/>
        <v>#REF!</v>
      </c>
      <c r="AC71" s="168" t="str">
        <f t="shared" si="148"/>
        <v>#REF!</v>
      </c>
      <c r="AD71" s="168" t="str">
        <f t="shared" si="148"/>
        <v>#REF!</v>
      </c>
      <c r="AE71" s="168" t="str">
        <f t="shared" si="148"/>
        <v>#REF!</v>
      </c>
      <c r="AF71" s="168" t="str">
        <f t="shared" si="148"/>
        <v>#REF!</v>
      </c>
      <c r="AG71" s="168" t="str">
        <f t="shared" si="148"/>
        <v>#REF!</v>
      </c>
      <c r="AH71" s="168" t="str">
        <f t="shared" si="148"/>
        <v>#REF!</v>
      </c>
      <c r="AI71" s="168" t="str">
        <f t="shared" si="148"/>
        <v>#REF!</v>
      </c>
      <c r="AJ71" s="168" t="str">
        <f t="shared" si="148"/>
        <v>#REF!</v>
      </c>
    </row>
    <row r="72" ht="15.75" customHeight="1">
      <c r="A72" s="168" t="str">
        <f t="shared" ref="A72:T72" si="149">if(#REF!=$D$1,#REF!,"")</f>
        <v>#REF!</v>
      </c>
      <c r="B72" s="168" t="str">
        <f t="shared" si="149"/>
        <v>#REF!</v>
      </c>
      <c r="C72" s="168" t="str">
        <f t="shared" si="149"/>
        <v>#REF!</v>
      </c>
      <c r="D72" s="168" t="str">
        <f t="shared" si="149"/>
        <v>#REF!</v>
      </c>
      <c r="E72" s="168" t="str">
        <f t="shared" si="149"/>
        <v>#REF!</v>
      </c>
      <c r="F72" s="168" t="str">
        <f t="shared" si="149"/>
        <v>#REF!</v>
      </c>
      <c r="G72" s="168" t="str">
        <f t="shared" si="149"/>
        <v>#REF!</v>
      </c>
      <c r="H72" s="168" t="str">
        <f t="shared" si="149"/>
        <v>#REF!</v>
      </c>
      <c r="I72" s="168" t="str">
        <f t="shared" si="149"/>
        <v>#REF!</v>
      </c>
      <c r="J72" s="168" t="str">
        <f t="shared" si="149"/>
        <v>#REF!</v>
      </c>
      <c r="K72" s="168" t="str">
        <f t="shared" si="149"/>
        <v>#REF!</v>
      </c>
      <c r="L72" s="168" t="str">
        <f t="shared" si="149"/>
        <v>#REF!</v>
      </c>
      <c r="M72" s="168" t="str">
        <f t="shared" si="149"/>
        <v>#REF!</v>
      </c>
      <c r="N72" s="168" t="str">
        <f t="shared" si="149"/>
        <v>#REF!</v>
      </c>
      <c r="O72" s="168" t="str">
        <f t="shared" si="149"/>
        <v>#REF!</v>
      </c>
      <c r="P72" s="168" t="str">
        <f t="shared" si="149"/>
        <v>#REF!</v>
      </c>
      <c r="Q72" s="168" t="str">
        <f t="shared" si="149"/>
        <v>#REF!</v>
      </c>
      <c r="R72" s="168" t="str">
        <f t="shared" si="149"/>
        <v>#REF!</v>
      </c>
      <c r="S72" s="168" t="str">
        <f t="shared" si="149"/>
        <v>#REF!</v>
      </c>
      <c r="T72" s="168" t="str">
        <f t="shared" si="149"/>
        <v>#REF!</v>
      </c>
      <c r="U72" s="168" t="str">
        <f t="shared" ref="U72:AJ72" si="150">#REF!</f>
        <v>#REF!</v>
      </c>
      <c r="V72" s="168" t="str">
        <f t="shared" si="150"/>
        <v>#REF!</v>
      </c>
      <c r="W72" s="168" t="str">
        <f t="shared" si="150"/>
        <v>#REF!</v>
      </c>
      <c r="X72" s="168" t="str">
        <f t="shared" si="150"/>
        <v>#REF!</v>
      </c>
      <c r="Y72" s="168" t="str">
        <f t="shared" si="150"/>
        <v>#REF!</v>
      </c>
      <c r="Z72" s="168" t="str">
        <f t="shared" si="150"/>
        <v>#REF!</v>
      </c>
      <c r="AA72" s="168" t="str">
        <f t="shared" si="150"/>
        <v>#REF!</v>
      </c>
      <c r="AB72" s="168" t="str">
        <f t="shared" si="150"/>
        <v>#REF!</v>
      </c>
      <c r="AC72" s="168" t="str">
        <f t="shared" si="150"/>
        <v>#REF!</v>
      </c>
      <c r="AD72" s="168" t="str">
        <f t="shared" si="150"/>
        <v>#REF!</v>
      </c>
      <c r="AE72" s="168" t="str">
        <f t="shared" si="150"/>
        <v>#REF!</v>
      </c>
      <c r="AF72" s="168" t="str">
        <f t="shared" si="150"/>
        <v>#REF!</v>
      </c>
      <c r="AG72" s="168" t="str">
        <f t="shared" si="150"/>
        <v>#REF!</v>
      </c>
      <c r="AH72" s="168" t="str">
        <f t="shared" si="150"/>
        <v>#REF!</v>
      </c>
      <c r="AI72" s="168" t="str">
        <f t="shared" si="150"/>
        <v>#REF!</v>
      </c>
      <c r="AJ72" s="168" t="str">
        <f t="shared" si="150"/>
        <v>#REF!</v>
      </c>
    </row>
    <row r="73" ht="15.75" customHeight="1">
      <c r="A73" s="168" t="str">
        <f t="shared" ref="A73:T73" si="151">if(#REF!=$D$1,#REF!,"")</f>
        <v>#REF!</v>
      </c>
      <c r="B73" s="168" t="str">
        <f t="shared" si="151"/>
        <v>#REF!</v>
      </c>
      <c r="C73" s="168" t="str">
        <f t="shared" si="151"/>
        <v>#REF!</v>
      </c>
      <c r="D73" s="168" t="str">
        <f t="shared" si="151"/>
        <v>#REF!</v>
      </c>
      <c r="E73" s="168" t="str">
        <f t="shared" si="151"/>
        <v>#REF!</v>
      </c>
      <c r="F73" s="168" t="str">
        <f t="shared" si="151"/>
        <v>#REF!</v>
      </c>
      <c r="G73" s="168" t="str">
        <f t="shared" si="151"/>
        <v>#REF!</v>
      </c>
      <c r="H73" s="168" t="str">
        <f t="shared" si="151"/>
        <v>#REF!</v>
      </c>
      <c r="I73" s="168" t="str">
        <f t="shared" si="151"/>
        <v>#REF!</v>
      </c>
      <c r="J73" s="168" t="str">
        <f t="shared" si="151"/>
        <v>#REF!</v>
      </c>
      <c r="K73" s="168" t="str">
        <f t="shared" si="151"/>
        <v>#REF!</v>
      </c>
      <c r="L73" s="168" t="str">
        <f t="shared" si="151"/>
        <v>#REF!</v>
      </c>
      <c r="M73" s="168" t="str">
        <f t="shared" si="151"/>
        <v>#REF!</v>
      </c>
      <c r="N73" s="168" t="str">
        <f t="shared" si="151"/>
        <v>#REF!</v>
      </c>
      <c r="O73" s="168" t="str">
        <f t="shared" si="151"/>
        <v>#REF!</v>
      </c>
      <c r="P73" s="168" t="str">
        <f t="shared" si="151"/>
        <v>#REF!</v>
      </c>
      <c r="Q73" s="168" t="str">
        <f t="shared" si="151"/>
        <v>#REF!</v>
      </c>
      <c r="R73" s="168" t="str">
        <f t="shared" si="151"/>
        <v>#REF!</v>
      </c>
      <c r="S73" s="168" t="str">
        <f t="shared" si="151"/>
        <v>#REF!</v>
      </c>
      <c r="T73" s="168" t="str">
        <f t="shared" si="151"/>
        <v>#REF!</v>
      </c>
      <c r="U73" s="168" t="str">
        <f t="shared" ref="U73:AJ73" si="152">#REF!</f>
        <v>#REF!</v>
      </c>
      <c r="V73" s="168" t="str">
        <f t="shared" si="152"/>
        <v>#REF!</v>
      </c>
      <c r="W73" s="168" t="str">
        <f t="shared" si="152"/>
        <v>#REF!</v>
      </c>
      <c r="X73" s="168" t="str">
        <f t="shared" si="152"/>
        <v>#REF!</v>
      </c>
      <c r="Y73" s="168" t="str">
        <f t="shared" si="152"/>
        <v>#REF!</v>
      </c>
      <c r="Z73" s="168" t="str">
        <f t="shared" si="152"/>
        <v>#REF!</v>
      </c>
      <c r="AA73" s="168" t="str">
        <f t="shared" si="152"/>
        <v>#REF!</v>
      </c>
      <c r="AB73" s="168" t="str">
        <f t="shared" si="152"/>
        <v>#REF!</v>
      </c>
      <c r="AC73" s="168" t="str">
        <f t="shared" si="152"/>
        <v>#REF!</v>
      </c>
      <c r="AD73" s="168" t="str">
        <f t="shared" si="152"/>
        <v>#REF!</v>
      </c>
      <c r="AE73" s="168" t="str">
        <f t="shared" si="152"/>
        <v>#REF!</v>
      </c>
      <c r="AF73" s="168" t="str">
        <f t="shared" si="152"/>
        <v>#REF!</v>
      </c>
      <c r="AG73" s="168" t="str">
        <f t="shared" si="152"/>
        <v>#REF!</v>
      </c>
      <c r="AH73" s="168" t="str">
        <f t="shared" si="152"/>
        <v>#REF!</v>
      </c>
      <c r="AI73" s="168" t="str">
        <f t="shared" si="152"/>
        <v>#REF!</v>
      </c>
      <c r="AJ73" s="168" t="str">
        <f t="shared" si="152"/>
        <v>#REF!</v>
      </c>
    </row>
    <row r="74" ht="15.75" customHeight="1">
      <c r="A74" s="168" t="str">
        <f t="shared" ref="A74:T74" si="153">if(#REF!=$D$1,#REF!,"")</f>
        <v>#REF!</v>
      </c>
      <c r="B74" s="168" t="str">
        <f t="shared" si="153"/>
        <v>#REF!</v>
      </c>
      <c r="C74" s="168" t="str">
        <f t="shared" si="153"/>
        <v>#REF!</v>
      </c>
      <c r="D74" s="168" t="str">
        <f t="shared" si="153"/>
        <v>#REF!</v>
      </c>
      <c r="E74" s="168" t="str">
        <f t="shared" si="153"/>
        <v>#REF!</v>
      </c>
      <c r="F74" s="168" t="str">
        <f t="shared" si="153"/>
        <v>#REF!</v>
      </c>
      <c r="G74" s="168" t="str">
        <f t="shared" si="153"/>
        <v>#REF!</v>
      </c>
      <c r="H74" s="168" t="str">
        <f t="shared" si="153"/>
        <v>#REF!</v>
      </c>
      <c r="I74" s="168" t="str">
        <f t="shared" si="153"/>
        <v>#REF!</v>
      </c>
      <c r="J74" s="168" t="str">
        <f t="shared" si="153"/>
        <v>#REF!</v>
      </c>
      <c r="K74" s="168" t="str">
        <f t="shared" si="153"/>
        <v>#REF!</v>
      </c>
      <c r="L74" s="168" t="str">
        <f t="shared" si="153"/>
        <v>#REF!</v>
      </c>
      <c r="M74" s="168" t="str">
        <f t="shared" si="153"/>
        <v>#REF!</v>
      </c>
      <c r="N74" s="168" t="str">
        <f t="shared" si="153"/>
        <v>#REF!</v>
      </c>
      <c r="O74" s="168" t="str">
        <f t="shared" si="153"/>
        <v>#REF!</v>
      </c>
      <c r="P74" s="168" t="str">
        <f t="shared" si="153"/>
        <v>#REF!</v>
      </c>
      <c r="Q74" s="168" t="str">
        <f t="shared" si="153"/>
        <v>#REF!</v>
      </c>
      <c r="R74" s="168" t="str">
        <f t="shared" si="153"/>
        <v>#REF!</v>
      </c>
      <c r="S74" s="168" t="str">
        <f t="shared" si="153"/>
        <v>#REF!</v>
      </c>
      <c r="T74" s="168" t="str">
        <f t="shared" si="153"/>
        <v>#REF!</v>
      </c>
      <c r="U74" s="168" t="str">
        <f t="shared" ref="U74:AJ74" si="154">#REF!</f>
        <v>#REF!</v>
      </c>
      <c r="V74" s="168" t="str">
        <f t="shared" si="154"/>
        <v>#REF!</v>
      </c>
      <c r="W74" s="168" t="str">
        <f t="shared" si="154"/>
        <v>#REF!</v>
      </c>
      <c r="X74" s="168" t="str">
        <f t="shared" si="154"/>
        <v>#REF!</v>
      </c>
      <c r="Y74" s="168" t="str">
        <f t="shared" si="154"/>
        <v>#REF!</v>
      </c>
      <c r="Z74" s="168" t="str">
        <f t="shared" si="154"/>
        <v>#REF!</v>
      </c>
      <c r="AA74" s="168" t="str">
        <f t="shared" si="154"/>
        <v>#REF!</v>
      </c>
      <c r="AB74" s="168" t="str">
        <f t="shared" si="154"/>
        <v>#REF!</v>
      </c>
      <c r="AC74" s="168" t="str">
        <f t="shared" si="154"/>
        <v>#REF!</v>
      </c>
      <c r="AD74" s="168" t="str">
        <f t="shared" si="154"/>
        <v>#REF!</v>
      </c>
      <c r="AE74" s="168" t="str">
        <f t="shared" si="154"/>
        <v>#REF!</v>
      </c>
      <c r="AF74" s="168" t="str">
        <f t="shared" si="154"/>
        <v>#REF!</v>
      </c>
      <c r="AG74" s="168" t="str">
        <f t="shared" si="154"/>
        <v>#REF!</v>
      </c>
      <c r="AH74" s="168" t="str">
        <f t="shared" si="154"/>
        <v>#REF!</v>
      </c>
      <c r="AI74" s="168" t="str">
        <f t="shared" si="154"/>
        <v>#REF!</v>
      </c>
      <c r="AJ74" s="168" t="str">
        <f t="shared" si="154"/>
        <v>#REF!</v>
      </c>
    </row>
    <row r="75" ht="15.75" customHeight="1">
      <c r="A75" s="168" t="str">
        <f>if('2026 Pipeline'!$M14=$D$1,'2026 Pipeline'!C14,"")</f>
        <v>#REF!</v>
      </c>
      <c r="B75" s="168" t="str">
        <f t="shared" ref="B75:C75" si="155">if('2026 Pipeline'!$M14=$D$1,'2026 Pipeline'!J14,"")</f>
        <v>#REF!</v>
      </c>
      <c r="C75" s="168" t="str">
        <f t="shared" si="155"/>
        <v>#REF!</v>
      </c>
      <c r="D75" s="168" t="str">
        <f t="shared" ref="D75:F75" si="156">if('2026 Pipeline'!$M14=$D$1,'2026 Pipeline'!M14,"")</f>
        <v>#REF!</v>
      </c>
      <c r="E75" s="168" t="str">
        <f t="shared" si="156"/>
        <v>#REF!</v>
      </c>
      <c r="F75" s="168" t="str">
        <f t="shared" si="156"/>
        <v>#REF!</v>
      </c>
      <c r="G75" s="168" t="str">
        <f>if('2026 Pipeline'!$M14=$D$1,'2026 Pipeline'!Q14,"")</f>
        <v>#REF!</v>
      </c>
      <c r="H75" s="168" t="str">
        <f>if('2026 Pipeline'!$M14=$D$1,'2026 Pipeline'!P14,"")</f>
        <v>#REF!</v>
      </c>
      <c r="I75" s="168" t="str">
        <f>if('2026 Pipeline'!$M14=$D$1,'2026 Pipeline'!R14,"")</f>
        <v>#REF!</v>
      </c>
      <c r="J75" s="168" t="str">
        <f t="shared" ref="J75:L75" si="157">if('2026 Pipeline'!$M14=$D$1,'2026 Pipeline'!V14,"")</f>
        <v>#REF!</v>
      </c>
      <c r="K75" s="168" t="str">
        <f t="shared" si="157"/>
        <v>#REF!</v>
      </c>
      <c r="L75" s="168" t="str">
        <f t="shared" si="157"/>
        <v>#REF!</v>
      </c>
      <c r="M75" s="168" t="str">
        <f t="shared" ref="M75:O75" si="158">if('2026 Pipeline'!$M14=$D$1,#REF!,"")</f>
        <v>#REF!</v>
      </c>
      <c r="N75" s="168" t="str">
        <f t="shared" si="158"/>
        <v>#REF!</v>
      </c>
      <c r="O75" s="168" t="str">
        <f t="shared" si="158"/>
        <v>#REF!</v>
      </c>
      <c r="P75" s="168" t="str">
        <f>if('2026 Pipeline'!$M14=$D$1,'2026 Pipeline'!AA14,"")</f>
        <v>#REF!</v>
      </c>
      <c r="Q75" s="168" t="str">
        <f>if('2026 Pipeline'!$M14=$D$1,'2026 Pipeline'!Y14,"")</f>
        <v>#REF!</v>
      </c>
      <c r="R75" s="168" t="str">
        <f>if('2026 Pipeline'!$M14=$D$1,#REF!,"")</f>
        <v>#REF!</v>
      </c>
      <c r="S75" s="168" t="str">
        <f>if('2026 Pipeline'!$M14=$D$1,'2026 Pipeline'!L14,"")</f>
        <v>#REF!</v>
      </c>
      <c r="T75" s="168" t="str">
        <f>if('2026 Pipeline'!$M14=$D$1,'2026 Pipeline'!CD14,"")</f>
        <v>#REF!</v>
      </c>
      <c r="U75" s="168" t="str">
        <f t="shared" ref="U75:AJ75" si="159">#REF!</f>
        <v>#REF!</v>
      </c>
      <c r="V75" s="168" t="str">
        <f t="shared" si="159"/>
        <v>#REF!</v>
      </c>
      <c r="W75" s="168" t="str">
        <f t="shared" si="159"/>
        <v>#REF!</v>
      </c>
      <c r="X75" s="168" t="str">
        <f t="shared" si="159"/>
        <v>#REF!</v>
      </c>
      <c r="Y75" s="168" t="str">
        <f t="shared" si="159"/>
        <v>#REF!</v>
      </c>
      <c r="Z75" s="168" t="str">
        <f t="shared" si="159"/>
        <v>#REF!</v>
      </c>
      <c r="AA75" s="168" t="str">
        <f t="shared" si="159"/>
        <v>#REF!</v>
      </c>
      <c r="AB75" s="168" t="str">
        <f t="shared" si="159"/>
        <v>#REF!</v>
      </c>
      <c r="AC75" s="168" t="str">
        <f t="shared" si="159"/>
        <v>#REF!</v>
      </c>
      <c r="AD75" s="168" t="str">
        <f t="shared" si="159"/>
        <v>#REF!</v>
      </c>
      <c r="AE75" s="168" t="str">
        <f t="shared" si="159"/>
        <v>#REF!</v>
      </c>
      <c r="AF75" s="168" t="str">
        <f t="shared" si="159"/>
        <v>#REF!</v>
      </c>
      <c r="AG75" s="168" t="str">
        <f t="shared" si="159"/>
        <v>#REF!</v>
      </c>
      <c r="AH75" s="168" t="str">
        <f t="shared" si="159"/>
        <v>#REF!</v>
      </c>
      <c r="AI75" s="168" t="str">
        <f t="shared" si="159"/>
        <v>#REF!</v>
      </c>
      <c r="AJ75" s="168" t="str">
        <f t="shared" si="159"/>
        <v>#REF!</v>
      </c>
    </row>
    <row r="76" ht="15.75" customHeight="1">
      <c r="A76" s="168" t="str">
        <f t="shared" ref="A76:T76" si="160">if(#REF!=$D$1,#REF!,"")</f>
        <v>#REF!</v>
      </c>
      <c r="B76" s="168" t="str">
        <f t="shared" si="160"/>
        <v>#REF!</v>
      </c>
      <c r="C76" s="168" t="str">
        <f t="shared" si="160"/>
        <v>#REF!</v>
      </c>
      <c r="D76" s="168" t="str">
        <f t="shared" si="160"/>
        <v>#REF!</v>
      </c>
      <c r="E76" s="168" t="str">
        <f t="shared" si="160"/>
        <v>#REF!</v>
      </c>
      <c r="F76" s="168" t="str">
        <f t="shared" si="160"/>
        <v>#REF!</v>
      </c>
      <c r="G76" s="168" t="str">
        <f t="shared" si="160"/>
        <v>#REF!</v>
      </c>
      <c r="H76" s="168" t="str">
        <f t="shared" si="160"/>
        <v>#REF!</v>
      </c>
      <c r="I76" s="168" t="str">
        <f t="shared" si="160"/>
        <v>#REF!</v>
      </c>
      <c r="J76" s="168" t="str">
        <f t="shared" si="160"/>
        <v>#REF!</v>
      </c>
      <c r="K76" s="168" t="str">
        <f t="shared" si="160"/>
        <v>#REF!</v>
      </c>
      <c r="L76" s="168" t="str">
        <f t="shared" si="160"/>
        <v>#REF!</v>
      </c>
      <c r="M76" s="168" t="str">
        <f t="shared" si="160"/>
        <v>#REF!</v>
      </c>
      <c r="N76" s="168" t="str">
        <f t="shared" si="160"/>
        <v>#REF!</v>
      </c>
      <c r="O76" s="168" t="str">
        <f t="shared" si="160"/>
        <v>#REF!</v>
      </c>
      <c r="P76" s="168" t="str">
        <f t="shared" si="160"/>
        <v>#REF!</v>
      </c>
      <c r="Q76" s="168" t="str">
        <f t="shared" si="160"/>
        <v>#REF!</v>
      </c>
      <c r="R76" s="168" t="str">
        <f t="shared" si="160"/>
        <v>#REF!</v>
      </c>
      <c r="S76" s="168" t="str">
        <f t="shared" si="160"/>
        <v>#REF!</v>
      </c>
      <c r="T76" s="168" t="str">
        <f t="shared" si="160"/>
        <v>#REF!</v>
      </c>
      <c r="U76" s="168" t="str">
        <f t="shared" ref="U76:AJ76" si="161">#REF!</f>
        <v>#REF!</v>
      </c>
      <c r="V76" s="168" t="str">
        <f t="shared" si="161"/>
        <v>#REF!</v>
      </c>
      <c r="W76" s="168" t="str">
        <f t="shared" si="161"/>
        <v>#REF!</v>
      </c>
      <c r="X76" s="168" t="str">
        <f t="shared" si="161"/>
        <v>#REF!</v>
      </c>
      <c r="Y76" s="168" t="str">
        <f t="shared" si="161"/>
        <v>#REF!</v>
      </c>
      <c r="Z76" s="168" t="str">
        <f t="shared" si="161"/>
        <v>#REF!</v>
      </c>
      <c r="AA76" s="168" t="str">
        <f t="shared" si="161"/>
        <v>#REF!</v>
      </c>
      <c r="AB76" s="168" t="str">
        <f t="shared" si="161"/>
        <v>#REF!</v>
      </c>
      <c r="AC76" s="168" t="str">
        <f t="shared" si="161"/>
        <v>#REF!</v>
      </c>
      <c r="AD76" s="168" t="str">
        <f t="shared" si="161"/>
        <v>#REF!</v>
      </c>
      <c r="AE76" s="168" t="str">
        <f t="shared" si="161"/>
        <v>#REF!</v>
      </c>
      <c r="AF76" s="168" t="str">
        <f t="shared" si="161"/>
        <v>#REF!</v>
      </c>
      <c r="AG76" s="168" t="str">
        <f t="shared" si="161"/>
        <v>#REF!</v>
      </c>
      <c r="AH76" s="168" t="str">
        <f t="shared" si="161"/>
        <v>#REF!</v>
      </c>
      <c r="AI76" s="168" t="str">
        <f t="shared" si="161"/>
        <v>#REF!</v>
      </c>
      <c r="AJ76" s="168" t="str">
        <f t="shared" si="161"/>
        <v>#REF!</v>
      </c>
    </row>
    <row r="77" ht="15.75" customHeight="1">
      <c r="A77" s="168" t="str">
        <f t="shared" ref="A77:T77" si="162">if(#REF!=$D$1,#REF!,"")</f>
        <v>#REF!</v>
      </c>
      <c r="B77" s="168" t="str">
        <f t="shared" si="162"/>
        <v>#REF!</v>
      </c>
      <c r="C77" s="168" t="str">
        <f t="shared" si="162"/>
        <v>#REF!</v>
      </c>
      <c r="D77" s="168" t="str">
        <f t="shared" si="162"/>
        <v>#REF!</v>
      </c>
      <c r="E77" s="168" t="str">
        <f t="shared" si="162"/>
        <v>#REF!</v>
      </c>
      <c r="F77" s="168" t="str">
        <f t="shared" si="162"/>
        <v>#REF!</v>
      </c>
      <c r="G77" s="168" t="str">
        <f t="shared" si="162"/>
        <v>#REF!</v>
      </c>
      <c r="H77" s="168" t="str">
        <f t="shared" si="162"/>
        <v>#REF!</v>
      </c>
      <c r="I77" s="168" t="str">
        <f t="shared" si="162"/>
        <v>#REF!</v>
      </c>
      <c r="J77" s="168" t="str">
        <f t="shared" si="162"/>
        <v>#REF!</v>
      </c>
      <c r="K77" s="168" t="str">
        <f t="shared" si="162"/>
        <v>#REF!</v>
      </c>
      <c r="L77" s="168" t="str">
        <f t="shared" si="162"/>
        <v>#REF!</v>
      </c>
      <c r="M77" s="168" t="str">
        <f t="shared" si="162"/>
        <v>#REF!</v>
      </c>
      <c r="N77" s="168" t="str">
        <f t="shared" si="162"/>
        <v>#REF!</v>
      </c>
      <c r="O77" s="168" t="str">
        <f t="shared" si="162"/>
        <v>#REF!</v>
      </c>
      <c r="P77" s="168" t="str">
        <f t="shared" si="162"/>
        <v>#REF!</v>
      </c>
      <c r="Q77" s="168" t="str">
        <f t="shared" si="162"/>
        <v>#REF!</v>
      </c>
      <c r="R77" s="168" t="str">
        <f t="shared" si="162"/>
        <v>#REF!</v>
      </c>
      <c r="S77" s="168" t="str">
        <f t="shared" si="162"/>
        <v>#REF!</v>
      </c>
      <c r="T77" s="168" t="str">
        <f t="shared" si="162"/>
        <v>#REF!</v>
      </c>
      <c r="U77" s="168" t="str">
        <f>'2026 Pipeline'!AP14</f>
        <v>#REF!</v>
      </c>
      <c r="V77" s="168" t="str">
        <f t="shared" ref="V77:Z77" si="163">'2026 Pipeline'!CJ14</f>
        <v>#REF!</v>
      </c>
      <c r="W77" s="168" t="str">
        <f t="shared" si="163"/>
        <v>#REF!</v>
      </c>
      <c r="X77" s="168" t="str">
        <f t="shared" si="163"/>
        <v>#REF!</v>
      </c>
      <c r="Y77" s="168" t="str">
        <f t="shared" si="163"/>
        <v>#REF!</v>
      </c>
      <c r="Z77" s="168" t="str">
        <f t="shared" si="163"/>
        <v>#REF!</v>
      </c>
      <c r="AA77" s="168" t="str">
        <f t="shared" ref="AA77:AF77" si="164">#REF!</f>
        <v>#REF!</v>
      </c>
      <c r="AB77" s="168" t="str">
        <f t="shared" si="164"/>
        <v>#REF!</v>
      </c>
      <c r="AC77" s="168" t="str">
        <f t="shared" si="164"/>
        <v>#REF!</v>
      </c>
      <c r="AD77" s="168" t="str">
        <f t="shared" si="164"/>
        <v>#REF!</v>
      </c>
      <c r="AE77" s="168" t="str">
        <f t="shared" si="164"/>
        <v>#REF!</v>
      </c>
      <c r="AF77" s="168" t="str">
        <f t="shared" si="164"/>
        <v>#REF!</v>
      </c>
      <c r="AG77" s="168" t="str">
        <f>'2026 Pipeline'!CT14</f>
        <v>#REF!</v>
      </c>
      <c r="AH77" s="168" t="str">
        <f>'2026 Pipeline'!S14</f>
        <v>#REF!</v>
      </c>
      <c r="AI77" s="168" t="str">
        <f t="shared" ref="AI77:AJ77" si="165">#REF!</f>
        <v>#REF!</v>
      </c>
      <c r="AJ77" s="168" t="str">
        <f t="shared" si="165"/>
        <v>#REF!</v>
      </c>
    </row>
    <row r="78" ht="15.75" customHeight="1">
      <c r="A78" s="168" t="str">
        <f t="shared" ref="A78:T78" si="166">if(#REF!=$D$1,#REF!,"")</f>
        <v>#REF!</v>
      </c>
      <c r="B78" s="168" t="str">
        <f t="shared" si="166"/>
        <v>#REF!</v>
      </c>
      <c r="C78" s="168" t="str">
        <f t="shared" si="166"/>
        <v>#REF!</v>
      </c>
      <c r="D78" s="168" t="str">
        <f t="shared" si="166"/>
        <v>#REF!</v>
      </c>
      <c r="E78" s="168" t="str">
        <f t="shared" si="166"/>
        <v>#REF!</v>
      </c>
      <c r="F78" s="168" t="str">
        <f t="shared" si="166"/>
        <v>#REF!</v>
      </c>
      <c r="G78" s="168" t="str">
        <f t="shared" si="166"/>
        <v>#REF!</v>
      </c>
      <c r="H78" s="168" t="str">
        <f t="shared" si="166"/>
        <v>#REF!</v>
      </c>
      <c r="I78" s="168" t="str">
        <f t="shared" si="166"/>
        <v>#REF!</v>
      </c>
      <c r="J78" s="168" t="str">
        <f t="shared" si="166"/>
        <v>#REF!</v>
      </c>
      <c r="K78" s="168" t="str">
        <f t="shared" si="166"/>
        <v>#REF!</v>
      </c>
      <c r="L78" s="168" t="str">
        <f t="shared" si="166"/>
        <v>#REF!</v>
      </c>
      <c r="M78" s="168" t="str">
        <f t="shared" si="166"/>
        <v>#REF!</v>
      </c>
      <c r="N78" s="168" t="str">
        <f t="shared" si="166"/>
        <v>#REF!</v>
      </c>
      <c r="O78" s="168" t="str">
        <f t="shared" si="166"/>
        <v>#REF!</v>
      </c>
      <c r="P78" s="168" t="str">
        <f t="shared" si="166"/>
        <v>#REF!</v>
      </c>
      <c r="Q78" s="168" t="str">
        <f t="shared" si="166"/>
        <v>#REF!</v>
      </c>
      <c r="R78" s="168" t="str">
        <f t="shared" si="166"/>
        <v>#REF!</v>
      </c>
      <c r="S78" s="168" t="str">
        <f t="shared" si="166"/>
        <v>#REF!</v>
      </c>
      <c r="T78" s="168" t="str">
        <f t="shared" si="166"/>
        <v>#REF!</v>
      </c>
      <c r="U78" s="168" t="str">
        <f t="shared" ref="U78:AJ78" si="167">#REF!</f>
        <v>#REF!</v>
      </c>
      <c r="V78" s="168" t="str">
        <f t="shared" si="167"/>
        <v>#REF!</v>
      </c>
      <c r="W78" s="168" t="str">
        <f t="shared" si="167"/>
        <v>#REF!</v>
      </c>
      <c r="X78" s="168" t="str">
        <f t="shared" si="167"/>
        <v>#REF!</v>
      </c>
      <c r="Y78" s="168" t="str">
        <f t="shared" si="167"/>
        <v>#REF!</v>
      </c>
      <c r="Z78" s="168" t="str">
        <f t="shared" si="167"/>
        <v>#REF!</v>
      </c>
      <c r="AA78" s="168" t="str">
        <f t="shared" si="167"/>
        <v>#REF!</v>
      </c>
      <c r="AB78" s="168" t="str">
        <f t="shared" si="167"/>
        <v>#REF!</v>
      </c>
      <c r="AC78" s="168" t="str">
        <f t="shared" si="167"/>
        <v>#REF!</v>
      </c>
      <c r="AD78" s="168" t="str">
        <f t="shared" si="167"/>
        <v>#REF!</v>
      </c>
      <c r="AE78" s="168" t="str">
        <f t="shared" si="167"/>
        <v>#REF!</v>
      </c>
      <c r="AF78" s="168" t="str">
        <f t="shared" si="167"/>
        <v>#REF!</v>
      </c>
      <c r="AG78" s="168" t="str">
        <f t="shared" si="167"/>
        <v>#REF!</v>
      </c>
      <c r="AH78" s="168" t="str">
        <f t="shared" si="167"/>
        <v>#REF!</v>
      </c>
      <c r="AI78" s="168" t="str">
        <f t="shared" si="167"/>
        <v>#REF!</v>
      </c>
      <c r="AJ78" s="168" t="str">
        <f t="shared" si="167"/>
        <v>#REF!</v>
      </c>
    </row>
    <row r="79" ht="15.75" customHeight="1">
      <c r="A79" s="168" t="str">
        <f>if('2026 Pipeline'!$M15=$D$1,'2026 Pipeline'!C15,"")</f>
        <v>#REF!</v>
      </c>
      <c r="B79" s="168" t="str">
        <f t="shared" ref="B79:C79" si="168">if('2026 Pipeline'!$M15=$D$1,'2026 Pipeline'!J15,"")</f>
        <v>#REF!</v>
      </c>
      <c r="C79" s="168" t="str">
        <f t="shared" si="168"/>
        <v>#REF!</v>
      </c>
      <c r="D79" s="168" t="str">
        <f t="shared" ref="D79:F79" si="169">if('2026 Pipeline'!$M15=$D$1,'2026 Pipeline'!M15,"")</f>
        <v>#REF!</v>
      </c>
      <c r="E79" s="168" t="str">
        <f t="shared" si="169"/>
        <v>#REF!</v>
      </c>
      <c r="F79" s="168" t="str">
        <f t="shared" si="169"/>
        <v>#REF!</v>
      </c>
      <c r="G79" s="168" t="str">
        <f>if('2026 Pipeline'!$M15=$D$1,'2026 Pipeline'!Q15,"")</f>
        <v>#REF!</v>
      </c>
      <c r="H79" s="168" t="str">
        <f>if('2026 Pipeline'!$M15=$D$1,'2026 Pipeline'!P15,"")</f>
        <v>#REF!</v>
      </c>
      <c r="I79" s="168" t="str">
        <f>if('2026 Pipeline'!$M15=$D$1,'2026 Pipeline'!R15,"")</f>
        <v>#REF!</v>
      </c>
      <c r="J79" s="168" t="str">
        <f t="shared" ref="J79:L79" si="170">if('2026 Pipeline'!$M15=$D$1,'2026 Pipeline'!V15,"")</f>
        <v>#REF!</v>
      </c>
      <c r="K79" s="168" t="str">
        <f t="shared" si="170"/>
        <v>#REF!</v>
      </c>
      <c r="L79" s="168" t="str">
        <f t="shared" si="170"/>
        <v>#REF!</v>
      </c>
      <c r="M79" s="168" t="str">
        <f t="shared" ref="M79:O79" si="171">if('2026 Pipeline'!$M15=$D$1,#REF!,"")</f>
        <v>#REF!</v>
      </c>
      <c r="N79" s="168" t="str">
        <f t="shared" si="171"/>
        <v>#REF!</v>
      </c>
      <c r="O79" s="168" t="str">
        <f t="shared" si="171"/>
        <v>#REF!</v>
      </c>
      <c r="P79" s="168" t="str">
        <f>if('2026 Pipeline'!$M15=$D$1,'2026 Pipeline'!AA15,"")</f>
        <v>#REF!</v>
      </c>
      <c r="Q79" s="168" t="str">
        <f>if('2026 Pipeline'!$M15=$D$1,'2026 Pipeline'!Y15,"")</f>
        <v>#REF!</v>
      </c>
      <c r="R79" s="168" t="str">
        <f>if('2026 Pipeline'!$M15=$D$1,#REF!,"")</f>
        <v>#REF!</v>
      </c>
      <c r="S79" s="168" t="str">
        <f>if('2026 Pipeline'!$M15=$D$1,'2026 Pipeline'!L15,"")</f>
        <v>#REF!</v>
      </c>
      <c r="T79" s="168" t="str">
        <f>if('2026 Pipeline'!$M15=$D$1,'2026 Pipeline'!CD15,"")</f>
        <v>#REF!</v>
      </c>
      <c r="U79" s="168" t="str">
        <f t="shared" ref="U79:AJ79" si="172">#REF!</f>
        <v>#REF!</v>
      </c>
      <c r="V79" s="168" t="str">
        <f t="shared" si="172"/>
        <v>#REF!</v>
      </c>
      <c r="W79" s="168" t="str">
        <f t="shared" si="172"/>
        <v>#REF!</v>
      </c>
      <c r="X79" s="168" t="str">
        <f t="shared" si="172"/>
        <v>#REF!</v>
      </c>
      <c r="Y79" s="168" t="str">
        <f t="shared" si="172"/>
        <v>#REF!</v>
      </c>
      <c r="Z79" s="168" t="str">
        <f t="shared" si="172"/>
        <v>#REF!</v>
      </c>
      <c r="AA79" s="168" t="str">
        <f t="shared" si="172"/>
        <v>#REF!</v>
      </c>
      <c r="AB79" s="168" t="str">
        <f t="shared" si="172"/>
        <v>#REF!</v>
      </c>
      <c r="AC79" s="168" t="str">
        <f t="shared" si="172"/>
        <v>#REF!</v>
      </c>
      <c r="AD79" s="168" t="str">
        <f t="shared" si="172"/>
        <v>#REF!</v>
      </c>
      <c r="AE79" s="168" t="str">
        <f t="shared" si="172"/>
        <v>#REF!</v>
      </c>
      <c r="AF79" s="168" t="str">
        <f t="shared" si="172"/>
        <v>#REF!</v>
      </c>
      <c r="AG79" s="168" t="str">
        <f t="shared" si="172"/>
        <v>#REF!</v>
      </c>
      <c r="AH79" s="168" t="str">
        <f t="shared" si="172"/>
        <v>#REF!</v>
      </c>
      <c r="AI79" s="168" t="str">
        <f t="shared" si="172"/>
        <v>#REF!</v>
      </c>
      <c r="AJ79" s="168" t="str">
        <f t="shared" si="172"/>
        <v>#REF!</v>
      </c>
    </row>
    <row r="80" ht="15.75" customHeight="1">
      <c r="A80" s="168" t="str">
        <f t="shared" ref="A80:T80" si="173">if(#REF!=$D$1,#REF!,"")</f>
        <v>#REF!</v>
      </c>
      <c r="B80" s="168" t="str">
        <f t="shared" si="173"/>
        <v>#REF!</v>
      </c>
      <c r="C80" s="168" t="str">
        <f t="shared" si="173"/>
        <v>#REF!</v>
      </c>
      <c r="D80" s="168" t="str">
        <f t="shared" si="173"/>
        <v>#REF!</v>
      </c>
      <c r="E80" s="168" t="str">
        <f t="shared" si="173"/>
        <v>#REF!</v>
      </c>
      <c r="F80" s="168" t="str">
        <f t="shared" si="173"/>
        <v>#REF!</v>
      </c>
      <c r="G80" s="168" t="str">
        <f t="shared" si="173"/>
        <v>#REF!</v>
      </c>
      <c r="H80" s="168" t="str">
        <f t="shared" si="173"/>
        <v>#REF!</v>
      </c>
      <c r="I80" s="168" t="str">
        <f t="shared" si="173"/>
        <v>#REF!</v>
      </c>
      <c r="J80" s="168" t="str">
        <f t="shared" si="173"/>
        <v>#REF!</v>
      </c>
      <c r="K80" s="168" t="str">
        <f t="shared" si="173"/>
        <v>#REF!</v>
      </c>
      <c r="L80" s="168" t="str">
        <f t="shared" si="173"/>
        <v>#REF!</v>
      </c>
      <c r="M80" s="168" t="str">
        <f t="shared" si="173"/>
        <v>#REF!</v>
      </c>
      <c r="N80" s="168" t="str">
        <f t="shared" si="173"/>
        <v>#REF!</v>
      </c>
      <c r="O80" s="168" t="str">
        <f t="shared" si="173"/>
        <v>#REF!</v>
      </c>
      <c r="P80" s="168" t="str">
        <f t="shared" si="173"/>
        <v>#REF!</v>
      </c>
      <c r="Q80" s="168" t="str">
        <f t="shared" si="173"/>
        <v>#REF!</v>
      </c>
      <c r="R80" s="168" t="str">
        <f t="shared" si="173"/>
        <v>#REF!</v>
      </c>
      <c r="S80" s="168" t="str">
        <f t="shared" si="173"/>
        <v>#REF!</v>
      </c>
      <c r="T80" s="168" t="str">
        <f t="shared" si="173"/>
        <v>#REF!</v>
      </c>
      <c r="U80" s="168" t="str">
        <f t="shared" ref="U80:AJ80" si="174">#REF!</f>
        <v>#REF!</v>
      </c>
      <c r="V80" s="168" t="str">
        <f t="shared" si="174"/>
        <v>#REF!</v>
      </c>
      <c r="W80" s="168" t="str">
        <f t="shared" si="174"/>
        <v>#REF!</v>
      </c>
      <c r="X80" s="168" t="str">
        <f t="shared" si="174"/>
        <v>#REF!</v>
      </c>
      <c r="Y80" s="168" t="str">
        <f t="shared" si="174"/>
        <v>#REF!</v>
      </c>
      <c r="Z80" s="168" t="str">
        <f t="shared" si="174"/>
        <v>#REF!</v>
      </c>
      <c r="AA80" s="168" t="str">
        <f t="shared" si="174"/>
        <v>#REF!</v>
      </c>
      <c r="AB80" s="168" t="str">
        <f t="shared" si="174"/>
        <v>#REF!</v>
      </c>
      <c r="AC80" s="168" t="str">
        <f t="shared" si="174"/>
        <v>#REF!</v>
      </c>
      <c r="AD80" s="168" t="str">
        <f t="shared" si="174"/>
        <v>#REF!</v>
      </c>
      <c r="AE80" s="168" t="str">
        <f t="shared" si="174"/>
        <v>#REF!</v>
      </c>
      <c r="AF80" s="168" t="str">
        <f t="shared" si="174"/>
        <v>#REF!</v>
      </c>
      <c r="AG80" s="168" t="str">
        <f t="shared" si="174"/>
        <v>#REF!</v>
      </c>
      <c r="AH80" s="168" t="str">
        <f t="shared" si="174"/>
        <v>#REF!</v>
      </c>
      <c r="AI80" s="168" t="str">
        <f t="shared" si="174"/>
        <v>#REF!</v>
      </c>
      <c r="AJ80" s="168" t="str">
        <f t="shared" si="174"/>
        <v>#REF!</v>
      </c>
    </row>
    <row r="81" ht="15.75" customHeight="1">
      <c r="A81" s="168" t="str">
        <f>if('2026 Pipeline'!$M16=$D$1,'2026 Pipeline'!C16,"")</f>
        <v>#REF!</v>
      </c>
      <c r="B81" s="168" t="str">
        <f t="shared" ref="B81:C81" si="175">if('2026 Pipeline'!$M16=$D$1,'2026 Pipeline'!J16,"")</f>
        <v>#REF!</v>
      </c>
      <c r="C81" s="168" t="str">
        <f t="shared" si="175"/>
        <v>#REF!</v>
      </c>
      <c r="D81" s="168" t="str">
        <f t="shared" ref="D81:F81" si="176">if('2026 Pipeline'!$M16=$D$1,'2026 Pipeline'!M16,"")</f>
        <v>#REF!</v>
      </c>
      <c r="E81" s="168" t="str">
        <f t="shared" si="176"/>
        <v>#REF!</v>
      </c>
      <c r="F81" s="168" t="str">
        <f t="shared" si="176"/>
        <v>#REF!</v>
      </c>
      <c r="G81" s="168" t="str">
        <f>if('2026 Pipeline'!$M16=$D$1,'2026 Pipeline'!Q16,"")</f>
        <v>#REF!</v>
      </c>
      <c r="H81" s="168" t="str">
        <f>if('2026 Pipeline'!$M16=$D$1,'2026 Pipeline'!P16,"")</f>
        <v>#REF!</v>
      </c>
      <c r="I81" s="168" t="str">
        <f>if('2026 Pipeline'!$M16=$D$1,'2026 Pipeline'!R16,"")</f>
        <v>#REF!</v>
      </c>
      <c r="J81" s="168" t="str">
        <f t="shared" ref="J81:L81" si="177">if('2026 Pipeline'!$M16=$D$1,'2026 Pipeline'!V16,"")</f>
        <v>#REF!</v>
      </c>
      <c r="K81" s="168" t="str">
        <f t="shared" si="177"/>
        <v>#REF!</v>
      </c>
      <c r="L81" s="168" t="str">
        <f t="shared" si="177"/>
        <v>#REF!</v>
      </c>
      <c r="M81" s="168" t="str">
        <f t="shared" ref="M81:O81" si="178">if('2026 Pipeline'!$M16=$D$1,#REF!,"")</f>
        <v>#REF!</v>
      </c>
      <c r="N81" s="168" t="str">
        <f t="shared" si="178"/>
        <v>#REF!</v>
      </c>
      <c r="O81" s="168" t="str">
        <f t="shared" si="178"/>
        <v>#REF!</v>
      </c>
      <c r="P81" s="168" t="str">
        <f>if('2026 Pipeline'!$M16=$D$1,'2026 Pipeline'!AA16,"")</f>
        <v>#REF!</v>
      </c>
      <c r="Q81" s="168" t="str">
        <f>if('2026 Pipeline'!$M16=$D$1,'2026 Pipeline'!Y16,"")</f>
        <v>#REF!</v>
      </c>
      <c r="R81" s="168" t="str">
        <f>if('2026 Pipeline'!$M16=$D$1,#REF!,"")</f>
        <v>#REF!</v>
      </c>
      <c r="S81" s="168" t="str">
        <f>if('2026 Pipeline'!$M16=$D$1,'2026 Pipeline'!L16,"")</f>
        <v>#REF!</v>
      </c>
      <c r="T81" s="168" t="str">
        <f>if('2026 Pipeline'!$M16=$D$1,'2026 Pipeline'!CD16,"")</f>
        <v>#REF!</v>
      </c>
      <c r="U81" s="168" t="str">
        <f>'2026 Pipeline'!AP15</f>
        <v>#REF!</v>
      </c>
      <c r="V81" s="168" t="str">
        <f t="shared" ref="V81:Z81" si="179">'2026 Pipeline'!CJ15</f>
        <v>#REF!</v>
      </c>
      <c r="W81" s="168" t="str">
        <f t="shared" si="179"/>
        <v>#REF!</v>
      </c>
      <c r="X81" s="168" t="str">
        <f t="shared" si="179"/>
        <v>#REF!</v>
      </c>
      <c r="Y81" s="168" t="str">
        <f t="shared" si="179"/>
        <v>#REF!</v>
      </c>
      <c r="Z81" s="168" t="str">
        <f t="shared" si="179"/>
        <v>#REF!</v>
      </c>
      <c r="AA81" s="168" t="str">
        <f t="shared" ref="AA81:AF81" si="180">#REF!</f>
        <v>#REF!</v>
      </c>
      <c r="AB81" s="168" t="str">
        <f t="shared" si="180"/>
        <v>#REF!</v>
      </c>
      <c r="AC81" s="168" t="str">
        <f t="shared" si="180"/>
        <v>#REF!</v>
      </c>
      <c r="AD81" s="168" t="str">
        <f t="shared" si="180"/>
        <v>#REF!</v>
      </c>
      <c r="AE81" s="168" t="str">
        <f t="shared" si="180"/>
        <v>#REF!</v>
      </c>
      <c r="AF81" s="168" t="str">
        <f t="shared" si="180"/>
        <v>#REF!</v>
      </c>
      <c r="AG81" s="168" t="str">
        <f>'2026 Pipeline'!CT15</f>
        <v>#REF!</v>
      </c>
      <c r="AH81" s="168" t="str">
        <f>'2026 Pipeline'!S15</f>
        <v>#REF!</v>
      </c>
      <c r="AI81" s="168" t="str">
        <f t="shared" ref="AI81:AJ81" si="181">#REF!</f>
        <v>#REF!</v>
      </c>
      <c r="AJ81" s="168" t="str">
        <f t="shared" si="181"/>
        <v>#REF!</v>
      </c>
    </row>
    <row r="82" ht="15.75" customHeight="1">
      <c r="A82" s="168" t="str">
        <f t="shared" ref="A82:T82" si="182">if(#REF!=$D$1,#REF!,"")</f>
        <v>#REF!</v>
      </c>
      <c r="B82" s="168" t="str">
        <f t="shared" si="182"/>
        <v>#REF!</v>
      </c>
      <c r="C82" s="168" t="str">
        <f t="shared" si="182"/>
        <v>#REF!</v>
      </c>
      <c r="D82" s="168" t="str">
        <f t="shared" si="182"/>
        <v>#REF!</v>
      </c>
      <c r="E82" s="168" t="str">
        <f t="shared" si="182"/>
        <v>#REF!</v>
      </c>
      <c r="F82" s="168" t="str">
        <f t="shared" si="182"/>
        <v>#REF!</v>
      </c>
      <c r="G82" s="168" t="str">
        <f t="shared" si="182"/>
        <v>#REF!</v>
      </c>
      <c r="H82" s="168" t="str">
        <f t="shared" si="182"/>
        <v>#REF!</v>
      </c>
      <c r="I82" s="168" t="str">
        <f t="shared" si="182"/>
        <v>#REF!</v>
      </c>
      <c r="J82" s="168" t="str">
        <f t="shared" si="182"/>
        <v>#REF!</v>
      </c>
      <c r="K82" s="168" t="str">
        <f t="shared" si="182"/>
        <v>#REF!</v>
      </c>
      <c r="L82" s="168" t="str">
        <f t="shared" si="182"/>
        <v>#REF!</v>
      </c>
      <c r="M82" s="168" t="str">
        <f t="shared" si="182"/>
        <v>#REF!</v>
      </c>
      <c r="N82" s="168" t="str">
        <f t="shared" si="182"/>
        <v>#REF!</v>
      </c>
      <c r="O82" s="168" t="str">
        <f t="shared" si="182"/>
        <v>#REF!</v>
      </c>
      <c r="P82" s="168" t="str">
        <f t="shared" si="182"/>
        <v>#REF!</v>
      </c>
      <c r="Q82" s="168" t="str">
        <f t="shared" si="182"/>
        <v>#REF!</v>
      </c>
      <c r="R82" s="168" t="str">
        <f t="shared" si="182"/>
        <v>#REF!</v>
      </c>
      <c r="S82" s="168" t="str">
        <f t="shared" si="182"/>
        <v>#REF!</v>
      </c>
      <c r="T82" s="168" t="str">
        <f t="shared" si="182"/>
        <v>#REF!</v>
      </c>
      <c r="U82" s="168" t="str">
        <f t="shared" ref="U82:AJ82" si="183">#REF!</f>
        <v>#REF!</v>
      </c>
      <c r="V82" s="168" t="str">
        <f t="shared" si="183"/>
        <v>#REF!</v>
      </c>
      <c r="W82" s="168" t="str">
        <f t="shared" si="183"/>
        <v>#REF!</v>
      </c>
      <c r="X82" s="168" t="str">
        <f t="shared" si="183"/>
        <v>#REF!</v>
      </c>
      <c r="Y82" s="168" t="str">
        <f t="shared" si="183"/>
        <v>#REF!</v>
      </c>
      <c r="Z82" s="168" t="str">
        <f t="shared" si="183"/>
        <v>#REF!</v>
      </c>
      <c r="AA82" s="168" t="str">
        <f t="shared" si="183"/>
        <v>#REF!</v>
      </c>
      <c r="AB82" s="168" t="str">
        <f t="shared" si="183"/>
        <v>#REF!</v>
      </c>
      <c r="AC82" s="168" t="str">
        <f t="shared" si="183"/>
        <v>#REF!</v>
      </c>
      <c r="AD82" s="168" t="str">
        <f t="shared" si="183"/>
        <v>#REF!</v>
      </c>
      <c r="AE82" s="168" t="str">
        <f t="shared" si="183"/>
        <v>#REF!</v>
      </c>
      <c r="AF82" s="168" t="str">
        <f t="shared" si="183"/>
        <v>#REF!</v>
      </c>
      <c r="AG82" s="168" t="str">
        <f t="shared" si="183"/>
        <v>#REF!</v>
      </c>
      <c r="AH82" s="168" t="str">
        <f t="shared" si="183"/>
        <v>#REF!</v>
      </c>
      <c r="AI82" s="168" t="str">
        <f t="shared" si="183"/>
        <v>#REF!</v>
      </c>
      <c r="AJ82" s="168" t="str">
        <f t="shared" si="183"/>
        <v>#REF!</v>
      </c>
    </row>
    <row r="83" ht="15.75" customHeight="1">
      <c r="A83" s="168" t="str">
        <f t="shared" ref="A83:T83" si="184">if(#REF!=$D$1,#REF!,"")</f>
        <v>#REF!</v>
      </c>
      <c r="B83" s="168" t="str">
        <f t="shared" si="184"/>
        <v>#REF!</v>
      </c>
      <c r="C83" s="168" t="str">
        <f t="shared" si="184"/>
        <v>#REF!</v>
      </c>
      <c r="D83" s="168" t="str">
        <f t="shared" si="184"/>
        <v>#REF!</v>
      </c>
      <c r="E83" s="168" t="str">
        <f t="shared" si="184"/>
        <v>#REF!</v>
      </c>
      <c r="F83" s="168" t="str">
        <f t="shared" si="184"/>
        <v>#REF!</v>
      </c>
      <c r="G83" s="168" t="str">
        <f t="shared" si="184"/>
        <v>#REF!</v>
      </c>
      <c r="H83" s="168" t="str">
        <f t="shared" si="184"/>
        <v>#REF!</v>
      </c>
      <c r="I83" s="168" t="str">
        <f t="shared" si="184"/>
        <v>#REF!</v>
      </c>
      <c r="J83" s="168" t="str">
        <f t="shared" si="184"/>
        <v>#REF!</v>
      </c>
      <c r="K83" s="168" t="str">
        <f t="shared" si="184"/>
        <v>#REF!</v>
      </c>
      <c r="L83" s="168" t="str">
        <f t="shared" si="184"/>
        <v>#REF!</v>
      </c>
      <c r="M83" s="168" t="str">
        <f t="shared" si="184"/>
        <v>#REF!</v>
      </c>
      <c r="N83" s="168" t="str">
        <f t="shared" si="184"/>
        <v>#REF!</v>
      </c>
      <c r="O83" s="168" t="str">
        <f t="shared" si="184"/>
        <v>#REF!</v>
      </c>
      <c r="P83" s="168" t="str">
        <f t="shared" si="184"/>
        <v>#REF!</v>
      </c>
      <c r="Q83" s="168" t="str">
        <f t="shared" si="184"/>
        <v>#REF!</v>
      </c>
      <c r="R83" s="168" t="str">
        <f t="shared" si="184"/>
        <v>#REF!</v>
      </c>
      <c r="S83" s="168" t="str">
        <f t="shared" si="184"/>
        <v>#REF!</v>
      </c>
      <c r="T83" s="168" t="str">
        <f t="shared" si="184"/>
        <v>#REF!</v>
      </c>
      <c r="U83" s="168" t="str">
        <f>'2026 Pipeline'!AP16</f>
        <v>#REF!</v>
      </c>
      <c r="V83" s="168" t="str">
        <f t="shared" ref="V83:Z83" si="185">'2026 Pipeline'!CJ16</f>
        <v>#REF!</v>
      </c>
      <c r="W83" s="168" t="str">
        <f t="shared" si="185"/>
        <v>#REF!</v>
      </c>
      <c r="X83" s="168" t="str">
        <f t="shared" si="185"/>
        <v>#REF!</v>
      </c>
      <c r="Y83" s="168" t="str">
        <f t="shared" si="185"/>
        <v>#REF!</v>
      </c>
      <c r="Z83" s="168" t="str">
        <f t="shared" si="185"/>
        <v>#REF!</v>
      </c>
      <c r="AA83" s="168" t="str">
        <f t="shared" ref="AA83:AF83" si="186">#REF!</f>
        <v>#REF!</v>
      </c>
      <c r="AB83" s="168" t="str">
        <f t="shared" si="186"/>
        <v>#REF!</v>
      </c>
      <c r="AC83" s="168" t="str">
        <f t="shared" si="186"/>
        <v>#REF!</v>
      </c>
      <c r="AD83" s="168" t="str">
        <f t="shared" si="186"/>
        <v>#REF!</v>
      </c>
      <c r="AE83" s="168" t="str">
        <f t="shared" si="186"/>
        <v>#REF!</v>
      </c>
      <c r="AF83" s="168" t="str">
        <f t="shared" si="186"/>
        <v>#REF!</v>
      </c>
      <c r="AG83" s="168" t="str">
        <f>'2026 Pipeline'!CT16</f>
        <v>#REF!</v>
      </c>
      <c r="AH83" s="168" t="str">
        <f>'2026 Pipeline'!S16</f>
        <v>#REF!</v>
      </c>
      <c r="AI83" s="168" t="str">
        <f t="shared" ref="AI83:AJ83" si="187">#REF!</f>
        <v>#REF!</v>
      </c>
      <c r="AJ83" s="168" t="str">
        <f t="shared" si="187"/>
        <v>#REF!</v>
      </c>
    </row>
    <row r="84" ht="15.75" customHeight="1">
      <c r="A84" s="168" t="str">
        <f t="shared" ref="A84:T84" si="188">if(#REF!=$D$1,#REF!,"")</f>
        <v>#REF!</v>
      </c>
      <c r="B84" s="168" t="str">
        <f t="shared" si="188"/>
        <v>#REF!</v>
      </c>
      <c r="C84" s="168" t="str">
        <f t="shared" si="188"/>
        <v>#REF!</v>
      </c>
      <c r="D84" s="168" t="str">
        <f t="shared" si="188"/>
        <v>#REF!</v>
      </c>
      <c r="E84" s="168" t="str">
        <f t="shared" si="188"/>
        <v>#REF!</v>
      </c>
      <c r="F84" s="168" t="str">
        <f t="shared" si="188"/>
        <v>#REF!</v>
      </c>
      <c r="G84" s="168" t="str">
        <f t="shared" si="188"/>
        <v>#REF!</v>
      </c>
      <c r="H84" s="168" t="str">
        <f t="shared" si="188"/>
        <v>#REF!</v>
      </c>
      <c r="I84" s="168" t="str">
        <f t="shared" si="188"/>
        <v>#REF!</v>
      </c>
      <c r="J84" s="168" t="str">
        <f t="shared" si="188"/>
        <v>#REF!</v>
      </c>
      <c r="K84" s="168" t="str">
        <f t="shared" si="188"/>
        <v>#REF!</v>
      </c>
      <c r="L84" s="168" t="str">
        <f t="shared" si="188"/>
        <v>#REF!</v>
      </c>
      <c r="M84" s="168" t="str">
        <f t="shared" si="188"/>
        <v>#REF!</v>
      </c>
      <c r="N84" s="168" t="str">
        <f t="shared" si="188"/>
        <v>#REF!</v>
      </c>
      <c r="O84" s="168" t="str">
        <f t="shared" si="188"/>
        <v>#REF!</v>
      </c>
      <c r="P84" s="168" t="str">
        <f t="shared" si="188"/>
        <v>#REF!</v>
      </c>
      <c r="Q84" s="168" t="str">
        <f t="shared" si="188"/>
        <v>#REF!</v>
      </c>
      <c r="R84" s="168" t="str">
        <f t="shared" si="188"/>
        <v>#REF!</v>
      </c>
      <c r="S84" s="168" t="str">
        <f t="shared" si="188"/>
        <v>#REF!</v>
      </c>
      <c r="T84" s="168" t="str">
        <f t="shared" si="188"/>
        <v>#REF!</v>
      </c>
      <c r="U84" s="168" t="str">
        <f t="shared" ref="U84:AJ84" si="189">#REF!</f>
        <v>#REF!</v>
      </c>
      <c r="V84" s="168" t="str">
        <f t="shared" si="189"/>
        <v>#REF!</v>
      </c>
      <c r="W84" s="168" t="str">
        <f t="shared" si="189"/>
        <v>#REF!</v>
      </c>
      <c r="X84" s="168" t="str">
        <f t="shared" si="189"/>
        <v>#REF!</v>
      </c>
      <c r="Y84" s="168" t="str">
        <f t="shared" si="189"/>
        <v>#REF!</v>
      </c>
      <c r="Z84" s="168" t="str">
        <f t="shared" si="189"/>
        <v>#REF!</v>
      </c>
      <c r="AA84" s="168" t="str">
        <f t="shared" si="189"/>
        <v>#REF!</v>
      </c>
      <c r="AB84" s="168" t="str">
        <f t="shared" si="189"/>
        <v>#REF!</v>
      </c>
      <c r="AC84" s="168" t="str">
        <f t="shared" si="189"/>
        <v>#REF!</v>
      </c>
      <c r="AD84" s="168" t="str">
        <f t="shared" si="189"/>
        <v>#REF!</v>
      </c>
      <c r="AE84" s="168" t="str">
        <f t="shared" si="189"/>
        <v>#REF!</v>
      </c>
      <c r="AF84" s="168" t="str">
        <f t="shared" si="189"/>
        <v>#REF!</v>
      </c>
      <c r="AG84" s="168" t="str">
        <f t="shared" si="189"/>
        <v>#REF!</v>
      </c>
      <c r="AH84" s="168" t="str">
        <f t="shared" si="189"/>
        <v>#REF!</v>
      </c>
      <c r="AI84" s="168" t="str">
        <f t="shared" si="189"/>
        <v>#REF!</v>
      </c>
      <c r="AJ84" s="168" t="str">
        <f t="shared" si="189"/>
        <v>#REF!</v>
      </c>
    </row>
    <row r="85" ht="15.75" customHeight="1">
      <c r="A85" s="168" t="str">
        <f t="shared" ref="A85:T85" si="190">if(#REF!=$D$1,#REF!,"")</f>
        <v>#REF!</v>
      </c>
      <c r="B85" s="168" t="str">
        <f t="shared" si="190"/>
        <v>#REF!</v>
      </c>
      <c r="C85" s="168" t="str">
        <f t="shared" si="190"/>
        <v>#REF!</v>
      </c>
      <c r="D85" s="168" t="str">
        <f t="shared" si="190"/>
        <v>#REF!</v>
      </c>
      <c r="E85" s="168" t="str">
        <f t="shared" si="190"/>
        <v>#REF!</v>
      </c>
      <c r="F85" s="168" t="str">
        <f t="shared" si="190"/>
        <v>#REF!</v>
      </c>
      <c r="G85" s="168" t="str">
        <f t="shared" si="190"/>
        <v>#REF!</v>
      </c>
      <c r="H85" s="168" t="str">
        <f t="shared" si="190"/>
        <v>#REF!</v>
      </c>
      <c r="I85" s="168" t="str">
        <f t="shared" si="190"/>
        <v>#REF!</v>
      </c>
      <c r="J85" s="168" t="str">
        <f t="shared" si="190"/>
        <v>#REF!</v>
      </c>
      <c r="K85" s="168" t="str">
        <f t="shared" si="190"/>
        <v>#REF!</v>
      </c>
      <c r="L85" s="168" t="str">
        <f t="shared" si="190"/>
        <v>#REF!</v>
      </c>
      <c r="M85" s="168" t="str">
        <f t="shared" si="190"/>
        <v>#REF!</v>
      </c>
      <c r="N85" s="168" t="str">
        <f t="shared" si="190"/>
        <v>#REF!</v>
      </c>
      <c r="O85" s="168" t="str">
        <f t="shared" si="190"/>
        <v>#REF!</v>
      </c>
      <c r="P85" s="168" t="str">
        <f t="shared" si="190"/>
        <v>#REF!</v>
      </c>
      <c r="Q85" s="168" t="str">
        <f t="shared" si="190"/>
        <v>#REF!</v>
      </c>
      <c r="R85" s="168" t="str">
        <f t="shared" si="190"/>
        <v>#REF!</v>
      </c>
      <c r="S85" s="168" t="str">
        <f t="shared" si="190"/>
        <v>#REF!</v>
      </c>
      <c r="T85" s="168" t="str">
        <f t="shared" si="190"/>
        <v>#REF!</v>
      </c>
      <c r="U85" s="168" t="str">
        <f t="shared" ref="U85:AJ85" si="191">#REF!</f>
        <v>#REF!</v>
      </c>
      <c r="V85" s="168" t="str">
        <f t="shared" si="191"/>
        <v>#REF!</v>
      </c>
      <c r="W85" s="168" t="str">
        <f t="shared" si="191"/>
        <v>#REF!</v>
      </c>
      <c r="X85" s="168" t="str">
        <f t="shared" si="191"/>
        <v>#REF!</v>
      </c>
      <c r="Y85" s="168" t="str">
        <f t="shared" si="191"/>
        <v>#REF!</v>
      </c>
      <c r="Z85" s="168" t="str">
        <f t="shared" si="191"/>
        <v>#REF!</v>
      </c>
      <c r="AA85" s="168" t="str">
        <f t="shared" si="191"/>
        <v>#REF!</v>
      </c>
      <c r="AB85" s="168" t="str">
        <f t="shared" si="191"/>
        <v>#REF!</v>
      </c>
      <c r="AC85" s="168" t="str">
        <f t="shared" si="191"/>
        <v>#REF!</v>
      </c>
      <c r="AD85" s="168" t="str">
        <f t="shared" si="191"/>
        <v>#REF!</v>
      </c>
      <c r="AE85" s="168" t="str">
        <f t="shared" si="191"/>
        <v>#REF!</v>
      </c>
      <c r="AF85" s="168" t="str">
        <f t="shared" si="191"/>
        <v>#REF!</v>
      </c>
      <c r="AG85" s="168" t="str">
        <f t="shared" si="191"/>
        <v>#REF!</v>
      </c>
      <c r="AH85" s="168" t="str">
        <f t="shared" si="191"/>
        <v>#REF!</v>
      </c>
      <c r="AI85" s="168" t="str">
        <f t="shared" si="191"/>
        <v>#REF!</v>
      </c>
      <c r="AJ85" s="168" t="str">
        <f t="shared" si="191"/>
        <v>#REF!</v>
      </c>
    </row>
    <row r="86" ht="15.75" customHeight="1">
      <c r="A86" s="168" t="str">
        <f t="shared" ref="A86:T86" si="192">if(#REF!=$D$1,#REF!,"")</f>
        <v>#REF!</v>
      </c>
      <c r="B86" s="168" t="str">
        <f t="shared" si="192"/>
        <v>#REF!</v>
      </c>
      <c r="C86" s="168" t="str">
        <f t="shared" si="192"/>
        <v>#REF!</v>
      </c>
      <c r="D86" s="168" t="str">
        <f t="shared" si="192"/>
        <v>#REF!</v>
      </c>
      <c r="E86" s="168" t="str">
        <f t="shared" si="192"/>
        <v>#REF!</v>
      </c>
      <c r="F86" s="168" t="str">
        <f t="shared" si="192"/>
        <v>#REF!</v>
      </c>
      <c r="G86" s="168" t="str">
        <f t="shared" si="192"/>
        <v>#REF!</v>
      </c>
      <c r="H86" s="168" t="str">
        <f t="shared" si="192"/>
        <v>#REF!</v>
      </c>
      <c r="I86" s="168" t="str">
        <f t="shared" si="192"/>
        <v>#REF!</v>
      </c>
      <c r="J86" s="168" t="str">
        <f t="shared" si="192"/>
        <v>#REF!</v>
      </c>
      <c r="K86" s="168" t="str">
        <f t="shared" si="192"/>
        <v>#REF!</v>
      </c>
      <c r="L86" s="168" t="str">
        <f t="shared" si="192"/>
        <v>#REF!</v>
      </c>
      <c r="M86" s="168" t="str">
        <f t="shared" si="192"/>
        <v>#REF!</v>
      </c>
      <c r="N86" s="168" t="str">
        <f t="shared" si="192"/>
        <v>#REF!</v>
      </c>
      <c r="O86" s="168" t="str">
        <f t="shared" si="192"/>
        <v>#REF!</v>
      </c>
      <c r="P86" s="168" t="str">
        <f t="shared" si="192"/>
        <v>#REF!</v>
      </c>
      <c r="Q86" s="168" t="str">
        <f t="shared" si="192"/>
        <v>#REF!</v>
      </c>
      <c r="R86" s="168" t="str">
        <f t="shared" si="192"/>
        <v>#REF!</v>
      </c>
      <c r="S86" s="168" t="str">
        <f t="shared" si="192"/>
        <v>#REF!</v>
      </c>
      <c r="T86" s="168" t="str">
        <f t="shared" si="192"/>
        <v>#REF!</v>
      </c>
      <c r="U86" s="168" t="str">
        <f t="shared" ref="U86:AJ86" si="193">#REF!</f>
        <v>#REF!</v>
      </c>
      <c r="V86" s="168" t="str">
        <f t="shared" si="193"/>
        <v>#REF!</v>
      </c>
      <c r="W86" s="168" t="str">
        <f t="shared" si="193"/>
        <v>#REF!</v>
      </c>
      <c r="X86" s="168" t="str">
        <f t="shared" si="193"/>
        <v>#REF!</v>
      </c>
      <c r="Y86" s="168" t="str">
        <f t="shared" si="193"/>
        <v>#REF!</v>
      </c>
      <c r="Z86" s="168" t="str">
        <f t="shared" si="193"/>
        <v>#REF!</v>
      </c>
      <c r="AA86" s="168" t="str">
        <f t="shared" si="193"/>
        <v>#REF!</v>
      </c>
      <c r="AB86" s="168" t="str">
        <f t="shared" si="193"/>
        <v>#REF!</v>
      </c>
      <c r="AC86" s="168" t="str">
        <f t="shared" si="193"/>
        <v>#REF!</v>
      </c>
      <c r="AD86" s="168" t="str">
        <f t="shared" si="193"/>
        <v>#REF!</v>
      </c>
      <c r="AE86" s="168" t="str">
        <f t="shared" si="193"/>
        <v>#REF!</v>
      </c>
      <c r="AF86" s="168" t="str">
        <f t="shared" si="193"/>
        <v>#REF!</v>
      </c>
      <c r="AG86" s="168" t="str">
        <f t="shared" si="193"/>
        <v>#REF!</v>
      </c>
      <c r="AH86" s="168" t="str">
        <f t="shared" si="193"/>
        <v>#REF!</v>
      </c>
      <c r="AI86" s="168" t="str">
        <f t="shared" si="193"/>
        <v>#REF!</v>
      </c>
      <c r="AJ86" s="168" t="str">
        <f t="shared" si="193"/>
        <v>#REF!</v>
      </c>
    </row>
    <row r="87" ht="15.75" customHeight="1">
      <c r="A87" s="168" t="str">
        <f t="shared" ref="A87:T87" si="194">if(#REF!=$D$1,#REF!,"")</f>
        <v>#REF!</v>
      </c>
      <c r="B87" s="168" t="str">
        <f t="shared" si="194"/>
        <v>#REF!</v>
      </c>
      <c r="C87" s="168" t="str">
        <f t="shared" si="194"/>
        <v>#REF!</v>
      </c>
      <c r="D87" s="168" t="str">
        <f t="shared" si="194"/>
        <v>#REF!</v>
      </c>
      <c r="E87" s="168" t="str">
        <f t="shared" si="194"/>
        <v>#REF!</v>
      </c>
      <c r="F87" s="168" t="str">
        <f t="shared" si="194"/>
        <v>#REF!</v>
      </c>
      <c r="G87" s="168" t="str">
        <f t="shared" si="194"/>
        <v>#REF!</v>
      </c>
      <c r="H87" s="168" t="str">
        <f t="shared" si="194"/>
        <v>#REF!</v>
      </c>
      <c r="I87" s="168" t="str">
        <f t="shared" si="194"/>
        <v>#REF!</v>
      </c>
      <c r="J87" s="168" t="str">
        <f t="shared" si="194"/>
        <v>#REF!</v>
      </c>
      <c r="K87" s="168" t="str">
        <f t="shared" si="194"/>
        <v>#REF!</v>
      </c>
      <c r="L87" s="168" t="str">
        <f t="shared" si="194"/>
        <v>#REF!</v>
      </c>
      <c r="M87" s="168" t="str">
        <f t="shared" si="194"/>
        <v>#REF!</v>
      </c>
      <c r="N87" s="168" t="str">
        <f t="shared" si="194"/>
        <v>#REF!</v>
      </c>
      <c r="O87" s="168" t="str">
        <f t="shared" si="194"/>
        <v>#REF!</v>
      </c>
      <c r="P87" s="168" t="str">
        <f t="shared" si="194"/>
        <v>#REF!</v>
      </c>
      <c r="Q87" s="168" t="str">
        <f t="shared" si="194"/>
        <v>#REF!</v>
      </c>
      <c r="R87" s="168" t="str">
        <f t="shared" si="194"/>
        <v>#REF!</v>
      </c>
      <c r="S87" s="168" t="str">
        <f t="shared" si="194"/>
        <v>#REF!</v>
      </c>
      <c r="T87" s="168" t="str">
        <f t="shared" si="194"/>
        <v>#REF!</v>
      </c>
      <c r="U87" s="168" t="str">
        <f t="shared" ref="U87:AJ87" si="195">#REF!</f>
        <v>#REF!</v>
      </c>
      <c r="V87" s="168" t="str">
        <f t="shared" si="195"/>
        <v>#REF!</v>
      </c>
      <c r="W87" s="168" t="str">
        <f t="shared" si="195"/>
        <v>#REF!</v>
      </c>
      <c r="X87" s="168" t="str">
        <f t="shared" si="195"/>
        <v>#REF!</v>
      </c>
      <c r="Y87" s="168" t="str">
        <f t="shared" si="195"/>
        <v>#REF!</v>
      </c>
      <c r="Z87" s="168" t="str">
        <f t="shared" si="195"/>
        <v>#REF!</v>
      </c>
      <c r="AA87" s="168" t="str">
        <f t="shared" si="195"/>
        <v>#REF!</v>
      </c>
      <c r="AB87" s="168" t="str">
        <f t="shared" si="195"/>
        <v>#REF!</v>
      </c>
      <c r="AC87" s="168" t="str">
        <f t="shared" si="195"/>
        <v>#REF!</v>
      </c>
      <c r="AD87" s="168" t="str">
        <f t="shared" si="195"/>
        <v>#REF!</v>
      </c>
      <c r="AE87" s="168" t="str">
        <f t="shared" si="195"/>
        <v>#REF!</v>
      </c>
      <c r="AF87" s="168" t="str">
        <f t="shared" si="195"/>
        <v>#REF!</v>
      </c>
      <c r="AG87" s="168" t="str">
        <f t="shared" si="195"/>
        <v>#REF!</v>
      </c>
      <c r="AH87" s="168" t="str">
        <f t="shared" si="195"/>
        <v>#REF!</v>
      </c>
      <c r="AI87" s="168" t="str">
        <f t="shared" si="195"/>
        <v>#REF!</v>
      </c>
      <c r="AJ87" s="168" t="str">
        <f t="shared" si="195"/>
        <v>#REF!</v>
      </c>
    </row>
    <row r="88" ht="15.75" customHeight="1">
      <c r="A88" s="168" t="str">
        <f t="shared" ref="A88:T88" si="196">if(#REF!=$D$1,#REF!,"")</f>
        <v>#REF!</v>
      </c>
      <c r="B88" s="168" t="str">
        <f t="shared" si="196"/>
        <v>#REF!</v>
      </c>
      <c r="C88" s="168" t="str">
        <f t="shared" si="196"/>
        <v>#REF!</v>
      </c>
      <c r="D88" s="168" t="str">
        <f t="shared" si="196"/>
        <v>#REF!</v>
      </c>
      <c r="E88" s="168" t="str">
        <f t="shared" si="196"/>
        <v>#REF!</v>
      </c>
      <c r="F88" s="168" t="str">
        <f t="shared" si="196"/>
        <v>#REF!</v>
      </c>
      <c r="G88" s="168" t="str">
        <f t="shared" si="196"/>
        <v>#REF!</v>
      </c>
      <c r="H88" s="168" t="str">
        <f t="shared" si="196"/>
        <v>#REF!</v>
      </c>
      <c r="I88" s="168" t="str">
        <f t="shared" si="196"/>
        <v>#REF!</v>
      </c>
      <c r="J88" s="168" t="str">
        <f t="shared" si="196"/>
        <v>#REF!</v>
      </c>
      <c r="K88" s="168" t="str">
        <f t="shared" si="196"/>
        <v>#REF!</v>
      </c>
      <c r="L88" s="168" t="str">
        <f t="shared" si="196"/>
        <v>#REF!</v>
      </c>
      <c r="M88" s="168" t="str">
        <f t="shared" si="196"/>
        <v>#REF!</v>
      </c>
      <c r="N88" s="168" t="str">
        <f t="shared" si="196"/>
        <v>#REF!</v>
      </c>
      <c r="O88" s="168" t="str">
        <f t="shared" si="196"/>
        <v>#REF!</v>
      </c>
      <c r="P88" s="168" t="str">
        <f t="shared" si="196"/>
        <v>#REF!</v>
      </c>
      <c r="Q88" s="168" t="str">
        <f t="shared" si="196"/>
        <v>#REF!</v>
      </c>
      <c r="R88" s="168" t="str">
        <f t="shared" si="196"/>
        <v>#REF!</v>
      </c>
      <c r="S88" s="168" t="str">
        <f t="shared" si="196"/>
        <v>#REF!</v>
      </c>
      <c r="T88" s="168" t="str">
        <f t="shared" si="196"/>
        <v>#REF!</v>
      </c>
      <c r="U88" s="168" t="str">
        <f t="shared" ref="U88:AJ88" si="197">#REF!</f>
        <v>#REF!</v>
      </c>
      <c r="V88" s="168" t="str">
        <f t="shared" si="197"/>
        <v>#REF!</v>
      </c>
      <c r="W88" s="168" t="str">
        <f t="shared" si="197"/>
        <v>#REF!</v>
      </c>
      <c r="X88" s="168" t="str">
        <f t="shared" si="197"/>
        <v>#REF!</v>
      </c>
      <c r="Y88" s="168" t="str">
        <f t="shared" si="197"/>
        <v>#REF!</v>
      </c>
      <c r="Z88" s="168" t="str">
        <f t="shared" si="197"/>
        <v>#REF!</v>
      </c>
      <c r="AA88" s="168" t="str">
        <f t="shared" si="197"/>
        <v>#REF!</v>
      </c>
      <c r="AB88" s="168" t="str">
        <f t="shared" si="197"/>
        <v>#REF!</v>
      </c>
      <c r="AC88" s="168" t="str">
        <f t="shared" si="197"/>
        <v>#REF!</v>
      </c>
      <c r="AD88" s="168" t="str">
        <f t="shared" si="197"/>
        <v>#REF!</v>
      </c>
      <c r="AE88" s="168" t="str">
        <f t="shared" si="197"/>
        <v>#REF!</v>
      </c>
      <c r="AF88" s="168" t="str">
        <f t="shared" si="197"/>
        <v>#REF!</v>
      </c>
      <c r="AG88" s="168" t="str">
        <f t="shared" si="197"/>
        <v>#REF!</v>
      </c>
      <c r="AH88" s="168" t="str">
        <f t="shared" si="197"/>
        <v>#REF!</v>
      </c>
      <c r="AI88" s="168" t="str">
        <f t="shared" si="197"/>
        <v>#REF!</v>
      </c>
      <c r="AJ88" s="168" t="str">
        <f t="shared" si="197"/>
        <v>#REF!</v>
      </c>
    </row>
    <row r="89" ht="15.75" customHeight="1">
      <c r="A89" s="168" t="str">
        <f>if('2026 Pipeline'!$M17=$D$1,'2026 Pipeline'!C17,"")</f>
        <v>#REF!</v>
      </c>
      <c r="B89" s="168" t="str">
        <f t="shared" ref="B89:C89" si="198">if('2026 Pipeline'!$M17=$D$1,'2026 Pipeline'!J17,"")</f>
        <v>#REF!</v>
      </c>
      <c r="C89" s="168" t="str">
        <f t="shared" si="198"/>
        <v>#REF!</v>
      </c>
      <c r="D89" s="168" t="str">
        <f t="shared" ref="D89:F89" si="199">if('2026 Pipeline'!$M17=$D$1,'2026 Pipeline'!M17,"")</f>
        <v>#REF!</v>
      </c>
      <c r="E89" s="168" t="str">
        <f t="shared" si="199"/>
        <v>#REF!</v>
      </c>
      <c r="F89" s="168" t="str">
        <f t="shared" si="199"/>
        <v>#REF!</v>
      </c>
      <c r="G89" s="168" t="str">
        <f>if('2026 Pipeline'!$M17=$D$1,'2026 Pipeline'!Q17,"")</f>
        <v>#REF!</v>
      </c>
      <c r="H89" s="168" t="str">
        <f>if('2026 Pipeline'!$M17=$D$1,'2026 Pipeline'!P17,"")</f>
        <v>#REF!</v>
      </c>
      <c r="I89" s="168" t="str">
        <f>if('2026 Pipeline'!$M17=$D$1,'2026 Pipeline'!R17,"")</f>
        <v>#REF!</v>
      </c>
      <c r="J89" s="168" t="str">
        <f t="shared" ref="J89:L89" si="200">if('2026 Pipeline'!$M17=$D$1,'2026 Pipeline'!V17,"")</f>
        <v>#REF!</v>
      </c>
      <c r="K89" s="168" t="str">
        <f t="shared" si="200"/>
        <v>#REF!</v>
      </c>
      <c r="L89" s="168" t="str">
        <f t="shared" si="200"/>
        <v>#REF!</v>
      </c>
      <c r="M89" s="168" t="str">
        <f t="shared" ref="M89:O89" si="201">if('2026 Pipeline'!$M17=$D$1,#REF!,"")</f>
        <v>#REF!</v>
      </c>
      <c r="N89" s="168" t="str">
        <f t="shared" si="201"/>
        <v>#REF!</v>
      </c>
      <c r="O89" s="168" t="str">
        <f t="shared" si="201"/>
        <v>#REF!</v>
      </c>
      <c r="P89" s="168" t="str">
        <f>if('2026 Pipeline'!$M17=$D$1,'2026 Pipeline'!AA17,"")</f>
        <v>#REF!</v>
      </c>
      <c r="Q89" s="168" t="str">
        <f>if('2026 Pipeline'!$M17=$D$1,'2026 Pipeline'!Y17,"")</f>
        <v>#REF!</v>
      </c>
      <c r="R89" s="168" t="str">
        <f>if('2026 Pipeline'!$M17=$D$1,#REF!,"")</f>
        <v>#REF!</v>
      </c>
      <c r="S89" s="168" t="str">
        <f>if('2026 Pipeline'!$M17=$D$1,'2026 Pipeline'!L17,"")</f>
        <v>#REF!</v>
      </c>
      <c r="T89" s="168" t="str">
        <f>if('2026 Pipeline'!$M17=$D$1,'2026 Pipeline'!CD17,"")</f>
        <v>#REF!</v>
      </c>
      <c r="U89" s="168" t="str">
        <f t="shared" ref="U89:AJ89" si="202">#REF!</f>
        <v>#REF!</v>
      </c>
      <c r="V89" s="168" t="str">
        <f t="shared" si="202"/>
        <v>#REF!</v>
      </c>
      <c r="W89" s="168" t="str">
        <f t="shared" si="202"/>
        <v>#REF!</v>
      </c>
      <c r="X89" s="168" t="str">
        <f t="shared" si="202"/>
        <v>#REF!</v>
      </c>
      <c r="Y89" s="168" t="str">
        <f t="shared" si="202"/>
        <v>#REF!</v>
      </c>
      <c r="Z89" s="168" t="str">
        <f t="shared" si="202"/>
        <v>#REF!</v>
      </c>
      <c r="AA89" s="168" t="str">
        <f t="shared" si="202"/>
        <v>#REF!</v>
      </c>
      <c r="AB89" s="168" t="str">
        <f t="shared" si="202"/>
        <v>#REF!</v>
      </c>
      <c r="AC89" s="168" t="str">
        <f t="shared" si="202"/>
        <v>#REF!</v>
      </c>
      <c r="AD89" s="168" t="str">
        <f t="shared" si="202"/>
        <v>#REF!</v>
      </c>
      <c r="AE89" s="168" t="str">
        <f t="shared" si="202"/>
        <v>#REF!</v>
      </c>
      <c r="AF89" s="168" t="str">
        <f t="shared" si="202"/>
        <v>#REF!</v>
      </c>
      <c r="AG89" s="168" t="str">
        <f t="shared" si="202"/>
        <v>#REF!</v>
      </c>
      <c r="AH89" s="168" t="str">
        <f t="shared" si="202"/>
        <v>#REF!</v>
      </c>
      <c r="AI89" s="168" t="str">
        <f t="shared" si="202"/>
        <v>#REF!</v>
      </c>
      <c r="AJ89" s="168" t="str">
        <f t="shared" si="202"/>
        <v>#REF!</v>
      </c>
    </row>
    <row r="90" ht="15.75" customHeight="1">
      <c r="A90" s="168" t="str">
        <f t="shared" ref="A90:T90" si="203">if(#REF!=$D$1,#REF!,"")</f>
        <v>#REF!</v>
      </c>
      <c r="B90" s="168" t="str">
        <f t="shared" si="203"/>
        <v>#REF!</v>
      </c>
      <c r="C90" s="168" t="str">
        <f t="shared" si="203"/>
        <v>#REF!</v>
      </c>
      <c r="D90" s="168" t="str">
        <f t="shared" si="203"/>
        <v>#REF!</v>
      </c>
      <c r="E90" s="168" t="str">
        <f t="shared" si="203"/>
        <v>#REF!</v>
      </c>
      <c r="F90" s="168" t="str">
        <f t="shared" si="203"/>
        <v>#REF!</v>
      </c>
      <c r="G90" s="168" t="str">
        <f t="shared" si="203"/>
        <v>#REF!</v>
      </c>
      <c r="H90" s="168" t="str">
        <f t="shared" si="203"/>
        <v>#REF!</v>
      </c>
      <c r="I90" s="168" t="str">
        <f t="shared" si="203"/>
        <v>#REF!</v>
      </c>
      <c r="J90" s="168" t="str">
        <f t="shared" si="203"/>
        <v>#REF!</v>
      </c>
      <c r="K90" s="168" t="str">
        <f t="shared" si="203"/>
        <v>#REF!</v>
      </c>
      <c r="L90" s="168" t="str">
        <f t="shared" si="203"/>
        <v>#REF!</v>
      </c>
      <c r="M90" s="168" t="str">
        <f t="shared" si="203"/>
        <v>#REF!</v>
      </c>
      <c r="N90" s="168" t="str">
        <f t="shared" si="203"/>
        <v>#REF!</v>
      </c>
      <c r="O90" s="168" t="str">
        <f t="shared" si="203"/>
        <v>#REF!</v>
      </c>
      <c r="P90" s="168" t="str">
        <f t="shared" si="203"/>
        <v>#REF!</v>
      </c>
      <c r="Q90" s="168" t="str">
        <f t="shared" si="203"/>
        <v>#REF!</v>
      </c>
      <c r="R90" s="168" t="str">
        <f t="shared" si="203"/>
        <v>#REF!</v>
      </c>
      <c r="S90" s="168" t="str">
        <f t="shared" si="203"/>
        <v>#REF!</v>
      </c>
      <c r="T90" s="168" t="str">
        <f t="shared" si="203"/>
        <v>#REF!</v>
      </c>
      <c r="U90" s="168" t="str">
        <f t="shared" ref="U90:AJ90" si="204">#REF!</f>
        <v>#REF!</v>
      </c>
      <c r="V90" s="168" t="str">
        <f t="shared" si="204"/>
        <v>#REF!</v>
      </c>
      <c r="W90" s="168" t="str">
        <f t="shared" si="204"/>
        <v>#REF!</v>
      </c>
      <c r="X90" s="168" t="str">
        <f t="shared" si="204"/>
        <v>#REF!</v>
      </c>
      <c r="Y90" s="168" t="str">
        <f t="shared" si="204"/>
        <v>#REF!</v>
      </c>
      <c r="Z90" s="168" t="str">
        <f t="shared" si="204"/>
        <v>#REF!</v>
      </c>
      <c r="AA90" s="168" t="str">
        <f t="shared" si="204"/>
        <v>#REF!</v>
      </c>
      <c r="AB90" s="168" t="str">
        <f t="shared" si="204"/>
        <v>#REF!</v>
      </c>
      <c r="AC90" s="168" t="str">
        <f t="shared" si="204"/>
        <v>#REF!</v>
      </c>
      <c r="AD90" s="168" t="str">
        <f t="shared" si="204"/>
        <v>#REF!</v>
      </c>
      <c r="AE90" s="168" t="str">
        <f t="shared" si="204"/>
        <v>#REF!</v>
      </c>
      <c r="AF90" s="168" t="str">
        <f t="shared" si="204"/>
        <v>#REF!</v>
      </c>
      <c r="AG90" s="168" t="str">
        <f t="shared" si="204"/>
        <v>#REF!</v>
      </c>
      <c r="AH90" s="168" t="str">
        <f t="shared" si="204"/>
        <v>#REF!</v>
      </c>
      <c r="AI90" s="168" t="str">
        <f t="shared" si="204"/>
        <v>#REF!</v>
      </c>
      <c r="AJ90" s="168" t="str">
        <f t="shared" si="204"/>
        <v>#REF!</v>
      </c>
    </row>
    <row r="91" ht="15.75" customHeight="1">
      <c r="A91" s="168" t="str">
        <f t="shared" ref="A91:T91" si="205">if(#REF!=$D$1,#REF!,"")</f>
        <v>#REF!</v>
      </c>
      <c r="B91" s="168" t="str">
        <f t="shared" si="205"/>
        <v>#REF!</v>
      </c>
      <c r="C91" s="168" t="str">
        <f t="shared" si="205"/>
        <v>#REF!</v>
      </c>
      <c r="D91" s="168" t="str">
        <f t="shared" si="205"/>
        <v>#REF!</v>
      </c>
      <c r="E91" s="168" t="str">
        <f t="shared" si="205"/>
        <v>#REF!</v>
      </c>
      <c r="F91" s="168" t="str">
        <f t="shared" si="205"/>
        <v>#REF!</v>
      </c>
      <c r="G91" s="168" t="str">
        <f t="shared" si="205"/>
        <v>#REF!</v>
      </c>
      <c r="H91" s="168" t="str">
        <f t="shared" si="205"/>
        <v>#REF!</v>
      </c>
      <c r="I91" s="168" t="str">
        <f t="shared" si="205"/>
        <v>#REF!</v>
      </c>
      <c r="J91" s="168" t="str">
        <f t="shared" si="205"/>
        <v>#REF!</v>
      </c>
      <c r="K91" s="168" t="str">
        <f t="shared" si="205"/>
        <v>#REF!</v>
      </c>
      <c r="L91" s="168" t="str">
        <f t="shared" si="205"/>
        <v>#REF!</v>
      </c>
      <c r="M91" s="168" t="str">
        <f t="shared" si="205"/>
        <v>#REF!</v>
      </c>
      <c r="N91" s="168" t="str">
        <f t="shared" si="205"/>
        <v>#REF!</v>
      </c>
      <c r="O91" s="168" t="str">
        <f t="shared" si="205"/>
        <v>#REF!</v>
      </c>
      <c r="P91" s="168" t="str">
        <f t="shared" si="205"/>
        <v>#REF!</v>
      </c>
      <c r="Q91" s="168" t="str">
        <f t="shared" si="205"/>
        <v>#REF!</v>
      </c>
      <c r="R91" s="168" t="str">
        <f t="shared" si="205"/>
        <v>#REF!</v>
      </c>
      <c r="S91" s="168" t="str">
        <f t="shared" si="205"/>
        <v>#REF!</v>
      </c>
      <c r="T91" s="168" t="str">
        <f t="shared" si="205"/>
        <v>#REF!</v>
      </c>
      <c r="U91" s="168" t="str">
        <f>'2026 Pipeline'!AP17</f>
        <v>#REF!</v>
      </c>
      <c r="V91" s="168" t="str">
        <f t="shared" ref="V91:Z91" si="206">'2026 Pipeline'!CJ17</f>
        <v>#REF!</v>
      </c>
      <c r="W91" s="168" t="str">
        <f t="shared" si="206"/>
        <v>#REF!</v>
      </c>
      <c r="X91" s="168" t="str">
        <f t="shared" si="206"/>
        <v>#REF!</v>
      </c>
      <c r="Y91" s="168" t="str">
        <f t="shared" si="206"/>
        <v>#REF!</v>
      </c>
      <c r="Z91" s="168" t="str">
        <f t="shared" si="206"/>
        <v>#REF!</v>
      </c>
      <c r="AA91" s="168" t="str">
        <f t="shared" ref="AA91:AF91" si="207">#REF!</f>
        <v>#REF!</v>
      </c>
      <c r="AB91" s="168" t="str">
        <f t="shared" si="207"/>
        <v>#REF!</v>
      </c>
      <c r="AC91" s="168" t="str">
        <f t="shared" si="207"/>
        <v>#REF!</v>
      </c>
      <c r="AD91" s="168" t="str">
        <f t="shared" si="207"/>
        <v>#REF!</v>
      </c>
      <c r="AE91" s="168" t="str">
        <f t="shared" si="207"/>
        <v>#REF!</v>
      </c>
      <c r="AF91" s="168" t="str">
        <f t="shared" si="207"/>
        <v>#REF!</v>
      </c>
      <c r="AG91" s="168" t="str">
        <f>'2026 Pipeline'!CT17</f>
        <v>#REF!</v>
      </c>
      <c r="AH91" s="168" t="str">
        <f>'2026 Pipeline'!S17</f>
        <v>#REF!</v>
      </c>
      <c r="AI91" s="168" t="str">
        <f t="shared" ref="AI91:AJ91" si="208">#REF!</f>
        <v>#REF!</v>
      </c>
      <c r="AJ91" s="168" t="str">
        <f t="shared" si="208"/>
        <v>#REF!</v>
      </c>
    </row>
    <row r="92" ht="15.75" customHeight="1">
      <c r="A92" s="168" t="str">
        <f t="shared" ref="A92:T92" si="209">if(#REF!=$D$1,#REF!,"")</f>
        <v>#REF!</v>
      </c>
      <c r="B92" s="168" t="str">
        <f t="shared" si="209"/>
        <v>#REF!</v>
      </c>
      <c r="C92" s="168" t="str">
        <f t="shared" si="209"/>
        <v>#REF!</v>
      </c>
      <c r="D92" s="168" t="str">
        <f t="shared" si="209"/>
        <v>#REF!</v>
      </c>
      <c r="E92" s="168" t="str">
        <f t="shared" si="209"/>
        <v>#REF!</v>
      </c>
      <c r="F92" s="168" t="str">
        <f t="shared" si="209"/>
        <v>#REF!</v>
      </c>
      <c r="G92" s="168" t="str">
        <f t="shared" si="209"/>
        <v>#REF!</v>
      </c>
      <c r="H92" s="168" t="str">
        <f t="shared" si="209"/>
        <v>#REF!</v>
      </c>
      <c r="I92" s="168" t="str">
        <f t="shared" si="209"/>
        <v>#REF!</v>
      </c>
      <c r="J92" s="168" t="str">
        <f t="shared" si="209"/>
        <v>#REF!</v>
      </c>
      <c r="K92" s="168" t="str">
        <f t="shared" si="209"/>
        <v>#REF!</v>
      </c>
      <c r="L92" s="168" t="str">
        <f t="shared" si="209"/>
        <v>#REF!</v>
      </c>
      <c r="M92" s="168" t="str">
        <f t="shared" si="209"/>
        <v>#REF!</v>
      </c>
      <c r="N92" s="168" t="str">
        <f t="shared" si="209"/>
        <v>#REF!</v>
      </c>
      <c r="O92" s="168" t="str">
        <f t="shared" si="209"/>
        <v>#REF!</v>
      </c>
      <c r="P92" s="168" t="str">
        <f t="shared" si="209"/>
        <v>#REF!</v>
      </c>
      <c r="Q92" s="168" t="str">
        <f t="shared" si="209"/>
        <v>#REF!</v>
      </c>
      <c r="R92" s="168" t="str">
        <f t="shared" si="209"/>
        <v>#REF!</v>
      </c>
      <c r="S92" s="168" t="str">
        <f t="shared" si="209"/>
        <v>#REF!</v>
      </c>
      <c r="T92" s="168" t="str">
        <f t="shared" si="209"/>
        <v>#REF!</v>
      </c>
      <c r="U92" s="168" t="str">
        <f t="shared" ref="U92:AJ92" si="210">#REF!</f>
        <v>#REF!</v>
      </c>
      <c r="V92" s="168" t="str">
        <f t="shared" si="210"/>
        <v>#REF!</v>
      </c>
      <c r="W92" s="168" t="str">
        <f t="shared" si="210"/>
        <v>#REF!</v>
      </c>
      <c r="X92" s="168" t="str">
        <f t="shared" si="210"/>
        <v>#REF!</v>
      </c>
      <c r="Y92" s="168" t="str">
        <f t="shared" si="210"/>
        <v>#REF!</v>
      </c>
      <c r="Z92" s="168" t="str">
        <f t="shared" si="210"/>
        <v>#REF!</v>
      </c>
      <c r="AA92" s="168" t="str">
        <f t="shared" si="210"/>
        <v>#REF!</v>
      </c>
      <c r="AB92" s="168" t="str">
        <f t="shared" si="210"/>
        <v>#REF!</v>
      </c>
      <c r="AC92" s="168" t="str">
        <f t="shared" si="210"/>
        <v>#REF!</v>
      </c>
      <c r="AD92" s="168" t="str">
        <f t="shared" si="210"/>
        <v>#REF!</v>
      </c>
      <c r="AE92" s="168" t="str">
        <f t="shared" si="210"/>
        <v>#REF!</v>
      </c>
      <c r="AF92" s="168" t="str">
        <f t="shared" si="210"/>
        <v>#REF!</v>
      </c>
      <c r="AG92" s="168" t="str">
        <f t="shared" si="210"/>
        <v>#REF!</v>
      </c>
      <c r="AH92" s="168" t="str">
        <f t="shared" si="210"/>
        <v>#REF!</v>
      </c>
      <c r="AI92" s="168" t="str">
        <f t="shared" si="210"/>
        <v>#REF!</v>
      </c>
      <c r="AJ92" s="168" t="str">
        <f t="shared" si="210"/>
        <v>#REF!</v>
      </c>
    </row>
    <row r="93" ht="15.75" customHeight="1">
      <c r="A93" s="168" t="str">
        <f t="shared" ref="A93:T93" si="211">if(#REF!=$D$1,#REF!,"")</f>
        <v>#REF!</v>
      </c>
      <c r="B93" s="168" t="str">
        <f t="shared" si="211"/>
        <v>#REF!</v>
      </c>
      <c r="C93" s="168" t="str">
        <f t="shared" si="211"/>
        <v>#REF!</v>
      </c>
      <c r="D93" s="168" t="str">
        <f t="shared" si="211"/>
        <v>#REF!</v>
      </c>
      <c r="E93" s="168" t="str">
        <f t="shared" si="211"/>
        <v>#REF!</v>
      </c>
      <c r="F93" s="168" t="str">
        <f t="shared" si="211"/>
        <v>#REF!</v>
      </c>
      <c r="G93" s="168" t="str">
        <f t="shared" si="211"/>
        <v>#REF!</v>
      </c>
      <c r="H93" s="168" t="str">
        <f t="shared" si="211"/>
        <v>#REF!</v>
      </c>
      <c r="I93" s="168" t="str">
        <f t="shared" si="211"/>
        <v>#REF!</v>
      </c>
      <c r="J93" s="168" t="str">
        <f t="shared" si="211"/>
        <v>#REF!</v>
      </c>
      <c r="K93" s="168" t="str">
        <f t="shared" si="211"/>
        <v>#REF!</v>
      </c>
      <c r="L93" s="168" t="str">
        <f t="shared" si="211"/>
        <v>#REF!</v>
      </c>
      <c r="M93" s="168" t="str">
        <f t="shared" si="211"/>
        <v>#REF!</v>
      </c>
      <c r="N93" s="168" t="str">
        <f t="shared" si="211"/>
        <v>#REF!</v>
      </c>
      <c r="O93" s="168" t="str">
        <f t="shared" si="211"/>
        <v>#REF!</v>
      </c>
      <c r="P93" s="168" t="str">
        <f t="shared" si="211"/>
        <v>#REF!</v>
      </c>
      <c r="Q93" s="168" t="str">
        <f t="shared" si="211"/>
        <v>#REF!</v>
      </c>
      <c r="R93" s="168" t="str">
        <f t="shared" si="211"/>
        <v>#REF!</v>
      </c>
      <c r="S93" s="168" t="str">
        <f t="shared" si="211"/>
        <v>#REF!</v>
      </c>
      <c r="T93" s="168" t="str">
        <f t="shared" si="211"/>
        <v>#REF!</v>
      </c>
      <c r="U93" s="168" t="str">
        <f t="shared" ref="U93:AJ93" si="212">#REF!</f>
        <v>#REF!</v>
      </c>
      <c r="V93" s="168" t="str">
        <f t="shared" si="212"/>
        <v>#REF!</v>
      </c>
      <c r="W93" s="168" t="str">
        <f t="shared" si="212"/>
        <v>#REF!</v>
      </c>
      <c r="X93" s="168" t="str">
        <f t="shared" si="212"/>
        <v>#REF!</v>
      </c>
      <c r="Y93" s="168" t="str">
        <f t="shared" si="212"/>
        <v>#REF!</v>
      </c>
      <c r="Z93" s="168" t="str">
        <f t="shared" si="212"/>
        <v>#REF!</v>
      </c>
      <c r="AA93" s="168" t="str">
        <f t="shared" si="212"/>
        <v>#REF!</v>
      </c>
      <c r="AB93" s="168" t="str">
        <f t="shared" si="212"/>
        <v>#REF!</v>
      </c>
      <c r="AC93" s="168" t="str">
        <f t="shared" si="212"/>
        <v>#REF!</v>
      </c>
      <c r="AD93" s="168" t="str">
        <f t="shared" si="212"/>
        <v>#REF!</v>
      </c>
      <c r="AE93" s="168" t="str">
        <f t="shared" si="212"/>
        <v>#REF!</v>
      </c>
      <c r="AF93" s="168" t="str">
        <f t="shared" si="212"/>
        <v>#REF!</v>
      </c>
      <c r="AG93" s="168" t="str">
        <f t="shared" si="212"/>
        <v>#REF!</v>
      </c>
      <c r="AH93" s="168" t="str">
        <f t="shared" si="212"/>
        <v>#REF!</v>
      </c>
      <c r="AI93" s="168" t="str">
        <f t="shared" si="212"/>
        <v>#REF!</v>
      </c>
      <c r="AJ93" s="168" t="str">
        <f t="shared" si="212"/>
        <v>#REF!</v>
      </c>
    </row>
    <row r="94" ht="15.75" customHeight="1">
      <c r="A94" s="168" t="str">
        <f t="shared" ref="A94:T94" si="213">if(#REF!=$D$1,#REF!,"")</f>
        <v>#REF!</v>
      </c>
      <c r="B94" s="168" t="str">
        <f t="shared" si="213"/>
        <v>#REF!</v>
      </c>
      <c r="C94" s="168" t="str">
        <f t="shared" si="213"/>
        <v>#REF!</v>
      </c>
      <c r="D94" s="168" t="str">
        <f t="shared" si="213"/>
        <v>#REF!</v>
      </c>
      <c r="E94" s="168" t="str">
        <f t="shared" si="213"/>
        <v>#REF!</v>
      </c>
      <c r="F94" s="168" t="str">
        <f t="shared" si="213"/>
        <v>#REF!</v>
      </c>
      <c r="G94" s="168" t="str">
        <f t="shared" si="213"/>
        <v>#REF!</v>
      </c>
      <c r="H94" s="168" t="str">
        <f t="shared" si="213"/>
        <v>#REF!</v>
      </c>
      <c r="I94" s="168" t="str">
        <f t="shared" si="213"/>
        <v>#REF!</v>
      </c>
      <c r="J94" s="168" t="str">
        <f t="shared" si="213"/>
        <v>#REF!</v>
      </c>
      <c r="K94" s="168" t="str">
        <f t="shared" si="213"/>
        <v>#REF!</v>
      </c>
      <c r="L94" s="168" t="str">
        <f t="shared" si="213"/>
        <v>#REF!</v>
      </c>
      <c r="M94" s="168" t="str">
        <f t="shared" si="213"/>
        <v>#REF!</v>
      </c>
      <c r="N94" s="168" t="str">
        <f t="shared" si="213"/>
        <v>#REF!</v>
      </c>
      <c r="O94" s="168" t="str">
        <f t="shared" si="213"/>
        <v>#REF!</v>
      </c>
      <c r="P94" s="168" t="str">
        <f t="shared" si="213"/>
        <v>#REF!</v>
      </c>
      <c r="Q94" s="168" t="str">
        <f t="shared" si="213"/>
        <v>#REF!</v>
      </c>
      <c r="R94" s="168" t="str">
        <f t="shared" si="213"/>
        <v>#REF!</v>
      </c>
      <c r="S94" s="168" t="str">
        <f t="shared" si="213"/>
        <v>#REF!</v>
      </c>
      <c r="T94" s="168" t="str">
        <f t="shared" si="213"/>
        <v>#REF!</v>
      </c>
      <c r="U94" s="168" t="str">
        <f t="shared" ref="U94:AJ94" si="214">#REF!</f>
        <v>#REF!</v>
      </c>
      <c r="V94" s="168" t="str">
        <f t="shared" si="214"/>
        <v>#REF!</v>
      </c>
      <c r="W94" s="168" t="str">
        <f t="shared" si="214"/>
        <v>#REF!</v>
      </c>
      <c r="X94" s="168" t="str">
        <f t="shared" si="214"/>
        <v>#REF!</v>
      </c>
      <c r="Y94" s="168" t="str">
        <f t="shared" si="214"/>
        <v>#REF!</v>
      </c>
      <c r="Z94" s="168" t="str">
        <f t="shared" si="214"/>
        <v>#REF!</v>
      </c>
      <c r="AA94" s="168" t="str">
        <f t="shared" si="214"/>
        <v>#REF!</v>
      </c>
      <c r="AB94" s="168" t="str">
        <f t="shared" si="214"/>
        <v>#REF!</v>
      </c>
      <c r="AC94" s="168" t="str">
        <f t="shared" si="214"/>
        <v>#REF!</v>
      </c>
      <c r="AD94" s="168" t="str">
        <f t="shared" si="214"/>
        <v>#REF!</v>
      </c>
      <c r="AE94" s="168" t="str">
        <f t="shared" si="214"/>
        <v>#REF!</v>
      </c>
      <c r="AF94" s="168" t="str">
        <f t="shared" si="214"/>
        <v>#REF!</v>
      </c>
      <c r="AG94" s="168" t="str">
        <f t="shared" si="214"/>
        <v>#REF!</v>
      </c>
      <c r="AH94" s="168" t="str">
        <f t="shared" si="214"/>
        <v>#REF!</v>
      </c>
      <c r="AI94" s="168" t="str">
        <f t="shared" si="214"/>
        <v>#REF!</v>
      </c>
      <c r="AJ94" s="168" t="str">
        <f t="shared" si="214"/>
        <v>#REF!</v>
      </c>
    </row>
    <row r="95" ht="15.75" customHeight="1">
      <c r="A95" s="168" t="str">
        <f t="shared" ref="A95:T95" si="215">if(#REF!=$D$1,#REF!,"")</f>
        <v>#REF!</v>
      </c>
      <c r="B95" s="168" t="str">
        <f t="shared" si="215"/>
        <v>#REF!</v>
      </c>
      <c r="C95" s="168" t="str">
        <f t="shared" si="215"/>
        <v>#REF!</v>
      </c>
      <c r="D95" s="168" t="str">
        <f t="shared" si="215"/>
        <v>#REF!</v>
      </c>
      <c r="E95" s="168" t="str">
        <f t="shared" si="215"/>
        <v>#REF!</v>
      </c>
      <c r="F95" s="168" t="str">
        <f t="shared" si="215"/>
        <v>#REF!</v>
      </c>
      <c r="G95" s="168" t="str">
        <f t="shared" si="215"/>
        <v>#REF!</v>
      </c>
      <c r="H95" s="168" t="str">
        <f t="shared" si="215"/>
        <v>#REF!</v>
      </c>
      <c r="I95" s="168" t="str">
        <f t="shared" si="215"/>
        <v>#REF!</v>
      </c>
      <c r="J95" s="168" t="str">
        <f t="shared" si="215"/>
        <v>#REF!</v>
      </c>
      <c r="K95" s="168" t="str">
        <f t="shared" si="215"/>
        <v>#REF!</v>
      </c>
      <c r="L95" s="168" t="str">
        <f t="shared" si="215"/>
        <v>#REF!</v>
      </c>
      <c r="M95" s="168" t="str">
        <f t="shared" si="215"/>
        <v>#REF!</v>
      </c>
      <c r="N95" s="168" t="str">
        <f t="shared" si="215"/>
        <v>#REF!</v>
      </c>
      <c r="O95" s="168" t="str">
        <f t="shared" si="215"/>
        <v>#REF!</v>
      </c>
      <c r="P95" s="168" t="str">
        <f t="shared" si="215"/>
        <v>#REF!</v>
      </c>
      <c r="Q95" s="168" t="str">
        <f t="shared" si="215"/>
        <v>#REF!</v>
      </c>
      <c r="R95" s="168" t="str">
        <f t="shared" si="215"/>
        <v>#REF!</v>
      </c>
      <c r="S95" s="168" t="str">
        <f t="shared" si="215"/>
        <v>#REF!</v>
      </c>
      <c r="T95" s="168" t="str">
        <f t="shared" si="215"/>
        <v>#REF!</v>
      </c>
      <c r="U95" s="168" t="str">
        <f t="shared" ref="U95:AJ95" si="216">#REF!</f>
        <v>#REF!</v>
      </c>
      <c r="V95" s="168" t="str">
        <f t="shared" si="216"/>
        <v>#REF!</v>
      </c>
      <c r="W95" s="168" t="str">
        <f t="shared" si="216"/>
        <v>#REF!</v>
      </c>
      <c r="X95" s="168" t="str">
        <f t="shared" si="216"/>
        <v>#REF!</v>
      </c>
      <c r="Y95" s="168" t="str">
        <f t="shared" si="216"/>
        <v>#REF!</v>
      </c>
      <c r="Z95" s="168" t="str">
        <f t="shared" si="216"/>
        <v>#REF!</v>
      </c>
      <c r="AA95" s="168" t="str">
        <f t="shared" si="216"/>
        <v>#REF!</v>
      </c>
      <c r="AB95" s="168" t="str">
        <f t="shared" si="216"/>
        <v>#REF!</v>
      </c>
      <c r="AC95" s="168" t="str">
        <f t="shared" si="216"/>
        <v>#REF!</v>
      </c>
      <c r="AD95" s="168" t="str">
        <f t="shared" si="216"/>
        <v>#REF!</v>
      </c>
      <c r="AE95" s="168" t="str">
        <f t="shared" si="216"/>
        <v>#REF!</v>
      </c>
      <c r="AF95" s="168" t="str">
        <f t="shared" si="216"/>
        <v>#REF!</v>
      </c>
      <c r="AG95" s="168" t="str">
        <f t="shared" si="216"/>
        <v>#REF!</v>
      </c>
      <c r="AH95" s="168" t="str">
        <f t="shared" si="216"/>
        <v>#REF!</v>
      </c>
      <c r="AI95" s="168" t="str">
        <f t="shared" si="216"/>
        <v>#REF!</v>
      </c>
      <c r="AJ95" s="168" t="str">
        <f t="shared" si="216"/>
        <v>#REF!</v>
      </c>
    </row>
    <row r="96" ht="15.75" customHeight="1">
      <c r="A96" s="168" t="str">
        <f>if('2026 Pipeline'!$M18=$D$1,'2026 Pipeline'!C18,"")</f>
        <v>#REF!</v>
      </c>
      <c r="B96" s="168" t="str">
        <f t="shared" ref="B96:C96" si="217">if('2026 Pipeline'!$M18=$D$1,'2026 Pipeline'!J18,"")</f>
        <v>#REF!</v>
      </c>
      <c r="C96" s="168" t="str">
        <f t="shared" si="217"/>
        <v>#REF!</v>
      </c>
      <c r="D96" s="168" t="str">
        <f t="shared" ref="D96:F96" si="218">if('2026 Pipeline'!$M18=$D$1,'2026 Pipeline'!M18,"")</f>
        <v>#REF!</v>
      </c>
      <c r="E96" s="168" t="str">
        <f t="shared" si="218"/>
        <v>#REF!</v>
      </c>
      <c r="F96" s="168" t="str">
        <f t="shared" si="218"/>
        <v>#REF!</v>
      </c>
      <c r="G96" s="168" t="str">
        <f>if('2026 Pipeline'!$M18=$D$1,'2026 Pipeline'!Q18,"")</f>
        <v>#REF!</v>
      </c>
      <c r="H96" s="168" t="str">
        <f>if('2026 Pipeline'!$M18=$D$1,'2026 Pipeline'!P18,"")</f>
        <v>#REF!</v>
      </c>
      <c r="I96" s="168" t="str">
        <f>if('2026 Pipeline'!$M18=$D$1,'2026 Pipeline'!R18,"")</f>
        <v>#REF!</v>
      </c>
      <c r="J96" s="168" t="str">
        <f t="shared" ref="J96:L96" si="219">if('2026 Pipeline'!$M18=$D$1,'2026 Pipeline'!V18,"")</f>
        <v>#REF!</v>
      </c>
      <c r="K96" s="168" t="str">
        <f t="shared" si="219"/>
        <v>#REF!</v>
      </c>
      <c r="L96" s="168" t="str">
        <f t="shared" si="219"/>
        <v>#REF!</v>
      </c>
      <c r="M96" s="168" t="str">
        <f t="shared" ref="M96:O96" si="220">if('2026 Pipeline'!$M18=$D$1,#REF!,"")</f>
        <v>#REF!</v>
      </c>
      <c r="N96" s="168" t="str">
        <f t="shared" si="220"/>
        <v>#REF!</v>
      </c>
      <c r="O96" s="168" t="str">
        <f t="shared" si="220"/>
        <v>#REF!</v>
      </c>
      <c r="P96" s="168" t="str">
        <f>if('2026 Pipeline'!$M18=$D$1,'2026 Pipeline'!AA18,"")</f>
        <v>#REF!</v>
      </c>
      <c r="Q96" s="168" t="str">
        <f>if('2026 Pipeline'!$M18=$D$1,'2026 Pipeline'!Y18,"")</f>
        <v>#REF!</v>
      </c>
      <c r="R96" s="168" t="str">
        <f>if('2026 Pipeline'!$M18=$D$1,#REF!,"")</f>
        <v>#REF!</v>
      </c>
      <c r="S96" s="168" t="str">
        <f>if('2026 Pipeline'!$M18=$D$1,'2026 Pipeline'!L18,"")</f>
        <v>#REF!</v>
      </c>
      <c r="T96" s="168" t="str">
        <f>if('2026 Pipeline'!$M18=$D$1,'2026 Pipeline'!CD18,"")</f>
        <v>#REF!</v>
      </c>
      <c r="U96" s="168" t="str">
        <f t="shared" ref="U96:AJ96" si="221">#REF!</f>
        <v>#REF!</v>
      </c>
      <c r="V96" s="168" t="str">
        <f t="shared" si="221"/>
        <v>#REF!</v>
      </c>
      <c r="W96" s="168" t="str">
        <f t="shared" si="221"/>
        <v>#REF!</v>
      </c>
      <c r="X96" s="168" t="str">
        <f t="shared" si="221"/>
        <v>#REF!</v>
      </c>
      <c r="Y96" s="168" t="str">
        <f t="shared" si="221"/>
        <v>#REF!</v>
      </c>
      <c r="Z96" s="168" t="str">
        <f t="shared" si="221"/>
        <v>#REF!</v>
      </c>
      <c r="AA96" s="168" t="str">
        <f t="shared" si="221"/>
        <v>#REF!</v>
      </c>
      <c r="AB96" s="168" t="str">
        <f t="shared" si="221"/>
        <v>#REF!</v>
      </c>
      <c r="AC96" s="168" t="str">
        <f t="shared" si="221"/>
        <v>#REF!</v>
      </c>
      <c r="AD96" s="168" t="str">
        <f t="shared" si="221"/>
        <v>#REF!</v>
      </c>
      <c r="AE96" s="168" t="str">
        <f t="shared" si="221"/>
        <v>#REF!</v>
      </c>
      <c r="AF96" s="168" t="str">
        <f t="shared" si="221"/>
        <v>#REF!</v>
      </c>
      <c r="AG96" s="168" t="str">
        <f t="shared" si="221"/>
        <v>#REF!</v>
      </c>
      <c r="AH96" s="168" t="str">
        <f t="shared" si="221"/>
        <v>#REF!</v>
      </c>
      <c r="AI96" s="168" t="str">
        <f t="shared" si="221"/>
        <v>#REF!</v>
      </c>
      <c r="AJ96" s="168" t="str">
        <f t="shared" si="221"/>
        <v>#REF!</v>
      </c>
    </row>
    <row r="97" ht="15.75" customHeight="1">
      <c r="A97" s="168" t="str">
        <f t="shared" ref="A97:T97" si="222">if(#REF!=$D$1,#REF!,"")</f>
        <v>#REF!</v>
      </c>
      <c r="B97" s="168" t="str">
        <f t="shared" si="222"/>
        <v>#REF!</v>
      </c>
      <c r="C97" s="168" t="str">
        <f t="shared" si="222"/>
        <v>#REF!</v>
      </c>
      <c r="D97" s="168" t="str">
        <f t="shared" si="222"/>
        <v>#REF!</v>
      </c>
      <c r="E97" s="168" t="str">
        <f t="shared" si="222"/>
        <v>#REF!</v>
      </c>
      <c r="F97" s="168" t="str">
        <f t="shared" si="222"/>
        <v>#REF!</v>
      </c>
      <c r="G97" s="168" t="str">
        <f t="shared" si="222"/>
        <v>#REF!</v>
      </c>
      <c r="H97" s="168" t="str">
        <f t="shared" si="222"/>
        <v>#REF!</v>
      </c>
      <c r="I97" s="168" t="str">
        <f t="shared" si="222"/>
        <v>#REF!</v>
      </c>
      <c r="J97" s="168" t="str">
        <f t="shared" si="222"/>
        <v>#REF!</v>
      </c>
      <c r="K97" s="168" t="str">
        <f t="shared" si="222"/>
        <v>#REF!</v>
      </c>
      <c r="L97" s="168" t="str">
        <f t="shared" si="222"/>
        <v>#REF!</v>
      </c>
      <c r="M97" s="168" t="str">
        <f t="shared" si="222"/>
        <v>#REF!</v>
      </c>
      <c r="N97" s="168" t="str">
        <f t="shared" si="222"/>
        <v>#REF!</v>
      </c>
      <c r="O97" s="168" t="str">
        <f t="shared" si="222"/>
        <v>#REF!</v>
      </c>
      <c r="P97" s="168" t="str">
        <f t="shared" si="222"/>
        <v>#REF!</v>
      </c>
      <c r="Q97" s="168" t="str">
        <f t="shared" si="222"/>
        <v>#REF!</v>
      </c>
      <c r="R97" s="168" t="str">
        <f t="shared" si="222"/>
        <v>#REF!</v>
      </c>
      <c r="S97" s="168" t="str">
        <f t="shared" si="222"/>
        <v>#REF!</v>
      </c>
      <c r="T97" s="168" t="str">
        <f t="shared" si="222"/>
        <v>#REF!</v>
      </c>
      <c r="U97" s="168" t="str">
        <f t="shared" ref="U97:AJ97" si="223">#REF!</f>
        <v>#REF!</v>
      </c>
      <c r="V97" s="168" t="str">
        <f t="shared" si="223"/>
        <v>#REF!</v>
      </c>
      <c r="W97" s="168" t="str">
        <f t="shared" si="223"/>
        <v>#REF!</v>
      </c>
      <c r="X97" s="168" t="str">
        <f t="shared" si="223"/>
        <v>#REF!</v>
      </c>
      <c r="Y97" s="168" t="str">
        <f t="shared" si="223"/>
        <v>#REF!</v>
      </c>
      <c r="Z97" s="168" t="str">
        <f t="shared" si="223"/>
        <v>#REF!</v>
      </c>
      <c r="AA97" s="168" t="str">
        <f t="shared" si="223"/>
        <v>#REF!</v>
      </c>
      <c r="AB97" s="168" t="str">
        <f t="shared" si="223"/>
        <v>#REF!</v>
      </c>
      <c r="AC97" s="168" t="str">
        <f t="shared" si="223"/>
        <v>#REF!</v>
      </c>
      <c r="AD97" s="168" t="str">
        <f t="shared" si="223"/>
        <v>#REF!</v>
      </c>
      <c r="AE97" s="168" t="str">
        <f t="shared" si="223"/>
        <v>#REF!</v>
      </c>
      <c r="AF97" s="168" t="str">
        <f t="shared" si="223"/>
        <v>#REF!</v>
      </c>
      <c r="AG97" s="168" t="str">
        <f t="shared" si="223"/>
        <v>#REF!</v>
      </c>
      <c r="AH97" s="168" t="str">
        <f t="shared" si="223"/>
        <v>#REF!</v>
      </c>
      <c r="AI97" s="168" t="str">
        <f t="shared" si="223"/>
        <v>#REF!</v>
      </c>
      <c r="AJ97" s="168" t="str">
        <f t="shared" si="223"/>
        <v>#REF!</v>
      </c>
    </row>
    <row r="98" ht="15.75" customHeight="1">
      <c r="A98" s="168" t="str">
        <f t="shared" ref="A98:T98" si="224">if(#REF!=$D$1,#REF!,"")</f>
        <v>#REF!</v>
      </c>
      <c r="B98" s="168" t="str">
        <f t="shared" si="224"/>
        <v>#REF!</v>
      </c>
      <c r="C98" s="168" t="str">
        <f t="shared" si="224"/>
        <v>#REF!</v>
      </c>
      <c r="D98" s="168" t="str">
        <f t="shared" si="224"/>
        <v>#REF!</v>
      </c>
      <c r="E98" s="168" t="str">
        <f t="shared" si="224"/>
        <v>#REF!</v>
      </c>
      <c r="F98" s="168" t="str">
        <f t="shared" si="224"/>
        <v>#REF!</v>
      </c>
      <c r="G98" s="168" t="str">
        <f t="shared" si="224"/>
        <v>#REF!</v>
      </c>
      <c r="H98" s="168" t="str">
        <f t="shared" si="224"/>
        <v>#REF!</v>
      </c>
      <c r="I98" s="168" t="str">
        <f t="shared" si="224"/>
        <v>#REF!</v>
      </c>
      <c r="J98" s="168" t="str">
        <f t="shared" si="224"/>
        <v>#REF!</v>
      </c>
      <c r="K98" s="168" t="str">
        <f t="shared" si="224"/>
        <v>#REF!</v>
      </c>
      <c r="L98" s="168" t="str">
        <f t="shared" si="224"/>
        <v>#REF!</v>
      </c>
      <c r="M98" s="168" t="str">
        <f t="shared" si="224"/>
        <v>#REF!</v>
      </c>
      <c r="N98" s="168" t="str">
        <f t="shared" si="224"/>
        <v>#REF!</v>
      </c>
      <c r="O98" s="168" t="str">
        <f t="shared" si="224"/>
        <v>#REF!</v>
      </c>
      <c r="P98" s="168" t="str">
        <f t="shared" si="224"/>
        <v>#REF!</v>
      </c>
      <c r="Q98" s="168" t="str">
        <f t="shared" si="224"/>
        <v>#REF!</v>
      </c>
      <c r="R98" s="168" t="str">
        <f t="shared" si="224"/>
        <v>#REF!</v>
      </c>
      <c r="S98" s="168" t="str">
        <f t="shared" si="224"/>
        <v>#REF!</v>
      </c>
      <c r="T98" s="168" t="str">
        <f t="shared" si="224"/>
        <v>#REF!</v>
      </c>
      <c r="U98" s="168" t="str">
        <f>'2026 Pipeline'!AP18</f>
        <v>#REF!</v>
      </c>
      <c r="V98" s="168" t="str">
        <f t="shared" ref="V98:Z98" si="225">'2026 Pipeline'!CJ18</f>
        <v>#REF!</v>
      </c>
      <c r="W98" s="168" t="str">
        <f t="shared" si="225"/>
        <v>#REF!</v>
      </c>
      <c r="X98" s="168" t="str">
        <f t="shared" si="225"/>
        <v>#REF!</v>
      </c>
      <c r="Y98" s="168" t="str">
        <f t="shared" si="225"/>
        <v>#REF!</v>
      </c>
      <c r="Z98" s="168" t="str">
        <f t="shared" si="225"/>
        <v>#REF!</v>
      </c>
      <c r="AA98" s="168" t="str">
        <f t="shared" ref="AA98:AF98" si="226">#REF!</f>
        <v>#REF!</v>
      </c>
      <c r="AB98" s="168" t="str">
        <f t="shared" si="226"/>
        <v>#REF!</v>
      </c>
      <c r="AC98" s="168" t="str">
        <f t="shared" si="226"/>
        <v>#REF!</v>
      </c>
      <c r="AD98" s="168" t="str">
        <f t="shared" si="226"/>
        <v>#REF!</v>
      </c>
      <c r="AE98" s="168" t="str">
        <f t="shared" si="226"/>
        <v>#REF!</v>
      </c>
      <c r="AF98" s="168" t="str">
        <f t="shared" si="226"/>
        <v>#REF!</v>
      </c>
      <c r="AG98" s="168" t="str">
        <f>'2026 Pipeline'!CT18</f>
        <v>#REF!</v>
      </c>
      <c r="AH98" s="168" t="str">
        <f>'2026 Pipeline'!S18</f>
        <v>#REF!</v>
      </c>
      <c r="AI98" s="168" t="str">
        <f t="shared" ref="AI98:AJ98" si="227">#REF!</f>
        <v>#REF!</v>
      </c>
      <c r="AJ98" s="168" t="str">
        <f t="shared" si="227"/>
        <v>#REF!</v>
      </c>
    </row>
    <row r="99" ht="15.75" customHeight="1">
      <c r="A99" s="168" t="str">
        <f t="shared" ref="A99:T99" si="228">if(#REF!=$D$1,#REF!,"")</f>
        <v>#REF!</v>
      </c>
      <c r="B99" s="168" t="str">
        <f t="shared" si="228"/>
        <v>#REF!</v>
      </c>
      <c r="C99" s="168" t="str">
        <f t="shared" si="228"/>
        <v>#REF!</v>
      </c>
      <c r="D99" s="168" t="str">
        <f t="shared" si="228"/>
        <v>#REF!</v>
      </c>
      <c r="E99" s="168" t="str">
        <f t="shared" si="228"/>
        <v>#REF!</v>
      </c>
      <c r="F99" s="168" t="str">
        <f t="shared" si="228"/>
        <v>#REF!</v>
      </c>
      <c r="G99" s="168" t="str">
        <f t="shared" si="228"/>
        <v>#REF!</v>
      </c>
      <c r="H99" s="168" t="str">
        <f t="shared" si="228"/>
        <v>#REF!</v>
      </c>
      <c r="I99" s="168" t="str">
        <f t="shared" si="228"/>
        <v>#REF!</v>
      </c>
      <c r="J99" s="168" t="str">
        <f t="shared" si="228"/>
        <v>#REF!</v>
      </c>
      <c r="K99" s="168" t="str">
        <f t="shared" si="228"/>
        <v>#REF!</v>
      </c>
      <c r="L99" s="168" t="str">
        <f t="shared" si="228"/>
        <v>#REF!</v>
      </c>
      <c r="M99" s="168" t="str">
        <f t="shared" si="228"/>
        <v>#REF!</v>
      </c>
      <c r="N99" s="168" t="str">
        <f t="shared" si="228"/>
        <v>#REF!</v>
      </c>
      <c r="O99" s="168" t="str">
        <f t="shared" si="228"/>
        <v>#REF!</v>
      </c>
      <c r="P99" s="168" t="str">
        <f t="shared" si="228"/>
        <v>#REF!</v>
      </c>
      <c r="Q99" s="168" t="str">
        <f t="shared" si="228"/>
        <v>#REF!</v>
      </c>
      <c r="R99" s="168" t="str">
        <f t="shared" si="228"/>
        <v>#REF!</v>
      </c>
      <c r="S99" s="168" t="str">
        <f t="shared" si="228"/>
        <v>#REF!</v>
      </c>
      <c r="T99" s="168" t="str">
        <f t="shared" si="228"/>
        <v>#REF!</v>
      </c>
      <c r="U99" s="168" t="str">
        <f t="shared" ref="U99:AJ99" si="229">#REF!</f>
        <v>#REF!</v>
      </c>
      <c r="V99" s="168" t="str">
        <f t="shared" si="229"/>
        <v>#REF!</v>
      </c>
      <c r="W99" s="168" t="str">
        <f t="shared" si="229"/>
        <v>#REF!</v>
      </c>
      <c r="X99" s="168" t="str">
        <f t="shared" si="229"/>
        <v>#REF!</v>
      </c>
      <c r="Y99" s="168" t="str">
        <f t="shared" si="229"/>
        <v>#REF!</v>
      </c>
      <c r="Z99" s="168" t="str">
        <f t="shared" si="229"/>
        <v>#REF!</v>
      </c>
      <c r="AA99" s="168" t="str">
        <f t="shared" si="229"/>
        <v>#REF!</v>
      </c>
      <c r="AB99" s="168" t="str">
        <f t="shared" si="229"/>
        <v>#REF!</v>
      </c>
      <c r="AC99" s="168" t="str">
        <f t="shared" si="229"/>
        <v>#REF!</v>
      </c>
      <c r="AD99" s="168" t="str">
        <f t="shared" si="229"/>
        <v>#REF!</v>
      </c>
      <c r="AE99" s="168" t="str">
        <f t="shared" si="229"/>
        <v>#REF!</v>
      </c>
      <c r="AF99" s="168" t="str">
        <f t="shared" si="229"/>
        <v>#REF!</v>
      </c>
      <c r="AG99" s="168" t="str">
        <f t="shared" si="229"/>
        <v>#REF!</v>
      </c>
      <c r="AH99" s="168" t="str">
        <f t="shared" si="229"/>
        <v>#REF!</v>
      </c>
      <c r="AI99" s="168" t="str">
        <f t="shared" si="229"/>
        <v>#REF!</v>
      </c>
      <c r="AJ99" s="168" t="str">
        <f t="shared" si="229"/>
        <v>#REF!</v>
      </c>
    </row>
    <row r="100" ht="15.75" customHeight="1">
      <c r="A100" s="168" t="str">
        <f t="shared" ref="A100:T100" si="230">if(#REF!=$D$1,#REF!,"")</f>
        <v>#REF!</v>
      </c>
      <c r="B100" s="168" t="str">
        <f t="shared" si="230"/>
        <v>#REF!</v>
      </c>
      <c r="C100" s="168" t="str">
        <f t="shared" si="230"/>
        <v>#REF!</v>
      </c>
      <c r="D100" s="168" t="str">
        <f t="shared" si="230"/>
        <v>#REF!</v>
      </c>
      <c r="E100" s="168" t="str">
        <f t="shared" si="230"/>
        <v>#REF!</v>
      </c>
      <c r="F100" s="168" t="str">
        <f t="shared" si="230"/>
        <v>#REF!</v>
      </c>
      <c r="G100" s="168" t="str">
        <f t="shared" si="230"/>
        <v>#REF!</v>
      </c>
      <c r="H100" s="168" t="str">
        <f t="shared" si="230"/>
        <v>#REF!</v>
      </c>
      <c r="I100" s="168" t="str">
        <f t="shared" si="230"/>
        <v>#REF!</v>
      </c>
      <c r="J100" s="168" t="str">
        <f t="shared" si="230"/>
        <v>#REF!</v>
      </c>
      <c r="K100" s="168" t="str">
        <f t="shared" si="230"/>
        <v>#REF!</v>
      </c>
      <c r="L100" s="168" t="str">
        <f t="shared" si="230"/>
        <v>#REF!</v>
      </c>
      <c r="M100" s="168" t="str">
        <f t="shared" si="230"/>
        <v>#REF!</v>
      </c>
      <c r="N100" s="168" t="str">
        <f t="shared" si="230"/>
        <v>#REF!</v>
      </c>
      <c r="O100" s="168" t="str">
        <f t="shared" si="230"/>
        <v>#REF!</v>
      </c>
      <c r="P100" s="168" t="str">
        <f t="shared" si="230"/>
        <v>#REF!</v>
      </c>
      <c r="Q100" s="168" t="str">
        <f t="shared" si="230"/>
        <v>#REF!</v>
      </c>
      <c r="R100" s="168" t="str">
        <f t="shared" si="230"/>
        <v>#REF!</v>
      </c>
      <c r="S100" s="168" t="str">
        <f t="shared" si="230"/>
        <v>#REF!</v>
      </c>
      <c r="T100" s="168" t="str">
        <f t="shared" si="230"/>
        <v>#REF!</v>
      </c>
      <c r="U100" s="168" t="str">
        <f t="shared" ref="U100:AJ100" si="231">#REF!</f>
        <v>#REF!</v>
      </c>
      <c r="V100" s="168" t="str">
        <f t="shared" si="231"/>
        <v>#REF!</v>
      </c>
      <c r="W100" s="168" t="str">
        <f t="shared" si="231"/>
        <v>#REF!</v>
      </c>
      <c r="X100" s="168" t="str">
        <f t="shared" si="231"/>
        <v>#REF!</v>
      </c>
      <c r="Y100" s="168" t="str">
        <f t="shared" si="231"/>
        <v>#REF!</v>
      </c>
      <c r="Z100" s="168" t="str">
        <f t="shared" si="231"/>
        <v>#REF!</v>
      </c>
      <c r="AA100" s="168" t="str">
        <f t="shared" si="231"/>
        <v>#REF!</v>
      </c>
      <c r="AB100" s="168" t="str">
        <f t="shared" si="231"/>
        <v>#REF!</v>
      </c>
      <c r="AC100" s="168" t="str">
        <f t="shared" si="231"/>
        <v>#REF!</v>
      </c>
      <c r="AD100" s="168" t="str">
        <f t="shared" si="231"/>
        <v>#REF!</v>
      </c>
      <c r="AE100" s="168" t="str">
        <f t="shared" si="231"/>
        <v>#REF!</v>
      </c>
      <c r="AF100" s="168" t="str">
        <f t="shared" si="231"/>
        <v>#REF!</v>
      </c>
      <c r="AG100" s="168" t="str">
        <f t="shared" si="231"/>
        <v>#REF!</v>
      </c>
      <c r="AH100" s="168" t="str">
        <f t="shared" si="231"/>
        <v>#REF!</v>
      </c>
      <c r="AI100" s="168" t="str">
        <f t="shared" si="231"/>
        <v>#REF!</v>
      </c>
      <c r="AJ100" s="168" t="str">
        <f t="shared" si="231"/>
        <v>#REF!</v>
      </c>
    </row>
    <row r="101" ht="15.75" customHeight="1">
      <c r="A101" s="168" t="str">
        <f t="shared" ref="A101:T101" si="232">if(#REF!=$D$1,#REF!,"")</f>
        <v>#REF!</v>
      </c>
      <c r="B101" s="168" t="str">
        <f t="shared" si="232"/>
        <v>#REF!</v>
      </c>
      <c r="C101" s="168" t="str">
        <f t="shared" si="232"/>
        <v>#REF!</v>
      </c>
      <c r="D101" s="168" t="str">
        <f t="shared" si="232"/>
        <v>#REF!</v>
      </c>
      <c r="E101" s="168" t="str">
        <f t="shared" si="232"/>
        <v>#REF!</v>
      </c>
      <c r="F101" s="168" t="str">
        <f t="shared" si="232"/>
        <v>#REF!</v>
      </c>
      <c r="G101" s="168" t="str">
        <f t="shared" si="232"/>
        <v>#REF!</v>
      </c>
      <c r="H101" s="168" t="str">
        <f t="shared" si="232"/>
        <v>#REF!</v>
      </c>
      <c r="I101" s="168" t="str">
        <f t="shared" si="232"/>
        <v>#REF!</v>
      </c>
      <c r="J101" s="168" t="str">
        <f t="shared" si="232"/>
        <v>#REF!</v>
      </c>
      <c r="K101" s="168" t="str">
        <f t="shared" si="232"/>
        <v>#REF!</v>
      </c>
      <c r="L101" s="168" t="str">
        <f t="shared" si="232"/>
        <v>#REF!</v>
      </c>
      <c r="M101" s="168" t="str">
        <f t="shared" si="232"/>
        <v>#REF!</v>
      </c>
      <c r="N101" s="168" t="str">
        <f t="shared" si="232"/>
        <v>#REF!</v>
      </c>
      <c r="O101" s="168" t="str">
        <f t="shared" si="232"/>
        <v>#REF!</v>
      </c>
      <c r="P101" s="168" t="str">
        <f t="shared" si="232"/>
        <v>#REF!</v>
      </c>
      <c r="Q101" s="168" t="str">
        <f t="shared" si="232"/>
        <v>#REF!</v>
      </c>
      <c r="R101" s="168" t="str">
        <f t="shared" si="232"/>
        <v>#REF!</v>
      </c>
      <c r="S101" s="168" t="str">
        <f t="shared" si="232"/>
        <v>#REF!</v>
      </c>
      <c r="T101" s="168" t="str">
        <f t="shared" si="232"/>
        <v>#REF!</v>
      </c>
      <c r="U101" s="168" t="str">
        <f t="shared" ref="U101:AJ101" si="233">#REF!</f>
        <v>#REF!</v>
      </c>
      <c r="V101" s="168" t="str">
        <f t="shared" si="233"/>
        <v>#REF!</v>
      </c>
      <c r="W101" s="168" t="str">
        <f t="shared" si="233"/>
        <v>#REF!</v>
      </c>
      <c r="X101" s="168" t="str">
        <f t="shared" si="233"/>
        <v>#REF!</v>
      </c>
      <c r="Y101" s="168" t="str">
        <f t="shared" si="233"/>
        <v>#REF!</v>
      </c>
      <c r="Z101" s="168" t="str">
        <f t="shared" si="233"/>
        <v>#REF!</v>
      </c>
      <c r="AA101" s="168" t="str">
        <f t="shared" si="233"/>
        <v>#REF!</v>
      </c>
      <c r="AB101" s="168" t="str">
        <f t="shared" si="233"/>
        <v>#REF!</v>
      </c>
      <c r="AC101" s="168" t="str">
        <f t="shared" si="233"/>
        <v>#REF!</v>
      </c>
      <c r="AD101" s="168" t="str">
        <f t="shared" si="233"/>
        <v>#REF!</v>
      </c>
      <c r="AE101" s="168" t="str">
        <f t="shared" si="233"/>
        <v>#REF!</v>
      </c>
      <c r="AF101" s="168" t="str">
        <f t="shared" si="233"/>
        <v>#REF!</v>
      </c>
      <c r="AG101" s="168" t="str">
        <f t="shared" si="233"/>
        <v>#REF!</v>
      </c>
      <c r="AH101" s="168" t="str">
        <f t="shared" si="233"/>
        <v>#REF!</v>
      </c>
      <c r="AI101" s="168" t="str">
        <f t="shared" si="233"/>
        <v>#REF!</v>
      </c>
      <c r="AJ101" s="168" t="str">
        <f t="shared" si="233"/>
        <v>#REF!</v>
      </c>
    </row>
    <row r="102" ht="15.75" customHeight="1">
      <c r="A102" s="168" t="str">
        <f t="shared" ref="A102:T102" si="234">if(#REF!=$D$1,#REF!,"")</f>
        <v>#REF!</v>
      </c>
      <c r="B102" s="168" t="str">
        <f t="shared" si="234"/>
        <v>#REF!</v>
      </c>
      <c r="C102" s="168" t="str">
        <f t="shared" si="234"/>
        <v>#REF!</v>
      </c>
      <c r="D102" s="168" t="str">
        <f t="shared" si="234"/>
        <v>#REF!</v>
      </c>
      <c r="E102" s="168" t="str">
        <f t="shared" si="234"/>
        <v>#REF!</v>
      </c>
      <c r="F102" s="168" t="str">
        <f t="shared" si="234"/>
        <v>#REF!</v>
      </c>
      <c r="G102" s="168" t="str">
        <f t="shared" si="234"/>
        <v>#REF!</v>
      </c>
      <c r="H102" s="168" t="str">
        <f t="shared" si="234"/>
        <v>#REF!</v>
      </c>
      <c r="I102" s="168" t="str">
        <f t="shared" si="234"/>
        <v>#REF!</v>
      </c>
      <c r="J102" s="168" t="str">
        <f t="shared" si="234"/>
        <v>#REF!</v>
      </c>
      <c r="K102" s="168" t="str">
        <f t="shared" si="234"/>
        <v>#REF!</v>
      </c>
      <c r="L102" s="168" t="str">
        <f t="shared" si="234"/>
        <v>#REF!</v>
      </c>
      <c r="M102" s="168" t="str">
        <f t="shared" si="234"/>
        <v>#REF!</v>
      </c>
      <c r="N102" s="168" t="str">
        <f t="shared" si="234"/>
        <v>#REF!</v>
      </c>
      <c r="O102" s="168" t="str">
        <f t="shared" si="234"/>
        <v>#REF!</v>
      </c>
      <c r="P102" s="168" t="str">
        <f t="shared" si="234"/>
        <v>#REF!</v>
      </c>
      <c r="Q102" s="168" t="str">
        <f t="shared" si="234"/>
        <v>#REF!</v>
      </c>
      <c r="R102" s="168" t="str">
        <f t="shared" si="234"/>
        <v>#REF!</v>
      </c>
      <c r="S102" s="168" t="str">
        <f t="shared" si="234"/>
        <v>#REF!</v>
      </c>
      <c r="T102" s="168" t="str">
        <f t="shared" si="234"/>
        <v>#REF!</v>
      </c>
      <c r="U102" s="168" t="str">
        <f t="shared" ref="U102:AJ102" si="235">#REF!</f>
        <v>#REF!</v>
      </c>
      <c r="V102" s="168" t="str">
        <f t="shared" si="235"/>
        <v>#REF!</v>
      </c>
      <c r="W102" s="168" t="str">
        <f t="shared" si="235"/>
        <v>#REF!</v>
      </c>
      <c r="X102" s="168" t="str">
        <f t="shared" si="235"/>
        <v>#REF!</v>
      </c>
      <c r="Y102" s="168" t="str">
        <f t="shared" si="235"/>
        <v>#REF!</v>
      </c>
      <c r="Z102" s="168" t="str">
        <f t="shared" si="235"/>
        <v>#REF!</v>
      </c>
      <c r="AA102" s="168" t="str">
        <f t="shared" si="235"/>
        <v>#REF!</v>
      </c>
      <c r="AB102" s="168" t="str">
        <f t="shared" si="235"/>
        <v>#REF!</v>
      </c>
      <c r="AC102" s="168" t="str">
        <f t="shared" si="235"/>
        <v>#REF!</v>
      </c>
      <c r="AD102" s="168" t="str">
        <f t="shared" si="235"/>
        <v>#REF!</v>
      </c>
      <c r="AE102" s="168" t="str">
        <f t="shared" si="235"/>
        <v>#REF!</v>
      </c>
      <c r="AF102" s="168" t="str">
        <f t="shared" si="235"/>
        <v>#REF!</v>
      </c>
      <c r="AG102" s="168" t="str">
        <f t="shared" si="235"/>
        <v>#REF!</v>
      </c>
      <c r="AH102" s="168" t="str">
        <f t="shared" si="235"/>
        <v>#REF!</v>
      </c>
      <c r="AI102" s="168" t="str">
        <f t="shared" si="235"/>
        <v>#REF!</v>
      </c>
      <c r="AJ102" s="168" t="str">
        <f t="shared" si="235"/>
        <v>#REF!</v>
      </c>
    </row>
    <row r="103" ht="15.75" customHeight="1">
      <c r="A103" s="168" t="str">
        <f t="shared" ref="A103:T103" si="236">if(#REF!=$D$1,#REF!,"")</f>
        <v>#REF!</v>
      </c>
      <c r="B103" s="168" t="str">
        <f t="shared" si="236"/>
        <v>#REF!</v>
      </c>
      <c r="C103" s="168" t="str">
        <f t="shared" si="236"/>
        <v>#REF!</v>
      </c>
      <c r="D103" s="168" t="str">
        <f t="shared" si="236"/>
        <v>#REF!</v>
      </c>
      <c r="E103" s="168" t="str">
        <f t="shared" si="236"/>
        <v>#REF!</v>
      </c>
      <c r="F103" s="168" t="str">
        <f t="shared" si="236"/>
        <v>#REF!</v>
      </c>
      <c r="G103" s="168" t="str">
        <f t="shared" si="236"/>
        <v>#REF!</v>
      </c>
      <c r="H103" s="168" t="str">
        <f t="shared" si="236"/>
        <v>#REF!</v>
      </c>
      <c r="I103" s="168" t="str">
        <f t="shared" si="236"/>
        <v>#REF!</v>
      </c>
      <c r="J103" s="168" t="str">
        <f t="shared" si="236"/>
        <v>#REF!</v>
      </c>
      <c r="K103" s="168" t="str">
        <f t="shared" si="236"/>
        <v>#REF!</v>
      </c>
      <c r="L103" s="168" t="str">
        <f t="shared" si="236"/>
        <v>#REF!</v>
      </c>
      <c r="M103" s="168" t="str">
        <f t="shared" si="236"/>
        <v>#REF!</v>
      </c>
      <c r="N103" s="168" t="str">
        <f t="shared" si="236"/>
        <v>#REF!</v>
      </c>
      <c r="O103" s="168" t="str">
        <f t="shared" si="236"/>
        <v>#REF!</v>
      </c>
      <c r="P103" s="168" t="str">
        <f t="shared" si="236"/>
        <v>#REF!</v>
      </c>
      <c r="Q103" s="168" t="str">
        <f t="shared" si="236"/>
        <v>#REF!</v>
      </c>
      <c r="R103" s="168" t="str">
        <f t="shared" si="236"/>
        <v>#REF!</v>
      </c>
      <c r="S103" s="168" t="str">
        <f t="shared" si="236"/>
        <v>#REF!</v>
      </c>
      <c r="T103" s="168" t="str">
        <f t="shared" si="236"/>
        <v>#REF!</v>
      </c>
      <c r="U103" s="168" t="str">
        <f t="shared" ref="U103:AJ103" si="237">#REF!</f>
        <v>#REF!</v>
      </c>
      <c r="V103" s="168" t="str">
        <f t="shared" si="237"/>
        <v>#REF!</v>
      </c>
      <c r="W103" s="168" t="str">
        <f t="shared" si="237"/>
        <v>#REF!</v>
      </c>
      <c r="X103" s="168" t="str">
        <f t="shared" si="237"/>
        <v>#REF!</v>
      </c>
      <c r="Y103" s="168" t="str">
        <f t="shared" si="237"/>
        <v>#REF!</v>
      </c>
      <c r="Z103" s="168" t="str">
        <f t="shared" si="237"/>
        <v>#REF!</v>
      </c>
      <c r="AA103" s="168" t="str">
        <f t="shared" si="237"/>
        <v>#REF!</v>
      </c>
      <c r="AB103" s="168" t="str">
        <f t="shared" si="237"/>
        <v>#REF!</v>
      </c>
      <c r="AC103" s="168" t="str">
        <f t="shared" si="237"/>
        <v>#REF!</v>
      </c>
      <c r="AD103" s="168" t="str">
        <f t="shared" si="237"/>
        <v>#REF!</v>
      </c>
      <c r="AE103" s="168" t="str">
        <f t="shared" si="237"/>
        <v>#REF!</v>
      </c>
      <c r="AF103" s="168" t="str">
        <f t="shared" si="237"/>
        <v>#REF!</v>
      </c>
      <c r="AG103" s="168" t="str">
        <f t="shared" si="237"/>
        <v>#REF!</v>
      </c>
      <c r="AH103" s="168" t="str">
        <f t="shared" si="237"/>
        <v>#REF!</v>
      </c>
      <c r="AI103" s="168" t="str">
        <f t="shared" si="237"/>
        <v>#REF!</v>
      </c>
      <c r="AJ103" s="168" t="str">
        <f t="shared" si="237"/>
        <v>#REF!</v>
      </c>
    </row>
    <row r="104" ht="15.75" customHeight="1">
      <c r="A104" s="168" t="str">
        <f t="shared" ref="A104:T104" si="238">if(#REF!=$D$1,#REF!,"")</f>
        <v>#REF!</v>
      </c>
      <c r="B104" s="168" t="str">
        <f t="shared" si="238"/>
        <v>#REF!</v>
      </c>
      <c r="C104" s="168" t="str">
        <f t="shared" si="238"/>
        <v>#REF!</v>
      </c>
      <c r="D104" s="168" t="str">
        <f t="shared" si="238"/>
        <v>#REF!</v>
      </c>
      <c r="E104" s="168" t="str">
        <f t="shared" si="238"/>
        <v>#REF!</v>
      </c>
      <c r="F104" s="168" t="str">
        <f t="shared" si="238"/>
        <v>#REF!</v>
      </c>
      <c r="G104" s="168" t="str">
        <f t="shared" si="238"/>
        <v>#REF!</v>
      </c>
      <c r="H104" s="168" t="str">
        <f t="shared" si="238"/>
        <v>#REF!</v>
      </c>
      <c r="I104" s="168" t="str">
        <f t="shared" si="238"/>
        <v>#REF!</v>
      </c>
      <c r="J104" s="168" t="str">
        <f t="shared" si="238"/>
        <v>#REF!</v>
      </c>
      <c r="K104" s="168" t="str">
        <f t="shared" si="238"/>
        <v>#REF!</v>
      </c>
      <c r="L104" s="168" t="str">
        <f t="shared" si="238"/>
        <v>#REF!</v>
      </c>
      <c r="M104" s="168" t="str">
        <f t="shared" si="238"/>
        <v>#REF!</v>
      </c>
      <c r="N104" s="168" t="str">
        <f t="shared" si="238"/>
        <v>#REF!</v>
      </c>
      <c r="O104" s="168" t="str">
        <f t="shared" si="238"/>
        <v>#REF!</v>
      </c>
      <c r="P104" s="168" t="str">
        <f t="shared" si="238"/>
        <v>#REF!</v>
      </c>
      <c r="Q104" s="168" t="str">
        <f t="shared" si="238"/>
        <v>#REF!</v>
      </c>
      <c r="R104" s="168" t="str">
        <f t="shared" si="238"/>
        <v>#REF!</v>
      </c>
      <c r="S104" s="168" t="str">
        <f t="shared" si="238"/>
        <v>#REF!</v>
      </c>
      <c r="T104" s="168" t="str">
        <f t="shared" si="238"/>
        <v>#REF!</v>
      </c>
      <c r="U104" s="168" t="str">
        <f t="shared" ref="U104:AJ104" si="239">#REF!</f>
        <v>#REF!</v>
      </c>
      <c r="V104" s="168" t="str">
        <f t="shared" si="239"/>
        <v>#REF!</v>
      </c>
      <c r="W104" s="168" t="str">
        <f t="shared" si="239"/>
        <v>#REF!</v>
      </c>
      <c r="X104" s="168" t="str">
        <f t="shared" si="239"/>
        <v>#REF!</v>
      </c>
      <c r="Y104" s="168" t="str">
        <f t="shared" si="239"/>
        <v>#REF!</v>
      </c>
      <c r="Z104" s="168" t="str">
        <f t="shared" si="239"/>
        <v>#REF!</v>
      </c>
      <c r="AA104" s="168" t="str">
        <f t="shared" si="239"/>
        <v>#REF!</v>
      </c>
      <c r="AB104" s="168" t="str">
        <f t="shared" si="239"/>
        <v>#REF!</v>
      </c>
      <c r="AC104" s="168" t="str">
        <f t="shared" si="239"/>
        <v>#REF!</v>
      </c>
      <c r="AD104" s="168" t="str">
        <f t="shared" si="239"/>
        <v>#REF!</v>
      </c>
      <c r="AE104" s="168" t="str">
        <f t="shared" si="239"/>
        <v>#REF!</v>
      </c>
      <c r="AF104" s="168" t="str">
        <f t="shared" si="239"/>
        <v>#REF!</v>
      </c>
      <c r="AG104" s="168" t="str">
        <f t="shared" si="239"/>
        <v>#REF!</v>
      </c>
      <c r="AH104" s="168" t="str">
        <f t="shared" si="239"/>
        <v>#REF!</v>
      </c>
      <c r="AI104" s="168" t="str">
        <f t="shared" si="239"/>
        <v>#REF!</v>
      </c>
      <c r="AJ104" s="168" t="str">
        <f t="shared" si="239"/>
        <v>#REF!</v>
      </c>
    </row>
    <row r="105" ht="15.75" customHeight="1">
      <c r="A105" s="168" t="str">
        <f t="shared" ref="A105:T105" si="240">if(#REF!=$D$1,#REF!,"")</f>
        <v>#REF!</v>
      </c>
      <c r="B105" s="168" t="str">
        <f t="shared" si="240"/>
        <v>#REF!</v>
      </c>
      <c r="C105" s="168" t="str">
        <f t="shared" si="240"/>
        <v>#REF!</v>
      </c>
      <c r="D105" s="168" t="str">
        <f t="shared" si="240"/>
        <v>#REF!</v>
      </c>
      <c r="E105" s="168" t="str">
        <f t="shared" si="240"/>
        <v>#REF!</v>
      </c>
      <c r="F105" s="168" t="str">
        <f t="shared" si="240"/>
        <v>#REF!</v>
      </c>
      <c r="G105" s="168" t="str">
        <f t="shared" si="240"/>
        <v>#REF!</v>
      </c>
      <c r="H105" s="168" t="str">
        <f t="shared" si="240"/>
        <v>#REF!</v>
      </c>
      <c r="I105" s="168" t="str">
        <f t="shared" si="240"/>
        <v>#REF!</v>
      </c>
      <c r="J105" s="168" t="str">
        <f t="shared" si="240"/>
        <v>#REF!</v>
      </c>
      <c r="K105" s="168" t="str">
        <f t="shared" si="240"/>
        <v>#REF!</v>
      </c>
      <c r="L105" s="168" t="str">
        <f t="shared" si="240"/>
        <v>#REF!</v>
      </c>
      <c r="M105" s="168" t="str">
        <f t="shared" si="240"/>
        <v>#REF!</v>
      </c>
      <c r="N105" s="168" t="str">
        <f t="shared" si="240"/>
        <v>#REF!</v>
      </c>
      <c r="O105" s="168" t="str">
        <f t="shared" si="240"/>
        <v>#REF!</v>
      </c>
      <c r="P105" s="168" t="str">
        <f t="shared" si="240"/>
        <v>#REF!</v>
      </c>
      <c r="Q105" s="168" t="str">
        <f t="shared" si="240"/>
        <v>#REF!</v>
      </c>
      <c r="R105" s="168" t="str">
        <f t="shared" si="240"/>
        <v>#REF!</v>
      </c>
      <c r="S105" s="168" t="str">
        <f t="shared" si="240"/>
        <v>#REF!</v>
      </c>
      <c r="T105" s="168" t="str">
        <f t="shared" si="240"/>
        <v>#REF!</v>
      </c>
      <c r="U105" s="168" t="str">
        <f t="shared" ref="U105:AJ105" si="241">#REF!</f>
        <v>#REF!</v>
      </c>
      <c r="V105" s="168" t="str">
        <f t="shared" si="241"/>
        <v>#REF!</v>
      </c>
      <c r="W105" s="168" t="str">
        <f t="shared" si="241"/>
        <v>#REF!</v>
      </c>
      <c r="X105" s="168" t="str">
        <f t="shared" si="241"/>
        <v>#REF!</v>
      </c>
      <c r="Y105" s="168" t="str">
        <f t="shared" si="241"/>
        <v>#REF!</v>
      </c>
      <c r="Z105" s="168" t="str">
        <f t="shared" si="241"/>
        <v>#REF!</v>
      </c>
      <c r="AA105" s="168" t="str">
        <f t="shared" si="241"/>
        <v>#REF!</v>
      </c>
      <c r="AB105" s="168" t="str">
        <f t="shared" si="241"/>
        <v>#REF!</v>
      </c>
      <c r="AC105" s="168" t="str">
        <f t="shared" si="241"/>
        <v>#REF!</v>
      </c>
      <c r="AD105" s="168" t="str">
        <f t="shared" si="241"/>
        <v>#REF!</v>
      </c>
      <c r="AE105" s="168" t="str">
        <f t="shared" si="241"/>
        <v>#REF!</v>
      </c>
      <c r="AF105" s="168" t="str">
        <f t="shared" si="241"/>
        <v>#REF!</v>
      </c>
      <c r="AG105" s="168" t="str">
        <f t="shared" si="241"/>
        <v>#REF!</v>
      </c>
      <c r="AH105" s="168" t="str">
        <f t="shared" si="241"/>
        <v>#REF!</v>
      </c>
      <c r="AI105" s="168" t="str">
        <f t="shared" si="241"/>
        <v>#REF!</v>
      </c>
      <c r="AJ105" s="168" t="str">
        <f t="shared" si="241"/>
        <v>#REF!</v>
      </c>
    </row>
    <row r="106" ht="15.75" customHeight="1">
      <c r="A106" s="168" t="str">
        <f t="shared" ref="A106:T106" si="242">if(#REF!=$D$1,#REF!,"")</f>
        <v>#REF!</v>
      </c>
      <c r="B106" s="168" t="str">
        <f t="shared" si="242"/>
        <v>#REF!</v>
      </c>
      <c r="C106" s="168" t="str">
        <f t="shared" si="242"/>
        <v>#REF!</v>
      </c>
      <c r="D106" s="168" t="str">
        <f t="shared" si="242"/>
        <v>#REF!</v>
      </c>
      <c r="E106" s="168" t="str">
        <f t="shared" si="242"/>
        <v>#REF!</v>
      </c>
      <c r="F106" s="168" t="str">
        <f t="shared" si="242"/>
        <v>#REF!</v>
      </c>
      <c r="G106" s="168" t="str">
        <f t="shared" si="242"/>
        <v>#REF!</v>
      </c>
      <c r="H106" s="168" t="str">
        <f t="shared" si="242"/>
        <v>#REF!</v>
      </c>
      <c r="I106" s="168" t="str">
        <f t="shared" si="242"/>
        <v>#REF!</v>
      </c>
      <c r="J106" s="168" t="str">
        <f t="shared" si="242"/>
        <v>#REF!</v>
      </c>
      <c r="K106" s="168" t="str">
        <f t="shared" si="242"/>
        <v>#REF!</v>
      </c>
      <c r="L106" s="168" t="str">
        <f t="shared" si="242"/>
        <v>#REF!</v>
      </c>
      <c r="M106" s="168" t="str">
        <f t="shared" si="242"/>
        <v>#REF!</v>
      </c>
      <c r="N106" s="168" t="str">
        <f t="shared" si="242"/>
        <v>#REF!</v>
      </c>
      <c r="O106" s="168" t="str">
        <f t="shared" si="242"/>
        <v>#REF!</v>
      </c>
      <c r="P106" s="168" t="str">
        <f t="shared" si="242"/>
        <v>#REF!</v>
      </c>
      <c r="Q106" s="168" t="str">
        <f t="shared" si="242"/>
        <v>#REF!</v>
      </c>
      <c r="R106" s="168" t="str">
        <f t="shared" si="242"/>
        <v>#REF!</v>
      </c>
      <c r="S106" s="168" t="str">
        <f t="shared" si="242"/>
        <v>#REF!</v>
      </c>
      <c r="T106" s="168" t="str">
        <f t="shared" si="242"/>
        <v>#REF!</v>
      </c>
      <c r="U106" s="168" t="str">
        <f t="shared" ref="U106:AJ106" si="243">#REF!</f>
        <v>#REF!</v>
      </c>
      <c r="V106" s="168" t="str">
        <f t="shared" si="243"/>
        <v>#REF!</v>
      </c>
      <c r="W106" s="168" t="str">
        <f t="shared" si="243"/>
        <v>#REF!</v>
      </c>
      <c r="X106" s="168" t="str">
        <f t="shared" si="243"/>
        <v>#REF!</v>
      </c>
      <c r="Y106" s="168" t="str">
        <f t="shared" si="243"/>
        <v>#REF!</v>
      </c>
      <c r="Z106" s="168" t="str">
        <f t="shared" si="243"/>
        <v>#REF!</v>
      </c>
      <c r="AA106" s="168" t="str">
        <f t="shared" si="243"/>
        <v>#REF!</v>
      </c>
      <c r="AB106" s="168" t="str">
        <f t="shared" si="243"/>
        <v>#REF!</v>
      </c>
      <c r="AC106" s="168" t="str">
        <f t="shared" si="243"/>
        <v>#REF!</v>
      </c>
      <c r="AD106" s="168" t="str">
        <f t="shared" si="243"/>
        <v>#REF!</v>
      </c>
      <c r="AE106" s="168" t="str">
        <f t="shared" si="243"/>
        <v>#REF!</v>
      </c>
      <c r="AF106" s="168" t="str">
        <f t="shared" si="243"/>
        <v>#REF!</v>
      </c>
      <c r="AG106" s="168" t="str">
        <f t="shared" si="243"/>
        <v>#REF!</v>
      </c>
      <c r="AH106" s="168" t="str">
        <f t="shared" si="243"/>
        <v>#REF!</v>
      </c>
      <c r="AI106" s="168" t="str">
        <f t="shared" si="243"/>
        <v>#REF!</v>
      </c>
      <c r="AJ106" s="168" t="str">
        <f t="shared" si="243"/>
        <v>#REF!</v>
      </c>
    </row>
    <row r="107" ht="15.75" customHeight="1">
      <c r="A107" s="168" t="str">
        <f t="shared" ref="A107:T107" si="244">if(#REF!=$D$1,#REF!,"")</f>
        <v>#REF!</v>
      </c>
      <c r="B107" s="168" t="str">
        <f t="shared" si="244"/>
        <v>#REF!</v>
      </c>
      <c r="C107" s="168" t="str">
        <f t="shared" si="244"/>
        <v>#REF!</v>
      </c>
      <c r="D107" s="168" t="str">
        <f t="shared" si="244"/>
        <v>#REF!</v>
      </c>
      <c r="E107" s="168" t="str">
        <f t="shared" si="244"/>
        <v>#REF!</v>
      </c>
      <c r="F107" s="168" t="str">
        <f t="shared" si="244"/>
        <v>#REF!</v>
      </c>
      <c r="G107" s="168" t="str">
        <f t="shared" si="244"/>
        <v>#REF!</v>
      </c>
      <c r="H107" s="168" t="str">
        <f t="shared" si="244"/>
        <v>#REF!</v>
      </c>
      <c r="I107" s="168" t="str">
        <f t="shared" si="244"/>
        <v>#REF!</v>
      </c>
      <c r="J107" s="168" t="str">
        <f t="shared" si="244"/>
        <v>#REF!</v>
      </c>
      <c r="K107" s="168" t="str">
        <f t="shared" si="244"/>
        <v>#REF!</v>
      </c>
      <c r="L107" s="168" t="str">
        <f t="shared" si="244"/>
        <v>#REF!</v>
      </c>
      <c r="M107" s="168" t="str">
        <f t="shared" si="244"/>
        <v>#REF!</v>
      </c>
      <c r="N107" s="168" t="str">
        <f t="shared" si="244"/>
        <v>#REF!</v>
      </c>
      <c r="O107" s="168" t="str">
        <f t="shared" si="244"/>
        <v>#REF!</v>
      </c>
      <c r="P107" s="168" t="str">
        <f t="shared" si="244"/>
        <v>#REF!</v>
      </c>
      <c r="Q107" s="168" t="str">
        <f t="shared" si="244"/>
        <v>#REF!</v>
      </c>
      <c r="R107" s="168" t="str">
        <f t="shared" si="244"/>
        <v>#REF!</v>
      </c>
      <c r="S107" s="168" t="str">
        <f t="shared" si="244"/>
        <v>#REF!</v>
      </c>
      <c r="T107" s="168" t="str">
        <f t="shared" si="244"/>
        <v>#REF!</v>
      </c>
      <c r="U107" s="168" t="str">
        <f t="shared" ref="U107:AJ107" si="245">#REF!</f>
        <v>#REF!</v>
      </c>
      <c r="V107" s="168" t="str">
        <f t="shared" si="245"/>
        <v>#REF!</v>
      </c>
      <c r="W107" s="168" t="str">
        <f t="shared" si="245"/>
        <v>#REF!</v>
      </c>
      <c r="X107" s="168" t="str">
        <f t="shared" si="245"/>
        <v>#REF!</v>
      </c>
      <c r="Y107" s="168" t="str">
        <f t="shared" si="245"/>
        <v>#REF!</v>
      </c>
      <c r="Z107" s="168" t="str">
        <f t="shared" si="245"/>
        <v>#REF!</v>
      </c>
      <c r="AA107" s="168" t="str">
        <f t="shared" si="245"/>
        <v>#REF!</v>
      </c>
      <c r="AB107" s="168" t="str">
        <f t="shared" si="245"/>
        <v>#REF!</v>
      </c>
      <c r="AC107" s="168" t="str">
        <f t="shared" si="245"/>
        <v>#REF!</v>
      </c>
      <c r="AD107" s="168" t="str">
        <f t="shared" si="245"/>
        <v>#REF!</v>
      </c>
      <c r="AE107" s="168" t="str">
        <f t="shared" si="245"/>
        <v>#REF!</v>
      </c>
      <c r="AF107" s="168" t="str">
        <f t="shared" si="245"/>
        <v>#REF!</v>
      </c>
      <c r="AG107" s="168" t="str">
        <f t="shared" si="245"/>
        <v>#REF!</v>
      </c>
      <c r="AH107" s="168" t="str">
        <f t="shared" si="245"/>
        <v>#REF!</v>
      </c>
      <c r="AI107" s="168" t="str">
        <f t="shared" si="245"/>
        <v>#REF!</v>
      </c>
      <c r="AJ107" s="168" t="str">
        <f t="shared" si="245"/>
        <v>#REF!</v>
      </c>
    </row>
    <row r="108" ht="15.75" customHeight="1">
      <c r="A108" s="168" t="str">
        <f t="shared" ref="A108:T108" si="246">if(#REF!=$D$1,#REF!,"")</f>
        <v>#REF!</v>
      </c>
      <c r="B108" s="168" t="str">
        <f t="shared" si="246"/>
        <v>#REF!</v>
      </c>
      <c r="C108" s="168" t="str">
        <f t="shared" si="246"/>
        <v>#REF!</v>
      </c>
      <c r="D108" s="168" t="str">
        <f t="shared" si="246"/>
        <v>#REF!</v>
      </c>
      <c r="E108" s="168" t="str">
        <f t="shared" si="246"/>
        <v>#REF!</v>
      </c>
      <c r="F108" s="168" t="str">
        <f t="shared" si="246"/>
        <v>#REF!</v>
      </c>
      <c r="G108" s="168" t="str">
        <f t="shared" si="246"/>
        <v>#REF!</v>
      </c>
      <c r="H108" s="168" t="str">
        <f t="shared" si="246"/>
        <v>#REF!</v>
      </c>
      <c r="I108" s="168" t="str">
        <f t="shared" si="246"/>
        <v>#REF!</v>
      </c>
      <c r="J108" s="168" t="str">
        <f t="shared" si="246"/>
        <v>#REF!</v>
      </c>
      <c r="K108" s="168" t="str">
        <f t="shared" si="246"/>
        <v>#REF!</v>
      </c>
      <c r="L108" s="168" t="str">
        <f t="shared" si="246"/>
        <v>#REF!</v>
      </c>
      <c r="M108" s="168" t="str">
        <f t="shared" si="246"/>
        <v>#REF!</v>
      </c>
      <c r="N108" s="168" t="str">
        <f t="shared" si="246"/>
        <v>#REF!</v>
      </c>
      <c r="O108" s="168" t="str">
        <f t="shared" si="246"/>
        <v>#REF!</v>
      </c>
      <c r="P108" s="168" t="str">
        <f t="shared" si="246"/>
        <v>#REF!</v>
      </c>
      <c r="Q108" s="168" t="str">
        <f t="shared" si="246"/>
        <v>#REF!</v>
      </c>
      <c r="R108" s="168" t="str">
        <f t="shared" si="246"/>
        <v>#REF!</v>
      </c>
      <c r="S108" s="168" t="str">
        <f t="shared" si="246"/>
        <v>#REF!</v>
      </c>
      <c r="T108" s="168" t="str">
        <f t="shared" si="246"/>
        <v>#REF!</v>
      </c>
      <c r="U108" s="168" t="str">
        <f t="shared" ref="U108:AJ108" si="247">#REF!</f>
        <v>#REF!</v>
      </c>
      <c r="V108" s="168" t="str">
        <f t="shared" si="247"/>
        <v>#REF!</v>
      </c>
      <c r="W108" s="168" t="str">
        <f t="shared" si="247"/>
        <v>#REF!</v>
      </c>
      <c r="X108" s="168" t="str">
        <f t="shared" si="247"/>
        <v>#REF!</v>
      </c>
      <c r="Y108" s="168" t="str">
        <f t="shared" si="247"/>
        <v>#REF!</v>
      </c>
      <c r="Z108" s="168" t="str">
        <f t="shared" si="247"/>
        <v>#REF!</v>
      </c>
      <c r="AA108" s="168" t="str">
        <f t="shared" si="247"/>
        <v>#REF!</v>
      </c>
      <c r="AB108" s="168" t="str">
        <f t="shared" si="247"/>
        <v>#REF!</v>
      </c>
      <c r="AC108" s="168" t="str">
        <f t="shared" si="247"/>
        <v>#REF!</v>
      </c>
      <c r="AD108" s="168" t="str">
        <f t="shared" si="247"/>
        <v>#REF!</v>
      </c>
      <c r="AE108" s="168" t="str">
        <f t="shared" si="247"/>
        <v>#REF!</v>
      </c>
      <c r="AF108" s="168" t="str">
        <f t="shared" si="247"/>
        <v>#REF!</v>
      </c>
      <c r="AG108" s="168" t="str">
        <f t="shared" si="247"/>
        <v>#REF!</v>
      </c>
      <c r="AH108" s="168" t="str">
        <f t="shared" si="247"/>
        <v>#REF!</v>
      </c>
      <c r="AI108" s="168" t="str">
        <f t="shared" si="247"/>
        <v>#REF!</v>
      </c>
      <c r="AJ108" s="168" t="str">
        <f t="shared" si="247"/>
        <v>#REF!</v>
      </c>
    </row>
    <row r="109" ht="15.75" customHeight="1">
      <c r="A109" s="168" t="str">
        <f t="shared" ref="A109:T109" si="248">if(#REF!=$D$1,#REF!,"")</f>
        <v>#REF!</v>
      </c>
      <c r="B109" s="168" t="str">
        <f t="shared" si="248"/>
        <v>#REF!</v>
      </c>
      <c r="C109" s="168" t="str">
        <f t="shared" si="248"/>
        <v>#REF!</v>
      </c>
      <c r="D109" s="168" t="str">
        <f t="shared" si="248"/>
        <v>#REF!</v>
      </c>
      <c r="E109" s="168" t="str">
        <f t="shared" si="248"/>
        <v>#REF!</v>
      </c>
      <c r="F109" s="168" t="str">
        <f t="shared" si="248"/>
        <v>#REF!</v>
      </c>
      <c r="G109" s="168" t="str">
        <f t="shared" si="248"/>
        <v>#REF!</v>
      </c>
      <c r="H109" s="168" t="str">
        <f t="shared" si="248"/>
        <v>#REF!</v>
      </c>
      <c r="I109" s="168" t="str">
        <f t="shared" si="248"/>
        <v>#REF!</v>
      </c>
      <c r="J109" s="168" t="str">
        <f t="shared" si="248"/>
        <v>#REF!</v>
      </c>
      <c r="K109" s="168" t="str">
        <f t="shared" si="248"/>
        <v>#REF!</v>
      </c>
      <c r="L109" s="168" t="str">
        <f t="shared" si="248"/>
        <v>#REF!</v>
      </c>
      <c r="M109" s="168" t="str">
        <f t="shared" si="248"/>
        <v>#REF!</v>
      </c>
      <c r="N109" s="168" t="str">
        <f t="shared" si="248"/>
        <v>#REF!</v>
      </c>
      <c r="O109" s="168" t="str">
        <f t="shared" si="248"/>
        <v>#REF!</v>
      </c>
      <c r="P109" s="168" t="str">
        <f t="shared" si="248"/>
        <v>#REF!</v>
      </c>
      <c r="Q109" s="168" t="str">
        <f t="shared" si="248"/>
        <v>#REF!</v>
      </c>
      <c r="R109" s="168" t="str">
        <f t="shared" si="248"/>
        <v>#REF!</v>
      </c>
      <c r="S109" s="168" t="str">
        <f t="shared" si="248"/>
        <v>#REF!</v>
      </c>
      <c r="T109" s="168" t="str">
        <f t="shared" si="248"/>
        <v>#REF!</v>
      </c>
      <c r="U109" s="168" t="str">
        <f t="shared" ref="U109:AJ109" si="249">#REF!</f>
        <v>#REF!</v>
      </c>
      <c r="V109" s="168" t="str">
        <f t="shared" si="249"/>
        <v>#REF!</v>
      </c>
      <c r="W109" s="168" t="str">
        <f t="shared" si="249"/>
        <v>#REF!</v>
      </c>
      <c r="X109" s="168" t="str">
        <f t="shared" si="249"/>
        <v>#REF!</v>
      </c>
      <c r="Y109" s="168" t="str">
        <f t="shared" si="249"/>
        <v>#REF!</v>
      </c>
      <c r="Z109" s="168" t="str">
        <f t="shared" si="249"/>
        <v>#REF!</v>
      </c>
      <c r="AA109" s="168" t="str">
        <f t="shared" si="249"/>
        <v>#REF!</v>
      </c>
      <c r="AB109" s="168" t="str">
        <f t="shared" si="249"/>
        <v>#REF!</v>
      </c>
      <c r="AC109" s="168" t="str">
        <f t="shared" si="249"/>
        <v>#REF!</v>
      </c>
      <c r="AD109" s="168" t="str">
        <f t="shared" si="249"/>
        <v>#REF!</v>
      </c>
      <c r="AE109" s="168" t="str">
        <f t="shared" si="249"/>
        <v>#REF!</v>
      </c>
      <c r="AF109" s="168" t="str">
        <f t="shared" si="249"/>
        <v>#REF!</v>
      </c>
      <c r="AG109" s="168" t="str">
        <f t="shared" si="249"/>
        <v>#REF!</v>
      </c>
      <c r="AH109" s="168" t="str">
        <f t="shared" si="249"/>
        <v>#REF!</v>
      </c>
      <c r="AI109" s="168" t="str">
        <f t="shared" si="249"/>
        <v>#REF!</v>
      </c>
      <c r="AJ109" s="168" t="str">
        <f t="shared" si="249"/>
        <v>#REF!</v>
      </c>
    </row>
    <row r="110" ht="15.75" customHeight="1">
      <c r="A110" s="168" t="str">
        <f t="shared" ref="A110:T110" si="250">if(#REF!=$D$1,#REF!,"")</f>
        <v>#REF!</v>
      </c>
      <c r="B110" s="168" t="str">
        <f t="shared" si="250"/>
        <v>#REF!</v>
      </c>
      <c r="C110" s="168" t="str">
        <f t="shared" si="250"/>
        <v>#REF!</v>
      </c>
      <c r="D110" s="168" t="str">
        <f t="shared" si="250"/>
        <v>#REF!</v>
      </c>
      <c r="E110" s="168" t="str">
        <f t="shared" si="250"/>
        <v>#REF!</v>
      </c>
      <c r="F110" s="168" t="str">
        <f t="shared" si="250"/>
        <v>#REF!</v>
      </c>
      <c r="G110" s="168" t="str">
        <f t="shared" si="250"/>
        <v>#REF!</v>
      </c>
      <c r="H110" s="168" t="str">
        <f t="shared" si="250"/>
        <v>#REF!</v>
      </c>
      <c r="I110" s="168" t="str">
        <f t="shared" si="250"/>
        <v>#REF!</v>
      </c>
      <c r="J110" s="168" t="str">
        <f t="shared" si="250"/>
        <v>#REF!</v>
      </c>
      <c r="K110" s="168" t="str">
        <f t="shared" si="250"/>
        <v>#REF!</v>
      </c>
      <c r="L110" s="168" t="str">
        <f t="shared" si="250"/>
        <v>#REF!</v>
      </c>
      <c r="M110" s="168" t="str">
        <f t="shared" si="250"/>
        <v>#REF!</v>
      </c>
      <c r="N110" s="168" t="str">
        <f t="shared" si="250"/>
        <v>#REF!</v>
      </c>
      <c r="O110" s="168" t="str">
        <f t="shared" si="250"/>
        <v>#REF!</v>
      </c>
      <c r="P110" s="168" t="str">
        <f t="shared" si="250"/>
        <v>#REF!</v>
      </c>
      <c r="Q110" s="168" t="str">
        <f t="shared" si="250"/>
        <v>#REF!</v>
      </c>
      <c r="R110" s="168" t="str">
        <f t="shared" si="250"/>
        <v>#REF!</v>
      </c>
      <c r="S110" s="168" t="str">
        <f t="shared" si="250"/>
        <v>#REF!</v>
      </c>
      <c r="T110" s="168" t="str">
        <f t="shared" si="250"/>
        <v>#REF!</v>
      </c>
      <c r="U110" s="168" t="str">
        <f t="shared" ref="U110:AJ110" si="251">#REF!</f>
        <v>#REF!</v>
      </c>
      <c r="V110" s="168" t="str">
        <f t="shared" si="251"/>
        <v>#REF!</v>
      </c>
      <c r="W110" s="168" t="str">
        <f t="shared" si="251"/>
        <v>#REF!</v>
      </c>
      <c r="X110" s="168" t="str">
        <f t="shared" si="251"/>
        <v>#REF!</v>
      </c>
      <c r="Y110" s="168" t="str">
        <f t="shared" si="251"/>
        <v>#REF!</v>
      </c>
      <c r="Z110" s="168" t="str">
        <f t="shared" si="251"/>
        <v>#REF!</v>
      </c>
      <c r="AA110" s="168" t="str">
        <f t="shared" si="251"/>
        <v>#REF!</v>
      </c>
      <c r="AB110" s="168" t="str">
        <f t="shared" si="251"/>
        <v>#REF!</v>
      </c>
      <c r="AC110" s="168" t="str">
        <f t="shared" si="251"/>
        <v>#REF!</v>
      </c>
      <c r="AD110" s="168" t="str">
        <f t="shared" si="251"/>
        <v>#REF!</v>
      </c>
      <c r="AE110" s="168" t="str">
        <f t="shared" si="251"/>
        <v>#REF!</v>
      </c>
      <c r="AF110" s="168" t="str">
        <f t="shared" si="251"/>
        <v>#REF!</v>
      </c>
      <c r="AG110" s="168" t="str">
        <f t="shared" si="251"/>
        <v>#REF!</v>
      </c>
      <c r="AH110" s="168" t="str">
        <f t="shared" si="251"/>
        <v>#REF!</v>
      </c>
      <c r="AI110" s="168" t="str">
        <f t="shared" si="251"/>
        <v>#REF!</v>
      </c>
      <c r="AJ110" s="168" t="str">
        <f t="shared" si="251"/>
        <v>#REF!</v>
      </c>
    </row>
    <row r="111" ht="15.75" customHeight="1">
      <c r="A111" s="168" t="str">
        <f t="shared" ref="A111:T111" si="252">if(#REF!=$D$1,#REF!,"")</f>
        <v>#REF!</v>
      </c>
      <c r="B111" s="168" t="str">
        <f t="shared" si="252"/>
        <v>#REF!</v>
      </c>
      <c r="C111" s="168" t="str">
        <f t="shared" si="252"/>
        <v>#REF!</v>
      </c>
      <c r="D111" s="168" t="str">
        <f t="shared" si="252"/>
        <v>#REF!</v>
      </c>
      <c r="E111" s="168" t="str">
        <f t="shared" si="252"/>
        <v>#REF!</v>
      </c>
      <c r="F111" s="168" t="str">
        <f t="shared" si="252"/>
        <v>#REF!</v>
      </c>
      <c r="G111" s="168" t="str">
        <f t="shared" si="252"/>
        <v>#REF!</v>
      </c>
      <c r="H111" s="168" t="str">
        <f t="shared" si="252"/>
        <v>#REF!</v>
      </c>
      <c r="I111" s="168" t="str">
        <f t="shared" si="252"/>
        <v>#REF!</v>
      </c>
      <c r="J111" s="168" t="str">
        <f t="shared" si="252"/>
        <v>#REF!</v>
      </c>
      <c r="K111" s="168" t="str">
        <f t="shared" si="252"/>
        <v>#REF!</v>
      </c>
      <c r="L111" s="168" t="str">
        <f t="shared" si="252"/>
        <v>#REF!</v>
      </c>
      <c r="M111" s="168" t="str">
        <f t="shared" si="252"/>
        <v>#REF!</v>
      </c>
      <c r="N111" s="168" t="str">
        <f t="shared" si="252"/>
        <v>#REF!</v>
      </c>
      <c r="O111" s="168" t="str">
        <f t="shared" si="252"/>
        <v>#REF!</v>
      </c>
      <c r="P111" s="168" t="str">
        <f t="shared" si="252"/>
        <v>#REF!</v>
      </c>
      <c r="Q111" s="168" t="str">
        <f t="shared" si="252"/>
        <v>#REF!</v>
      </c>
      <c r="R111" s="168" t="str">
        <f t="shared" si="252"/>
        <v>#REF!</v>
      </c>
      <c r="S111" s="168" t="str">
        <f t="shared" si="252"/>
        <v>#REF!</v>
      </c>
      <c r="T111" s="168" t="str">
        <f t="shared" si="252"/>
        <v>#REF!</v>
      </c>
      <c r="U111" s="168" t="str">
        <f t="shared" ref="U111:AJ111" si="253">#REF!</f>
        <v>#REF!</v>
      </c>
      <c r="V111" s="168" t="str">
        <f t="shared" si="253"/>
        <v>#REF!</v>
      </c>
      <c r="W111" s="168" t="str">
        <f t="shared" si="253"/>
        <v>#REF!</v>
      </c>
      <c r="X111" s="168" t="str">
        <f t="shared" si="253"/>
        <v>#REF!</v>
      </c>
      <c r="Y111" s="168" t="str">
        <f t="shared" si="253"/>
        <v>#REF!</v>
      </c>
      <c r="Z111" s="168" t="str">
        <f t="shared" si="253"/>
        <v>#REF!</v>
      </c>
      <c r="AA111" s="168" t="str">
        <f t="shared" si="253"/>
        <v>#REF!</v>
      </c>
      <c r="AB111" s="168" t="str">
        <f t="shared" si="253"/>
        <v>#REF!</v>
      </c>
      <c r="AC111" s="168" t="str">
        <f t="shared" si="253"/>
        <v>#REF!</v>
      </c>
      <c r="AD111" s="168" t="str">
        <f t="shared" si="253"/>
        <v>#REF!</v>
      </c>
      <c r="AE111" s="168" t="str">
        <f t="shared" si="253"/>
        <v>#REF!</v>
      </c>
      <c r="AF111" s="168" t="str">
        <f t="shared" si="253"/>
        <v>#REF!</v>
      </c>
      <c r="AG111" s="168" t="str">
        <f t="shared" si="253"/>
        <v>#REF!</v>
      </c>
      <c r="AH111" s="168" t="str">
        <f t="shared" si="253"/>
        <v>#REF!</v>
      </c>
      <c r="AI111" s="168" t="str">
        <f t="shared" si="253"/>
        <v>#REF!</v>
      </c>
      <c r="AJ111" s="168" t="str">
        <f t="shared" si="253"/>
        <v>#REF!</v>
      </c>
    </row>
    <row r="112" ht="15.75" customHeight="1">
      <c r="A112" s="168" t="str">
        <f t="shared" ref="A112:T112" si="254">if(#REF!=$D$1,#REF!,"")</f>
        <v>#REF!</v>
      </c>
      <c r="B112" s="168" t="str">
        <f t="shared" si="254"/>
        <v>#REF!</v>
      </c>
      <c r="C112" s="168" t="str">
        <f t="shared" si="254"/>
        <v>#REF!</v>
      </c>
      <c r="D112" s="168" t="str">
        <f t="shared" si="254"/>
        <v>#REF!</v>
      </c>
      <c r="E112" s="168" t="str">
        <f t="shared" si="254"/>
        <v>#REF!</v>
      </c>
      <c r="F112" s="168" t="str">
        <f t="shared" si="254"/>
        <v>#REF!</v>
      </c>
      <c r="G112" s="168" t="str">
        <f t="shared" si="254"/>
        <v>#REF!</v>
      </c>
      <c r="H112" s="168" t="str">
        <f t="shared" si="254"/>
        <v>#REF!</v>
      </c>
      <c r="I112" s="168" t="str">
        <f t="shared" si="254"/>
        <v>#REF!</v>
      </c>
      <c r="J112" s="168" t="str">
        <f t="shared" si="254"/>
        <v>#REF!</v>
      </c>
      <c r="K112" s="168" t="str">
        <f t="shared" si="254"/>
        <v>#REF!</v>
      </c>
      <c r="L112" s="168" t="str">
        <f t="shared" si="254"/>
        <v>#REF!</v>
      </c>
      <c r="M112" s="168" t="str">
        <f t="shared" si="254"/>
        <v>#REF!</v>
      </c>
      <c r="N112" s="168" t="str">
        <f t="shared" si="254"/>
        <v>#REF!</v>
      </c>
      <c r="O112" s="168" t="str">
        <f t="shared" si="254"/>
        <v>#REF!</v>
      </c>
      <c r="P112" s="168" t="str">
        <f t="shared" si="254"/>
        <v>#REF!</v>
      </c>
      <c r="Q112" s="168" t="str">
        <f t="shared" si="254"/>
        <v>#REF!</v>
      </c>
      <c r="R112" s="168" t="str">
        <f t="shared" si="254"/>
        <v>#REF!</v>
      </c>
      <c r="S112" s="168" t="str">
        <f t="shared" si="254"/>
        <v>#REF!</v>
      </c>
      <c r="T112" s="168" t="str">
        <f t="shared" si="254"/>
        <v>#REF!</v>
      </c>
      <c r="U112" s="168" t="str">
        <f t="shared" ref="U112:AJ112" si="255">#REF!</f>
        <v>#REF!</v>
      </c>
      <c r="V112" s="168" t="str">
        <f t="shared" si="255"/>
        <v>#REF!</v>
      </c>
      <c r="W112" s="168" t="str">
        <f t="shared" si="255"/>
        <v>#REF!</v>
      </c>
      <c r="X112" s="168" t="str">
        <f t="shared" si="255"/>
        <v>#REF!</v>
      </c>
      <c r="Y112" s="168" t="str">
        <f t="shared" si="255"/>
        <v>#REF!</v>
      </c>
      <c r="Z112" s="168" t="str">
        <f t="shared" si="255"/>
        <v>#REF!</v>
      </c>
      <c r="AA112" s="168" t="str">
        <f t="shared" si="255"/>
        <v>#REF!</v>
      </c>
      <c r="AB112" s="168" t="str">
        <f t="shared" si="255"/>
        <v>#REF!</v>
      </c>
      <c r="AC112" s="168" t="str">
        <f t="shared" si="255"/>
        <v>#REF!</v>
      </c>
      <c r="AD112" s="168" t="str">
        <f t="shared" si="255"/>
        <v>#REF!</v>
      </c>
      <c r="AE112" s="168" t="str">
        <f t="shared" si="255"/>
        <v>#REF!</v>
      </c>
      <c r="AF112" s="168" t="str">
        <f t="shared" si="255"/>
        <v>#REF!</v>
      </c>
      <c r="AG112" s="168" t="str">
        <f t="shared" si="255"/>
        <v>#REF!</v>
      </c>
      <c r="AH112" s="168" t="str">
        <f t="shared" si="255"/>
        <v>#REF!</v>
      </c>
      <c r="AI112" s="168" t="str">
        <f t="shared" si="255"/>
        <v>#REF!</v>
      </c>
      <c r="AJ112" s="168" t="str">
        <f t="shared" si="255"/>
        <v>#REF!</v>
      </c>
    </row>
    <row r="113" ht="15.75" customHeight="1">
      <c r="A113" s="168" t="str">
        <f t="shared" ref="A113:T113" si="256">if(#REF!=$D$1,#REF!,"")</f>
        <v>#REF!</v>
      </c>
      <c r="B113" s="168" t="str">
        <f t="shared" si="256"/>
        <v>#REF!</v>
      </c>
      <c r="C113" s="168" t="str">
        <f t="shared" si="256"/>
        <v>#REF!</v>
      </c>
      <c r="D113" s="168" t="str">
        <f t="shared" si="256"/>
        <v>#REF!</v>
      </c>
      <c r="E113" s="168" t="str">
        <f t="shared" si="256"/>
        <v>#REF!</v>
      </c>
      <c r="F113" s="168" t="str">
        <f t="shared" si="256"/>
        <v>#REF!</v>
      </c>
      <c r="G113" s="168" t="str">
        <f t="shared" si="256"/>
        <v>#REF!</v>
      </c>
      <c r="H113" s="168" t="str">
        <f t="shared" si="256"/>
        <v>#REF!</v>
      </c>
      <c r="I113" s="168" t="str">
        <f t="shared" si="256"/>
        <v>#REF!</v>
      </c>
      <c r="J113" s="168" t="str">
        <f t="shared" si="256"/>
        <v>#REF!</v>
      </c>
      <c r="K113" s="168" t="str">
        <f t="shared" si="256"/>
        <v>#REF!</v>
      </c>
      <c r="L113" s="168" t="str">
        <f t="shared" si="256"/>
        <v>#REF!</v>
      </c>
      <c r="M113" s="168" t="str">
        <f t="shared" si="256"/>
        <v>#REF!</v>
      </c>
      <c r="N113" s="168" t="str">
        <f t="shared" si="256"/>
        <v>#REF!</v>
      </c>
      <c r="O113" s="168" t="str">
        <f t="shared" si="256"/>
        <v>#REF!</v>
      </c>
      <c r="P113" s="168" t="str">
        <f t="shared" si="256"/>
        <v>#REF!</v>
      </c>
      <c r="Q113" s="168" t="str">
        <f t="shared" si="256"/>
        <v>#REF!</v>
      </c>
      <c r="R113" s="168" t="str">
        <f t="shared" si="256"/>
        <v>#REF!</v>
      </c>
      <c r="S113" s="168" t="str">
        <f t="shared" si="256"/>
        <v>#REF!</v>
      </c>
      <c r="T113" s="168" t="str">
        <f t="shared" si="256"/>
        <v>#REF!</v>
      </c>
      <c r="U113" s="168" t="str">
        <f t="shared" ref="U113:AJ113" si="257">#REF!</f>
        <v>#REF!</v>
      </c>
      <c r="V113" s="168" t="str">
        <f t="shared" si="257"/>
        <v>#REF!</v>
      </c>
      <c r="W113" s="168" t="str">
        <f t="shared" si="257"/>
        <v>#REF!</v>
      </c>
      <c r="X113" s="168" t="str">
        <f t="shared" si="257"/>
        <v>#REF!</v>
      </c>
      <c r="Y113" s="168" t="str">
        <f t="shared" si="257"/>
        <v>#REF!</v>
      </c>
      <c r="Z113" s="168" t="str">
        <f t="shared" si="257"/>
        <v>#REF!</v>
      </c>
      <c r="AA113" s="168" t="str">
        <f t="shared" si="257"/>
        <v>#REF!</v>
      </c>
      <c r="AB113" s="168" t="str">
        <f t="shared" si="257"/>
        <v>#REF!</v>
      </c>
      <c r="AC113" s="168" t="str">
        <f t="shared" si="257"/>
        <v>#REF!</v>
      </c>
      <c r="AD113" s="168" t="str">
        <f t="shared" si="257"/>
        <v>#REF!</v>
      </c>
      <c r="AE113" s="168" t="str">
        <f t="shared" si="257"/>
        <v>#REF!</v>
      </c>
      <c r="AF113" s="168" t="str">
        <f t="shared" si="257"/>
        <v>#REF!</v>
      </c>
      <c r="AG113" s="168" t="str">
        <f t="shared" si="257"/>
        <v>#REF!</v>
      </c>
      <c r="AH113" s="168" t="str">
        <f t="shared" si="257"/>
        <v>#REF!</v>
      </c>
      <c r="AI113" s="168" t="str">
        <f t="shared" si="257"/>
        <v>#REF!</v>
      </c>
      <c r="AJ113" s="168" t="str">
        <f t="shared" si="257"/>
        <v>#REF!</v>
      </c>
    </row>
    <row r="114" ht="15.75" customHeight="1">
      <c r="A114" s="168" t="str">
        <f t="shared" ref="A114:T114" si="258">if(#REF!=$D$1,#REF!,"")</f>
        <v>#REF!</v>
      </c>
      <c r="B114" s="168" t="str">
        <f t="shared" si="258"/>
        <v>#REF!</v>
      </c>
      <c r="C114" s="168" t="str">
        <f t="shared" si="258"/>
        <v>#REF!</v>
      </c>
      <c r="D114" s="168" t="str">
        <f t="shared" si="258"/>
        <v>#REF!</v>
      </c>
      <c r="E114" s="168" t="str">
        <f t="shared" si="258"/>
        <v>#REF!</v>
      </c>
      <c r="F114" s="168" t="str">
        <f t="shared" si="258"/>
        <v>#REF!</v>
      </c>
      <c r="G114" s="168" t="str">
        <f t="shared" si="258"/>
        <v>#REF!</v>
      </c>
      <c r="H114" s="168" t="str">
        <f t="shared" si="258"/>
        <v>#REF!</v>
      </c>
      <c r="I114" s="168" t="str">
        <f t="shared" si="258"/>
        <v>#REF!</v>
      </c>
      <c r="J114" s="168" t="str">
        <f t="shared" si="258"/>
        <v>#REF!</v>
      </c>
      <c r="K114" s="168" t="str">
        <f t="shared" si="258"/>
        <v>#REF!</v>
      </c>
      <c r="L114" s="168" t="str">
        <f t="shared" si="258"/>
        <v>#REF!</v>
      </c>
      <c r="M114" s="168" t="str">
        <f t="shared" si="258"/>
        <v>#REF!</v>
      </c>
      <c r="N114" s="168" t="str">
        <f t="shared" si="258"/>
        <v>#REF!</v>
      </c>
      <c r="O114" s="168" t="str">
        <f t="shared" si="258"/>
        <v>#REF!</v>
      </c>
      <c r="P114" s="168" t="str">
        <f t="shared" si="258"/>
        <v>#REF!</v>
      </c>
      <c r="Q114" s="168" t="str">
        <f t="shared" si="258"/>
        <v>#REF!</v>
      </c>
      <c r="R114" s="168" t="str">
        <f t="shared" si="258"/>
        <v>#REF!</v>
      </c>
      <c r="S114" s="168" t="str">
        <f t="shared" si="258"/>
        <v>#REF!</v>
      </c>
      <c r="T114" s="168" t="str">
        <f t="shared" si="258"/>
        <v>#REF!</v>
      </c>
      <c r="U114" s="168" t="str">
        <f t="shared" ref="U114:AJ114" si="259">#REF!</f>
        <v>#REF!</v>
      </c>
      <c r="V114" s="168" t="str">
        <f t="shared" si="259"/>
        <v>#REF!</v>
      </c>
      <c r="W114" s="168" t="str">
        <f t="shared" si="259"/>
        <v>#REF!</v>
      </c>
      <c r="X114" s="168" t="str">
        <f t="shared" si="259"/>
        <v>#REF!</v>
      </c>
      <c r="Y114" s="168" t="str">
        <f t="shared" si="259"/>
        <v>#REF!</v>
      </c>
      <c r="Z114" s="168" t="str">
        <f t="shared" si="259"/>
        <v>#REF!</v>
      </c>
      <c r="AA114" s="168" t="str">
        <f t="shared" si="259"/>
        <v>#REF!</v>
      </c>
      <c r="AB114" s="168" t="str">
        <f t="shared" si="259"/>
        <v>#REF!</v>
      </c>
      <c r="AC114" s="168" t="str">
        <f t="shared" si="259"/>
        <v>#REF!</v>
      </c>
      <c r="AD114" s="168" t="str">
        <f t="shared" si="259"/>
        <v>#REF!</v>
      </c>
      <c r="AE114" s="168" t="str">
        <f t="shared" si="259"/>
        <v>#REF!</v>
      </c>
      <c r="AF114" s="168" t="str">
        <f t="shared" si="259"/>
        <v>#REF!</v>
      </c>
      <c r="AG114" s="168" t="str">
        <f t="shared" si="259"/>
        <v>#REF!</v>
      </c>
      <c r="AH114" s="168" t="str">
        <f t="shared" si="259"/>
        <v>#REF!</v>
      </c>
      <c r="AI114" s="168" t="str">
        <f t="shared" si="259"/>
        <v>#REF!</v>
      </c>
      <c r="AJ114" s="168" t="str">
        <f t="shared" si="259"/>
        <v>#REF!</v>
      </c>
    </row>
    <row r="115" ht="15.75" customHeight="1">
      <c r="A115" s="168" t="str">
        <f t="shared" ref="A115:T115" si="260">if(#REF!=$D$1,#REF!,"")</f>
        <v>#REF!</v>
      </c>
      <c r="B115" s="168" t="str">
        <f t="shared" si="260"/>
        <v>#REF!</v>
      </c>
      <c r="C115" s="168" t="str">
        <f t="shared" si="260"/>
        <v>#REF!</v>
      </c>
      <c r="D115" s="168" t="str">
        <f t="shared" si="260"/>
        <v>#REF!</v>
      </c>
      <c r="E115" s="168" t="str">
        <f t="shared" si="260"/>
        <v>#REF!</v>
      </c>
      <c r="F115" s="168" t="str">
        <f t="shared" si="260"/>
        <v>#REF!</v>
      </c>
      <c r="G115" s="168" t="str">
        <f t="shared" si="260"/>
        <v>#REF!</v>
      </c>
      <c r="H115" s="168" t="str">
        <f t="shared" si="260"/>
        <v>#REF!</v>
      </c>
      <c r="I115" s="168" t="str">
        <f t="shared" si="260"/>
        <v>#REF!</v>
      </c>
      <c r="J115" s="168" t="str">
        <f t="shared" si="260"/>
        <v>#REF!</v>
      </c>
      <c r="K115" s="168" t="str">
        <f t="shared" si="260"/>
        <v>#REF!</v>
      </c>
      <c r="L115" s="168" t="str">
        <f t="shared" si="260"/>
        <v>#REF!</v>
      </c>
      <c r="M115" s="168" t="str">
        <f t="shared" si="260"/>
        <v>#REF!</v>
      </c>
      <c r="N115" s="168" t="str">
        <f t="shared" si="260"/>
        <v>#REF!</v>
      </c>
      <c r="O115" s="168" t="str">
        <f t="shared" si="260"/>
        <v>#REF!</v>
      </c>
      <c r="P115" s="168" t="str">
        <f t="shared" si="260"/>
        <v>#REF!</v>
      </c>
      <c r="Q115" s="168" t="str">
        <f t="shared" si="260"/>
        <v>#REF!</v>
      </c>
      <c r="R115" s="168" t="str">
        <f t="shared" si="260"/>
        <v>#REF!</v>
      </c>
      <c r="S115" s="168" t="str">
        <f t="shared" si="260"/>
        <v>#REF!</v>
      </c>
      <c r="T115" s="168" t="str">
        <f t="shared" si="260"/>
        <v>#REF!</v>
      </c>
      <c r="U115" s="168" t="str">
        <f t="shared" ref="U115:AJ115" si="261">#REF!</f>
        <v>#REF!</v>
      </c>
      <c r="V115" s="168" t="str">
        <f t="shared" si="261"/>
        <v>#REF!</v>
      </c>
      <c r="W115" s="168" t="str">
        <f t="shared" si="261"/>
        <v>#REF!</v>
      </c>
      <c r="X115" s="168" t="str">
        <f t="shared" si="261"/>
        <v>#REF!</v>
      </c>
      <c r="Y115" s="168" t="str">
        <f t="shared" si="261"/>
        <v>#REF!</v>
      </c>
      <c r="Z115" s="168" t="str">
        <f t="shared" si="261"/>
        <v>#REF!</v>
      </c>
      <c r="AA115" s="168" t="str">
        <f t="shared" si="261"/>
        <v>#REF!</v>
      </c>
      <c r="AB115" s="168" t="str">
        <f t="shared" si="261"/>
        <v>#REF!</v>
      </c>
      <c r="AC115" s="168" t="str">
        <f t="shared" si="261"/>
        <v>#REF!</v>
      </c>
      <c r="AD115" s="168" t="str">
        <f t="shared" si="261"/>
        <v>#REF!</v>
      </c>
      <c r="AE115" s="168" t="str">
        <f t="shared" si="261"/>
        <v>#REF!</v>
      </c>
      <c r="AF115" s="168" t="str">
        <f t="shared" si="261"/>
        <v>#REF!</v>
      </c>
      <c r="AG115" s="168" t="str">
        <f t="shared" si="261"/>
        <v>#REF!</v>
      </c>
      <c r="AH115" s="168" t="str">
        <f t="shared" si="261"/>
        <v>#REF!</v>
      </c>
      <c r="AI115" s="168" t="str">
        <f t="shared" si="261"/>
        <v>#REF!</v>
      </c>
      <c r="AJ115" s="168" t="str">
        <f t="shared" si="261"/>
        <v>#REF!</v>
      </c>
    </row>
    <row r="116" ht="15.75" customHeight="1">
      <c r="A116" s="168" t="str">
        <f t="shared" ref="A116:T116" si="262">if(#REF!=$D$1,#REF!,"")</f>
        <v>#REF!</v>
      </c>
      <c r="B116" s="168" t="str">
        <f t="shared" si="262"/>
        <v>#REF!</v>
      </c>
      <c r="C116" s="168" t="str">
        <f t="shared" si="262"/>
        <v>#REF!</v>
      </c>
      <c r="D116" s="168" t="str">
        <f t="shared" si="262"/>
        <v>#REF!</v>
      </c>
      <c r="E116" s="168" t="str">
        <f t="shared" si="262"/>
        <v>#REF!</v>
      </c>
      <c r="F116" s="168" t="str">
        <f t="shared" si="262"/>
        <v>#REF!</v>
      </c>
      <c r="G116" s="168" t="str">
        <f t="shared" si="262"/>
        <v>#REF!</v>
      </c>
      <c r="H116" s="168" t="str">
        <f t="shared" si="262"/>
        <v>#REF!</v>
      </c>
      <c r="I116" s="168" t="str">
        <f t="shared" si="262"/>
        <v>#REF!</v>
      </c>
      <c r="J116" s="168" t="str">
        <f t="shared" si="262"/>
        <v>#REF!</v>
      </c>
      <c r="K116" s="168" t="str">
        <f t="shared" si="262"/>
        <v>#REF!</v>
      </c>
      <c r="L116" s="168" t="str">
        <f t="shared" si="262"/>
        <v>#REF!</v>
      </c>
      <c r="M116" s="168" t="str">
        <f t="shared" si="262"/>
        <v>#REF!</v>
      </c>
      <c r="N116" s="168" t="str">
        <f t="shared" si="262"/>
        <v>#REF!</v>
      </c>
      <c r="O116" s="168" t="str">
        <f t="shared" si="262"/>
        <v>#REF!</v>
      </c>
      <c r="P116" s="168" t="str">
        <f t="shared" si="262"/>
        <v>#REF!</v>
      </c>
      <c r="Q116" s="168" t="str">
        <f t="shared" si="262"/>
        <v>#REF!</v>
      </c>
      <c r="R116" s="168" t="str">
        <f t="shared" si="262"/>
        <v>#REF!</v>
      </c>
      <c r="S116" s="168" t="str">
        <f t="shared" si="262"/>
        <v>#REF!</v>
      </c>
      <c r="T116" s="168" t="str">
        <f t="shared" si="262"/>
        <v>#REF!</v>
      </c>
      <c r="U116" s="168" t="str">
        <f t="shared" ref="U116:AJ116" si="263">#REF!</f>
        <v>#REF!</v>
      </c>
      <c r="V116" s="168" t="str">
        <f t="shared" si="263"/>
        <v>#REF!</v>
      </c>
      <c r="W116" s="168" t="str">
        <f t="shared" si="263"/>
        <v>#REF!</v>
      </c>
      <c r="X116" s="168" t="str">
        <f t="shared" si="263"/>
        <v>#REF!</v>
      </c>
      <c r="Y116" s="168" t="str">
        <f t="shared" si="263"/>
        <v>#REF!</v>
      </c>
      <c r="Z116" s="168" t="str">
        <f t="shared" si="263"/>
        <v>#REF!</v>
      </c>
      <c r="AA116" s="168" t="str">
        <f t="shared" si="263"/>
        <v>#REF!</v>
      </c>
      <c r="AB116" s="168" t="str">
        <f t="shared" si="263"/>
        <v>#REF!</v>
      </c>
      <c r="AC116" s="168" t="str">
        <f t="shared" si="263"/>
        <v>#REF!</v>
      </c>
      <c r="AD116" s="168" t="str">
        <f t="shared" si="263"/>
        <v>#REF!</v>
      </c>
      <c r="AE116" s="168" t="str">
        <f t="shared" si="263"/>
        <v>#REF!</v>
      </c>
      <c r="AF116" s="168" t="str">
        <f t="shared" si="263"/>
        <v>#REF!</v>
      </c>
      <c r="AG116" s="168" t="str">
        <f t="shared" si="263"/>
        <v>#REF!</v>
      </c>
      <c r="AH116" s="168" t="str">
        <f t="shared" si="263"/>
        <v>#REF!</v>
      </c>
      <c r="AI116" s="168" t="str">
        <f t="shared" si="263"/>
        <v>#REF!</v>
      </c>
      <c r="AJ116" s="168" t="str">
        <f t="shared" si="263"/>
        <v>#REF!</v>
      </c>
    </row>
    <row r="117" ht="15.75" customHeight="1">
      <c r="A117" s="168" t="str">
        <f>if('2026 Pipeline'!$M20=$D$1,'2026 Pipeline'!C20,"")</f>
        <v>#REF!</v>
      </c>
      <c r="B117" s="168" t="str">
        <f t="shared" ref="B117:C117" si="264">if('2026 Pipeline'!$M20=$D$1,'2026 Pipeline'!J20,"")</f>
        <v>#REF!</v>
      </c>
      <c r="C117" s="168" t="str">
        <f t="shared" si="264"/>
        <v>#REF!</v>
      </c>
      <c r="D117" s="168" t="str">
        <f t="shared" ref="D117:F117" si="265">if('2026 Pipeline'!$M20=$D$1,'2026 Pipeline'!M20,"")</f>
        <v>#REF!</v>
      </c>
      <c r="E117" s="168" t="str">
        <f t="shared" si="265"/>
        <v>#REF!</v>
      </c>
      <c r="F117" s="168" t="str">
        <f t="shared" si="265"/>
        <v>#REF!</v>
      </c>
      <c r="G117" s="168" t="str">
        <f>if('2026 Pipeline'!$M20=$D$1,'2026 Pipeline'!Q20,"")</f>
        <v>#REF!</v>
      </c>
      <c r="H117" s="168" t="str">
        <f>if('2026 Pipeline'!$M20=$D$1,'2026 Pipeline'!P20,"")</f>
        <v>#REF!</v>
      </c>
      <c r="I117" s="168" t="str">
        <f>if('2026 Pipeline'!$M20=$D$1,'2026 Pipeline'!R20,"")</f>
        <v>#REF!</v>
      </c>
      <c r="J117" s="168" t="str">
        <f t="shared" ref="J117:L117" si="266">if('2026 Pipeline'!$M20=$D$1,'2026 Pipeline'!V20,"")</f>
        <v>#REF!</v>
      </c>
      <c r="K117" s="168" t="str">
        <f t="shared" si="266"/>
        <v>#REF!</v>
      </c>
      <c r="L117" s="168" t="str">
        <f t="shared" si="266"/>
        <v>#REF!</v>
      </c>
      <c r="M117" s="168" t="str">
        <f t="shared" ref="M117:O117" si="267">if('2026 Pipeline'!$M20=$D$1,#REF!,"")</f>
        <v>#REF!</v>
      </c>
      <c r="N117" s="168" t="str">
        <f t="shared" si="267"/>
        <v>#REF!</v>
      </c>
      <c r="O117" s="168" t="str">
        <f t="shared" si="267"/>
        <v>#REF!</v>
      </c>
      <c r="P117" s="168" t="str">
        <f>if('2026 Pipeline'!$M20=$D$1,'2026 Pipeline'!AA20,"")</f>
        <v>#REF!</v>
      </c>
      <c r="Q117" s="168" t="str">
        <f>if('2026 Pipeline'!$M20=$D$1,'2026 Pipeline'!Y20,"")</f>
        <v>#REF!</v>
      </c>
      <c r="R117" s="168" t="str">
        <f>if('2026 Pipeline'!$M20=$D$1,#REF!,"")</f>
        <v>#REF!</v>
      </c>
      <c r="S117" s="168" t="str">
        <f>if('2026 Pipeline'!$M20=$D$1,'2026 Pipeline'!L20,"")</f>
        <v>#REF!</v>
      </c>
      <c r="T117" s="168" t="str">
        <f>if('2026 Pipeline'!$M20=$D$1,'2026 Pipeline'!CD20,"")</f>
        <v>#REF!</v>
      </c>
      <c r="U117" s="168" t="str">
        <f t="shared" ref="U117:AJ117" si="268">#REF!</f>
        <v>#REF!</v>
      </c>
      <c r="V117" s="168" t="str">
        <f t="shared" si="268"/>
        <v>#REF!</v>
      </c>
      <c r="W117" s="168" t="str">
        <f t="shared" si="268"/>
        <v>#REF!</v>
      </c>
      <c r="X117" s="168" t="str">
        <f t="shared" si="268"/>
        <v>#REF!</v>
      </c>
      <c r="Y117" s="168" t="str">
        <f t="shared" si="268"/>
        <v>#REF!</v>
      </c>
      <c r="Z117" s="168" t="str">
        <f t="shared" si="268"/>
        <v>#REF!</v>
      </c>
      <c r="AA117" s="168" t="str">
        <f t="shared" si="268"/>
        <v>#REF!</v>
      </c>
      <c r="AB117" s="168" t="str">
        <f t="shared" si="268"/>
        <v>#REF!</v>
      </c>
      <c r="AC117" s="168" t="str">
        <f t="shared" si="268"/>
        <v>#REF!</v>
      </c>
      <c r="AD117" s="168" t="str">
        <f t="shared" si="268"/>
        <v>#REF!</v>
      </c>
      <c r="AE117" s="168" t="str">
        <f t="shared" si="268"/>
        <v>#REF!</v>
      </c>
      <c r="AF117" s="168" t="str">
        <f t="shared" si="268"/>
        <v>#REF!</v>
      </c>
      <c r="AG117" s="168" t="str">
        <f t="shared" si="268"/>
        <v>#REF!</v>
      </c>
      <c r="AH117" s="168" t="str">
        <f t="shared" si="268"/>
        <v>#REF!</v>
      </c>
      <c r="AI117" s="168" t="str">
        <f t="shared" si="268"/>
        <v>#REF!</v>
      </c>
      <c r="AJ117" s="168" t="str">
        <f t="shared" si="268"/>
        <v>#REF!</v>
      </c>
    </row>
    <row r="118" ht="15.75" customHeight="1">
      <c r="A118" s="168" t="str">
        <f t="shared" ref="A118:A125" si="274">if('2026 Pipeline'!$M22=$D$1,'2026 Pipeline'!C22,"")</f>
        <v>#REF!</v>
      </c>
      <c r="B118" s="168" t="str">
        <f t="shared" ref="B118:C118" si="269">if('2026 Pipeline'!$M22=$D$1,'2026 Pipeline'!J22,"")</f>
        <v>#REF!</v>
      </c>
      <c r="C118" s="168" t="str">
        <f t="shared" si="269"/>
        <v>#REF!</v>
      </c>
      <c r="D118" s="168" t="str">
        <f t="shared" ref="D118:F118" si="270">if('2026 Pipeline'!$M22=$D$1,'2026 Pipeline'!M22,"")</f>
        <v>#REF!</v>
      </c>
      <c r="E118" s="168" t="str">
        <f t="shared" si="270"/>
        <v>#REF!</v>
      </c>
      <c r="F118" s="168" t="str">
        <f t="shared" si="270"/>
        <v>#REF!</v>
      </c>
      <c r="G118" s="168" t="str">
        <f t="shared" ref="G118:G125" si="277">if('2026 Pipeline'!$M22=$D$1,'2026 Pipeline'!Q22,"")</f>
        <v>#REF!</v>
      </c>
      <c r="H118" s="168" t="str">
        <f t="shared" ref="H118:H125" si="278">if('2026 Pipeline'!$M22=$D$1,'2026 Pipeline'!P22,"")</f>
        <v>#REF!</v>
      </c>
      <c r="I118" s="168" t="str">
        <f t="shared" ref="I118:I125" si="279">if('2026 Pipeline'!$M22=$D$1,'2026 Pipeline'!R22,"")</f>
        <v>#REF!</v>
      </c>
      <c r="J118" s="168" t="str">
        <f t="shared" ref="J118:L118" si="271">if('2026 Pipeline'!$M22=$D$1,'2026 Pipeline'!V22,"")</f>
        <v>#REF!</v>
      </c>
      <c r="K118" s="168" t="str">
        <f t="shared" si="271"/>
        <v>#REF!</v>
      </c>
      <c r="L118" s="168" t="str">
        <f t="shared" si="271"/>
        <v>#REF!</v>
      </c>
      <c r="M118" s="168" t="str">
        <f t="shared" ref="M118:O118" si="272">if('2026 Pipeline'!$M22=$D$1,#REF!,"")</f>
        <v>#REF!</v>
      </c>
      <c r="N118" s="168" t="str">
        <f t="shared" si="272"/>
        <v>#REF!</v>
      </c>
      <c r="O118" s="168" t="str">
        <f t="shared" si="272"/>
        <v>#REF!</v>
      </c>
      <c r="P118" s="168" t="str">
        <f t="shared" ref="P118:P125" si="282">if('2026 Pipeline'!$M22=$D$1,'2026 Pipeline'!AA22,"")</f>
        <v>#REF!</v>
      </c>
      <c r="Q118" s="168" t="str">
        <f t="shared" ref="Q118:Q125" si="283">if('2026 Pipeline'!$M22=$D$1,'2026 Pipeline'!Y22,"")</f>
        <v>#REF!</v>
      </c>
      <c r="R118" s="168" t="str">
        <f t="shared" ref="R118:R125" si="284">if('2026 Pipeline'!$M22=$D$1,#REF!,"")</f>
        <v>#REF!</v>
      </c>
      <c r="S118" s="168" t="str">
        <f t="shared" ref="S118:S125" si="285">if('2026 Pipeline'!$M22=$D$1,'2026 Pipeline'!L22,"")</f>
        <v>#REF!</v>
      </c>
      <c r="T118" s="168" t="str">
        <f t="shared" ref="T118:T125" si="286">if('2026 Pipeline'!$M22=$D$1,'2026 Pipeline'!CD22,"")</f>
        <v>#REF!</v>
      </c>
      <c r="U118" s="168" t="str">
        <f t="shared" ref="U118:AJ118" si="273">#REF!</f>
        <v>#REF!</v>
      </c>
      <c r="V118" s="168" t="str">
        <f t="shared" si="273"/>
        <v>#REF!</v>
      </c>
      <c r="W118" s="168" t="str">
        <f t="shared" si="273"/>
        <v>#REF!</v>
      </c>
      <c r="X118" s="168" t="str">
        <f t="shared" si="273"/>
        <v>#REF!</v>
      </c>
      <c r="Y118" s="168" t="str">
        <f t="shared" si="273"/>
        <v>#REF!</v>
      </c>
      <c r="Z118" s="168" t="str">
        <f t="shared" si="273"/>
        <v>#REF!</v>
      </c>
      <c r="AA118" s="168" t="str">
        <f t="shared" si="273"/>
        <v>#REF!</v>
      </c>
      <c r="AB118" s="168" t="str">
        <f t="shared" si="273"/>
        <v>#REF!</v>
      </c>
      <c r="AC118" s="168" t="str">
        <f t="shared" si="273"/>
        <v>#REF!</v>
      </c>
      <c r="AD118" s="168" t="str">
        <f t="shared" si="273"/>
        <v>#REF!</v>
      </c>
      <c r="AE118" s="168" t="str">
        <f t="shared" si="273"/>
        <v>#REF!</v>
      </c>
      <c r="AF118" s="168" t="str">
        <f t="shared" si="273"/>
        <v>#REF!</v>
      </c>
      <c r="AG118" s="168" t="str">
        <f t="shared" si="273"/>
        <v>#REF!</v>
      </c>
      <c r="AH118" s="168" t="str">
        <f t="shared" si="273"/>
        <v>#REF!</v>
      </c>
      <c r="AI118" s="168" t="str">
        <f t="shared" si="273"/>
        <v>#REF!</v>
      </c>
      <c r="AJ118" s="168" t="str">
        <f t="shared" si="273"/>
        <v>#REF!</v>
      </c>
    </row>
    <row r="119" ht="15.75" customHeight="1">
      <c r="A119" s="168" t="str">
        <f t="shared" si="274"/>
        <v>#REF!</v>
      </c>
      <c r="B119" s="168" t="str">
        <f t="shared" ref="B119:C119" si="275">if('2026 Pipeline'!$M23=$D$1,'2026 Pipeline'!J23,"")</f>
        <v>#REF!</v>
      </c>
      <c r="C119" s="168" t="str">
        <f t="shared" si="275"/>
        <v>#REF!</v>
      </c>
      <c r="D119" s="168" t="str">
        <f t="shared" ref="D119:F119" si="276">if('2026 Pipeline'!$M23=$D$1,'2026 Pipeline'!M23,"")</f>
        <v>#REF!</v>
      </c>
      <c r="E119" s="168" t="str">
        <f t="shared" si="276"/>
        <v>#REF!</v>
      </c>
      <c r="F119" s="168" t="str">
        <f t="shared" si="276"/>
        <v>#REF!</v>
      </c>
      <c r="G119" s="168" t="str">
        <f t="shared" si="277"/>
        <v>#REF!</v>
      </c>
      <c r="H119" s="168" t="str">
        <f t="shared" si="278"/>
        <v>#REF!</v>
      </c>
      <c r="I119" s="168" t="str">
        <f t="shared" si="279"/>
        <v>#REF!</v>
      </c>
      <c r="J119" s="168" t="str">
        <f t="shared" ref="J119:L119" si="280">if('2026 Pipeline'!$M23=$D$1,'2026 Pipeline'!V23,"")</f>
        <v>#REF!</v>
      </c>
      <c r="K119" s="168" t="str">
        <f t="shared" si="280"/>
        <v>#REF!</v>
      </c>
      <c r="L119" s="168" t="str">
        <f t="shared" si="280"/>
        <v>#REF!</v>
      </c>
      <c r="M119" s="168" t="str">
        <f t="shared" ref="M119:O119" si="281">if('2026 Pipeline'!$M23=$D$1,#REF!,"")</f>
        <v>#REF!</v>
      </c>
      <c r="N119" s="168" t="str">
        <f t="shared" si="281"/>
        <v>#REF!</v>
      </c>
      <c r="O119" s="168" t="str">
        <f t="shared" si="281"/>
        <v>#REF!</v>
      </c>
      <c r="P119" s="168" t="str">
        <f t="shared" si="282"/>
        <v>#REF!</v>
      </c>
      <c r="Q119" s="168" t="str">
        <f t="shared" si="283"/>
        <v>#REF!</v>
      </c>
      <c r="R119" s="168" t="str">
        <f t="shared" si="284"/>
        <v>#REF!</v>
      </c>
      <c r="S119" s="168" t="str">
        <f t="shared" si="285"/>
        <v>#REF!</v>
      </c>
      <c r="T119" s="168" t="str">
        <f t="shared" si="286"/>
        <v>#REF!</v>
      </c>
      <c r="U119" s="168" t="str">
        <f>'2026 Pipeline'!AP20</f>
        <v>#REF!</v>
      </c>
      <c r="V119" s="168" t="str">
        <f t="shared" ref="V119:Z119" si="287">'2026 Pipeline'!CJ20</f>
        <v>#REF!</v>
      </c>
      <c r="W119" s="168" t="str">
        <f t="shared" si="287"/>
        <v>#REF!</v>
      </c>
      <c r="X119" s="168" t="str">
        <f t="shared" si="287"/>
        <v>#REF!</v>
      </c>
      <c r="Y119" s="168" t="str">
        <f t="shared" si="287"/>
        <v>#REF!</v>
      </c>
      <c r="Z119" s="168" t="str">
        <f t="shared" si="287"/>
        <v>#REF!</v>
      </c>
      <c r="AA119" s="168" t="str">
        <f t="shared" ref="AA119:AF119" si="288">#REF!</f>
        <v>#REF!</v>
      </c>
      <c r="AB119" s="168" t="str">
        <f t="shared" si="288"/>
        <v>#REF!</v>
      </c>
      <c r="AC119" s="168" t="str">
        <f t="shared" si="288"/>
        <v>#REF!</v>
      </c>
      <c r="AD119" s="168" t="str">
        <f t="shared" si="288"/>
        <v>#REF!</v>
      </c>
      <c r="AE119" s="168" t="str">
        <f t="shared" si="288"/>
        <v>#REF!</v>
      </c>
      <c r="AF119" s="168" t="str">
        <f t="shared" si="288"/>
        <v>#REF!</v>
      </c>
      <c r="AG119" s="168" t="str">
        <f>'2026 Pipeline'!CT20</f>
        <v>#REF!</v>
      </c>
      <c r="AH119" s="168" t="str">
        <f>'2026 Pipeline'!S20</f>
        <v>#REF!</v>
      </c>
      <c r="AI119" s="168" t="str">
        <f t="shared" ref="AI119:AJ119" si="289">#REF!</f>
        <v>#REF!</v>
      </c>
      <c r="AJ119" s="168" t="str">
        <f t="shared" si="289"/>
        <v>#REF!</v>
      </c>
    </row>
    <row r="120" ht="15.75" customHeight="1">
      <c r="A120" s="168" t="str">
        <f t="shared" si="274"/>
        <v>#REF!</v>
      </c>
      <c r="B120" s="168" t="str">
        <f t="shared" ref="B120:C120" si="290">if('2026 Pipeline'!$M24=$D$1,'2026 Pipeline'!J24,"")</f>
        <v>#REF!</v>
      </c>
      <c r="C120" s="168" t="str">
        <f t="shared" si="290"/>
        <v>#REF!</v>
      </c>
      <c r="D120" s="168" t="str">
        <f t="shared" ref="D120:F120" si="291">if('2026 Pipeline'!$M24=$D$1,'2026 Pipeline'!M24,"")</f>
        <v>#REF!</v>
      </c>
      <c r="E120" s="168" t="str">
        <f t="shared" si="291"/>
        <v>#REF!</v>
      </c>
      <c r="F120" s="168" t="str">
        <f t="shared" si="291"/>
        <v>#REF!</v>
      </c>
      <c r="G120" s="168" t="str">
        <f t="shared" si="277"/>
        <v>#REF!</v>
      </c>
      <c r="H120" s="168" t="str">
        <f t="shared" si="278"/>
        <v>#REF!</v>
      </c>
      <c r="I120" s="168" t="str">
        <f t="shared" si="279"/>
        <v>#REF!</v>
      </c>
      <c r="J120" s="168" t="str">
        <f t="shared" ref="J120:L120" si="292">if('2026 Pipeline'!$M24=$D$1,'2026 Pipeline'!V24,"")</f>
        <v>#REF!</v>
      </c>
      <c r="K120" s="168" t="str">
        <f t="shared" si="292"/>
        <v>#REF!</v>
      </c>
      <c r="L120" s="168" t="str">
        <f t="shared" si="292"/>
        <v>#REF!</v>
      </c>
      <c r="M120" s="168" t="str">
        <f t="shared" ref="M120:O120" si="293">if('2026 Pipeline'!$M24=$D$1,#REF!,"")</f>
        <v>#REF!</v>
      </c>
      <c r="N120" s="168" t="str">
        <f t="shared" si="293"/>
        <v>#REF!</v>
      </c>
      <c r="O120" s="168" t="str">
        <f t="shared" si="293"/>
        <v>#REF!</v>
      </c>
      <c r="P120" s="168" t="str">
        <f t="shared" si="282"/>
        <v>#REF!</v>
      </c>
      <c r="Q120" s="168" t="str">
        <f t="shared" si="283"/>
        <v>#REF!</v>
      </c>
      <c r="R120" s="168" t="str">
        <f t="shared" si="284"/>
        <v>#REF!</v>
      </c>
      <c r="S120" s="168" t="str">
        <f t="shared" si="285"/>
        <v>#REF!</v>
      </c>
      <c r="T120" s="168" t="str">
        <f t="shared" si="286"/>
        <v>#REF!</v>
      </c>
      <c r="U120" s="168" t="str">
        <f t="shared" ref="U120:U127" si="301">'2026 Pipeline'!AP22</f>
        <v>#REF!</v>
      </c>
      <c r="V120" s="168" t="str">
        <f t="shared" ref="V120:Z120" si="294">'2026 Pipeline'!CJ22</f>
        <v>#REF!</v>
      </c>
      <c r="W120" s="168" t="str">
        <f t="shared" si="294"/>
        <v>#REF!</v>
      </c>
      <c r="X120" s="168" t="str">
        <f t="shared" si="294"/>
        <v>#REF!</v>
      </c>
      <c r="Y120" s="168" t="str">
        <f t="shared" si="294"/>
        <v>#REF!</v>
      </c>
      <c r="Z120" s="168" t="str">
        <f t="shared" si="294"/>
        <v>#REF!</v>
      </c>
      <c r="AA120" s="168" t="str">
        <f t="shared" ref="AA120:AF120" si="295">#REF!</f>
        <v>#REF!</v>
      </c>
      <c r="AB120" s="168" t="str">
        <f t="shared" si="295"/>
        <v>#REF!</v>
      </c>
      <c r="AC120" s="168" t="str">
        <f t="shared" si="295"/>
        <v>#REF!</v>
      </c>
      <c r="AD120" s="168" t="str">
        <f t="shared" si="295"/>
        <v>#REF!</v>
      </c>
      <c r="AE120" s="168" t="str">
        <f t="shared" si="295"/>
        <v>#REF!</v>
      </c>
      <c r="AF120" s="168" t="str">
        <f t="shared" si="295"/>
        <v>#REF!</v>
      </c>
      <c r="AG120" s="168" t="str">
        <f t="shared" ref="AG120:AG127" si="304">'2026 Pipeline'!CT22</f>
        <v>#REF!</v>
      </c>
      <c r="AH120" s="168" t="str">
        <f t="shared" ref="AH120:AH127" si="305">'2026 Pipeline'!S22</f>
        <v>#REF!</v>
      </c>
      <c r="AI120" s="168" t="str">
        <f t="shared" ref="AI120:AJ120" si="296">#REF!</f>
        <v>#REF!</v>
      </c>
      <c r="AJ120" s="168" t="str">
        <f t="shared" si="296"/>
        <v>#REF!</v>
      </c>
    </row>
    <row r="121" ht="15.75" customHeight="1">
      <c r="A121" s="168" t="str">
        <f t="shared" si="274"/>
        <v>#REF!</v>
      </c>
      <c r="B121" s="168" t="str">
        <f t="shared" ref="B121:C121" si="297">if('2026 Pipeline'!$M25=$D$1,'2026 Pipeline'!J25,"")</f>
        <v>#REF!</v>
      </c>
      <c r="C121" s="168" t="str">
        <f t="shared" si="297"/>
        <v>#REF!</v>
      </c>
      <c r="D121" s="168" t="str">
        <f t="shared" ref="D121:F121" si="298">if('2026 Pipeline'!$M25=$D$1,'2026 Pipeline'!M25,"")</f>
        <v>#REF!</v>
      </c>
      <c r="E121" s="168" t="str">
        <f t="shared" si="298"/>
        <v>#REF!</v>
      </c>
      <c r="F121" s="168" t="str">
        <f t="shared" si="298"/>
        <v>#REF!</v>
      </c>
      <c r="G121" s="168" t="str">
        <f t="shared" si="277"/>
        <v>#REF!</v>
      </c>
      <c r="H121" s="168" t="str">
        <f t="shared" si="278"/>
        <v>#REF!</v>
      </c>
      <c r="I121" s="168" t="str">
        <f t="shared" si="279"/>
        <v>#REF!</v>
      </c>
      <c r="J121" s="168" t="str">
        <f t="shared" ref="J121:L121" si="299">if('2026 Pipeline'!$M25=$D$1,'2026 Pipeline'!V25,"")</f>
        <v>#REF!</v>
      </c>
      <c r="K121" s="168" t="str">
        <f t="shared" si="299"/>
        <v>#REF!</v>
      </c>
      <c r="L121" s="168" t="str">
        <f t="shared" si="299"/>
        <v>#REF!</v>
      </c>
      <c r="M121" s="168" t="str">
        <f t="shared" ref="M121:O121" si="300">if('2026 Pipeline'!$M25=$D$1,#REF!,"")</f>
        <v>#REF!</v>
      </c>
      <c r="N121" s="168" t="str">
        <f t="shared" si="300"/>
        <v>#REF!</v>
      </c>
      <c r="O121" s="168" t="str">
        <f t="shared" si="300"/>
        <v>#REF!</v>
      </c>
      <c r="P121" s="168" t="str">
        <f t="shared" si="282"/>
        <v>#REF!</v>
      </c>
      <c r="Q121" s="168" t="str">
        <f t="shared" si="283"/>
        <v>#REF!</v>
      </c>
      <c r="R121" s="168" t="str">
        <f t="shared" si="284"/>
        <v>#REF!</v>
      </c>
      <c r="S121" s="168" t="str">
        <f t="shared" si="285"/>
        <v>#REF!</v>
      </c>
      <c r="T121" s="168" t="str">
        <f t="shared" si="286"/>
        <v>#REF!</v>
      </c>
      <c r="U121" s="168" t="str">
        <f t="shared" si="301"/>
        <v>#REF!</v>
      </c>
      <c r="V121" s="168" t="str">
        <f t="shared" ref="V121:Z121" si="302">'2026 Pipeline'!CJ23</f>
        <v>#REF!</v>
      </c>
      <c r="W121" s="168" t="str">
        <f t="shared" si="302"/>
        <v>#REF!</v>
      </c>
      <c r="X121" s="168" t="str">
        <f t="shared" si="302"/>
        <v>#REF!</v>
      </c>
      <c r="Y121" s="168" t="str">
        <f t="shared" si="302"/>
        <v>#REF!</v>
      </c>
      <c r="Z121" s="168" t="str">
        <f t="shared" si="302"/>
        <v>#REF!</v>
      </c>
      <c r="AA121" s="168" t="str">
        <f t="shared" ref="AA121:AF121" si="303">#REF!</f>
        <v>#REF!</v>
      </c>
      <c r="AB121" s="168" t="str">
        <f t="shared" si="303"/>
        <v>#REF!</v>
      </c>
      <c r="AC121" s="168" t="str">
        <f t="shared" si="303"/>
        <v>#REF!</v>
      </c>
      <c r="AD121" s="168" t="str">
        <f t="shared" si="303"/>
        <v>#REF!</v>
      </c>
      <c r="AE121" s="168" t="str">
        <f t="shared" si="303"/>
        <v>#REF!</v>
      </c>
      <c r="AF121" s="168" t="str">
        <f t="shared" si="303"/>
        <v>#REF!</v>
      </c>
      <c r="AG121" s="168" t="str">
        <f t="shared" si="304"/>
        <v>#REF!</v>
      </c>
      <c r="AH121" s="168" t="str">
        <f t="shared" si="305"/>
        <v>#REF!</v>
      </c>
      <c r="AI121" s="168" t="str">
        <f t="shared" ref="AI121:AJ121" si="306">#REF!</f>
        <v>#REF!</v>
      </c>
      <c r="AJ121" s="168" t="str">
        <f t="shared" si="306"/>
        <v>#REF!</v>
      </c>
    </row>
    <row r="122" ht="15.75" customHeight="1">
      <c r="A122" s="168" t="str">
        <f t="shared" si="274"/>
        <v>#REF!</v>
      </c>
      <c r="B122" s="168" t="str">
        <f t="shared" ref="B122:C122" si="307">if('2026 Pipeline'!$M26=$D$1,'2026 Pipeline'!J26,"")</f>
        <v>#REF!</v>
      </c>
      <c r="C122" s="168" t="str">
        <f t="shared" si="307"/>
        <v>#REF!</v>
      </c>
      <c r="D122" s="168" t="str">
        <f t="shared" ref="D122:F122" si="308">if('2026 Pipeline'!$M26=$D$1,'2026 Pipeline'!M26,"")</f>
        <v>#REF!</v>
      </c>
      <c r="E122" s="168" t="str">
        <f t="shared" si="308"/>
        <v>#REF!</v>
      </c>
      <c r="F122" s="168" t="str">
        <f t="shared" si="308"/>
        <v>#REF!</v>
      </c>
      <c r="G122" s="168" t="str">
        <f t="shared" si="277"/>
        <v>#REF!</v>
      </c>
      <c r="H122" s="168" t="str">
        <f t="shared" si="278"/>
        <v>#REF!</v>
      </c>
      <c r="I122" s="168" t="str">
        <f t="shared" si="279"/>
        <v>#REF!</v>
      </c>
      <c r="J122" s="168" t="str">
        <f t="shared" ref="J122:L122" si="309">if('2026 Pipeline'!$M26=$D$1,'2026 Pipeline'!V26,"")</f>
        <v>#REF!</v>
      </c>
      <c r="K122" s="168" t="str">
        <f t="shared" si="309"/>
        <v>#REF!</v>
      </c>
      <c r="L122" s="168" t="str">
        <f t="shared" si="309"/>
        <v>#REF!</v>
      </c>
      <c r="M122" s="168" t="str">
        <f t="shared" ref="M122:O122" si="310">if('2026 Pipeline'!$M26=$D$1,#REF!,"")</f>
        <v>#REF!</v>
      </c>
      <c r="N122" s="168" t="str">
        <f t="shared" si="310"/>
        <v>#REF!</v>
      </c>
      <c r="O122" s="168" t="str">
        <f t="shared" si="310"/>
        <v>#REF!</v>
      </c>
      <c r="P122" s="168" t="str">
        <f t="shared" si="282"/>
        <v>#REF!</v>
      </c>
      <c r="Q122" s="168" t="str">
        <f t="shared" si="283"/>
        <v>#REF!</v>
      </c>
      <c r="R122" s="168" t="str">
        <f t="shared" si="284"/>
        <v>#REF!</v>
      </c>
      <c r="S122" s="168" t="str">
        <f t="shared" si="285"/>
        <v>#REF!</v>
      </c>
      <c r="T122" s="168" t="str">
        <f t="shared" si="286"/>
        <v>#REF!</v>
      </c>
      <c r="U122" s="168" t="str">
        <f t="shared" si="301"/>
        <v>#REF!</v>
      </c>
      <c r="V122" s="168" t="str">
        <f t="shared" ref="V122:Z122" si="311">'2026 Pipeline'!CJ24</f>
        <v>#REF!</v>
      </c>
      <c r="W122" s="168" t="str">
        <f t="shared" si="311"/>
        <v>#REF!</v>
      </c>
      <c r="X122" s="168" t="str">
        <f t="shared" si="311"/>
        <v>#REF!</v>
      </c>
      <c r="Y122" s="168" t="str">
        <f t="shared" si="311"/>
        <v>#REF!</v>
      </c>
      <c r="Z122" s="168" t="str">
        <f t="shared" si="311"/>
        <v>#REF!</v>
      </c>
      <c r="AA122" s="168" t="str">
        <f t="shared" ref="AA122:AF122" si="312">#REF!</f>
        <v>#REF!</v>
      </c>
      <c r="AB122" s="168" t="str">
        <f t="shared" si="312"/>
        <v>#REF!</v>
      </c>
      <c r="AC122" s="168" t="str">
        <f t="shared" si="312"/>
        <v>#REF!</v>
      </c>
      <c r="AD122" s="168" t="str">
        <f t="shared" si="312"/>
        <v>#REF!</v>
      </c>
      <c r="AE122" s="168" t="str">
        <f t="shared" si="312"/>
        <v>#REF!</v>
      </c>
      <c r="AF122" s="168" t="str">
        <f t="shared" si="312"/>
        <v>#REF!</v>
      </c>
      <c r="AG122" s="168" t="str">
        <f t="shared" si="304"/>
        <v>#REF!</v>
      </c>
      <c r="AH122" s="168" t="str">
        <f t="shared" si="305"/>
        <v>#REF!</v>
      </c>
      <c r="AI122" s="168" t="str">
        <f t="shared" ref="AI122:AJ122" si="313">#REF!</f>
        <v>#REF!</v>
      </c>
      <c r="AJ122" s="168" t="str">
        <f t="shared" si="313"/>
        <v>#REF!</v>
      </c>
    </row>
    <row r="123" ht="15.75" customHeight="1">
      <c r="A123" s="168" t="str">
        <f t="shared" si="274"/>
        <v>#REF!</v>
      </c>
      <c r="B123" s="168" t="str">
        <f t="shared" ref="B123:C123" si="314">if('2026 Pipeline'!$M27=$D$1,'2026 Pipeline'!J27,"")</f>
        <v>#REF!</v>
      </c>
      <c r="C123" s="168" t="str">
        <f t="shared" si="314"/>
        <v>#REF!</v>
      </c>
      <c r="D123" s="168" t="str">
        <f t="shared" ref="D123:F123" si="315">if('2026 Pipeline'!$M27=$D$1,'2026 Pipeline'!M27,"")</f>
        <v>#REF!</v>
      </c>
      <c r="E123" s="168" t="str">
        <f t="shared" si="315"/>
        <v>#REF!</v>
      </c>
      <c r="F123" s="168" t="str">
        <f t="shared" si="315"/>
        <v>#REF!</v>
      </c>
      <c r="G123" s="168" t="str">
        <f t="shared" si="277"/>
        <v>#REF!</v>
      </c>
      <c r="H123" s="168" t="str">
        <f t="shared" si="278"/>
        <v>#REF!</v>
      </c>
      <c r="I123" s="168" t="str">
        <f t="shared" si="279"/>
        <v>#REF!</v>
      </c>
      <c r="J123" s="168" t="str">
        <f t="shared" ref="J123:L123" si="316">if('2026 Pipeline'!$M27=$D$1,'2026 Pipeline'!V27,"")</f>
        <v>#REF!</v>
      </c>
      <c r="K123" s="168" t="str">
        <f t="shared" si="316"/>
        <v>#REF!</v>
      </c>
      <c r="L123" s="168" t="str">
        <f t="shared" si="316"/>
        <v>#REF!</v>
      </c>
      <c r="M123" s="168" t="str">
        <f t="shared" ref="M123:O123" si="317">if('2026 Pipeline'!$M27=$D$1,#REF!,"")</f>
        <v>#REF!</v>
      </c>
      <c r="N123" s="168" t="str">
        <f t="shared" si="317"/>
        <v>#REF!</v>
      </c>
      <c r="O123" s="168" t="str">
        <f t="shared" si="317"/>
        <v>#REF!</v>
      </c>
      <c r="P123" s="168" t="str">
        <f t="shared" si="282"/>
        <v>#REF!</v>
      </c>
      <c r="Q123" s="168" t="str">
        <f t="shared" si="283"/>
        <v>#REF!</v>
      </c>
      <c r="R123" s="168" t="str">
        <f t="shared" si="284"/>
        <v>#REF!</v>
      </c>
      <c r="S123" s="168" t="str">
        <f t="shared" si="285"/>
        <v>#REF!</v>
      </c>
      <c r="T123" s="168" t="str">
        <f t="shared" si="286"/>
        <v>#REF!</v>
      </c>
      <c r="U123" s="168" t="str">
        <f t="shared" si="301"/>
        <v>#REF!</v>
      </c>
      <c r="V123" s="168" t="str">
        <f t="shared" ref="V123:Z123" si="318">'2026 Pipeline'!CJ25</f>
        <v>#REF!</v>
      </c>
      <c r="W123" s="168" t="str">
        <f t="shared" si="318"/>
        <v>#REF!</v>
      </c>
      <c r="X123" s="168" t="str">
        <f t="shared" si="318"/>
        <v>#REF!</v>
      </c>
      <c r="Y123" s="168" t="str">
        <f t="shared" si="318"/>
        <v>#REF!</v>
      </c>
      <c r="Z123" s="168" t="str">
        <f t="shared" si="318"/>
        <v>#REF!</v>
      </c>
      <c r="AA123" s="168" t="str">
        <f t="shared" ref="AA123:AF123" si="319">#REF!</f>
        <v>#REF!</v>
      </c>
      <c r="AB123" s="168" t="str">
        <f t="shared" si="319"/>
        <v>#REF!</v>
      </c>
      <c r="AC123" s="168" t="str">
        <f t="shared" si="319"/>
        <v>#REF!</v>
      </c>
      <c r="AD123" s="168" t="str">
        <f t="shared" si="319"/>
        <v>#REF!</v>
      </c>
      <c r="AE123" s="168" t="str">
        <f t="shared" si="319"/>
        <v>#REF!</v>
      </c>
      <c r="AF123" s="168" t="str">
        <f t="shared" si="319"/>
        <v>#REF!</v>
      </c>
      <c r="AG123" s="168" t="str">
        <f t="shared" si="304"/>
        <v>#REF!</v>
      </c>
      <c r="AH123" s="168" t="str">
        <f t="shared" si="305"/>
        <v>#REF!</v>
      </c>
      <c r="AI123" s="168" t="str">
        <f t="shared" ref="AI123:AJ123" si="320">#REF!</f>
        <v>#REF!</v>
      </c>
      <c r="AJ123" s="168" t="str">
        <f t="shared" si="320"/>
        <v>#REF!</v>
      </c>
    </row>
    <row r="124" ht="15.75" customHeight="1">
      <c r="A124" s="168" t="str">
        <f t="shared" si="274"/>
        <v>#REF!</v>
      </c>
      <c r="B124" s="168" t="str">
        <f t="shared" ref="B124:C124" si="321">if('2026 Pipeline'!$M28=$D$1,'2026 Pipeline'!J28,"")</f>
        <v>#REF!</v>
      </c>
      <c r="C124" s="168" t="str">
        <f t="shared" si="321"/>
        <v>#REF!</v>
      </c>
      <c r="D124" s="168" t="str">
        <f t="shared" ref="D124:F124" si="322">if('2026 Pipeline'!$M28=$D$1,'2026 Pipeline'!M28,"")</f>
        <v>#REF!</v>
      </c>
      <c r="E124" s="168" t="str">
        <f t="shared" si="322"/>
        <v>#REF!</v>
      </c>
      <c r="F124" s="168" t="str">
        <f t="shared" si="322"/>
        <v>#REF!</v>
      </c>
      <c r="G124" s="168" t="str">
        <f t="shared" si="277"/>
        <v>#REF!</v>
      </c>
      <c r="H124" s="168" t="str">
        <f t="shared" si="278"/>
        <v>#REF!</v>
      </c>
      <c r="I124" s="168" t="str">
        <f t="shared" si="279"/>
        <v>#REF!</v>
      </c>
      <c r="J124" s="168" t="str">
        <f t="shared" ref="J124:L124" si="323">if('2026 Pipeline'!$M28=$D$1,'2026 Pipeline'!V28,"")</f>
        <v>#REF!</v>
      </c>
      <c r="K124" s="168" t="str">
        <f t="shared" si="323"/>
        <v>#REF!</v>
      </c>
      <c r="L124" s="168" t="str">
        <f t="shared" si="323"/>
        <v>#REF!</v>
      </c>
      <c r="M124" s="168" t="str">
        <f t="shared" ref="M124:O124" si="324">if('2026 Pipeline'!$M28=$D$1,#REF!,"")</f>
        <v>#REF!</v>
      </c>
      <c r="N124" s="168" t="str">
        <f t="shared" si="324"/>
        <v>#REF!</v>
      </c>
      <c r="O124" s="168" t="str">
        <f t="shared" si="324"/>
        <v>#REF!</v>
      </c>
      <c r="P124" s="168" t="str">
        <f t="shared" si="282"/>
        <v>#REF!</v>
      </c>
      <c r="Q124" s="168" t="str">
        <f t="shared" si="283"/>
        <v>#REF!</v>
      </c>
      <c r="R124" s="168" t="str">
        <f t="shared" si="284"/>
        <v>#REF!</v>
      </c>
      <c r="S124" s="168" t="str">
        <f t="shared" si="285"/>
        <v>#REF!</v>
      </c>
      <c r="T124" s="168" t="str">
        <f t="shared" si="286"/>
        <v>#REF!</v>
      </c>
      <c r="U124" s="168" t="str">
        <f t="shared" si="301"/>
        <v>#REF!</v>
      </c>
      <c r="V124" s="168" t="str">
        <f t="shared" ref="V124:Z124" si="325">'2026 Pipeline'!CJ26</f>
        <v>#REF!</v>
      </c>
      <c r="W124" s="168" t="str">
        <f t="shared" si="325"/>
        <v>#REF!</v>
      </c>
      <c r="X124" s="168" t="str">
        <f t="shared" si="325"/>
        <v>#REF!</v>
      </c>
      <c r="Y124" s="168" t="str">
        <f t="shared" si="325"/>
        <v>#REF!</v>
      </c>
      <c r="Z124" s="168" t="str">
        <f t="shared" si="325"/>
        <v>#REF!</v>
      </c>
      <c r="AA124" s="168" t="str">
        <f t="shared" ref="AA124:AF124" si="326">#REF!</f>
        <v>#REF!</v>
      </c>
      <c r="AB124" s="168" t="str">
        <f t="shared" si="326"/>
        <v>#REF!</v>
      </c>
      <c r="AC124" s="168" t="str">
        <f t="shared" si="326"/>
        <v>#REF!</v>
      </c>
      <c r="AD124" s="168" t="str">
        <f t="shared" si="326"/>
        <v>#REF!</v>
      </c>
      <c r="AE124" s="168" t="str">
        <f t="shared" si="326"/>
        <v>#REF!</v>
      </c>
      <c r="AF124" s="168" t="str">
        <f t="shared" si="326"/>
        <v>#REF!</v>
      </c>
      <c r="AG124" s="168" t="str">
        <f t="shared" si="304"/>
        <v>#REF!</v>
      </c>
      <c r="AH124" s="168" t="str">
        <f t="shared" si="305"/>
        <v>#REF!</v>
      </c>
      <c r="AI124" s="168" t="str">
        <f t="shared" ref="AI124:AJ124" si="327">#REF!</f>
        <v>#REF!</v>
      </c>
      <c r="AJ124" s="168" t="str">
        <f t="shared" si="327"/>
        <v>#REF!</v>
      </c>
    </row>
    <row r="125" ht="15.75" customHeight="1">
      <c r="A125" s="168" t="str">
        <f t="shared" si="274"/>
        <v>#REF!</v>
      </c>
      <c r="B125" s="168" t="str">
        <f t="shared" ref="B125:C125" si="328">if('2026 Pipeline'!$M29=$D$1,'2026 Pipeline'!J29,"")</f>
        <v>#REF!</v>
      </c>
      <c r="C125" s="168" t="str">
        <f t="shared" si="328"/>
        <v>#REF!</v>
      </c>
      <c r="D125" s="168" t="str">
        <f t="shared" ref="D125:F125" si="329">if('2026 Pipeline'!$M29=$D$1,'2026 Pipeline'!M29,"")</f>
        <v>#REF!</v>
      </c>
      <c r="E125" s="168" t="str">
        <f t="shared" si="329"/>
        <v>#REF!</v>
      </c>
      <c r="F125" s="168" t="str">
        <f t="shared" si="329"/>
        <v>#REF!</v>
      </c>
      <c r="G125" s="168" t="str">
        <f t="shared" si="277"/>
        <v>#REF!</v>
      </c>
      <c r="H125" s="168" t="str">
        <f t="shared" si="278"/>
        <v>#REF!</v>
      </c>
      <c r="I125" s="168" t="str">
        <f t="shared" si="279"/>
        <v>#REF!</v>
      </c>
      <c r="J125" s="168" t="str">
        <f t="shared" ref="J125:L125" si="330">if('2026 Pipeline'!$M29=$D$1,'2026 Pipeline'!V29,"")</f>
        <v>#REF!</v>
      </c>
      <c r="K125" s="168" t="str">
        <f t="shared" si="330"/>
        <v>#REF!</v>
      </c>
      <c r="L125" s="168" t="str">
        <f t="shared" si="330"/>
        <v>#REF!</v>
      </c>
      <c r="M125" s="168" t="str">
        <f t="shared" ref="M125:O125" si="331">if('2026 Pipeline'!$M29=$D$1,#REF!,"")</f>
        <v>#REF!</v>
      </c>
      <c r="N125" s="168" t="str">
        <f t="shared" si="331"/>
        <v>#REF!</v>
      </c>
      <c r="O125" s="168" t="str">
        <f t="shared" si="331"/>
        <v>#REF!</v>
      </c>
      <c r="P125" s="168" t="str">
        <f t="shared" si="282"/>
        <v>#REF!</v>
      </c>
      <c r="Q125" s="168" t="str">
        <f t="shared" si="283"/>
        <v>#REF!</v>
      </c>
      <c r="R125" s="168" t="str">
        <f t="shared" si="284"/>
        <v>#REF!</v>
      </c>
      <c r="S125" s="168" t="str">
        <f t="shared" si="285"/>
        <v>#REF!</v>
      </c>
      <c r="T125" s="168" t="str">
        <f t="shared" si="286"/>
        <v>#REF!</v>
      </c>
      <c r="U125" s="168" t="str">
        <f t="shared" si="301"/>
        <v>#REF!</v>
      </c>
      <c r="V125" s="168" t="str">
        <f t="shared" ref="V125:Z125" si="332">'2026 Pipeline'!CJ27</f>
        <v>#REF!</v>
      </c>
      <c r="W125" s="168" t="str">
        <f t="shared" si="332"/>
        <v>#REF!</v>
      </c>
      <c r="X125" s="168" t="str">
        <f t="shared" si="332"/>
        <v>#REF!</v>
      </c>
      <c r="Y125" s="168" t="str">
        <f t="shared" si="332"/>
        <v>#REF!</v>
      </c>
      <c r="Z125" s="168" t="str">
        <f t="shared" si="332"/>
        <v>#REF!</v>
      </c>
      <c r="AA125" s="168" t="str">
        <f t="shared" ref="AA125:AF125" si="333">#REF!</f>
        <v>#REF!</v>
      </c>
      <c r="AB125" s="168" t="str">
        <f t="shared" si="333"/>
        <v>#REF!</v>
      </c>
      <c r="AC125" s="168" t="str">
        <f t="shared" si="333"/>
        <v>#REF!</v>
      </c>
      <c r="AD125" s="168" t="str">
        <f t="shared" si="333"/>
        <v>#REF!</v>
      </c>
      <c r="AE125" s="168" t="str">
        <f t="shared" si="333"/>
        <v>#REF!</v>
      </c>
      <c r="AF125" s="168" t="str">
        <f t="shared" si="333"/>
        <v>#REF!</v>
      </c>
      <c r="AG125" s="168" t="str">
        <f t="shared" si="304"/>
        <v>#REF!</v>
      </c>
      <c r="AH125" s="168" t="str">
        <f t="shared" si="305"/>
        <v>#REF!</v>
      </c>
      <c r="AI125" s="168" t="str">
        <f t="shared" ref="AI125:AJ125" si="334">#REF!</f>
        <v>#REF!</v>
      </c>
      <c r="AJ125" s="168" t="str">
        <f t="shared" si="334"/>
        <v>#REF!</v>
      </c>
    </row>
    <row r="126" ht="15.75" customHeight="1">
      <c r="A126" s="168" t="str">
        <f t="shared" ref="A126:T126" si="335">if(#REF!=$D$1,#REF!,"")</f>
        <v>#REF!</v>
      </c>
      <c r="B126" s="168" t="str">
        <f t="shared" si="335"/>
        <v>#REF!</v>
      </c>
      <c r="C126" s="168" t="str">
        <f t="shared" si="335"/>
        <v>#REF!</v>
      </c>
      <c r="D126" s="168" t="str">
        <f t="shared" si="335"/>
        <v>#REF!</v>
      </c>
      <c r="E126" s="168" t="str">
        <f t="shared" si="335"/>
        <v>#REF!</v>
      </c>
      <c r="F126" s="168" t="str">
        <f t="shared" si="335"/>
        <v>#REF!</v>
      </c>
      <c r="G126" s="168" t="str">
        <f t="shared" si="335"/>
        <v>#REF!</v>
      </c>
      <c r="H126" s="168" t="str">
        <f t="shared" si="335"/>
        <v>#REF!</v>
      </c>
      <c r="I126" s="168" t="str">
        <f t="shared" si="335"/>
        <v>#REF!</v>
      </c>
      <c r="J126" s="168" t="str">
        <f t="shared" si="335"/>
        <v>#REF!</v>
      </c>
      <c r="K126" s="168" t="str">
        <f t="shared" si="335"/>
        <v>#REF!</v>
      </c>
      <c r="L126" s="168" t="str">
        <f t="shared" si="335"/>
        <v>#REF!</v>
      </c>
      <c r="M126" s="168" t="str">
        <f t="shared" si="335"/>
        <v>#REF!</v>
      </c>
      <c r="N126" s="168" t="str">
        <f t="shared" si="335"/>
        <v>#REF!</v>
      </c>
      <c r="O126" s="168" t="str">
        <f t="shared" si="335"/>
        <v>#REF!</v>
      </c>
      <c r="P126" s="168" t="str">
        <f t="shared" si="335"/>
        <v>#REF!</v>
      </c>
      <c r="Q126" s="168" t="str">
        <f t="shared" si="335"/>
        <v>#REF!</v>
      </c>
      <c r="R126" s="168" t="str">
        <f t="shared" si="335"/>
        <v>#REF!</v>
      </c>
      <c r="S126" s="168" t="str">
        <f t="shared" si="335"/>
        <v>#REF!</v>
      </c>
      <c r="T126" s="168" t="str">
        <f t="shared" si="335"/>
        <v>#REF!</v>
      </c>
      <c r="U126" s="168" t="str">
        <f t="shared" si="301"/>
        <v>#REF!</v>
      </c>
      <c r="V126" s="168" t="str">
        <f t="shared" ref="V126:Z126" si="336">'2026 Pipeline'!CJ28</f>
        <v>#REF!</v>
      </c>
      <c r="W126" s="168" t="str">
        <f t="shared" si="336"/>
        <v>#REF!</v>
      </c>
      <c r="X126" s="168" t="str">
        <f t="shared" si="336"/>
        <v>#REF!</v>
      </c>
      <c r="Y126" s="168" t="str">
        <f t="shared" si="336"/>
        <v>#REF!</v>
      </c>
      <c r="Z126" s="168" t="str">
        <f t="shared" si="336"/>
        <v>#REF!</v>
      </c>
      <c r="AA126" s="168" t="str">
        <f t="shared" ref="AA126:AF126" si="337">#REF!</f>
        <v>#REF!</v>
      </c>
      <c r="AB126" s="168" t="str">
        <f t="shared" si="337"/>
        <v>#REF!</v>
      </c>
      <c r="AC126" s="168" t="str">
        <f t="shared" si="337"/>
        <v>#REF!</v>
      </c>
      <c r="AD126" s="168" t="str">
        <f t="shared" si="337"/>
        <v>#REF!</v>
      </c>
      <c r="AE126" s="168" t="str">
        <f t="shared" si="337"/>
        <v>#REF!</v>
      </c>
      <c r="AF126" s="168" t="str">
        <f t="shared" si="337"/>
        <v>#REF!</v>
      </c>
      <c r="AG126" s="168" t="str">
        <f t="shared" si="304"/>
        <v>#REF!</v>
      </c>
      <c r="AH126" s="168" t="str">
        <f t="shared" si="305"/>
        <v>#REF!</v>
      </c>
      <c r="AI126" s="168" t="str">
        <f t="shared" ref="AI126:AJ126" si="338">#REF!</f>
        <v>#REF!</v>
      </c>
      <c r="AJ126" s="168" t="str">
        <f t="shared" si="338"/>
        <v>#REF!</v>
      </c>
    </row>
    <row r="127" ht="15.75" customHeight="1">
      <c r="A127" s="168" t="str">
        <f t="shared" ref="A127:T127" si="339">if(#REF!=$D$1,#REF!,"")</f>
        <v>#REF!</v>
      </c>
      <c r="B127" s="168" t="str">
        <f t="shared" si="339"/>
        <v>#REF!</v>
      </c>
      <c r="C127" s="168" t="str">
        <f t="shared" si="339"/>
        <v>#REF!</v>
      </c>
      <c r="D127" s="168" t="str">
        <f t="shared" si="339"/>
        <v>#REF!</v>
      </c>
      <c r="E127" s="168" t="str">
        <f t="shared" si="339"/>
        <v>#REF!</v>
      </c>
      <c r="F127" s="168" t="str">
        <f t="shared" si="339"/>
        <v>#REF!</v>
      </c>
      <c r="G127" s="168" t="str">
        <f t="shared" si="339"/>
        <v>#REF!</v>
      </c>
      <c r="H127" s="168" t="str">
        <f t="shared" si="339"/>
        <v>#REF!</v>
      </c>
      <c r="I127" s="168" t="str">
        <f t="shared" si="339"/>
        <v>#REF!</v>
      </c>
      <c r="J127" s="168" t="str">
        <f t="shared" si="339"/>
        <v>#REF!</v>
      </c>
      <c r="K127" s="168" t="str">
        <f t="shared" si="339"/>
        <v>#REF!</v>
      </c>
      <c r="L127" s="168" t="str">
        <f t="shared" si="339"/>
        <v>#REF!</v>
      </c>
      <c r="M127" s="168" t="str">
        <f t="shared" si="339"/>
        <v>#REF!</v>
      </c>
      <c r="N127" s="168" t="str">
        <f t="shared" si="339"/>
        <v>#REF!</v>
      </c>
      <c r="O127" s="168" t="str">
        <f t="shared" si="339"/>
        <v>#REF!</v>
      </c>
      <c r="P127" s="168" t="str">
        <f t="shared" si="339"/>
        <v>#REF!</v>
      </c>
      <c r="Q127" s="168" t="str">
        <f t="shared" si="339"/>
        <v>#REF!</v>
      </c>
      <c r="R127" s="168" t="str">
        <f t="shared" si="339"/>
        <v>#REF!</v>
      </c>
      <c r="S127" s="168" t="str">
        <f t="shared" si="339"/>
        <v>#REF!</v>
      </c>
      <c r="T127" s="168" t="str">
        <f t="shared" si="339"/>
        <v>#REF!</v>
      </c>
      <c r="U127" s="168" t="str">
        <f t="shared" si="301"/>
        <v>#REF!</v>
      </c>
      <c r="V127" s="168" t="str">
        <f t="shared" ref="V127:Z127" si="340">'2026 Pipeline'!CJ29</f>
        <v>#REF!</v>
      </c>
      <c r="W127" s="168" t="str">
        <f t="shared" si="340"/>
        <v>#REF!</v>
      </c>
      <c r="X127" s="168" t="str">
        <f t="shared" si="340"/>
        <v>#REF!</v>
      </c>
      <c r="Y127" s="168" t="str">
        <f t="shared" si="340"/>
        <v>#REF!</v>
      </c>
      <c r="Z127" s="168" t="str">
        <f t="shared" si="340"/>
        <v>#REF!</v>
      </c>
      <c r="AA127" s="168" t="str">
        <f t="shared" ref="AA127:AF127" si="341">#REF!</f>
        <v>#REF!</v>
      </c>
      <c r="AB127" s="168" t="str">
        <f t="shared" si="341"/>
        <v>#REF!</v>
      </c>
      <c r="AC127" s="168" t="str">
        <f t="shared" si="341"/>
        <v>#REF!</v>
      </c>
      <c r="AD127" s="168" t="str">
        <f t="shared" si="341"/>
        <v>#REF!</v>
      </c>
      <c r="AE127" s="168" t="str">
        <f t="shared" si="341"/>
        <v>#REF!</v>
      </c>
      <c r="AF127" s="168" t="str">
        <f t="shared" si="341"/>
        <v>#REF!</v>
      </c>
      <c r="AG127" s="168" t="str">
        <f t="shared" si="304"/>
        <v>#REF!</v>
      </c>
      <c r="AH127" s="168" t="str">
        <f t="shared" si="305"/>
        <v>#REF!</v>
      </c>
      <c r="AI127" s="168" t="str">
        <f t="shared" ref="AI127:AJ127" si="342">#REF!</f>
        <v>#REF!</v>
      </c>
      <c r="AJ127" s="168" t="str">
        <f t="shared" si="342"/>
        <v>#REF!</v>
      </c>
    </row>
    <row r="128" ht="15.75" customHeight="1">
      <c r="A128" s="168" t="str">
        <f t="shared" ref="A128:T128" si="343">if(#REF!=$D$1,#REF!,"")</f>
        <v>#REF!</v>
      </c>
      <c r="B128" s="168" t="str">
        <f t="shared" si="343"/>
        <v>#REF!</v>
      </c>
      <c r="C128" s="168" t="str">
        <f t="shared" si="343"/>
        <v>#REF!</v>
      </c>
      <c r="D128" s="168" t="str">
        <f t="shared" si="343"/>
        <v>#REF!</v>
      </c>
      <c r="E128" s="168" t="str">
        <f t="shared" si="343"/>
        <v>#REF!</v>
      </c>
      <c r="F128" s="168" t="str">
        <f t="shared" si="343"/>
        <v>#REF!</v>
      </c>
      <c r="G128" s="168" t="str">
        <f t="shared" si="343"/>
        <v>#REF!</v>
      </c>
      <c r="H128" s="168" t="str">
        <f t="shared" si="343"/>
        <v>#REF!</v>
      </c>
      <c r="I128" s="168" t="str">
        <f t="shared" si="343"/>
        <v>#REF!</v>
      </c>
      <c r="J128" s="168" t="str">
        <f t="shared" si="343"/>
        <v>#REF!</v>
      </c>
      <c r="K128" s="168" t="str">
        <f t="shared" si="343"/>
        <v>#REF!</v>
      </c>
      <c r="L128" s="168" t="str">
        <f t="shared" si="343"/>
        <v>#REF!</v>
      </c>
      <c r="M128" s="168" t="str">
        <f t="shared" si="343"/>
        <v>#REF!</v>
      </c>
      <c r="N128" s="168" t="str">
        <f t="shared" si="343"/>
        <v>#REF!</v>
      </c>
      <c r="O128" s="168" t="str">
        <f t="shared" si="343"/>
        <v>#REF!</v>
      </c>
      <c r="P128" s="168" t="str">
        <f t="shared" si="343"/>
        <v>#REF!</v>
      </c>
      <c r="Q128" s="168" t="str">
        <f t="shared" si="343"/>
        <v>#REF!</v>
      </c>
      <c r="R128" s="168" t="str">
        <f t="shared" si="343"/>
        <v>#REF!</v>
      </c>
      <c r="S128" s="168" t="str">
        <f t="shared" si="343"/>
        <v>#REF!</v>
      </c>
      <c r="T128" s="168" t="str">
        <f t="shared" si="343"/>
        <v>#REF!</v>
      </c>
      <c r="U128" s="168" t="str">
        <f t="shared" ref="U128:AJ128" si="344">#REF!</f>
        <v>#REF!</v>
      </c>
      <c r="V128" s="168" t="str">
        <f t="shared" si="344"/>
        <v>#REF!</v>
      </c>
      <c r="W128" s="168" t="str">
        <f t="shared" si="344"/>
        <v>#REF!</v>
      </c>
      <c r="X128" s="168" t="str">
        <f t="shared" si="344"/>
        <v>#REF!</v>
      </c>
      <c r="Y128" s="168" t="str">
        <f t="shared" si="344"/>
        <v>#REF!</v>
      </c>
      <c r="Z128" s="168" t="str">
        <f t="shared" si="344"/>
        <v>#REF!</v>
      </c>
      <c r="AA128" s="168" t="str">
        <f t="shared" si="344"/>
        <v>#REF!</v>
      </c>
      <c r="AB128" s="168" t="str">
        <f t="shared" si="344"/>
        <v>#REF!</v>
      </c>
      <c r="AC128" s="168" t="str">
        <f t="shared" si="344"/>
        <v>#REF!</v>
      </c>
      <c r="AD128" s="168" t="str">
        <f t="shared" si="344"/>
        <v>#REF!</v>
      </c>
      <c r="AE128" s="168" t="str">
        <f t="shared" si="344"/>
        <v>#REF!</v>
      </c>
      <c r="AF128" s="168" t="str">
        <f t="shared" si="344"/>
        <v>#REF!</v>
      </c>
      <c r="AG128" s="168" t="str">
        <f t="shared" si="344"/>
        <v>#REF!</v>
      </c>
      <c r="AH128" s="168" t="str">
        <f t="shared" si="344"/>
        <v>#REF!</v>
      </c>
      <c r="AI128" s="168" t="str">
        <f t="shared" si="344"/>
        <v>#REF!</v>
      </c>
      <c r="AJ128" s="168" t="str">
        <f t="shared" si="344"/>
        <v>#REF!</v>
      </c>
    </row>
    <row r="129" ht="15.75" customHeight="1">
      <c r="A129" s="168" t="str">
        <f t="shared" ref="A129:T129" si="345">if(#REF!=$D$1,#REF!,"")</f>
        <v>#REF!</v>
      </c>
      <c r="B129" s="168" t="str">
        <f t="shared" si="345"/>
        <v>#REF!</v>
      </c>
      <c r="C129" s="168" t="str">
        <f t="shared" si="345"/>
        <v>#REF!</v>
      </c>
      <c r="D129" s="168" t="str">
        <f t="shared" si="345"/>
        <v>#REF!</v>
      </c>
      <c r="E129" s="168" t="str">
        <f t="shared" si="345"/>
        <v>#REF!</v>
      </c>
      <c r="F129" s="168" t="str">
        <f t="shared" si="345"/>
        <v>#REF!</v>
      </c>
      <c r="G129" s="168" t="str">
        <f t="shared" si="345"/>
        <v>#REF!</v>
      </c>
      <c r="H129" s="168" t="str">
        <f t="shared" si="345"/>
        <v>#REF!</v>
      </c>
      <c r="I129" s="168" t="str">
        <f t="shared" si="345"/>
        <v>#REF!</v>
      </c>
      <c r="J129" s="168" t="str">
        <f t="shared" si="345"/>
        <v>#REF!</v>
      </c>
      <c r="K129" s="168" t="str">
        <f t="shared" si="345"/>
        <v>#REF!</v>
      </c>
      <c r="L129" s="168" t="str">
        <f t="shared" si="345"/>
        <v>#REF!</v>
      </c>
      <c r="M129" s="168" t="str">
        <f t="shared" si="345"/>
        <v>#REF!</v>
      </c>
      <c r="N129" s="168" t="str">
        <f t="shared" si="345"/>
        <v>#REF!</v>
      </c>
      <c r="O129" s="168" t="str">
        <f t="shared" si="345"/>
        <v>#REF!</v>
      </c>
      <c r="P129" s="168" t="str">
        <f t="shared" si="345"/>
        <v>#REF!</v>
      </c>
      <c r="Q129" s="168" t="str">
        <f t="shared" si="345"/>
        <v>#REF!</v>
      </c>
      <c r="R129" s="168" t="str">
        <f t="shared" si="345"/>
        <v>#REF!</v>
      </c>
      <c r="S129" s="168" t="str">
        <f t="shared" si="345"/>
        <v>#REF!</v>
      </c>
      <c r="T129" s="168" t="str">
        <f t="shared" si="345"/>
        <v>#REF!</v>
      </c>
      <c r="U129" s="168" t="str">
        <f t="shared" ref="U129:AJ129" si="346">#REF!</f>
        <v>#REF!</v>
      </c>
      <c r="V129" s="168" t="str">
        <f t="shared" si="346"/>
        <v>#REF!</v>
      </c>
      <c r="W129" s="168" t="str">
        <f t="shared" si="346"/>
        <v>#REF!</v>
      </c>
      <c r="X129" s="168" t="str">
        <f t="shared" si="346"/>
        <v>#REF!</v>
      </c>
      <c r="Y129" s="168" t="str">
        <f t="shared" si="346"/>
        <v>#REF!</v>
      </c>
      <c r="Z129" s="168" t="str">
        <f t="shared" si="346"/>
        <v>#REF!</v>
      </c>
      <c r="AA129" s="168" t="str">
        <f t="shared" si="346"/>
        <v>#REF!</v>
      </c>
      <c r="AB129" s="168" t="str">
        <f t="shared" si="346"/>
        <v>#REF!</v>
      </c>
      <c r="AC129" s="168" t="str">
        <f t="shared" si="346"/>
        <v>#REF!</v>
      </c>
      <c r="AD129" s="168" t="str">
        <f t="shared" si="346"/>
        <v>#REF!</v>
      </c>
      <c r="AE129" s="168" t="str">
        <f t="shared" si="346"/>
        <v>#REF!</v>
      </c>
      <c r="AF129" s="168" t="str">
        <f t="shared" si="346"/>
        <v>#REF!</v>
      </c>
      <c r="AG129" s="168" t="str">
        <f t="shared" si="346"/>
        <v>#REF!</v>
      </c>
      <c r="AH129" s="168" t="str">
        <f t="shared" si="346"/>
        <v>#REF!</v>
      </c>
      <c r="AI129" s="168" t="str">
        <f t="shared" si="346"/>
        <v>#REF!</v>
      </c>
      <c r="AJ129" s="168" t="str">
        <f t="shared" si="346"/>
        <v>#REF!</v>
      </c>
    </row>
    <row r="130" ht="15.75" customHeight="1">
      <c r="A130" s="168" t="str">
        <f t="shared" ref="A130:T130" si="347">if(#REF!=$D$1,#REF!,"")</f>
        <v>#REF!</v>
      </c>
      <c r="B130" s="168" t="str">
        <f t="shared" si="347"/>
        <v>#REF!</v>
      </c>
      <c r="C130" s="168" t="str">
        <f t="shared" si="347"/>
        <v>#REF!</v>
      </c>
      <c r="D130" s="168" t="str">
        <f t="shared" si="347"/>
        <v>#REF!</v>
      </c>
      <c r="E130" s="168" t="str">
        <f t="shared" si="347"/>
        <v>#REF!</v>
      </c>
      <c r="F130" s="168" t="str">
        <f t="shared" si="347"/>
        <v>#REF!</v>
      </c>
      <c r="G130" s="168" t="str">
        <f t="shared" si="347"/>
        <v>#REF!</v>
      </c>
      <c r="H130" s="168" t="str">
        <f t="shared" si="347"/>
        <v>#REF!</v>
      </c>
      <c r="I130" s="168" t="str">
        <f t="shared" si="347"/>
        <v>#REF!</v>
      </c>
      <c r="J130" s="168" t="str">
        <f t="shared" si="347"/>
        <v>#REF!</v>
      </c>
      <c r="K130" s="168" t="str">
        <f t="shared" si="347"/>
        <v>#REF!</v>
      </c>
      <c r="L130" s="168" t="str">
        <f t="shared" si="347"/>
        <v>#REF!</v>
      </c>
      <c r="M130" s="168" t="str">
        <f t="shared" si="347"/>
        <v>#REF!</v>
      </c>
      <c r="N130" s="168" t="str">
        <f t="shared" si="347"/>
        <v>#REF!</v>
      </c>
      <c r="O130" s="168" t="str">
        <f t="shared" si="347"/>
        <v>#REF!</v>
      </c>
      <c r="P130" s="168" t="str">
        <f t="shared" si="347"/>
        <v>#REF!</v>
      </c>
      <c r="Q130" s="168" t="str">
        <f t="shared" si="347"/>
        <v>#REF!</v>
      </c>
      <c r="R130" s="168" t="str">
        <f t="shared" si="347"/>
        <v>#REF!</v>
      </c>
      <c r="S130" s="168" t="str">
        <f t="shared" si="347"/>
        <v>#REF!</v>
      </c>
      <c r="T130" s="168" t="str">
        <f t="shared" si="347"/>
        <v>#REF!</v>
      </c>
      <c r="U130" s="168" t="str">
        <f t="shared" ref="U130:AJ130" si="348">#REF!</f>
        <v>#REF!</v>
      </c>
      <c r="V130" s="168" t="str">
        <f t="shared" si="348"/>
        <v>#REF!</v>
      </c>
      <c r="W130" s="168" t="str">
        <f t="shared" si="348"/>
        <v>#REF!</v>
      </c>
      <c r="X130" s="168" t="str">
        <f t="shared" si="348"/>
        <v>#REF!</v>
      </c>
      <c r="Y130" s="168" t="str">
        <f t="shared" si="348"/>
        <v>#REF!</v>
      </c>
      <c r="Z130" s="168" t="str">
        <f t="shared" si="348"/>
        <v>#REF!</v>
      </c>
      <c r="AA130" s="168" t="str">
        <f t="shared" si="348"/>
        <v>#REF!</v>
      </c>
      <c r="AB130" s="168" t="str">
        <f t="shared" si="348"/>
        <v>#REF!</v>
      </c>
      <c r="AC130" s="168" t="str">
        <f t="shared" si="348"/>
        <v>#REF!</v>
      </c>
      <c r="AD130" s="168" t="str">
        <f t="shared" si="348"/>
        <v>#REF!</v>
      </c>
      <c r="AE130" s="168" t="str">
        <f t="shared" si="348"/>
        <v>#REF!</v>
      </c>
      <c r="AF130" s="168" t="str">
        <f t="shared" si="348"/>
        <v>#REF!</v>
      </c>
      <c r="AG130" s="168" t="str">
        <f t="shared" si="348"/>
        <v>#REF!</v>
      </c>
      <c r="AH130" s="168" t="str">
        <f t="shared" si="348"/>
        <v>#REF!</v>
      </c>
      <c r="AI130" s="168" t="str">
        <f t="shared" si="348"/>
        <v>#REF!</v>
      </c>
      <c r="AJ130" s="168" t="str">
        <f t="shared" si="348"/>
        <v>#REF!</v>
      </c>
    </row>
    <row r="131" ht="15.75" customHeight="1">
      <c r="A131" s="168" t="str">
        <f t="shared" ref="A131:T131" si="349">if(#REF!=$D$1,#REF!,"")</f>
        <v>#REF!</v>
      </c>
      <c r="B131" s="168" t="str">
        <f t="shared" si="349"/>
        <v>#REF!</v>
      </c>
      <c r="C131" s="168" t="str">
        <f t="shared" si="349"/>
        <v>#REF!</v>
      </c>
      <c r="D131" s="168" t="str">
        <f t="shared" si="349"/>
        <v>#REF!</v>
      </c>
      <c r="E131" s="168" t="str">
        <f t="shared" si="349"/>
        <v>#REF!</v>
      </c>
      <c r="F131" s="168" t="str">
        <f t="shared" si="349"/>
        <v>#REF!</v>
      </c>
      <c r="G131" s="168" t="str">
        <f t="shared" si="349"/>
        <v>#REF!</v>
      </c>
      <c r="H131" s="168" t="str">
        <f t="shared" si="349"/>
        <v>#REF!</v>
      </c>
      <c r="I131" s="168" t="str">
        <f t="shared" si="349"/>
        <v>#REF!</v>
      </c>
      <c r="J131" s="168" t="str">
        <f t="shared" si="349"/>
        <v>#REF!</v>
      </c>
      <c r="K131" s="168" t="str">
        <f t="shared" si="349"/>
        <v>#REF!</v>
      </c>
      <c r="L131" s="168" t="str">
        <f t="shared" si="349"/>
        <v>#REF!</v>
      </c>
      <c r="M131" s="168" t="str">
        <f t="shared" si="349"/>
        <v>#REF!</v>
      </c>
      <c r="N131" s="168" t="str">
        <f t="shared" si="349"/>
        <v>#REF!</v>
      </c>
      <c r="O131" s="168" t="str">
        <f t="shared" si="349"/>
        <v>#REF!</v>
      </c>
      <c r="P131" s="168" t="str">
        <f t="shared" si="349"/>
        <v>#REF!</v>
      </c>
      <c r="Q131" s="168" t="str">
        <f t="shared" si="349"/>
        <v>#REF!</v>
      </c>
      <c r="R131" s="168" t="str">
        <f t="shared" si="349"/>
        <v>#REF!</v>
      </c>
      <c r="S131" s="168" t="str">
        <f t="shared" si="349"/>
        <v>#REF!</v>
      </c>
      <c r="T131" s="168" t="str">
        <f t="shared" si="349"/>
        <v>#REF!</v>
      </c>
      <c r="U131" s="168" t="str">
        <f t="shared" ref="U131:AJ131" si="350">#REF!</f>
        <v>#REF!</v>
      </c>
      <c r="V131" s="168" t="str">
        <f t="shared" si="350"/>
        <v>#REF!</v>
      </c>
      <c r="W131" s="168" t="str">
        <f t="shared" si="350"/>
        <v>#REF!</v>
      </c>
      <c r="X131" s="168" t="str">
        <f t="shared" si="350"/>
        <v>#REF!</v>
      </c>
      <c r="Y131" s="168" t="str">
        <f t="shared" si="350"/>
        <v>#REF!</v>
      </c>
      <c r="Z131" s="168" t="str">
        <f t="shared" si="350"/>
        <v>#REF!</v>
      </c>
      <c r="AA131" s="168" t="str">
        <f t="shared" si="350"/>
        <v>#REF!</v>
      </c>
      <c r="AB131" s="168" t="str">
        <f t="shared" si="350"/>
        <v>#REF!</v>
      </c>
      <c r="AC131" s="168" t="str">
        <f t="shared" si="350"/>
        <v>#REF!</v>
      </c>
      <c r="AD131" s="168" t="str">
        <f t="shared" si="350"/>
        <v>#REF!</v>
      </c>
      <c r="AE131" s="168" t="str">
        <f t="shared" si="350"/>
        <v>#REF!</v>
      </c>
      <c r="AF131" s="168" t="str">
        <f t="shared" si="350"/>
        <v>#REF!</v>
      </c>
      <c r="AG131" s="168" t="str">
        <f t="shared" si="350"/>
        <v>#REF!</v>
      </c>
      <c r="AH131" s="168" t="str">
        <f t="shared" si="350"/>
        <v>#REF!</v>
      </c>
      <c r="AI131" s="168" t="str">
        <f t="shared" si="350"/>
        <v>#REF!</v>
      </c>
      <c r="AJ131" s="168" t="str">
        <f t="shared" si="350"/>
        <v>#REF!</v>
      </c>
    </row>
    <row r="132" ht="15.75" customHeight="1">
      <c r="A132" s="168" t="str">
        <f t="shared" ref="A132:T132" si="351">if(#REF!=$D$1,#REF!,"")</f>
        <v>#REF!</v>
      </c>
      <c r="B132" s="168" t="str">
        <f t="shared" si="351"/>
        <v>#REF!</v>
      </c>
      <c r="C132" s="168" t="str">
        <f t="shared" si="351"/>
        <v>#REF!</v>
      </c>
      <c r="D132" s="168" t="str">
        <f t="shared" si="351"/>
        <v>#REF!</v>
      </c>
      <c r="E132" s="168" t="str">
        <f t="shared" si="351"/>
        <v>#REF!</v>
      </c>
      <c r="F132" s="168" t="str">
        <f t="shared" si="351"/>
        <v>#REF!</v>
      </c>
      <c r="G132" s="168" t="str">
        <f t="shared" si="351"/>
        <v>#REF!</v>
      </c>
      <c r="H132" s="168" t="str">
        <f t="shared" si="351"/>
        <v>#REF!</v>
      </c>
      <c r="I132" s="168" t="str">
        <f t="shared" si="351"/>
        <v>#REF!</v>
      </c>
      <c r="J132" s="168" t="str">
        <f t="shared" si="351"/>
        <v>#REF!</v>
      </c>
      <c r="K132" s="168" t="str">
        <f t="shared" si="351"/>
        <v>#REF!</v>
      </c>
      <c r="L132" s="168" t="str">
        <f t="shared" si="351"/>
        <v>#REF!</v>
      </c>
      <c r="M132" s="168" t="str">
        <f t="shared" si="351"/>
        <v>#REF!</v>
      </c>
      <c r="N132" s="168" t="str">
        <f t="shared" si="351"/>
        <v>#REF!</v>
      </c>
      <c r="O132" s="168" t="str">
        <f t="shared" si="351"/>
        <v>#REF!</v>
      </c>
      <c r="P132" s="168" t="str">
        <f t="shared" si="351"/>
        <v>#REF!</v>
      </c>
      <c r="Q132" s="168" t="str">
        <f t="shared" si="351"/>
        <v>#REF!</v>
      </c>
      <c r="R132" s="168" t="str">
        <f t="shared" si="351"/>
        <v>#REF!</v>
      </c>
      <c r="S132" s="168" t="str">
        <f t="shared" si="351"/>
        <v>#REF!</v>
      </c>
      <c r="T132" s="168" t="str">
        <f t="shared" si="351"/>
        <v>#REF!</v>
      </c>
      <c r="U132" s="168" t="str">
        <f t="shared" ref="U132:AJ132" si="352">#REF!</f>
        <v>#REF!</v>
      </c>
      <c r="V132" s="168" t="str">
        <f t="shared" si="352"/>
        <v>#REF!</v>
      </c>
      <c r="W132" s="168" t="str">
        <f t="shared" si="352"/>
        <v>#REF!</v>
      </c>
      <c r="X132" s="168" t="str">
        <f t="shared" si="352"/>
        <v>#REF!</v>
      </c>
      <c r="Y132" s="168" t="str">
        <f t="shared" si="352"/>
        <v>#REF!</v>
      </c>
      <c r="Z132" s="168" t="str">
        <f t="shared" si="352"/>
        <v>#REF!</v>
      </c>
      <c r="AA132" s="168" t="str">
        <f t="shared" si="352"/>
        <v>#REF!</v>
      </c>
      <c r="AB132" s="168" t="str">
        <f t="shared" si="352"/>
        <v>#REF!</v>
      </c>
      <c r="AC132" s="168" t="str">
        <f t="shared" si="352"/>
        <v>#REF!</v>
      </c>
      <c r="AD132" s="168" t="str">
        <f t="shared" si="352"/>
        <v>#REF!</v>
      </c>
      <c r="AE132" s="168" t="str">
        <f t="shared" si="352"/>
        <v>#REF!</v>
      </c>
      <c r="AF132" s="168" t="str">
        <f t="shared" si="352"/>
        <v>#REF!</v>
      </c>
      <c r="AG132" s="168" t="str">
        <f t="shared" si="352"/>
        <v>#REF!</v>
      </c>
      <c r="AH132" s="168" t="str">
        <f t="shared" si="352"/>
        <v>#REF!</v>
      </c>
      <c r="AI132" s="168" t="str">
        <f t="shared" si="352"/>
        <v>#REF!</v>
      </c>
      <c r="AJ132" s="168" t="str">
        <f t="shared" si="352"/>
        <v>#REF!</v>
      </c>
    </row>
    <row r="133" ht="15.75" customHeight="1">
      <c r="A133" s="168" t="str">
        <f t="shared" ref="A133:T133" si="353">if(#REF!=$D$1,#REF!,"")</f>
        <v>#REF!</v>
      </c>
      <c r="B133" s="168" t="str">
        <f t="shared" si="353"/>
        <v>#REF!</v>
      </c>
      <c r="C133" s="168" t="str">
        <f t="shared" si="353"/>
        <v>#REF!</v>
      </c>
      <c r="D133" s="168" t="str">
        <f t="shared" si="353"/>
        <v>#REF!</v>
      </c>
      <c r="E133" s="168" t="str">
        <f t="shared" si="353"/>
        <v>#REF!</v>
      </c>
      <c r="F133" s="168" t="str">
        <f t="shared" si="353"/>
        <v>#REF!</v>
      </c>
      <c r="G133" s="168" t="str">
        <f t="shared" si="353"/>
        <v>#REF!</v>
      </c>
      <c r="H133" s="168" t="str">
        <f t="shared" si="353"/>
        <v>#REF!</v>
      </c>
      <c r="I133" s="168" t="str">
        <f t="shared" si="353"/>
        <v>#REF!</v>
      </c>
      <c r="J133" s="168" t="str">
        <f t="shared" si="353"/>
        <v>#REF!</v>
      </c>
      <c r="K133" s="168" t="str">
        <f t="shared" si="353"/>
        <v>#REF!</v>
      </c>
      <c r="L133" s="168" t="str">
        <f t="shared" si="353"/>
        <v>#REF!</v>
      </c>
      <c r="M133" s="168" t="str">
        <f t="shared" si="353"/>
        <v>#REF!</v>
      </c>
      <c r="N133" s="168" t="str">
        <f t="shared" si="353"/>
        <v>#REF!</v>
      </c>
      <c r="O133" s="168" t="str">
        <f t="shared" si="353"/>
        <v>#REF!</v>
      </c>
      <c r="P133" s="168" t="str">
        <f t="shared" si="353"/>
        <v>#REF!</v>
      </c>
      <c r="Q133" s="168" t="str">
        <f t="shared" si="353"/>
        <v>#REF!</v>
      </c>
      <c r="R133" s="168" t="str">
        <f t="shared" si="353"/>
        <v>#REF!</v>
      </c>
      <c r="S133" s="168" t="str">
        <f t="shared" si="353"/>
        <v>#REF!</v>
      </c>
      <c r="T133" s="168" t="str">
        <f t="shared" si="353"/>
        <v>#REF!</v>
      </c>
      <c r="U133" s="168" t="str">
        <f t="shared" ref="U133:AJ133" si="354">#REF!</f>
        <v>#REF!</v>
      </c>
      <c r="V133" s="168" t="str">
        <f t="shared" si="354"/>
        <v>#REF!</v>
      </c>
      <c r="W133" s="168" t="str">
        <f t="shared" si="354"/>
        <v>#REF!</v>
      </c>
      <c r="X133" s="168" t="str">
        <f t="shared" si="354"/>
        <v>#REF!</v>
      </c>
      <c r="Y133" s="168" t="str">
        <f t="shared" si="354"/>
        <v>#REF!</v>
      </c>
      <c r="Z133" s="168" t="str">
        <f t="shared" si="354"/>
        <v>#REF!</v>
      </c>
      <c r="AA133" s="168" t="str">
        <f t="shared" si="354"/>
        <v>#REF!</v>
      </c>
      <c r="AB133" s="168" t="str">
        <f t="shared" si="354"/>
        <v>#REF!</v>
      </c>
      <c r="AC133" s="168" t="str">
        <f t="shared" si="354"/>
        <v>#REF!</v>
      </c>
      <c r="AD133" s="168" t="str">
        <f t="shared" si="354"/>
        <v>#REF!</v>
      </c>
      <c r="AE133" s="168" t="str">
        <f t="shared" si="354"/>
        <v>#REF!</v>
      </c>
      <c r="AF133" s="168" t="str">
        <f t="shared" si="354"/>
        <v>#REF!</v>
      </c>
      <c r="AG133" s="168" t="str">
        <f t="shared" si="354"/>
        <v>#REF!</v>
      </c>
      <c r="AH133" s="168" t="str">
        <f t="shared" si="354"/>
        <v>#REF!</v>
      </c>
      <c r="AI133" s="168" t="str">
        <f t="shared" si="354"/>
        <v>#REF!</v>
      </c>
      <c r="AJ133" s="168" t="str">
        <f t="shared" si="354"/>
        <v>#REF!</v>
      </c>
    </row>
    <row r="134" ht="15.75" customHeight="1">
      <c r="A134" s="168" t="str">
        <f t="shared" ref="A134:T134" si="355">if(#REF!=$D$1,#REF!,"")</f>
        <v>#REF!</v>
      </c>
      <c r="B134" s="168" t="str">
        <f t="shared" si="355"/>
        <v>#REF!</v>
      </c>
      <c r="C134" s="168" t="str">
        <f t="shared" si="355"/>
        <v>#REF!</v>
      </c>
      <c r="D134" s="168" t="str">
        <f t="shared" si="355"/>
        <v>#REF!</v>
      </c>
      <c r="E134" s="168" t="str">
        <f t="shared" si="355"/>
        <v>#REF!</v>
      </c>
      <c r="F134" s="168" t="str">
        <f t="shared" si="355"/>
        <v>#REF!</v>
      </c>
      <c r="G134" s="168" t="str">
        <f t="shared" si="355"/>
        <v>#REF!</v>
      </c>
      <c r="H134" s="168" t="str">
        <f t="shared" si="355"/>
        <v>#REF!</v>
      </c>
      <c r="I134" s="168" t="str">
        <f t="shared" si="355"/>
        <v>#REF!</v>
      </c>
      <c r="J134" s="168" t="str">
        <f t="shared" si="355"/>
        <v>#REF!</v>
      </c>
      <c r="K134" s="168" t="str">
        <f t="shared" si="355"/>
        <v>#REF!</v>
      </c>
      <c r="L134" s="168" t="str">
        <f t="shared" si="355"/>
        <v>#REF!</v>
      </c>
      <c r="M134" s="168" t="str">
        <f t="shared" si="355"/>
        <v>#REF!</v>
      </c>
      <c r="N134" s="168" t="str">
        <f t="shared" si="355"/>
        <v>#REF!</v>
      </c>
      <c r="O134" s="168" t="str">
        <f t="shared" si="355"/>
        <v>#REF!</v>
      </c>
      <c r="P134" s="168" t="str">
        <f t="shared" si="355"/>
        <v>#REF!</v>
      </c>
      <c r="Q134" s="168" t="str">
        <f t="shared" si="355"/>
        <v>#REF!</v>
      </c>
      <c r="R134" s="168" t="str">
        <f t="shared" si="355"/>
        <v>#REF!</v>
      </c>
      <c r="S134" s="168" t="str">
        <f t="shared" si="355"/>
        <v>#REF!</v>
      </c>
      <c r="T134" s="168" t="str">
        <f t="shared" si="355"/>
        <v>#REF!</v>
      </c>
      <c r="U134" s="168" t="str">
        <f t="shared" ref="U134:AJ134" si="356">#REF!</f>
        <v>#REF!</v>
      </c>
      <c r="V134" s="168" t="str">
        <f t="shared" si="356"/>
        <v>#REF!</v>
      </c>
      <c r="W134" s="168" t="str">
        <f t="shared" si="356"/>
        <v>#REF!</v>
      </c>
      <c r="X134" s="168" t="str">
        <f t="shared" si="356"/>
        <v>#REF!</v>
      </c>
      <c r="Y134" s="168" t="str">
        <f t="shared" si="356"/>
        <v>#REF!</v>
      </c>
      <c r="Z134" s="168" t="str">
        <f t="shared" si="356"/>
        <v>#REF!</v>
      </c>
      <c r="AA134" s="168" t="str">
        <f t="shared" si="356"/>
        <v>#REF!</v>
      </c>
      <c r="AB134" s="168" t="str">
        <f t="shared" si="356"/>
        <v>#REF!</v>
      </c>
      <c r="AC134" s="168" t="str">
        <f t="shared" si="356"/>
        <v>#REF!</v>
      </c>
      <c r="AD134" s="168" t="str">
        <f t="shared" si="356"/>
        <v>#REF!</v>
      </c>
      <c r="AE134" s="168" t="str">
        <f t="shared" si="356"/>
        <v>#REF!</v>
      </c>
      <c r="AF134" s="168" t="str">
        <f t="shared" si="356"/>
        <v>#REF!</v>
      </c>
      <c r="AG134" s="168" t="str">
        <f t="shared" si="356"/>
        <v>#REF!</v>
      </c>
      <c r="AH134" s="168" t="str">
        <f t="shared" si="356"/>
        <v>#REF!</v>
      </c>
      <c r="AI134" s="168" t="str">
        <f t="shared" si="356"/>
        <v>#REF!</v>
      </c>
      <c r="AJ134" s="168" t="str">
        <f t="shared" si="356"/>
        <v>#REF!</v>
      </c>
    </row>
    <row r="135" ht="15.75" customHeight="1">
      <c r="A135" s="168" t="str">
        <f t="shared" ref="A135:T135" si="357">if(#REF!=$D$1,#REF!,"")</f>
        <v>#REF!</v>
      </c>
      <c r="B135" s="168" t="str">
        <f t="shared" si="357"/>
        <v>#REF!</v>
      </c>
      <c r="C135" s="168" t="str">
        <f t="shared" si="357"/>
        <v>#REF!</v>
      </c>
      <c r="D135" s="168" t="str">
        <f t="shared" si="357"/>
        <v>#REF!</v>
      </c>
      <c r="E135" s="168" t="str">
        <f t="shared" si="357"/>
        <v>#REF!</v>
      </c>
      <c r="F135" s="168" t="str">
        <f t="shared" si="357"/>
        <v>#REF!</v>
      </c>
      <c r="G135" s="168" t="str">
        <f t="shared" si="357"/>
        <v>#REF!</v>
      </c>
      <c r="H135" s="168" t="str">
        <f t="shared" si="357"/>
        <v>#REF!</v>
      </c>
      <c r="I135" s="168" t="str">
        <f t="shared" si="357"/>
        <v>#REF!</v>
      </c>
      <c r="J135" s="168" t="str">
        <f t="shared" si="357"/>
        <v>#REF!</v>
      </c>
      <c r="K135" s="168" t="str">
        <f t="shared" si="357"/>
        <v>#REF!</v>
      </c>
      <c r="L135" s="168" t="str">
        <f t="shared" si="357"/>
        <v>#REF!</v>
      </c>
      <c r="M135" s="168" t="str">
        <f t="shared" si="357"/>
        <v>#REF!</v>
      </c>
      <c r="N135" s="168" t="str">
        <f t="shared" si="357"/>
        <v>#REF!</v>
      </c>
      <c r="O135" s="168" t="str">
        <f t="shared" si="357"/>
        <v>#REF!</v>
      </c>
      <c r="P135" s="168" t="str">
        <f t="shared" si="357"/>
        <v>#REF!</v>
      </c>
      <c r="Q135" s="168" t="str">
        <f t="shared" si="357"/>
        <v>#REF!</v>
      </c>
      <c r="R135" s="168" t="str">
        <f t="shared" si="357"/>
        <v>#REF!</v>
      </c>
      <c r="S135" s="168" t="str">
        <f t="shared" si="357"/>
        <v>#REF!</v>
      </c>
      <c r="T135" s="168" t="str">
        <f t="shared" si="357"/>
        <v>#REF!</v>
      </c>
      <c r="U135" s="168" t="str">
        <f t="shared" ref="U135:AJ135" si="358">#REF!</f>
        <v>#REF!</v>
      </c>
      <c r="V135" s="168" t="str">
        <f t="shared" si="358"/>
        <v>#REF!</v>
      </c>
      <c r="W135" s="168" t="str">
        <f t="shared" si="358"/>
        <v>#REF!</v>
      </c>
      <c r="X135" s="168" t="str">
        <f t="shared" si="358"/>
        <v>#REF!</v>
      </c>
      <c r="Y135" s="168" t="str">
        <f t="shared" si="358"/>
        <v>#REF!</v>
      </c>
      <c r="Z135" s="168" t="str">
        <f t="shared" si="358"/>
        <v>#REF!</v>
      </c>
      <c r="AA135" s="168" t="str">
        <f t="shared" si="358"/>
        <v>#REF!</v>
      </c>
      <c r="AB135" s="168" t="str">
        <f t="shared" si="358"/>
        <v>#REF!</v>
      </c>
      <c r="AC135" s="168" t="str">
        <f t="shared" si="358"/>
        <v>#REF!</v>
      </c>
      <c r="AD135" s="168" t="str">
        <f t="shared" si="358"/>
        <v>#REF!</v>
      </c>
      <c r="AE135" s="168" t="str">
        <f t="shared" si="358"/>
        <v>#REF!</v>
      </c>
      <c r="AF135" s="168" t="str">
        <f t="shared" si="358"/>
        <v>#REF!</v>
      </c>
      <c r="AG135" s="168" t="str">
        <f t="shared" si="358"/>
        <v>#REF!</v>
      </c>
      <c r="AH135" s="168" t="str">
        <f t="shared" si="358"/>
        <v>#REF!</v>
      </c>
      <c r="AI135" s="168" t="str">
        <f t="shared" si="358"/>
        <v>#REF!</v>
      </c>
      <c r="AJ135" s="168" t="str">
        <f t="shared" si="358"/>
        <v>#REF!</v>
      </c>
    </row>
    <row r="136" ht="15.75" customHeight="1">
      <c r="A136" s="168" t="str">
        <f t="shared" ref="A136:T136" si="359">if(#REF!=$D$1,#REF!,"")</f>
        <v>#REF!</v>
      </c>
      <c r="B136" s="168" t="str">
        <f t="shared" si="359"/>
        <v>#REF!</v>
      </c>
      <c r="C136" s="168" t="str">
        <f t="shared" si="359"/>
        <v>#REF!</v>
      </c>
      <c r="D136" s="168" t="str">
        <f t="shared" si="359"/>
        <v>#REF!</v>
      </c>
      <c r="E136" s="168" t="str">
        <f t="shared" si="359"/>
        <v>#REF!</v>
      </c>
      <c r="F136" s="168" t="str">
        <f t="shared" si="359"/>
        <v>#REF!</v>
      </c>
      <c r="G136" s="168" t="str">
        <f t="shared" si="359"/>
        <v>#REF!</v>
      </c>
      <c r="H136" s="168" t="str">
        <f t="shared" si="359"/>
        <v>#REF!</v>
      </c>
      <c r="I136" s="168" t="str">
        <f t="shared" si="359"/>
        <v>#REF!</v>
      </c>
      <c r="J136" s="168" t="str">
        <f t="shared" si="359"/>
        <v>#REF!</v>
      </c>
      <c r="K136" s="168" t="str">
        <f t="shared" si="359"/>
        <v>#REF!</v>
      </c>
      <c r="L136" s="168" t="str">
        <f t="shared" si="359"/>
        <v>#REF!</v>
      </c>
      <c r="M136" s="168" t="str">
        <f t="shared" si="359"/>
        <v>#REF!</v>
      </c>
      <c r="N136" s="168" t="str">
        <f t="shared" si="359"/>
        <v>#REF!</v>
      </c>
      <c r="O136" s="168" t="str">
        <f t="shared" si="359"/>
        <v>#REF!</v>
      </c>
      <c r="P136" s="168" t="str">
        <f t="shared" si="359"/>
        <v>#REF!</v>
      </c>
      <c r="Q136" s="168" t="str">
        <f t="shared" si="359"/>
        <v>#REF!</v>
      </c>
      <c r="R136" s="168" t="str">
        <f t="shared" si="359"/>
        <v>#REF!</v>
      </c>
      <c r="S136" s="168" t="str">
        <f t="shared" si="359"/>
        <v>#REF!</v>
      </c>
      <c r="T136" s="168" t="str">
        <f t="shared" si="359"/>
        <v>#REF!</v>
      </c>
      <c r="U136" s="168" t="str">
        <f t="shared" ref="U136:AJ136" si="360">#REF!</f>
        <v>#REF!</v>
      </c>
      <c r="V136" s="168" t="str">
        <f t="shared" si="360"/>
        <v>#REF!</v>
      </c>
      <c r="W136" s="168" t="str">
        <f t="shared" si="360"/>
        <v>#REF!</v>
      </c>
      <c r="X136" s="168" t="str">
        <f t="shared" si="360"/>
        <v>#REF!</v>
      </c>
      <c r="Y136" s="168" t="str">
        <f t="shared" si="360"/>
        <v>#REF!</v>
      </c>
      <c r="Z136" s="168" t="str">
        <f t="shared" si="360"/>
        <v>#REF!</v>
      </c>
      <c r="AA136" s="168" t="str">
        <f t="shared" si="360"/>
        <v>#REF!</v>
      </c>
      <c r="AB136" s="168" t="str">
        <f t="shared" si="360"/>
        <v>#REF!</v>
      </c>
      <c r="AC136" s="168" t="str">
        <f t="shared" si="360"/>
        <v>#REF!</v>
      </c>
      <c r="AD136" s="168" t="str">
        <f t="shared" si="360"/>
        <v>#REF!</v>
      </c>
      <c r="AE136" s="168" t="str">
        <f t="shared" si="360"/>
        <v>#REF!</v>
      </c>
      <c r="AF136" s="168" t="str">
        <f t="shared" si="360"/>
        <v>#REF!</v>
      </c>
      <c r="AG136" s="168" t="str">
        <f t="shared" si="360"/>
        <v>#REF!</v>
      </c>
      <c r="AH136" s="168" t="str">
        <f t="shared" si="360"/>
        <v>#REF!</v>
      </c>
      <c r="AI136" s="168" t="str">
        <f t="shared" si="360"/>
        <v>#REF!</v>
      </c>
      <c r="AJ136" s="168" t="str">
        <f t="shared" si="360"/>
        <v>#REF!</v>
      </c>
    </row>
    <row r="137" ht="15.75" customHeight="1">
      <c r="A137" s="168" t="str">
        <f t="shared" ref="A137:T137" si="361">if(#REF!=$D$1,#REF!,"")</f>
        <v>#REF!</v>
      </c>
      <c r="B137" s="168" t="str">
        <f t="shared" si="361"/>
        <v>#REF!</v>
      </c>
      <c r="C137" s="168" t="str">
        <f t="shared" si="361"/>
        <v>#REF!</v>
      </c>
      <c r="D137" s="168" t="str">
        <f t="shared" si="361"/>
        <v>#REF!</v>
      </c>
      <c r="E137" s="168" t="str">
        <f t="shared" si="361"/>
        <v>#REF!</v>
      </c>
      <c r="F137" s="168" t="str">
        <f t="shared" si="361"/>
        <v>#REF!</v>
      </c>
      <c r="G137" s="168" t="str">
        <f t="shared" si="361"/>
        <v>#REF!</v>
      </c>
      <c r="H137" s="168" t="str">
        <f t="shared" si="361"/>
        <v>#REF!</v>
      </c>
      <c r="I137" s="168" t="str">
        <f t="shared" si="361"/>
        <v>#REF!</v>
      </c>
      <c r="J137" s="168" t="str">
        <f t="shared" si="361"/>
        <v>#REF!</v>
      </c>
      <c r="K137" s="168" t="str">
        <f t="shared" si="361"/>
        <v>#REF!</v>
      </c>
      <c r="L137" s="168" t="str">
        <f t="shared" si="361"/>
        <v>#REF!</v>
      </c>
      <c r="M137" s="168" t="str">
        <f t="shared" si="361"/>
        <v>#REF!</v>
      </c>
      <c r="N137" s="168" t="str">
        <f t="shared" si="361"/>
        <v>#REF!</v>
      </c>
      <c r="O137" s="168" t="str">
        <f t="shared" si="361"/>
        <v>#REF!</v>
      </c>
      <c r="P137" s="168" t="str">
        <f t="shared" si="361"/>
        <v>#REF!</v>
      </c>
      <c r="Q137" s="168" t="str">
        <f t="shared" si="361"/>
        <v>#REF!</v>
      </c>
      <c r="R137" s="168" t="str">
        <f t="shared" si="361"/>
        <v>#REF!</v>
      </c>
      <c r="S137" s="168" t="str">
        <f t="shared" si="361"/>
        <v>#REF!</v>
      </c>
      <c r="T137" s="168" t="str">
        <f t="shared" si="361"/>
        <v>#REF!</v>
      </c>
      <c r="U137" s="168" t="str">
        <f t="shared" ref="U137:AJ137" si="362">#REF!</f>
        <v>#REF!</v>
      </c>
      <c r="V137" s="168" t="str">
        <f t="shared" si="362"/>
        <v>#REF!</v>
      </c>
      <c r="W137" s="168" t="str">
        <f t="shared" si="362"/>
        <v>#REF!</v>
      </c>
      <c r="X137" s="168" t="str">
        <f t="shared" si="362"/>
        <v>#REF!</v>
      </c>
      <c r="Y137" s="168" t="str">
        <f t="shared" si="362"/>
        <v>#REF!</v>
      </c>
      <c r="Z137" s="168" t="str">
        <f t="shared" si="362"/>
        <v>#REF!</v>
      </c>
      <c r="AA137" s="168" t="str">
        <f t="shared" si="362"/>
        <v>#REF!</v>
      </c>
      <c r="AB137" s="168" t="str">
        <f t="shared" si="362"/>
        <v>#REF!</v>
      </c>
      <c r="AC137" s="168" t="str">
        <f t="shared" si="362"/>
        <v>#REF!</v>
      </c>
      <c r="AD137" s="168" t="str">
        <f t="shared" si="362"/>
        <v>#REF!</v>
      </c>
      <c r="AE137" s="168" t="str">
        <f t="shared" si="362"/>
        <v>#REF!</v>
      </c>
      <c r="AF137" s="168" t="str">
        <f t="shared" si="362"/>
        <v>#REF!</v>
      </c>
      <c r="AG137" s="168" t="str">
        <f t="shared" si="362"/>
        <v>#REF!</v>
      </c>
      <c r="AH137" s="168" t="str">
        <f t="shared" si="362"/>
        <v>#REF!</v>
      </c>
      <c r="AI137" s="168" t="str">
        <f t="shared" si="362"/>
        <v>#REF!</v>
      </c>
      <c r="AJ137" s="168" t="str">
        <f t="shared" si="362"/>
        <v>#REF!</v>
      </c>
    </row>
    <row r="138" ht="15.75" customHeight="1">
      <c r="A138" s="168" t="str">
        <f t="shared" ref="A138:T138" si="363">if(#REF!=$D$1,#REF!,"")</f>
        <v>#REF!</v>
      </c>
      <c r="B138" s="168" t="str">
        <f t="shared" si="363"/>
        <v>#REF!</v>
      </c>
      <c r="C138" s="168" t="str">
        <f t="shared" si="363"/>
        <v>#REF!</v>
      </c>
      <c r="D138" s="168" t="str">
        <f t="shared" si="363"/>
        <v>#REF!</v>
      </c>
      <c r="E138" s="168" t="str">
        <f t="shared" si="363"/>
        <v>#REF!</v>
      </c>
      <c r="F138" s="168" t="str">
        <f t="shared" si="363"/>
        <v>#REF!</v>
      </c>
      <c r="G138" s="168" t="str">
        <f t="shared" si="363"/>
        <v>#REF!</v>
      </c>
      <c r="H138" s="168" t="str">
        <f t="shared" si="363"/>
        <v>#REF!</v>
      </c>
      <c r="I138" s="168" t="str">
        <f t="shared" si="363"/>
        <v>#REF!</v>
      </c>
      <c r="J138" s="168" t="str">
        <f t="shared" si="363"/>
        <v>#REF!</v>
      </c>
      <c r="K138" s="168" t="str">
        <f t="shared" si="363"/>
        <v>#REF!</v>
      </c>
      <c r="L138" s="168" t="str">
        <f t="shared" si="363"/>
        <v>#REF!</v>
      </c>
      <c r="M138" s="168" t="str">
        <f t="shared" si="363"/>
        <v>#REF!</v>
      </c>
      <c r="N138" s="168" t="str">
        <f t="shared" si="363"/>
        <v>#REF!</v>
      </c>
      <c r="O138" s="168" t="str">
        <f t="shared" si="363"/>
        <v>#REF!</v>
      </c>
      <c r="P138" s="168" t="str">
        <f t="shared" si="363"/>
        <v>#REF!</v>
      </c>
      <c r="Q138" s="168" t="str">
        <f t="shared" si="363"/>
        <v>#REF!</v>
      </c>
      <c r="R138" s="168" t="str">
        <f t="shared" si="363"/>
        <v>#REF!</v>
      </c>
      <c r="S138" s="168" t="str">
        <f t="shared" si="363"/>
        <v>#REF!</v>
      </c>
      <c r="T138" s="168" t="str">
        <f t="shared" si="363"/>
        <v>#REF!</v>
      </c>
      <c r="U138" s="168" t="str">
        <f t="shared" ref="U138:AJ138" si="364">#REF!</f>
        <v>#REF!</v>
      </c>
      <c r="V138" s="168" t="str">
        <f t="shared" si="364"/>
        <v>#REF!</v>
      </c>
      <c r="W138" s="168" t="str">
        <f t="shared" si="364"/>
        <v>#REF!</v>
      </c>
      <c r="X138" s="168" t="str">
        <f t="shared" si="364"/>
        <v>#REF!</v>
      </c>
      <c r="Y138" s="168" t="str">
        <f t="shared" si="364"/>
        <v>#REF!</v>
      </c>
      <c r="Z138" s="168" t="str">
        <f t="shared" si="364"/>
        <v>#REF!</v>
      </c>
      <c r="AA138" s="168" t="str">
        <f t="shared" si="364"/>
        <v>#REF!</v>
      </c>
      <c r="AB138" s="168" t="str">
        <f t="shared" si="364"/>
        <v>#REF!</v>
      </c>
      <c r="AC138" s="168" t="str">
        <f t="shared" si="364"/>
        <v>#REF!</v>
      </c>
      <c r="AD138" s="168" t="str">
        <f t="shared" si="364"/>
        <v>#REF!</v>
      </c>
      <c r="AE138" s="168" t="str">
        <f t="shared" si="364"/>
        <v>#REF!</v>
      </c>
      <c r="AF138" s="168" t="str">
        <f t="shared" si="364"/>
        <v>#REF!</v>
      </c>
      <c r="AG138" s="168" t="str">
        <f t="shared" si="364"/>
        <v>#REF!</v>
      </c>
      <c r="AH138" s="168" t="str">
        <f t="shared" si="364"/>
        <v>#REF!</v>
      </c>
      <c r="AI138" s="168" t="str">
        <f t="shared" si="364"/>
        <v>#REF!</v>
      </c>
      <c r="AJ138" s="168" t="str">
        <f t="shared" si="364"/>
        <v>#REF!</v>
      </c>
    </row>
    <row r="139" ht="15.75" customHeight="1">
      <c r="A139" s="168" t="str">
        <f t="shared" ref="A139:T139" si="365">if(#REF!=$D$1,#REF!,"")</f>
        <v>#REF!</v>
      </c>
      <c r="B139" s="168" t="str">
        <f t="shared" si="365"/>
        <v>#REF!</v>
      </c>
      <c r="C139" s="168" t="str">
        <f t="shared" si="365"/>
        <v>#REF!</v>
      </c>
      <c r="D139" s="168" t="str">
        <f t="shared" si="365"/>
        <v>#REF!</v>
      </c>
      <c r="E139" s="168" t="str">
        <f t="shared" si="365"/>
        <v>#REF!</v>
      </c>
      <c r="F139" s="168" t="str">
        <f t="shared" si="365"/>
        <v>#REF!</v>
      </c>
      <c r="G139" s="168" t="str">
        <f t="shared" si="365"/>
        <v>#REF!</v>
      </c>
      <c r="H139" s="168" t="str">
        <f t="shared" si="365"/>
        <v>#REF!</v>
      </c>
      <c r="I139" s="168" t="str">
        <f t="shared" si="365"/>
        <v>#REF!</v>
      </c>
      <c r="J139" s="168" t="str">
        <f t="shared" si="365"/>
        <v>#REF!</v>
      </c>
      <c r="K139" s="168" t="str">
        <f t="shared" si="365"/>
        <v>#REF!</v>
      </c>
      <c r="L139" s="168" t="str">
        <f t="shared" si="365"/>
        <v>#REF!</v>
      </c>
      <c r="M139" s="168" t="str">
        <f t="shared" si="365"/>
        <v>#REF!</v>
      </c>
      <c r="N139" s="168" t="str">
        <f t="shared" si="365"/>
        <v>#REF!</v>
      </c>
      <c r="O139" s="168" t="str">
        <f t="shared" si="365"/>
        <v>#REF!</v>
      </c>
      <c r="P139" s="168" t="str">
        <f t="shared" si="365"/>
        <v>#REF!</v>
      </c>
      <c r="Q139" s="168" t="str">
        <f t="shared" si="365"/>
        <v>#REF!</v>
      </c>
      <c r="R139" s="168" t="str">
        <f t="shared" si="365"/>
        <v>#REF!</v>
      </c>
      <c r="S139" s="168" t="str">
        <f t="shared" si="365"/>
        <v>#REF!</v>
      </c>
      <c r="T139" s="168" t="str">
        <f t="shared" si="365"/>
        <v>#REF!</v>
      </c>
      <c r="U139" s="168" t="str">
        <f t="shared" ref="U139:AJ139" si="366">#REF!</f>
        <v>#REF!</v>
      </c>
      <c r="V139" s="168" t="str">
        <f t="shared" si="366"/>
        <v>#REF!</v>
      </c>
      <c r="W139" s="168" t="str">
        <f t="shared" si="366"/>
        <v>#REF!</v>
      </c>
      <c r="X139" s="168" t="str">
        <f t="shared" si="366"/>
        <v>#REF!</v>
      </c>
      <c r="Y139" s="168" t="str">
        <f t="shared" si="366"/>
        <v>#REF!</v>
      </c>
      <c r="Z139" s="168" t="str">
        <f t="shared" si="366"/>
        <v>#REF!</v>
      </c>
      <c r="AA139" s="168" t="str">
        <f t="shared" si="366"/>
        <v>#REF!</v>
      </c>
      <c r="AB139" s="168" t="str">
        <f t="shared" si="366"/>
        <v>#REF!</v>
      </c>
      <c r="AC139" s="168" t="str">
        <f t="shared" si="366"/>
        <v>#REF!</v>
      </c>
      <c r="AD139" s="168" t="str">
        <f t="shared" si="366"/>
        <v>#REF!</v>
      </c>
      <c r="AE139" s="168" t="str">
        <f t="shared" si="366"/>
        <v>#REF!</v>
      </c>
      <c r="AF139" s="168" t="str">
        <f t="shared" si="366"/>
        <v>#REF!</v>
      </c>
      <c r="AG139" s="168" t="str">
        <f t="shared" si="366"/>
        <v>#REF!</v>
      </c>
      <c r="AH139" s="168" t="str">
        <f t="shared" si="366"/>
        <v>#REF!</v>
      </c>
      <c r="AI139" s="168" t="str">
        <f t="shared" si="366"/>
        <v>#REF!</v>
      </c>
      <c r="AJ139" s="168" t="str">
        <f t="shared" si="366"/>
        <v>#REF!</v>
      </c>
    </row>
    <row r="140" ht="15.75" customHeight="1">
      <c r="A140" s="168" t="str">
        <f t="shared" ref="A140:T140" si="367">if(#REF!=$D$1,#REF!,"")</f>
        <v>#REF!</v>
      </c>
      <c r="B140" s="168" t="str">
        <f t="shared" si="367"/>
        <v>#REF!</v>
      </c>
      <c r="C140" s="168" t="str">
        <f t="shared" si="367"/>
        <v>#REF!</v>
      </c>
      <c r="D140" s="168" t="str">
        <f t="shared" si="367"/>
        <v>#REF!</v>
      </c>
      <c r="E140" s="168" t="str">
        <f t="shared" si="367"/>
        <v>#REF!</v>
      </c>
      <c r="F140" s="168" t="str">
        <f t="shared" si="367"/>
        <v>#REF!</v>
      </c>
      <c r="G140" s="168" t="str">
        <f t="shared" si="367"/>
        <v>#REF!</v>
      </c>
      <c r="H140" s="168" t="str">
        <f t="shared" si="367"/>
        <v>#REF!</v>
      </c>
      <c r="I140" s="168" t="str">
        <f t="shared" si="367"/>
        <v>#REF!</v>
      </c>
      <c r="J140" s="168" t="str">
        <f t="shared" si="367"/>
        <v>#REF!</v>
      </c>
      <c r="K140" s="168" t="str">
        <f t="shared" si="367"/>
        <v>#REF!</v>
      </c>
      <c r="L140" s="168" t="str">
        <f t="shared" si="367"/>
        <v>#REF!</v>
      </c>
      <c r="M140" s="168" t="str">
        <f t="shared" si="367"/>
        <v>#REF!</v>
      </c>
      <c r="N140" s="168" t="str">
        <f t="shared" si="367"/>
        <v>#REF!</v>
      </c>
      <c r="O140" s="168" t="str">
        <f t="shared" si="367"/>
        <v>#REF!</v>
      </c>
      <c r="P140" s="168" t="str">
        <f t="shared" si="367"/>
        <v>#REF!</v>
      </c>
      <c r="Q140" s="168" t="str">
        <f t="shared" si="367"/>
        <v>#REF!</v>
      </c>
      <c r="R140" s="168" t="str">
        <f t="shared" si="367"/>
        <v>#REF!</v>
      </c>
      <c r="S140" s="168" t="str">
        <f t="shared" si="367"/>
        <v>#REF!</v>
      </c>
      <c r="T140" s="168" t="str">
        <f t="shared" si="367"/>
        <v>#REF!</v>
      </c>
      <c r="U140" s="168" t="str">
        <f t="shared" ref="U140:AJ140" si="368">#REF!</f>
        <v>#REF!</v>
      </c>
      <c r="V140" s="168" t="str">
        <f t="shared" si="368"/>
        <v>#REF!</v>
      </c>
      <c r="W140" s="168" t="str">
        <f t="shared" si="368"/>
        <v>#REF!</v>
      </c>
      <c r="X140" s="168" t="str">
        <f t="shared" si="368"/>
        <v>#REF!</v>
      </c>
      <c r="Y140" s="168" t="str">
        <f t="shared" si="368"/>
        <v>#REF!</v>
      </c>
      <c r="Z140" s="168" t="str">
        <f t="shared" si="368"/>
        <v>#REF!</v>
      </c>
      <c r="AA140" s="168" t="str">
        <f t="shared" si="368"/>
        <v>#REF!</v>
      </c>
      <c r="AB140" s="168" t="str">
        <f t="shared" si="368"/>
        <v>#REF!</v>
      </c>
      <c r="AC140" s="168" t="str">
        <f t="shared" si="368"/>
        <v>#REF!</v>
      </c>
      <c r="AD140" s="168" t="str">
        <f t="shared" si="368"/>
        <v>#REF!</v>
      </c>
      <c r="AE140" s="168" t="str">
        <f t="shared" si="368"/>
        <v>#REF!</v>
      </c>
      <c r="AF140" s="168" t="str">
        <f t="shared" si="368"/>
        <v>#REF!</v>
      </c>
      <c r="AG140" s="168" t="str">
        <f t="shared" si="368"/>
        <v>#REF!</v>
      </c>
      <c r="AH140" s="168" t="str">
        <f t="shared" si="368"/>
        <v>#REF!</v>
      </c>
      <c r="AI140" s="168" t="str">
        <f t="shared" si="368"/>
        <v>#REF!</v>
      </c>
      <c r="AJ140" s="168" t="str">
        <f t="shared" si="368"/>
        <v>#REF!</v>
      </c>
    </row>
    <row r="141" ht="15.75" customHeight="1">
      <c r="A141" s="168" t="str">
        <f t="shared" ref="A141:T141" si="369">if(#REF!=$D$1,#REF!,"")</f>
        <v>#REF!</v>
      </c>
      <c r="B141" s="168" t="str">
        <f t="shared" si="369"/>
        <v>#REF!</v>
      </c>
      <c r="C141" s="168" t="str">
        <f t="shared" si="369"/>
        <v>#REF!</v>
      </c>
      <c r="D141" s="168" t="str">
        <f t="shared" si="369"/>
        <v>#REF!</v>
      </c>
      <c r="E141" s="168" t="str">
        <f t="shared" si="369"/>
        <v>#REF!</v>
      </c>
      <c r="F141" s="168" t="str">
        <f t="shared" si="369"/>
        <v>#REF!</v>
      </c>
      <c r="G141" s="168" t="str">
        <f t="shared" si="369"/>
        <v>#REF!</v>
      </c>
      <c r="H141" s="168" t="str">
        <f t="shared" si="369"/>
        <v>#REF!</v>
      </c>
      <c r="I141" s="168" t="str">
        <f t="shared" si="369"/>
        <v>#REF!</v>
      </c>
      <c r="J141" s="168" t="str">
        <f t="shared" si="369"/>
        <v>#REF!</v>
      </c>
      <c r="K141" s="168" t="str">
        <f t="shared" si="369"/>
        <v>#REF!</v>
      </c>
      <c r="L141" s="168" t="str">
        <f t="shared" si="369"/>
        <v>#REF!</v>
      </c>
      <c r="M141" s="168" t="str">
        <f t="shared" si="369"/>
        <v>#REF!</v>
      </c>
      <c r="N141" s="168" t="str">
        <f t="shared" si="369"/>
        <v>#REF!</v>
      </c>
      <c r="O141" s="168" t="str">
        <f t="shared" si="369"/>
        <v>#REF!</v>
      </c>
      <c r="P141" s="168" t="str">
        <f t="shared" si="369"/>
        <v>#REF!</v>
      </c>
      <c r="Q141" s="168" t="str">
        <f t="shared" si="369"/>
        <v>#REF!</v>
      </c>
      <c r="R141" s="168" t="str">
        <f t="shared" si="369"/>
        <v>#REF!</v>
      </c>
      <c r="S141" s="168" t="str">
        <f t="shared" si="369"/>
        <v>#REF!</v>
      </c>
      <c r="T141" s="168" t="str">
        <f t="shared" si="369"/>
        <v>#REF!</v>
      </c>
      <c r="U141" s="168" t="str">
        <f t="shared" ref="U141:AJ141" si="370">#REF!</f>
        <v>#REF!</v>
      </c>
      <c r="V141" s="168" t="str">
        <f t="shared" si="370"/>
        <v>#REF!</v>
      </c>
      <c r="W141" s="168" t="str">
        <f t="shared" si="370"/>
        <v>#REF!</v>
      </c>
      <c r="X141" s="168" t="str">
        <f t="shared" si="370"/>
        <v>#REF!</v>
      </c>
      <c r="Y141" s="168" t="str">
        <f t="shared" si="370"/>
        <v>#REF!</v>
      </c>
      <c r="Z141" s="168" t="str">
        <f t="shared" si="370"/>
        <v>#REF!</v>
      </c>
      <c r="AA141" s="168" t="str">
        <f t="shared" si="370"/>
        <v>#REF!</v>
      </c>
      <c r="AB141" s="168" t="str">
        <f t="shared" si="370"/>
        <v>#REF!</v>
      </c>
      <c r="AC141" s="168" t="str">
        <f t="shared" si="370"/>
        <v>#REF!</v>
      </c>
      <c r="AD141" s="168" t="str">
        <f t="shared" si="370"/>
        <v>#REF!</v>
      </c>
      <c r="AE141" s="168" t="str">
        <f t="shared" si="370"/>
        <v>#REF!</v>
      </c>
      <c r="AF141" s="168" t="str">
        <f t="shared" si="370"/>
        <v>#REF!</v>
      </c>
      <c r="AG141" s="168" t="str">
        <f t="shared" si="370"/>
        <v>#REF!</v>
      </c>
      <c r="AH141" s="168" t="str">
        <f t="shared" si="370"/>
        <v>#REF!</v>
      </c>
      <c r="AI141" s="168" t="str">
        <f t="shared" si="370"/>
        <v>#REF!</v>
      </c>
      <c r="AJ141" s="168" t="str">
        <f t="shared" si="370"/>
        <v>#REF!</v>
      </c>
    </row>
    <row r="142" ht="15.75" customHeight="1">
      <c r="A142" s="168" t="str">
        <f t="shared" ref="A142:T142" si="371">if(#REF!=$D$1,#REF!,"")</f>
        <v>#REF!</v>
      </c>
      <c r="B142" s="168" t="str">
        <f t="shared" si="371"/>
        <v>#REF!</v>
      </c>
      <c r="C142" s="168" t="str">
        <f t="shared" si="371"/>
        <v>#REF!</v>
      </c>
      <c r="D142" s="168" t="str">
        <f t="shared" si="371"/>
        <v>#REF!</v>
      </c>
      <c r="E142" s="168" t="str">
        <f t="shared" si="371"/>
        <v>#REF!</v>
      </c>
      <c r="F142" s="168" t="str">
        <f t="shared" si="371"/>
        <v>#REF!</v>
      </c>
      <c r="G142" s="168" t="str">
        <f t="shared" si="371"/>
        <v>#REF!</v>
      </c>
      <c r="H142" s="168" t="str">
        <f t="shared" si="371"/>
        <v>#REF!</v>
      </c>
      <c r="I142" s="168" t="str">
        <f t="shared" si="371"/>
        <v>#REF!</v>
      </c>
      <c r="J142" s="168" t="str">
        <f t="shared" si="371"/>
        <v>#REF!</v>
      </c>
      <c r="K142" s="168" t="str">
        <f t="shared" si="371"/>
        <v>#REF!</v>
      </c>
      <c r="L142" s="168" t="str">
        <f t="shared" si="371"/>
        <v>#REF!</v>
      </c>
      <c r="M142" s="168" t="str">
        <f t="shared" si="371"/>
        <v>#REF!</v>
      </c>
      <c r="N142" s="168" t="str">
        <f t="shared" si="371"/>
        <v>#REF!</v>
      </c>
      <c r="O142" s="168" t="str">
        <f t="shared" si="371"/>
        <v>#REF!</v>
      </c>
      <c r="P142" s="168" t="str">
        <f t="shared" si="371"/>
        <v>#REF!</v>
      </c>
      <c r="Q142" s="168" t="str">
        <f t="shared" si="371"/>
        <v>#REF!</v>
      </c>
      <c r="R142" s="168" t="str">
        <f t="shared" si="371"/>
        <v>#REF!</v>
      </c>
      <c r="S142" s="168" t="str">
        <f t="shared" si="371"/>
        <v>#REF!</v>
      </c>
      <c r="T142" s="168" t="str">
        <f t="shared" si="371"/>
        <v>#REF!</v>
      </c>
      <c r="U142" s="168" t="str">
        <f t="shared" ref="U142:AJ142" si="372">#REF!</f>
        <v>#REF!</v>
      </c>
      <c r="V142" s="168" t="str">
        <f t="shared" si="372"/>
        <v>#REF!</v>
      </c>
      <c r="W142" s="168" t="str">
        <f t="shared" si="372"/>
        <v>#REF!</v>
      </c>
      <c r="X142" s="168" t="str">
        <f t="shared" si="372"/>
        <v>#REF!</v>
      </c>
      <c r="Y142" s="168" t="str">
        <f t="shared" si="372"/>
        <v>#REF!</v>
      </c>
      <c r="Z142" s="168" t="str">
        <f t="shared" si="372"/>
        <v>#REF!</v>
      </c>
      <c r="AA142" s="168" t="str">
        <f t="shared" si="372"/>
        <v>#REF!</v>
      </c>
      <c r="AB142" s="168" t="str">
        <f t="shared" si="372"/>
        <v>#REF!</v>
      </c>
      <c r="AC142" s="168" t="str">
        <f t="shared" si="372"/>
        <v>#REF!</v>
      </c>
      <c r="AD142" s="168" t="str">
        <f t="shared" si="372"/>
        <v>#REF!</v>
      </c>
      <c r="AE142" s="168" t="str">
        <f t="shared" si="372"/>
        <v>#REF!</v>
      </c>
      <c r="AF142" s="168" t="str">
        <f t="shared" si="372"/>
        <v>#REF!</v>
      </c>
      <c r="AG142" s="168" t="str">
        <f t="shared" si="372"/>
        <v>#REF!</v>
      </c>
      <c r="AH142" s="168" t="str">
        <f t="shared" si="372"/>
        <v>#REF!</v>
      </c>
      <c r="AI142" s="168" t="str">
        <f t="shared" si="372"/>
        <v>#REF!</v>
      </c>
      <c r="AJ142" s="168" t="str">
        <f t="shared" si="372"/>
        <v>#REF!</v>
      </c>
    </row>
    <row r="143" ht="15.75" customHeight="1">
      <c r="A143" s="168" t="str">
        <f t="shared" ref="A143:T143" si="373">if(#REF!=$D$1,#REF!,"")</f>
        <v>#REF!</v>
      </c>
      <c r="B143" s="168" t="str">
        <f t="shared" si="373"/>
        <v>#REF!</v>
      </c>
      <c r="C143" s="168" t="str">
        <f t="shared" si="373"/>
        <v>#REF!</v>
      </c>
      <c r="D143" s="168" t="str">
        <f t="shared" si="373"/>
        <v>#REF!</v>
      </c>
      <c r="E143" s="168" t="str">
        <f t="shared" si="373"/>
        <v>#REF!</v>
      </c>
      <c r="F143" s="168" t="str">
        <f t="shared" si="373"/>
        <v>#REF!</v>
      </c>
      <c r="G143" s="168" t="str">
        <f t="shared" si="373"/>
        <v>#REF!</v>
      </c>
      <c r="H143" s="168" t="str">
        <f t="shared" si="373"/>
        <v>#REF!</v>
      </c>
      <c r="I143" s="168" t="str">
        <f t="shared" si="373"/>
        <v>#REF!</v>
      </c>
      <c r="J143" s="168" t="str">
        <f t="shared" si="373"/>
        <v>#REF!</v>
      </c>
      <c r="K143" s="168" t="str">
        <f t="shared" si="373"/>
        <v>#REF!</v>
      </c>
      <c r="L143" s="168" t="str">
        <f t="shared" si="373"/>
        <v>#REF!</v>
      </c>
      <c r="M143" s="168" t="str">
        <f t="shared" si="373"/>
        <v>#REF!</v>
      </c>
      <c r="N143" s="168" t="str">
        <f t="shared" si="373"/>
        <v>#REF!</v>
      </c>
      <c r="O143" s="168" t="str">
        <f t="shared" si="373"/>
        <v>#REF!</v>
      </c>
      <c r="P143" s="168" t="str">
        <f t="shared" si="373"/>
        <v>#REF!</v>
      </c>
      <c r="Q143" s="168" t="str">
        <f t="shared" si="373"/>
        <v>#REF!</v>
      </c>
      <c r="R143" s="168" t="str">
        <f t="shared" si="373"/>
        <v>#REF!</v>
      </c>
      <c r="S143" s="168" t="str">
        <f t="shared" si="373"/>
        <v>#REF!</v>
      </c>
      <c r="T143" s="168" t="str">
        <f t="shared" si="373"/>
        <v>#REF!</v>
      </c>
      <c r="U143" s="168" t="str">
        <f t="shared" ref="U143:AJ143" si="374">#REF!</f>
        <v>#REF!</v>
      </c>
      <c r="V143" s="168" t="str">
        <f t="shared" si="374"/>
        <v>#REF!</v>
      </c>
      <c r="W143" s="168" t="str">
        <f t="shared" si="374"/>
        <v>#REF!</v>
      </c>
      <c r="X143" s="168" t="str">
        <f t="shared" si="374"/>
        <v>#REF!</v>
      </c>
      <c r="Y143" s="168" t="str">
        <f t="shared" si="374"/>
        <v>#REF!</v>
      </c>
      <c r="Z143" s="168" t="str">
        <f t="shared" si="374"/>
        <v>#REF!</v>
      </c>
      <c r="AA143" s="168" t="str">
        <f t="shared" si="374"/>
        <v>#REF!</v>
      </c>
      <c r="AB143" s="168" t="str">
        <f t="shared" si="374"/>
        <v>#REF!</v>
      </c>
      <c r="AC143" s="168" t="str">
        <f t="shared" si="374"/>
        <v>#REF!</v>
      </c>
      <c r="AD143" s="168" t="str">
        <f t="shared" si="374"/>
        <v>#REF!</v>
      </c>
      <c r="AE143" s="168" t="str">
        <f t="shared" si="374"/>
        <v>#REF!</v>
      </c>
      <c r="AF143" s="168" t="str">
        <f t="shared" si="374"/>
        <v>#REF!</v>
      </c>
      <c r="AG143" s="168" t="str">
        <f t="shared" si="374"/>
        <v>#REF!</v>
      </c>
      <c r="AH143" s="168" t="str">
        <f t="shared" si="374"/>
        <v>#REF!</v>
      </c>
      <c r="AI143" s="168" t="str">
        <f t="shared" si="374"/>
        <v>#REF!</v>
      </c>
      <c r="AJ143" s="168" t="str">
        <f t="shared" si="374"/>
        <v>#REF!</v>
      </c>
    </row>
    <row r="144" ht="15.75" customHeight="1">
      <c r="A144" s="168" t="str">
        <f t="shared" ref="A144:T144" si="375">if(#REF!=$D$1,#REF!,"")</f>
        <v>#REF!</v>
      </c>
      <c r="B144" s="168" t="str">
        <f t="shared" si="375"/>
        <v>#REF!</v>
      </c>
      <c r="C144" s="168" t="str">
        <f t="shared" si="375"/>
        <v>#REF!</v>
      </c>
      <c r="D144" s="168" t="str">
        <f t="shared" si="375"/>
        <v>#REF!</v>
      </c>
      <c r="E144" s="168" t="str">
        <f t="shared" si="375"/>
        <v>#REF!</v>
      </c>
      <c r="F144" s="168" t="str">
        <f t="shared" si="375"/>
        <v>#REF!</v>
      </c>
      <c r="G144" s="168" t="str">
        <f t="shared" si="375"/>
        <v>#REF!</v>
      </c>
      <c r="H144" s="168" t="str">
        <f t="shared" si="375"/>
        <v>#REF!</v>
      </c>
      <c r="I144" s="168" t="str">
        <f t="shared" si="375"/>
        <v>#REF!</v>
      </c>
      <c r="J144" s="168" t="str">
        <f t="shared" si="375"/>
        <v>#REF!</v>
      </c>
      <c r="K144" s="168" t="str">
        <f t="shared" si="375"/>
        <v>#REF!</v>
      </c>
      <c r="L144" s="168" t="str">
        <f t="shared" si="375"/>
        <v>#REF!</v>
      </c>
      <c r="M144" s="168" t="str">
        <f t="shared" si="375"/>
        <v>#REF!</v>
      </c>
      <c r="N144" s="168" t="str">
        <f t="shared" si="375"/>
        <v>#REF!</v>
      </c>
      <c r="O144" s="168" t="str">
        <f t="shared" si="375"/>
        <v>#REF!</v>
      </c>
      <c r="P144" s="168" t="str">
        <f t="shared" si="375"/>
        <v>#REF!</v>
      </c>
      <c r="Q144" s="168" t="str">
        <f t="shared" si="375"/>
        <v>#REF!</v>
      </c>
      <c r="R144" s="168" t="str">
        <f t="shared" si="375"/>
        <v>#REF!</v>
      </c>
      <c r="S144" s="168" t="str">
        <f t="shared" si="375"/>
        <v>#REF!</v>
      </c>
      <c r="T144" s="168" t="str">
        <f t="shared" si="375"/>
        <v>#REF!</v>
      </c>
      <c r="U144" s="168" t="str">
        <f t="shared" ref="U144:AJ144" si="376">#REF!</f>
        <v>#REF!</v>
      </c>
      <c r="V144" s="168" t="str">
        <f t="shared" si="376"/>
        <v>#REF!</v>
      </c>
      <c r="W144" s="168" t="str">
        <f t="shared" si="376"/>
        <v>#REF!</v>
      </c>
      <c r="X144" s="168" t="str">
        <f t="shared" si="376"/>
        <v>#REF!</v>
      </c>
      <c r="Y144" s="168" t="str">
        <f t="shared" si="376"/>
        <v>#REF!</v>
      </c>
      <c r="Z144" s="168" t="str">
        <f t="shared" si="376"/>
        <v>#REF!</v>
      </c>
      <c r="AA144" s="168" t="str">
        <f t="shared" si="376"/>
        <v>#REF!</v>
      </c>
      <c r="AB144" s="168" t="str">
        <f t="shared" si="376"/>
        <v>#REF!</v>
      </c>
      <c r="AC144" s="168" t="str">
        <f t="shared" si="376"/>
        <v>#REF!</v>
      </c>
      <c r="AD144" s="168" t="str">
        <f t="shared" si="376"/>
        <v>#REF!</v>
      </c>
      <c r="AE144" s="168" t="str">
        <f t="shared" si="376"/>
        <v>#REF!</v>
      </c>
      <c r="AF144" s="168" t="str">
        <f t="shared" si="376"/>
        <v>#REF!</v>
      </c>
      <c r="AG144" s="168" t="str">
        <f t="shared" si="376"/>
        <v>#REF!</v>
      </c>
      <c r="AH144" s="168" t="str">
        <f t="shared" si="376"/>
        <v>#REF!</v>
      </c>
      <c r="AI144" s="168" t="str">
        <f t="shared" si="376"/>
        <v>#REF!</v>
      </c>
      <c r="AJ144" s="168" t="str">
        <f t="shared" si="376"/>
        <v>#REF!</v>
      </c>
    </row>
    <row r="145" ht="15.75" customHeight="1">
      <c r="A145" s="168" t="str">
        <f t="shared" ref="A145:T145" si="377">if(#REF!=$D$1,#REF!,"")</f>
        <v>#REF!</v>
      </c>
      <c r="B145" s="168" t="str">
        <f t="shared" si="377"/>
        <v>#REF!</v>
      </c>
      <c r="C145" s="168" t="str">
        <f t="shared" si="377"/>
        <v>#REF!</v>
      </c>
      <c r="D145" s="168" t="str">
        <f t="shared" si="377"/>
        <v>#REF!</v>
      </c>
      <c r="E145" s="168" t="str">
        <f t="shared" si="377"/>
        <v>#REF!</v>
      </c>
      <c r="F145" s="168" t="str">
        <f t="shared" si="377"/>
        <v>#REF!</v>
      </c>
      <c r="G145" s="168" t="str">
        <f t="shared" si="377"/>
        <v>#REF!</v>
      </c>
      <c r="H145" s="168" t="str">
        <f t="shared" si="377"/>
        <v>#REF!</v>
      </c>
      <c r="I145" s="168" t="str">
        <f t="shared" si="377"/>
        <v>#REF!</v>
      </c>
      <c r="J145" s="168" t="str">
        <f t="shared" si="377"/>
        <v>#REF!</v>
      </c>
      <c r="K145" s="168" t="str">
        <f t="shared" si="377"/>
        <v>#REF!</v>
      </c>
      <c r="L145" s="168" t="str">
        <f t="shared" si="377"/>
        <v>#REF!</v>
      </c>
      <c r="M145" s="168" t="str">
        <f t="shared" si="377"/>
        <v>#REF!</v>
      </c>
      <c r="N145" s="168" t="str">
        <f t="shared" si="377"/>
        <v>#REF!</v>
      </c>
      <c r="O145" s="168" t="str">
        <f t="shared" si="377"/>
        <v>#REF!</v>
      </c>
      <c r="P145" s="168" t="str">
        <f t="shared" si="377"/>
        <v>#REF!</v>
      </c>
      <c r="Q145" s="168" t="str">
        <f t="shared" si="377"/>
        <v>#REF!</v>
      </c>
      <c r="R145" s="168" t="str">
        <f t="shared" si="377"/>
        <v>#REF!</v>
      </c>
      <c r="S145" s="168" t="str">
        <f t="shared" si="377"/>
        <v>#REF!</v>
      </c>
      <c r="T145" s="168" t="str">
        <f t="shared" si="377"/>
        <v>#REF!</v>
      </c>
      <c r="U145" s="168" t="str">
        <f t="shared" ref="U145:AJ145" si="378">#REF!</f>
        <v>#REF!</v>
      </c>
      <c r="V145" s="168" t="str">
        <f t="shared" si="378"/>
        <v>#REF!</v>
      </c>
      <c r="W145" s="168" t="str">
        <f t="shared" si="378"/>
        <v>#REF!</v>
      </c>
      <c r="X145" s="168" t="str">
        <f t="shared" si="378"/>
        <v>#REF!</v>
      </c>
      <c r="Y145" s="168" t="str">
        <f t="shared" si="378"/>
        <v>#REF!</v>
      </c>
      <c r="Z145" s="168" t="str">
        <f t="shared" si="378"/>
        <v>#REF!</v>
      </c>
      <c r="AA145" s="168" t="str">
        <f t="shared" si="378"/>
        <v>#REF!</v>
      </c>
      <c r="AB145" s="168" t="str">
        <f t="shared" si="378"/>
        <v>#REF!</v>
      </c>
      <c r="AC145" s="168" t="str">
        <f t="shared" si="378"/>
        <v>#REF!</v>
      </c>
      <c r="AD145" s="168" t="str">
        <f t="shared" si="378"/>
        <v>#REF!</v>
      </c>
      <c r="AE145" s="168" t="str">
        <f t="shared" si="378"/>
        <v>#REF!</v>
      </c>
      <c r="AF145" s="168" t="str">
        <f t="shared" si="378"/>
        <v>#REF!</v>
      </c>
      <c r="AG145" s="168" t="str">
        <f t="shared" si="378"/>
        <v>#REF!</v>
      </c>
      <c r="AH145" s="168" t="str">
        <f t="shared" si="378"/>
        <v>#REF!</v>
      </c>
      <c r="AI145" s="168" t="str">
        <f t="shared" si="378"/>
        <v>#REF!</v>
      </c>
      <c r="AJ145" s="168" t="str">
        <f t="shared" si="378"/>
        <v>#REF!</v>
      </c>
    </row>
    <row r="146" ht="15.75" customHeight="1">
      <c r="A146" s="168" t="str">
        <f t="shared" ref="A146:T146" si="379">if(#REF!=$D$1,#REF!,"")</f>
        <v>#REF!</v>
      </c>
      <c r="B146" s="168" t="str">
        <f t="shared" si="379"/>
        <v>#REF!</v>
      </c>
      <c r="C146" s="168" t="str">
        <f t="shared" si="379"/>
        <v>#REF!</v>
      </c>
      <c r="D146" s="168" t="str">
        <f t="shared" si="379"/>
        <v>#REF!</v>
      </c>
      <c r="E146" s="168" t="str">
        <f t="shared" si="379"/>
        <v>#REF!</v>
      </c>
      <c r="F146" s="168" t="str">
        <f t="shared" si="379"/>
        <v>#REF!</v>
      </c>
      <c r="G146" s="168" t="str">
        <f t="shared" si="379"/>
        <v>#REF!</v>
      </c>
      <c r="H146" s="168" t="str">
        <f t="shared" si="379"/>
        <v>#REF!</v>
      </c>
      <c r="I146" s="168" t="str">
        <f t="shared" si="379"/>
        <v>#REF!</v>
      </c>
      <c r="J146" s="168" t="str">
        <f t="shared" si="379"/>
        <v>#REF!</v>
      </c>
      <c r="K146" s="168" t="str">
        <f t="shared" si="379"/>
        <v>#REF!</v>
      </c>
      <c r="L146" s="168" t="str">
        <f t="shared" si="379"/>
        <v>#REF!</v>
      </c>
      <c r="M146" s="168" t="str">
        <f t="shared" si="379"/>
        <v>#REF!</v>
      </c>
      <c r="N146" s="168" t="str">
        <f t="shared" si="379"/>
        <v>#REF!</v>
      </c>
      <c r="O146" s="168" t="str">
        <f t="shared" si="379"/>
        <v>#REF!</v>
      </c>
      <c r="P146" s="168" t="str">
        <f t="shared" si="379"/>
        <v>#REF!</v>
      </c>
      <c r="Q146" s="168" t="str">
        <f t="shared" si="379"/>
        <v>#REF!</v>
      </c>
      <c r="R146" s="168" t="str">
        <f t="shared" si="379"/>
        <v>#REF!</v>
      </c>
      <c r="S146" s="168" t="str">
        <f t="shared" si="379"/>
        <v>#REF!</v>
      </c>
      <c r="T146" s="168" t="str">
        <f t="shared" si="379"/>
        <v>#REF!</v>
      </c>
      <c r="U146" s="168" t="str">
        <f t="shared" ref="U146:AJ146" si="380">#REF!</f>
        <v>#REF!</v>
      </c>
      <c r="V146" s="168" t="str">
        <f t="shared" si="380"/>
        <v>#REF!</v>
      </c>
      <c r="W146" s="168" t="str">
        <f t="shared" si="380"/>
        <v>#REF!</v>
      </c>
      <c r="X146" s="168" t="str">
        <f t="shared" si="380"/>
        <v>#REF!</v>
      </c>
      <c r="Y146" s="168" t="str">
        <f t="shared" si="380"/>
        <v>#REF!</v>
      </c>
      <c r="Z146" s="168" t="str">
        <f t="shared" si="380"/>
        <v>#REF!</v>
      </c>
      <c r="AA146" s="168" t="str">
        <f t="shared" si="380"/>
        <v>#REF!</v>
      </c>
      <c r="AB146" s="168" t="str">
        <f t="shared" si="380"/>
        <v>#REF!</v>
      </c>
      <c r="AC146" s="168" t="str">
        <f t="shared" si="380"/>
        <v>#REF!</v>
      </c>
      <c r="AD146" s="168" t="str">
        <f t="shared" si="380"/>
        <v>#REF!</v>
      </c>
      <c r="AE146" s="168" t="str">
        <f t="shared" si="380"/>
        <v>#REF!</v>
      </c>
      <c r="AF146" s="168" t="str">
        <f t="shared" si="380"/>
        <v>#REF!</v>
      </c>
      <c r="AG146" s="168" t="str">
        <f t="shared" si="380"/>
        <v>#REF!</v>
      </c>
      <c r="AH146" s="168" t="str">
        <f t="shared" si="380"/>
        <v>#REF!</v>
      </c>
      <c r="AI146" s="168" t="str">
        <f t="shared" si="380"/>
        <v>#REF!</v>
      </c>
      <c r="AJ146" s="168" t="str">
        <f t="shared" si="380"/>
        <v>#REF!</v>
      </c>
    </row>
    <row r="147" ht="15.75" customHeight="1">
      <c r="A147" s="168" t="str">
        <f t="shared" ref="A147:T147" si="381">if(#REF!=$D$1,#REF!,"")</f>
        <v>#REF!</v>
      </c>
      <c r="B147" s="168" t="str">
        <f t="shared" si="381"/>
        <v>#REF!</v>
      </c>
      <c r="C147" s="168" t="str">
        <f t="shared" si="381"/>
        <v>#REF!</v>
      </c>
      <c r="D147" s="168" t="str">
        <f t="shared" si="381"/>
        <v>#REF!</v>
      </c>
      <c r="E147" s="168" t="str">
        <f t="shared" si="381"/>
        <v>#REF!</v>
      </c>
      <c r="F147" s="168" t="str">
        <f t="shared" si="381"/>
        <v>#REF!</v>
      </c>
      <c r="G147" s="168" t="str">
        <f t="shared" si="381"/>
        <v>#REF!</v>
      </c>
      <c r="H147" s="168" t="str">
        <f t="shared" si="381"/>
        <v>#REF!</v>
      </c>
      <c r="I147" s="168" t="str">
        <f t="shared" si="381"/>
        <v>#REF!</v>
      </c>
      <c r="J147" s="168" t="str">
        <f t="shared" si="381"/>
        <v>#REF!</v>
      </c>
      <c r="K147" s="168" t="str">
        <f t="shared" si="381"/>
        <v>#REF!</v>
      </c>
      <c r="L147" s="168" t="str">
        <f t="shared" si="381"/>
        <v>#REF!</v>
      </c>
      <c r="M147" s="168" t="str">
        <f t="shared" si="381"/>
        <v>#REF!</v>
      </c>
      <c r="N147" s="168" t="str">
        <f t="shared" si="381"/>
        <v>#REF!</v>
      </c>
      <c r="O147" s="168" t="str">
        <f t="shared" si="381"/>
        <v>#REF!</v>
      </c>
      <c r="P147" s="168" t="str">
        <f t="shared" si="381"/>
        <v>#REF!</v>
      </c>
      <c r="Q147" s="168" t="str">
        <f t="shared" si="381"/>
        <v>#REF!</v>
      </c>
      <c r="R147" s="168" t="str">
        <f t="shared" si="381"/>
        <v>#REF!</v>
      </c>
      <c r="S147" s="168" t="str">
        <f t="shared" si="381"/>
        <v>#REF!</v>
      </c>
      <c r="T147" s="168" t="str">
        <f t="shared" si="381"/>
        <v>#REF!</v>
      </c>
      <c r="U147" s="168" t="str">
        <f t="shared" ref="U147:AJ147" si="382">#REF!</f>
        <v>#REF!</v>
      </c>
      <c r="V147" s="168" t="str">
        <f t="shared" si="382"/>
        <v>#REF!</v>
      </c>
      <c r="W147" s="168" t="str">
        <f t="shared" si="382"/>
        <v>#REF!</v>
      </c>
      <c r="X147" s="168" t="str">
        <f t="shared" si="382"/>
        <v>#REF!</v>
      </c>
      <c r="Y147" s="168" t="str">
        <f t="shared" si="382"/>
        <v>#REF!</v>
      </c>
      <c r="Z147" s="168" t="str">
        <f t="shared" si="382"/>
        <v>#REF!</v>
      </c>
      <c r="AA147" s="168" t="str">
        <f t="shared" si="382"/>
        <v>#REF!</v>
      </c>
      <c r="AB147" s="168" t="str">
        <f t="shared" si="382"/>
        <v>#REF!</v>
      </c>
      <c r="AC147" s="168" t="str">
        <f t="shared" si="382"/>
        <v>#REF!</v>
      </c>
      <c r="AD147" s="168" t="str">
        <f t="shared" si="382"/>
        <v>#REF!</v>
      </c>
      <c r="AE147" s="168" t="str">
        <f t="shared" si="382"/>
        <v>#REF!</v>
      </c>
      <c r="AF147" s="168" t="str">
        <f t="shared" si="382"/>
        <v>#REF!</v>
      </c>
      <c r="AG147" s="168" t="str">
        <f t="shared" si="382"/>
        <v>#REF!</v>
      </c>
      <c r="AH147" s="168" t="str">
        <f t="shared" si="382"/>
        <v>#REF!</v>
      </c>
      <c r="AI147" s="168" t="str">
        <f t="shared" si="382"/>
        <v>#REF!</v>
      </c>
      <c r="AJ147" s="168" t="str">
        <f t="shared" si="382"/>
        <v>#REF!</v>
      </c>
    </row>
    <row r="148" ht="15.75" customHeight="1">
      <c r="A148" s="168" t="str">
        <f t="shared" ref="A148:T148" si="383">if(#REF!=$D$1,#REF!,"")</f>
        <v>#REF!</v>
      </c>
      <c r="B148" s="168" t="str">
        <f t="shared" si="383"/>
        <v>#REF!</v>
      </c>
      <c r="C148" s="168" t="str">
        <f t="shared" si="383"/>
        <v>#REF!</v>
      </c>
      <c r="D148" s="168" t="str">
        <f t="shared" si="383"/>
        <v>#REF!</v>
      </c>
      <c r="E148" s="168" t="str">
        <f t="shared" si="383"/>
        <v>#REF!</v>
      </c>
      <c r="F148" s="168" t="str">
        <f t="shared" si="383"/>
        <v>#REF!</v>
      </c>
      <c r="G148" s="168" t="str">
        <f t="shared" si="383"/>
        <v>#REF!</v>
      </c>
      <c r="H148" s="168" t="str">
        <f t="shared" si="383"/>
        <v>#REF!</v>
      </c>
      <c r="I148" s="168" t="str">
        <f t="shared" si="383"/>
        <v>#REF!</v>
      </c>
      <c r="J148" s="168" t="str">
        <f t="shared" si="383"/>
        <v>#REF!</v>
      </c>
      <c r="K148" s="168" t="str">
        <f t="shared" si="383"/>
        <v>#REF!</v>
      </c>
      <c r="L148" s="168" t="str">
        <f t="shared" si="383"/>
        <v>#REF!</v>
      </c>
      <c r="M148" s="168" t="str">
        <f t="shared" si="383"/>
        <v>#REF!</v>
      </c>
      <c r="N148" s="168" t="str">
        <f t="shared" si="383"/>
        <v>#REF!</v>
      </c>
      <c r="O148" s="168" t="str">
        <f t="shared" si="383"/>
        <v>#REF!</v>
      </c>
      <c r="P148" s="168" t="str">
        <f t="shared" si="383"/>
        <v>#REF!</v>
      </c>
      <c r="Q148" s="168" t="str">
        <f t="shared" si="383"/>
        <v>#REF!</v>
      </c>
      <c r="R148" s="168" t="str">
        <f t="shared" si="383"/>
        <v>#REF!</v>
      </c>
      <c r="S148" s="168" t="str">
        <f t="shared" si="383"/>
        <v>#REF!</v>
      </c>
      <c r="T148" s="168" t="str">
        <f t="shared" si="383"/>
        <v>#REF!</v>
      </c>
      <c r="U148" s="168" t="str">
        <f t="shared" ref="U148:AJ148" si="384">#REF!</f>
        <v>#REF!</v>
      </c>
      <c r="V148" s="168" t="str">
        <f t="shared" si="384"/>
        <v>#REF!</v>
      </c>
      <c r="W148" s="168" t="str">
        <f t="shared" si="384"/>
        <v>#REF!</v>
      </c>
      <c r="X148" s="168" t="str">
        <f t="shared" si="384"/>
        <v>#REF!</v>
      </c>
      <c r="Y148" s="168" t="str">
        <f t="shared" si="384"/>
        <v>#REF!</v>
      </c>
      <c r="Z148" s="168" t="str">
        <f t="shared" si="384"/>
        <v>#REF!</v>
      </c>
      <c r="AA148" s="168" t="str">
        <f t="shared" si="384"/>
        <v>#REF!</v>
      </c>
      <c r="AB148" s="168" t="str">
        <f t="shared" si="384"/>
        <v>#REF!</v>
      </c>
      <c r="AC148" s="168" t="str">
        <f t="shared" si="384"/>
        <v>#REF!</v>
      </c>
      <c r="AD148" s="168" t="str">
        <f t="shared" si="384"/>
        <v>#REF!</v>
      </c>
      <c r="AE148" s="168" t="str">
        <f t="shared" si="384"/>
        <v>#REF!</v>
      </c>
      <c r="AF148" s="168" t="str">
        <f t="shared" si="384"/>
        <v>#REF!</v>
      </c>
      <c r="AG148" s="168" t="str">
        <f t="shared" si="384"/>
        <v>#REF!</v>
      </c>
      <c r="AH148" s="168" t="str">
        <f t="shared" si="384"/>
        <v>#REF!</v>
      </c>
      <c r="AI148" s="168" t="str">
        <f t="shared" si="384"/>
        <v>#REF!</v>
      </c>
      <c r="AJ148" s="168" t="str">
        <f t="shared" si="384"/>
        <v>#REF!</v>
      </c>
    </row>
    <row r="149" ht="15.75" customHeight="1">
      <c r="A149" s="168" t="str">
        <f t="shared" ref="A149:T149" si="385">if(#REF!=$D$1,#REF!,"")</f>
        <v>#REF!</v>
      </c>
      <c r="B149" s="168" t="str">
        <f t="shared" si="385"/>
        <v>#REF!</v>
      </c>
      <c r="C149" s="168" t="str">
        <f t="shared" si="385"/>
        <v>#REF!</v>
      </c>
      <c r="D149" s="168" t="str">
        <f t="shared" si="385"/>
        <v>#REF!</v>
      </c>
      <c r="E149" s="168" t="str">
        <f t="shared" si="385"/>
        <v>#REF!</v>
      </c>
      <c r="F149" s="168" t="str">
        <f t="shared" si="385"/>
        <v>#REF!</v>
      </c>
      <c r="G149" s="168" t="str">
        <f t="shared" si="385"/>
        <v>#REF!</v>
      </c>
      <c r="H149" s="168" t="str">
        <f t="shared" si="385"/>
        <v>#REF!</v>
      </c>
      <c r="I149" s="168" t="str">
        <f t="shared" si="385"/>
        <v>#REF!</v>
      </c>
      <c r="J149" s="168" t="str">
        <f t="shared" si="385"/>
        <v>#REF!</v>
      </c>
      <c r="K149" s="168" t="str">
        <f t="shared" si="385"/>
        <v>#REF!</v>
      </c>
      <c r="L149" s="168" t="str">
        <f t="shared" si="385"/>
        <v>#REF!</v>
      </c>
      <c r="M149" s="168" t="str">
        <f t="shared" si="385"/>
        <v>#REF!</v>
      </c>
      <c r="N149" s="168" t="str">
        <f t="shared" si="385"/>
        <v>#REF!</v>
      </c>
      <c r="O149" s="168" t="str">
        <f t="shared" si="385"/>
        <v>#REF!</v>
      </c>
      <c r="P149" s="168" t="str">
        <f t="shared" si="385"/>
        <v>#REF!</v>
      </c>
      <c r="Q149" s="168" t="str">
        <f t="shared" si="385"/>
        <v>#REF!</v>
      </c>
      <c r="R149" s="168" t="str">
        <f t="shared" si="385"/>
        <v>#REF!</v>
      </c>
      <c r="S149" s="168" t="str">
        <f t="shared" si="385"/>
        <v>#REF!</v>
      </c>
      <c r="T149" s="168" t="str">
        <f t="shared" si="385"/>
        <v>#REF!</v>
      </c>
      <c r="U149" s="168" t="str">
        <f t="shared" ref="U149:AJ149" si="386">#REF!</f>
        <v>#REF!</v>
      </c>
      <c r="V149" s="168" t="str">
        <f t="shared" si="386"/>
        <v>#REF!</v>
      </c>
      <c r="W149" s="168" t="str">
        <f t="shared" si="386"/>
        <v>#REF!</v>
      </c>
      <c r="X149" s="168" t="str">
        <f t="shared" si="386"/>
        <v>#REF!</v>
      </c>
      <c r="Y149" s="168" t="str">
        <f t="shared" si="386"/>
        <v>#REF!</v>
      </c>
      <c r="Z149" s="168" t="str">
        <f t="shared" si="386"/>
        <v>#REF!</v>
      </c>
      <c r="AA149" s="168" t="str">
        <f t="shared" si="386"/>
        <v>#REF!</v>
      </c>
      <c r="AB149" s="168" t="str">
        <f t="shared" si="386"/>
        <v>#REF!</v>
      </c>
      <c r="AC149" s="168" t="str">
        <f t="shared" si="386"/>
        <v>#REF!</v>
      </c>
      <c r="AD149" s="168" t="str">
        <f t="shared" si="386"/>
        <v>#REF!</v>
      </c>
      <c r="AE149" s="168" t="str">
        <f t="shared" si="386"/>
        <v>#REF!</v>
      </c>
      <c r="AF149" s="168" t="str">
        <f t="shared" si="386"/>
        <v>#REF!</v>
      </c>
      <c r="AG149" s="168" t="str">
        <f t="shared" si="386"/>
        <v>#REF!</v>
      </c>
      <c r="AH149" s="168" t="str">
        <f t="shared" si="386"/>
        <v>#REF!</v>
      </c>
      <c r="AI149" s="168" t="str">
        <f t="shared" si="386"/>
        <v>#REF!</v>
      </c>
      <c r="AJ149" s="168" t="str">
        <f t="shared" si="386"/>
        <v>#REF!</v>
      </c>
    </row>
    <row r="150" ht="15.75" customHeight="1">
      <c r="A150" s="168" t="str">
        <f t="shared" ref="A150:T150" si="387">if(#REF!=$D$1,#REF!,"")</f>
        <v>#REF!</v>
      </c>
      <c r="B150" s="168" t="str">
        <f t="shared" si="387"/>
        <v>#REF!</v>
      </c>
      <c r="C150" s="168" t="str">
        <f t="shared" si="387"/>
        <v>#REF!</v>
      </c>
      <c r="D150" s="168" t="str">
        <f t="shared" si="387"/>
        <v>#REF!</v>
      </c>
      <c r="E150" s="168" t="str">
        <f t="shared" si="387"/>
        <v>#REF!</v>
      </c>
      <c r="F150" s="168" t="str">
        <f t="shared" si="387"/>
        <v>#REF!</v>
      </c>
      <c r="G150" s="168" t="str">
        <f t="shared" si="387"/>
        <v>#REF!</v>
      </c>
      <c r="H150" s="168" t="str">
        <f t="shared" si="387"/>
        <v>#REF!</v>
      </c>
      <c r="I150" s="168" t="str">
        <f t="shared" si="387"/>
        <v>#REF!</v>
      </c>
      <c r="J150" s="168" t="str">
        <f t="shared" si="387"/>
        <v>#REF!</v>
      </c>
      <c r="K150" s="168" t="str">
        <f t="shared" si="387"/>
        <v>#REF!</v>
      </c>
      <c r="L150" s="168" t="str">
        <f t="shared" si="387"/>
        <v>#REF!</v>
      </c>
      <c r="M150" s="168" t="str">
        <f t="shared" si="387"/>
        <v>#REF!</v>
      </c>
      <c r="N150" s="168" t="str">
        <f t="shared" si="387"/>
        <v>#REF!</v>
      </c>
      <c r="O150" s="168" t="str">
        <f t="shared" si="387"/>
        <v>#REF!</v>
      </c>
      <c r="P150" s="168" t="str">
        <f t="shared" si="387"/>
        <v>#REF!</v>
      </c>
      <c r="Q150" s="168" t="str">
        <f t="shared" si="387"/>
        <v>#REF!</v>
      </c>
      <c r="R150" s="168" t="str">
        <f t="shared" si="387"/>
        <v>#REF!</v>
      </c>
      <c r="S150" s="168" t="str">
        <f t="shared" si="387"/>
        <v>#REF!</v>
      </c>
      <c r="T150" s="168" t="str">
        <f t="shared" si="387"/>
        <v>#REF!</v>
      </c>
      <c r="U150" s="168" t="str">
        <f t="shared" ref="U150:AJ150" si="388">#REF!</f>
        <v>#REF!</v>
      </c>
      <c r="V150" s="168" t="str">
        <f t="shared" si="388"/>
        <v>#REF!</v>
      </c>
      <c r="W150" s="168" t="str">
        <f t="shared" si="388"/>
        <v>#REF!</v>
      </c>
      <c r="X150" s="168" t="str">
        <f t="shared" si="388"/>
        <v>#REF!</v>
      </c>
      <c r="Y150" s="168" t="str">
        <f t="shared" si="388"/>
        <v>#REF!</v>
      </c>
      <c r="Z150" s="168" t="str">
        <f t="shared" si="388"/>
        <v>#REF!</v>
      </c>
      <c r="AA150" s="168" t="str">
        <f t="shared" si="388"/>
        <v>#REF!</v>
      </c>
      <c r="AB150" s="168" t="str">
        <f t="shared" si="388"/>
        <v>#REF!</v>
      </c>
      <c r="AC150" s="168" t="str">
        <f t="shared" si="388"/>
        <v>#REF!</v>
      </c>
      <c r="AD150" s="168" t="str">
        <f t="shared" si="388"/>
        <v>#REF!</v>
      </c>
      <c r="AE150" s="168" t="str">
        <f t="shared" si="388"/>
        <v>#REF!</v>
      </c>
      <c r="AF150" s="168" t="str">
        <f t="shared" si="388"/>
        <v>#REF!</v>
      </c>
      <c r="AG150" s="168" t="str">
        <f t="shared" si="388"/>
        <v>#REF!</v>
      </c>
      <c r="AH150" s="168" t="str">
        <f t="shared" si="388"/>
        <v>#REF!</v>
      </c>
      <c r="AI150" s="168" t="str">
        <f t="shared" si="388"/>
        <v>#REF!</v>
      </c>
      <c r="AJ150" s="168" t="str">
        <f t="shared" si="388"/>
        <v>#REF!</v>
      </c>
    </row>
    <row r="151" ht="15.75" customHeight="1">
      <c r="A151" s="168" t="str">
        <f t="shared" ref="A151:T151" si="389">if(#REF!=$D$1,#REF!,"")</f>
        <v>#REF!</v>
      </c>
      <c r="B151" s="168" t="str">
        <f t="shared" si="389"/>
        <v>#REF!</v>
      </c>
      <c r="C151" s="168" t="str">
        <f t="shared" si="389"/>
        <v>#REF!</v>
      </c>
      <c r="D151" s="168" t="str">
        <f t="shared" si="389"/>
        <v>#REF!</v>
      </c>
      <c r="E151" s="168" t="str">
        <f t="shared" si="389"/>
        <v>#REF!</v>
      </c>
      <c r="F151" s="168" t="str">
        <f t="shared" si="389"/>
        <v>#REF!</v>
      </c>
      <c r="G151" s="168" t="str">
        <f t="shared" si="389"/>
        <v>#REF!</v>
      </c>
      <c r="H151" s="168" t="str">
        <f t="shared" si="389"/>
        <v>#REF!</v>
      </c>
      <c r="I151" s="168" t="str">
        <f t="shared" si="389"/>
        <v>#REF!</v>
      </c>
      <c r="J151" s="168" t="str">
        <f t="shared" si="389"/>
        <v>#REF!</v>
      </c>
      <c r="K151" s="168" t="str">
        <f t="shared" si="389"/>
        <v>#REF!</v>
      </c>
      <c r="L151" s="168" t="str">
        <f t="shared" si="389"/>
        <v>#REF!</v>
      </c>
      <c r="M151" s="168" t="str">
        <f t="shared" si="389"/>
        <v>#REF!</v>
      </c>
      <c r="N151" s="168" t="str">
        <f t="shared" si="389"/>
        <v>#REF!</v>
      </c>
      <c r="O151" s="168" t="str">
        <f t="shared" si="389"/>
        <v>#REF!</v>
      </c>
      <c r="P151" s="168" t="str">
        <f t="shared" si="389"/>
        <v>#REF!</v>
      </c>
      <c r="Q151" s="168" t="str">
        <f t="shared" si="389"/>
        <v>#REF!</v>
      </c>
      <c r="R151" s="168" t="str">
        <f t="shared" si="389"/>
        <v>#REF!</v>
      </c>
      <c r="S151" s="168" t="str">
        <f t="shared" si="389"/>
        <v>#REF!</v>
      </c>
      <c r="T151" s="168" t="str">
        <f t="shared" si="389"/>
        <v>#REF!</v>
      </c>
      <c r="U151" s="168" t="str">
        <f t="shared" ref="U151:AJ151" si="390">#REF!</f>
        <v>#REF!</v>
      </c>
      <c r="V151" s="168" t="str">
        <f t="shared" si="390"/>
        <v>#REF!</v>
      </c>
      <c r="W151" s="168" t="str">
        <f t="shared" si="390"/>
        <v>#REF!</v>
      </c>
      <c r="X151" s="168" t="str">
        <f t="shared" si="390"/>
        <v>#REF!</v>
      </c>
      <c r="Y151" s="168" t="str">
        <f t="shared" si="390"/>
        <v>#REF!</v>
      </c>
      <c r="Z151" s="168" t="str">
        <f t="shared" si="390"/>
        <v>#REF!</v>
      </c>
      <c r="AA151" s="168" t="str">
        <f t="shared" si="390"/>
        <v>#REF!</v>
      </c>
      <c r="AB151" s="168" t="str">
        <f t="shared" si="390"/>
        <v>#REF!</v>
      </c>
      <c r="AC151" s="168" t="str">
        <f t="shared" si="390"/>
        <v>#REF!</v>
      </c>
      <c r="AD151" s="168" t="str">
        <f t="shared" si="390"/>
        <v>#REF!</v>
      </c>
      <c r="AE151" s="168" t="str">
        <f t="shared" si="390"/>
        <v>#REF!</v>
      </c>
      <c r="AF151" s="168" t="str">
        <f t="shared" si="390"/>
        <v>#REF!</v>
      </c>
      <c r="AG151" s="168" t="str">
        <f t="shared" si="390"/>
        <v>#REF!</v>
      </c>
      <c r="AH151" s="168" t="str">
        <f t="shared" si="390"/>
        <v>#REF!</v>
      </c>
      <c r="AI151" s="168" t="str">
        <f t="shared" si="390"/>
        <v>#REF!</v>
      </c>
      <c r="AJ151" s="168" t="str">
        <f t="shared" si="390"/>
        <v>#REF!</v>
      </c>
    </row>
    <row r="152" ht="15.75" customHeight="1">
      <c r="A152" s="168" t="str">
        <f t="shared" ref="A152:T152" si="391">if(#REF!=$D$1,#REF!,"")</f>
        <v>#REF!</v>
      </c>
      <c r="B152" s="168" t="str">
        <f t="shared" si="391"/>
        <v>#REF!</v>
      </c>
      <c r="C152" s="168" t="str">
        <f t="shared" si="391"/>
        <v>#REF!</v>
      </c>
      <c r="D152" s="168" t="str">
        <f t="shared" si="391"/>
        <v>#REF!</v>
      </c>
      <c r="E152" s="168" t="str">
        <f t="shared" si="391"/>
        <v>#REF!</v>
      </c>
      <c r="F152" s="168" t="str">
        <f t="shared" si="391"/>
        <v>#REF!</v>
      </c>
      <c r="G152" s="168" t="str">
        <f t="shared" si="391"/>
        <v>#REF!</v>
      </c>
      <c r="H152" s="168" t="str">
        <f t="shared" si="391"/>
        <v>#REF!</v>
      </c>
      <c r="I152" s="168" t="str">
        <f t="shared" si="391"/>
        <v>#REF!</v>
      </c>
      <c r="J152" s="168" t="str">
        <f t="shared" si="391"/>
        <v>#REF!</v>
      </c>
      <c r="K152" s="168" t="str">
        <f t="shared" si="391"/>
        <v>#REF!</v>
      </c>
      <c r="L152" s="168" t="str">
        <f t="shared" si="391"/>
        <v>#REF!</v>
      </c>
      <c r="M152" s="168" t="str">
        <f t="shared" si="391"/>
        <v>#REF!</v>
      </c>
      <c r="N152" s="168" t="str">
        <f t="shared" si="391"/>
        <v>#REF!</v>
      </c>
      <c r="O152" s="168" t="str">
        <f t="shared" si="391"/>
        <v>#REF!</v>
      </c>
      <c r="P152" s="168" t="str">
        <f t="shared" si="391"/>
        <v>#REF!</v>
      </c>
      <c r="Q152" s="168" t="str">
        <f t="shared" si="391"/>
        <v>#REF!</v>
      </c>
      <c r="R152" s="168" t="str">
        <f t="shared" si="391"/>
        <v>#REF!</v>
      </c>
      <c r="S152" s="168" t="str">
        <f t="shared" si="391"/>
        <v>#REF!</v>
      </c>
      <c r="T152" s="168" t="str">
        <f t="shared" si="391"/>
        <v>#REF!</v>
      </c>
      <c r="U152" s="168" t="str">
        <f t="shared" ref="U152:AJ152" si="392">#REF!</f>
        <v>#REF!</v>
      </c>
      <c r="V152" s="168" t="str">
        <f t="shared" si="392"/>
        <v>#REF!</v>
      </c>
      <c r="W152" s="168" t="str">
        <f t="shared" si="392"/>
        <v>#REF!</v>
      </c>
      <c r="X152" s="168" t="str">
        <f t="shared" si="392"/>
        <v>#REF!</v>
      </c>
      <c r="Y152" s="168" t="str">
        <f t="shared" si="392"/>
        <v>#REF!</v>
      </c>
      <c r="Z152" s="168" t="str">
        <f t="shared" si="392"/>
        <v>#REF!</v>
      </c>
      <c r="AA152" s="168" t="str">
        <f t="shared" si="392"/>
        <v>#REF!</v>
      </c>
      <c r="AB152" s="168" t="str">
        <f t="shared" si="392"/>
        <v>#REF!</v>
      </c>
      <c r="AC152" s="168" t="str">
        <f t="shared" si="392"/>
        <v>#REF!</v>
      </c>
      <c r="AD152" s="168" t="str">
        <f t="shared" si="392"/>
        <v>#REF!</v>
      </c>
      <c r="AE152" s="168" t="str">
        <f t="shared" si="392"/>
        <v>#REF!</v>
      </c>
      <c r="AF152" s="168" t="str">
        <f t="shared" si="392"/>
        <v>#REF!</v>
      </c>
      <c r="AG152" s="168" t="str">
        <f t="shared" si="392"/>
        <v>#REF!</v>
      </c>
      <c r="AH152" s="168" t="str">
        <f t="shared" si="392"/>
        <v>#REF!</v>
      </c>
      <c r="AI152" s="168" t="str">
        <f t="shared" si="392"/>
        <v>#REF!</v>
      </c>
      <c r="AJ152" s="168" t="str">
        <f t="shared" si="392"/>
        <v>#REF!</v>
      </c>
    </row>
    <row r="153" ht="15.75" customHeight="1">
      <c r="A153" s="168" t="str">
        <f t="shared" ref="A153:T153" si="393">if(#REF!=$D$1,#REF!,"")</f>
        <v>#REF!</v>
      </c>
      <c r="B153" s="168" t="str">
        <f t="shared" si="393"/>
        <v>#REF!</v>
      </c>
      <c r="C153" s="168" t="str">
        <f t="shared" si="393"/>
        <v>#REF!</v>
      </c>
      <c r="D153" s="168" t="str">
        <f t="shared" si="393"/>
        <v>#REF!</v>
      </c>
      <c r="E153" s="168" t="str">
        <f t="shared" si="393"/>
        <v>#REF!</v>
      </c>
      <c r="F153" s="168" t="str">
        <f t="shared" si="393"/>
        <v>#REF!</v>
      </c>
      <c r="G153" s="168" t="str">
        <f t="shared" si="393"/>
        <v>#REF!</v>
      </c>
      <c r="H153" s="168" t="str">
        <f t="shared" si="393"/>
        <v>#REF!</v>
      </c>
      <c r="I153" s="168" t="str">
        <f t="shared" si="393"/>
        <v>#REF!</v>
      </c>
      <c r="J153" s="168" t="str">
        <f t="shared" si="393"/>
        <v>#REF!</v>
      </c>
      <c r="K153" s="168" t="str">
        <f t="shared" si="393"/>
        <v>#REF!</v>
      </c>
      <c r="L153" s="168" t="str">
        <f t="shared" si="393"/>
        <v>#REF!</v>
      </c>
      <c r="M153" s="168" t="str">
        <f t="shared" si="393"/>
        <v>#REF!</v>
      </c>
      <c r="N153" s="168" t="str">
        <f t="shared" si="393"/>
        <v>#REF!</v>
      </c>
      <c r="O153" s="168" t="str">
        <f t="shared" si="393"/>
        <v>#REF!</v>
      </c>
      <c r="P153" s="168" t="str">
        <f t="shared" si="393"/>
        <v>#REF!</v>
      </c>
      <c r="Q153" s="168" t="str">
        <f t="shared" si="393"/>
        <v>#REF!</v>
      </c>
      <c r="R153" s="168" t="str">
        <f t="shared" si="393"/>
        <v>#REF!</v>
      </c>
      <c r="S153" s="168" t="str">
        <f t="shared" si="393"/>
        <v>#REF!</v>
      </c>
      <c r="T153" s="168" t="str">
        <f t="shared" si="393"/>
        <v>#REF!</v>
      </c>
      <c r="U153" s="168" t="str">
        <f t="shared" ref="U153:AJ153" si="394">#REF!</f>
        <v>#REF!</v>
      </c>
      <c r="V153" s="168" t="str">
        <f t="shared" si="394"/>
        <v>#REF!</v>
      </c>
      <c r="W153" s="168" t="str">
        <f t="shared" si="394"/>
        <v>#REF!</v>
      </c>
      <c r="X153" s="168" t="str">
        <f t="shared" si="394"/>
        <v>#REF!</v>
      </c>
      <c r="Y153" s="168" t="str">
        <f t="shared" si="394"/>
        <v>#REF!</v>
      </c>
      <c r="Z153" s="168" t="str">
        <f t="shared" si="394"/>
        <v>#REF!</v>
      </c>
      <c r="AA153" s="168" t="str">
        <f t="shared" si="394"/>
        <v>#REF!</v>
      </c>
      <c r="AB153" s="168" t="str">
        <f t="shared" si="394"/>
        <v>#REF!</v>
      </c>
      <c r="AC153" s="168" t="str">
        <f t="shared" si="394"/>
        <v>#REF!</v>
      </c>
      <c r="AD153" s="168" t="str">
        <f t="shared" si="394"/>
        <v>#REF!</v>
      </c>
      <c r="AE153" s="168" t="str">
        <f t="shared" si="394"/>
        <v>#REF!</v>
      </c>
      <c r="AF153" s="168" t="str">
        <f t="shared" si="394"/>
        <v>#REF!</v>
      </c>
      <c r="AG153" s="168" t="str">
        <f t="shared" si="394"/>
        <v>#REF!</v>
      </c>
      <c r="AH153" s="168" t="str">
        <f t="shared" si="394"/>
        <v>#REF!</v>
      </c>
      <c r="AI153" s="168" t="str">
        <f t="shared" si="394"/>
        <v>#REF!</v>
      </c>
      <c r="AJ153" s="168" t="str">
        <f t="shared" si="394"/>
        <v>#REF!</v>
      </c>
    </row>
    <row r="154" ht="15.75" customHeight="1">
      <c r="A154" s="168" t="str">
        <f t="shared" ref="A154:T154" si="395">if(#REF!=$D$1,#REF!,"")</f>
        <v>#REF!</v>
      </c>
      <c r="B154" s="168" t="str">
        <f t="shared" si="395"/>
        <v>#REF!</v>
      </c>
      <c r="C154" s="168" t="str">
        <f t="shared" si="395"/>
        <v>#REF!</v>
      </c>
      <c r="D154" s="168" t="str">
        <f t="shared" si="395"/>
        <v>#REF!</v>
      </c>
      <c r="E154" s="168" t="str">
        <f t="shared" si="395"/>
        <v>#REF!</v>
      </c>
      <c r="F154" s="168" t="str">
        <f t="shared" si="395"/>
        <v>#REF!</v>
      </c>
      <c r="G154" s="168" t="str">
        <f t="shared" si="395"/>
        <v>#REF!</v>
      </c>
      <c r="H154" s="168" t="str">
        <f t="shared" si="395"/>
        <v>#REF!</v>
      </c>
      <c r="I154" s="168" t="str">
        <f t="shared" si="395"/>
        <v>#REF!</v>
      </c>
      <c r="J154" s="168" t="str">
        <f t="shared" si="395"/>
        <v>#REF!</v>
      </c>
      <c r="K154" s="168" t="str">
        <f t="shared" si="395"/>
        <v>#REF!</v>
      </c>
      <c r="L154" s="168" t="str">
        <f t="shared" si="395"/>
        <v>#REF!</v>
      </c>
      <c r="M154" s="168" t="str">
        <f t="shared" si="395"/>
        <v>#REF!</v>
      </c>
      <c r="N154" s="168" t="str">
        <f t="shared" si="395"/>
        <v>#REF!</v>
      </c>
      <c r="O154" s="168" t="str">
        <f t="shared" si="395"/>
        <v>#REF!</v>
      </c>
      <c r="P154" s="168" t="str">
        <f t="shared" si="395"/>
        <v>#REF!</v>
      </c>
      <c r="Q154" s="168" t="str">
        <f t="shared" si="395"/>
        <v>#REF!</v>
      </c>
      <c r="R154" s="168" t="str">
        <f t="shared" si="395"/>
        <v>#REF!</v>
      </c>
      <c r="S154" s="168" t="str">
        <f t="shared" si="395"/>
        <v>#REF!</v>
      </c>
      <c r="T154" s="168" t="str">
        <f t="shared" si="395"/>
        <v>#REF!</v>
      </c>
      <c r="U154" s="168" t="str">
        <f t="shared" ref="U154:AJ154" si="396">#REF!</f>
        <v>#REF!</v>
      </c>
      <c r="V154" s="168" t="str">
        <f t="shared" si="396"/>
        <v>#REF!</v>
      </c>
      <c r="W154" s="168" t="str">
        <f t="shared" si="396"/>
        <v>#REF!</v>
      </c>
      <c r="X154" s="168" t="str">
        <f t="shared" si="396"/>
        <v>#REF!</v>
      </c>
      <c r="Y154" s="168" t="str">
        <f t="shared" si="396"/>
        <v>#REF!</v>
      </c>
      <c r="Z154" s="168" t="str">
        <f t="shared" si="396"/>
        <v>#REF!</v>
      </c>
      <c r="AA154" s="168" t="str">
        <f t="shared" si="396"/>
        <v>#REF!</v>
      </c>
      <c r="AB154" s="168" t="str">
        <f t="shared" si="396"/>
        <v>#REF!</v>
      </c>
      <c r="AC154" s="168" t="str">
        <f t="shared" si="396"/>
        <v>#REF!</v>
      </c>
      <c r="AD154" s="168" t="str">
        <f t="shared" si="396"/>
        <v>#REF!</v>
      </c>
      <c r="AE154" s="168" t="str">
        <f t="shared" si="396"/>
        <v>#REF!</v>
      </c>
      <c r="AF154" s="168" t="str">
        <f t="shared" si="396"/>
        <v>#REF!</v>
      </c>
      <c r="AG154" s="168" t="str">
        <f t="shared" si="396"/>
        <v>#REF!</v>
      </c>
      <c r="AH154" s="168" t="str">
        <f t="shared" si="396"/>
        <v>#REF!</v>
      </c>
      <c r="AI154" s="168" t="str">
        <f t="shared" si="396"/>
        <v>#REF!</v>
      </c>
      <c r="AJ154" s="168" t="str">
        <f t="shared" si="396"/>
        <v>#REF!</v>
      </c>
    </row>
    <row r="155" ht="15.75" customHeight="1">
      <c r="A155" s="168" t="str">
        <f t="shared" ref="A155:T155" si="397">if(#REF!=$D$1,#REF!,"")</f>
        <v>#REF!</v>
      </c>
      <c r="B155" s="168" t="str">
        <f t="shared" si="397"/>
        <v>#REF!</v>
      </c>
      <c r="C155" s="168" t="str">
        <f t="shared" si="397"/>
        <v>#REF!</v>
      </c>
      <c r="D155" s="168" t="str">
        <f t="shared" si="397"/>
        <v>#REF!</v>
      </c>
      <c r="E155" s="168" t="str">
        <f t="shared" si="397"/>
        <v>#REF!</v>
      </c>
      <c r="F155" s="168" t="str">
        <f t="shared" si="397"/>
        <v>#REF!</v>
      </c>
      <c r="G155" s="168" t="str">
        <f t="shared" si="397"/>
        <v>#REF!</v>
      </c>
      <c r="H155" s="168" t="str">
        <f t="shared" si="397"/>
        <v>#REF!</v>
      </c>
      <c r="I155" s="168" t="str">
        <f t="shared" si="397"/>
        <v>#REF!</v>
      </c>
      <c r="J155" s="168" t="str">
        <f t="shared" si="397"/>
        <v>#REF!</v>
      </c>
      <c r="K155" s="168" t="str">
        <f t="shared" si="397"/>
        <v>#REF!</v>
      </c>
      <c r="L155" s="168" t="str">
        <f t="shared" si="397"/>
        <v>#REF!</v>
      </c>
      <c r="M155" s="168" t="str">
        <f t="shared" si="397"/>
        <v>#REF!</v>
      </c>
      <c r="N155" s="168" t="str">
        <f t="shared" si="397"/>
        <v>#REF!</v>
      </c>
      <c r="O155" s="168" t="str">
        <f t="shared" si="397"/>
        <v>#REF!</v>
      </c>
      <c r="P155" s="168" t="str">
        <f t="shared" si="397"/>
        <v>#REF!</v>
      </c>
      <c r="Q155" s="168" t="str">
        <f t="shared" si="397"/>
        <v>#REF!</v>
      </c>
      <c r="R155" s="168" t="str">
        <f t="shared" si="397"/>
        <v>#REF!</v>
      </c>
      <c r="S155" s="168" t="str">
        <f t="shared" si="397"/>
        <v>#REF!</v>
      </c>
      <c r="T155" s="168" t="str">
        <f t="shared" si="397"/>
        <v>#REF!</v>
      </c>
      <c r="U155" s="168" t="str">
        <f t="shared" ref="U155:AJ155" si="398">#REF!</f>
        <v>#REF!</v>
      </c>
      <c r="V155" s="168" t="str">
        <f t="shared" si="398"/>
        <v>#REF!</v>
      </c>
      <c r="W155" s="168" t="str">
        <f t="shared" si="398"/>
        <v>#REF!</v>
      </c>
      <c r="X155" s="168" t="str">
        <f t="shared" si="398"/>
        <v>#REF!</v>
      </c>
      <c r="Y155" s="168" t="str">
        <f t="shared" si="398"/>
        <v>#REF!</v>
      </c>
      <c r="Z155" s="168" t="str">
        <f t="shared" si="398"/>
        <v>#REF!</v>
      </c>
      <c r="AA155" s="168" t="str">
        <f t="shared" si="398"/>
        <v>#REF!</v>
      </c>
      <c r="AB155" s="168" t="str">
        <f t="shared" si="398"/>
        <v>#REF!</v>
      </c>
      <c r="AC155" s="168" t="str">
        <f t="shared" si="398"/>
        <v>#REF!</v>
      </c>
      <c r="AD155" s="168" t="str">
        <f t="shared" si="398"/>
        <v>#REF!</v>
      </c>
      <c r="AE155" s="168" t="str">
        <f t="shared" si="398"/>
        <v>#REF!</v>
      </c>
      <c r="AF155" s="168" t="str">
        <f t="shared" si="398"/>
        <v>#REF!</v>
      </c>
      <c r="AG155" s="168" t="str">
        <f t="shared" si="398"/>
        <v>#REF!</v>
      </c>
      <c r="AH155" s="168" t="str">
        <f t="shared" si="398"/>
        <v>#REF!</v>
      </c>
      <c r="AI155" s="168" t="str">
        <f t="shared" si="398"/>
        <v>#REF!</v>
      </c>
      <c r="AJ155" s="168" t="str">
        <f t="shared" si="398"/>
        <v>#REF!</v>
      </c>
    </row>
    <row r="156" ht="15.75" customHeight="1">
      <c r="A156" s="168" t="str">
        <f t="shared" ref="A156:T156" si="399">if(#REF!=$D$1,#REF!,"")</f>
        <v>#REF!</v>
      </c>
      <c r="B156" s="168" t="str">
        <f t="shared" si="399"/>
        <v>#REF!</v>
      </c>
      <c r="C156" s="168" t="str">
        <f t="shared" si="399"/>
        <v>#REF!</v>
      </c>
      <c r="D156" s="168" t="str">
        <f t="shared" si="399"/>
        <v>#REF!</v>
      </c>
      <c r="E156" s="168" t="str">
        <f t="shared" si="399"/>
        <v>#REF!</v>
      </c>
      <c r="F156" s="168" t="str">
        <f t="shared" si="399"/>
        <v>#REF!</v>
      </c>
      <c r="G156" s="168" t="str">
        <f t="shared" si="399"/>
        <v>#REF!</v>
      </c>
      <c r="H156" s="168" t="str">
        <f t="shared" si="399"/>
        <v>#REF!</v>
      </c>
      <c r="I156" s="168" t="str">
        <f t="shared" si="399"/>
        <v>#REF!</v>
      </c>
      <c r="J156" s="168" t="str">
        <f t="shared" si="399"/>
        <v>#REF!</v>
      </c>
      <c r="K156" s="168" t="str">
        <f t="shared" si="399"/>
        <v>#REF!</v>
      </c>
      <c r="L156" s="168" t="str">
        <f t="shared" si="399"/>
        <v>#REF!</v>
      </c>
      <c r="M156" s="168" t="str">
        <f t="shared" si="399"/>
        <v>#REF!</v>
      </c>
      <c r="N156" s="168" t="str">
        <f t="shared" si="399"/>
        <v>#REF!</v>
      </c>
      <c r="O156" s="168" t="str">
        <f t="shared" si="399"/>
        <v>#REF!</v>
      </c>
      <c r="P156" s="168" t="str">
        <f t="shared" si="399"/>
        <v>#REF!</v>
      </c>
      <c r="Q156" s="168" t="str">
        <f t="shared" si="399"/>
        <v>#REF!</v>
      </c>
      <c r="R156" s="168" t="str">
        <f t="shared" si="399"/>
        <v>#REF!</v>
      </c>
      <c r="S156" s="168" t="str">
        <f t="shared" si="399"/>
        <v>#REF!</v>
      </c>
      <c r="T156" s="168" t="str">
        <f t="shared" si="399"/>
        <v>#REF!</v>
      </c>
      <c r="U156" s="168" t="str">
        <f t="shared" ref="U156:AJ156" si="400">#REF!</f>
        <v>#REF!</v>
      </c>
      <c r="V156" s="168" t="str">
        <f t="shared" si="400"/>
        <v>#REF!</v>
      </c>
      <c r="W156" s="168" t="str">
        <f t="shared" si="400"/>
        <v>#REF!</v>
      </c>
      <c r="X156" s="168" t="str">
        <f t="shared" si="400"/>
        <v>#REF!</v>
      </c>
      <c r="Y156" s="168" t="str">
        <f t="shared" si="400"/>
        <v>#REF!</v>
      </c>
      <c r="Z156" s="168" t="str">
        <f t="shared" si="400"/>
        <v>#REF!</v>
      </c>
      <c r="AA156" s="168" t="str">
        <f t="shared" si="400"/>
        <v>#REF!</v>
      </c>
      <c r="AB156" s="168" t="str">
        <f t="shared" si="400"/>
        <v>#REF!</v>
      </c>
      <c r="AC156" s="168" t="str">
        <f t="shared" si="400"/>
        <v>#REF!</v>
      </c>
      <c r="AD156" s="168" t="str">
        <f t="shared" si="400"/>
        <v>#REF!</v>
      </c>
      <c r="AE156" s="168" t="str">
        <f t="shared" si="400"/>
        <v>#REF!</v>
      </c>
      <c r="AF156" s="168" t="str">
        <f t="shared" si="400"/>
        <v>#REF!</v>
      </c>
      <c r="AG156" s="168" t="str">
        <f t="shared" si="400"/>
        <v>#REF!</v>
      </c>
      <c r="AH156" s="168" t="str">
        <f t="shared" si="400"/>
        <v>#REF!</v>
      </c>
      <c r="AI156" s="168" t="str">
        <f t="shared" si="400"/>
        <v>#REF!</v>
      </c>
      <c r="AJ156" s="168" t="str">
        <f t="shared" si="400"/>
        <v>#REF!</v>
      </c>
    </row>
    <row r="157" ht="15.75" customHeight="1">
      <c r="A157" s="168" t="str">
        <f t="shared" ref="A157:T157" si="401">if(#REF!=$D$1,#REF!,"")</f>
        <v>#REF!</v>
      </c>
      <c r="B157" s="168" t="str">
        <f t="shared" si="401"/>
        <v>#REF!</v>
      </c>
      <c r="C157" s="168" t="str">
        <f t="shared" si="401"/>
        <v>#REF!</v>
      </c>
      <c r="D157" s="168" t="str">
        <f t="shared" si="401"/>
        <v>#REF!</v>
      </c>
      <c r="E157" s="168" t="str">
        <f t="shared" si="401"/>
        <v>#REF!</v>
      </c>
      <c r="F157" s="168" t="str">
        <f t="shared" si="401"/>
        <v>#REF!</v>
      </c>
      <c r="G157" s="168" t="str">
        <f t="shared" si="401"/>
        <v>#REF!</v>
      </c>
      <c r="H157" s="168" t="str">
        <f t="shared" si="401"/>
        <v>#REF!</v>
      </c>
      <c r="I157" s="168" t="str">
        <f t="shared" si="401"/>
        <v>#REF!</v>
      </c>
      <c r="J157" s="168" t="str">
        <f t="shared" si="401"/>
        <v>#REF!</v>
      </c>
      <c r="K157" s="168" t="str">
        <f t="shared" si="401"/>
        <v>#REF!</v>
      </c>
      <c r="L157" s="168" t="str">
        <f t="shared" si="401"/>
        <v>#REF!</v>
      </c>
      <c r="M157" s="168" t="str">
        <f t="shared" si="401"/>
        <v>#REF!</v>
      </c>
      <c r="N157" s="168" t="str">
        <f t="shared" si="401"/>
        <v>#REF!</v>
      </c>
      <c r="O157" s="168" t="str">
        <f t="shared" si="401"/>
        <v>#REF!</v>
      </c>
      <c r="P157" s="168" t="str">
        <f t="shared" si="401"/>
        <v>#REF!</v>
      </c>
      <c r="Q157" s="168" t="str">
        <f t="shared" si="401"/>
        <v>#REF!</v>
      </c>
      <c r="R157" s="168" t="str">
        <f t="shared" si="401"/>
        <v>#REF!</v>
      </c>
      <c r="S157" s="168" t="str">
        <f t="shared" si="401"/>
        <v>#REF!</v>
      </c>
      <c r="T157" s="168" t="str">
        <f t="shared" si="401"/>
        <v>#REF!</v>
      </c>
      <c r="U157" s="168" t="str">
        <f t="shared" ref="U157:AJ157" si="402">#REF!</f>
        <v>#REF!</v>
      </c>
      <c r="V157" s="168" t="str">
        <f t="shared" si="402"/>
        <v>#REF!</v>
      </c>
      <c r="W157" s="168" t="str">
        <f t="shared" si="402"/>
        <v>#REF!</v>
      </c>
      <c r="X157" s="168" t="str">
        <f t="shared" si="402"/>
        <v>#REF!</v>
      </c>
      <c r="Y157" s="168" t="str">
        <f t="shared" si="402"/>
        <v>#REF!</v>
      </c>
      <c r="Z157" s="168" t="str">
        <f t="shared" si="402"/>
        <v>#REF!</v>
      </c>
      <c r="AA157" s="168" t="str">
        <f t="shared" si="402"/>
        <v>#REF!</v>
      </c>
      <c r="AB157" s="168" t="str">
        <f t="shared" si="402"/>
        <v>#REF!</v>
      </c>
      <c r="AC157" s="168" t="str">
        <f t="shared" si="402"/>
        <v>#REF!</v>
      </c>
      <c r="AD157" s="168" t="str">
        <f t="shared" si="402"/>
        <v>#REF!</v>
      </c>
      <c r="AE157" s="168" t="str">
        <f t="shared" si="402"/>
        <v>#REF!</v>
      </c>
      <c r="AF157" s="168" t="str">
        <f t="shared" si="402"/>
        <v>#REF!</v>
      </c>
      <c r="AG157" s="168" t="str">
        <f t="shared" si="402"/>
        <v>#REF!</v>
      </c>
      <c r="AH157" s="168" t="str">
        <f t="shared" si="402"/>
        <v>#REF!</v>
      </c>
      <c r="AI157" s="168" t="str">
        <f t="shared" si="402"/>
        <v>#REF!</v>
      </c>
      <c r="AJ157" s="168" t="str">
        <f t="shared" si="402"/>
        <v>#REF!</v>
      </c>
    </row>
    <row r="158" ht="15.75" customHeight="1">
      <c r="A158" s="168" t="str">
        <f t="shared" ref="A158:T158" si="403">if(#REF!=$D$1,#REF!,"")</f>
        <v>#REF!</v>
      </c>
      <c r="B158" s="168" t="str">
        <f t="shared" si="403"/>
        <v>#REF!</v>
      </c>
      <c r="C158" s="168" t="str">
        <f t="shared" si="403"/>
        <v>#REF!</v>
      </c>
      <c r="D158" s="168" t="str">
        <f t="shared" si="403"/>
        <v>#REF!</v>
      </c>
      <c r="E158" s="168" t="str">
        <f t="shared" si="403"/>
        <v>#REF!</v>
      </c>
      <c r="F158" s="168" t="str">
        <f t="shared" si="403"/>
        <v>#REF!</v>
      </c>
      <c r="G158" s="168" t="str">
        <f t="shared" si="403"/>
        <v>#REF!</v>
      </c>
      <c r="H158" s="168" t="str">
        <f t="shared" si="403"/>
        <v>#REF!</v>
      </c>
      <c r="I158" s="168" t="str">
        <f t="shared" si="403"/>
        <v>#REF!</v>
      </c>
      <c r="J158" s="168" t="str">
        <f t="shared" si="403"/>
        <v>#REF!</v>
      </c>
      <c r="K158" s="168" t="str">
        <f t="shared" si="403"/>
        <v>#REF!</v>
      </c>
      <c r="L158" s="168" t="str">
        <f t="shared" si="403"/>
        <v>#REF!</v>
      </c>
      <c r="M158" s="168" t="str">
        <f t="shared" si="403"/>
        <v>#REF!</v>
      </c>
      <c r="N158" s="168" t="str">
        <f t="shared" si="403"/>
        <v>#REF!</v>
      </c>
      <c r="O158" s="168" t="str">
        <f t="shared" si="403"/>
        <v>#REF!</v>
      </c>
      <c r="P158" s="168" t="str">
        <f t="shared" si="403"/>
        <v>#REF!</v>
      </c>
      <c r="Q158" s="168" t="str">
        <f t="shared" si="403"/>
        <v>#REF!</v>
      </c>
      <c r="R158" s="168" t="str">
        <f t="shared" si="403"/>
        <v>#REF!</v>
      </c>
      <c r="S158" s="168" t="str">
        <f t="shared" si="403"/>
        <v>#REF!</v>
      </c>
      <c r="T158" s="168" t="str">
        <f t="shared" si="403"/>
        <v>#REF!</v>
      </c>
      <c r="U158" s="168" t="str">
        <f t="shared" ref="U158:AJ158" si="404">#REF!</f>
        <v>#REF!</v>
      </c>
      <c r="V158" s="168" t="str">
        <f t="shared" si="404"/>
        <v>#REF!</v>
      </c>
      <c r="W158" s="168" t="str">
        <f t="shared" si="404"/>
        <v>#REF!</v>
      </c>
      <c r="X158" s="168" t="str">
        <f t="shared" si="404"/>
        <v>#REF!</v>
      </c>
      <c r="Y158" s="168" t="str">
        <f t="shared" si="404"/>
        <v>#REF!</v>
      </c>
      <c r="Z158" s="168" t="str">
        <f t="shared" si="404"/>
        <v>#REF!</v>
      </c>
      <c r="AA158" s="168" t="str">
        <f t="shared" si="404"/>
        <v>#REF!</v>
      </c>
      <c r="AB158" s="168" t="str">
        <f t="shared" si="404"/>
        <v>#REF!</v>
      </c>
      <c r="AC158" s="168" t="str">
        <f t="shared" si="404"/>
        <v>#REF!</v>
      </c>
      <c r="AD158" s="168" t="str">
        <f t="shared" si="404"/>
        <v>#REF!</v>
      </c>
      <c r="AE158" s="168" t="str">
        <f t="shared" si="404"/>
        <v>#REF!</v>
      </c>
      <c r="AF158" s="168" t="str">
        <f t="shared" si="404"/>
        <v>#REF!</v>
      </c>
      <c r="AG158" s="168" t="str">
        <f t="shared" si="404"/>
        <v>#REF!</v>
      </c>
      <c r="AH158" s="168" t="str">
        <f t="shared" si="404"/>
        <v>#REF!</v>
      </c>
      <c r="AI158" s="168" t="str">
        <f t="shared" si="404"/>
        <v>#REF!</v>
      </c>
      <c r="AJ158" s="168" t="str">
        <f t="shared" si="404"/>
        <v>#REF!</v>
      </c>
    </row>
    <row r="159" ht="15.75" customHeight="1">
      <c r="A159" s="168" t="str">
        <f t="shared" ref="A159:T159" si="405">if(#REF!=$D$1,#REF!,"")</f>
        <v>#REF!</v>
      </c>
      <c r="B159" s="168" t="str">
        <f t="shared" si="405"/>
        <v>#REF!</v>
      </c>
      <c r="C159" s="168" t="str">
        <f t="shared" si="405"/>
        <v>#REF!</v>
      </c>
      <c r="D159" s="168" t="str">
        <f t="shared" si="405"/>
        <v>#REF!</v>
      </c>
      <c r="E159" s="168" t="str">
        <f t="shared" si="405"/>
        <v>#REF!</v>
      </c>
      <c r="F159" s="168" t="str">
        <f t="shared" si="405"/>
        <v>#REF!</v>
      </c>
      <c r="G159" s="168" t="str">
        <f t="shared" si="405"/>
        <v>#REF!</v>
      </c>
      <c r="H159" s="168" t="str">
        <f t="shared" si="405"/>
        <v>#REF!</v>
      </c>
      <c r="I159" s="168" t="str">
        <f t="shared" si="405"/>
        <v>#REF!</v>
      </c>
      <c r="J159" s="168" t="str">
        <f t="shared" si="405"/>
        <v>#REF!</v>
      </c>
      <c r="K159" s="168" t="str">
        <f t="shared" si="405"/>
        <v>#REF!</v>
      </c>
      <c r="L159" s="168" t="str">
        <f t="shared" si="405"/>
        <v>#REF!</v>
      </c>
      <c r="M159" s="168" t="str">
        <f t="shared" si="405"/>
        <v>#REF!</v>
      </c>
      <c r="N159" s="168" t="str">
        <f t="shared" si="405"/>
        <v>#REF!</v>
      </c>
      <c r="O159" s="168" t="str">
        <f t="shared" si="405"/>
        <v>#REF!</v>
      </c>
      <c r="P159" s="168" t="str">
        <f t="shared" si="405"/>
        <v>#REF!</v>
      </c>
      <c r="Q159" s="168" t="str">
        <f t="shared" si="405"/>
        <v>#REF!</v>
      </c>
      <c r="R159" s="168" t="str">
        <f t="shared" si="405"/>
        <v>#REF!</v>
      </c>
      <c r="S159" s="168" t="str">
        <f t="shared" si="405"/>
        <v>#REF!</v>
      </c>
      <c r="T159" s="168" t="str">
        <f t="shared" si="405"/>
        <v>#REF!</v>
      </c>
      <c r="U159" s="168" t="str">
        <f t="shared" ref="U159:AJ159" si="406">#REF!</f>
        <v>#REF!</v>
      </c>
      <c r="V159" s="168" t="str">
        <f t="shared" si="406"/>
        <v>#REF!</v>
      </c>
      <c r="W159" s="168" t="str">
        <f t="shared" si="406"/>
        <v>#REF!</v>
      </c>
      <c r="X159" s="168" t="str">
        <f t="shared" si="406"/>
        <v>#REF!</v>
      </c>
      <c r="Y159" s="168" t="str">
        <f t="shared" si="406"/>
        <v>#REF!</v>
      </c>
      <c r="Z159" s="168" t="str">
        <f t="shared" si="406"/>
        <v>#REF!</v>
      </c>
      <c r="AA159" s="168" t="str">
        <f t="shared" si="406"/>
        <v>#REF!</v>
      </c>
      <c r="AB159" s="168" t="str">
        <f t="shared" si="406"/>
        <v>#REF!</v>
      </c>
      <c r="AC159" s="168" t="str">
        <f t="shared" si="406"/>
        <v>#REF!</v>
      </c>
      <c r="AD159" s="168" t="str">
        <f t="shared" si="406"/>
        <v>#REF!</v>
      </c>
      <c r="AE159" s="168" t="str">
        <f t="shared" si="406"/>
        <v>#REF!</v>
      </c>
      <c r="AF159" s="168" t="str">
        <f t="shared" si="406"/>
        <v>#REF!</v>
      </c>
      <c r="AG159" s="168" t="str">
        <f t="shared" si="406"/>
        <v>#REF!</v>
      </c>
      <c r="AH159" s="168" t="str">
        <f t="shared" si="406"/>
        <v>#REF!</v>
      </c>
      <c r="AI159" s="168" t="str">
        <f t="shared" si="406"/>
        <v>#REF!</v>
      </c>
      <c r="AJ159" s="168" t="str">
        <f t="shared" si="406"/>
        <v>#REF!</v>
      </c>
    </row>
    <row r="160" ht="15.75" customHeight="1">
      <c r="A160" s="168" t="str">
        <f t="shared" ref="A160:T160" si="407">if(#REF!=$D$1,#REF!,"")</f>
        <v>#REF!</v>
      </c>
      <c r="B160" s="168" t="str">
        <f t="shared" si="407"/>
        <v>#REF!</v>
      </c>
      <c r="C160" s="168" t="str">
        <f t="shared" si="407"/>
        <v>#REF!</v>
      </c>
      <c r="D160" s="168" t="str">
        <f t="shared" si="407"/>
        <v>#REF!</v>
      </c>
      <c r="E160" s="168" t="str">
        <f t="shared" si="407"/>
        <v>#REF!</v>
      </c>
      <c r="F160" s="168" t="str">
        <f t="shared" si="407"/>
        <v>#REF!</v>
      </c>
      <c r="G160" s="168" t="str">
        <f t="shared" si="407"/>
        <v>#REF!</v>
      </c>
      <c r="H160" s="168" t="str">
        <f t="shared" si="407"/>
        <v>#REF!</v>
      </c>
      <c r="I160" s="168" t="str">
        <f t="shared" si="407"/>
        <v>#REF!</v>
      </c>
      <c r="J160" s="168" t="str">
        <f t="shared" si="407"/>
        <v>#REF!</v>
      </c>
      <c r="K160" s="168" t="str">
        <f t="shared" si="407"/>
        <v>#REF!</v>
      </c>
      <c r="L160" s="168" t="str">
        <f t="shared" si="407"/>
        <v>#REF!</v>
      </c>
      <c r="M160" s="168" t="str">
        <f t="shared" si="407"/>
        <v>#REF!</v>
      </c>
      <c r="N160" s="168" t="str">
        <f t="shared" si="407"/>
        <v>#REF!</v>
      </c>
      <c r="O160" s="168" t="str">
        <f t="shared" si="407"/>
        <v>#REF!</v>
      </c>
      <c r="P160" s="168" t="str">
        <f t="shared" si="407"/>
        <v>#REF!</v>
      </c>
      <c r="Q160" s="168" t="str">
        <f t="shared" si="407"/>
        <v>#REF!</v>
      </c>
      <c r="R160" s="168" t="str">
        <f t="shared" si="407"/>
        <v>#REF!</v>
      </c>
      <c r="S160" s="168" t="str">
        <f t="shared" si="407"/>
        <v>#REF!</v>
      </c>
      <c r="T160" s="168" t="str">
        <f t="shared" si="407"/>
        <v>#REF!</v>
      </c>
      <c r="U160" s="168" t="str">
        <f t="shared" ref="U160:AJ160" si="408">#REF!</f>
        <v>#REF!</v>
      </c>
      <c r="V160" s="168" t="str">
        <f t="shared" si="408"/>
        <v>#REF!</v>
      </c>
      <c r="W160" s="168" t="str">
        <f t="shared" si="408"/>
        <v>#REF!</v>
      </c>
      <c r="X160" s="168" t="str">
        <f t="shared" si="408"/>
        <v>#REF!</v>
      </c>
      <c r="Y160" s="168" t="str">
        <f t="shared" si="408"/>
        <v>#REF!</v>
      </c>
      <c r="Z160" s="168" t="str">
        <f t="shared" si="408"/>
        <v>#REF!</v>
      </c>
      <c r="AA160" s="168" t="str">
        <f t="shared" si="408"/>
        <v>#REF!</v>
      </c>
      <c r="AB160" s="168" t="str">
        <f t="shared" si="408"/>
        <v>#REF!</v>
      </c>
      <c r="AC160" s="168" t="str">
        <f t="shared" si="408"/>
        <v>#REF!</v>
      </c>
      <c r="AD160" s="168" t="str">
        <f t="shared" si="408"/>
        <v>#REF!</v>
      </c>
      <c r="AE160" s="168" t="str">
        <f t="shared" si="408"/>
        <v>#REF!</v>
      </c>
      <c r="AF160" s="168" t="str">
        <f t="shared" si="408"/>
        <v>#REF!</v>
      </c>
      <c r="AG160" s="168" t="str">
        <f t="shared" si="408"/>
        <v>#REF!</v>
      </c>
      <c r="AH160" s="168" t="str">
        <f t="shared" si="408"/>
        <v>#REF!</v>
      </c>
      <c r="AI160" s="168" t="str">
        <f t="shared" si="408"/>
        <v>#REF!</v>
      </c>
      <c r="AJ160" s="168" t="str">
        <f t="shared" si="408"/>
        <v>#REF!</v>
      </c>
    </row>
    <row r="161" ht="15.75" customHeight="1">
      <c r="A161" s="168" t="str">
        <f t="shared" ref="A161:T161" si="409">if(#REF!=$D$1,#REF!,"")</f>
        <v>#REF!</v>
      </c>
      <c r="B161" s="168" t="str">
        <f t="shared" si="409"/>
        <v>#REF!</v>
      </c>
      <c r="C161" s="168" t="str">
        <f t="shared" si="409"/>
        <v>#REF!</v>
      </c>
      <c r="D161" s="168" t="str">
        <f t="shared" si="409"/>
        <v>#REF!</v>
      </c>
      <c r="E161" s="168" t="str">
        <f t="shared" si="409"/>
        <v>#REF!</v>
      </c>
      <c r="F161" s="168" t="str">
        <f t="shared" si="409"/>
        <v>#REF!</v>
      </c>
      <c r="G161" s="168" t="str">
        <f t="shared" si="409"/>
        <v>#REF!</v>
      </c>
      <c r="H161" s="168" t="str">
        <f t="shared" si="409"/>
        <v>#REF!</v>
      </c>
      <c r="I161" s="168" t="str">
        <f t="shared" si="409"/>
        <v>#REF!</v>
      </c>
      <c r="J161" s="168" t="str">
        <f t="shared" si="409"/>
        <v>#REF!</v>
      </c>
      <c r="K161" s="168" t="str">
        <f t="shared" si="409"/>
        <v>#REF!</v>
      </c>
      <c r="L161" s="168" t="str">
        <f t="shared" si="409"/>
        <v>#REF!</v>
      </c>
      <c r="M161" s="168" t="str">
        <f t="shared" si="409"/>
        <v>#REF!</v>
      </c>
      <c r="N161" s="168" t="str">
        <f t="shared" si="409"/>
        <v>#REF!</v>
      </c>
      <c r="O161" s="168" t="str">
        <f t="shared" si="409"/>
        <v>#REF!</v>
      </c>
      <c r="P161" s="168" t="str">
        <f t="shared" si="409"/>
        <v>#REF!</v>
      </c>
      <c r="Q161" s="168" t="str">
        <f t="shared" si="409"/>
        <v>#REF!</v>
      </c>
      <c r="R161" s="168" t="str">
        <f t="shared" si="409"/>
        <v>#REF!</v>
      </c>
      <c r="S161" s="168" t="str">
        <f t="shared" si="409"/>
        <v>#REF!</v>
      </c>
      <c r="T161" s="168" t="str">
        <f t="shared" si="409"/>
        <v>#REF!</v>
      </c>
      <c r="U161" s="168" t="str">
        <f t="shared" ref="U161:AJ161" si="410">#REF!</f>
        <v>#REF!</v>
      </c>
      <c r="V161" s="168" t="str">
        <f t="shared" si="410"/>
        <v>#REF!</v>
      </c>
      <c r="W161" s="168" t="str">
        <f t="shared" si="410"/>
        <v>#REF!</v>
      </c>
      <c r="X161" s="168" t="str">
        <f t="shared" si="410"/>
        <v>#REF!</v>
      </c>
      <c r="Y161" s="168" t="str">
        <f t="shared" si="410"/>
        <v>#REF!</v>
      </c>
      <c r="Z161" s="168" t="str">
        <f t="shared" si="410"/>
        <v>#REF!</v>
      </c>
      <c r="AA161" s="168" t="str">
        <f t="shared" si="410"/>
        <v>#REF!</v>
      </c>
      <c r="AB161" s="168" t="str">
        <f t="shared" si="410"/>
        <v>#REF!</v>
      </c>
      <c r="AC161" s="168" t="str">
        <f t="shared" si="410"/>
        <v>#REF!</v>
      </c>
      <c r="AD161" s="168" t="str">
        <f t="shared" si="410"/>
        <v>#REF!</v>
      </c>
      <c r="AE161" s="168" t="str">
        <f t="shared" si="410"/>
        <v>#REF!</v>
      </c>
      <c r="AF161" s="168" t="str">
        <f t="shared" si="410"/>
        <v>#REF!</v>
      </c>
      <c r="AG161" s="168" t="str">
        <f t="shared" si="410"/>
        <v>#REF!</v>
      </c>
      <c r="AH161" s="168" t="str">
        <f t="shared" si="410"/>
        <v>#REF!</v>
      </c>
      <c r="AI161" s="168" t="str">
        <f t="shared" si="410"/>
        <v>#REF!</v>
      </c>
      <c r="AJ161" s="168" t="str">
        <f t="shared" si="410"/>
        <v>#REF!</v>
      </c>
    </row>
    <row r="162" ht="15.75" customHeight="1">
      <c r="A162" s="168" t="str">
        <f t="shared" ref="A162:T162" si="411">if(#REF!=$D$1,#REF!,"")</f>
        <v>#REF!</v>
      </c>
      <c r="B162" s="168" t="str">
        <f t="shared" si="411"/>
        <v>#REF!</v>
      </c>
      <c r="C162" s="168" t="str">
        <f t="shared" si="411"/>
        <v>#REF!</v>
      </c>
      <c r="D162" s="168" t="str">
        <f t="shared" si="411"/>
        <v>#REF!</v>
      </c>
      <c r="E162" s="168" t="str">
        <f t="shared" si="411"/>
        <v>#REF!</v>
      </c>
      <c r="F162" s="168" t="str">
        <f t="shared" si="411"/>
        <v>#REF!</v>
      </c>
      <c r="G162" s="168" t="str">
        <f t="shared" si="411"/>
        <v>#REF!</v>
      </c>
      <c r="H162" s="168" t="str">
        <f t="shared" si="411"/>
        <v>#REF!</v>
      </c>
      <c r="I162" s="168" t="str">
        <f t="shared" si="411"/>
        <v>#REF!</v>
      </c>
      <c r="J162" s="168" t="str">
        <f t="shared" si="411"/>
        <v>#REF!</v>
      </c>
      <c r="K162" s="168" t="str">
        <f t="shared" si="411"/>
        <v>#REF!</v>
      </c>
      <c r="L162" s="168" t="str">
        <f t="shared" si="411"/>
        <v>#REF!</v>
      </c>
      <c r="M162" s="168" t="str">
        <f t="shared" si="411"/>
        <v>#REF!</v>
      </c>
      <c r="N162" s="168" t="str">
        <f t="shared" si="411"/>
        <v>#REF!</v>
      </c>
      <c r="O162" s="168" t="str">
        <f t="shared" si="411"/>
        <v>#REF!</v>
      </c>
      <c r="P162" s="168" t="str">
        <f t="shared" si="411"/>
        <v>#REF!</v>
      </c>
      <c r="Q162" s="168" t="str">
        <f t="shared" si="411"/>
        <v>#REF!</v>
      </c>
      <c r="R162" s="168" t="str">
        <f t="shared" si="411"/>
        <v>#REF!</v>
      </c>
      <c r="S162" s="168" t="str">
        <f t="shared" si="411"/>
        <v>#REF!</v>
      </c>
      <c r="T162" s="168" t="str">
        <f t="shared" si="411"/>
        <v>#REF!</v>
      </c>
      <c r="U162" s="168" t="str">
        <f t="shared" ref="U162:AJ162" si="412">#REF!</f>
        <v>#REF!</v>
      </c>
      <c r="V162" s="168" t="str">
        <f t="shared" si="412"/>
        <v>#REF!</v>
      </c>
      <c r="W162" s="168" t="str">
        <f t="shared" si="412"/>
        <v>#REF!</v>
      </c>
      <c r="X162" s="168" t="str">
        <f t="shared" si="412"/>
        <v>#REF!</v>
      </c>
      <c r="Y162" s="168" t="str">
        <f t="shared" si="412"/>
        <v>#REF!</v>
      </c>
      <c r="Z162" s="168" t="str">
        <f t="shared" si="412"/>
        <v>#REF!</v>
      </c>
      <c r="AA162" s="168" t="str">
        <f t="shared" si="412"/>
        <v>#REF!</v>
      </c>
      <c r="AB162" s="168" t="str">
        <f t="shared" si="412"/>
        <v>#REF!</v>
      </c>
      <c r="AC162" s="168" t="str">
        <f t="shared" si="412"/>
        <v>#REF!</v>
      </c>
      <c r="AD162" s="168" t="str">
        <f t="shared" si="412"/>
        <v>#REF!</v>
      </c>
      <c r="AE162" s="168" t="str">
        <f t="shared" si="412"/>
        <v>#REF!</v>
      </c>
      <c r="AF162" s="168" t="str">
        <f t="shared" si="412"/>
        <v>#REF!</v>
      </c>
      <c r="AG162" s="168" t="str">
        <f t="shared" si="412"/>
        <v>#REF!</v>
      </c>
      <c r="AH162" s="168" t="str">
        <f t="shared" si="412"/>
        <v>#REF!</v>
      </c>
      <c r="AI162" s="168" t="str">
        <f t="shared" si="412"/>
        <v>#REF!</v>
      </c>
      <c r="AJ162" s="168" t="str">
        <f t="shared" si="412"/>
        <v>#REF!</v>
      </c>
    </row>
    <row r="163" ht="15.75" customHeight="1">
      <c r="A163" s="168" t="str">
        <f t="shared" ref="A163:T163" si="413">if(#REF!=$D$1,#REF!,"")</f>
        <v>#REF!</v>
      </c>
      <c r="B163" s="168" t="str">
        <f t="shared" si="413"/>
        <v>#REF!</v>
      </c>
      <c r="C163" s="168" t="str">
        <f t="shared" si="413"/>
        <v>#REF!</v>
      </c>
      <c r="D163" s="168" t="str">
        <f t="shared" si="413"/>
        <v>#REF!</v>
      </c>
      <c r="E163" s="168" t="str">
        <f t="shared" si="413"/>
        <v>#REF!</v>
      </c>
      <c r="F163" s="168" t="str">
        <f t="shared" si="413"/>
        <v>#REF!</v>
      </c>
      <c r="G163" s="168" t="str">
        <f t="shared" si="413"/>
        <v>#REF!</v>
      </c>
      <c r="H163" s="168" t="str">
        <f t="shared" si="413"/>
        <v>#REF!</v>
      </c>
      <c r="I163" s="168" t="str">
        <f t="shared" si="413"/>
        <v>#REF!</v>
      </c>
      <c r="J163" s="168" t="str">
        <f t="shared" si="413"/>
        <v>#REF!</v>
      </c>
      <c r="K163" s="168" t="str">
        <f t="shared" si="413"/>
        <v>#REF!</v>
      </c>
      <c r="L163" s="168" t="str">
        <f t="shared" si="413"/>
        <v>#REF!</v>
      </c>
      <c r="M163" s="168" t="str">
        <f t="shared" si="413"/>
        <v>#REF!</v>
      </c>
      <c r="N163" s="168" t="str">
        <f t="shared" si="413"/>
        <v>#REF!</v>
      </c>
      <c r="O163" s="168" t="str">
        <f t="shared" si="413"/>
        <v>#REF!</v>
      </c>
      <c r="P163" s="168" t="str">
        <f t="shared" si="413"/>
        <v>#REF!</v>
      </c>
      <c r="Q163" s="168" t="str">
        <f t="shared" si="413"/>
        <v>#REF!</v>
      </c>
      <c r="R163" s="168" t="str">
        <f t="shared" si="413"/>
        <v>#REF!</v>
      </c>
      <c r="S163" s="168" t="str">
        <f t="shared" si="413"/>
        <v>#REF!</v>
      </c>
      <c r="T163" s="168" t="str">
        <f t="shared" si="413"/>
        <v>#REF!</v>
      </c>
      <c r="U163" s="168" t="str">
        <f t="shared" ref="U163:AJ163" si="414">#REF!</f>
        <v>#REF!</v>
      </c>
      <c r="V163" s="168" t="str">
        <f t="shared" si="414"/>
        <v>#REF!</v>
      </c>
      <c r="W163" s="168" t="str">
        <f t="shared" si="414"/>
        <v>#REF!</v>
      </c>
      <c r="X163" s="168" t="str">
        <f t="shared" si="414"/>
        <v>#REF!</v>
      </c>
      <c r="Y163" s="168" t="str">
        <f t="shared" si="414"/>
        <v>#REF!</v>
      </c>
      <c r="Z163" s="168" t="str">
        <f t="shared" si="414"/>
        <v>#REF!</v>
      </c>
      <c r="AA163" s="168" t="str">
        <f t="shared" si="414"/>
        <v>#REF!</v>
      </c>
      <c r="AB163" s="168" t="str">
        <f t="shared" si="414"/>
        <v>#REF!</v>
      </c>
      <c r="AC163" s="168" t="str">
        <f t="shared" si="414"/>
        <v>#REF!</v>
      </c>
      <c r="AD163" s="168" t="str">
        <f t="shared" si="414"/>
        <v>#REF!</v>
      </c>
      <c r="AE163" s="168" t="str">
        <f t="shared" si="414"/>
        <v>#REF!</v>
      </c>
      <c r="AF163" s="168" t="str">
        <f t="shared" si="414"/>
        <v>#REF!</v>
      </c>
      <c r="AG163" s="168" t="str">
        <f t="shared" si="414"/>
        <v>#REF!</v>
      </c>
      <c r="AH163" s="168" t="str">
        <f t="shared" si="414"/>
        <v>#REF!</v>
      </c>
      <c r="AI163" s="168" t="str">
        <f t="shared" si="414"/>
        <v>#REF!</v>
      </c>
      <c r="AJ163" s="168" t="str">
        <f t="shared" si="414"/>
        <v>#REF!</v>
      </c>
    </row>
    <row r="164" ht="15.75" customHeight="1">
      <c r="A164" s="168" t="str">
        <f t="shared" ref="A164:T164" si="415">if(#REF!=$D$1,#REF!,"")</f>
        <v>#REF!</v>
      </c>
      <c r="B164" s="168" t="str">
        <f t="shared" si="415"/>
        <v>#REF!</v>
      </c>
      <c r="C164" s="168" t="str">
        <f t="shared" si="415"/>
        <v>#REF!</v>
      </c>
      <c r="D164" s="168" t="str">
        <f t="shared" si="415"/>
        <v>#REF!</v>
      </c>
      <c r="E164" s="168" t="str">
        <f t="shared" si="415"/>
        <v>#REF!</v>
      </c>
      <c r="F164" s="168" t="str">
        <f t="shared" si="415"/>
        <v>#REF!</v>
      </c>
      <c r="G164" s="168" t="str">
        <f t="shared" si="415"/>
        <v>#REF!</v>
      </c>
      <c r="H164" s="168" t="str">
        <f t="shared" si="415"/>
        <v>#REF!</v>
      </c>
      <c r="I164" s="168" t="str">
        <f t="shared" si="415"/>
        <v>#REF!</v>
      </c>
      <c r="J164" s="168" t="str">
        <f t="shared" si="415"/>
        <v>#REF!</v>
      </c>
      <c r="K164" s="168" t="str">
        <f t="shared" si="415"/>
        <v>#REF!</v>
      </c>
      <c r="L164" s="168" t="str">
        <f t="shared" si="415"/>
        <v>#REF!</v>
      </c>
      <c r="M164" s="168" t="str">
        <f t="shared" si="415"/>
        <v>#REF!</v>
      </c>
      <c r="N164" s="168" t="str">
        <f t="shared" si="415"/>
        <v>#REF!</v>
      </c>
      <c r="O164" s="168" t="str">
        <f t="shared" si="415"/>
        <v>#REF!</v>
      </c>
      <c r="P164" s="168" t="str">
        <f t="shared" si="415"/>
        <v>#REF!</v>
      </c>
      <c r="Q164" s="168" t="str">
        <f t="shared" si="415"/>
        <v>#REF!</v>
      </c>
      <c r="R164" s="168" t="str">
        <f t="shared" si="415"/>
        <v>#REF!</v>
      </c>
      <c r="S164" s="168" t="str">
        <f t="shared" si="415"/>
        <v>#REF!</v>
      </c>
      <c r="T164" s="168" t="str">
        <f t="shared" si="415"/>
        <v>#REF!</v>
      </c>
      <c r="U164" s="168" t="str">
        <f t="shared" ref="U164:AJ164" si="416">#REF!</f>
        <v>#REF!</v>
      </c>
      <c r="V164" s="168" t="str">
        <f t="shared" si="416"/>
        <v>#REF!</v>
      </c>
      <c r="W164" s="168" t="str">
        <f t="shared" si="416"/>
        <v>#REF!</v>
      </c>
      <c r="X164" s="168" t="str">
        <f t="shared" si="416"/>
        <v>#REF!</v>
      </c>
      <c r="Y164" s="168" t="str">
        <f t="shared" si="416"/>
        <v>#REF!</v>
      </c>
      <c r="Z164" s="168" t="str">
        <f t="shared" si="416"/>
        <v>#REF!</v>
      </c>
      <c r="AA164" s="168" t="str">
        <f t="shared" si="416"/>
        <v>#REF!</v>
      </c>
      <c r="AB164" s="168" t="str">
        <f t="shared" si="416"/>
        <v>#REF!</v>
      </c>
      <c r="AC164" s="168" t="str">
        <f t="shared" si="416"/>
        <v>#REF!</v>
      </c>
      <c r="AD164" s="168" t="str">
        <f t="shared" si="416"/>
        <v>#REF!</v>
      </c>
      <c r="AE164" s="168" t="str">
        <f t="shared" si="416"/>
        <v>#REF!</v>
      </c>
      <c r="AF164" s="168" t="str">
        <f t="shared" si="416"/>
        <v>#REF!</v>
      </c>
      <c r="AG164" s="168" t="str">
        <f t="shared" si="416"/>
        <v>#REF!</v>
      </c>
      <c r="AH164" s="168" t="str">
        <f t="shared" si="416"/>
        <v>#REF!</v>
      </c>
      <c r="AI164" s="168" t="str">
        <f t="shared" si="416"/>
        <v>#REF!</v>
      </c>
      <c r="AJ164" s="168" t="str">
        <f t="shared" si="416"/>
        <v>#REF!</v>
      </c>
    </row>
    <row r="165" ht="15.75" customHeight="1">
      <c r="A165" s="168" t="str">
        <f t="shared" ref="A165:T165" si="417">if(#REF!=$D$1,#REF!,"")</f>
        <v>#REF!</v>
      </c>
      <c r="B165" s="168" t="str">
        <f t="shared" si="417"/>
        <v>#REF!</v>
      </c>
      <c r="C165" s="168" t="str">
        <f t="shared" si="417"/>
        <v>#REF!</v>
      </c>
      <c r="D165" s="168" t="str">
        <f t="shared" si="417"/>
        <v>#REF!</v>
      </c>
      <c r="E165" s="168" t="str">
        <f t="shared" si="417"/>
        <v>#REF!</v>
      </c>
      <c r="F165" s="168" t="str">
        <f t="shared" si="417"/>
        <v>#REF!</v>
      </c>
      <c r="G165" s="168" t="str">
        <f t="shared" si="417"/>
        <v>#REF!</v>
      </c>
      <c r="H165" s="168" t="str">
        <f t="shared" si="417"/>
        <v>#REF!</v>
      </c>
      <c r="I165" s="168" t="str">
        <f t="shared" si="417"/>
        <v>#REF!</v>
      </c>
      <c r="J165" s="168" t="str">
        <f t="shared" si="417"/>
        <v>#REF!</v>
      </c>
      <c r="K165" s="168" t="str">
        <f t="shared" si="417"/>
        <v>#REF!</v>
      </c>
      <c r="L165" s="168" t="str">
        <f t="shared" si="417"/>
        <v>#REF!</v>
      </c>
      <c r="M165" s="168" t="str">
        <f t="shared" si="417"/>
        <v>#REF!</v>
      </c>
      <c r="N165" s="168" t="str">
        <f t="shared" si="417"/>
        <v>#REF!</v>
      </c>
      <c r="O165" s="168" t="str">
        <f t="shared" si="417"/>
        <v>#REF!</v>
      </c>
      <c r="P165" s="168" t="str">
        <f t="shared" si="417"/>
        <v>#REF!</v>
      </c>
      <c r="Q165" s="168" t="str">
        <f t="shared" si="417"/>
        <v>#REF!</v>
      </c>
      <c r="R165" s="168" t="str">
        <f t="shared" si="417"/>
        <v>#REF!</v>
      </c>
      <c r="S165" s="168" t="str">
        <f t="shared" si="417"/>
        <v>#REF!</v>
      </c>
      <c r="T165" s="168" t="str">
        <f t="shared" si="417"/>
        <v>#REF!</v>
      </c>
      <c r="U165" s="168" t="str">
        <f t="shared" ref="U165:AJ165" si="418">#REF!</f>
        <v>#REF!</v>
      </c>
      <c r="V165" s="168" t="str">
        <f t="shared" si="418"/>
        <v>#REF!</v>
      </c>
      <c r="W165" s="168" t="str">
        <f t="shared" si="418"/>
        <v>#REF!</v>
      </c>
      <c r="X165" s="168" t="str">
        <f t="shared" si="418"/>
        <v>#REF!</v>
      </c>
      <c r="Y165" s="168" t="str">
        <f t="shared" si="418"/>
        <v>#REF!</v>
      </c>
      <c r="Z165" s="168" t="str">
        <f t="shared" si="418"/>
        <v>#REF!</v>
      </c>
      <c r="AA165" s="168" t="str">
        <f t="shared" si="418"/>
        <v>#REF!</v>
      </c>
      <c r="AB165" s="168" t="str">
        <f t="shared" si="418"/>
        <v>#REF!</v>
      </c>
      <c r="AC165" s="168" t="str">
        <f t="shared" si="418"/>
        <v>#REF!</v>
      </c>
      <c r="AD165" s="168" t="str">
        <f t="shared" si="418"/>
        <v>#REF!</v>
      </c>
      <c r="AE165" s="168" t="str">
        <f t="shared" si="418"/>
        <v>#REF!</v>
      </c>
      <c r="AF165" s="168" t="str">
        <f t="shared" si="418"/>
        <v>#REF!</v>
      </c>
      <c r="AG165" s="168" t="str">
        <f t="shared" si="418"/>
        <v>#REF!</v>
      </c>
      <c r="AH165" s="168" t="str">
        <f t="shared" si="418"/>
        <v>#REF!</v>
      </c>
      <c r="AI165" s="168" t="str">
        <f t="shared" si="418"/>
        <v>#REF!</v>
      </c>
      <c r="AJ165" s="168" t="str">
        <f t="shared" si="418"/>
        <v>#REF!</v>
      </c>
    </row>
    <row r="166" ht="15.75" customHeight="1">
      <c r="A166" s="168" t="str">
        <f t="shared" ref="A166:T166" si="419">if(#REF!=$D$1,#REF!,"")</f>
        <v>#REF!</v>
      </c>
      <c r="B166" s="168" t="str">
        <f t="shared" si="419"/>
        <v>#REF!</v>
      </c>
      <c r="C166" s="168" t="str">
        <f t="shared" si="419"/>
        <v>#REF!</v>
      </c>
      <c r="D166" s="168" t="str">
        <f t="shared" si="419"/>
        <v>#REF!</v>
      </c>
      <c r="E166" s="168" t="str">
        <f t="shared" si="419"/>
        <v>#REF!</v>
      </c>
      <c r="F166" s="168" t="str">
        <f t="shared" si="419"/>
        <v>#REF!</v>
      </c>
      <c r="G166" s="168" t="str">
        <f t="shared" si="419"/>
        <v>#REF!</v>
      </c>
      <c r="H166" s="168" t="str">
        <f t="shared" si="419"/>
        <v>#REF!</v>
      </c>
      <c r="I166" s="168" t="str">
        <f t="shared" si="419"/>
        <v>#REF!</v>
      </c>
      <c r="J166" s="168" t="str">
        <f t="shared" si="419"/>
        <v>#REF!</v>
      </c>
      <c r="K166" s="168" t="str">
        <f t="shared" si="419"/>
        <v>#REF!</v>
      </c>
      <c r="L166" s="168" t="str">
        <f t="shared" si="419"/>
        <v>#REF!</v>
      </c>
      <c r="M166" s="168" t="str">
        <f t="shared" si="419"/>
        <v>#REF!</v>
      </c>
      <c r="N166" s="168" t="str">
        <f t="shared" si="419"/>
        <v>#REF!</v>
      </c>
      <c r="O166" s="168" t="str">
        <f t="shared" si="419"/>
        <v>#REF!</v>
      </c>
      <c r="P166" s="168" t="str">
        <f t="shared" si="419"/>
        <v>#REF!</v>
      </c>
      <c r="Q166" s="168" t="str">
        <f t="shared" si="419"/>
        <v>#REF!</v>
      </c>
      <c r="R166" s="168" t="str">
        <f t="shared" si="419"/>
        <v>#REF!</v>
      </c>
      <c r="S166" s="168" t="str">
        <f t="shared" si="419"/>
        <v>#REF!</v>
      </c>
      <c r="T166" s="168" t="str">
        <f t="shared" si="419"/>
        <v>#REF!</v>
      </c>
      <c r="U166" s="168" t="str">
        <f t="shared" ref="U166:AJ166" si="420">#REF!</f>
        <v>#REF!</v>
      </c>
      <c r="V166" s="168" t="str">
        <f t="shared" si="420"/>
        <v>#REF!</v>
      </c>
      <c r="W166" s="168" t="str">
        <f t="shared" si="420"/>
        <v>#REF!</v>
      </c>
      <c r="X166" s="168" t="str">
        <f t="shared" si="420"/>
        <v>#REF!</v>
      </c>
      <c r="Y166" s="168" t="str">
        <f t="shared" si="420"/>
        <v>#REF!</v>
      </c>
      <c r="Z166" s="168" t="str">
        <f t="shared" si="420"/>
        <v>#REF!</v>
      </c>
      <c r="AA166" s="168" t="str">
        <f t="shared" si="420"/>
        <v>#REF!</v>
      </c>
      <c r="AB166" s="168" t="str">
        <f t="shared" si="420"/>
        <v>#REF!</v>
      </c>
      <c r="AC166" s="168" t="str">
        <f t="shared" si="420"/>
        <v>#REF!</v>
      </c>
      <c r="AD166" s="168" t="str">
        <f t="shared" si="420"/>
        <v>#REF!</v>
      </c>
      <c r="AE166" s="168" t="str">
        <f t="shared" si="420"/>
        <v>#REF!</v>
      </c>
      <c r="AF166" s="168" t="str">
        <f t="shared" si="420"/>
        <v>#REF!</v>
      </c>
      <c r="AG166" s="168" t="str">
        <f t="shared" si="420"/>
        <v>#REF!</v>
      </c>
      <c r="AH166" s="168" t="str">
        <f t="shared" si="420"/>
        <v>#REF!</v>
      </c>
      <c r="AI166" s="168" t="str">
        <f t="shared" si="420"/>
        <v>#REF!</v>
      </c>
      <c r="AJ166" s="168" t="str">
        <f t="shared" si="420"/>
        <v>#REF!</v>
      </c>
    </row>
    <row r="167" ht="15.75" customHeight="1">
      <c r="A167" s="168" t="str">
        <f t="shared" ref="A167:T167" si="421">if(#REF!=$D$1,#REF!,"")</f>
        <v>#REF!</v>
      </c>
      <c r="B167" s="168" t="str">
        <f t="shared" si="421"/>
        <v>#REF!</v>
      </c>
      <c r="C167" s="168" t="str">
        <f t="shared" si="421"/>
        <v>#REF!</v>
      </c>
      <c r="D167" s="168" t="str">
        <f t="shared" si="421"/>
        <v>#REF!</v>
      </c>
      <c r="E167" s="168" t="str">
        <f t="shared" si="421"/>
        <v>#REF!</v>
      </c>
      <c r="F167" s="168" t="str">
        <f t="shared" si="421"/>
        <v>#REF!</v>
      </c>
      <c r="G167" s="168" t="str">
        <f t="shared" si="421"/>
        <v>#REF!</v>
      </c>
      <c r="H167" s="168" t="str">
        <f t="shared" si="421"/>
        <v>#REF!</v>
      </c>
      <c r="I167" s="168" t="str">
        <f t="shared" si="421"/>
        <v>#REF!</v>
      </c>
      <c r="J167" s="168" t="str">
        <f t="shared" si="421"/>
        <v>#REF!</v>
      </c>
      <c r="K167" s="168" t="str">
        <f t="shared" si="421"/>
        <v>#REF!</v>
      </c>
      <c r="L167" s="168" t="str">
        <f t="shared" si="421"/>
        <v>#REF!</v>
      </c>
      <c r="M167" s="168" t="str">
        <f t="shared" si="421"/>
        <v>#REF!</v>
      </c>
      <c r="N167" s="168" t="str">
        <f t="shared" si="421"/>
        <v>#REF!</v>
      </c>
      <c r="O167" s="168" t="str">
        <f t="shared" si="421"/>
        <v>#REF!</v>
      </c>
      <c r="P167" s="168" t="str">
        <f t="shared" si="421"/>
        <v>#REF!</v>
      </c>
      <c r="Q167" s="168" t="str">
        <f t="shared" si="421"/>
        <v>#REF!</v>
      </c>
      <c r="R167" s="168" t="str">
        <f t="shared" si="421"/>
        <v>#REF!</v>
      </c>
      <c r="S167" s="168" t="str">
        <f t="shared" si="421"/>
        <v>#REF!</v>
      </c>
      <c r="T167" s="168" t="str">
        <f t="shared" si="421"/>
        <v>#REF!</v>
      </c>
      <c r="U167" s="168" t="str">
        <f t="shared" ref="U167:AJ167" si="422">#REF!</f>
        <v>#REF!</v>
      </c>
      <c r="V167" s="168" t="str">
        <f t="shared" si="422"/>
        <v>#REF!</v>
      </c>
      <c r="W167" s="168" t="str">
        <f t="shared" si="422"/>
        <v>#REF!</v>
      </c>
      <c r="X167" s="168" t="str">
        <f t="shared" si="422"/>
        <v>#REF!</v>
      </c>
      <c r="Y167" s="168" t="str">
        <f t="shared" si="422"/>
        <v>#REF!</v>
      </c>
      <c r="Z167" s="168" t="str">
        <f t="shared" si="422"/>
        <v>#REF!</v>
      </c>
      <c r="AA167" s="168" t="str">
        <f t="shared" si="422"/>
        <v>#REF!</v>
      </c>
      <c r="AB167" s="168" t="str">
        <f t="shared" si="422"/>
        <v>#REF!</v>
      </c>
      <c r="AC167" s="168" t="str">
        <f t="shared" si="422"/>
        <v>#REF!</v>
      </c>
      <c r="AD167" s="168" t="str">
        <f t="shared" si="422"/>
        <v>#REF!</v>
      </c>
      <c r="AE167" s="168" t="str">
        <f t="shared" si="422"/>
        <v>#REF!</v>
      </c>
      <c r="AF167" s="168" t="str">
        <f t="shared" si="422"/>
        <v>#REF!</v>
      </c>
      <c r="AG167" s="168" t="str">
        <f t="shared" si="422"/>
        <v>#REF!</v>
      </c>
      <c r="AH167" s="168" t="str">
        <f t="shared" si="422"/>
        <v>#REF!</v>
      </c>
      <c r="AI167" s="168" t="str">
        <f t="shared" si="422"/>
        <v>#REF!</v>
      </c>
      <c r="AJ167" s="168" t="str">
        <f t="shared" si="422"/>
        <v>#REF!</v>
      </c>
    </row>
    <row r="168" ht="15.75" customHeight="1">
      <c r="A168" s="168" t="str">
        <f t="shared" ref="A168:T168" si="423">if(#REF!=$D$1,#REF!,"")</f>
        <v>#REF!</v>
      </c>
      <c r="B168" s="168" t="str">
        <f t="shared" si="423"/>
        <v>#REF!</v>
      </c>
      <c r="C168" s="168" t="str">
        <f t="shared" si="423"/>
        <v>#REF!</v>
      </c>
      <c r="D168" s="168" t="str">
        <f t="shared" si="423"/>
        <v>#REF!</v>
      </c>
      <c r="E168" s="168" t="str">
        <f t="shared" si="423"/>
        <v>#REF!</v>
      </c>
      <c r="F168" s="168" t="str">
        <f t="shared" si="423"/>
        <v>#REF!</v>
      </c>
      <c r="G168" s="168" t="str">
        <f t="shared" si="423"/>
        <v>#REF!</v>
      </c>
      <c r="H168" s="168" t="str">
        <f t="shared" si="423"/>
        <v>#REF!</v>
      </c>
      <c r="I168" s="168" t="str">
        <f t="shared" si="423"/>
        <v>#REF!</v>
      </c>
      <c r="J168" s="168" t="str">
        <f t="shared" si="423"/>
        <v>#REF!</v>
      </c>
      <c r="K168" s="168" t="str">
        <f t="shared" si="423"/>
        <v>#REF!</v>
      </c>
      <c r="L168" s="168" t="str">
        <f t="shared" si="423"/>
        <v>#REF!</v>
      </c>
      <c r="M168" s="168" t="str">
        <f t="shared" si="423"/>
        <v>#REF!</v>
      </c>
      <c r="N168" s="168" t="str">
        <f t="shared" si="423"/>
        <v>#REF!</v>
      </c>
      <c r="O168" s="168" t="str">
        <f t="shared" si="423"/>
        <v>#REF!</v>
      </c>
      <c r="P168" s="168" t="str">
        <f t="shared" si="423"/>
        <v>#REF!</v>
      </c>
      <c r="Q168" s="168" t="str">
        <f t="shared" si="423"/>
        <v>#REF!</v>
      </c>
      <c r="R168" s="168" t="str">
        <f t="shared" si="423"/>
        <v>#REF!</v>
      </c>
      <c r="S168" s="168" t="str">
        <f t="shared" si="423"/>
        <v>#REF!</v>
      </c>
      <c r="T168" s="168" t="str">
        <f t="shared" si="423"/>
        <v>#REF!</v>
      </c>
      <c r="U168" s="168" t="str">
        <f t="shared" ref="U168:AJ168" si="424">#REF!</f>
        <v>#REF!</v>
      </c>
      <c r="V168" s="168" t="str">
        <f t="shared" si="424"/>
        <v>#REF!</v>
      </c>
      <c r="W168" s="168" t="str">
        <f t="shared" si="424"/>
        <v>#REF!</v>
      </c>
      <c r="X168" s="168" t="str">
        <f t="shared" si="424"/>
        <v>#REF!</v>
      </c>
      <c r="Y168" s="168" t="str">
        <f t="shared" si="424"/>
        <v>#REF!</v>
      </c>
      <c r="Z168" s="168" t="str">
        <f t="shared" si="424"/>
        <v>#REF!</v>
      </c>
      <c r="AA168" s="168" t="str">
        <f t="shared" si="424"/>
        <v>#REF!</v>
      </c>
      <c r="AB168" s="168" t="str">
        <f t="shared" si="424"/>
        <v>#REF!</v>
      </c>
      <c r="AC168" s="168" t="str">
        <f t="shared" si="424"/>
        <v>#REF!</v>
      </c>
      <c r="AD168" s="168" t="str">
        <f t="shared" si="424"/>
        <v>#REF!</v>
      </c>
      <c r="AE168" s="168" t="str">
        <f t="shared" si="424"/>
        <v>#REF!</v>
      </c>
      <c r="AF168" s="168" t="str">
        <f t="shared" si="424"/>
        <v>#REF!</v>
      </c>
      <c r="AG168" s="168" t="str">
        <f t="shared" si="424"/>
        <v>#REF!</v>
      </c>
      <c r="AH168" s="168" t="str">
        <f t="shared" si="424"/>
        <v>#REF!</v>
      </c>
      <c r="AI168" s="168" t="str">
        <f t="shared" si="424"/>
        <v>#REF!</v>
      </c>
      <c r="AJ168" s="168" t="str">
        <f t="shared" si="424"/>
        <v>#REF!</v>
      </c>
    </row>
    <row r="169" ht="15.75" customHeight="1">
      <c r="A169" s="168" t="str">
        <f t="shared" ref="A169:T169" si="425">if(#REF!=$D$1,#REF!,"")</f>
        <v>#REF!</v>
      </c>
      <c r="B169" s="168" t="str">
        <f t="shared" si="425"/>
        <v>#REF!</v>
      </c>
      <c r="C169" s="168" t="str">
        <f t="shared" si="425"/>
        <v>#REF!</v>
      </c>
      <c r="D169" s="168" t="str">
        <f t="shared" si="425"/>
        <v>#REF!</v>
      </c>
      <c r="E169" s="168" t="str">
        <f t="shared" si="425"/>
        <v>#REF!</v>
      </c>
      <c r="F169" s="168" t="str">
        <f t="shared" si="425"/>
        <v>#REF!</v>
      </c>
      <c r="G169" s="168" t="str">
        <f t="shared" si="425"/>
        <v>#REF!</v>
      </c>
      <c r="H169" s="168" t="str">
        <f t="shared" si="425"/>
        <v>#REF!</v>
      </c>
      <c r="I169" s="168" t="str">
        <f t="shared" si="425"/>
        <v>#REF!</v>
      </c>
      <c r="J169" s="168" t="str">
        <f t="shared" si="425"/>
        <v>#REF!</v>
      </c>
      <c r="K169" s="168" t="str">
        <f t="shared" si="425"/>
        <v>#REF!</v>
      </c>
      <c r="L169" s="168" t="str">
        <f t="shared" si="425"/>
        <v>#REF!</v>
      </c>
      <c r="M169" s="168" t="str">
        <f t="shared" si="425"/>
        <v>#REF!</v>
      </c>
      <c r="N169" s="168" t="str">
        <f t="shared" si="425"/>
        <v>#REF!</v>
      </c>
      <c r="O169" s="168" t="str">
        <f t="shared" si="425"/>
        <v>#REF!</v>
      </c>
      <c r="P169" s="168" t="str">
        <f t="shared" si="425"/>
        <v>#REF!</v>
      </c>
      <c r="Q169" s="168" t="str">
        <f t="shared" si="425"/>
        <v>#REF!</v>
      </c>
      <c r="R169" s="168" t="str">
        <f t="shared" si="425"/>
        <v>#REF!</v>
      </c>
      <c r="S169" s="168" t="str">
        <f t="shared" si="425"/>
        <v>#REF!</v>
      </c>
      <c r="T169" s="168" t="str">
        <f t="shared" si="425"/>
        <v>#REF!</v>
      </c>
      <c r="U169" s="168" t="str">
        <f t="shared" ref="U169:AJ169" si="426">#REF!</f>
        <v>#REF!</v>
      </c>
      <c r="V169" s="168" t="str">
        <f t="shared" si="426"/>
        <v>#REF!</v>
      </c>
      <c r="W169" s="168" t="str">
        <f t="shared" si="426"/>
        <v>#REF!</v>
      </c>
      <c r="X169" s="168" t="str">
        <f t="shared" si="426"/>
        <v>#REF!</v>
      </c>
      <c r="Y169" s="168" t="str">
        <f t="shared" si="426"/>
        <v>#REF!</v>
      </c>
      <c r="Z169" s="168" t="str">
        <f t="shared" si="426"/>
        <v>#REF!</v>
      </c>
      <c r="AA169" s="168" t="str">
        <f t="shared" si="426"/>
        <v>#REF!</v>
      </c>
      <c r="AB169" s="168" t="str">
        <f t="shared" si="426"/>
        <v>#REF!</v>
      </c>
      <c r="AC169" s="168" t="str">
        <f t="shared" si="426"/>
        <v>#REF!</v>
      </c>
      <c r="AD169" s="168" t="str">
        <f t="shared" si="426"/>
        <v>#REF!</v>
      </c>
      <c r="AE169" s="168" t="str">
        <f t="shared" si="426"/>
        <v>#REF!</v>
      </c>
      <c r="AF169" s="168" t="str">
        <f t="shared" si="426"/>
        <v>#REF!</v>
      </c>
      <c r="AG169" s="168" t="str">
        <f t="shared" si="426"/>
        <v>#REF!</v>
      </c>
      <c r="AH169" s="168" t="str">
        <f t="shared" si="426"/>
        <v>#REF!</v>
      </c>
      <c r="AI169" s="168" t="str">
        <f t="shared" si="426"/>
        <v>#REF!</v>
      </c>
      <c r="AJ169" s="168" t="str">
        <f t="shared" si="426"/>
        <v>#REF!</v>
      </c>
    </row>
    <row r="170" ht="15.75" customHeight="1">
      <c r="A170" s="168" t="str">
        <f t="shared" ref="A170:T170" si="427">if(#REF!=$D$1,#REF!,"")</f>
        <v>#REF!</v>
      </c>
      <c r="B170" s="168" t="str">
        <f t="shared" si="427"/>
        <v>#REF!</v>
      </c>
      <c r="C170" s="168" t="str">
        <f t="shared" si="427"/>
        <v>#REF!</v>
      </c>
      <c r="D170" s="168" t="str">
        <f t="shared" si="427"/>
        <v>#REF!</v>
      </c>
      <c r="E170" s="168" t="str">
        <f t="shared" si="427"/>
        <v>#REF!</v>
      </c>
      <c r="F170" s="168" t="str">
        <f t="shared" si="427"/>
        <v>#REF!</v>
      </c>
      <c r="G170" s="168" t="str">
        <f t="shared" si="427"/>
        <v>#REF!</v>
      </c>
      <c r="H170" s="168" t="str">
        <f t="shared" si="427"/>
        <v>#REF!</v>
      </c>
      <c r="I170" s="168" t="str">
        <f t="shared" si="427"/>
        <v>#REF!</v>
      </c>
      <c r="J170" s="168" t="str">
        <f t="shared" si="427"/>
        <v>#REF!</v>
      </c>
      <c r="K170" s="168" t="str">
        <f t="shared" si="427"/>
        <v>#REF!</v>
      </c>
      <c r="L170" s="168" t="str">
        <f t="shared" si="427"/>
        <v>#REF!</v>
      </c>
      <c r="M170" s="168" t="str">
        <f t="shared" si="427"/>
        <v>#REF!</v>
      </c>
      <c r="N170" s="168" t="str">
        <f t="shared" si="427"/>
        <v>#REF!</v>
      </c>
      <c r="O170" s="168" t="str">
        <f t="shared" si="427"/>
        <v>#REF!</v>
      </c>
      <c r="P170" s="168" t="str">
        <f t="shared" si="427"/>
        <v>#REF!</v>
      </c>
      <c r="Q170" s="168" t="str">
        <f t="shared" si="427"/>
        <v>#REF!</v>
      </c>
      <c r="R170" s="168" t="str">
        <f t="shared" si="427"/>
        <v>#REF!</v>
      </c>
      <c r="S170" s="168" t="str">
        <f t="shared" si="427"/>
        <v>#REF!</v>
      </c>
      <c r="T170" s="168" t="str">
        <f t="shared" si="427"/>
        <v>#REF!</v>
      </c>
      <c r="U170" s="168" t="str">
        <f t="shared" ref="U170:AJ170" si="428">#REF!</f>
        <v>#REF!</v>
      </c>
      <c r="V170" s="168" t="str">
        <f t="shared" si="428"/>
        <v>#REF!</v>
      </c>
      <c r="W170" s="168" t="str">
        <f t="shared" si="428"/>
        <v>#REF!</v>
      </c>
      <c r="X170" s="168" t="str">
        <f t="shared" si="428"/>
        <v>#REF!</v>
      </c>
      <c r="Y170" s="168" t="str">
        <f t="shared" si="428"/>
        <v>#REF!</v>
      </c>
      <c r="Z170" s="168" t="str">
        <f t="shared" si="428"/>
        <v>#REF!</v>
      </c>
      <c r="AA170" s="168" t="str">
        <f t="shared" si="428"/>
        <v>#REF!</v>
      </c>
      <c r="AB170" s="168" t="str">
        <f t="shared" si="428"/>
        <v>#REF!</v>
      </c>
      <c r="AC170" s="168" t="str">
        <f t="shared" si="428"/>
        <v>#REF!</v>
      </c>
      <c r="AD170" s="168" t="str">
        <f t="shared" si="428"/>
        <v>#REF!</v>
      </c>
      <c r="AE170" s="168" t="str">
        <f t="shared" si="428"/>
        <v>#REF!</v>
      </c>
      <c r="AF170" s="168" t="str">
        <f t="shared" si="428"/>
        <v>#REF!</v>
      </c>
      <c r="AG170" s="168" t="str">
        <f t="shared" si="428"/>
        <v>#REF!</v>
      </c>
      <c r="AH170" s="168" t="str">
        <f t="shared" si="428"/>
        <v>#REF!</v>
      </c>
      <c r="AI170" s="168" t="str">
        <f t="shared" si="428"/>
        <v>#REF!</v>
      </c>
      <c r="AJ170" s="168" t="str">
        <f t="shared" si="428"/>
        <v>#REF!</v>
      </c>
    </row>
    <row r="171" ht="15.75" customHeight="1">
      <c r="A171" s="168" t="str">
        <f t="shared" ref="A171:T171" si="429">if(#REF!=$D$1,#REF!,"")</f>
        <v>#REF!</v>
      </c>
      <c r="B171" s="168" t="str">
        <f t="shared" si="429"/>
        <v>#REF!</v>
      </c>
      <c r="C171" s="168" t="str">
        <f t="shared" si="429"/>
        <v>#REF!</v>
      </c>
      <c r="D171" s="168" t="str">
        <f t="shared" si="429"/>
        <v>#REF!</v>
      </c>
      <c r="E171" s="168" t="str">
        <f t="shared" si="429"/>
        <v>#REF!</v>
      </c>
      <c r="F171" s="168" t="str">
        <f t="shared" si="429"/>
        <v>#REF!</v>
      </c>
      <c r="G171" s="168" t="str">
        <f t="shared" si="429"/>
        <v>#REF!</v>
      </c>
      <c r="H171" s="168" t="str">
        <f t="shared" si="429"/>
        <v>#REF!</v>
      </c>
      <c r="I171" s="168" t="str">
        <f t="shared" si="429"/>
        <v>#REF!</v>
      </c>
      <c r="J171" s="168" t="str">
        <f t="shared" si="429"/>
        <v>#REF!</v>
      </c>
      <c r="K171" s="168" t="str">
        <f t="shared" si="429"/>
        <v>#REF!</v>
      </c>
      <c r="L171" s="168" t="str">
        <f t="shared" si="429"/>
        <v>#REF!</v>
      </c>
      <c r="M171" s="168" t="str">
        <f t="shared" si="429"/>
        <v>#REF!</v>
      </c>
      <c r="N171" s="168" t="str">
        <f t="shared" si="429"/>
        <v>#REF!</v>
      </c>
      <c r="O171" s="168" t="str">
        <f t="shared" si="429"/>
        <v>#REF!</v>
      </c>
      <c r="P171" s="168" t="str">
        <f t="shared" si="429"/>
        <v>#REF!</v>
      </c>
      <c r="Q171" s="168" t="str">
        <f t="shared" si="429"/>
        <v>#REF!</v>
      </c>
      <c r="R171" s="168" t="str">
        <f t="shared" si="429"/>
        <v>#REF!</v>
      </c>
      <c r="S171" s="168" t="str">
        <f t="shared" si="429"/>
        <v>#REF!</v>
      </c>
      <c r="T171" s="168" t="str">
        <f t="shared" si="429"/>
        <v>#REF!</v>
      </c>
      <c r="U171" s="168" t="str">
        <f t="shared" ref="U171:AJ171" si="430">#REF!</f>
        <v>#REF!</v>
      </c>
      <c r="V171" s="168" t="str">
        <f t="shared" si="430"/>
        <v>#REF!</v>
      </c>
      <c r="W171" s="168" t="str">
        <f t="shared" si="430"/>
        <v>#REF!</v>
      </c>
      <c r="X171" s="168" t="str">
        <f t="shared" si="430"/>
        <v>#REF!</v>
      </c>
      <c r="Y171" s="168" t="str">
        <f t="shared" si="430"/>
        <v>#REF!</v>
      </c>
      <c r="Z171" s="168" t="str">
        <f t="shared" si="430"/>
        <v>#REF!</v>
      </c>
      <c r="AA171" s="168" t="str">
        <f t="shared" si="430"/>
        <v>#REF!</v>
      </c>
      <c r="AB171" s="168" t="str">
        <f t="shared" si="430"/>
        <v>#REF!</v>
      </c>
      <c r="AC171" s="168" t="str">
        <f t="shared" si="430"/>
        <v>#REF!</v>
      </c>
      <c r="AD171" s="168" t="str">
        <f t="shared" si="430"/>
        <v>#REF!</v>
      </c>
      <c r="AE171" s="168" t="str">
        <f t="shared" si="430"/>
        <v>#REF!</v>
      </c>
      <c r="AF171" s="168" t="str">
        <f t="shared" si="430"/>
        <v>#REF!</v>
      </c>
      <c r="AG171" s="168" t="str">
        <f t="shared" si="430"/>
        <v>#REF!</v>
      </c>
      <c r="AH171" s="168" t="str">
        <f t="shared" si="430"/>
        <v>#REF!</v>
      </c>
      <c r="AI171" s="168" t="str">
        <f t="shared" si="430"/>
        <v>#REF!</v>
      </c>
      <c r="AJ171" s="168" t="str">
        <f t="shared" si="430"/>
        <v>#REF!</v>
      </c>
    </row>
    <row r="172" ht="15.75" customHeight="1">
      <c r="A172" s="168" t="str">
        <f t="shared" ref="A172:T172" si="431">if(#REF!=$D$1,#REF!,"")</f>
        <v>#REF!</v>
      </c>
      <c r="B172" s="168" t="str">
        <f t="shared" si="431"/>
        <v>#REF!</v>
      </c>
      <c r="C172" s="168" t="str">
        <f t="shared" si="431"/>
        <v>#REF!</v>
      </c>
      <c r="D172" s="168" t="str">
        <f t="shared" si="431"/>
        <v>#REF!</v>
      </c>
      <c r="E172" s="168" t="str">
        <f t="shared" si="431"/>
        <v>#REF!</v>
      </c>
      <c r="F172" s="168" t="str">
        <f t="shared" si="431"/>
        <v>#REF!</v>
      </c>
      <c r="G172" s="168" t="str">
        <f t="shared" si="431"/>
        <v>#REF!</v>
      </c>
      <c r="H172" s="168" t="str">
        <f t="shared" si="431"/>
        <v>#REF!</v>
      </c>
      <c r="I172" s="168" t="str">
        <f t="shared" si="431"/>
        <v>#REF!</v>
      </c>
      <c r="J172" s="168" t="str">
        <f t="shared" si="431"/>
        <v>#REF!</v>
      </c>
      <c r="K172" s="168" t="str">
        <f t="shared" si="431"/>
        <v>#REF!</v>
      </c>
      <c r="L172" s="168" t="str">
        <f t="shared" si="431"/>
        <v>#REF!</v>
      </c>
      <c r="M172" s="168" t="str">
        <f t="shared" si="431"/>
        <v>#REF!</v>
      </c>
      <c r="N172" s="168" t="str">
        <f t="shared" si="431"/>
        <v>#REF!</v>
      </c>
      <c r="O172" s="168" t="str">
        <f t="shared" si="431"/>
        <v>#REF!</v>
      </c>
      <c r="P172" s="168" t="str">
        <f t="shared" si="431"/>
        <v>#REF!</v>
      </c>
      <c r="Q172" s="168" t="str">
        <f t="shared" si="431"/>
        <v>#REF!</v>
      </c>
      <c r="R172" s="168" t="str">
        <f t="shared" si="431"/>
        <v>#REF!</v>
      </c>
      <c r="S172" s="168" t="str">
        <f t="shared" si="431"/>
        <v>#REF!</v>
      </c>
      <c r="T172" s="168" t="str">
        <f t="shared" si="431"/>
        <v>#REF!</v>
      </c>
      <c r="U172" s="168" t="str">
        <f t="shared" ref="U172:AJ172" si="432">#REF!</f>
        <v>#REF!</v>
      </c>
      <c r="V172" s="168" t="str">
        <f t="shared" si="432"/>
        <v>#REF!</v>
      </c>
      <c r="W172" s="168" t="str">
        <f t="shared" si="432"/>
        <v>#REF!</v>
      </c>
      <c r="X172" s="168" t="str">
        <f t="shared" si="432"/>
        <v>#REF!</v>
      </c>
      <c r="Y172" s="168" t="str">
        <f t="shared" si="432"/>
        <v>#REF!</v>
      </c>
      <c r="Z172" s="168" t="str">
        <f t="shared" si="432"/>
        <v>#REF!</v>
      </c>
      <c r="AA172" s="168" t="str">
        <f t="shared" si="432"/>
        <v>#REF!</v>
      </c>
      <c r="AB172" s="168" t="str">
        <f t="shared" si="432"/>
        <v>#REF!</v>
      </c>
      <c r="AC172" s="168" t="str">
        <f t="shared" si="432"/>
        <v>#REF!</v>
      </c>
      <c r="AD172" s="168" t="str">
        <f t="shared" si="432"/>
        <v>#REF!</v>
      </c>
      <c r="AE172" s="168" t="str">
        <f t="shared" si="432"/>
        <v>#REF!</v>
      </c>
      <c r="AF172" s="168" t="str">
        <f t="shared" si="432"/>
        <v>#REF!</v>
      </c>
      <c r="AG172" s="168" t="str">
        <f t="shared" si="432"/>
        <v>#REF!</v>
      </c>
      <c r="AH172" s="168" t="str">
        <f t="shared" si="432"/>
        <v>#REF!</v>
      </c>
      <c r="AI172" s="168" t="str">
        <f t="shared" si="432"/>
        <v>#REF!</v>
      </c>
      <c r="AJ172" s="168" t="str">
        <f t="shared" si="432"/>
        <v>#REF!</v>
      </c>
    </row>
    <row r="173" ht="15.75" customHeight="1">
      <c r="A173" s="168" t="str">
        <f t="shared" ref="A173:T173" si="433">if(#REF!=$D$1,#REF!,"")</f>
        <v>#REF!</v>
      </c>
      <c r="B173" s="168" t="str">
        <f t="shared" si="433"/>
        <v>#REF!</v>
      </c>
      <c r="C173" s="168" t="str">
        <f t="shared" si="433"/>
        <v>#REF!</v>
      </c>
      <c r="D173" s="168" t="str">
        <f t="shared" si="433"/>
        <v>#REF!</v>
      </c>
      <c r="E173" s="168" t="str">
        <f t="shared" si="433"/>
        <v>#REF!</v>
      </c>
      <c r="F173" s="168" t="str">
        <f t="shared" si="433"/>
        <v>#REF!</v>
      </c>
      <c r="G173" s="168" t="str">
        <f t="shared" si="433"/>
        <v>#REF!</v>
      </c>
      <c r="H173" s="168" t="str">
        <f t="shared" si="433"/>
        <v>#REF!</v>
      </c>
      <c r="I173" s="168" t="str">
        <f t="shared" si="433"/>
        <v>#REF!</v>
      </c>
      <c r="J173" s="168" t="str">
        <f t="shared" si="433"/>
        <v>#REF!</v>
      </c>
      <c r="K173" s="168" t="str">
        <f t="shared" si="433"/>
        <v>#REF!</v>
      </c>
      <c r="L173" s="168" t="str">
        <f t="shared" si="433"/>
        <v>#REF!</v>
      </c>
      <c r="M173" s="168" t="str">
        <f t="shared" si="433"/>
        <v>#REF!</v>
      </c>
      <c r="N173" s="168" t="str">
        <f t="shared" si="433"/>
        <v>#REF!</v>
      </c>
      <c r="O173" s="168" t="str">
        <f t="shared" si="433"/>
        <v>#REF!</v>
      </c>
      <c r="P173" s="168" t="str">
        <f t="shared" si="433"/>
        <v>#REF!</v>
      </c>
      <c r="Q173" s="168" t="str">
        <f t="shared" si="433"/>
        <v>#REF!</v>
      </c>
      <c r="R173" s="168" t="str">
        <f t="shared" si="433"/>
        <v>#REF!</v>
      </c>
      <c r="S173" s="168" t="str">
        <f t="shared" si="433"/>
        <v>#REF!</v>
      </c>
      <c r="T173" s="168" t="str">
        <f t="shared" si="433"/>
        <v>#REF!</v>
      </c>
      <c r="U173" s="168" t="str">
        <f t="shared" ref="U173:AJ173" si="434">#REF!</f>
        <v>#REF!</v>
      </c>
      <c r="V173" s="168" t="str">
        <f t="shared" si="434"/>
        <v>#REF!</v>
      </c>
      <c r="W173" s="168" t="str">
        <f t="shared" si="434"/>
        <v>#REF!</v>
      </c>
      <c r="X173" s="168" t="str">
        <f t="shared" si="434"/>
        <v>#REF!</v>
      </c>
      <c r="Y173" s="168" t="str">
        <f t="shared" si="434"/>
        <v>#REF!</v>
      </c>
      <c r="Z173" s="168" t="str">
        <f t="shared" si="434"/>
        <v>#REF!</v>
      </c>
      <c r="AA173" s="168" t="str">
        <f t="shared" si="434"/>
        <v>#REF!</v>
      </c>
      <c r="AB173" s="168" t="str">
        <f t="shared" si="434"/>
        <v>#REF!</v>
      </c>
      <c r="AC173" s="168" t="str">
        <f t="shared" si="434"/>
        <v>#REF!</v>
      </c>
      <c r="AD173" s="168" t="str">
        <f t="shared" si="434"/>
        <v>#REF!</v>
      </c>
      <c r="AE173" s="168" t="str">
        <f t="shared" si="434"/>
        <v>#REF!</v>
      </c>
      <c r="AF173" s="168" t="str">
        <f t="shared" si="434"/>
        <v>#REF!</v>
      </c>
      <c r="AG173" s="168" t="str">
        <f t="shared" si="434"/>
        <v>#REF!</v>
      </c>
      <c r="AH173" s="168" t="str">
        <f t="shared" si="434"/>
        <v>#REF!</v>
      </c>
      <c r="AI173" s="168" t="str">
        <f t="shared" si="434"/>
        <v>#REF!</v>
      </c>
      <c r="AJ173" s="168" t="str">
        <f t="shared" si="434"/>
        <v>#REF!</v>
      </c>
    </row>
    <row r="174" ht="15.75" customHeight="1">
      <c r="A174" s="168" t="str">
        <f t="shared" ref="A174:T174" si="435">if(#REF!=$D$1,#REF!,"")</f>
        <v>#REF!</v>
      </c>
      <c r="B174" s="168" t="str">
        <f t="shared" si="435"/>
        <v>#REF!</v>
      </c>
      <c r="C174" s="168" t="str">
        <f t="shared" si="435"/>
        <v>#REF!</v>
      </c>
      <c r="D174" s="168" t="str">
        <f t="shared" si="435"/>
        <v>#REF!</v>
      </c>
      <c r="E174" s="168" t="str">
        <f t="shared" si="435"/>
        <v>#REF!</v>
      </c>
      <c r="F174" s="168" t="str">
        <f t="shared" si="435"/>
        <v>#REF!</v>
      </c>
      <c r="G174" s="168" t="str">
        <f t="shared" si="435"/>
        <v>#REF!</v>
      </c>
      <c r="H174" s="168" t="str">
        <f t="shared" si="435"/>
        <v>#REF!</v>
      </c>
      <c r="I174" s="168" t="str">
        <f t="shared" si="435"/>
        <v>#REF!</v>
      </c>
      <c r="J174" s="168" t="str">
        <f t="shared" si="435"/>
        <v>#REF!</v>
      </c>
      <c r="K174" s="168" t="str">
        <f t="shared" si="435"/>
        <v>#REF!</v>
      </c>
      <c r="L174" s="168" t="str">
        <f t="shared" si="435"/>
        <v>#REF!</v>
      </c>
      <c r="M174" s="168" t="str">
        <f t="shared" si="435"/>
        <v>#REF!</v>
      </c>
      <c r="N174" s="168" t="str">
        <f t="shared" si="435"/>
        <v>#REF!</v>
      </c>
      <c r="O174" s="168" t="str">
        <f t="shared" si="435"/>
        <v>#REF!</v>
      </c>
      <c r="P174" s="168" t="str">
        <f t="shared" si="435"/>
        <v>#REF!</v>
      </c>
      <c r="Q174" s="168" t="str">
        <f t="shared" si="435"/>
        <v>#REF!</v>
      </c>
      <c r="R174" s="168" t="str">
        <f t="shared" si="435"/>
        <v>#REF!</v>
      </c>
      <c r="S174" s="168" t="str">
        <f t="shared" si="435"/>
        <v>#REF!</v>
      </c>
      <c r="T174" s="168" t="str">
        <f t="shared" si="435"/>
        <v>#REF!</v>
      </c>
      <c r="U174" s="168" t="str">
        <f t="shared" ref="U174:AJ174" si="436">#REF!</f>
        <v>#REF!</v>
      </c>
      <c r="V174" s="168" t="str">
        <f t="shared" si="436"/>
        <v>#REF!</v>
      </c>
      <c r="W174" s="168" t="str">
        <f t="shared" si="436"/>
        <v>#REF!</v>
      </c>
      <c r="X174" s="168" t="str">
        <f t="shared" si="436"/>
        <v>#REF!</v>
      </c>
      <c r="Y174" s="168" t="str">
        <f t="shared" si="436"/>
        <v>#REF!</v>
      </c>
      <c r="Z174" s="168" t="str">
        <f t="shared" si="436"/>
        <v>#REF!</v>
      </c>
      <c r="AA174" s="168" t="str">
        <f t="shared" si="436"/>
        <v>#REF!</v>
      </c>
      <c r="AB174" s="168" t="str">
        <f t="shared" si="436"/>
        <v>#REF!</v>
      </c>
      <c r="AC174" s="168" t="str">
        <f t="shared" si="436"/>
        <v>#REF!</v>
      </c>
      <c r="AD174" s="168" t="str">
        <f t="shared" si="436"/>
        <v>#REF!</v>
      </c>
      <c r="AE174" s="168" t="str">
        <f t="shared" si="436"/>
        <v>#REF!</v>
      </c>
      <c r="AF174" s="168" t="str">
        <f t="shared" si="436"/>
        <v>#REF!</v>
      </c>
      <c r="AG174" s="168" t="str">
        <f t="shared" si="436"/>
        <v>#REF!</v>
      </c>
      <c r="AH174" s="168" t="str">
        <f t="shared" si="436"/>
        <v>#REF!</v>
      </c>
      <c r="AI174" s="168" t="str">
        <f t="shared" si="436"/>
        <v>#REF!</v>
      </c>
      <c r="AJ174" s="168" t="str">
        <f t="shared" si="436"/>
        <v>#REF!</v>
      </c>
    </row>
    <row r="175" ht="15.75" customHeight="1">
      <c r="A175" s="168" t="str">
        <f>if('2026 Pipeline'!$M30=$D$1,'2026 Pipeline'!C30,"")</f>
        <v>#REF!</v>
      </c>
      <c r="B175" s="168" t="str">
        <f t="shared" ref="B175:C175" si="437">if('2026 Pipeline'!$M30=$D$1,'2026 Pipeline'!J30,"")</f>
        <v>#REF!</v>
      </c>
      <c r="C175" s="168" t="str">
        <f t="shared" si="437"/>
        <v>#REF!</v>
      </c>
      <c r="D175" s="168" t="str">
        <f t="shared" ref="D175:F175" si="438">if('2026 Pipeline'!$M30=$D$1,'2026 Pipeline'!M30,"")</f>
        <v>#REF!</v>
      </c>
      <c r="E175" s="168" t="str">
        <f t="shared" si="438"/>
        <v>#REF!</v>
      </c>
      <c r="F175" s="168" t="str">
        <f t="shared" si="438"/>
        <v>#REF!</v>
      </c>
      <c r="G175" s="168" t="str">
        <f>if('2026 Pipeline'!$M30=$D$1,'2026 Pipeline'!Q30,"")</f>
        <v>#REF!</v>
      </c>
      <c r="H175" s="168" t="str">
        <f>if('2026 Pipeline'!$M30=$D$1,'2026 Pipeline'!P30,"")</f>
        <v>#REF!</v>
      </c>
      <c r="I175" s="168" t="str">
        <f>if('2026 Pipeline'!$M30=$D$1,'2026 Pipeline'!R30,"")</f>
        <v>#REF!</v>
      </c>
      <c r="J175" s="168" t="str">
        <f t="shared" ref="J175:L175" si="439">if('2026 Pipeline'!$M30=$D$1,'2026 Pipeline'!V30,"")</f>
        <v>#REF!</v>
      </c>
      <c r="K175" s="168" t="str">
        <f t="shared" si="439"/>
        <v>#REF!</v>
      </c>
      <c r="L175" s="168" t="str">
        <f t="shared" si="439"/>
        <v>#REF!</v>
      </c>
      <c r="M175" s="168" t="str">
        <f t="shared" ref="M175:O175" si="440">if('2026 Pipeline'!$M30=$D$1,#REF!,"")</f>
        <v>#REF!</v>
      </c>
      <c r="N175" s="168" t="str">
        <f t="shared" si="440"/>
        <v>#REF!</v>
      </c>
      <c r="O175" s="168" t="str">
        <f t="shared" si="440"/>
        <v>#REF!</v>
      </c>
      <c r="P175" s="168" t="str">
        <f>if('2026 Pipeline'!$M30=$D$1,'2026 Pipeline'!AA30,"")</f>
        <v>#REF!</v>
      </c>
      <c r="Q175" s="168" t="str">
        <f>if('2026 Pipeline'!$M30=$D$1,'2026 Pipeline'!Y30,"")</f>
        <v>#REF!</v>
      </c>
      <c r="R175" s="168" t="str">
        <f>if('2026 Pipeline'!$M30=$D$1,#REF!,"")</f>
        <v>#REF!</v>
      </c>
      <c r="S175" s="168" t="str">
        <f>if('2026 Pipeline'!$M30=$D$1,'2026 Pipeline'!L30,"")</f>
        <v>#REF!</v>
      </c>
      <c r="T175" s="168" t="str">
        <f>if('2026 Pipeline'!$M30=$D$1,'2026 Pipeline'!CD30,"")</f>
        <v>#REF!</v>
      </c>
      <c r="U175" s="168" t="str">
        <f t="shared" ref="U175:AJ175" si="441">#REF!</f>
        <v>#REF!</v>
      </c>
      <c r="V175" s="168" t="str">
        <f t="shared" si="441"/>
        <v>#REF!</v>
      </c>
      <c r="W175" s="168" t="str">
        <f t="shared" si="441"/>
        <v>#REF!</v>
      </c>
      <c r="X175" s="168" t="str">
        <f t="shared" si="441"/>
        <v>#REF!</v>
      </c>
      <c r="Y175" s="168" t="str">
        <f t="shared" si="441"/>
        <v>#REF!</v>
      </c>
      <c r="Z175" s="168" t="str">
        <f t="shared" si="441"/>
        <v>#REF!</v>
      </c>
      <c r="AA175" s="168" t="str">
        <f t="shared" si="441"/>
        <v>#REF!</v>
      </c>
      <c r="AB175" s="168" t="str">
        <f t="shared" si="441"/>
        <v>#REF!</v>
      </c>
      <c r="AC175" s="168" t="str">
        <f t="shared" si="441"/>
        <v>#REF!</v>
      </c>
      <c r="AD175" s="168" t="str">
        <f t="shared" si="441"/>
        <v>#REF!</v>
      </c>
      <c r="AE175" s="168" t="str">
        <f t="shared" si="441"/>
        <v>#REF!</v>
      </c>
      <c r="AF175" s="168" t="str">
        <f t="shared" si="441"/>
        <v>#REF!</v>
      </c>
      <c r="AG175" s="168" t="str">
        <f t="shared" si="441"/>
        <v>#REF!</v>
      </c>
      <c r="AH175" s="168" t="str">
        <f t="shared" si="441"/>
        <v>#REF!</v>
      </c>
      <c r="AI175" s="168" t="str">
        <f t="shared" si="441"/>
        <v>#REF!</v>
      </c>
      <c r="AJ175" s="168" t="str">
        <f t="shared" si="441"/>
        <v>#REF!</v>
      </c>
    </row>
    <row r="176" ht="15.75" customHeight="1">
      <c r="A176" s="168" t="str">
        <f t="shared" ref="A176:T176" si="442">if(#REF!=$D$1,#REF!,"")</f>
        <v>#REF!</v>
      </c>
      <c r="B176" s="168" t="str">
        <f t="shared" si="442"/>
        <v>#REF!</v>
      </c>
      <c r="C176" s="168" t="str">
        <f t="shared" si="442"/>
        <v>#REF!</v>
      </c>
      <c r="D176" s="168" t="str">
        <f t="shared" si="442"/>
        <v>#REF!</v>
      </c>
      <c r="E176" s="168" t="str">
        <f t="shared" si="442"/>
        <v>#REF!</v>
      </c>
      <c r="F176" s="168" t="str">
        <f t="shared" si="442"/>
        <v>#REF!</v>
      </c>
      <c r="G176" s="168" t="str">
        <f t="shared" si="442"/>
        <v>#REF!</v>
      </c>
      <c r="H176" s="168" t="str">
        <f t="shared" si="442"/>
        <v>#REF!</v>
      </c>
      <c r="I176" s="168" t="str">
        <f t="shared" si="442"/>
        <v>#REF!</v>
      </c>
      <c r="J176" s="168" t="str">
        <f t="shared" si="442"/>
        <v>#REF!</v>
      </c>
      <c r="K176" s="168" t="str">
        <f t="shared" si="442"/>
        <v>#REF!</v>
      </c>
      <c r="L176" s="168" t="str">
        <f t="shared" si="442"/>
        <v>#REF!</v>
      </c>
      <c r="M176" s="168" t="str">
        <f t="shared" si="442"/>
        <v>#REF!</v>
      </c>
      <c r="N176" s="168" t="str">
        <f t="shared" si="442"/>
        <v>#REF!</v>
      </c>
      <c r="O176" s="168" t="str">
        <f t="shared" si="442"/>
        <v>#REF!</v>
      </c>
      <c r="P176" s="168" t="str">
        <f t="shared" si="442"/>
        <v>#REF!</v>
      </c>
      <c r="Q176" s="168" t="str">
        <f t="shared" si="442"/>
        <v>#REF!</v>
      </c>
      <c r="R176" s="168" t="str">
        <f t="shared" si="442"/>
        <v>#REF!</v>
      </c>
      <c r="S176" s="168" t="str">
        <f t="shared" si="442"/>
        <v>#REF!</v>
      </c>
      <c r="T176" s="168" t="str">
        <f t="shared" si="442"/>
        <v>#REF!</v>
      </c>
      <c r="U176" s="168" t="str">
        <f t="shared" ref="U176:AJ176" si="443">#REF!</f>
        <v>#REF!</v>
      </c>
      <c r="V176" s="168" t="str">
        <f t="shared" si="443"/>
        <v>#REF!</v>
      </c>
      <c r="W176" s="168" t="str">
        <f t="shared" si="443"/>
        <v>#REF!</v>
      </c>
      <c r="X176" s="168" t="str">
        <f t="shared" si="443"/>
        <v>#REF!</v>
      </c>
      <c r="Y176" s="168" t="str">
        <f t="shared" si="443"/>
        <v>#REF!</v>
      </c>
      <c r="Z176" s="168" t="str">
        <f t="shared" si="443"/>
        <v>#REF!</v>
      </c>
      <c r="AA176" s="168" t="str">
        <f t="shared" si="443"/>
        <v>#REF!</v>
      </c>
      <c r="AB176" s="168" t="str">
        <f t="shared" si="443"/>
        <v>#REF!</v>
      </c>
      <c r="AC176" s="168" t="str">
        <f t="shared" si="443"/>
        <v>#REF!</v>
      </c>
      <c r="AD176" s="168" t="str">
        <f t="shared" si="443"/>
        <v>#REF!</v>
      </c>
      <c r="AE176" s="168" t="str">
        <f t="shared" si="443"/>
        <v>#REF!</v>
      </c>
      <c r="AF176" s="168" t="str">
        <f t="shared" si="443"/>
        <v>#REF!</v>
      </c>
      <c r="AG176" s="168" t="str">
        <f t="shared" si="443"/>
        <v>#REF!</v>
      </c>
      <c r="AH176" s="168" t="str">
        <f t="shared" si="443"/>
        <v>#REF!</v>
      </c>
      <c r="AI176" s="168" t="str">
        <f t="shared" si="443"/>
        <v>#REF!</v>
      </c>
      <c r="AJ176" s="168" t="str">
        <f t="shared" si="443"/>
        <v>#REF!</v>
      </c>
    </row>
    <row r="177" ht="15.75" customHeight="1">
      <c r="A177" s="168" t="str">
        <f t="shared" ref="A177:T177" si="444">if(#REF!=$D$1,#REF!,"")</f>
        <v>#REF!</v>
      </c>
      <c r="B177" s="168" t="str">
        <f t="shared" si="444"/>
        <v>#REF!</v>
      </c>
      <c r="C177" s="168" t="str">
        <f t="shared" si="444"/>
        <v>#REF!</v>
      </c>
      <c r="D177" s="168" t="str">
        <f t="shared" si="444"/>
        <v>#REF!</v>
      </c>
      <c r="E177" s="168" t="str">
        <f t="shared" si="444"/>
        <v>#REF!</v>
      </c>
      <c r="F177" s="168" t="str">
        <f t="shared" si="444"/>
        <v>#REF!</v>
      </c>
      <c r="G177" s="168" t="str">
        <f t="shared" si="444"/>
        <v>#REF!</v>
      </c>
      <c r="H177" s="168" t="str">
        <f t="shared" si="444"/>
        <v>#REF!</v>
      </c>
      <c r="I177" s="168" t="str">
        <f t="shared" si="444"/>
        <v>#REF!</v>
      </c>
      <c r="J177" s="168" t="str">
        <f t="shared" si="444"/>
        <v>#REF!</v>
      </c>
      <c r="K177" s="168" t="str">
        <f t="shared" si="444"/>
        <v>#REF!</v>
      </c>
      <c r="L177" s="168" t="str">
        <f t="shared" si="444"/>
        <v>#REF!</v>
      </c>
      <c r="M177" s="168" t="str">
        <f t="shared" si="444"/>
        <v>#REF!</v>
      </c>
      <c r="N177" s="168" t="str">
        <f t="shared" si="444"/>
        <v>#REF!</v>
      </c>
      <c r="O177" s="168" t="str">
        <f t="shared" si="444"/>
        <v>#REF!</v>
      </c>
      <c r="P177" s="168" t="str">
        <f t="shared" si="444"/>
        <v>#REF!</v>
      </c>
      <c r="Q177" s="168" t="str">
        <f t="shared" si="444"/>
        <v>#REF!</v>
      </c>
      <c r="R177" s="168" t="str">
        <f t="shared" si="444"/>
        <v>#REF!</v>
      </c>
      <c r="S177" s="168" t="str">
        <f t="shared" si="444"/>
        <v>#REF!</v>
      </c>
      <c r="T177" s="168" t="str">
        <f t="shared" si="444"/>
        <v>#REF!</v>
      </c>
      <c r="U177" s="168" t="str">
        <f>'2026 Pipeline'!AP30</f>
        <v>#REF!</v>
      </c>
      <c r="V177" s="168" t="str">
        <f t="shared" ref="V177:Z177" si="445">'2026 Pipeline'!CJ30</f>
        <v>#REF!</v>
      </c>
      <c r="W177" s="168" t="str">
        <f t="shared" si="445"/>
        <v>#REF!</v>
      </c>
      <c r="X177" s="168" t="str">
        <f t="shared" si="445"/>
        <v>#REF!</v>
      </c>
      <c r="Y177" s="168" t="str">
        <f t="shared" si="445"/>
        <v>#REF!</v>
      </c>
      <c r="Z177" s="168" t="str">
        <f t="shared" si="445"/>
        <v>#REF!</v>
      </c>
      <c r="AA177" s="168" t="str">
        <f t="shared" ref="AA177:AF177" si="446">#REF!</f>
        <v>#REF!</v>
      </c>
      <c r="AB177" s="168" t="str">
        <f t="shared" si="446"/>
        <v>#REF!</v>
      </c>
      <c r="AC177" s="168" t="str">
        <f t="shared" si="446"/>
        <v>#REF!</v>
      </c>
      <c r="AD177" s="168" t="str">
        <f t="shared" si="446"/>
        <v>#REF!</v>
      </c>
      <c r="AE177" s="168" t="str">
        <f t="shared" si="446"/>
        <v>#REF!</v>
      </c>
      <c r="AF177" s="168" t="str">
        <f t="shared" si="446"/>
        <v>#REF!</v>
      </c>
      <c r="AG177" s="168" t="str">
        <f>'2026 Pipeline'!CT30</f>
        <v>#REF!</v>
      </c>
      <c r="AH177" s="168" t="str">
        <f>'2026 Pipeline'!S30</f>
        <v>#REF!</v>
      </c>
      <c r="AI177" s="168" t="str">
        <f t="shared" ref="AI177:AJ177" si="447">#REF!</f>
        <v>#REF!</v>
      </c>
      <c r="AJ177" s="168" t="str">
        <f t="shared" si="447"/>
        <v>#REF!</v>
      </c>
    </row>
    <row r="178" ht="15.75" customHeight="1">
      <c r="A178" s="168" t="str">
        <f t="shared" ref="A178:T178" si="448">if(#REF!=$D$1,#REF!,"")</f>
        <v>#REF!</v>
      </c>
      <c r="B178" s="168" t="str">
        <f t="shared" si="448"/>
        <v>#REF!</v>
      </c>
      <c r="C178" s="168" t="str">
        <f t="shared" si="448"/>
        <v>#REF!</v>
      </c>
      <c r="D178" s="168" t="str">
        <f t="shared" si="448"/>
        <v>#REF!</v>
      </c>
      <c r="E178" s="168" t="str">
        <f t="shared" si="448"/>
        <v>#REF!</v>
      </c>
      <c r="F178" s="168" t="str">
        <f t="shared" si="448"/>
        <v>#REF!</v>
      </c>
      <c r="G178" s="168" t="str">
        <f t="shared" si="448"/>
        <v>#REF!</v>
      </c>
      <c r="H178" s="168" t="str">
        <f t="shared" si="448"/>
        <v>#REF!</v>
      </c>
      <c r="I178" s="168" t="str">
        <f t="shared" si="448"/>
        <v>#REF!</v>
      </c>
      <c r="J178" s="168" t="str">
        <f t="shared" si="448"/>
        <v>#REF!</v>
      </c>
      <c r="K178" s="168" t="str">
        <f t="shared" si="448"/>
        <v>#REF!</v>
      </c>
      <c r="L178" s="168" t="str">
        <f t="shared" si="448"/>
        <v>#REF!</v>
      </c>
      <c r="M178" s="168" t="str">
        <f t="shared" si="448"/>
        <v>#REF!</v>
      </c>
      <c r="N178" s="168" t="str">
        <f t="shared" si="448"/>
        <v>#REF!</v>
      </c>
      <c r="O178" s="168" t="str">
        <f t="shared" si="448"/>
        <v>#REF!</v>
      </c>
      <c r="P178" s="168" t="str">
        <f t="shared" si="448"/>
        <v>#REF!</v>
      </c>
      <c r="Q178" s="168" t="str">
        <f t="shared" si="448"/>
        <v>#REF!</v>
      </c>
      <c r="R178" s="168" t="str">
        <f t="shared" si="448"/>
        <v>#REF!</v>
      </c>
      <c r="S178" s="168" t="str">
        <f t="shared" si="448"/>
        <v>#REF!</v>
      </c>
      <c r="T178" s="168" t="str">
        <f t="shared" si="448"/>
        <v>#REF!</v>
      </c>
      <c r="U178" s="168" t="str">
        <f t="shared" ref="U178:AJ178" si="449">#REF!</f>
        <v>#REF!</v>
      </c>
      <c r="V178" s="168" t="str">
        <f t="shared" si="449"/>
        <v>#REF!</v>
      </c>
      <c r="W178" s="168" t="str">
        <f t="shared" si="449"/>
        <v>#REF!</v>
      </c>
      <c r="X178" s="168" t="str">
        <f t="shared" si="449"/>
        <v>#REF!</v>
      </c>
      <c r="Y178" s="168" t="str">
        <f t="shared" si="449"/>
        <v>#REF!</v>
      </c>
      <c r="Z178" s="168" t="str">
        <f t="shared" si="449"/>
        <v>#REF!</v>
      </c>
      <c r="AA178" s="168" t="str">
        <f t="shared" si="449"/>
        <v>#REF!</v>
      </c>
      <c r="AB178" s="168" t="str">
        <f t="shared" si="449"/>
        <v>#REF!</v>
      </c>
      <c r="AC178" s="168" t="str">
        <f t="shared" si="449"/>
        <v>#REF!</v>
      </c>
      <c r="AD178" s="168" t="str">
        <f t="shared" si="449"/>
        <v>#REF!</v>
      </c>
      <c r="AE178" s="168" t="str">
        <f t="shared" si="449"/>
        <v>#REF!</v>
      </c>
      <c r="AF178" s="168" t="str">
        <f t="shared" si="449"/>
        <v>#REF!</v>
      </c>
      <c r="AG178" s="168" t="str">
        <f t="shared" si="449"/>
        <v>#REF!</v>
      </c>
      <c r="AH178" s="168" t="str">
        <f t="shared" si="449"/>
        <v>#REF!</v>
      </c>
      <c r="AI178" s="168" t="str">
        <f t="shared" si="449"/>
        <v>#REF!</v>
      </c>
      <c r="AJ178" s="168" t="str">
        <f t="shared" si="449"/>
        <v>#REF!</v>
      </c>
    </row>
    <row r="179" ht="15.75" customHeight="1">
      <c r="A179" s="168" t="str">
        <f t="shared" ref="A179:T179" si="450">if(#REF!=$D$1,#REF!,"")</f>
        <v>#REF!</v>
      </c>
      <c r="B179" s="168" t="str">
        <f t="shared" si="450"/>
        <v>#REF!</v>
      </c>
      <c r="C179" s="168" t="str">
        <f t="shared" si="450"/>
        <v>#REF!</v>
      </c>
      <c r="D179" s="168" t="str">
        <f t="shared" si="450"/>
        <v>#REF!</v>
      </c>
      <c r="E179" s="168" t="str">
        <f t="shared" si="450"/>
        <v>#REF!</v>
      </c>
      <c r="F179" s="168" t="str">
        <f t="shared" si="450"/>
        <v>#REF!</v>
      </c>
      <c r="G179" s="168" t="str">
        <f t="shared" si="450"/>
        <v>#REF!</v>
      </c>
      <c r="H179" s="168" t="str">
        <f t="shared" si="450"/>
        <v>#REF!</v>
      </c>
      <c r="I179" s="168" t="str">
        <f t="shared" si="450"/>
        <v>#REF!</v>
      </c>
      <c r="J179" s="168" t="str">
        <f t="shared" si="450"/>
        <v>#REF!</v>
      </c>
      <c r="K179" s="168" t="str">
        <f t="shared" si="450"/>
        <v>#REF!</v>
      </c>
      <c r="L179" s="168" t="str">
        <f t="shared" si="450"/>
        <v>#REF!</v>
      </c>
      <c r="M179" s="168" t="str">
        <f t="shared" si="450"/>
        <v>#REF!</v>
      </c>
      <c r="N179" s="168" t="str">
        <f t="shared" si="450"/>
        <v>#REF!</v>
      </c>
      <c r="O179" s="168" t="str">
        <f t="shared" si="450"/>
        <v>#REF!</v>
      </c>
      <c r="P179" s="168" t="str">
        <f t="shared" si="450"/>
        <v>#REF!</v>
      </c>
      <c r="Q179" s="168" t="str">
        <f t="shared" si="450"/>
        <v>#REF!</v>
      </c>
      <c r="R179" s="168" t="str">
        <f t="shared" si="450"/>
        <v>#REF!</v>
      </c>
      <c r="S179" s="168" t="str">
        <f t="shared" si="450"/>
        <v>#REF!</v>
      </c>
      <c r="T179" s="168" t="str">
        <f t="shared" si="450"/>
        <v>#REF!</v>
      </c>
      <c r="U179" s="168" t="str">
        <f t="shared" ref="U179:AJ179" si="451">#REF!</f>
        <v>#REF!</v>
      </c>
      <c r="V179" s="168" t="str">
        <f t="shared" si="451"/>
        <v>#REF!</v>
      </c>
      <c r="W179" s="168" t="str">
        <f t="shared" si="451"/>
        <v>#REF!</v>
      </c>
      <c r="X179" s="168" t="str">
        <f t="shared" si="451"/>
        <v>#REF!</v>
      </c>
      <c r="Y179" s="168" t="str">
        <f t="shared" si="451"/>
        <v>#REF!</v>
      </c>
      <c r="Z179" s="168" t="str">
        <f t="shared" si="451"/>
        <v>#REF!</v>
      </c>
      <c r="AA179" s="168" t="str">
        <f t="shared" si="451"/>
        <v>#REF!</v>
      </c>
      <c r="AB179" s="168" t="str">
        <f t="shared" si="451"/>
        <v>#REF!</v>
      </c>
      <c r="AC179" s="168" t="str">
        <f t="shared" si="451"/>
        <v>#REF!</v>
      </c>
      <c r="AD179" s="168" t="str">
        <f t="shared" si="451"/>
        <v>#REF!</v>
      </c>
      <c r="AE179" s="168" t="str">
        <f t="shared" si="451"/>
        <v>#REF!</v>
      </c>
      <c r="AF179" s="168" t="str">
        <f t="shared" si="451"/>
        <v>#REF!</v>
      </c>
      <c r="AG179" s="168" t="str">
        <f t="shared" si="451"/>
        <v>#REF!</v>
      </c>
      <c r="AH179" s="168" t="str">
        <f t="shared" si="451"/>
        <v>#REF!</v>
      </c>
      <c r="AI179" s="168" t="str">
        <f t="shared" si="451"/>
        <v>#REF!</v>
      </c>
      <c r="AJ179" s="168" t="str">
        <f t="shared" si="451"/>
        <v>#REF!</v>
      </c>
    </row>
    <row r="180" ht="15.75" customHeight="1">
      <c r="A180" s="168" t="str">
        <f t="shared" ref="A180:T180" si="452">if(#REF!=$D$1,#REF!,"")</f>
        <v>#REF!</v>
      </c>
      <c r="B180" s="168" t="str">
        <f t="shared" si="452"/>
        <v>#REF!</v>
      </c>
      <c r="C180" s="168" t="str">
        <f t="shared" si="452"/>
        <v>#REF!</v>
      </c>
      <c r="D180" s="168" t="str">
        <f t="shared" si="452"/>
        <v>#REF!</v>
      </c>
      <c r="E180" s="168" t="str">
        <f t="shared" si="452"/>
        <v>#REF!</v>
      </c>
      <c r="F180" s="168" t="str">
        <f t="shared" si="452"/>
        <v>#REF!</v>
      </c>
      <c r="G180" s="168" t="str">
        <f t="shared" si="452"/>
        <v>#REF!</v>
      </c>
      <c r="H180" s="168" t="str">
        <f t="shared" si="452"/>
        <v>#REF!</v>
      </c>
      <c r="I180" s="168" t="str">
        <f t="shared" si="452"/>
        <v>#REF!</v>
      </c>
      <c r="J180" s="168" t="str">
        <f t="shared" si="452"/>
        <v>#REF!</v>
      </c>
      <c r="K180" s="168" t="str">
        <f t="shared" si="452"/>
        <v>#REF!</v>
      </c>
      <c r="L180" s="168" t="str">
        <f t="shared" si="452"/>
        <v>#REF!</v>
      </c>
      <c r="M180" s="168" t="str">
        <f t="shared" si="452"/>
        <v>#REF!</v>
      </c>
      <c r="N180" s="168" t="str">
        <f t="shared" si="452"/>
        <v>#REF!</v>
      </c>
      <c r="O180" s="168" t="str">
        <f t="shared" si="452"/>
        <v>#REF!</v>
      </c>
      <c r="P180" s="168" t="str">
        <f t="shared" si="452"/>
        <v>#REF!</v>
      </c>
      <c r="Q180" s="168" t="str">
        <f t="shared" si="452"/>
        <v>#REF!</v>
      </c>
      <c r="R180" s="168" t="str">
        <f t="shared" si="452"/>
        <v>#REF!</v>
      </c>
      <c r="S180" s="168" t="str">
        <f t="shared" si="452"/>
        <v>#REF!</v>
      </c>
      <c r="T180" s="168" t="str">
        <f t="shared" si="452"/>
        <v>#REF!</v>
      </c>
      <c r="U180" s="168" t="str">
        <f t="shared" ref="U180:AJ180" si="453">#REF!</f>
        <v>#REF!</v>
      </c>
      <c r="V180" s="168" t="str">
        <f t="shared" si="453"/>
        <v>#REF!</v>
      </c>
      <c r="W180" s="168" t="str">
        <f t="shared" si="453"/>
        <v>#REF!</v>
      </c>
      <c r="X180" s="168" t="str">
        <f t="shared" si="453"/>
        <v>#REF!</v>
      </c>
      <c r="Y180" s="168" t="str">
        <f t="shared" si="453"/>
        <v>#REF!</v>
      </c>
      <c r="Z180" s="168" t="str">
        <f t="shared" si="453"/>
        <v>#REF!</v>
      </c>
      <c r="AA180" s="168" t="str">
        <f t="shared" si="453"/>
        <v>#REF!</v>
      </c>
      <c r="AB180" s="168" t="str">
        <f t="shared" si="453"/>
        <v>#REF!</v>
      </c>
      <c r="AC180" s="168" t="str">
        <f t="shared" si="453"/>
        <v>#REF!</v>
      </c>
      <c r="AD180" s="168" t="str">
        <f t="shared" si="453"/>
        <v>#REF!</v>
      </c>
      <c r="AE180" s="168" t="str">
        <f t="shared" si="453"/>
        <v>#REF!</v>
      </c>
      <c r="AF180" s="168" t="str">
        <f t="shared" si="453"/>
        <v>#REF!</v>
      </c>
      <c r="AG180" s="168" t="str">
        <f t="shared" si="453"/>
        <v>#REF!</v>
      </c>
      <c r="AH180" s="168" t="str">
        <f t="shared" si="453"/>
        <v>#REF!</v>
      </c>
      <c r="AI180" s="168" t="str">
        <f t="shared" si="453"/>
        <v>#REF!</v>
      </c>
      <c r="AJ180" s="168" t="str">
        <f t="shared" si="453"/>
        <v>#REF!</v>
      </c>
    </row>
    <row r="181" ht="15.75" customHeight="1">
      <c r="A181" s="168" t="str">
        <f>if('2026 Pipeline'!$M31=$D$1,'2026 Pipeline'!C31,"")</f>
        <v>#REF!</v>
      </c>
      <c r="B181" s="168" t="str">
        <f t="shared" ref="B181:C181" si="454">if('2026 Pipeline'!$M31=$D$1,'2026 Pipeline'!J31,"")</f>
        <v>#REF!</v>
      </c>
      <c r="C181" s="168" t="str">
        <f t="shared" si="454"/>
        <v>#REF!</v>
      </c>
      <c r="D181" s="168" t="str">
        <f t="shared" ref="D181:F181" si="455">if('2026 Pipeline'!$M31=$D$1,'2026 Pipeline'!M31,"")</f>
        <v>#REF!</v>
      </c>
      <c r="E181" s="168" t="str">
        <f t="shared" si="455"/>
        <v>#REF!</v>
      </c>
      <c r="F181" s="168" t="str">
        <f t="shared" si="455"/>
        <v>#REF!</v>
      </c>
      <c r="G181" s="168" t="str">
        <f>if('2026 Pipeline'!$M31=$D$1,'2026 Pipeline'!Q31,"")</f>
        <v>#REF!</v>
      </c>
      <c r="H181" s="168" t="str">
        <f>if('2026 Pipeline'!$M31=$D$1,'2026 Pipeline'!P31,"")</f>
        <v>#REF!</v>
      </c>
      <c r="I181" s="168" t="str">
        <f>if('2026 Pipeline'!$M31=$D$1,'2026 Pipeline'!R31,"")</f>
        <v>#REF!</v>
      </c>
      <c r="J181" s="168" t="str">
        <f t="shared" ref="J181:L181" si="456">if('2026 Pipeline'!$M31=$D$1,'2026 Pipeline'!V31,"")</f>
        <v>#REF!</v>
      </c>
      <c r="K181" s="168" t="str">
        <f t="shared" si="456"/>
        <v>#REF!</v>
      </c>
      <c r="L181" s="168" t="str">
        <f t="shared" si="456"/>
        <v>#REF!</v>
      </c>
      <c r="M181" s="168" t="str">
        <f t="shared" ref="M181:O181" si="457">if('2026 Pipeline'!$M31=$D$1,#REF!,"")</f>
        <v>#REF!</v>
      </c>
      <c r="N181" s="168" t="str">
        <f t="shared" si="457"/>
        <v>#REF!</v>
      </c>
      <c r="O181" s="168" t="str">
        <f t="shared" si="457"/>
        <v>#REF!</v>
      </c>
      <c r="P181" s="168" t="str">
        <f>if('2026 Pipeline'!$M31=$D$1,'2026 Pipeline'!AA31,"")</f>
        <v>#REF!</v>
      </c>
      <c r="Q181" s="168" t="str">
        <f>if('2026 Pipeline'!$M31=$D$1,'2026 Pipeline'!Y31,"")</f>
        <v>#REF!</v>
      </c>
      <c r="R181" s="168" t="str">
        <f>if('2026 Pipeline'!$M31=$D$1,#REF!,"")</f>
        <v>#REF!</v>
      </c>
      <c r="S181" s="168" t="str">
        <f>if('2026 Pipeline'!$M31=$D$1,'2026 Pipeline'!L31,"")</f>
        <v>#REF!</v>
      </c>
      <c r="T181" s="168" t="str">
        <f>if('2026 Pipeline'!$M31=$D$1,'2026 Pipeline'!CD31,"")</f>
        <v>#REF!</v>
      </c>
      <c r="U181" s="168" t="str">
        <f t="shared" ref="U181:AJ181" si="458">#REF!</f>
        <v>#REF!</v>
      </c>
      <c r="V181" s="168" t="str">
        <f t="shared" si="458"/>
        <v>#REF!</v>
      </c>
      <c r="W181" s="168" t="str">
        <f t="shared" si="458"/>
        <v>#REF!</v>
      </c>
      <c r="X181" s="168" t="str">
        <f t="shared" si="458"/>
        <v>#REF!</v>
      </c>
      <c r="Y181" s="168" t="str">
        <f t="shared" si="458"/>
        <v>#REF!</v>
      </c>
      <c r="Z181" s="168" t="str">
        <f t="shared" si="458"/>
        <v>#REF!</v>
      </c>
      <c r="AA181" s="168" t="str">
        <f t="shared" si="458"/>
        <v>#REF!</v>
      </c>
      <c r="AB181" s="168" t="str">
        <f t="shared" si="458"/>
        <v>#REF!</v>
      </c>
      <c r="AC181" s="168" t="str">
        <f t="shared" si="458"/>
        <v>#REF!</v>
      </c>
      <c r="AD181" s="168" t="str">
        <f t="shared" si="458"/>
        <v>#REF!</v>
      </c>
      <c r="AE181" s="168" t="str">
        <f t="shared" si="458"/>
        <v>#REF!</v>
      </c>
      <c r="AF181" s="168" t="str">
        <f t="shared" si="458"/>
        <v>#REF!</v>
      </c>
      <c r="AG181" s="168" t="str">
        <f t="shared" si="458"/>
        <v>#REF!</v>
      </c>
      <c r="AH181" s="168" t="str">
        <f t="shared" si="458"/>
        <v>#REF!</v>
      </c>
      <c r="AI181" s="168" t="str">
        <f t="shared" si="458"/>
        <v>#REF!</v>
      </c>
      <c r="AJ181" s="168" t="str">
        <f t="shared" si="458"/>
        <v>#REF!</v>
      </c>
    </row>
    <row r="182" ht="15.75" customHeight="1">
      <c r="A182" s="168" t="str">
        <f t="shared" ref="A182:T182" si="459">if(#REF!=$D$1,#REF!,"")</f>
        <v>#REF!</v>
      </c>
      <c r="B182" s="168" t="str">
        <f t="shared" si="459"/>
        <v>#REF!</v>
      </c>
      <c r="C182" s="168" t="str">
        <f t="shared" si="459"/>
        <v>#REF!</v>
      </c>
      <c r="D182" s="168" t="str">
        <f t="shared" si="459"/>
        <v>#REF!</v>
      </c>
      <c r="E182" s="168" t="str">
        <f t="shared" si="459"/>
        <v>#REF!</v>
      </c>
      <c r="F182" s="168" t="str">
        <f t="shared" si="459"/>
        <v>#REF!</v>
      </c>
      <c r="G182" s="168" t="str">
        <f t="shared" si="459"/>
        <v>#REF!</v>
      </c>
      <c r="H182" s="168" t="str">
        <f t="shared" si="459"/>
        <v>#REF!</v>
      </c>
      <c r="I182" s="168" t="str">
        <f t="shared" si="459"/>
        <v>#REF!</v>
      </c>
      <c r="J182" s="168" t="str">
        <f t="shared" si="459"/>
        <v>#REF!</v>
      </c>
      <c r="K182" s="168" t="str">
        <f t="shared" si="459"/>
        <v>#REF!</v>
      </c>
      <c r="L182" s="168" t="str">
        <f t="shared" si="459"/>
        <v>#REF!</v>
      </c>
      <c r="M182" s="168" t="str">
        <f t="shared" si="459"/>
        <v>#REF!</v>
      </c>
      <c r="N182" s="168" t="str">
        <f t="shared" si="459"/>
        <v>#REF!</v>
      </c>
      <c r="O182" s="168" t="str">
        <f t="shared" si="459"/>
        <v>#REF!</v>
      </c>
      <c r="P182" s="168" t="str">
        <f t="shared" si="459"/>
        <v>#REF!</v>
      </c>
      <c r="Q182" s="168" t="str">
        <f t="shared" si="459"/>
        <v>#REF!</v>
      </c>
      <c r="R182" s="168" t="str">
        <f t="shared" si="459"/>
        <v>#REF!</v>
      </c>
      <c r="S182" s="168" t="str">
        <f t="shared" si="459"/>
        <v>#REF!</v>
      </c>
      <c r="T182" s="168" t="str">
        <f t="shared" si="459"/>
        <v>#REF!</v>
      </c>
      <c r="U182" s="168" t="str">
        <f t="shared" ref="U182:AJ182" si="460">#REF!</f>
        <v>#REF!</v>
      </c>
      <c r="V182" s="168" t="str">
        <f t="shared" si="460"/>
        <v>#REF!</v>
      </c>
      <c r="W182" s="168" t="str">
        <f t="shared" si="460"/>
        <v>#REF!</v>
      </c>
      <c r="X182" s="168" t="str">
        <f t="shared" si="460"/>
        <v>#REF!</v>
      </c>
      <c r="Y182" s="168" t="str">
        <f t="shared" si="460"/>
        <v>#REF!</v>
      </c>
      <c r="Z182" s="168" t="str">
        <f t="shared" si="460"/>
        <v>#REF!</v>
      </c>
      <c r="AA182" s="168" t="str">
        <f t="shared" si="460"/>
        <v>#REF!</v>
      </c>
      <c r="AB182" s="168" t="str">
        <f t="shared" si="460"/>
        <v>#REF!</v>
      </c>
      <c r="AC182" s="168" t="str">
        <f t="shared" si="460"/>
        <v>#REF!</v>
      </c>
      <c r="AD182" s="168" t="str">
        <f t="shared" si="460"/>
        <v>#REF!</v>
      </c>
      <c r="AE182" s="168" t="str">
        <f t="shared" si="460"/>
        <v>#REF!</v>
      </c>
      <c r="AF182" s="168" t="str">
        <f t="shared" si="460"/>
        <v>#REF!</v>
      </c>
      <c r="AG182" s="168" t="str">
        <f t="shared" si="460"/>
        <v>#REF!</v>
      </c>
      <c r="AH182" s="168" t="str">
        <f t="shared" si="460"/>
        <v>#REF!</v>
      </c>
      <c r="AI182" s="168" t="str">
        <f t="shared" si="460"/>
        <v>#REF!</v>
      </c>
      <c r="AJ182" s="168" t="str">
        <f t="shared" si="460"/>
        <v>#REF!</v>
      </c>
    </row>
    <row r="183" ht="15.75" customHeight="1">
      <c r="A183" s="168" t="str">
        <f t="shared" ref="A183:T183" si="461">if(#REF!=$D$1,#REF!,"")</f>
        <v>#REF!</v>
      </c>
      <c r="B183" s="168" t="str">
        <f t="shared" si="461"/>
        <v>#REF!</v>
      </c>
      <c r="C183" s="168" t="str">
        <f t="shared" si="461"/>
        <v>#REF!</v>
      </c>
      <c r="D183" s="168" t="str">
        <f t="shared" si="461"/>
        <v>#REF!</v>
      </c>
      <c r="E183" s="168" t="str">
        <f t="shared" si="461"/>
        <v>#REF!</v>
      </c>
      <c r="F183" s="168" t="str">
        <f t="shared" si="461"/>
        <v>#REF!</v>
      </c>
      <c r="G183" s="168" t="str">
        <f t="shared" si="461"/>
        <v>#REF!</v>
      </c>
      <c r="H183" s="168" t="str">
        <f t="shared" si="461"/>
        <v>#REF!</v>
      </c>
      <c r="I183" s="168" t="str">
        <f t="shared" si="461"/>
        <v>#REF!</v>
      </c>
      <c r="J183" s="168" t="str">
        <f t="shared" si="461"/>
        <v>#REF!</v>
      </c>
      <c r="K183" s="168" t="str">
        <f t="shared" si="461"/>
        <v>#REF!</v>
      </c>
      <c r="L183" s="168" t="str">
        <f t="shared" si="461"/>
        <v>#REF!</v>
      </c>
      <c r="M183" s="168" t="str">
        <f t="shared" si="461"/>
        <v>#REF!</v>
      </c>
      <c r="N183" s="168" t="str">
        <f t="shared" si="461"/>
        <v>#REF!</v>
      </c>
      <c r="O183" s="168" t="str">
        <f t="shared" si="461"/>
        <v>#REF!</v>
      </c>
      <c r="P183" s="168" t="str">
        <f t="shared" si="461"/>
        <v>#REF!</v>
      </c>
      <c r="Q183" s="168" t="str">
        <f t="shared" si="461"/>
        <v>#REF!</v>
      </c>
      <c r="R183" s="168" t="str">
        <f t="shared" si="461"/>
        <v>#REF!</v>
      </c>
      <c r="S183" s="168" t="str">
        <f t="shared" si="461"/>
        <v>#REF!</v>
      </c>
      <c r="T183" s="168" t="str">
        <f t="shared" si="461"/>
        <v>#REF!</v>
      </c>
      <c r="U183" s="168" t="str">
        <f>'2026 Pipeline'!AP31</f>
        <v>#REF!</v>
      </c>
      <c r="V183" s="168" t="str">
        <f t="shared" ref="V183:Z183" si="462">'2026 Pipeline'!CJ31</f>
        <v>#REF!</v>
      </c>
      <c r="W183" s="168" t="str">
        <f t="shared" si="462"/>
        <v>#REF!</v>
      </c>
      <c r="X183" s="168" t="str">
        <f t="shared" si="462"/>
        <v>#REF!</v>
      </c>
      <c r="Y183" s="168" t="str">
        <f t="shared" si="462"/>
        <v>#REF!</v>
      </c>
      <c r="Z183" s="168" t="str">
        <f t="shared" si="462"/>
        <v>#REF!</v>
      </c>
      <c r="AA183" s="168" t="str">
        <f t="shared" ref="AA183:AF183" si="463">#REF!</f>
        <v>#REF!</v>
      </c>
      <c r="AB183" s="168" t="str">
        <f t="shared" si="463"/>
        <v>#REF!</v>
      </c>
      <c r="AC183" s="168" t="str">
        <f t="shared" si="463"/>
        <v>#REF!</v>
      </c>
      <c r="AD183" s="168" t="str">
        <f t="shared" si="463"/>
        <v>#REF!</v>
      </c>
      <c r="AE183" s="168" t="str">
        <f t="shared" si="463"/>
        <v>#REF!</v>
      </c>
      <c r="AF183" s="168" t="str">
        <f t="shared" si="463"/>
        <v>#REF!</v>
      </c>
      <c r="AG183" s="168" t="str">
        <f>'2026 Pipeline'!CT31</f>
        <v>#REF!</v>
      </c>
      <c r="AH183" s="168" t="str">
        <f>'2026 Pipeline'!S31</f>
        <v>#REF!</v>
      </c>
      <c r="AI183" s="168" t="str">
        <f t="shared" ref="AI183:AJ183" si="464">#REF!</f>
        <v>#REF!</v>
      </c>
      <c r="AJ183" s="168" t="str">
        <f t="shared" si="464"/>
        <v>#REF!</v>
      </c>
    </row>
    <row r="184" ht="15.75" customHeight="1">
      <c r="A184" s="168" t="str">
        <f t="shared" ref="A184:T184" si="465">if(#REF!=$D$1,#REF!,"")</f>
        <v>#REF!</v>
      </c>
      <c r="B184" s="168" t="str">
        <f t="shared" si="465"/>
        <v>#REF!</v>
      </c>
      <c r="C184" s="168" t="str">
        <f t="shared" si="465"/>
        <v>#REF!</v>
      </c>
      <c r="D184" s="168" t="str">
        <f t="shared" si="465"/>
        <v>#REF!</v>
      </c>
      <c r="E184" s="168" t="str">
        <f t="shared" si="465"/>
        <v>#REF!</v>
      </c>
      <c r="F184" s="168" t="str">
        <f t="shared" si="465"/>
        <v>#REF!</v>
      </c>
      <c r="G184" s="168" t="str">
        <f t="shared" si="465"/>
        <v>#REF!</v>
      </c>
      <c r="H184" s="168" t="str">
        <f t="shared" si="465"/>
        <v>#REF!</v>
      </c>
      <c r="I184" s="168" t="str">
        <f t="shared" si="465"/>
        <v>#REF!</v>
      </c>
      <c r="J184" s="168" t="str">
        <f t="shared" si="465"/>
        <v>#REF!</v>
      </c>
      <c r="K184" s="168" t="str">
        <f t="shared" si="465"/>
        <v>#REF!</v>
      </c>
      <c r="L184" s="168" t="str">
        <f t="shared" si="465"/>
        <v>#REF!</v>
      </c>
      <c r="M184" s="168" t="str">
        <f t="shared" si="465"/>
        <v>#REF!</v>
      </c>
      <c r="N184" s="168" t="str">
        <f t="shared" si="465"/>
        <v>#REF!</v>
      </c>
      <c r="O184" s="168" t="str">
        <f t="shared" si="465"/>
        <v>#REF!</v>
      </c>
      <c r="P184" s="168" t="str">
        <f t="shared" si="465"/>
        <v>#REF!</v>
      </c>
      <c r="Q184" s="168" t="str">
        <f t="shared" si="465"/>
        <v>#REF!</v>
      </c>
      <c r="R184" s="168" t="str">
        <f t="shared" si="465"/>
        <v>#REF!</v>
      </c>
      <c r="S184" s="168" t="str">
        <f t="shared" si="465"/>
        <v>#REF!</v>
      </c>
      <c r="T184" s="168" t="str">
        <f t="shared" si="465"/>
        <v>#REF!</v>
      </c>
      <c r="U184" s="168" t="str">
        <f t="shared" ref="U184:AJ184" si="466">#REF!</f>
        <v>#REF!</v>
      </c>
      <c r="V184" s="168" t="str">
        <f t="shared" si="466"/>
        <v>#REF!</v>
      </c>
      <c r="W184" s="168" t="str">
        <f t="shared" si="466"/>
        <v>#REF!</v>
      </c>
      <c r="X184" s="168" t="str">
        <f t="shared" si="466"/>
        <v>#REF!</v>
      </c>
      <c r="Y184" s="168" t="str">
        <f t="shared" si="466"/>
        <v>#REF!</v>
      </c>
      <c r="Z184" s="168" t="str">
        <f t="shared" si="466"/>
        <v>#REF!</v>
      </c>
      <c r="AA184" s="168" t="str">
        <f t="shared" si="466"/>
        <v>#REF!</v>
      </c>
      <c r="AB184" s="168" t="str">
        <f t="shared" si="466"/>
        <v>#REF!</v>
      </c>
      <c r="AC184" s="168" t="str">
        <f t="shared" si="466"/>
        <v>#REF!</v>
      </c>
      <c r="AD184" s="168" t="str">
        <f t="shared" si="466"/>
        <v>#REF!</v>
      </c>
      <c r="AE184" s="168" t="str">
        <f t="shared" si="466"/>
        <v>#REF!</v>
      </c>
      <c r="AF184" s="168" t="str">
        <f t="shared" si="466"/>
        <v>#REF!</v>
      </c>
      <c r="AG184" s="168" t="str">
        <f t="shared" si="466"/>
        <v>#REF!</v>
      </c>
      <c r="AH184" s="168" t="str">
        <f t="shared" si="466"/>
        <v>#REF!</v>
      </c>
      <c r="AI184" s="168" t="str">
        <f t="shared" si="466"/>
        <v>#REF!</v>
      </c>
      <c r="AJ184" s="168" t="str">
        <f t="shared" si="466"/>
        <v>#REF!</v>
      </c>
    </row>
    <row r="185" ht="15.75" customHeight="1">
      <c r="A185" s="168" t="str">
        <f t="shared" ref="A185:T185" si="467">if(#REF!=$D$1,#REF!,"")</f>
        <v>#REF!</v>
      </c>
      <c r="B185" s="168" t="str">
        <f t="shared" si="467"/>
        <v>#REF!</v>
      </c>
      <c r="C185" s="168" t="str">
        <f t="shared" si="467"/>
        <v>#REF!</v>
      </c>
      <c r="D185" s="168" t="str">
        <f t="shared" si="467"/>
        <v>#REF!</v>
      </c>
      <c r="E185" s="168" t="str">
        <f t="shared" si="467"/>
        <v>#REF!</v>
      </c>
      <c r="F185" s="168" t="str">
        <f t="shared" si="467"/>
        <v>#REF!</v>
      </c>
      <c r="G185" s="168" t="str">
        <f t="shared" si="467"/>
        <v>#REF!</v>
      </c>
      <c r="H185" s="168" t="str">
        <f t="shared" si="467"/>
        <v>#REF!</v>
      </c>
      <c r="I185" s="168" t="str">
        <f t="shared" si="467"/>
        <v>#REF!</v>
      </c>
      <c r="J185" s="168" t="str">
        <f t="shared" si="467"/>
        <v>#REF!</v>
      </c>
      <c r="K185" s="168" t="str">
        <f t="shared" si="467"/>
        <v>#REF!</v>
      </c>
      <c r="L185" s="168" t="str">
        <f t="shared" si="467"/>
        <v>#REF!</v>
      </c>
      <c r="M185" s="168" t="str">
        <f t="shared" si="467"/>
        <v>#REF!</v>
      </c>
      <c r="N185" s="168" t="str">
        <f t="shared" si="467"/>
        <v>#REF!</v>
      </c>
      <c r="O185" s="168" t="str">
        <f t="shared" si="467"/>
        <v>#REF!</v>
      </c>
      <c r="P185" s="168" t="str">
        <f t="shared" si="467"/>
        <v>#REF!</v>
      </c>
      <c r="Q185" s="168" t="str">
        <f t="shared" si="467"/>
        <v>#REF!</v>
      </c>
      <c r="R185" s="168" t="str">
        <f t="shared" si="467"/>
        <v>#REF!</v>
      </c>
      <c r="S185" s="168" t="str">
        <f t="shared" si="467"/>
        <v>#REF!</v>
      </c>
      <c r="T185" s="168" t="str">
        <f t="shared" si="467"/>
        <v>#REF!</v>
      </c>
      <c r="U185" s="168" t="str">
        <f t="shared" ref="U185:AJ185" si="468">#REF!</f>
        <v>#REF!</v>
      </c>
      <c r="V185" s="168" t="str">
        <f t="shared" si="468"/>
        <v>#REF!</v>
      </c>
      <c r="W185" s="168" t="str">
        <f t="shared" si="468"/>
        <v>#REF!</v>
      </c>
      <c r="X185" s="168" t="str">
        <f t="shared" si="468"/>
        <v>#REF!</v>
      </c>
      <c r="Y185" s="168" t="str">
        <f t="shared" si="468"/>
        <v>#REF!</v>
      </c>
      <c r="Z185" s="168" t="str">
        <f t="shared" si="468"/>
        <v>#REF!</v>
      </c>
      <c r="AA185" s="168" t="str">
        <f t="shared" si="468"/>
        <v>#REF!</v>
      </c>
      <c r="AB185" s="168" t="str">
        <f t="shared" si="468"/>
        <v>#REF!</v>
      </c>
      <c r="AC185" s="168" t="str">
        <f t="shared" si="468"/>
        <v>#REF!</v>
      </c>
      <c r="AD185" s="168" t="str">
        <f t="shared" si="468"/>
        <v>#REF!</v>
      </c>
      <c r="AE185" s="168" t="str">
        <f t="shared" si="468"/>
        <v>#REF!</v>
      </c>
      <c r="AF185" s="168" t="str">
        <f t="shared" si="468"/>
        <v>#REF!</v>
      </c>
      <c r="AG185" s="168" t="str">
        <f t="shared" si="468"/>
        <v>#REF!</v>
      </c>
      <c r="AH185" s="168" t="str">
        <f t="shared" si="468"/>
        <v>#REF!</v>
      </c>
      <c r="AI185" s="168" t="str">
        <f t="shared" si="468"/>
        <v>#REF!</v>
      </c>
      <c r="AJ185" s="168" t="str">
        <f t="shared" si="468"/>
        <v>#REF!</v>
      </c>
    </row>
    <row r="186" ht="15.75" customHeight="1">
      <c r="A186" s="168" t="str">
        <f t="shared" ref="A186:T186" si="469">if(#REF!=$D$1,#REF!,"")</f>
        <v>#REF!</v>
      </c>
      <c r="B186" s="168" t="str">
        <f t="shared" si="469"/>
        <v>#REF!</v>
      </c>
      <c r="C186" s="168" t="str">
        <f t="shared" si="469"/>
        <v>#REF!</v>
      </c>
      <c r="D186" s="168" t="str">
        <f t="shared" si="469"/>
        <v>#REF!</v>
      </c>
      <c r="E186" s="168" t="str">
        <f t="shared" si="469"/>
        <v>#REF!</v>
      </c>
      <c r="F186" s="168" t="str">
        <f t="shared" si="469"/>
        <v>#REF!</v>
      </c>
      <c r="G186" s="168" t="str">
        <f t="shared" si="469"/>
        <v>#REF!</v>
      </c>
      <c r="H186" s="168" t="str">
        <f t="shared" si="469"/>
        <v>#REF!</v>
      </c>
      <c r="I186" s="168" t="str">
        <f t="shared" si="469"/>
        <v>#REF!</v>
      </c>
      <c r="J186" s="168" t="str">
        <f t="shared" si="469"/>
        <v>#REF!</v>
      </c>
      <c r="K186" s="168" t="str">
        <f t="shared" si="469"/>
        <v>#REF!</v>
      </c>
      <c r="L186" s="168" t="str">
        <f t="shared" si="469"/>
        <v>#REF!</v>
      </c>
      <c r="M186" s="168" t="str">
        <f t="shared" si="469"/>
        <v>#REF!</v>
      </c>
      <c r="N186" s="168" t="str">
        <f t="shared" si="469"/>
        <v>#REF!</v>
      </c>
      <c r="O186" s="168" t="str">
        <f t="shared" si="469"/>
        <v>#REF!</v>
      </c>
      <c r="P186" s="168" t="str">
        <f t="shared" si="469"/>
        <v>#REF!</v>
      </c>
      <c r="Q186" s="168" t="str">
        <f t="shared" si="469"/>
        <v>#REF!</v>
      </c>
      <c r="R186" s="168" t="str">
        <f t="shared" si="469"/>
        <v>#REF!</v>
      </c>
      <c r="S186" s="168" t="str">
        <f t="shared" si="469"/>
        <v>#REF!</v>
      </c>
      <c r="T186" s="168" t="str">
        <f t="shared" si="469"/>
        <v>#REF!</v>
      </c>
      <c r="U186" s="168" t="str">
        <f t="shared" ref="U186:AJ186" si="470">#REF!</f>
        <v>#REF!</v>
      </c>
      <c r="V186" s="168" t="str">
        <f t="shared" si="470"/>
        <v>#REF!</v>
      </c>
      <c r="W186" s="168" t="str">
        <f t="shared" si="470"/>
        <v>#REF!</v>
      </c>
      <c r="X186" s="168" t="str">
        <f t="shared" si="470"/>
        <v>#REF!</v>
      </c>
      <c r="Y186" s="168" t="str">
        <f t="shared" si="470"/>
        <v>#REF!</v>
      </c>
      <c r="Z186" s="168" t="str">
        <f t="shared" si="470"/>
        <v>#REF!</v>
      </c>
      <c r="AA186" s="168" t="str">
        <f t="shared" si="470"/>
        <v>#REF!</v>
      </c>
      <c r="AB186" s="168" t="str">
        <f t="shared" si="470"/>
        <v>#REF!</v>
      </c>
      <c r="AC186" s="168" t="str">
        <f t="shared" si="470"/>
        <v>#REF!</v>
      </c>
      <c r="AD186" s="168" t="str">
        <f t="shared" si="470"/>
        <v>#REF!</v>
      </c>
      <c r="AE186" s="168" t="str">
        <f t="shared" si="470"/>
        <v>#REF!</v>
      </c>
      <c r="AF186" s="168" t="str">
        <f t="shared" si="470"/>
        <v>#REF!</v>
      </c>
      <c r="AG186" s="168" t="str">
        <f t="shared" si="470"/>
        <v>#REF!</v>
      </c>
      <c r="AH186" s="168" t="str">
        <f t="shared" si="470"/>
        <v>#REF!</v>
      </c>
      <c r="AI186" s="168" t="str">
        <f t="shared" si="470"/>
        <v>#REF!</v>
      </c>
      <c r="AJ186" s="168" t="str">
        <f t="shared" si="470"/>
        <v>#REF!</v>
      </c>
    </row>
    <row r="187" ht="15.75" customHeight="1">
      <c r="A187" s="168" t="str">
        <f t="shared" ref="A187:T187" si="471">if(#REF!=$D$1,#REF!,"")</f>
        <v>#REF!</v>
      </c>
      <c r="B187" s="168" t="str">
        <f t="shared" si="471"/>
        <v>#REF!</v>
      </c>
      <c r="C187" s="168" t="str">
        <f t="shared" si="471"/>
        <v>#REF!</v>
      </c>
      <c r="D187" s="168" t="str">
        <f t="shared" si="471"/>
        <v>#REF!</v>
      </c>
      <c r="E187" s="168" t="str">
        <f t="shared" si="471"/>
        <v>#REF!</v>
      </c>
      <c r="F187" s="168" t="str">
        <f t="shared" si="471"/>
        <v>#REF!</v>
      </c>
      <c r="G187" s="168" t="str">
        <f t="shared" si="471"/>
        <v>#REF!</v>
      </c>
      <c r="H187" s="168" t="str">
        <f t="shared" si="471"/>
        <v>#REF!</v>
      </c>
      <c r="I187" s="168" t="str">
        <f t="shared" si="471"/>
        <v>#REF!</v>
      </c>
      <c r="J187" s="168" t="str">
        <f t="shared" si="471"/>
        <v>#REF!</v>
      </c>
      <c r="K187" s="168" t="str">
        <f t="shared" si="471"/>
        <v>#REF!</v>
      </c>
      <c r="L187" s="168" t="str">
        <f t="shared" si="471"/>
        <v>#REF!</v>
      </c>
      <c r="M187" s="168" t="str">
        <f t="shared" si="471"/>
        <v>#REF!</v>
      </c>
      <c r="N187" s="168" t="str">
        <f t="shared" si="471"/>
        <v>#REF!</v>
      </c>
      <c r="O187" s="168" t="str">
        <f t="shared" si="471"/>
        <v>#REF!</v>
      </c>
      <c r="P187" s="168" t="str">
        <f t="shared" si="471"/>
        <v>#REF!</v>
      </c>
      <c r="Q187" s="168" t="str">
        <f t="shared" si="471"/>
        <v>#REF!</v>
      </c>
      <c r="R187" s="168" t="str">
        <f t="shared" si="471"/>
        <v>#REF!</v>
      </c>
      <c r="S187" s="168" t="str">
        <f t="shared" si="471"/>
        <v>#REF!</v>
      </c>
      <c r="T187" s="168" t="str">
        <f t="shared" si="471"/>
        <v>#REF!</v>
      </c>
      <c r="U187" s="168" t="str">
        <f t="shared" ref="U187:AJ187" si="472">#REF!</f>
        <v>#REF!</v>
      </c>
      <c r="V187" s="168" t="str">
        <f t="shared" si="472"/>
        <v>#REF!</v>
      </c>
      <c r="W187" s="168" t="str">
        <f t="shared" si="472"/>
        <v>#REF!</v>
      </c>
      <c r="X187" s="168" t="str">
        <f t="shared" si="472"/>
        <v>#REF!</v>
      </c>
      <c r="Y187" s="168" t="str">
        <f t="shared" si="472"/>
        <v>#REF!</v>
      </c>
      <c r="Z187" s="168" t="str">
        <f t="shared" si="472"/>
        <v>#REF!</v>
      </c>
      <c r="AA187" s="168" t="str">
        <f t="shared" si="472"/>
        <v>#REF!</v>
      </c>
      <c r="AB187" s="168" t="str">
        <f t="shared" si="472"/>
        <v>#REF!</v>
      </c>
      <c r="AC187" s="168" t="str">
        <f t="shared" si="472"/>
        <v>#REF!</v>
      </c>
      <c r="AD187" s="168" t="str">
        <f t="shared" si="472"/>
        <v>#REF!</v>
      </c>
      <c r="AE187" s="168" t="str">
        <f t="shared" si="472"/>
        <v>#REF!</v>
      </c>
      <c r="AF187" s="168" t="str">
        <f t="shared" si="472"/>
        <v>#REF!</v>
      </c>
      <c r="AG187" s="168" t="str">
        <f t="shared" si="472"/>
        <v>#REF!</v>
      </c>
      <c r="AH187" s="168" t="str">
        <f t="shared" si="472"/>
        <v>#REF!</v>
      </c>
      <c r="AI187" s="168" t="str">
        <f t="shared" si="472"/>
        <v>#REF!</v>
      </c>
      <c r="AJ187" s="168" t="str">
        <f t="shared" si="472"/>
        <v>#REF!</v>
      </c>
    </row>
    <row r="188" ht="15.75" customHeight="1">
      <c r="A188" s="168" t="str">
        <f t="shared" ref="A188:T188" si="473">if(#REF!=$D$1,#REF!,"")</f>
        <v>#REF!</v>
      </c>
      <c r="B188" s="168" t="str">
        <f t="shared" si="473"/>
        <v>#REF!</v>
      </c>
      <c r="C188" s="168" t="str">
        <f t="shared" si="473"/>
        <v>#REF!</v>
      </c>
      <c r="D188" s="168" t="str">
        <f t="shared" si="473"/>
        <v>#REF!</v>
      </c>
      <c r="E188" s="168" t="str">
        <f t="shared" si="473"/>
        <v>#REF!</v>
      </c>
      <c r="F188" s="168" t="str">
        <f t="shared" si="473"/>
        <v>#REF!</v>
      </c>
      <c r="G188" s="168" t="str">
        <f t="shared" si="473"/>
        <v>#REF!</v>
      </c>
      <c r="H188" s="168" t="str">
        <f t="shared" si="473"/>
        <v>#REF!</v>
      </c>
      <c r="I188" s="168" t="str">
        <f t="shared" si="473"/>
        <v>#REF!</v>
      </c>
      <c r="J188" s="168" t="str">
        <f t="shared" si="473"/>
        <v>#REF!</v>
      </c>
      <c r="K188" s="168" t="str">
        <f t="shared" si="473"/>
        <v>#REF!</v>
      </c>
      <c r="L188" s="168" t="str">
        <f t="shared" si="473"/>
        <v>#REF!</v>
      </c>
      <c r="M188" s="168" t="str">
        <f t="shared" si="473"/>
        <v>#REF!</v>
      </c>
      <c r="N188" s="168" t="str">
        <f t="shared" si="473"/>
        <v>#REF!</v>
      </c>
      <c r="O188" s="168" t="str">
        <f t="shared" si="473"/>
        <v>#REF!</v>
      </c>
      <c r="P188" s="168" t="str">
        <f t="shared" si="473"/>
        <v>#REF!</v>
      </c>
      <c r="Q188" s="168" t="str">
        <f t="shared" si="473"/>
        <v>#REF!</v>
      </c>
      <c r="R188" s="168" t="str">
        <f t="shared" si="473"/>
        <v>#REF!</v>
      </c>
      <c r="S188" s="168" t="str">
        <f t="shared" si="473"/>
        <v>#REF!</v>
      </c>
      <c r="T188" s="168" t="str">
        <f t="shared" si="473"/>
        <v>#REF!</v>
      </c>
      <c r="U188" s="168" t="str">
        <f t="shared" ref="U188:AJ188" si="474">#REF!</f>
        <v>#REF!</v>
      </c>
      <c r="V188" s="168" t="str">
        <f t="shared" si="474"/>
        <v>#REF!</v>
      </c>
      <c r="W188" s="168" t="str">
        <f t="shared" si="474"/>
        <v>#REF!</v>
      </c>
      <c r="X188" s="168" t="str">
        <f t="shared" si="474"/>
        <v>#REF!</v>
      </c>
      <c r="Y188" s="168" t="str">
        <f t="shared" si="474"/>
        <v>#REF!</v>
      </c>
      <c r="Z188" s="168" t="str">
        <f t="shared" si="474"/>
        <v>#REF!</v>
      </c>
      <c r="AA188" s="168" t="str">
        <f t="shared" si="474"/>
        <v>#REF!</v>
      </c>
      <c r="AB188" s="168" t="str">
        <f t="shared" si="474"/>
        <v>#REF!</v>
      </c>
      <c r="AC188" s="168" t="str">
        <f t="shared" si="474"/>
        <v>#REF!</v>
      </c>
      <c r="AD188" s="168" t="str">
        <f t="shared" si="474"/>
        <v>#REF!</v>
      </c>
      <c r="AE188" s="168" t="str">
        <f t="shared" si="474"/>
        <v>#REF!</v>
      </c>
      <c r="AF188" s="168" t="str">
        <f t="shared" si="474"/>
        <v>#REF!</v>
      </c>
      <c r="AG188" s="168" t="str">
        <f t="shared" si="474"/>
        <v>#REF!</v>
      </c>
      <c r="AH188" s="168" t="str">
        <f t="shared" si="474"/>
        <v>#REF!</v>
      </c>
      <c r="AI188" s="168" t="str">
        <f t="shared" si="474"/>
        <v>#REF!</v>
      </c>
      <c r="AJ188" s="168" t="str">
        <f t="shared" si="474"/>
        <v>#REF!</v>
      </c>
    </row>
    <row r="189" ht="15.75" customHeight="1">
      <c r="A189" s="168" t="str">
        <f t="shared" ref="A189:T189" si="475">if(#REF!=$D$1,#REF!,"")</f>
        <v>#REF!</v>
      </c>
      <c r="B189" s="168" t="str">
        <f t="shared" si="475"/>
        <v>#REF!</v>
      </c>
      <c r="C189" s="168" t="str">
        <f t="shared" si="475"/>
        <v>#REF!</v>
      </c>
      <c r="D189" s="168" t="str">
        <f t="shared" si="475"/>
        <v>#REF!</v>
      </c>
      <c r="E189" s="168" t="str">
        <f t="shared" si="475"/>
        <v>#REF!</v>
      </c>
      <c r="F189" s="168" t="str">
        <f t="shared" si="475"/>
        <v>#REF!</v>
      </c>
      <c r="G189" s="168" t="str">
        <f t="shared" si="475"/>
        <v>#REF!</v>
      </c>
      <c r="H189" s="168" t="str">
        <f t="shared" si="475"/>
        <v>#REF!</v>
      </c>
      <c r="I189" s="168" t="str">
        <f t="shared" si="475"/>
        <v>#REF!</v>
      </c>
      <c r="J189" s="168" t="str">
        <f t="shared" si="475"/>
        <v>#REF!</v>
      </c>
      <c r="K189" s="168" t="str">
        <f t="shared" si="475"/>
        <v>#REF!</v>
      </c>
      <c r="L189" s="168" t="str">
        <f t="shared" si="475"/>
        <v>#REF!</v>
      </c>
      <c r="M189" s="168" t="str">
        <f t="shared" si="475"/>
        <v>#REF!</v>
      </c>
      <c r="N189" s="168" t="str">
        <f t="shared" si="475"/>
        <v>#REF!</v>
      </c>
      <c r="O189" s="168" t="str">
        <f t="shared" si="475"/>
        <v>#REF!</v>
      </c>
      <c r="P189" s="168" t="str">
        <f t="shared" si="475"/>
        <v>#REF!</v>
      </c>
      <c r="Q189" s="168" t="str">
        <f t="shared" si="475"/>
        <v>#REF!</v>
      </c>
      <c r="R189" s="168" t="str">
        <f t="shared" si="475"/>
        <v>#REF!</v>
      </c>
      <c r="S189" s="168" t="str">
        <f t="shared" si="475"/>
        <v>#REF!</v>
      </c>
      <c r="T189" s="168" t="str">
        <f t="shared" si="475"/>
        <v>#REF!</v>
      </c>
      <c r="U189" s="168" t="str">
        <f t="shared" ref="U189:AJ189" si="476">#REF!</f>
        <v>#REF!</v>
      </c>
      <c r="V189" s="168" t="str">
        <f t="shared" si="476"/>
        <v>#REF!</v>
      </c>
      <c r="W189" s="168" t="str">
        <f t="shared" si="476"/>
        <v>#REF!</v>
      </c>
      <c r="X189" s="168" t="str">
        <f t="shared" si="476"/>
        <v>#REF!</v>
      </c>
      <c r="Y189" s="168" t="str">
        <f t="shared" si="476"/>
        <v>#REF!</v>
      </c>
      <c r="Z189" s="168" t="str">
        <f t="shared" si="476"/>
        <v>#REF!</v>
      </c>
      <c r="AA189" s="168" t="str">
        <f t="shared" si="476"/>
        <v>#REF!</v>
      </c>
      <c r="AB189" s="168" t="str">
        <f t="shared" si="476"/>
        <v>#REF!</v>
      </c>
      <c r="AC189" s="168" t="str">
        <f t="shared" si="476"/>
        <v>#REF!</v>
      </c>
      <c r="AD189" s="168" t="str">
        <f t="shared" si="476"/>
        <v>#REF!</v>
      </c>
      <c r="AE189" s="168" t="str">
        <f t="shared" si="476"/>
        <v>#REF!</v>
      </c>
      <c r="AF189" s="168" t="str">
        <f t="shared" si="476"/>
        <v>#REF!</v>
      </c>
      <c r="AG189" s="168" t="str">
        <f t="shared" si="476"/>
        <v>#REF!</v>
      </c>
      <c r="AH189" s="168" t="str">
        <f t="shared" si="476"/>
        <v>#REF!</v>
      </c>
      <c r="AI189" s="168" t="str">
        <f t="shared" si="476"/>
        <v>#REF!</v>
      </c>
      <c r="AJ189" s="168" t="str">
        <f t="shared" si="476"/>
        <v>#REF!</v>
      </c>
    </row>
    <row r="190" ht="15.75" customHeight="1">
      <c r="A190" s="168" t="str">
        <f t="shared" ref="A190:T190" si="477">if(#REF!=$D$1,#REF!,"")</f>
        <v>#REF!</v>
      </c>
      <c r="B190" s="168" t="str">
        <f t="shared" si="477"/>
        <v>#REF!</v>
      </c>
      <c r="C190" s="168" t="str">
        <f t="shared" si="477"/>
        <v>#REF!</v>
      </c>
      <c r="D190" s="168" t="str">
        <f t="shared" si="477"/>
        <v>#REF!</v>
      </c>
      <c r="E190" s="168" t="str">
        <f t="shared" si="477"/>
        <v>#REF!</v>
      </c>
      <c r="F190" s="168" t="str">
        <f t="shared" si="477"/>
        <v>#REF!</v>
      </c>
      <c r="G190" s="168" t="str">
        <f t="shared" si="477"/>
        <v>#REF!</v>
      </c>
      <c r="H190" s="168" t="str">
        <f t="shared" si="477"/>
        <v>#REF!</v>
      </c>
      <c r="I190" s="168" t="str">
        <f t="shared" si="477"/>
        <v>#REF!</v>
      </c>
      <c r="J190" s="168" t="str">
        <f t="shared" si="477"/>
        <v>#REF!</v>
      </c>
      <c r="K190" s="168" t="str">
        <f t="shared" si="477"/>
        <v>#REF!</v>
      </c>
      <c r="L190" s="168" t="str">
        <f t="shared" si="477"/>
        <v>#REF!</v>
      </c>
      <c r="M190" s="168" t="str">
        <f t="shared" si="477"/>
        <v>#REF!</v>
      </c>
      <c r="N190" s="168" t="str">
        <f t="shared" si="477"/>
        <v>#REF!</v>
      </c>
      <c r="O190" s="168" t="str">
        <f t="shared" si="477"/>
        <v>#REF!</v>
      </c>
      <c r="P190" s="168" t="str">
        <f t="shared" si="477"/>
        <v>#REF!</v>
      </c>
      <c r="Q190" s="168" t="str">
        <f t="shared" si="477"/>
        <v>#REF!</v>
      </c>
      <c r="R190" s="168" t="str">
        <f t="shared" si="477"/>
        <v>#REF!</v>
      </c>
      <c r="S190" s="168" t="str">
        <f t="shared" si="477"/>
        <v>#REF!</v>
      </c>
      <c r="T190" s="168" t="str">
        <f t="shared" si="477"/>
        <v>#REF!</v>
      </c>
      <c r="U190" s="168" t="str">
        <f t="shared" ref="U190:AJ190" si="478">#REF!</f>
        <v>#REF!</v>
      </c>
      <c r="V190" s="168" t="str">
        <f t="shared" si="478"/>
        <v>#REF!</v>
      </c>
      <c r="W190" s="168" t="str">
        <f t="shared" si="478"/>
        <v>#REF!</v>
      </c>
      <c r="X190" s="168" t="str">
        <f t="shared" si="478"/>
        <v>#REF!</v>
      </c>
      <c r="Y190" s="168" t="str">
        <f t="shared" si="478"/>
        <v>#REF!</v>
      </c>
      <c r="Z190" s="168" t="str">
        <f t="shared" si="478"/>
        <v>#REF!</v>
      </c>
      <c r="AA190" s="168" t="str">
        <f t="shared" si="478"/>
        <v>#REF!</v>
      </c>
      <c r="AB190" s="168" t="str">
        <f t="shared" si="478"/>
        <v>#REF!</v>
      </c>
      <c r="AC190" s="168" t="str">
        <f t="shared" si="478"/>
        <v>#REF!</v>
      </c>
      <c r="AD190" s="168" t="str">
        <f t="shared" si="478"/>
        <v>#REF!</v>
      </c>
      <c r="AE190" s="168" t="str">
        <f t="shared" si="478"/>
        <v>#REF!</v>
      </c>
      <c r="AF190" s="168" t="str">
        <f t="shared" si="478"/>
        <v>#REF!</v>
      </c>
      <c r="AG190" s="168" t="str">
        <f t="shared" si="478"/>
        <v>#REF!</v>
      </c>
      <c r="AH190" s="168" t="str">
        <f t="shared" si="478"/>
        <v>#REF!</v>
      </c>
      <c r="AI190" s="168" t="str">
        <f t="shared" si="478"/>
        <v>#REF!</v>
      </c>
      <c r="AJ190" s="168" t="str">
        <f t="shared" si="478"/>
        <v>#REF!</v>
      </c>
    </row>
    <row r="191" ht="15.75" customHeight="1">
      <c r="A191" s="168" t="str">
        <f t="shared" ref="A191:T191" si="479">if(#REF!=$D$1,#REF!,"")</f>
        <v>#REF!</v>
      </c>
      <c r="B191" s="168" t="str">
        <f t="shared" si="479"/>
        <v>#REF!</v>
      </c>
      <c r="C191" s="168" t="str">
        <f t="shared" si="479"/>
        <v>#REF!</v>
      </c>
      <c r="D191" s="168" t="str">
        <f t="shared" si="479"/>
        <v>#REF!</v>
      </c>
      <c r="E191" s="168" t="str">
        <f t="shared" si="479"/>
        <v>#REF!</v>
      </c>
      <c r="F191" s="168" t="str">
        <f t="shared" si="479"/>
        <v>#REF!</v>
      </c>
      <c r="G191" s="168" t="str">
        <f t="shared" si="479"/>
        <v>#REF!</v>
      </c>
      <c r="H191" s="168" t="str">
        <f t="shared" si="479"/>
        <v>#REF!</v>
      </c>
      <c r="I191" s="168" t="str">
        <f t="shared" si="479"/>
        <v>#REF!</v>
      </c>
      <c r="J191" s="168" t="str">
        <f t="shared" si="479"/>
        <v>#REF!</v>
      </c>
      <c r="K191" s="168" t="str">
        <f t="shared" si="479"/>
        <v>#REF!</v>
      </c>
      <c r="L191" s="168" t="str">
        <f t="shared" si="479"/>
        <v>#REF!</v>
      </c>
      <c r="M191" s="168" t="str">
        <f t="shared" si="479"/>
        <v>#REF!</v>
      </c>
      <c r="N191" s="168" t="str">
        <f t="shared" si="479"/>
        <v>#REF!</v>
      </c>
      <c r="O191" s="168" t="str">
        <f t="shared" si="479"/>
        <v>#REF!</v>
      </c>
      <c r="P191" s="168" t="str">
        <f t="shared" si="479"/>
        <v>#REF!</v>
      </c>
      <c r="Q191" s="168" t="str">
        <f t="shared" si="479"/>
        <v>#REF!</v>
      </c>
      <c r="R191" s="168" t="str">
        <f t="shared" si="479"/>
        <v>#REF!</v>
      </c>
      <c r="S191" s="168" t="str">
        <f t="shared" si="479"/>
        <v>#REF!</v>
      </c>
      <c r="T191" s="168" t="str">
        <f t="shared" si="479"/>
        <v>#REF!</v>
      </c>
      <c r="U191" s="168" t="str">
        <f t="shared" ref="U191:AJ191" si="480">#REF!</f>
        <v>#REF!</v>
      </c>
      <c r="V191" s="168" t="str">
        <f t="shared" si="480"/>
        <v>#REF!</v>
      </c>
      <c r="W191" s="168" t="str">
        <f t="shared" si="480"/>
        <v>#REF!</v>
      </c>
      <c r="X191" s="168" t="str">
        <f t="shared" si="480"/>
        <v>#REF!</v>
      </c>
      <c r="Y191" s="168" t="str">
        <f t="shared" si="480"/>
        <v>#REF!</v>
      </c>
      <c r="Z191" s="168" t="str">
        <f t="shared" si="480"/>
        <v>#REF!</v>
      </c>
      <c r="AA191" s="168" t="str">
        <f t="shared" si="480"/>
        <v>#REF!</v>
      </c>
      <c r="AB191" s="168" t="str">
        <f t="shared" si="480"/>
        <v>#REF!</v>
      </c>
      <c r="AC191" s="168" t="str">
        <f t="shared" si="480"/>
        <v>#REF!</v>
      </c>
      <c r="AD191" s="168" t="str">
        <f t="shared" si="480"/>
        <v>#REF!</v>
      </c>
      <c r="AE191" s="168" t="str">
        <f t="shared" si="480"/>
        <v>#REF!</v>
      </c>
      <c r="AF191" s="168" t="str">
        <f t="shared" si="480"/>
        <v>#REF!</v>
      </c>
      <c r="AG191" s="168" t="str">
        <f t="shared" si="480"/>
        <v>#REF!</v>
      </c>
      <c r="AH191" s="168" t="str">
        <f t="shared" si="480"/>
        <v>#REF!</v>
      </c>
      <c r="AI191" s="168" t="str">
        <f t="shared" si="480"/>
        <v>#REF!</v>
      </c>
      <c r="AJ191" s="168" t="str">
        <f t="shared" si="480"/>
        <v>#REF!</v>
      </c>
    </row>
    <row r="192" ht="15.75" customHeight="1">
      <c r="A192" s="168" t="str">
        <f t="shared" ref="A192:T192" si="481">if(#REF!=$D$1,#REF!,"")</f>
        <v>#REF!</v>
      </c>
      <c r="B192" s="168" t="str">
        <f t="shared" si="481"/>
        <v>#REF!</v>
      </c>
      <c r="C192" s="168" t="str">
        <f t="shared" si="481"/>
        <v>#REF!</v>
      </c>
      <c r="D192" s="168" t="str">
        <f t="shared" si="481"/>
        <v>#REF!</v>
      </c>
      <c r="E192" s="168" t="str">
        <f t="shared" si="481"/>
        <v>#REF!</v>
      </c>
      <c r="F192" s="168" t="str">
        <f t="shared" si="481"/>
        <v>#REF!</v>
      </c>
      <c r="G192" s="168" t="str">
        <f t="shared" si="481"/>
        <v>#REF!</v>
      </c>
      <c r="H192" s="168" t="str">
        <f t="shared" si="481"/>
        <v>#REF!</v>
      </c>
      <c r="I192" s="168" t="str">
        <f t="shared" si="481"/>
        <v>#REF!</v>
      </c>
      <c r="J192" s="168" t="str">
        <f t="shared" si="481"/>
        <v>#REF!</v>
      </c>
      <c r="K192" s="168" t="str">
        <f t="shared" si="481"/>
        <v>#REF!</v>
      </c>
      <c r="L192" s="168" t="str">
        <f t="shared" si="481"/>
        <v>#REF!</v>
      </c>
      <c r="M192" s="168" t="str">
        <f t="shared" si="481"/>
        <v>#REF!</v>
      </c>
      <c r="N192" s="168" t="str">
        <f t="shared" si="481"/>
        <v>#REF!</v>
      </c>
      <c r="O192" s="168" t="str">
        <f t="shared" si="481"/>
        <v>#REF!</v>
      </c>
      <c r="P192" s="168" t="str">
        <f t="shared" si="481"/>
        <v>#REF!</v>
      </c>
      <c r="Q192" s="168" t="str">
        <f t="shared" si="481"/>
        <v>#REF!</v>
      </c>
      <c r="R192" s="168" t="str">
        <f t="shared" si="481"/>
        <v>#REF!</v>
      </c>
      <c r="S192" s="168" t="str">
        <f t="shared" si="481"/>
        <v>#REF!</v>
      </c>
      <c r="T192" s="168" t="str">
        <f t="shared" si="481"/>
        <v>#REF!</v>
      </c>
      <c r="U192" s="168" t="str">
        <f t="shared" ref="U192:AJ192" si="482">#REF!</f>
        <v>#REF!</v>
      </c>
      <c r="V192" s="168" t="str">
        <f t="shared" si="482"/>
        <v>#REF!</v>
      </c>
      <c r="W192" s="168" t="str">
        <f t="shared" si="482"/>
        <v>#REF!</v>
      </c>
      <c r="X192" s="168" t="str">
        <f t="shared" si="482"/>
        <v>#REF!</v>
      </c>
      <c r="Y192" s="168" t="str">
        <f t="shared" si="482"/>
        <v>#REF!</v>
      </c>
      <c r="Z192" s="168" t="str">
        <f t="shared" si="482"/>
        <v>#REF!</v>
      </c>
      <c r="AA192" s="168" t="str">
        <f t="shared" si="482"/>
        <v>#REF!</v>
      </c>
      <c r="AB192" s="168" t="str">
        <f t="shared" si="482"/>
        <v>#REF!</v>
      </c>
      <c r="AC192" s="168" t="str">
        <f t="shared" si="482"/>
        <v>#REF!</v>
      </c>
      <c r="AD192" s="168" t="str">
        <f t="shared" si="482"/>
        <v>#REF!</v>
      </c>
      <c r="AE192" s="168" t="str">
        <f t="shared" si="482"/>
        <v>#REF!</v>
      </c>
      <c r="AF192" s="168" t="str">
        <f t="shared" si="482"/>
        <v>#REF!</v>
      </c>
      <c r="AG192" s="168" t="str">
        <f t="shared" si="482"/>
        <v>#REF!</v>
      </c>
      <c r="AH192" s="168" t="str">
        <f t="shared" si="482"/>
        <v>#REF!</v>
      </c>
      <c r="AI192" s="168" t="str">
        <f t="shared" si="482"/>
        <v>#REF!</v>
      </c>
      <c r="AJ192" s="168" t="str">
        <f t="shared" si="482"/>
        <v>#REF!</v>
      </c>
    </row>
    <row r="193" ht="15.75" customHeight="1">
      <c r="A193" s="168" t="str">
        <f t="shared" ref="A193:T193" si="483">if(#REF!=$D$1,#REF!,"")</f>
        <v>#REF!</v>
      </c>
      <c r="B193" s="168" t="str">
        <f t="shared" si="483"/>
        <v>#REF!</v>
      </c>
      <c r="C193" s="168" t="str">
        <f t="shared" si="483"/>
        <v>#REF!</v>
      </c>
      <c r="D193" s="168" t="str">
        <f t="shared" si="483"/>
        <v>#REF!</v>
      </c>
      <c r="E193" s="168" t="str">
        <f t="shared" si="483"/>
        <v>#REF!</v>
      </c>
      <c r="F193" s="168" t="str">
        <f t="shared" si="483"/>
        <v>#REF!</v>
      </c>
      <c r="G193" s="168" t="str">
        <f t="shared" si="483"/>
        <v>#REF!</v>
      </c>
      <c r="H193" s="168" t="str">
        <f t="shared" si="483"/>
        <v>#REF!</v>
      </c>
      <c r="I193" s="168" t="str">
        <f t="shared" si="483"/>
        <v>#REF!</v>
      </c>
      <c r="J193" s="168" t="str">
        <f t="shared" si="483"/>
        <v>#REF!</v>
      </c>
      <c r="K193" s="168" t="str">
        <f t="shared" si="483"/>
        <v>#REF!</v>
      </c>
      <c r="L193" s="168" t="str">
        <f t="shared" si="483"/>
        <v>#REF!</v>
      </c>
      <c r="M193" s="168" t="str">
        <f t="shared" si="483"/>
        <v>#REF!</v>
      </c>
      <c r="N193" s="168" t="str">
        <f t="shared" si="483"/>
        <v>#REF!</v>
      </c>
      <c r="O193" s="168" t="str">
        <f t="shared" si="483"/>
        <v>#REF!</v>
      </c>
      <c r="P193" s="168" t="str">
        <f t="shared" si="483"/>
        <v>#REF!</v>
      </c>
      <c r="Q193" s="168" t="str">
        <f t="shared" si="483"/>
        <v>#REF!</v>
      </c>
      <c r="R193" s="168" t="str">
        <f t="shared" si="483"/>
        <v>#REF!</v>
      </c>
      <c r="S193" s="168" t="str">
        <f t="shared" si="483"/>
        <v>#REF!</v>
      </c>
      <c r="T193" s="168" t="str">
        <f t="shared" si="483"/>
        <v>#REF!</v>
      </c>
      <c r="U193" s="168" t="str">
        <f t="shared" ref="U193:AJ193" si="484">#REF!</f>
        <v>#REF!</v>
      </c>
      <c r="V193" s="168" t="str">
        <f t="shared" si="484"/>
        <v>#REF!</v>
      </c>
      <c r="W193" s="168" t="str">
        <f t="shared" si="484"/>
        <v>#REF!</v>
      </c>
      <c r="X193" s="168" t="str">
        <f t="shared" si="484"/>
        <v>#REF!</v>
      </c>
      <c r="Y193" s="168" t="str">
        <f t="shared" si="484"/>
        <v>#REF!</v>
      </c>
      <c r="Z193" s="168" t="str">
        <f t="shared" si="484"/>
        <v>#REF!</v>
      </c>
      <c r="AA193" s="168" t="str">
        <f t="shared" si="484"/>
        <v>#REF!</v>
      </c>
      <c r="AB193" s="168" t="str">
        <f t="shared" si="484"/>
        <v>#REF!</v>
      </c>
      <c r="AC193" s="168" t="str">
        <f t="shared" si="484"/>
        <v>#REF!</v>
      </c>
      <c r="AD193" s="168" t="str">
        <f t="shared" si="484"/>
        <v>#REF!</v>
      </c>
      <c r="AE193" s="168" t="str">
        <f t="shared" si="484"/>
        <v>#REF!</v>
      </c>
      <c r="AF193" s="168" t="str">
        <f t="shared" si="484"/>
        <v>#REF!</v>
      </c>
      <c r="AG193" s="168" t="str">
        <f t="shared" si="484"/>
        <v>#REF!</v>
      </c>
      <c r="AH193" s="168" t="str">
        <f t="shared" si="484"/>
        <v>#REF!</v>
      </c>
      <c r="AI193" s="168" t="str">
        <f t="shared" si="484"/>
        <v>#REF!</v>
      </c>
      <c r="AJ193" s="168" t="str">
        <f t="shared" si="484"/>
        <v>#REF!</v>
      </c>
    </row>
    <row r="194" ht="15.75" customHeight="1">
      <c r="A194" s="168" t="str">
        <f t="shared" ref="A194:T194" si="485">if(#REF!=$D$1,#REF!,"")</f>
        <v>#REF!</v>
      </c>
      <c r="B194" s="168" t="str">
        <f t="shared" si="485"/>
        <v>#REF!</v>
      </c>
      <c r="C194" s="168" t="str">
        <f t="shared" si="485"/>
        <v>#REF!</v>
      </c>
      <c r="D194" s="168" t="str">
        <f t="shared" si="485"/>
        <v>#REF!</v>
      </c>
      <c r="E194" s="168" t="str">
        <f t="shared" si="485"/>
        <v>#REF!</v>
      </c>
      <c r="F194" s="168" t="str">
        <f t="shared" si="485"/>
        <v>#REF!</v>
      </c>
      <c r="G194" s="168" t="str">
        <f t="shared" si="485"/>
        <v>#REF!</v>
      </c>
      <c r="H194" s="168" t="str">
        <f t="shared" si="485"/>
        <v>#REF!</v>
      </c>
      <c r="I194" s="168" t="str">
        <f t="shared" si="485"/>
        <v>#REF!</v>
      </c>
      <c r="J194" s="168" t="str">
        <f t="shared" si="485"/>
        <v>#REF!</v>
      </c>
      <c r="K194" s="168" t="str">
        <f t="shared" si="485"/>
        <v>#REF!</v>
      </c>
      <c r="L194" s="168" t="str">
        <f t="shared" si="485"/>
        <v>#REF!</v>
      </c>
      <c r="M194" s="168" t="str">
        <f t="shared" si="485"/>
        <v>#REF!</v>
      </c>
      <c r="N194" s="168" t="str">
        <f t="shared" si="485"/>
        <v>#REF!</v>
      </c>
      <c r="O194" s="168" t="str">
        <f t="shared" si="485"/>
        <v>#REF!</v>
      </c>
      <c r="P194" s="168" t="str">
        <f t="shared" si="485"/>
        <v>#REF!</v>
      </c>
      <c r="Q194" s="168" t="str">
        <f t="shared" si="485"/>
        <v>#REF!</v>
      </c>
      <c r="R194" s="168" t="str">
        <f t="shared" si="485"/>
        <v>#REF!</v>
      </c>
      <c r="S194" s="168" t="str">
        <f t="shared" si="485"/>
        <v>#REF!</v>
      </c>
      <c r="T194" s="168" t="str">
        <f t="shared" si="485"/>
        <v>#REF!</v>
      </c>
      <c r="U194" s="168" t="str">
        <f t="shared" ref="U194:AJ194" si="486">#REF!</f>
        <v>#REF!</v>
      </c>
      <c r="V194" s="168" t="str">
        <f t="shared" si="486"/>
        <v>#REF!</v>
      </c>
      <c r="W194" s="168" t="str">
        <f t="shared" si="486"/>
        <v>#REF!</v>
      </c>
      <c r="X194" s="168" t="str">
        <f t="shared" si="486"/>
        <v>#REF!</v>
      </c>
      <c r="Y194" s="168" t="str">
        <f t="shared" si="486"/>
        <v>#REF!</v>
      </c>
      <c r="Z194" s="168" t="str">
        <f t="shared" si="486"/>
        <v>#REF!</v>
      </c>
      <c r="AA194" s="168" t="str">
        <f t="shared" si="486"/>
        <v>#REF!</v>
      </c>
      <c r="AB194" s="168" t="str">
        <f t="shared" si="486"/>
        <v>#REF!</v>
      </c>
      <c r="AC194" s="168" t="str">
        <f t="shared" si="486"/>
        <v>#REF!</v>
      </c>
      <c r="AD194" s="168" t="str">
        <f t="shared" si="486"/>
        <v>#REF!</v>
      </c>
      <c r="AE194" s="168" t="str">
        <f t="shared" si="486"/>
        <v>#REF!</v>
      </c>
      <c r="AF194" s="168" t="str">
        <f t="shared" si="486"/>
        <v>#REF!</v>
      </c>
      <c r="AG194" s="168" t="str">
        <f t="shared" si="486"/>
        <v>#REF!</v>
      </c>
      <c r="AH194" s="168" t="str">
        <f t="shared" si="486"/>
        <v>#REF!</v>
      </c>
      <c r="AI194" s="168" t="str">
        <f t="shared" si="486"/>
        <v>#REF!</v>
      </c>
      <c r="AJ194" s="168" t="str">
        <f t="shared" si="486"/>
        <v>#REF!</v>
      </c>
    </row>
    <row r="195" ht="15.75" customHeight="1">
      <c r="A195" s="168" t="str">
        <f t="shared" ref="A195:T195" si="487">if(#REF!=$D$1,#REF!,"")</f>
        <v>#REF!</v>
      </c>
      <c r="B195" s="168" t="str">
        <f t="shared" si="487"/>
        <v>#REF!</v>
      </c>
      <c r="C195" s="168" t="str">
        <f t="shared" si="487"/>
        <v>#REF!</v>
      </c>
      <c r="D195" s="168" t="str">
        <f t="shared" si="487"/>
        <v>#REF!</v>
      </c>
      <c r="E195" s="168" t="str">
        <f t="shared" si="487"/>
        <v>#REF!</v>
      </c>
      <c r="F195" s="168" t="str">
        <f t="shared" si="487"/>
        <v>#REF!</v>
      </c>
      <c r="G195" s="168" t="str">
        <f t="shared" si="487"/>
        <v>#REF!</v>
      </c>
      <c r="H195" s="168" t="str">
        <f t="shared" si="487"/>
        <v>#REF!</v>
      </c>
      <c r="I195" s="168" t="str">
        <f t="shared" si="487"/>
        <v>#REF!</v>
      </c>
      <c r="J195" s="168" t="str">
        <f t="shared" si="487"/>
        <v>#REF!</v>
      </c>
      <c r="K195" s="168" t="str">
        <f t="shared" si="487"/>
        <v>#REF!</v>
      </c>
      <c r="L195" s="168" t="str">
        <f t="shared" si="487"/>
        <v>#REF!</v>
      </c>
      <c r="M195" s="168" t="str">
        <f t="shared" si="487"/>
        <v>#REF!</v>
      </c>
      <c r="N195" s="168" t="str">
        <f t="shared" si="487"/>
        <v>#REF!</v>
      </c>
      <c r="O195" s="168" t="str">
        <f t="shared" si="487"/>
        <v>#REF!</v>
      </c>
      <c r="P195" s="168" t="str">
        <f t="shared" si="487"/>
        <v>#REF!</v>
      </c>
      <c r="Q195" s="168" t="str">
        <f t="shared" si="487"/>
        <v>#REF!</v>
      </c>
      <c r="R195" s="168" t="str">
        <f t="shared" si="487"/>
        <v>#REF!</v>
      </c>
      <c r="S195" s="168" t="str">
        <f t="shared" si="487"/>
        <v>#REF!</v>
      </c>
      <c r="T195" s="168" t="str">
        <f t="shared" si="487"/>
        <v>#REF!</v>
      </c>
      <c r="U195" s="168" t="str">
        <f t="shared" ref="U195:AJ195" si="488">#REF!</f>
        <v>#REF!</v>
      </c>
      <c r="V195" s="168" t="str">
        <f t="shared" si="488"/>
        <v>#REF!</v>
      </c>
      <c r="W195" s="168" t="str">
        <f t="shared" si="488"/>
        <v>#REF!</v>
      </c>
      <c r="X195" s="168" t="str">
        <f t="shared" si="488"/>
        <v>#REF!</v>
      </c>
      <c r="Y195" s="168" t="str">
        <f t="shared" si="488"/>
        <v>#REF!</v>
      </c>
      <c r="Z195" s="168" t="str">
        <f t="shared" si="488"/>
        <v>#REF!</v>
      </c>
      <c r="AA195" s="168" t="str">
        <f t="shared" si="488"/>
        <v>#REF!</v>
      </c>
      <c r="AB195" s="168" t="str">
        <f t="shared" si="488"/>
        <v>#REF!</v>
      </c>
      <c r="AC195" s="168" t="str">
        <f t="shared" si="488"/>
        <v>#REF!</v>
      </c>
      <c r="AD195" s="168" t="str">
        <f t="shared" si="488"/>
        <v>#REF!</v>
      </c>
      <c r="AE195" s="168" t="str">
        <f t="shared" si="488"/>
        <v>#REF!</v>
      </c>
      <c r="AF195" s="168" t="str">
        <f t="shared" si="488"/>
        <v>#REF!</v>
      </c>
      <c r="AG195" s="168" t="str">
        <f t="shared" si="488"/>
        <v>#REF!</v>
      </c>
      <c r="AH195" s="168" t="str">
        <f t="shared" si="488"/>
        <v>#REF!</v>
      </c>
      <c r="AI195" s="168" t="str">
        <f t="shared" si="488"/>
        <v>#REF!</v>
      </c>
      <c r="AJ195" s="168" t="str">
        <f t="shared" si="488"/>
        <v>#REF!</v>
      </c>
    </row>
    <row r="196" ht="15.75" customHeight="1">
      <c r="A196" s="168" t="str">
        <f t="shared" ref="A196:T196" si="489">if(#REF!=$D$1,#REF!,"")</f>
        <v>#REF!</v>
      </c>
      <c r="B196" s="168" t="str">
        <f t="shared" si="489"/>
        <v>#REF!</v>
      </c>
      <c r="C196" s="168" t="str">
        <f t="shared" si="489"/>
        <v>#REF!</v>
      </c>
      <c r="D196" s="168" t="str">
        <f t="shared" si="489"/>
        <v>#REF!</v>
      </c>
      <c r="E196" s="168" t="str">
        <f t="shared" si="489"/>
        <v>#REF!</v>
      </c>
      <c r="F196" s="168" t="str">
        <f t="shared" si="489"/>
        <v>#REF!</v>
      </c>
      <c r="G196" s="168" t="str">
        <f t="shared" si="489"/>
        <v>#REF!</v>
      </c>
      <c r="H196" s="168" t="str">
        <f t="shared" si="489"/>
        <v>#REF!</v>
      </c>
      <c r="I196" s="168" t="str">
        <f t="shared" si="489"/>
        <v>#REF!</v>
      </c>
      <c r="J196" s="168" t="str">
        <f t="shared" si="489"/>
        <v>#REF!</v>
      </c>
      <c r="K196" s="168" t="str">
        <f t="shared" si="489"/>
        <v>#REF!</v>
      </c>
      <c r="L196" s="168" t="str">
        <f t="shared" si="489"/>
        <v>#REF!</v>
      </c>
      <c r="M196" s="168" t="str">
        <f t="shared" si="489"/>
        <v>#REF!</v>
      </c>
      <c r="N196" s="168" t="str">
        <f t="shared" si="489"/>
        <v>#REF!</v>
      </c>
      <c r="O196" s="168" t="str">
        <f t="shared" si="489"/>
        <v>#REF!</v>
      </c>
      <c r="P196" s="168" t="str">
        <f t="shared" si="489"/>
        <v>#REF!</v>
      </c>
      <c r="Q196" s="168" t="str">
        <f t="shared" si="489"/>
        <v>#REF!</v>
      </c>
      <c r="R196" s="168" t="str">
        <f t="shared" si="489"/>
        <v>#REF!</v>
      </c>
      <c r="S196" s="168" t="str">
        <f t="shared" si="489"/>
        <v>#REF!</v>
      </c>
      <c r="T196" s="168" t="str">
        <f t="shared" si="489"/>
        <v>#REF!</v>
      </c>
      <c r="U196" s="168" t="str">
        <f t="shared" ref="U196:AJ196" si="490">#REF!</f>
        <v>#REF!</v>
      </c>
      <c r="V196" s="168" t="str">
        <f t="shared" si="490"/>
        <v>#REF!</v>
      </c>
      <c r="W196" s="168" t="str">
        <f t="shared" si="490"/>
        <v>#REF!</v>
      </c>
      <c r="X196" s="168" t="str">
        <f t="shared" si="490"/>
        <v>#REF!</v>
      </c>
      <c r="Y196" s="168" t="str">
        <f t="shared" si="490"/>
        <v>#REF!</v>
      </c>
      <c r="Z196" s="168" t="str">
        <f t="shared" si="490"/>
        <v>#REF!</v>
      </c>
      <c r="AA196" s="168" t="str">
        <f t="shared" si="490"/>
        <v>#REF!</v>
      </c>
      <c r="AB196" s="168" t="str">
        <f t="shared" si="490"/>
        <v>#REF!</v>
      </c>
      <c r="AC196" s="168" t="str">
        <f t="shared" si="490"/>
        <v>#REF!</v>
      </c>
      <c r="AD196" s="168" t="str">
        <f t="shared" si="490"/>
        <v>#REF!</v>
      </c>
      <c r="AE196" s="168" t="str">
        <f t="shared" si="490"/>
        <v>#REF!</v>
      </c>
      <c r="AF196" s="168" t="str">
        <f t="shared" si="490"/>
        <v>#REF!</v>
      </c>
      <c r="AG196" s="168" t="str">
        <f t="shared" si="490"/>
        <v>#REF!</v>
      </c>
      <c r="AH196" s="168" t="str">
        <f t="shared" si="490"/>
        <v>#REF!</v>
      </c>
      <c r="AI196" s="168" t="str">
        <f t="shared" si="490"/>
        <v>#REF!</v>
      </c>
      <c r="AJ196" s="168" t="str">
        <f t="shared" si="490"/>
        <v>#REF!</v>
      </c>
    </row>
    <row r="197" ht="15.75" customHeight="1">
      <c r="A197" s="168" t="str">
        <f t="shared" ref="A197:T197" si="491">if(#REF!=$D$1,#REF!,"")</f>
        <v>#REF!</v>
      </c>
      <c r="B197" s="168" t="str">
        <f t="shared" si="491"/>
        <v>#REF!</v>
      </c>
      <c r="C197" s="168" t="str">
        <f t="shared" si="491"/>
        <v>#REF!</v>
      </c>
      <c r="D197" s="168" t="str">
        <f t="shared" si="491"/>
        <v>#REF!</v>
      </c>
      <c r="E197" s="168" t="str">
        <f t="shared" si="491"/>
        <v>#REF!</v>
      </c>
      <c r="F197" s="168" t="str">
        <f t="shared" si="491"/>
        <v>#REF!</v>
      </c>
      <c r="G197" s="168" t="str">
        <f t="shared" si="491"/>
        <v>#REF!</v>
      </c>
      <c r="H197" s="168" t="str">
        <f t="shared" si="491"/>
        <v>#REF!</v>
      </c>
      <c r="I197" s="168" t="str">
        <f t="shared" si="491"/>
        <v>#REF!</v>
      </c>
      <c r="J197" s="168" t="str">
        <f t="shared" si="491"/>
        <v>#REF!</v>
      </c>
      <c r="K197" s="168" t="str">
        <f t="shared" si="491"/>
        <v>#REF!</v>
      </c>
      <c r="L197" s="168" t="str">
        <f t="shared" si="491"/>
        <v>#REF!</v>
      </c>
      <c r="M197" s="168" t="str">
        <f t="shared" si="491"/>
        <v>#REF!</v>
      </c>
      <c r="N197" s="168" t="str">
        <f t="shared" si="491"/>
        <v>#REF!</v>
      </c>
      <c r="O197" s="168" t="str">
        <f t="shared" si="491"/>
        <v>#REF!</v>
      </c>
      <c r="P197" s="168" t="str">
        <f t="shared" si="491"/>
        <v>#REF!</v>
      </c>
      <c r="Q197" s="168" t="str">
        <f t="shared" si="491"/>
        <v>#REF!</v>
      </c>
      <c r="R197" s="168" t="str">
        <f t="shared" si="491"/>
        <v>#REF!</v>
      </c>
      <c r="S197" s="168" t="str">
        <f t="shared" si="491"/>
        <v>#REF!</v>
      </c>
      <c r="T197" s="168" t="str">
        <f t="shared" si="491"/>
        <v>#REF!</v>
      </c>
      <c r="U197" s="168" t="str">
        <f t="shared" ref="U197:AJ197" si="492">#REF!</f>
        <v>#REF!</v>
      </c>
      <c r="V197" s="168" t="str">
        <f t="shared" si="492"/>
        <v>#REF!</v>
      </c>
      <c r="W197" s="168" t="str">
        <f t="shared" si="492"/>
        <v>#REF!</v>
      </c>
      <c r="X197" s="168" t="str">
        <f t="shared" si="492"/>
        <v>#REF!</v>
      </c>
      <c r="Y197" s="168" t="str">
        <f t="shared" si="492"/>
        <v>#REF!</v>
      </c>
      <c r="Z197" s="168" t="str">
        <f t="shared" si="492"/>
        <v>#REF!</v>
      </c>
      <c r="AA197" s="168" t="str">
        <f t="shared" si="492"/>
        <v>#REF!</v>
      </c>
      <c r="AB197" s="168" t="str">
        <f t="shared" si="492"/>
        <v>#REF!</v>
      </c>
      <c r="AC197" s="168" t="str">
        <f t="shared" si="492"/>
        <v>#REF!</v>
      </c>
      <c r="AD197" s="168" t="str">
        <f t="shared" si="492"/>
        <v>#REF!</v>
      </c>
      <c r="AE197" s="168" t="str">
        <f t="shared" si="492"/>
        <v>#REF!</v>
      </c>
      <c r="AF197" s="168" t="str">
        <f t="shared" si="492"/>
        <v>#REF!</v>
      </c>
      <c r="AG197" s="168" t="str">
        <f t="shared" si="492"/>
        <v>#REF!</v>
      </c>
      <c r="AH197" s="168" t="str">
        <f t="shared" si="492"/>
        <v>#REF!</v>
      </c>
      <c r="AI197" s="168" t="str">
        <f t="shared" si="492"/>
        <v>#REF!</v>
      </c>
      <c r="AJ197" s="168" t="str">
        <f t="shared" si="492"/>
        <v>#REF!</v>
      </c>
    </row>
    <row r="198" ht="15.75" customHeight="1">
      <c r="A198" s="168" t="str">
        <f t="shared" ref="A198:T198" si="493">if(#REF!=$D$1,#REF!,"")</f>
        <v>#REF!</v>
      </c>
      <c r="B198" s="168" t="str">
        <f t="shared" si="493"/>
        <v>#REF!</v>
      </c>
      <c r="C198" s="168" t="str">
        <f t="shared" si="493"/>
        <v>#REF!</v>
      </c>
      <c r="D198" s="168" t="str">
        <f t="shared" si="493"/>
        <v>#REF!</v>
      </c>
      <c r="E198" s="168" t="str">
        <f t="shared" si="493"/>
        <v>#REF!</v>
      </c>
      <c r="F198" s="168" t="str">
        <f t="shared" si="493"/>
        <v>#REF!</v>
      </c>
      <c r="G198" s="168" t="str">
        <f t="shared" si="493"/>
        <v>#REF!</v>
      </c>
      <c r="H198" s="168" t="str">
        <f t="shared" si="493"/>
        <v>#REF!</v>
      </c>
      <c r="I198" s="168" t="str">
        <f t="shared" si="493"/>
        <v>#REF!</v>
      </c>
      <c r="J198" s="168" t="str">
        <f t="shared" si="493"/>
        <v>#REF!</v>
      </c>
      <c r="K198" s="168" t="str">
        <f t="shared" si="493"/>
        <v>#REF!</v>
      </c>
      <c r="L198" s="168" t="str">
        <f t="shared" si="493"/>
        <v>#REF!</v>
      </c>
      <c r="M198" s="168" t="str">
        <f t="shared" si="493"/>
        <v>#REF!</v>
      </c>
      <c r="N198" s="168" t="str">
        <f t="shared" si="493"/>
        <v>#REF!</v>
      </c>
      <c r="O198" s="168" t="str">
        <f t="shared" si="493"/>
        <v>#REF!</v>
      </c>
      <c r="P198" s="168" t="str">
        <f t="shared" si="493"/>
        <v>#REF!</v>
      </c>
      <c r="Q198" s="168" t="str">
        <f t="shared" si="493"/>
        <v>#REF!</v>
      </c>
      <c r="R198" s="168" t="str">
        <f t="shared" si="493"/>
        <v>#REF!</v>
      </c>
      <c r="S198" s="168" t="str">
        <f t="shared" si="493"/>
        <v>#REF!</v>
      </c>
      <c r="T198" s="168" t="str">
        <f t="shared" si="493"/>
        <v>#REF!</v>
      </c>
      <c r="U198" s="168" t="str">
        <f t="shared" ref="U198:AJ198" si="494">#REF!</f>
        <v>#REF!</v>
      </c>
      <c r="V198" s="168" t="str">
        <f t="shared" si="494"/>
        <v>#REF!</v>
      </c>
      <c r="W198" s="168" t="str">
        <f t="shared" si="494"/>
        <v>#REF!</v>
      </c>
      <c r="X198" s="168" t="str">
        <f t="shared" si="494"/>
        <v>#REF!</v>
      </c>
      <c r="Y198" s="168" t="str">
        <f t="shared" si="494"/>
        <v>#REF!</v>
      </c>
      <c r="Z198" s="168" t="str">
        <f t="shared" si="494"/>
        <v>#REF!</v>
      </c>
      <c r="AA198" s="168" t="str">
        <f t="shared" si="494"/>
        <v>#REF!</v>
      </c>
      <c r="AB198" s="168" t="str">
        <f t="shared" si="494"/>
        <v>#REF!</v>
      </c>
      <c r="AC198" s="168" t="str">
        <f t="shared" si="494"/>
        <v>#REF!</v>
      </c>
      <c r="AD198" s="168" t="str">
        <f t="shared" si="494"/>
        <v>#REF!</v>
      </c>
      <c r="AE198" s="168" t="str">
        <f t="shared" si="494"/>
        <v>#REF!</v>
      </c>
      <c r="AF198" s="168" t="str">
        <f t="shared" si="494"/>
        <v>#REF!</v>
      </c>
      <c r="AG198" s="168" t="str">
        <f t="shared" si="494"/>
        <v>#REF!</v>
      </c>
      <c r="AH198" s="168" t="str">
        <f t="shared" si="494"/>
        <v>#REF!</v>
      </c>
      <c r="AI198" s="168" t="str">
        <f t="shared" si="494"/>
        <v>#REF!</v>
      </c>
      <c r="AJ198" s="168" t="str">
        <f t="shared" si="494"/>
        <v>#REF!</v>
      </c>
    </row>
    <row r="199" ht="15.75" customHeight="1">
      <c r="A199" s="168" t="str">
        <f t="shared" ref="A199:T199" si="495">if(#REF!=$D$1,#REF!,"")</f>
        <v>#REF!</v>
      </c>
      <c r="B199" s="168" t="str">
        <f t="shared" si="495"/>
        <v>#REF!</v>
      </c>
      <c r="C199" s="168" t="str">
        <f t="shared" si="495"/>
        <v>#REF!</v>
      </c>
      <c r="D199" s="168" t="str">
        <f t="shared" si="495"/>
        <v>#REF!</v>
      </c>
      <c r="E199" s="168" t="str">
        <f t="shared" si="495"/>
        <v>#REF!</v>
      </c>
      <c r="F199" s="168" t="str">
        <f t="shared" si="495"/>
        <v>#REF!</v>
      </c>
      <c r="G199" s="168" t="str">
        <f t="shared" si="495"/>
        <v>#REF!</v>
      </c>
      <c r="H199" s="168" t="str">
        <f t="shared" si="495"/>
        <v>#REF!</v>
      </c>
      <c r="I199" s="168" t="str">
        <f t="shared" si="495"/>
        <v>#REF!</v>
      </c>
      <c r="J199" s="168" t="str">
        <f t="shared" si="495"/>
        <v>#REF!</v>
      </c>
      <c r="K199" s="168" t="str">
        <f t="shared" si="495"/>
        <v>#REF!</v>
      </c>
      <c r="L199" s="168" t="str">
        <f t="shared" si="495"/>
        <v>#REF!</v>
      </c>
      <c r="M199" s="168" t="str">
        <f t="shared" si="495"/>
        <v>#REF!</v>
      </c>
      <c r="N199" s="168" t="str">
        <f t="shared" si="495"/>
        <v>#REF!</v>
      </c>
      <c r="O199" s="168" t="str">
        <f t="shared" si="495"/>
        <v>#REF!</v>
      </c>
      <c r="P199" s="168" t="str">
        <f t="shared" si="495"/>
        <v>#REF!</v>
      </c>
      <c r="Q199" s="168" t="str">
        <f t="shared" si="495"/>
        <v>#REF!</v>
      </c>
      <c r="R199" s="168" t="str">
        <f t="shared" si="495"/>
        <v>#REF!</v>
      </c>
      <c r="S199" s="168" t="str">
        <f t="shared" si="495"/>
        <v>#REF!</v>
      </c>
      <c r="T199" s="168" t="str">
        <f t="shared" si="495"/>
        <v>#REF!</v>
      </c>
      <c r="U199" s="168" t="str">
        <f t="shared" ref="U199:AJ199" si="496">#REF!</f>
        <v>#REF!</v>
      </c>
      <c r="V199" s="168" t="str">
        <f t="shared" si="496"/>
        <v>#REF!</v>
      </c>
      <c r="W199" s="168" t="str">
        <f t="shared" si="496"/>
        <v>#REF!</v>
      </c>
      <c r="X199" s="168" t="str">
        <f t="shared" si="496"/>
        <v>#REF!</v>
      </c>
      <c r="Y199" s="168" t="str">
        <f t="shared" si="496"/>
        <v>#REF!</v>
      </c>
      <c r="Z199" s="168" t="str">
        <f t="shared" si="496"/>
        <v>#REF!</v>
      </c>
      <c r="AA199" s="168" t="str">
        <f t="shared" si="496"/>
        <v>#REF!</v>
      </c>
      <c r="AB199" s="168" t="str">
        <f t="shared" si="496"/>
        <v>#REF!</v>
      </c>
      <c r="AC199" s="168" t="str">
        <f t="shared" si="496"/>
        <v>#REF!</v>
      </c>
      <c r="AD199" s="168" t="str">
        <f t="shared" si="496"/>
        <v>#REF!</v>
      </c>
      <c r="AE199" s="168" t="str">
        <f t="shared" si="496"/>
        <v>#REF!</v>
      </c>
      <c r="AF199" s="168" t="str">
        <f t="shared" si="496"/>
        <v>#REF!</v>
      </c>
      <c r="AG199" s="168" t="str">
        <f t="shared" si="496"/>
        <v>#REF!</v>
      </c>
      <c r="AH199" s="168" t="str">
        <f t="shared" si="496"/>
        <v>#REF!</v>
      </c>
      <c r="AI199" s="168" t="str">
        <f t="shared" si="496"/>
        <v>#REF!</v>
      </c>
      <c r="AJ199" s="168" t="str">
        <f t="shared" si="496"/>
        <v>#REF!</v>
      </c>
    </row>
    <row r="200" ht="15.75" customHeight="1">
      <c r="A200" s="168" t="str">
        <f t="shared" ref="A200:T200" si="497">if(#REF!=$D$1,#REF!,"")</f>
        <v>#REF!</v>
      </c>
      <c r="B200" s="168" t="str">
        <f t="shared" si="497"/>
        <v>#REF!</v>
      </c>
      <c r="C200" s="168" t="str">
        <f t="shared" si="497"/>
        <v>#REF!</v>
      </c>
      <c r="D200" s="168" t="str">
        <f t="shared" si="497"/>
        <v>#REF!</v>
      </c>
      <c r="E200" s="168" t="str">
        <f t="shared" si="497"/>
        <v>#REF!</v>
      </c>
      <c r="F200" s="168" t="str">
        <f t="shared" si="497"/>
        <v>#REF!</v>
      </c>
      <c r="G200" s="168" t="str">
        <f t="shared" si="497"/>
        <v>#REF!</v>
      </c>
      <c r="H200" s="168" t="str">
        <f t="shared" si="497"/>
        <v>#REF!</v>
      </c>
      <c r="I200" s="168" t="str">
        <f t="shared" si="497"/>
        <v>#REF!</v>
      </c>
      <c r="J200" s="168" t="str">
        <f t="shared" si="497"/>
        <v>#REF!</v>
      </c>
      <c r="K200" s="168" t="str">
        <f t="shared" si="497"/>
        <v>#REF!</v>
      </c>
      <c r="L200" s="168" t="str">
        <f t="shared" si="497"/>
        <v>#REF!</v>
      </c>
      <c r="M200" s="168" t="str">
        <f t="shared" si="497"/>
        <v>#REF!</v>
      </c>
      <c r="N200" s="168" t="str">
        <f t="shared" si="497"/>
        <v>#REF!</v>
      </c>
      <c r="O200" s="168" t="str">
        <f t="shared" si="497"/>
        <v>#REF!</v>
      </c>
      <c r="P200" s="168" t="str">
        <f t="shared" si="497"/>
        <v>#REF!</v>
      </c>
      <c r="Q200" s="168" t="str">
        <f t="shared" si="497"/>
        <v>#REF!</v>
      </c>
      <c r="R200" s="168" t="str">
        <f t="shared" si="497"/>
        <v>#REF!</v>
      </c>
      <c r="S200" s="168" t="str">
        <f t="shared" si="497"/>
        <v>#REF!</v>
      </c>
      <c r="T200" s="168" t="str">
        <f t="shared" si="497"/>
        <v>#REF!</v>
      </c>
      <c r="U200" s="168" t="str">
        <f t="shared" ref="U200:AJ200" si="498">#REF!</f>
        <v>#REF!</v>
      </c>
      <c r="V200" s="168" t="str">
        <f t="shared" si="498"/>
        <v>#REF!</v>
      </c>
      <c r="W200" s="168" t="str">
        <f t="shared" si="498"/>
        <v>#REF!</v>
      </c>
      <c r="X200" s="168" t="str">
        <f t="shared" si="498"/>
        <v>#REF!</v>
      </c>
      <c r="Y200" s="168" t="str">
        <f t="shared" si="498"/>
        <v>#REF!</v>
      </c>
      <c r="Z200" s="168" t="str">
        <f t="shared" si="498"/>
        <v>#REF!</v>
      </c>
      <c r="AA200" s="168" t="str">
        <f t="shared" si="498"/>
        <v>#REF!</v>
      </c>
      <c r="AB200" s="168" t="str">
        <f t="shared" si="498"/>
        <v>#REF!</v>
      </c>
      <c r="AC200" s="168" t="str">
        <f t="shared" si="498"/>
        <v>#REF!</v>
      </c>
      <c r="AD200" s="168" t="str">
        <f t="shared" si="498"/>
        <v>#REF!</v>
      </c>
      <c r="AE200" s="168" t="str">
        <f t="shared" si="498"/>
        <v>#REF!</v>
      </c>
      <c r="AF200" s="168" t="str">
        <f t="shared" si="498"/>
        <v>#REF!</v>
      </c>
      <c r="AG200" s="168" t="str">
        <f t="shared" si="498"/>
        <v>#REF!</v>
      </c>
      <c r="AH200" s="168" t="str">
        <f t="shared" si="498"/>
        <v>#REF!</v>
      </c>
      <c r="AI200" s="168" t="str">
        <f t="shared" si="498"/>
        <v>#REF!</v>
      </c>
      <c r="AJ200" s="168" t="str">
        <f t="shared" si="498"/>
        <v>#REF!</v>
      </c>
    </row>
    <row r="201" ht="15.75" customHeight="1">
      <c r="A201" s="168" t="str">
        <f t="shared" ref="A201:T201" si="499">if(#REF!=$D$1,#REF!,"")</f>
        <v>#REF!</v>
      </c>
      <c r="B201" s="168" t="str">
        <f t="shared" si="499"/>
        <v>#REF!</v>
      </c>
      <c r="C201" s="168" t="str">
        <f t="shared" si="499"/>
        <v>#REF!</v>
      </c>
      <c r="D201" s="168" t="str">
        <f t="shared" si="499"/>
        <v>#REF!</v>
      </c>
      <c r="E201" s="168" t="str">
        <f t="shared" si="499"/>
        <v>#REF!</v>
      </c>
      <c r="F201" s="168" t="str">
        <f t="shared" si="499"/>
        <v>#REF!</v>
      </c>
      <c r="G201" s="168" t="str">
        <f t="shared" si="499"/>
        <v>#REF!</v>
      </c>
      <c r="H201" s="168" t="str">
        <f t="shared" si="499"/>
        <v>#REF!</v>
      </c>
      <c r="I201" s="168" t="str">
        <f t="shared" si="499"/>
        <v>#REF!</v>
      </c>
      <c r="J201" s="168" t="str">
        <f t="shared" si="499"/>
        <v>#REF!</v>
      </c>
      <c r="K201" s="168" t="str">
        <f t="shared" si="499"/>
        <v>#REF!</v>
      </c>
      <c r="L201" s="168" t="str">
        <f t="shared" si="499"/>
        <v>#REF!</v>
      </c>
      <c r="M201" s="168" t="str">
        <f t="shared" si="499"/>
        <v>#REF!</v>
      </c>
      <c r="N201" s="168" t="str">
        <f t="shared" si="499"/>
        <v>#REF!</v>
      </c>
      <c r="O201" s="168" t="str">
        <f t="shared" si="499"/>
        <v>#REF!</v>
      </c>
      <c r="P201" s="168" t="str">
        <f t="shared" si="499"/>
        <v>#REF!</v>
      </c>
      <c r="Q201" s="168" t="str">
        <f t="shared" si="499"/>
        <v>#REF!</v>
      </c>
      <c r="R201" s="168" t="str">
        <f t="shared" si="499"/>
        <v>#REF!</v>
      </c>
      <c r="S201" s="168" t="str">
        <f t="shared" si="499"/>
        <v>#REF!</v>
      </c>
      <c r="T201" s="168" t="str">
        <f t="shared" si="499"/>
        <v>#REF!</v>
      </c>
      <c r="U201" s="168" t="str">
        <f t="shared" ref="U201:AJ201" si="500">#REF!</f>
        <v>#REF!</v>
      </c>
      <c r="V201" s="168" t="str">
        <f t="shared" si="500"/>
        <v>#REF!</v>
      </c>
      <c r="W201" s="168" t="str">
        <f t="shared" si="500"/>
        <v>#REF!</v>
      </c>
      <c r="X201" s="168" t="str">
        <f t="shared" si="500"/>
        <v>#REF!</v>
      </c>
      <c r="Y201" s="168" t="str">
        <f t="shared" si="500"/>
        <v>#REF!</v>
      </c>
      <c r="Z201" s="168" t="str">
        <f t="shared" si="500"/>
        <v>#REF!</v>
      </c>
      <c r="AA201" s="168" t="str">
        <f t="shared" si="500"/>
        <v>#REF!</v>
      </c>
      <c r="AB201" s="168" t="str">
        <f t="shared" si="500"/>
        <v>#REF!</v>
      </c>
      <c r="AC201" s="168" t="str">
        <f t="shared" si="500"/>
        <v>#REF!</v>
      </c>
      <c r="AD201" s="168" t="str">
        <f t="shared" si="500"/>
        <v>#REF!</v>
      </c>
      <c r="AE201" s="168" t="str">
        <f t="shared" si="500"/>
        <v>#REF!</v>
      </c>
      <c r="AF201" s="168" t="str">
        <f t="shared" si="500"/>
        <v>#REF!</v>
      </c>
      <c r="AG201" s="168" t="str">
        <f t="shared" si="500"/>
        <v>#REF!</v>
      </c>
      <c r="AH201" s="168" t="str">
        <f t="shared" si="500"/>
        <v>#REF!</v>
      </c>
      <c r="AI201" s="168" t="str">
        <f t="shared" si="500"/>
        <v>#REF!</v>
      </c>
      <c r="AJ201" s="168" t="str">
        <f t="shared" si="500"/>
        <v>#REF!</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T$201"/>
  <dataValidations>
    <dataValidation type="list" allowBlank="1" sqref="A3:A201">
      <formula1>"Nami Intelligence,NamiChat,NamiGen Chatbot,NamiGen Voicebot,NamiSense AA,NamiSense CC,NamiSense JP,NamiSense-ANW-AI Counter,VoiceDNA,VoiceGate,VoiceGate P2"</formula1>
    </dataValidation>
    <dataValidation type="list" allowBlank="1" sqref="C3:C71">
      <formula1>"JP,VN,US"</formula1>
    </dataValidation>
    <dataValidation type="list" allowBlank="1" sqref="G3:G71">
      <formula1>"A,B,C,D"</formula1>
    </dataValidation>
  </dataValidations>
  <hyperlinks>
    <hyperlink r:id="rId1" ref="D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1.22" defaultRowHeight="15.0"/>
  <cols>
    <col customWidth="1" min="1" max="1" width="25.67"/>
    <col customWidth="1" min="2" max="2" width="29.56"/>
    <col customWidth="1" min="3" max="3" width="7.56"/>
    <col customWidth="1" min="4" max="4" width="17.44"/>
    <col customWidth="1" min="5" max="5" width="9.67"/>
    <col customWidth="1" min="6" max="6" width="9.22"/>
    <col customWidth="1" min="7" max="7" width="6.56"/>
    <col customWidth="1" min="8" max="8" width="13.44"/>
    <col customWidth="1" min="9" max="9" width="10.44"/>
    <col customWidth="1" min="10" max="10" width="13.33"/>
    <col customWidth="1" min="11" max="11" width="12.56"/>
    <col customWidth="1" min="12" max="12" width="13.44"/>
    <col customWidth="1" min="13" max="13" width="16.11"/>
    <col customWidth="1" min="14" max="14" width="16.0"/>
    <col customWidth="1" min="15" max="15" width="16.33"/>
    <col customWidth="1" min="16" max="16" width="6.0"/>
    <col customWidth="1" min="17" max="17" width="7.67"/>
    <col customWidth="1" min="18" max="18" width="12.89"/>
    <col customWidth="1" min="19" max="19" width="12.0"/>
    <col customWidth="1" min="20" max="20" width="66.56"/>
  </cols>
  <sheetData>
    <row r="1">
      <c r="A1" s="160"/>
      <c r="B1" s="160"/>
      <c r="C1" s="160"/>
      <c r="D1" s="161" t="s">
        <v>985</v>
      </c>
      <c r="E1" s="160"/>
      <c r="F1" s="160"/>
      <c r="G1" s="160"/>
      <c r="H1" s="162" t="str">
        <f>subtotal(9,H3:H200)</f>
        <v>#REF!</v>
      </c>
      <c r="I1" s="160"/>
      <c r="J1" s="163"/>
      <c r="K1" s="162"/>
      <c r="L1" s="162"/>
      <c r="M1" s="160"/>
      <c r="N1" s="160"/>
      <c r="O1" s="160"/>
      <c r="P1" s="160"/>
      <c r="Q1" s="160"/>
      <c r="R1" s="160"/>
      <c r="S1" s="160"/>
      <c r="T1" s="160"/>
      <c r="U1" s="164"/>
      <c r="V1" s="164"/>
      <c r="W1" s="164"/>
      <c r="X1" s="164"/>
      <c r="Y1" s="164"/>
      <c r="Z1" s="164"/>
      <c r="AA1" s="164"/>
      <c r="AB1" s="164"/>
      <c r="AC1" s="164"/>
      <c r="AD1" s="164"/>
      <c r="AE1" s="164"/>
      <c r="AF1" s="164"/>
      <c r="AG1" s="164"/>
      <c r="AH1" s="164"/>
      <c r="AI1" s="164"/>
      <c r="AJ1" s="164"/>
    </row>
    <row r="2" ht="39.75" customHeight="1">
      <c r="A2" s="165" t="s">
        <v>964</v>
      </c>
      <c r="B2" s="165" t="s">
        <v>965</v>
      </c>
      <c r="C2" s="165" t="s">
        <v>966</v>
      </c>
      <c r="D2" s="165" t="s">
        <v>967</v>
      </c>
      <c r="E2" s="165" t="s">
        <v>968</v>
      </c>
      <c r="F2" s="165" t="s">
        <v>969</v>
      </c>
      <c r="G2" s="165" t="s">
        <v>970</v>
      </c>
      <c r="H2" s="165" t="s">
        <v>971</v>
      </c>
      <c r="I2" s="165" t="s">
        <v>972</v>
      </c>
      <c r="J2" s="166" t="s">
        <v>973</v>
      </c>
      <c r="K2" s="165" t="s">
        <v>974</v>
      </c>
      <c r="L2" s="165" t="s">
        <v>975</v>
      </c>
      <c r="M2" s="165" t="s">
        <v>976</v>
      </c>
      <c r="N2" s="165" t="s">
        <v>977</v>
      </c>
      <c r="O2" s="165" t="s">
        <v>978</v>
      </c>
      <c r="P2" s="165" t="s">
        <v>979</v>
      </c>
      <c r="Q2" s="165" t="s">
        <v>980</v>
      </c>
      <c r="R2" s="165" t="s">
        <v>981</v>
      </c>
      <c r="S2" s="165" t="s">
        <v>982</v>
      </c>
      <c r="T2" s="167" t="s">
        <v>979</v>
      </c>
      <c r="U2" s="164"/>
      <c r="V2" s="164"/>
      <c r="W2" s="164"/>
      <c r="X2" s="164"/>
      <c r="Y2" s="164"/>
      <c r="Z2" s="164"/>
      <c r="AA2" s="164"/>
      <c r="AB2" s="164"/>
      <c r="AC2" s="164"/>
      <c r="AD2" s="164"/>
      <c r="AE2" s="164"/>
      <c r="AF2" s="164"/>
      <c r="AG2" s="164"/>
      <c r="AH2" s="164"/>
      <c r="AI2" s="164"/>
      <c r="AJ2" s="164"/>
    </row>
    <row r="3" hidden="1">
      <c r="A3" s="168" t="str">
        <f t="shared" ref="A3:AJ3" si="1">#REF!</f>
        <v>#REF!</v>
      </c>
      <c r="B3" s="168" t="str">
        <f t="shared" si="1"/>
        <v>#REF!</v>
      </c>
      <c r="C3" s="168" t="str">
        <f t="shared" si="1"/>
        <v>#REF!</v>
      </c>
      <c r="D3" s="168" t="str">
        <f t="shared" si="1"/>
        <v>#REF!</v>
      </c>
      <c r="E3" s="168" t="str">
        <f t="shared" si="1"/>
        <v>#REF!</v>
      </c>
      <c r="F3" s="168" t="str">
        <f t="shared" si="1"/>
        <v>#REF!</v>
      </c>
      <c r="G3" s="168" t="str">
        <f t="shared" si="1"/>
        <v>#REF!</v>
      </c>
      <c r="H3" s="168" t="str">
        <f t="shared" si="1"/>
        <v>#REF!</v>
      </c>
      <c r="I3" s="168" t="str">
        <f t="shared" si="1"/>
        <v>#REF!</v>
      </c>
      <c r="J3" s="168" t="str">
        <f t="shared" si="1"/>
        <v>#REF!</v>
      </c>
      <c r="K3" s="168" t="str">
        <f t="shared" si="1"/>
        <v>#REF!</v>
      </c>
      <c r="L3" s="168" t="str">
        <f t="shared" si="1"/>
        <v>#REF!</v>
      </c>
      <c r="M3" s="168" t="str">
        <f t="shared" si="1"/>
        <v>#REF!</v>
      </c>
      <c r="N3" s="168" t="str">
        <f t="shared" si="1"/>
        <v>#REF!</v>
      </c>
      <c r="O3" s="168" t="str">
        <f t="shared" si="1"/>
        <v>#REF!</v>
      </c>
      <c r="P3" s="168" t="str">
        <f t="shared" si="1"/>
        <v>#REF!</v>
      </c>
      <c r="Q3" s="168" t="str">
        <f t="shared" si="1"/>
        <v>#REF!</v>
      </c>
      <c r="R3" s="168" t="str">
        <f t="shared" si="1"/>
        <v>#REF!</v>
      </c>
      <c r="S3" s="168" t="str">
        <f t="shared" si="1"/>
        <v>#REF!</v>
      </c>
      <c r="T3" s="168" t="str">
        <f t="shared" si="1"/>
        <v>#REF!</v>
      </c>
      <c r="U3" s="168" t="str">
        <f t="shared" si="1"/>
        <v>#REF!</v>
      </c>
      <c r="V3" s="168" t="str">
        <f t="shared" si="1"/>
        <v>#REF!</v>
      </c>
      <c r="W3" s="168" t="str">
        <f t="shared" si="1"/>
        <v>#REF!</v>
      </c>
      <c r="X3" s="168" t="str">
        <f t="shared" si="1"/>
        <v>#REF!</v>
      </c>
      <c r="Y3" s="168" t="str">
        <f t="shared" si="1"/>
        <v>#REF!</v>
      </c>
      <c r="Z3" s="168" t="str">
        <f t="shared" si="1"/>
        <v>#REF!</v>
      </c>
      <c r="AA3" s="168" t="str">
        <f t="shared" si="1"/>
        <v>#REF!</v>
      </c>
      <c r="AB3" s="168" t="str">
        <f t="shared" si="1"/>
        <v>#REF!</v>
      </c>
      <c r="AC3" s="168" t="str">
        <f t="shared" si="1"/>
        <v>#REF!</v>
      </c>
      <c r="AD3" s="168" t="str">
        <f t="shared" si="1"/>
        <v>#REF!</v>
      </c>
      <c r="AE3" s="168" t="str">
        <f t="shared" si="1"/>
        <v>#REF!</v>
      </c>
      <c r="AF3" s="168" t="str">
        <f t="shared" si="1"/>
        <v>#REF!</v>
      </c>
      <c r="AG3" s="168" t="str">
        <f t="shared" si="1"/>
        <v>#REF!</v>
      </c>
      <c r="AH3" s="168" t="str">
        <f t="shared" si="1"/>
        <v>#REF!</v>
      </c>
      <c r="AI3" s="168" t="str">
        <f t="shared" si="1"/>
        <v>#REF!</v>
      </c>
      <c r="AJ3" s="168" t="str">
        <f t="shared" si="1"/>
        <v>#REF!</v>
      </c>
    </row>
    <row r="4" hidden="1">
      <c r="A4" s="168" t="str">
        <f t="shared" ref="A4:AJ4" si="2">#REF!</f>
        <v>#REF!</v>
      </c>
      <c r="B4" s="168" t="str">
        <f t="shared" si="2"/>
        <v>#REF!</v>
      </c>
      <c r="C4" s="168" t="str">
        <f t="shared" si="2"/>
        <v>#REF!</v>
      </c>
      <c r="D4" s="168" t="str">
        <f t="shared" si="2"/>
        <v>#REF!</v>
      </c>
      <c r="E4" s="168" t="str">
        <f t="shared" si="2"/>
        <v>#REF!</v>
      </c>
      <c r="F4" s="168" t="str">
        <f t="shared" si="2"/>
        <v>#REF!</v>
      </c>
      <c r="G4" s="168" t="str">
        <f t="shared" si="2"/>
        <v>#REF!</v>
      </c>
      <c r="H4" s="168" t="str">
        <f t="shared" si="2"/>
        <v>#REF!</v>
      </c>
      <c r="I4" s="168" t="str">
        <f t="shared" si="2"/>
        <v>#REF!</v>
      </c>
      <c r="J4" s="168" t="str">
        <f t="shared" si="2"/>
        <v>#REF!</v>
      </c>
      <c r="K4" s="168" t="str">
        <f t="shared" si="2"/>
        <v>#REF!</v>
      </c>
      <c r="L4" s="168" t="str">
        <f t="shared" si="2"/>
        <v>#REF!</v>
      </c>
      <c r="M4" s="168" t="str">
        <f t="shared" si="2"/>
        <v>#REF!</v>
      </c>
      <c r="N4" s="168" t="str">
        <f t="shared" si="2"/>
        <v>#REF!</v>
      </c>
      <c r="O4" s="168" t="str">
        <f t="shared" si="2"/>
        <v>#REF!</v>
      </c>
      <c r="P4" s="168" t="str">
        <f t="shared" si="2"/>
        <v>#REF!</v>
      </c>
      <c r="Q4" s="168" t="str">
        <f t="shared" si="2"/>
        <v>#REF!</v>
      </c>
      <c r="R4" s="168" t="str">
        <f t="shared" si="2"/>
        <v>#REF!</v>
      </c>
      <c r="S4" s="168" t="str">
        <f t="shared" si="2"/>
        <v>#REF!</v>
      </c>
      <c r="T4" s="168" t="str">
        <f t="shared" si="2"/>
        <v>#REF!</v>
      </c>
      <c r="U4" s="168" t="str">
        <f t="shared" si="2"/>
        <v>#REF!</v>
      </c>
      <c r="V4" s="168" t="str">
        <f t="shared" si="2"/>
        <v>#REF!</v>
      </c>
      <c r="W4" s="168" t="str">
        <f t="shared" si="2"/>
        <v>#REF!</v>
      </c>
      <c r="X4" s="168" t="str">
        <f t="shared" si="2"/>
        <v>#REF!</v>
      </c>
      <c r="Y4" s="168" t="str">
        <f t="shared" si="2"/>
        <v>#REF!</v>
      </c>
      <c r="Z4" s="168" t="str">
        <f t="shared" si="2"/>
        <v>#REF!</v>
      </c>
      <c r="AA4" s="168" t="str">
        <f t="shared" si="2"/>
        <v>#REF!</v>
      </c>
      <c r="AB4" s="168" t="str">
        <f t="shared" si="2"/>
        <v>#REF!</v>
      </c>
      <c r="AC4" s="168" t="str">
        <f t="shared" si="2"/>
        <v>#REF!</v>
      </c>
      <c r="AD4" s="168" t="str">
        <f t="shared" si="2"/>
        <v>#REF!</v>
      </c>
      <c r="AE4" s="168" t="str">
        <f t="shared" si="2"/>
        <v>#REF!</v>
      </c>
      <c r="AF4" s="168" t="str">
        <f t="shared" si="2"/>
        <v>#REF!</v>
      </c>
      <c r="AG4" s="168" t="str">
        <f t="shared" si="2"/>
        <v>#REF!</v>
      </c>
      <c r="AH4" s="168" t="str">
        <f t="shared" si="2"/>
        <v>#REF!</v>
      </c>
      <c r="AI4" s="168" t="str">
        <f t="shared" si="2"/>
        <v>#REF!</v>
      </c>
      <c r="AJ4" s="168" t="str">
        <f t="shared" si="2"/>
        <v>#REF!</v>
      </c>
    </row>
    <row r="5" hidden="1">
      <c r="A5" s="168" t="str">
        <f t="shared" ref="A5:AJ5" si="3">#REF!</f>
        <v>#REF!</v>
      </c>
      <c r="B5" s="168" t="str">
        <f t="shared" si="3"/>
        <v>#REF!</v>
      </c>
      <c r="C5" s="168" t="str">
        <f t="shared" si="3"/>
        <v>#REF!</v>
      </c>
      <c r="D5" s="168" t="str">
        <f t="shared" si="3"/>
        <v>#REF!</v>
      </c>
      <c r="E5" s="168" t="str">
        <f t="shared" si="3"/>
        <v>#REF!</v>
      </c>
      <c r="F5" s="168" t="str">
        <f t="shared" si="3"/>
        <v>#REF!</v>
      </c>
      <c r="G5" s="168" t="str">
        <f t="shared" si="3"/>
        <v>#REF!</v>
      </c>
      <c r="H5" s="168" t="str">
        <f t="shared" si="3"/>
        <v>#REF!</v>
      </c>
      <c r="I5" s="168" t="str">
        <f t="shared" si="3"/>
        <v>#REF!</v>
      </c>
      <c r="J5" s="168" t="str">
        <f t="shared" si="3"/>
        <v>#REF!</v>
      </c>
      <c r="K5" s="168" t="str">
        <f t="shared" si="3"/>
        <v>#REF!</v>
      </c>
      <c r="L5" s="168" t="str">
        <f t="shared" si="3"/>
        <v>#REF!</v>
      </c>
      <c r="M5" s="168" t="str">
        <f t="shared" si="3"/>
        <v>#REF!</v>
      </c>
      <c r="N5" s="168" t="str">
        <f t="shared" si="3"/>
        <v>#REF!</v>
      </c>
      <c r="O5" s="168" t="str">
        <f t="shared" si="3"/>
        <v>#REF!</v>
      </c>
      <c r="P5" s="168" t="str">
        <f t="shared" si="3"/>
        <v>#REF!</v>
      </c>
      <c r="Q5" s="168" t="str">
        <f t="shared" si="3"/>
        <v>#REF!</v>
      </c>
      <c r="R5" s="168" t="str">
        <f t="shared" si="3"/>
        <v>#REF!</v>
      </c>
      <c r="S5" s="168" t="str">
        <f t="shared" si="3"/>
        <v>#REF!</v>
      </c>
      <c r="T5" s="168" t="str">
        <f t="shared" si="3"/>
        <v>#REF!</v>
      </c>
      <c r="U5" s="168" t="str">
        <f t="shared" si="3"/>
        <v>#REF!</v>
      </c>
      <c r="V5" s="168" t="str">
        <f t="shared" si="3"/>
        <v>#REF!</v>
      </c>
      <c r="W5" s="168" t="str">
        <f t="shared" si="3"/>
        <v>#REF!</v>
      </c>
      <c r="X5" s="168" t="str">
        <f t="shared" si="3"/>
        <v>#REF!</v>
      </c>
      <c r="Y5" s="168" t="str">
        <f t="shared" si="3"/>
        <v>#REF!</v>
      </c>
      <c r="Z5" s="168" t="str">
        <f t="shared" si="3"/>
        <v>#REF!</v>
      </c>
      <c r="AA5" s="168" t="str">
        <f t="shared" si="3"/>
        <v>#REF!</v>
      </c>
      <c r="AB5" s="168" t="str">
        <f t="shared" si="3"/>
        <v>#REF!</v>
      </c>
      <c r="AC5" s="168" t="str">
        <f t="shared" si="3"/>
        <v>#REF!</v>
      </c>
      <c r="AD5" s="168" t="str">
        <f t="shared" si="3"/>
        <v>#REF!</v>
      </c>
      <c r="AE5" s="168" t="str">
        <f t="shared" si="3"/>
        <v>#REF!</v>
      </c>
      <c r="AF5" s="168" t="str">
        <f t="shared" si="3"/>
        <v>#REF!</v>
      </c>
      <c r="AG5" s="168" t="str">
        <f t="shared" si="3"/>
        <v>#REF!</v>
      </c>
      <c r="AH5" s="168" t="str">
        <f t="shared" si="3"/>
        <v>#REF!</v>
      </c>
      <c r="AI5" s="168" t="str">
        <f t="shared" si="3"/>
        <v>#REF!</v>
      </c>
      <c r="AJ5" s="168" t="str">
        <f t="shared" si="3"/>
        <v>#REF!</v>
      </c>
    </row>
    <row r="6" hidden="1">
      <c r="A6" s="168" t="str">
        <f t="shared" ref="A6:AJ6" si="4">#REF!</f>
        <v>#REF!</v>
      </c>
      <c r="B6" s="168" t="str">
        <f t="shared" si="4"/>
        <v>#REF!</v>
      </c>
      <c r="C6" s="168" t="str">
        <f t="shared" si="4"/>
        <v>#REF!</v>
      </c>
      <c r="D6" s="168" t="str">
        <f t="shared" si="4"/>
        <v>#REF!</v>
      </c>
      <c r="E6" s="168" t="str">
        <f t="shared" si="4"/>
        <v>#REF!</v>
      </c>
      <c r="F6" s="168" t="str">
        <f t="shared" si="4"/>
        <v>#REF!</v>
      </c>
      <c r="G6" s="168" t="str">
        <f t="shared" si="4"/>
        <v>#REF!</v>
      </c>
      <c r="H6" s="168" t="str">
        <f t="shared" si="4"/>
        <v>#REF!</v>
      </c>
      <c r="I6" s="168" t="str">
        <f t="shared" si="4"/>
        <v>#REF!</v>
      </c>
      <c r="J6" s="168" t="str">
        <f t="shared" si="4"/>
        <v>#REF!</v>
      </c>
      <c r="K6" s="168" t="str">
        <f t="shared" si="4"/>
        <v>#REF!</v>
      </c>
      <c r="L6" s="168" t="str">
        <f t="shared" si="4"/>
        <v>#REF!</v>
      </c>
      <c r="M6" s="168" t="str">
        <f t="shared" si="4"/>
        <v>#REF!</v>
      </c>
      <c r="N6" s="168" t="str">
        <f t="shared" si="4"/>
        <v>#REF!</v>
      </c>
      <c r="O6" s="168" t="str">
        <f t="shared" si="4"/>
        <v>#REF!</v>
      </c>
      <c r="P6" s="168" t="str">
        <f t="shared" si="4"/>
        <v>#REF!</v>
      </c>
      <c r="Q6" s="168" t="str">
        <f t="shared" si="4"/>
        <v>#REF!</v>
      </c>
      <c r="R6" s="168" t="str">
        <f t="shared" si="4"/>
        <v>#REF!</v>
      </c>
      <c r="S6" s="168" t="str">
        <f t="shared" si="4"/>
        <v>#REF!</v>
      </c>
      <c r="T6" s="168" t="str">
        <f t="shared" si="4"/>
        <v>#REF!</v>
      </c>
      <c r="U6" s="168" t="str">
        <f t="shared" si="4"/>
        <v>#REF!</v>
      </c>
      <c r="V6" s="168" t="str">
        <f t="shared" si="4"/>
        <v>#REF!</v>
      </c>
      <c r="W6" s="168" t="str">
        <f t="shared" si="4"/>
        <v>#REF!</v>
      </c>
      <c r="X6" s="168" t="str">
        <f t="shared" si="4"/>
        <v>#REF!</v>
      </c>
      <c r="Y6" s="168" t="str">
        <f t="shared" si="4"/>
        <v>#REF!</v>
      </c>
      <c r="Z6" s="168" t="str">
        <f t="shared" si="4"/>
        <v>#REF!</v>
      </c>
      <c r="AA6" s="168" t="str">
        <f t="shared" si="4"/>
        <v>#REF!</v>
      </c>
      <c r="AB6" s="168" t="str">
        <f t="shared" si="4"/>
        <v>#REF!</v>
      </c>
      <c r="AC6" s="168" t="str">
        <f t="shared" si="4"/>
        <v>#REF!</v>
      </c>
      <c r="AD6" s="168" t="str">
        <f t="shared" si="4"/>
        <v>#REF!</v>
      </c>
      <c r="AE6" s="168" t="str">
        <f t="shared" si="4"/>
        <v>#REF!</v>
      </c>
      <c r="AF6" s="168" t="str">
        <f t="shared" si="4"/>
        <v>#REF!</v>
      </c>
      <c r="AG6" s="168" t="str">
        <f t="shared" si="4"/>
        <v>#REF!</v>
      </c>
      <c r="AH6" s="168" t="str">
        <f t="shared" si="4"/>
        <v>#REF!</v>
      </c>
      <c r="AI6" s="168" t="str">
        <f t="shared" si="4"/>
        <v>#REF!</v>
      </c>
      <c r="AJ6" s="168" t="str">
        <f t="shared" si="4"/>
        <v>#REF!</v>
      </c>
    </row>
    <row r="7" hidden="1">
      <c r="A7" s="168" t="str">
        <f t="shared" ref="A7:AJ7" si="5">#REF!</f>
        <v>#REF!</v>
      </c>
      <c r="B7" s="168" t="str">
        <f t="shared" si="5"/>
        <v>#REF!</v>
      </c>
      <c r="C7" s="168" t="str">
        <f t="shared" si="5"/>
        <v>#REF!</v>
      </c>
      <c r="D7" s="168" t="str">
        <f t="shared" si="5"/>
        <v>#REF!</v>
      </c>
      <c r="E7" s="168" t="str">
        <f t="shared" si="5"/>
        <v>#REF!</v>
      </c>
      <c r="F7" s="168" t="str">
        <f t="shared" si="5"/>
        <v>#REF!</v>
      </c>
      <c r="G7" s="168" t="str">
        <f t="shared" si="5"/>
        <v>#REF!</v>
      </c>
      <c r="H7" s="168" t="str">
        <f t="shared" si="5"/>
        <v>#REF!</v>
      </c>
      <c r="I7" s="168" t="str">
        <f t="shared" si="5"/>
        <v>#REF!</v>
      </c>
      <c r="J7" s="168" t="str">
        <f t="shared" si="5"/>
        <v>#REF!</v>
      </c>
      <c r="K7" s="168" t="str">
        <f t="shared" si="5"/>
        <v>#REF!</v>
      </c>
      <c r="L7" s="168" t="str">
        <f t="shared" si="5"/>
        <v>#REF!</v>
      </c>
      <c r="M7" s="168" t="str">
        <f t="shared" si="5"/>
        <v>#REF!</v>
      </c>
      <c r="N7" s="168" t="str">
        <f t="shared" si="5"/>
        <v>#REF!</v>
      </c>
      <c r="O7" s="168" t="str">
        <f t="shared" si="5"/>
        <v>#REF!</v>
      </c>
      <c r="P7" s="168" t="str">
        <f t="shared" si="5"/>
        <v>#REF!</v>
      </c>
      <c r="Q7" s="168" t="str">
        <f t="shared" si="5"/>
        <v>#REF!</v>
      </c>
      <c r="R7" s="168" t="str">
        <f t="shared" si="5"/>
        <v>#REF!</v>
      </c>
      <c r="S7" s="168" t="str">
        <f t="shared" si="5"/>
        <v>#REF!</v>
      </c>
      <c r="T7" s="168" t="str">
        <f t="shared" si="5"/>
        <v>#REF!</v>
      </c>
      <c r="U7" s="168" t="str">
        <f t="shared" si="5"/>
        <v>#REF!</v>
      </c>
      <c r="V7" s="168" t="str">
        <f t="shared" si="5"/>
        <v>#REF!</v>
      </c>
      <c r="W7" s="168" t="str">
        <f t="shared" si="5"/>
        <v>#REF!</v>
      </c>
      <c r="X7" s="168" t="str">
        <f t="shared" si="5"/>
        <v>#REF!</v>
      </c>
      <c r="Y7" s="168" t="str">
        <f t="shared" si="5"/>
        <v>#REF!</v>
      </c>
      <c r="Z7" s="168" t="str">
        <f t="shared" si="5"/>
        <v>#REF!</v>
      </c>
      <c r="AA7" s="168" t="str">
        <f t="shared" si="5"/>
        <v>#REF!</v>
      </c>
      <c r="AB7" s="168" t="str">
        <f t="shared" si="5"/>
        <v>#REF!</v>
      </c>
      <c r="AC7" s="168" t="str">
        <f t="shared" si="5"/>
        <v>#REF!</v>
      </c>
      <c r="AD7" s="168" t="str">
        <f t="shared" si="5"/>
        <v>#REF!</v>
      </c>
      <c r="AE7" s="168" t="str">
        <f t="shared" si="5"/>
        <v>#REF!</v>
      </c>
      <c r="AF7" s="168" t="str">
        <f t="shared" si="5"/>
        <v>#REF!</v>
      </c>
      <c r="AG7" s="168" t="str">
        <f t="shared" si="5"/>
        <v>#REF!</v>
      </c>
      <c r="AH7" s="168" t="str">
        <f t="shared" si="5"/>
        <v>#REF!</v>
      </c>
      <c r="AI7" s="168" t="str">
        <f t="shared" si="5"/>
        <v>#REF!</v>
      </c>
      <c r="AJ7" s="168" t="str">
        <f t="shared" si="5"/>
        <v>#REF!</v>
      </c>
    </row>
    <row r="8" hidden="1">
      <c r="A8" s="168" t="str">
        <f t="shared" ref="A8:AJ8" si="6">#REF!</f>
        <v>#REF!</v>
      </c>
      <c r="B8" s="168" t="str">
        <f t="shared" si="6"/>
        <v>#REF!</v>
      </c>
      <c r="C8" s="168" t="str">
        <f t="shared" si="6"/>
        <v>#REF!</v>
      </c>
      <c r="D8" s="168" t="str">
        <f t="shared" si="6"/>
        <v>#REF!</v>
      </c>
      <c r="E8" s="168" t="str">
        <f t="shared" si="6"/>
        <v>#REF!</v>
      </c>
      <c r="F8" s="168" t="str">
        <f t="shared" si="6"/>
        <v>#REF!</v>
      </c>
      <c r="G8" s="168" t="str">
        <f t="shared" si="6"/>
        <v>#REF!</v>
      </c>
      <c r="H8" s="168" t="str">
        <f t="shared" si="6"/>
        <v>#REF!</v>
      </c>
      <c r="I8" s="168" t="str">
        <f t="shared" si="6"/>
        <v>#REF!</v>
      </c>
      <c r="J8" s="168" t="str">
        <f t="shared" si="6"/>
        <v>#REF!</v>
      </c>
      <c r="K8" s="168" t="str">
        <f t="shared" si="6"/>
        <v>#REF!</v>
      </c>
      <c r="L8" s="168" t="str">
        <f t="shared" si="6"/>
        <v>#REF!</v>
      </c>
      <c r="M8" s="168" t="str">
        <f t="shared" si="6"/>
        <v>#REF!</v>
      </c>
      <c r="N8" s="168" t="str">
        <f t="shared" si="6"/>
        <v>#REF!</v>
      </c>
      <c r="O8" s="168" t="str">
        <f t="shared" si="6"/>
        <v>#REF!</v>
      </c>
      <c r="P8" s="168" t="str">
        <f t="shared" si="6"/>
        <v>#REF!</v>
      </c>
      <c r="Q8" s="168" t="str">
        <f t="shared" si="6"/>
        <v>#REF!</v>
      </c>
      <c r="R8" s="168" t="str">
        <f t="shared" si="6"/>
        <v>#REF!</v>
      </c>
      <c r="S8" s="168" t="str">
        <f t="shared" si="6"/>
        <v>#REF!</v>
      </c>
      <c r="T8" s="168" t="str">
        <f t="shared" si="6"/>
        <v>#REF!</v>
      </c>
      <c r="U8" s="168" t="str">
        <f t="shared" si="6"/>
        <v>#REF!</v>
      </c>
      <c r="V8" s="168" t="str">
        <f t="shared" si="6"/>
        <v>#REF!</v>
      </c>
      <c r="W8" s="168" t="str">
        <f t="shared" si="6"/>
        <v>#REF!</v>
      </c>
      <c r="X8" s="168" t="str">
        <f t="shared" si="6"/>
        <v>#REF!</v>
      </c>
      <c r="Y8" s="168" t="str">
        <f t="shared" si="6"/>
        <v>#REF!</v>
      </c>
      <c r="Z8" s="168" t="str">
        <f t="shared" si="6"/>
        <v>#REF!</v>
      </c>
      <c r="AA8" s="168" t="str">
        <f t="shared" si="6"/>
        <v>#REF!</v>
      </c>
      <c r="AB8" s="168" t="str">
        <f t="shared" si="6"/>
        <v>#REF!</v>
      </c>
      <c r="AC8" s="168" t="str">
        <f t="shared" si="6"/>
        <v>#REF!</v>
      </c>
      <c r="AD8" s="168" t="str">
        <f t="shared" si="6"/>
        <v>#REF!</v>
      </c>
      <c r="AE8" s="168" t="str">
        <f t="shared" si="6"/>
        <v>#REF!</v>
      </c>
      <c r="AF8" s="168" t="str">
        <f t="shared" si="6"/>
        <v>#REF!</v>
      </c>
      <c r="AG8" s="168" t="str">
        <f t="shared" si="6"/>
        <v>#REF!</v>
      </c>
      <c r="AH8" s="168" t="str">
        <f t="shared" si="6"/>
        <v>#REF!</v>
      </c>
      <c r="AI8" s="168" t="str">
        <f t="shared" si="6"/>
        <v>#REF!</v>
      </c>
      <c r="AJ8" s="168" t="str">
        <f t="shared" si="6"/>
        <v>#REF!</v>
      </c>
    </row>
    <row r="9" hidden="1">
      <c r="A9" s="168" t="str">
        <f t="shared" ref="A9:AJ9" si="7">#REF!</f>
        <v>#REF!</v>
      </c>
      <c r="B9" s="168" t="str">
        <f t="shared" si="7"/>
        <v>#REF!</v>
      </c>
      <c r="C9" s="168" t="str">
        <f t="shared" si="7"/>
        <v>#REF!</v>
      </c>
      <c r="D9" s="168" t="str">
        <f t="shared" si="7"/>
        <v>#REF!</v>
      </c>
      <c r="E9" s="168" t="str">
        <f t="shared" si="7"/>
        <v>#REF!</v>
      </c>
      <c r="F9" s="168" t="str">
        <f t="shared" si="7"/>
        <v>#REF!</v>
      </c>
      <c r="G9" s="168" t="str">
        <f t="shared" si="7"/>
        <v>#REF!</v>
      </c>
      <c r="H9" s="168" t="str">
        <f t="shared" si="7"/>
        <v>#REF!</v>
      </c>
      <c r="I9" s="168" t="str">
        <f t="shared" si="7"/>
        <v>#REF!</v>
      </c>
      <c r="J9" s="168" t="str">
        <f t="shared" si="7"/>
        <v>#REF!</v>
      </c>
      <c r="K9" s="168" t="str">
        <f t="shared" si="7"/>
        <v>#REF!</v>
      </c>
      <c r="L9" s="168" t="str">
        <f t="shared" si="7"/>
        <v>#REF!</v>
      </c>
      <c r="M9" s="168" t="str">
        <f t="shared" si="7"/>
        <v>#REF!</v>
      </c>
      <c r="N9" s="168" t="str">
        <f t="shared" si="7"/>
        <v>#REF!</v>
      </c>
      <c r="O9" s="168" t="str">
        <f t="shared" si="7"/>
        <v>#REF!</v>
      </c>
      <c r="P9" s="168" t="str">
        <f t="shared" si="7"/>
        <v>#REF!</v>
      </c>
      <c r="Q9" s="168" t="str">
        <f t="shared" si="7"/>
        <v>#REF!</v>
      </c>
      <c r="R9" s="168" t="str">
        <f t="shared" si="7"/>
        <v>#REF!</v>
      </c>
      <c r="S9" s="168" t="str">
        <f t="shared" si="7"/>
        <v>#REF!</v>
      </c>
      <c r="T9" s="168" t="str">
        <f t="shared" si="7"/>
        <v>#REF!</v>
      </c>
      <c r="U9" s="168" t="str">
        <f t="shared" si="7"/>
        <v>#REF!</v>
      </c>
      <c r="V9" s="168" t="str">
        <f t="shared" si="7"/>
        <v>#REF!</v>
      </c>
      <c r="W9" s="168" t="str">
        <f t="shared" si="7"/>
        <v>#REF!</v>
      </c>
      <c r="X9" s="168" t="str">
        <f t="shared" si="7"/>
        <v>#REF!</v>
      </c>
      <c r="Y9" s="168" t="str">
        <f t="shared" si="7"/>
        <v>#REF!</v>
      </c>
      <c r="Z9" s="168" t="str">
        <f t="shared" si="7"/>
        <v>#REF!</v>
      </c>
      <c r="AA9" s="168" t="str">
        <f t="shared" si="7"/>
        <v>#REF!</v>
      </c>
      <c r="AB9" s="168" t="str">
        <f t="shared" si="7"/>
        <v>#REF!</v>
      </c>
      <c r="AC9" s="168" t="str">
        <f t="shared" si="7"/>
        <v>#REF!</v>
      </c>
      <c r="AD9" s="168" t="str">
        <f t="shared" si="7"/>
        <v>#REF!</v>
      </c>
      <c r="AE9" s="168" t="str">
        <f t="shared" si="7"/>
        <v>#REF!</v>
      </c>
      <c r="AF9" s="168" t="str">
        <f t="shared" si="7"/>
        <v>#REF!</v>
      </c>
      <c r="AG9" s="168" t="str">
        <f t="shared" si="7"/>
        <v>#REF!</v>
      </c>
      <c r="AH9" s="168" t="str">
        <f t="shared" si="7"/>
        <v>#REF!</v>
      </c>
      <c r="AI9" s="168" t="str">
        <f t="shared" si="7"/>
        <v>#REF!</v>
      </c>
      <c r="AJ9" s="168" t="str">
        <f t="shared" si="7"/>
        <v>#REF!</v>
      </c>
    </row>
    <row r="10" hidden="1">
      <c r="A10" s="168" t="str">
        <f t="shared" ref="A10:AJ10" si="8">#REF!</f>
        <v>#REF!</v>
      </c>
      <c r="B10" s="168" t="str">
        <f t="shared" si="8"/>
        <v>#REF!</v>
      </c>
      <c r="C10" s="168" t="str">
        <f t="shared" si="8"/>
        <v>#REF!</v>
      </c>
      <c r="D10" s="168" t="str">
        <f t="shared" si="8"/>
        <v>#REF!</v>
      </c>
      <c r="E10" s="168" t="str">
        <f t="shared" si="8"/>
        <v>#REF!</v>
      </c>
      <c r="F10" s="168" t="str">
        <f t="shared" si="8"/>
        <v>#REF!</v>
      </c>
      <c r="G10" s="168" t="str">
        <f t="shared" si="8"/>
        <v>#REF!</v>
      </c>
      <c r="H10" s="168" t="str">
        <f t="shared" si="8"/>
        <v>#REF!</v>
      </c>
      <c r="I10" s="168" t="str">
        <f t="shared" si="8"/>
        <v>#REF!</v>
      </c>
      <c r="J10" s="168" t="str">
        <f t="shared" si="8"/>
        <v>#REF!</v>
      </c>
      <c r="K10" s="168" t="str">
        <f t="shared" si="8"/>
        <v>#REF!</v>
      </c>
      <c r="L10" s="168" t="str">
        <f t="shared" si="8"/>
        <v>#REF!</v>
      </c>
      <c r="M10" s="168" t="str">
        <f t="shared" si="8"/>
        <v>#REF!</v>
      </c>
      <c r="N10" s="168" t="str">
        <f t="shared" si="8"/>
        <v>#REF!</v>
      </c>
      <c r="O10" s="168" t="str">
        <f t="shared" si="8"/>
        <v>#REF!</v>
      </c>
      <c r="P10" s="168" t="str">
        <f t="shared" si="8"/>
        <v>#REF!</v>
      </c>
      <c r="Q10" s="168" t="str">
        <f t="shared" si="8"/>
        <v>#REF!</v>
      </c>
      <c r="R10" s="168" t="str">
        <f t="shared" si="8"/>
        <v>#REF!</v>
      </c>
      <c r="S10" s="168" t="str">
        <f t="shared" si="8"/>
        <v>#REF!</v>
      </c>
      <c r="T10" s="168" t="str">
        <f t="shared" si="8"/>
        <v>#REF!</v>
      </c>
      <c r="U10" s="168" t="str">
        <f t="shared" si="8"/>
        <v>#REF!</v>
      </c>
      <c r="V10" s="168" t="str">
        <f t="shared" si="8"/>
        <v>#REF!</v>
      </c>
      <c r="W10" s="168" t="str">
        <f t="shared" si="8"/>
        <v>#REF!</v>
      </c>
      <c r="X10" s="168" t="str">
        <f t="shared" si="8"/>
        <v>#REF!</v>
      </c>
      <c r="Y10" s="168" t="str">
        <f t="shared" si="8"/>
        <v>#REF!</v>
      </c>
      <c r="Z10" s="168" t="str">
        <f t="shared" si="8"/>
        <v>#REF!</v>
      </c>
      <c r="AA10" s="168" t="str">
        <f t="shared" si="8"/>
        <v>#REF!</v>
      </c>
      <c r="AB10" s="168" t="str">
        <f t="shared" si="8"/>
        <v>#REF!</v>
      </c>
      <c r="AC10" s="168" t="str">
        <f t="shared" si="8"/>
        <v>#REF!</v>
      </c>
      <c r="AD10" s="168" t="str">
        <f t="shared" si="8"/>
        <v>#REF!</v>
      </c>
      <c r="AE10" s="168" t="str">
        <f t="shared" si="8"/>
        <v>#REF!</v>
      </c>
      <c r="AF10" s="168" t="str">
        <f t="shared" si="8"/>
        <v>#REF!</v>
      </c>
      <c r="AG10" s="168" t="str">
        <f t="shared" si="8"/>
        <v>#REF!</v>
      </c>
      <c r="AH10" s="168" t="str">
        <f t="shared" si="8"/>
        <v>#REF!</v>
      </c>
      <c r="AI10" s="168" t="str">
        <f t="shared" si="8"/>
        <v>#REF!</v>
      </c>
      <c r="AJ10" s="168" t="str">
        <f t="shared" si="8"/>
        <v>#REF!</v>
      </c>
    </row>
    <row r="11" hidden="1">
      <c r="A11" s="168" t="str">
        <f t="shared" ref="A11:AJ11" si="9">#REF!</f>
        <v>#REF!</v>
      </c>
      <c r="B11" s="168" t="str">
        <f t="shared" si="9"/>
        <v>#REF!</v>
      </c>
      <c r="C11" s="168" t="str">
        <f t="shared" si="9"/>
        <v>#REF!</v>
      </c>
      <c r="D11" s="168" t="str">
        <f t="shared" si="9"/>
        <v>#REF!</v>
      </c>
      <c r="E11" s="168" t="str">
        <f t="shared" si="9"/>
        <v>#REF!</v>
      </c>
      <c r="F11" s="168" t="str">
        <f t="shared" si="9"/>
        <v>#REF!</v>
      </c>
      <c r="G11" s="168" t="str">
        <f t="shared" si="9"/>
        <v>#REF!</v>
      </c>
      <c r="H11" s="168" t="str">
        <f t="shared" si="9"/>
        <v>#REF!</v>
      </c>
      <c r="I11" s="168" t="str">
        <f t="shared" si="9"/>
        <v>#REF!</v>
      </c>
      <c r="J11" s="168" t="str">
        <f t="shared" si="9"/>
        <v>#REF!</v>
      </c>
      <c r="K11" s="168" t="str">
        <f t="shared" si="9"/>
        <v>#REF!</v>
      </c>
      <c r="L11" s="168" t="str">
        <f t="shared" si="9"/>
        <v>#REF!</v>
      </c>
      <c r="M11" s="168" t="str">
        <f t="shared" si="9"/>
        <v>#REF!</v>
      </c>
      <c r="N11" s="168" t="str">
        <f t="shared" si="9"/>
        <v>#REF!</v>
      </c>
      <c r="O11" s="168" t="str">
        <f t="shared" si="9"/>
        <v>#REF!</v>
      </c>
      <c r="P11" s="168" t="str">
        <f t="shared" si="9"/>
        <v>#REF!</v>
      </c>
      <c r="Q11" s="168" t="str">
        <f t="shared" si="9"/>
        <v>#REF!</v>
      </c>
      <c r="R11" s="168" t="str">
        <f t="shared" si="9"/>
        <v>#REF!</v>
      </c>
      <c r="S11" s="168" t="str">
        <f t="shared" si="9"/>
        <v>#REF!</v>
      </c>
      <c r="T11" s="168" t="str">
        <f t="shared" si="9"/>
        <v>#REF!</v>
      </c>
      <c r="U11" s="168" t="str">
        <f t="shared" si="9"/>
        <v>#REF!</v>
      </c>
      <c r="V11" s="168" t="str">
        <f t="shared" si="9"/>
        <v>#REF!</v>
      </c>
      <c r="W11" s="168" t="str">
        <f t="shared" si="9"/>
        <v>#REF!</v>
      </c>
      <c r="X11" s="168" t="str">
        <f t="shared" si="9"/>
        <v>#REF!</v>
      </c>
      <c r="Y11" s="168" t="str">
        <f t="shared" si="9"/>
        <v>#REF!</v>
      </c>
      <c r="Z11" s="168" t="str">
        <f t="shared" si="9"/>
        <v>#REF!</v>
      </c>
      <c r="AA11" s="168" t="str">
        <f t="shared" si="9"/>
        <v>#REF!</v>
      </c>
      <c r="AB11" s="168" t="str">
        <f t="shared" si="9"/>
        <v>#REF!</v>
      </c>
      <c r="AC11" s="168" t="str">
        <f t="shared" si="9"/>
        <v>#REF!</v>
      </c>
      <c r="AD11" s="168" t="str">
        <f t="shared" si="9"/>
        <v>#REF!</v>
      </c>
      <c r="AE11" s="168" t="str">
        <f t="shared" si="9"/>
        <v>#REF!</v>
      </c>
      <c r="AF11" s="168" t="str">
        <f t="shared" si="9"/>
        <v>#REF!</v>
      </c>
      <c r="AG11" s="168" t="str">
        <f t="shared" si="9"/>
        <v>#REF!</v>
      </c>
      <c r="AH11" s="168" t="str">
        <f t="shared" si="9"/>
        <v>#REF!</v>
      </c>
      <c r="AI11" s="168" t="str">
        <f t="shared" si="9"/>
        <v>#REF!</v>
      </c>
      <c r="AJ11" s="168" t="str">
        <f t="shared" si="9"/>
        <v>#REF!</v>
      </c>
    </row>
    <row r="12" hidden="1">
      <c r="A12" s="168" t="str">
        <f t="shared" ref="A12:AJ12" si="10">#REF!</f>
        <v>#REF!</v>
      </c>
      <c r="B12" s="168" t="str">
        <f t="shared" si="10"/>
        <v>#REF!</v>
      </c>
      <c r="C12" s="168" t="str">
        <f t="shared" si="10"/>
        <v>#REF!</v>
      </c>
      <c r="D12" s="168" t="str">
        <f t="shared" si="10"/>
        <v>#REF!</v>
      </c>
      <c r="E12" s="168" t="str">
        <f t="shared" si="10"/>
        <v>#REF!</v>
      </c>
      <c r="F12" s="168" t="str">
        <f t="shared" si="10"/>
        <v>#REF!</v>
      </c>
      <c r="G12" s="168" t="str">
        <f t="shared" si="10"/>
        <v>#REF!</v>
      </c>
      <c r="H12" s="168" t="str">
        <f t="shared" si="10"/>
        <v>#REF!</v>
      </c>
      <c r="I12" s="168" t="str">
        <f t="shared" si="10"/>
        <v>#REF!</v>
      </c>
      <c r="J12" s="168" t="str">
        <f t="shared" si="10"/>
        <v>#REF!</v>
      </c>
      <c r="K12" s="168" t="str">
        <f t="shared" si="10"/>
        <v>#REF!</v>
      </c>
      <c r="L12" s="168" t="str">
        <f t="shared" si="10"/>
        <v>#REF!</v>
      </c>
      <c r="M12" s="168" t="str">
        <f t="shared" si="10"/>
        <v>#REF!</v>
      </c>
      <c r="N12" s="168" t="str">
        <f t="shared" si="10"/>
        <v>#REF!</v>
      </c>
      <c r="O12" s="168" t="str">
        <f t="shared" si="10"/>
        <v>#REF!</v>
      </c>
      <c r="P12" s="168" t="str">
        <f t="shared" si="10"/>
        <v>#REF!</v>
      </c>
      <c r="Q12" s="168" t="str">
        <f t="shared" si="10"/>
        <v>#REF!</v>
      </c>
      <c r="R12" s="168" t="str">
        <f t="shared" si="10"/>
        <v>#REF!</v>
      </c>
      <c r="S12" s="168" t="str">
        <f t="shared" si="10"/>
        <v>#REF!</v>
      </c>
      <c r="T12" s="168" t="str">
        <f t="shared" si="10"/>
        <v>#REF!</v>
      </c>
      <c r="U12" s="168" t="str">
        <f t="shared" si="10"/>
        <v>#REF!</v>
      </c>
      <c r="V12" s="168" t="str">
        <f t="shared" si="10"/>
        <v>#REF!</v>
      </c>
      <c r="W12" s="168" t="str">
        <f t="shared" si="10"/>
        <v>#REF!</v>
      </c>
      <c r="X12" s="168" t="str">
        <f t="shared" si="10"/>
        <v>#REF!</v>
      </c>
      <c r="Y12" s="168" t="str">
        <f t="shared" si="10"/>
        <v>#REF!</v>
      </c>
      <c r="Z12" s="168" t="str">
        <f t="shared" si="10"/>
        <v>#REF!</v>
      </c>
      <c r="AA12" s="168" t="str">
        <f t="shared" si="10"/>
        <v>#REF!</v>
      </c>
      <c r="AB12" s="168" t="str">
        <f t="shared" si="10"/>
        <v>#REF!</v>
      </c>
      <c r="AC12" s="168" t="str">
        <f t="shared" si="10"/>
        <v>#REF!</v>
      </c>
      <c r="AD12" s="168" t="str">
        <f t="shared" si="10"/>
        <v>#REF!</v>
      </c>
      <c r="AE12" s="168" t="str">
        <f t="shared" si="10"/>
        <v>#REF!</v>
      </c>
      <c r="AF12" s="168" t="str">
        <f t="shared" si="10"/>
        <v>#REF!</v>
      </c>
      <c r="AG12" s="168" t="str">
        <f t="shared" si="10"/>
        <v>#REF!</v>
      </c>
      <c r="AH12" s="168" t="str">
        <f t="shared" si="10"/>
        <v>#REF!</v>
      </c>
      <c r="AI12" s="168" t="str">
        <f t="shared" si="10"/>
        <v>#REF!</v>
      </c>
      <c r="AJ12" s="168" t="str">
        <f t="shared" si="10"/>
        <v>#REF!</v>
      </c>
    </row>
    <row r="13" hidden="1">
      <c r="A13" s="168" t="str">
        <f t="shared" ref="A13:AJ13" si="11">#REF!</f>
        <v>#REF!</v>
      </c>
      <c r="B13" s="168" t="str">
        <f t="shared" si="11"/>
        <v>#REF!</v>
      </c>
      <c r="C13" s="168" t="str">
        <f t="shared" si="11"/>
        <v>#REF!</v>
      </c>
      <c r="D13" s="168" t="str">
        <f t="shared" si="11"/>
        <v>#REF!</v>
      </c>
      <c r="E13" s="168" t="str">
        <f t="shared" si="11"/>
        <v>#REF!</v>
      </c>
      <c r="F13" s="168" t="str">
        <f t="shared" si="11"/>
        <v>#REF!</v>
      </c>
      <c r="G13" s="168" t="str">
        <f t="shared" si="11"/>
        <v>#REF!</v>
      </c>
      <c r="H13" s="168" t="str">
        <f t="shared" si="11"/>
        <v>#REF!</v>
      </c>
      <c r="I13" s="168" t="str">
        <f t="shared" si="11"/>
        <v>#REF!</v>
      </c>
      <c r="J13" s="168" t="str">
        <f t="shared" si="11"/>
        <v>#REF!</v>
      </c>
      <c r="K13" s="168" t="str">
        <f t="shared" si="11"/>
        <v>#REF!</v>
      </c>
      <c r="L13" s="168" t="str">
        <f t="shared" si="11"/>
        <v>#REF!</v>
      </c>
      <c r="M13" s="168" t="str">
        <f t="shared" si="11"/>
        <v>#REF!</v>
      </c>
      <c r="N13" s="168" t="str">
        <f t="shared" si="11"/>
        <v>#REF!</v>
      </c>
      <c r="O13" s="168" t="str">
        <f t="shared" si="11"/>
        <v>#REF!</v>
      </c>
      <c r="P13" s="168" t="str">
        <f t="shared" si="11"/>
        <v>#REF!</v>
      </c>
      <c r="Q13" s="168" t="str">
        <f t="shared" si="11"/>
        <v>#REF!</v>
      </c>
      <c r="R13" s="168" t="str">
        <f t="shared" si="11"/>
        <v>#REF!</v>
      </c>
      <c r="S13" s="168" t="str">
        <f t="shared" si="11"/>
        <v>#REF!</v>
      </c>
      <c r="T13" s="168" t="str">
        <f t="shared" si="11"/>
        <v>#REF!</v>
      </c>
      <c r="U13" s="168" t="str">
        <f t="shared" si="11"/>
        <v>#REF!</v>
      </c>
      <c r="V13" s="168" t="str">
        <f t="shared" si="11"/>
        <v>#REF!</v>
      </c>
      <c r="W13" s="168" t="str">
        <f t="shared" si="11"/>
        <v>#REF!</v>
      </c>
      <c r="X13" s="168" t="str">
        <f t="shared" si="11"/>
        <v>#REF!</v>
      </c>
      <c r="Y13" s="168" t="str">
        <f t="shared" si="11"/>
        <v>#REF!</v>
      </c>
      <c r="Z13" s="168" t="str">
        <f t="shared" si="11"/>
        <v>#REF!</v>
      </c>
      <c r="AA13" s="168" t="str">
        <f t="shared" si="11"/>
        <v>#REF!</v>
      </c>
      <c r="AB13" s="168" t="str">
        <f t="shared" si="11"/>
        <v>#REF!</v>
      </c>
      <c r="AC13" s="168" t="str">
        <f t="shared" si="11"/>
        <v>#REF!</v>
      </c>
      <c r="AD13" s="168" t="str">
        <f t="shared" si="11"/>
        <v>#REF!</v>
      </c>
      <c r="AE13" s="168" t="str">
        <f t="shared" si="11"/>
        <v>#REF!</v>
      </c>
      <c r="AF13" s="168" t="str">
        <f t="shared" si="11"/>
        <v>#REF!</v>
      </c>
      <c r="AG13" s="168" t="str">
        <f t="shared" si="11"/>
        <v>#REF!</v>
      </c>
      <c r="AH13" s="168" t="str">
        <f t="shared" si="11"/>
        <v>#REF!</v>
      </c>
      <c r="AI13" s="168" t="str">
        <f t="shared" si="11"/>
        <v>#REF!</v>
      </c>
      <c r="AJ13" s="168" t="str">
        <f t="shared" si="11"/>
        <v>#REF!</v>
      </c>
    </row>
    <row r="14" hidden="1">
      <c r="A14" s="168" t="str">
        <f t="shared" ref="A14:AJ14" si="12">#REF!</f>
        <v>#REF!</v>
      </c>
      <c r="B14" s="168" t="str">
        <f t="shared" si="12"/>
        <v>#REF!</v>
      </c>
      <c r="C14" s="168" t="str">
        <f t="shared" si="12"/>
        <v>#REF!</v>
      </c>
      <c r="D14" s="168" t="str">
        <f t="shared" si="12"/>
        <v>#REF!</v>
      </c>
      <c r="E14" s="168" t="str">
        <f t="shared" si="12"/>
        <v>#REF!</v>
      </c>
      <c r="F14" s="168" t="str">
        <f t="shared" si="12"/>
        <v>#REF!</v>
      </c>
      <c r="G14" s="168" t="str">
        <f t="shared" si="12"/>
        <v>#REF!</v>
      </c>
      <c r="H14" s="168" t="str">
        <f t="shared" si="12"/>
        <v>#REF!</v>
      </c>
      <c r="I14" s="168" t="str">
        <f t="shared" si="12"/>
        <v>#REF!</v>
      </c>
      <c r="J14" s="168" t="str">
        <f t="shared" si="12"/>
        <v>#REF!</v>
      </c>
      <c r="K14" s="168" t="str">
        <f t="shared" si="12"/>
        <v>#REF!</v>
      </c>
      <c r="L14" s="168" t="str">
        <f t="shared" si="12"/>
        <v>#REF!</v>
      </c>
      <c r="M14" s="168" t="str">
        <f t="shared" si="12"/>
        <v>#REF!</v>
      </c>
      <c r="N14" s="168" t="str">
        <f t="shared" si="12"/>
        <v>#REF!</v>
      </c>
      <c r="O14" s="168" t="str">
        <f t="shared" si="12"/>
        <v>#REF!</v>
      </c>
      <c r="P14" s="168" t="str">
        <f t="shared" si="12"/>
        <v>#REF!</v>
      </c>
      <c r="Q14" s="168" t="str">
        <f t="shared" si="12"/>
        <v>#REF!</v>
      </c>
      <c r="R14" s="168" t="str">
        <f t="shared" si="12"/>
        <v>#REF!</v>
      </c>
      <c r="S14" s="168" t="str">
        <f t="shared" si="12"/>
        <v>#REF!</v>
      </c>
      <c r="T14" s="168" t="str">
        <f t="shared" si="12"/>
        <v>#REF!</v>
      </c>
      <c r="U14" s="168" t="str">
        <f t="shared" si="12"/>
        <v>#REF!</v>
      </c>
      <c r="V14" s="168" t="str">
        <f t="shared" si="12"/>
        <v>#REF!</v>
      </c>
      <c r="W14" s="168" t="str">
        <f t="shared" si="12"/>
        <v>#REF!</v>
      </c>
      <c r="X14" s="168" t="str">
        <f t="shared" si="12"/>
        <v>#REF!</v>
      </c>
      <c r="Y14" s="168" t="str">
        <f t="shared" si="12"/>
        <v>#REF!</v>
      </c>
      <c r="Z14" s="168" t="str">
        <f t="shared" si="12"/>
        <v>#REF!</v>
      </c>
      <c r="AA14" s="168" t="str">
        <f t="shared" si="12"/>
        <v>#REF!</v>
      </c>
      <c r="AB14" s="168" t="str">
        <f t="shared" si="12"/>
        <v>#REF!</v>
      </c>
      <c r="AC14" s="168" t="str">
        <f t="shared" si="12"/>
        <v>#REF!</v>
      </c>
      <c r="AD14" s="168" t="str">
        <f t="shared" si="12"/>
        <v>#REF!</v>
      </c>
      <c r="AE14" s="168" t="str">
        <f t="shared" si="12"/>
        <v>#REF!</v>
      </c>
      <c r="AF14" s="168" t="str">
        <f t="shared" si="12"/>
        <v>#REF!</v>
      </c>
      <c r="AG14" s="168" t="str">
        <f t="shared" si="12"/>
        <v>#REF!</v>
      </c>
      <c r="AH14" s="168" t="str">
        <f t="shared" si="12"/>
        <v>#REF!</v>
      </c>
      <c r="AI14" s="168" t="str">
        <f t="shared" si="12"/>
        <v>#REF!</v>
      </c>
      <c r="AJ14" s="168" t="str">
        <f t="shared" si="12"/>
        <v>#REF!</v>
      </c>
    </row>
    <row r="15" hidden="1">
      <c r="A15" s="168" t="str">
        <f>'2026 Pipeline'!C6</f>
        <v>#REF!</v>
      </c>
      <c r="B15" s="168" t="str">
        <f t="shared" ref="B15:C15" si="13">'2026 Pipeline'!J6</f>
        <v>#REF!</v>
      </c>
      <c r="C15" s="168" t="str">
        <f t="shared" si="13"/>
        <v>#REF!</v>
      </c>
      <c r="D15" s="168" t="str">
        <f t="shared" ref="D15:F15" si="14">'2026 Pipeline'!M6</f>
        <v>#REF!</v>
      </c>
      <c r="E15" s="168" t="str">
        <f t="shared" si="14"/>
        <v>#REF!</v>
      </c>
      <c r="F15" s="168" t="str">
        <f t="shared" si="14"/>
        <v>#REF!</v>
      </c>
      <c r="G15" s="168" t="str">
        <f>'2026 Pipeline'!Q6</f>
        <v>#REF!</v>
      </c>
      <c r="H15" s="168" t="str">
        <f>'2026 Pipeline'!P6</f>
        <v>#REF!</v>
      </c>
      <c r="I15" s="168" t="str">
        <f>'2026 Pipeline'!R6</f>
        <v>#REF!</v>
      </c>
      <c r="J15" s="168" t="str">
        <f t="shared" ref="J15:L15" si="15">'2026 Pipeline'!V6</f>
        <v>#REF!</v>
      </c>
      <c r="K15" s="168" t="str">
        <f t="shared" si="15"/>
        <v>#REF!</v>
      </c>
      <c r="L15" s="168" t="str">
        <f t="shared" si="15"/>
        <v>#REF!</v>
      </c>
      <c r="M15" s="168" t="str">
        <f t="shared" ref="M15:O15" si="16">#REF!</f>
        <v>#REF!</v>
      </c>
      <c r="N15" s="168" t="str">
        <f t="shared" si="16"/>
        <v>#REF!</v>
      </c>
      <c r="O15" s="168" t="str">
        <f t="shared" si="16"/>
        <v>#REF!</v>
      </c>
      <c r="P15" s="168" t="str">
        <f>'2026 Pipeline'!AA6</f>
        <v>#REF!</v>
      </c>
      <c r="Q15" s="168" t="str">
        <f>'2026 Pipeline'!Y6</f>
        <v>#REF!</v>
      </c>
      <c r="R15" s="168" t="str">
        <f>#REF!</f>
        <v>#REF!</v>
      </c>
      <c r="S15" s="168" t="str">
        <f>'2026 Pipeline'!L6</f>
        <v>#REF!</v>
      </c>
      <c r="T15" s="168" t="str">
        <f>'2026 Pipeline'!CD6</f>
        <v>#REF!</v>
      </c>
      <c r="U15" s="168" t="str">
        <f t="shared" ref="U15:AJ15" si="17">#REF!</f>
        <v>#REF!</v>
      </c>
      <c r="V15" s="168" t="str">
        <f t="shared" si="17"/>
        <v>#REF!</v>
      </c>
      <c r="W15" s="168" t="str">
        <f t="shared" si="17"/>
        <v>#REF!</v>
      </c>
      <c r="X15" s="168" t="str">
        <f t="shared" si="17"/>
        <v>#REF!</v>
      </c>
      <c r="Y15" s="168" t="str">
        <f t="shared" si="17"/>
        <v>#REF!</v>
      </c>
      <c r="Z15" s="168" t="str">
        <f t="shared" si="17"/>
        <v>#REF!</v>
      </c>
      <c r="AA15" s="168" t="str">
        <f t="shared" si="17"/>
        <v>#REF!</v>
      </c>
      <c r="AB15" s="168" t="str">
        <f t="shared" si="17"/>
        <v>#REF!</v>
      </c>
      <c r="AC15" s="168" t="str">
        <f t="shared" si="17"/>
        <v>#REF!</v>
      </c>
      <c r="AD15" s="168" t="str">
        <f t="shared" si="17"/>
        <v>#REF!</v>
      </c>
      <c r="AE15" s="168" t="str">
        <f t="shared" si="17"/>
        <v>#REF!</v>
      </c>
      <c r="AF15" s="168" t="str">
        <f t="shared" si="17"/>
        <v>#REF!</v>
      </c>
      <c r="AG15" s="168" t="str">
        <f t="shared" si="17"/>
        <v>#REF!</v>
      </c>
      <c r="AH15" s="168" t="str">
        <f t="shared" si="17"/>
        <v>#REF!</v>
      </c>
      <c r="AI15" s="168" t="str">
        <f t="shared" si="17"/>
        <v>#REF!</v>
      </c>
      <c r="AJ15" s="168" t="str">
        <f t="shared" si="17"/>
        <v>#REF!</v>
      </c>
    </row>
    <row r="16" hidden="1">
      <c r="A16" s="168" t="str">
        <f t="shared" ref="A16:AJ16" si="18">#REF!</f>
        <v>#REF!</v>
      </c>
      <c r="B16" s="168" t="str">
        <f t="shared" si="18"/>
        <v>#REF!</v>
      </c>
      <c r="C16" s="168" t="str">
        <f t="shared" si="18"/>
        <v>#REF!</v>
      </c>
      <c r="D16" s="168" t="str">
        <f t="shared" si="18"/>
        <v>#REF!</v>
      </c>
      <c r="E16" s="168" t="str">
        <f t="shared" si="18"/>
        <v>#REF!</v>
      </c>
      <c r="F16" s="168" t="str">
        <f t="shared" si="18"/>
        <v>#REF!</v>
      </c>
      <c r="G16" s="168" t="str">
        <f t="shared" si="18"/>
        <v>#REF!</v>
      </c>
      <c r="H16" s="168" t="str">
        <f t="shared" si="18"/>
        <v>#REF!</v>
      </c>
      <c r="I16" s="168" t="str">
        <f t="shared" si="18"/>
        <v>#REF!</v>
      </c>
      <c r="J16" s="168" t="str">
        <f t="shared" si="18"/>
        <v>#REF!</v>
      </c>
      <c r="K16" s="168" t="str">
        <f t="shared" si="18"/>
        <v>#REF!</v>
      </c>
      <c r="L16" s="168" t="str">
        <f t="shared" si="18"/>
        <v>#REF!</v>
      </c>
      <c r="M16" s="168" t="str">
        <f t="shared" si="18"/>
        <v>#REF!</v>
      </c>
      <c r="N16" s="168" t="str">
        <f t="shared" si="18"/>
        <v>#REF!</v>
      </c>
      <c r="O16" s="168" t="str">
        <f t="shared" si="18"/>
        <v>#REF!</v>
      </c>
      <c r="P16" s="168" t="str">
        <f t="shared" si="18"/>
        <v>#REF!</v>
      </c>
      <c r="Q16" s="168" t="str">
        <f t="shared" si="18"/>
        <v>#REF!</v>
      </c>
      <c r="R16" s="168" t="str">
        <f t="shared" si="18"/>
        <v>#REF!</v>
      </c>
      <c r="S16" s="168" t="str">
        <f t="shared" si="18"/>
        <v>#REF!</v>
      </c>
      <c r="T16" s="168" t="str">
        <f t="shared" si="18"/>
        <v>#REF!</v>
      </c>
      <c r="U16" s="168" t="str">
        <f t="shared" si="18"/>
        <v>#REF!</v>
      </c>
      <c r="V16" s="168" t="str">
        <f t="shared" si="18"/>
        <v>#REF!</v>
      </c>
      <c r="W16" s="168" t="str">
        <f t="shared" si="18"/>
        <v>#REF!</v>
      </c>
      <c r="X16" s="168" t="str">
        <f t="shared" si="18"/>
        <v>#REF!</v>
      </c>
      <c r="Y16" s="168" t="str">
        <f t="shared" si="18"/>
        <v>#REF!</v>
      </c>
      <c r="Z16" s="168" t="str">
        <f t="shared" si="18"/>
        <v>#REF!</v>
      </c>
      <c r="AA16" s="168" t="str">
        <f t="shared" si="18"/>
        <v>#REF!</v>
      </c>
      <c r="AB16" s="168" t="str">
        <f t="shared" si="18"/>
        <v>#REF!</v>
      </c>
      <c r="AC16" s="168" t="str">
        <f t="shared" si="18"/>
        <v>#REF!</v>
      </c>
      <c r="AD16" s="168" t="str">
        <f t="shared" si="18"/>
        <v>#REF!</v>
      </c>
      <c r="AE16" s="168" t="str">
        <f t="shared" si="18"/>
        <v>#REF!</v>
      </c>
      <c r="AF16" s="168" t="str">
        <f t="shared" si="18"/>
        <v>#REF!</v>
      </c>
      <c r="AG16" s="168" t="str">
        <f t="shared" si="18"/>
        <v>#REF!</v>
      </c>
      <c r="AH16" s="168" t="str">
        <f t="shared" si="18"/>
        <v>#REF!</v>
      </c>
      <c r="AI16" s="168" t="str">
        <f t="shared" si="18"/>
        <v>#REF!</v>
      </c>
      <c r="AJ16" s="168" t="str">
        <f t="shared" si="18"/>
        <v>#REF!</v>
      </c>
    </row>
    <row r="17">
      <c r="A17" s="168" t="str">
        <f t="shared" ref="A17:T17" si="19">#REF!</f>
        <v>#REF!</v>
      </c>
      <c r="B17" s="168" t="str">
        <f t="shared" si="19"/>
        <v>#REF!</v>
      </c>
      <c r="C17" s="168" t="str">
        <f t="shared" si="19"/>
        <v>#REF!</v>
      </c>
      <c r="D17" s="168" t="str">
        <f t="shared" si="19"/>
        <v>#REF!</v>
      </c>
      <c r="E17" s="168" t="str">
        <f t="shared" si="19"/>
        <v>#REF!</v>
      </c>
      <c r="F17" s="168" t="str">
        <f t="shared" si="19"/>
        <v>#REF!</v>
      </c>
      <c r="G17" s="168" t="str">
        <f t="shared" si="19"/>
        <v>#REF!</v>
      </c>
      <c r="H17" s="168" t="str">
        <f t="shared" si="19"/>
        <v>#REF!</v>
      </c>
      <c r="I17" s="168" t="str">
        <f t="shared" si="19"/>
        <v>#REF!</v>
      </c>
      <c r="J17" s="168" t="str">
        <f t="shared" si="19"/>
        <v>#REF!</v>
      </c>
      <c r="K17" s="168" t="str">
        <f t="shared" si="19"/>
        <v>#REF!</v>
      </c>
      <c r="L17" s="168" t="str">
        <f t="shared" si="19"/>
        <v>#REF!</v>
      </c>
      <c r="M17" s="168" t="str">
        <f t="shared" si="19"/>
        <v>#REF!</v>
      </c>
      <c r="N17" s="168" t="str">
        <f t="shared" si="19"/>
        <v>#REF!</v>
      </c>
      <c r="O17" s="168" t="str">
        <f t="shared" si="19"/>
        <v>#REF!</v>
      </c>
      <c r="P17" s="168" t="str">
        <f t="shared" si="19"/>
        <v>#REF!</v>
      </c>
      <c r="Q17" s="168" t="str">
        <f t="shared" si="19"/>
        <v>#REF!</v>
      </c>
      <c r="R17" s="168" t="str">
        <f t="shared" si="19"/>
        <v>#REF!</v>
      </c>
      <c r="S17" s="168" t="str">
        <f t="shared" si="19"/>
        <v>#REF!</v>
      </c>
      <c r="T17" s="168" t="str">
        <f t="shared" si="19"/>
        <v>#REF!</v>
      </c>
      <c r="U17" s="168" t="str">
        <f>'2026 Pipeline'!AP6</f>
        <v>#REF!</v>
      </c>
      <c r="V17" s="168" t="str">
        <f t="shared" ref="V17:Z17" si="20">'2026 Pipeline'!CJ6</f>
        <v>#REF!</v>
      </c>
      <c r="W17" s="168" t="str">
        <f t="shared" si="20"/>
        <v>#REF!</v>
      </c>
      <c r="X17" s="168" t="str">
        <f t="shared" si="20"/>
        <v>#REF!</v>
      </c>
      <c r="Y17" s="168" t="str">
        <f t="shared" si="20"/>
        <v>#REF!</v>
      </c>
      <c r="Z17" s="168" t="str">
        <f t="shared" si="20"/>
        <v>#REF!</v>
      </c>
      <c r="AA17" s="168" t="str">
        <f t="shared" ref="AA17:AF17" si="21">#REF!</f>
        <v>#REF!</v>
      </c>
      <c r="AB17" s="168" t="str">
        <f t="shared" si="21"/>
        <v>#REF!</v>
      </c>
      <c r="AC17" s="168" t="str">
        <f t="shared" si="21"/>
        <v>#REF!</v>
      </c>
      <c r="AD17" s="168" t="str">
        <f t="shared" si="21"/>
        <v>#REF!</v>
      </c>
      <c r="AE17" s="168" t="str">
        <f t="shared" si="21"/>
        <v>#REF!</v>
      </c>
      <c r="AF17" s="168" t="str">
        <f t="shared" si="21"/>
        <v>#REF!</v>
      </c>
      <c r="AG17" s="168" t="str">
        <f>'2026 Pipeline'!CT6</f>
        <v>#REF!</v>
      </c>
      <c r="AH17" s="168" t="str">
        <f>'2026 Pipeline'!S6</f>
        <v>#REF!</v>
      </c>
      <c r="AI17" s="168" t="str">
        <f t="shared" ref="AI17:AJ17" si="22">#REF!</f>
        <v>#REF!</v>
      </c>
      <c r="AJ17" s="168" t="str">
        <f t="shared" si="22"/>
        <v>#REF!</v>
      </c>
    </row>
    <row r="18" hidden="1">
      <c r="A18" s="168" t="str">
        <f t="shared" ref="A18:AJ18" si="23">#REF!</f>
        <v>#REF!</v>
      </c>
      <c r="B18" s="168" t="str">
        <f t="shared" si="23"/>
        <v>#REF!</v>
      </c>
      <c r="C18" s="168" t="str">
        <f t="shared" si="23"/>
        <v>#REF!</v>
      </c>
      <c r="D18" s="168" t="str">
        <f t="shared" si="23"/>
        <v>#REF!</v>
      </c>
      <c r="E18" s="168" t="str">
        <f t="shared" si="23"/>
        <v>#REF!</v>
      </c>
      <c r="F18" s="168" t="str">
        <f t="shared" si="23"/>
        <v>#REF!</v>
      </c>
      <c r="G18" s="168" t="str">
        <f t="shared" si="23"/>
        <v>#REF!</v>
      </c>
      <c r="H18" s="168" t="str">
        <f t="shared" si="23"/>
        <v>#REF!</v>
      </c>
      <c r="I18" s="168" t="str">
        <f t="shared" si="23"/>
        <v>#REF!</v>
      </c>
      <c r="J18" s="168" t="str">
        <f t="shared" si="23"/>
        <v>#REF!</v>
      </c>
      <c r="K18" s="168" t="str">
        <f t="shared" si="23"/>
        <v>#REF!</v>
      </c>
      <c r="L18" s="168" t="str">
        <f t="shared" si="23"/>
        <v>#REF!</v>
      </c>
      <c r="M18" s="168" t="str">
        <f t="shared" si="23"/>
        <v>#REF!</v>
      </c>
      <c r="N18" s="168" t="str">
        <f t="shared" si="23"/>
        <v>#REF!</v>
      </c>
      <c r="O18" s="168" t="str">
        <f t="shared" si="23"/>
        <v>#REF!</v>
      </c>
      <c r="P18" s="168" t="str">
        <f t="shared" si="23"/>
        <v>#REF!</v>
      </c>
      <c r="Q18" s="168" t="str">
        <f t="shared" si="23"/>
        <v>#REF!</v>
      </c>
      <c r="R18" s="168" t="str">
        <f t="shared" si="23"/>
        <v>#REF!</v>
      </c>
      <c r="S18" s="168" t="str">
        <f t="shared" si="23"/>
        <v>#REF!</v>
      </c>
      <c r="T18" s="168" t="str">
        <f t="shared" si="23"/>
        <v>#REF!</v>
      </c>
      <c r="U18" s="168" t="str">
        <f t="shared" si="23"/>
        <v>#REF!</v>
      </c>
      <c r="V18" s="168" t="str">
        <f t="shared" si="23"/>
        <v>#REF!</v>
      </c>
      <c r="W18" s="168" t="str">
        <f t="shared" si="23"/>
        <v>#REF!</v>
      </c>
      <c r="X18" s="168" t="str">
        <f t="shared" si="23"/>
        <v>#REF!</v>
      </c>
      <c r="Y18" s="168" t="str">
        <f t="shared" si="23"/>
        <v>#REF!</v>
      </c>
      <c r="Z18" s="168" t="str">
        <f t="shared" si="23"/>
        <v>#REF!</v>
      </c>
      <c r="AA18" s="168" t="str">
        <f t="shared" si="23"/>
        <v>#REF!</v>
      </c>
      <c r="AB18" s="168" t="str">
        <f t="shared" si="23"/>
        <v>#REF!</v>
      </c>
      <c r="AC18" s="168" t="str">
        <f t="shared" si="23"/>
        <v>#REF!</v>
      </c>
      <c r="AD18" s="168" t="str">
        <f t="shared" si="23"/>
        <v>#REF!</v>
      </c>
      <c r="AE18" s="168" t="str">
        <f t="shared" si="23"/>
        <v>#REF!</v>
      </c>
      <c r="AF18" s="168" t="str">
        <f t="shared" si="23"/>
        <v>#REF!</v>
      </c>
      <c r="AG18" s="168" t="str">
        <f t="shared" si="23"/>
        <v>#REF!</v>
      </c>
      <c r="AH18" s="168" t="str">
        <f t="shared" si="23"/>
        <v>#REF!</v>
      </c>
      <c r="AI18" s="168" t="str">
        <f t="shared" si="23"/>
        <v>#REF!</v>
      </c>
      <c r="AJ18" s="168" t="str">
        <f t="shared" si="23"/>
        <v>#REF!</v>
      </c>
    </row>
    <row r="19" hidden="1">
      <c r="A19" s="168" t="str">
        <f t="shared" ref="A19:AJ19" si="24">#REF!</f>
        <v>#REF!</v>
      </c>
      <c r="B19" s="168" t="str">
        <f t="shared" si="24"/>
        <v>#REF!</v>
      </c>
      <c r="C19" s="168" t="str">
        <f t="shared" si="24"/>
        <v>#REF!</v>
      </c>
      <c r="D19" s="168" t="str">
        <f t="shared" si="24"/>
        <v>#REF!</v>
      </c>
      <c r="E19" s="168" t="str">
        <f t="shared" si="24"/>
        <v>#REF!</v>
      </c>
      <c r="F19" s="168" t="str">
        <f t="shared" si="24"/>
        <v>#REF!</v>
      </c>
      <c r="G19" s="168" t="str">
        <f t="shared" si="24"/>
        <v>#REF!</v>
      </c>
      <c r="H19" s="168" t="str">
        <f t="shared" si="24"/>
        <v>#REF!</v>
      </c>
      <c r="I19" s="168" t="str">
        <f t="shared" si="24"/>
        <v>#REF!</v>
      </c>
      <c r="J19" s="168" t="str">
        <f t="shared" si="24"/>
        <v>#REF!</v>
      </c>
      <c r="K19" s="168" t="str">
        <f t="shared" si="24"/>
        <v>#REF!</v>
      </c>
      <c r="L19" s="168" t="str">
        <f t="shared" si="24"/>
        <v>#REF!</v>
      </c>
      <c r="M19" s="168" t="str">
        <f t="shared" si="24"/>
        <v>#REF!</v>
      </c>
      <c r="N19" s="168" t="str">
        <f t="shared" si="24"/>
        <v>#REF!</v>
      </c>
      <c r="O19" s="168" t="str">
        <f t="shared" si="24"/>
        <v>#REF!</v>
      </c>
      <c r="P19" s="168" t="str">
        <f t="shared" si="24"/>
        <v>#REF!</v>
      </c>
      <c r="Q19" s="168" t="str">
        <f t="shared" si="24"/>
        <v>#REF!</v>
      </c>
      <c r="R19" s="168" t="str">
        <f t="shared" si="24"/>
        <v>#REF!</v>
      </c>
      <c r="S19" s="168" t="str">
        <f t="shared" si="24"/>
        <v>#REF!</v>
      </c>
      <c r="T19" s="168" t="str">
        <f t="shared" si="24"/>
        <v>#REF!</v>
      </c>
      <c r="U19" s="168" t="str">
        <f t="shared" si="24"/>
        <v>#REF!</v>
      </c>
      <c r="V19" s="168" t="str">
        <f t="shared" si="24"/>
        <v>#REF!</v>
      </c>
      <c r="W19" s="168" t="str">
        <f t="shared" si="24"/>
        <v>#REF!</v>
      </c>
      <c r="X19" s="168" t="str">
        <f t="shared" si="24"/>
        <v>#REF!</v>
      </c>
      <c r="Y19" s="168" t="str">
        <f t="shared" si="24"/>
        <v>#REF!</v>
      </c>
      <c r="Z19" s="168" t="str">
        <f t="shared" si="24"/>
        <v>#REF!</v>
      </c>
      <c r="AA19" s="168" t="str">
        <f t="shared" si="24"/>
        <v>#REF!</v>
      </c>
      <c r="AB19" s="168" t="str">
        <f t="shared" si="24"/>
        <v>#REF!</v>
      </c>
      <c r="AC19" s="168" t="str">
        <f t="shared" si="24"/>
        <v>#REF!</v>
      </c>
      <c r="AD19" s="168" t="str">
        <f t="shared" si="24"/>
        <v>#REF!</v>
      </c>
      <c r="AE19" s="168" t="str">
        <f t="shared" si="24"/>
        <v>#REF!</v>
      </c>
      <c r="AF19" s="168" t="str">
        <f t="shared" si="24"/>
        <v>#REF!</v>
      </c>
      <c r="AG19" s="168" t="str">
        <f t="shared" si="24"/>
        <v>#REF!</v>
      </c>
      <c r="AH19" s="168" t="str">
        <f t="shared" si="24"/>
        <v>#REF!</v>
      </c>
      <c r="AI19" s="168" t="str">
        <f t="shared" si="24"/>
        <v>#REF!</v>
      </c>
      <c r="AJ19" s="168" t="str">
        <f t="shared" si="24"/>
        <v>#REF!</v>
      </c>
    </row>
    <row r="20" hidden="1">
      <c r="A20" s="168" t="str">
        <f t="shared" ref="A20:AJ20" si="25">#REF!</f>
        <v>#REF!</v>
      </c>
      <c r="B20" s="168" t="str">
        <f t="shared" si="25"/>
        <v>#REF!</v>
      </c>
      <c r="C20" s="168" t="str">
        <f t="shared" si="25"/>
        <v>#REF!</v>
      </c>
      <c r="D20" s="168" t="str">
        <f t="shared" si="25"/>
        <v>#REF!</v>
      </c>
      <c r="E20" s="168" t="str">
        <f t="shared" si="25"/>
        <v>#REF!</v>
      </c>
      <c r="F20" s="168" t="str">
        <f t="shared" si="25"/>
        <v>#REF!</v>
      </c>
      <c r="G20" s="168" t="str">
        <f t="shared" si="25"/>
        <v>#REF!</v>
      </c>
      <c r="H20" s="168" t="str">
        <f t="shared" si="25"/>
        <v>#REF!</v>
      </c>
      <c r="I20" s="168" t="str">
        <f t="shared" si="25"/>
        <v>#REF!</v>
      </c>
      <c r="J20" s="168" t="str">
        <f t="shared" si="25"/>
        <v>#REF!</v>
      </c>
      <c r="K20" s="168" t="str">
        <f t="shared" si="25"/>
        <v>#REF!</v>
      </c>
      <c r="L20" s="168" t="str">
        <f t="shared" si="25"/>
        <v>#REF!</v>
      </c>
      <c r="M20" s="168" t="str">
        <f t="shared" si="25"/>
        <v>#REF!</v>
      </c>
      <c r="N20" s="168" t="str">
        <f t="shared" si="25"/>
        <v>#REF!</v>
      </c>
      <c r="O20" s="168" t="str">
        <f t="shared" si="25"/>
        <v>#REF!</v>
      </c>
      <c r="P20" s="168" t="str">
        <f t="shared" si="25"/>
        <v>#REF!</v>
      </c>
      <c r="Q20" s="168" t="str">
        <f t="shared" si="25"/>
        <v>#REF!</v>
      </c>
      <c r="R20" s="168" t="str">
        <f t="shared" si="25"/>
        <v>#REF!</v>
      </c>
      <c r="S20" s="168" t="str">
        <f t="shared" si="25"/>
        <v>#REF!</v>
      </c>
      <c r="T20" s="168" t="str">
        <f t="shared" si="25"/>
        <v>#REF!</v>
      </c>
      <c r="U20" s="168" t="str">
        <f t="shared" si="25"/>
        <v>#REF!</v>
      </c>
      <c r="V20" s="168" t="str">
        <f t="shared" si="25"/>
        <v>#REF!</v>
      </c>
      <c r="W20" s="168" t="str">
        <f t="shared" si="25"/>
        <v>#REF!</v>
      </c>
      <c r="X20" s="168" t="str">
        <f t="shared" si="25"/>
        <v>#REF!</v>
      </c>
      <c r="Y20" s="168" t="str">
        <f t="shared" si="25"/>
        <v>#REF!</v>
      </c>
      <c r="Z20" s="168" t="str">
        <f t="shared" si="25"/>
        <v>#REF!</v>
      </c>
      <c r="AA20" s="168" t="str">
        <f t="shared" si="25"/>
        <v>#REF!</v>
      </c>
      <c r="AB20" s="168" t="str">
        <f t="shared" si="25"/>
        <v>#REF!</v>
      </c>
      <c r="AC20" s="168" t="str">
        <f t="shared" si="25"/>
        <v>#REF!</v>
      </c>
      <c r="AD20" s="168" t="str">
        <f t="shared" si="25"/>
        <v>#REF!</v>
      </c>
      <c r="AE20" s="168" t="str">
        <f t="shared" si="25"/>
        <v>#REF!</v>
      </c>
      <c r="AF20" s="168" t="str">
        <f t="shared" si="25"/>
        <v>#REF!</v>
      </c>
      <c r="AG20" s="168" t="str">
        <f t="shared" si="25"/>
        <v>#REF!</v>
      </c>
      <c r="AH20" s="168" t="str">
        <f t="shared" si="25"/>
        <v>#REF!</v>
      </c>
      <c r="AI20" s="168" t="str">
        <f t="shared" si="25"/>
        <v>#REF!</v>
      </c>
      <c r="AJ20" s="168" t="str">
        <f t="shared" si="25"/>
        <v>#REF!</v>
      </c>
    </row>
    <row r="21" ht="15.75" hidden="1" customHeight="1">
      <c r="A21" s="168" t="str">
        <f t="shared" ref="A21:AJ21" si="26">#REF!</f>
        <v>#REF!</v>
      </c>
      <c r="B21" s="168" t="str">
        <f t="shared" si="26"/>
        <v>#REF!</v>
      </c>
      <c r="C21" s="168" t="str">
        <f t="shared" si="26"/>
        <v>#REF!</v>
      </c>
      <c r="D21" s="168" t="str">
        <f t="shared" si="26"/>
        <v>#REF!</v>
      </c>
      <c r="E21" s="168" t="str">
        <f t="shared" si="26"/>
        <v>#REF!</v>
      </c>
      <c r="F21" s="168" t="str">
        <f t="shared" si="26"/>
        <v>#REF!</v>
      </c>
      <c r="G21" s="168" t="str">
        <f t="shared" si="26"/>
        <v>#REF!</v>
      </c>
      <c r="H21" s="168" t="str">
        <f t="shared" si="26"/>
        <v>#REF!</v>
      </c>
      <c r="I21" s="168" t="str">
        <f t="shared" si="26"/>
        <v>#REF!</v>
      </c>
      <c r="J21" s="168" t="str">
        <f t="shared" si="26"/>
        <v>#REF!</v>
      </c>
      <c r="K21" s="168" t="str">
        <f t="shared" si="26"/>
        <v>#REF!</v>
      </c>
      <c r="L21" s="168" t="str">
        <f t="shared" si="26"/>
        <v>#REF!</v>
      </c>
      <c r="M21" s="168" t="str">
        <f t="shared" si="26"/>
        <v>#REF!</v>
      </c>
      <c r="N21" s="168" t="str">
        <f t="shared" si="26"/>
        <v>#REF!</v>
      </c>
      <c r="O21" s="168" t="str">
        <f t="shared" si="26"/>
        <v>#REF!</v>
      </c>
      <c r="P21" s="168" t="str">
        <f t="shared" si="26"/>
        <v>#REF!</v>
      </c>
      <c r="Q21" s="168" t="str">
        <f t="shared" si="26"/>
        <v>#REF!</v>
      </c>
      <c r="R21" s="168" t="str">
        <f t="shared" si="26"/>
        <v>#REF!</v>
      </c>
      <c r="S21" s="168" t="str">
        <f t="shared" si="26"/>
        <v>#REF!</v>
      </c>
      <c r="T21" s="168" t="str">
        <f t="shared" si="26"/>
        <v>#REF!</v>
      </c>
      <c r="U21" s="168" t="str">
        <f t="shared" si="26"/>
        <v>#REF!</v>
      </c>
      <c r="V21" s="168" t="str">
        <f t="shared" si="26"/>
        <v>#REF!</v>
      </c>
      <c r="W21" s="168" t="str">
        <f t="shared" si="26"/>
        <v>#REF!</v>
      </c>
      <c r="X21" s="168" t="str">
        <f t="shared" si="26"/>
        <v>#REF!</v>
      </c>
      <c r="Y21" s="168" t="str">
        <f t="shared" si="26"/>
        <v>#REF!</v>
      </c>
      <c r="Z21" s="168" t="str">
        <f t="shared" si="26"/>
        <v>#REF!</v>
      </c>
      <c r="AA21" s="168" t="str">
        <f t="shared" si="26"/>
        <v>#REF!</v>
      </c>
      <c r="AB21" s="168" t="str">
        <f t="shared" si="26"/>
        <v>#REF!</v>
      </c>
      <c r="AC21" s="168" t="str">
        <f t="shared" si="26"/>
        <v>#REF!</v>
      </c>
      <c r="AD21" s="168" t="str">
        <f t="shared" si="26"/>
        <v>#REF!</v>
      </c>
      <c r="AE21" s="168" t="str">
        <f t="shared" si="26"/>
        <v>#REF!</v>
      </c>
      <c r="AF21" s="168" t="str">
        <f t="shared" si="26"/>
        <v>#REF!</v>
      </c>
      <c r="AG21" s="168" t="str">
        <f t="shared" si="26"/>
        <v>#REF!</v>
      </c>
      <c r="AH21" s="168" t="str">
        <f t="shared" si="26"/>
        <v>#REF!</v>
      </c>
      <c r="AI21" s="168" t="str">
        <f t="shared" si="26"/>
        <v>#REF!</v>
      </c>
      <c r="AJ21" s="168" t="str">
        <f t="shared" si="26"/>
        <v>#REF!</v>
      </c>
    </row>
    <row r="22" ht="48.75" hidden="1" customHeight="1">
      <c r="A22" s="168" t="str">
        <f t="shared" ref="A22:AJ22" si="27">#REF!</f>
        <v>#REF!</v>
      </c>
      <c r="B22" s="168" t="str">
        <f t="shared" si="27"/>
        <v>#REF!</v>
      </c>
      <c r="C22" s="168" t="str">
        <f t="shared" si="27"/>
        <v>#REF!</v>
      </c>
      <c r="D22" s="168" t="str">
        <f t="shared" si="27"/>
        <v>#REF!</v>
      </c>
      <c r="E22" s="168" t="str">
        <f t="shared" si="27"/>
        <v>#REF!</v>
      </c>
      <c r="F22" s="168" t="str">
        <f t="shared" si="27"/>
        <v>#REF!</v>
      </c>
      <c r="G22" s="168" t="str">
        <f t="shared" si="27"/>
        <v>#REF!</v>
      </c>
      <c r="H22" s="168" t="str">
        <f t="shared" si="27"/>
        <v>#REF!</v>
      </c>
      <c r="I22" s="168" t="str">
        <f t="shared" si="27"/>
        <v>#REF!</v>
      </c>
      <c r="J22" s="168" t="str">
        <f t="shared" si="27"/>
        <v>#REF!</v>
      </c>
      <c r="K22" s="168" t="str">
        <f t="shared" si="27"/>
        <v>#REF!</v>
      </c>
      <c r="L22" s="168" t="str">
        <f t="shared" si="27"/>
        <v>#REF!</v>
      </c>
      <c r="M22" s="168" t="str">
        <f t="shared" si="27"/>
        <v>#REF!</v>
      </c>
      <c r="N22" s="168" t="str">
        <f t="shared" si="27"/>
        <v>#REF!</v>
      </c>
      <c r="O22" s="168" t="str">
        <f t="shared" si="27"/>
        <v>#REF!</v>
      </c>
      <c r="P22" s="168" t="str">
        <f t="shared" si="27"/>
        <v>#REF!</v>
      </c>
      <c r="Q22" s="168" t="str">
        <f t="shared" si="27"/>
        <v>#REF!</v>
      </c>
      <c r="R22" s="168" t="str">
        <f t="shared" si="27"/>
        <v>#REF!</v>
      </c>
      <c r="S22" s="168" t="str">
        <f t="shared" si="27"/>
        <v>#REF!</v>
      </c>
      <c r="T22" s="168" t="str">
        <f t="shared" si="27"/>
        <v>#REF!</v>
      </c>
      <c r="U22" s="168" t="str">
        <f t="shared" si="27"/>
        <v>#REF!</v>
      </c>
      <c r="V22" s="168" t="str">
        <f t="shared" si="27"/>
        <v>#REF!</v>
      </c>
      <c r="W22" s="168" t="str">
        <f t="shared" si="27"/>
        <v>#REF!</v>
      </c>
      <c r="X22" s="168" t="str">
        <f t="shared" si="27"/>
        <v>#REF!</v>
      </c>
      <c r="Y22" s="168" t="str">
        <f t="shared" si="27"/>
        <v>#REF!</v>
      </c>
      <c r="Z22" s="168" t="str">
        <f t="shared" si="27"/>
        <v>#REF!</v>
      </c>
      <c r="AA22" s="168" t="str">
        <f t="shared" si="27"/>
        <v>#REF!</v>
      </c>
      <c r="AB22" s="168" t="str">
        <f t="shared" si="27"/>
        <v>#REF!</v>
      </c>
      <c r="AC22" s="168" t="str">
        <f t="shared" si="27"/>
        <v>#REF!</v>
      </c>
      <c r="AD22" s="168" t="str">
        <f t="shared" si="27"/>
        <v>#REF!</v>
      </c>
      <c r="AE22" s="168" t="str">
        <f t="shared" si="27"/>
        <v>#REF!</v>
      </c>
      <c r="AF22" s="168" t="str">
        <f t="shared" si="27"/>
        <v>#REF!</v>
      </c>
      <c r="AG22" s="168" t="str">
        <f t="shared" si="27"/>
        <v>#REF!</v>
      </c>
      <c r="AH22" s="168" t="str">
        <f t="shared" si="27"/>
        <v>#REF!</v>
      </c>
      <c r="AI22" s="168" t="str">
        <f t="shared" si="27"/>
        <v>#REF!</v>
      </c>
      <c r="AJ22" s="168" t="str">
        <f t="shared" si="27"/>
        <v>#REF!</v>
      </c>
    </row>
    <row r="23" ht="15.75" hidden="1" customHeight="1">
      <c r="A23" s="168" t="str">
        <f t="shared" ref="A23:AJ23" si="28">#REF!</f>
        <v>#REF!</v>
      </c>
      <c r="B23" s="168" t="str">
        <f t="shared" si="28"/>
        <v>#REF!</v>
      </c>
      <c r="C23" s="168" t="str">
        <f t="shared" si="28"/>
        <v>#REF!</v>
      </c>
      <c r="D23" s="168" t="str">
        <f t="shared" si="28"/>
        <v>#REF!</v>
      </c>
      <c r="E23" s="168" t="str">
        <f t="shared" si="28"/>
        <v>#REF!</v>
      </c>
      <c r="F23" s="168" t="str">
        <f t="shared" si="28"/>
        <v>#REF!</v>
      </c>
      <c r="G23" s="168" t="str">
        <f t="shared" si="28"/>
        <v>#REF!</v>
      </c>
      <c r="H23" s="168" t="str">
        <f t="shared" si="28"/>
        <v>#REF!</v>
      </c>
      <c r="I23" s="168" t="str">
        <f t="shared" si="28"/>
        <v>#REF!</v>
      </c>
      <c r="J23" s="168" t="str">
        <f t="shared" si="28"/>
        <v>#REF!</v>
      </c>
      <c r="K23" s="168" t="str">
        <f t="shared" si="28"/>
        <v>#REF!</v>
      </c>
      <c r="L23" s="168" t="str">
        <f t="shared" si="28"/>
        <v>#REF!</v>
      </c>
      <c r="M23" s="168" t="str">
        <f t="shared" si="28"/>
        <v>#REF!</v>
      </c>
      <c r="N23" s="168" t="str">
        <f t="shared" si="28"/>
        <v>#REF!</v>
      </c>
      <c r="O23" s="168" t="str">
        <f t="shared" si="28"/>
        <v>#REF!</v>
      </c>
      <c r="P23" s="168" t="str">
        <f t="shared" si="28"/>
        <v>#REF!</v>
      </c>
      <c r="Q23" s="168" t="str">
        <f t="shared" si="28"/>
        <v>#REF!</v>
      </c>
      <c r="R23" s="168" t="str">
        <f t="shared" si="28"/>
        <v>#REF!</v>
      </c>
      <c r="S23" s="168" t="str">
        <f t="shared" si="28"/>
        <v>#REF!</v>
      </c>
      <c r="T23" s="168" t="str">
        <f t="shared" si="28"/>
        <v>#REF!</v>
      </c>
      <c r="U23" s="168" t="str">
        <f t="shared" si="28"/>
        <v>#REF!</v>
      </c>
      <c r="V23" s="168" t="str">
        <f t="shared" si="28"/>
        <v>#REF!</v>
      </c>
      <c r="W23" s="168" t="str">
        <f t="shared" si="28"/>
        <v>#REF!</v>
      </c>
      <c r="X23" s="168" t="str">
        <f t="shared" si="28"/>
        <v>#REF!</v>
      </c>
      <c r="Y23" s="168" t="str">
        <f t="shared" si="28"/>
        <v>#REF!</v>
      </c>
      <c r="Z23" s="168" t="str">
        <f t="shared" si="28"/>
        <v>#REF!</v>
      </c>
      <c r="AA23" s="168" t="str">
        <f t="shared" si="28"/>
        <v>#REF!</v>
      </c>
      <c r="AB23" s="168" t="str">
        <f t="shared" si="28"/>
        <v>#REF!</v>
      </c>
      <c r="AC23" s="168" t="str">
        <f t="shared" si="28"/>
        <v>#REF!</v>
      </c>
      <c r="AD23" s="168" t="str">
        <f t="shared" si="28"/>
        <v>#REF!</v>
      </c>
      <c r="AE23" s="168" t="str">
        <f t="shared" si="28"/>
        <v>#REF!</v>
      </c>
      <c r="AF23" s="168" t="str">
        <f t="shared" si="28"/>
        <v>#REF!</v>
      </c>
      <c r="AG23" s="168" t="str">
        <f t="shared" si="28"/>
        <v>#REF!</v>
      </c>
      <c r="AH23" s="168" t="str">
        <f t="shared" si="28"/>
        <v>#REF!</v>
      </c>
      <c r="AI23" s="168" t="str">
        <f t="shared" si="28"/>
        <v>#REF!</v>
      </c>
      <c r="AJ23" s="168" t="str">
        <f t="shared" si="28"/>
        <v>#REF!</v>
      </c>
    </row>
    <row r="24" ht="15.75" hidden="1" customHeight="1">
      <c r="A24" s="168" t="str">
        <f t="shared" ref="A24:AJ24" si="29">#REF!</f>
        <v>#REF!</v>
      </c>
      <c r="B24" s="168" t="str">
        <f t="shared" si="29"/>
        <v>#REF!</v>
      </c>
      <c r="C24" s="168" t="str">
        <f t="shared" si="29"/>
        <v>#REF!</v>
      </c>
      <c r="D24" s="168" t="str">
        <f t="shared" si="29"/>
        <v>#REF!</v>
      </c>
      <c r="E24" s="168" t="str">
        <f t="shared" si="29"/>
        <v>#REF!</v>
      </c>
      <c r="F24" s="168" t="str">
        <f t="shared" si="29"/>
        <v>#REF!</v>
      </c>
      <c r="G24" s="168" t="str">
        <f t="shared" si="29"/>
        <v>#REF!</v>
      </c>
      <c r="H24" s="168" t="str">
        <f t="shared" si="29"/>
        <v>#REF!</v>
      </c>
      <c r="I24" s="168" t="str">
        <f t="shared" si="29"/>
        <v>#REF!</v>
      </c>
      <c r="J24" s="168" t="str">
        <f t="shared" si="29"/>
        <v>#REF!</v>
      </c>
      <c r="K24" s="168" t="str">
        <f t="shared" si="29"/>
        <v>#REF!</v>
      </c>
      <c r="L24" s="168" t="str">
        <f t="shared" si="29"/>
        <v>#REF!</v>
      </c>
      <c r="M24" s="168" t="str">
        <f t="shared" si="29"/>
        <v>#REF!</v>
      </c>
      <c r="N24" s="168" t="str">
        <f t="shared" si="29"/>
        <v>#REF!</v>
      </c>
      <c r="O24" s="168" t="str">
        <f t="shared" si="29"/>
        <v>#REF!</v>
      </c>
      <c r="P24" s="168" t="str">
        <f t="shared" si="29"/>
        <v>#REF!</v>
      </c>
      <c r="Q24" s="168" t="str">
        <f t="shared" si="29"/>
        <v>#REF!</v>
      </c>
      <c r="R24" s="168" t="str">
        <f t="shared" si="29"/>
        <v>#REF!</v>
      </c>
      <c r="S24" s="168" t="str">
        <f t="shared" si="29"/>
        <v>#REF!</v>
      </c>
      <c r="T24" s="168" t="str">
        <f t="shared" si="29"/>
        <v>#REF!</v>
      </c>
      <c r="U24" s="168" t="str">
        <f t="shared" si="29"/>
        <v>#REF!</v>
      </c>
      <c r="V24" s="168" t="str">
        <f t="shared" si="29"/>
        <v>#REF!</v>
      </c>
      <c r="W24" s="168" t="str">
        <f t="shared" si="29"/>
        <v>#REF!</v>
      </c>
      <c r="X24" s="168" t="str">
        <f t="shared" si="29"/>
        <v>#REF!</v>
      </c>
      <c r="Y24" s="168" t="str">
        <f t="shared" si="29"/>
        <v>#REF!</v>
      </c>
      <c r="Z24" s="168" t="str">
        <f t="shared" si="29"/>
        <v>#REF!</v>
      </c>
      <c r="AA24" s="168" t="str">
        <f t="shared" si="29"/>
        <v>#REF!</v>
      </c>
      <c r="AB24" s="168" t="str">
        <f t="shared" si="29"/>
        <v>#REF!</v>
      </c>
      <c r="AC24" s="168" t="str">
        <f t="shared" si="29"/>
        <v>#REF!</v>
      </c>
      <c r="AD24" s="168" t="str">
        <f t="shared" si="29"/>
        <v>#REF!</v>
      </c>
      <c r="AE24" s="168" t="str">
        <f t="shared" si="29"/>
        <v>#REF!</v>
      </c>
      <c r="AF24" s="168" t="str">
        <f t="shared" si="29"/>
        <v>#REF!</v>
      </c>
      <c r="AG24" s="168" t="str">
        <f t="shared" si="29"/>
        <v>#REF!</v>
      </c>
      <c r="AH24" s="168" t="str">
        <f t="shared" si="29"/>
        <v>#REF!</v>
      </c>
      <c r="AI24" s="168" t="str">
        <f t="shared" si="29"/>
        <v>#REF!</v>
      </c>
      <c r="AJ24" s="168" t="str">
        <f t="shared" si="29"/>
        <v>#REF!</v>
      </c>
    </row>
    <row r="25" ht="15.75" hidden="1" customHeight="1">
      <c r="A25" s="168" t="str">
        <f t="shared" ref="A25:AJ25" si="30">#REF!</f>
        <v>#REF!</v>
      </c>
      <c r="B25" s="168" t="str">
        <f t="shared" si="30"/>
        <v>#REF!</v>
      </c>
      <c r="C25" s="168" t="str">
        <f t="shared" si="30"/>
        <v>#REF!</v>
      </c>
      <c r="D25" s="168" t="str">
        <f t="shared" si="30"/>
        <v>#REF!</v>
      </c>
      <c r="E25" s="168" t="str">
        <f t="shared" si="30"/>
        <v>#REF!</v>
      </c>
      <c r="F25" s="168" t="str">
        <f t="shared" si="30"/>
        <v>#REF!</v>
      </c>
      <c r="G25" s="168" t="str">
        <f t="shared" si="30"/>
        <v>#REF!</v>
      </c>
      <c r="H25" s="168" t="str">
        <f t="shared" si="30"/>
        <v>#REF!</v>
      </c>
      <c r="I25" s="168" t="str">
        <f t="shared" si="30"/>
        <v>#REF!</v>
      </c>
      <c r="J25" s="168" t="str">
        <f t="shared" si="30"/>
        <v>#REF!</v>
      </c>
      <c r="K25" s="168" t="str">
        <f t="shared" si="30"/>
        <v>#REF!</v>
      </c>
      <c r="L25" s="168" t="str">
        <f t="shared" si="30"/>
        <v>#REF!</v>
      </c>
      <c r="M25" s="168" t="str">
        <f t="shared" si="30"/>
        <v>#REF!</v>
      </c>
      <c r="N25" s="168" t="str">
        <f t="shared" si="30"/>
        <v>#REF!</v>
      </c>
      <c r="O25" s="168" t="str">
        <f t="shared" si="30"/>
        <v>#REF!</v>
      </c>
      <c r="P25" s="168" t="str">
        <f t="shared" si="30"/>
        <v>#REF!</v>
      </c>
      <c r="Q25" s="168" t="str">
        <f t="shared" si="30"/>
        <v>#REF!</v>
      </c>
      <c r="R25" s="168" t="str">
        <f t="shared" si="30"/>
        <v>#REF!</v>
      </c>
      <c r="S25" s="168" t="str">
        <f t="shared" si="30"/>
        <v>#REF!</v>
      </c>
      <c r="T25" s="168" t="str">
        <f t="shared" si="30"/>
        <v>#REF!</v>
      </c>
      <c r="U25" s="168" t="str">
        <f t="shared" si="30"/>
        <v>#REF!</v>
      </c>
      <c r="V25" s="168" t="str">
        <f t="shared" si="30"/>
        <v>#REF!</v>
      </c>
      <c r="W25" s="168" t="str">
        <f t="shared" si="30"/>
        <v>#REF!</v>
      </c>
      <c r="X25" s="168" t="str">
        <f t="shared" si="30"/>
        <v>#REF!</v>
      </c>
      <c r="Y25" s="168" t="str">
        <f t="shared" si="30"/>
        <v>#REF!</v>
      </c>
      <c r="Z25" s="168" t="str">
        <f t="shared" si="30"/>
        <v>#REF!</v>
      </c>
      <c r="AA25" s="168" t="str">
        <f t="shared" si="30"/>
        <v>#REF!</v>
      </c>
      <c r="AB25" s="168" t="str">
        <f t="shared" si="30"/>
        <v>#REF!</v>
      </c>
      <c r="AC25" s="168" t="str">
        <f t="shared" si="30"/>
        <v>#REF!</v>
      </c>
      <c r="AD25" s="168" t="str">
        <f t="shared" si="30"/>
        <v>#REF!</v>
      </c>
      <c r="AE25" s="168" t="str">
        <f t="shared" si="30"/>
        <v>#REF!</v>
      </c>
      <c r="AF25" s="168" t="str">
        <f t="shared" si="30"/>
        <v>#REF!</v>
      </c>
      <c r="AG25" s="168" t="str">
        <f t="shared" si="30"/>
        <v>#REF!</v>
      </c>
      <c r="AH25" s="168" t="str">
        <f t="shared" si="30"/>
        <v>#REF!</v>
      </c>
      <c r="AI25" s="168" t="str">
        <f t="shared" si="30"/>
        <v>#REF!</v>
      </c>
      <c r="AJ25" s="168" t="str">
        <f t="shared" si="30"/>
        <v>#REF!</v>
      </c>
    </row>
    <row r="26" ht="15.75" hidden="1" customHeight="1">
      <c r="A26" s="168" t="str">
        <f t="shared" ref="A26:AJ26" si="31">#REF!</f>
        <v>#REF!</v>
      </c>
      <c r="B26" s="168" t="str">
        <f t="shared" si="31"/>
        <v>#REF!</v>
      </c>
      <c r="C26" s="168" t="str">
        <f t="shared" si="31"/>
        <v>#REF!</v>
      </c>
      <c r="D26" s="168" t="str">
        <f t="shared" si="31"/>
        <v>#REF!</v>
      </c>
      <c r="E26" s="168" t="str">
        <f t="shared" si="31"/>
        <v>#REF!</v>
      </c>
      <c r="F26" s="168" t="str">
        <f t="shared" si="31"/>
        <v>#REF!</v>
      </c>
      <c r="G26" s="168" t="str">
        <f t="shared" si="31"/>
        <v>#REF!</v>
      </c>
      <c r="H26" s="168" t="str">
        <f t="shared" si="31"/>
        <v>#REF!</v>
      </c>
      <c r="I26" s="168" t="str">
        <f t="shared" si="31"/>
        <v>#REF!</v>
      </c>
      <c r="J26" s="168" t="str">
        <f t="shared" si="31"/>
        <v>#REF!</v>
      </c>
      <c r="K26" s="168" t="str">
        <f t="shared" si="31"/>
        <v>#REF!</v>
      </c>
      <c r="L26" s="168" t="str">
        <f t="shared" si="31"/>
        <v>#REF!</v>
      </c>
      <c r="M26" s="168" t="str">
        <f t="shared" si="31"/>
        <v>#REF!</v>
      </c>
      <c r="N26" s="168" t="str">
        <f t="shared" si="31"/>
        <v>#REF!</v>
      </c>
      <c r="O26" s="168" t="str">
        <f t="shared" si="31"/>
        <v>#REF!</v>
      </c>
      <c r="P26" s="168" t="str">
        <f t="shared" si="31"/>
        <v>#REF!</v>
      </c>
      <c r="Q26" s="168" t="str">
        <f t="shared" si="31"/>
        <v>#REF!</v>
      </c>
      <c r="R26" s="168" t="str">
        <f t="shared" si="31"/>
        <v>#REF!</v>
      </c>
      <c r="S26" s="168" t="str">
        <f t="shared" si="31"/>
        <v>#REF!</v>
      </c>
      <c r="T26" s="168" t="str">
        <f t="shared" si="31"/>
        <v>#REF!</v>
      </c>
      <c r="U26" s="168" t="str">
        <f t="shared" si="31"/>
        <v>#REF!</v>
      </c>
      <c r="V26" s="168" t="str">
        <f t="shared" si="31"/>
        <v>#REF!</v>
      </c>
      <c r="W26" s="168" t="str">
        <f t="shared" si="31"/>
        <v>#REF!</v>
      </c>
      <c r="X26" s="168" t="str">
        <f t="shared" si="31"/>
        <v>#REF!</v>
      </c>
      <c r="Y26" s="168" t="str">
        <f t="shared" si="31"/>
        <v>#REF!</v>
      </c>
      <c r="Z26" s="168" t="str">
        <f t="shared" si="31"/>
        <v>#REF!</v>
      </c>
      <c r="AA26" s="168" t="str">
        <f t="shared" si="31"/>
        <v>#REF!</v>
      </c>
      <c r="AB26" s="168" t="str">
        <f t="shared" si="31"/>
        <v>#REF!</v>
      </c>
      <c r="AC26" s="168" t="str">
        <f t="shared" si="31"/>
        <v>#REF!</v>
      </c>
      <c r="AD26" s="168" t="str">
        <f t="shared" si="31"/>
        <v>#REF!</v>
      </c>
      <c r="AE26" s="168" t="str">
        <f t="shared" si="31"/>
        <v>#REF!</v>
      </c>
      <c r="AF26" s="168" t="str">
        <f t="shared" si="31"/>
        <v>#REF!</v>
      </c>
      <c r="AG26" s="168" t="str">
        <f t="shared" si="31"/>
        <v>#REF!</v>
      </c>
      <c r="AH26" s="168" t="str">
        <f t="shared" si="31"/>
        <v>#REF!</v>
      </c>
      <c r="AI26" s="168" t="str">
        <f t="shared" si="31"/>
        <v>#REF!</v>
      </c>
      <c r="AJ26" s="168" t="str">
        <f t="shared" si="31"/>
        <v>#REF!</v>
      </c>
    </row>
    <row r="27" ht="15.75" hidden="1" customHeight="1">
      <c r="A27" s="168" t="str">
        <f t="shared" ref="A27:AJ27" si="32">#REF!</f>
        <v>#REF!</v>
      </c>
      <c r="B27" s="168" t="str">
        <f t="shared" si="32"/>
        <v>#REF!</v>
      </c>
      <c r="C27" s="168" t="str">
        <f t="shared" si="32"/>
        <v>#REF!</v>
      </c>
      <c r="D27" s="168" t="str">
        <f t="shared" si="32"/>
        <v>#REF!</v>
      </c>
      <c r="E27" s="168" t="str">
        <f t="shared" si="32"/>
        <v>#REF!</v>
      </c>
      <c r="F27" s="168" t="str">
        <f t="shared" si="32"/>
        <v>#REF!</v>
      </c>
      <c r="G27" s="168" t="str">
        <f t="shared" si="32"/>
        <v>#REF!</v>
      </c>
      <c r="H27" s="168" t="str">
        <f t="shared" si="32"/>
        <v>#REF!</v>
      </c>
      <c r="I27" s="168" t="str">
        <f t="shared" si="32"/>
        <v>#REF!</v>
      </c>
      <c r="J27" s="168" t="str">
        <f t="shared" si="32"/>
        <v>#REF!</v>
      </c>
      <c r="K27" s="168" t="str">
        <f t="shared" si="32"/>
        <v>#REF!</v>
      </c>
      <c r="L27" s="168" t="str">
        <f t="shared" si="32"/>
        <v>#REF!</v>
      </c>
      <c r="M27" s="168" t="str">
        <f t="shared" si="32"/>
        <v>#REF!</v>
      </c>
      <c r="N27" s="168" t="str">
        <f t="shared" si="32"/>
        <v>#REF!</v>
      </c>
      <c r="O27" s="168" t="str">
        <f t="shared" si="32"/>
        <v>#REF!</v>
      </c>
      <c r="P27" s="168" t="str">
        <f t="shared" si="32"/>
        <v>#REF!</v>
      </c>
      <c r="Q27" s="168" t="str">
        <f t="shared" si="32"/>
        <v>#REF!</v>
      </c>
      <c r="R27" s="168" t="str">
        <f t="shared" si="32"/>
        <v>#REF!</v>
      </c>
      <c r="S27" s="168" t="str">
        <f t="shared" si="32"/>
        <v>#REF!</v>
      </c>
      <c r="T27" s="168" t="str">
        <f t="shared" si="32"/>
        <v>#REF!</v>
      </c>
      <c r="U27" s="168" t="str">
        <f t="shared" si="32"/>
        <v>#REF!</v>
      </c>
      <c r="V27" s="168" t="str">
        <f t="shared" si="32"/>
        <v>#REF!</v>
      </c>
      <c r="W27" s="168" t="str">
        <f t="shared" si="32"/>
        <v>#REF!</v>
      </c>
      <c r="X27" s="168" t="str">
        <f t="shared" si="32"/>
        <v>#REF!</v>
      </c>
      <c r="Y27" s="168" t="str">
        <f t="shared" si="32"/>
        <v>#REF!</v>
      </c>
      <c r="Z27" s="168" t="str">
        <f t="shared" si="32"/>
        <v>#REF!</v>
      </c>
      <c r="AA27" s="168" t="str">
        <f t="shared" si="32"/>
        <v>#REF!</v>
      </c>
      <c r="AB27" s="168" t="str">
        <f t="shared" si="32"/>
        <v>#REF!</v>
      </c>
      <c r="AC27" s="168" t="str">
        <f t="shared" si="32"/>
        <v>#REF!</v>
      </c>
      <c r="AD27" s="168" t="str">
        <f t="shared" si="32"/>
        <v>#REF!</v>
      </c>
      <c r="AE27" s="168" t="str">
        <f t="shared" si="32"/>
        <v>#REF!</v>
      </c>
      <c r="AF27" s="168" t="str">
        <f t="shared" si="32"/>
        <v>#REF!</v>
      </c>
      <c r="AG27" s="168" t="str">
        <f t="shared" si="32"/>
        <v>#REF!</v>
      </c>
      <c r="AH27" s="168" t="str">
        <f t="shared" si="32"/>
        <v>#REF!</v>
      </c>
      <c r="AI27" s="168" t="str">
        <f t="shared" si="32"/>
        <v>#REF!</v>
      </c>
      <c r="AJ27" s="168" t="str">
        <f t="shared" si="32"/>
        <v>#REF!</v>
      </c>
    </row>
    <row r="28" ht="15.75" hidden="1" customHeight="1">
      <c r="A28" s="168" t="str">
        <f t="shared" ref="A28:AJ28" si="33">#REF!</f>
        <v>#REF!</v>
      </c>
      <c r="B28" s="168" t="str">
        <f t="shared" si="33"/>
        <v>#REF!</v>
      </c>
      <c r="C28" s="168" t="str">
        <f t="shared" si="33"/>
        <v>#REF!</v>
      </c>
      <c r="D28" s="168" t="str">
        <f t="shared" si="33"/>
        <v>#REF!</v>
      </c>
      <c r="E28" s="168" t="str">
        <f t="shared" si="33"/>
        <v>#REF!</v>
      </c>
      <c r="F28" s="168" t="str">
        <f t="shared" si="33"/>
        <v>#REF!</v>
      </c>
      <c r="G28" s="168" t="str">
        <f t="shared" si="33"/>
        <v>#REF!</v>
      </c>
      <c r="H28" s="168" t="str">
        <f t="shared" si="33"/>
        <v>#REF!</v>
      </c>
      <c r="I28" s="168" t="str">
        <f t="shared" si="33"/>
        <v>#REF!</v>
      </c>
      <c r="J28" s="168" t="str">
        <f t="shared" si="33"/>
        <v>#REF!</v>
      </c>
      <c r="K28" s="168" t="str">
        <f t="shared" si="33"/>
        <v>#REF!</v>
      </c>
      <c r="L28" s="168" t="str">
        <f t="shared" si="33"/>
        <v>#REF!</v>
      </c>
      <c r="M28" s="168" t="str">
        <f t="shared" si="33"/>
        <v>#REF!</v>
      </c>
      <c r="N28" s="168" t="str">
        <f t="shared" si="33"/>
        <v>#REF!</v>
      </c>
      <c r="O28" s="168" t="str">
        <f t="shared" si="33"/>
        <v>#REF!</v>
      </c>
      <c r="P28" s="168" t="str">
        <f t="shared" si="33"/>
        <v>#REF!</v>
      </c>
      <c r="Q28" s="168" t="str">
        <f t="shared" si="33"/>
        <v>#REF!</v>
      </c>
      <c r="R28" s="168" t="str">
        <f t="shared" si="33"/>
        <v>#REF!</v>
      </c>
      <c r="S28" s="168" t="str">
        <f t="shared" si="33"/>
        <v>#REF!</v>
      </c>
      <c r="T28" s="168" t="str">
        <f t="shared" si="33"/>
        <v>#REF!</v>
      </c>
      <c r="U28" s="168" t="str">
        <f t="shared" si="33"/>
        <v>#REF!</v>
      </c>
      <c r="V28" s="168" t="str">
        <f t="shared" si="33"/>
        <v>#REF!</v>
      </c>
      <c r="W28" s="168" t="str">
        <f t="shared" si="33"/>
        <v>#REF!</v>
      </c>
      <c r="X28" s="168" t="str">
        <f t="shared" si="33"/>
        <v>#REF!</v>
      </c>
      <c r="Y28" s="168" t="str">
        <f t="shared" si="33"/>
        <v>#REF!</v>
      </c>
      <c r="Z28" s="168" t="str">
        <f t="shared" si="33"/>
        <v>#REF!</v>
      </c>
      <c r="AA28" s="168" t="str">
        <f t="shared" si="33"/>
        <v>#REF!</v>
      </c>
      <c r="AB28" s="168" t="str">
        <f t="shared" si="33"/>
        <v>#REF!</v>
      </c>
      <c r="AC28" s="168" t="str">
        <f t="shared" si="33"/>
        <v>#REF!</v>
      </c>
      <c r="AD28" s="168" t="str">
        <f t="shared" si="33"/>
        <v>#REF!</v>
      </c>
      <c r="AE28" s="168" t="str">
        <f t="shared" si="33"/>
        <v>#REF!</v>
      </c>
      <c r="AF28" s="168" t="str">
        <f t="shared" si="33"/>
        <v>#REF!</v>
      </c>
      <c r="AG28" s="168" t="str">
        <f t="shared" si="33"/>
        <v>#REF!</v>
      </c>
      <c r="AH28" s="168" t="str">
        <f t="shared" si="33"/>
        <v>#REF!</v>
      </c>
      <c r="AI28" s="168" t="str">
        <f t="shared" si="33"/>
        <v>#REF!</v>
      </c>
      <c r="AJ28" s="168" t="str">
        <f t="shared" si="33"/>
        <v>#REF!</v>
      </c>
    </row>
    <row r="29" ht="15.75" hidden="1" customHeight="1">
      <c r="A29" s="168" t="str">
        <f t="shared" ref="A29:AJ29" si="34">#REF!</f>
        <v>#REF!</v>
      </c>
      <c r="B29" s="168" t="str">
        <f t="shared" si="34"/>
        <v>#REF!</v>
      </c>
      <c r="C29" s="168" t="str">
        <f t="shared" si="34"/>
        <v>#REF!</v>
      </c>
      <c r="D29" s="168" t="str">
        <f t="shared" si="34"/>
        <v>#REF!</v>
      </c>
      <c r="E29" s="168" t="str">
        <f t="shared" si="34"/>
        <v>#REF!</v>
      </c>
      <c r="F29" s="168" t="str">
        <f t="shared" si="34"/>
        <v>#REF!</v>
      </c>
      <c r="G29" s="168" t="str">
        <f t="shared" si="34"/>
        <v>#REF!</v>
      </c>
      <c r="H29" s="168" t="str">
        <f t="shared" si="34"/>
        <v>#REF!</v>
      </c>
      <c r="I29" s="168" t="str">
        <f t="shared" si="34"/>
        <v>#REF!</v>
      </c>
      <c r="J29" s="168" t="str">
        <f t="shared" si="34"/>
        <v>#REF!</v>
      </c>
      <c r="K29" s="168" t="str">
        <f t="shared" si="34"/>
        <v>#REF!</v>
      </c>
      <c r="L29" s="168" t="str">
        <f t="shared" si="34"/>
        <v>#REF!</v>
      </c>
      <c r="M29" s="168" t="str">
        <f t="shared" si="34"/>
        <v>#REF!</v>
      </c>
      <c r="N29" s="168" t="str">
        <f t="shared" si="34"/>
        <v>#REF!</v>
      </c>
      <c r="O29" s="168" t="str">
        <f t="shared" si="34"/>
        <v>#REF!</v>
      </c>
      <c r="P29" s="168" t="str">
        <f t="shared" si="34"/>
        <v>#REF!</v>
      </c>
      <c r="Q29" s="168" t="str">
        <f t="shared" si="34"/>
        <v>#REF!</v>
      </c>
      <c r="R29" s="168" t="str">
        <f t="shared" si="34"/>
        <v>#REF!</v>
      </c>
      <c r="S29" s="168" t="str">
        <f t="shared" si="34"/>
        <v>#REF!</v>
      </c>
      <c r="T29" s="168" t="str">
        <f t="shared" si="34"/>
        <v>#REF!</v>
      </c>
      <c r="U29" s="168" t="str">
        <f t="shared" si="34"/>
        <v>#REF!</v>
      </c>
      <c r="V29" s="168" t="str">
        <f t="shared" si="34"/>
        <v>#REF!</v>
      </c>
      <c r="W29" s="168" t="str">
        <f t="shared" si="34"/>
        <v>#REF!</v>
      </c>
      <c r="X29" s="168" t="str">
        <f t="shared" si="34"/>
        <v>#REF!</v>
      </c>
      <c r="Y29" s="168" t="str">
        <f t="shared" si="34"/>
        <v>#REF!</v>
      </c>
      <c r="Z29" s="168" t="str">
        <f t="shared" si="34"/>
        <v>#REF!</v>
      </c>
      <c r="AA29" s="168" t="str">
        <f t="shared" si="34"/>
        <v>#REF!</v>
      </c>
      <c r="AB29" s="168" t="str">
        <f t="shared" si="34"/>
        <v>#REF!</v>
      </c>
      <c r="AC29" s="168" t="str">
        <f t="shared" si="34"/>
        <v>#REF!</v>
      </c>
      <c r="AD29" s="168" t="str">
        <f t="shared" si="34"/>
        <v>#REF!</v>
      </c>
      <c r="AE29" s="168" t="str">
        <f t="shared" si="34"/>
        <v>#REF!</v>
      </c>
      <c r="AF29" s="168" t="str">
        <f t="shared" si="34"/>
        <v>#REF!</v>
      </c>
      <c r="AG29" s="168" t="str">
        <f t="shared" si="34"/>
        <v>#REF!</v>
      </c>
      <c r="AH29" s="168" t="str">
        <f t="shared" si="34"/>
        <v>#REF!</v>
      </c>
      <c r="AI29" s="168" t="str">
        <f t="shared" si="34"/>
        <v>#REF!</v>
      </c>
      <c r="AJ29" s="168" t="str">
        <f t="shared" si="34"/>
        <v>#REF!</v>
      </c>
    </row>
    <row r="30" ht="15.75" hidden="1" customHeight="1">
      <c r="A30" s="168" t="str">
        <f t="shared" ref="A30:AJ30" si="35">#REF!</f>
        <v>#REF!</v>
      </c>
      <c r="B30" s="168" t="str">
        <f t="shared" si="35"/>
        <v>#REF!</v>
      </c>
      <c r="C30" s="168" t="str">
        <f t="shared" si="35"/>
        <v>#REF!</v>
      </c>
      <c r="D30" s="168" t="str">
        <f t="shared" si="35"/>
        <v>#REF!</v>
      </c>
      <c r="E30" s="168" t="str">
        <f t="shared" si="35"/>
        <v>#REF!</v>
      </c>
      <c r="F30" s="168" t="str">
        <f t="shared" si="35"/>
        <v>#REF!</v>
      </c>
      <c r="G30" s="168" t="str">
        <f t="shared" si="35"/>
        <v>#REF!</v>
      </c>
      <c r="H30" s="168" t="str">
        <f t="shared" si="35"/>
        <v>#REF!</v>
      </c>
      <c r="I30" s="168" t="str">
        <f t="shared" si="35"/>
        <v>#REF!</v>
      </c>
      <c r="J30" s="168" t="str">
        <f t="shared" si="35"/>
        <v>#REF!</v>
      </c>
      <c r="K30" s="168" t="str">
        <f t="shared" si="35"/>
        <v>#REF!</v>
      </c>
      <c r="L30" s="168" t="str">
        <f t="shared" si="35"/>
        <v>#REF!</v>
      </c>
      <c r="M30" s="168" t="str">
        <f t="shared" si="35"/>
        <v>#REF!</v>
      </c>
      <c r="N30" s="168" t="str">
        <f t="shared" si="35"/>
        <v>#REF!</v>
      </c>
      <c r="O30" s="168" t="str">
        <f t="shared" si="35"/>
        <v>#REF!</v>
      </c>
      <c r="P30" s="168" t="str">
        <f t="shared" si="35"/>
        <v>#REF!</v>
      </c>
      <c r="Q30" s="168" t="str">
        <f t="shared" si="35"/>
        <v>#REF!</v>
      </c>
      <c r="R30" s="168" t="str">
        <f t="shared" si="35"/>
        <v>#REF!</v>
      </c>
      <c r="S30" s="168" t="str">
        <f t="shared" si="35"/>
        <v>#REF!</v>
      </c>
      <c r="T30" s="168" t="str">
        <f t="shared" si="35"/>
        <v>#REF!</v>
      </c>
      <c r="U30" s="168" t="str">
        <f t="shared" si="35"/>
        <v>#REF!</v>
      </c>
      <c r="V30" s="168" t="str">
        <f t="shared" si="35"/>
        <v>#REF!</v>
      </c>
      <c r="W30" s="168" t="str">
        <f t="shared" si="35"/>
        <v>#REF!</v>
      </c>
      <c r="X30" s="168" t="str">
        <f t="shared" si="35"/>
        <v>#REF!</v>
      </c>
      <c r="Y30" s="168" t="str">
        <f t="shared" si="35"/>
        <v>#REF!</v>
      </c>
      <c r="Z30" s="168" t="str">
        <f t="shared" si="35"/>
        <v>#REF!</v>
      </c>
      <c r="AA30" s="168" t="str">
        <f t="shared" si="35"/>
        <v>#REF!</v>
      </c>
      <c r="AB30" s="168" t="str">
        <f t="shared" si="35"/>
        <v>#REF!</v>
      </c>
      <c r="AC30" s="168" t="str">
        <f t="shared" si="35"/>
        <v>#REF!</v>
      </c>
      <c r="AD30" s="168" t="str">
        <f t="shared" si="35"/>
        <v>#REF!</v>
      </c>
      <c r="AE30" s="168" t="str">
        <f t="shared" si="35"/>
        <v>#REF!</v>
      </c>
      <c r="AF30" s="168" t="str">
        <f t="shared" si="35"/>
        <v>#REF!</v>
      </c>
      <c r="AG30" s="168" t="str">
        <f t="shared" si="35"/>
        <v>#REF!</v>
      </c>
      <c r="AH30" s="168" t="str">
        <f t="shared" si="35"/>
        <v>#REF!</v>
      </c>
      <c r="AI30" s="168" t="str">
        <f t="shared" si="35"/>
        <v>#REF!</v>
      </c>
      <c r="AJ30" s="168" t="str">
        <f t="shared" si="35"/>
        <v>#REF!</v>
      </c>
    </row>
    <row r="31" ht="15.75" hidden="1" customHeight="1">
      <c r="A31" s="168" t="str">
        <f t="shared" ref="A31:AJ31" si="36">#REF!</f>
        <v>#REF!</v>
      </c>
      <c r="B31" s="168" t="str">
        <f t="shared" si="36"/>
        <v>#REF!</v>
      </c>
      <c r="C31" s="168" t="str">
        <f t="shared" si="36"/>
        <v>#REF!</v>
      </c>
      <c r="D31" s="168" t="str">
        <f t="shared" si="36"/>
        <v>#REF!</v>
      </c>
      <c r="E31" s="168" t="str">
        <f t="shared" si="36"/>
        <v>#REF!</v>
      </c>
      <c r="F31" s="168" t="str">
        <f t="shared" si="36"/>
        <v>#REF!</v>
      </c>
      <c r="G31" s="168" t="str">
        <f t="shared" si="36"/>
        <v>#REF!</v>
      </c>
      <c r="H31" s="168" t="str">
        <f t="shared" si="36"/>
        <v>#REF!</v>
      </c>
      <c r="I31" s="168" t="str">
        <f t="shared" si="36"/>
        <v>#REF!</v>
      </c>
      <c r="J31" s="168" t="str">
        <f t="shared" si="36"/>
        <v>#REF!</v>
      </c>
      <c r="K31" s="168" t="str">
        <f t="shared" si="36"/>
        <v>#REF!</v>
      </c>
      <c r="L31" s="168" t="str">
        <f t="shared" si="36"/>
        <v>#REF!</v>
      </c>
      <c r="M31" s="168" t="str">
        <f t="shared" si="36"/>
        <v>#REF!</v>
      </c>
      <c r="N31" s="168" t="str">
        <f t="shared" si="36"/>
        <v>#REF!</v>
      </c>
      <c r="O31" s="168" t="str">
        <f t="shared" si="36"/>
        <v>#REF!</v>
      </c>
      <c r="P31" s="168" t="str">
        <f t="shared" si="36"/>
        <v>#REF!</v>
      </c>
      <c r="Q31" s="168" t="str">
        <f t="shared" si="36"/>
        <v>#REF!</v>
      </c>
      <c r="R31" s="168" t="str">
        <f t="shared" si="36"/>
        <v>#REF!</v>
      </c>
      <c r="S31" s="168" t="str">
        <f t="shared" si="36"/>
        <v>#REF!</v>
      </c>
      <c r="T31" s="168" t="str">
        <f t="shared" si="36"/>
        <v>#REF!</v>
      </c>
      <c r="U31" s="168" t="str">
        <f t="shared" si="36"/>
        <v>#REF!</v>
      </c>
      <c r="V31" s="168" t="str">
        <f t="shared" si="36"/>
        <v>#REF!</v>
      </c>
      <c r="W31" s="168" t="str">
        <f t="shared" si="36"/>
        <v>#REF!</v>
      </c>
      <c r="X31" s="168" t="str">
        <f t="shared" si="36"/>
        <v>#REF!</v>
      </c>
      <c r="Y31" s="168" t="str">
        <f t="shared" si="36"/>
        <v>#REF!</v>
      </c>
      <c r="Z31" s="168" t="str">
        <f t="shared" si="36"/>
        <v>#REF!</v>
      </c>
      <c r="AA31" s="168" t="str">
        <f t="shared" si="36"/>
        <v>#REF!</v>
      </c>
      <c r="AB31" s="168" t="str">
        <f t="shared" si="36"/>
        <v>#REF!</v>
      </c>
      <c r="AC31" s="168" t="str">
        <f t="shared" si="36"/>
        <v>#REF!</v>
      </c>
      <c r="AD31" s="168" t="str">
        <f t="shared" si="36"/>
        <v>#REF!</v>
      </c>
      <c r="AE31" s="168" t="str">
        <f t="shared" si="36"/>
        <v>#REF!</v>
      </c>
      <c r="AF31" s="168" t="str">
        <f t="shared" si="36"/>
        <v>#REF!</v>
      </c>
      <c r="AG31" s="168" t="str">
        <f t="shared" si="36"/>
        <v>#REF!</v>
      </c>
      <c r="AH31" s="168" t="str">
        <f t="shared" si="36"/>
        <v>#REF!</v>
      </c>
      <c r="AI31" s="168" t="str">
        <f t="shared" si="36"/>
        <v>#REF!</v>
      </c>
      <c r="AJ31" s="168" t="str">
        <f t="shared" si="36"/>
        <v>#REF!</v>
      </c>
    </row>
    <row r="32" ht="15.75" hidden="1" customHeight="1">
      <c r="A32" s="168" t="str">
        <f t="shared" ref="A32:AJ32" si="37">#REF!</f>
        <v>#REF!</v>
      </c>
      <c r="B32" s="168" t="str">
        <f t="shared" si="37"/>
        <v>#REF!</v>
      </c>
      <c r="C32" s="168" t="str">
        <f t="shared" si="37"/>
        <v>#REF!</v>
      </c>
      <c r="D32" s="168" t="str">
        <f t="shared" si="37"/>
        <v>#REF!</v>
      </c>
      <c r="E32" s="168" t="str">
        <f t="shared" si="37"/>
        <v>#REF!</v>
      </c>
      <c r="F32" s="168" t="str">
        <f t="shared" si="37"/>
        <v>#REF!</v>
      </c>
      <c r="G32" s="168" t="str">
        <f t="shared" si="37"/>
        <v>#REF!</v>
      </c>
      <c r="H32" s="168" t="str">
        <f t="shared" si="37"/>
        <v>#REF!</v>
      </c>
      <c r="I32" s="168" t="str">
        <f t="shared" si="37"/>
        <v>#REF!</v>
      </c>
      <c r="J32" s="168" t="str">
        <f t="shared" si="37"/>
        <v>#REF!</v>
      </c>
      <c r="K32" s="168" t="str">
        <f t="shared" si="37"/>
        <v>#REF!</v>
      </c>
      <c r="L32" s="168" t="str">
        <f t="shared" si="37"/>
        <v>#REF!</v>
      </c>
      <c r="M32" s="168" t="str">
        <f t="shared" si="37"/>
        <v>#REF!</v>
      </c>
      <c r="N32" s="168" t="str">
        <f t="shared" si="37"/>
        <v>#REF!</v>
      </c>
      <c r="O32" s="168" t="str">
        <f t="shared" si="37"/>
        <v>#REF!</v>
      </c>
      <c r="P32" s="168" t="str">
        <f t="shared" si="37"/>
        <v>#REF!</v>
      </c>
      <c r="Q32" s="168" t="str">
        <f t="shared" si="37"/>
        <v>#REF!</v>
      </c>
      <c r="R32" s="168" t="str">
        <f t="shared" si="37"/>
        <v>#REF!</v>
      </c>
      <c r="S32" s="168" t="str">
        <f t="shared" si="37"/>
        <v>#REF!</v>
      </c>
      <c r="T32" s="168" t="str">
        <f t="shared" si="37"/>
        <v>#REF!</v>
      </c>
      <c r="U32" s="168" t="str">
        <f t="shared" si="37"/>
        <v>#REF!</v>
      </c>
      <c r="V32" s="168" t="str">
        <f t="shared" si="37"/>
        <v>#REF!</v>
      </c>
      <c r="W32" s="168" t="str">
        <f t="shared" si="37"/>
        <v>#REF!</v>
      </c>
      <c r="X32" s="168" t="str">
        <f t="shared" si="37"/>
        <v>#REF!</v>
      </c>
      <c r="Y32" s="168" t="str">
        <f t="shared" si="37"/>
        <v>#REF!</v>
      </c>
      <c r="Z32" s="168" t="str">
        <f t="shared" si="37"/>
        <v>#REF!</v>
      </c>
      <c r="AA32" s="168" t="str">
        <f t="shared" si="37"/>
        <v>#REF!</v>
      </c>
      <c r="AB32" s="168" t="str">
        <f t="shared" si="37"/>
        <v>#REF!</v>
      </c>
      <c r="AC32" s="168" t="str">
        <f t="shared" si="37"/>
        <v>#REF!</v>
      </c>
      <c r="AD32" s="168" t="str">
        <f t="shared" si="37"/>
        <v>#REF!</v>
      </c>
      <c r="AE32" s="168" t="str">
        <f t="shared" si="37"/>
        <v>#REF!</v>
      </c>
      <c r="AF32" s="168" t="str">
        <f t="shared" si="37"/>
        <v>#REF!</v>
      </c>
      <c r="AG32" s="168" t="str">
        <f t="shared" si="37"/>
        <v>#REF!</v>
      </c>
      <c r="AH32" s="168" t="str">
        <f t="shared" si="37"/>
        <v>#REF!</v>
      </c>
      <c r="AI32" s="168" t="str">
        <f t="shared" si="37"/>
        <v>#REF!</v>
      </c>
      <c r="AJ32" s="168" t="str">
        <f t="shared" si="37"/>
        <v>#REF!</v>
      </c>
    </row>
    <row r="33" ht="15.75" hidden="1" customHeight="1">
      <c r="A33" s="168" t="str">
        <f t="shared" ref="A33:AJ33" si="38">#REF!</f>
        <v>#REF!</v>
      </c>
      <c r="B33" s="168" t="str">
        <f t="shared" si="38"/>
        <v>#REF!</v>
      </c>
      <c r="C33" s="168" t="str">
        <f t="shared" si="38"/>
        <v>#REF!</v>
      </c>
      <c r="D33" s="168" t="str">
        <f t="shared" si="38"/>
        <v>#REF!</v>
      </c>
      <c r="E33" s="168" t="str">
        <f t="shared" si="38"/>
        <v>#REF!</v>
      </c>
      <c r="F33" s="168" t="str">
        <f t="shared" si="38"/>
        <v>#REF!</v>
      </c>
      <c r="G33" s="168" t="str">
        <f t="shared" si="38"/>
        <v>#REF!</v>
      </c>
      <c r="H33" s="168" t="str">
        <f t="shared" si="38"/>
        <v>#REF!</v>
      </c>
      <c r="I33" s="168" t="str">
        <f t="shared" si="38"/>
        <v>#REF!</v>
      </c>
      <c r="J33" s="168" t="str">
        <f t="shared" si="38"/>
        <v>#REF!</v>
      </c>
      <c r="K33" s="168" t="str">
        <f t="shared" si="38"/>
        <v>#REF!</v>
      </c>
      <c r="L33" s="168" t="str">
        <f t="shared" si="38"/>
        <v>#REF!</v>
      </c>
      <c r="M33" s="168" t="str">
        <f t="shared" si="38"/>
        <v>#REF!</v>
      </c>
      <c r="N33" s="168" t="str">
        <f t="shared" si="38"/>
        <v>#REF!</v>
      </c>
      <c r="O33" s="168" t="str">
        <f t="shared" si="38"/>
        <v>#REF!</v>
      </c>
      <c r="P33" s="168" t="str">
        <f t="shared" si="38"/>
        <v>#REF!</v>
      </c>
      <c r="Q33" s="168" t="str">
        <f t="shared" si="38"/>
        <v>#REF!</v>
      </c>
      <c r="R33" s="168" t="str">
        <f t="shared" si="38"/>
        <v>#REF!</v>
      </c>
      <c r="S33" s="168" t="str">
        <f t="shared" si="38"/>
        <v>#REF!</v>
      </c>
      <c r="T33" s="168" t="str">
        <f t="shared" si="38"/>
        <v>#REF!</v>
      </c>
      <c r="U33" s="168" t="str">
        <f t="shared" si="38"/>
        <v>#REF!</v>
      </c>
      <c r="V33" s="168" t="str">
        <f t="shared" si="38"/>
        <v>#REF!</v>
      </c>
      <c r="W33" s="168" t="str">
        <f t="shared" si="38"/>
        <v>#REF!</v>
      </c>
      <c r="X33" s="168" t="str">
        <f t="shared" si="38"/>
        <v>#REF!</v>
      </c>
      <c r="Y33" s="168" t="str">
        <f t="shared" si="38"/>
        <v>#REF!</v>
      </c>
      <c r="Z33" s="168" t="str">
        <f t="shared" si="38"/>
        <v>#REF!</v>
      </c>
      <c r="AA33" s="168" t="str">
        <f t="shared" si="38"/>
        <v>#REF!</v>
      </c>
      <c r="AB33" s="168" t="str">
        <f t="shared" si="38"/>
        <v>#REF!</v>
      </c>
      <c r="AC33" s="168" t="str">
        <f t="shared" si="38"/>
        <v>#REF!</v>
      </c>
      <c r="AD33" s="168" t="str">
        <f t="shared" si="38"/>
        <v>#REF!</v>
      </c>
      <c r="AE33" s="168" t="str">
        <f t="shared" si="38"/>
        <v>#REF!</v>
      </c>
      <c r="AF33" s="168" t="str">
        <f t="shared" si="38"/>
        <v>#REF!</v>
      </c>
      <c r="AG33" s="168" t="str">
        <f t="shared" si="38"/>
        <v>#REF!</v>
      </c>
      <c r="AH33" s="168" t="str">
        <f t="shared" si="38"/>
        <v>#REF!</v>
      </c>
      <c r="AI33" s="168" t="str">
        <f t="shared" si="38"/>
        <v>#REF!</v>
      </c>
      <c r="AJ33" s="168" t="str">
        <f t="shared" si="38"/>
        <v>#REF!</v>
      </c>
    </row>
    <row r="34" ht="15.75" hidden="1" customHeight="1">
      <c r="A34" s="168" t="str">
        <f t="shared" ref="A34:AJ34" si="39">#REF!</f>
        <v>#REF!</v>
      </c>
      <c r="B34" s="168" t="str">
        <f t="shared" si="39"/>
        <v>#REF!</v>
      </c>
      <c r="C34" s="168" t="str">
        <f t="shared" si="39"/>
        <v>#REF!</v>
      </c>
      <c r="D34" s="168" t="str">
        <f t="shared" si="39"/>
        <v>#REF!</v>
      </c>
      <c r="E34" s="168" t="str">
        <f t="shared" si="39"/>
        <v>#REF!</v>
      </c>
      <c r="F34" s="168" t="str">
        <f t="shared" si="39"/>
        <v>#REF!</v>
      </c>
      <c r="G34" s="168" t="str">
        <f t="shared" si="39"/>
        <v>#REF!</v>
      </c>
      <c r="H34" s="168" t="str">
        <f t="shared" si="39"/>
        <v>#REF!</v>
      </c>
      <c r="I34" s="168" t="str">
        <f t="shared" si="39"/>
        <v>#REF!</v>
      </c>
      <c r="J34" s="168" t="str">
        <f t="shared" si="39"/>
        <v>#REF!</v>
      </c>
      <c r="K34" s="168" t="str">
        <f t="shared" si="39"/>
        <v>#REF!</v>
      </c>
      <c r="L34" s="168" t="str">
        <f t="shared" si="39"/>
        <v>#REF!</v>
      </c>
      <c r="M34" s="168" t="str">
        <f t="shared" si="39"/>
        <v>#REF!</v>
      </c>
      <c r="N34" s="168" t="str">
        <f t="shared" si="39"/>
        <v>#REF!</v>
      </c>
      <c r="O34" s="168" t="str">
        <f t="shared" si="39"/>
        <v>#REF!</v>
      </c>
      <c r="P34" s="168" t="str">
        <f t="shared" si="39"/>
        <v>#REF!</v>
      </c>
      <c r="Q34" s="168" t="str">
        <f t="shared" si="39"/>
        <v>#REF!</v>
      </c>
      <c r="R34" s="168" t="str">
        <f t="shared" si="39"/>
        <v>#REF!</v>
      </c>
      <c r="S34" s="168" t="str">
        <f t="shared" si="39"/>
        <v>#REF!</v>
      </c>
      <c r="T34" s="168" t="str">
        <f t="shared" si="39"/>
        <v>#REF!</v>
      </c>
      <c r="U34" s="168" t="str">
        <f t="shared" si="39"/>
        <v>#REF!</v>
      </c>
      <c r="V34" s="168" t="str">
        <f t="shared" si="39"/>
        <v>#REF!</v>
      </c>
      <c r="W34" s="168" t="str">
        <f t="shared" si="39"/>
        <v>#REF!</v>
      </c>
      <c r="X34" s="168" t="str">
        <f t="shared" si="39"/>
        <v>#REF!</v>
      </c>
      <c r="Y34" s="168" t="str">
        <f t="shared" si="39"/>
        <v>#REF!</v>
      </c>
      <c r="Z34" s="168" t="str">
        <f t="shared" si="39"/>
        <v>#REF!</v>
      </c>
      <c r="AA34" s="168" t="str">
        <f t="shared" si="39"/>
        <v>#REF!</v>
      </c>
      <c r="AB34" s="168" t="str">
        <f t="shared" si="39"/>
        <v>#REF!</v>
      </c>
      <c r="AC34" s="168" t="str">
        <f t="shared" si="39"/>
        <v>#REF!</v>
      </c>
      <c r="AD34" s="168" t="str">
        <f t="shared" si="39"/>
        <v>#REF!</v>
      </c>
      <c r="AE34" s="168" t="str">
        <f t="shared" si="39"/>
        <v>#REF!</v>
      </c>
      <c r="AF34" s="168" t="str">
        <f t="shared" si="39"/>
        <v>#REF!</v>
      </c>
      <c r="AG34" s="168" t="str">
        <f t="shared" si="39"/>
        <v>#REF!</v>
      </c>
      <c r="AH34" s="168" t="str">
        <f t="shared" si="39"/>
        <v>#REF!</v>
      </c>
      <c r="AI34" s="168" t="str">
        <f t="shared" si="39"/>
        <v>#REF!</v>
      </c>
      <c r="AJ34" s="168" t="str">
        <f t="shared" si="39"/>
        <v>#REF!</v>
      </c>
    </row>
    <row r="35" ht="15.75" hidden="1" customHeight="1">
      <c r="A35" s="168" t="str">
        <f t="shared" ref="A35:AJ35" si="40">#REF!</f>
        <v>#REF!</v>
      </c>
      <c r="B35" s="168" t="str">
        <f t="shared" si="40"/>
        <v>#REF!</v>
      </c>
      <c r="C35" s="168" t="str">
        <f t="shared" si="40"/>
        <v>#REF!</v>
      </c>
      <c r="D35" s="168" t="str">
        <f t="shared" si="40"/>
        <v>#REF!</v>
      </c>
      <c r="E35" s="168" t="str">
        <f t="shared" si="40"/>
        <v>#REF!</v>
      </c>
      <c r="F35" s="168" t="str">
        <f t="shared" si="40"/>
        <v>#REF!</v>
      </c>
      <c r="G35" s="168" t="str">
        <f t="shared" si="40"/>
        <v>#REF!</v>
      </c>
      <c r="H35" s="168" t="str">
        <f t="shared" si="40"/>
        <v>#REF!</v>
      </c>
      <c r="I35" s="168" t="str">
        <f t="shared" si="40"/>
        <v>#REF!</v>
      </c>
      <c r="J35" s="168" t="str">
        <f t="shared" si="40"/>
        <v>#REF!</v>
      </c>
      <c r="K35" s="168" t="str">
        <f t="shared" si="40"/>
        <v>#REF!</v>
      </c>
      <c r="L35" s="168" t="str">
        <f t="shared" si="40"/>
        <v>#REF!</v>
      </c>
      <c r="M35" s="168" t="str">
        <f t="shared" si="40"/>
        <v>#REF!</v>
      </c>
      <c r="N35" s="168" t="str">
        <f t="shared" si="40"/>
        <v>#REF!</v>
      </c>
      <c r="O35" s="168" t="str">
        <f t="shared" si="40"/>
        <v>#REF!</v>
      </c>
      <c r="P35" s="168" t="str">
        <f t="shared" si="40"/>
        <v>#REF!</v>
      </c>
      <c r="Q35" s="168" t="str">
        <f t="shared" si="40"/>
        <v>#REF!</v>
      </c>
      <c r="R35" s="168" t="str">
        <f t="shared" si="40"/>
        <v>#REF!</v>
      </c>
      <c r="S35" s="168" t="str">
        <f t="shared" si="40"/>
        <v>#REF!</v>
      </c>
      <c r="T35" s="168" t="str">
        <f t="shared" si="40"/>
        <v>#REF!</v>
      </c>
      <c r="U35" s="168" t="str">
        <f t="shared" si="40"/>
        <v>#REF!</v>
      </c>
      <c r="V35" s="168" t="str">
        <f t="shared" si="40"/>
        <v>#REF!</v>
      </c>
      <c r="W35" s="168" t="str">
        <f t="shared" si="40"/>
        <v>#REF!</v>
      </c>
      <c r="X35" s="168" t="str">
        <f t="shared" si="40"/>
        <v>#REF!</v>
      </c>
      <c r="Y35" s="168" t="str">
        <f t="shared" si="40"/>
        <v>#REF!</v>
      </c>
      <c r="Z35" s="168" t="str">
        <f t="shared" si="40"/>
        <v>#REF!</v>
      </c>
      <c r="AA35" s="168" t="str">
        <f t="shared" si="40"/>
        <v>#REF!</v>
      </c>
      <c r="AB35" s="168" t="str">
        <f t="shared" si="40"/>
        <v>#REF!</v>
      </c>
      <c r="AC35" s="168" t="str">
        <f t="shared" si="40"/>
        <v>#REF!</v>
      </c>
      <c r="AD35" s="168" t="str">
        <f t="shared" si="40"/>
        <v>#REF!</v>
      </c>
      <c r="AE35" s="168" t="str">
        <f t="shared" si="40"/>
        <v>#REF!</v>
      </c>
      <c r="AF35" s="168" t="str">
        <f t="shared" si="40"/>
        <v>#REF!</v>
      </c>
      <c r="AG35" s="168" t="str">
        <f t="shared" si="40"/>
        <v>#REF!</v>
      </c>
      <c r="AH35" s="168" t="str">
        <f t="shared" si="40"/>
        <v>#REF!</v>
      </c>
      <c r="AI35" s="168" t="str">
        <f t="shared" si="40"/>
        <v>#REF!</v>
      </c>
      <c r="AJ35" s="168" t="str">
        <f t="shared" si="40"/>
        <v>#REF!</v>
      </c>
    </row>
    <row r="36" ht="15.75" hidden="1" customHeight="1">
      <c r="A36" s="168" t="str">
        <f t="shared" ref="A36:AJ36" si="41">#REF!</f>
        <v>#REF!</v>
      </c>
      <c r="B36" s="168" t="str">
        <f t="shared" si="41"/>
        <v>#REF!</v>
      </c>
      <c r="C36" s="168" t="str">
        <f t="shared" si="41"/>
        <v>#REF!</v>
      </c>
      <c r="D36" s="168" t="str">
        <f t="shared" si="41"/>
        <v>#REF!</v>
      </c>
      <c r="E36" s="168" t="str">
        <f t="shared" si="41"/>
        <v>#REF!</v>
      </c>
      <c r="F36" s="168" t="str">
        <f t="shared" si="41"/>
        <v>#REF!</v>
      </c>
      <c r="G36" s="168" t="str">
        <f t="shared" si="41"/>
        <v>#REF!</v>
      </c>
      <c r="H36" s="168" t="str">
        <f t="shared" si="41"/>
        <v>#REF!</v>
      </c>
      <c r="I36" s="168" t="str">
        <f t="shared" si="41"/>
        <v>#REF!</v>
      </c>
      <c r="J36" s="168" t="str">
        <f t="shared" si="41"/>
        <v>#REF!</v>
      </c>
      <c r="K36" s="168" t="str">
        <f t="shared" si="41"/>
        <v>#REF!</v>
      </c>
      <c r="L36" s="168" t="str">
        <f t="shared" si="41"/>
        <v>#REF!</v>
      </c>
      <c r="M36" s="168" t="str">
        <f t="shared" si="41"/>
        <v>#REF!</v>
      </c>
      <c r="N36" s="168" t="str">
        <f t="shared" si="41"/>
        <v>#REF!</v>
      </c>
      <c r="O36" s="168" t="str">
        <f t="shared" si="41"/>
        <v>#REF!</v>
      </c>
      <c r="P36" s="168" t="str">
        <f t="shared" si="41"/>
        <v>#REF!</v>
      </c>
      <c r="Q36" s="168" t="str">
        <f t="shared" si="41"/>
        <v>#REF!</v>
      </c>
      <c r="R36" s="168" t="str">
        <f t="shared" si="41"/>
        <v>#REF!</v>
      </c>
      <c r="S36" s="168" t="str">
        <f t="shared" si="41"/>
        <v>#REF!</v>
      </c>
      <c r="T36" s="168" t="str">
        <f t="shared" si="41"/>
        <v>#REF!</v>
      </c>
      <c r="U36" s="168" t="str">
        <f t="shared" si="41"/>
        <v>#REF!</v>
      </c>
      <c r="V36" s="168" t="str">
        <f t="shared" si="41"/>
        <v>#REF!</v>
      </c>
      <c r="W36" s="168" t="str">
        <f t="shared" si="41"/>
        <v>#REF!</v>
      </c>
      <c r="X36" s="168" t="str">
        <f t="shared" si="41"/>
        <v>#REF!</v>
      </c>
      <c r="Y36" s="168" t="str">
        <f t="shared" si="41"/>
        <v>#REF!</v>
      </c>
      <c r="Z36" s="168" t="str">
        <f t="shared" si="41"/>
        <v>#REF!</v>
      </c>
      <c r="AA36" s="168" t="str">
        <f t="shared" si="41"/>
        <v>#REF!</v>
      </c>
      <c r="AB36" s="168" t="str">
        <f t="shared" si="41"/>
        <v>#REF!</v>
      </c>
      <c r="AC36" s="168" t="str">
        <f t="shared" si="41"/>
        <v>#REF!</v>
      </c>
      <c r="AD36" s="168" t="str">
        <f t="shared" si="41"/>
        <v>#REF!</v>
      </c>
      <c r="AE36" s="168" t="str">
        <f t="shared" si="41"/>
        <v>#REF!</v>
      </c>
      <c r="AF36" s="168" t="str">
        <f t="shared" si="41"/>
        <v>#REF!</v>
      </c>
      <c r="AG36" s="168" t="str">
        <f t="shared" si="41"/>
        <v>#REF!</v>
      </c>
      <c r="AH36" s="168" t="str">
        <f t="shared" si="41"/>
        <v>#REF!</v>
      </c>
      <c r="AI36" s="168" t="str">
        <f t="shared" si="41"/>
        <v>#REF!</v>
      </c>
      <c r="AJ36" s="168" t="str">
        <f t="shared" si="41"/>
        <v>#REF!</v>
      </c>
    </row>
    <row r="37" ht="15.75" hidden="1" customHeight="1">
      <c r="A37" s="168" t="str">
        <f t="shared" ref="A37:AJ37" si="42">#REF!</f>
        <v>#REF!</v>
      </c>
      <c r="B37" s="168" t="str">
        <f t="shared" si="42"/>
        <v>#REF!</v>
      </c>
      <c r="C37" s="168" t="str">
        <f t="shared" si="42"/>
        <v>#REF!</v>
      </c>
      <c r="D37" s="168" t="str">
        <f t="shared" si="42"/>
        <v>#REF!</v>
      </c>
      <c r="E37" s="168" t="str">
        <f t="shared" si="42"/>
        <v>#REF!</v>
      </c>
      <c r="F37" s="168" t="str">
        <f t="shared" si="42"/>
        <v>#REF!</v>
      </c>
      <c r="G37" s="168" t="str">
        <f t="shared" si="42"/>
        <v>#REF!</v>
      </c>
      <c r="H37" s="168" t="str">
        <f t="shared" si="42"/>
        <v>#REF!</v>
      </c>
      <c r="I37" s="168" t="str">
        <f t="shared" si="42"/>
        <v>#REF!</v>
      </c>
      <c r="J37" s="168" t="str">
        <f t="shared" si="42"/>
        <v>#REF!</v>
      </c>
      <c r="K37" s="168" t="str">
        <f t="shared" si="42"/>
        <v>#REF!</v>
      </c>
      <c r="L37" s="168" t="str">
        <f t="shared" si="42"/>
        <v>#REF!</v>
      </c>
      <c r="M37" s="168" t="str">
        <f t="shared" si="42"/>
        <v>#REF!</v>
      </c>
      <c r="N37" s="168" t="str">
        <f t="shared" si="42"/>
        <v>#REF!</v>
      </c>
      <c r="O37" s="168" t="str">
        <f t="shared" si="42"/>
        <v>#REF!</v>
      </c>
      <c r="P37" s="168" t="str">
        <f t="shared" si="42"/>
        <v>#REF!</v>
      </c>
      <c r="Q37" s="168" t="str">
        <f t="shared" si="42"/>
        <v>#REF!</v>
      </c>
      <c r="R37" s="168" t="str">
        <f t="shared" si="42"/>
        <v>#REF!</v>
      </c>
      <c r="S37" s="168" t="str">
        <f t="shared" si="42"/>
        <v>#REF!</v>
      </c>
      <c r="T37" s="168" t="str">
        <f t="shared" si="42"/>
        <v>#REF!</v>
      </c>
      <c r="U37" s="168" t="str">
        <f t="shared" si="42"/>
        <v>#REF!</v>
      </c>
      <c r="V37" s="168" t="str">
        <f t="shared" si="42"/>
        <v>#REF!</v>
      </c>
      <c r="W37" s="168" t="str">
        <f t="shared" si="42"/>
        <v>#REF!</v>
      </c>
      <c r="X37" s="168" t="str">
        <f t="shared" si="42"/>
        <v>#REF!</v>
      </c>
      <c r="Y37" s="168" t="str">
        <f t="shared" si="42"/>
        <v>#REF!</v>
      </c>
      <c r="Z37" s="168" t="str">
        <f t="shared" si="42"/>
        <v>#REF!</v>
      </c>
      <c r="AA37" s="168" t="str">
        <f t="shared" si="42"/>
        <v>#REF!</v>
      </c>
      <c r="AB37" s="168" t="str">
        <f t="shared" si="42"/>
        <v>#REF!</v>
      </c>
      <c r="AC37" s="168" t="str">
        <f t="shared" si="42"/>
        <v>#REF!</v>
      </c>
      <c r="AD37" s="168" t="str">
        <f t="shared" si="42"/>
        <v>#REF!</v>
      </c>
      <c r="AE37" s="168" t="str">
        <f t="shared" si="42"/>
        <v>#REF!</v>
      </c>
      <c r="AF37" s="168" t="str">
        <f t="shared" si="42"/>
        <v>#REF!</v>
      </c>
      <c r="AG37" s="168" t="str">
        <f t="shared" si="42"/>
        <v>#REF!</v>
      </c>
      <c r="AH37" s="168" t="str">
        <f t="shared" si="42"/>
        <v>#REF!</v>
      </c>
      <c r="AI37" s="168" t="str">
        <f t="shared" si="42"/>
        <v>#REF!</v>
      </c>
      <c r="AJ37" s="168" t="str">
        <f t="shared" si="42"/>
        <v>#REF!</v>
      </c>
    </row>
    <row r="38" ht="15.75" hidden="1" customHeight="1">
      <c r="A38" s="168" t="str">
        <f>'2026 Pipeline'!C7</f>
        <v>#REF!</v>
      </c>
      <c r="B38" s="168" t="str">
        <f t="shared" ref="B38:C38" si="43">'2026 Pipeline'!J7</f>
        <v>#REF!</v>
      </c>
      <c r="C38" s="168" t="str">
        <f t="shared" si="43"/>
        <v>#REF!</v>
      </c>
      <c r="D38" s="168" t="str">
        <f t="shared" ref="D38:F38" si="44">'2026 Pipeline'!M7</f>
        <v>#REF!</v>
      </c>
      <c r="E38" s="168" t="str">
        <f t="shared" si="44"/>
        <v>#REF!</v>
      </c>
      <c r="F38" s="168" t="str">
        <f t="shared" si="44"/>
        <v>#REF!</v>
      </c>
      <c r="G38" s="168" t="str">
        <f>'2026 Pipeline'!Q7</f>
        <v>#REF!</v>
      </c>
      <c r="H38" s="168" t="str">
        <f>'2026 Pipeline'!P7</f>
        <v>#REF!</v>
      </c>
      <c r="I38" s="168" t="str">
        <f>'2026 Pipeline'!R7</f>
        <v>#REF!</v>
      </c>
      <c r="J38" s="168" t="str">
        <f t="shared" ref="J38:L38" si="45">'2026 Pipeline'!V7</f>
        <v>#REF!</v>
      </c>
      <c r="K38" s="168" t="str">
        <f t="shared" si="45"/>
        <v>#REF!</v>
      </c>
      <c r="L38" s="168" t="str">
        <f t="shared" si="45"/>
        <v>#REF!</v>
      </c>
      <c r="M38" s="168" t="str">
        <f t="shared" ref="M38:O38" si="46">#REF!</f>
        <v>#REF!</v>
      </c>
      <c r="N38" s="168" t="str">
        <f t="shared" si="46"/>
        <v>#REF!</v>
      </c>
      <c r="O38" s="168" t="str">
        <f t="shared" si="46"/>
        <v>#REF!</v>
      </c>
      <c r="P38" s="168" t="str">
        <f>'2026 Pipeline'!AA7</f>
        <v>#REF!</v>
      </c>
      <c r="Q38" s="168" t="str">
        <f>'2026 Pipeline'!Y7</f>
        <v>#REF!</v>
      </c>
      <c r="R38" s="168" t="str">
        <f>#REF!</f>
        <v>#REF!</v>
      </c>
      <c r="S38" s="168" t="str">
        <f>'2026 Pipeline'!L7</f>
        <v>#REF!</v>
      </c>
      <c r="T38" s="168" t="str">
        <f>'2026 Pipeline'!CD7</f>
        <v>#REF!</v>
      </c>
      <c r="U38" s="168" t="str">
        <f t="shared" ref="U38:AJ38" si="47">#REF!</f>
        <v>#REF!</v>
      </c>
      <c r="V38" s="168" t="str">
        <f t="shared" si="47"/>
        <v>#REF!</v>
      </c>
      <c r="W38" s="168" t="str">
        <f t="shared" si="47"/>
        <v>#REF!</v>
      </c>
      <c r="X38" s="168" t="str">
        <f t="shared" si="47"/>
        <v>#REF!</v>
      </c>
      <c r="Y38" s="168" t="str">
        <f t="shared" si="47"/>
        <v>#REF!</v>
      </c>
      <c r="Z38" s="168" t="str">
        <f t="shared" si="47"/>
        <v>#REF!</v>
      </c>
      <c r="AA38" s="168" t="str">
        <f t="shared" si="47"/>
        <v>#REF!</v>
      </c>
      <c r="AB38" s="168" t="str">
        <f t="shared" si="47"/>
        <v>#REF!</v>
      </c>
      <c r="AC38" s="168" t="str">
        <f t="shared" si="47"/>
        <v>#REF!</v>
      </c>
      <c r="AD38" s="168" t="str">
        <f t="shared" si="47"/>
        <v>#REF!</v>
      </c>
      <c r="AE38" s="168" t="str">
        <f t="shared" si="47"/>
        <v>#REF!</v>
      </c>
      <c r="AF38" s="168" t="str">
        <f t="shared" si="47"/>
        <v>#REF!</v>
      </c>
      <c r="AG38" s="168" t="str">
        <f t="shared" si="47"/>
        <v>#REF!</v>
      </c>
      <c r="AH38" s="168" t="str">
        <f t="shared" si="47"/>
        <v>#REF!</v>
      </c>
      <c r="AI38" s="168" t="str">
        <f t="shared" si="47"/>
        <v>#REF!</v>
      </c>
      <c r="AJ38" s="168" t="str">
        <f t="shared" si="47"/>
        <v>#REF!</v>
      </c>
    </row>
    <row r="39" ht="15.75" hidden="1" customHeight="1">
      <c r="A39" s="168" t="str">
        <f t="shared" ref="A39:AJ39" si="48">#REF!</f>
        <v>#REF!</v>
      </c>
      <c r="B39" s="168" t="str">
        <f t="shared" si="48"/>
        <v>#REF!</v>
      </c>
      <c r="C39" s="168" t="str">
        <f t="shared" si="48"/>
        <v>#REF!</v>
      </c>
      <c r="D39" s="168" t="str">
        <f t="shared" si="48"/>
        <v>#REF!</v>
      </c>
      <c r="E39" s="168" t="str">
        <f t="shared" si="48"/>
        <v>#REF!</v>
      </c>
      <c r="F39" s="168" t="str">
        <f t="shared" si="48"/>
        <v>#REF!</v>
      </c>
      <c r="G39" s="168" t="str">
        <f t="shared" si="48"/>
        <v>#REF!</v>
      </c>
      <c r="H39" s="168" t="str">
        <f t="shared" si="48"/>
        <v>#REF!</v>
      </c>
      <c r="I39" s="168" t="str">
        <f t="shared" si="48"/>
        <v>#REF!</v>
      </c>
      <c r="J39" s="168" t="str">
        <f t="shared" si="48"/>
        <v>#REF!</v>
      </c>
      <c r="K39" s="168" t="str">
        <f t="shared" si="48"/>
        <v>#REF!</v>
      </c>
      <c r="L39" s="168" t="str">
        <f t="shared" si="48"/>
        <v>#REF!</v>
      </c>
      <c r="M39" s="168" t="str">
        <f t="shared" si="48"/>
        <v>#REF!</v>
      </c>
      <c r="N39" s="168" t="str">
        <f t="shared" si="48"/>
        <v>#REF!</v>
      </c>
      <c r="O39" s="168" t="str">
        <f t="shared" si="48"/>
        <v>#REF!</v>
      </c>
      <c r="P39" s="168" t="str">
        <f t="shared" si="48"/>
        <v>#REF!</v>
      </c>
      <c r="Q39" s="168" t="str">
        <f t="shared" si="48"/>
        <v>#REF!</v>
      </c>
      <c r="R39" s="168" t="str">
        <f t="shared" si="48"/>
        <v>#REF!</v>
      </c>
      <c r="S39" s="168" t="str">
        <f t="shared" si="48"/>
        <v>#REF!</v>
      </c>
      <c r="T39" s="168" t="str">
        <f t="shared" si="48"/>
        <v>#REF!</v>
      </c>
      <c r="U39" s="168" t="str">
        <f t="shared" si="48"/>
        <v>#REF!</v>
      </c>
      <c r="V39" s="168" t="str">
        <f t="shared" si="48"/>
        <v>#REF!</v>
      </c>
      <c r="W39" s="168" t="str">
        <f t="shared" si="48"/>
        <v>#REF!</v>
      </c>
      <c r="X39" s="168" t="str">
        <f t="shared" si="48"/>
        <v>#REF!</v>
      </c>
      <c r="Y39" s="168" t="str">
        <f t="shared" si="48"/>
        <v>#REF!</v>
      </c>
      <c r="Z39" s="168" t="str">
        <f t="shared" si="48"/>
        <v>#REF!</v>
      </c>
      <c r="AA39" s="168" t="str">
        <f t="shared" si="48"/>
        <v>#REF!</v>
      </c>
      <c r="AB39" s="168" t="str">
        <f t="shared" si="48"/>
        <v>#REF!</v>
      </c>
      <c r="AC39" s="168" t="str">
        <f t="shared" si="48"/>
        <v>#REF!</v>
      </c>
      <c r="AD39" s="168" t="str">
        <f t="shared" si="48"/>
        <v>#REF!</v>
      </c>
      <c r="AE39" s="168" t="str">
        <f t="shared" si="48"/>
        <v>#REF!</v>
      </c>
      <c r="AF39" s="168" t="str">
        <f t="shared" si="48"/>
        <v>#REF!</v>
      </c>
      <c r="AG39" s="168" t="str">
        <f t="shared" si="48"/>
        <v>#REF!</v>
      </c>
      <c r="AH39" s="168" t="str">
        <f t="shared" si="48"/>
        <v>#REF!</v>
      </c>
      <c r="AI39" s="168" t="str">
        <f t="shared" si="48"/>
        <v>#REF!</v>
      </c>
      <c r="AJ39" s="168" t="str">
        <f t="shared" si="48"/>
        <v>#REF!</v>
      </c>
    </row>
    <row r="40" ht="15.75" hidden="1" customHeight="1">
      <c r="A40" s="168" t="str">
        <f t="shared" ref="A40:AJ40" si="49">#REF!</f>
        <v>#REF!</v>
      </c>
      <c r="B40" s="168" t="str">
        <f t="shared" si="49"/>
        <v>#REF!</v>
      </c>
      <c r="C40" s="168" t="str">
        <f t="shared" si="49"/>
        <v>#REF!</v>
      </c>
      <c r="D40" s="168" t="str">
        <f t="shared" si="49"/>
        <v>#REF!</v>
      </c>
      <c r="E40" s="168" t="str">
        <f t="shared" si="49"/>
        <v>#REF!</v>
      </c>
      <c r="F40" s="168" t="str">
        <f t="shared" si="49"/>
        <v>#REF!</v>
      </c>
      <c r="G40" s="168" t="str">
        <f t="shared" si="49"/>
        <v>#REF!</v>
      </c>
      <c r="H40" s="168" t="str">
        <f t="shared" si="49"/>
        <v>#REF!</v>
      </c>
      <c r="I40" s="168" t="str">
        <f t="shared" si="49"/>
        <v>#REF!</v>
      </c>
      <c r="J40" s="168" t="str">
        <f t="shared" si="49"/>
        <v>#REF!</v>
      </c>
      <c r="K40" s="168" t="str">
        <f t="shared" si="49"/>
        <v>#REF!</v>
      </c>
      <c r="L40" s="168" t="str">
        <f t="shared" si="49"/>
        <v>#REF!</v>
      </c>
      <c r="M40" s="168" t="str">
        <f t="shared" si="49"/>
        <v>#REF!</v>
      </c>
      <c r="N40" s="168" t="str">
        <f t="shared" si="49"/>
        <v>#REF!</v>
      </c>
      <c r="O40" s="168" t="str">
        <f t="shared" si="49"/>
        <v>#REF!</v>
      </c>
      <c r="P40" s="168" t="str">
        <f t="shared" si="49"/>
        <v>#REF!</v>
      </c>
      <c r="Q40" s="168" t="str">
        <f t="shared" si="49"/>
        <v>#REF!</v>
      </c>
      <c r="R40" s="168" t="str">
        <f t="shared" si="49"/>
        <v>#REF!</v>
      </c>
      <c r="S40" s="168" t="str">
        <f t="shared" si="49"/>
        <v>#REF!</v>
      </c>
      <c r="T40" s="168" t="str">
        <f t="shared" si="49"/>
        <v>#REF!</v>
      </c>
      <c r="U40" s="168" t="str">
        <f t="shared" si="49"/>
        <v>#REF!</v>
      </c>
      <c r="V40" s="168" t="str">
        <f t="shared" si="49"/>
        <v>#REF!</v>
      </c>
      <c r="W40" s="168" t="str">
        <f t="shared" si="49"/>
        <v>#REF!</v>
      </c>
      <c r="X40" s="168" t="str">
        <f t="shared" si="49"/>
        <v>#REF!</v>
      </c>
      <c r="Y40" s="168" t="str">
        <f t="shared" si="49"/>
        <v>#REF!</v>
      </c>
      <c r="Z40" s="168" t="str">
        <f t="shared" si="49"/>
        <v>#REF!</v>
      </c>
      <c r="AA40" s="168" t="str">
        <f t="shared" si="49"/>
        <v>#REF!</v>
      </c>
      <c r="AB40" s="168" t="str">
        <f t="shared" si="49"/>
        <v>#REF!</v>
      </c>
      <c r="AC40" s="168" t="str">
        <f t="shared" si="49"/>
        <v>#REF!</v>
      </c>
      <c r="AD40" s="168" t="str">
        <f t="shared" si="49"/>
        <v>#REF!</v>
      </c>
      <c r="AE40" s="168" t="str">
        <f t="shared" si="49"/>
        <v>#REF!</v>
      </c>
      <c r="AF40" s="168" t="str">
        <f t="shared" si="49"/>
        <v>#REF!</v>
      </c>
      <c r="AG40" s="168" t="str">
        <f t="shared" si="49"/>
        <v>#REF!</v>
      </c>
      <c r="AH40" s="168" t="str">
        <f t="shared" si="49"/>
        <v>#REF!</v>
      </c>
      <c r="AI40" s="168" t="str">
        <f t="shared" si="49"/>
        <v>#REF!</v>
      </c>
      <c r="AJ40" s="168" t="str">
        <f t="shared" si="49"/>
        <v>#REF!</v>
      </c>
    </row>
    <row r="41" ht="15.75" hidden="1" customHeight="1">
      <c r="A41" s="168" t="str">
        <f t="shared" ref="A41:AJ41" si="50">#REF!</f>
        <v>#REF!</v>
      </c>
      <c r="B41" s="168" t="str">
        <f t="shared" si="50"/>
        <v>#REF!</v>
      </c>
      <c r="C41" s="168" t="str">
        <f t="shared" si="50"/>
        <v>#REF!</v>
      </c>
      <c r="D41" s="168" t="str">
        <f t="shared" si="50"/>
        <v>#REF!</v>
      </c>
      <c r="E41" s="168" t="str">
        <f t="shared" si="50"/>
        <v>#REF!</v>
      </c>
      <c r="F41" s="168" t="str">
        <f t="shared" si="50"/>
        <v>#REF!</v>
      </c>
      <c r="G41" s="168" t="str">
        <f t="shared" si="50"/>
        <v>#REF!</v>
      </c>
      <c r="H41" s="168" t="str">
        <f t="shared" si="50"/>
        <v>#REF!</v>
      </c>
      <c r="I41" s="168" t="str">
        <f t="shared" si="50"/>
        <v>#REF!</v>
      </c>
      <c r="J41" s="168" t="str">
        <f t="shared" si="50"/>
        <v>#REF!</v>
      </c>
      <c r="K41" s="168" t="str">
        <f t="shared" si="50"/>
        <v>#REF!</v>
      </c>
      <c r="L41" s="168" t="str">
        <f t="shared" si="50"/>
        <v>#REF!</v>
      </c>
      <c r="M41" s="168" t="str">
        <f t="shared" si="50"/>
        <v>#REF!</v>
      </c>
      <c r="N41" s="168" t="str">
        <f t="shared" si="50"/>
        <v>#REF!</v>
      </c>
      <c r="O41" s="168" t="str">
        <f t="shared" si="50"/>
        <v>#REF!</v>
      </c>
      <c r="P41" s="168" t="str">
        <f t="shared" si="50"/>
        <v>#REF!</v>
      </c>
      <c r="Q41" s="168" t="str">
        <f t="shared" si="50"/>
        <v>#REF!</v>
      </c>
      <c r="R41" s="168" t="str">
        <f t="shared" si="50"/>
        <v>#REF!</v>
      </c>
      <c r="S41" s="168" t="str">
        <f t="shared" si="50"/>
        <v>#REF!</v>
      </c>
      <c r="T41" s="168" t="str">
        <f t="shared" si="50"/>
        <v>#REF!</v>
      </c>
      <c r="U41" s="168" t="str">
        <f t="shared" si="50"/>
        <v>#REF!</v>
      </c>
      <c r="V41" s="168" t="str">
        <f t="shared" si="50"/>
        <v>#REF!</v>
      </c>
      <c r="W41" s="168" t="str">
        <f t="shared" si="50"/>
        <v>#REF!</v>
      </c>
      <c r="X41" s="168" t="str">
        <f t="shared" si="50"/>
        <v>#REF!</v>
      </c>
      <c r="Y41" s="168" t="str">
        <f t="shared" si="50"/>
        <v>#REF!</v>
      </c>
      <c r="Z41" s="168" t="str">
        <f t="shared" si="50"/>
        <v>#REF!</v>
      </c>
      <c r="AA41" s="168" t="str">
        <f t="shared" si="50"/>
        <v>#REF!</v>
      </c>
      <c r="AB41" s="168" t="str">
        <f t="shared" si="50"/>
        <v>#REF!</v>
      </c>
      <c r="AC41" s="168" t="str">
        <f t="shared" si="50"/>
        <v>#REF!</v>
      </c>
      <c r="AD41" s="168" t="str">
        <f t="shared" si="50"/>
        <v>#REF!</v>
      </c>
      <c r="AE41" s="168" t="str">
        <f t="shared" si="50"/>
        <v>#REF!</v>
      </c>
      <c r="AF41" s="168" t="str">
        <f t="shared" si="50"/>
        <v>#REF!</v>
      </c>
      <c r="AG41" s="168" t="str">
        <f t="shared" si="50"/>
        <v>#REF!</v>
      </c>
      <c r="AH41" s="168" t="str">
        <f t="shared" si="50"/>
        <v>#REF!</v>
      </c>
      <c r="AI41" s="168" t="str">
        <f t="shared" si="50"/>
        <v>#REF!</v>
      </c>
      <c r="AJ41" s="168" t="str">
        <f t="shared" si="50"/>
        <v>#REF!</v>
      </c>
    </row>
    <row r="42" ht="15.75" hidden="1" customHeight="1">
      <c r="A42" s="168" t="str">
        <f t="shared" ref="A42:AJ42" si="51">#REF!</f>
        <v>#REF!</v>
      </c>
      <c r="B42" s="168" t="str">
        <f t="shared" si="51"/>
        <v>#REF!</v>
      </c>
      <c r="C42" s="168" t="str">
        <f t="shared" si="51"/>
        <v>#REF!</v>
      </c>
      <c r="D42" s="168" t="str">
        <f t="shared" si="51"/>
        <v>#REF!</v>
      </c>
      <c r="E42" s="168" t="str">
        <f t="shared" si="51"/>
        <v>#REF!</v>
      </c>
      <c r="F42" s="168" t="str">
        <f t="shared" si="51"/>
        <v>#REF!</v>
      </c>
      <c r="G42" s="168" t="str">
        <f t="shared" si="51"/>
        <v>#REF!</v>
      </c>
      <c r="H42" s="168" t="str">
        <f t="shared" si="51"/>
        <v>#REF!</v>
      </c>
      <c r="I42" s="168" t="str">
        <f t="shared" si="51"/>
        <v>#REF!</v>
      </c>
      <c r="J42" s="168" t="str">
        <f t="shared" si="51"/>
        <v>#REF!</v>
      </c>
      <c r="K42" s="168" t="str">
        <f t="shared" si="51"/>
        <v>#REF!</v>
      </c>
      <c r="L42" s="168" t="str">
        <f t="shared" si="51"/>
        <v>#REF!</v>
      </c>
      <c r="M42" s="168" t="str">
        <f t="shared" si="51"/>
        <v>#REF!</v>
      </c>
      <c r="N42" s="168" t="str">
        <f t="shared" si="51"/>
        <v>#REF!</v>
      </c>
      <c r="O42" s="168" t="str">
        <f t="shared" si="51"/>
        <v>#REF!</v>
      </c>
      <c r="P42" s="168" t="str">
        <f t="shared" si="51"/>
        <v>#REF!</v>
      </c>
      <c r="Q42" s="168" t="str">
        <f t="shared" si="51"/>
        <v>#REF!</v>
      </c>
      <c r="R42" s="168" t="str">
        <f t="shared" si="51"/>
        <v>#REF!</v>
      </c>
      <c r="S42" s="168" t="str">
        <f t="shared" si="51"/>
        <v>#REF!</v>
      </c>
      <c r="T42" s="168" t="str">
        <f t="shared" si="51"/>
        <v>#REF!</v>
      </c>
      <c r="U42" s="168" t="str">
        <f t="shared" si="51"/>
        <v>#REF!</v>
      </c>
      <c r="V42" s="168" t="str">
        <f t="shared" si="51"/>
        <v>#REF!</v>
      </c>
      <c r="W42" s="168" t="str">
        <f t="shared" si="51"/>
        <v>#REF!</v>
      </c>
      <c r="X42" s="168" t="str">
        <f t="shared" si="51"/>
        <v>#REF!</v>
      </c>
      <c r="Y42" s="168" t="str">
        <f t="shared" si="51"/>
        <v>#REF!</v>
      </c>
      <c r="Z42" s="168" t="str">
        <f t="shared" si="51"/>
        <v>#REF!</v>
      </c>
      <c r="AA42" s="168" t="str">
        <f t="shared" si="51"/>
        <v>#REF!</v>
      </c>
      <c r="AB42" s="168" t="str">
        <f t="shared" si="51"/>
        <v>#REF!</v>
      </c>
      <c r="AC42" s="168" t="str">
        <f t="shared" si="51"/>
        <v>#REF!</v>
      </c>
      <c r="AD42" s="168" t="str">
        <f t="shared" si="51"/>
        <v>#REF!</v>
      </c>
      <c r="AE42" s="168" t="str">
        <f t="shared" si="51"/>
        <v>#REF!</v>
      </c>
      <c r="AF42" s="168" t="str">
        <f t="shared" si="51"/>
        <v>#REF!</v>
      </c>
      <c r="AG42" s="168" t="str">
        <f t="shared" si="51"/>
        <v>#REF!</v>
      </c>
      <c r="AH42" s="168" t="str">
        <f t="shared" si="51"/>
        <v>#REF!</v>
      </c>
      <c r="AI42" s="168" t="str">
        <f t="shared" si="51"/>
        <v>#REF!</v>
      </c>
      <c r="AJ42" s="168" t="str">
        <f t="shared" si="51"/>
        <v>#REF!</v>
      </c>
    </row>
    <row r="43" ht="15.75" hidden="1" customHeight="1">
      <c r="A43" s="168" t="str">
        <f t="shared" ref="A43:T43" si="52">#REF!</f>
        <v>#REF!</v>
      </c>
      <c r="B43" s="168" t="str">
        <f t="shared" si="52"/>
        <v>#REF!</v>
      </c>
      <c r="C43" s="168" t="str">
        <f t="shared" si="52"/>
        <v>#REF!</v>
      </c>
      <c r="D43" s="168" t="str">
        <f t="shared" si="52"/>
        <v>#REF!</v>
      </c>
      <c r="E43" s="168" t="str">
        <f t="shared" si="52"/>
        <v>#REF!</v>
      </c>
      <c r="F43" s="168" t="str">
        <f t="shared" si="52"/>
        <v>#REF!</v>
      </c>
      <c r="G43" s="168" t="str">
        <f t="shared" si="52"/>
        <v>#REF!</v>
      </c>
      <c r="H43" s="168" t="str">
        <f t="shared" si="52"/>
        <v>#REF!</v>
      </c>
      <c r="I43" s="168" t="str">
        <f t="shared" si="52"/>
        <v>#REF!</v>
      </c>
      <c r="J43" s="168" t="str">
        <f t="shared" si="52"/>
        <v>#REF!</v>
      </c>
      <c r="K43" s="168" t="str">
        <f t="shared" si="52"/>
        <v>#REF!</v>
      </c>
      <c r="L43" s="168" t="str">
        <f t="shared" si="52"/>
        <v>#REF!</v>
      </c>
      <c r="M43" s="168" t="str">
        <f t="shared" si="52"/>
        <v>#REF!</v>
      </c>
      <c r="N43" s="168" t="str">
        <f t="shared" si="52"/>
        <v>#REF!</v>
      </c>
      <c r="O43" s="168" t="str">
        <f t="shared" si="52"/>
        <v>#REF!</v>
      </c>
      <c r="P43" s="168" t="str">
        <f t="shared" si="52"/>
        <v>#REF!</v>
      </c>
      <c r="Q43" s="168" t="str">
        <f t="shared" si="52"/>
        <v>#REF!</v>
      </c>
      <c r="R43" s="168" t="str">
        <f t="shared" si="52"/>
        <v>#REF!</v>
      </c>
      <c r="S43" s="168" t="str">
        <f t="shared" si="52"/>
        <v>#REF!</v>
      </c>
      <c r="T43" s="168" t="str">
        <f t="shared" si="52"/>
        <v>#REF!</v>
      </c>
      <c r="U43" s="168" t="str">
        <f>'2026 Pipeline'!AP7</f>
        <v>#REF!</v>
      </c>
      <c r="V43" s="168" t="str">
        <f t="shared" ref="V43:Z43" si="53">'2026 Pipeline'!CJ7</f>
        <v>#REF!</v>
      </c>
      <c r="W43" s="168" t="str">
        <f t="shared" si="53"/>
        <v>#REF!</v>
      </c>
      <c r="X43" s="168" t="str">
        <f t="shared" si="53"/>
        <v>#REF!</v>
      </c>
      <c r="Y43" s="168" t="str">
        <f t="shared" si="53"/>
        <v>#REF!</v>
      </c>
      <c r="Z43" s="168" t="str">
        <f t="shared" si="53"/>
        <v>#REF!</v>
      </c>
      <c r="AA43" s="168" t="str">
        <f t="shared" ref="AA43:AF43" si="54">#REF!</f>
        <v>#REF!</v>
      </c>
      <c r="AB43" s="168" t="str">
        <f t="shared" si="54"/>
        <v>#REF!</v>
      </c>
      <c r="AC43" s="168" t="str">
        <f t="shared" si="54"/>
        <v>#REF!</v>
      </c>
      <c r="AD43" s="168" t="str">
        <f t="shared" si="54"/>
        <v>#REF!</v>
      </c>
      <c r="AE43" s="168" t="str">
        <f t="shared" si="54"/>
        <v>#REF!</v>
      </c>
      <c r="AF43" s="168" t="str">
        <f t="shared" si="54"/>
        <v>#REF!</v>
      </c>
      <c r="AG43" s="168" t="str">
        <f>'2026 Pipeline'!CT7</f>
        <v>#REF!</v>
      </c>
      <c r="AH43" s="168" t="str">
        <f>'2026 Pipeline'!S7</f>
        <v>#REF!</v>
      </c>
      <c r="AI43" s="168" t="str">
        <f t="shared" ref="AI43:AJ43" si="55">#REF!</f>
        <v>#REF!</v>
      </c>
      <c r="AJ43" s="168" t="str">
        <f t="shared" si="55"/>
        <v>#REF!</v>
      </c>
    </row>
    <row r="44" ht="15.75" hidden="1" customHeight="1">
      <c r="A44" s="168" t="str">
        <f t="shared" ref="A44:AJ44" si="56">#REF!</f>
        <v>#REF!</v>
      </c>
      <c r="B44" s="168" t="str">
        <f t="shared" si="56"/>
        <v>#REF!</v>
      </c>
      <c r="C44" s="168" t="str">
        <f t="shared" si="56"/>
        <v>#REF!</v>
      </c>
      <c r="D44" s="168" t="str">
        <f t="shared" si="56"/>
        <v>#REF!</v>
      </c>
      <c r="E44" s="168" t="str">
        <f t="shared" si="56"/>
        <v>#REF!</v>
      </c>
      <c r="F44" s="168" t="str">
        <f t="shared" si="56"/>
        <v>#REF!</v>
      </c>
      <c r="G44" s="168" t="str">
        <f t="shared" si="56"/>
        <v>#REF!</v>
      </c>
      <c r="H44" s="168" t="str">
        <f t="shared" si="56"/>
        <v>#REF!</v>
      </c>
      <c r="I44" s="168" t="str">
        <f t="shared" si="56"/>
        <v>#REF!</v>
      </c>
      <c r="J44" s="168" t="str">
        <f t="shared" si="56"/>
        <v>#REF!</v>
      </c>
      <c r="K44" s="168" t="str">
        <f t="shared" si="56"/>
        <v>#REF!</v>
      </c>
      <c r="L44" s="168" t="str">
        <f t="shared" si="56"/>
        <v>#REF!</v>
      </c>
      <c r="M44" s="168" t="str">
        <f t="shared" si="56"/>
        <v>#REF!</v>
      </c>
      <c r="N44" s="168" t="str">
        <f t="shared" si="56"/>
        <v>#REF!</v>
      </c>
      <c r="O44" s="168" t="str">
        <f t="shared" si="56"/>
        <v>#REF!</v>
      </c>
      <c r="P44" s="168" t="str">
        <f t="shared" si="56"/>
        <v>#REF!</v>
      </c>
      <c r="Q44" s="168" t="str">
        <f t="shared" si="56"/>
        <v>#REF!</v>
      </c>
      <c r="R44" s="168" t="str">
        <f t="shared" si="56"/>
        <v>#REF!</v>
      </c>
      <c r="S44" s="168" t="str">
        <f t="shared" si="56"/>
        <v>#REF!</v>
      </c>
      <c r="T44" s="168" t="str">
        <f t="shared" si="56"/>
        <v>#REF!</v>
      </c>
      <c r="U44" s="168" t="str">
        <f t="shared" si="56"/>
        <v>#REF!</v>
      </c>
      <c r="V44" s="168" t="str">
        <f t="shared" si="56"/>
        <v>#REF!</v>
      </c>
      <c r="W44" s="168" t="str">
        <f t="shared" si="56"/>
        <v>#REF!</v>
      </c>
      <c r="X44" s="168" t="str">
        <f t="shared" si="56"/>
        <v>#REF!</v>
      </c>
      <c r="Y44" s="168" t="str">
        <f t="shared" si="56"/>
        <v>#REF!</v>
      </c>
      <c r="Z44" s="168" t="str">
        <f t="shared" si="56"/>
        <v>#REF!</v>
      </c>
      <c r="AA44" s="168" t="str">
        <f t="shared" si="56"/>
        <v>#REF!</v>
      </c>
      <c r="AB44" s="168" t="str">
        <f t="shared" si="56"/>
        <v>#REF!</v>
      </c>
      <c r="AC44" s="168" t="str">
        <f t="shared" si="56"/>
        <v>#REF!</v>
      </c>
      <c r="AD44" s="168" t="str">
        <f t="shared" si="56"/>
        <v>#REF!</v>
      </c>
      <c r="AE44" s="168" t="str">
        <f t="shared" si="56"/>
        <v>#REF!</v>
      </c>
      <c r="AF44" s="168" t="str">
        <f t="shared" si="56"/>
        <v>#REF!</v>
      </c>
      <c r="AG44" s="168" t="str">
        <f t="shared" si="56"/>
        <v>#REF!</v>
      </c>
      <c r="AH44" s="168" t="str">
        <f t="shared" si="56"/>
        <v>#REF!</v>
      </c>
      <c r="AI44" s="168" t="str">
        <f t="shared" si="56"/>
        <v>#REF!</v>
      </c>
      <c r="AJ44" s="168" t="str">
        <f t="shared" si="56"/>
        <v>#REF!</v>
      </c>
    </row>
    <row r="45" ht="15.75" hidden="1" customHeight="1">
      <c r="A45" s="168" t="str">
        <f t="shared" ref="A45:AJ45" si="57">#REF!</f>
        <v>#REF!</v>
      </c>
      <c r="B45" s="168" t="str">
        <f t="shared" si="57"/>
        <v>#REF!</v>
      </c>
      <c r="C45" s="168" t="str">
        <f t="shared" si="57"/>
        <v>#REF!</v>
      </c>
      <c r="D45" s="168" t="str">
        <f t="shared" si="57"/>
        <v>#REF!</v>
      </c>
      <c r="E45" s="168" t="str">
        <f t="shared" si="57"/>
        <v>#REF!</v>
      </c>
      <c r="F45" s="168" t="str">
        <f t="shared" si="57"/>
        <v>#REF!</v>
      </c>
      <c r="G45" s="168" t="str">
        <f t="shared" si="57"/>
        <v>#REF!</v>
      </c>
      <c r="H45" s="168" t="str">
        <f t="shared" si="57"/>
        <v>#REF!</v>
      </c>
      <c r="I45" s="168" t="str">
        <f t="shared" si="57"/>
        <v>#REF!</v>
      </c>
      <c r="J45" s="168" t="str">
        <f t="shared" si="57"/>
        <v>#REF!</v>
      </c>
      <c r="K45" s="168" t="str">
        <f t="shared" si="57"/>
        <v>#REF!</v>
      </c>
      <c r="L45" s="168" t="str">
        <f t="shared" si="57"/>
        <v>#REF!</v>
      </c>
      <c r="M45" s="168" t="str">
        <f t="shared" si="57"/>
        <v>#REF!</v>
      </c>
      <c r="N45" s="168" t="str">
        <f t="shared" si="57"/>
        <v>#REF!</v>
      </c>
      <c r="O45" s="168" t="str">
        <f t="shared" si="57"/>
        <v>#REF!</v>
      </c>
      <c r="P45" s="168" t="str">
        <f t="shared" si="57"/>
        <v>#REF!</v>
      </c>
      <c r="Q45" s="168" t="str">
        <f t="shared" si="57"/>
        <v>#REF!</v>
      </c>
      <c r="R45" s="168" t="str">
        <f t="shared" si="57"/>
        <v>#REF!</v>
      </c>
      <c r="S45" s="168" t="str">
        <f t="shared" si="57"/>
        <v>#REF!</v>
      </c>
      <c r="T45" s="168" t="str">
        <f t="shared" si="57"/>
        <v>#REF!</v>
      </c>
      <c r="U45" s="168" t="str">
        <f t="shared" si="57"/>
        <v>#REF!</v>
      </c>
      <c r="V45" s="168" t="str">
        <f t="shared" si="57"/>
        <v>#REF!</v>
      </c>
      <c r="W45" s="168" t="str">
        <f t="shared" si="57"/>
        <v>#REF!</v>
      </c>
      <c r="X45" s="168" t="str">
        <f t="shared" si="57"/>
        <v>#REF!</v>
      </c>
      <c r="Y45" s="168" t="str">
        <f t="shared" si="57"/>
        <v>#REF!</v>
      </c>
      <c r="Z45" s="168" t="str">
        <f t="shared" si="57"/>
        <v>#REF!</v>
      </c>
      <c r="AA45" s="168" t="str">
        <f t="shared" si="57"/>
        <v>#REF!</v>
      </c>
      <c r="AB45" s="168" t="str">
        <f t="shared" si="57"/>
        <v>#REF!</v>
      </c>
      <c r="AC45" s="168" t="str">
        <f t="shared" si="57"/>
        <v>#REF!</v>
      </c>
      <c r="AD45" s="168" t="str">
        <f t="shared" si="57"/>
        <v>#REF!</v>
      </c>
      <c r="AE45" s="168" t="str">
        <f t="shared" si="57"/>
        <v>#REF!</v>
      </c>
      <c r="AF45" s="168" t="str">
        <f t="shared" si="57"/>
        <v>#REF!</v>
      </c>
      <c r="AG45" s="168" t="str">
        <f t="shared" si="57"/>
        <v>#REF!</v>
      </c>
      <c r="AH45" s="168" t="str">
        <f t="shared" si="57"/>
        <v>#REF!</v>
      </c>
      <c r="AI45" s="168" t="str">
        <f t="shared" si="57"/>
        <v>#REF!</v>
      </c>
      <c r="AJ45" s="168" t="str">
        <f t="shared" si="57"/>
        <v>#REF!</v>
      </c>
    </row>
    <row r="46" ht="15.75" hidden="1" customHeight="1">
      <c r="A46" s="168" t="str">
        <f t="shared" ref="A46:AJ46" si="58">#REF!</f>
        <v>#REF!</v>
      </c>
      <c r="B46" s="168" t="str">
        <f t="shared" si="58"/>
        <v>#REF!</v>
      </c>
      <c r="C46" s="168" t="str">
        <f t="shared" si="58"/>
        <v>#REF!</v>
      </c>
      <c r="D46" s="168" t="str">
        <f t="shared" si="58"/>
        <v>#REF!</v>
      </c>
      <c r="E46" s="168" t="str">
        <f t="shared" si="58"/>
        <v>#REF!</v>
      </c>
      <c r="F46" s="168" t="str">
        <f t="shared" si="58"/>
        <v>#REF!</v>
      </c>
      <c r="G46" s="168" t="str">
        <f t="shared" si="58"/>
        <v>#REF!</v>
      </c>
      <c r="H46" s="168" t="str">
        <f t="shared" si="58"/>
        <v>#REF!</v>
      </c>
      <c r="I46" s="168" t="str">
        <f t="shared" si="58"/>
        <v>#REF!</v>
      </c>
      <c r="J46" s="168" t="str">
        <f t="shared" si="58"/>
        <v>#REF!</v>
      </c>
      <c r="K46" s="168" t="str">
        <f t="shared" si="58"/>
        <v>#REF!</v>
      </c>
      <c r="L46" s="168" t="str">
        <f t="shared" si="58"/>
        <v>#REF!</v>
      </c>
      <c r="M46" s="168" t="str">
        <f t="shared" si="58"/>
        <v>#REF!</v>
      </c>
      <c r="N46" s="168" t="str">
        <f t="shared" si="58"/>
        <v>#REF!</v>
      </c>
      <c r="O46" s="168" t="str">
        <f t="shared" si="58"/>
        <v>#REF!</v>
      </c>
      <c r="P46" s="168" t="str">
        <f t="shared" si="58"/>
        <v>#REF!</v>
      </c>
      <c r="Q46" s="168" t="str">
        <f t="shared" si="58"/>
        <v>#REF!</v>
      </c>
      <c r="R46" s="168" t="str">
        <f t="shared" si="58"/>
        <v>#REF!</v>
      </c>
      <c r="S46" s="168" t="str">
        <f t="shared" si="58"/>
        <v>#REF!</v>
      </c>
      <c r="T46" s="168" t="str">
        <f t="shared" si="58"/>
        <v>#REF!</v>
      </c>
      <c r="U46" s="168" t="str">
        <f t="shared" si="58"/>
        <v>#REF!</v>
      </c>
      <c r="V46" s="168" t="str">
        <f t="shared" si="58"/>
        <v>#REF!</v>
      </c>
      <c r="W46" s="168" t="str">
        <f t="shared" si="58"/>
        <v>#REF!</v>
      </c>
      <c r="X46" s="168" t="str">
        <f t="shared" si="58"/>
        <v>#REF!</v>
      </c>
      <c r="Y46" s="168" t="str">
        <f t="shared" si="58"/>
        <v>#REF!</v>
      </c>
      <c r="Z46" s="168" t="str">
        <f t="shared" si="58"/>
        <v>#REF!</v>
      </c>
      <c r="AA46" s="168" t="str">
        <f t="shared" si="58"/>
        <v>#REF!</v>
      </c>
      <c r="AB46" s="168" t="str">
        <f t="shared" si="58"/>
        <v>#REF!</v>
      </c>
      <c r="AC46" s="168" t="str">
        <f t="shared" si="58"/>
        <v>#REF!</v>
      </c>
      <c r="AD46" s="168" t="str">
        <f t="shared" si="58"/>
        <v>#REF!</v>
      </c>
      <c r="AE46" s="168" t="str">
        <f t="shared" si="58"/>
        <v>#REF!</v>
      </c>
      <c r="AF46" s="168" t="str">
        <f t="shared" si="58"/>
        <v>#REF!</v>
      </c>
      <c r="AG46" s="168" t="str">
        <f t="shared" si="58"/>
        <v>#REF!</v>
      </c>
      <c r="AH46" s="168" t="str">
        <f t="shared" si="58"/>
        <v>#REF!</v>
      </c>
      <c r="AI46" s="168" t="str">
        <f t="shared" si="58"/>
        <v>#REF!</v>
      </c>
      <c r="AJ46" s="168" t="str">
        <f t="shared" si="58"/>
        <v>#REF!</v>
      </c>
    </row>
    <row r="47" ht="15.75" hidden="1" customHeight="1">
      <c r="A47" s="168" t="str">
        <f t="shared" ref="A47:AJ47" si="59">#REF!</f>
        <v>#REF!</v>
      </c>
      <c r="B47" s="168" t="str">
        <f t="shared" si="59"/>
        <v>#REF!</v>
      </c>
      <c r="C47" s="168" t="str">
        <f t="shared" si="59"/>
        <v>#REF!</v>
      </c>
      <c r="D47" s="168" t="str">
        <f t="shared" si="59"/>
        <v>#REF!</v>
      </c>
      <c r="E47" s="168" t="str">
        <f t="shared" si="59"/>
        <v>#REF!</v>
      </c>
      <c r="F47" s="168" t="str">
        <f t="shared" si="59"/>
        <v>#REF!</v>
      </c>
      <c r="G47" s="168" t="str">
        <f t="shared" si="59"/>
        <v>#REF!</v>
      </c>
      <c r="H47" s="168" t="str">
        <f t="shared" si="59"/>
        <v>#REF!</v>
      </c>
      <c r="I47" s="168" t="str">
        <f t="shared" si="59"/>
        <v>#REF!</v>
      </c>
      <c r="J47" s="168" t="str">
        <f t="shared" si="59"/>
        <v>#REF!</v>
      </c>
      <c r="K47" s="168" t="str">
        <f t="shared" si="59"/>
        <v>#REF!</v>
      </c>
      <c r="L47" s="168" t="str">
        <f t="shared" si="59"/>
        <v>#REF!</v>
      </c>
      <c r="M47" s="168" t="str">
        <f t="shared" si="59"/>
        <v>#REF!</v>
      </c>
      <c r="N47" s="168" t="str">
        <f t="shared" si="59"/>
        <v>#REF!</v>
      </c>
      <c r="O47" s="168" t="str">
        <f t="shared" si="59"/>
        <v>#REF!</v>
      </c>
      <c r="P47" s="168" t="str">
        <f t="shared" si="59"/>
        <v>#REF!</v>
      </c>
      <c r="Q47" s="168" t="str">
        <f t="shared" si="59"/>
        <v>#REF!</v>
      </c>
      <c r="R47" s="168" t="str">
        <f t="shared" si="59"/>
        <v>#REF!</v>
      </c>
      <c r="S47" s="168" t="str">
        <f t="shared" si="59"/>
        <v>#REF!</v>
      </c>
      <c r="T47" s="168" t="str">
        <f t="shared" si="59"/>
        <v>#REF!</v>
      </c>
      <c r="U47" s="168" t="str">
        <f t="shared" si="59"/>
        <v>#REF!</v>
      </c>
      <c r="V47" s="168" t="str">
        <f t="shared" si="59"/>
        <v>#REF!</v>
      </c>
      <c r="W47" s="168" t="str">
        <f t="shared" si="59"/>
        <v>#REF!</v>
      </c>
      <c r="X47" s="168" t="str">
        <f t="shared" si="59"/>
        <v>#REF!</v>
      </c>
      <c r="Y47" s="168" t="str">
        <f t="shared" si="59"/>
        <v>#REF!</v>
      </c>
      <c r="Z47" s="168" t="str">
        <f t="shared" si="59"/>
        <v>#REF!</v>
      </c>
      <c r="AA47" s="168" t="str">
        <f t="shared" si="59"/>
        <v>#REF!</v>
      </c>
      <c r="AB47" s="168" t="str">
        <f t="shared" si="59"/>
        <v>#REF!</v>
      </c>
      <c r="AC47" s="168" t="str">
        <f t="shared" si="59"/>
        <v>#REF!</v>
      </c>
      <c r="AD47" s="168" t="str">
        <f t="shared" si="59"/>
        <v>#REF!</v>
      </c>
      <c r="AE47" s="168" t="str">
        <f t="shared" si="59"/>
        <v>#REF!</v>
      </c>
      <c r="AF47" s="168" t="str">
        <f t="shared" si="59"/>
        <v>#REF!</v>
      </c>
      <c r="AG47" s="168" t="str">
        <f t="shared" si="59"/>
        <v>#REF!</v>
      </c>
      <c r="AH47" s="168" t="str">
        <f t="shared" si="59"/>
        <v>#REF!</v>
      </c>
      <c r="AI47" s="168" t="str">
        <f t="shared" si="59"/>
        <v>#REF!</v>
      </c>
      <c r="AJ47" s="168" t="str">
        <f t="shared" si="59"/>
        <v>#REF!</v>
      </c>
    </row>
    <row r="48" ht="15.75" hidden="1" customHeight="1">
      <c r="A48" s="168" t="str">
        <f t="shared" ref="A48:AJ48" si="60">#REF!</f>
        <v>#REF!</v>
      </c>
      <c r="B48" s="168" t="str">
        <f t="shared" si="60"/>
        <v>#REF!</v>
      </c>
      <c r="C48" s="168" t="str">
        <f t="shared" si="60"/>
        <v>#REF!</v>
      </c>
      <c r="D48" s="168" t="str">
        <f t="shared" si="60"/>
        <v>#REF!</v>
      </c>
      <c r="E48" s="168" t="str">
        <f t="shared" si="60"/>
        <v>#REF!</v>
      </c>
      <c r="F48" s="168" t="str">
        <f t="shared" si="60"/>
        <v>#REF!</v>
      </c>
      <c r="G48" s="168" t="str">
        <f t="shared" si="60"/>
        <v>#REF!</v>
      </c>
      <c r="H48" s="168" t="str">
        <f t="shared" si="60"/>
        <v>#REF!</v>
      </c>
      <c r="I48" s="168" t="str">
        <f t="shared" si="60"/>
        <v>#REF!</v>
      </c>
      <c r="J48" s="168" t="str">
        <f t="shared" si="60"/>
        <v>#REF!</v>
      </c>
      <c r="K48" s="168" t="str">
        <f t="shared" si="60"/>
        <v>#REF!</v>
      </c>
      <c r="L48" s="168" t="str">
        <f t="shared" si="60"/>
        <v>#REF!</v>
      </c>
      <c r="M48" s="168" t="str">
        <f t="shared" si="60"/>
        <v>#REF!</v>
      </c>
      <c r="N48" s="168" t="str">
        <f t="shared" si="60"/>
        <v>#REF!</v>
      </c>
      <c r="O48" s="168" t="str">
        <f t="shared" si="60"/>
        <v>#REF!</v>
      </c>
      <c r="P48" s="168" t="str">
        <f t="shared" si="60"/>
        <v>#REF!</v>
      </c>
      <c r="Q48" s="168" t="str">
        <f t="shared" si="60"/>
        <v>#REF!</v>
      </c>
      <c r="R48" s="168" t="str">
        <f t="shared" si="60"/>
        <v>#REF!</v>
      </c>
      <c r="S48" s="168" t="str">
        <f t="shared" si="60"/>
        <v>#REF!</v>
      </c>
      <c r="T48" s="168" t="str">
        <f t="shared" si="60"/>
        <v>#REF!</v>
      </c>
      <c r="U48" s="168" t="str">
        <f t="shared" si="60"/>
        <v>#REF!</v>
      </c>
      <c r="V48" s="168" t="str">
        <f t="shared" si="60"/>
        <v>#REF!</v>
      </c>
      <c r="W48" s="168" t="str">
        <f t="shared" si="60"/>
        <v>#REF!</v>
      </c>
      <c r="X48" s="168" t="str">
        <f t="shared" si="60"/>
        <v>#REF!</v>
      </c>
      <c r="Y48" s="168" t="str">
        <f t="shared" si="60"/>
        <v>#REF!</v>
      </c>
      <c r="Z48" s="168" t="str">
        <f t="shared" si="60"/>
        <v>#REF!</v>
      </c>
      <c r="AA48" s="168" t="str">
        <f t="shared" si="60"/>
        <v>#REF!</v>
      </c>
      <c r="AB48" s="168" t="str">
        <f t="shared" si="60"/>
        <v>#REF!</v>
      </c>
      <c r="AC48" s="168" t="str">
        <f t="shared" si="60"/>
        <v>#REF!</v>
      </c>
      <c r="AD48" s="168" t="str">
        <f t="shared" si="60"/>
        <v>#REF!</v>
      </c>
      <c r="AE48" s="168" t="str">
        <f t="shared" si="60"/>
        <v>#REF!</v>
      </c>
      <c r="AF48" s="168" t="str">
        <f t="shared" si="60"/>
        <v>#REF!</v>
      </c>
      <c r="AG48" s="168" t="str">
        <f t="shared" si="60"/>
        <v>#REF!</v>
      </c>
      <c r="AH48" s="168" t="str">
        <f t="shared" si="60"/>
        <v>#REF!</v>
      </c>
      <c r="AI48" s="168" t="str">
        <f t="shared" si="60"/>
        <v>#REF!</v>
      </c>
      <c r="AJ48" s="168" t="str">
        <f t="shared" si="60"/>
        <v>#REF!</v>
      </c>
    </row>
    <row r="49" ht="15.75" hidden="1" customHeight="1">
      <c r="A49" s="168" t="str">
        <f>'2026 Pipeline'!C8</f>
        <v>#REF!</v>
      </c>
      <c r="B49" s="168" t="str">
        <f t="shared" ref="B49:C49" si="61">'2026 Pipeline'!J8</f>
        <v>#REF!</v>
      </c>
      <c r="C49" s="168" t="str">
        <f t="shared" si="61"/>
        <v>#REF!</v>
      </c>
      <c r="D49" s="168" t="str">
        <f t="shared" ref="D49:F49" si="62">'2026 Pipeline'!M8</f>
        <v>#REF!</v>
      </c>
      <c r="E49" s="168" t="str">
        <f t="shared" si="62"/>
        <v>#REF!</v>
      </c>
      <c r="F49" s="168" t="str">
        <f t="shared" si="62"/>
        <v>#REF!</v>
      </c>
      <c r="G49" s="168" t="str">
        <f>'2026 Pipeline'!Q8</f>
        <v>#REF!</v>
      </c>
      <c r="H49" s="168" t="str">
        <f>'2026 Pipeline'!P8</f>
        <v>#REF!</v>
      </c>
      <c r="I49" s="168" t="str">
        <f>'2026 Pipeline'!R8</f>
        <v>#REF!</v>
      </c>
      <c r="J49" s="168" t="str">
        <f t="shared" ref="J49:L49" si="63">'2026 Pipeline'!V8</f>
        <v>#REF!</v>
      </c>
      <c r="K49" s="168" t="str">
        <f t="shared" si="63"/>
        <v>#REF!</v>
      </c>
      <c r="L49" s="168" t="str">
        <f t="shared" si="63"/>
        <v>#REF!</v>
      </c>
      <c r="M49" s="168" t="str">
        <f t="shared" ref="M49:O49" si="64">#REF!</f>
        <v>#REF!</v>
      </c>
      <c r="N49" s="168" t="str">
        <f t="shared" si="64"/>
        <v>#REF!</v>
      </c>
      <c r="O49" s="168" t="str">
        <f t="shared" si="64"/>
        <v>#REF!</v>
      </c>
      <c r="P49" s="168" t="str">
        <f>'2026 Pipeline'!AA8</f>
        <v>#REF!</v>
      </c>
      <c r="Q49" s="168" t="str">
        <f>'2026 Pipeline'!Y8</f>
        <v>#REF!</v>
      </c>
      <c r="R49" s="168" t="str">
        <f>#REF!</f>
        <v>#REF!</v>
      </c>
      <c r="S49" s="168" t="str">
        <f>'2026 Pipeline'!L8</f>
        <v>#REF!</v>
      </c>
      <c r="T49" s="168" t="str">
        <f>'2026 Pipeline'!CD8</f>
        <v>#REF!</v>
      </c>
      <c r="U49" s="168" t="str">
        <f t="shared" ref="U49:AJ49" si="65">#REF!</f>
        <v>#REF!</v>
      </c>
      <c r="V49" s="168" t="str">
        <f t="shared" si="65"/>
        <v>#REF!</v>
      </c>
      <c r="W49" s="168" t="str">
        <f t="shared" si="65"/>
        <v>#REF!</v>
      </c>
      <c r="X49" s="168" t="str">
        <f t="shared" si="65"/>
        <v>#REF!</v>
      </c>
      <c r="Y49" s="168" t="str">
        <f t="shared" si="65"/>
        <v>#REF!</v>
      </c>
      <c r="Z49" s="168" t="str">
        <f t="shared" si="65"/>
        <v>#REF!</v>
      </c>
      <c r="AA49" s="168" t="str">
        <f t="shared" si="65"/>
        <v>#REF!</v>
      </c>
      <c r="AB49" s="168" t="str">
        <f t="shared" si="65"/>
        <v>#REF!</v>
      </c>
      <c r="AC49" s="168" t="str">
        <f t="shared" si="65"/>
        <v>#REF!</v>
      </c>
      <c r="AD49" s="168" t="str">
        <f t="shared" si="65"/>
        <v>#REF!</v>
      </c>
      <c r="AE49" s="168" t="str">
        <f t="shared" si="65"/>
        <v>#REF!</v>
      </c>
      <c r="AF49" s="168" t="str">
        <f t="shared" si="65"/>
        <v>#REF!</v>
      </c>
      <c r="AG49" s="168" t="str">
        <f t="shared" si="65"/>
        <v>#REF!</v>
      </c>
      <c r="AH49" s="168" t="str">
        <f t="shared" si="65"/>
        <v>#REF!</v>
      </c>
      <c r="AI49" s="168" t="str">
        <f t="shared" si="65"/>
        <v>#REF!</v>
      </c>
      <c r="AJ49" s="168" t="str">
        <f t="shared" si="65"/>
        <v>#REF!</v>
      </c>
    </row>
    <row r="50" ht="15.75" hidden="1" customHeight="1">
      <c r="A50" s="168" t="str">
        <f t="shared" ref="A50:AJ50" si="66">#REF!</f>
        <v>#REF!</v>
      </c>
      <c r="B50" s="168" t="str">
        <f t="shared" si="66"/>
        <v>#REF!</v>
      </c>
      <c r="C50" s="168" t="str">
        <f t="shared" si="66"/>
        <v>#REF!</v>
      </c>
      <c r="D50" s="168" t="str">
        <f t="shared" si="66"/>
        <v>#REF!</v>
      </c>
      <c r="E50" s="168" t="str">
        <f t="shared" si="66"/>
        <v>#REF!</v>
      </c>
      <c r="F50" s="168" t="str">
        <f t="shared" si="66"/>
        <v>#REF!</v>
      </c>
      <c r="G50" s="168" t="str">
        <f t="shared" si="66"/>
        <v>#REF!</v>
      </c>
      <c r="H50" s="168" t="str">
        <f t="shared" si="66"/>
        <v>#REF!</v>
      </c>
      <c r="I50" s="168" t="str">
        <f t="shared" si="66"/>
        <v>#REF!</v>
      </c>
      <c r="J50" s="168" t="str">
        <f t="shared" si="66"/>
        <v>#REF!</v>
      </c>
      <c r="K50" s="168" t="str">
        <f t="shared" si="66"/>
        <v>#REF!</v>
      </c>
      <c r="L50" s="168" t="str">
        <f t="shared" si="66"/>
        <v>#REF!</v>
      </c>
      <c r="M50" s="168" t="str">
        <f t="shared" si="66"/>
        <v>#REF!</v>
      </c>
      <c r="N50" s="168" t="str">
        <f t="shared" si="66"/>
        <v>#REF!</v>
      </c>
      <c r="O50" s="168" t="str">
        <f t="shared" si="66"/>
        <v>#REF!</v>
      </c>
      <c r="P50" s="168" t="str">
        <f t="shared" si="66"/>
        <v>#REF!</v>
      </c>
      <c r="Q50" s="168" t="str">
        <f t="shared" si="66"/>
        <v>#REF!</v>
      </c>
      <c r="R50" s="168" t="str">
        <f t="shared" si="66"/>
        <v>#REF!</v>
      </c>
      <c r="S50" s="168" t="str">
        <f t="shared" si="66"/>
        <v>#REF!</v>
      </c>
      <c r="T50" s="168" t="str">
        <f t="shared" si="66"/>
        <v>#REF!</v>
      </c>
      <c r="U50" s="168" t="str">
        <f t="shared" si="66"/>
        <v>#REF!</v>
      </c>
      <c r="V50" s="168" t="str">
        <f t="shared" si="66"/>
        <v>#REF!</v>
      </c>
      <c r="W50" s="168" t="str">
        <f t="shared" si="66"/>
        <v>#REF!</v>
      </c>
      <c r="X50" s="168" t="str">
        <f t="shared" si="66"/>
        <v>#REF!</v>
      </c>
      <c r="Y50" s="168" t="str">
        <f t="shared" si="66"/>
        <v>#REF!</v>
      </c>
      <c r="Z50" s="168" t="str">
        <f t="shared" si="66"/>
        <v>#REF!</v>
      </c>
      <c r="AA50" s="168" t="str">
        <f t="shared" si="66"/>
        <v>#REF!</v>
      </c>
      <c r="AB50" s="168" t="str">
        <f t="shared" si="66"/>
        <v>#REF!</v>
      </c>
      <c r="AC50" s="168" t="str">
        <f t="shared" si="66"/>
        <v>#REF!</v>
      </c>
      <c r="AD50" s="168" t="str">
        <f t="shared" si="66"/>
        <v>#REF!</v>
      </c>
      <c r="AE50" s="168" t="str">
        <f t="shared" si="66"/>
        <v>#REF!</v>
      </c>
      <c r="AF50" s="168" t="str">
        <f t="shared" si="66"/>
        <v>#REF!</v>
      </c>
      <c r="AG50" s="168" t="str">
        <f t="shared" si="66"/>
        <v>#REF!</v>
      </c>
      <c r="AH50" s="168" t="str">
        <f t="shared" si="66"/>
        <v>#REF!</v>
      </c>
      <c r="AI50" s="168" t="str">
        <f t="shared" si="66"/>
        <v>#REF!</v>
      </c>
      <c r="AJ50" s="168" t="str">
        <f t="shared" si="66"/>
        <v>#REF!</v>
      </c>
    </row>
    <row r="51" ht="15.75" hidden="1" customHeight="1">
      <c r="A51" s="168" t="str">
        <f t="shared" ref="A51:T51" si="67">#REF!</f>
        <v>#REF!</v>
      </c>
      <c r="B51" s="168" t="str">
        <f t="shared" si="67"/>
        <v>#REF!</v>
      </c>
      <c r="C51" s="168" t="str">
        <f t="shared" si="67"/>
        <v>#REF!</v>
      </c>
      <c r="D51" s="168" t="str">
        <f t="shared" si="67"/>
        <v>#REF!</v>
      </c>
      <c r="E51" s="168" t="str">
        <f t="shared" si="67"/>
        <v>#REF!</v>
      </c>
      <c r="F51" s="168" t="str">
        <f t="shared" si="67"/>
        <v>#REF!</v>
      </c>
      <c r="G51" s="168" t="str">
        <f t="shared" si="67"/>
        <v>#REF!</v>
      </c>
      <c r="H51" s="168" t="str">
        <f t="shared" si="67"/>
        <v>#REF!</v>
      </c>
      <c r="I51" s="168" t="str">
        <f t="shared" si="67"/>
        <v>#REF!</v>
      </c>
      <c r="J51" s="168" t="str">
        <f t="shared" si="67"/>
        <v>#REF!</v>
      </c>
      <c r="K51" s="168" t="str">
        <f t="shared" si="67"/>
        <v>#REF!</v>
      </c>
      <c r="L51" s="168" t="str">
        <f t="shared" si="67"/>
        <v>#REF!</v>
      </c>
      <c r="M51" s="168" t="str">
        <f t="shared" si="67"/>
        <v>#REF!</v>
      </c>
      <c r="N51" s="168" t="str">
        <f t="shared" si="67"/>
        <v>#REF!</v>
      </c>
      <c r="O51" s="168" t="str">
        <f t="shared" si="67"/>
        <v>#REF!</v>
      </c>
      <c r="P51" s="168" t="str">
        <f t="shared" si="67"/>
        <v>#REF!</v>
      </c>
      <c r="Q51" s="168" t="str">
        <f t="shared" si="67"/>
        <v>#REF!</v>
      </c>
      <c r="R51" s="168" t="str">
        <f t="shared" si="67"/>
        <v>#REF!</v>
      </c>
      <c r="S51" s="168" t="str">
        <f t="shared" si="67"/>
        <v>#REF!</v>
      </c>
      <c r="T51" s="168" t="str">
        <f t="shared" si="67"/>
        <v>#REF!</v>
      </c>
      <c r="U51" s="168" t="str">
        <f>'2026 Pipeline'!AP8</f>
        <v>#REF!</v>
      </c>
      <c r="V51" s="168" t="str">
        <f t="shared" ref="V51:Z51" si="68">'2026 Pipeline'!CJ8</f>
        <v>#REF!</v>
      </c>
      <c r="W51" s="168" t="str">
        <f t="shared" si="68"/>
        <v>#REF!</v>
      </c>
      <c r="X51" s="168" t="str">
        <f t="shared" si="68"/>
        <v>#REF!</v>
      </c>
      <c r="Y51" s="168" t="str">
        <f t="shared" si="68"/>
        <v>#REF!</v>
      </c>
      <c r="Z51" s="168" t="str">
        <f t="shared" si="68"/>
        <v>#REF!</v>
      </c>
      <c r="AA51" s="168" t="str">
        <f t="shared" ref="AA51:AF51" si="69">#REF!</f>
        <v>#REF!</v>
      </c>
      <c r="AB51" s="168" t="str">
        <f t="shared" si="69"/>
        <v>#REF!</v>
      </c>
      <c r="AC51" s="168" t="str">
        <f t="shared" si="69"/>
        <v>#REF!</v>
      </c>
      <c r="AD51" s="168" t="str">
        <f t="shared" si="69"/>
        <v>#REF!</v>
      </c>
      <c r="AE51" s="168" t="str">
        <f t="shared" si="69"/>
        <v>#REF!</v>
      </c>
      <c r="AF51" s="168" t="str">
        <f t="shared" si="69"/>
        <v>#REF!</v>
      </c>
      <c r="AG51" s="168" t="str">
        <f>'2026 Pipeline'!CT8</f>
        <v>#REF!</v>
      </c>
      <c r="AH51" s="168" t="str">
        <f>'2026 Pipeline'!S8</f>
        <v>#REF!</v>
      </c>
      <c r="AI51" s="168" t="str">
        <f t="shared" ref="AI51:AJ51" si="70">#REF!</f>
        <v>#REF!</v>
      </c>
      <c r="AJ51" s="168" t="str">
        <f t="shared" si="70"/>
        <v>#REF!</v>
      </c>
    </row>
    <row r="52" ht="15.75" hidden="1" customHeight="1">
      <c r="A52" s="168" t="str">
        <f t="shared" ref="A52:AJ52" si="71">#REF!</f>
        <v>#REF!</v>
      </c>
      <c r="B52" s="168" t="str">
        <f t="shared" si="71"/>
        <v>#REF!</v>
      </c>
      <c r="C52" s="168" t="str">
        <f t="shared" si="71"/>
        <v>#REF!</v>
      </c>
      <c r="D52" s="168" t="str">
        <f t="shared" si="71"/>
        <v>#REF!</v>
      </c>
      <c r="E52" s="168" t="str">
        <f t="shared" si="71"/>
        <v>#REF!</v>
      </c>
      <c r="F52" s="168" t="str">
        <f t="shared" si="71"/>
        <v>#REF!</v>
      </c>
      <c r="G52" s="168" t="str">
        <f t="shared" si="71"/>
        <v>#REF!</v>
      </c>
      <c r="H52" s="168" t="str">
        <f t="shared" si="71"/>
        <v>#REF!</v>
      </c>
      <c r="I52" s="168" t="str">
        <f t="shared" si="71"/>
        <v>#REF!</v>
      </c>
      <c r="J52" s="168" t="str">
        <f t="shared" si="71"/>
        <v>#REF!</v>
      </c>
      <c r="K52" s="168" t="str">
        <f t="shared" si="71"/>
        <v>#REF!</v>
      </c>
      <c r="L52" s="168" t="str">
        <f t="shared" si="71"/>
        <v>#REF!</v>
      </c>
      <c r="M52" s="168" t="str">
        <f t="shared" si="71"/>
        <v>#REF!</v>
      </c>
      <c r="N52" s="168" t="str">
        <f t="shared" si="71"/>
        <v>#REF!</v>
      </c>
      <c r="O52" s="168" t="str">
        <f t="shared" si="71"/>
        <v>#REF!</v>
      </c>
      <c r="P52" s="168" t="str">
        <f t="shared" si="71"/>
        <v>#REF!</v>
      </c>
      <c r="Q52" s="168" t="str">
        <f t="shared" si="71"/>
        <v>#REF!</v>
      </c>
      <c r="R52" s="168" t="str">
        <f t="shared" si="71"/>
        <v>#REF!</v>
      </c>
      <c r="S52" s="168" t="str">
        <f t="shared" si="71"/>
        <v>#REF!</v>
      </c>
      <c r="T52" s="168" t="str">
        <f t="shared" si="71"/>
        <v>#REF!</v>
      </c>
      <c r="U52" s="168" t="str">
        <f t="shared" si="71"/>
        <v>#REF!</v>
      </c>
      <c r="V52" s="168" t="str">
        <f t="shared" si="71"/>
        <v>#REF!</v>
      </c>
      <c r="W52" s="168" t="str">
        <f t="shared" si="71"/>
        <v>#REF!</v>
      </c>
      <c r="X52" s="168" t="str">
        <f t="shared" si="71"/>
        <v>#REF!</v>
      </c>
      <c r="Y52" s="168" t="str">
        <f t="shared" si="71"/>
        <v>#REF!</v>
      </c>
      <c r="Z52" s="168" t="str">
        <f t="shared" si="71"/>
        <v>#REF!</v>
      </c>
      <c r="AA52" s="168" t="str">
        <f t="shared" si="71"/>
        <v>#REF!</v>
      </c>
      <c r="AB52" s="168" t="str">
        <f t="shared" si="71"/>
        <v>#REF!</v>
      </c>
      <c r="AC52" s="168" t="str">
        <f t="shared" si="71"/>
        <v>#REF!</v>
      </c>
      <c r="AD52" s="168" t="str">
        <f t="shared" si="71"/>
        <v>#REF!</v>
      </c>
      <c r="AE52" s="168" t="str">
        <f t="shared" si="71"/>
        <v>#REF!</v>
      </c>
      <c r="AF52" s="168" t="str">
        <f t="shared" si="71"/>
        <v>#REF!</v>
      </c>
      <c r="AG52" s="168" t="str">
        <f t="shared" si="71"/>
        <v>#REF!</v>
      </c>
      <c r="AH52" s="168" t="str">
        <f t="shared" si="71"/>
        <v>#REF!</v>
      </c>
      <c r="AI52" s="168" t="str">
        <f t="shared" si="71"/>
        <v>#REF!</v>
      </c>
      <c r="AJ52" s="168" t="str">
        <f t="shared" si="71"/>
        <v>#REF!</v>
      </c>
    </row>
    <row r="53" ht="15.75" hidden="1" customHeight="1">
      <c r="A53" s="168" t="str">
        <f t="shared" ref="A53:AJ53" si="72">#REF!</f>
        <v>#REF!</v>
      </c>
      <c r="B53" s="168" t="str">
        <f t="shared" si="72"/>
        <v>#REF!</v>
      </c>
      <c r="C53" s="168" t="str">
        <f t="shared" si="72"/>
        <v>#REF!</v>
      </c>
      <c r="D53" s="168" t="str">
        <f t="shared" si="72"/>
        <v>#REF!</v>
      </c>
      <c r="E53" s="168" t="str">
        <f t="shared" si="72"/>
        <v>#REF!</v>
      </c>
      <c r="F53" s="168" t="str">
        <f t="shared" si="72"/>
        <v>#REF!</v>
      </c>
      <c r="G53" s="168" t="str">
        <f t="shared" si="72"/>
        <v>#REF!</v>
      </c>
      <c r="H53" s="168" t="str">
        <f t="shared" si="72"/>
        <v>#REF!</v>
      </c>
      <c r="I53" s="168" t="str">
        <f t="shared" si="72"/>
        <v>#REF!</v>
      </c>
      <c r="J53" s="168" t="str">
        <f t="shared" si="72"/>
        <v>#REF!</v>
      </c>
      <c r="K53" s="168" t="str">
        <f t="shared" si="72"/>
        <v>#REF!</v>
      </c>
      <c r="L53" s="168" t="str">
        <f t="shared" si="72"/>
        <v>#REF!</v>
      </c>
      <c r="M53" s="168" t="str">
        <f t="shared" si="72"/>
        <v>#REF!</v>
      </c>
      <c r="N53" s="168" t="str">
        <f t="shared" si="72"/>
        <v>#REF!</v>
      </c>
      <c r="O53" s="168" t="str">
        <f t="shared" si="72"/>
        <v>#REF!</v>
      </c>
      <c r="P53" s="168" t="str">
        <f t="shared" si="72"/>
        <v>#REF!</v>
      </c>
      <c r="Q53" s="168" t="str">
        <f t="shared" si="72"/>
        <v>#REF!</v>
      </c>
      <c r="R53" s="168" t="str">
        <f t="shared" si="72"/>
        <v>#REF!</v>
      </c>
      <c r="S53" s="168" t="str">
        <f t="shared" si="72"/>
        <v>#REF!</v>
      </c>
      <c r="T53" s="168" t="str">
        <f t="shared" si="72"/>
        <v>#REF!</v>
      </c>
      <c r="U53" s="168" t="str">
        <f t="shared" si="72"/>
        <v>#REF!</v>
      </c>
      <c r="V53" s="168" t="str">
        <f t="shared" si="72"/>
        <v>#REF!</v>
      </c>
      <c r="W53" s="168" t="str">
        <f t="shared" si="72"/>
        <v>#REF!</v>
      </c>
      <c r="X53" s="168" t="str">
        <f t="shared" si="72"/>
        <v>#REF!</v>
      </c>
      <c r="Y53" s="168" t="str">
        <f t="shared" si="72"/>
        <v>#REF!</v>
      </c>
      <c r="Z53" s="168" t="str">
        <f t="shared" si="72"/>
        <v>#REF!</v>
      </c>
      <c r="AA53" s="168" t="str">
        <f t="shared" si="72"/>
        <v>#REF!</v>
      </c>
      <c r="AB53" s="168" t="str">
        <f t="shared" si="72"/>
        <v>#REF!</v>
      </c>
      <c r="AC53" s="168" t="str">
        <f t="shared" si="72"/>
        <v>#REF!</v>
      </c>
      <c r="AD53" s="168" t="str">
        <f t="shared" si="72"/>
        <v>#REF!</v>
      </c>
      <c r="AE53" s="168" t="str">
        <f t="shared" si="72"/>
        <v>#REF!</v>
      </c>
      <c r="AF53" s="168" t="str">
        <f t="shared" si="72"/>
        <v>#REF!</v>
      </c>
      <c r="AG53" s="168" t="str">
        <f t="shared" si="72"/>
        <v>#REF!</v>
      </c>
      <c r="AH53" s="168" t="str">
        <f t="shared" si="72"/>
        <v>#REF!</v>
      </c>
      <c r="AI53" s="168" t="str">
        <f t="shared" si="72"/>
        <v>#REF!</v>
      </c>
      <c r="AJ53" s="168" t="str">
        <f t="shared" si="72"/>
        <v>#REF!</v>
      </c>
    </row>
    <row r="54" ht="17.25" hidden="1" customHeight="1">
      <c r="A54" s="168" t="str">
        <f t="shared" ref="A54:AJ54" si="73">#REF!</f>
        <v>#REF!</v>
      </c>
      <c r="B54" s="168" t="str">
        <f t="shared" si="73"/>
        <v>#REF!</v>
      </c>
      <c r="C54" s="168" t="str">
        <f t="shared" si="73"/>
        <v>#REF!</v>
      </c>
      <c r="D54" s="168" t="str">
        <f t="shared" si="73"/>
        <v>#REF!</v>
      </c>
      <c r="E54" s="168" t="str">
        <f t="shared" si="73"/>
        <v>#REF!</v>
      </c>
      <c r="F54" s="168" t="str">
        <f t="shared" si="73"/>
        <v>#REF!</v>
      </c>
      <c r="G54" s="168" t="str">
        <f t="shared" si="73"/>
        <v>#REF!</v>
      </c>
      <c r="H54" s="168" t="str">
        <f t="shared" si="73"/>
        <v>#REF!</v>
      </c>
      <c r="I54" s="168" t="str">
        <f t="shared" si="73"/>
        <v>#REF!</v>
      </c>
      <c r="J54" s="168" t="str">
        <f t="shared" si="73"/>
        <v>#REF!</v>
      </c>
      <c r="K54" s="168" t="str">
        <f t="shared" si="73"/>
        <v>#REF!</v>
      </c>
      <c r="L54" s="168" t="str">
        <f t="shared" si="73"/>
        <v>#REF!</v>
      </c>
      <c r="M54" s="168" t="str">
        <f t="shared" si="73"/>
        <v>#REF!</v>
      </c>
      <c r="N54" s="168" t="str">
        <f t="shared" si="73"/>
        <v>#REF!</v>
      </c>
      <c r="O54" s="168" t="str">
        <f t="shared" si="73"/>
        <v>#REF!</v>
      </c>
      <c r="P54" s="168" t="str">
        <f t="shared" si="73"/>
        <v>#REF!</v>
      </c>
      <c r="Q54" s="168" t="str">
        <f t="shared" si="73"/>
        <v>#REF!</v>
      </c>
      <c r="R54" s="168" t="str">
        <f t="shared" si="73"/>
        <v>#REF!</v>
      </c>
      <c r="S54" s="168" t="str">
        <f t="shared" si="73"/>
        <v>#REF!</v>
      </c>
      <c r="T54" s="168" t="str">
        <f t="shared" si="73"/>
        <v>#REF!</v>
      </c>
      <c r="U54" s="168" t="str">
        <f t="shared" si="73"/>
        <v>#REF!</v>
      </c>
      <c r="V54" s="168" t="str">
        <f t="shared" si="73"/>
        <v>#REF!</v>
      </c>
      <c r="W54" s="168" t="str">
        <f t="shared" si="73"/>
        <v>#REF!</v>
      </c>
      <c r="X54" s="168" t="str">
        <f t="shared" si="73"/>
        <v>#REF!</v>
      </c>
      <c r="Y54" s="168" t="str">
        <f t="shared" si="73"/>
        <v>#REF!</v>
      </c>
      <c r="Z54" s="168" t="str">
        <f t="shared" si="73"/>
        <v>#REF!</v>
      </c>
      <c r="AA54" s="168" t="str">
        <f t="shared" si="73"/>
        <v>#REF!</v>
      </c>
      <c r="AB54" s="168" t="str">
        <f t="shared" si="73"/>
        <v>#REF!</v>
      </c>
      <c r="AC54" s="168" t="str">
        <f t="shared" si="73"/>
        <v>#REF!</v>
      </c>
      <c r="AD54" s="168" t="str">
        <f t="shared" si="73"/>
        <v>#REF!</v>
      </c>
      <c r="AE54" s="168" t="str">
        <f t="shared" si="73"/>
        <v>#REF!</v>
      </c>
      <c r="AF54" s="168" t="str">
        <f t="shared" si="73"/>
        <v>#REF!</v>
      </c>
      <c r="AG54" s="168" t="str">
        <f t="shared" si="73"/>
        <v>#REF!</v>
      </c>
      <c r="AH54" s="168" t="str">
        <f t="shared" si="73"/>
        <v>#REF!</v>
      </c>
      <c r="AI54" s="168" t="str">
        <f t="shared" si="73"/>
        <v>#REF!</v>
      </c>
      <c r="AJ54" s="168" t="str">
        <f t="shared" si="73"/>
        <v>#REF!</v>
      </c>
    </row>
    <row r="55" ht="15.75" hidden="1" customHeight="1">
      <c r="A55" s="168" t="str">
        <f t="shared" ref="A55:A56" si="79">'2026 Pipeline'!C9</f>
        <v>#REF!</v>
      </c>
      <c r="B55" s="168" t="str">
        <f t="shared" ref="B55:C55" si="74">'2026 Pipeline'!J9</f>
        <v>#REF!</v>
      </c>
      <c r="C55" s="168" t="str">
        <f t="shared" si="74"/>
        <v>#REF!</v>
      </c>
      <c r="D55" s="168" t="str">
        <f t="shared" ref="D55:F55" si="75">'2026 Pipeline'!M9</f>
        <v>#REF!</v>
      </c>
      <c r="E55" s="168" t="str">
        <f t="shared" si="75"/>
        <v>#REF!</v>
      </c>
      <c r="F55" s="168" t="str">
        <f t="shared" si="75"/>
        <v>#REF!</v>
      </c>
      <c r="G55" s="168" t="str">
        <f t="shared" ref="G55:G56" si="82">'2026 Pipeline'!Q9</f>
        <v>#REF!</v>
      </c>
      <c r="H55" s="168" t="str">
        <f t="shared" ref="H55:H56" si="83">'2026 Pipeline'!P9</f>
        <v>#REF!</v>
      </c>
      <c r="I55" s="168" t="str">
        <f t="shared" ref="I55:I56" si="84">'2026 Pipeline'!R9</f>
        <v>#REF!</v>
      </c>
      <c r="J55" s="168" t="str">
        <f t="shared" ref="J55:L55" si="76">'2026 Pipeline'!V9</f>
        <v>#REF!</v>
      </c>
      <c r="K55" s="168" t="str">
        <f t="shared" si="76"/>
        <v>#REF!</v>
      </c>
      <c r="L55" s="168" t="str">
        <f t="shared" si="76"/>
        <v>#REF!</v>
      </c>
      <c r="M55" s="168" t="str">
        <f t="shared" ref="M55:O55" si="77">#REF!</f>
        <v>#REF!</v>
      </c>
      <c r="N55" s="168" t="str">
        <f t="shared" si="77"/>
        <v>#REF!</v>
      </c>
      <c r="O55" s="168" t="str">
        <f t="shared" si="77"/>
        <v>#REF!</v>
      </c>
      <c r="P55" s="168" t="str">
        <f t="shared" ref="P55:P56" si="87">'2026 Pipeline'!AA9</f>
        <v>#REF!</v>
      </c>
      <c r="Q55" s="168" t="str">
        <f t="shared" ref="Q55:Q56" si="88">'2026 Pipeline'!Y9</f>
        <v>#REF!</v>
      </c>
      <c r="R55" s="168" t="str">
        <f t="shared" ref="R55:R56" si="89">#REF!</f>
        <v>#REF!</v>
      </c>
      <c r="S55" s="168" t="str">
        <f t="shared" ref="S55:S56" si="90">'2026 Pipeline'!L9</f>
        <v>#REF!</v>
      </c>
      <c r="T55" s="168" t="str">
        <f t="shared" ref="T55:T56" si="91">'2026 Pipeline'!CD9</f>
        <v>#REF!</v>
      </c>
      <c r="U55" s="168" t="str">
        <f t="shared" ref="U55:AJ55" si="78">#REF!</f>
        <v>#REF!</v>
      </c>
      <c r="V55" s="168" t="str">
        <f t="shared" si="78"/>
        <v>#REF!</v>
      </c>
      <c r="W55" s="168" t="str">
        <f t="shared" si="78"/>
        <v>#REF!</v>
      </c>
      <c r="X55" s="168" t="str">
        <f t="shared" si="78"/>
        <v>#REF!</v>
      </c>
      <c r="Y55" s="168" t="str">
        <f t="shared" si="78"/>
        <v>#REF!</v>
      </c>
      <c r="Z55" s="168" t="str">
        <f t="shared" si="78"/>
        <v>#REF!</v>
      </c>
      <c r="AA55" s="168" t="str">
        <f t="shared" si="78"/>
        <v>#REF!</v>
      </c>
      <c r="AB55" s="168" t="str">
        <f t="shared" si="78"/>
        <v>#REF!</v>
      </c>
      <c r="AC55" s="168" t="str">
        <f t="shared" si="78"/>
        <v>#REF!</v>
      </c>
      <c r="AD55" s="168" t="str">
        <f t="shared" si="78"/>
        <v>#REF!</v>
      </c>
      <c r="AE55" s="168" t="str">
        <f t="shared" si="78"/>
        <v>#REF!</v>
      </c>
      <c r="AF55" s="168" t="str">
        <f t="shared" si="78"/>
        <v>#REF!</v>
      </c>
      <c r="AG55" s="168" t="str">
        <f t="shared" si="78"/>
        <v>#REF!</v>
      </c>
      <c r="AH55" s="168" t="str">
        <f t="shared" si="78"/>
        <v>#REF!</v>
      </c>
      <c r="AI55" s="168" t="str">
        <f t="shared" si="78"/>
        <v>#REF!</v>
      </c>
      <c r="AJ55" s="168" t="str">
        <f t="shared" si="78"/>
        <v>#REF!</v>
      </c>
    </row>
    <row r="56" ht="15.75" hidden="1" customHeight="1">
      <c r="A56" s="168" t="str">
        <f t="shared" si="79"/>
        <v>#REF!</v>
      </c>
      <c r="B56" s="168" t="str">
        <f t="shared" ref="B56:C56" si="80">'2026 Pipeline'!J10</f>
        <v>#REF!</v>
      </c>
      <c r="C56" s="168" t="str">
        <f t="shared" si="80"/>
        <v>#REF!</v>
      </c>
      <c r="D56" s="168" t="str">
        <f t="shared" ref="D56:F56" si="81">'2026 Pipeline'!M10</f>
        <v>#REF!</v>
      </c>
      <c r="E56" s="168" t="str">
        <f t="shared" si="81"/>
        <v>#REF!</v>
      </c>
      <c r="F56" s="168" t="str">
        <f t="shared" si="81"/>
        <v>#REF!</v>
      </c>
      <c r="G56" s="168" t="str">
        <f t="shared" si="82"/>
        <v>#REF!</v>
      </c>
      <c r="H56" s="168" t="str">
        <f t="shared" si="83"/>
        <v>#REF!</v>
      </c>
      <c r="I56" s="168" t="str">
        <f t="shared" si="84"/>
        <v>#REF!</v>
      </c>
      <c r="J56" s="168" t="str">
        <f t="shared" ref="J56:L56" si="85">'2026 Pipeline'!V10</f>
        <v>#REF!</v>
      </c>
      <c r="K56" s="168" t="str">
        <f t="shared" si="85"/>
        <v>#REF!</v>
      </c>
      <c r="L56" s="168" t="str">
        <f t="shared" si="85"/>
        <v>#REF!</v>
      </c>
      <c r="M56" s="168" t="str">
        <f t="shared" ref="M56:O56" si="86">#REF!</f>
        <v>#REF!</v>
      </c>
      <c r="N56" s="168" t="str">
        <f t="shared" si="86"/>
        <v>#REF!</v>
      </c>
      <c r="O56" s="168" t="str">
        <f t="shared" si="86"/>
        <v>#REF!</v>
      </c>
      <c r="P56" s="168" t="str">
        <f t="shared" si="87"/>
        <v>#REF!</v>
      </c>
      <c r="Q56" s="168" t="str">
        <f t="shared" si="88"/>
        <v>#REF!</v>
      </c>
      <c r="R56" s="168" t="str">
        <f t="shared" si="89"/>
        <v>#REF!</v>
      </c>
      <c r="S56" s="168" t="str">
        <f t="shared" si="90"/>
        <v>#REF!</v>
      </c>
      <c r="T56" s="168" t="str">
        <f t="shared" si="91"/>
        <v>#REF!</v>
      </c>
      <c r="U56" s="168" t="str">
        <f t="shared" ref="U56:AJ56" si="92">#REF!</f>
        <v>#REF!</v>
      </c>
      <c r="V56" s="168" t="str">
        <f t="shared" si="92"/>
        <v>#REF!</v>
      </c>
      <c r="W56" s="168" t="str">
        <f t="shared" si="92"/>
        <v>#REF!</v>
      </c>
      <c r="X56" s="168" t="str">
        <f t="shared" si="92"/>
        <v>#REF!</v>
      </c>
      <c r="Y56" s="168" t="str">
        <f t="shared" si="92"/>
        <v>#REF!</v>
      </c>
      <c r="Z56" s="168" t="str">
        <f t="shared" si="92"/>
        <v>#REF!</v>
      </c>
      <c r="AA56" s="168" t="str">
        <f t="shared" si="92"/>
        <v>#REF!</v>
      </c>
      <c r="AB56" s="168" t="str">
        <f t="shared" si="92"/>
        <v>#REF!</v>
      </c>
      <c r="AC56" s="168" t="str">
        <f t="shared" si="92"/>
        <v>#REF!</v>
      </c>
      <c r="AD56" s="168" t="str">
        <f t="shared" si="92"/>
        <v>#REF!</v>
      </c>
      <c r="AE56" s="168" t="str">
        <f t="shared" si="92"/>
        <v>#REF!</v>
      </c>
      <c r="AF56" s="168" t="str">
        <f t="shared" si="92"/>
        <v>#REF!</v>
      </c>
      <c r="AG56" s="168" t="str">
        <f t="shared" si="92"/>
        <v>#REF!</v>
      </c>
      <c r="AH56" s="168" t="str">
        <f t="shared" si="92"/>
        <v>#REF!</v>
      </c>
      <c r="AI56" s="168" t="str">
        <f t="shared" si="92"/>
        <v>#REF!</v>
      </c>
      <c r="AJ56" s="168" t="str">
        <f t="shared" si="92"/>
        <v>#REF!</v>
      </c>
    </row>
    <row r="57" ht="15.75" hidden="1" customHeight="1">
      <c r="A57" s="168" t="str">
        <f t="shared" ref="A57:T57" si="93">#REF!</f>
        <v>#REF!</v>
      </c>
      <c r="B57" s="168" t="str">
        <f t="shared" si="93"/>
        <v>#REF!</v>
      </c>
      <c r="C57" s="168" t="str">
        <f t="shared" si="93"/>
        <v>#REF!</v>
      </c>
      <c r="D57" s="168" t="str">
        <f t="shared" si="93"/>
        <v>#REF!</v>
      </c>
      <c r="E57" s="168" t="str">
        <f t="shared" si="93"/>
        <v>#REF!</v>
      </c>
      <c r="F57" s="168" t="str">
        <f t="shared" si="93"/>
        <v>#REF!</v>
      </c>
      <c r="G57" s="168" t="str">
        <f t="shared" si="93"/>
        <v>#REF!</v>
      </c>
      <c r="H57" s="168" t="str">
        <f t="shared" si="93"/>
        <v>#REF!</v>
      </c>
      <c r="I57" s="168" t="str">
        <f t="shared" si="93"/>
        <v>#REF!</v>
      </c>
      <c r="J57" s="168" t="str">
        <f t="shared" si="93"/>
        <v>#REF!</v>
      </c>
      <c r="K57" s="168" t="str">
        <f t="shared" si="93"/>
        <v>#REF!</v>
      </c>
      <c r="L57" s="168" t="str">
        <f t="shared" si="93"/>
        <v>#REF!</v>
      </c>
      <c r="M57" s="168" t="str">
        <f t="shared" si="93"/>
        <v>#REF!</v>
      </c>
      <c r="N57" s="168" t="str">
        <f t="shared" si="93"/>
        <v>#REF!</v>
      </c>
      <c r="O57" s="168" t="str">
        <f t="shared" si="93"/>
        <v>#REF!</v>
      </c>
      <c r="P57" s="168" t="str">
        <f t="shared" si="93"/>
        <v>#REF!</v>
      </c>
      <c r="Q57" s="168" t="str">
        <f t="shared" si="93"/>
        <v>#REF!</v>
      </c>
      <c r="R57" s="168" t="str">
        <f t="shared" si="93"/>
        <v>#REF!</v>
      </c>
      <c r="S57" s="168" t="str">
        <f t="shared" si="93"/>
        <v>#REF!</v>
      </c>
      <c r="T57" s="168" t="str">
        <f t="shared" si="93"/>
        <v>#REF!</v>
      </c>
      <c r="U57" s="168" t="str">
        <f t="shared" ref="U57:U58" si="98">'2026 Pipeline'!AP9</f>
        <v>#REF!</v>
      </c>
      <c r="V57" s="168" t="str">
        <f t="shared" ref="V57:Z57" si="94">'2026 Pipeline'!CJ9</f>
        <v>#REF!</v>
      </c>
      <c r="W57" s="168" t="str">
        <f t="shared" si="94"/>
        <v>#REF!</v>
      </c>
      <c r="X57" s="168" t="str">
        <f t="shared" si="94"/>
        <v>#REF!</v>
      </c>
      <c r="Y57" s="168" t="str">
        <f t="shared" si="94"/>
        <v>#REF!</v>
      </c>
      <c r="Z57" s="168" t="str">
        <f t="shared" si="94"/>
        <v>#REF!</v>
      </c>
      <c r="AA57" s="168" t="str">
        <f t="shared" ref="AA57:AF57" si="95">#REF!</f>
        <v>#REF!</v>
      </c>
      <c r="AB57" s="168" t="str">
        <f t="shared" si="95"/>
        <v>#REF!</v>
      </c>
      <c r="AC57" s="168" t="str">
        <f t="shared" si="95"/>
        <v>#REF!</v>
      </c>
      <c r="AD57" s="168" t="str">
        <f t="shared" si="95"/>
        <v>#REF!</v>
      </c>
      <c r="AE57" s="168" t="str">
        <f t="shared" si="95"/>
        <v>#REF!</v>
      </c>
      <c r="AF57" s="168" t="str">
        <f t="shared" si="95"/>
        <v>#REF!</v>
      </c>
      <c r="AG57" s="168" t="str">
        <f t="shared" ref="AG57:AG58" si="101">'2026 Pipeline'!CT9</f>
        <v>#REF!</v>
      </c>
      <c r="AH57" s="168" t="str">
        <f t="shared" ref="AH57:AH58" si="102">'2026 Pipeline'!S9</f>
        <v>#REF!</v>
      </c>
      <c r="AI57" s="168" t="str">
        <f t="shared" ref="AI57:AJ57" si="96">#REF!</f>
        <v>#REF!</v>
      </c>
      <c r="AJ57" s="168" t="str">
        <f t="shared" si="96"/>
        <v>#REF!</v>
      </c>
    </row>
    <row r="58" ht="15.75" hidden="1" customHeight="1">
      <c r="A58" s="168" t="str">
        <f t="shared" ref="A58:T58" si="97">#REF!</f>
        <v>#REF!</v>
      </c>
      <c r="B58" s="168" t="str">
        <f t="shared" si="97"/>
        <v>#REF!</v>
      </c>
      <c r="C58" s="168" t="str">
        <f t="shared" si="97"/>
        <v>#REF!</v>
      </c>
      <c r="D58" s="168" t="str">
        <f t="shared" si="97"/>
        <v>#REF!</v>
      </c>
      <c r="E58" s="168" t="str">
        <f t="shared" si="97"/>
        <v>#REF!</v>
      </c>
      <c r="F58" s="168" t="str">
        <f t="shared" si="97"/>
        <v>#REF!</v>
      </c>
      <c r="G58" s="168" t="str">
        <f t="shared" si="97"/>
        <v>#REF!</v>
      </c>
      <c r="H58" s="168" t="str">
        <f t="shared" si="97"/>
        <v>#REF!</v>
      </c>
      <c r="I58" s="168" t="str">
        <f t="shared" si="97"/>
        <v>#REF!</v>
      </c>
      <c r="J58" s="168" t="str">
        <f t="shared" si="97"/>
        <v>#REF!</v>
      </c>
      <c r="K58" s="168" t="str">
        <f t="shared" si="97"/>
        <v>#REF!</v>
      </c>
      <c r="L58" s="168" t="str">
        <f t="shared" si="97"/>
        <v>#REF!</v>
      </c>
      <c r="M58" s="168" t="str">
        <f t="shared" si="97"/>
        <v>#REF!</v>
      </c>
      <c r="N58" s="168" t="str">
        <f t="shared" si="97"/>
        <v>#REF!</v>
      </c>
      <c r="O58" s="168" t="str">
        <f t="shared" si="97"/>
        <v>#REF!</v>
      </c>
      <c r="P58" s="168" t="str">
        <f t="shared" si="97"/>
        <v>#REF!</v>
      </c>
      <c r="Q58" s="168" t="str">
        <f t="shared" si="97"/>
        <v>#REF!</v>
      </c>
      <c r="R58" s="168" t="str">
        <f t="shared" si="97"/>
        <v>#REF!</v>
      </c>
      <c r="S58" s="168" t="str">
        <f t="shared" si="97"/>
        <v>#REF!</v>
      </c>
      <c r="T58" s="168" t="str">
        <f t="shared" si="97"/>
        <v>#REF!</v>
      </c>
      <c r="U58" s="168" t="str">
        <f t="shared" si="98"/>
        <v>#REF!</v>
      </c>
      <c r="V58" s="168" t="str">
        <f t="shared" ref="V58:Z58" si="99">'2026 Pipeline'!CJ10</f>
        <v>#REF!</v>
      </c>
      <c r="W58" s="168" t="str">
        <f t="shared" si="99"/>
        <v>#REF!</v>
      </c>
      <c r="X58" s="168" t="str">
        <f t="shared" si="99"/>
        <v>#REF!</v>
      </c>
      <c r="Y58" s="168" t="str">
        <f t="shared" si="99"/>
        <v>#REF!</v>
      </c>
      <c r="Z58" s="168" t="str">
        <f t="shared" si="99"/>
        <v>#REF!</v>
      </c>
      <c r="AA58" s="168" t="str">
        <f t="shared" ref="AA58:AF58" si="100">#REF!</f>
        <v>#REF!</v>
      </c>
      <c r="AB58" s="168" t="str">
        <f t="shared" si="100"/>
        <v>#REF!</v>
      </c>
      <c r="AC58" s="168" t="str">
        <f t="shared" si="100"/>
        <v>#REF!</v>
      </c>
      <c r="AD58" s="168" t="str">
        <f t="shared" si="100"/>
        <v>#REF!</v>
      </c>
      <c r="AE58" s="168" t="str">
        <f t="shared" si="100"/>
        <v>#REF!</v>
      </c>
      <c r="AF58" s="168" t="str">
        <f t="shared" si="100"/>
        <v>#REF!</v>
      </c>
      <c r="AG58" s="168" t="str">
        <f t="shared" si="101"/>
        <v>#REF!</v>
      </c>
      <c r="AH58" s="168" t="str">
        <f t="shared" si="102"/>
        <v>#REF!</v>
      </c>
      <c r="AI58" s="168" t="str">
        <f t="shared" ref="AI58:AJ58" si="103">#REF!</f>
        <v>#REF!</v>
      </c>
      <c r="AJ58" s="168" t="str">
        <f t="shared" si="103"/>
        <v>#REF!</v>
      </c>
    </row>
    <row r="59" ht="15.75" hidden="1" customHeight="1">
      <c r="A59" s="168" t="str">
        <f t="shared" ref="A59:AJ59" si="104">#REF!</f>
        <v>#REF!</v>
      </c>
      <c r="B59" s="168" t="str">
        <f t="shared" si="104"/>
        <v>#REF!</v>
      </c>
      <c r="C59" s="168" t="str">
        <f t="shared" si="104"/>
        <v>#REF!</v>
      </c>
      <c r="D59" s="168" t="str">
        <f t="shared" si="104"/>
        <v>#REF!</v>
      </c>
      <c r="E59" s="168" t="str">
        <f t="shared" si="104"/>
        <v>#REF!</v>
      </c>
      <c r="F59" s="168" t="str">
        <f t="shared" si="104"/>
        <v>#REF!</v>
      </c>
      <c r="G59" s="168" t="str">
        <f t="shared" si="104"/>
        <v>#REF!</v>
      </c>
      <c r="H59" s="168" t="str">
        <f t="shared" si="104"/>
        <v>#REF!</v>
      </c>
      <c r="I59" s="168" t="str">
        <f t="shared" si="104"/>
        <v>#REF!</v>
      </c>
      <c r="J59" s="168" t="str">
        <f t="shared" si="104"/>
        <v>#REF!</v>
      </c>
      <c r="K59" s="168" t="str">
        <f t="shared" si="104"/>
        <v>#REF!</v>
      </c>
      <c r="L59" s="168" t="str">
        <f t="shared" si="104"/>
        <v>#REF!</v>
      </c>
      <c r="M59" s="168" t="str">
        <f t="shared" si="104"/>
        <v>#REF!</v>
      </c>
      <c r="N59" s="168" t="str">
        <f t="shared" si="104"/>
        <v>#REF!</v>
      </c>
      <c r="O59" s="168" t="str">
        <f t="shared" si="104"/>
        <v>#REF!</v>
      </c>
      <c r="P59" s="168" t="str">
        <f t="shared" si="104"/>
        <v>#REF!</v>
      </c>
      <c r="Q59" s="168" t="str">
        <f t="shared" si="104"/>
        <v>#REF!</v>
      </c>
      <c r="R59" s="168" t="str">
        <f t="shared" si="104"/>
        <v>#REF!</v>
      </c>
      <c r="S59" s="168" t="str">
        <f t="shared" si="104"/>
        <v>#REF!</v>
      </c>
      <c r="T59" s="168" t="str">
        <f t="shared" si="104"/>
        <v>#REF!</v>
      </c>
      <c r="U59" s="168" t="str">
        <f t="shared" si="104"/>
        <v>#REF!</v>
      </c>
      <c r="V59" s="168" t="str">
        <f t="shared" si="104"/>
        <v>#REF!</v>
      </c>
      <c r="W59" s="168" t="str">
        <f t="shared" si="104"/>
        <v>#REF!</v>
      </c>
      <c r="X59" s="168" t="str">
        <f t="shared" si="104"/>
        <v>#REF!</v>
      </c>
      <c r="Y59" s="168" t="str">
        <f t="shared" si="104"/>
        <v>#REF!</v>
      </c>
      <c r="Z59" s="168" t="str">
        <f t="shared" si="104"/>
        <v>#REF!</v>
      </c>
      <c r="AA59" s="168" t="str">
        <f t="shared" si="104"/>
        <v>#REF!</v>
      </c>
      <c r="AB59" s="168" t="str">
        <f t="shared" si="104"/>
        <v>#REF!</v>
      </c>
      <c r="AC59" s="168" t="str">
        <f t="shared" si="104"/>
        <v>#REF!</v>
      </c>
      <c r="AD59" s="168" t="str">
        <f t="shared" si="104"/>
        <v>#REF!</v>
      </c>
      <c r="AE59" s="168" t="str">
        <f t="shared" si="104"/>
        <v>#REF!</v>
      </c>
      <c r="AF59" s="168" t="str">
        <f t="shared" si="104"/>
        <v>#REF!</v>
      </c>
      <c r="AG59" s="168" t="str">
        <f t="shared" si="104"/>
        <v>#REF!</v>
      </c>
      <c r="AH59" s="168" t="str">
        <f t="shared" si="104"/>
        <v>#REF!</v>
      </c>
      <c r="AI59" s="168" t="str">
        <f t="shared" si="104"/>
        <v>#REF!</v>
      </c>
      <c r="AJ59" s="168" t="str">
        <f t="shared" si="104"/>
        <v>#REF!</v>
      </c>
    </row>
    <row r="60" ht="15.75" hidden="1" customHeight="1">
      <c r="A60" s="168" t="str">
        <f t="shared" ref="A60:AJ60" si="105">#REF!</f>
        <v>#REF!</v>
      </c>
      <c r="B60" s="168" t="str">
        <f t="shared" si="105"/>
        <v>#REF!</v>
      </c>
      <c r="C60" s="168" t="str">
        <f t="shared" si="105"/>
        <v>#REF!</v>
      </c>
      <c r="D60" s="168" t="str">
        <f t="shared" si="105"/>
        <v>#REF!</v>
      </c>
      <c r="E60" s="168" t="str">
        <f t="shared" si="105"/>
        <v>#REF!</v>
      </c>
      <c r="F60" s="168" t="str">
        <f t="shared" si="105"/>
        <v>#REF!</v>
      </c>
      <c r="G60" s="168" t="str">
        <f t="shared" si="105"/>
        <v>#REF!</v>
      </c>
      <c r="H60" s="168" t="str">
        <f t="shared" si="105"/>
        <v>#REF!</v>
      </c>
      <c r="I60" s="168" t="str">
        <f t="shared" si="105"/>
        <v>#REF!</v>
      </c>
      <c r="J60" s="168" t="str">
        <f t="shared" si="105"/>
        <v>#REF!</v>
      </c>
      <c r="K60" s="168" t="str">
        <f t="shared" si="105"/>
        <v>#REF!</v>
      </c>
      <c r="L60" s="168" t="str">
        <f t="shared" si="105"/>
        <v>#REF!</v>
      </c>
      <c r="M60" s="168" t="str">
        <f t="shared" si="105"/>
        <v>#REF!</v>
      </c>
      <c r="N60" s="168" t="str">
        <f t="shared" si="105"/>
        <v>#REF!</v>
      </c>
      <c r="O60" s="168" t="str">
        <f t="shared" si="105"/>
        <v>#REF!</v>
      </c>
      <c r="P60" s="168" t="str">
        <f t="shared" si="105"/>
        <v>#REF!</v>
      </c>
      <c r="Q60" s="168" t="str">
        <f t="shared" si="105"/>
        <v>#REF!</v>
      </c>
      <c r="R60" s="168" t="str">
        <f t="shared" si="105"/>
        <v>#REF!</v>
      </c>
      <c r="S60" s="168" t="str">
        <f t="shared" si="105"/>
        <v>#REF!</v>
      </c>
      <c r="T60" s="168" t="str">
        <f t="shared" si="105"/>
        <v>#REF!</v>
      </c>
      <c r="U60" s="168" t="str">
        <f t="shared" si="105"/>
        <v>#REF!</v>
      </c>
      <c r="V60" s="168" t="str">
        <f t="shared" si="105"/>
        <v>#REF!</v>
      </c>
      <c r="W60" s="168" t="str">
        <f t="shared" si="105"/>
        <v>#REF!</v>
      </c>
      <c r="X60" s="168" t="str">
        <f t="shared" si="105"/>
        <v>#REF!</v>
      </c>
      <c r="Y60" s="168" t="str">
        <f t="shared" si="105"/>
        <v>#REF!</v>
      </c>
      <c r="Z60" s="168" t="str">
        <f t="shared" si="105"/>
        <v>#REF!</v>
      </c>
      <c r="AA60" s="168" t="str">
        <f t="shared" si="105"/>
        <v>#REF!</v>
      </c>
      <c r="AB60" s="168" t="str">
        <f t="shared" si="105"/>
        <v>#REF!</v>
      </c>
      <c r="AC60" s="168" t="str">
        <f t="shared" si="105"/>
        <v>#REF!</v>
      </c>
      <c r="AD60" s="168" t="str">
        <f t="shared" si="105"/>
        <v>#REF!</v>
      </c>
      <c r="AE60" s="168" t="str">
        <f t="shared" si="105"/>
        <v>#REF!</v>
      </c>
      <c r="AF60" s="168" t="str">
        <f t="shared" si="105"/>
        <v>#REF!</v>
      </c>
      <c r="AG60" s="168" t="str">
        <f t="shared" si="105"/>
        <v>#REF!</v>
      </c>
      <c r="AH60" s="168" t="str">
        <f t="shared" si="105"/>
        <v>#REF!</v>
      </c>
      <c r="AI60" s="168" t="str">
        <f t="shared" si="105"/>
        <v>#REF!</v>
      </c>
      <c r="AJ60" s="168" t="str">
        <f t="shared" si="105"/>
        <v>#REF!</v>
      </c>
    </row>
    <row r="61" ht="15.75" hidden="1" customHeight="1">
      <c r="A61" s="168" t="str">
        <f t="shared" ref="A61:AJ61" si="106">#REF!</f>
        <v>#REF!</v>
      </c>
      <c r="B61" s="168" t="str">
        <f t="shared" si="106"/>
        <v>#REF!</v>
      </c>
      <c r="C61" s="168" t="str">
        <f t="shared" si="106"/>
        <v>#REF!</v>
      </c>
      <c r="D61" s="168" t="str">
        <f t="shared" si="106"/>
        <v>#REF!</v>
      </c>
      <c r="E61" s="168" t="str">
        <f t="shared" si="106"/>
        <v>#REF!</v>
      </c>
      <c r="F61" s="168" t="str">
        <f t="shared" si="106"/>
        <v>#REF!</v>
      </c>
      <c r="G61" s="168" t="str">
        <f t="shared" si="106"/>
        <v>#REF!</v>
      </c>
      <c r="H61" s="168" t="str">
        <f t="shared" si="106"/>
        <v>#REF!</v>
      </c>
      <c r="I61" s="168" t="str">
        <f t="shared" si="106"/>
        <v>#REF!</v>
      </c>
      <c r="J61" s="168" t="str">
        <f t="shared" si="106"/>
        <v>#REF!</v>
      </c>
      <c r="K61" s="168" t="str">
        <f t="shared" si="106"/>
        <v>#REF!</v>
      </c>
      <c r="L61" s="168" t="str">
        <f t="shared" si="106"/>
        <v>#REF!</v>
      </c>
      <c r="M61" s="168" t="str">
        <f t="shared" si="106"/>
        <v>#REF!</v>
      </c>
      <c r="N61" s="168" t="str">
        <f t="shared" si="106"/>
        <v>#REF!</v>
      </c>
      <c r="O61" s="168" t="str">
        <f t="shared" si="106"/>
        <v>#REF!</v>
      </c>
      <c r="P61" s="168" t="str">
        <f t="shared" si="106"/>
        <v>#REF!</v>
      </c>
      <c r="Q61" s="168" t="str">
        <f t="shared" si="106"/>
        <v>#REF!</v>
      </c>
      <c r="R61" s="168" t="str">
        <f t="shared" si="106"/>
        <v>#REF!</v>
      </c>
      <c r="S61" s="168" t="str">
        <f t="shared" si="106"/>
        <v>#REF!</v>
      </c>
      <c r="T61" s="168" t="str">
        <f t="shared" si="106"/>
        <v>#REF!</v>
      </c>
      <c r="U61" s="168" t="str">
        <f t="shared" si="106"/>
        <v>#REF!</v>
      </c>
      <c r="V61" s="168" t="str">
        <f t="shared" si="106"/>
        <v>#REF!</v>
      </c>
      <c r="W61" s="168" t="str">
        <f t="shared" si="106"/>
        <v>#REF!</v>
      </c>
      <c r="X61" s="168" t="str">
        <f t="shared" si="106"/>
        <v>#REF!</v>
      </c>
      <c r="Y61" s="168" t="str">
        <f t="shared" si="106"/>
        <v>#REF!</v>
      </c>
      <c r="Z61" s="168" t="str">
        <f t="shared" si="106"/>
        <v>#REF!</v>
      </c>
      <c r="AA61" s="168" t="str">
        <f t="shared" si="106"/>
        <v>#REF!</v>
      </c>
      <c r="AB61" s="168" t="str">
        <f t="shared" si="106"/>
        <v>#REF!</v>
      </c>
      <c r="AC61" s="168" t="str">
        <f t="shared" si="106"/>
        <v>#REF!</v>
      </c>
      <c r="AD61" s="168" t="str">
        <f t="shared" si="106"/>
        <v>#REF!</v>
      </c>
      <c r="AE61" s="168" t="str">
        <f t="shared" si="106"/>
        <v>#REF!</v>
      </c>
      <c r="AF61" s="168" t="str">
        <f t="shared" si="106"/>
        <v>#REF!</v>
      </c>
      <c r="AG61" s="168" t="str">
        <f t="shared" si="106"/>
        <v>#REF!</v>
      </c>
      <c r="AH61" s="168" t="str">
        <f t="shared" si="106"/>
        <v>#REF!</v>
      </c>
      <c r="AI61" s="168" t="str">
        <f t="shared" si="106"/>
        <v>#REF!</v>
      </c>
      <c r="AJ61" s="168" t="str">
        <f t="shared" si="106"/>
        <v>#REF!</v>
      </c>
    </row>
    <row r="62" ht="15.75" hidden="1" customHeight="1">
      <c r="A62" s="168" t="str">
        <f t="shared" ref="A62:AJ62" si="107">#REF!</f>
        <v>#REF!</v>
      </c>
      <c r="B62" s="168" t="str">
        <f t="shared" si="107"/>
        <v>#REF!</v>
      </c>
      <c r="C62" s="168" t="str">
        <f t="shared" si="107"/>
        <v>#REF!</v>
      </c>
      <c r="D62" s="168" t="str">
        <f t="shared" si="107"/>
        <v>#REF!</v>
      </c>
      <c r="E62" s="168" t="str">
        <f t="shared" si="107"/>
        <v>#REF!</v>
      </c>
      <c r="F62" s="168" t="str">
        <f t="shared" si="107"/>
        <v>#REF!</v>
      </c>
      <c r="G62" s="168" t="str">
        <f t="shared" si="107"/>
        <v>#REF!</v>
      </c>
      <c r="H62" s="168" t="str">
        <f t="shared" si="107"/>
        <v>#REF!</v>
      </c>
      <c r="I62" s="168" t="str">
        <f t="shared" si="107"/>
        <v>#REF!</v>
      </c>
      <c r="J62" s="168" t="str">
        <f t="shared" si="107"/>
        <v>#REF!</v>
      </c>
      <c r="K62" s="168" t="str">
        <f t="shared" si="107"/>
        <v>#REF!</v>
      </c>
      <c r="L62" s="168" t="str">
        <f t="shared" si="107"/>
        <v>#REF!</v>
      </c>
      <c r="M62" s="168" t="str">
        <f t="shared" si="107"/>
        <v>#REF!</v>
      </c>
      <c r="N62" s="168" t="str">
        <f t="shared" si="107"/>
        <v>#REF!</v>
      </c>
      <c r="O62" s="168" t="str">
        <f t="shared" si="107"/>
        <v>#REF!</v>
      </c>
      <c r="P62" s="168" t="str">
        <f t="shared" si="107"/>
        <v>#REF!</v>
      </c>
      <c r="Q62" s="168" t="str">
        <f t="shared" si="107"/>
        <v>#REF!</v>
      </c>
      <c r="R62" s="168" t="str">
        <f t="shared" si="107"/>
        <v>#REF!</v>
      </c>
      <c r="S62" s="168" t="str">
        <f t="shared" si="107"/>
        <v>#REF!</v>
      </c>
      <c r="T62" s="168" t="str">
        <f t="shared" si="107"/>
        <v>#REF!</v>
      </c>
      <c r="U62" s="168" t="str">
        <f t="shared" si="107"/>
        <v>#REF!</v>
      </c>
      <c r="V62" s="168" t="str">
        <f t="shared" si="107"/>
        <v>#REF!</v>
      </c>
      <c r="W62" s="168" t="str">
        <f t="shared" si="107"/>
        <v>#REF!</v>
      </c>
      <c r="X62" s="168" t="str">
        <f t="shared" si="107"/>
        <v>#REF!</v>
      </c>
      <c r="Y62" s="168" t="str">
        <f t="shared" si="107"/>
        <v>#REF!</v>
      </c>
      <c r="Z62" s="168" t="str">
        <f t="shared" si="107"/>
        <v>#REF!</v>
      </c>
      <c r="AA62" s="168" t="str">
        <f t="shared" si="107"/>
        <v>#REF!</v>
      </c>
      <c r="AB62" s="168" t="str">
        <f t="shared" si="107"/>
        <v>#REF!</v>
      </c>
      <c r="AC62" s="168" t="str">
        <f t="shared" si="107"/>
        <v>#REF!</v>
      </c>
      <c r="AD62" s="168" t="str">
        <f t="shared" si="107"/>
        <v>#REF!</v>
      </c>
      <c r="AE62" s="168" t="str">
        <f t="shared" si="107"/>
        <v>#REF!</v>
      </c>
      <c r="AF62" s="168" t="str">
        <f t="shared" si="107"/>
        <v>#REF!</v>
      </c>
      <c r="AG62" s="168" t="str">
        <f t="shared" si="107"/>
        <v>#REF!</v>
      </c>
      <c r="AH62" s="168" t="str">
        <f t="shared" si="107"/>
        <v>#REF!</v>
      </c>
      <c r="AI62" s="168" t="str">
        <f t="shared" si="107"/>
        <v>#REF!</v>
      </c>
      <c r="AJ62" s="168" t="str">
        <f t="shared" si="107"/>
        <v>#REF!</v>
      </c>
    </row>
    <row r="63" ht="15.75" hidden="1" customHeight="1">
      <c r="A63" s="168" t="str">
        <f t="shared" ref="A63:A65" si="113">'2026 Pipeline'!C11</f>
        <v>#REF!</v>
      </c>
      <c r="B63" s="168" t="str">
        <f t="shared" ref="B63:C63" si="108">'2026 Pipeline'!J11</f>
        <v>#REF!</v>
      </c>
      <c r="C63" s="168" t="str">
        <f t="shared" si="108"/>
        <v>#REF!</v>
      </c>
      <c r="D63" s="168" t="str">
        <f t="shared" ref="D63:F63" si="109">'2026 Pipeline'!M11</f>
        <v>#REF!</v>
      </c>
      <c r="E63" s="168" t="str">
        <f t="shared" si="109"/>
        <v>#REF!</v>
      </c>
      <c r="F63" s="168" t="str">
        <f t="shared" si="109"/>
        <v>#REF!</v>
      </c>
      <c r="G63" s="168" t="str">
        <f t="shared" ref="G63:G65" si="116">'2026 Pipeline'!Q11</f>
        <v>#REF!</v>
      </c>
      <c r="H63" s="168" t="str">
        <f t="shared" ref="H63:H65" si="117">'2026 Pipeline'!P11</f>
        <v>#REF!</v>
      </c>
      <c r="I63" s="168" t="str">
        <f t="shared" ref="I63:I65" si="118">'2026 Pipeline'!R11</f>
        <v>#REF!</v>
      </c>
      <c r="J63" s="168" t="str">
        <f t="shared" ref="J63:L63" si="110">'2026 Pipeline'!V11</f>
        <v>#REF!</v>
      </c>
      <c r="K63" s="168" t="str">
        <f t="shared" si="110"/>
        <v>#REF!</v>
      </c>
      <c r="L63" s="168" t="str">
        <f t="shared" si="110"/>
        <v>#REF!</v>
      </c>
      <c r="M63" s="168" t="str">
        <f t="shared" ref="M63:O63" si="111">#REF!</f>
        <v>#REF!</v>
      </c>
      <c r="N63" s="168" t="str">
        <f t="shared" si="111"/>
        <v>#REF!</v>
      </c>
      <c r="O63" s="168" t="str">
        <f t="shared" si="111"/>
        <v>#REF!</v>
      </c>
      <c r="P63" s="168" t="str">
        <f t="shared" ref="P63:P65" si="121">'2026 Pipeline'!AA11</f>
        <v>#REF!</v>
      </c>
      <c r="Q63" s="168" t="str">
        <f t="shared" ref="Q63:Q65" si="122">'2026 Pipeline'!Y11</f>
        <v>#REF!</v>
      </c>
      <c r="R63" s="168" t="str">
        <f t="shared" ref="R63:R65" si="123">#REF!</f>
        <v>#REF!</v>
      </c>
      <c r="S63" s="168" t="str">
        <f t="shared" ref="S63:S65" si="124">'2026 Pipeline'!L11</f>
        <v>#REF!</v>
      </c>
      <c r="T63" s="168" t="str">
        <f t="shared" ref="T63:T65" si="125">'2026 Pipeline'!CD11</f>
        <v>#REF!</v>
      </c>
      <c r="U63" s="168" t="str">
        <f t="shared" ref="U63:AJ63" si="112">#REF!</f>
        <v>#REF!</v>
      </c>
      <c r="V63" s="168" t="str">
        <f t="shared" si="112"/>
        <v>#REF!</v>
      </c>
      <c r="W63" s="168" t="str">
        <f t="shared" si="112"/>
        <v>#REF!</v>
      </c>
      <c r="X63" s="168" t="str">
        <f t="shared" si="112"/>
        <v>#REF!</v>
      </c>
      <c r="Y63" s="168" t="str">
        <f t="shared" si="112"/>
        <v>#REF!</v>
      </c>
      <c r="Z63" s="168" t="str">
        <f t="shared" si="112"/>
        <v>#REF!</v>
      </c>
      <c r="AA63" s="168" t="str">
        <f t="shared" si="112"/>
        <v>#REF!</v>
      </c>
      <c r="AB63" s="168" t="str">
        <f t="shared" si="112"/>
        <v>#REF!</v>
      </c>
      <c r="AC63" s="168" t="str">
        <f t="shared" si="112"/>
        <v>#REF!</v>
      </c>
      <c r="AD63" s="168" t="str">
        <f t="shared" si="112"/>
        <v>#REF!</v>
      </c>
      <c r="AE63" s="168" t="str">
        <f t="shared" si="112"/>
        <v>#REF!</v>
      </c>
      <c r="AF63" s="168" t="str">
        <f t="shared" si="112"/>
        <v>#REF!</v>
      </c>
      <c r="AG63" s="168" t="str">
        <f t="shared" si="112"/>
        <v>#REF!</v>
      </c>
      <c r="AH63" s="168" t="str">
        <f t="shared" si="112"/>
        <v>#REF!</v>
      </c>
      <c r="AI63" s="168" t="str">
        <f t="shared" si="112"/>
        <v>#REF!</v>
      </c>
      <c r="AJ63" s="168" t="str">
        <f t="shared" si="112"/>
        <v>#REF!</v>
      </c>
    </row>
    <row r="64" ht="15.75" hidden="1" customHeight="1">
      <c r="A64" s="168" t="str">
        <f t="shared" si="113"/>
        <v>#REF!</v>
      </c>
      <c r="B64" s="168" t="str">
        <f t="shared" ref="B64:C64" si="114">'2026 Pipeline'!J12</f>
        <v>#REF!</v>
      </c>
      <c r="C64" s="168" t="str">
        <f t="shared" si="114"/>
        <v>#REF!</v>
      </c>
      <c r="D64" s="168" t="str">
        <f t="shared" ref="D64:F64" si="115">'2026 Pipeline'!M12</f>
        <v>#REF!</v>
      </c>
      <c r="E64" s="168" t="str">
        <f t="shared" si="115"/>
        <v>#REF!</v>
      </c>
      <c r="F64" s="168" t="str">
        <f t="shared" si="115"/>
        <v>#REF!</v>
      </c>
      <c r="G64" s="168" t="str">
        <f t="shared" si="116"/>
        <v>#REF!</v>
      </c>
      <c r="H64" s="168" t="str">
        <f t="shared" si="117"/>
        <v>#REF!</v>
      </c>
      <c r="I64" s="168" t="str">
        <f t="shared" si="118"/>
        <v>#REF!</v>
      </c>
      <c r="J64" s="168" t="str">
        <f t="shared" ref="J64:L64" si="119">'2026 Pipeline'!V12</f>
        <v>#REF!</v>
      </c>
      <c r="K64" s="168" t="str">
        <f t="shared" si="119"/>
        <v>#REF!</v>
      </c>
      <c r="L64" s="168" t="str">
        <f t="shared" si="119"/>
        <v>#REF!</v>
      </c>
      <c r="M64" s="168" t="str">
        <f t="shared" ref="M64:O64" si="120">#REF!</f>
        <v>#REF!</v>
      </c>
      <c r="N64" s="168" t="str">
        <f t="shared" si="120"/>
        <v>#REF!</v>
      </c>
      <c r="O64" s="168" t="str">
        <f t="shared" si="120"/>
        <v>#REF!</v>
      </c>
      <c r="P64" s="168" t="str">
        <f t="shared" si="121"/>
        <v>#REF!</v>
      </c>
      <c r="Q64" s="168" t="str">
        <f t="shared" si="122"/>
        <v>#REF!</v>
      </c>
      <c r="R64" s="168" t="str">
        <f t="shared" si="123"/>
        <v>#REF!</v>
      </c>
      <c r="S64" s="168" t="str">
        <f t="shared" si="124"/>
        <v>#REF!</v>
      </c>
      <c r="T64" s="168" t="str">
        <f t="shared" si="125"/>
        <v>#REF!</v>
      </c>
      <c r="U64" s="168" t="str">
        <f t="shared" ref="U64:AJ64" si="126">#REF!</f>
        <v>#REF!</v>
      </c>
      <c r="V64" s="168" t="str">
        <f t="shared" si="126"/>
        <v>#REF!</v>
      </c>
      <c r="W64" s="168" t="str">
        <f t="shared" si="126"/>
        <v>#REF!</v>
      </c>
      <c r="X64" s="168" t="str">
        <f t="shared" si="126"/>
        <v>#REF!</v>
      </c>
      <c r="Y64" s="168" t="str">
        <f t="shared" si="126"/>
        <v>#REF!</v>
      </c>
      <c r="Z64" s="168" t="str">
        <f t="shared" si="126"/>
        <v>#REF!</v>
      </c>
      <c r="AA64" s="168" t="str">
        <f t="shared" si="126"/>
        <v>#REF!</v>
      </c>
      <c r="AB64" s="168" t="str">
        <f t="shared" si="126"/>
        <v>#REF!</v>
      </c>
      <c r="AC64" s="168" t="str">
        <f t="shared" si="126"/>
        <v>#REF!</v>
      </c>
      <c r="AD64" s="168" t="str">
        <f t="shared" si="126"/>
        <v>#REF!</v>
      </c>
      <c r="AE64" s="168" t="str">
        <f t="shared" si="126"/>
        <v>#REF!</v>
      </c>
      <c r="AF64" s="168" t="str">
        <f t="shared" si="126"/>
        <v>#REF!</v>
      </c>
      <c r="AG64" s="168" t="str">
        <f t="shared" si="126"/>
        <v>#REF!</v>
      </c>
      <c r="AH64" s="168" t="str">
        <f t="shared" si="126"/>
        <v>#REF!</v>
      </c>
      <c r="AI64" s="168" t="str">
        <f t="shared" si="126"/>
        <v>#REF!</v>
      </c>
      <c r="AJ64" s="168" t="str">
        <f t="shared" si="126"/>
        <v>#REF!</v>
      </c>
    </row>
    <row r="65" ht="15.75" customHeight="1">
      <c r="A65" s="168" t="str">
        <f t="shared" si="113"/>
        <v>#REF!</v>
      </c>
      <c r="B65" s="168" t="str">
        <f t="shared" ref="B65:C65" si="127">'2026 Pipeline'!J13</f>
        <v>#REF!</v>
      </c>
      <c r="C65" s="168" t="str">
        <f t="shared" si="127"/>
        <v>#REF!</v>
      </c>
      <c r="D65" s="168" t="str">
        <f t="shared" ref="D65:F65" si="128">'2026 Pipeline'!M13</f>
        <v>#REF!</v>
      </c>
      <c r="E65" s="168" t="str">
        <f t="shared" si="128"/>
        <v>#REF!</v>
      </c>
      <c r="F65" s="168" t="str">
        <f t="shared" si="128"/>
        <v>#REF!</v>
      </c>
      <c r="G65" s="168" t="str">
        <f t="shared" si="116"/>
        <v>#REF!</v>
      </c>
      <c r="H65" s="168" t="str">
        <f t="shared" si="117"/>
        <v>#REF!</v>
      </c>
      <c r="I65" s="168" t="str">
        <f t="shared" si="118"/>
        <v>#REF!</v>
      </c>
      <c r="J65" s="168" t="str">
        <f t="shared" ref="J65:L65" si="129">'2026 Pipeline'!V13</f>
        <v>#REF!</v>
      </c>
      <c r="K65" s="168" t="str">
        <f t="shared" si="129"/>
        <v>#REF!</v>
      </c>
      <c r="L65" s="168" t="str">
        <f t="shared" si="129"/>
        <v>#REF!</v>
      </c>
      <c r="M65" s="168" t="str">
        <f t="shared" ref="M65:O65" si="130">#REF!</f>
        <v>#REF!</v>
      </c>
      <c r="N65" s="168" t="str">
        <f t="shared" si="130"/>
        <v>#REF!</v>
      </c>
      <c r="O65" s="168" t="str">
        <f t="shared" si="130"/>
        <v>#REF!</v>
      </c>
      <c r="P65" s="168" t="str">
        <f t="shared" si="121"/>
        <v>#REF!</v>
      </c>
      <c r="Q65" s="168" t="str">
        <f t="shared" si="122"/>
        <v>#REF!</v>
      </c>
      <c r="R65" s="168" t="str">
        <f t="shared" si="123"/>
        <v>#REF!</v>
      </c>
      <c r="S65" s="168" t="str">
        <f t="shared" si="124"/>
        <v>#REF!</v>
      </c>
      <c r="T65" s="168" t="str">
        <f t="shared" si="125"/>
        <v>#REF!</v>
      </c>
      <c r="U65" s="168" t="str">
        <f t="shared" ref="U65:U67" si="135">'2026 Pipeline'!AP11</f>
        <v>#REF!</v>
      </c>
      <c r="V65" s="168" t="str">
        <f t="shared" ref="V65:Z65" si="131">'2026 Pipeline'!CJ11</f>
        <v>#REF!</v>
      </c>
      <c r="W65" s="168" t="str">
        <f t="shared" si="131"/>
        <v>#REF!</v>
      </c>
      <c r="X65" s="168" t="str">
        <f t="shared" si="131"/>
        <v>#REF!</v>
      </c>
      <c r="Y65" s="168" t="str">
        <f t="shared" si="131"/>
        <v>#REF!</v>
      </c>
      <c r="Z65" s="168" t="str">
        <f t="shared" si="131"/>
        <v>#REF!</v>
      </c>
      <c r="AA65" s="168" t="str">
        <f t="shared" ref="AA65:AF65" si="132">#REF!</f>
        <v>#REF!</v>
      </c>
      <c r="AB65" s="168" t="str">
        <f t="shared" si="132"/>
        <v>#REF!</v>
      </c>
      <c r="AC65" s="168" t="str">
        <f t="shared" si="132"/>
        <v>#REF!</v>
      </c>
      <c r="AD65" s="168" t="str">
        <f t="shared" si="132"/>
        <v>#REF!</v>
      </c>
      <c r="AE65" s="168" t="str">
        <f t="shared" si="132"/>
        <v>#REF!</v>
      </c>
      <c r="AF65" s="168" t="str">
        <f t="shared" si="132"/>
        <v>#REF!</v>
      </c>
      <c r="AG65" s="168" t="str">
        <f t="shared" ref="AG65:AG67" si="138">'2026 Pipeline'!CT11</f>
        <v>#REF!</v>
      </c>
      <c r="AH65" s="168" t="str">
        <f t="shared" ref="AH65:AH67" si="139">'2026 Pipeline'!S11</f>
        <v>#REF!</v>
      </c>
      <c r="AI65" s="168" t="str">
        <f t="shared" ref="AI65:AJ65" si="133">#REF!</f>
        <v>#REF!</v>
      </c>
      <c r="AJ65" s="168" t="str">
        <f t="shared" si="133"/>
        <v>#REF!</v>
      </c>
    </row>
    <row r="66" ht="15.75" hidden="1" customHeight="1">
      <c r="A66" s="168" t="str">
        <f t="shared" ref="A66:T66" si="134">#REF!</f>
        <v>#REF!</v>
      </c>
      <c r="B66" s="168" t="str">
        <f t="shared" si="134"/>
        <v>#REF!</v>
      </c>
      <c r="C66" s="168" t="str">
        <f t="shared" si="134"/>
        <v>#REF!</v>
      </c>
      <c r="D66" s="168" t="str">
        <f t="shared" si="134"/>
        <v>#REF!</v>
      </c>
      <c r="E66" s="168" t="str">
        <f t="shared" si="134"/>
        <v>#REF!</v>
      </c>
      <c r="F66" s="168" t="str">
        <f t="shared" si="134"/>
        <v>#REF!</v>
      </c>
      <c r="G66" s="168" t="str">
        <f t="shared" si="134"/>
        <v>#REF!</v>
      </c>
      <c r="H66" s="168" t="str">
        <f t="shared" si="134"/>
        <v>#REF!</v>
      </c>
      <c r="I66" s="168" t="str">
        <f t="shared" si="134"/>
        <v>#REF!</v>
      </c>
      <c r="J66" s="168" t="str">
        <f t="shared" si="134"/>
        <v>#REF!</v>
      </c>
      <c r="K66" s="168" t="str">
        <f t="shared" si="134"/>
        <v>#REF!</v>
      </c>
      <c r="L66" s="168" t="str">
        <f t="shared" si="134"/>
        <v>#REF!</v>
      </c>
      <c r="M66" s="168" t="str">
        <f t="shared" si="134"/>
        <v>#REF!</v>
      </c>
      <c r="N66" s="168" t="str">
        <f t="shared" si="134"/>
        <v>#REF!</v>
      </c>
      <c r="O66" s="168" t="str">
        <f t="shared" si="134"/>
        <v>#REF!</v>
      </c>
      <c r="P66" s="168" t="str">
        <f t="shared" si="134"/>
        <v>#REF!</v>
      </c>
      <c r="Q66" s="168" t="str">
        <f t="shared" si="134"/>
        <v>#REF!</v>
      </c>
      <c r="R66" s="168" t="str">
        <f t="shared" si="134"/>
        <v>#REF!</v>
      </c>
      <c r="S66" s="168" t="str">
        <f t="shared" si="134"/>
        <v>#REF!</v>
      </c>
      <c r="T66" s="168" t="str">
        <f t="shared" si="134"/>
        <v>#REF!</v>
      </c>
      <c r="U66" s="168" t="str">
        <f t="shared" si="135"/>
        <v>#REF!</v>
      </c>
      <c r="V66" s="168" t="str">
        <f t="shared" ref="V66:Z66" si="136">'2026 Pipeline'!CJ12</f>
        <v>#REF!</v>
      </c>
      <c r="W66" s="168" t="str">
        <f t="shared" si="136"/>
        <v>#REF!</v>
      </c>
      <c r="X66" s="168" t="str">
        <f t="shared" si="136"/>
        <v>#REF!</v>
      </c>
      <c r="Y66" s="168" t="str">
        <f t="shared" si="136"/>
        <v>#REF!</v>
      </c>
      <c r="Z66" s="168" t="str">
        <f t="shared" si="136"/>
        <v>#REF!</v>
      </c>
      <c r="AA66" s="168" t="str">
        <f t="shared" ref="AA66:AF66" si="137">#REF!</f>
        <v>#REF!</v>
      </c>
      <c r="AB66" s="168" t="str">
        <f t="shared" si="137"/>
        <v>#REF!</v>
      </c>
      <c r="AC66" s="168" t="str">
        <f t="shared" si="137"/>
        <v>#REF!</v>
      </c>
      <c r="AD66" s="168" t="str">
        <f t="shared" si="137"/>
        <v>#REF!</v>
      </c>
      <c r="AE66" s="168" t="str">
        <f t="shared" si="137"/>
        <v>#REF!</v>
      </c>
      <c r="AF66" s="168" t="str">
        <f t="shared" si="137"/>
        <v>#REF!</v>
      </c>
      <c r="AG66" s="168" t="str">
        <f t="shared" si="138"/>
        <v>#REF!</v>
      </c>
      <c r="AH66" s="168" t="str">
        <f t="shared" si="139"/>
        <v>#REF!</v>
      </c>
      <c r="AI66" s="168" t="str">
        <f t="shared" ref="AI66:AJ66" si="140">#REF!</f>
        <v>#REF!</v>
      </c>
      <c r="AJ66" s="168" t="str">
        <f t="shared" si="140"/>
        <v>#REF!</v>
      </c>
    </row>
    <row r="67" ht="15.75" hidden="1" customHeight="1">
      <c r="A67" s="168" t="str">
        <f t="shared" ref="A67:T67" si="141">#REF!</f>
        <v>#REF!</v>
      </c>
      <c r="B67" s="168" t="str">
        <f t="shared" si="141"/>
        <v>#REF!</v>
      </c>
      <c r="C67" s="168" t="str">
        <f t="shared" si="141"/>
        <v>#REF!</v>
      </c>
      <c r="D67" s="168" t="str">
        <f t="shared" si="141"/>
        <v>#REF!</v>
      </c>
      <c r="E67" s="168" t="str">
        <f t="shared" si="141"/>
        <v>#REF!</v>
      </c>
      <c r="F67" s="168" t="str">
        <f t="shared" si="141"/>
        <v>#REF!</v>
      </c>
      <c r="G67" s="168" t="str">
        <f t="shared" si="141"/>
        <v>#REF!</v>
      </c>
      <c r="H67" s="168" t="str">
        <f t="shared" si="141"/>
        <v>#REF!</v>
      </c>
      <c r="I67" s="168" t="str">
        <f t="shared" si="141"/>
        <v>#REF!</v>
      </c>
      <c r="J67" s="168" t="str">
        <f t="shared" si="141"/>
        <v>#REF!</v>
      </c>
      <c r="K67" s="168" t="str">
        <f t="shared" si="141"/>
        <v>#REF!</v>
      </c>
      <c r="L67" s="168" t="str">
        <f t="shared" si="141"/>
        <v>#REF!</v>
      </c>
      <c r="M67" s="168" t="str">
        <f t="shared" si="141"/>
        <v>#REF!</v>
      </c>
      <c r="N67" s="168" t="str">
        <f t="shared" si="141"/>
        <v>#REF!</v>
      </c>
      <c r="O67" s="168" t="str">
        <f t="shared" si="141"/>
        <v>#REF!</v>
      </c>
      <c r="P67" s="168" t="str">
        <f t="shared" si="141"/>
        <v>#REF!</v>
      </c>
      <c r="Q67" s="168" t="str">
        <f t="shared" si="141"/>
        <v>#REF!</v>
      </c>
      <c r="R67" s="168" t="str">
        <f t="shared" si="141"/>
        <v>#REF!</v>
      </c>
      <c r="S67" s="168" t="str">
        <f t="shared" si="141"/>
        <v>#REF!</v>
      </c>
      <c r="T67" s="168" t="str">
        <f t="shared" si="141"/>
        <v>#REF!</v>
      </c>
      <c r="U67" s="168" t="str">
        <f t="shared" si="135"/>
        <v>#REF!</v>
      </c>
      <c r="V67" s="168" t="str">
        <f t="shared" ref="V67:Z67" si="142">'2026 Pipeline'!CJ13</f>
        <v>#REF!</v>
      </c>
      <c r="W67" s="168" t="str">
        <f t="shared" si="142"/>
        <v>#REF!</v>
      </c>
      <c r="X67" s="168" t="str">
        <f t="shared" si="142"/>
        <v>#REF!</v>
      </c>
      <c r="Y67" s="168" t="str">
        <f t="shared" si="142"/>
        <v>#REF!</v>
      </c>
      <c r="Z67" s="168" t="str">
        <f t="shared" si="142"/>
        <v>#REF!</v>
      </c>
      <c r="AA67" s="168" t="str">
        <f t="shared" ref="AA67:AF67" si="143">#REF!</f>
        <v>#REF!</v>
      </c>
      <c r="AB67" s="168" t="str">
        <f t="shared" si="143"/>
        <v>#REF!</v>
      </c>
      <c r="AC67" s="168" t="str">
        <f t="shared" si="143"/>
        <v>#REF!</v>
      </c>
      <c r="AD67" s="168" t="str">
        <f t="shared" si="143"/>
        <v>#REF!</v>
      </c>
      <c r="AE67" s="168" t="str">
        <f t="shared" si="143"/>
        <v>#REF!</v>
      </c>
      <c r="AF67" s="168" t="str">
        <f t="shared" si="143"/>
        <v>#REF!</v>
      </c>
      <c r="AG67" s="168" t="str">
        <f t="shared" si="138"/>
        <v>#REF!</v>
      </c>
      <c r="AH67" s="168" t="str">
        <f t="shared" si="139"/>
        <v>#REF!</v>
      </c>
      <c r="AI67" s="168" t="str">
        <f t="shared" ref="AI67:AJ67" si="144">#REF!</f>
        <v>#REF!</v>
      </c>
      <c r="AJ67" s="168" t="str">
        <f t="shared" si="144"/>
        <v>#REF!</v>
      </c>
    </row>
    <row r="68" ht="15.75" hidden="1" customHeight="1">
      <c r="A68" s="168" t="str">
        <f t="shared" ref="A68:AJ68" si="145">#REF!</f>
        <v>#REF!</v>
      </c>
      <c r="B68" s="168" t="str">
        <f t="shared" si="145"/>
        <v>#REF!</v>
      </c>
      <c r="C68" s="168" t="str">
        <f t="shared" si="145"/>
        <v>#REF!</v>
      </c>
      <c r="D68" s="168" t="str">
        <f t="shared" si="145"/>
        <v>#REF!</v>
      </c>
      <c r="E68" s="168" t="str">
        <f t="shared" si="145"/>
        <v>#REF!</v>
      </c>
      <c r="F68" s="168" t="str">
        <f t="shared" si="145"/>
        <v>#REF!</v>
      </c>
      <c r="G68" s="168" t="str">
        <f t="shared" si="145"/>
        <v>#REF!</v>
      </c>
      <c r="H68" s="168" t="str">
        <f t="shared" si="145"/>
        <v>#REF!</v>
      </c>
      <c r="I68" s="168" t="str">
        <f t="shared" si="145"/>
        <v>#REF!</v>
      </c>
      <c r="J68" s="168" t="str">
        <f t="shared" si="145"/>
        <v>#REF!</v>
      </c>
      <c r="K68" s="168" t="str">
        <f t="shared" si="145"/>
        <v>#REF!</v>
      </c>
      <c r="L68" s="168" t="str">
        <f t="shared" si="145"/>
        <v>#REF!</v>
      </c>
      <c r="M68" s="168" t="str">
        <f t="shared" si="145"/>
        <v>#REF!</v>
      </c>
      <c r="N68" s="168" t="str">
        <f t="shared" si="145"/>
        <v>#REF!</v>
      </c>
      <c r="O68" s="168" t="str">
        <f t="shared" si="145"/>
        <v>#REF!</v>
      </c>
      <c r="P68" s="168" t="str">
        <f t="shared" si="145"/>
        <v>#REF!</v>
      </c>
      <c r="Q68" s="168" t="str">
        <f t="shared" si="145"/>
        <v>#REF!</v>
      </c>
      <c r="R68" s="168" t="str">
        <f t="shared" si="145"/>
        <v>#REF!</v>
      </c>
      <c r="S68" s="168" t="str">
        <f t="shared" si="145"/>
        <v>#REF!</v>
      </c>
      <c r="T68" s="168" t="str">
        <f t="shared" si="145"/>
        <v>#REF!</v>
      </c>
      <c r="U68" s="168" t="str">
        <f t="shared" si="145"/>
        <v>#REF!</v>
      </c>
      <c r="V68" s="168" t="str">
        <f t="shared" si="145"/>
        <v>#REF!</v>
      </c>
      <c r="W68" s="168" t="str">
        <f t="shared" si="145"/>
        <v>#REF!</v>
      </c>
      <c r="X68" s="168" t="str">
        <f t="shared" si="145"/>
        <v>#REF!</v>
      </c>
      <c r="Y68" s="168" t="str">
        <f t="shared" si="145"/>
        <v>#REF!</v>
      </c>
      <c r="Z68" s="168" t="str">
        <f t="shared" si="145"/>
        <v>#REF!</v>
      </c>
      <c r="AA68" s="168" t="str">
        <f t="shared" si="145"/>
        <v>#REF!</v>
      </c>
      <c r="AB68" s="168" t="str">
        <f t="shared" si="145"/>
        <v>#REF!</v>
      </c>
      <c r="AC68" s="168" t="str">
        <f t="shared" si="145"/>
        <v>#REF!</v>
      </c>
      <c r="AD68" s="168" t="str">
        <f t="shared" si="145"/>
        <v>#REF!</v>
      </c>
      <c r="AE68" s="168" t="str">
        <f t="shared" si="145"/>
        <v>#REF!</v>
      </c>
      <c r="AF68" s="168" t="str">
        <f t="shared" si="145"/>
        <v>#REF!</v>
      </c>
      <c r="AG68" s="168" t="str">
        <f t="shared" si="145"/>
        <v>#REF!</v>
      </c>
      <c r="AH68" s="168" t="str">
        <f t="shared" si="145"/>
        <v>#REF!</v>
      </c>
      <c r="AI68" s="168" t="str">
        <f t="shared" si="145"/>
        <v>#REF!</v>
      </c>
      <c r="AJ68" s="168" t="str">
        <f t="shared" si="145"/>
        <v>#REF!</v>
      </c>
    </row>
    <row r="69" ht="15.75" hidden="1" customHeight="1">
      <c r="A69" s="168" t="str">
        <f t="shared" ref="A69:AJ69" si="146">#REF!</f>
        <v>#REF!</v>
      </c>
      <c r="B69" s="168" t="str">
        <f t="shared" si="146"/>
        <v>#REF!</v>
      </c>
      <c r="C69" s="168" t="str">
        <f t="shared" si="146"/>
        <v>#REF!</v>
      </c>
      <c r="D69" s="168" t="str">
        <f t="shared" si="146"/>
        <v>#REF!</v>
      </c>
      <c r="E69" s="168" t="str">
        <f t="shared" si="146"/>
        <v>#REF!</v>
      </c>
      <c r="F69" s="168" t="str">
        <f t="shared" si="146"/>
        <v>#REF!</v>
      </c>
      <c r="G69" s="168" t="str">
        <f t="shared" si="146"/>
        <v>#REF!</v>
      </c>
      <c r="H69" s="168" t="str">
        <f t="shared" si="146"/>
        <v>#REF!</v>
      </c>
      <c r="I69" s="168" t="str">
        <f t="shared" si="146"/>
        <v>#REF!</v>
      </c>
      <c r="J69" s="168" t="str">
        <f t="shared" si="146"/>
        <v>#REF!</v>
      </c>
      <c r="K69" s="168" t="str">
        <f t="shared" si="146"/>
        <v>#REF!</v>
      </c>
      <c r="L69" s="168" t="str">
        <f t="shared" si="146"/>
        <v>#REF!</v>
      </c>
      <c r="M69" s="168" t="str">
        <f t="shared" si="146"/>
        <v>#REF!</v>
      </c>
      <c r="N69" s="168" t="str">
        <f t="shared" si="146"/>
        <v>#REF!</v>
      </c>
      <c r="O69" s="168" t="str">
        <f t="shared" si="146"/>
        <v>#REF!</v>
      </c>
      <c r="P69" s="168" t="str">
        <f t="shared" si="146"/>
        <v>#REF!</v>
      </c>
      <c r="Q69" s="168" t="str">
        <f t="shared" si="146"/>
        <v>#REF!</v>
      </c>
      <c r="R69" s="168" t="str">
        <f t="shared" si="146"/>
        <v>#REF!</v>
      </c>
      <c r="S69" s="168" t="str">
        <f t="shared" si="146"/>
        <v>#REF!</v>
      </c>
      <c r="T69" s="168" t="str">
        <f t="shared" si="146"/>
        <v>#REF!</v>
      </c>
      <c r="U69" s="168" t="str">
        <f t="shared" si="146"/>
        <v>#REF!</v>
      </c>
      <c r="V69" s="168" t="str">
        <f t="shared" si="146"/>
        <v>#REF!</v>
      </c>
      <c r="W69" s="168" t="str">
        <f t="shared" si="146"/>
        <v>#REF!</v>
      </c>
      <c r="X69" s="168" t="str">
        <f t="shared" si="146"/>
        <v>#REF!</v>
      </c>
      <c r="Y69" s="168" t="str">
        <f t="shared" si="146"/>
        <v>#REF!</v>
      </c>
      <c r="Z69" s="168" t="str">
        <f t="shared" si="146"/>
        <v>#REF!</v>
      </c>
      <c r="AA69" s="168" t="str">
        <f t="shared" si="146"/>
        <v>#REF!</v>
      </c>
      <c r="AB69" s="168" t="str">
        <f t="shared" si="146"/>
        <v>#REF!</v>
      </c>
      <c r="AC69" s="168" t="str">
        <f t="shared" si="146"/>
        <v>#REF!</v>
      </c>
      <c r="AD69" s="168" t="str">
        <f t="shared" si="146"/>
        <v>#REF!</v>
      </c>
      <c r="AE69" s="168" t="str">
        <f t="shared" si="146"/>
        <v>#REF!</v>
      </c>
      <c r="AF69" s="168" t="str">
        <f t="shared" si="146"/>
        <v>#REF!</v>
      </c>
      <c r="AG69" s="168" t="str">
        <f t="shared" si="146"/>
        <v>#REF!</v>
      </c>
      <c r="AH69" s="168" t="str">
        <f t="shared" si="146"/>
        <v>#REF!</v>
      </c>
      <c r="AI69" s="168" t="str">
        <f t="shared" si="146"/>
        <v>#REF!</v>
      </c>
      <c r="AJ69" s="168" t="str">
        <f t="shared" si="146"/>
        <v>#REF!</v>
      </c>
    </row>
    <row r="70" ht="15.75" hidden="1" customHeight="1">
      <c r="A70" s="168" t="str">
        <f t="shared" ref="A70:AJ70" si="147">#REF!</f>
        <v>#REF!</v>
      </c>
      <c r="B70" s="168" t="str">
        <f t="shared" si="147"/>
        <v>#REF!</v>
      </c>
      <c r="C70" s="168" t="str">
        <f t="shared" si="147"/>
        <v>#REF!</v>
      </c>
      <c r="D70" s="168" t="str">
        <f t="shared" si="147"/>
        <v>#REF!</v>
      </c>
      <c r="E70" s="168" t="str">
        <f t="shared" si="147"/>
        <v>#REF!</v>
      </c>
      <c r="F70" s="168" t="str">
        <f t="shared" si="147"/>
        <v>#REF!</v>
      </c>
      <c r="G70" s="168" t="str">
        <f t="shared" si="147"/>
        <v>#REF!</v>
      </c>
      <c r="H70" s="168" t="str">
        <f t="shared" si="147"/>
        <v>#REF!</v>
      </c>
      <c r="I70" s="168" t="str">
        <f t="shared" si="147"/>
        <v>#REF!</v>
      </c>
      <c r="J70" s="168" t="str">
        <f t="shared" si="147"/>
        <v>#REF!</v>
      </c>
      <c r="K70" s="168" t="str">
        <f t="shared" si="147"/>
        <v>#REF!</v>
      </c>
      <c r="L70" s="168" t="str">
        <f t="shared" si="147"/>
        <v>#REF!</v>
      </c>
      <c r="M70" s="168" t="str">
        <f t="shared" si="147"/>
        <v>#REF!</v>
      </c>
      <c r="N70" s="168" t="str">
        <f t="shared" si="147"/>
        <v>#REF!</v>
      </c>
      <c r="O70" s="168" t="str">
        <f t="shared" si="147"/>
        <v>#REF!</v>
      </c>
      <c r="P70" s="168" t="str">
        <f t="shared" si="147"/>
        <v>#REF!</v>
      </c>
      <c r="Q70" s="168" t="str">
        <f t="shared" si="147"/>
        <v>#REF!</v>
      </c>
      <c r="R70" s="168" t="str">
        <f t="shared" si="147"/>
        <v>#REF!</v>
      </c>
      <c r="S70" s="168" t="str">
        <f t="shared" si="147"/>
        <v>#REF!</v>
      </c>
      <c r="T70" s="168" t="str">
        <f t="shared" si="147"/>
        <v>#REF!</v>
      </c>
      <c r="U70" s="168" t="str">
        <f t="shared" si="147"/>
        <v>#REF!</v>
      </c>
      <c r="V70" s="168" t="str">
        <f t="shared" si="147"/>
        <v>#REF!</v>
      </c>
      <c r="W70" s="168" t="str">
        <f t="shared" si="147"/>
        <v>#REF!</v>
      </c>
      <c r="X70" s="168" t="str">
        <f t="shared" si="147"/>
        <v>#REF!</v>
      </c>
      <c r="Y70" s="168" t="str">
        <f t="shared" si="147"/>
        <v>#REF!</v>
      </c>
      <c r="Z70" s="168" t="str">
        <f t="shared" si="147"/>
        <v>#REF!</v>
      </c>
      <c r="AA70" s="168" t="str">
        <f t="shared" si="147"/>
        <v>#REF!</v>
      </c>
      <c r="AB70" s="168" t="str">
        <f t="shared" si="147"/>
        <v>#REF!</v>
      </c>
      <c r="AC70" s="168" t="str">
        <f t="shared" si="147"/>
        <v>#REF!</v>
      </c>
      <c r="AD70" s="168" t="str">
        <f t="shared" si="147"/>
        <v>#REF!</v>
      </c>
      <c r="AE70" s="168" t="str">
        <f t="shared" si="147"/>
        <v>#REF!</v>
      </c>
      <c r="AF70" s="168" t="str">
        <f t="shared" si="147"/>
        <v>#REF!</v>
      </c>
      <c r="AG70" s="168" t="str">
        <f t="shared" si="147"/>
        <v>#REF!</v>
      </c>
      <c r="AH70" s="168" t="str">
        <f t="shared" si="147"/>
        <v>#REF!</v>
      </c>
      <c r="AI70" s="168" t="str">
        <f t="shared" si="147"/>
        <v>#REF!</v>
      </c>
      <c r="AJ70" s="168" t="str">
        <f t="shared" si="147"/>
        <v>#REF!</v>
      </c>
    </row>
    <row r="71" ht="15.75" hidden="1" customHeight="1">
      <c r="A71" s="168" t="str">
        <f t="shared" ref="A71:AJ71" si="148">#REF!</f>
        <v>#REF!</v>
      </c>
      <c r="B71" s="168" t="str">
        <f t="shared" si="148"/>
        <v>#REF!</v>
      </c>
      <c r="C71" s="168" t="str">
        <f t="shared" si="148"/>
        <v>#REF!</v>
      </c>
      <c r="D71" s="168" t="str">
        <f t="shared" si="148"/>
        <v>#REF!</v>
      </c>
      <c r="E71" s="168" t="str">
        <f t="shared" si="148"/>
        <v>#REF!</v>
      </c>
      <c r="F71" s="168" t="str">
        <f t="shared" si="148"/>
        <v>#REF!</v>
      </c>
      <c r="G71" s="168" t="str">
        <f t="shared" si="148"/>
        <v>#REF!</v>
      </c>
      <c r="H71" s="168" t="str">
        <f t="shared" si="148"/>
        <v>#REF!</v>
      </c>
      <c r="I71" s="168" t="str">
        <f t="shared" si="148"/>
        <v>#REF!</v>
      </c>
      <c r="J71" s="168" t="str">
        <f t="shared" si="148"/>
        <v>#REF!</v>
      </c>
      <c r="K71" s="168" t="str">
        <f t="shared" si="148"/>
        <v>#REF!</v>
      </c>
      <c r="L71" s="168" t="str">
        <f t="shared" si="148"/>
        <v>#REF!</v>
      </c>
      <c r="M71" s="168" t="str">
        <f t="shared" si="148"/>
        <v>#REF!</v>
      </c>
      <c r="N71" s="168" t="str">
        <f t="shared" si="148"/>
        <v>#REF!</v>
      </c>
      <c r="O71" s="168" t="str">
        <f t="shared" si="148"/>
        <v>#REF!</v>
      </c>
      <c r="P71" s="168" t="str">
        <f t="shared" si="148"/>
        <v>#REF!</v>
      </c>
      <c r="Q71" s="168" t="str">
        <f t="shared" si="148"/>
        <v>#REF!</v>
      </c>
      <c r="R71" s="168" t="str">
        <f t="shared" si="148"/>
        <v>#REF!</v>
      </c>
      <c r="S71" s="168" t="str">
        <f t="shared" si="148"/>
        <v>#REF!</v>
      </c>
      <c r="T71" s="168" t="str">
        <f t="shared" si="148"/>
        <v>#REF!</v>
      </c>
      <c r="U71" s="168" t="str">
        <f t="shared" si="148"/>
        <v>#REF!</v>
      </c>
      <c r="V71" s="168" t="str">
        <f t="shared" si="148"/>
        <v>#REF!</v>
      </c>
      <c r="W71" s="168" t="str">
        <f t="shared" si="148"/>
        <v>#REF!</v>
      </c>
      <c r="X71" s="168" t="str">
        <f t="shared" si="148"/>
        <v>#REF!</v>
      </c>
      <c r="Y71" s="168" t="str">
        <f t="shared" si="148"/>
        <v>#REF!</v>
      </c>
      <c r="Z71" s="168" t="str">
        <f t="shared" si="148"/>
        <v>#REF!</v>
      </c>
      <c r="AA71" s="168" t="str">
        <f t="shared" si="148"/>
        <v>#REF!</v>
      </c>
      <c r="AB71" s="168" t="str">
        <f t="shared" si="148"/>
        <v>#REF!</v>
      </c>
      <c r="AC71" s="168" t="str">
        <f t="shared" si="148"/>
        <v>#REF!</v>
      </c>
      <c r="AD71" s="168" t="str">
        <f t="shared" si="148"/>
        <v>#REF!</v>
      </c>
      <c r="AE71" s="168" t="str">
        <f t="shared" si="148"/>
        <v>#REF!</v>
      </c>
      <c r="AF71" s="168" t="str">
        <f t="shared" si="148"/>
        <v>#REF!</v>
      </c>
      <c r="AG71" s="168" t="str">
        <f t="shared" si="148"/>
        <v>#REF!</v>
      </c>
      <c r="AH71" s="168" t="str">
        <f t="shared" si="148"/>
        <v>#REF!</v>
      </c>
      <c r="AI71" s="168" t="str">
        <f t="shared" si="148"/>
        <v>#REF!</v>
      </c>
      <c r="AJ71" s="168" t="str">
        <f t="shared" si="148"/>
        <v>#REF!</v>
      </c>
    </row>
    <row r="72" ht="15.75" customHeight="1">
      <c r="A72" s="168" t="str">
        <f t="shared" ref="A72:T72" si="149">if(#REF!=$D$1,#REF!,"")</f>
        <v>#REF!</v>
      </c>
      <c r="B72" s="168" t="str">
        <f t="shared" si="149"/>
        <v>#REF!</v>
      </c>
      <c r="C72" s="168" t="str">
        <f t="shared" si="149"/>
        <v>#REF!</v>
      </c>
      <c r="D72" s="168" t="str">
        <f t="shared" si="149"/>
        <v>#REF!</v>
      </c>
      <c r="E72" s="168" t="str">
        <f t="shared" si="149"/>
        <v>#REF!</v>
      </c>
      <c r="F72" s="168" t="str">
        <f t="shared" si="149"/>
        <v>#REF!</v>
      </c>
      <c r="G72" s="168" t="str">
        <f t="shared" si="149"/>
        <v>#REF!</v>
      </c>
      <c r="H72" s="168" t="str">
        <f t="shared" si="149"/>
        <v>#REF!</v>
      </c>
      <c r="I72" s="168" t="str">
        <f t="shared" si="149"/>
        <v>#REF!</v>
      </c>
      <c r="J72" s="168" t="str">
        <f t="shared" si="149"/>
        <v>#REF!</v>
      </c>
      <c r="K72" s="168" t="str">
        <f t="shared" si="149"/>
        <v>#REF!</v>
      </c>
      <c r="L72" s="168" t="str">
        <f t="shared" si="149"/>
        <v>#REF!</v>
      </c>
      <c r="M72" s="168" t="str">
        <f t="shared" si="149"/>
        <v>#REF!</v>
      </c>
      <c r="N72" s="168" t="str">
        <f t="shared" si="149"/>
        <v>#REF!</v>
      </c>
      <c r="O72" s="168" t="str">
        <f t="shared" si="149"/>
        <v>#REF!</v>
      </c>
      <c r="P72" s="168" t="str">
        <f t="shared" si="149"/>
        <v>#REF!</v>
      </c>
      <c r="Q72" s="168" t="str">
        <f t="shared" si="149"/>
        <v>#REF!</v>
      </c>
      <c r="R72" s="168" t="str">
        <f t="shared" si="149"/>
        <v>#REF!</v>
      </c>
      <c r="S72" s="168" t="str">
        <f t="shared" si="149"/>
        <v>#REF!</v>
      </c>
      <c r="T72" s="168" t="str">
        <f t="shared" si="149"/>
        <v>#REF!</v>
      </c>
      <c r="U72" s="168" t="str">
        <f t="shared" ref="U72:AJ72" si="150">#REF!</f>
        <v>#REF!</v>
      </c>
      <c r="V72" s="168" t="str">
        <f t="shared" si="150"/>
        <v>#REF!</v>
      </c>
      <c r="W72" s="168" t="str">
        <f t="shared" si="150"/>
        <v>#REF!</v>
      </c>
      <c r="X72" s="168" t="str">
        <f t="shared" si="150"/>
        <v>#REF!</v>
      </c>
      <c r="Y72" s="168" t="str">
        <f t="shared" si="150"/>
        <v>#REF!</v>
      </c>
      <c r="Z72" s="168" t="str">
        <f t="shared" si="150"/>
        <v>#REF!</v>
      </c>
      <c r="AA72" s="168" t="str">
        <f t="shared" si="150"/>
        <v>#REF!</v>
      </c>
      <c r="AB72" s="168" t="str">
        <f t="shared" si="150"/>
        <v>#REF!</v>
      </c>
      <c r="AC72" s="168" t="str">
        <f t="shared" si="150"/>
        <v>#REF!</v>
      </c>
      <c r="AD72" s="168" t="str">
        <f t="shared" si="150"/>
        <v>#REF!</v>
      </c>
      <c r="AE72" s="168" t="str">
        <f t="shared" si="150"/>
        <v>#REF!</v>
      </c>
      <c r="AF72" s="168" t="str">
        <f t="shared" si="150"/>
        <v>#REF!</v>
      </c>
      <c r="AG72" s="168" t="str">
        <f t="shared" si="150"/>
        <v>#REF!</v>
      </c>
      <c r="AH72" s="168" t="str">
        <f t="shared" si="150"/>
        <v>#REF!</v>
      </c>
      <c r="AI72" s="168" t="str">
        <f t="shared" si="150"/>
        <v>#REF!</v>
      </c>
      <c r="AJ72" s="168" t="str">
        <f t="shared" si="150"/>
        <v>#REF!</v>
      </c>
    </row>
    <row r="73" ht="15.75" customHeight="1">
      <c r="A73" s="168" t="str">
        <f t="shared" ref="A73:T73" si="151">if(#REF!=$D$1,#REF!,"")</f>
        <v>#REF!</v>
      </c>
      <c r="B73" s="168" t="str">
        <f t="shared" si="151"/>
        <v>#REF!</v>
      </c>
      <c r="C73" s="168" t="str">
        <f t="shared" si="151"/>
        <v>#REF!</v>
      </c>
      <c r="D73" s="168" t="str">
        <f t="shared" si="151"/>
        <v>#REF!</v>
      </c>
      <c r="E73" s="168" t="str">
        <f t="shared" si="151"/>
        <v>#REF!</v>
      </c>
      <c r="F73" s="168" t="str">
        <f t="shared" si="151"/>
        <v>#REF!</v>
      </c>
      <c r="G73" s="168" t="str">
        <f t="shared" si="151"/>
        <v>#REF!</v>
      </c>
      <c r="H73" s="168" t="str">
        <f t="shared" si="151"/>
        <v>#REF!</v>
      </c>
      <c r="I73" s="168" t="str">
        <f t="shared" si="151"/>
        <v>#REF!</v>
      </c>
      <c r="J73" s="168" t="str">
        <f t="shared" si="151"/>
        <v>#REF!</v>
      </c>
      <c r="K73" s="168" t="str">
        <f t="shared" si="151"/>
        <v>#REF!</v>
      </c>
      <c r="L73" s="168" t="str">
        <f t="shared" si="151"/>
        <v>#REF!</v>
      </c>
      <c r="M73" s="168" t="str">
        <f t="shared" si="151"/>
        <v>#REF!</v>
      </c>
      <c r="N73" s="168" t="str">
        <f t="shared" si="151"/>
        <v>#REF!</v>
      </c>
      <c r="O73" s="168" t="str">
        <f t="shared" si="151"/>
        <v>#REF!</v>
      </c>
      <c r="P73" s="168" t="str">
        <f t="shared" si="151"/>
        <v>#REF!</v>
      </c>
      <c r="Q73" s="168" t="str">
        <f t="shared" si="151"/>
        <v>#REF!</v>
      </c>
      <c r="R73" s="168" t="str">
        <f t="shared" si="151"/>
        <v>#REF!</v>
      </c>
      <c r="S73" s="168" t="str">
        <f t="shared" si="151"/>
        <v>#REF!</v>
      </c>
      <c r="T73" s="168" t="str">
        <f t="shared" si="151"/>
        <v>#REF!</v>
      </c>
      <c r="U73" s="168" t="str">
        <f t="shared" ref="U73:AJ73" si="152">#REF!</f>
        <v>#REF!</v>
      </c>
      <c r="V73" s="168" t="str">
        <f t="shared" si="152"/>
        <v>#REF!</v>
      </c>
      <c r="W73" s="168" t="str">
        <f t="shared" si="152"/>
        <v>#REF!</v>
      </c>
      <c r="X73" s="168" t="str">
        <f t="shared" si="152"/>
        <v>#REF!</v>
      </c>
      <c r="Y73" s="168" t="str">
        <f t="shared" si="152"/>
        <v>#REF!</v>
      </c>
      <c r="Z73" s="168" t="str">
        <f t="shared" si="152"/>
        <v>#REF!</v>
      </c>
      <c r="AA73" s="168" t="str">
        <f t="shared" si="152"/>
        <v>#REF!</v>
      </c>
      <c r="AB73" s="168" t="str">
        <f t="shared" si="152"/>
        <v>#REF!</v>
      </c>
      <c r="AC73" s="168" t="str">
        <f t="shared" si="152"/>
        <v>#REF!</v>
      </c>
      <c r="AD73" s="168" t="str">
        <f t="shared" si="152"/>
        <v>#REF!</v>
      </c>
      <c r="AE73" s="168" t="str">
        <f t="shared" si="152"/>
        <v>#REF!</v>
      </c>
      <c r="AF73" s="168" t="str">
        <f t="shared" si="152"/>
        <v>#REF!</v>
      </c>
      <c r="AG73" s="168" t="str">
        <f t="shared" si="152"/>
        <v>#REF!</v>
      </c>
      <c r="AH73" s="168" t="str">
        <f t="shared" si="152"/>
        <v>#REF!</v>
      </c>
      <c r="AI73" s="168" t="str">
        <f t="shared" si="152"/>
        <v>#REF!</v>
      </c>
      <c r="AJ73" s="168" t="str">
        <f t="shared" si="152"/>
        <v>#REF!</v>
      </c>
    </row>
    <row r="74" ht="15.75" customHeight="1">
      <c r="A74" s="168" t="str">
        <f t="shared" ref="A74:T74" si="153">if(#REF!=$D$1,#REF!,"")</f>
        <v>#REF!</v>
      </c>
      <c r="B74" s="168" t="str">
        <f t="shared" si="153"/>
        <v>#REF!</v>
      </c>
      <c r="C74" s="168" t="str">
        <f t="shared" si="153"/>
        <v>#REF!</v>
      </c>
      <c r="D74" s="168" t="str">
        <f t="shared" si="153"/>
        <v>#REF!</v>
      </c>
      <c r="E74" s="168" t="str">
        <f t="shared" si="153"/>
        <v>#REF!</v>
      </c>
      <c r="F74" s="168" t="str">
        <f t="shared" si="153"/>
        <v>#REF!</v>
      </c>
      <c r="G74" s="168" t="str">
        <f t="shared" si="153"/>
        <v>#REF!</v>
      </c>
      <c r="H74" s="168" t="str">
        <f t="shared" si="153"/>
        <v>#REF!</v>
      </c>
      <c r="I74" s="168" t="str">
        <f t="shared" si="153"/>
        <v>#REF!</v>
      </c>
      <c r="J74" s="168" t="str">
        <f t="shared" si="153"/>
        <v>#REF!</v>
      </c>
      <c r="K74" s="168" t="str">
        <f t="shared" si="153"/>
        <v>#REF!</v>
      </c>
      <c r="L74" s="168" t="str">
        <f t="shared" si="153"/>
        <v>#REF!</v>
      </c>
      <c r="M74" s="168" t="str">
        <f t="shared" si="153"/>
        <v>#REF!</v>
      </c>
      <c r="N74" s="168" t="str">
        <f t="shared" si="153"/>
        <v>#REF!</v>
      </c>
      <c r="O74" s="168" t="str">
        <f t="shared" si="153"/>
        <v>#REF!</v>
      </c>
      <c r="P74" s="168" t="str">
        <f t="shared" si="153"/>
        <v>#REF!</v>
      </c>
      <c r="Q74" s="168" t="str">
        <f t="shared" si="153"/>
        <v>#REF!</v>
      </c>
      <c r="R74" s="168" t="str">
        <f t="shared" si="153"/>
        <v>#REF!</v>
      </c>
      <c r="S74" s="168" t="str">
        <f t="shared" si="153"/>
        <v>#REF!</v>
      </c>
      <c r="T74" s="168" t="str">
        <f t="shared" si="153"/>
        <v>#REF!</v>
      </c>
      <c r="U74" s="168" t="str">
        <f t="shared" ref="U74:AJ74" si="154">#REF!</f>
        <v>#REF!</v>
      </c>
      <c r="V74" s="168" t="str">
        <f t="shared" si="154"/>
        <v>#REF!</v>
      </c>
      <c r="W74" s="168" t="str">
        <f t="shared" si="154"/>
        <v>#REF!</v>
      </c>
      <c r="X74" s="168" t="str">
        <f t="shared" si="154"/>
        <v>#REF!</v>
      </c>
      <c r="Y74" s="168" t="str">
        <f t="shared" si="154"/>
        <v>#REF!</v>
      </c>
      <c r="Z74" s="168" t="str">
        <f t="shared" si="154"/>
        <v>#REF!</v>
      </c>
      <c r="AA74" s="168" t="str">
        <f t="shared" si="154"/>
        <v>#REF!</v>
      </c>
      <c r="AB74" s="168" t="str">
        <f t="shared" si="154"/>
        <v>#REF!</v>
      </c>
      <c r="AC74" s="168" t="str">
        <f t="shared" si="154"/>
        <v>#REF!</v>
      </c>
      <c r="AD74" s="168" t="str">
        <f t="shared" si="154"/>
        <v>#REF!</v>
      </c>
      <c r="AE74" s="168" t="str">
        <f t="shared" si="154"/>
        <v>#REF!</v>
      </c>
      <c r="AF74" s="168" t="str">
        <f t="shared" si="154"/>
        <v>#REF!</v>
      </c>
      <c r="AG74" s="168" t="str">
        <f t="shared" si="154"/>
        <v>#REF!</v>
      </c>
      <c r="AH74" s="168" t="str">
        <f t="shared" si="154"/>
        <v>#REF!</v>
      </c>
      <c r="AI74" s="168" t="str">
        <f t="shared" si="154"/>
        <v>#REF!</v>
      </c>
      <c r="AJ74" s="168" t="str">
        <f t="shared" si="154"/>
        <v>#REF!</v>
      </c>
    </row>
    <row r="75" ht="15.75" customHeight="1">
      <c r="A75" s="168" t="str">
        <f>if('2026 Pipeline'!$M14=$D$1,'2026 Pipeline'!C14,"")</f>
        <v>#REF!</v>
      </c>
      <c r="B75" s="168" t="str">
        <f t="shared" ref="B75:C75" si="155">if('2026 Pipeline'!$M14=$D$1,'2026 Pipeline'!J14,"")</f>
        <v>#REF!</v>
      </c>
      <c r="C75" s="168" t="str">
        <f t="shared" si="155"/>
        <v>#REF!</v>
      </c>
      <c r="D75" s="168" t="str">
        <f t="shared" ref="D75:F75" si="156">if('2026 Pipeline'!$M14=$D$1,'2026 Pipeline'!M14,"")</f>
        <v>#REF!</v>
      </c>
      <c r="E75" s="168" t="str">
        <f t="shared" si="156"/>
        <v>#REF!</v>
      </c>
      <c r="F75" s="168" t="str">
        <f t="shared" si="156"/>
        <v>#REF!</v>
      </c>
      <c r="G75" s="168" t="str">
        <f>if('2026 Pipeline'!$M14=$D$1,'2026 Pipeline'!Q14,"")</f>
        <v>#REF!</v>
      </c>
      <c r="H75" s="168" t="str">
        <f>if('2026 Pipeline'!$M14=$D$1,'2026 Pipeline'!P14,"")</f>
        <v>#REF!</v>
      </c>
      <c r="I75" s="168" t="str">
        <f>if('2026 Pipeline'!$M14=$D$1,'2026 Pipeline'!R14,"")</f>
        <v>#REF!</v>
      </c>
      <c r="J75" s="168" t="str">
        <f t="shared" ref="J75:L75" si="157">if('2026 Pipeline'!$M14=$D$1,'2026 Pipeline'!V14,"")</f>
        <v>#REF!</v>
      </c>
      <c r="K75" s="168" t="str">
        <f t="shared" si="157"/>
        <v>#REF!</v>
      </c>
      <c r="L75" s="168" t="str">
        <f t="shared" si="157"/>
        <v>#REF!</v>
      </c>
      <c r="M75" s="168" t="str">
        <f t="shared" ref="M75:O75" si="158">if('2026 Pipeline'!$M14=$D$1,#REF!,"")</f>
        <v>#REF!</v>
      </c>
      <c r="N75" s="168" t="str">
        <f t="shared" si="158"/>
        <v>#REF!</v>
      </c>
      <c r="O75" s="168" t="str">
        <f t="shared" si="158"/>
        <v>#REF!</v>
      </c>
      <c r="P75" s="168" t="str">
        <f>if('2026 Pipeline'!$M14=$D$1,'2026 Pipeline'!AA14,"")</f>
        <v>#REF!</v>
      </c>
      <c r="Q75" s="168" t="str">
        <f>if('2026 Pipeline'!$M14=$D$1,'2026 Pipeline'!Y14,"")</f>
        <v>#REF!</v>
      </c>
      <c r="R75" s="168" t="str">
        <f>if('2026 Pipeline'!$M14=$D$1,#REF!,"")</f>
        <v>#REF!</v>
      </c>
      <c r="S75" s="168" t="str">
        <f>if('2026 Pipeline'!$M14=$D$1,'2026 Pipeline'!L14,"")</f>
        <v>#REF!</v>
      </c>
      <c r="T75" s="168" t="str">
        <f>if('2026 Pipeline'!$M14=$D$1,'2026 Pipeline'!CD14,"")</f>
        <v>#REF!</v>
      </c>
      <c r="U75" s="168" t="str">
        <f t="shared" ref="U75:AJ75" si="159">#REF!</f>
        <v>#REF!</v>
      </c>
      <c r="V75" s="168" t="str">
        <f t="shared" si="159"/>
        <v>#REF!</v>
      </c>
      <c r="W75" s="168" t="str">
        <f t="shared" si="159"/>
        <v>#REF!</v>
      </c>
      <c r="X75" s="168" t="str">
        <f t="shared" si="159"/>
        <v>#REF!</v>
      </c>
      <c r="Y75" s="168" t="str">
        <f t="shared" si="159"/>
        <v>#REF!</v>
      </c>
      <c r="Z75" s="168" t="str">
        <f t="shared" si="159"/>
        <v>#REF!</v>
      </c>
      <c r="AA75" s="168" t="str">
        <f t="shared" si="159"/>
        <v>#REF!</v>
      </c>
      <c r="AB75" s="168" t="str">
        <f t="shared" si="159"/>
        <v>#REF!</v>
      </c>
      <c r="AC75" s="168" t="str">
        <f t="shared" si="159"/>
        <v>#REF!</v>
      </c>
      <c r="AD75" s="168" t="str">
        <f t="shared" si="159"/>
        <v>#REF!</v>
      </c>
      <c r="AE75" s="168" t="str">
        <f t="shared" si="159"/>
        <v>#REF!</v>
      </c>
      <c r="AF75" s="168" t="str">
        <f t="shared" si="159"/>
        <v>#REF!</v>
      </c>
      <c r="AG75" s="168" t="str">
        <f t="shared" si="159"/>
        <v>#REF!</v>
      </c>
      <c r="AH75" s="168" t="str">
        <f t="shared" si="159"/>
        <v>#REF!</v>
      </c>
      <c r="AI75" s="168" t="str">
        <f t="shared" si="159"/>
        <v>#REF!</v>
      </c>
      <c r="AJ75" s="168" t="str">
        <f t="shared" si="159"/>
        <v>#REF!</v>
      </c>
    </row>
    <row r="76" ht="15.75" customHeight="1">
      <c r="A76" s="168" t="str">
        <f t="shared" ref="A76:T76" si="160">if(#REF!=$D$1,#REF!,"")</f>
        <v>#REF!</v>
      </c>
      <c r="B76" s="168" t="str">
        <f t="shared" si="160"/>
        <v>#REF!</v>
      </c>
      <c r="C76" s="168" t="str">
        <f t="shared" si="160"/>
        <v>#REF!</v>
      </c>
      <c r="D76" s="168" t="str">
        <f t="shared" si="160"/>
        <v>#REF!</v>
      </c>
      <c r="E76" s="168" t="str">
        <f t="shared" si="160"/>
        <v>#REF!</v>
      </c>
      <c r="F76" s="168" t="str">
        <f t="shared" si="160"/>
        <v>#REF!</v>
      </c>
      <c r="G76" s="168" t="str">
        <f t="shared" si="160"/>
        <v>#REF!</v>
      </c>
      <c r="H76" s="168" t="str">
        <f t="shared" si="160"/>
        <v>#REF!</v>
      </c>
      <c r="I76" s="168" t="str">
        <f t="shared" si="160"/>
        <v>#REF!</v>
      </c>
      <c r="J76" s="168" t="str">
        <f t="shared" si="160"/>
        <v>#REF!</v>
      </c>
      <c r="K76" s="168" t="str">
        <f t="shared" si="160"/>
        <v>#REF!</v>
      </c>
      <c r="L76" s="168" t="str">
        <f t="shared" si="160"/>
        <v>#REF!</v>
      </c>
      <c r="M76" s="168" t="str">
        <f t="shared" si="160"/>
        <v>#REF!</v>
      </c>
      <c r="N76" s="168" t="str">
        <f t="shared" si="160"/>
        <v>#REF!</v>
      </c>
      <c r="O76" s="168" t="str">
        <f t="shared" si="160"/>
        <v>#REF!</v>
      </c>
      <c r="P76" s="168" t="str">
        <f t="shared" si="160"/>
        <v>#REF!</v>
      </c>
      <c r="Q76" s="168" t="str">
        <f t="shared" si="160"/>
        <v>#REF!</v>
      </c>
      <c r="R76" s="168" t="str">
        <f t="shared" si="160"/>
        <v>#REF!</v>
      </c>
      <c r="S76" s="168" t="str">
        <f t="shared" si="160"/>
        <v>#REF!</v>
      </c>
      <c r="T76" s="168" t="str">
        <f t="shared" si="160"/>
        <v>#REF!</v>
      </c>
      <c r="U76" s="168" t="str">
        <f t="shared" ref="U76:AJ76" si="161">#REF!</f>
        <v>#REF!</v>
      </c>
      <c r="V76" s="168" t="str">
        <f t="shared" si="161"/>
        <v>#REF!</v>
      </c>
      <c r="W76" s="168" t="str">
        <f t="shared" si="161"/>
        <v>#REF!</v>
      </c>
      <c r="X76" s="168" t="str">
        <f t="shared" si="161"/>
        <v>#REF!</v>
      </c>
      <c r="Y76" s="168" t="str">
        <f t="shared" si="161"/>
        <v>#REF!</v>
      </c>
      <c r="Z76" s="168" t="str">
        <f t="shared" si="161"/>
        <v>#REF!</v>
      </c>
      <c r="AA76" s="168" t="str">
        <f t="shared" si="161"/>
        <v>#REF!</v>
      </c>
      <c r="AB76" s="168" t="str">
        <f t="shared" si="161"/>
        <v>#REF!</v>
      </c>
      <c r="AC76" s="168" t="str">
        <f t="shared" si="161"/>
        <v>#REF!</v>
      </c>
      <c r="AD76" s="168" t="str">
        <f t="shared" si="161"/>
        <v>#REF!</v>
      </c>
      <c r="AE76" s="168" t="str">
        <f t="shared" si="161"/>
        <v>#REF!</v>
      </c>
      <c r="AF76" s="168" t="str">
        <f t="shared" si="161"/>
        <v>#REF!</v>
      </c>
      <c r="AG76" s="168" t="str">
        <f t="shared" si="161"/>
        <v>#REF!</v>
      </c>
      <c r="AH76" s="168" t="str">
        <f t="shared" si="161"/>
        <v>#REF!</v>
      </c>
      <c r="AI76" s="168" t="str">
        <f t="shared" si="161"/>
        <v>#REF!</v>
      </c>
      <c r="AJ76" s="168" t="str">
        <f t="shared" si="161"/>
        <v>#REF!</v>
      </c>
    </row>
    <row r="77" ht="15.75" customHeight="1">
      <c r="A77" s="168" t="str">
        <f t="shared" ref="A77:T77" si="162">if(#REF!=$D$1,#REF!,"")</f>
        <v>#REF!</v>
      </c>
      <c r="B77" s="168" t="str">
        <f t="shared" si="162"/>
        <v>#REF!</v>
      </c>
      <c r="C77" s="168" t="str">
        <f t="shared" si="162"/>
        <v>#REF!</v>
      </c>
      <c r="D77" s="168" t="str">
        <f t="shared" si="162"/>
        <v>#REF!</v>
      </c>
      <c r="E77" s="168" t="str">
        <f t="shared" si="162"/>
        <v>#REF!</v>
      </c>
      <c r="F77" s="168" t="str">
        <f t="shared" si="162"/>
        <v>#REF!</v>
      </c>
      <c r="G77" s="168" t="str">
        <f t="shared" si="162"/>
        <v>#REF!</v>
      </c>
      <c r="H77" s="168" t="str">
        <f t="shared" si="162"/>
        <v>#REF!</v>
      </c>
      <c r="I77" s="168" t="str">
        <f t="shared" si="162"/>
        <v>#REF!</v>
      </c>
      <c r="J77" s="168" t="str">
        <f t="shared" si="162"/>
        <v>#REF!</v>
      </c>
      <c r="K77" s="168" t="str">
        <f t="shared" si="162"/>
        <v>#REF!</v>
      </c>
      <c r="L77" s="168" t="str">
        <f t="shared" si="162"/>
        <v>#REF!</v>
      </c>
      <c r="M77" s="168" t="str">
        <f t="shared" si="162"/>
        <v>#REF!</v>
      </c>
      <c r="N77" s="168" t="str">
        <f t="shared" si="162"/>
        <v>#REF!</v>
      </c>
      <c r="O77" s="168" t="str">
        <f t="shared" si="162"/>
        <v>#REF!</v>
      </c>
      <c r="P77" s="168" t="str">
        <f t="shared" si="162"/>
        <v>#REF!</v>
      </c>
      <c r="Q77" s="168" t="str">
        <f t="shared" si="162"/>
        <v>#REF!</v>
      </c>
      <c r="R77" s="168" t="str">
        <f t="shared" si="162"/>
        <v>#REF!</v>
      </c>
      <c r="S77" s="168" t="str">
        <f t="shared" si="162"/>
        <v>#REF!</v>
      </c>
      <c r="T77" s="168" t="str">
        <f t="shared" si="162"/>
        <v>#REF!</v>
      </c>
      <c r="U77" s="168" t="str">
        <f>'2026 Pipeline'!AP14</f>
        <v>#REF!</v>
      </c>
      <c r="V77" s="168" t="str">
        <f t="shared" ref="V77:Z77" si="163">'2026 Pipeline'!CJ14</f>
        <v>#REF!</v>
      </c>
      <c r="W77" s="168" t="str">
        <f t="shared" si="163"/>
        <v>#REF!</v>
      </c>
      <c r="X77" s="168" t="str">
        <f t="shared" si="163"/>
        <v>#REF!</v>
      </c>
      <c r="Y77" s="168" t="str">
        <f t="shared" si="163"/>
        <v>#REF!</v>
      </c>
      <c r="Z77" s="168" t="str">
        <f t="shared" si="163"/>
        <v>#REF!</v>
      </c>
      <c r="AA77" s="168" t="str">
        <f t="shared" ref="AA77:AF77" si="164">#REF!</f>
        <v>#REF!</v>
      </c>
      <c r="AB77" s="168" t="str">
        <f t="shared" si="164"/>
        <v>#REF!</v>
      </c>
      <c r="AC77" s="168" t="str">
        <f t="shared" si="164"/>
        <v>#REF!</v>
      </c>
      <c r="AD77" s="168" t="str">
        <f t="shared" si="164"/>
        <v>#REF!</v>
      </c>
      <c r="AE77" s="168" t="str">
        <f t="shared" si="164"/>
        <v>#REF!</v>
      </c>
      <c r="AF77" s="168" t="str">
        <f t="shared" si="164"/>
        <v>#REF!</v>
      </c>
      <c r="AG77" s="168" t="str">
        <f>'2026 Pipeline'!CT14</f>
        <v>#REF!</v>
      </c>
      <c r="AH77" s="168" t="str">
        <f>'2026 Pipeline'!S14</f>
        <v>#REF!</v>
      </c>
      <c r="AI77" s="168" t="str">
        <f t="shared" ref="AI77:AJ77" si="165">#REF!</f>
        <v>#REF!</v>
      </c>
      <c r="AJ77" s="168" t="str">
        <f t="shared" si="165"/>
        <v>#REF!</v>
      </c>
    </row>
    <row r="78" ht="15.75" customHeight="1">
      <c r="A78" s="168" t="str">
        <f t="shared" ref="A78:T78" si="166">if(#REF!=$D$1,#REF!,"")</f>
        <v>#REF!</v>
      </c>
      <c r="B78" s="168" t="str">
        <f t="shared" si="166"/>
        <v>#REF!</v>
      </c>
      <c r="C78" s="168" t="str">
        <f t="shared" si="166"/>
        <v>#REF!</v>
      </c>
      <c r="D78" s="168" t="str">
        <f t="shared" si="166"/>
        <v>#REF!</v>
      </c>
      <c r="E78" s="168" t="str">
        <f t="shared" si="166"/>
        <v>#REF!</v>
      </c>
      <c r="F78" s="168" t="str">
        <f t="shared" si="166"/>
        <v>#REF!</v>
      </c>
      <c r="G78" s="168" t="str">
        <f t="shared" si="166"/>
        <v>#REF!</v>
      </c>
      <c r="H78" s="168" t="str">
        <f t="shared" si="166"/>
        <v>#REF!</v>
      </c>
      <c r="I78" s="168" t="str">
        <f t="shared" si="166"/>
        <v>#REF!</v>
      </c>
      <c r="J78" s="168" t="str">
        <f t="shared" si="166"/>
        <v>#REF!</v>
      </c>
      <c r="K78" s="168" t="str">
        <f t="shared" si="166"/>
        <v>#REF!</v>
      </c>
      <c r="L78" s="168" t="str">
        <f t="shared" si="166"/>
        <v>#REF!</v>
      </c>
      <c r="M78" s="168" t="str">
        <f t="shared" si="166"/>
        <v>#REF!</v>
      </c>
      <c r="N78" s="168" t="str">
        <f t="shared" si="166"/>
        <v>#REF!</v>
      </c>
      <c r="O78" s="168" t="str">
        <f t="shared" si="166"/>
        <v>#REF!</v>
      </c>
      <c r="P78" s="168" t="str">
        <f t="shared" si="166"/>
        <v>#REF!</v>
      </c>
      <c r="Q78" s="168" t="str">
        <f t="shared" si="166"/>
        <v>#REF!</v>
      </c>
      <c r="R78" s="168" t="str">
        <f t="shared" si="166"/>
        <v>#REF!</v>
      </c>
      <c r="S78" s="168" t="str">
        <f t="shared" si="166"/>
        <v>#REF!</v>
      </c>
      <c r="T78" s="168" t="str">
        <f t="shared" si="166"/>
        <v>#REF!</v>
      </c>
      <c r="U78" s="168" t="str">
        <f t="shared" ref="U78:AJ78" si="167">#REF!</f>
        <v>#REF!</v>
      </c>
      <c r="V78" s="168" t="str">
        <f t="shared" si="167"/>
        <v>#REF!</v>
      </c>
      <c r="W78" s="168" t="str">
        <f t="shared" si="167"/>
        <v>#REF!</v>
      </c>
      <c r="X78" s="168" t="str">
        <f t="shared" si="167"/>
        <v>#REF!</v>
      </c>
      <c r="Y78" s="168" t="str">
        <f t="shared" si="167"/>
        <v>#REF!</v>
      </c>
      <c r="Z78" s="168" t="str">
        <f t="shared" si="167"/>
        <v>#REF!</v>
      </c>
      <c r="AA78" s="168" t="str">
        <f t="shared" si="167"/>
        <v>#REF!</v>
      </c>
      <c r="AB78" s="168" t="str">
        <f t="shared" si="167"/>
        <v>#REF!</v>
      </c>
      <c r="AC78" s="168" t="str">
        <f t="shared" si="167"/>
        <v>#REF!</v>
      </c>
      <c r="AD78" s="168" t="str">
        <f t="shared" si="167"/>
        <v>#REF!</v>
      </c>
      <c r="AE78" s="168" t="str">
        <f t="shared" si="167"/>
        <v>#REF!</v>
      </c>
      <c r="AF78" s="168" t="str">
        <f t="shared" si="167"/>
        <v>#REF!</v>
      </c>
      <c r="AG78" s="168" t="str">
        <f t="shared" si="167"/>
        <v>#REF!</v>
      </c>
      <c r="AH78" s="168" t="str">
        <f t="shared" si="167"/>
        <v>#REF!</v>
      </c>
      <c r="AI78" s="168" t="str">
        <f t="shared" si="167"/>
        <v>#REF!</v>
      </c>
      <c r="AJ78" s="168" t="str">
        <f t="shared" si="167"/>
        <v>#REF!</v>
      </c>
    </row>
    <row r="79" ht="15.75" customHeight="1">
      <c r="A79" s="168" t="str">
        <f>if('2026 Pipeline'!$M15=$D$1,'2026 Pipeline'!C15,"")</f>
        <v>#REF!</v>
      </c>
      <c r="B79" s="168" t="str">
        <f t="shared" ref="B79:C79" si="168">if('2026 Pipeline'!$M15=$D$1,'2026 Pipeline'!J15,"")</f>
        <v>#REF!</v>
      </c>
      <c r="C79" s="168" t="str">
        <f t="shared" si="168"/>
        <v>#REF!</v>
      </c>
      <c r="D79" s="168" t="str">
        <f t="shared" ref="D79:F79" si="169">if('2026 Pipeline'!$M15=$D$1,'2026 Pipeline'!M15,"")</f>
        <v>#REF!</v>
      </c>
      <c r="E79" s="168" t="str">
        <f t="shared" si="169"/>
        <v>#REF!</v>
      </c>
      <c r="F79" s="168" t="str">
        <f t="shared" si="169"/>
        <v>#REF!</v>
      </c>
      <c r="G79" s="168" t="str">
        <f>if('2026 Pipeline'!$M15=$D$1,'2026 Pipeline'!Q15,"")</f>
        <v>#REF!</v>
      </c>
      <c r="H79" s="168" t="str">
        <f>if('2026 Pipeline'!$M15=$D$1,'2026 Pipeline'!P15,"")</f>
        <v>#REF!</v>
      </c>
      <c r="I79" s="168" t="str">
        <f>if('2026 Pipeline'!$M15=$D$1,'2026 Pipeline'!R15,"")</f>
        <v>#REF!</v>
      </c>
      <c r="J79" s="168" t="str">
        <f t="shared" ref="J79:L79" si="170">if('2026 Pipeline'!$M15=$D$1,'2026 Pipeline'!V15,"")</f>
        <v>#REF!</v>
      </c>
      <c r="K79" s="168" t="str">
        <f t="shared" si="170"/>
        <v>#REF!</v>
      </c>
      <c r="L79" s="168" t="str">
        <f t="shared" si="170"/>
        <v>#REF!</v>
      </c>
      <c r="M79" s="168" t="str">
        <f t="shared" ref="M79:O79" si="171">if('2026 Pipeline'!$M15=$D$1,#REF!,"")</f>
        <v>#REF!</v>
      </c>
      <c r="N79" s="168" t="str">
        <f t="shared" si="171"/>
        <v>#REF!</v>
      </c>
      <c r="O79" s="168" t="str">
        <f t="shared" si="171"/>
        <v>#REF!</v>
      </c>
      <c r="P79" s="168" t="str">
        <f>if('2026 Pipeline'!$M15=$D$1,'2026 Pipeline'!AA15,"")</f>
        <v>#REF!</v>
      </c>
      <c r="Q79" s="168" t="str">
        <f>if('2026 Pipeline'!$M15=$D$1,'2026 Pipeline'!Y15,"")</f>
        <v>#REF!</v>
      </c>
      <c r="R79" s="168" t="str">
        <f>if('2026 Pipeline'!$M15=$D$1,#REF!,"")</f>
        <v>#REF!</v>
      </c>
      <c r="S79" s="168" t="str">
        <f>if('2026 Pipeline'!$M15=$D$1,'2026 Pipeline'!L15,"")</f>
        <v>#REF!</v>
      </c>
      <c r="T79" s="168" t="str">
        <f>if('2026 Pipeline'!$M15=$D$1,'2026 Pipeline'!CD15,"")</f>
        <v>#REF!</v>
      </c>
      <c r="U79" s="168" t="str">
        <f t="shared" ref="U79:AJ79" si="172">#REF!</f>
        <v>#REF!</v>
      </c>
      <c r="V79" s="168" t="str">
        <f t="shared" si="172"/>
        <v>#REF!</v>
      </c>
      <c r="W79" s="168" t="str">
        <f t="shared" si="172"/>
        <v>#REF!</v>
      </c>
      <c r="X79" s="168" t="str">
        <f t="shared" si="172"/>
        <v>#REF!</v>
      </c>
      <c r="Y79" s="168" t="str">
        <f t="shared" si="172"/>
        <v>#REF!</v>
      </c>
      <c r="Z79" s="168" t="str">
        <f t="shared" si="172"/>
        <v>#REF!</v>
      </c>
      <c r="AA79" s="168" t="str">
        <f t="shared" si="172"/>
        <v>#REF!</v>
      </c>
      <c r="AB79" s="168" t="str">
        <f t="shared" si="172"/>
        <v>#REF!</v>
      </c>
      <c r="AC79" s="168" t="str">
        <f t="shared" si="172"/>
        <v>#REF!</v>
      </c>
      <c r="AD79" s="168" t="str">
        <f t="shared" si="172"/>
        <v>#REF!</v>
      </c>
      <c r="AE79" s="168" t="str">
        <f t="shared" si="172"/>
        <v>#REF!</v>
      </c>
      <c r="AF79" s="168" t="str">
        <f t="shared" si="172"/>
        <v>#REF!</v>
      </c>
      <c r="AG79" s="168" t="str">
        <f t="shared" si="172"/>
        <v>#REF!</v>
      </c>
      <c r="AH79" s="168" t="str">
        <f t="shared" si="172"/>
        <v>#REF!</v>
      </c>
      <c r="AI79" s="168" t="str">
        <f t="shared" si="172"/>
        <v>#REF!</v>
      </c>
      <c r="AJ79" s="168" t="str">
        <f t="shared" si="172"/>
        <v>#REF!</v>
      </c>
    </row>
    <row r="80" ht="15.75" customHeight="1">
      <c r="A80" s="168" t="str">
        <f t="shared" ref="A80:T80" si="173">if(#REF!=$D$1,#REF!,"")</f>
        <v>#REF!</v>
      </c>
      <c r="B80" s="168" t="str">
        <f t="shared" si="173"/>
        <v>#REF!</v>
      </c>
      <c r="C80" s="168" t="str">
        <f t="shared" si="173"/>
        <v>#REF!</v>
      </c>
      <c r="D80" s="168" t="str">
        <f t="shared" si="173"/>
        <v>#REF!</v>
      </c>
      <c r="E80" s="168" t="str">
        <f t="shared" si="173"/>
        <v>#REF!</v>
      </c>
      <c r="F80" s="168" t="str">
        <f t="shared" si="173"/>
        <v>#REF!</v>
      </c>
      <c r="G80" s="168" t="str">
        <f t="shared" si="173"/>
        <v>#REF!</v>
      </c>
      <c r="H80" s="168" t="str">
        <f t="shared" si="173"/>
        <v>#REF!</v>
      </c>
      <c r="I80" s="168" t="str">
        <f t="shared" si="173"/>
        <v>#REF!</v>
      </c>
      <c r="J80" s="168" t="str">
        <f t="shared" si="173"/>
        <v>#REF!</v>
      </c>
      <c r="K80" s="168" t="str">
        <f t="shared" si="173"/>
        <v>#REF!</v>
      </c>
      <c r="L80" s="168" t="str">
        <f t="shared" si="173"/>
        <v>#REF!</v>
      </c>
      <c r="M80" s="168" t="str">
        <f t="shared" si="173"/>
        <v>#REF!</v>
      </c>
      <c r="N80" s="168" t="str">
        <f t="shared" si="173"/>
        <v>#REF!</v>
      </c>
      <c r="O80" s="168" t="str">
        <f t="shared" si="173"/>
        <v>#REF!</v>
      </c>
      <c r="P80" s="168" t="str">
        <f t="shared" si="173"/>
        <v>#REF!</v>
      </c>
      <c r="Q80" s="168" t="str">
        <f t="shared" si="173"/>
        <v>#REF!</v>
      </c>
      <c r="R80" s="168" t="str">
        <f t="shared" si="173"/>
        <v>#REF!</v>
      </c>
      <c r="S80" s="168" t="str">
        <f t="shared" si="173"/>
        <v>#REF!</v>
      </c>
      <c r="T80" s="168" t="str">
        <f t="shared" si="173"/>
        <v>#REF!</v>
      </c>
      <c r="U80" s="168" t="str">
        <f t="shared" ref="U80:AJ80" si="174">#REF!</f>
        <v>#REF!</v>
      </c>
      <c r="V80" s="168" t="str">
        <f t="shared" si="174"/>
        <v>#REF!</v>
      </c>
      <c r="W80" s="168" t="str">
        <f t="shared" si="174"/>
        <v>#REF!</v>
      </c>
      <c r="X80" s="168" t="str">
        <f t="shared" si="174"/>
        <v>#REF!</v>
      </c>
      <c r="Y80" s="168" t="str">
        <f t="shared" si="174"/>
        <v>#REF!</v>
      </c>
      <c r="Z80" s="168" t="str">
        <f t="shared" si="174"/>
        <v>#REF!</v>
      </c>
      <c r="AA80" s="168" t="str">
        <f t="shared" si="174"/>
        <v>#REF!</v>
      </c>
      <c r="AB80" s="168" t="str">
        <f t="shared" si="174"/>
        <v>#REF!</v>
      </c>
      <c r="AC80" s="168" t="str">
        <f t="shared" si="174"/>
        <v>#REF!</v>
      </c>
      <c r="AD80" s="168" t="str">
        <f t="shared" si="174"/>
        <v>#REF!</v>
      </c>
      <c r="AE80" s="168" t="str">
        <f t="shared" si="174"/>
        <v>#REF!</v>
      </c>
      <c r="AF80" s="168" t="str">
        <f t="shared" si="174"/>
        <v>#REF!</v>
      </c>
      <c r="AG80" s="168" t="str">
        <f t="shared" si="174"/>
        <v>#REF!</v>
      </c>
      <c r="AH80" s="168" t="str">
        <f t="shared" si="174"/>
        <v>#REF!</v>
      </c>
      <c r="AI80" s="168" t="str">
        <f t="shared" si="174"/>
        <v>#REF!</v>
      </c>
      <c r="AJ80" s="168" t="str">
        <f t="shared" si="174"/>
        <v>#REF!</v>
      </c>
    </row>
    <row r="81" ht="15.75" customHeight="1">
      <c r="A81" s="168" t="str">
        <f>if('2026 Pipeline'!$M16=$D$1,'2026 Pipeline'!C16,"")</f>
        <v>#REF!</v>
      </c>
      <c r="B81" s="168" t="str">
        <f t="shared" ref="B81:C81" si="175">if('2026 Pipeline'!$M16=$D$1,'2026 Pipeline'!J16,"")</f>
        <v>#REF!</v>
      </c>
      <c r="C81" s="168" t="str">
        <f t="shared" si="175"/>
        <v>#REF!</v>
      </c>
      <c r="D81" s="168" t="str">
        <f t="shared" ref="D81:F81" si="176">if('2026 Pipeline'!$M16=$D$1,'2026 Pipeline'!M16,"")</f>
        <v>#REF!</v>
      </c>
      <c r="E81" s="168" t="str">
        <f t="shared" si="176"/>
        <v>#REF!</v>
      </c>
      <c r="F81" s="168" t="str">
        <f t="shared" si="176"/>
        <v>#REF!</v>
      </c>
      <c r="G81" s="168" t="str">
        <f>if('2026 Pipeline'!$M16=$D$1,'2026 Pipeline'!Q16,"")</f>
        <v>#REF!</v>
      </c>
      <c r="H81" s="168" t="str">
        <f>if('2026 Pipeline'!$M16=$D$1,'2026 Pipeline'!P16,"")</f>
        <v>#REF!</v>
      </c>
      <c r="I81" s="168" t="str">
        <f>if('2026 Pipeline'!$M16=$D$1,'2026 Pipeline'!R16,"")</f>
        <v>#REF!</v>
      </c>
      <c r="J81" s="168" t="str">
        <f t="shared" ref="J81:L81" si="177">if('2026 Pipeline'!$M16=$D$1,'2026 Pipeline'!V16,"")</f>
        <v>#REF!</v>
      </c>
      <c r="K81" s="168" t="str">
        <f t="shared" si="177"/>
        <v>#REF!</v>
      </c>
      <c r="L81" s="168" t="str">
        <f t="shared" si="177"/>
        <v>#REF!</v>
      </c>
      <c r="M81" s="168" t="str">
        <f t="shared" ref="M81:O81" si="178">if('2026 Pipeline'!$M16=$D$1,#REF!,"")</f>
        <v>#REF!</v>
      </c>
      <c r="N81" s="168" t="str">
        <f t="shared" si="178"/>
        <v>#REF!</v>
      </c>
      <c r="O81" s="168" t="str">
        <f t="shared" si="178"/>
        <v>#REF!</v>
      </c>
      <c r="P81" s="168" t="str">
        <f>if('2026 Pipeline'!$M16=$D$1,'2026 Pipeline'!AA16,"")</f>
        <v>#REF!</v>
      </c>
      <c r="Q81" s="168" t="str">
        <f>if('2026 Pipeline'!$M16=$D$1,'2026 Pipeline'!Y16,"")</f>
        <v>#REF!</v>
      </c>
      <c r="R81" s="168" t="str">
        <f>if('2026 Pipeline'!$M16=$D$1,#REF!,"")</f>
        <v>#REF!</v>
      </c>
      <c r="S81" s="168" t="str">
        <f>if('2026 Pipeline'!$M16=$D$1,'2026 Pipeline'!L16,"")</f>
        <v>#REF!</v>
      </c>
      <c r="T81" s="168" t="str">
        <f>if('2026 Pipeline'!$M16=$D$1,'2026 Pipeline'!CD16,"")</f>
        <v>#REF!</v>
      </c>
      <c r="U81" s="168" t="str">
        <f>'2026 Pipeline'!AP15</f>
        <v>#REF!</v>
      </c>
      <c r="V81" s="168" t="str">
        <f t="shared" ref="V81:Z81" si="179">'2026 Pipeline'!CJ15</f>
        <v>#REF!</v>
      </c>
      <c r="W81" s="168" t="str">
        <f t="shared" si="179"/>
        <v>#REF!</v>
      </c>
      <c r="X81" s="168" t="str">
        <f t="shared" si="179"/>
        <v>#REF!</v>
      </c>
      <c r="Y81" s="168" t="str">
        <f t="shared" si="179"/>
        <v>#REF!</v>
      </c>
      <c r="Z81" s="168" t="str">
        <f t="shared" si="179"/>
        <v>#REF!</v>
      </c>
      <c r="AA81" s="168" t="str">
        <f t="shared" ref="AA81:AF81" si="180">#REF!</f>
        <v>#REF!</v>
      </c>
      <c r="AB81" s="168" t="str">
        <f t="shared" si="180"/>
        <v>#REF!</v>
      </c>
      <c r="AC81" s="168" t="str">
        <f t="shared" si="180"/>
        <v>#REF!</v>
      </c>
      <c r="AD81" s="168" t="str">
        <f t="shared" si="180"/>
        <v>#REF!</v>
      </c>
      <c r="AE81" s="168" t="str">
        <f t="shared" si="180"/>
        <v>#REF!</v>
      </c>
      <c r="AF81" s="168" t="str">
        <f t="shared" si="180"/>
        <v>#REF!</v>
      </c>
      <c r="AG81" s="168" t="str">
        <f>'2026 Pipeline'!CT15</f>
        <v>#REF!</v>
      </c>
      <c r="AH81" s="168" t="str">
        <f>'2026 Pipeline'!S15</f>
        <v>#REF!</v>
      </c>
      <c r="AI81" s="168" t="str">
        <f t="shared" ref="AI81:AJ81" si="181">#REF!</f>
        <v>#REF!</v>
      </c>
      <c r="AJ81" s="168" t="str">
        <f t="shared" si="181"/>
        <v>#REF!</v>
      </c>
    </row>
    <row r="82" ht="15.75" customHeight="1">
      <c r="A82" s="168" t="str">
        <f t="shared" ref="A82:T82" si="182">if(#REF!=$D$1,#REF!,"")</f>
        <v>#REF!</v>
      </c>
      <c r="B82" s="168" t="str">
        <f t="shared" si="182"/>
        <v>#REF!</v>
      </c>
      <c r="C82" s="168" t="str">
        <f t="shared" si="182"/>
        <v>#REF!</v>
      </c>
      <c r="D82" s="168" t="str">
        <f t="shared" si="182"/>
        <v>#REF!</v>
      </c>
      <c r="E82" s="168" t="str">
        <f t="shared" si="182"/>
        <v>#REF!</v>
      </c>
      <c r="F82" s="168" t="str">
        <f t="shared" si="182"/>
        <v>#REF!</v>
      </c>
      <c r="G82" s="168" t="str">
        <f t="shared" si="182"/>
        <v>#REF!</v>
      </c>
      <c r="H82" s="168" t="str">
        <f t="shared" si="182"/>
        <v>#REF!</v>
      </c>
      <c r="I82" s="168" t="str">
        <f t="shared" si="182"/>
        <v>#REF!</v>
      </c>
      <c r="J82" s="168" t="str">
        <f t="shared" si="182"/>
        <v>#REF!</v>
      </c>
      <c r="K82" s="168" t="str">
        <f t="shared" si="182"/>
        <v>#REF!</v>
      </c>
      <c r="L82" s="168" t="str">
        <f t="shared" si="182"/>
        <v>#REF!</v>
      </c>
      <c r="M82" s="168" t="str">
        <f t="shared" si="182"/>
        <v>#REF!</v>
      </c>
      <c r="N82" s="168" t="str">
        <f t="shared" si="182"/>
        <v>#REF!</v>
      </c>
      <c r="O82" s="168" t="str">
        <f t="shared" si="182"/>
        <v>#REF!</v>
      </c>
      <c r="P82" s="168" t="str">
        <f t="shared" si="182"/>
        <v>#REF!</v>
      </c>
      <c r="Q82" s="168" t="str">
        <f t="shared" si="182"/>
        <v>#REF!</v>
      </c>
      <c r="R82" s="168" t="str">
        <f t="shared" si="182"/>
        <v>#REF!</v>
      </c>
      <c r="S82" s="168" t="str">
        <f t="shared" si="182"/>
        <v>#REF!</v>
      </c>
      <c r="T82" s="168" t="str">
        <f t="shared" si="182"/>
        <v>#REF!</v>
      </c>
      <c r="U82" s="168" t="str">
        <f t="shared" ref="U82:AJ82" si="183">#REF!</f>
        <v>#REF!</v>
      </c>
      <c r="V82" s="168" t="str">
        <f t="shared" si="183"/>
        <v>#REF!</v>
      </c>
      <c r="W82" s="168" t="str">
        <f t="shared" si="183"/>
        <v>#REF!</v>
      </c>
      <c r="X82" s="168" t="str">
        <f t="shared" si="183"/>
        <v>#REF!</v>
      </c>
      <c r="Y82" s="168" t="str">
        <f t="shared" si="183"/>
        <v>#REF!</v>
      </c>
      <c r="Z82" s="168" t="str">
        <f t="shared" si="183"/>
        <v>#REF!</v>
      </c>
      <c r="AA82" s="168" t="str">
        <f t="shared" si="183"/>
        <v>#REF!</v>
      </c>
      <c r="AB82" s="168" t="str">
        <f t="shared" si="183"/>
        <v>#REF!</v>
      </c>
      <c r="AC82" s="168" t="str">
        <f t="shared" si="183"/>
        <v>#REF!</v>
      </c>
      <c r="AD82" s="168" t="str">
        <f t="shared" si="183"/>
        <v>#REF!</v>
      </c>
      <c r="AE82" s="168" t="str">
        <f t="shared" si="183"/>
        <v>#REF!</v>
      </c>
      <c r="AF82" s="168" t="str">
        <f t="shared" si="183"/>
        <v>#REF!</v>
      </c>
      <c r="AG82" s="168" t="str">
        <f t="shared" si="183"/>
        <v>#REF!</v>
      </c>
      <c r="AH82" s="168" t="str">
        <f t="shared" si="183"/>
        <v>#REF!</v>
      </c>
      <c r="AI82" s="168" t="str">
        <f t="shared" si="183"/>
        <v>#REF!</v>
      </c>
      <c r="AJ82" s="168" t="str">
        <f t="shared" si="183"/>
        <v>#REF!</v>
      </c>
    </row>
    <row r="83" ht="15.75" customHeight="1">
      <c r="A83" s="168" t="str">
        <f t="shared" ref="A83:T83" si="184">if(#REF!=$D$1,#REF!,"")</f>
        <v>#REF!</v>
      </c>
      <c r="B83" s="168" t="str">
        <f t="shared" si="184"/>
        <v>#REF!</v>
      </c>
      <c r="C83" s="168" t="str">
        <f t="shared" si="184"/>
        <v>#REF!</v>
      </c>
      <c r="D83" s="168" t="str">
        <f t="shared" si="184"/>
        <v>#REF!</v>
      </c>
      <c r="E83" s="168" t="str">
        <f t="shared" si="184"/>
        <v>#REF!</v>
      </c>
      <c r="F83" s="168" t="str">
        <f t="shared" si="184"/>
        <v>#REF!</v>
      </c>
      <c r="G83" s="168" t="str">
        <f t="shared" si="184"/>
        <v>#REF!</v>
      </c>
      <c r="H83" s="168" t="str">
        <f t="shared" si="184"/>
        <v>#REF!</v>
      </c>
      <c r="I83" s="168" t="str">
        <f t="shared" si="184"/>
        <v>#REF!</v>
      </c>
      <c r="J83" s="168" t="str">
        <f t="shared" si="184"/>
        <v>#REF!</v>
      </c>
      <c r="K83" s="168" t="str">
        <f t="shared" si="184"/>
        <v>#REF!</v>
      </c>
      <c r="L83" s="168" t="str">
        <f t="shared" si="184"/>
        <v>#REF!</v>
      </c>
      <c r="M83" s="168" t="str">
        <f t="shared" si="184"/>
        <v>#REF!</v>
      </c>
      <c r="N83" s="168" t="str">
        <f t="shared" si="184"/>
        <v>#REF!</v>
      </c>
      <c r="O83" s="168" t="str">
        <f t="shared" si="184"/>
        <v>#REF!</v>
      </c>
      <c r="P83" s="168" t="str">
        <f t="shared" si="184"/>
        <v>#REF!</v>
      </c>
      <c r="Q83" s="168" t="str">
        <f t="shared" si="184"/>
        <v>#REF!</v>
      </c>
      <c r="R83" s="168" t="str">
        <f t="shared" si="184"/>
        <v>#REF!</v>
      </c>
      <c r="S83" s="168" t="str">
        <f t="shared" si="184"/>
        <v>#REF!</v>
      </c>
      <c r="T83" s="168" t="str">
        <f t="shared" si="184"/>
        <v>#REF!</v>
      </c>
      <c r="U83" s="168" t="str">
        <f>'2026 Pipeline'!AP16</f>
        <v>#REF!</v>
      </c>
      <c r="V83" s="168" t="str">
        <f t="shared" ref="V83:Z83" si="185">'2026 Pipeline'!CJ16</f>
        <v>#REF!</v>
      </c>
      <c r="W83" s="168" t="str">
        <f t="shared" si="185"/>
        <v>#REF!</v>
      </c>
      <c r="X83" s="168" t="str">
        <f t="shared" si="185"/>
        <v>#REF!</v>
      </c>
      <c r="Y83" s="168" t="str">
        <f t="shared" si="185"/>
        <v>#REF!</v>
      </c>
      <c r="Z83" s="168" t="str">
        <f t="shared" si="185"/>
        <v>#REF!</v>
      </c>
      <c r="AA83" s="168" t="str">
        <f t="shared" ref="AA83:AF83" si="186">#REF!</f>
        <v>#REF!</v>
      </c>
      <c r="AB83" s="168" t="str">
        <f t="shared" si="186"/>
        <v>#REF!</v>
      </c>
      <c r="AC83" s="168" t="str">
        <f t="shared" si="186"/>
        <v>#REF!</v>
      </c>
      <c r="AD83" s="168" t="str">
        <f t="shared" si="186"/>
        <v>#REF!</v>
      </c>
      <c r="AE83" s="168" t="str">
        <f t="shared" si="186"/>
        <v>#REF!</v>
      </c>
      <c r="AF83" s="168" t="str">
        <f t="shared" si="186"/>
        <v>#REF!</v>
      </c>
      <c r="AG83" s="168" t="str">
        <f>'2026 Pipeline'!CT16</f>
        <v>#REF!</v>
      </c>
      <c r="AH83" s="168" t="str">
        <f>'2026 Pipeline'!S16</f>
        <v>#REF!</v>
      </c>
      <c r="AI83" s="168" t="str">
        <f t="shared" ref="AI83:AJ83" si="187">#REF!</f>
        <v>#REF!</v>
      </c>
      <c r="AJ83" s="168" t="str">
        <f t="shared" si="187"/>
        <v>#REF!</v>
      </c>
    </row>
    <row r="84" ht="15.75" customHeight="1">
      <c r="A84" s="168" t="str">
        <f t="shared" ref="A84:T84" si="188">if(#REF!=$D$1,#REF!,"")</f>
        <v>#REF!</v>
      </c>
      <c r="B84" s="168" t="str">
        <f t="shared" si="188"/>
        <v>#REF!</v>
      </c>
      <c r="C84" s="168" t="str">
        <f t="shared" si="188"/>
        <v>#REF!</v>
      </c>
      <c r="D84" s="168" t="str">
        <f t="shared" si="188"/>
        <v>#REF!</v>
      </c>
      <c r="E84" s="168" t="str">
        <f t="shared" si="188"/>
        <v>#REF!</v>
      </c>
      <c r="F84" s="168" t="str">
        <f t="shared" si="188"/>
        <v>#REF!</v>
      </c>
      <c r="G84" s="168" t="str">
        <f t="shared" si="188"/>
        <v>#REF!</v>
      </c>
      <c r="H84" s="168" t="str">
        <f t="shared" si="188"/>
        <v>#REF!</v>
      </c>
      <c r="I84" s="168" t="str">
        <f t="shared" si="188"/>
        <v>#REF!</v>
      </c>
      <c r="J84" s="168" t="str">
        <f t="shared" si="188"/>
        <v>#REF!</v>
      </c>
      <c r="K84" s="168" t="str">
        <f t="shared" si="188"/>
        <v>#REF!</v>
      </c>
      <c r="L84" s="168" t="str">
        <f t="shared" si="188"/>
        <v>#REF!</v>
      </c>
      <c r="M84" s="168" t="str">
        <f t="shared" si="188"/>
        <v>#REF!</v>
      </c>
      <c r="N84" s="168" t="str">
        <f t="shared" si="188"/>
        <v>#REF!</v>
      </c>
      <c r="O84" s="168" t="str">
        <f t="shared" si="188"/>
        <v>#REF!</v>
      </c>
      <c r="P84" s="168" t="str">
        <f t="shared" si="188"/>
        <v>#REF!</v>
      </c>
      <c r="Q84" s="168" t="str">
        <f t="shared" si="188"/>
        <v>#REF!</v>
      </c>
      <c r="R84" s="168" t="str">
        <f t="shared" si="188"/>
        <v>#REF!</v>
      </c>
      <c r="S84" s="168" t="str">
        <f t="shared" si="188"/>
        <v>#REF!</v>
      </c>
      <c r="T84" s="168" t="str">
        <f t="shared" si="188"/>
        <v>#REF!</v>
      </c>
      <c r="U84" s="168" t="str">
        <f t="shared" ref="U84:AJ84" si="189">#REF!</f>
        <v>#REF!</v>
      </c>
      <c r="V84" s="168" t="str">
        <f t="shared" si="189"/>
        <v>#REF!</v>
      </c>
      <c r="W84" s="168" t="str">
        <f t="shared" si="189"/>
        <v>#REF!</v>
      </c>
      <c r="X84" s="168" t="str">
        <f t="shared" si="189"/>
        <v>#REF!</v>
      </c>
      <c r="Y84" s="168" t="str">
        <f t="shared" si="189"/>
        <v>#REF!</v>
      </c>
      <c r="Z84" s="168" t="str">
        <f t="shared" si="189"/>
        <v>#REF!</v>
      </c>
      <c r="AA84" s="168" t="str">
        <f t="shared" si="189"/>
        <v>#REF!</v>
      </c>
      <c r="AB84" s="168" t="str">
        <f t="shared" si="189"/>
        <v>#REF!</v>
      </c>
      <c r="AC84" s="168" t="str">
        <f t="shared" si="189"/>
        <v>#REF!</v>
      </c>
      <c r="AD84" s="168" t="str">
        <f t="shared" si="189"/>
        <v>#REF!</v>
      </c>
      <c r="AE84" s="168" t="str">
        <f t="shared" si="189"/>
        <v>#REF!</v>
      </c>
      <c r="AF84" s="168" t="str">
        <f t="shared" si="189"/>
        <v>#REF!</v>
      </c>
      <c r="AG84" s="168" t="str">
        <f t="shared" si="189"/>
        <v>#REF!</v>
      </c>
      <c r="AH84" s="168" t="str">
        <f t="shared" si="189"/>
        <v>#REF!</v>
      </c>
      <c r="AI84" s="168" t="str">
        <f t="shared" si="189"/>
        <v>#REF!</v>
      </c>
      <c r="AJ84" s="168" t="str">
        <f t="shared" si="189"/>
        <v>#REF!</v>
      </c>
    </row>
    <row r="85" ht="15.75" customHeight="1">
      <c r="A85" s="168" t="str">
        <f t="shared" ref="A85:T85" si="190">if(#REF!=$D$1,#REF!,"")</f>
        <v>#REF!</v>
      </c>
      <c r="B85" s="168" t="str">
        <f t="shared" si="190"/>
        <v>#REF!</v>
      </c>
      <c r="C85" s="168" t="str">
        <f t="shared" si="190"/>
        <v>#REF!</v>
      </c>
      <c r="D85" s="168" t="str">
        <f t="shared" si="190"/>
        <v>#REF!</v>
      </c>
      <c r="E85" s="168" t="str">
        <f t="shared" si="190"/>
        <v>#REF!</v>
      </c>
      <c r="F85" s="168" t="str">
        <f t="shared" si="190"/>
        <v>#REF!</v>
      </c>
      <c r="G85" s="168" t="str">
        <f t="shared" si="190"/>
        <v>#REF!</v>
      </c>
      <c r="H85" s="168" t="str">
        <f t="shared" si="190"/>
        <v>#REF!</v>
      </c>
      <c r="I85" s="168" t="str">
        <f t="shared" si="190"/>
        <v>#REF!</v>
      </c>
      <c r="J85" s="168" t="str">
        <f t="shared" si="190"/>
        <v>#REF!</v>
      </c>
      <c r="K85" s="168" t="str">
        <f t="shared" si="190"/>
        <v>#REF!</v>
      </c>
      <c r="L85" s="168" t="str">
        <f t="shared" si="190"/>
        <v>#REF!</v>
      </c>
      <c r="M85" s="168" t="str">
        <f t="shared" si="190"/>
        <v>#REF!</v>
      </c>
      <c r="N85" s="168" t="str">
        <f t="shared" si="190"/>
        <v>#REF!</v>
      </c>
      <c r="O85" s="168" t="str">
        <f t="shared" si="190"/>
        <v>#REF!</v>
      </c>
      <c r="P85" s="168" t="str">
        <f t="shared" si="190"/>
        <v>#REF!</v>
      </c>
      <c r="Q85" s="168" t="str">
        <f t="shared" si="190"/>
        <v>#REF!</v>
      </c>
      <c r="R85" s="168" t="str">
        <f t="shared" si="190"/>
        <v>#REF!</v>
      </c>
      <c r="S85" s="168" t="str">
        <f t="shared" si="190"/>
        <v>#REF!</v>
      </c>
      <c r="T85" s="168" t="str">
        <f t="shared" si="190"/>
        <v>#REF!</v>
      </c>
      <c r="U85" s="168" t="str">
        <f t="shared" ref="U85:AJ85" si="191">#REF!</f>
        <v>#REF!</v>
      </c>
      <c r="V85" s="168" t="str">
        <f t="shared" si="191"/>
        <v>#REF!</v>
      </c>
      <c r="W85" s="168" t="str">
        <f t="shared" si="191"/>
        <v>#REF!</v>
      </c>
      <c r="X85" s="168" t="str">
        <f t="shared" si="191"/>
        <v>#REF!</v>
      </c>
      <c r="Y85" s="168" t="str">
        <f t="shared" si="191"/>
        <v>#REF!</v>
      </c>
      <c r="Z85" s="168" t="str">
        <f t="shared" si="191"/>
        <v>#REF!</v>
      </c>
      <c r="AA85" s="168" t="str">
        <f t="shared" si="191"/>
        <v>#REF!</v>
      </c>
      <c r="AB85" s="168" t="str">
        <f t="shared" si="191"/>
        <v>#REF!</v>
      </c>
      <c r="AC85" s="168" t="str">
        <f t="shared" si="191"/>
        <v>#REF!</v>
      </c>
      <c r="AD85" s="168" t="str">
        <f t="shared" si="191"/>
        <v>#REF!</v>
      </c>
      <c r="AE85" s="168" t="str">
        <f t="shared" si="191"/>
        <v>#REF!</v>
      </c>
      <c r="AF85" s="168" t="str">
        <f t="shared" si="191"/>
        <v>#REF!</v>
      </c>
      <c r="AG85" s="168" t="str">
        <f t="shared" si="191"/>
        <v>#REF!</v>
      </c>
      <c r="AH85" s="168" t="str">
        <f t="shared" si="191"/>
        <v>#REF!</v>
      </c>
      <c r="AI85" s="168" t="str">
        <f t="shared" si="191"/>
        <v>#REF!</v>
      </c>
      <c r="AJ85" s="168" t="str">
        <f t="shared" si="191"/>
        <v>#REF!</v>
      </c>
    </row>
    <row r="86" ht="15.75" customHeight="1">
      <c r="A86" s="168" t="str">
        <f t="shared" ref="A86:T86" si="192">if(#REF!=$D$1,#REF!,"")</f>
        <v>#REF!</v>
      </c>
      <c r="B86" s="168" t="str">
        <f t="shared" si="192"/>
        <v>#REF!</v>
      </c>
      <c r="C86" s="168" t="str">
        <f t="shared" si="192"/>
        <v>#REF!</v>
      </c>
      <c r="D86" s="168" t="str">
        <f t="shared" si="192"/>
        <v>#REF!</v>
      </c>
      <c r="E86" s="168" t="str">
        <f t="shared" si="192"/>
        <v>#REF!</v>
      </c>
      <c r="F86" s="168" t="str">
        <f t="shared" si="192"/>
        <v>#REF!</v>
      </c>
      <c r="G86" s="168" t="str">
        <f t="shared" si="192"/>
        <v>#REF!</v>
      </c>
      <c r="H86" s="168" t="str">
        <f t="shared" si="192"/>
        <v>#REF!</v>
      </c>
      <c r="I86" s="168" t="str">
        <f t="shared" si="192"/>
        <v>#REF!</v>
      </c>
      <c r="J86" s="168" t="str">
        <f t="shared" si="192"/>
        <v>#REF!</v>
      </c>
      <c r="K86" s="168" t="str">
        <f t="shared" si="192"/>
        <v>#REF!</v>
      </c>
      <c r="L86" s="168" t="str">
        <f t="shared" si="192"/>
        <v>#REF!</v>
      </c>
      <c r="M86" s="168" t="str">
        <f t="shared" si="192"/>
        <v>#REF!</v>
      </c>
      <c r="N86" s="168" t="str">
        <f t="shared" si="192"/>
        <v>#REF!</v>
      </c>
      <c r="O86" s="168" t="str">
        <f t="shared" si="192"/>
        <v>#REF!</v>
      </c>
      <c r="P86" s="168" t="str">
        <f t="shared" si="192"/>
        <v>#REF!</v>
      </c>
      <c r="Q86" s="168" t="str">
        <f t="shared" si="192"/>
        <v>#REF!</v>
      </c>
      <c r="R86" s="168" t="str">
        <f t="shared" si="192"/>
        <v>#REF!</v>
      </c>
      <c r="S86" s="168" t="str">
        <f t="shared" si="192"/>
        <v>#REF!</v>
      </c>
      <c r="T86" s="168" t="str">
        <f t="shared" si="192"/>
        <v>#REF!</v>
      </c>
      <c r="U86" s="168" t="str">
        <f t="shared" ref="U86:AJ86" si="193">#REF!</f>
        <v>#REF!</v>
      </c>
      <c r="V86" s="168" t="str">
        <f t="shared" si="193"/>
        <v>#REF!</v>
      </c>
      <c r="W86" s="168" t="str">
        <f t="shared" si="193"/>
        <v>#REF!</v>
      </c>
      <c r="X86" s="168" t="str">
        <f t="shared" si="193"/>
        <v>#REF!</v>
      </c>
      <c r="Y86" s="168" t="str">
        <f t="shared" si="193"/>
        <v>#REF!</v>
      </c>
      <c r="Z86" s="168" t="str">
        <f t="shared" si="193"/>
        <v>#REF!</v>
      </c>
      <c r="AA86" s="168" t="str">
        <f t="shared" si="193"/>
        <v>#REF!</v>
      </c>
      <c r="AB86" s="168" t="str">
        <f t="shared" si="193"/>
        <v>#REF!</v>
      </c>
      <c r="AC86" s="168" t="str">
        <f t="shared" si="193"/>
        <v>#REF!</v>
      </c>
      <c r="AD86" s="168" t="str">
        <f t="shared" si="193"/>
        <v>#REF!</v>
      </c>
      <c r="AE86" s="168" t="str">
        <f t="shared" si="193"/>
        <v>#REF!</v>
      </c>
      <c r="AF86" s="168" t="str">
        <f t="shared" si="193"/>
        <v>#REF!</v>
      </c>
      <c r="AG86" s="168" t="str">
        <f t="shared" si="193"/>
        <v>#REF!</v>
      </c>
      <c r="AH86" s="168" t="str">
        <f t="shared" si="193"/>
        <v>#REF!</v>
      </c>
      <c r="AI86" s="168" t="str">
        <f t="shared" si="193"/>
        <v>#REF!</v>
      </c>
      <c r="AJ86" s="168" t="str">
        <f t="shared" si="193"/>
        <v>#REF!</v>
      </c>
    </row>
    <row r="87" ht="15.75" customHeight="1">
      <c r="A87" s="168" t="str">
        <f t="shared" ref="A87:T87" si="194">if(#REF!=$D$1,#REF!,"")</f>
        <v>#REF!</v>
      </c>
      <c r="B87" s="168" t="str">
        <f t="shared" si="194"/>
        <v>#REF!</v>
      </c>
      <c r="C87" s="168" t="str">
        <f t="shared" si="194"/>
        <v>#REF!</v>
      </c>
      <c r="D87" s="168" t="str">
        <f t="shared" si="194"/>
        <v>#REF!</v>
      </c>
      <c r="E87" s="168" t="str">
        <f t="shared" si="194"/>
        <v>#REF!</v>
      </c>
      <c r="F87" s="168" t="str">
        <f t="shared" si="194"/>
        <v>#REF!</v>
      </c>
      <c r="G87" s="168" t="str">
        <f t="shared" si="194"/>
        <v>#REF!</v>
      </c>
      <c r="H87" s="168" t="str">
        <f t="shared" si="194"/>
        <v>#REF!</v>
      </c>
      <c r="I87" s="168" t="str">
        <f t="shared" si="194"/>
        <v>#REF!</v>
      </c>
      <c r="J87" s="168" t="str">
        <f t="shared" si="194"/>
        <v>#REF!</v>
      </c>
      <c r="K87" s="168" t="str">
        <f t="shared" si="194"/>
        <v>#REF!</v>
      </c>
      <c r="L87" s="168" t="str">
        <f t="shared" si="194"/>
        <v>#REF!</v>
      </c>
      <c r="M87" s="168" t="str">
        <f t="shared" si="194"/>
        <v>#REF!</v>
      </c>
      <c r="N87" s="168" t="str">
        <f t="shared" si="194"/>
        <v>#REF!</v>
      </c>
      <c r="O87" s="168" t="str">
        <f t="shared" si="194"/>
        <v>#REF!</v>
      </c>
      <c r="P87" s="168" t="str">
        <f t="shared" si="194"/>
        <v>#REF!</v>
      </c>
      <c r="Q87" s="168" t="str">
        <f t="shared" si="194"/>
        <v>#REF!</v>
      </c>
      <c r="R87" s="168" t="str">
        <f t="shared" si="194"/>
        <v>#REF!</v>
      </c>
      <c r="S87" s="168" t="str">
        <f t="shared" si="194"/>
        <v>#REF!</v>
      </c>
      <c r="T87" s="168" t="str">
        <f t="shared" si="194"/>
        <v>#REF!</v>
      </c>
      <c r="U87" s="168" t="str">
        <f t="shared" ref="U87:AJ87" si="195">#REF!</f>
        <v>#REF!</v>
      </c>
      <c r="V87" s="168" t="str">
        <f t="shared" si="195"/>
        <v>#REF!</v>
      </c>
      <c r="W87" s="168" t="str">
        <f t="shared" si="195"/>
        <v>#REF!</v>
      </c>
      <c r="X87" s="168" t="str">
        <f t="shared" si="195"/>
        <v>#REF!</v>
      </c>
      <c r="Y87" s="168" t="str">
        <f t="shared" si="195"/>
        <v>#REF!</v>
      </c>
      <c r="Z87" s="168" t="str">
        <f t="shared" si="195"/>
        <v>#REF!</v>
      </c>
      <c r="AA87" s="168" t="str">
        <f t="shared" si="195"/>
        <v>#REF!</v>
      </c>
      <c r="AB87" s="168" t="str">
        <f t="shared" si="195"/>
        <v>#REF!</v>
      </c>
      <c r="AC87" s="168" t="str">
        <f t="shared" si="195"/>
        <v>#REF!</v>
      </c>
      <c r="AD87" s="168" t="str">
        <f t="shared" si="195"/>
        <v>#REF!</v>
      </c>
      <c r="AE87" s="168" t="str">
        <f t="shared" si="195"/>
        <v>#REF!</v>
      </c>
      <c r="AF87" s="168" t="str">
        <f t="shared" si="195"/>
        <v>#REF!</v>
      </c>
      <c r="AG87" s="168" t="str">
        <f t="shared" si="195"/>
        <v>#REF!</v>
      </c>
      <c r="AH87" s="168" t="str">
        <f t="shared" si="195"/>
        <v>#REF!</v>
      </c>
      <c r="AI87" s="168" t="str">
        <f t="shared" si="195"/>
        <v>#REF!</v>
      </c>
      <c r="AJ87" s="168" t="str">
        <f t="shared" si="195"/>
        <v>#REF!</v>
      </c>
    </row>
    <row r="88" ht="15.75" customHeight="1">
      <c r="A88" s="168" t="str">
        <f t="shared" ref="A88:T88" si="196">if(#REF!=$D$1,#REF!,"")</f>
        <v>#REF!</v>
      </c>
      <c r="B88" s="168" t="str">
        <f t="shared" si="196"/>
        <v>#REF!</v>
      </c>
      <c r="C88" s="168" t="str">
        <f t="shared" si="196"/>
        <v>#REF!</v>
      </c>
      <c r="D88" s="168" t="str">
        <f t="shared" si="196"/>
        <v>#REF!</v>
      </c>
      <c r="E88" s="168" t="str">
        <f t="shared" si="196"/>
        <v>#REF!</v>
      </c>
      <c r="F88" s="168" t="str">
        <f t="shared" si="196"/>
        <v>#REF!</v>
      </c>
      <c r="G88" s="168" t="str">
        <f t="shared" si="196"/>
        <v>#REF!</v>
      </c>
      <c r="H88" s="168" t="str">
        <f t="shared" si="196"/>
        <v>#REF!</v>
      </c>
      <c r="I88" s="168" t="str">
        <f t="shared" si="196"/>
        <v>#REF!</v>
      </c>
      <c r="J88" s="168" t="str">
        <f t="shared" si="196"/>
        <v>#REF!</v>
      </c>
      <c r="K88" s="168" t="str">
        <f t="shared" si="196"/>
        <v>#REF!</v>
      </c>
      <c r="L88" s="168" t="str">
        <f t="shared" si="196"/>
        <v>#REF!</v>
      </c>
      <c r="M88" s="168" t="str">
        <f t="shared" si="196"/>
        <v>#REF!</v>
      </c>
      <c r="N88" s="168" t="str">
        <f t="shared" si="196"/>
        <v>#REF!</v>
      </c>
      <c r="O88" s="168" t="str">
        <f t="shared" si="196"/>
        <v>#REF!</v>
      </c>
      <c r="P88" s="168" t="str">
        <f t="shared" si="196"/>
        <v>#REF!</v>
      </c>
      <c r="Q88" s="168" t="str">
        <f t="shared" si="196"/>
        <v>#REF!</v>
      </c>
      <c r="R88" s="168" t="str">
        <f t="shared" si="196"/>
        <v>#REF!</v>
      </c>
      <c r="S88" s="168" t="str">
        <f t="shared" si="196"/>
        <v>#REF!</v>
      </c>
      <c r="T88" s="168" t="str">
        <f t="shared" si="196"/>
        <v>#REF!</v>
      </c>
      <c r="U88" s="168" t="str">
        <f t="shared" ref="U88:AJ88" si="197">#REF!</f>
        <v>#REF!</v>
      </c>
      <c r="V88" s="168" t="str">
        <f t="shared" si="197"/>
        <v>#REF!</v>
      </c>
      <c r="W88" s="168" t="str">
        <f t="shared" si="197"/>
        <v>#REF!</v>
      </c>
      <c r="X88" s="168" t="str">
        <f t="shared" si="197"/>
        <v>#REF!</v>
      </c>
      <c r="Y88" s="168" t="str">
        <f t="shared" si="197"/>
        <v>#REF!</v>
      </c>
      <c r="Z88" s="168" t="str">
        <f t="shared" si="197"/>
        <v>#REF!</v>
      </c>
      <c r="AA88" s="168" t="str">
        <f t="shared" si="197"/>
        <v>#REF!</v>
      </c>
      <c r="AB88" s="168" t="str">
        <f t="shared" si="197"/>
        <v>#REF!</v>
      </c>
      <c r="AC88" s="168" t="str">
        <f t="shared" si="197"/>
        <v>#REF!</v>
      </c>
      <c r="AD88" s="168" t="str">
        <f t="shared" si="197"/>
        <v>#REF!</v>
      </c>
      <c r="AE88" s="168" t="str">
        <f t="shared" si="197"/>
        <v>#REF!</v>
      </c>
      <c r="AF88" s="168" t="str">
        <f t="shared" si="197"/>
        <v>#REF!</v>
      </c>
      <c r="AG88" s="168" t="str">
        <f t="shared" si="197"/>
        <v>#REF!</v>
      </c>
      <c r="AH88" s="168" t="str">
        <f t="shared" si="197"/>
        <v>#REF!</v>
      </c>
      <c r="AI88" s="168" t="str">
        <f t="shared" si="197"/>
        <v>#REF!</v>
      </c>
      <c r="AJ88" s="168" t="str">
        <f t="shared" si="197"/>
        <v>#REF!</v>
      </c>
    </row>
    <row r="89" ht="15.75" customHeight="1">
      <c r="A89" s="168" t="str">
        <f>if('2026 Pipeline'!$M17=$D$1,'2026 Pipeline'!C17,"")</f>
        <v>#REF!</v>
      </c>
      <c r="B89" s="168" t="str">
        <f t="shared" ref="B89:C89" si="198">if('2026 Pipeline'!$M17=$D$1,'2026 Pipeline'!J17,"")</f>
        <v>#REF!</v>
      </c>
      <c r="C89" s="168" t="str">
        <f t="shared" si="198"/>
        <v>#REF!</v>
      </c>
      <c r="D89" s="168" t="str">
        <f t="shared" ref="D89:F89" si="199">if('2026 Pipeline'!$M17=$D$1,'2026 Pipeline'!M17,"")</f>
        <v>#REF!</v>
      </c>
      <c r="E89" s="168" t="str">
        <f t="shared" si="199"/>
        <v>#REF!</v>
      </c>
      <c r="F89" s="168" t="str">
        <f t="shared" si="199"/>
        <v>#REF!</v>
      </c>
      <c r="G89" s="168" t="str">
        <f>if('2026 Pipeline'!$M17=$D$1,'2026 Pipeline'!Q17,"")</f>
        <v>#REF!</v>
      </c>
      <c r="H89" s="168" t="str">
        <f>if('2026 Pipeline'!$M17=$D$1,'2026 Pipeline'!P17,"")</f>
        <v>#REF!</v>
      </c>
      <c r="I89" s="168" t="str">
        <f>if('2026 Pipeline'!$M17=$D$1,'2026 Pipeline'!R17,"")</f>
        <v>#REF!</v>
      </c>
      <c r="J89" s="168" t="str">
        <f t="shared" ref="J89:L89" si="200">if('2026 Pipeline'!$M17=$D$1,'2026 Pipeline'!V17,"")</f>
        <v>#REF!</v>
      </c>
      <c r="K89" s="168" t="str">
        <f t="shared" si="200"/>
        <v>#REF!</v>
      </c>
      <c r="L89" s="168" t="str">
        <f t="shared" si="200"/>
        <v>#REF!</v>
      </c>
      <c r="M89" s="168" t="str">
        <f t="shared" ref="M89:O89" si="201">if('2026 Pipeline'!$M17=$D$1,#REF!,"")</f>
        <v>#REF!</v>
      </c>
      <c r="N89" s="168" t="str">
        <f t="shared" si="201"/>
        <v>#REF!</v>
      </c>
      <c r="O89" s="168" t="str">
        <f t="shared" si="201"/>
        <v>#REF!</v>
      </c>
      <c r="P89" s="168" t="str">
        <f>if('2026 Pipeline'!$M17=$D$1,'2026 Pipeline'!AA17,"")</f>
        <v>#REF!</v>
      </c>
      <c r="Q89" s="168" t="str">
        <f>if('2026 Pipeline'!$M17=$D$1,'2026 Pipeline'!Y17,"")</f>
        <v>#REF!</v>
      </c>
      <c r="R89" s="168" t="str">
        <f>if('2026 Pipeline'!$M17=$D$1,#REF!,"")</f>
        <v>#REF!</v>
      </c>
      <c r="S89" s="168" t="str">
        <f>if('2026 Pipeline'!$M17=$D$1,'2026 Pipeline'!L17,"")</f>
        <v>#REF!</v>
      </c>
      <c r="T89" s="168" t="str">
        <f>if('2026 Pipeline'!$M17=$D$1,'2026 Pipeline'!CD17,"")</f>
        <v>#REF!</v>
      </c>
      <c r="U89" s="168" t="str">
        <f t="shared" ref="U89:AJ89" si="202">#REF!</f>
        <v>#REF!</v>
      </c>
      <c r="V89" s="168" t="str">
        <f t="shared" si="202"/>
        <v>#REF!</v>
      </c>
      <c r="W89" s="168" t="str">
        <f t="shared" si="202"/>
        <v>#REF!</v>
      </c>
      <c r="X89" s="168" t="str">
        <f t="shared" si="202"/>
        <v>#REF!</v>
      </c>
      <c r="Y89" s="168" t="str">
        <f t="shared" si="202"/>
        <v>#REF!</v>
      </c>
      <c r="Z89" s="168" t="str">
        <f t="shared" si="202"/>
        <v>#REF!</v>
      </c>
      <c r="AA89" s="168" t="str">
        <f t="shared" si="202"/>
        <v>#REF!</v>
      </c>
      <c r="AB89" s="168" t="str">
        <f t="shared" si="202"/>
        <v>#REF!</v>
      </c>
      <c r="AC89" s="168" t="str">
        <f t="shared" si="202"/>
        <v>#REF!</v>
      </c>
      <c r="AD89" s="168" t="str">
        <f t="shared" si="202"/>
        <v>#REF!</v>
      </c>
      <c r="AE89" s="168" t="str">
        <f t="shared" si="202"/>
        <v>#REF!</v>
      </c>
      <c r="AF89" s="168" t="str">
        <f t="shared" si="202"/>
        <v>#REF!</v>
      </c>
      <c r="AG89" s="168" t="str">
        <f t="shared" si="202"/>
        <v>#REF!</v>
      </c>
      <c r="AH89" s="168" t="str">
        <f t="shared" si="202"/>
        <v>#REF!</v>
      </c>
      <c r="AI89" s="168" t="str">
        <f t="shared" si="202"/>
        <v>#REF!</v>
      </c>
      <c r="AJ89" s="168" t="str">
        <f t="shared" si="202"/>
        <v>#REF!</v>
      </c>
    </row>
    <row r="90" ht="15.75" customHeight="1">
      <c r="A90" s="168" t="str">
        <f t="shared" ref="A90:T90" si="203">if(#REF!=$D$1,#REF!,"")</f>
        <v>#REF!</v>
      </c>
      <c r="B90" s="168" t="str">
        <f t="shared" si="203"/>
        <v>#REF!</v>
      </c>
      <c r="C90" s="168" t="str">
        <f t="shared" si="203"/>
        <v>#REF!</v>
      </c>
      <c r="D90" s="168" t="str">
        <f t="shared" si="203"/>
        <v>#REF!</v>
      </c>
      <c r="E90" s="168" t="str">
        <f t="shared" si="203"/>
        <v>#REF!</v>
      </c>
      <c r="F90" s="168" t="str">
        <f t="shared" si="203"/>
        <v>#REF!</v>
      </c>
      <c r="G90" s="168" t="str">
        <f t="shared" si="203"/>
        <v>#REF!</v>
      </c>
      <c r="H90" s="168" t="str">
        <f t="shared" si="203"/>
        <v>#REF!</v>
      </c>
      <c r="I90" s="168" t="str">
        <f t="shared" si="203"/>
        <v>#REF!</v>
      </c>
      <c r="J90" s="168" t="str">
        <f t="shared" si="203"/>
        <v>#REF!</v>
      </c>
      <c r="K90" s="168" t="str">
        <f t="shared" si="203"/>
        <v>#REF!</v>
      </c>
      <c r="L90" s="168" t="str">
        <f t="shared" si="203"/>
        <v>#REF!</v>
      </c>
      <c r="M90" s="168" t="str">
        <f t="shared" si="203"/>
        <v>#REF!</v>
      </c>
      <c r="N90" s="168" t="str">
        <f t="shared" si="203"/>
        <v>#REF!</v>
      </c>
      <c r="O90" s="168" t="str">
        <f t="shared" si="203"/>
        <v>#REF!</v>
      </c>
      <c r="P90" s="168" t="str">
        <f t="shared" si="203"/>
        <v>#REF!</v>
      </c>
      <c r="Q90" s="168" t="str">
        <f t="shared" si="203"/>
        <v>#REF!</v>
      </c>
      <c r="R90" s="168" t="str">
        <f t="shared" si="203"/>
        <v>#REF!</v>
      </c>
      <c r="S90" s="168" t="str">
        <f t="shared" si="203"/>
        <v>#REF!</v>
      </c>
      <c r="T90" s="168" t="str">
        <f t="shared" si="203"/>
        <v>#REF!</v>
      </c>
      <c r="U90" s="168" t="str">
        <f t="shared" ref="U90:AJ90" si="204">#REF!</f>
        <v>#REF!</v>
      </c>
      <c r="V90" s="168" t="str">
        <f t="shared" si="204"/>
        <v>#REF!</v>
      </c>
      <c r="W90" s="168" t="str">
        <f t="shared" si="204"/>
        <v>#REF!</v>
      </c>
      <c r="X90" s="168" t="str">
        <f t="shared" si="204"/>
        <v>#REF!</v>
      </c>
      <c r="Y90" s="168" t="str">
        <f t="shared" si="204"/>
        <v>#REF!</v>
      </c>
      <c r="Z90" s="168" t="str">
        <f t="shared" si="204"/>
        <v>#REF!</v>
      </c>
      <c r="AA90" s="168" t="str">
        <f t="shared" si="204"/>
        <v>#REF!</v>
      </c>
      <c r="AB90" s="168" t="str">
        <f t="shared" si="204"/>
        <v>#REF!</v>
      </c>
      <c r="AC90" s="168" t="str">
        <f t="shared" si="204"/>
        <v>#REF!</v>
      </c>
      <c r="AD90" s="168" t="str">
        <f t="shared" si="204"/>
        <v>#REF!</v>
      </c>
      <c r="AE90" s="168" t="str">
        <f t="shared" si="204"/>
        <v>#REF!</v>
      </c>
      <c r="AF90" s="168" t="str">
        <f t="shared" si="204"/>
        <v>#REF!</v>
      </c>
      <c r="AG90" s="168" t="str">
        <f t="shared" si="204"/>
        <v>#REF!</v>
      </c>
      <c r="AH90" s="168" t="str">
        <f t="shared" si="204"/>
        <v>#REF!</v>
      </c>
      <c r="AI90" s="168" t="str">
        <f t="shared" si="204"/>
        <v>#REF!</v>
      </c>
      <c r="AJ90" s="168" t="str">
        <f t="shared" si="204"/>
        <v>#REF!</v>
      </c>
    </row>
    <row r="91" ht="15.75" customHeight="1">
      <c r="A91" s="168" t="str">
        <f t="shared" ref="A91:T91" si="205">if(#REF!=$D$1,#REF!,"")</f>
        <v>#REF!</v>
      </c>
      <c r="B91" s="168" t="str">
        <f t="shared" si="205"/>
        <v>#REF!</v>
      </c>
      <c r="C91" s="168" t="str">
        <f t="shared" si="205"/>
        <v>#REF!</v>
      </c>
      <c r="D91" s="168" t="str">
        <f t="shared" si="205"/>
        <v>#REF!</v>
      </c>
      <c r="E91" s="168" t="str">
        <f t="shared" si="205"/>
        <v>#REF!</v>
      </c>
      <c r="F91" s="168" t="str">
        <f t="shared" si="205"/>
        <v>#REF!</v>
      </c>
      <c r="G91" s="168" t="str">
        <f t="shared" si="205"/>
        <v>#REF!</v>
      </c>
      <c r="H91" s="168" t="str">
        <f t="shared" si="205"/>
        <v>#REF!</v>
      </c>
      <c r="I91" s="168" t="str">
        <f t="shared" si="205"/>
        <v>#REF!</v>
      </c>
      <c r="J91" s="168" t="str">
        <f t="shared" si="205"/>
        <v>#REF!</v>
      </c>
      <c r="K91" s="168" t="str">
        <f t="shared" si="205"/>
        <v>#REF!</v>
      </c>
      <c r="L91" s="168" t="str">
        <f t="shared" si="205"/>
        <v>#REF!</v>
      </c>
      <c r="M91" s="168" t="str">
        <f t="shared" si="205"/>
        <v>#REF!</v>
      </c>
      <c r="N91" s="168" t="str">
        <f t="shared" si="205"/>
        <v>#REF!</v>
      </c>
      <c r="O91" s="168" t="str">
        <f t="shared" si="205"/>
        <v>#REF!</v>
      </c>
      <c r="P91" s="168" t="str">
        <f t="shared" si="205"/>
        <v>#REF!</v>
      </c>
      <c r="Q91" s="168" t="str">
        <f t="shared" si="205"/>
        <v>#REF!</v>
      </c>
      <c r="R91" s="168" t="str">
        <f t="shared" si="205"/>
        <v>#REF!</v>
      </c>
      <c r="S91" s="168" t="str">
        <f t="shared" si="205"/>
        <v>#REF!</v>
      </c>
      <c r="T91" s="168" t="str">
        <f t="shared" si="205"/>
        <v>#REF!</v>
      </c>
      <c r="U91" s="168" t="str">
        <f>'2026 Pipeline'!AP17</f>
        <v>#REF!</v>
      </c>
      <c r="V91" s="168" t="str">
        <f t="shared" ref="V91:Z91" si="206">'2026 Pipeline'!CJ17</f>
        <v>#REF!</v>
      </c>
      <c r="W91" s="168" t="str">
        <f t="shared" si="206"/>
        <v>#REF!</v>
      </c>
      <c r="X91" s="168" t="str">
        <f t="shared" si="206"/>
        <v>#REF!</v>
      </c>
      <c r="Y91" s="168" t="str">
        <f t="shared" si="206"/>
        <v>#REF!</v>
      </c>
      <c r="Z91" s="168" t="str">
        <f t="shared" si="206"/>
        <v>#REF!</v>
      </c>
      <c r="AA91" s="168" t="str">
        <f t="shared" ref="AA91:AF91" si="207">#REF!</f>
        <v>#REF!</v>
      </c>
      <c r="AB91" s="168" t="str">
        <f t="shared" si="207"/>
        <v>#REF!</v>
      </c>
      <c r="AC91" s="168" t="str">
        <f t="shared" si="207"/>
        <v>#REF!</v>
      </c>
      <c r="AD91" s="168" t="str">
        <f t="shared" si="207"/>
        <v>#REF!</v>
      </c>
      <c r="AE91" s="168" t="str">
        <f t="shared" si="207"/>
        <v>#REF!</v>
      </c>
      <c r="AF91" s="168" t="str">
        <f t="shared" si="207"/>
        <v>#REF!</v>
      </c>
      <c r="AG91" s="168" t="str">
        <f>'2026 Pipeline'!CT17</f>
        <v>#REF!</v>
      </c>
      <c r="AH91" s="168" t="str">
        <f>'2026 Pipeline'!S17</f>
        <v>#REF!</v>
      </c>
      <c r="AI91" s="168" t="str">
        <f t="shared" ref="AI91:AJ91" si="208">#REF!</f>
        <v>#REF!</v>
      </c>
      <c r="AJ91" s="168" t="str">
        <f t="shared" si="208"/>
        <v>#REF!</v>
      </c>
    </row>
    <row r="92" ht="15.75" customHeight="1">
      <c r="A92" s="168" t="str">
        <f t="shared" ref="A92:T92" si="209">if(#REF!=$D$1,#REF!,"")</f>
        <v>#REF!</v>
      </c>
      <c r="B92" s="168" t="str">
        <f t="shared" si="209"/>
        <v>#REF!</v>
      </c>
      <c r="C92" s="168" t="str">
        <f t="shared" si="209"/>
        <v>#REF!</v>
      </c>
      <c r="D92" s="168" t="str">
        <f t="shared" si="209"/>
        <v>#REF!</v>
      </c>
      <c r="E92" s="168" t="str">
        <f t="shared" si="209"/>
        <v>#REF!</v>
      </c>
      <c r="F92" s="168" t="str">
        <f t="shared" si="209"/>
        <v>#REF!</v>
      </c>
      <c r="G92" s="168" t="str">
        <f t="shared" si="209"/>
        <v>#REF!</v>
      </c>
      <c r="H92" s="168" t="str">
        <f t="shared" si="209"/>
        <v>#REF!</v>
      </c>
      <c r="I92" s="168" t="str">
        <f t="shared" si="209"/>
        <v>#REF!</v>
      </c>
      <c r="J92" s="168" t="str">
        <f t="shared" si="209"/>
        <v>#REF!</v>
      </c>
      <c r="K92" s="168" t="str">
        <f t="shared" si="209"/>
        <v>#REF!</v>
      </c>
      <c r="L92" s="168" t="str">
        <f t="shared" si="209"/>
        <v>#REF!</v>
      </c>
      <c r="M92" s="168" t="str">
        <f t="shared" si="209"/>
        <v>#REF!</v>
      </c>
      <c r="N92" s="168" t="str">
        <f t="shared" si="209"/>
        <v>#REF!</v>
      </c>
      <c r="O92" s="168" t="str">
        <f t="shared" si="209"/>
        <v>#REF!</v>
      </c>
      <c r="P92" s="168" t="str">
        <f t="shared" si="209"/>
        <v>#REF!</v>
      </c>
      <c r="Q92" s="168" t="str">
        <f t="shared" si="209"/>
        <v>#REF!</v>
      </c>
      <c r="R92" s="168" t="str">
        <f t="shared" si="209"/>
        <v>#REF!</v>
      </c>
      <c r="S92" s="168" t="str">
        <f t="shared" si="209"/>
        <v>#REF!</v>
      </c>
      <c r="T92" s="168" t="str">
        <f t="shared" si="209"/>
        <v>#REF!</v>
      </c>
      <c r="U92" s="168" t="str">
        <f t="shared" ref="U92:AJ92" si="210">#REF!</f>
        <v>#REF!</v>
      </c>
      <c r="V92" s="168" t="str">
        <f t="shared" si="210"/>
        <v>#REF!</v>
      </c>
      <c r="W92" s="168" t="str">
        <f t="shared" si="210"/>
        <v>#REF!</v>
      </c>
      <c r="X92" s="168" t="str">
        <f t="shared" si="210"/>
        <v>#REF!</v>
      </c>
      <c r="Y92" s="168" t="str">
        <f t="shared" si="210"/>
        <v>#REF!</v>
      </c>
      <c r="Z92" s="168" t="str">
        <f t="shared" si="210"/>
        <v>#REF!</v>
      </c>
      <c r="AA92" s="168" t="str">
        <f t="shared" si="210"/>
        <v>#REF!</v>
      </c>
      <c r="AB92" s="168" t="str">
        <f t="shared" si="210"/>
        <v>#REF!</v>
      </c>
      <c r="AC92" s="168" t="str">
        <f t="shared" si="210"/>
        <v>#REF!</v>
      </c>
      <c r="AD92" s="168" t="str">
        <f t="shared" si="210"/>
        <v>#REF!</v>
      </c>
      <c r="AE92" s="168" t="str">
        <f t="shared" si="210"/>
        <v>#REF!</v>
      </c>
      <c r="AF92" s="168" t="str">
        <f t="shared" si="210"/>
        <v>#REF!</v>
      </c>
      <c r="AG92" s="168" t="str">
        <f t="shared" si="210"/>
        <v>#REF!</v>
      </c>
      <c r="AH92" s="168" t="str">
        <f t="shared" si="210"/>
        <v>#REF!</v>
      </c>
      <c r="AI92" s="168" t="str">
        <f t="shared" si="210"/>
        <v>#REF!</v>
      </c>
      <c r="AJ92" s="168" t="str">
        <f t="shared" si="210"/>
        <v>#REF!</v>
      </c>
    </row>
    <row r="93" ht="15.75" customHeight="1">
      <c r="A93" s="168" t="str">
        <f t="shared" ref="A93:T93" si="211">if(#REF!=$D$1,#REF!,"")</f>
        <v>#REF!</v>
      </c>
      <c r="B93" s="168" t="str">
        <f t="shared" si="211"/>
        <v>#REF!</v>
      </c>
      <c r="C93" s="168" t="str">
        <f t="shared" si="211"/>
        <v>#REF!</v>
      </c>
      <c r="D93" s="168" t="str">
        <f t="shared" si="211"/>
        <v>#REF!</v>
      </c>
      <c r="E93" s="168" t="str">
        <f t="shared" si="211"/>
        <v>#REF!</v>
      </c>
      <c r="F93" s="168" t="str">
        <f t="shared" si="211"/>
        <v>#REF!</v>
      </c>
      <c r="G93" s="168" t="str">
        <f t="shared" si="211"/>
        <v>#REF!</v>
      </c>
      <c r="H93" s="168" t="str">
        <f t="shared" si="211"/>
        <v>#REF!</v>
      </c>
      <c r="I93" s="168" t="str">
        <f t="shared" si="211"/>
        <v>#REF!</v>
      </c>
      <c r="J93" s="168" t="str">
        <f t="shared" si="211"/>
        <v>#REF!</v>
      </c>
      <c r="K93" s="168" t="str">
        <f t="shared" si="211"/>
        <v>#REF!</v>
      </c>
      <c r="L93" s="168" t="str">
        <f t="shared" si="211"/>
        <v>#REF!</v>
      </c>
      <c r="M93" s="168" t="str">
        <f t="shared" si="211"/>
        <v>#REF!</v>
      </c>
      <c r="N93" s="168" t="str">
        <f t="shared" si="211"/>
        <v>#REF!</v>
      </c>
      <c r="O93" s="168" t="str">
        <f t="shared" si="211"/>
        <v>#REF!</v>
      </c>
      <c r="P93" s="168" t="str">
        <f t="shared" si="211"/>
        <v>#REF!</v>
      </c>
      <c r="Q93" s="168" t="str">
        <f t="shared" si="211"/>
        <v>#REF!</v>
      </c>
      <c r="R93" s="168" t="str">
        <f t="shared" si="211"/>
        <v>#REF!</v>
      </c>
      <c r="S93" s="168" t="str">
        <f t="shared" si="211"/>
        <v>#REF!</v>
      </c>
      <c r="T93" s="168" t="str">
        <f t="shared" si="211"/>
        <v>#REF!</v>
      </c>
      <c r="U93" s="168" t="str">
        <f t="shared" ref="U93:AJ93" si="212">#REF!</f>
        <v>#REF!</v>
      </c>
      <c r="V93" s="168" t="str">
        <f t="shared" si="212"/>
        <v>#REF!</v>
      </c>
      <c r="W93" s="168" t="str">
        <f t="shared" si="212"/>
        <v>#REF!</v>
      </c>
      <c r="X93" s="168" t="str">
        <f t="shared" si="212"/>
        <v>#REF!</v>
      </c>
      <c r="Y93" s="168" t="str">
        <f t="shared" si="212"/>
        <v>#REF!</v>
      </c>
      <c r="Z93" s="168" t="str">
        <f t="shared" si="212"/>
        <v>#REF!</v>
      </c>
      <c r="AA93" s="168" t="str">
        <f t="shared" si="212"/>
        <v>#REF!</v>
      </c>
      <c r="AB93" s="168" t="str">
        <f t="shared" si="212"/>
        <v>#REF!</v>
      </c>
      <c r="AC93" s="168" t="str">
        <f t="shared" si="212"/>
        <v>#REF!</v>
      </c>
      <c r="AD93" s="168" t="str">
        <f t="shared" si="212"/>
        <v>#REF!</v>
      </c>
      <c r="AE93" s="168" t="str">
        <f t="shared" si="212"/>
        <v>#REF!</v>
      </c>
      <c r="AF93" s="168" t="str">
        <f t="shared" si="212"/>
        <v>#REF!</v>
      </c>
      <c r="AG93" s="168" t="str">
        <f t="shared" si="212"/>
        <v>#REF!</v>
      </c>
      <c r="AH93" s="168" t="str">
        <f t="shared" si="212"/>
        <v>#REF!</v>
      </c>
      <c r="AI93" s="168" t="str">
        <f t="shared" si="212"/>
        <v>#REF!</v>
      </c>
      <c r="AJ93" s="168" t="str">
        <f t="shared" si="212"/>
        <v>#REF!</v>
      </c>
    </row>
    <row r="94" ht="15.75" customHeight="1">
      <c r="A94" s="168" t="str">
        <f t="shared" ref="A94:T94" si="213">if(#REF!=$D$1,#REF!,"")</f>
        <v>#REF!</v>
      </c>
      <c r="B94" s="168" t="str">
        <f t="shared" si="213"/>
        <v>#REF!</v>
      </c>
      <c r="C94" s="168" t="str">
        <f t="shared" si="213"/>
        <v>#REF!</v>
      </c>
      <c r="D94" s="168" t="str">
        <f t="shared" si="213"/>
        <v>#REF!</v>
      </c>
      <c r="E94" s="168" t="str">
        <f t="shared" si="213"/>
        <v>#REF!</v>
      </c>
      <c r="F94" s="168" t="str">
        <f t="shared" si="213"/>
        <v>#REF!</v>
      </c>
      <c r="G94" s="168" t="str">
        <f t="shared" si="213"/>
        <v>#REF!</v>
      </c>
      <c r="H94" s="168" t="str">
        <f t="shared" si="213"/>
        <v>#REF!</v>
      </c>
      <c r="I94" s="168" t="str">
        <f t="shared" si="213"/>
        <v>#REF!</v>
      </c>
      <c r="J94" s="168" t="str">
        <f t="shared" si="213"/>
        <v>#REF!</v>
      </c>
      <c r="K94" s="168" t="str">
        <f t="shared" si="213"/>
        <v>#REF!</v>
      </c>
      <c r="L94" s="168" t="str">
        <f t="shared" si="213"/>
        <v>#REF!</v>
      </c>
      <c r="M94" s="168" t="str">
        <f t="shared" si="213"/>
        <v>#REF!</v>
      </c>
      <c r="N94" s="168" t="str">
        <f t="shared" si="213"/>
        <v>#REF!</v>
      </c>
      <c r="O94" s="168" t="str">
        <f t="shared" si="213"/>
        <v>#REF!</v>
      </c>
      <c r="P94" s="168" t="str">
        <f t="shared" si="213"/>
        <v>#REF!</v>
      </c>
      <c r="Q94" s="168" t="str">
        <f t="shared" si="213"/>
        <v>#REF!</v>
      </c>
      <c r="R94" s="168" t="str">
        <f t="shared" si="213"/>
        <v>#REF!</v>
      </c>
      <c r="S94" s="168" t="str">
        <f t="shared" si="213"/>
        <v>#REF!</v>
      </c>
      <c r="T94" s="168" t="str">
        <f t="shared" si="213"/>
        <v>#REF!</v>
      </c>
      <c r="U94" s="168" t="str">
        <f t="shared" ref="U94:AJ94" si="214">#REF!</f>
        <v>#REF!</v>
      </c>
      <c r="V94" s="168" t="str">
        <f t="shared" si="214"/>
        <v>#REF!</v>
      </c>
      <c r="W94" s="168" t="str">
        <f t="shared" si="214"/>
        <v>#REF!</v>
      </c>
      <c r="X94" s="168" t="str">
        <f t="shared" si="214"/>
        <v>#REF!</v>
      </c>
      <c r="Y94" s="168" t="str">
        <f t="shared" si="214"/>
        <v>#REF!</v>
      </c>
      <c r="Z94" s="168" t="str">
        <f t="shared" si="214"/>
        <v>#REF!</v>
      </c>
      <c r="AA94" s="168" t="str">
        <f t="shared" si="214"/>
        <v>#REF!</v>
      </c>
      <c r="AB94" s="168" t="str">
        <f t="shared" si="214"/>
        <v>#REF!</v>
      </c>
      <c r="AC94" s="168" t="str">
        <f t="shared" si="214"/>
        <v>#REF!</v>
      </c>
      <c r="AD94" s="168" t="str">
        <f t="shared" si="214"/>
        <v>#REF!</v>
      </c>
      <c r="AE94" s="168" t="str">
        <f t="shared" si="214"/>
        <v>#REF!</v>
      </c>
      <c r="AF94" s="168" t="str">
        <f t="shared" si="214"/>
        <v>#REF!</v>
      </c>
      <c r="AG94" s="168" t="str">
        <f t="shared" si="214"/>
        <v>#REF!</v>
      </c>
      <c r="AH94" s="168" t="str">
        <f t="shared" si="214"/>
        <v>#REF!</v>
      </c>
      <c r="AI94" s="168" t="str">
        <f t="shared" si="214"/>
        <v>#REF!</v>
      </c>
      <c r="AJ94" s="168" t="str">
        <f t="shared" si="214"/>
        <v>#REF!</v>
      </c>
    </row>
    <row r="95" ht="15.75" customHeight="1">
      <c r="A95" s="168" t="str">
        <f t="shared" ref="A95:T95" si="215">if(#REF!=$D$1,#REF!,"")</f>
        <v>#REF!</v>
      </c>
      <c r="B95" s="168" t="str">
        <f t="shared" si="215"/>
        <v>#REF!</v>
      </c>
      <c r="C95" s="168" t="str">
        <f t="shared" si="215"/>
        <v>#REF!</v>
      </c>
      <c r="D95" s="168" t="str">
        <f t="shared" si="215"/>
        <v>#REF!</v>
      </c>
      <c r="E95" s="168" t="str">
        <f t="shared" si="215"/>
        <v>#REF!</v>
      </c>
      <c r="F95" s="168" t="str">
        <f t="shared" si="215"/>
        <v>#REF!</v>
      </c>
      <c r="G95" s="168" t="str">
        <f t="shared" si="215"/>
        <v>#REF!</v>
      </c>
      <c r="H95" s="168" t="str">
        <f t="shared" si="215"/>
        <v>#REF!</v>
      </c>
      <c r="I95" s="168" t="str">
        <f t="shared" si="215"/>
        <v>#REF!</v>
      </c>
      <c r="J95" s="168" t="str">
        <f t="shared" si="215"/>
        <v>#REF!</v>
      </c>
      <c r="K95" s="168" t="str">
        <f t="shared" si="215"/>
        <v>#REF!</v>
      </c>
      <c r="L95" s="168" t="str">
        <f t="shared" si="215"/>
        <v>#REF!</v>
      </c>
      <c r="M95" s="168" t="str">
        <f t="shared" si="215"/>
        <v>#REF!</v>
      </c>
      <c r="N95" s="168" t="str">
        <f t="shared" si="215"/>
        <v>#REF!</v>
      </c>
      <c r="O95" s="168" t="str">
        <f t="shared" si="215"/>
        <v>#REF!</v>
      </c>
      <c r="P95" s="168" t="str">
        <f t="shared" si="215"/>
        <v>#REF!</v>
      </c>
      <c r="Q95" s="168" t="str">
        <f t="shared" si="215"/>
        <v>#REF!</v>
      </c>
      <c r="R95" s="168" t="str">
        <f t="shared" si="215"/>
        <v>#REF!</v>
      </c>
      <c r="S95" s="168" t="str">
        <f t="shared" si="215"/>
        <v>#REF!</v>
      </c>
      <c r="T95" s="168" t="str">
        <f t="shared" si="215"/>
        <v>#REF!</v>
      </c>
      <c r="U95" s="168" t="str">
        <f t="shared" ref="U95:AJ95" si="216">#REF!</f>
        <v>#REF!</v>
      </c>
      <c r="V95" s="168" t="str">
        <f t="shared" si="216"/>
        <v>#REF!</v>
      </c>
      <c r="W95" s="168" t="str">
        <f t="shared" si="216"/>
        <v>#REF!</v>
      </c>
      <c r="X95" s="168" t="str">
        <f t="shared" si="216"/>
        <v>#REF!</v>
      </c>
      <c r="Y95" s="168" t="str">
        <f t="shared" si="216"/>
        <v>#REF!</v>
      </c>
      <c r="Z95" s="168" t="str">
        <f t="shared" si="216"/>
        <v>#REF!</v>
      </c>
      <c r="AA95" s="168" t="str">
        <f t="shared" si="216"/>
        <v>#REF!</v>
      </c>
      <c r="AB95" s="168" t="str">
        <f t="shared" si="216"/>
        <v>#REF!</v>
      </c>
      <c r="AC95" s="168" t="str">
        <f t="shared" si="216"/>
        <v>#REF!</v>
      </c>
      <c r="AD95" s="168" t="str">
        <f t="shared" si="216"/>
        <v>#REF!</v>
      </c>
      <c r="AE95" s="168" t="str">
        <f t="shared" si="216"/>
        <v>#REF!</v>
      </c>
      <c r="AF95" s="168" t="str">
        <f t="shared" si="216"/>
        <v>#REF!</v>
      </c>
      <c r="AG95" s="168" t="str">
        <f t="shared" si="216"/>
        <v>#REF!</v>
      </c>
      <c r="AH95" s="168" t="str">
        <f t="shared" si="216"/>
        <v>#REF!</v>
      </c>
      <c r="AI95" s="168" t="str">
        <f t="shared" si="216"/>
        <v>#REF!</v>
      </c>
      <c r="AJ95" s="168" t="str">
        <f t="shared" si="216"/>
        <v>#REF!</v>
      </c>
    </row>
    <row r="96" ht="15.75" customHeight="1">
      <c r="A96" s="168" t="str">
        <f>if('2026 Pipeline'!$M18=$D$1,'2026 Pipeline'!C18,"")</f>
        <v>#REF!</v>
      </c>
      <c r="B96" s="168" t="str">
        <f t="shared" ref="B96:C96" si="217">if('2026 Pipeline'!$M18=$D$1,'2026 Pipeline'!J18,"")</f>
        <v>#REF!</v>
      </c>
      <c r="C96" s="168" t="str">
        <f t="shared" si="217"/>
        <v>#REF!</v>
      </c>
      <c r="D96" s="168" t="str">
        <f t="shared" ref="D96:F96" si="218">if('2026 Pipeline'!$M18=$D$1,'2026 Pipeline'!M18,"")</f>
        <v>#REF!</v>
      </c>
      <c r="E96" s="168" t="str">
        <f t="shared" si="218"/>
        <v>#REF!</v>
      </c>
      <c r="F96" s="168" t="str">
        <f t="shared" si="218"/>
        <v>#REF!</v>
      </c>
      <c r="G96" s="168" t="str">
        <f>if('2026 Pipeline'!$M18=$D$1,'2026 Pipeline'!Q18,"")</f>
        <v>#REF!</v>
      </c>
      <c r="H96" s="168" t="str">
        <f>if('2026 Pipeline'!$M18=$D$1,'2026 Pipeline'!P18,"")</f>
        <v>#REF!</v>
      </c>
      <c r="I96" s="168" t="str">
        <f>if('2026 Pipeline'!$M18=$D$1,'2026 Pipeline'!R18,"")</f>
        <v>#REF!</v>
      </c>
      <c r="J96" s="168" t="str">
        <f t="shared" ref="J96:L96" si="219">if('2026 Pipeline'!$M18=$D$1,'2026 Pipeline'!V18,"")</f>
        <v>#REF!</v>
      </c>
      <c r="K96" s="168" t="str">
        <f t="shared" si="219"/>
        <v>#REF!</v>
      </c>
      <c r="L96" s="168" t="str">
        <f t="shared" si="219"/>
        <v>#REF!</v>
      </c>
      <c r="M96" s="168" t="str">
        <f t="shared" ref="M96:O96" si="220">if('2026 Pipeline'!$M18=$D$1,#REF!,"")</f>
        <v>#REF!</v>
      </c>
      <c r="N96" s="168" t="str">
        <f t="shared" si="220"/>
        <v>#REF!</v>
      </c>
      <c r="O96" s="168" t="str">
        <f t="shared" si="220"/>
        <v>#REF!</v>
      </c>
      <c r="P96" s="168" t="str">
        <f>if('2026 Pipeline'!$M18=$D$1,'2026 Pipeline'!AA18,"")</f>
        <v>#REF!</v>
      </c>
      <c r="Q96" s="168" t="str">
        <f>if('2026 Pipeline'!$M18=$D$1,'2026 Pipeline'!Y18,"")</f>
        <v>#REF!</v>
      </c>
      <c r="R96" s="168" t="str">
        <f>if('2026 Pipeline'!$M18=$D$1,#REF!,"")</f>
        <v>#REF!</v>
      </c>
      <c r="S96" s="168" t="str">
        <f>if('2026 Pipeline'!$M18=$D$1,'2026 Pipeline'!L18,"")</f>
        <v>#REF!</v>
      </c>
      <c r="T96" s="168" t="str">
        <f>if('2026 Pipeline'!$M18=$D$1,'2026 Pipeline'!CD18,"")</f>
        <v>#REF!</v>
      </c>
      <c r="U96" s="168" t="str">
        <f t="shared" ref="U96:AJ96" si="221">#REF!</f>
        <v>#REF!</v>
      </c>
      <c r="V96" s="168" t="str">
        <f t="shared" si="221"/>
        <v>#REF!</v>
      </c>
      <c r="W96" s="168" t="str">
        <f t="shared" si="221"/>
        <v>#REF!</v>
      </c>
      <c r="X96" s="168" t="str">
        <f t="shared" si="221"/>
        <v>#REF!</v>
      </c>
      <c r="Y96" s="168" t="str">
        <f t="shared" si="221"/>
        <v>#REF!</v>
      </c>
      <c r="Z96" s="168" t="str">
        <f t="shared" si="221"/>
        <v>#REF!</v>
      </c>
      <c r="AA96" s="168" t="str">
        <f t="shared" si="221"/>
        <v>#REF!</v>
      </c>
      <c r="AB96" s="168" t="str">
        <f t="shared" si="221"/>
        <v>#REF!</v>
      </c>
      <c r="AC96" s="168" t="str">
        <f t="shared" si="221"/>
        <v>#REF!</v>
      </c>
      <c r="AD96" s="168" t="str">
        <f t="shared" si="221"/>
        <v>#REF!</v>
      </c>
      <c r="AE96" s="168" t="str">
        <f t="shared" si="221"/>
        <v>#REF!</v>
      </c>
      <c r="AF96" s="168" t="str">
        <f t="shared" si="221"/>
        <v>#REF!</v>
      </c>
      <c r="AG96" s="168" t="str">
        <f t="shared" si="221"/>
        <v>#REF!</v>
      </c>
      <c r="AH96" s="168" t="str">
        <f t="shared" si="221"/>
        <v>#REF!</v>
      </c>
      <c r="AI96" s="168" t="str">
        <f t="shared" si="221"/>
        <v>#REF!</v>
      </c>
      <c r="AJ96" s="168" t="str">
        <f t="shared" si="221"/>
        <v>#REF!</v>
      </c>
    </row>
    <row r="97" ht="15.75" customHeight="1">
      <c r="A97" s="168" t="str">
        <f t="shared" ref="A97:T97" si="222">if(#REF!=$D$1,#REF!,"")</f>
        <v>#REF!</v>
      </c>
      <c r="B97" s="168" t="str">
        <f t="shared" si="222"/>
        <v>#REF!</v>
      </c>
      <c r="C97" s="168" t="str">
        <f t="shared" si="222"/>
        <v>#REF!</v>
      </c>
      <c r="D97" s="168" t="str">
        <f t="shared" si="222"/>
        <v>#REF!</v>
      </c>
      <c r="E97" s="168" t="str">
        <f t="shared" si="222"/>
        <v>#REF!</v>
      </c>
      <c r="F97" s="168" t="str">
        <f t="shared" si="222"/>
        <v>#REF!</v>
      </c>
      <c r="G97" s="168" t="str">
        <f t="shared" si="222"/>
        <v>#REF!</v>
      </c>
      <c r="H97" s="168" t="str">
        <f t="shared" si="222"/>
        <v>#REF!</v>
      </c>
      <c r="I97" s="168" t="str">
        <f t="shared" si="222"/>
        <v>#REF!</v>
      </c>
      <c r="J97" s="168" t="str">
        <f t="shared" si="222"/>
        <v>#REF!</v>
      </c>
      <c r="K97" s="168" t="str">
        <f t="shared" si="222"/>
        <v>#REF!</v>
      </c>
      <c r="L97" s="168" t="str">
        <f t="shared" si="222"/>
        <v>#REF!</v>
      </c>
      <c r="M97" s="168" t="str">
        <f t="shared" si="222"/>
        <v>#REF!</v>
      </c>
      <c r="N97" s="168" t="str">
        <f t="shared" si="222"/>
        <v>#REF!</v>
      </c>
      <c r="O97" s="168" t="str">
        <f t="shared" si="222"/>
        <v>#REF!</v>
      </c>
      <c r="P97" s="168" t="str">
        <f t="shared" si="222"/>
        <v>#REF!</v>
      </c>
      <c r="Q97" s="168" t="str">
        <f t="shared" si="222"/>
        <v>#REF!</v>
      </c>
      <c r="R97" s="168" t="str">
        <f t="shared" si="222"/>
        <v>#REF!</v>
      </c>
      <c r="S97" s="168" t="str">
        <f t="shared" si="222"/>
        <v>#REF!</v>
      </c>
      <c r="T97" s="168" t="str">
        <f t="shared" si="222"/>
        <v>#REF!</v>
      </c>
      <c r="U97" s="168" t="str">
        <f t="shared" ref="U97:AJ97" si="223">#REF!</f>
        <v>#REF!</v>
      </c>
      <c r="V97" s="168" t="str">
        <f t="shared" si="223"/>
        <v>#REF!</v>
      </c>
      <c r="W97" s="168" t="str">
        <f t="shared" si="223"/>
        <v>#REF!</v>
      </c>
      <c r="X97" s="168" t="str">
        <f t="shared" si="223"/>
        <v>#REF!</v>
      </c>
      <c r="Y97" s="168" t="str">
        <f t="shared" si="223"/>
        <v>#REF!</v>
      </c>
      <c r="Z97" s="168" t="str">
        <f t="shared" si="223"/>
        <v>#REF!</v>
      </c>
      <c r="AA97" s="168" t="str">
        <f t="shared" si="223"/>
        <v>#REF!</v>
      </c>
      <c r="AB97" s="168" t="str">
        <f t="shared" si="223"/>
        <v>#REF!</v>
      </c>
      <c r="AC97" s="168" t="str">
        <f t="shared" si="223"/>
        <v>#REF!</v>
      </c>
      <c r="AD97" s="168" t="str">
        <f t="shared" si="223"/>
        <v>#REF!</v>
      </c>
      <c r="AE97" s="168" t="str">
        <f t="shared" si="223"/>
        <v>#REF!</v>
      </c>
      <c r="AF97" s="168" t="str">
        <f t="shared" si="223"/>
        <v>#REF!</v>
      </c>
      <c r="AG97" s="168" t="str">
        <f t="shared" si="223"/>
        <v>#REF!</v>
      </c>
      <c r="AH97" s="168" t="str">
        <f t="shared" si="223"/>
        <v>#REF!</v>
      </c>
      <c r="AI97" s="168" t="str">
        <f t="shared" si="223"/>
        <v>#REF!</v>
      </c>
      <c r="AJ97" s="168" t="str">
        <f t="shared" si="223"/>
        <v>#REF!</v>
      </c>
    </row>
    <row r="98" ht="15.75" customHeight="1">
      <c r="A98" s="168" t="str">
        <f t="shared" ref="A98:T98" si="224">if(#REF!=$D$1,#REF!,"")</f>
        <v>#REF!</v>
      </c>
      <c r="B98" s="168" t="str">
        <f t="shared" si="224"/>
        <v>#REF!</v>
      </c>
      <c r="C98" s="168" t="str">
        <f t="shared" si="224"/>
        <v>#REF!</v>
      </c>
      <c r="D98" s="168" t="str">
        <f t="shared" si="224"/>
        <v>#REF!</v>
      </c>
      <c r="E98" s="168" t="str">
        <f t="shared" si="224"/>
        <v>#REF!</v>
      </c>
      <c r="F98" s="168" t="str">
        <f t="shared" si="224"/>
        <v>#REF!</v>
      </c>
      <c r="G98" s="168" t="str">
        <f t="shared" si="224"/>
        <v>#REF!</v>
      </c>
      <c r="H98" s="168" t="str">
        <f t="shared" si="224"/>
        <v>#REF!</v>
      </c>
      <c r="I98" s="168" t="str">
        <f t="shared" si="224"/>
        <v>#REF!</v>
      </c>
      <c r="J98" s="168" t="str">
        <f t="shared" si="224"/>
        <v>#REF!</v>
      </c>
      <c r="K98" s="168" t="str">
        <f t="shared" si="224"/>
        <v>#REF!</v>
      </c>
      <c r="L98" s="168" t="str">
        <f t="shared" si="224"/>
        <v>#REF!</v>
      </c>
      <c r="M98" s="168" t="str">
        <f t="shared" si="224"/>
        <v>#REF!</v>
      </c>
      <c r="N98" s="168" t="str">
        <f t="shared" si="224"/>
        <v>#REF!</v>
      </c>
      <c r="O98" s="168" t="str">
        <f t="shared" si="224"/>
        <v>#REF!</v>
      </c>
      <c r="P98" s="168" t="str">
        <f t="shared" si="224"/>
        <v>#REF!</v>
      </c>
      <c r="Q98" s="168" t="str">
        <f t="shared" si="224"/>
        <v>#REF!</v>
      </c>
      <c r="R98" s="168" t="str">
        <f t="shared" si="224"/>
        <v>#REF!</v>
      </c>
      <c r="S98" s="168" t="str">
        <f t="shared" si="224"/>
        <v>#REF!</v>
      </c>
      <c r="T98" s="168" t="str">
        <f t="shared" si="224"/>
        <v>#REF!</v>
      </c>
      <c r="U98" s="168" t="str">
        <f>'2026 Pipeline'!AP18</f>
        <v>#REF!</v>
      </c>
      <c r="V98" s="168" t="str">
        <f t="shared" ref="V98:Z98" si="225">'2026 Pipeline'!CJ18</f>
        <v>#REF!</v>
      </c>
      <c r="W98" s="168" t="str">
        <f t="shared" si="225"/>
        <v>#REF!</v>
      </c>
      <c r="X98" s="168" t="str">
        <f t="shared" si="225"/>
        <v>#REF!</v>
      </c>
      <c r="Y98" s="168" t="str">
        <f t="shared" si="225"/>
        <v>#REF!</v>
      </c>
      <c r="Z98" s="168" t="str">
        <f t="shared" si="225"/>
        <v>#REF!</v>
      </c>
      <c r="AA98" s="168" t="str">
        <f t="shared" ref="AA98:AF98" si="226">#REF!</f>
        <v>#REF!</v>
      </c>
      <c r="AB98" s="168" t="str">
        <f t="shared" si="226"/>
        <v>#REF!</v>
      </c>
      <c r="AC98" s="168" t="str">
        <f t="shared" si="226"/>
        <v>#REF!</v>
      </c>
      <c r="AD98" s="168" t="str">
        <f t="shared" si="226"/>
        <v>#REF!</v>
      </c>
      <c r="AE98" s="168" t="str">
        <f t="shared" si="226"/>
        <v>#REF!</v>
      </c>
      <c r="AF98" s="168" t="str">
        <f t="shared" si="226"/>
        <v>#REF!</v>
      </c>
      <c r="AG98" s="168" t="str">
        <f>'2026 Pipeline'!CT18</f>
        <v>#REF!</v>
      </c>
      <c r="AH98" s="168" t="str">
        <f>'2026 Pipeline'!S18</f>
        <v>#REF!</v>
      </c>
      <c r="AI98" s="168" t="str">
        <f t="shared" ref="AI98:AJ98" si="227">#REF!</f>
        <v>#REF!</v>
      </c>
      <c r="AJ98" s="168" t="str">
        <f t="shared" si="227"/>
        <v>#REF!</v>
      </c>
    </row>
    <row r="99" ht="15.75" customHeight="1">
      <c r="A99" s="168" t="str">
        <f t="shared" ref="A99:T99" si="228">if(#REF!=$D$1,#REF!,"")</f>
        <v>#REF!</v>
      </c>
      <c r="B99" s="168" t="str">
        <f t="shared" si="228"/>
        <v>#REF!</v>
      </c>
      <c r="C99" s="168" t="str">
        <f t="shared" si="228"/>
        <v>#REF!</v>
      </c>
      <c r="D99" s="168" t="str">
        <f t="shared" si="228"/>
        <v>#REF!</v>
      </c>
      <c r="E99" s="168" t="str">
        <f t="shared" si="228"/>
        <v>#REF!</v>
      </c>
      <c r="F99" s="168" t="str">
        <f t="shared" si="228"/>
        <v>#REF!</v>
      </c>
      <c r="G99" s="168" t="str">
        <f t="shared" si="228"/>
        <v>#REF!</v>
      </c>
      <c r="H99" s="168" t="str">
        <f t="shared" si="228"/>
        <v>#REF!</v>
      </c>
      <c r="I99" s="168" t="str">
        <f t="shared" si="228"/>
        <v>#REF!</v>
      </c>
      <c r="J99" s="168" t="str">
        <f t="shared" si="228"/>
        <v>#REF!</v>
      </c>
      <c r="K99" s="168" t="str">
        <f t="shared" si="228"/>
        <v>#REF!</v>
      </c>
      <c r="L99" s="168" t="str">
        <f t="shared" si="228"/>
        <v>#REF!</v>
      </c>
      <c r="M99" s="168" t="str">
        <f t="shared" si="228"/>
        <v>#REF!</v>
      </c>
      <c r="N99" s="168" t="str">
        <f t="shared" si="228"/>
        <v>#REF!</v>
      </c>
      <c r="O99" s="168" t="str">
        <f t="shared" si="228"/>
        <v>#REF!</v>
      </c>
      <c r="P99" s="168" t="str">
        <f t="shared" si="228"/>
        <v>#REF!</v>
      </c>
      <c r="Q99" s="168" t="str">
        <f t="shared" si="228"/>
        <v>#REF!</v>
      </c>
      <c r="R99" s="168" t="str">
        <f t="shared" si="228"/>
        <v>#REF!</v>
      </c>
      <c r="S99" s="168" t="str">
        <f t="shared" si="228"/>
        <v>#REF!</v>
      </c>
      <c r="T99" s="168" t="str">
        <f t="shared" si="228"/>
        <v>#REF!</v>
      </c>
      <c r="U99" s="168" t="str">
        <f t="shared" ref="U99:AJ99" si="229">#REF!</f>
        <v>#REF!</v>
      </c>
      <c r="V99" s="168" t="str">
        <f t="shared" si="229"/>
        <v>#REF!</v>
      </c>
      <c r="W99" s="168" t="str">
        <f t="shared" si="229"/>
        <v>#REF!</v>
      </c>
      <c r="X99" s="168" t="str">
        <f t="shared" si="229"/>
        <v>#REF!</v>
      </c>
      <c r="Y99" s="168" t="str">
        <f t="shared" si="229"/>
        <v>#REF!</v>
      </c>
      <c r="Z99" s="168" t="str">
        <f t="shared" si="229"/>
        <v>#REF!</v>
      </c>
      <c r="AA99" s="168" t="str">
        <f t="shared" si="229"/>
        <v>#REF!</v>
      </c>
      <c r="AB99" s="168" t="str">
        <f t="shared" si="229"/>
        <v>#REF!</v>
      </c>
      <c r="AC99" s="168" t="str">
        <f t="shared" si="229"/>
        <v>#REF!</v>
      </c>
      <c r="AD99" s="168" t="str">
        <f t="shared" si="229"/>
        <v>#REF!</v>
      </c>
      <c r="AE99" s="168" t="str">
        <f t="shared" si="229"/>
        <v>#REF!</v>
      </c>
      <c r="AF99" s="168" t="str">
        <f t="shared" si="229"/>
        <v>#REF!</v>
      </c>
      <c r="AG99" s="168" t="str">
        <f t="shared" si="229"/>
        <v>#REF!</v>
      </c>
      <c r="AH99" s="168" t="str">
        <f t="shared" si="229"/>
        <v>#REF!</v>
      </c>
      <c r="AI99" s="168" t="str">
        <f t="shared" si="229"/>
        <v>#REF!</v>
      </c>
      <c r="AJ99" s="168" t="str">
        <f t="shared" si="229"/>
        <v>#REF!</v>
      </c>
    </row>
    <row r="100" ht="15.75" customHeight="1">
      <c r="A100" s="168" t="str">
        <f t="shared" ref="A100:T100" si="230">if(#REF!=$D$1,#REF!,"")</f>
        <v>#REF!</v>
      </c>
      <c r="B100" s="168" t="str">
        <f t="shared" si="230"/>
        <v>#REF!</v>
      </c>
      <c r="C100" s="168" t="str">
        <f t="shared" si="230"/>
        <v>#REF!</v>
      </c>
      <c r="D100" s="168" t="str">
        <f t="shared" si="230"/>
        <v>#REF!</v>
      </c>
      <c r="E100" s="168" t="str">
        <f t="shared" si="230"/>
        <v>#REF!</v>
      </c>
      <c r="F100" s="168" t="str">
        <f t="shared" si="230"/>
        <v>#REF!</v>
      </c>
      <c r="G100" s="168" t="str">
        <f t="shared" si="230"/>
        <v>#REF!</v>
      </c>
      <c r="H100" s="168" t="str">
        <f t="shared" si="230"/>
        <v>#REF!</v>
      </c>
      <c r="I100" s="168" t="str">
        <f t="shared" si="230"/>
        <v>#REF!</v>
      </c>
      <c r="J100" s="168" t="str">
        <f t="shared" si="230"/>
        <v>#REF!</v>
      </c>
      <c r="K100" s="168" t="str">
        <f t="shared" si="230"/>
        <v>#REF!</v>
      </c>
      <c r="L100" s="168" t="str">
        <f t="shared" si="230"/>
        <v>#REF!</v>
      </c>
      <c r="M100" s="168" t="str">
        <f t="shared" si="230"/>
        <v>#REF!</v>
      </c>
      <c r="N100" s="168" t="str">
        <f t="shared" si="230"/>
        <v>#REF!</v>
      </c>
      <c r="O100" s="168" t="str">
        <f t="shared" si="230"/>
        <v>#REF!</v>
      </c>
      <c r="P100" s="168" t="str">
        <f t="shared" si="230"/>
        <v>#REF!</v>
      </c>
      <c r="Q100" s="168" t="str">
        <f t="shared" si="230"/>
        <v>#REF!</v>
      </c>
      <c r="R100" s="168" t="str">
        <f t="shared" si="230"/>
        <v>#REF!</v>
      </c>
      <c r="S100" s="168" t="str">
        <f t="shared" si="230"/>
        <v>#REF!</v>
      </c>
      <c r="T100" s="168" t="str">
        <f t="shared" si="230"/>
        <v>#REF!</v>
      </c>
      <c r="U100" s="168" t="str">
        <f t="shared" ref="U100:AJ100" si="231">#REF!</f>
        <v>#REF!</v>
      </c>
      <c r="V100" s="168" t="str">
        <f t="shared" si="231"/>
        <v>#REF!</v>
      </c>
      <c r="W100" s="168" t="str">
        <f t="shared" si="231"/>
        <v>#REF!</v>
      </c>
      <c r="X100" s="168" t="str">
        <f t="shared" si="231"/>
        <v>#REF!</v>
      </c>
      <c r="Y100" s="168" t="str">
        <f t="shared" si="231"/>
        <v>#REF!</v>
      </c>
      <c r="Z100" s="168" t="str">
        <f t="shared" si="231"/>
        <v>#REF!</v>
      </c>
      <c r="AA100" s="168" t="str">
        <f t="shared" si="231"/>
        <v>#REF!</v>
      </c>
      <c r="AB100" s="168" t="str">
        <f t="shared" si="231"/>
        <v>#REF!</v>
      </c>
      <c r="AC100" s="168" t="str">
        <f t="shared" si="231"/>
        <v>#REF!</v>
      </c>
      <c r="AD100" s="168" t="str">
        <f t="shared" si="231"/>
        <v>#REF!</v>
      </c>
      <c r="AE100" s="168" t="str">
        <f t="shared" si="231"/>
        <v>#REF!</v>
      </c>
      <c r="AF100" s="168" t="str">
        <f t="shared" si="231"/>
        <v>#REF!</v>
      </c>
      <c r="AG100" s="168" t="str">
        <f t="shared" si="231"/>
        <v>#REF!</v>
      </c>
      <c r="AH100" s="168" t="str">
        <f t="shared" si="231"/>
        <v>#REF!</v>
      </c>
      <c r="AI100" s="168" t="str">
        <f t="shared" si="231"/>
        <v>#REF!</v>
      </c>
      <c r="AJ100" s="168" t="str">
        <f t="shared" si="231"/>
        <v>#REF!</v>
      </c>
    </row>
    <row r="101" ht="15.75" customHeight="1">
      <c r="A101" s="168" t="str">
        <f t="shared" ref="A101:T101" si="232">if(#REF!=$D$1,#REF!,"")</f>
        <v>#REF!</v>
      </c>
      <c r="B101" s="168" t="str">
        <f t="shared" si="232"/>
        <v>#REF!</v>
      </c>
      <c r="C101" s="168" t="str">
        <f t="shared" si="232"/>
        <v>#REF!</v>
      </c>
      <c r="D101" s="168" t="str">
        <f t="shared" si="232"/>
        <v>#REF!</v>
      </c>
      <c r="E101" s="168" t="str">
        <f t="shared" si="232"/>
        <v>#REF!</v>
      </c>
      <c r="F101" s="168" t="str">
        <f t="shared" si="232"/>
        <v>#REF!</v>
      </c>
      <c r="G101" s="168" t="str">
        <f t="shared" si="232"/>
        <v>#REF!</v>
      </c>
      <c r="H101" s="168" t="str">
        <f t="shared" si="232"/>
        <v>#REF!</v>
      </c>
      <c r="I101" s="168" t="str">
        <f t="shared" si="232"/>
        <v>#REF!</v>
      </c>
      <c r="J101" s="168" t="str">
        <f t="shared" si="232"/>
        <v>#REF!</v>
      </c>
      <c r="K101" s="168" t="str">
        <f t="shared" si="232"/>
        <v>#REF!</v>
      </c>
      <c r="L101" s="168" t="str">
        <f t="shared" si="232"/>
        <v>#REF!</v>
      </c>
      <c r="M101" s="168" t="str">
        <f t="shared" si="232"/>
        <v>#REF!</v>
      </c>
      <c r="N101" s="168" t="str">
        <f t="shared" si="232"/>
        <v>#REF!</v>
      </c>
      <c r="O101" s="168" t="str">
        <f t="shared" si="232"/>
        <v>#REF!</v>
      </c>
      <c r="P101" s="168" t="str">
        <f t="shared" si="232"/>
        <v>#REF!</v>
      </c>
      <c r="Q101" s="168" t="str">
        <f t="shared" si="232"/>
        <v>#REF!</v>
      </c>
      <c r="R101" s="168" t="str">
        <f t="shared" si="232"/>
        <v>#REF!</v>
      </c>
      <c r="S101" s="168" t="str">
        <f t="shared" si="232"/>
        <v>#REF!</v>
      </c>
      <c r="T101" s="168" t="str">
        <f t="shared" si="232"/>
        <v>#REF!</v>
      </c>
      <c r="U101" s="168" t="str">
        <f t="shared" ref="U101:AJ101" si="233">#REF!</f>
        <v>#REF!</v>
      </c>
      <c r="V101" s="168" t="str">
        <f t="shared" si="233"/>
        <v>#REF!</v>
      </c>
      <c r="W101" s="168" t="str">
        <f t="shared" si="233"/>
        <v>#REF!</v>
      </c>
      <c r="X101" s="168" t="str">
        <f t="shared" si="233"/>
        <v>#REF!</v>
      </c>
      <c r="Y101" s="168" t="str">
        <f t="shared" si="233"/>
        <v>#REF!</v>
      </c>
      <c r="Z101" s="168" t="str">
        <f t="shared" si="233"/>
        <v>#REF!</v>
      </c>
      <c r="AA101" s="168" t="str">
        <f t="shared" si="233"/>
        <v>#REF!</v>
      </c>
      <c r="AB101" s="168" t="str">
        <f t="shared" si="233"/>
        <v>#REF!</v>
      </c>
      <c r="AC101" s="168" t="str">
        <f t="shared" si="233"/>
        <v>#REF!</v>
      </c>
      <c r="AD101" s="168" t="str">
        <f t="shared" si="233"/>
        <v>#REF!</v>
      </c>
      <c r="AE101" s="168" t="str">
        <f t="shared" si="233"/>
        <v>#REF!</v>
      </c>
      <c r="AF101" s="168" t="str">
        <f t="shared" si="233"/>
        <v>#REF!</v>
      </c>
      <c r="AG101" s="168" t="str">
        <f t="shared" si="233"/>
        <v>#REF!</v>
      </c>
      <c r="AH101" s="168" t="str">
        <f t="shared" si="233"/>
        <v>#REF!</v>
      </c>
      <c r="AI101" s="168" t="str">
        <f t="shared" si="233"/>
        <v>#REF!</v>
      </c>
      <c r="AJ101" s="168" t="str">
        <f t="shared" si="233"/>
        <v>#REF!</v>
      </c>
    </row>
    <row r="102" ht="15.75" customHeight="1">
      <c r="A102" s="168" t="str">
        <f t="shared" ref="A102:T102" si="234">if(#REF!=$D$1,#REF!,"")</f>
        <v>#REF!</v>
      </c>
      <c r="B102" s="168" t="str">
        <f t="shared" si="234"/>
        <v>#REF!</v>
      </c>
      <c r="C102" s="168" t="str">
        <f t="shared" si="234"/>
        <v>#REF!</v>
      </c>
      <c r="D102" s="168" t="str">
        <f t="shared" si="234"/>
        <v>#REF!</v>
      </c>
      <c r="E102" s="168" t="str">
        <f t="shared" si="234"/>
        <v>#REF!</v>
      </c>
      <c r="F102" s="168" t="str">
        <f t="shared" si="234"/>
        <v>#REF!</v>
      </c>
      <c r="G102" s="168" t="str">
        <f t="shared" si="234"/>
        <v>#REF!</v>
      </c>
      <c r="H102" s="168" t="str">
        <f t="shared" si="234"/>
        <v>#REF!</v>
      </c>
      <c r="I102" s="168" t="str">
        <f t="shared" si="234"/>
        <v>#REF!</v>
      </c>
      <c r="J102" s="168" t="str">
        <f t="shared" si="234"/>
        <v>#REF!</v>
      </c>
      <c r="K102" s="168" t="str">
        <f t="shared" si="234"/>
        <v>#REF!</v>
      </c>
      <c r="L102" s="168" t="str">
        <f t="shared" si="234"/>
        <v>#REF!</v>
      </c>
      <c r="M102" s="168" t="str">
        <f t="shared" si="234"/>
        <v>#REF!</v>
      </c>
      <c r="N102" s="168" t="str">
        <f t="shared" si="234"/>
        <v>#REF!</v>
      </c>
      <c r="O102" s="168" t="str">
        <f t="shared" si="234"/>
        <v>#REF!</v>
      </c>
      <c r="P102" s="168" t="str">
        <f t="shared" si="234"/>
        <v>#REF!</v>
      </c>
      <c r="Q102" s="168" t="str">
        <f t="shared" si="234"/>
        <v>#REF!</v>
      </c>
      <c r="R102" s="168" t="str">
        <f t="shared" si="234"/>
        <v>#REF!</v>
      </c>
      <c r="S102" s="168" t="str">
        <f t="shared" si="234"/>
        <v>#REF!</v>
      </c>
      <c r="T102" s="168" t="str">
        <f t="shared" si="234"/>
        <v>#REF!</v>
      </c>
      <c r="U102" s="168" t="str">
        <f t="shared" ref="U102:AJ102" si="235">#REF!</f>
        <v>#REF!</v>
      </c>
      <c r="V102" s="168" t="str">
        <f t="shared" si="235"/>
        <v>#REF!</v>
      </c>
      <c r="W102" s="168" t="str">
        <f t="shared" si="235"/>
        <v>#REF!</v>
      </c>
      <c r="X102" s="168" t="str">
        <f t="shared" si="235"/>
        <v>#REF!</v>
      </c>
      <c r="Y102" s="168" t="str">
        <f t="shared" si="235"/>
        <v>#REF!</v>
      </c>
      <c r="Z102" s="168" t="str">
        <f t="shared" si="235"/>
        <v>#REF!</v>
      </c>
      <c r="AA102" s="168" t="str">
        <f t="shared" si="235"/>
        <v>#REF!</v>
      </c>
      <c r="AB102" s="168" t="str">
        <f t="shared" si="235"/>
        <v>#REF!</v>
      </c>
      <c r="AC102" s="168" t="str">
        <f t="shared" si="235"/>
        <v>#REF!</v>
      </c>
      <c r="AD102" s="168" t="str">
        <f t="shared" si="235"/>
        <v>#REF!</v>
      </c>
      <c r="AE102" s="168" t="str">
        <f t="shared" si="235"/>
        <v>#REF!</v>
      </c>
      <c r="AF102" s="168" t="str">
        <f t="shared" si="235"/>
        <v>#REF!</v>
      </c>
      <c r="AG102" s="168" t="str">
        <f t="shared" si="235"/>
        <v>#REF!</v>
      </c>
      <c r="AH102" s="168" t="str">
        <f t="shared" si="235"/>
        <v>#REF!</v>
      </c>
      <c r="AI102" s="168" t="str">
        <f t="shared" si="235"/>
        <v>#REF!</v>
      </c>
      <c r="AJ102" s="168" t="str">
        <f t="shared" si="235"/>
        <v>#REF!</v>
      </c>
    </row>
    <row r="103" ht="15.75" customHeight="1">
      <c r="A103" s="168" t="str">
        <f t="shared" ref="A103:T103" si="236">if(#REF!=$D$1,#REF!,"")</f>
        <v>#REF!</v>
      </c>
      <c r="B103" s="168" t="str">
        <f t="shared" si="236"/>
        <v>#REF!</v>
      </c>
      <c r="C103" s="168" t="str">
        <f t="shared" si="236"/>
        <v>#REF!</v>
      </c>
      <c r="D103" s="168" t="str">
        <f t="shared" si="236"/>
        <v>#REF!</v>
      </c>
      <c r="E103" s="168" t="str">
        <f t="shared" si="236"/>
        <v>#REF!</v>
      </c>
      <c r="F103" s="168" t="str">
        <f t="shared" si="236"/>
        <v>#REF!</v>
      </c>
      <c r="G103" s="168" t="str">
        <f t="shared" si="236"/>
        <v>#REF!</v>
      </c>
      <c r="H103" s="168" t="str">
        <f t="shared" si="236"/>
        <v>#REF!</v>
      </c>
      <c r="I103" s="168" t="str">
        <f t="shared" si="236"/>
        <v>#REF!</v>
      </c>
      <c r="J103" s="168" t="str">
        <f t="shared" si="236"/>
        <v>#REF!</v>
      </c>
      <c r="K103" s="168" t="str">
        <f t="shared" si="236"/>
        <v>#REF!</v>
      </c>
      <c r="L103" s="168" t="str">
        <f t="shared" si="236"/>
        <v>#REF!</v>
      </c>
      <c r="M103" s="168" t="str">
        <f t="shared" si="236"/>
        <v>#REF!</v>
      </c>
      <c r="N103" s="168" t="str">
        <f t="shared" si="236"/>
        <v>#REF!</v>
      </c>
      <c r="O103" s="168" t="str">
        <f t="shared" si="236"/>
        <v>#REF!</v>
      </c>
      <c r="P103" s="168" t="str">
        <f t="shared" si="236"/>
        <v>#REF!</v>
      </c>
      <c r="Q103" s="168" t="str">
        <f t="shared" si="236"/>
        <v>#REF!</v>
      </c>
      <c r="R103" s="168" t="str">
        <f t="shared" si="236"/>
        <v>#REF!</v>
      </c>
      <c r="S103" s="168" t="str">
        <f t="shared" si="236"/>
        <v>#REF!</v>
      </c>
      <c r="T103" s="168" t="str">
        <f t="shared" si="236"/>
        <v>#REF!</v>
      </c>
      <c r="U103" s="168" t="str">
        <f t="shared" ref="U103:AJ103" si="237">#REF!</f>
        <v>#REF!</v>
      </c>
      <c r="V103" s="168" t="str">
        <f t="shared" si="237"/>
        <v>#REF!</v>
      </c>
      <c r="W103" s="168" t="str">
        <f t="shared" si="237"/>
        <v>#REF!</v>
      </c>
      <c r="X103" s="168" t="str">
        <f t="shared" si="237"/>
        <v>#REF!</v>
      </c>
      <c r="Y103" s="168" t="str">
        <f t="shared" si="237"/>
        <v>#REF!</v>
      </c>
      <c r="Z103" s="168" t="str">
        <f t="shared" si="237"/>
        <v>#REF!</v>
      </c>
      <c r="AA103" s="168" t="str">
        <f t="shared" si="237"/>
        <v>#REF!</v>
      </c>
      <c r="AB103" s="168" t="str">
        <f t="shared" si="237"/>
        <v>#REF!</v>
      </c>
      <c r="AC103" s="168" t="str">
        <f t="shared" si="237"/>
        <v>#REF!</v>
      </c>
      <c r="AD103" s="168" t="str">
        <f t="shared" si="237"/>
        <v>#REF!</v>
      </c>
      <c r="AE103" s="168" t="str">
        <f t="shared" si="237"/>
        <v>#REF!</v>
      </c>
      <c r="AF103" s="168" t="str">
        <f t="shared" si="237"/>
        <v>#REF!</v>
      </c>
      <c r="AG103" s="168" t="str">
        <f t="shared" si="237"/>
        <v>#REF!</v>
      </c>
      <c r="AH103" s="168" t="str">
        <f t="shared" si="237"/>
        <v>#REF!</v>
      </c>
      <c r="AI103" s="168" t="str">
        <f t="shared" si="237"/>
        <v>#REF!</v>
      </c>
      <c r="AJ103" s="168" t="str">
        <f t="shared" si="237"/>
        <v>#REF!</v>
      </c>
    </row>
    <row r="104" ht="15.75" customHeight="1">
      <c r="A104" s="168" t="str">
        <f t="shared" ref="A104:T104" si="238">if(#REF!=$D$1,#REF!,"")</f>
        <v>#REF!</v>
      </c>
      <c r="B104" s="168" t="str">
        <f t="shared" si="238"/>
        <v>#REF!</v>
      </c>
      <c r="C104" s="168" t="str">
        <f t="shared" si="238"/>
        <v>#REF!</v>
      </c>
      <c r="D104" s="168" t="str">
        <f t="shared" si="238"/>
        <v>#REF!</v>
      </c>
      <c r="E104" s="168" t="str">
        <f t="shared" si="238"/>
        <v>#REF!</v>
      </c>
      <c r="F104" s="168" t="str">
        <f t="shared" si="238"/>
        <v>#REF!</v>
      </c>
      <c r="G104" s="168" t="str">
        <f t="shared" si="238"/>
        <v>#REF!</v>
      </c>
      <c r="H104" s="168" t="str">
        <f t="shared" si="238"/>
        <v>#REF!</v>
      </c>
      <c r="I104" s="168" t="str">
        <f t="shared" si="238"/>
        <v>#REF!</v>
      </c>
      <c r="J104" s="168" t="str">
        <f t="shared" si="238"/>
        <v>#REF!</v>
      </c>
      <c r="K104" s="168" t="str">
        <f t="shared" si="238"/>
        <v>#REF!</v>
      </c>
      <c r="L104" s="168" t="str">
        <f t="shared" si="238"/>
        <v>#REF!</v>
      </c>
      <c r="M104" s="168" t="str">
        <f t="shared" si="238"/>
        <v>#REF!</v>
      </c>
      <c r="N104" s="168" t="str">
        <f t="shared" si="238"/>
        <v>#REF!</v>
      </c>
      <c r="O104" s="168" t="str">
        <f t="shared" si="238"/>
        <v>#REF!</v>
      </c>
      <c r="P104" s="168" t="str">
        <f t="shared" si="238"/>
        <v>#REF!</v>
      </c>
      <c r="Q104" s="168" t="str">
        <f t="shared" si="238"/>
        <v>#REF!</v>
      </c>
      <c r="R104" s="168" t="str">
        <f t="shared" si="238"/>
        <v>#REF!</v>
      </c>
      <c r="S104" s="168" t="str">
        <f t="shared" si="238"/>
        <v>#REF!</v>
      </c>
      <c r="T104" s="168" t="str">
        <f t="shared" si="238"/>
        <v>#REF!</v>
      </c>
      <c r="U104" s="168" t="str">
        <f t="shared" ref="U104:AJ104" si="239">#REF!</f>
        <v>#REF!</v>
      </c>
      <c r="V104" s="168" t="str">
        <f t="shared" si="239"/>
        <v>#REF!</v>
      </c>
      <c r="W104" s="168" t="str">
        <f t="shared" si="239"/>
        <v>#REF!</v>
      </c>
      <c r="X104" s="168" t="str">
        <f t="shared" si="239"/>
        <v>#REF!</v>
      </c>
      <c r="Y104" s="168" t="str">
        <f t="shared" si="239"/>
        <v>#REF!</v>
      </c>
      <c r="Z104" s="168" t="str">
        <f t="shared" si="239"/>
        <v>#REF!</v>
      </c>
      <c r="AA104" s="168" t="str">
        <f t="shared" si="239"/>
        <v>#REF!</v>
      </c>
      <c r="AB104" s="168" t="str">
        <f t="shared" si="239"/>
        <v>#REF!</v>
      </c>
      <c r="AC104" s="168" t="str">
        <f t="shared" si="239"/>
        <v>#REF!</v>
      </c>
      <c r="AD104" s="168" t="str">
        <f t="shared" si="239"/>
        <v>#REF!</v>
      </c>
      <c r="AE104" s="168" t="str">
        <f t="shared" si="239"/>
        <v>#REF!</v>
      </c>
      <c r="AF104" s="168" t="str">
        <f t="shared" si="239"/>
        <v>#REF!</v>
      </c>
      <c r="AG104" s="168" t="str">
        <f t="shared" si="239"/>
        <v>#REF!</v>
      </c>
      <c r="AH104" s="168" t="str">
        <f t="shared" si="239"/>
        <v>#REF!</v>
      </c>
      <c r="AI104" s="168" t="str">
        <f t="shared" si="239"/>
        <v>#REF!</v>
      </c>
      <c r="AJ104" s="168" t="str">
        <f t="shared" si="239"/>
        <v>#REF!</v>
      </c>
    </row>
    <row r="105" ht="15.75" customHeight="1">
      <c r="A105" s="168" t="str">
        <f t="shared" ref="A105:T105" si="240">if(#REF!=$D$1,#REF!,"")</f>
        <v>#REF!</v>
      </c>
      <c r="B105" s="168" t="str">
        <f t="shared" si="240"/>
        <v>#REF!</v>
      </c>
      <c r="C105" s="168" t="str">
        <f t="shared" si="240"/>
        <v>#REF!</v>
      </c>
      <c r="D105" s="168" t="str">
        <f t="shared" si="240"/>
        <v>#REF!</v>
      </c>
      <c r="E105" s="168" t="str">
        <f t="shared" si="240"/>
        <v>#REF!</v>
      </c>
      <c r="F105" s="168" t="str">
        <f t="shared" si="240"/>
        <v>#REF!</v>
      </c>
      <c r="G105" s="168" t="str">
        <f t="shared" si="240"/>
        <v>#REF!</v>
      </c>
      <c r="H105" s="168" t="str">
        <f t="shared" si="240"/>
        <v>#REF!</v>
      </c>
      <c r="I105" s="168" t="str">
        <f t="shared" si="240"/>
        <v>#REF!</v>
      </c>
      <c r="J105" s="168" t="str">
        <f t="shared" si="240"/>
        <v>#REF!</v>
      </c>
      <c r="K105" s="168" t="str">
        <f t="shared" si="240"/>
        <v>#REF!</v>
      </c>
      <c r="L105" s="168" t="str">
        <f t="shared" si="240"/>
        <v>#REF!</v>
      </c>
      <c r="M105" s="168" t="str">
        <f t="shared" si="240"/>
        <v>#REF!</v>
      </c>
      <c r="N105" s="168" t="str">
        <f t="shared" si="240"/>
        <v>#REF!</v>
      </c>
      <c r="O105" s="168" t="str">
        <f t="shared" si="240"/>
        <v>#REF!</v>
      </c>
      <c r="P105" s="168" t="str">
        <f t="shared" si="240"/>
        <v>#REF!</v>
      </c>
      <c r="Q105" s="168" t="str">
        <f t="shared" si="240"/>
        <v>#REF!</v>
      </c>
      <c r="R105" s="168" t="str">
        <f t="shared" si="240"/>
        <v>#REF!</v>
      </c>
      <c r="S105" s="168" t="str">
        <f t="shared" si="240"/>
        <v>#REF!</v>
      </c>
      <c r="T105" s="168" t="str">
        <f t="shared" si="240"/>
        <v>#REF!</v>
      </c>
      <c r="U105" s="168" t="str">
        <f t="shared" ref="U105:AJ105" si="241">#REF!</f>
        <v>#REF!</v>
      </c>
      <c r="V105" s="168" t="str">
        <f t="shared" si="241"/>
        <v>#REF!</v>
      </c>
      <c r="W105" s="168" t="str">
        <f t="shared" si="241"/>
        <v>#REF!</v>
      </c>
      <c r="X105" s="168" t="str">
        <f t="shared" si="241"/>
        <v>#REF!</v>
      </c>
      <c r="Y105" s="168" t="str">
        <f t="shared" si="241"/>
        <v>#REF!</v>
      </c>
      <c r="Z105" s="168" t="str">
        <f t="shared" si="241"/>
        <v>#REF!</v>
      </c>
      <c r="AA105" s="168" t="str">
        <f t="shared" si="241"/>
        <v>#REF!</v>
      </c>
      <c r="AB105" s="168" t="str">
        <f t="shared" si="241"/>
        <v>#REF!</v>
      </c>
      <c r="AC105" s="168" t="str">
        <f t="shared" si="241"/>
        <v>#REF!</v>
      </c>
      <c r="AD105" s="168" t="str">
        <f t="shared" si="241"/>
        <v>#REF!</v>
      </c>
      <c r="AE105" s="168" t="str">
        <f t="shared" si="241"/>
        <v>#REF!</v>
      </c>
      <c r="AF105" s="168" t="str">
        <f t="shared" si="241"/>
        <v>#REF!</v>
      </c>
      <c r="AG105" s="168" t="str">
        <f t="shared" si="241"/>
        <v>#REF!</v>
      </c>
      <c r="AH105" s="168" t="str">
        <f t="shared" si="241"/>
        <v>#REF!</v>
      </c>
      <c r="AI105" s="168" t="str">
        <f t="shared" si="241"/>
        <v>#REF!</v>
      </c>
      <c r="AJ105" s="168" t="str">
        <f t="shared" si="241"/>
        <v>#REF!</v>
      </c>
    </row>
    <row r="106" ht="15.75" customHeight="1">
      <c r="A106" s="168" t="str">
        <f t="shared" ref="A106:T106" si="242">if(#REF!=$D$1,#REF!,"")</f>
        <v>#REF!</v>
      </c>
      <c r="B106" s="168" t="str">
        <f t="shared" si="242"/>
        <v>#REF!</v>
      </c>
      <c r="C106" s="168" t="str">
        <f t="shared" si="242"/>
        <v>#REF!</v>
      </c>
      <c r="D106" s="168" t="str">
        <f t="shared" si="242"/>
        <v>#REF!</v>
      </c>
      <c r="E106" s="168" t="str">
        <f t="shared" si="242"/>
        <v>#REF!</v>
      </c>
      <c r="F106" s="168" t="str">
        <f t="shared" si="242"/>
        <v>#REF!</v>
      </c>
      <c r="G106" s="168" t="str">
        <f t="shared" si="242"/>
        <v>#REF!</v>
      </c>
      <c r="H106" s="168" t="str">
        <f t="shared" si="242"/>
        <v>#REF!</v>
      </c>
      <c r="I106" s="168" t="str">
        <f t="shared" si="242"/>
        <v>#REF!</v>
      </c>
      <c r="J106" s="168" t="str">
        <f t="shared" si="242"/>
        <v>#REF!</v>
      </c>
      <c r="K106" s="168" t="str">
        <f t="shared" si="242"/>
        <v>#REF!</v>
      </c>
      <c r="L106" s="168" t="str">
        <f t="shared" si="242"/>
        <v>#REF!</v>
      </c>
      <c r="M106" s="168" t="str">
        <f t="shared" si="242"/>
        <v>#REF!</v>
      </c>
      <c r="N106" s="168" t="str">
        <f t="shared" si="242"/>
        <v>#REF!</v>
      </c>
      <c r="O106" s="168" t="str">
        <f t="shared" si="242"/>
        <v>#REF!</v>
      </c>
      <c r="P106" s="168" t="str">
        <f t="shared" si="242"/>
        <v>#REF!</v>
      </c>
      <c r="Q106" s="168" t="str">
        <f t="shared" si="242"/>
        <v>#REF!</v>
      </c>
      <c r="R106" s="168" t="str">
        <f t="shared" si="242"/>
        <v>#REF!</v>
      </c>
      <c r="S106" s="168" t="str">
        <f t="shared" si="242"/>
        <v>#REF!</v>
      </c>
      <c r="T106" s="168" t="str">
        <f t="shared" si="242"/>
        <v>#REF!</v>
      </c>
      <c r="U106" s="168" t="str">
        <f t="shared" ref="U106:AJ106" si="243">#REF!</f>
        <v>#REF!</v>
      </c>
      <c r="V106" s="168" t="str">
        <f t="shared" si="243"/>
        <v>#REF!</v>
      </c>
      <c r="W106" s="168" t="str">
        <f t="shared" si="243"/>
        <v>#REF!</v>
      </c>
      <c r="X106" s="168" t="str">
        <f t="shared" si="243"/>
        <v>#REF!</v>
      </c>
      <c r="Y106" s="168" t="str">
        <f t="shared" si="243"/>
        <v>#REF!</v>
      </c>
      <c r="Z106" s="168" t="str">
        <f t="shared" si="243"/>
        <v>#REF!</v>
      </c>
      <c r="AA106" s="168" t="str">
        <f t="shared" si="243"/>
        <v>#REF!</v>
      </c>
      <c r="AB106" s="168" t="str">
        <f t="shared" si="243"/>
        <v>#REF!</v>
      </c>
      <c r="AC106" s="168" t="str">
        <f t="shared" si="243"/>
        <v>#REF!</v>
      </c>
      <c r="AD106" s="168" t="str">
        <f t="shared" si="243"/>
        <v>#REF!</v>
      </c>
      <c r="AE106" s="168" t="str">
        <f t="shared" si="243"/>
        <v>#REF!</v>
      </c>
      <c r="AF106" s="168" t="str">
        <f t="shared" si="243"/>
        <v>#REF!</v>
      </c>
      <c r="AG106" s="168" t="str">
        <f t="shared" si="243"/>
        <v>#REF!</v>
      </c>
      <c r="AH106" s="168" t="str">
        <f t="shared" si="243"/>
        <v>#REF!</v>
      </c>
      <c r="AI106" s="168" t="str">
        <f t="shared" si="243"/>
        <v>#REF!</v>
      </c>
      <c r="AJ106" s="168" t="str">
        <f t="shared" si="243"/>
        <v>#REF!</v>
      </c>
    </row>
    <row r="107" ht="15.75" customHeight="1">
      <c r="A107" s="168" t="str">
        <f t="shared" ref="A107:T107" si="244">if(#REF!=$D$1,#REF!,"")</f>
        <v>#REF!</v>
      </c>
      <c r="B107" s="168" t="str">
        <f t="shared" si="244"/>
        <v>#REF!</v>
      </c>
      <c r="C107" s="168" t="str">
        <f t="shared" si="244"/>
        <v>#REF!</v>
      </c>
      <c r="D107" s="168" t="str">
        <f t="shared" si="244"/>
        <v>#REF!</v>
      </c>
      <c r="E107" s="168" t="str">
        <f t="shared" si="244"/>
        <v>#REF!</v>
      </c>
      <c r="F107" s="168" t="str">
        <f t="shared" si="244"/>
        <v>#REF!</v>
      </c>
      <c r="G107" s="168" t="str">
        <f t="shared" si="244"/>
        <v>#REF!</v>
      </c>
      <c r="H107" s="168" t="str">
        <f t="shared" si="244"/>
        <v>#REF!</v>
      </c>
      <c r="I107" s="168" t="str">
        <f t="shared" si="244"/>
        <v>#REF!</v>
      </c>
      <c r="J107" s="168" t="str">
        <f t="shared" si="244"/>
        <v>#REF!</v>
      </c>
      <c r="K107" s="168" t="str">
        <f t="shared" si="244"/>
        <v>#REF!</v>
      </c>
      <c r="L107" s="168" t="str">
        <f t="shared" si="244"/>
        <v>#REF!</v>
      </c>
      <c r="M107" s="168" t="str">
        <f t="shared" si="244"/>
        <v>#REF!</v>
      </c>
      <c r="N107" s="168" t="str">
        <f t="shared" si="244"/>
        <v>#REF!</v>
      </c>
      <c r="O107" s="168" t="str">
        <f t="shared" si="244"/>
        <v>#REF!</v>
      </c>
      <c r="P107" s="168" t="str">
        <f t="shared" si="244"/>
        <v>#REF!</v>
      </c>
      <c r="Q107" s="168" t="str">
        <f t="shared" si="244"/>
        <v>#REF!</v>
      </c>
      <c r="R107" s="168" t="str">
        <f t="shared" si="244"/>
        <v>#REF!</v>
      </c>
      <c r="S107" s="168" t="str">
        <f t="shared" si="244"/>
        <v>#REF!</v>
      </c>
      <c r="T107" s="168" t="str">
        <f t="shared" si="244"/>
        <v>#REF!</v>
      </c>
      <c r="U107" s="168" t="str">
        <f t="shared" ref="U107:AJ107" si="245">#REF!</f>
        <v>#REF!</v>
      </c>
      <c r="V107" s="168" t="str">
        <f t="shared" si="245"/>
        <v>#REF!</v>
      </c>
      <c r="W107" s="168" t="str">
        <f t="shared" si="245"/>
        <v>#REF!</v>
      </c>
      <c r="X107" s="168" t="str">
        <f t="shared" si="245"/>
        <v>#REF!</v>
      </c>
      <c r="Y107" s="168" t="str">
        <f t="shared" si="245"/>
        <v>#REF!</v>
      </c>
      <c r="Z107" s="168" t="str">
        <f t="shared" si="245"/>
        <v>#REF!</v>
      </c>
      <c r="AA107" s="168" t="str">
        <f t="shared" si="245"/>
        <v>#REF!</v>
      </c>
      <c r="AB107" s="168" t="str">
        <f t="shared" si="245"/>
        <v>#REF!</v>
      </c>
      <c r="AC107" s="168" t="str">
        <f t="shared" si="245"/>
        <v>#REF!</v>
      </c>
      <c r="AD107" s="168" t="str">
        <f t="shared" si="245"/>
        <v>#REF!</v>
      </c>
      <c r="AE107" s="168" t="str">
        <f t="shared" si="245"/>
        <v>#REF!</v>
      </c>
      <c r="AF107" s="168" t="str">
        <f t="shared" si="245"/>
        <v>#REF!</v>
      </c>
      <c r="AG107" s="168" t="str">
        <f t="shared" si="245"/>
        <v>#REF!</v>
      </c>
      <c r="AH107" s="168" t="str">
        <f t="shared" si="245"/>
        <v>#REF!</v>
      </c>
      <c r="AI107" s="168" t="str">
        <f t="shared" si="245"/>
        <v>#REF!</v>
      </c>
      <c r="AJ107" s="168" t="str">
        <f t="shared" si="245"/>
        <v>#REF!</v>
      </c>
    </row>
    <row r="108" ht="15.75" customHeight="1">
      <c r="A108" s="168" t="str">
        <f t="shared" ref="A108:T108" si="246">if(#REF!=$D$1,#REF!,"")</f>
        <v>#REF!</v>
      </c>
      <c r="B108" s="168" t="str">
        <f t="shared" si="246"/>
        <v>#REF!</v>
      </c>
      <c r="C108" s="168" t="str">
        <f t="shared" si="246"/>
        <v>#REF!</v>
      </c>
      <c r="D108" s="168" t="str">
        <f t="shared" si="246"/>
        <v>#REF!</v>
      </c>
      <c r="E108" s="168" t="str">
        <f t="shared" si="246"/>
        <v>#REF!</v>
      </c>
      <c r="F108" s="168" t="str">
        <f t="shared" si="246"/>
        <v>#REF!</v>
      </c>
      <c r="G108" s="168" t="str">
        <f t="shared" si="246"/>
        <v>#REF!</v>
      </c>
      <c r="H108" s="168" t="str">
        <f t="shared" si="246"/>
        <v>#REF!</v>
      </c>
      <c r="I108" s="168" t="str">
        <f t="shared" si="246"/>
        <v>#REF!</v>
      </c>
      <c r="J108" s="168" t="str">
        <f t="shared" si="246"/>
        <v>#REF!</v>
      </c>
      <c r="K108" s="168" t="str">
        <f t="shared" si="246"/>
        <v>#REF!</v>
      </c>
      <c r="L108" s="168" t="str">
        <f t="shared" si="246"/>
        <v>#REF!</v>
      </c>
      <c r="M108" s="168" t="str">
        <f t="shared" si="246"/>
        <v>#REF!</v>
      </c>
      <c r="N108" s="168" t="str">
        <f t="shared" si="246"/>
        <v>#REF!</v>
      </c>
      <c r="O108" s="168" t="str">
        <f t="shared" si="246"/>
        <v>#REF!</v>
      </c>
      <c r="P108" s="168" t="str">
        <f t="shared" si="246"/>
        <v>#REF!</v>
      </c>
      <c r="Q108" s="168" t="str">
        <f t="shared" si="246"/>
        <v>#REF!</v>
      </c>
      <c r="R108" s="168" t="str">
        <f t="shared" si="246"/>
        <v>#REF!</v>
      </c>
      <c r="S108" s="168" t="str">
        <f t="shared" si="246"/>
        <v>#REF!</v>
      </c>
      <c r="T108" s="168" t="str">
        <f t="shared" si="246"/>
        <v>#REF!</v>
      </c>
      <c r="U108" s="168" t="str">
        <f t="shared" ref="U108:AJ108" si="247">#REF!</f>
        <v>#REF!</v>
      </c>
      <c r="V108" s="168" t="str">
        <f t="shared" si="247"/>
        <v>#REF!</v>
      </c>
      <c r="W108" s="168" t="str">
        <f t="shared" si="247"/>
        <v>#REF!</v>
      </c>
      <c r="X108" s="168" t="str">
        <f t="shared" si="247"/>
        <v>#REF!</v>
      </c>
      <c r="Y108" s="168" t="str">
        <f t="shared" si="247"/>
        <v>#REF!</v>
      </c>
      <c r="Z108" s="168" t="str">
        <f t="shared" si="247"/>
        <v>#REF!</v>
      </c>
      <c r="AA108" s="168" t="str">
        <f t="shared" si="247"/>
        <v>#REF!</v>
      </c>
      <c r="AB108" s="168" t="str">
        <f t="shared" si="247"/>
        <v>#REF!</v>
      </c>
      <c r="AC108" s="168" t="str">
        <f t="shared" si="247"/>
        <v>#REF!</v>
      </c>
      <c r="AD108" s="168" t="str">
        <f t="shared" si="247"/>
        <v>#REF!</v>
      </c>
      <c r="AE108" s="168" t="str">
        <f t="shared" si="247"/>
        <v>#REF!</v>
      </c>
      <c r="AF108" s="168" t="str">
        <f t="shared" si="247"/>
        <v>#REF!</v>
      </c>
      <c r="AG108" s="168" t="str">
        <f t="shared" si="247"/>
        <v>#REF!</v>
      </c>
      <c r="AH108" s="168" t="str">
        <f t="shared" si="247"/>
        <v>#REF!</v>
      </c>
      <c r="AI108" s="168" t="str">
        <f t="shared" si="247"/>
        <v>#REF!</v>
      </c>
      <c r="AJ108" s="168" t="str">
        <f t="shared" si="247"/>
        <v>#REF!</v>
      </c>
    </row>
    <row r="109" ht="15.75" customHeight="1">
      <c r="A109" s="168" t="str">
        <f t="shared" ref="A109:T109" si="248">if(#REF!=$D$1,#REF!,"")</f>
        <v>#REF!</v>
      </c>
      <c r="B109" s="168" t="str">
        <f t="shared" si="248"/>
        <v>#REF!</v>
      </c>
      <c r="C109" s="168" t="str">
        <f t="shared" si="248"/>
        <v>#REF!</v>
      </c>
      <c r="D109" s="168" t="str">
        <f t="shared" si="248"/>
        <v>#REF!</v>
      </c>
      <c r="E109" s="168" t="str">
        <f t="shared" si="248"/>
        <v>#REF!</v>
      </c>
      <c r="F109" s="168" t="str">
        <f t="shared" si="248"/>
        <v>#REF!</v>
      </c>
      <c r="G109" s="168" t="str">
        <f t="shared" si="248"/>
        <v>#REF!</v>
      </c>
      <c r="H109" s="168" t="str">
        <f t="shared" si="248"/>
        <v>#REF!</v>
      </c>
      <c r="I109" s="168" t="str">
        <f t="shared" si="248"/>
        <v>#REF!</v>
      </c>
      <c r="J109" s="168" t="str">
        <f t="shared" si="248"/>
        <v>#REF!</v>
      </c>
      <c r="K109" s="168" t="str">
        <f t="shared" si="248"/>
        <v>#REF!</v>
      </c>
      <c r="L109" s="168" t="str">
        <f t="shared" si="248"/>
        <v>#REF!</v>
      </c>
      <c r="M109" s="168" t="str">
        <f t="shared" si="248"/>
        <v>#REF!</v>
      </c>
      <c r="N109" s="168" t="str">
        <f t="shared" si="248"/>
        <v>#REF!</v>
      </c>
      <c r="O109" s="168" t="str">
        <f t="shared" si="248"/>
        <v>#REF!</v>
      </c>
      <c r="P109" s="168" t="str">
        <f t="shared" si="248"/>
        <v>#REF!</v>
      </c>
      <c r="Q109" s="168" t="str">
        <f t="shared" si="248"/>
        <v>#REF!</v>
      </c>
      <c r="R109" s="168" t="str">
        <f t="shared" si="248"/>
        <v>#REF!</v>
      </c>
      <c r="S109" s="168" t="str">
        <f t="shared" si="248"/>
        <v>#REF!</v>
      </c>
      <c r="T109" s="168" t="str">
        <f t="shared" si="248"/>
        <v>#REF!</v>
      </c>
      <c r="U109" s="168" t="str">
        <f t="shared" ref="U109:AJ109" si="249">#REF!</f>
        <v>#REF!</v>
      </c>
      <c r="V109" s="168" t="str">
        <f t="shared" si="249"/>
        <v>#REF!</v>
      </c>
      <c r="W109" s="168" t="str">
        <f t="shared" si="249"/>
        <v>#REF!</v>
      </c>
      <c r="X109" s="168" t="str">
        <f t="shared" si="249"/>
        <v>#REF!</v>
      </c>
      <c r="Y109" s="168" t="str">
        <f t="shared" si="249"/>
        <v>#REF!</v>
      </c>
      <c r="Z109" s="168" t="str">
        <f t="shared" si="249"/>
        <v>#REF!</v>
      </c>
      <c r="AA109" s="168" t="str">
        <f t="shared" si="249"/>
        <v>#REF!</v>
      </c>
      <c r="AB109" s="168" t="str">
        <f t="shared" si="249"/>
        <v>#REF!</v>
      </c>
      <c r="AC109" s="168" t="str">
        <f t="shared" si="249"/>
        <v>#REF!</v>
      </c>
      <c r="AD109" s="168" t="str">
        <f t="shared" si="249"/>
        <v>#REF!</v>
      </c>
      <c r="AE109" s="168" t="str">
        <f t="shared" si="249"/>
        <v>#REF!</v>
      </c>
      <c r="AF109" s="168" t="str">
        <f t="shared" si="249"/>
        <v>#REF!</v>
      </c>
      <c r="AG109" s="168" t="str">
        <f t="shared" si="249"/>
        <v>#REF!</v>
      </c>
      <c r="AH109" s="168" t="str">
        <f t="shared" si="249"/>
        <v>#REF!</v>
      </c>
      <c r="AI109" s="168" t="str">
        <f t="shared" si="249"/>
        <v>#REF!</v>
      </c>
      <c r="AJ109" s="168" t="str">
        <f t="shared" si="249"/>
        <v>#REF!</v>
      </c>
    </row>
    <row r="110" ht="15.75" customHeight="1">
      <c r="A110" s="168" t="str">
        <f t="shared" ref="A110:T110" si="250">if(#REF!=$D$1,#REF!,"")</f>
        <v>#REF!</v>
      </c>
      <c r="B110" s="168" t="str">
        <f t="shared" si="250"/>
        <v>#REF!</v>
      </c>
      <c r="C110" s="168" t="str">
        <f t="shared" si="250"/>
        <v>#REF!</v>
      </c>
      <c r="D110" s="168" t="str">
        <f t="shared" si="250"/>
        <v>#REF!</v>
      </c>
      <c r="E110" s="168" t="str">
        <f t="shared" si="250"/>
        <v>#REF!</v>
      </c>
      <c r="F110" s="168" t="str">
        <f t="shared" si="250"/>
        <v>#REF!</v>
      </c>
      <c r="G110" s="168" t="str">
        <f t="shared" si="250"/>
        <v>#REF!</v>
      </c>
      <c r="H110" s="168" t="str">
        <f t="shared" si="250"/>
        <v>#REF!</v>
      </c>
      <c r="I110" s="168" t="str">
        <f t="shared" si="250"/>
        <v>#REF!</v>
      </c>
      <c r="J110" s="168" t="str">
        <f t="shared" si="250"/>
        <v>#REF!</v>
      </c>
      <c r="K110" s="168" t="str">
        <f t="shared" si="250"/>
        <v>#REF!</v>
      </c>
      <c r="L110" s="168" t="str">
        <f t="shared" si="250"/>
        <v>#REF!</v>
      </c>
      <c r="M110" s="168" t="str">
        <f t="shared" si="250"/>
        <v>#REF!</v>
      </c>
      <c r="N110" s="168" t="str">
        <f t="shared" si="250"/>
        <v>#REF!</v>
      </c>
      <c r="O110" s="168" t="str">
        <f t="shared" si="250"/>
        <v>#REF!</v>
      </c>
      <c r="P110" s="168" t="str">
        <f t="shared" si="250"/>
        <v>#REF!</v>
      </c>
      <c r="Q110" s="168" t="str">
        <f t="shared" si="250"/>
        <v>#REF!</v>
      </c>
      <c r="R110" s="168" t="str">
        <f t="shared" si="250"/>
        <v>#REF!</v>
      </c>
      <c r="S110" s="168" t="str">
        <f t="shared" si="250"/>
        <v>#REF!</v>
      </c>
      <c r="T110" s="168" t="str">
        <f t="shared" si="250"/>
        <v>#REF!</v>
      </c>
      <c r="U110" s="168" t="str">
        <f t="shared" ref="U110:AJ110" si="251">#REF!</f>
        <v>#REF!</v>
      </c>
      <c r="V110" s="168" t="str">
        <f t="shared" si="251"/>
        <v>#REF!</v>
      </c>
      <c r="W110" s="168" t="str">
        <f t="shared" si="251"/>
        <v>#REF!</v>
      </c>
      <c r="X110" s="168" t="str">
        <f t="shared" si="251"/>
        <v>#REF!</v>
      </c>
      <c r="Y110" s="168" t="str">
        <f t="shared" si="251"/>
        <v>#REF!</v>
      </c>
      <c r="Z110" s="168" t="str">
        <f t="shared" si="251"/>
        <v>#REF!</v>
      </c>
      <c r="AA110" s="168" t="str">
        <f t="shared" si="251"/>
        <v>#REF!</v>
      </c>
      <c r="AB110" s="168" t="str">
        <f t="shared" si="251"/>
        <v>#REF!</v>
      </c>
      <c r="AC110" s="168" t="str">
        <f t="shared" si="251"/>
        <v>#REF!</v>
      </c>
      <c r="AD110" s="168" t="str">
        <f t="shared" si="251"/>
        <v>#REF!</v>
      </c>
      <c r="AE110" s="168" t="str">
        <f t="shared" si="251"/>
        <v>#REF!</v>
      </c>
      <c r="AF110" s="168" t="str">
        <f t="shared" si="251"/>
        <v>#REF!</v>
      </c>
      <c r="AG110" s="168" t="str">
        <f t="shared" si="251"/>
        <v>#REF!</v>
      </c>
      <c r="AH110" s="168" t="str">
        <f t="shared" si="251"/>
        <v>#REF!</v>
      </c>
      <c r="AI110" s="168" t="str">
        <f t="shared" si="251"/>
        <v>#REF!</v>
      </c>
      <c r="AJ110" s="168" t="str">
        <f t="shared" si="251"/>
        <v>#REF!</v>
      </c>
    </row>
    <row r="111" ht="15.75" customHeight="1">
      <c r="A111" s="168" t="str">
        <f t="shared" ref="A111:T111" si="252">if(#REF!=$D$1,#REF!,"")</f>
        <v>#REF!</v>
      </c>
      <c r="B111" s="168" t="str">
        <f t="shared" si="252"/>
        <v>#REF!</v>
      </c>
      <c r="C111" s="168" t="str">
        <f t="shared" si="252"/>
        <v>#REF!</v>
      </c>
      <c r="D111" s="168" t="str">
        <f t="shared" si="252"/>
        <v>#REF!</v>
      </c>
      <c r="E111" s="168" t="str">
        <f t="shared" si="252"/>
        <v>#REF!</v>
      </c>
      <c r="F111" s="168" t="str">
        <f t="shared" si="252"/>
        <v>#REF!</v>
      </c>
      <c r="G111" s="168" t="str">
        <f t="shared" si="252"/>
        <v>#REF!</v>
      </c>
      <c r="H111" s="168" t="str">
        <f t="shared" si="252"/>
        <v>#REF!</v>
      </c>
      <c r="I111" s="168" t="str">
        <f t="shared" si="252"/>
        <v>#REF!</v>
      </c>
      <c r="J111" s="168" t="str">
        <f t="shared" si="252"/>
        <v>#REF!</v>
      </c>
      <c r="K111" s="168" t="str">
        <f t="shared" si="252"/>
        <v>#REF!</v>
      </c>
      <c r="L111" s="168" t="str">
        <f t="shared" si="252"/>
        <v>#REF!</v>
      </c>
      <c r="M111" s="168" t="str">
        <f t="shared" si="252"/>
        <v>#REF!</v>
      </c>
      <c r="N111" s="168" t="str">
        <f t="shared" si="252"/>
        <v>#REF!</v>
      </c>
      <c r="O111" s="168" t="str">
        <f t="shared" si="252"/>
        <v>#REF!</v>
      </c>
      <c r="P111" s="168" t="str">
        <f t="shared" si="252"/>
        <v>#REF!</v>
      </c>
      <c r="Q111" s="168" t="str">
        <f t="shared" si="252"/>
        <v>#REF!</v>
      </c>
      <c r="R111" s="168" t="str">
        <f t="shared" si="252"/>
        <v>#REF!</v>
      </c>
      <c r="S111" s="168" t="str">
        <f t="shared" si="252"/>
        <v>#REF!</v>
      </c>
      <c r="T111" s="168" t="str">
        <f t="shared" si="252"/>
        <v>#REF!</v>
      </c>
      <c r="U111" s="168" t="str">
        <f t="shared" ref="U111:AJ111" si="253">#REF!</f>
        <v>#REF!</v>
      </c>
      <c r="V111" s="168" t="str">
        <f t="shared" si="253"/>
        <v>#REF!</v>
      </c>
      <c r="W111" s="168" t="str">
        <f t="shared" si="253"/>
        <v>#REF!</v>
      </c>
      <c r="X111" s="168" t="str">
        <f t="shared" si="253"/>
        <v>#REF!</v>
      </c>
      <c r="Y111" s="168" t="str">
        <f t="shared" si="253"/>
        <v>#REF!</v>
      </c>
      <c r="Z111" s="168" t="str">
        <f t="shared" si="253"/>
        <v>#REF!</v>
      </c>
      <c r="AA111" s="168" t="str">
        <f t="shared" si="253"/>
        <v>#REF!</v>
      </c>
      <c r="AB111" s="168" t="str">
        <f t="shared" si="253"/>
        <v>#REF!</v>
      </c>
      <c r="AC111" s="168" t="str">
        <f t="shared" si="253"/>
        <v>#REF!</v>
      </c>
      <c r="AD111" s="168" t="str">
        <f t="shared" si="253"/>
        <v>#REF!</v>
      </c>
      <c r="AE111" s="168" t="str">
        <f t="shared" si="253"/>
        <v>#REF!</v>
      </c>
      <c r="AF111" s="168" t="str">
        <f t="shared" si="253"/>
        <v>#REF!</v>
      </c>
      <c r="AG111" s="168" t="str">
        <f t="shared" si="253"/>
        <v>#REF!</v>
      </c>
      <c r="AH111" s="168" t="str">
        <f t="shared" si="253"/>
        <v>#REF!</v>
      </c>
      <c r="AI111" s="168" t="str">
        <f t="shared" si="253"/>
        <v>#REF!</v>
      </c>
      <c r="AJ111" s="168" t="str">
        <f t="shared" si="253"/>
        <v>#REF!</v>
      </c>
    </row>
    <row r="112" ht="15.75" customHeight="1">
      <c r="A112" s="168" t="str">
        <f t="shared" ref="A112:T112" si="254">if(#REF!=$D$1,#REF!,"")</f>
        <v>#REF!</v>
      </c>
      <c r="B112" s="168" t="str">
        <f t="shared" si="254"/>
        <v>#REF!</v>
      </c>
      <c r="C112" s="168" t="str">
        <f t="shared" si="254"/>
        <v>#REF!</v>
      </c>
      <c r="D112" s="168" t="str">
        <f t="shared" si="254"/>
        <v>#REF!</v>
      </c>
      <c r="E112" s="168" t="str">
        <f t="shared" si="254"/>
        <v>#REF!</v>
      </c>
      <c r="F112" s="168" t="str">
        <f t="shared" si="254"/>
        <v>#REF!</v>
      </c>
      <c r="G112" s="168" t="str">
        <f t="shared" si="254"/>
        <v>#REF!</v>
      </c>
      <c r="H112" s="168" t="str">
        <f t="shared" si="254"/>
        <v>#REF!</v>
      </c>
      <c r="I112" s="168" t="str">
        <f t="shared" si="254"/>
        <v>#REF!</v>
      </c>
      <c r="J112" s="168" t="str">
        <f t="shared" si="254"/>
        <v>#REF!</v>
      </c>
      <c r="K112" s="168" t="str">
        <f t="shared" si="254"/>
        <v>#REF!</v>
      </c>
      <c r="L112" s="168" t="str">
        <f t="shared" si="254"/>
        <v>#REF!</v>
      </c>
      <c r="M112" s="168" t="str">
        <f t="shared" si="254"/>
        <v>#REF!</v>
      </c>
      <c r="N112" s="168" t="str">
        <f t="shared" si="254"/>
        <v>#REF!</v>
      </c>
      <c r="O112" s="168" t="str">
        <f t="shared" si="254"/>
        <v>#REF!</v>
      </c>
      <c r="P112" s="168" t="str">
        <f t="shared" si="254"/>
        <v>#REF!</v>
      </c>
      <c r="Q112" s="168" t="str">
        <f t="shared" si="254"/>
        <v>#REF!</v>
      </c>
      <c r="R112" s="168" t="str">
        <f t="shared" si="254"/>
        <v>#REF!</v>
      </c>
      <c r="S112" s="168" t="str">
        <f t="shared" si="254"/>
        <v>#REF!</v>
      </c>
      <c r="T112" s="168" t="str">
        <f t="shared" si="254"/>
        <v>#REF!</v>
      </c>
      <c r="U112" s="168" t="str">
        <f t="shared" ref="U112:AJ112" si="255">#REF!</f>
        <v>#REF!</v>
      </c>
      <c r="V112" s="168" t="str">
        <f t="shared" si="255"/>
        <v>#REF!</v>
      </c>
      <c r="W112" s="168" t="str">
        <f t="shared" si="255"/>
        <v>#REF!</v>
      </c>
      <c r="X112" s="168" t="str">
        <f t="shared" si="255"/>
        <v>#REF!</v>
      </c>
      <c r="Y112" s="168" t="str">
        <f t="shared" si="255"/>
        <v>#REF!</v>
      </c>
      <c r="Z112" s="168" t="str">
        <f t="shared" si="255"/>
        <v>#REF!</v>
      </c>
      <c r="AA112" s="168" t="str">
        <f t="shared" si="255"/>
        <v>#REF!</v>
      </c>
      <c r="AB112" s="168" t="str">
        <f t="shared" si="255"/>
        <v>#REF!</v>
      </c>
      <c r="AC112" s="168" t="str">
        <f t="shared" si="255"/>
        <v>#REF!</v>
      </c>
      <c r="AD112" s="168" t="str">
        <f t="shared" si="255"/>
        <v>#REF!</v>
      </c>
      <c r="AE112" s="168" t="str">
        <f t="shared" si="255"/>
        <v>#REF!</v>
      </c>
      <c r="AF112" s="168" t="str">
        <f t="shared" si="255"/>
        <v>#REF!</v>
      </c>
      <c r="AG112" s="168" t="str">
        <f t="shared" si="255"/>
        <v>#REF!</v>
      </c>
      <c r="AH112" s="168" t="str">
        <f t="shared" si="255"/>
        <v>#REF!</v>
      </c>
      <c r="AI112" s="168" t="str">
        <f t="shared" si="255"/>
        <v>#REF!</v>
      </c>
      <c r="AJ112" s="168" t="str">
        <f t="shared" si="255"/>
        <v>#REF!</v>
      </c>
    </row>
    <row r="113" ht="15.75" customHeight="1">
      <c r="A113" s="168" t="str">
        <f t="shared" ref="A113:T113" si="256">if(#REF!=$D$1,#REF!,"")</f>
        <v>#REF!</v>
      </c>
      <c r="B113" s="168" t="str">
        <f t="shared" si="256"/>
        <v>#REF!</v>
      </c>
      <c r="C113" s="168" t="str">
        <f t="shared" si="256"/>
        <v>#REF!</v>
      </c>
      <c r="D113" s="168" t="str">
        <f t="shared" si="256"/>
        <v>#REF!</v>
      </c>
      <c r="E113" s="168" t="str">
        <f t="shared" si="256"/>
        <v>#REF!</v>
      </c>
      <c r="F113" s="168" t="str">
        <f t="shared" si="256"/>
        <v>#REF!</v>
      </c>
      <c r="G113" s="168" t="str">
        <f t="shared" si="256"/>
        <v>#REF!</v>
      </c>
      <c r="H113" s="168" t="str">
        <f t="shared" si="256"/>
        <v>#REF!</v>
      </c>
      <c r="I113" s="168" t="str">
        <f t="shared" si="256"/>
        <v>#REF!</v>
      </c>
      <c r="J113" s="168" t="str">
        <f t="shared" si="256"/>
        <v>#REF!</v>
      </c>
      <c r="K113" s="168" t="str">
        <f t="shared" si="256"/>
        <v>#REF!</v>
      </c>
      <c r="L113" s="168" t="str">
        <f t="shared" si="256"/>
        <v>#REF!</v>
      </c>
      <c r="M113" s="168" t="str">
        <f t="shared" si="256"/>
        <v>#REF!</v>
      </c>
      <c r="N113" s="168" t="str">
        <f t="shared" si="256"/>
        <v>#REF!</v>
      </c>
      <c r="O113" s="168" t="str">
        <f t="shared" si="256"/>
        <v>#REF!</v>
      </c>
      <c r="P113" s="168" t="str">
        <f t="shared" si="256"/>
        <v>#REF!</v>
      </c>
      <c r="Q113" s="168" t="str">
        <f t="shared" si="256"/>
        <v>#REF!</v>
      </c>
      <c r="R113" s="168" t="str">
        <f t="shared" si="256"/>
        <v>#REF!</v>
      </c>
      <c r="S113" s="168" t="str">
        <f t="shared" si="256"/>
        <v>#REF!</v>
      </c>
      <c r="T113" s="168" t="str">
        <f t="shared" si="256"/>
        <v>#REF!</v>
      </c>
      <c r="U113" s="168" t="str">
        <f t="shared" ref="U113:AJ113" si="257">#REF!</f>
        <v>#REF!</v>
      </c>
      <c r="V113" s="168" t="str">
        <f t="shared" si="257"/>
        <v>#REF!</v>
      </c>
      <c r="W113" s="168" t="str">
        <f t="shared" si="257"/>
        <v>#REF!</v>
      </c>
      <c r="X113" s="168" t="str">
        <f t="shared" si="257"/>
        <v>#REF!</v>
      </c>
      <c r="Y113" s="168" t="str">
        <f t="shared" si="257"/>
        <v>#REF!</v>
      </c>
      <c r="Z113" s="168" t="str">
        <f t="shared" si="257"/>
        <v>#REF!</v>
      </c>
      <c r="AA113" s="168" t="str">
        <f t="shared" si="257"/>
        <v>#REF!</v>
      </c>
      <c r="AB113" s="168" t="str">
        <f t="shared" si="257"/>
        <v>#REF!</v>
      </c>
      <c r="AC113" s="168" t="str">
        <f t="shared" si="257"/>
        <v>#REF!</v>
      </c>
      <c r="AD113" s="168" t="str">
        <f t="shared" si="257"/>
        <v>#REF!</v>
      </c>
      <c r="AE113" s="168" t="str">
        <f t="shared" si="257"/>
        <v>#REF!</v>
      </c>
      <c r="AF113" s="168" t="str">
        <f t="shared" si="257"/>
        <v>#REF!</v>
      </c>
      <c r="AG113" s="168" t="str">
        <f t="shared" si="257"/>
        <v>#REF!</v>
      </c>
      <c r="AH113" s="168" t="str">
        <f t="shared" si="257"/>
        <v>#REF!</v>
      </c>
      <c r="AI113" s="168" t="str">
        <f t="shared" si="257"/>
        <v>#REF!</v>
      </c>
      <c r="AJ113" s="168" t="str">
        <f t="shared" si="257"/>
        <v>#REF!</v>
      </c>
    </row>
    <row r="114" ht="15.75" customHeight="1">
      <c r="A114" s="168" t="str">
        <f t="shared" ref="A114:T114" si="258">if(#REF!=$D$1,#REF!,"")</f>
        <v>#REF!</v>
      </c>
      <c r="B114" s="168" t="str">
        <f t="shared" si="258"/>
        <v>#REF!</v>
      </c>
      <c r="C114" s="168" t="str">
        <f t="shared" si="258"/>
        <v>#REF!</v>
      </c>
      <c r="D114" s="168" t="str">
        <f t="shared" si="258"/>
        <v>#REF!</v>
      </c>
      <c r="E114" s="168" t="str">
        <f t="shared" si="258"/>
        <v>#REF!</v>
      </c>
      <c r="F114" s="168" t="str">
        <f t="shared" si="258"/>
        <v>#REF!</v>
      </c>
      <c r="G114" s="168" t="str">
        <f t="shared" si="258"/>
        <v>#REF!</v>
      </c>
      <c r="H114" s="168" t="str">
        <f t="shared" si="258"/>
        <v>#REF!</v>
      </c>
      <c r="I114" s="168" t="str">
        <f t="shared" si="258"/>
        <v>#REF!</v>
      </c>
      <c r="J114" s="168" t="str">
        <f t="shared" si="258"/>
        <v>#REF!</v>
      </c>
      <c r="K114" s="168" t="str">
        <f t="shared" si="258"/>
        <v>#REF!</v>
      </c>
      <c r="L114" s="168" t="str">
        <f t="shared" si="258"/>
        <v>#REF!</v>
      </c>
      <c r="M114" s="168" t="str">
        <f t="shared" si="258"/>
        <v>#REF!</v>
      </c>
      <c r="N114" s="168" t="str">
        <f t="shared" si="258"/>
        <v>#REF!</v>
      </c>
      <c r="O114" s="168" t="str">
        <f t="shared" si="258"/>
        <v>#REF!</v>
      </c>
      <c r="P114" s="168" t="str">
        <f t="shared" si="258"/>
        <v>#REF!</v>
      </c>
      <c r="Q114" s="168" t="str">
        <f t="shared" si="258"/>
        <v>#REF!</v>
      </c>
      <c r="R114" s="168" t="str">
        <f t="shared" si="258"/>
        <v>#REF!</v>
      </c>
      <c r="S114" s="168" t="str">
        <f t="shared" si="258"/>
        <v>#REF!</v>
      </c>
      <c r="T114" s="168" t="str">
        <f t="shared" si="258"/>
        <v>#REF!</v>
      </c>
      <c r="U114" s="168" t="str">
        <f t="shared" ref="U114:AJ114" si="259">#REF!</f>
        <v>#REF!</v>
      </c>
      <c r="V114" s="168" t="str">
        <f t="shared" si="259"/>
        <v>#REF!</v>
      </c>
      <c r="W114" s="168" t="str">
        <f t="shared" si="259"/>
        <v>#REF!</v>
      </c>
      <c r="X114" s="168" t="str">
        <f t="shared" si="259"/>
        <v>#REF!</v>
      </c>
      <c r="Y114" s="168" t="str">
        <f t="shared" si="259"/>
        <v>#REF!</v>
      </c>
      <c r="Z114" s="168" t="str">
        <f t="shared" si="259"/>
        <v>#REF!</v>
      </c>
      <c r="AA114" s="168" t="str">
        <f t="shared" si="259"/>
        <v>#REF!</v>
      </c>
      <c r="AB114" s="168" t="str">
        <f t="shared" si="259"/>
        <v>#REF!</v>
      </c>
      <c r="AC114" s="168" t="str">
        <f t="shared" si="259"/>
        <v>#REF!</v>
      </c>
      <c r="AD114" s="168" t="str">
        <f t="shared" si="259"/>
        <v>#REF!</v>
      </c>
      <c r="AE114" s="168" t="str">
        <f t="shared" si="259"/>
        <v>#REF!</v>
      </c>
      <c r="AF114" s="168" t="str">
        <f t="shared" si="259"/>
        <v>#REF!</v>
      </c>
      <c r="AG114" s="168" t="str">
        <f t="shared" si="259"/>
        <v>#REF!</v>
      </c>
      <c r="AH114" s="168" t="str">
        <f t="shared" si="259"/>
        <v>#REF!</v>
      </c>
      <c r="AI114" s="168" t="str">
        <f t="shared" si="259"/>
        <v>#REF!</v>
      </c>
      <c r="AJ114" s="168" t="str">
        <f t="shared" si="259"/>
        <v>#REF!</v>
      </c>
    </row>
    <row r="115" ht="15.75" customHeight="1">
      <c r="A115" s="168" t="str">
        <f t="shared" ref="A115:T115" si="260">if(#REF!=$D$1,#REF!,"")</f>
        <v>#REF!</v>
      </c>
      <c r="B115" s="168" t="str">
        <f t="shared" si="260"/>
        <v>#REF!</v>
      </c>
      <c r="C115" s="168" t="str">
        <f t="shared" si="260"/>
        <v>#REF!</v>
      </c>
      <c r="D115" s="168" t="str">
        <f t="shared" si="260"/>
        <v>#REF!</v>
      </c>
      <c r="E115" s="168" t="str">
        <f t="shared" si="260"/>
        <v>#REF!</v>
      </c>
      <c r="F115" s="168" t="str">
        <f t="shared" si="260"/>
        <v>#REF!</v>
      </c>
      <c r="G115" s="168" t="str">
        <f t="shared" si="260"/>
        <v>#REF!</v>
      </c>
      <c r="H115" s="168" t="str">
        <f t="shared" si="260"/>
        <v>#REF!</v>
      </c>
      <c r="I115" s="168" t="str">
        <f t="shared" si="260"/>
        <v>#REF!</v>
      </c>
      <c r="J115" s="168" t="str">
        <f t="shared" si="260"/>
        <v>#REF!</v>
      </c>
      <c r="K115" s="168" t="str">
        <f t="shared" si="260"/>
        <v>#REF!</v>
      </c>
      <c r="L115" s="168" t="str">
        <f t="shared" si="260"/>
        <v>#REF!</v>
      </c>
      <c r="M115" s="168" t="str">
        <f t="shared" si="260"/>
        <v>#REF!</v>
      </c>
      <c r="N115" s="168" t="str">
        <f t="shared" si="260"/>
        <v>#REF!</v>
      </c>
      <c r="O115" s="168" t="str">
        <f t="shared" si="260"/>
        <v>#REF!</v>
      </c>
      <c r="P115" s="168" t="str">
        <f t="shared" si="260"/>
        <v>#REF!</v>
      </c>
      <c r="Q115" s="168" t="str">
        <f t="shared" si="260"/>
        <v>#REF!</v>
      </c>
      <c r="R115" s="168" t="str">
        <f t="shared" si="260"/>
        <v>#REF!</v>
      </c>
      <c r="S115" s="168" t="str">
        <f t="shared" si="260"/>
        <v>#REF!</v>
      </c>
      <c r="T115" s="168" t="str">
        <f t="shared" si="260"/>
        <v>#REF!</v>
      </c>
      <c r="U115" s="168" t="str">
        <f t="shared" ref="U115:AJ115" si="261">#REF!</f>
        <v>#REF!</v>
      </c>
      <c r="V115" s="168" t="str">
        <f t="shared" si="261"/>
        <v>#REF!</v>
      </c>
      <c r="W115" s="168" t="str">
        <f t="shared" si="261"/>
        <v>#REF!</v>
      </c>
      <c r="X115" s="168" t="str">
        <f t="shared" si="261"/>
        <v>#REF!</v>
      </c>
      <c r="Y115" s="168" t="str">
        <f t="shared" si="261"/>
        <v>#REF!</v>
      </c>
      <c r="Z115" s="168" t="str">
        <f t="shared" si="261"/>
        <v>#REF!</v>
      </c>
      <c r="AA115" s="168" t="str">
        <f t="shared" si="261"/>
        <v>#REF!</v>
      </c>
      <c r="AB115" s="168" t="str">
        <f t="shared" si="261"/>
        <v>#REF!</v>
      </c>
      <c r="AC115" s="168" t="str">
        <f t="shared" si="261"/>
        <v>#REF!</v>
      </c>
      <c r="AD115" s="168" t="str">
        <f t="shared" si="261"/>
        <v>#REF!</v>
      </c>
      <c r="AE115" s="168" t="str">
        <f t="shared" si="261"/>
        <v>#REF!</v>
      </c>
      <c r="AF115" s="168" t="str">
        <f t="shared" si="261"/>
        <v>#REF!</v>
      </c>
      <c r="AG115" s="168" t="str">
        <f t="shared" si="261"/>
        <v>#REF!</v>
      </c>
      <c r="AH115" s="168" t="str">
        <f t="shared" si="261"/>
        <v>#REF!</v>
      </c>
      <c r="AI115" s="168" t="str">
        <f t="shared" si="261"/>
        <v>#REF!</v>
      </c>
      <c r="AJ115" s="168" t="str">
        <f t="shared" si="261"/>
        <v>#REF!</v>
      </c>
    </row>
    <row r="116" ht="15.75" customHeight="1">
      <c r="A116" s="168" t="str">
        <f t="shared" ref="A116:T116" si="262">if(#REF!=$D$1,#REF!,"")</f>
        <v>#REF!</v>
      </c>
      <c r="B116" s="168" t="str">
        <f t="shared" si="262"/>
        <v>#REF!</v>
      </c>
      <c r="C116" s="168" t="str">
        <f t="shared" si="262"/>
        <v>#REF!</v>
      </c>
      <c r="D116" s="168" t="str">
        <f t="shared" si="262"/>
        <v>#REF!</v>
      </c>
      <c r="E116" s="168" t="str">
        <f t="shared" si="262"/>
        <v>#REF!</v>
      </c>
      <c r="F116" s="168" t="str">
        <f t="shared" si="262"/>
        <v>#REF!</v>
      </c>
      <c r="G116" s="168" t="str">
        <f t="shared" si="262"/>
        <v>#REF!</v>
      </c>
      <c r="H116" s="168" t="str">
        <f t="shared" si="262"/>
        <v>#REF!</v>
      </c>
      <c r="I116" s="168" t="str">
        <f t="shared" si="262"/>
        <v>#REF!</v>
      </c>
      <c r="J116" s="168" t="str">
        <f t="shared" si="262"/>
        <v>#REF!</v>
      </c>
      <c r="K116" s="168" t="str">
        <f t="shared" si="262"/>
        <v>#REF!</v>
      </c>
      <c r="L116" s="168" t="str">
        <f t="shared" si="262"/>
        <v>#REF!</v>
      </c>
      <c r="M116" s="168" t="str">
        <f t="shared" si="262"/>
        <v>#REF!</v>
      </c>
      <c r="N116" s="168" t="str">
        <f t="shared" si="262"/>
        <v>#REF!</v>
      </c>
      <c r="O116" s="168" t="str">
        <f t="shared" si="262"/>
        <v>#REF!</v>
      </c>
      <c r="P116" s="168" t="str">
        <f t="shared" si="262"/>
        <v>#REF!</v>
      </c>
      <c r="Q116" s="168" t="str">
        <f t="shared" si="262"/>
        <v>#REF!</v>
      </c>
      <c r="R116" s="168" t="str">
        <f t="shared" si="262"/>
        <v>#REF!</v>
      </c>
      <c r="S116" s="168" t="str">
        <f t="shared" si="262"/>
        <v>#REF!</v>
      </c>
      <c r="T116" s="168" t="str">
        <f t="shared" si="262"/>
        <v>#REF!</v>
      </c>
      <c r="U116" s="168" t="str">
        <f t="shared" ref="U116:AJ116" si="263">#REF!</f>
        <v>#REF!</v>
      </c>
      <c r="V116" s="168" t="str">
        <f t="shared" si="263"/>
        <v>#REF!</v>
      </c>
      <c r="W116" s="168" t="str">
        <f t="shared" si="263"/>
        <v>#REF!</v>
      </c>
      <c r="X116" s="168" t="str">
        <f t="shared" si="263"/>
        <v>#REF!</v>
      </c>
      <c r="Y116" s="168" t="str">
        <f t="shared" si="263"/>
        <v>#REF!</v>
      </c>
      <c r="Z116" s="168" t="str">
        <f t="shared" si="263"/>
        <v>#REF!</v>
      </c>
      <c r="AA116" s="168" t="str">
        <f t="shared" si="263"/>
        <v>#REF!</v>
      </c>
      <c r="AB116" s="168" t="str">
        <f t="shared" si="263"/>
        <v>#REF!</v>
      </c>
      <c r="AC116" s="168" t="str">
        <f t="shared" si="263"/>
        <v>#REF!</v>
      </c>
      <c r="AD116" s="168" t="str">
        <f t="shared" si="263"/>
        <v>#REF!</v>
      </c>
      <c r="AE116" s="168" t="str">
        <f t="shared" si="263"/>
        <v>#REF!</v>
      </c>
      <c r="AF116" s="168" t="str">
        <f t="shared" si="263"/>
        <v>#REF!</v>
      </c>
      <c r="AG116" s="168" t="str">
        <f t="shared" si="263"/>
        <v>#REF!</v>
      </c>
      <c r="AH116" s="168" t="str">
        <f t="shared" si="263"/>
        <v>#REF!</v>
      </c>
      <c r="AI116" s="168" t="str">
        <f t="shared" si="263"/>
        <v>#REF!</v>
      </c>
      <c r="AJ116" s="168" t="str">
        <f t="shared" si="263"/>
        <v>#REF!</v>
      </c>
    </row>
    <row r="117" ht="15.75" customHeight="1">
      <c r="A117" s="168" t="str">
        <f>if('2026 Pipeline'!$M20=$D$1,'2026 Pipeline'!C20,"")</f>
        <v>#REF!</v>
      </c>
      <c r="B117" s="168" t="str">
        <f t="shared" ref="B117:C117" si="264">if('2026 Pipeline'!$M20=$D$1,'2026 Pipeline'!J20,"")</f>
        <v>#REF!</v>
      </c>
      <c r="C117" s="168" t="str">
        <f t="shared" si="264"/>
        <v>#REF!</v>
      </c>
      <c r="D117" s="168" t="str">
        <f t="shared" ref="D117:F117" si="265">if('2026 Pipeline'!$M20=$D$1,'2026 Pipeline'!M20,"")</f>
        <v>#REF!</v>
      </c>
      <c r="E117" s="168" t="str">
        <f t="shared" si="265"/>
        <v>#REF!</v>
      </c>
      <c r="F117" s="168" t="str">
        <f t="shared" si="265"/>
        <v>#REF!</v>
      </c>
      <c r="G117" s="168" t="str">
        <f>if('2026 Pipeline'!$M20=$D$1,'2026 Pipeline'!Q20,"")</f>
        <v>#REF!</v>
      </c>
      <c r="H117" s="168" t="str">
        <f>if('2026 Pipeline'!$M20=$D$1,'2026 Pipeline'!P20,"")</f>
        <v>#REF!</v>
      </c>
      <c r="I117" s="168" t="str">
        <f>if('2026 Pipeline'!$M20=$D$1,'2026 Pipeline'!R20,"")</f>
        <v>#REF!</v>
      </c>
      <c r="J117" s="168" t="str">
        <f t="shared" ref="J117:L117" si="266">if('2026 Pipeline'!$M20=$D$1,'2026 Pipeline'!V20,"")</f>
        <v>#REF!</v>
      </c>
      <c r="K117" s="168" t="str">
        <f t="shared" si="266"/>
        <v>#REF!</v>
      </c>
      <c r="L117" s="168" t="str">
        <f t="shared" si="266"/>
        <v>#REF!</v>
      </c>
      <c r="M117" s="168" t="str">
        <f t="shared" ref="M117:O117" si="267">if('2026 Pipeline'!$M20=$D$1,#REF!,"")</f>
        <v>#REF!</v>
      </c>
      <c r="N117" s="168" t="str">
        <f t="shared" si="267"/>
        <v>#REF!</v>
      </c>
      <c r="O117" s="168" t="str">
        <f t="shared" si="267"/>
        <v>#REF!</v>
      </c>
      <c r="P117" s="168" t="str">
        <f>if('2026 Pipeline'!$M20=$D$1,'2026 Pipeline'!AA20,"")</f>
        <v>#REF!</v>
      </c>
      <c r="Q117" s="168" t="str">
        <f>if('2026 Pipeline'!$M20=$D$1,'2026 Pipeline'!Y20,"")</f>
        <v>#REF!</v>
      </c>
      <c r="R117" s="168" t="str">
        <f>if('2026 Pipeline'!$M20=$D$1,#REF!,"")</f>
        <v>#REF!</v>
      </c>
      <c r="S117" s="168" t="str">
        <f>if('2026 Pipeline'!$M20=$D$1,'2026 Pipeline'!L20,"")</f>
        <v>#REF!</v>
      </c>
      <c r="T117" s="168" t="str">
        <f>if('2026 Pipeline'!$M20=$D$1,'2026 Pipeline'!CD20,"")</f>
        <v>#REF!</v>
      </c>
      <c r="U117" s="168" t="str">
        <f t="shared" ref="U117:AJ117" si="268">#REF!</f>
        <v>#REF!</v>
      </c>
      <c r="V117" s="168" t="str">
        <f t="shared" si="268"/>
        <v>#REF!</v>
      </c>
      <c r="W117" s="168" t="str">
        <f t="shared" si="268"/>
        <v>#REF!</v>
      </c>
      <c r="X117" s="168" t="str">
        <f t="shared" si="268"/>
        <v>#REF!</v>
      </c>
      <c r="Y117" s="168" t="str">
        <f t="shared" si="268"/>
        <v>#REF!</v>
      </c>
      <c r="Z117" s="168" t="str">
        <f t="shared" si="268"/>
        <v>#REF!</v>
      </c>
      <c r="AA117" s="168" t="str">
        <f t="shared" si="268"/>
        <v>#REF!</v>
      </c>
      <c r="AB117" s="168" t="str">
        <f t="shared" si="268"/>
        <v>#REF!</v>
      </c>
      <c r="AC117" s="168" t="str">
        <f t="shared" si="268"/>
        <v>#REF!</v>
      </c>
      <c r="AD117" s="168" t="str">
        <f t="shared" si="268"/>
        <v>#REF!</v>
      </c>
      <c r="AE117" s="168" t="str">
        <f t="shared" si="268"/>
        <v>#REF!</v>
      </c>
      <c r="AF117" s="168" t="str">
        <f t="shared" si="268"/>
        <v>#REF!</v>
      </c>
      <c r="AG117" s="168" t="str">
        <f t="shared" si="268"/>
        <v>#REF!</v>
      </c>
      <c r="AH117" s="168" t="str">
        <f t="shared" si="268"/>
        <v>#REF!</v>
      </c>
      <c r="AI117" s="168" t="str">
        <f t="shared" si="268"/>
        <v>#REF!</v>
      </c>
      <c r="AJ117" s="168" t="str">
        <f t="shared" si="268"/>
        <v>#REF!</v>
      </c>
    </row>
    <row r="118" ht="15.75" customHeight="1">
      <c r="A118" s="168" t="str">
        <f t="shared" ref="A118:A125" si="274">if('2026 Pipeline'!$M22=$D$1,'2026 Pipeline'!C22,"")</f>
        <v>#REF!</v>
      </c>
      <c r="B118" s="168" t="str">
        <f t="shared" ref="B118:C118" si="269">if('2026 Pipeline'!$M22=$D$1,'2026 Pipeline'!J22,"")</f>
        <v>#REF!</v>
      </c>
      <c r="C118" s="168" t="str">
        <f t="shared" si="269"/>
        <v>#REF!</v>
      </c>
      <c r="D118" s="168" t="str">
        <f t="shared" ref="D118:F118" si="270">if('2026 Pipeline'!$M22=$D$1,'2026 Pipeline'!M22,"")</f>
        <v>#REF!</v>
      </c>
      <c r="E118" s="168" t="str">
        <f t="shared" si="270"/>
        <v>#REF!</v>
      </c>
      <c r="F118" s="168" t="str">
        <f t="shared" si="270"/>
        <v>#REF!</v>
      </c>
      <c r="G118" s="168" t="str">
        <f t="shared" ref="G118:G125" si="277">if('2026 Pipeline'!$M22=$D$1,'2026 Pipeline'!Q22,"")</f>
        <v>#REF!</v>
      </c>
      <c r="H118" s="168" t="str">
        <f t="shared" ref="H118:H125" si="278">if('2026 Pipeline'!$M22=$D$1,'2026 Pipeline'!P22,"")</f>
        <v>#REF!</v>
      </c>
      <c r="I118" s="168" t="str">
        <f t="shared" ref="I118:I125" si="279">if('2026 Pipeline'!$M22=$D$1,'2026 Pipeline'!R22,"")</f>
        <v>#REF!</v>
      </c>
      <c r="J118" s="168" t="str">
        <f t="shared" ref="J118:L118" si="271">if('2026 Pipeline'!$M22=$D$1,'2026 Pipeline'!V22,"")</f>
        <v>#REF!</v>
      </c>
      <c r="K118" s="168" t="str">
        <f t="shared" si="271"/>
        <v>#REF!</v>
      </c>
      <c r="L118" s="168" t="str">
        <f t="shared" si="271"/>
        <v>#REF!</v>
      </c>
      <c r="M118" s="168" t="str">
        <f t="shared" ref="M118:O118" si="272">if('2026 Pipeline'!$M22=$D$1,#REF!,"")</f>
        <v>#REF!</v>
      </c>
      <c r="N118" s="168" t="str">
        <f t="shared" si="272"/>
        <v>#REF!</v>
      </c>
      <c r="O118" s="168" t="str">
        <f t="shared" si="272"/>
        <v>#REF!</v>
      </c>
      <c r="P118" s="168" t="str">
        <f t="shared" ref="P118:P125" si="282">if('2026 Pipeline'!$M22=$D$1,'2026 Pipeline'!AA22,"")</f>
        <v>#REF!</v>
      </c>
      <c r="Q118" s="168" t="str">
        <f t="shared" ref="Q118:Q125" si="283">if('2026 Pipeline'!$M22=$D$1,'2026 Pipeline'!Y22,"")</f>
        <v>#REF!</v>
      </c>
      <c r="R118" s="168" t="str">
        <f t="shared" ref="R118:R125" si="284">if('2026 Pipeline'!$M22=$D$1,#REF!,"")</f>
        <v>#REF!</v>
      </c>
      <c r="S118" s="168" t="str">
        <f t="shared" ref="S118:S125" si="285">if('2026 Pipeline'!$M22=$D$1,'2026 Pipeline'!L22,"")</f>
        <v>#REF!</v>
      </c>
      <c r="T118" s="168" t="str">
        <f t="shared" ref="T118:T125" si="286">if('2026 Pipeline'!$M22=$D$1,'2026 Pipeline'!CD22,"")</f>
        <v>#REF!</v>
      </c>
      <c r="U118" s="168" t="str">
        <f t="shared" ref="U118:AJ118" si="273">#REF!</f>
        <v>#REF!</v>
      </c>
      <c r="V118" s="168" t="str">
        <f t="shared" si="273"/>
        <v>#REF!</v>
      </c>
      <c r="W118" s="168" t="str">
        <f t="shared" si="273"/>
        <v>#REF!</v>
      </c>
      <c r="X118" s="168" t="str">
        <f t="shared" si="273"/>
        <v>#REF!</v>
      </c>
      <c r="Y118" s="168" t="str">
        <f t="shared" si="273"/>
        <v>#REF!</v>
      </c>
      <c r="Z118" s="168" t="str">
        <f t="shared" si="273"/>
        <v>#REF!</v>
      </c>
      <c r="AA118" s="168" t="str">
        <f t="shared" si="273"/>
        <v>#REF!</v>
      </c>
      <c r="AB118" s="168" t="str">
        <f t="shared" si="273"/>
        <v>#REF!</v>
      </c>
      <c r="AC118" s="168" t="str">
        <f t="shared" si="273"/>
        <v>#REF!</v>
      </c>
      <c r="AD118" s="168" t="str">
        <f t="shared" si="273"/>
        <v>#REF!</v>
      </c>
      <c r="AE118" s="168" t="str">
        <f t="shared" si="273"/>
        <v>#REF!</v>
      </c>
      <c r="AF118" s="168" t="str">
        <f t="shared" si="273"/>
        <v>#REF!</v>
      </c>
      <c r="AG118" s="168" t="str">
        <f t="shared" si="273"/>
        <v>#REF!</v>
      </c>
      <c r="AH118" s="168" t="str">
        <f t="shared" si="273"/>
        <v>#REF!</v>
      </c>
      <c r="AI118" s="168" t="str">
        <f t="shared" si="273"/>
        <v>#REF!</v>
      </c>
      <c r="AJ118" s="168" t="str">
        <f t="shared" si="273"/>
        <v>#REF!</v>
      </c>
    </row>
    <row r="119" ht="15.75" customHeight="1">
      <c r="A119" s="168" t="str">
        <f t="shared" si="274"/>
        <v>#REF!</v>
      </c>
      <c r="B119" s="168" t="str">
        <f t="shared" ref="B119:C119" si="275">if('2026 Pipeline'!$M23=$D$1,'2026 Pipeline'!J23,"")</f>
        <v>#REF!</v>
      </c>
      <c r="C119" s="168" t="str">
        <f t="shared" si="275"/>
        <v>#REF!</v>
      </c>
      <c r="D119" s="168" t="str">
        <f t="shared" ref="D119:F119" si="276">if('2026 Pipeline'!$M23=$D$1,'2026 Pipeline'!M23,"")</f>
        <v>#REF!</v>
      </c>
      <c r="E119" s="168" t="str">
        <f t="shared" si="276"/>
        <v>#REF!</v>
      </c>
      <c r="F119" s="168" t="str">
        <f t="shared" si="276"/>
        <v>#REF!</v>
      </c>
      <c r="G119" s="168" t="str">
        <f t="shared" si="277"/>
        <v>#REF!</v>
      </c>
      <c r="H119" s="168" t="str">
        <f t="shared" si="278"/>
        <v>#REF!</v>
      </c>
      <c r="I119" s="168" t="str">
        <f t="shared" si="279"/>
        <v>#REF!</v>
      </c>
      <c r="J119" s="168" t="str">
        <f t="shared" ref="J119:L119" si="280">if('2026 Pipeline'!$M23=$D$1,'2026 Pipeline'!V23,"")</f>
        <v>#REF!</v>
      </c>
      <c r="K119" s="168" t="str">
        <f t="shared" si="280"/>
        <v>#REF!</v>
      </c>
      <c r="L119" s="168" t="str">
        <f t="shared" si="280"/>
        <v>#REF!</v>
      </c>
      <c r="M119" s="168" t="str">
        <f t="shared" ref="M119:O119" si="281">if('2026 Pipeline'!$M23=$D$1,#REF!,"")</f>
        <v>#REF!</v>
      </c>
      <c r="N119" s="168" t="str">
        <f t="shared" si="281"/>
        <v>#REF!</v>
      </c>
      <c r="O119" s="168" t="str">
        <f t="shared" si="281"/>
        <v>#REF!</v>
      </c>
      <c r="P119" s="168" t="str">
        <f t="shared" si="282"/>
        <v>#REF!</v>
      </c>
      <c r="Q119" s="168" t="str">
        <f t="shared" si="283"/>
        <v>#REF!</v>
      </c>
      <c r="R119" s="168" t="str">
        <f t="shared" si="284"/>
        <v>#REF!</v>
      </c>
      <c r="S119" s="168" t="str">
        <f t="shared" si="285"/>
        <v>#REF!</v>
      </c>
      <c r="T119" s="168" t="str">
        <f t="shared" si="286"/>
        <v>#REF!</v>
      </c>
      <c r="U119" s="168" t="str">
        <f>'2026 Pipeline'!AP20</f>
        <v>#REF!</v>
      </c>
      <c r="V119" s="168" t="str">
        <f t="shared" ref="V119:Z119" si="287">'2026 Pipeline'!CJ20</f>
        <v>#REF!</v>
      </c>
      <c r="W119" s="168" t="str">
        <f t="shared" si="287"/>
        <v>#REF!</v>
      </c>
      <c r="X119" s="168" t="str">
        <f t="shared" si="287"/>
        <v>#REF!</v>
      </c>
      <c r="Y119" s="168" t="str">
        <f t="shared" si="287"/>
        <v>#REF!</v>
      </c>
      <c r="Z119" s="168" t="str">
        <f t="shared" si="287"/>
        <v>#REF!</v>
      </c>
      <c r="AA119" s="168" t="str">
        <f t="shared" ref="AA119:AF119" si="288">#REF!</f>
        <v>#REF!</v>
      </c>
      <c r="AB119" s="168" t="str">
        <f t="shared" si="288"/>
        <v>#REF!</v>
      </c>
      <c r="AC119" s="168" t="str">
        <f t="shared" si="288"/>
        <v>#REF!</v>
      </c>
      <c r="AD119" s="168" t="str">
        <f t="shared" si="288"/>
        <v>#REF!</v>
      </c>
      <c r="AE119" s="168" t="str">
        <f t="shared" si="288"/>
        <v>#REF!</v>
      </c>
      <c r="AF119" s="168" t="str">
        <f t="shared" si="288"/>
        <v>#REF!</v>
      </c>
      <c r="AG119" s="168" t="str">
        <f>'2026 Pipeline'!CT20</f>
        <v>#REF!</v>
      </c>
      <c r="AH119" s="168" t="str">
        <f>'2026 Pipeline'!S20</f>
        <v>#REF!</v>
      </c>
      <c r="AI119" s="168" t="str">
        <f t="shared" ref="AI119:AJ119" si="289">#REF!</f>
        <v>#REF!</v>
      </c>
      <c r="AJ119" s="168" t="str">
        <f t="shared" si="289"/>
        <v>#REF!</v>
      </c>
    </row>
    <row r="120" ht="15.75" customHeight="1">
      <c r="A120" s="168" t="str">
        <f t="shared" si="274"/>
        <v>#REF!</v>
      </c>
      <c r="B120" s="168" t="str">
        <f t="shared" ref="B120:C120" si="290">if('2026 Pipeline'!$M24=$D$1,'2026 Pipeline'!J24,"")</f>
        <v>#REF!</v>
      </c>
      <c r="C120" s="168" t="str">
        <f t="shared" si="290"/>
        <v>#REF!</v>
      </c>
      <c r="D120" s="168" t="str">
        <f t="shared" ref="D120:F120" si="291">if('2026 Pipeline'!$M24=$D$1,'2026 Pipeline'!M24,"")</f>
        <v>#REF!</v>
      </c>
      <c r="E120" s="168" t="str">
        <f t="shared" si="291"/>
        <v>#REF!</v>
      </c>
      <c r="F120" s="168" t="str">
        <f t="shared" si="291"/>
        <v>#REF!</v>
      </c>
      <c r="G120" s="168" t="str">
        <f t="shared" si="277"/>
        <v>#REF!</v>
      </c>
      <c r="H120" s="168" t="str">
        <f t="shared" si="278"/>
        <v>#REF!</v>
      </c>
      <c r="I120" s="168" t="str">
        <f t="shared" si="279"/>
        <v>#REF!</v>
      </c>
      <c r="J120" s="168" t="str">
        <f t="shared" ref="J120:L120" si="292">if('2026 Pipeline'!$M24=$D$1,'2026 Pipeline'!V24,"")</f>
        <v>#REF!</v>
      </c>
      <c r="K120" s="168" t="str">
        <f t="shared" si="292"/>
        <v>#REF!</v>
      </c>
      <c r="L120" s="168" t="str">
        <f t="shared" si="292"/>
        <v>#REF!</v>
      </c>
      <c r="M120" s="168" t="str">
        <f t="shared" ref="M120:O120" si="293">if('2026 Pipeline'!$M24=$D$1,#REF!,"")</f>
        <v>#REF!</v>
      </c>
      <c r="N120" s="168" t="str">
        <f t="shared" si="293"/>
        <v>#REF!</v>
      </c>
      <c r="O120" s="168" t="str">
        <f t="shared" si="293"/>
        <v>#REF!</v>
      </c>
      <c r="P120" s="168" t="str">
        <f t="shared" si="282"/>
        <v>#REF!</v>
      </c>
      <c r="Q120" s="168" t="str">
        <f t="shared" si="283"/>
        <v>#REF!</v>
      </c>
      <c r="R120" s="168" t="str">
        <f t="shared" si="284"/>
        <v>#REF!</v>
      </c>
      <c r="S120" s="168" t="str">
        <f t="shared" si="285"/>
        <v>#REF!</v>
      </c>
      <c r="T120" s="168" t="str">
        <f t="shared" si="286"/>
        <v>#REF!</v>
      </c>
      <c r="U120" s="168" t="str">
        <f t="shared" ref="U120:U127" si="301">'2026 Pipeline'!AP22</f>
        <v>#REF!</v>
      </c>
      <c r="V120" s="168" t="str">
        <f t="shared" ref="V120:Z120" si="294">'2026 Pipeline'!CJ22</f>
        <v>#REF!</v>
      </c>
      <c r="W120" s="168" t="str">
        <f t="shared" si="294"/>
        <v>#REF!</v>
      </c>
      <c r="X120" s="168" t="str">
        <f t="shared" si="294"/>
        <v>#REF!</v>
      </c>
      <c r="Y120" s="168" t="str">
        <f t="shared" si="294"/>
        <v>#REF!</v>
      </c>
      <c r="Z120" s="168" t="str">
        <f t="shared" si="294"/>
        <v>#REF!</v>
      </c>
      <c r="AA120" s="168" t="str">
        <f t="shared" ref="AA120:AF120" si="295">#REF!</f>
        <v>#REF!</v>
      </c>
      <c r="AB120" s="168" t="str">
        <f t="shared" si="295"/>
        <v>#REF!</v>
      </c>
      <c r="AC120" s="168" t="str">
        <f t="shared" si="295"/>
        <v>#REF!</v>
      </c>
      <c r="AD120" s="168" t="str">
        <f t="shared" si="295"/>
        <v>#REF!</v>
      </c>
      <c r="AE120" s="168" t="str">
        <f t="shared" si="295"/>
        <v>#REF!</v>
      </c>
      <c r="AF120" s="168" t="str">
        <f t="shared" si="295"/>
        <v>#REF!</v>
      </c>
      <c r="AG120" s="168" t="str">
        <f t="shared" ref="AG120:AG127" si="304">'2026 Pipeline'!CT22</f>
        <v>#REF!</v>
      </c>
      <c r="AH120" s="168" t="str">
        <f t="shared" ref="AH120:AH127" si="305">'2026 Pipeline'!S22</f>
        <v>#REF!</v>
      </c>
      <c r="AI120" s="168" t="str">
        <f t="shared" ref="AI120:AJ120" si="296">#REF!</f>
        <v>#REF!</v>
      </c>
      <c r="AJ120" s="168" t="str">
        <f t="shared" si="296"/>
        <v>#REF!</v>
      </c>
    </row>
    <row r="121" ht="15.75" customHeight="1">
      <c r="A121" s="168" t="str">
        <f t="shared" si="274"/>
        <v>#REF!</v>
      </c>
      <c r="B121" s="168" t="str">
        <f t="shared" ref="B121:C121" si="297">if('2026 Pipeline'!$M25=$D$1,'2026 Pipeline'!J25,"")</f>
        <v>#REF!</v>
      </c>
      <c r="C121" s="168" t="str">
        <f t="shared" si="297"/>
        <v>#REF!</v>
      </c>
      <c r="D121" s="168" t="str">
        <f t="shared" ref="D121:F121" si="298">if('2026 Pipeline'!$M25=$D$1,'2026 Pipeline'!M25,"")</f>
        <v>#REF!</v>
      </c>
      <c r="E121" s="168" t="str">
        <f t="shared" si="298"/>
        <v>#REF!</v>
      </c>
      <c r="F121" s="168" t="str">
        <f t="shared" si="298"/>
        <v>#REF!</v>
      </c>
      <c r="G121" s="168" t="str">
        <f t="shared" si="277"/>
        <v>#REF!</v>
      </c>
      <c r="H121" s="168" t="str">
        <f t="shared" si="278"/>
        <v>#REF!</v>
      </c>
      <c r="I121" s="168" t="str">
        <f t="shared" si="279"/>
        <v>#REF!</v>
      </c>
      <c r="J121" s="168" t="str">
        <f t="shared" ref="J121:L121" si="299">if('2026 Pipeline'!$M25=$D$1,'2026 Pipeline'!V25,"")</f>
        <v>#REF!</v>
      </c>
      <c r="K121" s="168" t="str">
        <f t="shared" si="299"/>
        <v>#REF!</v>
      </c>
      <c r="L121" s="168" t="str">
        <f t="shared" si="299"/>
        <v>#REF!</v>
      </c>
      <c r="M121" s="168" t="str">
        <f t="shared" ref="M121:O121" si="300">if('2026 Pipeline'!$M25=$D$1,#REF!,"")</f>
        <v>#REF!</v>
      </c>
      <c r="N121" s="168" t="str">
        <f t="shared" si="300"/>
        <v>#REF!</v>
      </c>
      <c r="O121" s="168" t="str">
        <f t="shared" si="300"/>
        <v>#REF!</v>
      </c>
      <c r="P121" s="168" t="str">
        <f t="shared" si="282"/>
        <v>#REF!</v>
      </c>
      <c r="Q121" s="168" t="str">
        <f t="shared" si="283"/>
        <v>#REF!</v>
      </c>
      <c r="R121" s="168" t="str">
        <f t="shared" si="284"/>
        <v>#REF!</v>
      </c>
      <c r="S121" s="168" t="str">
        <f t="shared" si="285"/>
        <v>#REF!</v>
      </c>
      <c r="T121" s="168" t="str">
        <f t="shared" si="286"/>
        <v>#REF!</v>
      </c>
      <c r="U121" s="168" t="str">
        <f t="shared" si="301"/>
        <v>#REF!</v>
      </c>
      <c r="V121" s="168" t="str">
        <f t="shared" ref="V121:Z121" si="302">'2026 Pipeline'!CJ23</f>
        <v>#REF!</v>
      </c>
      <c r="W121" s="168" t="str">
        <f t="shared" si="302"/>
        <v>#REF!</v>
      </c>
      <c r="X121" s="168" t="str">
        <f t="shared" si="302"/>
        <v>#REF!</v>
      </c>
      <c r="Y121" s="168" t="str">
        <f t="shared" si="302"/>
        <v>#REF!</v>
      </c>
      <c r="Z121" s="168" t="str">
        <f t="shared" si="302"/>
        <v>#REF!</v>
      </c>
      <c r="AA121" s="168" t="str">
        <f t="shared" ref="AA121:AF121" si="303">#REF!</f>
        <v>#REF!</v>
      </c>
      <c r="AB121" s="168" t="str">
        <f t="shared" si="303"/>
        <v>#REF!</v>
      </c>
      <c r="AC121" s="168" t="str">
        <f t="shared" si="303"/>
        <v>#REF!</v>
      </c>
      <c r="AD121" s="168" t="str">
        <f t="shared" si="303"/>
        <v>#REF!</v>
      </c>
      <c r="AE121" s="168" t="str">
        <f t="shared" si="303"/>
        <v>#REF!</v>
      </c>
      <c r="AF121" s="168" t="str">
        <f t="shared" si="303"/>
        <v>#REF!</v>
      </c>
      <c r="AG121" s="168" t="str">
        <f t="shared" si="304"/>
        <v>#REF!</v>
      </c>
      <c r="AH121" s="168" t="str">
        <f t="shared" si="305"/>
        <v>#REF!</v>
      </c>
      <c r="AI121" s="168" t="str">
        <f t="shared" ref="AI121:AJ121" si="306">#REF!</f>
        <v>#REF!</v>
      </c>
      <c r="AJ121" s="168" t="str">
        <f t="shared" si="306"/>
        <v>#REF!</v>
      </c>
    </row>
    <row r="122" ht="15.75" customHeight="1">
      <c r="A122" s="168" t="str">
        <f t="shared" si="274"/>
        <v>#REF!</v>
      </c>
      <c r="B122" s="168" t="str">
        <f t="shared" ref="B122:C122" si="307">if('2026 Pipeline'!$M26=$D$1,'2026 Pipeline'!J26,"")</f>
        <v>#REF!</v>
      </c>
      <c r="C122" s="168" t="str">
        <f t="shared" si="307"/>
        <v>#REF!</v>
      </c>
      <c r="D122" s="168" t="str">
        <f t="shared" ref="D122:F122" si="308">if('2026 Pipeline'!$M26=$D$1,'2026 Pipeline'!M26,"")</f>
        <v>#REF!</v>
      </c>
      <c r="E122" s="168" t="str">
        <f t="shared" si="308"/>
        <v>#REF!</v>
      </c>
      <c r="F122" s="168" t="str">
        <f t="shared" si="308"/>
        <v>#REF!</v>
      </c>
      <c r="G122" s="168" t="str">
        <f t="shared" si="277"/>
        <v>#REF!</v>
      </c>
      <c r="H122" s="168" t="str">
        <f t="shared" si="278"/>
        <v>#REF!</v>
      </c>
      <c r="I122" s="168" t="str">
        <f t="shared" si="279"/>
        <v>#REF!</v>
      </c>
      <c r="J122" s="168" t="str">
        <f t="shared" ref="J122:L122" si="309">if('2026 Pipeline'!$M26=$D$1,'2026 Pipeline'!V26,"")</f>
        <v>#REF!</v>
      </c>
      <c r="K122" s="168" t="str">
        <f t="shared" si="309"/>
        <v>#REF!</v>
      </c>
      <c r="L122" s="168" t="str">
        <f t="shared" si="309"/>
        <v>#REF!</v>
      </c>
      <c r="M122" s="168" t="str">
        <f t="shared" ref="M122:O122" si="310">if('2026 Pipeline'!$M26=$D$1,#REF!,"")</f>
        <v>#REF!</v>
      </c>
      <c r="N122" s="168" t="str">
        <f t="shared" si="310"/>
        <v>#REF!</v>
      </c>
      <c r="O122" s="168" t="str">
        <f t="shared" si="310"/>
        <v>#REF!</v>
      </c>
      <c r="P122" s="168" t="str">
        <f t="shared" si="282"/>
        <v>#REF!</v>
      </c>
      <c r="Q122" s="168" t="str">
        <f t="shared" si="283"/>
        <v>#REF!</v>
      </c>
      <c r="R122" s="168" t="str">
        <f t="shared" si="284"/>
        <v>#REF!</v>
      </c>
      <c r="S122" s="168" t="str">
        <f t="shared" si="285"/>
        <v>#REF!</v>
      </c>
      <c r="T122" s="168" t="str">
        <f t="shared" si="286"/>
        <v>#REF!</v>
      </c>
      <c r="U122" s="168" t="str">
        <f t="shared" si="301"/>
        <v>#REF!</v>
      </c>
      <c r="V122" s="168" t="str">
        <f t="shared" ref="V122:Z122" si="311">'2026 Pipeline'!CJ24</f>
        <v>#REF!</v>
      </c>
      <c r="W122" s="168" t="str">
        <f t="shared" si="311"/>
        <v>#REF!</v>
      </c>
      <c r="X122" s="168" t="str">
        <f t="shared" si="311"/>
        <v>#REF!</v>
      </c>
      <c r="Y122" s="168" t="str">
        <f t="shared" si="311"/>
        <v>#REF!</v>
      </c>
      <c r="Z122" s="168" t="str">
        <f t="shared" si="311"/>
        <v>#REF!</v>
      </c>
      <c r="AA122" s="168" t="str">
        <f t="shared" ref="AA122:AF122" si="312">#REF!</f>
        <v>#REF!</v>
      </c>
      <c r="AB122" s="168" t="str">
        <f t="shared" si="312"/>
        <v>#REF!</v>
      </c>
      <c r="AC122" s="168" t="str">
        <f t="shared" si="312"/>
        <v>#REF!</v>
      </c>
      <c r="AD122" s="168" t="str">
        <f t="shared" si="312"/>
        <v>#REF!</v>
      </c>
      <c r="AE122" s="168" t="str">
        <f t="shared" si="312"/>
        <v>#REF!</v>
      </c>
      <c r="AF122" s="168" t="str">
        <f t="shared" si="312"/>
        <v>#REF!</v>
      </c>
      <c r="AG122" s="168" t="str">
        <f t="shared" si="304"/>
        <v>#REF!</v>
      </c>
      <c r="AH122" s="168" t="str">
        <f t="shared" si="305"/>
        <v>#REF!</v>
      </c>
      <c r="AI122" s="168" t="str">
        <f t="shared" ref="AI122:AJ122" si="313">#REF!</f>
        <v>#REF!</v>
      </c>
      <c r="AJ122" s="168" t="str">
        <f t="shared" si="313"/>
        <v>#REF!</v>
      </c>
    </row>
    <row r="123" ht="15.75" customHeight="1">
      <c r="A123" s="168" t="str">
        <f t="shared" si="274"/>
        <v>#REF!</v>
      </c>
      <c r="B123" s="168" t="str">
        <f t="shared" ref="B123:C123" si="314">if('2026 Pipeline'!$M27=$D$1,'2026 Pipeline'!J27,"")</f>
        <v>#REF!</v>
      </c>
      <c r="C123" s="168" t="str">
        <f t="shared" si="314"/>
        <v>#REF!</v>
      </c>
      <c r="D123" s="168" t="str">
        <f t="shared" ref="D123:F123" si="315">if('2026 Pipeline'!$M27=$D$1,'2026 Pipeline'!M27,"")</f>
        <v>#REF!</v>
      </c>
      <c r="E123" s="168" t="str">
        <f t="shared" si="315"/>
        <v>#REF!</v>
      </c>
      <c r="F123" s="168" t="str">
        <f t="shared" si="315"/>
        <v>#REF!</v>
      </c>
      <c r="G123" s="168" t="str">
        <f t="shared" si="277"/>
        <v>#REF!</v>
      </c>
      <c r="H123" s="168" t="str">
        <f t="shared" si="278"/>
        <v>#REF!</v>
      </c>
      <c r="I123" s="168" t="str">
        <f t="shared" si="279"/>
        <v>#REF!</v>
      </c>
      <c r="J123" s="168" t="str">
        <f t="shared" ref="J123:L123" si="316">if('2026 Pipeline'!$M27=$D$1,'2026 Pipeline'!V27,"")</f>
        <v>#REF!</v>
      </c>
      <c r="K123" s="168" t="str">
        <f t="shared" si="316"/>
        <v>#REF!</v>
      </c>
      <c r="L123" s="168" t="str">
        <f t="shared" si="316"/>
        <v>#REF!</v>
      </c>
      <c r="M123" s="168" t="str">
        <f t="shared" ref="M123:O123" si="317">if('2026 Pipeline'!$M27=$D$1,#REF!,"")</f>
        <v>#REF!</v>
      </c>
      <c r="N123" s="168" t="str">
        <f t="shared" si="317"/>
        <v>#REF!</v>
      </c>
      <c r="O123" s="168" t="str">
        <f t="shared" si="317"/>
        <v>#REF!</v>
      </c>
      <c r="P123" s="168" t="str">
        <f t="shared" si="282"/>
        <v>#REF!</v>
      </c>
      <c r="Q123" s="168" t="str">
        <f t="shared" si="283"/>
        <v>#REF!</v>
      </c>
      <c r="R123" s="168" t="str">
        <f t="shared" si="284"/>
        <v>#REF!</v>
      </c>
      <c r="S123" s="168" t="str">
        <f t="shared" si="285"/>
        <v>#REF!</v>
      </c>
      <c r="T123" s="168" t="str">
        <f t="shared" si="286"/>
        <v>#REF!</v>
      </c>
      <c r="U123" s="168" t="str">
        <f t="shared" si="301"/>
        <v>#REF!</v>
      </c>
      <c r="V123" s="168" t="str">
        <f t="shared" ref="V123:Z123" si="318">'2026 Pipeline'!CJ25</f>
        <v>#REF!</v>
      </c>
      <c r="W123" s="168" t="str">
        <f t="shared" si="318"/>
        <v>#REF!</v>
      </c>
      <c r="X123" s="168" t="str">
        <f t="shared" si="318"/>
        <v>#REF!</v>
      </c>
      <c r="Y123" s="168" t="str">
        <f t="shared" si="318"/>
        <v>#REF!</v>
      </c>
      <c r="Z123" s="168" t="str">
        <f t="shared" si="318"/>
        <v>#REF!</v>
      </c>
      <c r="AA123" s="168" t="str">
        <f t="shared" ref="AA123:AF123" si="319">#REF!</f>
        <v>#REF!</v>
      </c>
      <c r="AB123" s="168" t="str">
        <f t="shared" si="319"/>
        <v>#REF!</v>
      </c>
      <c r="AC123" s="168" t="str">
        <f t="shared" si="319"/>
        <v>#REF!</v>
      </c>
      <c r="AD123" s="168" t="str">
        <f t="shared" si="319"/>
        <v>#REF!</v>
      </c>
      <c r="AE123" s="168" t="str">
        <f t="shared" si="319"/>
        <v>#REF!</v>
      </c>
      <c r="AF123" s="168" t="str">
        <f t="shared" si="319"/>
        <v>#REF!</v>
      </c>
      <c r="AG123" s="168" t="str">
        <f t="shared" si="304"/>
        <v>#REF!</v>
      </c>
      <c r="AH123" s="168" t="str">
        <f t="shared" si="305"/>
        <v>#REF!</v>
      </c>
      <c r="AI123" s="168" t="str">
        <f t="shared" ref="AI123:AJ123" si="320">#REF!</f>
        <v>#REF!</v>
      </c>
      <c r="AJ123" s="168" t="str">
        <f t="shared" si="320"/>
        <v>#REF!</v>
      </c>
    </row>
    <row r="124" ht="15.75" customHeight="1">
      <c r="A124" s="168" t="str">
        <f t="shared" si="274"/>
        <v>#REF!</v>
      </c>
      <c r="B124" s="168" t="str">
        <f t="shared" ref="B124:C124" si="321">if('2026 Pipeline'!$M28=$D$1,'2026 Pipeline'!J28,"")</f>
        <v>#REF!</v>
      </c>
      <c r="C124" s="168" t="str">
        <f t="shared" si="321"/>
        <v>#REF!</v>
      </c>
      <c r="D124" s="168" t="str">
        <f t="shared" ref="D124:F124" si="322">if('2026 Pipeline'!$M28=$D$1,'2026 Pipeline'!M28,"")</f>
        <v>#REF!</v>
      </c>
      <c r="E124" s="168" t="str">
        <f t="shared" si="322"/>
        <v>#REF!</v>
      </c>
      <c r="F124" s="168" t="str">
        <f t="shared" si="322"/>
        <v>#REF!</v>
      </c>
      <c r="G124" s="168" t="str">
        <f t="shared" si="277"/>
        <v>#REF!</v>
      </c>
      <c r="H124" s="168" t="str">
        <f t="shared" si="278"/>
        <v>#REF!</v>
      </c>
      <c r="I124" s="168" t="str">
        <f t="shared" si="279"/>
        <v>#REF!</v>
      </c>
      <c r="J124" s="168" t="str">
        <f t="shared" ref="J124:L124" si="323">if('2026 Pipeline'!$M28=$D$1,'2026 Pipeline'!V28,"")</f>
        <v>#REF!</v>
      </c>
      <c r="K124" s="168" t="str">
        <f t="shared" si="323"/>
        <v>#REF!</v>
      </c>
      <c r="L124" s="168" t="str">
        <f t="shared" si="323"/>
        <v>#REF!</v>
      </c>
      <c r="M124" s="168" t="str">
        <f t="shared" ref="M124:O124" si="324">if('2026 Pipeline'!$M28=$D$1,#REF!,"")</f>
        <v>#REF!</v>
      </c>
      <c r="N124" s="168" t="str">
        <f t="shared" si="324"/>
        <v>#REF!</v>
      </c>
      <c r="O124" s="168" t="str">
        <f t="shared" si="324"/>
        <v>#REF!</v>
      </c>
      <c r="P124" s="168" t="str">
        <f t="shared" si="282"/>
        <v>#REF!</v>
      </c>
      <c r="Q124" s="168" t="str">
        <f t="shared" si="283"/>
        <v>#REF!</v>
      </c>
      <c r="R124" s="168" t="str">
        <f t="shared" si="284"/>
        <v>#REF!</v>
      </c>
      <c r="S124" s="168" t="str">
        <f t="shared" si="285"/>
        <v>#REF!</v>
      </c>
      <c r="T124" s="168" t="str">
        <f t="shared" si="286"/>
        <v>#REF!</v>
      </c>
      <c r="U124" s="168" t="str">
        <f t="shared" si="301"/>
        <v>#REF!</v>
      </c>
      <c r="V124" s="168" t="str">
        <f t="shared" ref="V124:Z124" si="325">'2026 Pipeline'!CJ26</f>
        <v>#REF!</v>
      </c>
      <c r="W124" s="168" t="str">
        <f t="shared" si="325"/>
        <v>#REF!</v>
      </c>
      <c r="X124" s="168" t="str">
        <f t="shared" si="325"/>
        <v>#REF!</v>
      </c>
      <c r="Y124" s="168" t="str">
        <f t="shared" si="325"/>
        <v>#REF!</v>
      </c>
      <c r="Z124" s="168" t="str">
        <f t="shared" si="325"/>
        <v>#REF!</v>
      </c>
      <c r="AA124" s="168" t="str">
        <f t="shared" ref="AA124:AF124" si="326">#REF!</f>
        <v>#REF!</v>
      </c>
      <c r="AB124" s="168" t="str">
        <f t="shared" si="326"/>
        <v>#REF!</v>
      </c>
      <c r="AC124" s="168" t="str">
        <f t="shared" si="326"/>
        <v>#REF!</v>
      </c>
      <c r="AD124" s="168" t="str">
        <f t="shared" si="326"/>
        <v>#REF!</v>
      </c>
      <c r="AE124" s="168" t="str">
        <f t="shared" si="326"/>
        <v>#REF!</v>
      </c>
      <c r="AF124" s="168" t="str">
        <f t="shared" si="326"/>
        <v>#REF!</v>
      </c>
      <c r="AG124" s="168" t="str">
        <f t="shared" si="304"/>
        <v>#REF!</v>
      </c>
      <c r="AH124" s="168" t="str">
        <f t="shared" si="305"/>
        <v>#REF!</v>
      </c>
      <c r="AI124" s="168" t="str">
        <f t="shared" ref="AI124:AJ124" si="327">#REF!</f>
        <v>#REF!</v>
      </c>
      <c r="AJ124" s="168" t="str">
        <f t="shared" si="327"/>
        <v>#REF!</v>
      </c>
    </row>
    <row r="125" ht="15.75" customHeight="1">
      <c r="A125" s="168" t="str">
        <f t="shared" si="274"/>
        <v>#REF!</v>
      </c>
      <c r="B125" s="168" t="str">
        <f t="shared" ref="B125:C125" si="328">if('2026 Pipeline'!$M29=$D$1,'2026 Pipeline'!J29,"")</f>
        <v>#REF!</v>
      </c>
      <c r="C125" s="168" t="str">
        <f t="shared" si="328"/>
        <v>#REF!</v>
      </c>
      <c r="D125" s="168" t="str">
        <f t="shared" ref="D125:F125" si="329">if('2026 Pipeline'!$M29=$D$1,'2026 Pipeline'!M29,"")</f>
        <v>#REF!</v>
      </c>
      <c r="E125" s="168" t="str">
        <f t="shared" si="329"/>
        <v>#REF!</v>
      </c>
      <c r="F125" s="168" t="str">
        <f t="shared" si="329"/>
        <v>#REF!</v>
      </c>
      <c r="G125" s="168" t="str">
        <f t="shared" si="277"/>
        <v>#REF!</v>
      </c>
      <c r="H125" s="168" t="str">
        <f t="shared" si="278"/>
        <v>#REF!</v>
      </c>
      <c r="I125" s="168" t="str">
        <f t="shared" si="279"/>
        <v>#REF!</v>
      </c>
      <c r="J125" s="168" t="str">
        <f t="shared" ref="J125:L125" si="330">if('2026 Pipeline'!$M29=$D$1,'2026 Pipeline'!V29,"")</f>
        <v>#REF!</v>
      </c>
      <c r="K125" s="168" t="str">
        <f t="shared" si="330"/>
        <v>#REF!</v>
      </c>
      <c r="L125" s="168" t="str">
        <f t="shared" si="330"/>
        <v>#REF!</v>
      </c>
      <c r="M125" s="168" t="str">
        <f t="shared" ref="M125:O125" si="331">if('2026 Pipeline'!$M29=$D$1,#REF!,"")</f>
        <v>#REF!</v>
      </c>
      <c r="N125" s="168" t="str">
        <f t="shared" si="331"/>
        <v>#REF!</v>
      </c>
      <c r="O125" s="168" t="str">
        <f t="shared" si="331"/>
        <v>#REF!</v>
      </c>
      <c r="P125" s="168" t="str">
        <f t="shared" si="282"/>
        <v>#REF!</v>
      </c>
      <c r="Q125" s="168" t="str">
        <f t="shared" si="283"/>
        <v>#REF!</v>
      </c>
      <c r="R125" s="168" t="str">
        <f t="shared" si="284"/>
        <v>#REF!</v>
      </c>
      <c r="S125" s="168" t="str">
        <f t="shared" si="285"/>
        <v>#REF!</v>
      </c>
      <c r="T125" s="168" t="str">
        <f t="shared" si="286"/>
        <v>#REF!</v>
      </c>
      <c r="U125" s="168" t="str">
        <f t="shared" si="301"/>
        <v>#REF!</v>
      </c>
      <c r="V125" s="168" t="str">
        <f t="shared" ref="V125:Z125" si="332">'2026 Pipeline'!CJ27</f>
        <v>#REF!</v>
      </c>
      <c r="W125" s="168" t="str">
        <f t="shared" si="332"/>
        <v>#REF!</v>
      </c>
      <c r="X125" s="168" t="str">
        <f t="shared" si="332"/>
        <v>#REF!</v>
      </c>
      <c r="Y125" s="168" t="str">
        <f t="shared" si="332"/>
        <v>#REF!</v>
      </c>
      <c r="Z125" s="168" t="str">
        <f t="shared" si="332"/>
        <v>#REF!</v>
      </c>
      <c r="AA125" s="168" t="str">
        <f t="shared" ref="AA125:AF125" si="333">#REF!</f>
        <v>#REF!</v>
      </c>
      <c r="AB125" s="168" t="str">
        <f t="shared" si="333"/>
        <v>#REF!</v>
      </c>
      <c r="AC125" s="168" t="str">
        <f t="shared" si="333"/>
        <v>#REF!</v>
      </c>
      <c r="AD125" s="168" t="str">
        <f t="shared" si="333"/>
        <v>#REF!</v>
      </c>
      <c r="AE125" s="168" t="str">
        <f t="shared" si="333"/>
        <v>#REF!</v>
      </c>
      <c r="AF125" s="168" t="str">
        <f t="shared" si="333"/>
        <v>#REF!</v>
      </c>
      <c r="AG125" s="168" t="str">
        <f t="shared" si="304"/>
        <v>#REF!</v>
      </c>
      <c r="AH125" s="168" t="str">
        <f t="shared" si="305"/>
        <v>#REF!</v>
      </c>
      <c r="AI125" s="168" t="str">
        <f t="shared" ref="AI125:AJ125" si="334">#REF!</f>
        <v>#REF!</v>
      </c>
      <c r="AJ125" s="168" t="str">
        <f t="shared" si="334"/>
        <v>#REF!</v>
      </c>
    </row>
    <row r="126" ht="15.75" customHeight="1">
      <c r="A126" s="168" t="str">
        <f t="shared" ref="A126:T126" si="335">if(#REF!=$D$1,#REF!,"")</f>
        <v>#REF!</v>
      </c>
      <c r="B126" s="168" t="str">
        <f t="shared" si="335"/>
        <v>#REF!</v>
      </c>
      <c r="C126" s="168" t="str">
        <f t="shared" si="335"/>
        <v>#REF!</v>
      </c>
      <c r="D126" s="168" t="str">
        <f t="shared" si="335"/>
        <v>#REF!</v>
      </c>
      <c r="E126" s="168" t="str">
        <f t="shared" si="335"/>
        <v>#REF!</v>
      </c>
      <c r="F126" s="168" t="str">
        <f t="shared" si="335"/>
        <v>#REF!</v>
      </c>
      <c r="G126" s="168" t="str">
        <f t="shared" si="335"/>
        <v>#REF!</v>
      </c>
      <c r="H126" s="168" t="str">
        <f t="shared" si="335"/>
        <v>#REF!</v>
      </c>
      <c r="I126" s="168" t="str">
        <f t="shared" si="335"/>
        <v>#REF!</v>
      </c>
      <c r="J126" s="168" t="str">
        <f t="shared" si="335"/>
        <v>#REF!</v>
      </c>
      <c r="K126" s="168" t="str">
        <f t="shared" si="335"/>
        <v>#REF!</v>
      </c>
      <c r="L126" s="168" t="str">
        <f t="shared" si="335"/>
        <v>#REF!</v>
      </c>
      <c r="M126" s="168" t="str">
        <f t="shared" si="335"/>
        <v>#REF!</v>
      </c>
      <c r="N126" s="168" t="str">
        <f t="shared" si="335"/>
        <v>#REF!</v>
      </c>
      <c r="O126" s="168" t="str">
        <f t="shared" si="335"/>
        <v>#REF!</v>
      </c>
      <c r="P126" s="168" t="str">
        <f t="shared" si="335"/>
        <v>#REF!</v>
      </c>
      <c r="Q126" s="168" t="str">
        <f t="shared" si="335"/>
        <v>#REF!</v>
      </c>
      <c r="R126" s="168" t="str">
        <f t="shared" si="335"/>
        <v>#REF!</v>
      </c>
      <c r="S126" s="168" t="str">
        <f t="shared" si="335"/>
        <v>#REF!</v>
      </c>
      <c r="T126" s="168" t="str">
        <f t="shared" si="335"/>
        <v>#REF!</v>
      </c>
      <c r="U126" s="168" t="str">
        <f t="shared" si="301"/>
        <v>#REF!</v>
      </c>
      <c r="V126" s="168" t="str">
        <f t="shared" ref="V126:Z126" si="336">'2026 Pipeline'!CJ28</f>
        <v>#REF!</v>
      </c>
      <c r="W126" s="168" t="str">
        <f t="shared" si="336"/>
        <v>#REF!</v>
      </c>
      <c r="X126" s="168" t="str">
        <f t="shared" si="336"/>
        <v>#REF!</v>
      </c>
      <c r="Y126" s="168" t="str">
        <f t="shared" si="336"/>
        <v>#REF!</v>
      </c>
      <c r="Z126" s="168" t="str">
        <f t="shared" si="336"/>
        <v>#REF!</v>
      </c>
      <c r="AA126" s="168" t="str">
        <f t="shared" ref="AA126:AF126" si="337">#REF!</f>
        <v>#REF!</v>
      </c>
      <c r="AB126" s="168" t="str">
        <f t="shared" si="337"/>
        <v>#REF!</v>
      </c>
      <c r="AC126" s="168" t="str">
        <f t="shared" si="337"/>
        <v>#REF!</v>
      </c>
      <c r="AD126" s="168" t="str">
        <f t="shared" si="337"/>
        <v>#REF!</v>
      </c>
      <c r="AE126" s="168" t="str">
        <f t="shared" si="337"/>
        <v>#REF!</v>
      </c>
      <c r="AF126" s="168" t="str">
        <f t="shared" si="337"/>
        <v>#REF!</v>
      </c>
      <c r="AG126" s="168" t="str">
        <f t="shared" si="304"/>
        <v>#REF!</v>
      </c>
      <c r="AH126" s="168" t="str">
        <f t="shared" si="305"/>
        <v>#REF!</v>
      </c>
      <c r="AI126" s="168" t="str">
        <f t="shared" ref="AI126:AJ126" si="338">#REF!</f>
        <v>#REF!</v>
      </c>
      <c r="AJ126" s="168" t="str">
        <f t="shared" si="338"/>
        <v>#REF!</v>
      </c>
    </row>
    <row r="127" ht="15.75" customHeight="1">
      <c r="A127" s="168" t="str">
        <f t="shared" ref="A127:T127" si="339">if(#REF!=$D$1,#REF!,"")</f>
        <v>#REF!</v>
      </c>
      <c r="B127" s="168" t="str">
        <f t="shared" si="339"/>
        <v>#REF!</v>
      </c>
      <c r="C127" s="168" t="str">
        <f t="shared" si="339"/>
        <v>#REF!</v>
      </c>
      <c r="D127" s="168" t="str">
        <f t="shared" si="339"/>
        <v>#REF!</v>
      </c>
      <c r="E127" s="168" t="str">
        <f t="shared" si="339"/>
        <v>#REF!</v>
      </c>
      <c r="F127" s="168" t="str">
        <f t="shared" si="339"/>
        <v>#REF!</v>
      </c>
      <c r="G127" s="168" t="str">
        <f t="shared" si="339"/>
        <v>#REF!</v>
      </c>
      <c r="H127" s="168" t="str">
        <f t="shared" si="339"/>
        <v>#REF!</v>
      </c>
      <c r="I127" s="168" t="str">
        <f t="shared" si="339"/>
        <v>#REF!</v>
      </c>
      <c r="J127" s="168" t="str">
        <f t="shared" si="339"/>
        <v>#REF!</v>
      </c>
      <c r="K127" s="168" t="str">
        <f t="shared" si="339"/>
        <v>#REF!</v>
      </c>
      <c r="L127" s="168" t="str">
        <f t="shared" si="339"/>
        <v>#REF!</v>
      </c>
      <c r="M127" s="168" t="str">
        <f t="shared" si="339"/>
        <v>#REF!</v>
      </c>
      <c r="N127" s="168" t="str">
        <f t="shared" si="339"/>
        <v>#REF!</v>
      </c>
      <c r="O127" s="168" t="str">
        <f t="shared" si="339"/>
        <v>#REF!</v>
      </c>
      <c r="P127" s="168" t="str">
        <f t="shared" si="339"/>
        <v>#REF!</v>
      </c>
      <c r="Q127" s="168" t="str">
        <f t="shared" si="339"/>
        <v>#REF!</v>
      </c>
      <c r="R127" s="168" t="str">
        <f t="shared" si="339"/>
        <v>#REF!</v>
      </c>
      <c r="S127" s="168" t="str">
        <f t="shared" si="339"/>
        <v>#REF!</v>
      </c>
      <c r="T127" s="168" t="str">
        <f t="shared" si="339"/>
        <v>#REF!</v>
      </c>
      <c r="U127" s="168" t="str">
        <f t="shared" si="301"/>
        <v>#REF!</v>
      </c>
      <c r="V127" s="168" t="str">
        <f t="shared" ref="V127:Z127" si="340">'2026 Pipeline'!CJ29</f>
        <v>#REF!</v>
      </c>
      <c r="W127" s="168" t="str">
        <f t="shared" si="340"/>
        <v>#REF!</v>
      </c>
      <c r="X127" s="168" t="str">
        <f t="shared" si="340"/>
        <v>#REF!</v>
      </c>
      <c r="Y127" s="168" t="str">
        <f t="shared" si="340"/>
        <v>#REF!</v>
      </c>
      <c r="Z127" s="168" t="str">
        <f t="shared" si="340"/>
        <v>#REF!</v>
      </c>
      <c r="AA127" s="168" t="str">
        <f t="shared" ref="AA127:AF127" si="341">#REF!</f>
        <v>#REF!</v>
      </c>
      <c r="AB127" s="168" t="str">
        <f t="shared" si="341"/>
        <v>#REF!</v>
      </c>
      <c r="AC127" s="168" t="str">
        <f t="shared" si="341"/>
        <v>#REF!</v>
      </c>
      <c r="AD127" s="168" t="str">
        <f t="shared" si="341"/>
        <v>#REF!</v>
      </c>
      <c r="AE127" s="168" t="str">
        <f t="shared" si="341"/>
        <v>#REF!</v>
      </c>
      <c r="AF127" s="168" t="str">
        <f t="shared" si="341"/>
        <v>#REF!</v>
      </c>
      <c r="AG127" s="168" t="str">
        <f t="shared" si="304"/>
        <v>#REF!</v>
      </c>
      <c r="AH127" s="168" t="str">
        <f t="shared" si="305"/>
        <v>#REF!</v>
      </c>
      <c r="AI127" s="168" t="str">
        <f t="shared" ref="AI127:AJ127" si="342">#REF!</f>
        <v>#REF!</v>
      </c>
      <c r="AJ127" s="168" t="str">
        <f t="shared" si="342"/>
        <v>#REF!</v>
      </c>
    </row>
    <row r="128" ht="15.75" customHeight="1">
      <c r="A128" s="168" t="str">
        <f t="shared" ref="A128:T128" si="343">if(#REF!=$D$1,#REF!,"")</f>
        <v>#REF!</v>
      </c>
      <c r="B128" s="168" t="str">
        <f t="shared" si="343"/>
        <v>#REF!</v>
      </c>
      <c r="C128" s="168" t="str">
        <f t="shared" si="343"/>
        <v>#REF!</v>
      </c>
      <c r="D128" s="168" t="str">
        <f t="shared" si="343"/>
        <v>#REF!</v>
      </c>
      <c r="E128" s="168" t="str">
        <f t="shared" si="343"/>
        <v>#REF!</v>
      </c>
      <c r="F128" s="168" t="str">
        <f t="shared" si="343"/>
        <v>#REF!</v>
      </c>
      <c r="G128" s="168" t="str">
        <f t="shared" si="343"/>
        <v>#REF!</v>
      </c>
      <c r="H128" s="168" t="str">
        <f t="shared" si="343"/>
        <v>#REF!</v>
      </c>
      <c r="I128" s="168" t="str">
        <f t="shared" si="343"/>
        <v>#REF!</v>
      </c>
      <c r="J128" s="168" t="str">
        <f t="shared" si="343"/>
        <v>#REF!</v>
      </c>
      <c r="K128" s="168" t="str">
        <f t="shared" si="343"/>
        <v>#REF!</v>
      </c>
      <c r="L128" s="168" t="str">
        <f t="shared" si="343"/>
        <v>#REF!</v>
      </c>
      <c r="M128" s="168" t="str">
        <f t="shared" si="343"/>
        <v>#REF!</v>
      </c>
      <c r="N128" s="168" t="str">
        <f t="shared" si="343"/>
        <v>#REF!</v>
      </c>
      <c r="O128" s="168" t="str">
        <f t="shared" si="343"/>
        <v>#REF!</v>
      </c>
      <c r="P128" s="168" t="str">
        <f t="shared" si="343"/>
        <v>#REF!</v>
      </c>
      <c r="Q128" s="168" t="str">
        <f t="shared" si="343"/>
        <v>#REF!</v>
      </c>
      <c r="R128" s="168" t="str">
        <f t="shared" si="343"/>
        <v>#REF!</v>
      </c>
      <c r="S128" s="168" t="str">
        <f t="shared" si="343"/>
        <v>#REF!</v>
      </c>
      <c r="T128" s="168" t="str">
        <f t="shared" si="343"/>
        <v>#REF!</v>
      </c>
      <c r="U128" s="168" t="str">
        <f t="shared" ref="U128:AJ128" si="344">#REF!</f>
        <v>#REF!</v>
      </c>
      <c r="V128" s="168" t="str">
        <f t="shared" si="344"/>
        <v>#REF!</v>
      </c>
      <c r="W128" s="168" t="str">
        <f t="shared" si="344"/>
        <v>#REF!</v>
      </c>
      <c r="X128" s="168" t="str">
        <f t="shared" si="344"/>
        <v>#REF!</v>
      </c>
      <c r="Y128" s="168" t="str">
        <f t="shared" si="344"/>
        <v>#REF!</v>
      </c>
      <c r="Z128" s="168" t="str">
        <f t="shared" si="344"/>
        <v>#REF!</v>
      </c>
      <c r="AA128" s="168" t="str">
        <f t="shared" si="344"/>
        <v>#REF!</v>
      </c>
      <c r="AB128" s="168" t="str">
        <f t="shared" si="344"/>
        <v>#REF!</v>
      </c>
      <c r="AC128" s="168" t="str">
        <f t="shared" si="344"/>
        <v>#REF!</v>
      </c>
      <c r="AD128" s="168" t="str">
        <f t="shared" si="344"/>
        <v>#REF!</v>
      </c>
      <c r="AE128" s="168" t="str">
        <f t="shared" si="344"/>
        <v>#REF!</v>
      </c>
      <c r="AF128" s="168" t="str">
        <f t="shared" si="344"/>
        <v>#REF!</v>
      </c>
      <c r="AG128" s="168" t="str">
        <f t="shared" si="344"/>
        <v>#REF!</v>
      </c>
      <c r="AH128" s="168" t="str">
        <f t="shared" si="344"/>
        <v>#REF!</v>
      </c>
      <c r="AI128" s="168" t="str">
        <f t="shared" si="344"/>
        <v>#REF!</v>
      </c>
      <c r="AJ128" s="168" t="str">
        <f t="shared" si="344"/>
        <v>#REF!</v>
      </c>
    </row>
    <row r="129" ht="15.75" customHeight="1">
      <c r="A129" s="168" t="str">
        <f t="shared" ref="A129:T129" si="345">if(#REF!=$D$1,#REF!,"")</f>
        <v>#REF!</v>
      </c>
      <c r="B129" s="168" t="str">
        <f t="shared" si="345"/>
        <v>#REF!</v>
      </c>
      <c r="C129" s="168" t="str">
        <f t="shared" si="345"/>
        <v>#REF!</v>
      </c>
      <c r="D129" s="168" t="str">
        <f t="shared" si="345"/>
        <v>#REF!</v>
      </c>
      <c r="E129" s="168" t="str">
        <f t="shared" si="345"/>
        <v>#REF!</v>
      </c>
      <c r="F129" s="168" t="str">
        <f t="shared" si="345"/>
        <v>#REF!</v>
      </c>
      <c r="G129" s="168" t="str">
        <f t="shared" si="345"/>
        <v>#REF!</v>
      </c>
      <c r="H129" s="168" t="str">
        <f t="shared" si="345"/>
        <v>#REF!</v>
      </c>
      <c r="I129" s="168" t="str">
        <f t="shared" si="345"/>
        <v>#REF!</v>
      </c>
      <c r="J129" s="168" t="str">
        <f t="shared" si="345"/>
        <v>#REF!</v>
      </c>
      <c r="K129" s="168" t="str">
        <f t="shared" si="345"/>
        <v>#REF!</v>
      </c>
      <c r="L129" s="168" t="str">
        <f t="shared" si="345"/>
        <v>#REF!</v>
      </c>
      <c r="M129" s="168" t="str">
        <f t="shared" si="345"/>
        <v>#REF!</v>
      </c>
      <c r="N129" s="168" t="str">
        <f t="shared" si="345"/>
        <v>#REF!</v>
      </c>
      <c r="O129" s="168" t="str">
        <f t="shared" si="345"/>
        <v>#REF!</v>
      </c>
      <c r="P129" s="168" t="str">
        <f t="shared" si="345"/>
        <v>#REF!</v>
      </c>
      <c r="Q129" s="168" t="str">
        <f t="shared" si="345"/>
        <v>#REF!</v>
      </c>
      <c r="R129" s="168" t="str">
        <f t="shared" si="345"/>
        <v>#REF!</v>
      </c>
      <c r="S129" s="168" t="str">
        <f t="shared" si="345"/>
        <v>#REF!</v>
      </c>
      <c r="T129" s="168" t="str">
        <f t="shared" si="345"/>
        <v>#REF!</v>
      </c>
      <c r="U129" s="168" t="str">
        <f t="shared" ref="U129:AJ129" si="346">#REF!</f>
        <v>#REF!</v>
      </c>
      <c r="V129" s="168" t="str">
        <f t="shared" si="346"/>
        <v>#REF!</v>
      </c>
      <c r="W129" s="168" t="str">
        <f t="shared" si="346"/>
        <v>#REF!</v>
      </c>
      <c r="X129" s="168" t="str">
        <f t="shared" si="346"/>
        <v>#REF!</v>
      </c>
      <c r="Y129" s="168" t="str">
        <f t="shared" si="346"/>
        <v>#REF!</v>
      </c>
      <c r="Z129" s="168" t="str">
        <f t="shared" si="346"/>
        <v>#REF!</v>
      </c>
      <c r="AA129" s="168" t="str">
        <f t="shared" si="346"/>
        <v>#REF!</v>
      </c>
      <c r="AB129" s="168" t="str">
        <f t="shared" si="346"/>
        <v>#REF!</v>
      </c>
      <c r="AC129" s="168" t="str">
        <f t="shared" si="346"/>
        <v>#REF!</v>
      </c>
      <c r="AD129" s="168" t="str">
        <f t="shared" si="346"/>
        <v>#REF!</v>
      </c>
      <c r="AE129" s="168" t="str">
        <f t="shared" si="346"/>
        <v>#REF!</v>
      </c>
      <c r="AF129" s="168" t="str">
        <f t="shared" si="346"/>
        <v>#REF!</v>
      </c>
      <c r="AG129" s="168" t="str">
        <f t="shared" si="346"/>
        <v>#REF!</v>
      </c>
      <c r="AH129" s="168" t="str">
        <f t="shared" si="346"/>
        <v>#REF!</v>
      </c>
      <c r="AI129" s="168" t="str">
        <f t="shared" si="346"/>
        <v>#REF!</v>
      </c>
      <c r="AJ129" s="168" t="str">
        <f t="shared" si="346"/>
        <v>#REF!</v>
      </c>
    </row>
    <row r="130" ht="15.75" customHeight="1">
      <c r="A130" s="168" t="str">
        <f t="shared" ref="A130:T130" si="347">if(#REF!=$D$1,#REF!,"")</f>
        <v>#REF!</v>
      </c>
      <c r="B130" s="168" t="str">
        <f t="shared" si="347"/>
        <v>#REF!</v>
      </c>
      <c r="C130" s="168" t="str">
        <f t="shared" si="347"/>
        <v>#REF!</v>
      </c>
      <c r="D130" s="168" t="str">
        <f t="shared" si="347"/>
        <v>#REF!</v>
      </c>
      <c r="E130" s="168" t="str">
        <f t="shared" si="347"/>
        <v>#REF!</v>
      </c>
      <c r="F130" s="168" t="str">
        <f t="shared" si="347"/>
        <v>#REF!</v>
      </c>
      <c r="G130" s="168" t="str">
        <f t="shared" si="347"/>
        <v>#REF!</v>
      </c>
      <c r="H130" s="168" t="str">
        <f t="shared" si="347"/>
        <v>#REF!</v>
      </c>
      <c r="I130" s="168" t="str">
        <f t="shared" si="347"/>
        <v>#REF!</v>
      </c>
      <c r="J130" s="168" t="str">
        <f t="shared" si="347"/>
        <v>#REF!</v>
      </c>
      <c r="K130" s="168" t="str">
        <f t="shared" si="347"/>
        <v>#REF!</v>
      </c>
      <c r="L130" s="168" t="str">
        <f t="shared" si="347"/>
        <v>#REF!</v>
      </c>
      <c r="M130" s="168" t="str">
        <f t="shared" si="347"/>
        <v>#REF!</v>
      </c>
      <c r="N130" s="168" t="str">
        <f t="shared" si="347"/>
        <v>#REF!</v>
      </c>
      <c r="O130" s="168" t="str">
        <f t="shared" si="347"/>
        <v>#REF!</v>
      </c>
      <c r="P130" s="168" t="str">
        <f t="shared" si="347"/>
        <v>#REF!</v>
      </c>
      <c r="Q130" s="168" t="str">
        <f t="shared" si="347"/>
        <v>#REF!</v>
      </c>
      <c r="R130" s="168" t="str">
        <f t="shared" si="347"/>
        <v>#REF!</v>
      </c>
      <c r="S130" s="168" t="str">
        <f t="shared" si="347"/>
        <v>#REF!</v>
      </c>
      <c r="T130" s="168" t="str">
        <f t="shared" si="347"/>
        <v>#REF!</v>
      </c>
      <c r="U130" s="168" t="str">
        <f t="shared" ref="U130:AJ130" si="348">#REF!</f>
        <v>#REF!</v>
      </c>
      <c r="V130" s="168" t="str">
        <f t="shared" si="348"/>
        <v>#REF!</v>
      </c>
      <c r="W130" s="168" t="str">
        <f t="shared" si="348"/>
        <v>#REF!</v>
      </c>
      <c r="X130" s="168" t="str">
        <f t="shared" si="348"/>
        <v>#REF!</v>
      </c>
      <c r="Y130" s="168" t="str">
        <f t="shared" si="348"/>
        <v>#REF!</v>
      </c>
      <c r="Z130" s="168" t="str">
        <f t="shared" si="348"/>
        <v>#REF!</v>
      </c>
      <c r="AA130" s="168" t="str">
        <f t="shared" si="348"/>
        <v>#REF!</v>
      </c>
      <c r="AB130" s="168" t="str">
        <f t="shared" si="348"/>
        <v>#REF!</v>
      </c>
      <c r="AC130" s="168" t="str">
        <f t="shared" si="348"/>
        <v>#REF!</v>
      </c>
      <c r="AD130" s="168" t="str">
        <f t="shared" si="348"/>
        <v>#REF!</v>
      </c>
      <c r="AE130" s="168" t="str">
        <f t="shared" si="348"/>
        <v>#REF!</v>
      </c>
      <c r="AF130" s="168" t="str">
        <f t="shared" si="348"/>
        <v>#REF!</v>
      </c>
      <c r="AG130" s="168" t="str">
        <f t="shared" si="348"/>
        <v>#REF!</v>
      </c>
      <c r="AH130" s="168" t="str">
        <f t="shared" si="348"/>
        <v>#REF!</v>
      </c>
      <c r="AI130" s="168" t="str">
        <f t="shared" si="348"/>
        <v>#REF!</v>
      </c>
      <c r="AJ130" s="168" t="str">
        <f t="shared" si="348"/>
        <v>#REF!</v>
      </c>
    </row>
    <row r="131" ht="15.75" customHeight="1">
      <c r="A131" s="168" t="str">
        <f t="shared" ref="A131:T131" si="349">if(#REF!=$D$1,#REF!,"")</f>
        <v>#REF!</v>
      </c>
      <c r="B131" s="168" t="str">
        <f t="shared" si="349"/>
        <v>#REF!</v>
      </c>
      <c r="C131" s="168" t="str">
        <f t="shared" si="349"/>
        <v>#REF!</v>
      </c>
      <c r="D131" s="168" t="str">
        <f t="shared" si="349"/>
        <v>#REF!</v>
      </c>
      <c r="E131" s="168" t="str">
        <f t="shared" si="349"/>
        <v>#REF!</v>
      </c>
      <c r="F131" s="168" t="str">
        <f t="shared" si="349"/>
        <v>#REF!</v>
      </c>
      <c r="G131" s="168" t="str">
        <f t="shared" si="349"/>
        <v>#REF!</v>
      </c>
      <c r="H131" s="168" t="str">
        <f t="shared" si="349"/>
        <v>#REF!</v>
      </c>
      <c r="I131" s="168" t="str">
        <f t="shared" si="349"/>
        <v>#REF!</v>
      </c>
      <c r="J131" s="168" t="str">
        <f t="shared" si="349"/>
        <v>#REF!</v>
      </c>
      <c r="K131" s="168" t="str">
        <f t="shared" si="349"/>
        <v>#REF!</v>
      </c>
      <c r="L131" s="168" t="str">
        <f t="shared" si="349"/>
        <v>#REF!</v>
      </c>
      <c r="M131" s="168" t="str">
        <f t="shared" si="349"/>
        <v>#REF!</v>
      </c>
      <c r="N131" s="168" t="str">
        <f t="shared" si="349"/>
        <v>#REF!</v>
      </c>
      <c r="O131" s="168" t="str">
        <f t="shared" si="349"/>
        <v>#REF!</v>
      </c>
      <c r="P131" s="168" t="str">
        <f t="shared" si="349"/>
        <v>#REF!</v>
      </c>
      <c r="Q131" s="168" t="str">
        <f t="shared" si="349"/>
        <v>#REF!</v>
      </c>
      <c r="R131" s="168" t="str">
        <f t="shared" si="349"/>
        <v>#REF!</v>
      </c>
      <c r="S131" s="168" t="str">
        <f t="shared" si="349"/>
        <v>#REF!</v>
      </c>
      <c r="T131" s="168" t="str">
        <f t="shared" si="349"/>
        <v>#REF!</v>
      </c>
      <c r="U131" s="168" t="str">
        <f t="shared" ref="U131:AJ131" si="350">#REF!</f>
        <v>#REF!</v>
      </c>
      <c r="V131" s="168" t="str">
        <f t="shared" si="350"/>
        <v>#REF!</v>
      </c>
      <c r="W131" s="168" t="str">
        <f t="shared" si="350"/>
        <v>#REF!</v>
      </c>
      <c r="X131" s="168" t="str">
        <f t="shared" si="350"/>
        <v>#REF!</v>
      </c>
      <c r="Y131" s="168" t="str">
        <f t="shared" si="350"/>
        <v>#REF!</v>
      </c>
      <c r="Z131" s="168" t="str">
        <f t="shared" si="350"/>
        <v>#REF!</v>
      </c>
      <c r="AA131" s="168" t="str">
        <f t="shared" si="350"/>
        <v>#REF!</v>
      </c>
      <c r="AB131" s="168" t="str">
        <f t="shared" si="350"/>
        <v>#REF!</v>
      </c>
      <c r="AC131" s="168" t="str">
        <f t="shared" si="350"/>
        <v>#REF!</v>
      </c>
      <c r="AD131" s="168" t="str">
        <f t="shared" si="350"/>
        <v>#REF!</v>
      </c>
      <c r="AE131" s="168" t="str">
        <f t="shared" si="350"/>
        <v>#REF!</v>
      </c>
      <c r="AF131" s="168" t="str">
        <f t="shared" si="350"/>
        <v>#REF!</v>
      </c>
      <c r="AG131" s="168" t="str">
        <f t="shared" si="350"/>
        <v>#REF!</v>
      </c>
      <c r="AH131" s="168" t="str">
        <f t="shared" si="350"/>
        <v>#REF!</v>
      </c>
      <c r="AI131" s="168" t="str">
        <f t="shared" si="350"/>
        <v>#REF!</v>
      </c>
      <c r="AJ131" s="168" t="str">
        <f t="shared" si="350"/>
        <v>#REF!</v>
      </c>
    </row>
    <row r="132" ht="15.75" customHeight="1">
      <c r="A132" s="168" t="str">
        <f t="shared" ref="A132:T132" si="351">if(#REF!=$D$1,#REF!,"")</f>
        <v>#REF!</v>
      </c>
      <c r="B132" s="168" t="str">
        <f t="shared" si="351"/>
        <v>#REF!</v>
      </c>
      <c r="C132" s="168" t="str">
        <f t="shared" si="351"/>
        <v>#REF!</v>
      </c>
      <c r="D132" s="168" t="str">
        <f t="shared" si="351"/>
        <v>#REF!</v>
      </c>
      <c r="E132" s="168" t="str">
        <f t="shared" si="351"/>
        <v>#REF!</v>
      </c>
      <c r="F132" s="168" t="str">
        <f t="shared" si="351"/>
        <v>#REF!</v>
      </c>
      <c r="G132" s="168" t="str">
        <f t="shared" si="351"/>
        <v>#REF!</v>
      </c>
      <c r="H132" s="168" t="str">
        <f t="shared" si="351"/>
        <v>#REF!</v>
      </c>
      <c r="I132" s="168" t="str">
        <f t="shared" si="351"/>
        <v>#REF!</v>
      </c>
      <c r="J132" s="168" t="str">
        <f t="shared" si="351"/>
        <v>#REF!</v>
      </c>
      <c r="K132" s="168" t="str">
        <f t="shared" si="351"/>
        <v>#REF!</v>
      </c>
      <c r="L132" s="168" t="str">
        <f t="shared" si="351"/>
        <v>#REF!</v>
      </c>
      <c r="M132" s="168" t="str">
        <f t="shared" si="351"/>
        <v>#REF!</v>
      </c>
      <c r="N132" s="168" t="str">
        <f t="shared" si="351"/>
        <v>#REF!</v>
      </c>
      <c r="O132" s="168" t="str">
        <f t="shared" si="351"/>
        <v>#REF!</v>
      </c>
      <c r="P132" s="168" t="str">
        <f t="shared" si="351"/>
        <v>#REF!</v>
      </c>
      <c r="Q132" s="168" t="str">
        <f t="shared" si="351"/>
        <v>#REF!</v>
      </c>
      <c r="R132" s="168" t="str">
        <f t="shared" si="351"/>
        <v>#REF!</v>
      </c>
      <c r="S132" s="168" t="str">
        <f t="shared" si="351"/>
        <v>#REF!</v>
      </c>
      <c r="T132" s="168" t="str">
        <f t="shared" si="351"/>
        <v>#REF!</v>
      </c>
      <c r="U132" s="168" t="str">
        <f t="shared" ref="U132:AJ132" si="352">#REF!</f>
        <v>#REF!</v>
      </c>
      <c r="V132" s="168" t="str">
        <f t="shared" si="352"/>
        <v>#REF!</v>
      </c>
      <c r="W132" s="168" t="str">
        <f t="shared" si="352"/>
        <v>#REF!</v>
      </c>
      <c r="X132" s="168" t="str">
        <f t="shared" si="352"/>
        <v>#REF!</v>
      </c>
      <c r="Y132" s="168" t="str">
        <f t="shared" si="352"/>
        <v>#REF!</v>
      </c>
      <c r="Z132" s="168" t="str">
        <f t="shared" si="352"/>
        <v>#REF!</v>
      </c>
      <c r="AA132" s="168" t="str">
        <f t="shared" si="352"/>
        <v>#REF!</v>
      </c>
      <c r="AB132" s="168" t="str">
        <f t="shared" si="352"/>
        <v>#REF!</v>
      </c>
      <c r="AC132" s="168" t="str">
        <f t="shared" si="352"/>
        <v>#REF!</v>
      </c>
      <c r="AD132" s="168" t="str">
        <f t="shared" si="352"/>
        <v>#REF!</v>
      </c>
      <c r="AE132" s="168" t="str">
        <f t="shared" si="352"/>
        <v>#REF!</v>
      </c>
      <c r="AF132" s="168" t="str">
        <f t="shared" si="352"/>
        <v>#REF!</v>
      </c>
      <c r="AG132" s="168" t="str">
        <f t="shared" si="352"/>
        <v>#REF!</v>
      </c>
      <c r="AH132" s="168" t="str">
        <f t="shared" si="352"/>
        <v>#REF!</v>
      </c>
      <c r="AI132" s="168" t="str">
        <f t="shared" si="352"/>
        <v>#REF!</v>
      </c>
      <c r="AJ132" s="168" t="str">
        <f t="shared" si="352"/>
        <v>#REF!</v>
      </c>
    </row>
    <row r="133" ht="15.75" customHeight="1">
      <c r="A133" s="168" t="str">
        <f t="shared" ref="A133:T133" si="353">if(#REF!=$D$1,#REF!,"")</f>
        <v>#REF!</v>
      </c>
      <c r="B133" s="168" t="str">
        <f t="shared" si="353"/>
        <v>#REF!</v>
      </c>
      <c r="C133" s="168" t="str">
        <f t="shared" si="353"/>
        <v>#REF!</v>
      </c>
      <c r="D133" s="168" t="str">
        <f t="shared" si="353"/>
        <v>#REF!</v>
      </c>
      <c r="E133" s="168" t="str">
        <f t="shared" si="353"/>
        <v>#REF!</v>
      </c>
      <c r="F133" s="168" t="str">
        <f t="shared" si="353"/>
        <v>#REF!</v>
      </c>
      <c r="G133" s="168" t="str">
        <f t="shared" si="353"/>
        <v>#REF!</v>
      </c>
      <c r="H133" s="168" t="str">
        <f t="shared" si="353"/>
        <v>#REF!</v>
      </c>
      <c r="I133" s="168" t="str">
        <f t="shared" si="353"/>
        <v>#REF!</v>
      </c>
      <c r="J133" s="168" t="str">
        <f t="shared" si="353"/>
        <v>#REF!</v>
      </c>
      <c r="K133" s="168" t="str">
        <f t="shared" si="353"/>
        <v>#REF!</v>
      </c>
      <c r="L133" s="168" t="str">
        <f t="shared" si="353"/>
        <v>#REF!</v>
      </c>
      <c r="M133" s="168" t="str">
        <f t="shared" si="353"/>
        <v>#REF!</v>
      </c>
      <c r="N133" s="168" t="str">
        <f t="shared" si="353"/>
        <v>#REF!</v>
      </c>
      <c r="O133" s="168" t="str">
        <f t="shared" si="353"/>
        <v>#REF!</v>
      </c>
      <c r="P133" s="168" t="str">
        <f t="shared" si="353"/>
        <v>#REF!</v>
      </c>
      <c r="Q133" s="168" t="str">
        <f t="shared" si="353"/>
        <v>#REF!</v>
      </c>
      <c r="R133" s="168" t="str">
        <f t="shared" si="353"/>
        <v>#REF!</v>
      </c>
      <c r="S133" s="168" t="str">
        <f t="shared" si="353"/>
        <v>#REF!</v>
      </c>
      <c r="T133" s="168" t="str">
        <f t="shared" si="353"/>
        <v>#REF!</v>
      </c>
      <c r="U133" s="168" t="str">
        <f t="shared" ref="U133:AJ133" si="354">#REF!</f>
        <v>#REF!</v>
      </c>
      <c r="V133" s="168" t="str">
        <f t="shared" si="354"/>
        <v>#REF!</v>
      </c>
      <c r="W133" s="168" t="str">
        <f t="shared" si="354"/>
        <v>#REF!</v>
      </c>
      <c r="X133" s="168" t="str">
        <f t="shared" si="354"/>
        <v>#REF!</v>
      </c>
      <c r="Y133" s="168" t="str">
        <f t="shared" si="354"/>
        <v>#REF!</v>
      </c>
      <c r="Z133" s="168" t="str">
        <f t="shared" si="354"/>
        <v>#REF!</v>
      </c>
      <c r="AA133" s="168" t="str">
        <f t="shared" si="354"/>
        <v>#REF!</v>
      </c>
      <c r="AB133" s="168" t="str">
        <f t="shared" si="354"/>
        <v>#REF!</v>
      </c>
      <c r="AC133" s="168" t="str">
        <f t="shared" si="354"/>
        <v>#REF!</v>
      </c>
      <c r="AD133" s="168" t="str">
        <f t="shared" si="354"/>
        <v>#REF!</v>
      </c>
      <c r="AE133" s="168" t="str">
        <f t="shared" si="354"/>
        <v>#REF!</v>
      </c>
      <c r="AF133" s="168" t="str">
        <f t="shared" si="354"/>
        <v>#REF!</v>
      </c>
      <c r="AG133" s="168" t="str">
        <f t="shared" si="354"/>
        <v>#REF!</v>
      </c>
      <c r="AH133" s="168" t="str">
        <f t="shared" si="354"/>
        <v>#REF!</v>
      </c>
      <c r="AI133" s="168" t="str">
        <f t="shared" si="354"/>
        <v>#REF!</v>
      </c>
      <c r="AJ133" s="168" t="str">
        <f t="shared" si="354"/>
        <v>#REF!</v>
      </c>
    </row>
    <row r="134" ht="15.75" customHeight="1">
      <c r="A134" s="168" t="str">
        <f t="shared" ref="A134:T134" si="355">if(#REF!=$D$1,#REF!,"")</f>
        <v>#REF!</v>
      </c>
      <c r="B134" s="168" t="str">
        <f t="shared" si="355"/>
        <v>#REF!</v>
      </c>
      <c r="C134" s="168" t="str">
        <f t="shared" si="355"/>
        <v>#REF!</v>
      </c>
      <c r="D134" s="168" t="str">
        <f t="shared" si="355"/>
        <v>#REF!</v>
      </c>
      <c r="E134" s="168" t="str">
        <f t="shared" si="355"/>
        <v>#REF!</v>
      </c>
      <c r="F134" s="168" t="str">
        <f t="shared" si="355"/>
        <v>#REF!</v>
      </c>
      <c r="G134" s="168" t="str">
        <f t="shared" si="355"/>
        <v>#REF!</v>
      </c>
      <c r="H134" s="168" t="str">
        <f t="shared" si="355"/>
        <v>#REF!</v>
      </c>
      <c r="I134" s="168" t="str">
        <f t="shared" si="355"/>
        <v>#REF!</v>
      </c>
      <c r="J134" s="168" t="str">
        <f t="shared" si="355"/>
        <v>#REF!</v>
      </c>
      <c r="K134" s="168" t="str">
        <f t="shared" si="355"/>
        <v>#REF!</v>
      </c>
      <c r="L134" s="168" t="str">
        <f t="shared" si="355"/>
        <v>#REF!</v>
      </c>
      <c r="M134" s="168" t="str">
        <f t="shared" si="355"/>
        <v>#REF!</v>
      </c>
      <c r="N134" s="168" t="str">
        <f t="shared" si="355"/>
        <v>#REF!</v>
      </c>
      <c r="O134" s="168" t="str">
        <f t="shared" si="355"/>
        <v>#REF!</v>
      </c>
      <c r="P134" s="168" t="str">
        <f t="shared" si="355"/>
        <v>#REF!</v>
      </c>
      <c r="Q134" s="168" t="str">
        <f t="shared" si="355"/>
        <v>#REF!</v>
      </c>
      <c r="R134" s="168" t="str">
        <f t="shared" si="355"/>
        <v>#REF!</v>
      </c>
      <c r="S134" s="168" t="str">
        <f t="shared" si="355"/>
        <v>#REF!</v>
      </c>
      <c r="T134" s="168" t="str">
        <f t="shared" si="355"/>
        <v>#REF!</v>
      </c>
      <c r="U134" s="168" t="str">
        <f t="shared" ref="U134:AJ134" si="356">#REF!</f>
        <v>#REF!</v>
      </c>
      <c r="V134" s="168" t="str">
        <f t="shared" si="356"/>
        <v>#REF!</v>
      </c>
      <c r="W134" s="168" t="str">
        <f t="shared" si="356"/>
        <v>#REF!</v>
      </c>
      <c r="X134" s="168" t="str">
        <f t="shared" si="356"/>
        <v>#REF!</v>
      </c>
      <c r="Y134" s="168" t="str">
        <f t="shared" si="356"/>
        <v>#REF!</v>
      </c>
      <c r="Z134" s="168" t="str">
        <f t="shared" si="356"/>
        <v>#REF!</v>
      </c>
      <c r="AA134" s="168" t="str">
        <f t="shared" si="356"/>
        <v>#REF!</v>
      </c>
      <c r="AB134" s="168" t="str">
        <f t="shared" si="356"/>
        <v>#REF!</v>
      </c>
      <c r="AC134" s="168" t="str">
        <f t="shared" si="356"/>
        <v>#REF!</v>
      </c>
      <c r="AD134" s="168" t="str">
        <f t="shared" si="356"/>
        <v>#REF!</v>
      </c>
      <c r="AE134" s="168" t="str">
        <f t="shared" si="356"/>
        <v>#REF!</v>
      </c>
      <c r="AF134" s="168" t="str">
        <f t="shared" si="356"/>
        <v>#REF!</v>
      </c>
      <c r="AG134" s="168" t="str">
        <f t="shared" si="356"/>
        <v>#REF!</v>
      </c>
      <c r="AH134" s="168" t="str">
        <f t="shared" si="356"/>
        <v>#REF!</v>
      </c>
      <c r="AI134" s="168" t="str">
        <f t="shared" si="356"/>
        <v>#REF!</v>
      </c>
      <c r="AJ134" s="168" t="str">
        <f t="shared" si="356"/>
        <v>#REF!</v>
      </c>
    </row>
    <row r="135" ht="15.75" customHeight="1">
      <c r="A135" s="168" t="str">
        <f t="shared" ref="A135:T135" si="357">if(#REF!=$D$1,#REF!,"")</f>
        <v>#REF!</v>
      </c>
      <c r="B135" s="168" t="str">
        <f t="shared" si="357"/>
        <v>#REF!</v>
      </c>
      <c r="C135" s="168" t="str">
        <f t="shared" si="357"/>
        <v>#REF!</v>
      </c>
      <c r="D135" s="168" t="str">
        <f t="shared" si="357"/>
        <v>#REF!</v>
      </c>
      <c r="E135" s="168" t="str">
        <f t="shared" si="357"/>
        <v>#REF!</v>
      </c>
      <c r="F135" s="168" t="str">
        <f t="shared" si="357"/>
        <v>#REF!</v>
      </c>
      <c r="G135" s="168" t="str">
        <f t="shared" si="357"/>
        <v>#REF!</v>
      </c>
      <c r="H135" s="168" t="str">
        <f t="shared" si="357"/>
        <v>#REF!</v>
      </c>
      <c r="I135" s="168" t="str">
        <f t="shared" si="357"/>
        <v>#REF!</v>
      </c>
      <c r="J135" s="168" t="str">
        <f t="shared" si="357"/>
        <v>#REF!</v>
      </c>
      <c r="K135" s="168" t="str">
        <f t="shared" si="357"/>
        <v>#REF!</v>
      </c>
      <c r="L135" s="168" t="str">
        <f t="shared" si="357"/>
        <v>#REF!</v>
      </c>
      <c r="M135" s="168" t="str">
        <f t="shared" si="357"/>
        <v>#REF!</v>
      </c>
      <c r="N135" s="168" t="str">
        <f t="shared" si="357"/>
        <v>#REF!</v>
      </c>
      <c r="O135" s="168" t="str">
        <f t="shared" si="357"/>
        <v>#REF!</v>
      </c>
      <c r="P135" s="168" t="str">
        <f t="shared" si="357"/>
        <v>#REF!</v>
      </c>
      <c r="Q135" s="168" t="str">
        <f t="shared" si="357"/>
        <v>#REF!</v>
      </c>
      <c r="R135" s="168" t="str">
        <f t="shared" si="357"/>
        <v>#REF!</v>
      </c>
      <c r="S135" s="168" t="str">
        <f t="shared" si="357"/>
        <v>#REF!</v>
      </c>
      <c r="T135" s="168" t="str">
        <f t="shared" si="357"/>
        <v>#REF!</v>
      </c>
      <c r="U135" s="168" t="str">
        <f t="shared" ref="U135:AJ135" si="358">#REF!</f>
        <v>#REF!</v>
      </c>
      <c r="V135" s="168" t="str">
        <f t="shared" si="358"/>
        <v>#REF!</v>
      </c>
      <c r="W135" s="168" t="str">
        <f t="shared" si="358"/>
        <v>#REF!</v>
      </c>
      <c r="X135" s="168" t="str">
        <f t="shared" si="358"/>
        <v>#REF!</v>
      </c>
      <c r="Y135" s="168" t="str">
        <f t="shared" si="358"/>
        <v>#REF!</v>
      </c>
      <c r="Z135" s="168" t="str">
        <f t="shared" si="358"/>
        <v>#REF!</v>
      </c>
      <c r="AA135" s="168" t="str">
        <f t="shared" si="358"/>
        <v>#REF!</v>
      </c>
      <c r="AB135" s="168" t="str">
        <f t="shared" si="358"/>
        <v>#REF!</v>
      </c>
      <c r="AC135" s="168" t="str">
        <f t="shared" si="358"/>
        <v>#REF!</v>
      </c>
      <c r="AD135" s="168" t="str">
        <f t="shared" si="358"/>
        <v>#REF!</v>
      </c>
      <c r="AE135" s="168" t="str">
        <f t="shared" si="358"/>
        <v>#REF!</v>
      </c>
      <c r="AF135" s="168" t="str">
        <f t="shared" si="358"/>
        <v>#REF!</v>
      </c>
      <c r="AG135" s="168" t="str">
        <f t="shared" si="358"/>
        <v>#REF!</v>
      </c>
      <c r="AH135" s="168" t="str">
        <f t="shared" si="358"/>
        <v>#REF!</v>
      </c>
      <c r="AI135" s="168" t="str">
        <f t="shared" si="358"/>
        <v>#REF!</v>
      </c>
      <c r="AJ135" s="168" t="str">
        <f t="shared" si="358"/>
        <v>#REF!</v>
      </c>
    </row>
    <row r="136" ht="15.75" customHeight="1">
      <c r="A136" s="168" t="str">
        <f t="shared" ref="A136:T136" si="359">if(#REF!=$D$1,#REF!,"")</f>
        <v>#REF!</v>
      </c>
      <c r="B136" s="168" t="str">
        <f t="shared" si="359"/>
        <v>#REF!</v>
      </c>
      <c r="C136" s="168" t="str">
        <f t="shared" si="359"/>
        <v>#REF!</v>
      </c>
      <c r="D136" s="168" t="str">
        <f t="shared" si="359"/>
        <v>#REF!</v>
      </c>
      <c r="E136" s="168" t="str">
        <f t="shared" si="359"/>
        <v>#REF!</v>
      </c>
      <c r="F136" s="168" t="str">
        <f t="shared" si="359"/>
        <v>#REF!</v>
      </c>
      <c r="G136" s="168" t="str">
        <f t="shared" si="359"/>
        <v>#REF!</v>
      </c>
      <c r="H136" s="168" t="str">
        <f t="shared" si="359"/>
        <v>#REF!</v>
      </c>
      <c r="I136" s="168" t="str">
        <f t="shared" si="359"/>
        <v>#REF!</v>
      </c>
      <c r="J136" s="168" t="str">
        <f t="shared" si="359"/>
        <v>#REF!</v>
      </c>
      <c r="K136" s="168" t="str">
        <f t="shared" si="359"/>
        <v>#REF!</v>
      </c>
      <c r="L136" s="168" t="str">
        <f t="shared" si="359"/>
        <v>#REF!</v>
      </c>
      <c r="M136" s="168" t="str">
        <f t="shared" si="359"/>
        <v>#REF!</v>
      </c>
      <c r="N136" s="168" t="str">
        <f t="shared" si="359"/>
        <v>#REF!</v>
      </c>
      <c r="O136" s="168" t="str">
        <f t="shared" si="359"/>
        <v>#REF!</v>
      </c>
      <c r="P136" s="168" t="str">
        <f t="shared" si="359"/>
        <v>#REF!</v>
      </c>
      <c r="Q136" s="168" t="str">
        <f t="shared" si="359"/>
        <v>#REF!</v>
      </c>
      <c r="R136" s="168" t="str">
        <f t="shared" si="359"/>
        <v>#REF!</v>
      </c>
      <c r="S136" s="168" t="str">
        <f t="shared" si="359"/>
        <v>#REF!</v>
      </c>
      <c r="T136" s="168" t="str">
        <f t="shared" si="359"/>
        <v>#REF!</v>
      </c>
      <c r="U136" s="168" t="str">
        <f t="shared" ref="U136:AJ136" si="360">#REF!</f>
        <v>#REF!</v>
      </c>
      <c r="V136" s="168" t="str">
        <f t="shared" si="360"/>
        <v>#REF!</v>
      </c>
      <c r="W136" s="168" t="str">
        <f t="shared" si="360"/>
        <v>#REF!</v>
      </c>
      <c r="X136" s="168" t="str">
        <f t="shared" si="360"/>
        <v>#REF!</v>
      </c>
      <c r="Y136" s="168" t="str">
        <f t="shared" si="360"/>
        <v>#REF!</v>
      </c>
      <c r="Z136" s="168" t="str">
        <f t="shared" si="360"/>
        <v>#REF!</v>
      </c>
      <c r="AA136" s="168" t="str">
        <f t="shared" si="360"/>
        <v>#REF!</v>
      </c>
      <c r="AB136" s="168" t="str">
        <f t="shared" si="360"/>
        <v>#REF!</v>
      </c>
      <c r="AC136" s="168" t="str">
        <f t="shared" si="360"/>
        <v>#REF!</v>
      </c>
      <c r="AD136" s="168" t="str">
        <f t="shared" si="360"/>
        <v>#REF!</v>
      </c>
      <c r="AE136" s="168" t="str">
        <f t="shared" si="360"/>
        <v>#REF!</v>
      </c>
      <c r="AF136" s="168" t="str">
        <f t="shared" si="360"/>
        <v>#REF!</v>
      </c>
      <c r="AG136" s="168" t="str">
        <f t="shared" si="360"/>
        <v>#REF!</v>
      </c>
      <c r="AH136" s="168" t="str">
        <f t="shared" si="360"/>
        <v>#REF!</v>
      </c>
      <c r="AI136" s="168" t="str">
        <f t="shared" si="360"/>
        <v>#REF!</v>
      </c>
      <c r="AJ136" s="168" t="str">
        <f t="shared" si="360"/>
        <v>#REF!</v>
      </c>
    </row>
    <row r="137" ht="15.75" customHeight="1">
      <c r="A137" s="168" t="str">
        <f t="shared" ref="A137:T137" si="361">if(#REF!=$D$1,#REF!,"")</f>
        <v>#REF!</v>
      </c>
      <c r="B137" s="168" t="str">
        <f t="shared" si="361"/>
        <v>#REF!</v>
      </c>
      <c r="C137" s="168" t="str">
        <f t="shared" si="361"/>
        <v>#REF!</v>
      </c>
      <c r="D137" s="168" t="str">
        <f t="shared" si="361"/>
        <v>#REF!</v>
      </c>
      <c r="E137" s="168" t="str">
        <f t="shared" si="361"/>
        <v>#REF!</v>
      </c>
      <c r="F137" s="168" t="str">
        <f t="shared" si="361"/>
        <v>#REF!</v>
      </c>
      <c r="G137" s="168" t="str">
        <f t="shared" si="361"/>
        <v>#REF!</v>
      </c>
      <c r="H137" s="168" t="str">
        <f t="shared" si="361"/>
        <v>#REF!</v>
      </c>
      <c r="I137" s="168" t="str">
        <f t="shared" si="361"/>
        <v>#REF!</v>
      </c>
      <c r="J137" s="168" t="str">
        <f t="shared" si="361"/>
        <v>#REF!</v>
      </c>
      <c r="K137" s="168" t="str">
        <f t="shared" si="361"/>
        <v>#REF!</v>
      </c>
      <c r="L137" s="168" t="str">
        <f t="shared" si="361"/>
        <v>#REF!</v>
      </c>
      <c r="M137" s="168" t="str">
        <f t="shared" si="361"/>
        <v>#REF!</v>
      </c>
      <c r="N137" s="168" t="str">
        <f t="shared" si="361"/>
        <v>#REF!</v>
      </c>
      <c r="O137" s="168" t="str">
        <f t="shared" si="361"/>
        <v>#REF!</v>
      </c>
      <c r="P137" s="168" t="str">
        <f t="shared" si="361"/>
        <v>#REF!</v>
      </c>
      <c r="Q137" s="168" t="str">
        <f t="shared" si="361"/>
        <v>#REF!</v>
      </c>
      <c r="R137" s="168" t="str">
        <f t="shared" si="361"/>
        <v>#REF!</v>
      </c>
      <c r="S137" s="168" t="str">
        <f t="shared" si="361"/>
        <v>#REF!</v>
      </c>
      <c r="T137" s="168" t="str">
        <f t="shared" si="361"/>
        <v>#REF!</v>
      </c>
      <c r="U137" s="168" t="str">
        <f t="shared" ref="U137:AJ137" si="362">#REF!</f>
        <v>#REF!</v>
      </c>
      <c r="V137" s="168" t="str">
        <f t="shared" si="362"/>
        <v>#REF!</v>
      </c>
      <c r="W137" s="168" t="str">
        <f t="shared" si="362"/>
        <v>#REF!</v>
      </c>
      <c r="X137" s="168" t="str">
        <f t="shared" si="362"/>
        <v>#REF!</v>
      </c>
      <c r="Y137" s="168" t="str">
        <f t="shared" si="362"/>
        <v>#REF!</v>
      </c>
      <c r="Z137" s="168" t="str">
        <f t="shared" si="362"/>
        <v>#REF!</v>
      </c>
      <c r="AA137" s="168" t="str">
        <f t="shared" si="362"/>
        <v>#REF!</v>
      </c>
      <c r="AB137" s="168" t="str">
        <f t="shared" si="362"/>
        <v>#REF!</v>
      </c>
      <c r="AC137" s="168" t="str">
        <f t="shared" si="362"/>
        <v>#REF!</v>
      </c>
      <c r="AD137" s="168" t="str">
        <f t="shared" si="362"/>
        <v>#REF!</v>
      </c>
      <c r="AE137" s="168" t="str">
        <f t="shared" si="362"/>
        <v>#REF!</v>
      </c>
      <c r="AF137" s="168" t="str">
        <f t="shared" si="362"/>
        <v>#REF!</v>
      </c>
      <c r="AG137" s="168" t="str">
        <f t="shared" si="362"/>
        <v>#REF!</v>
      </c>
      <c r="AH137" s="168" t="str">
        <f t="shared" si="362"/>
        <v>#REF!</v>
      </c>
      <c r="AI137" s="168" t="str">
        <f t="shared" si="362"/>
        <v>#REF!</v>
      </c>
      <c r="AJ137" s="168" t="str">
        <f t="shared" si="362"/>
        <v>#REF!</v>
      </c>
    </row>
    <row r="138" ht="15.75" customHeight="1">
      <c r="A138" s="168" t="str">
        <f t="shared" ref="A138:T138" si="363">if(#REF!=$D$1,#REF!,"")</f>
        <v>#REF!</v>
      </c>
      <c r="B138" s="168" t="str">
        <f t="shared" si="363"/>
        <v>#REF!</v>
      </c>
      <c r="C138" s="168" t="str">
        <f t="shared" si="363"/>
        <v>#REF!</v>
      </c>
      <c r="D138" s="168" t="str">
        <f t="shared" si="363"/>
        <v>#REF!</v>
      </c>
      <c r="E138" s="168" t="str">
        <f t="shared" si="363"/>
        <v>#REF!</v>
      </c>
      <c r="F138" s="168" t="str">
        <f t="shared" si="363"/>
        <v>#REF!</v>
      </c>
      <c r="G138" s="168" t="str">
        <f t="shared" si="363"/>
        <v>#REF!</v>
      </c>
      <c r="H138" s="168" t="str">
        <f t="shared" si="363"/>
        <v>#REF!</v>
      </c>
      <c r="I138" s="168" t="str">
        <f t="shared" si="363"/>
        <v>#REF!</v>
      </c>
      <c r="J138" s="168" t="str">
        <f t="shared" si="363"/>
        <v>#REF!</v>
      </c>
      <c r="K138" s="168" t="str">
        <f t="shared" si="363"/>
        <v>#REF!</v>
      </c>
      <c r="L138" s="168" t="str">
        <f t="shared" si="363"/>
        <v>#REF!</v>
      </c>
      <c r="M138" s="168" t="str">
        <f t="shared" si="363"/>
        <v>#REF!</v>
      </c>
      <c r="N138" s="168" t="str">
        <f t="shared" si="363"/>
        <v>#REF!</v>
      </c>
      <c r="O138" s="168" t="str">
        <f t="shared" si="363"/>
        <v>#REF!</v>
      </c>
      <c r="P138" s="168" t="str">
        <f t="shared" si="363"/>
        <v>#REF!</v>
      </c>
      <c r="Q138" s="168" t="str">
        <f t="shared" si="363"/>
        <v>#REF!</v>
      </c>
      <c r="R138" s="168" t="str">
        <f t="shared" si="363"/>
        <v>#REF!</v>
      </c>
      <c r="S138" s="168" t="str">
        <f t="shared" si="363"/>
        <v>#REF!</v>
      </c>
      <c r="T138" s="168" t="str">
        <f t="shared" si="363"/>
        <v>#REF!</v>
      </c>
      <c r="U138" s="168" t="str">
        <f t="shared" ref="U138:AJ138" si="364">#REF!</f>
        <v>#REF!</v>
      </c>
      <c r="V138" s="168" t="str">
        <f t="shared" si="364"/>
        <v>#REF!</v>
      </c>
      <c r="W138" s="168" t="str">
        <f t="shared" si="364"/>
        <v>#REF!</v>
      </c>
      <c r="X138" s="168" t="str">
        <f t="shared" si="364"/>
        <v>#REF!</v>
      </c>
      <c r="Y138" s="168" t="str">
        <f t="shared" si="364"/>
        <v>#REF!</v>
      </c>
      <c r="Z138" s="168" t="str">
        <f t="shared" si="364"/>
        <v>#REF!</v>
      </c>
      <c r="AA138" s="168" t="str">
        <f t="shared" si="364"/>
        <v>#REF!</v>
      </c>
      <c r="AB138" s="168" t="str">
        <f t="shared" si="364"/>
        <v>#REF!</v>
      </c>
      <c r="AC138" s="168" t="str">
        <f t="shared" si="364"/>
        <v>#REF!</v>
      </c>
      <c r="AD138" s="168" t="str">
        <f t="shared" si="364"/>
        <v>#REF!</v>
      </c>
      <c r="AE138" s="168" t="str">
        <f t="shared" si="364"/>
        <v>#REF!</v>
      </c>
      <c r="AF138" s="168" t="str">
        <f t="shared" si="364"/>
        <v>#REF!</v>
      </c>
      <c r="AG138" s="168" t="str">
        <f t="shared" si="364"/>
        <v>#REF!</v>
      </c>
      <c r="AH138" s="168" t="str">
        <f t="shared" si="364"/>
        <v>#REF!</v>
      </c>
      <c r="AI138" s="168" t="str">
        <f t="shared" si="364"/>
        <v>#REF!</v>
      </c>
      <c r="AJ138" s="168" t="str">
        <f t="shared" si="364"/>
        <v>#REF!</v>
      </c>
    </row>
    <row r="139" ht="15.75" customHeight="1">
      <c r="A139" s="168" t="str">
        <f t="shared" ref="A139:T139" si="365">if(#REF!=$D$1,#REF!,"")</f>
        <v>#REF!</v>
      </c>
      <c r="B139" s="168" t="str">
        <f t="shared" si="365"/>
        <v>#REF!</v>
      </c>
      <c r="C139" s="168" t="str">
        <f t="shared" si="365"/>
        <v>#REF!</v>
      </c>
      <c r="D139" s="168" t="str">
        <f t="shared" si="365"/>
        <v>#REF!</v>
      </c>
      <c r="E139" s="168" t="str">
        <f t="shared" si="365"/>
        <v>#REF!</v>
      </c>
      <c r="F139" s="168" t="str">
        <f t="shared" si="365"/>
        <v>#REF!</v>
      </c>
      <c r="G139" s="168" t="str">
        <f t="shared" si="365"/>
        <v>#REF!</v>
      </c>
      <c r="H139" s="168" t="str">
        <f t="shared" si="365"/>
        <v>#REF!</v>
      </c>
      <c r="I139" s="168" t="str">
        <f t="shared" si="365"/>
        <v>#REF!</v>
      </c>
      <c r="J139" s="168" t="str">
        <f t="shared" si="365"/>
        <v>#REF!</v>
      </c>
      <c r="K139" s="168" t="str">
        <f t="shared" si="365"/>
        <v>#REF!</v>
      </c>
      <c r="L139" s="168" t="str">
        <f t="shared" si="365"/>
        <v>#REF!</v>
      </c>
      <c r="M139" s="168" t="str">
        <f t="shared" si="365"/>
        <v>#REF!</v>
      </c>
      <c r="N139" s="168" t="str">
        <f t="shared" si="365"/>
        <v>#REF!</v>
      </c>
      <c r="O139" s="168" t="str">
        <f t="shared" si="365"/>
        <v>#REF!</v>
      </c>
      <c r="P139" s="168" t="str">
        <f t="shared" si="365"/>
        <v>#REF!</v>
      </c>
      <c r="Q139" s="168" t="str">
        <f t="shared" si="365"/>
        <v>#REF!</v>
      </c>
      <c r="R139" s="168" t="str">
        <f t="shared" si="365"/>
        <v>#REF!</v>
      </c>
      <c r="S139" s="168" t="str">
        <f t="shared" si="365"/>
        <v>#REF!</v>
      </c>
      <c r="T139" s="168" t="str">
        <f t="shared" si="365"/>
        <v>#REF!</v>
      </c>
      <c r="U139" s="168" t="str">
        <f t="shared" ref="U139:AJ139" si="366">#REF!</f>
        <v>#REF!</v>
      </c>
      <c r="V139" s="168" t="str">
        <f t="shared" si="366"/>
        <v>#REF!</v>
      </c>
      <c r="W139" s="168" t="str">
        <f t="shared" si="366"/>
        <v>#REF!</v>
      </c>
      <c r="X139" s="168" t="str">
        <f t="shared" si="366"/>
        <v>#REF!</v>
      </c>
      <c r="Y139" s="168" t="str">
        <f t="shared" si="366"/>
        <v>#REF!</v>
      </c>
      <c r="Z139" s="168" t="str">
        <f t="shared" si="366"/>
        <v>#REF!</v>
      </c>
      <c r="AA139" s="168" t="str">
        <f t="shared" si="366"/>
        <v>#REF!</v>
      </c>
      <c r="AB139" s="168" t="str">
        <f t="shared" si="366"/>
        <v>#REF!</v>
      </c>
      <c r="AC139" s="168" t="str">
        <f t="shared" si="366"/>
        <v>#REF!</v>
      </c>
      <c r="AD139" s="168" t="str">
        <f t="shared" si="366"/>
        <v>#REF!</v>
      </c>
      <c r="AE139" s="168" t="str">
        <f t="shared" si="366"/>
        <v>#REF!</v>
      </c>
      <c r="AF139" s="168" t="str">
        <f t="shared" si="366"/>
        <v>#REF!</v>
      </c>
      <c r="AG139" s="168" t="str">
        <f t="shared" si="366"/>
        <v>#REF!</v>
      </c>
      <c r="AH139" s="168" t="str">
        <f t="shared" si="366"/>
        <v>#REF!</v>
      </c>
      <c r="AI139" s="168" t="str">
        <f t="shared" si="366"/>
        <v>#REF!</v>
      </c>
      <c r="AJ139" s="168" t="str">
        <f t="shared" si="366"/>
        <v>#REF!</v>
      </c>
    </row>
    <row r="140" ht="15.75" customHeight="1">
      <c r="A140" s="168" t="str">
        <f t="shared" ref="A140:T140" si="367">if(#REF!=$D$1,#REF!,"")</f>
        <v>#REF!</v>
      </c>
      <c r="B140" s="168" t="str">
        <f t="shared" si="367"/>
        <v>#REF!</v>
      </c>
      <c r="C140" s="168" t="str">
        <f t="shared" si="367"/>
        <v>#REF!</v>
      </c>
      <c r="D140" s="168" t="str">
        <f t="shared" si="367"/>
        <v>#REF!</v>
      </c>
      <c r="E140" s="168" t="str">
        <f t="shared" si="367"/>
        <v>#REF!</v>
      </c>
      <c r="F140" s="168" t="str">
        <f t="shared" si="367"/>
        <v>#REF!</v>
      </c>
      <c r="G140" s="168" t="str">
        <f t="shared" si="367"/>
        <v>#REF!</v>
      </c>
      <c r="H140" s="168" t="str">
        <f t="shared" si="367"/>
        <v>#REF!</v>
      </c>
      <c r="I140" s="168" t="str">
        <f t="shared" si="367"/>
        <v>#REF!</v>
      </c>
      <c r="J140" s="168" t="str">
        <f t="shared" si="367"/>
        <v>#REF!</v>
      </c>
      <c r="K140" s="168" t="str">
        <f t="shared" si="367"/>
        <v>#REF!</v>
      </c>
      <c r="L140" s="168" t="str">
        <f t="shared" si="367"/>
        <v>#REF!</v>
      </c>
      <c r="M140" s="168" t="str">
        <f t="shared" si="367"/>
        <v>#REF!</v>
      </c>
      <c r="N140" s="168" t="str">
        <f t="shared" si="367"/>
        <v>#REF!</v>
      </c>
      <c r="O140" s="168" t="str">
        <f t="shared" si="367"/>
        <v>#REF!</v>
      </c>
      <c r="P140" s="168" t="str">
        <f t="shared" si="367"/>
        <v>#REF!</v>
      </c>
      <c r="Q140" s="168" t="str">
        <f t="shared" si="367"/>
        <v>#REF!</v>
      </c>
      <c r="R140" s="168" t="str">
        <f t="shared" si="367"/>
        <v>#REF!</v>
      </c>
      <c r="S140" s="168" t="str">
        <f t="shared" si="367"/>
        <v>#REF!</v>
      </c>
      <c r="T140" s="168" t="str">
        <f t="shared" si="367"/>
        <v>#REF!</v>
      </c>
      <c r="U140" s="168" t="str">
        <f t="shared" ref="U140:AJ140" si="368">#REF!</f>
        <v>#REF!</v>
      </c>
      <c r="V140" s="168" t="str">
        <f t="shared" si="368"/>
        <v>#REF!</v>
      </c>
      <c r="W140" s="168" t="str">
        <f t="shared" si="368"/>
        <v>#REF!</v>
      </c>
      <c r="X140" s="168" t="str">
        <f t="shared" si="368"/>
        <v>#REF!</v>
      </c>
      <c r="Y140" s="168" t="str">
        <f t="shared" si="368"/>
        <v>#REF!</v>
      </c>
      <c r="Z140" s="168" t="str">
        <f t="shared" si="368"/>
        <v>#REF!</v>
      </c>
      <c r="AA140" s="168" t="str">
        <f t="shared" si="368"/>
        <v>#REF!</v>
      </c>
      <c r="AB140" s="168" t="str">
        <f t="shared" si="368"/>
        <v>#REF!</v>
      </c>
      <c r="AC140" s="168" t="str">
        <f t="shared" si="368"/>
        <v>#REF!</v>
      </c>
      <c r="AD140" s="168" t="str">
        <f t="shared" si="368"/>
        <v>#REF!</v>
      </c>
      <c r="AE140" s="168" t="str">
        <f t="shared" si="368"/>
        <v>#REF!</v>
      </c>
      <c r="AF140" s="168" t="str">
        <f t="shared" si="368"/>
        <v>#REF!</v>
      </c>
      <c r="AG140" s="168" t="str">
        <f t="shared" si="368"/>
        <v>#REF!</v>
      </c>
      <c r="AH140" s="168" t="str">
        <f t="shared" si="368"/>
        <v>#REF!</v>
      </c>
      <c r="AI140" s="168" t="str">
        <f t="shared" si="368"/>
        <v>#REF!</v>
      </c>
      <c r="AJ140" s="168" t="str">
        <f t="shared" si="368"/>
        <v>#REF!</v>
      </c>
    </row>
    <row r="141" ht="15.75" customHeight="1">
      <c r="A141" s="168" t="str">
        <f t="shared" ref="A141:T141" si="369">if(#REF!=$D$1,#REF!,"")</f>
        <v>#REF!</v>
      </c>
      <c r="B141" s="168" t="str">
        <f t="shared" si="369"/>
        <v>#REF!</v>
      </c>
      <c r="C141" s="168" t="str">
        <f t="shared" si="369"/>
        <v>#REF!</v>
      </c>
      <c r="D141" s="168" t="str">
        <f t="shared" si="369"/>
        <v>#REF!</v>
      </c>
      <c r="E141" s="168" t="str">
        <f t="shared" si="369"/>
        <v>#REF!</v>
      </c>
      <c r="F141" s="168" t="str">
        <f t="shared" si="369"/>
        <v>#REF!</v>
      </c>
      <c r="G141" s="168" t="str">
        <f t="shared" si="369"/>
        <v>#REF!</v>
      </c>
      <c r="H141" s="168" t="str">
        <f t="shared" si="369"/>
        <v>#REF!</v>
      </c>
      <c r="I141" s="168" t="str">
        <f t="shared" si="369"/>
        <v>#REF!</v>
      </c>
      <c r="J141" s="168" t="str">
        <f t="shared" si="369"/>
        <v>#REF!</v>
      </c>
      <c r="K141" s="168" t="str">
        <f t="shared" si="369"/>
        <v>#REF!</v>
      </c>
      <c r="L141" s="168" t="str">
        <f t="shared" si="369"/>
        <v>#REF!</v>
      </c>
      <c r="M141" s="168" t="str">
        <f t="shared" si="369"/>
        <v>#REF!</v>
      </c>
      <c r="N141" s="168" t="str">
        <f t="shared" si="369"/>
        <v>#REF!</v>
      </c>
      <c r="O141" s="168" t="str">
        <f t="shared" si="369"/>
        <v>#REF!</v>
      </c>
      <c r="P141" s="168" t="str">
        <f t="shared" si="369"/>
        <v>#REF!</v>
      </c>
      <c r="Q141" s="168" t="str">
        <f t="shared" si="369"/>
        <v>#REF!</v>
      </c>
      <c r="R141" s="168" t="str">
        <f t="shared" si="369"/>
        <v>#REF!</v>
      </c>
      <c r="S141" s="168" t="str">
        <f t="shared" si="369"/>
        <v>#REF!</v>
      </c>
      <c r="T141" s="168" t="str">
        <f t="shared" si="369"/>
        <v>#REF!</v>
      </c>
      <c r="U141" s="168" t="str">
        <f t="shared" ref="U141:AJ141" si="370">#REF!</f>
        <v>#REF!</v>
      </c>
      <c r="V141" s="168" t="str">
        <f t="shared" si="370"/>
        <v>#REF!</v>
      </c>
      <c r="W141" s="168" t="str">
        <f t="shared" si="370"/>
        <v>#REF!</v>
      </c>
      <c r="X141" s="168" t="str">
        <f t="shared" si="370"/>
        <v>#REF!</v>
      </c>
      <c r="Y141" s="168" t="str">
        <f t="shared" si="370"/>
        <v>#REF!</v>
      </c>
      <c r="Z141" s="168" t="str">
        <f t="shared" si="370"/>
        <v>#REF!</v>
      </c>
      <c r="AA141" s="168" t="str">
        <f t="shared" si="370"/>
        <v>#REF!</v>
      </c>
      <c r="AB141" s="168" t="str">
        <f t="shared" si="370"/>
        <v>#REF!</v>
      </c>
      <c r="AC141" s="168" t="str">
        <f t="shared" si="370"/>
        <v>#REF!</v>
      </c>
      <c r="AD141" s="168" t="str">
        <f t="shared" si="370"/>
        <v>#REF!</v>
      </c>
      <c r="AE141" s="168" t="str">
        <f t="shared" si="370"/>
        <v>#REF!</v>
      </c>
      <c r="AF141" s="168" t="str">
        <f t="shared" si="370"/>
        <v>#REF!</v>
      </c>
      <c r="AG141" s="168" t="str">
        <f t="shared" si="370"/>
        <v>#REF!</v>
      </c>
      <c r="AH141" s="168" t="str">
        <f t="shared" si="370"/>
        <v>#REF!</v>
      </c>
      <c r="AI141" s="168" t="str">
        <f t="shared" si="370"/>
        <v>#REF!</v>
      </c>
      <c r="AJ141" s="168" t="str">
        <f t="shared" si="370"/>
        <v>#REF!</v>
      </c>
    </row>
    <row r="142" ht="15.75" customHeight="1">
      <c r="A142" s="168" t="str">
        <f t="shared" ref="A142:T142" si="371">if(#REF!=$D$1,#REF!,"")</f>
        <v>#REF!</v>
      </c>
      <c r="B142" s="168" t="str">
        <f t="shared" si="371"/>
        <v>#REF!</v>
      </c>
      <c r="C142" s="168" t="str">
        <f t="shared" si="371"/>
        <v>#REF!</v>
      </c>
      <c r="D142" s="168" t="str">
        <f t="shared" si="371"/>
        <v>#REF!</v>
      </c>
      <c r="E142" s="168" t="str">
        <f t="shared" si="371"/>
        <v>#REF!</v>
      </c>
      <c r="F142" s="168" t="str">
        <f t="shared" si="371"/>
        <v>#REF!</v>
      </c>
      <c r="G142" s="168" t="str">
        <f t="shared" si="371"/>
        <v>#REF!</v>
      </c>
      <c r="H142" s="168" t="str">
        <f t="shared" si="371"/>
        <v>#REF!</v>
      </c>
      <c r="I142" s="168" t="str">
        <f t="shared" si="371"/>
        <v>#REF!</v>
      </c>
      <c r="J142" s="168" t="str">
        <f t="shared" si="371"/>
        <v>#REF!</v>
      </c>
      <c r="K142" s="168" t="str">
        <f t="shared" si="371"/>
        <v>#REF!</v>
      </c>
      <c r="L142" s="168" t="str">
        <f t="shared" si="371"/>
        <v>#REF!</v>
      </c>
      <c r="M142" s="168" t="str">
        <f t="shared" si="371"/>
        <v>#REF!</v>
      </c>
      <c r="N142" s="168" t="str">
        <f t="shared" si="371"/>
        <v>#REF!</v>
      </c>
      <c r="O142" s="168" t="str">
        <f t="shared" si="371"/>
        <v>#REF!</v>
      </c>
      <c r="P142" s="168" t="str">
        <f t="shared" si="371"/>
        <v>#REF!</v>
      </c>
      <c r="Q142" s="168" t="str">
        <f t="shared" si="371"/>
        <v>#REF!</v>
      </c>
      <c r="R142" s="168" t="str">
        <f t="shared" si="371"/>
        <v>#REF!</v>
      </c>
      <c r="S142" s="168" t="str">
        <f t="shared" si="371"/>
        <v>#REF!</v>
      </c>
      <c r="T142" s="168" t="str">
        <f t="shared" si="371"/>
        <v>#REF!</v>
      </c>
      <c r="U142" s="168" t="str">
        <f t="shared" ref="U142:AJ142" si="372">#REF!</f>
        <v>#REF!</v>
      </c>
      <c r="V142" s="168" t="str">
        <f t="shared" si="372"/>
        <v>#REF!</v>
      </c>
      <c r="W142" s="168" t="str">
        <f t="shared" si="372"/>
        <v>#REF!</v>
      </c>
      <c r="X142" s="168" t="str">
        <f t="shared" si="372"/>
        <v>#REF!</v>
      </c>
      <c r="Y142" s="168" t="str">
        <f t="shared" si="372"/>
        <v>#REF!</v>
      </c>
      <c r="Z142" s="168" t="str">
        <f t="shared" si="372"/>
        <v>#REF!</v>
      </c>
      <c r="AA142" s="168" t="str">
        <f t="shared" si="372"/>
        <v>#REF!</v>
      </c>
      <c r="AB142" s="168" t="str">
        <f t="shared" si="372"/>
        <v>#REF!</v>
      </c>
      <c r="AC142" s="168" t="str">
        <f t="shared" si="372"/>
        <v>#REF!</v>
      </c>
      <c r="AD142" s="168" t="str">
        <f t="shared" si="372"/>
        <v>#REF!</v>
      </c>
      <c r="AE142" s="168" t="str">
        <f t="shared" si="372"/>
        <v>#REF!</v>
      </c>
      <c r="AF142" s="168" t="str">
        <f t="shared" si="372"/>
        <v>#REF!</v>
      </c>
      <c r="AG142" s="168" t="str">
        <f t="shared" si="372"/>
        <v>#REF!</v>
      </c>
      <c r="AH142" s="168" t="str">
        <f t="shared" si="372"/>
        <v>#REF!</v>
      </c>
      <c r="AI142" s="168" t="str">
        <f t="shared" si="372"/>
        <v>#REF!</v>
      </c>
      <c r="AJ142" s="168" t="str">
        <f t="shared" si="372"/>
        <v>#REF!</v>
      </c>
    </row>
    <row r="143" ht="15.75" customHeight="1">
      <c r="A143" s="168" t="str">
        <f t="shared" ref="A143:T143" si="373">if(#REF!=$D$1,#REF!,"")</f>
        <v>#REF!</v>
      </c>
      <c r="B143" s="168" t="str">
        <f t="shared" si="373"/>
        <v>#REF!</v>
      </c>
      <c r="C143" s="168" t="str">
        <f t="shared" si="373"/>
        <v>#REF!</v>
      </c>
      <c r="D143" s="168" t="str">
        <f t="shared" si="373"/>
        <v>#REF!</v>
      </c>
      <c r="E143" s="168" t="str">
        <f t="shared" si="373"/>
        <v>#REF!</v>
      </c>
      <c r="F143" s="168" t="str">
        <f t="shared" si="373"/>
        <v>#REF!</v>
      </c>
      <c r="G143" s="168" t="str">
        <f t="shared" si="373"/>
        <v>#REF!</v>
      </c>
      <c r="H143" s="168" t="str">
        <f t="shared" si="373"/>
        <v>#REF!</v>
      </c>
      <c r="I143" s="168" t="str">
        <f t="shared" si="373"/>
        <v>#REF!</v>
      </c>
      <c r="J143" s="168" t="str">
        <f t="shared" si="373"/>
        <v>#REF!</v>
      </c>
      <c r="K143" s="168" t="str">
        <f t="shared" si="373"/>
        <v>#REF!</v>
      </c>
      <c r="L143" s="168" t="str">
        <f t="shared" si="373"/>
        <v>#REF!</v>
      </c>
      <c r="M143" s="168" t="str">
        <f t="shared" si="373"/>
        <v>#REF!</v>
      </c>
      <c r="N143" s="168" t="str">
        <f t="shared" si="373"/>
        <v>#REF!</v>
      </c>
      <c r="O143" s="168" t="str">
        <f t="shared" si="373"/>
        <v>#REF!</v>
      </c>
      <c r="P143" s="168" t="str">
        <f t="shared" si="373"/>
        <v>#REF!</v>
      </c>
      <c r="Q143" s="168" t="str">
        <f t="shared" si="373"/>
        <v>#REF!</v>
      </c>
      <c r="R143" s="168" t="str">
        <f t="shared" si="373"/>
        <v>#REF!</v>
      </c>
      <c r="S143" s="168" t="str">
        <f t="shared" si="373"/>
        <v>#REF!</v>
      </c>
      <c r="T143" s="168" t="str">
        <f t="shared" si="373"/>
        <v>#REF!</v>
      </c>
      <c r="U143" s="168" t="str">
        <f t="shared" ref="U143:AJ143" si="374">#REF!</f>
        <v>#REF!</v>
      </c>
      <c r="V143" s="168" t="str">
        <f t="shared" si="374"/>
        <v>#REF!</v>
      </c>
      <c r="W143" s="168" t="str">
        <f t="shared" si="374"/>
        <v>#REF!</v>
      </c>
      <c r="X143" s="168" t="str">
        <f t="shared" si="374"/>
        <v>#REF!</v>
      </c>
      <c r="Y143" s="168" t="str">
        <f t="shared" si="374"/>
        <v>#REF!</v>
      </c>
      <c r="Z143" s="168" t="str">
        <f t="shared" si="374"/>
        <v>#REF!</v>
      </c>
      <c r="AA143" s="168" t="str">
        <f t="shared" si="374"/>
        <v>#REF!</v>
      </c>
      <c r="AB143" s="168" t="str">
        <f t="shared" si="374"/>
        <v>#REF!</v>
      </c>
      <c r="AC143" s="168" t="str">
        <f t="shared" si="374"/>
        <v>#REF!</v>
      </c>
      <c r="AD143" s="168" t="str">
        <f t="shared" si="374"/>
        <v>#REF!</v>
      </c>
      <c r="AE143" s="168" t="str">
        <f t="shared" si="374"/>
        <v>#REF!</v>
      </c>
      <c r="AF143" s="168" t="str">
        <f t="shared" si="374"/>
        <v>#REF!</v>
      </c>
      <c r="AG143" s="168" t="str">
        <f t="shared" si="374"/>
        <v>#REF!</v>
      </c>
      <c r="AH143" s="168" t="str">
        <f t="shared" si="374"/>
        <v>#REF!</v>
      </c>
      <c r="AI143" s="168" t="str">
        <f t="shared" si="374"/>
        <v>#REF!</v>
      </c>
      <c r="AJ143" s="168" t="str">
        <f t="shared" si="374"/>
        <v>#REF!</v>
      </c>
    </row>
    <row r="144" ht="15.75" customHeight="1">
      <c r="A144" s="168" t="str">
        <f t="shared" ref="A144:T144" si="375">if(#REF!=$D$1,#REF!,"")</f>
        <v>#REF!</v>
      </c>
      <c r="B144" s="168" t="str">
        <f t="shared" si="375"/>
        <v>#REF!</v>
      </c>
      <c r="C144" s="168" t="str">
        <f t="shared" si="375"/>
        <v>#REF!</v>
      </c>
      <c r="D144" s="168" t="str">
        <f t="shared" si="375"/>
        <v>#REF!</v>
      </c>
      <c r="E144" s="168" t="str">
        <f t="shared" si="375"/>
        <v>#REF!</v>
      </c>
      <c r="F144" s="168" t="str">
        <f t="shared" si="375"/>
        <v>#REF!</v>
      </c>
      <c r="G144" s="168" t="str">
        <f t="shared" si="375"/>
        <v>#REF!</v>
      </c>
      <c r="H144" s="168" t="str">
        <f t="shared" si="375"/>
        <v>#REF!</v>
      </c>
      <c r="I144" s="168" t="str">
        <f t="shared" si="375"/>
        <v>#REF!</v>
      </c>
      <c r="J144" s="168" t="str">
        <f t="shared" si="375"/>
        <v>#REF!</v>
      </c>
      <c r="K144" s="168" t="str">
        <f t="shared" si="375"/>
        <v>#REF!</v>
      </c>
      <c r="L144" s="168" t="str">
        <f t="shared" si="375"/>
        <v>#REF!</v>
      </c>
      <c r="M144" s="168" t="str">
        <f t="shared" si="375"/>
        <v>#REF!</v>
      </c>
      <c r="N144" s="168" t="str">
        <f t="shared" si="375"/>
        <v>#REF!</v>
      </c>
      <c r="O144" s="168" t="str">
        <f t="shared" si="375"/>
        <v>#REF!</v>
      </c>
      <c r="P144" s="168" t="str">
        <f t="shared" si="375"/>
        <v>#REF!</v>
      </c>
      <c r="Q144" s="168" t="str">
        <f t="shared" si="375"/>
        <v>#REF!</v>
      </c>
      <c r="R144" s="168" t="str">
        <f t="shared" si="375"/>
        <v>#REF!</v>
      </c>
      <c r="S144" s="168" t="str">
        <f t="shared" si="375"/>
        <v>#REF!</v>
      </c>
      <c r="T144" s="168" t="str">
        <f t="shared" si="375"/>
        <v>#REF!</v>
      </c>
      <c r="U144" s="168" t="str">
        <f t="shared" ref="U144:AJ144" si="376">#REF!</f>
        <v>#REF!</v>
      </c>
      <c r="V144" s="168" t="str">
        <f t="shared" si="376"/>
        <v>#REF!</v>
      </c>
      <c r="W144" s="168" t="str">
        <f t="shared" si="376"/>
        <v>#REF!</v>
      </c>
      <c r="X144" s="168" t="str">
        <f t="shared" si="376"/>
        <v>#REF!</v>
      </c>
      <c r="Y144" s="168" t="str">
        <f t="shared" si="376"/>
        <v>#REF!</v>
      </c>
      <c r="Z144" s="168" t="str">
        <f t="shared" si="376"/>
        <v>#REF!</v>
      </c>
      <c r="AA144" s="168" t="str">
        <f t="shared" si="376"/>
        <v>#REF!</v>
      </c>
      <c r="AB144" s="168" t="str">
        <f t="shared" si="376"/>
        <v>#REF!</v>
      </c>
      <c r="AC144" s="168" t="str">
        <f t="shared" si="376"/>
        <v>#REF!</v>
      </c>
      <c r="AD144" s="168" t="str">
        <f t="shared" si="376"/>
        <v>#REF!</v>
      </c>
      <c r="AE144" s="168" t="str">
        <f t="shared" si="376"/>
        <v>#REF!</v>
      </c>
      <c r="AF144" s="168" t="str">
        <f t="shared" si="376"/>
        <v>#REF!</v>
      </c>
      <c r="AG144" s="168" t="str">
        <f t="shared" si="376"/>
        <v>#REF!</v>
      </c>
      <c r="AH144" s="168" t="str">
        <f t="shared" si="376"/>
        <v>#REF!</v>
      </c>
      <c r="AI144" s="168" t="str">
        <f t="shared" si="376"/>
        <v>#REF!</v>
      </c>
      <c r="AJ144" s="168" t="str">
        <f t="shared" si="376"/>
        <v>#REF!</v>
      </c>
    </row>
    <row r="145" ht="15.75" customHeight="1">
      <c r="A145" s="168" t="str">
        <f t="shared" ref="A145:T145" si="377">if(#REF!=$D$1,#REF!,"")</f>
        <v>#REF!</v>
      </c>
      <c r="B145" s="168" t="str">
        <f t="shared" si="377"/>
        <v>#REF!</v>
      </c>
      <c r="C145" s="168" t="str">
        <f t="shared" si="377"/>
        <v>#REF!</v>
      </c>
      <c r="D145" s="168" t="str">
        <f t="shared" si="377"/>
        <v>#REF!</v>
      </c>
      <c r="E145" s="168" t="str">
        <f t="shared" si="377"/>
        <v>#REF!</v>
      </c>
      <c r="F145" s="168" t="str">
        <f t="shared" si="377"/>
        <v>#REF!</v>
      </c>
      <c r="G145" s="168" t="str">
        <f t="shared" si="377"/>
        <v>#REF!</v>
      </c>
      <c r="H145" s="168" t="str">
        <f t="shared" si="377"/>
        <v>#REF!</v>
      </c>
      <c r="I145" s="168" t="str">
        <f t="shared" si="377"/>
        <v>#REF!</v>
      </c>
      <c r="J145" s="168" t="str">
        <f t="shared" si="377"/>
        <v>#REF!</v>
      </c>
      <c r="K145" s="168" t="str">
        <f t="shared" si="377"/>
        <v>#REF!</v>
      </c>
      <c r="L145" s="168" t="str">
        <f t="shared" si="377"/>
        <v>#REF!</v>
      </c>
      <c r="M145" s="168" t="str">
        <f t="shared" si="377"/>
        <v>#REF!</v>
      </c>
      <c r="N145" s="168" t="str">
        <f t="shared" si="377"/>
        <v>#REF!</v>
      </c>
      <c r="O145" s="168" t="str">
        <f t="shared" si="377"/>
        <v>#REF!</v>
      </c>
      <c r="P145" s="168" t="str">
        <f t="shared" si="377"/>
        <v>#REF!</v>
      </c>
      <c r="Q145" s="168" t="str">
        <f t="shared" si="377"/>
        <v>#REF!</v>
      </c>
      <c r="R145" s="168" t="str">
        <f t="shared" si="377"/>
        <v>#REF!</v>
      </c>
      <c r="S145" s="168" t="str">
        <f t="shared" si="377"/>
        <v>#REF!</v>
      </c>
      <c r="T145" s="168" t="str">
        <f t="shared" si="377"/>
        <v>#REF!</v>
      </c>
      <c r="U145" s="168" t="str">
        <f t="shared" ref="U145:AJ145" si="378">#REF!</f>
        <v>#REF!</v>
      </c>
      <c r="V145" s="168" t="str">
        <f t="shared" si="378"/>
        <v>#REF!</v>
      </c>
      <c r="W145" s="168" t="str">
        <f t="shared" si="378"/>
        <v>#REF!</v>
      </c>
      <c r="X145" s="168" t="str">
        <f t="shared" si="378"/>
        <v>#REF!</v>
      </c>
      <c r="Y145" s="168" t="str">
        <f t="shared" si="378"/>
        <v>#REF!</v>
      </c>
      <c r="Z145" s="168" t="str">
        <f t="shared" si="378"/>
        <v>#REF!</v>
      </c>
      <c r="AA145" s="168" t="str">
        <f t="shared" si="378"/>
        <v>#REF!</v>
      </c>
      <c r="AB145" s="168" t="str">
        <f t="shared" si="378"/>
        <v>#REF!</v>
      </c>
      <c r="AC145" s="168" t="str">
        <f t="shared" si="378"/>
        <v>#REF!</v>
      </c>
      <c r="AD145" s="168" t="str">
        <f t="shared" si="378"/>
        <v>#REF!</v>
      </c>
      <c r="AE145" s="168" t="str">
        <f t="shared" si="378"/>
        <v>#REF!</v>
      </c>
      <c r="AF145" s="168" t="str">
        <f t="shared" si="378"/>
        <v>#REF!</v>
      </c>
      <c r="AG145" s="168" t="str">
        <f t="shared" si="378"/>
        <v>#REF!</v>
      </c>
      <c r="AH145" s="168" t="str">
        <f t="shared" si="378"/>
        <v>#REF!</v>
      </c>
      <c r="AI145" s="168" t="str">
        <f t="shared" si="378"/>
        <v>#REF!</v>
      </c>
      <c r="AJ145" s="168" t="str">
        <f t="shared" si="378"/>
        <v>#REF!</v>
      </c>
    </row>
    <row r="146" ht="15.75" customHeight="1">
      <c r="A146" s="168" t="str">
        <f t="shared" ref="A146:T146" si="379">if(#REF!=$D$1,#REF!,"")</f>
        <v>#REF!</v>
      </c>
      <c r="B146" s="168" t="str">
        <f t="shared" si="379"/>
        <v>#REF!</v>
      </c>
      <c r="C146" s="168" t="str">
        <f t="shared" si="379"/>
        <v>#REF!</v>
      </c>
      <c r="D146" s="168" t="str">
        <f t="shared" si="379"/>
        <v>#REF!</v>
      </c>
      <c r="E146" s="168" t="str">
        <f t="shared" si="379"/>
        <v>#REF!</v>
      </c>
      <c r="F146" s="168" t="str">
        <f t="shared" si="379"/>
        <v>#REF!</v>
      </c>
      <c r="G146" s="168" t="str">
        <f t="shared" si="379"/>
        <v>#REF!</v>
      </c>
      <c r="H146" s="168" t="str">
        <f t="shared" si="379"/>
        <v>#REF!</v>
      </c>
      <c r="I146" s="168" t="str">
        <f t="shared" si="379"/>
        <v>#REF!</v>
      </c>
      <c r="J146" s="168" t="str">
        <f t="shared" si="379"/>
        <v>#REF!</v>
      </c>
      <c r="K146" s="168" t="str">
        <f t="shared" si="379"/>
        <v>#REF!</v>
      </c>
      <c r="L146" s="168" t="str">
        <f t="shared" si="379"/>
        <v>#REF!</v>
      </c>
      <c r="M146" s="168" t="str">
        <f t="shared" si="379"/>
        <v>#REF!</v>
      </c>
      <c r="N146" s="168" t="str">
        <f t="shared" si="379"/>
        <v>#REF!</v>
      </c>
      <c r="O146" s="168" t="str">
        <f t="shared" si="379"/>
        <v>#REF!</v>
      </c>
      <c r="P146" s="168" t="str">
        <f t="shared" si="379"/>
        <v>#REF!</v>
      </c>
      <c r="Q146" s="168" t="str">
        <f t="shared" si="379"/>
        <v>#REF!</v>
      </c>
      <c r="R146" s="168" t="str">
        <f t="shared" si="379"/>
        <v>#REF!</v>
      </c>
      <c r="S146" s="168" t="str">
        <f t="shared" si="379"/>
        <v>#REF!</v>
      </c>
      <c r="T146" s="168" t="str">
        <f t="shared" si="379"/>
        <v>#REF!</v>
      </c>
      <c r="U146" s="168" t="str">
        <f t="shared" ref="U146:AJ146" si="380">#REF!</f>
        <v>#REF!</v>
      </c>
      <c r="V146" s="168" t="str">
        <f t="shared" si="380"/>
        <v>#REF!</v>
      </c>
      <c r="W146" s="168" t="str">
        <f t="shared" si="380"/>
        <v>#REF!</v>
      </c>
      <c r="X146" s="168" t="str">
        <f t="shared" si="380"/>
        <v>#REF!</v>
      </c>
      <c r="Y146" s="168" t="str">
        <f t="shared" si="380"/>
        <v>#REF!</v>
      </c>
      <c r="Z146" s="168" t="str">
        <f t="shared" si="380"/>
        <v>#REF!</v>
      </c>
      <c r="AA146" s="168" t="str">
        <f t="shared" si="380"/>
        <v>#REF!</v>
      </c>
      <c r="AB146" s="168" t="str">
        <f t="shared" si="380"/>
        <v>#REF!</v>
      </c>
      <c r="AC146" s="168" t="str">
        <f t="shared" si="380"/>
        <v>#REF!</v>
      </c>
      <c r="AD146" s="168" t="str">
        <f t="shared" si="380"/>
        <v>#REF!</v>
      </c>
      <c r="AE146" s="168" t="str">
        <f t="shared" si="380"/>
        <v>#REF!</v>
      </c>
      <c r="AF146" s="168" t="str">
        <f t="shared" si="380"/>
        <v>#REF!</v>
      </c>
      <c r="AG146" s="168" t="str">
        <f t="shared" si="380"/>
        <v>#REF!</v>
      </c>
      <c r="AH146" s="168" t="str">
        <f t="shared" si="380"/>
        <v>#REF!</v>
      </c>
      <c r="AI146" s="168" t="str">
        <f t="shared" si="380"/>
        <v>#REF!</v>
      </c>
      <c r="AJ146" s="168" t="str">
        <f t="shared" si="380"/>
        <v>#REF!</v>
      </c>
    </row>
    <row r="147" ht="15.75" customHeight="1">
      <c r="A147" s="168" t="str">
        <f t="shared" ref="A147:T147" si="381">if(#REF!=$D$1,#REF!,"")</f>
        <v>#REF!</v>
      </c>
      <c r="B147" s="168" t="str">
        <f t="shared" si="381"/>
        <v>#REF!</v>
      </c>
      <c r="C147" s="168" t="str">
        <f t="shared" si="381"/>
        <v>#REF!</v>
      </c>
      <c r="D147" s="168" t="str">
        <f t="shared" si="381"/>
        <v>#REF!</v>
      </c>
      <c r="E147" s="168" t="str">
        <f t="shared" si="381"/>
        <v>#REF!</v>
      </c>
      <c r="F147" s="168" t="str">
        <f t="shared" si="381"/>
        <v>#REF!</v>
      </c>
      <c r="G147" s="168" t="str">
        <f t="shared" si="381"/>
        <v>#REF!</v>
      </c>
      <c r="H147" s="168" t="str">
        <f t="shared" si="381"/>
        <v>#REF!</v>
      </c>
      <c r="I147" s="168" t="str">
        <f t="shared" si="381"/>
        <v>#REF!</v>
      </c>
      <c r="J147" s="168" t="str">
        <f t="shared" si="381"/>
        <v>#REF!</v>
      </c>
      <c r="K147" s="168" t="str">
        <f t="shared" si="381"/>
        <v>#REF!</v>
      </c>
      <c r="L147" s="168" t="str">
        <f t="shared" si="381"/>
        <v>#REF!</v>
      </c>
      <c r="M147" s="168" t="str">
        <f t="shared" si="381"/>
        <v>#REF!</v>
      </c>
      <c r="N147" s="168" t="str">
        <f t="shared" si="381"/>
        <v>#REF!</v>
      </c>
      <c r="O147" s="168" t="str">
        <f t="shared" si="381"/>
        <v>#REF!</v>
      </c>
      <c r="P147" s="168" t="str">
        <f t="shared" si="381"/>
        <v>#REF!</v>
      </c>
      <c r="Q147" s="168" t="str">
        <f t="shared" si="381"/>
        <v>#REF!</v>
      </c>
      <c r="R147" s="168" t="str">
        <f t="shared" si="381"/>
        <v>#REF!</v>
      </c>
      <c r="S147" s="168" t="str">
        <f t="shared" si="381"/>
        <v>#REF!</v>
      </c>
      <c r="T147" s="168" t="str">
        <f t="shared" si="381"/>
        <v>#REF!</v>
      </c>
      <c r="U147" s="168" t="str">
        <f t="shared" ref="U147:AJ147" si="382">#REF!</f>
        <v>#REF!</v>
      </c>
      <c r="V147" s="168" t="str">
        <f t="shared" si="382"/>
        <v>#REF!</v>
      </c>
      <c r="W147" s="168" t="str">
        <f t="shared" si="382"/>
        <v>#REF!</v>
      </c>
      <c r="X147" s="168" t="str">
        <f t="shared" si="382"/>
        <v>#REF!</v>
      </c>
      <c r="Y147" s="168" t="str">
        <f t="shared" si="382"/>
        <v>#REF!</v>
      </c>
      <c r="Z147" s="168" t="str">
        <f t="shared" si="382"/>
        <v>#REF!</v>
      </c>
      <c r="AA147" s="168" t="str">
        <f t="shared" si="382"/>
        <v>#REF!</v>
      </c>
      <c r="AB147" s="168" t="str">
        <f t="shared" si="382"/>
        <v>#REF!</v>
      </c>
      <c r="AC147" s="168" t="str">
        <f t="shared" si="382"/>
        <v>#REF!</v>
      </c>
      <c r="AD147" s="168" t="str">
        <f t="shared" si="382"/>
        <v>#REF!</v>
      </c>
      <c r="AE147" s="168" t="str">
        <f t="shared" si="382"/>
        <v>#REF!</v>
      </c>
      <c r="AF147" s="168" t="str">
        <f t="shared" si="382"/>
        <v>#REF!</v>
      </c>
      <c r="AG147" s="168" t="str">
        <f t="shared" si="382"/>
        <v>#REF!</v>
      </c>
      <c r="AH147" s="168" t="str">
        <f t="shared" si="382"/>
        <v>#REF!</v>
      </c>
      <c r="AI147" s="168" t="str">
        <f t="shared" si="382"/>
        <v>#REF!</v>
      </c>
      <c r="AJ147" s="168" t="str">
        <f t="shared" si="382"/>
        <v>#REF!</v>
      </c>
    </row>
    <row r="148" ht="15.75" customHeight="1">
      <c r="A148" s="168" t="str">
        <f t="shared" ref="A148:T148" si="383">if(#REF!=$D$1,#REF!,"")</f>
        <v>#REF!</v>
      </c>
      <c r="B148" s="168" t="str">
        <f t="shared" si="383"/>
        <v>#REF!</v>
      </c>
      <c r="C148" s="168" t="str">
        <f t="shared" si="383"/>
        <v>#REF!</v>
      </c>
      <c r="D148" s="168" t="str">
        <f t="shared" si="383"/>
        <v>#REF!</v>
      </c>
      <c r="E148" s="168" t="str">
        <f t="shared" si="383"/>
        <v>#REF!</v>
      </c>
      <c r="F148" s="168" t="str">
        <f t="shared" si="383"/>
        <v>#REF!</v>
      </c>
      <c r="G148" s="168" t="str">
        <f t="shared" si="383"/>
        <v>#REF!</v>
      </c>
      <c r="H148" s="168" t="str">
        <f t="shared" si="383"/>
        <v>#REF!</v>
      </c>
      <c r="I148" s="168" t="str">
        <f t="shared" si="383"/>
        <v>#REF!</v>
      </c>
      <c r="J148" s="168" t="str">
        <f t="shared" si="383"/>
        <v>#REF!</v>
      </c>
      <c r="K148" s="168" t="str">
        <f t="shared" si="383"/>
        <v>#REF!</v>
      </c>
      <c r="L148" s="168" t="str">
        <f t="shared" si="383"/>
        <v>#REF!</v>
      </c>
      <c r="M148" s="168" t="str">
        <f t="shared" si="383"/>
        <v>#REF!</v>
      </c>
      <c r="N148" s="168" t="str">
        <f t="shared" si="383"/>
        <v>#REF!</v>
      </c>
      <c r="O148" s="168" t="str">
        <f t="shared" si="383"/>
        <v>#REF!</v>
      </c>
      <c r="P148" s="168" t="str">
        <f t="shared" si="383"/>
        <v>#REF!</v>
      </c>
      <c r="Q148" s="168" t="str">
        <f t="shared" si="383"/>
        <v>#REF!</v>
      </c>
      <c r="R148" s="168" t="str">
        <f t="shared" si="383"/>
        <v>#REF!</v>
      </c>
      <c r="S148" s="168" t="str">
        <f t="shared" si="383"/>
        <v>#REF!</v>
      </c>
      <c r="T148" s="168" t="str">
        <f t="shared" si="383"/>
        <v>#REF!</v>
      </c>
      <c r="U148" s="168" t="str">
        <f t="shared" ref="U148:AJ148" si="384">#REF!</f>
        <v>#REF!</v>
      </c>
      <c r="V148" s="168" t="str">
        <f t="shared" si="384"/>
        <v>#REF!</v>
      </c>
      <c r="W148" s="168" t="str">
        <f t="shared" si="384"/>
        <v>#REF!</v>
      </c>
      <c r="X148" s="168" t="str">
        <f t="shared" si="384"/>
        <v>#REF!</v>
      </c>
      <c r="Y148" s="168" t="str">
        <f t="shared" si="384"/>
        <v>#REF!</v>
      </c>
      <c r="Z148" s="168" t="str">
        <f t="shared" si="384"/>
        <v>#REF!</v>
      </c>
      <c r="AA148" s="168" t="str">
        <f t="shared" si="384"/>
        <v>#REF!</v>
      </c>
      <c r="AB148" s="168" t="str">
        <f t="shared" si="384"/>
        <v>#REF!</v>
      </c>
      <c r="AC148" s="168" t="str">
        <f t="shared" si="384"/>
        <v>#REF!</v>
      </c>
      <c r="AD148" s="168" t="str">
        <f t="shared" si="384"/>
        <v>#REF!</v>
      </c>
      <c r="AE148" s="168" t="str">
        <f t="shared" si="384"/>
        <v>#REF!</v>
      </c>
      <c r="AF148" s="168" t="str">
        <f t="shared" si="384"/>
        <v>#REF!</v>
      </c>
      <c r="AG148" s="168" t="str">
        <f t="shared" si="384"/>
        <v>#REF!</v>
      </c>
      <c r="AH148" s="168" t="str">
        <f t="shared" si="384"/>
        <v>#REF!</v>
      </c>
      <c r="AI148" s="168" t="str">
        <f t="shared" si="384"/>
        <v>#REF!</v>
      </c>
      <c r="AJ148" s="168" t="str">
        <f t="shared" si="384"/>
        <v>#REF!</v>
      </c>
    </row>
    <row r="149" ht="15.75" customHeight="1">
      <c r="A149" s="168" t="str">
        <f t="shared" ref="A149:T149" si="385">if(#REF!=$D$1,#REF!,"")</f>
        <v>#REF!</v>
      </c>
      <c r="B149" s="168" t="str">
        <f t="shared" si="385"/>
        <v>#REF!</v>
      </c>
      <c r="C149" s="168" t="str">
        <f t="shared" si="385"/>
        <v>#REF!</v>
      </c>
      <c r="D149" s="168" t="str">
        <f t="shared" si="385"/>
        <v>#REF!</v>
      </c>
      <c r="E149" s="168" t="str">
        <f t="shared" si="385"/>
        <v>#REF!</v>
      </c>
      <c r="F149" s="168" t="str">
        <f t="shared" si="385"/>
        <v>#REF!</v>
      </c>
      <c r="G149" s="168" t="str">
        <f t="shared" si="385"/>
        <v>#REF!</v>
      </c>
      <c r="H149" s="168" t="str">
        <f t="shared" si="385"/>
        <v>#REF!</v>
      </c>
      <c r="I149" s="168" t="str">
        <f t="shared" si="385"/>
        <v>#REF!</v>
      </c>
      <c r="J149" s="168" t="str">
        <f t="shared" si="385"/>
        <v>#REF!</v>
      </c>
      <c r="K149" s="168" t="str">
        <f t="shared" si="385"/>
        <v>#REF!</v>
      </c>
      <c r="L149" s="168" t="str">
        <f t="shared" si="385"/>
        <v>#REF!</v>
      </c>
      <c r="M149" s="168" t="str">
        <f t="shared" si="385"/>
        <v>#REF!</v>
      </c>
      <c r="N149" s="168" t="str">
        <f t="shared" si="385"/>
        <v>#REF!</v>
      </c>
      <c r="O149" s="168" t="str">
        <f t="shared" si="385"/>
        <v>#REF!</v>
      </c>
      <c r="P149" s="168" t="str">
        <f t="shared" si="385"/>
        <v>#REF!</v>
      </c>
      <c r="Q149" s="168" t="str">
        <f t="shared" si="385"/>
        <v>#REF!</v>
      </c>
      <c r="R149" s="168" t="str">
        <f t="shared" si="385"/>
        <v>#REF!</v>
      </c>
      <c r="S149" s="168" t="str">
        <f t="shared" si="385"/>
        <v>#REF!</v>
      </c>
      <c r="T149" s="168" t="str">
        <f t="shared" si="385"/>
        <v>#REF!</v>
      </c>
      <c r="U149" s="168" t="str">
        <f t="shared" ref="U149:AJ149" si="386">#REF!</f>
        <v>#REF!</v>
      </c>
      <c r="V149" s="168" t="str">
        <f t="shared" si="386"/>
        <v>#REF!</v>
      </c>
      <c r="W149" s="168" t="str">
        <f t="shared" si="386"/>
        <v>#REF!</v>
      </c>
      <c r="X149" s="168" t="str">
        <f t="shared" si="386"/>
        <v>#REF!</v>
      </c>
      <c r="Y149" s="168" t="str">
        <f t="shared" si="386"/>
        <v>#REF!</v>
      </c>
      <c r="Z149" s="168" t="str">
        <f t="shared" si="386"/>
        <v>#REF!</v>
      </c>
      <c r="AA149" s="168" t="str">
        <f t="shared" si="386"/>
        <v>#REF!</v>
      </c>
      <c r="AB149" s="168" t="str">
        <f t="shared" si="386"/>
        <v>#REF!</v>
      </c>
      <c r="AC149" s="168" t="str">
        <f t="shared" si="386"/>
        <v>#REF!</v>
      </c>
      <c r="AD149" s="168" t="str">
        <f t="shared" si="386"/>
        <v>#REF!</v>
      </c>
      <c r="AE149" s="168" t="str">
        <f t="shared" si="386"/>
        <v>#REF!</v>
      </c>
      <c r="AF149" s="168" t="str">
        <f t="shared" si="386"/>
        <v>#REF!</v>
      </c>
      <c r="AG149" s="168" t="str">
        <f t="shared" si="386"/>
        <v>#REF!</v>
      </c>
      <c r="AH149" s="168" t="str">
        <f t="shared" si="386"/>
        <v>#REF!</v>
      </c>
      <c r="AI149" s="168" t="str">
        <f t="shared" si="386"/>
        <v>#REF!</v>
      </c>
      <c r="AJ149" s="168" t="str">
        <f t="shared" si="386"/>
        <v>#REF!</v>
      </c>
    </row>
    <row r="150" ht="15.75" customHeight="1">
      <c r="A150" s="168" t="str">
        <f t="shared" ref="A150:T150" si="387">if(#REF!=$D$1,#REF!,"")</f>
        <v>#REF!</v>
      </c>
      <c r="B150" s="168" t="str">
        <f t="shared" si="387"/>
        <v>#REF!</v>
      </c>
      <c r="C150" s="168" t="str">
        <f t="shared" si="387"/>
        <v>#REF!</v>
      </c>
      <c r="D150" s="168" t="str">
        <f t="shared" si="387"/>
        <v>#REF!</v>
      </c>
      <c r="E150" s="168" t="str">
        <f t="shared" si="387"/>
        <v>#REF!</v>
      </c>
      <c r="F150" s="168" t="str">
        <f t="shared" si="387"/>
        <v>#REF!</v>
      </c>
      <c r="G150" s="168" t="str">
        <f t="shared" si="387"/>
        <v>#REF!</v>
      </c>
      <c r="H150" s="168" t="str">
        <f t="shared" si="387"/>
        <v>#REF!</v>
      </c>
      <c r="I150" s="168" t="str">
        <f t="shared" si="387"/>
        <v>#REF!</v>
      </c>
      <c r="J150" s="168" t="str">
        <f t="shared" si="387"/>
        <v>#REF!</v>
      </c>
      <c r="K150" s="168" t="str">
        <f t="shared" si="387"/>
        <v>#REF!</v>
      </c>
      <c r="L150" s="168" t="str">
        <f t="shared" si="387"/>
        <v>#REF!</v>
      </c>
      <c r="M150" s="168" t="str">
        <f t="shared" si="387"/>
        <v>#REF!</v>
      </c>
      <c r="N150" s="168" t="str">
        <f t="shared" si="387"/>
        <v>#REF!</v>
      </c>
      <c r="O150" s="168" t="str">
        <f t="shared" si="387"/>
        <v>#REF!</v>
      </c>
      <c r="P150" s="168" t="str">
        <f t="shared" si="387"/>
        <v>#REF!</v>
      </c>
      <c r="Q150" s="168" t="str">
        <f t="shared" si="387"/>
        <v>#REF!</v>
      </c>
      <c r="R150" s="168" t="str">
        <f t="shared" si="387"/>
        <v>#REF!</v>
      </c>
      <c r="S150" s="168" t="str">
        <f t="shared" si="387"/>
        <v>#REF!</v>
      </c>
      <c r="T150" s="168" t="str">
        <f t="shared" si="387"/>
        <v>#REF!</v>
      </c>
      <c r="U150" s="168" t="str">
        <f t="shared" ref="U150:AJ150" si="388">#REF!</f>
        <v>#REF!</v>
      </c>
      <c r="V150" s="168" t="str">
        <f t="shared" si="388"/>
        <v>#REF!</v>
      </c>
      <c r="W150" s="168" t="str">
        <f t="shared" si="388"/>
        <v>#REF!</v>
      </c>
      <c r="X150" s="168" t="str">
        <f t="shared" si="388"/>
        <v>#REF!</v>
      </c>
      <c r="Y150" s="168" t="str">
        <f t="shared" si="388"/>
        <v>#REF!</v>
      </c>
      <c r="Z150" s="168" t="str">
        <f t="shared" si="388"/>
        <v>#REF!</v>
      </c>
      <c r="AA150" s="168" t="str">
        <f t="shared" si="388"/>
        <v>#REF!</v>
      </c>
      <c r="AB150" s="168" t="str">
        <f t="shared" si="388"/>
        <v>#REF!</v>
      </c>
      <c r="AC150" s="168" t="str">
        <f t="shared" si="388"/>
        <v>#REF!</v>
      </c>
      <c r="AD150" s="168" t="str">
        <f t="shared" si="388"/>
        <v>#REF!</v>
      </c>
      <c r="AE150" s="168" t="str">
        <f t="shared" si="388"/>
        <v>#REF!</v>
      </c>
      <c r="AF150" s="168" t="str">
        <f t="shared" si="388"/>
        <v>#REF!</v>
      </c>
      <c r="AG150" s="168" t="str">
        <f t="shared" si="388"/>
        <v>#REF!</v>
      </c>
      <c r="AH150" s="168" t="str">
        <f t="shared" si="388"/>
        <v>#REF!</v>
      </c>
      <c r="AI150" s="168" t="str">
        <f t="shared" si="388"/>
        <v>#REF!</v>
      </c>
      <c r="AJ150" s="168" t="str">
        <f t="shared" si="388"/>
        <v>#REF!</v>
      </c>
    </row>
    <row r="151" ht="15.75" customHeight="1">
      <c r="A151" s="168" t="str">
        <f t="shared" ref="A151:T151" si="389">if(#REF!=$D$1,#REF!,"")</f>
        <v>#REF!</v>
      </c>
      <c r="B151" s="168" t="str">
        <f t="shared" si="389"/>
        <v>#REF!</v>
      </c>
      <c r="C151" s="168" t="str">
        <f t="shared" si="389"/>
        <v>#REF!</v>
      </c>
      <c r="D151" s="168" t="str">
        <f t="shared" si="389"/>
        <v>#REF!</v>
      </c>
      <c r="E151" s="168" t="str">
        <f t="shared" si="389"/>
        <v>#REF!</v>
      </c>
      <c r="F151" s="168" t="str">
        <f t="shared" si="389"/>
        <v>#REF!</v>
      </c>
      <c r="G151" s="168" t="str">
        <f t="shared" si="389"/>
        <v>#REF!</v>
      </c>
      <c r="H151" s="168" t="str">
        <f t="shared" si="389"/>
        <v>#REF!</v>
      </c>
      <c r="I151" s="168" t="str">
        <f t="shared" si="389"/>
        <v>#REF!</v>
      </c>
      <c r="J151" s="168" t="str">
        <f t="shared" si="389"/>
        <v>#REF!</v>
      </c>
      <c r="K151" s="168" t="str">
        <f t="shared" si="389"/>
        <v>#REF!</v>
      </c>
      <c r="L151" s="168" t="str">
        <f t="shared" si="389"/>
        <v>#REF!</v>
      </c>
      <c r="M151" s="168" t="str">
        <f t="shared" si="389"/>
        <v>#REF!</v>
      </c>
      <c r="N151" s="168" t="str">
        <f t="shared" si="389"/>
        <v>#REF!</v>
      </c>
      <c r="O151" s="168" t="str">
        <f t="shared" si="389"/>
        <v>#REF!</v>
      </c>
      <c r="P151" s="168" t="str">
        <f t="shared" si="389"/>
        <v>#REF!</v>
      </c>
      <c r="Q151" s="168" t="str">
        <f t="shared" si="389"/>
        <v>#REF!</v>
      </c>
      <c r="R151" s="168" t="str">
        <f t="shared" si="389"/>
        <v>#REF!</v>
      </c>
      <c r="S151" s="168" t="str">
        <f t="shared" si="389"/>
        <v>#REF!</v>
      </c>
      <c r="T151" s="168" t="str">
        <f t="shared" si="389"/>
        <v>#REF!</v>
      </c>
      <c r="U151" s="168" t="str">
        <f t="shared" ref="U151:AJ151" si="390">#REF!</f>
        <v>#REF!</v>
      </c>
      <c r="V151" s="168" t="str">
        <f t="shared" si="390"/>
        <v>#REF!</v>
      </c>
      <c r="W151" s="168" t="str">
        <f t="shared" si="390"/>
        <v>#REF!</v>
      </c>
      <c r="X151" s="168" t="str">
        <f t="shared" si="390"/>
        <v>#REF!</v>
      </c>
      <c r="Y151" s="168" t="str">
        <f t="shared" si="390"/>
        <v>#REF!</v>
      </c>
      <c r="Z151" s="168" t="str">
        <f t="shared" si="390"/>
        <v>#REF!</v>
      </c>
      <c r="AA151" s="168" t="str">
        <f t="shared" si="390"/>
        <v>#REF!</v>
      </c>
      <c r="AB151" s="168" t="str">
        <f t="shared" si="390"/>
        <v>#REF!</v>
      </c>
      <c r="AC151" s="168" t="str">
        <f t="shared" si="390"/>
        <v>#REF!</v>
      </c>
      <c r="AD151" s="168" t="str">
        <f t="shared" si="390"/>
        <v>#REF!</v>
      </c>
      <c r="AE151" s="168" t="str">
        <f t="shared" si="390"/>
        <v>#REF!</v>
      </c>
      <c r="AF151" s="168" t="str">
        <f t="shared" si="390"/>
        <v>#REF!</v>
      </c>
      <c r="AG151" s="168" t="str">
        <f t="shared" si="390"/>
        <v>#REF!</v>
      </c>
      <c r="AH151" s="168" t="str">
        <f t="shared" si="390"/>
        <v>#REF!</v>
      </c>
      <c r="AI151" s="168" t="str">
        <f t="shared" si="390"/>
        <v>#REF!</v>
      </c>
      <c r="AJ151" s="168" t="str">
        <f t="shared" si="390"/>
        <v>#REF!</v>
      </c>
    </row>
    <row r="152" ht="15.75" customHeight="1">
      <c r="A152" s="168" t="str">
        <f t="shared" ref="A152:T152" si="391">if(#REF!=$D$1,#REF!,"")</f>
        <v>#REF!</v>
      </c>
      <c r="B152" s="168" t="str">
        <f t="shared" si="391"/>
        <v>#REF!</v>
      </c>
      <c r="C152" s="168" t="str">
        <f t="shared" si="391"/>
        <v>#REF!</v>
      </c>
      <c r="D152" s="168" t="str">
        <f t="shared" si="391"/>
        <v>#REF!</v>
      </c>
      <c r="E152" s="168" t="str">
        <f t="shared" si="391"/>
        <v>#REF!</v>
      </c>
      <c r="F152" s="168" t="str">
        <f t="shared" si="391"/>
        <v>#REF!</v>
      </c>
      <c r="G152" s="168" t="str">
        <f t="shared" si="391"/>
        <v>#REF!</v>
      </c>
      <c r="H152" s="168" t="str">
        <f t="shared" si="391"/>
        <v>#REF!</v>
      </c>
      <c r="I152" s="168" t="str">
        <f t="shared" si="391"/>
        <v>#REF!</v>
      </c>
      <c r="J152" s="168" t="str">
        <f t="shared" si="391"/>
        <v>#REF!</v>
      </c>
      <c r="K152" s="168" t="str">
        <f t="shared" si="391"/>
        <v>#REF!</v>
      </c>
      <c r="L152" s="168" t="str">
        <f t="shared" si="391"/>
        <v>#REF!</v>
      </c>
      <c r="M152" s="168" t="str">
        <f t="shared" si="391"/>
        <v>#REF!</v>
      </c>
      <c r="N152" s="168" t="str">
        <f t="shared" si="391"/>
        <v>#REF!</v>
      </c>
      <c r="O152" s="168" t="str">
        <f t="shared" si="391"/>
        <v>#REF!</v>
      </c>
      <c r="P152" s="168" t="str">
        <f t="shared" si="391"/>
        <v>#REF!</v>
      </c>
      <c r="Q152" s="168" t="str">
        <f t="shared" si="391"/>
        <v>#REF!</v>
      </c>
      <c r="R152" s="168" t="str">
        <f t="shared" si="391"/>
        <v>#REF!</v>
      </c>
      <c r="S152" s="168" t="str">
        <f t="shared" si="391"/>
        <v>#REF!</v>
      </c>
      <c r="T152" s="168" t="str">
        <f t="shared" si="391"/>
        <v>#REF!</v>
      </c>
      <c r="U152" s="168" t="str">
        <f t="shared" ref="U152:AJ152" si="392">#REF!</f>
        <v>#REF!</v>
      </c>
      <c r="V152" s="168" t="str">
        <f t="shared" si="392"/>
        <v>#REF!</v>
      </c>
      <c r="W152" s="168" t="str">
        <f t="shared" si="392"/>
        <v>#REF!</v>
      </c>
      <c r="X152" s="168" t="str">
        <f t="shared" si="392"/>
        <v>#REF!</v>
      </c>
      <c r="Y152" s="168" t="str">
        <f t="shared" si="392"/>
        <v>#REF!</v>
      </c>
      <c r="Z152" s="168" t="str">
        <f t="shared" si="392"/>
        <v>#REF!</v>
      </c>
      <c r="AA152" s="168" t="str">
        <f t="shared" si="392"/>
        <v>#REF!</v>
      </c>
      <c r="AB152" s="168" t="str">
        <f t="shared" si="392"/>
        <v>#REF!</v>
      </c>
      <c r="AC152" s="168" t="str">
        <f t="shared" si="392"/>
        <v>#REF!</v>
      </c>
      <c r="AD152" s="168" t="str">
        <f t="shared" si="392"/>
        <v>#REF!</v>
      </c>
      <c r="AE152" s="168" t="str">
        <f t="shared" si="392"/>
        <v>#REF!</v>
      </c>
      <c r="AF152" s="168" t="str">
        <f t="shared" si="392"/>
        <v>#REF!</v>
      </c>
      <c r="AG152" s="168" t="str">
        <f t="shared" si="392"/>
        <v>#REF!</v>
      </c>
      <c r="AH152" s="168" t="str">
        <f t="shared" si="392"/>
        <v>#REF!</v>
      </c>
      <c r="AI152" s="168" t="str">
        <f t="shared" si="392"/>
        <v>#REF!</v>
      </c>
      <c r="AJ152" s="168" t="str">
        <f t="shared" si="392"/>
        <v>#REF!</v>
      </c>
    </row>
    <row r="153" ht="15.75" customHeight="1">
      <c r="A153" s="168" t="str">
        <f t="shared" ref="A153:T153" si="393">if(#REF!=$D$1,#REF!,"")</f>
        <v>#REF!</v>
      </c>
      <c r="B153" s="168" t="str">
        <f t="shared" si="393"/>
        <v>#REF!</v>
      </c>
      <c r="C153" s="168" t="str">
        <f t="shared" si="393"/>
        <v>#REF!</v>
      </c>
      <c r="D153" s="168" t="str">
        <f t="shared" si="393"/>
        <v>#REF!</v>
      </c>
      <c r="E153" s="168" t="str">
        <f t="shared" si="393"/>
        <v>#REF!</v>
      </c>
      <c r="F153" s="168" t="str">
        <f t="shared" si="393"/>
        <v>#REF!</v>
      </c>
      <c r="G153" s="168" t="str">
        <f t="shared" si="393"/>
        <v>#REF!</v>
      </c>
      <c r="H153" s="168" t="str">
        <f t="shared" si="393"/>
        <v>#REF!</v>
      </c>
      <c r="I153" s="168" t="str">
        <f t="shared" si="393"/>
        <v>#REF!</v>
      </c>
      <c r="J153" s="168" t="str">
        <f t="shared" si="393"/>
        <v>#REF!</v>
      </c>
      <c r="K153" s="168" t="str">
        <f t="shared" si="393"/>
        <v>#REF!</v>
      </c>
      <c r="L153" s="168" t="str">
        <f t="shared" si="393"/>
        <v>#REF!</v>
      </c>
      <c r="M153" s="168" t="str">
        <f t="shared" si="393"/>
        <v>#REF!</v>
      </c>
      <c r="N153" s="168" t="str">
        <f t="shared" si="393"/>
        <v>#REF!</v>
      </c>
      <c r="O153" s="168" t="str">
        <f t="shared" si="393"/>
        <v>#REF!</v>
      </c>
      <c r="P153" s="168" t="str">
        <f t="shared" si="393"/>
        <v>#REF!</v>
      </c>
      <c r="Q153" s="168" t="str">
        <f t="shared" si="393"/>
        <v>#REF!</v>
      </c>
      <c r="R153" s="168" t="str">
        <f t="shared" si="393"/>
        <v>#REF!</v>
      </c>
      <c r="S153" s="168" t="str">
        <f t="shared" si="393"/>
        <v>#REF!</v>
      </c>
      <c r="T153" s="168" t="str">
        <f t="shared" si="393"/>
        <v>#REF!</v>
      </c>
      <c r="U153" s="168" t="str">
        <f t="shared" ref="U153:AJ153" si="394">#REF!</f>
        <v>#REF!</v>
      </c>
      <c r="V153" s="168" t="str">
        <f t="shared" si="394"/>
        <v>#REF!</v>
      </c>
      <c r="W153" s="168" t="str">
        <f t="shared" si="394"/>
        <v>#REF!</v>
      </c>
      <c r="X153" s="168" t="str">
        <f t="shared" si="394"/>
        <v>#REF!</v>
      </c>
      <c r="Y153" s="168" t="str">
        <f t="shared" si="394"/>
        <v>#REF!</v>
      </c>
      <c r="Z153" s="168" t="str">
        <f t="shared" si="394"/>
        <v>#REF!</v>
      </c>
      <c r="AA153" s="168" t="str">
        <f t="shared" si="394"/>
        <v>#REF!</v>
      </c>
      <c r="AB153" s="168" t="str">
        <f t="shared" si="394"/>
        <v>#REF!</v>
      </c>
      <c r="AC153" s="168" t="str">
        <f t="shared" si="394"/>
        <v>#REF!</v>
      </c>
      <c r="AD153" s="168" t="str">
        <f t="shared" si="394"/>
        <v>#REF!</v>
      </c>
      <c r="AE153" s="168" t="str">
        <f t="shared" si="394"/>
        <v>#REF!</v>
      </c>
      <c r="AF153" s="168" t="str">
        <f t="shared" si="394"/>
        <v>#REF!</v>
      </c>
      <c r="AG153" s="168" t="str">
        <f t="shared" si="394"/>
        <v>#REF!</v>
      </c>
      <c r="AH153" s="168" t="str">
        <f t="shared" si="394"/>
        <v>#REF!</v>
      </c>
      <c r="AI153" s="168" t="str">
        <f t="shared" si="394"/>
        <v>#REF!</v>
      </c>
      <c r="AJ153" s="168" t="str">
        <f t="shared" si="394"/>
        <v>#REF!</v>
      </c>
    </row>
    <row r="154" ht="15.75" customHeight="1">
      <c r="A154" s="168" t="str">
        <f t="shared" ref="A154:T154" si="395">if(#REF!=$D$1,#REF!,"")</f>
        <v>#REF!</v>
      </c>
      <c r="B154" s="168" t="str">
        <f t="shared" si="395"/>
        <v>#REF!</v>
      </c>
      <c r="C154" s="168" t="str">
        <f t="shared" si="395"/>
        <v>#REF!</v>
      </c>
      <c r="D154" s="168" t="str">
        <f t="shared" si="395"/>
        <v>#REF!</v>
      </c>
      <c r="E154" s="168" t="str">
        <f t="shared" si="395"/>
        <v>#REF!</v>
      </c>
      <c r="F154" s="168" t="str">
        <f t="shared" si="395"/>
        <v>#REF!</v>
      </c>
      <c r="G154" s="168" t="str">
        <f t="shared" si="395"/>
        <v>#REF!</v>
      </c>
      <c r="H154" s="168" t="str">
        <f t="shared" si="395"/>
        <v>#REF!</v>
      </c>
      <c r="I154" s="168" t="str">
        <f t="shared" si="395"/>
        <v>#REF!</v>
      </c>
      <c r="J154" s="168" t="str">
        <f t="shared" si="395"/>
        <v>#REF!</v>
      </c>
      <c r="K154" s="168" t="str">
        <f t="shared" si="395"/>
        <v>#REF!</v>
      </c>
      <c r="L154" s="168" t="str">
        <f t="shared" si="395"/>
        <v>#REF!</v>
      </c>
      <c r="M154" s="168" t="str">
        <f t="shared" si="395"/>
        <v>#REF!</v>
      </c>
      <c r="N154" s="168" t="str">
        <f t="shared" si="395"/>
        <v>#REF!</v>
      </c>
      <c r="O154" s="168" t="str">
        <f t="shared" si="395"/>
        <v>#REF!</v>
      </c>
      <c r="P154" s="168" t="str">
        <f t="shared" si="395"/>
        <v>#REF!</v>
      </c>
      <c r="Q154" s="168" t="str">
        <f t="shared" si="395"/>
        <v>#REF!</v>
      </c>
      <c r="R154" s="168" t="str">
        <f t="shared" si="395"/>
        <v>#REF!</v>
      </c>
      <c r="S154" s="168" t="str">
        <f t="shared" si="395"/>
        <v>#REF!</v>
      </c>
      <c r="T154" s="168" t="str">
        <f t="shared" si="395"/>
        <v>#REF!</v>
      </c>
      <c r="U154" s="168" t="str">
        <f t="shared" ref="U154:AJ154" si="396">#REF!</f>
        <v>#REF!</v>
      </c>
      <c r="V154" s="168" t="str">
        <f t="shared" si="396"/>
        <v>#REF!</v>
      </c>
      <c r="W154" s="168" t="str">
        <f t="shared" si="396"/>
        <v>#REF!</v>
      </c>
      <c r="X154" s="168" t="str">
        <f t="shared" si="396"/>
        <v>#REF!</v>
      </c>
      <c r="Y154" s="168" t="str">
        <f t="shared" si="396"/>
        <v>#REF!</v>
      </c>
      <c r="Z154" s="168" t="str">
        <f t="shared" si="396"/>
        <v>#REF!</v>
      </c>
      <c r="AA154" s="168" t="str">
        <f t="shared" si="396"/>
        <v>#REF!</v>
      </c>
      <c r="AB154" s="168" t="str">
        <f t="shared" si="396"/>
        <v>#REF!</v>
      </c>
      <c r="AC154" s="168" t="str">
        <f t="shared" si="396"/>
        <v>#REF!</v>
      </c>
      <c r="AD154" s="168" t="str">
        <f t="shared" si="396"/>
        <v>#REF!</v>
      </c>
      <c r="AE154" s="168" t="str">
        <f t="shared" si="396"/>
        <v>#REF!</v>
      </c>
      <c r="AF154" s="168" t="str">
        <f t="shared" si="396"/>
        <v>#REF!</v>
      </c>
      <c r="AG154" s="168" t="str">
        <f t="shared" si="396"/>
        <v>#REF!</v>
      </c>
      <c r="AH154" s="168" t="str">
        <f t="shared" si="396"/>
        <v>#REF!</v>
      </c>
      <c r="AI154" s="168" t="str">
        <f t="shared" si="396"/>
        <v>#REF!</v>
      </c>
      <c r="AJ154" s="168" t="str">
        <f t="shared" si="396"/>
        <v>#REF!</v>
      </c>
    </row>
    <row r="155" ht="15.75" customHeight="1">
      <c r="A155" s="168" t="str">
        <f t="shared" ref="A155:T155" si="397">if(#REF!=$D$1,#REF!,"")</f>
        <v>#REF!</v>
      </c>
      <c r="B155" s="168" t="str">
        <f t="shared" si="397"/>
        <v>#REF!</v>
      </c>
      <c r="C155" s="168" t="str">
        <f t="shared" si="397"/>
        <v>#REF!</v>
      </c>
      <c r="D155" s="168" t="str">
        <f t="shared" si="397"/>
        <v>#REF!</v>
      </c>
      <c r="E155" s="168" t="str">
        <f t="shared" si="397"/>
        <v>#REF!</v>
      </c>
      <c r="F155" s="168" t="str">
        <f t="shared" si="397"/>
        <v>#REF!</v>
      </c>
      <c r="G155" s="168" t="str">
        <f t="shared" si="397"/>
        <v>#REF!</v>
      </c>
      <c r="H155" s="168" t="str">
        <f t="shared" si="397"/>
        <v>#REF!</v>
      </c>
      <c r="I155" s="168" t="str">
        <f t="shared" si="397"/>
        <v>#REF!</v>
      </c>
      <c r="J155" s="168" t="str">
        <f t="shared" si="397"/>
        <v>#REF!</v>
      </c>
      <c r="K155" s="168" t="str">
        <f t="shared" si="397"/>
        <v>#REF!</v>
      </c>
      <c r="L155" s="168" t="str">
        <f t="shared" si="397"/>
        <v>#REF!</v>
      </c>
      <c r="M155" s="168" t="str">
        <f t="shared" si="397"/>
        <v>#REF!</v>
      </c>
      <c r="N155" s="168" t="str">
        <f t="shared" si="397"/>
        <v>#REF!</v>
      </c>
      <c r="O155" s="168" t="str">
        <f t="shared" si="397"/>
        <v>#REF!</v>
      </c>
      <c r="P155" s="168" t="str">
        <f t="shared" si="397"/>
        <v>#REF!</v>
      </c>
      <c r="Q155" s="168" t="str">
        <f t="shared" si="397"/>
        <v>#REF!</v>
      </c>
      <c r="R155" s="168" t="str">
        <f t="shared" si="397"/>
        <v>#REF!</v>
      </c>
      <c r="S155" s="168" t="str">
        <f t="shared" si="397"/>
        <v>#REF!</v>
      </c>
      <c r="T155" s="168" t="str">
        <f t="shared" si="397"/>
        <v>#REF!</v>
      </c>
      <c r="U155" s="168" t="str">
        <f t="shared" ref="U155:AJ155" si="398">#REF!</f>
        <v>#REF!</v>
      </c>
      <c r="V155" s="168" t="str">
        <f t="shared" si="398"/>
        <v>#REF!</v>
      </c>
      <c r="W155" s="168" t="str">
        <f t="shared" si="398"/>
        <v>#REF!</v>
      </c>
      <c r="X155" s="168" t="str">
        <f t="shared" si="398"/>
        <v>#REF!</v>
      </c>
      <c r="Y155" s="168" t="str">
        <f t="shared" si="398"/>
        <v>#REF!</v>
      </c>
      <c r="Z155" s="168" t="str">
        <f t="shared" si="398"/>
        <v>#REF!</v>
      </c>
      <c r="AA155" s="168" t="str">
        <f t="shared" si="398"/>
        <v>#REF!</v>
      </c>
      <c r="AB155" s="168" t="str">
        <f t="shared" si="398"/>
        <v>#REF!</v>
      </c>
      <c r="AC155" s="168" t="str">
        <f t="shared" si="398"/>
        <v>#REF!</v>
      </c>
      <c r="AD155" s="168" t="str">
        <f t="shared" si="398"/>
        <v>#REF!</v>
      </c>
      <c r="AE155" s="168" t="str">
        <f t="shared" si="398"/>
        <v>#REF!</v>
      </c>
      <c r="AF155" s="168" t="str">
        <f t="shared" si="398"/>
        <v>#REF!</v>
      </c>
      <c r="AG155" s="168" t="str">
        <f t="shared" si="398"/>
        <v>#REF!</v>
      </c>
      <c r="AH155" s="168" t="str">
        <f t="shared" si="398"/>
        <v>#REF!</v>
      </c>
      <c r="AI155" s="168" t="str">
        <f t="shared" si="398"/>
        <v>#REF!</v>
      </c>
      <c r="AJ155" s="168" t="str">
        <f t="shared" si="398"/>
        <v>#REF!</v>
      </c>
    </row>
    <row r="156" ht="15.75" customHeight="1">
      <c r="A156" s="168" t="str">
        <f t="shared" ref="A156:T156" si="399">if(#REF!=$D$1,#REF!,"")</f>
        <v>#REF!</v>
      </c>
      <c r="B156" s="168" t="str">
        <f t="shared" si="399"/>
        <v>#REF!</v>
      </c>
      <c r="C156" s="168" t="str">
        <f t="shared" si="399"/>
        <v>#REF!</v>
      </c>
      <c r="D156" s="168" t="str">
        <f t="shared" si="399"/>
        <v>#REF!</v>
      </c>
      <c r="E156" s="168" t="str">
        <f t="shared" si="399"/>
        <v>#REF!</v>
      </c>
      <c r="F156" s="168" t="str">
        <f t="shared" si="399"/>
        <v>#REF!</v>
      </c>
      <c r="G156" s="168" t="str">
        <f t="shared" si="399"/>
        <v>#REF!</v>
      </c>
      <c r="H156" s="168" t="str">
        <f t="shared" si="399"/>
        <v>#REF!</v>
      </c>
      <c r="I156" s="168" t="str">
        <f t="shared" si="399"/>
        <v>#REF!</v>
      </c>
      <c r="J156" s="168" t="str">
        <f t="shared" si="399"/>
        <v>#REF!</v>
      </c>
      <c r="K156" s="168" t="str">
        <f t="shared" si="399"/>
        <v>#REF!</v>
      </c>
      <c r="L156" s="168" t="str">
        <f t="shared" si="399"/>
        <v>#REF!</v>
      </c>
      <c r="M156" s="168" t="str">
        <f t="shared" si="399"/>
        <v>#REF!</v>
      </c>
      <c r="N156" s="168" t="str">
        <f t="shared" si="399"/>
        <v>#REF!</v>
      </c>
      <c r="O156" s="168" t="str">
        <f t="shared" si="399"/>
        <v>#REF!</v>
      </c>
      <c r="P156" s="168" t="str">
        <f t="shared" si="399"/>
        <v>#REF!</v>
      </c>
      <c r="Q156" s="168" t="str">
        <f t="shared" si="399"/>
        <v>#REF!</v>
      </c>
      <c r="R156" s="168" t="str">
        <f t="shared" si="399"/>
        <v>#REF!</v>
      </c>
      <c r="S156" s="168" t="str">
        <f t="shared" si="399"/>
        <v>#REF!</v>
      </c>
      <c r="T156" s="168" t="str">
        <f t="shared" si="399"/>
        <v>#REF!</v>
      </c>
      <c r="U156" s="168" t="str">
        <f t="shared" ref="U156:AJ156" si="400">#REF!</f>
        <v>#REF!</v>
      </c>
      <c r="V156" s="168" t="str">
        <f t="shared" si="400"/>
        <v>#REF!</v>
      </c>
      <c r="W156" s="168" t="str">
        <f t="shared" si="400"/>
        <v>#REF!</v>
      </c>
      <c r="X156" s="168" t="str">
        <f t="shared" si="400"/>
        <v>#REF!</v>
      </c>
      <c r="Y156" s="168" t="str">
        <f t="shared" si="400"/>
        <v>#REF!</v>
      </c>
      <c r="Z156" s="168" t="str">
        <f t="shared" si="400"/>
        <v>#REF!</v>
      </c>
      <c r="AA156" s="168" t="str">
        <f t="shared" si="400"/>
        <v>#REF!</v>
      </c>
      <c r="AB156" s="168" t="str">
        <f t="shared" si="400"/>
        <v>#REF!</v>
      </c>
      <c r="AC156" s="168" t="str">
        <f t="shared" si="400"/>
        <v>#REF!</v>
      </c>
      <c r="AD156" s="168" t="str">
        <f t="shared" si="400"/>
        <v>#REF!</v>
      </c>
      <c r="AE156" s="168" t="str">
        <f t="shared" si="400"/>
        <v>#REF!</v>
      </c>
      <c r="AF156" s="168" t="str">
        <f t="shared" si="400"/>
        <v>#REF!</v>
      </c>
      <c r="AG156" s="168" t="str">
        <f t="shared" si="400"/>
        <v>#REF!</v>
      </c>
      <c r="AH156" s="168" t="str">
        <f t="shared" si="400"/>
        <v>#REF!</v>
      </c>
      <c r="AI156" s="168" t="str">
        <f t="shared" si="400"/>
        <v>#REF!</v>
      </c>
      <c r="AJ156" s="168" t="str">
        <f t="shared" si="400"/>
        <v>#REF!</v>
      </c>
    </row>
    <row r="157" ht="15.75" customHeight="1">
      <c r="A157" s="168" t="str">
        <f t="shared" ref="A157:T157" si="401">if(#REF!=$D$1,#REF!,"")</f>
        <v>#REF!</v>
      </c>
      <c r="B157" s="168" t="str">
        <f t="shared" si="401"/>
        <v>#REF!</v>
      </c>
      <c r="C157" s="168" t="str">
        <f t="shared" si="401"/>
        <v>#REF!</v>
      </c>
      <c r="D157" s="168" t="str">
        <f t="shared" si="401"/>
        <v>#REF!</v>
      </c>
      <c r="E157" s="168" t="str">
        <f t="shared" si="401"/>
        <v>#REF!</v>
      </c>
      <c r="F157" s="168" t="str">
        <f t="shared" si="401"/>
        <v>#REF!</v>
      </c>
      <c r="G157" s="168" t="str">
        <f t="shared" si="401"/>
        <v>#REF!</v>
      </c>
      <c r="H157" s="168" t="str">
        <f t="shared" si="401"/>
        <v>#REF!</v>
      </c>
      <c r="I157" s="168" t="str">
        <f t="shared" si="401"/>
        <v>#REF!</v>
      </c>
      <c r="J157" s="168" t="str">
        <f t="shared" si="401"/>
        <v>#REF!</v>
      </c>
      <c r="K157" s="168" t="str">
        <f t="shared" si="401"/>
        <v>#REF!</v>
      </c>
      <c r="L157" s="168" t="str">
        <f t="shared" si="401"/>
        <v>#REF!</v>
      </c>
      <c r="M157" s="168" t="str">
        <f t="shared" si="401"/>
        <v>#REF!</v>
      </c>
      <c r="N157" s="168" t="str">
        <f t="shared" si="401"/>
        <v>#REF!</v>
      </c>
      <c r="O157" s="168" t="str">
        <f t="shared" si="401"/>
        <v>#REF!</v>
      </c>
      <c r="P157" s="168" t="str">
        <f t="shared" si="401"/>
        <v>#REF!</v>
      </c>
      <c r="Q157" s="168" t="str">
        <f t="shared" si="401"/>
        <v>#REF!</v>
      </c>
      <c r="R157" s="168" t="str">
        <f t="shared" si="401"/>
        <v>#REF!</v>
      </c>
      <c r="S157" s="168" t="str">
        <f t="shared" si="401"/>
        <v>#REF!</v>
      </c>
      <c r="T157" s="168" t="str">
        <f t="shared" si="401"/>
        <v>#REF!</v>
      </c>
      <c r="U157" s="168" t="str">
        <f t="shared" ref="U157:AJ157" si="402">#REF!</f>
        <v>#REF!</v>
      </c>
      <c r="V157" s="168" t="str">
        <f t="shared" si="402"/>
        <v>#REF!</v>
      </c>
      <c r="W157" s="168" t="str">
        <f t="shared" si="402"/>
        <v>#REF!</v>
      </c>
      <c r="X157" s="168" t="str">
        <f t="shared" si="402"/>
        <v>#REF!</v>
      </c>
      <c r="Y157" s="168" t="str">
        <f t="shared" si="402"/>
        <v>#REF!</v>
      </c>
      <c r="Z157" s="168" t="str">
        <f t="shared" si="402"/>
        <v>#REF!</v>
      </c>
      <c r="AA157" s="168" t="str">
        <f t="shared" si="402"/>
        <v>#REF!</v>
      </c>
      <c r="AB157" s="168" t="str">
        <f t="shared" si="402"/>
        <v>#REF!</v>
      </c>
      <c r="AC157" s="168" t="str">
        <f t="shared" si="402"/>
        <v>#REF!</v>
      </c>
      <c r="AD157" s="168" t="str">
        <f t="shared" si="402"/>
        <v>#REF!</v>
      </c>
      <c r="AE157" s="168" t="str">
        <f t="shared" si="402"/>
        <v>#REF!</v>
      </c>
      <c r="AF157" s="168" t="str">
        <f t="shared" si="402"/>
        <v>#REF!</v>
      </c>
      <c r="AG157" s="168" t="str">
        <f t="shared" si="402"/>
        <v>#REF!</v>
      </c>
      <c r="AH157" s="168" t="str">
        <f t="shared" si="402"/>
        <v>#REF!</v>
      </c>
      <c r="AI157" s="168" t="str">
        <f t="shared" si="402"/>
        <v>#REF!</v>
      </c>
      <c r="AJ157" s="168" t="str">
        <f t="shared" si="402"/>
        <v>#REF!</v>
      </c>
    </row>
    <row r="158" ht="15.75" customHeight="1">
      <c r="A158" s="168" t="str">
        <f t="shared" ref="A158:T158" si="403">if(#REF!=$D$1,#REF!,"")</f>
        <v>#REF!</v>
      </c>
      <c r="B158" s="168" t="str">
        <f t="shared" si="403"/>
        <v>#REF!</v>
      </c>
      <c r="C158" s="168" t="str">
        <f t="shared" si="403"/>
        <v>#REF!</v>
      </c>
      <c r="D158" s="168" t="str">
        <f t="shared" si="403"/>
        <v>#REF!</v>
      </c>
      <c r="E158" s="168" t="str">
        <f t="shared" si="403"/>
        <v>#REF!</v>
      </c>
      <c r="F158" s="168" t="str">
        <f t="shared" si="403"/>
        <v>#REF!</v>
      </c>
      <c r="G158" s="168" t="str">
        <f t="shared" si="403"/>
        <v>#REF!</v>
      </c>
      <c r="H158" s="168" t="str">
        <f t="shared" si="403"/>
        <v>#REF!</v>
      </c>
      <c r="I158" s="168" t="str">
        <f t="shared" si="403"/>
        <v>#REF!</v>
      </c>
      <c r="J158" s="168" t="str">
        <f t="shared" si="403"/>
        <v>#REF!</v>
      </c>
      <c r="K158" s="168" t="str">
        <f t="shared" si="403"/>
        <v>#REF!</v>
      </c>
      <c r="L158" s="168" t="str">
        <f t="shared" si="403"/>
        <v>#REF!</v>
      </c>
      <c r="M158" s="168" t="str">
        <f t="shared" si="403"/>
        <v>#REF!</v>
      </c>
      <c r="N158" s="168" t="str">
        <f t="shared" si="403"/>
        <v>#REF!</v>
      </c>
      <c r="O158" s="168" t="str">
        <f t="shared" si="403"/>
        <v>#REF!</v>
      </c>
      <c r="P158" s="168" t="str">
        <f t="shared" si="403"/>
        <v>#REF!</v>
      </c>
      <c r="Q158" s="168" t="str">
        <f t="shared" si="403"/>
        <v>#REF!</v>
      </c>
      <c r="R158" s="168" t="str">
        <f t="shared" si="403"/>
        <v>#REF!</v>
      </c>
      <c r="S158" s="168" t="str">
        <f t="shared" si="403"/>
        <v>#REF!</v>
      </c>
      <c r="T158" s="168" t="str">
        <f t="shared" si="403"/>
        <v>#REF!</v>
      </c>
      <c r="U158" s="168" t="str">
        <f t="shared" ref="U158:AJ158" si="404">#REF!</f>
        <v>#REF!</v>
      </c>
      <c r="V158" s="168" t="str">
        <f t="shared" si="404"/>
        <v>#REF!</v>
      </c>
      <c r="W158" s="168" t="str">
        <f t="shared" si="404"/>
        <v>#REF!</v>
      </c>
      <c r="X158" s="168" t="str">
        <f t="shared" si="404"/>
        <v>#REF!</v>
      </c>
      <c r="Y158" s="168" t="str">
        <f t="shared" si="404"/>
        <v>#REF!</v>
      </c>
      <c r="Z158" s="168" t="str">
        <f t="shared" si="404"/>
        <v>#REF!</v>
      </c>
      <c r="AA158" s="168" t="str">
        <f t="shared" si="404"/>
        <v>#REF!</v>
      </c>
      <c r="AB158" s="168" t="str">
        <f t="shared" si="404"/>
        <v>#REF!</v>
      </c>
      <c r="AC158" s="168" t="str">
        <f t="shared" si="404"/>
        <v>#REF!</v>
      </c>
      <c r="AD158" s="168" t="str">
        <f t="shared" si="404"/>
        <v>#REF!</v>
      </c>
      <c r="AE158" s="168" t="str">
        <f t="shared" si="404"/>
        <v>#REF!</v>
      </c>
      <c r="AF158" s="168" t="str">
        <f t="shared" si="404"/>
        <v>#REF!</v>
      </c>
      <c r="AG158" s="168" t="str">
        <f t="shared" si="404"/>
        <v>#REF!</v>
      </c>
      <c r="AH158" s="168" t="str">
        <f t="shared" si="404"/>
        <v>#REF!</v>
      </c>
      <c r="AI158" s="168" t="str">
        <f t="shared" si="404"/>
        <v>#REF!</v>
      </c>
      <c r="AJ158" s="168" t="str">
        <f t="shared" si="404"/>
        <v>#REF!</v>
      </c>
    </row>
    <row r="159" ht="15.75" customHeight="1">
      <c r="A159" s="168" t="str">
        <f t="shared" ref="A159:T159" si="405">if(#REF!=$D$1,#REF!,"")</f>
        <v>#REF!</v>
      </c>
      <c r="B159" s="168" t="str">
        <f t="shared" si="405"/>
        <v>#REF!</v>
      </c>
      <c r="C159" s="168" t="str">
        <f t="shared" si="405"/>
        <v>#REF!</v>
      </c>
      <c r="D159" s="168" t="str">
        <f t="shared" si="405"/>
        <v>#REF!</v>
      </c>
      <c r="E159" s="168" t="str">
        <f t="shared" si="405"/>
        <v>#REF!</v>
      </c>
      <c r="F159" s="168" t="str">
        <f t="shared" si="405"/>
        <v>#REF!</v>
      </c>
      <c r="G159" s="168" t="str">
        <f t="shared" si="405"/>
        <v>#REF!</v>
      </c>
      <c r="H159" s="168" t="str">
        <f t="shared" si="405"/>
        <v>#REF!</v>
      </c>
      <c r="I159" s="168" t="str">
        <f t="shared" si="405"/>
        <v>#REF!</v>
      </c>
      <c r="J159" s="168" t="str">
        <f t="shared" si="405"/>
        <v>#REF!</v>
      </c>
      <c r="K159" s="168" t="str">
        <f t="shared" si="405"/>
        <v>#REF!</v>
      </c>
      <c r="L159" s="168" t="str">
        <f t="shared" si="405"/>
        <v>#REF!</v>
      </c>
      <c r="M159" s="168" t="str">
        <f t="shared" si="405"/>
        <v>#REF!</v>
      </c>
      <c r="N159" s="168" t="str">
        <f t="shared" si="405"/>
        <v>#REF!</v>
      </c>
      <c r="O159" s="168" t="str">
        <f t="shared" si="405"/>
        <v>#REF!</v>
      </c>
      <c r="P159" s="168" t="str">
        <f t="shared" si="405"/>
        <v>#REF!</v>
      </c>
      <c r="Q159" s="168" t="str">
        <f t="shared" si="405"/>
        <v>#REF!</v>
      </c>
      <c r="R159" s="168" t="str">
        <f t="shared" si="405"/>
        <v>#REF!</v>
      </c>
      <c r="S159" s="168" t="str">
        <f t="shared" si="405"/>
        <v>#REF!</v>
      </c>
      <c r="T159" s="168" t="str">
        <f t="shared" si="405"/>
        <v>#REF!</v>
      </c>
      <c r="U159" s="168" t="str">
        <f t="shared" ref="U159:AJ159" si="406">#REF!</f>
        <v>#REF!</v>
      </c>
      <c r="V159" s="168" t="str">
        <f t="shared" si="406"/>
        <v>#REF!</v>
      </c>
      <c r="W159" s="168" t="str">
        <f t="shared" si="406"/>
        <v>#REF!</v>
      </c>
      <c r="X159" s="168" t="str">
        <f t="shared" si="406"/>
        <v>#REF!</v>
      </c>
      <c r="Y159" s="168" t="str">
        <f t="shared" si="406"/>
        <v>#REF!</v>
      </c>
      <c r="Z159" s="168" t="str">
        <f t="shared" si="406"/>
        <v>#REF!</v>
      </c>
      <c r="AA159" s="168" t="str">
        <f t="shared" si="406"/>
        <v>#REF!</v>
      </c>
      <c r="AB159" s="168" t="str">
        <f t="shared" si="406"/>
        <v>#REF!</v>
      </c>
      <c r="AC159" s="168" t="str">
        <f t="shared" si="406"/>
        <v>#REF!</v>
      </c>
      <c r="AD159" s="168" t="str">
        <f t="shared" si="406"/>
        <v>#REF!</v>
      </c>
      <c r="AE159" s="168" t="str">
        <f t="shared" si="406"/>
        <v>#REF!</v>
      </c>
      <c r="AF159" s="168" t="str">
        <f t="shared" si="406"/>
        <v>#REF!</v>
      </c>
      <c r="AG159" s="168" t="str">
        <f t="shared" si="406"/>
        <v>#REF!</v>
      </c>
      <c r="AH159" s="168" t="str">
        <f t="shared" si="406"/>
        <v>#REF!</v>
      </c>
      <c r="AI159" s="168" t="str">
        <f t="shared" si="406"/>
        <v>#REF!</v>
      </c>
      <c r="AJ159" s="168" t="str">
        <f t="shared" si="406"/>
        <v>#REF!</v>
      </c>
    </row>
    <row r="160" ht="15.75" customHeight="1">
      <c r="A160" s="168" t="str">
        <f t="shared" ref="A160:T160" si="407">if(#REF!=$D$1,#REF!,"")</f>
        <v>#REF!</v>
      </c>
      <c r="B160" s="168" t="str">
        <f t="shared" si="407"/>
        <v>#REF!</v>
      </c>
      <c r="C160" s="168" t="str">
        <f t="shared" si="407"/>
        <v>#REF!</v>
      </c>
      <c r="D160" s="168" t="str">
        <f t="shared" si="407"/>
        <v>#REF!</v>
      </c>
      <c r="E160" s="168" t="str">
        <f t="shared" si="407"/>
        <v>#REF!</v>
      </c>
      <c r="F160" s="168" t="str">
        <f t="shared" si="407"/>
        <v>#REF!</v>
      </c>
      <c r="G160" s="168" t="str">
        <f t="shared" si="407"/>
        <v>#REF!</v>
      </c>
      <c r="H160" s="168" t="str">
        <f t="shared" si="407"/>
        <v>#REF!</v>
      </c>
      <c r="I160" s="168" t="str">
        <f t="shared" si="407"/>
        <v>#REF!</v>
      </c>
      <c r="J160" s="168" t="str">
        <f t="shared" si="407"/>
        <v>#REF!</v>
      </c>
      <c r="K160" s="168" t="str">
        <f t="shared" si="407"/>
        <v>#REF!</v>
      </c>
      <c r="L160" s="168" t="str">
        <f t="shared" si="407"/>
        <v>#REF!</v>
      </c>
      <c r="M160" s="168" t="str">
        <f t="shared" si="407"/>
        <v>#REF!</v>
      </c>
      <c r="N160" s="168" t="str">
        <f t="shared" si="407"/>
        <v>#REF!</v>
      </c>
      <c r="O160" s="168" t="str">
        <f t="shared" si="407"/>
        <v>#REF!</v>
      </c>
      <c r="P160" s="168" t="str">
        <f t="shared" si="407"/>
        <v>#REF!</v>
      </c>
      <c r="Q160" s="168" t="str">
        <f t="shared" si="407"/>
        <v>#REF!</v>
      </c>
      <c r="R160" s="168" t="str">
        <f t="shared" si="407"/>
        <v>#REF!</v>
      </c>
      <c r="S160" s="168" t="str">
        <f t="shared" si="407"/>
        <v>#REF!</v>
      </c>
      <c r="T160" s="168" t="str">
        <f t="shared" si="407"/>
        <v>#REF!</v>
      </c>
      <c r="U160" s="168" t="str">
        <f t="shared" ref="U160:AJ160" si="408">#REF!</f>
        <v>#REF!</v>
      </c>
      <c r="V160" s="168" t="str">
        <f t="shared" si="408"/>
        <v>#REF!</v>
      </c>
      <c r="W160" s="168" t="str">
        <f t="shared" si="408"/>
        <v>#REF!</v>
      </c>
      <c r="X160" s="168" t="str">
        <f t="shared" si="408"/>
        <v>#REF!</v>
      </c>
      <c r="Y160" s="168" t="str">
        <f t="shared" si="408"/>
        <v>#REF!</v>
      </c>
      <c r="Z160" s="168" t="str">
        <f t="shared" si="408"/>
        <v>#REF!</v>
      </c>
      <c r="AA160" s="168" t="str">
        <f t="shared" si="408"/>
        <v>#REF!</v>
      </c>
      <c r="AB160" s="168" t="str">
        <f t="shared" si="408"/>
        <v>#REF!</v>
      </c>
      <c r="AC160" s="168" t="str">
        <f t="shared" si="408"/>
        <v>#REF!</v>
      </c>
      <c r="AD160" s="168" t="str">
        <f t="shared" si="408"/>
        <v>#REF!</v>
      </c>
      <c r="AE160" s="168" t="str">
        <f t="shared" si="408"/>
        <v>#REF!</v>
      </c>
      <c r="AF160" s="168" t="str">
        <f t="shared" si="408"/>
        <v>#REF!</v>
      </c>
      <c r="AG160" s="168" t="str">
        <f t="shared" si="408"/>
        <v>#REF!</v>
      </c>
      <c r="AH160" s="168" t="str">
        <f t="shared" si="408"/>
        <v>#REF!</v>
      </c>
      <c r="AI160" s="168" t="str">
        <f t="shared" si="408"/>
        <v>#REF!</v>
      </c>
      <c r="AJ160" s="168" t="str">
        <f t="shared" si="408"/>
        <v>#REF!</v>
      </c>
    </row>
    <row r="161" ht="15.75" customHeight="1">
      <c r="A161" s="168" t="str">
        <f t="shared" ref="A161:T161" si="409">if(#REF!=$D$1,#REF!,"")</f>
        <v>#REF!</v>
      </c>
      <c r="B161" s="168" t="str">
        <f t="shared" si="409"/>
        <v>#REF!</v>
      </c>
      <c r="C161" s="168" t="str">
        <f t="shared" si="409"/>
        <v>#REF!</v>
      </c>
      <c r="D161" s="168" t="str">
        <f t="shared" si="409"/>
        <v>#REF!</v>
      </c>
      <c r="E161" s="168" t="str">
        <f t="shared" si="409"/>
        <v>#REF!</v>
      </c>
      <c r="F161" s="168" t="str">
        <f t="shared" si="409"/>
        <v>#REF!</v>
      </c>
      <c r="G161" s="168" t="str">
        <f t="shared" si="409"/>
        <v>#REF!</v>
      </c>
      <c r="H161" s="168" t="str">
        <f t="shared" si="409"/>
        <v>#REF!</v>
      </c>
      <c r="I161" s="168" t="str">
        <f t="shared" si="409"/>
        <v>#REF!</v>
      </c>
      <c r="J161" s="168" t="str">
        <f t="shared" si="409"/>
        <v>#REF!</v>
      </c>
      <c r="K161" s="168" t="str">
        <f t="shared" si="409"/>
        <v>#REF!</v>
      </c>
      <c r="L161" s="168" t="str">
        <f t="shared" si="409"/>
        <v>#REF!</v>
      </c>
      <c r="M161" s="168" t="str">
        <f t="shared" si="409"/>
        <v>#REF!</v>
      </c>
      <c r="N161" s="168" t="str">
        <f t="shared" si="409"/>
        <v>#REF!</v>
      </c>
      <c r="O161" s="168" t="str">
        <f t="shared" si="409"/>
        <v>#REF!</v>
      </c>
      <c r="P161" s="168" t="str">
        <f t="shared" si="409"/>
        <v>#REF!</v>
      </c>
      <c r="Q161" s="168" t="str">
        <f t="shared" si="409"/>
        <v>#REF!</v>
      </c>
      <c r="R161" s="168" t="str">
        <f t="shared" si="409"/>
        <v>#REF!</v>
      </c>
      <c r="S161" s="168" t="str">
        <f t="shared" si="409"/>
        <v>#REF!</v>
      </c>
      <c r="T161" s="168" t="str">
        <f t="shared" si="409"/>
        <v>#REF!</v>
      </c>
      <c r="U161" s="168" t="str">
        <f t="shared" ref="U161:AJ161" si="410">#REF!</f>
        <v>#REF!</v>
      </c>
      <c r="V161" s="168" t="str">
        <f t="shared" si="410"/>
        <v>#REF!</v>
      </c>
      <c r="W161" s="168" t="str">
        <f t="shared" si="410"/>
        <v>#REF!</v>
      </c>
      <c r="X161" s="168" t="str">
        <f t="shared" si="410"/>
        <v>#REF!</v>
      </c>
      <c r="Y161" s="168" t="str">
        <f t="shared" si="410"/>
        <v>#REF!</v>
      </c>
      <c r="Z161" s="168" t="str">
        <f t="shared" si="410"/>
        <v>#REF!</v>
      </c>
      <c r="AA161" s="168" t="str">
        <f t="shared" si="410"/>
        <v>#REF!</v>
      </c>
      <c r="AB161" s="168" t="str">
        <f t="shared" si="410"/>
        <v>#REF!</v>
      </c>
      <c r="AC161" s="168" t="str">
        <f t="shared" si="410"/>
        <v>#REF!</v>
      </c>
      <c r="AD161" s="168" t="str">
        <f t="shared" si="410"/>
        <v>#REF!</v>
      </c>
      <c r="AE161" s="168" t="str">
        <f t="shared" si="410"/>
        <v>#REF!</v>
      </c>
      <c r="AF161" s="168" t="str">
        <f t="shared" si="410"/>
        <v>#REF!</v>
      </c>
      <c r="AG161" s="168" t="str">
        <f t="shared" si="410"/>
        <v>#REF!</v>
      </c>
      <c r="AH161" s="168" t="str">
        <f t="shared" si="410"/>
        <v>#REF!</v>
      </c>
      <c r="AI161" s="168" t="str">
        <f t="shared" si="410"/>
        <v>#REF!</v>
      </c>
      <c r="AJ161" s="168" t="str">
        <f t="shared" si="410"/>
        <v>#REF!</v>
      </c>
    </row>
    <row r="162" ht="15.75" customHeight="1">
      <c r="A162" s="168" t="str">
        <f t="shared" ref="A162:T162" si="411">if(#REF!=$D$1,#REF!,"")</f>
        <v>#REF!</v>
      </c>
      <c r="B162" s="168" t="str">
        <f t="shared" si="411"/>
        <v>#REF!</v>
      </c>
      <c r="C162" s="168" t="str">
        <f t="shared" si="411"/>
        <v>#REF!</v>
      </c>
      <c r="D162" s="168" t="str">
        <f t="shared" si="411"/>
        <v>#REF!</v>
      </c>
      <c r="E162" s="168" t="str">
        <f t="shared" si="411"/>
        <v>#REF!</v>
      </c>
      <c r="F162" s="168" t="str">
        <f t="shared" si="411"/>
        <v>#REF!</v>
      </c>
      <c r="G162" s="168" t="str">
        <f t="shared" si="411"/>
        <v>#REF!</v>
      </c>
      <c r="H162" s="168" t="str">
        <f t="shared" si="411"/>
        <v>#REF!</v>
      </c>
      <c r="I162" s="168" t="str">
        <f t="shared" si="411"/>
        <v>#REF!</v>
      </c>
      <c r="J162" s="168" t="str">
        <f t="shared" si="411"/>
        <v>#REF!</v>
      </c>
      <c r="K162" s="168" t="str">
        <f t="shared" si="411"/>
        <v>#REF!</v>
      </c>
      <c r="L162" s="168" t="str">
        <f t="shared" si="411"/>
        <v>#REF!</v>
      </c>
      <c r="M162" s="168" t="str">
        <f t="shared" si="411"/>
        <v>#REF!</v>
      </c>
      <c r="N162" s="168" t="str">
        <f t="shared" si="411"/>
        <v>#REF!</v>
      </c>
      <c r="O162" s="168" t="str">
        <f t="shared" si="411"/>
        <v>#REF!</v>
      </c>
      <c r="P162" s="168" t="str">
        <f t="shared" si="411"/>
        <v>#REF!</v>
      </c>
      <c r="Q162" s="168" t="str">
        <f t="shared" si="411"/>
        <v>#REF!</v>
      </c>
      <c r="R162" s="168" t="str">
        <f t="shared" si="411"/>
        <v>#REF!</v>
      </c>
      <c r="S162" s="168" t="str">
        <f t="shared" si="411"/>
        <v>#REF!</v>
      </c>
      <c r="T162" s="168" t="str">
        <f t="shared" si="411"/>
        <v>#REF!</v>
      </c>
      <c r="U162" s="168" t="str">
        <f t="shared" ref="U162:AJ162" si="412">#REF!</f>
        <v>#REF!</v>
      </c>
      <c r="V162" s="168" t="str">
        <f t="shared" si="412"/>
        <v>#REF!</v>
      </c>
      <c r="W162" s="168" t="str">
        <f t="shared" si="412"/>
        <v>#REF!</v>
      </c>
      <c r="X162" s="168" t="str">
        <f t="shared" si="412"/>
        <v>#REF!</v>
      </c>
      <c r="Y162" s="168" t="str">
        <f t="shared" si="412"/>
        <v>#REF!</v>
      </c>
      <c r="Z162" s="168" t="str">
        <f t="shared" si="412"/>
        <v>#REF!</v>
      </c>
      <c r="AA162" s="168" t="str">
        <f t="shared" si="412"/>
        <v>#REF!</v>
      </c>
      <c r="AB162" s="168" t="str">
        <f t="shared" si="412"/>
        <v>#REF!</v>
      </c>
      <c r="AC162" s="168" t="str">
        <f t="shared" si="412"/>
        <v>#REF!</v>
      </c>
      <c r="AD162" s="168" t="str">
        <f t="shared" si="412"/>
        <v>#REF!</v>
      </c>
      <c r="AE162" s="168" t="str">
        <f t="shared" si="412"/>
        <v>#REF!</v>
      </c>
      <c r="AF162" s="168" t="str">
        <f t="shared" si="412"/>
        <v>#REF!</v>
      </c>
      <c r="AG162" s="168" t="str">
        <f t="shared" si="412"/>
        <v>#REF!</v>
      </c>
      <c r="AH162" s="168" t="str">
        <f t="shared" si="412"/>
        <v>#REF!</v>
      </c>
      <c r="AI162" s="168" t="str">
        <f t="shared" si="412"/>
        <v>#REF!</v>
      </c>
      <c r="AJ162" s="168" t="str">
        <f t="shared" si="412"/>
        <v>#REF!</v>
      </c>
    </row>
    <row r="163" ht="15.75" customHeight="1">
      <c r="A163" s="168" t="str">
        <f t="shared" ref="A163:T163" si="413">if(#REF!=$D$1,#REF!,"")</f>
        <v>#REF!</v>
      </c>
      <c r="B163" s="168" t="str">
        <f t="shared" si="413"/>
        <v>#REF!</v>
      </c>
      <c r="C163" s="168" t="str">
        <f t="shared" si="413"/>
        <v>#REF!</v>
      </c>
      <c r="D163" s="168" t="str">
        <f t="shared" si="413"/>
        <v>#REF!</v>
      </c>
      <c r="E163" s="168" t="str">
        <f t="shared" si="413"/>
        <v>#REF!</v>
      </c>
      <c r="F163" s="168" t="str">
        <f t="shared" si="413"/>
        <v>#REF!</v>
      </c>
      <c r="G163" s="168" t="str">
        <f t="shared" si="413"/>
        <v>#REF!</v>
      </c>
      <c r="H163" s="168" t="str">
        <f t="shared" si="413"/>
        <v>#REF!</v>
      </c>
      <c r="I163" s="168" t="str">
        <f t="shared" si="413"/>
        <v>#REF!</v>
      </c>
      <c r="J163" s="168" t="str">
        <f t="shared" si="413"/>
        <v>#REF!</v>
      </c>
      <c r="K163" s="168" t="str">
        <f t="shared" si="413"/>
        <v>#REF!</v>
      </c>
      <c r="L163" s="168" t="str">
        <f t="shared" si="413"/>
        <v>#REF!</v>
      </c>
      <c r="M163" s="168" t="str">
        <f t="shared" si="413"/>
        <v>#REF!</v>
      </c>
      <c r="N163" s="168" t="str">
        <f t="shared" si="413"/>
        <v>#REF!</v>
      </c>
      <c r="O163" s="168" t="str">
        <f t="shared" si="413"/>
        <v>#REF!</v>
      </c>
      <c r="P163" s="168" t="str">
        <f t="shared" si="413"/>
        <v>#REF!</v>
      </c>
      <c r="Q163" s="168" t="str">
        <f t="shared" si="413"/>
        <v>#REF!</v>
      </c>
      <c r="R163" s="168" t="str">
        <f t="shared" si="413"/>
        <v>#REF!</v>
      </c>
      <c r="S163" s="168" t="str">
        <f t="shared" si="413"/>
        <v>#REF!</v>
      </c>
      <c r="T163" s="168" t="str">
        <f t="shared" si="413"/>
        <v>#REF!</v>
      </c>
      <c r="U163" s="168" t="str">
        <f t="shared" ref="U163:AJ163" si="414">#REF!</f>
        <v>#REF!</v>
      </c>
      <c r="V163" s="168" t="str">
        <f t="shared" si="414"/>
        <v>#REF!</v>
      </c>
      <c r="W163" s="168" t="str">
        <f t="shared" si="414"/>
        <v>#REF!</v>
      </c>
      <c r="X163" s="168" t="str">
        <f t="shared" si="414"/>
        <v>#REF!</v>
      </c>
      <c r="Y163" s="168" t="str">
        <f t="shared" si="414"/>
        <v>#REF!</v>
      </c>
      <c r="Z163" s="168" t="str">
        <f t="shared" si="414"/>
        <v>#REF!</v>
      </c>
      <c r="AA163" s="168" t="str">
        <f t="shared" si="414"/>
        <v>#REF!</v>
      </c>
      <c r="AB163" s="168" t="str">
        <f t="shared" si="414"/>
        <v>#REF!</v>
      </c>
      <c r="AC163" s="168" t="str">
        <f t="shared" si="414"/>
        <v>#REF!</v>
      </c>
      <c r="AD163" s="168" t="str">
        <f t="shared" si="414"/>
        <v>#REF!</v>
      </c>
      <c r="AE163" s="168" t="str">
        <f t="shared" si="414"/>
        <v>#REF!</v>
      </c>
      <c r="AF163" s="168" t="str">
        <f t="shared" si="414"/>
        <v>#REF!</v>
      </c>
      <c r="AG163" s="168" t="str">
        <f t="shared" si="414"/>
        <v>#REF!</v>
      </c>
      <c r="AH163" s="168" t="str">
        <f t="shared" si="414"/>
        <v>#REF!</v>
      </c>
      <c r="AI163" s="168" t="str">
        <f t="shared" si="414"/>
        <v>#REF!</v>
      </c>
      <c r="AJ163" s="168" t="str">
        <f t="shared" si="414"/>
        <v>#REF!</v>
      </c>
    </row>
    <row r="164" ht="15.75" customHeight="1">
      <c r="A164" s="168" t="str">
        <f t="shared" ref="A164:T164" si="415">if(#REF!=$D$1,#REF!,"")</f>
        <v>#REF!</v>
      </c>
      <c r="B164" s="168" t="str">
        <f t="shared" si="415"/>
        <v>#REF!</v>
      </c>
      <c r="C164" s="168" t="str">
        <f t="shared" si="415"/>
        <v>#REF!</v>
      </c>
      <c r="D164" s="168" t="str">
        <f t="shared" si="415"/>
        <v>#REF!</v>
      </c>
      <c r="E164" s="168" t="str">
        <f t="shared" si="415"/>
        <v>#REF!</v>
      </c>
      <c r="F164" s="168" t="str">
        <f t="shared" si="415"/>
        <v>#REF!</v>
      </c>
      <c r="G164" s="168" t="str">
        <f t="shared" si="415"/>
        <v>#REF!</v>
      </c>
      <c r="H164" s="168" t="str">
        <f t="shared" si="415"/>
        <v>#REF!</v>
      </c>
      <c r="I164" s="168" t="str">
        <f t="shared" si="415"/>
        <v>#REF!</v>
      </c>
      <c r="J164" s="168" t="str">
        <f t="shared" si="415"/>
        <v>#REF!</v>
      </c>
      <c r="K164" s="168" t="str">
        <f t="shared" si="415"/>
        <v>#REF!</v>
      </c>
      <c r="L164" s="168" t="str">
        <f t="shared" si="415"/>
        <v>#REF!</v>
      </c>
      <c r="M164" s="168" t="str">
        <f t="shared" si="415"/>
        <v>#REF!</v>
      </c>
      <c r="N164" s="168" t="str">
        <f t="shared" si="415"/>
        <v>#REF!</v>
      </c>
      <c r="O164" s="168" t="str">
        <f t="shared" si="415"/>
        <v>#REF!</v>
      </c>
      <c r="P164" s="168" t="str">
        <f t="shared" si="415"/>
        <v>#REF!</v>
      </c>
      <c r="Q164" s="168" t="str">
        <f t="shared" si="415"/>
        <v>#REF!</v>
      </c>
      <c r="R164" s="168" t="str">
        <f t="shared" si="415"/>
        <v>#REF!</v>
      </c>
      <c r="S164" s="168" t="str">
        <f t="shared" si="415"/>
        <v>#REF!</v>
      </c>
      <c r="T164" s="168" t="str">
        <f t="shared" si="415"/>
        <v>#REF!</v>
      </c>
      <c r="U164" s="168" t="str">
        <f t="shared" ref="U164:AJ164" si="416">#REF!</f>
        <v>#REF!</v>
      </c>
      <c r="V164" s="168" t="str">
        <f t="shared" si="416"/>
        <v>#REF!</v>
      </c>
      <c r="W164" s="168" t="str">
        <f t="shared" si="416"/>
        <v>#REF!</v>
      </c>
      <c r="X164" s="168" t="str">
        <f t="shared" si="416"/>
        <v>#REF!</v>
      </c>
      <c r="Y164" s="168" t="str">
        <f t="shared" si="416"/>
        <v>#REF!</v>
      </c>
      <c r="Z164" s="168" t="str">
        <f t="shared" si="416"/>
        <v>#REF!</v>
      </c>
      <c r="AA164" s="168" t="str">
        <f t="shared" si="416"/>
        <v>#REF!</v>
      </c>
      <c r="AB164" s="168" t="str">
        <f t="shared" si="416"/>
        <v>#REF!</v>
      </c>
      <c r="AC164" s="168" t="str">
        <f t="shared" si="416"/>
        <v>#REF!</v>
      </c>
      <c r="AD164" s="168" t="str">
        <f t="shared" si="416"/>
        <v>#REF!</v>
      </c>
      <c r="AE164" s="168" t="str">
        <f t="shared" si="416"/>
        <v>#REF!</v>
      </c>
      <c r="AF164" s="168" t="str">
        <f t="shared" si="416"/>
        <v>#REF!</v>
      </c>
      <c r="AG164" s="168" t="str">
        <f t="shared" si="416"/>
        <v>#REF!</v>
      </c>
      <c r="AH164" s="168" t="str">
        <f t="shared" si="416"/>
        <v>#REF!</v>
      </c>
      <c r="AI164" s="168" t="str">
        <f t="shared" si="416"/>
        <v>#REF!</v>
      </c>
      <c r="AJ164" s="168" t="str">
        <f t="shared" si="416"/>
        <v>#REF!</v>
      </c>
    </row>
    <row r="165" ht="15.75" customHeight="1">
      <c r="A165" s="168" t="str">
        <f t="shared" ref="A165:T165" si="417">if(#REF!=$D$1,#REF!,"")</f>
        <v>#REF!</v>
      </c>
      <c r="B165" s="168" t="str">
        <f t="shared" si="417"/>
        <v>#REF!</v>
      </c>
      <c r="C165" s="168" t="str">
        <f t="shared" si="417"/>
        <v>#REF!</v>
      </c>
      <c r="D165" s="168" t="str">
        <f t="shared" si="417"/>
        <v>#REF!</v>
      </c>
      <c r="E165" s="168" t="str">
        <f t="shared" si="417"/>
        <v>#REF!</v>
      </c>
      <c r="F165" s="168" t="str">
        <f t="shared" si="417"/>
        <v>#REF!</v>
      </c>
      <c r="G165" s="168" t="str">
        <f t="shared" si="417"/>
        <v>#REF!</v>
      </c>
      <c r="H165" s="168" t="str">
        <f t="shared" si="417"/>
        <v>#REF!</v>
      </c>
      <c r="I165" s="168" t="str">
        <f t="shared" si="417"/>
        <v>#REF!</v>
      </c>
      <c r="J165" s="168" t="str">
        <f t="shared" si="417"/>
        <v>#REF!</v>
      </c>
      <c r="K165" s="168" t="str">
        <f t="shared" si="417"/>
        <v>#REF!</v>
      </c>
      <c r="L165" s="168" t="str">
        <f t="shared" si="417"/>
        <v>#REF!</v>
      </c>
      <c r="M165" s="168" t="str">
        <f t="shared" si="417"/>
        <v>#REF!</v>
      </c>
      <c r="N165" s="168" t="str">
        <f t="shared" si="417"/>
        <v>#REF!</v>
      </c>
      <c r="O165" s="168" t="str">
        <f t="shared" si="417"/>
        <v>#REF!</v>
      </c>
      <c r="P165" s="168" t="str">
        <f t="shared" si="417"/>
        <v>#REF!</v>
      </c>
      <c r="Q165" s="168" t="str">
        <f t="shared" si="417"/>
        <v>#REF!</v>
      </c>
      <c r="R165" s="168" t="str">
        <f t="shared" si="417"/>
        <v>#REF!</v>
      </c>
      <c r="S165" s="168" t="str">
        <f t="shared" si="417"/>
        <v>#REF!</v>
      </c>
      <c r="T165" s="168" t="str">
        <f t="shared" si="417"/>
        <v>#REF!</v>
      </c>
      <c r="U165" s="168" t="str">
        <f t="shared" ref="U165:AJ165" si="418">#REF!</f>
        <v>#REF!</v>
      </c>
      <c r="V165" s="168" t="str">
        <f t="shared" si="418"/>
        <v>#REF!</v>
      </c>
      <c r="W165" s="168" t="str">
        <f t="shared" si="418"/>
        <v>#REF!</v>
      </c>
      <c r="X165" s="168" t="str">
        <f t="shared" si="418"/>
        <v>#REF!</v>
      </c>
      <c r="Y165" s="168" t="str">
        <f t="shared" si="418"/>
        <v>#REF!</v>
      </c>
      <c r="Z165" s="168" t="str">
        <f t="shared" si="418"/>
        <v>#REF!</v>
      </c>
      <c r="AA165" s="168" t="str">
        <f t="shared" si="418"/>
        <v>#REF!</v>
      </c>
      <c r="AB165" s="168" t="str">
        <f t="shared" si="418"/>
        <v>#REF!</v>
      </c>
      <c r="AC165" s="168" t="str">
        <f t="shared" si="418"/>
        <v>#REF!</v>
      </c>
      <c r="AD165" s="168" t="str">
        <f t="shared" si="418"/>
        <v>#REF!</v>
      </c>
      <c r="AE165" s="168" t="str">
        <f t="shared" si="418"/>
        <v>#REF!</v>
      </c>
      <c r="AF165" s="168" t="str">
        <f t="shared" si="418"/>
        <v>#REF!</v>
      </c>
      <c r="AG165" s="168" t="str">
        <f t="shared" si="418"/>
        <v>#REF!</v>
      </c>
      <c r="AH165" s="168" t="str">
        <f t="shared" si="418"/>
        <v>#REF!</v>
      </c>
      <c r="AI165" s="168" t="str">
        <f t="shared" si="418"/>
        <v>#REF!</v>
      </c>
      <c r="AJ165" s="168" t="str">
        <f t="shared" si="418"/>
        <v>#REF!</v>
      </c>
    </row>
    <row r="166" ht="15.75" customHeight="1">
      <c r="A166" s="168" t="str">
        <f t="shared" ref="A166:T166" si="419">if(#REF!=$D$1,#REF!,"")</f>
        <v>#REF!</v>
      </c>
      <c r="B166" s="168" t="str">
        <f t="shared" si="419"/>
        <v>#REF!</v>
      </c>
      <c r="C166" s="168" t="str">
        <f t="shared" si="419"/>
        <v>#REF!</v>
      </c>
      <c r="D166" s="168" t="str">
        <f t="shared" si="419"/>
        <v>#REF!</v>
      </c>
      <c r="E166" s="168" t="str">
        <f t="shared" si="419"/>
        <v>#REF!</v>
      </c>
      <c r="F166" s="168" t="str">
        <f t="shared" si="419"/>
        <v>#REF!</v>
      </c>
      <c r="G166" s="168" t="str">
        <f t="shared" si="419"/>
        <v>#REF!</v>
      </c>
      <c r="H166" s="168" t="str">
        <f t="shared" si="419"/>
        <v>#REF!</v>
      </c>
      <c r="I166" s="168" t="str">
        <f t="shared" si="419"/>
        <v>#REF!</v>
      </c>
      <c r="J166" s="168" t="str">
        <f t="shared" si="419"/>
        <v>#REF!</v>
      </c>
      <c r="K166" s="168" t="str">
        <f t="shared" si="419"/>
        <v>#REF!</v>
      </c>
      <c r="L166" s="168" t="str">
        <f t="shared" si="419"/>
        <v>#REF!</v>
      </c>
      <c r="M166" s="168" t="str">
        <f t="shared" si="419"/>
        <v>#REF!</v>
      </c>
      <c r="N166" s="168" t="str">
        <f t="shared" si="419"/>
        <v>#REF!</v>
      </c>
      <c r="O166" s="168" t="str">
        <f t="shared" si="419"/>
        <v>#REF!</v>
      </c>
      <c r="P166" s="168" t="str">
        <f t="shared" si="419"/>
        <v>#REF!</v>
      </c>
      <c r="Q166" s="168" t="str">
        <f t="shared" si="419"/>
        <v>#REF!</v>
      </c>
      <c r="R166" s="168" t="str">
        <f t="shared" si="419"/>
        <v>#REF!</v>
      </c>
      <c r="S166" s="168" t="str">
        <f t="shared" si="419"/>
        <v>#REF!</v>
      </c>
      <c r="T166" s="168" t="str">
        <f t="shared" si="419"/>
        <v>#REF!</v>
      </c>
      <c r="U166" s="168" t="str">
        <f t="shared" ref="U166:AJ166" si="420">#REF!</f>
        <v>#REF!</v>
      </c>
      <c r="V166" s="168" t="str">
        <f t="shared" si="420"/>
        <v>#REF!</v>
      </c>
      <c r="W166" s="168" t="str">
        <f t="shared" si="420"/>
        <v>#REF!</v>
      </c>
      <c r="X166" s="168" t="str">
        <f t="shared" si="420"/>
        <v>#REF!</v>
      </c>
      <c r="Y166" s="168" t="str">
        <f t="shared" si="420"/>
        <v>#REF!</v>
      </c>
      <c r="Z166" s="168" t="str">
        <f t="shared" si="420"/>
        <v>#REF!</v>
      </c>
      <c r="AA166" s="168" t="str">
        <f t="shared" si="420"/>
        <v>#REF!</v>
      </c>
      <c r="AB166" s="168" t="str">
        <f t="shared" si="420"/>
        <v>#REF!</v>
      </c>
      <c r="AC166" s="168" t="str">
        <f t="shared" si="420"/>
        <v>#REF!</v>
      </c>
      <c r="AD166" s="168" t="str">
        <f t="shared" si="420"/>
        <v>#REF!</v>
      </c>
      <c r="AE166" s="168" t="str">
        <f t="shared" si="420"/>
        <v>#REF!</v>
      </c>
      <c r="AF166" s="168" t="str">
        <f t="shared" si="420"/>
        <v>#REF!</v>
      </c>
      <c r="AG166" s="168" t="str">
        <f t="shared" si="420"/>
        <v>#REF!</v>
      </c>
      <c r="AH166" s="168" t="str">
        <f t="shared" si="420"/>
        <v>#REF!</v>
      </c>
      <c r="AI166" s="168" t="str">
        <f t="shared" si="420"/>
        <v>#REF!</v>
      </c>
      <c r="AJ166" s="168" t="str">
        <f t="shared" si="420"/>
        <v>#REF!</v>
      </c>
    </row>
    <row r="167" ht="15.75" customHeight="1">
      <c r="A167" s="168" t="str">
        <f t="shared" ref="A167:T167" si="421">if(#REF!=$D$1,#REF!,"")</f>
        <v>#REF!</v>
      </c>
      <c r="B167" s="168" t="str">
        <f t="shared" si="421"/>
        <v>#REF!</v>
      </c>
      <c r="C167" s="168" t="str">
        <f t="shared" si="421"/>
        <v>#REF!</v>
      </c>
      <c r="D167" s="168" t="str">
        <f t="shared" si="421"/>
        <v>#REF!</v>
      </c>
      <c r="E167" s="168" t="str">
        <f t="shared" si="421"/>
        <v>#REF!</v>
      </c>
      <c r="F167" s="168" t="str">
        <f t="shared" si="421"/>
        <v>#REF!</v>
      </c>
      <c r="G167" s="168" t="str">
        <f t="shared" si="421"/>
        <v>#REF!</v>
      </c>
      <c r="H167" s="168" t="str">
        <f t="shared" si="421"/>
        <v>#REF!</v>
      </c>
      <c r="I167" s="168" t="str">
        <f t="shared" si="421"/>
        <v>#REF!</v>
      </c>
      <c r="J167" s="168" t="str">
        <f t="shared" si="421"/>
        <v>#REF!</v>
      </c>
      <c r="K167" s="168" t="str">
        <f t="shared" si="421"/>
        <v>#REF!</v>
      </c>
      <c r="L167" s="168" t="str">
        <f t="shared" si="421"/>
        <v>#REF!</v>
      </c>
      <c r="M167" s="168" t="str">
        <f t="shared" si="421"/>
        <v>#REF!</v>
      </c>
      <c r="N167" s="168" t="str">
        <f t="shared" si="421"/>
        <v>#REF!</v>
      </c>
      <c r="O167" s="168" t="str">
        <f t="shared" si="421"/>
        <v>#REF!</v>
      </c>
      <c r="P167" s="168" t="str">
        <f t="shared" si="421"/>
        <v>#REF!</v>
      </c>
      <c r="Q167" s="168" t="str">
        <f t="shared" si="421"/>
        <v>#REF!</v>
      </c>
      <c r="R167" s="168" t="str">
        <f t="shared" si="421"/>
        <v>#REF!</v>
      </c>
      <c r="S167" s="168" t="str">
        <f t="shared" si="421"/>
        <v>#REF!</v>
      </c>
      <c r="T167" s="168" t="str">
        <f t="shared" si="421"/>
        <v>#REF!</v>
      </c>
      <c r="U167" s="168" t="str">
        <f t="shared" ref="U167:AJ167" si="422">#REF!</f>
        <v>#REF!</v>
      </c>
      <c r="V167" s="168" t="str">
        <f t="shared" si="422"/>
        <v>#REF!</v>
      </c>
      <c r="W167" s="168" t="str">
        <f t="shared" si="422"/>
        <v>#REF!</v>
      </c>
      <c r="X167" s="168" t="str">
        <f t="shared" si="422"/>
        <v>#REF!</v>
      </c>
      <c r="Y167" s="168" t="str">
        <f t="shared" si="422"/>
        <v>#REF!</v>
      </c>
      <c r="Z167" s="168" t="str">
        <f t="shared" si="422"/>
        <v>#REF!</v>
      </c>
      <c r="AA167" s="168" t="str">
        <f t="shared" si="422"/>
        <v>#REF!</v>
      </c>
      <c r="AB167" s="168" t="str">
        <f t="shared" si="422"/>
        <v>#REF!</v>
      </c>
      <c r="AC167" s="168" t="str">
        <f t="shared" si="422"/>
        <v>#REF!</v>
      </c>
      <c r="AD167" s="168" t="str">
        <f t="shared" si="422"/>
        <v>#REF!</v>
      </c>
      <c r="AE167" s="168" t="str">
        <f t="shared" si="422"/>
        <v>#REF!</v>
      </c>
      <c r="AF167" s="168" t="str">
        <f t="shared" si="422"/>
        <v>#REF!</v>
      </c>
      <c r="AG167" s="168" t="str">
        <f t="shared" si="422"/>
        <v>#REF!</v>
      </c>
      <c r="AH167" s="168" t="str">
        <f t="shared" si="422"/>
        <v>#REF!</v>
      </c>
      <c r="AI167" s="168" t="str">
        <f t="shared" si="422"/>
        <v>#REF!</v>
      </c>
      <c r="AJ167" s="168" t="str">
        <f t="shared" si="422"/>
        <v>#REF!</v>
      </c>
    </row>
    <row r="168" ht="15.75" customHeight="1">
      <c r="A168" s="168" t="str">
        <f t="shared" ref="A168:T168" si="423">if(#REF!=$D$1,#REF!,"")</f>
        <v>#REF!</v>
      </c>
      <c r="B168" s="168" t="str">
        <f t="shared" si="423"/>
        <v>#REF!</v>
      </c>
      <c r="C168" s="168" t="str">
        <f t="shared" si="423"/>
        <v>#REF!</v>
      </c>
      <c r="D168" s="168" t="str">
        <f t="shared" si="423"/>
        <v>#REF!</v>
      </c>
      <c r="E168" s="168" t="str">
        <f t="shared" si="423"/>
        <v>#REF!</v>
      </c>
      <c r="F168" s="168" t="str">
        <f t="shared" si="423"/>
        <v>#REF!</v>
      </c>
      <c r="G168" s="168" t="str">
        <f t="shared" si="423"/>
        <v>#REF!</v>
      </c>
      <c r="H168" s="168" t="str">
        <f t="shared" si="423"/>
        <v>#REF!</v>
      </c>
      <c r="I168" s="168" t="str">
        <f t="shared" si="423"/>
        <v>#REF!</v>
      </c>
      <c r="J168" s="168" t="str">
        <f t="shared" si="423"/>
        <v>#REF!</v>
      </c>
      <c r="K168" s="168" t="str">
        <f t="shared" si="423"/>
        <v>#REF!</v>
      </c>
      <c r="L168" s="168" t="str">
        <f t="shared" si="423"/>
        <v>#REF!</v>
      </c>
      <c r="M168" s="168" t="str">
        <f t="shared" si="423"/>
        <v>#REF!</v>
      </c>
      <c r="N168" s="168" t="str">
        <f t="shared" si="423"/>
        <v>#REF!</v>
      </c>
      <c r="O168" s="168" t="str">
        <f t="shared" si="423"/>
        <v>#REF!</v>
      </c>
      <c r="P168" s="168" t="str">
        <f t="shared" si="423"/>
        <v>#REF!</v>
      </c>
      <c r="Q168" s="168" t="str">
        <f t="shared" si="423"/>
        <v>#REF!</v>
      </c>
      <c r="R168" s="168" t="str">
        <f t="shared" si="423"/>
        <v>#REF!</v>
      </c>
      <c r="S168" s="168" t="str">
        <f t="shared" si="423"/>
        <v>#REF!</v>
      </c>
      <c r="T168" s="168" t="str">
        <f t="shared" si="423"/>
        <v>#REF!</v>
      </c>
      <c r="U168" s="168" t="str">
        <f t="shared" ref="U168:AJ168" si="424">#REF!</f>
        <v>#REF!</v>
      </c>
      <c r="V168" s="168" t="str">
        <f t="shared" si="424"/>
        <v>#REF!</v>
      </c>
      <c r="W168" s="168" t="str">
        <f t="shared" si="424"/>
        <v>#REF!</v>
      </c>
      <c r="X168" s="168" t="str">
        <f t="shared" si="424"/>
        <v>#REF!</v>
      </c>
      <c r="Y168" s="168" t="str">
        <f t="shared" si="424"/>
        <v>#REF!</v>
      </c>
      <c r="Z168" s="168" t="str">
        <f t="shared" si="424"/>
        <v>#REF!</v>
      </c>
      <c r="AA168" s="168" t="str">
        <f t="shared" si="424"/>
        <v>#REF!</v>
      </c>
      <c r="AB168" s="168" t="str">
        <f t="shared" si="424"/>
        <v>#REF!</v>
      </c>
      <c r="AC168" s="168" t="str">
        <f t="shared" si="424"/>
        <v>#REF!</v>
      </c>
      <c r="AD168" s="168" t="str">
        <f t="shared" si="424"/>
        <v>#REF!</v>
      </c>
      <c r="AE168" s="168" t="str">
        <f t="shared" si="424"/>
        <v>#REF!</v>
      </c>
      <c r="AF168" s="168" t="str">
        <f t="shared" si="424"/>
        <v>#REF!</v>
      </c>
      <c r="AG168" s="168" t="str">
        <f t="shared" si="424"/>
        <v>#REF!</v>
      </c>
      <c r="AH168" s="168" t="str">
        <f t="shared" si="424"/>
        <v>#REF!</v>
      </c>
      <c r="AI168" s="168" t="str">
        <f t="shared" si="424"/>
        <v>#REF!</v>
      </c>
      <c r="AJ168" s="168" t="str">
        <f t="shared" si="424"/>
        <v>#REF!</v>
      </c>
    </row>
    <row r="169" ht="15.75" customHeight="1">
      <c r="A169" s="168" t="str">
        <f t="shared" ref="A169:T169" si="425">if(#REF!=$D$1,#REF!,"")</f>
        <v>#REF!</v>
      </c>
      <c r="B169" s="168" t="str">
        <f t="shared" si="425"/>
        <v>#REF!</v>
      </c>
      <c r="C169" s="168" t="str">
        <f t="shared" si="425"/>
        <v>#REF!</v>
      </c>
      <c r="D169" s="168" t="str">
        <f t="shared" si="425"/>
        <v>#REF!</v>
      </c>
      <c r="E169" s="168" t="str">
        <f t="shared" si="425"/>
        <v>#REF!</v>
      </c>
      <c r="F169" s="168" t="str">
        <f t="shared" si="425"/>
        <v>#REF!</v>
      </c>
      <c r="G169" s="168" t="str">
        <f t="shared" si="425"/>
        <v>#REF!</v>
      </c>
      <c r="H169" s="168" t="str">
        <f t="shared" si="425"/>
        <v>#REF!</v>
      </c>
      <c r="I169" s="168" t="str">
        <f t="shared" si="425"/>
        <v>#REF!</v>
      </c>
      <c r="J169" s="168" t="str">
        <f t="shared" si="425"/>
        <v>#REF!</v>
      </c>
      <c r="K169" s="168" t="str">
        <f t="shared" si="425"/>
        <v>#REF!</v>
      </c>
      <c r="L169" s="168" t="str">
        <f t="shared" si="425"/>
        <v>#REF!</v>
      </c>
      <c r="M169" s="168" t="str">
        <f t="shared" si="425"/>
        <v>#REF!</v>
      </c>
      <c r="N169" s="168" t="str">
        <f t="shared" si="425"/>
        <v>#REF!</v>
      </c>
      <c r="O169" s="168" t="str">
        <f t="shared" si="425"/>
        <v>#REF!</v>
      </c>
      <c r="P169" s="168" t="str">
        <f t="shared" si="425"/>
        <v>#REF!</v>
      </c>
      <c r="Q169" s="168" t="str">
        <f t="shared" si="425"/>
        <v>#REF!</v>
      </c>
      <c r="R169" s="168" t="str">
        <f t="shared" si="425"/>
        <v>#REF!</v>
      </c>
      <c r="S169" s="168" t="str">
        <f t="shared" si="425"/>
        <v>#REF!</v>
      </c>
      <c r="T169" s="168" t="str">
        <f t="shared" si="425"/>
        <v>#REF!</v>
      </c>
      <c r="U169" s="168" t="str">
        <f t="shared" ref="U169:AJ169" si="426">#REF!</f>
        <v>#REF!</v>
      </c>
      <c r="V169" s="168" t="str">
        <f t="shared" si="426"/>
        <v>#REF!</v>
      </c>
      <c r="W169" s="168" t="str">
        <f t="shared" si="426"/>
        <v>#REF!</v>
      </c>
      <c r="X169" s="168" t="str">
        <f t="shared" si="426"/>
        <v>#REF!</v>
      </c>
      <c r="Y169" s="168" t="str">
        <f t="shared" si="426"/>
        <v>#REF!</v>
      </c>
      <c r="Z169" s="168" t="str">
        <f t="shared" si="426"/>
        <v>#REF!</v>
      </c>
      <c r="AA169" s="168" t="str">
        <f t="shared" si="426"/>
        <v>#REF!</v>
      </c>
      <c r="AB169" s="168" t="str">
        <f t="shared" si="426"/>
        <v>#REF!</v>
      </c>
      <c r="AC169" s="168" t="str">
        <f t="shared" si="426"/>
        <v>#REF!</v>
      </c>
      <c r="AD169" s="168" t="str">
        <f t="shared" si="426"/>
        <v>#REF!</v>
      </c>
      <c r="AE169" s="168" t="str">
        <f t="shared" si="426"/>
        <v>#REF!</v>
      </c>
      <c r="AF169" s="168" t="str">
        <f t="shared" si="426"/>
        <v>#REF!</v>
      </c>
      <c r="AG169" s="168" t="str">
        <f t="shared" si="426"/>
        <v>#REF!</v>
      </c>
      <c r="AH169" s="168" t="str">
        <f t="shared" si="426"/>
        <v>#REF!</v>
      </c>
      <c r="AI169" s="168" t="str">
        <f t="shared" si="426"/>
        <v>#REF!</v>
      </c>
      <c r="AJ169" s="168" t="str">
        <f t="shared" si="426"/>
        <v>#REF!</v>
      </c>
    </row>
    <row r="170" ht="15.75" customHeight="1">
      <c r="A170" s="168" t="str">
        <f t="shared" ref="A170:T170" si="427">if(#REF!=$D$1,#REF!,"")</f>
        <v>#REF!</v>
      </c>
      <c r="B170" s="168" t="str">
        <f t="shared" si="427"/>
        <v>#REF!</v>
      </c>
      <c r="C170" s="168" t="str">
        <f t="shared" si="427"/>
        <v>#REF!</v>
      </c>
      <c r="D170" s="168" t="str">
        <f t="shared" si="427"/>
        <v>#REF!</v>
      </c>
      <c r="E170" s="168" t="str">
        <f t="shared" si="427"/>
        <v>#REF!</v>
      </c>
      <c r="F170" s="168" t="str">
        <f t="shared" si="427"/>
        <v>#REF!</v>
      </c>
      <c r="G170" s="168" t="str">
        <f t="shared" si="427"/>
        <v>#REF!</v>
      </c>
      <c r="H170" s="168" t="str">
        <f t="shared" si="427"/>
        <v>#REF!</v>
      </c>
      <c r="I170" s="168" t="str">
        <f t="shared" si="427"/>
        <v>#REF!</v>
      </c>
      <c r="J170" s="168" t="str">
        <f t="shared" si="427"/>
        <v>#REF!</v>
      </c>
      <c r="K170" s="168" t="str">
        <f t="shared" si="427"/>
        <v>#REF!</v>
      </c>
      <c r="L170" s="168" t="str">
        <f t="shared" si="427"/>
        <v>#REF!</v>
      </c>
      <c r="M170" s="168" t="str">
        <f t="shared" si="427"/>
        <v>#REF!</v>
      </c>
      <c r="N170" s="168" t="str">
        <f t="shared" si="427"/>
        <v>#REF!</v>
      </c>
      <c r="O170" s="168" t="str">
        <f t="shared" si="427"/>
        <v>#REF!</v>
      </c>
      <c r="P170" s="168" t="str">
        <f t="shared" si="427"/>
        <v>#REF!</v>
      </c>
      <c r="Q170" s="168" t="str">
        <f t="shared" si="427"/>
        <v>#REF!</v>
      </c>
      <c r="R170" s="168" t="str">
        <f t="shared" si="427"/>
        <v>#REF!</v>
      </c>
      <c r="S170" s="168" t="str">
        <f t="shared" si="427"/>
        <v>#REF!</v>
      </c>
      <c r="T170" s="168" t="str">
        <f t="shared" si="427"/>
        <v>#REF!</v>
      </c>
      <c r="U170" s="168" t="str">
        <f t="shared" ref="U170:AJ170" si="428">#REF!</f>
        <v>#REF!</v>
      </c>
      <c r="V170" s="168" t="str">
        <f t="shared" si="428"/>
        <v>#REF!</v>
      </c>
      <c r="W170" s="168" t="str">
        <f t="shared" si="428"/>
        <v>#REF!</v>
      </c>
      <c r="X170" s="168" t="str">
        <f t="shared" si="428"/>
        <v>#REF!</v>
      </c>
      <c r="Y170" s="168" t="str">
        <f t="shared" si="428"/>
        <v>#REF!</v>
      </c>
      <c r="Z170" s="168" t="str">
        <f t="shared" si="428"/>
        <v>#REF!</v>
      </c>
      <c r="AA170" s="168" t="str">
        <f t="shared" si="428"/>
        <v>#REF!</v>
      </c>
      <c r="AB170" s="168" t="str">
        <f t="shared" si="428"/>
        <v>#REF!</v>
      </c>
      <c r="AC170" s="168" t="str">
        <f t="shared" si="428"/>
        <v>#REF!</v>
      </c>
      <c r="AD170" s="168" t="str">
        <f t="shared" si="428"/>
        <v>#REF!</v>
      </c>
      <c r="AE170" s="168" t="str">
        <f t="shared" si="428"/>
        <v>#REF!</v>
      </c>
      <c r="AF170" s="168" t="str">
        <f t="shared" si="428"/>
        <v>#REF!</v>
      </c>
      <c r="AG170" s="168" t="str">
        <f t="shared" si="428"/>
        <v>#REF!</v>
      </c>
      <c r="AH170" s="168" t="str">
        <f t="shared" si="428"/>
        <v>#REF!</v>
      </c>
      <c r="AI170" s="168" t="str">
        <f t="shared" si="428"/>
        <v>#REF!</v>
      </c>
      <c r="AJ170" s="168" t="str">
        <f t="shared" si="428"/>
        <v>#REF!</v>
      </c>
    </row>
    <row r="171" ht="15.75" customHeight="1">
      <c r="A171" s="168" t="str">
        <f t="shared" ref="A171:T171" si="429">if(#REF!=$D$1,#REF!,"")</f>
        <v>#REF!</v>
      </c>
      <c r="B171" s="168" t="str">
        <f t="shared" si="429"/>
        <v>#REF!</v>
      </c>
      <c r="C171" s="168" t="str">
        <f t="shared" si="429"/>
        <v>#REF!</v>
      </c>
      <c r="D171" s="168" t="str">
        <f t="shared" si="429"/>
        <v>#REF!</v>
      </c>
      <c r="E171" s="168" t="str">
        <f t="shared" si="429"/>
        <v>#REF!</v>
      </c>
      <c r="F171" s="168" t="str">
        <f t="shared" si="429"/>
        <v>#REF!</v>
      </c>
      <c r="G171" s="168" t="str">
        <f t="shared" si="429"/>
        <v>#REF!</v>
      </c>
      <c r="H171" s="168" t="str">
        <f t="shared" si="429"/>
        <v>#REF!</v>
      </c>
      <c r="I171" s="168" t="str">
        <f t="shared" si="429"/>
        <v>#REF!</v>
      </c>
      <c r="J171" s="168" t="str">
        <f t="shared" si="429"/>
        <v>#REF!</v>
      </c>
      <c r="K171" s="168" t="str">
        <f t="shared" si="429"/>
        <v>#REF!</v>
      </c>
      <c r="L171" s="168" t="str">
        <f t="shared" si="429"/>
        <v>#REF!</v>
      </c>
      <c r="M171" s="168" t="str">
        <f t="shared" si="429"/>
        <v>#REF!</v>
      </c>
      <c r="N171" s="168" t="str">
        <f t="shared" si="429"/>
        <v>#REF!</v>
      </c>
      <c r="O171" s="168" t="str">
        <f t="shared" si="429"/>
        <v>#REF!</v>
      </c>
      <c r="P171" s="168" t="str">
        <f t="shared" si="429"/>
        <v>#REF!</v>
      </c>
      <c r="Q171" s="168" t="str">
        <f t="shared" si="429"/>
        <v>#REF!</v>
      </c>
      <c r="R171" s="168" t="str">
        <f t="shared" si="429"/>
        <v>#REF!</v>
      </c>
      <c r="S171" s="168" t="str">
        <f t="shared" si="429"/>
        <v>#REF!</v>
      </c>
      <c r="T171" s="168" t="str">
        <f t="shared" si="429"/>
        <v>#REF!</v>
      </c>
      <c r="U171" s="168" t="str">
        <f t="shared" ref="U171:AJ171" si="430">#REF!</f>
        <v>#REF!</v>
      </c>
      <c r="V171" s="168" t="str">
        <f t="shared" si="430"/>
        <v>#REF!</v>
      </c>
      <c r="W171" s="168" t="str">
        <f t="shared" si="430"/>
        <v>#REF!</v>
      </c>
      <c r="X171" s="168" t="str">
        <f t="shared" si="430"/>
        <v>#REF!</v>
      </c>
      <c r="Y171" s="168" t="str">
        <f t="shared" si="430"/>
        <v>#REF!</v>
      </c>
      <c r="Z171" s="168" t="str">
        <f t="shared" si="430"/>
        <v>#REF!</v>
      </c>
      <c r="AA171" s="168" t="str">
        <f t="shared" si="430"/>
        <v>#REF!</v>
      </c>
      <c r="AB171" s="168" t="str">
        <f t="shared" si="430"/>
        <v>#REF!</v>
      </c>
      <c r="AC171" s="168" t="str">
        <f t="shared" si="430"/>
        <v>#REF!</v>
      </c>
      <c r="AD171" s="168" t="str">
        <f t="shared" si="430"/>
        <v>#REF!</v>
      </c>
      <c r="AE171" s="168" t="str">
        <f t="shared" si="430"/>
        <v>#REF!</v>
      </c>
      <c r="AF171" s="168" t="str">
        <f t="shared" si="430"/>
        <v>#REF!</v>
      </c>
      <c r="AG171" s="168" t="str">
        <f t="shared" si="430"/>
        <v>#REF!</v>
      </c>
      <c r="AH171" s="168" t="str">
        <f t="shared" si="430"/>
        <v>#REF!</v>
      </c>
      <c r="AI171" s="168" t="str">
        <f t="shared" si="430"/>
        <v>#REF!</v>
      </c>
      <c r="AJ171" s="168" t="str">
        <f t="shared" si="430"/>
        <v>#REF!</v>
      </c>
    </row>
    <row r="172" ht="15.75" customHeight="1">
      <c r="A172" s="168" t="str">
        <f t="shared" ref="A172:T172" si="431">if(#REF!=$D$1,#REF!,"")</f>
        <v>#REF!</v>
      </c>
      <c r="B172" s="168" t="str">
        <f t="shared" si="431"/>
        <v>#REF!</v>
      </c>
      <c r="C172" s="168" t="str">
        <f t="shared" si="431"/>
        <v>#REF!</v>
      </c>
      <c r="D172" s="168" t="str">
        <f t="shared" si="431"/>
        <v>#REF!</v>
      </c>
      <c r="E172" s="168" t="str">
        <f t="shared" si="431"/>
        <v>#REF!</v>
      </c>
      <c r="F172" s="168" t="str">
        <f t="shared" si="431"/>
        <v>#REF!</v>
      </c>
      <c r="G172" s="168" t="str">
        <f t="shared" si="431"/>
        <v>#REF!</v>
      </c>
      <c r="H172" s="168" t="str">
        <f t="shared" si="431"/>
        <v>#REF!</v>
      </c>
      <c r="I172" s="168" t="str">
        <f t="shared" si="431"/>
        <v>#REF!</v>
      </c>
      <c r="J172" s="168" t="str">
        <f t="shared" si="431"/>
        <v>#REF!</v>
      </c>
      <c r="K172" s="168" t="str">
        <f t="shared" si="431"/>
        <v>#REF!</v>
      </c>
      <c r="L172" s="168" t="str">
        <f t="shared" si="431"/>
        <v>#REF!</v>
      </c>
      <c r="M172" s="168" t="str">
        <f t="shared" si="431"/>
        <v>#REF!</v>
      </c>
      <c r="N172" s="168" t="str">
        <f t="shared" si="431"/>
        <v>#REF!</v>
      </c>
      <c r="O172" s="168" t="str">
        <f t="shared" si="431"/>
        <v>#REF!</v>
      </c>
      <c r="P172" s="168" t="str">
        <f t="shared" si="431"/>
        <v>#REF!</v>
      </c>
      <c r="Q172" s="168" t="str">
        <f t="shared" si="431"/>
        <v>#REF!</v>
      </c>
      <c r="R172" s="168" t="str">
        <f t="shared" si="431"/>
        <v>#REF!</v>
      </c>
      <c r="S172" s="168" t="str">
        <f t="shared" si="431"/>
        <v>#REF!</v>
      </c>
      <c r="T172" s="168" t="str">
        <f t="shared" si="431"/>
        <v>#REF!</v>
      </c>
      <c r="U172" s="168" t="str">
        <f t="shared" ref="U172:AJ172" si="432">#REF!</f>
        <v>#REF!</v>
      </c>
      <c r="V172" s="168" t="str">
        <f t="shared" si="432"/>
        <v>#REF!</v>
      </c>
      <c r="W172" s="168" t="str">
        <f t="shared" si="432"/>
        <v>#REF!</v>
      </c>
      <c r="X172" s="168" t="str">
        <f t="shared" si="432"/>
        <v>#REF!</v>
      </c>
      <c r="Y172" s="168" t="str">
        <f t="shared" si="432"/>
        <v>#REF!</v>
      </c>
      <c r="Z172" s="168" t="str">
        <f t="shared" si="432"/>
        <v>#REF!</v>
      </c>
      <c r="AA172" s="168" t="str">
        <f t="shared" si="432"/>
        <v>#REF!</v>
      </c>
      <c r="AB172" s="168" t="str">
        <f t="shared" si="432"/>
        <v>#REF!</v>
      </c>
      <c r="AC172" s="168" t="str">
        <f t="shared" si="432"/>
        <v>#REF!</v>
      </c>
      <c r="AD172" s="168" t="str">
        <f t="shared" si="432"/>
        <v>#REF!</v>
      </c>
      <c r="AE172" s="168" t="str">
        <f t="shared" si="432"/>
        <v>#REF!</v>
      </c>
      <c r="AF172" s="168" t="str">
        <f t="shared" si="432"/>
        <v>#REF!</v>
      </c>
      <c r="AG172" s="168" t="str">
        <f t="shared" si="432"/>
        <v>#REF!</v>
      </c>
      <c r="AH172" s="168" t="str">
        <f t="shared" si="432"/>
        <v>#REF!</v>
      </c>
      <c r="AI172" s="168" t="str">
        <f t="shared" si="432"/>
        <v>#REF!</v>
      </c>
      <c r="AJ172" s="168" t="str">
        <f t="shared" si="432"/>
        <v>#REF!</v>
      </c>
    </row>
    <row r="173" ht="15.75" customHeight="1">
      <c r="A173" s="168" t="str">
        <f t="shared" ref="A173:T173" si="433">if(#REF!=$D$1,#REF!,"")</f>
        <v>#REF!</v>
      </c>
      <c r="B173" s="168" t="str">
        <f t="shared" si="433"/>
        <v>#REF!</v>
      </c>
      <c r="C173" s="168" t="str">
        <f t="shared" si="433"/>
        <v>#REF!</v>
      </c>
      <c r="D173" s="168" t="str">
        <f t="shared" si="433"/>
        <v>#REF!</v>
      </c>
      <c r="E173" s="168" t="str">
        <f t="shared" si="433"/>
        <v>#REF!</v>
      </c>
      <c r="F173" s="168" t="str">
        <f t="shared" si="433"/>
        <v>#REF!</v>
      </c>
      <c r="G173" s="168" t="str">
        <f t="shared" si="433"/>
        <v>#REF!</v>
      </c>
      <c r="H173" s="168" t="str">
        <f t="shared" si="433"/>
        <v>#REF!</v>
      </c>
      <c r="I173" s="168" t="str">
        <f t="shared" si="433"/>
        <v>#REF!</v>
      </c>
      <c r="J173" s="168" t="str">
        <f t="shared" si="433"/>
        <v>#REF!</v>
      </c>
      <c r="K173" s="168" t="str">
        <f t="shared" si="433"/>
        <v>#REF!</v>
      </c>
      <c r="L173" s="168" t="str">
        <f t="shared" si="433"/>
        <v>#REF!</v>
      </c>
      <c r="M173" s="168" t="str">
        <f t="shared" si="433"/>
        <v>#REF!</v>
      </c>
      <c r="N173" s="168" t="str">
        <f t="shared" si="433"/>
        <v>#REF!</v>
      </c>
      <c r="O173" s="168" t="str">
        <f t="shared" si="433"/>
        <v>#REF!</v>
      </c>
      <c r="P173" s="168" t="str">
        <f t="shared" si="433"/>
        <v>#REF!</v>
      </c>
      <c r="Q173" s="168" t="str">
        <f t="shared" si="433"/>
        <v>#REF!</v>
      </c>
      <c r="R173" s="168" t="str">
        <f t="shared" si="433"/>
        <v>#REF!</v>
      </c>
      <c r="S173" s="168" t="str">
        <f t="shared" si="433"/>
        <v>#REF!</v>
      </c>
      <c r="T173" s="168" t="str">
        <f t="shared" si="433"/>
        <v>#REF!</v>
      </c>
      <c r="U173" s="168" t="str">
        <f t="shared" ref="U173:AJ173" si="434">#REF!</f>
        <v>#REF!</v>
      </c>
      <c r="V173" s="168" t="str">
        <f t="shared" si="434"/>
        <v>#REF!</v>
      </c>
      <c r="W173" s="168" t="str">
        <f t="shared" si="434"/>
        <v>#REF!</v>
      </c>
      <c r="X173" s="168" t="str">
        <f t="shared" si="434"/>
        <v>#REF!</v>
      </c>
      <c r="Y173" s="168" t="str">
        <f t="shared" si="434"/>
        <v>#REF!</v>
      </c>
      <c r="Z173" s="168" t="str">
        <f t="shared" si="434"/>
        <v>#REF!</v>
      </c>
      <c r="AA173" s="168" t="str">
        <f t="shared" si="434"/>
        <v>#REF!</v>
      </c>
      <c r="AB173" s="168" t="str">
        <f t="shared" si="434"/>
        <v>#REF!</v>
      </c>
      <c r="AC173" s="168" t="str">
        <f t="shared" si="434"/>
        <v>#REF!</v>
      </c>
      <c r="AD173" s="168" t="str">
        <f t="shared" si="434"/>
        <v>#REF!</v>
      </c>
      <c r="AE173" s="168" t="str">
        <f t="shared" si="434"/>
        <v>#REF!</v>
      </c>
      <c r="AF173" s="168" t="str">
        <f t="shared" si="434"/>
        <v>#REF!</v>
      </c>
      <c r="AG173" s="168" t="str">
        <f t="shared" si="434"/>
        <v>#REF!</v>
      </c>
      <c r="AH173" s="168" t="str">
        <f t="shared" si="434"/>
        <v>#REF!</v>
      </c>
      <c r="AI173" s="168" t="str">
        <f t="shared" si="434"/>
        <v>#REF!</v>
      </c>
      <c r="AJ173" s="168" t="str">
        <f t="shared" si="434"/>
        <v>#REF!</v>
      </c>
    </row>
    <row r="174" ht="15.75" customHeight="1">
      <c r="A174" s="168" t="str">
        <f t="shared" ref="A174:T174" si="435">if(#REF!=$D$1,#REF!,"")</f>
        <v>#REF!</v>
      </c>
      <c r="B174" s="168" t="str">
        <f t="shared" si="435"/>
        <v>#REF!</v>
      </c>
      <c r="C174" s="168" t="str">
        <f t="shared" si="435"/>
        <v>#REF!</v>
      </c>
      <c r="D174" s="168" t="str">
        <f t="shared" si="435"/>
        <v>#REF!</v>
      </c>
      <c r="E174" s="168" t="str">
        <f t="shared" si="435"/>
        <v>#REF!</v>
      </c>
      <c r="F174" s="168" t="str">
        <f t="shared" si="435"/>
        <v>#REF!</v>
      </c>
      <c r="G174" s="168" t="str">
        <f t="shared" si="435"/>
        <v>#REF!</v>
      </c>
      <c r="H174" s="168" t="str">
        <f t="shared" si="435"/>
        <v>#REF!</v>
      </c>
      <c r="I174" s="168" t="str">
        <f t="shared" si="435"/>
        <v>#REF!</v>
      </c>
      <c r="J174" s="168" t="str">
        <f t="shared" si="435"/>
        <v>#REF!</v>
      </c>
      <c r="K174" s="168" t="str">
        <f t="shared" si="435"/>
        <v>#REF!</v>
      </c>
      <c r="L174" s="168" t="str">
        <f t="shared" si="435"/>
        <v>#REF!</v>
      </c>
      <c r="M174" s="168" t="str">
        <f t="shared" si="435"/>
        <v>#REF!</v>
      </c>
      <c r="N174" s="168" t="str">
        <f t="shared" si="435"/>
        <v>#REF!</v>
      </c>
      <c r="O174" s="168" t="str">
        <f t="shared" si="435"/>
        <v>#REF!</v>
      </c>
      <c r="P174" s="168" t="str">
        <f t="shared" si="435"/>
        <v>#REF!</v>
      </c>
      <c r="Q174" s="168" t="str">
        <f t="shared" si="435"/>
        <v>#REF!</v>
      </c>
      <c r="R174" s="168" t="str">
        <f t="shared" si="435"/>
        <v>#REF!</v>
      </c>
      <c r="S174" s="168" t="str">
        <f t="shared" si="435"/>
        <v>#REF!</v>
      </c>
      <c r="T174" s="168" t="str">
        <f t="shared" si="435"/>
        <v>#REF!</v>
      </c>
      <c r="U174" s="168" t="str">
        <f t="shared" ref="U174:AJ174" si="436">#REF!</f>
        <v>#REF!</v>
      </c>
      <c r="V174" s="168" t="str">
        <f t="shared" si="436"/>
        <v>#REF!</v>
      </c>
      <c r="W174" s="168" t="str">
        <f t="shared" si="436"/>
        <v>#REF!</v>
      </c>
      <c r="X174" s="168" t="str">
        <f t="shared" si="436"/>
        <v>#REF!</v>
      </c>
      <c r="Y174" s="168" t="str">
        <f t="shared" si="436"/>
        <v>#REF!</v>
      </c>
      <c r="Z174" s="168" t="str">
        <f t="shared" si="436"/>
        <v>#REF!</v>
      </c>
      <c r="AA174" s="168" t="str">
        <f t="shared" si="436"/>
        <v>#REF!</v>
      </c>
      <c r="AB174" s="168" t="str">
        <f t="shared" si="436"/>
        <v>#REF!</v>
      </c>
      <c r="AC174" s="168" t="str">
        <f t="shared" si="436"/>
        <v>#REF!</v>
      </c>
      <c r="AD174" s="168" t="str">
        <f t="shared" si="436"/>
        <v>#REF!</v>
      </c>
      <c r="AE174" s="168" t="str">
        <f t="shared" si="436"/>
        <v>#REF!</v>
      </c>
      <c r="AF174" s="168" t="str">
        <f t="shared" si="436"/>
        <v>#REF!</v>
      </c>
      <c r="AG174" s="168" t="str">
        <f t="shared" si="436"/>
        <v>#REF!</v>
      </c>
      <c r="AH174" s="168" t="str">
        <f t="shared" si="436"/>
        <v>#REF!</v>
      </c>
      <c r="AI174" s="168" t="str">
        <f t="shared" si="436"/>
        <v>#REF!</v>
      </c>
      <c r="AJ174" s="168" t="str">
        <f t="shared" si="436"/>
        <v>#REF!</v>
      </c>
    </row>
    <row r="175" ht="15.75" customHeight="1">
      <c r="A175" s="168" t="str">
        <f>if('2026 Pipeline'!$M30=$D$1,'2026 Pipeline'!C30,"")</f>
        <v>#REF!</v>
      </c>
      <c r="B175" s="168" t="str">
        <f t="shared" ref="B175:C175" si="437">if('2026 Pipeline'!$M30=$D$1,'2026 Pipeline'!J30,"")</f>
        <v>#REF!</v>
      </c>
      <c r="C175" s="168" t="str">
        <f t="shared" si="437"/>
        <v>#REF!</v>
      </c>
      <c r="D175" s="168" t="str">
        <f t="shared" ref="D175:F175" si="438">if('2026 Pipeline'!$M30=$D$1,'2026 Pipeline'!M30,"")</f>
        <v>#REF!</v>
      </c>
      <c r="E175" s="168" t="str">
        <f t="shared" si="438"/>
        <v>#REF!</v>
      </c>
      <c r="F175" s="168" t="str">
        <f t="shared" si="438"/>
        <v>#REF!</v>
      </c>
      <c r="G175" s="168" t="str">
        <f>if('2026 Pipeline'!$M30=$D$1,'2026 Pipeline'!Q30,"")</f>
        <v>#REF!</v>
      </c>
      <c r="H175" s="168" t="str">
        <f>if('2026 Pipeline'!$M30=$D$1,'2026 Pipeline'!P30,"")</f>
        <v>#REF!</v>
      </c>
      <c r="I175" s="168" t="str">
        <f>if('2026 Pipeline'!$M30=$D$1,'2026 Pipeline'!R30,"")</f>
        <v>#REF!</v>
      </c>
      <c r="J175" s="168" t="str">
        <f t="shared" ref="J175:L175" si="439">if('2026 Pipeline'!$M30=$D$1,'2026 Pipeline'!V30,"")</f>
        <v>#REF!</v>
      </c>
      <c r="K175" s="168" t="str">
        <f t="shared" si="439"/>
        <v>#REF!</v>
      </c>
      <c r="L175" s="168" t="str">
        <f t="shared" si="439"/>
        <v>#REF!</v>
      </c>
      <c r="M175" s="168" t="str">
        <f t="shared" ref="M175:O175" si="440">if('2026 Pipeline'!$M30=$D$1,#REF!,"")</f>
        <v>#REF!</v>
      </c>
      <c r="N175" s="168" t="str">
        <f t="shared" si="440"/>
        <v>#REF!</v>
      </c>
      <c r="O175" s="168" t="str">
        <f t="shared" si="440"/>
        <v>#REF!</v>
      </c>
      <c r="P175" s="168" t="str">
        <f>if('2026 Pipeline'!$M30=$D$1,'2026 Pipeline'!AA30,"")</f>
        <v>#REF!</v>
      </c>
      <c r="Q175" s="168" t="str">
        <f>if('2026 Pipeline'!$M30=$D$1,'2026 Pipeline'!Y30,"")</f>
        <v>#REF!</v>
      </c>
      <c r="R175" s="168" t="str">
        <f>if('2026 Pipeline'!$M30=$D$1,#REF!,"")</f>
        <v>#REF!</v>
      </c>
      <c r="S175" s="168" t="str">
        <f>if('2026 Pipeline'!$M30=$D$1,'2026 Pipeline'!L30,"")</f>
        <v>#REF!</v>
      </c>
      <c r="T175" s="168" t="str">
        <f>if('2026 Pipeline'!$M30=$D$1,'2026 Pipeline'!CD30,"")</f>
        <v>#REF!</v>
      </c>
      <c r="U175" s="168" t="str">
        <f t="shared" ref="U175:AJ175" si="441">#REF!</f>
        <v>#REF!</v>
      </c>
      <c r="V175" s="168" t="str">
        <f t="shared" si="441"/>
        <v>#REF!</v>
      </c>
      <c r="W175" s="168" t="str">
        <f t="shared" si="441"/>
        <v>#REF!</v>
      </c>
      <c r="X175" s="168" t="str">
        <f t="shared" si="441"/>
        <v>#REF!</v>
      </c>
      <c r="Y175" s="168" t="str">
        <f t="shared" si="441"/>
        <v>#REF!</v>
      </c>
      <c r="Z175" s="168" t="str">
        <f t="shared" si="441"/>
        <v>#REF!</v>
      </c>
      <c r="AA175" s="168" t="str">
        <f t="shared" si="441"/>
        <v>#REF!</v>
      </c>
      <c r="AB175" s="168" t="str">
        <f t="shared" si="441"/>
        <v>#REF!</v>
      </c>
      <c r="AC175" s="168" t="str">
        <f t="shared" si="441"/>
        <v>#REF!</v>
      </c>
      <c r="AD175" s="168" t="str">
        <f t="shared" si="441"/>
        <v>#REF!</v>
      </c>
      <c r="AE175" s="168" t="str">
        <f t="shared" si="441"/>
        <v>#REF!</v>
      </c>
      <c r="AF175" s="168" t="str">
        <f t="shared" si="441"/>
        <v>#REF!</v>
      </c>
      <c r="AG175" s="168" t="str">
        <f t="shared" si="441"/>
        <v>#REF!</v>
      </c>
      <c r="AH175" s="168" t="str">
        <f t="shared" si="441"/>
        <v>#REF!</v>
      </c>
      <c r="AI175" s="168" t="str">
        <f t="shared" si="441"/>
        <v>#REF!</v>
      </c>
      <c r="AJ175" s="168" t="str">
        <f t="shared" si="441"/>
        <v>#REF!</v>
      </c>
    </row>
    <row r="176" ht="15.75" customHeight="1">
      <c r="A176" s="168" t="str">
        <f t="shared" ref="A176:T176" si="442">if(#REF!=$D$1,#REF!,"")</f>
        <v>#REF!</v>
      </c>
      <c r="B176" s="168" t="str">
        <f t="shared" si="442"/>
        <v>#REF!</v>
      </c>
      <c r="C176" s="168" t="str">
        <f t="shared" si="442"/>
        <v>#REF!</v>
      </c>
      <c r="D176" s="168" t="str">
        <f t="shared" si="442"/>
        <v>#REF!</v>
      </c>
      <c r="E176" s="168" t="str">
        <f t="shared" si="442"/>
        <v>#REF!</v>
      </c>
      <c r="F176" s="168" t="str">
        <f t="shared" si="442"/>
        <v>#REF!</v>
      </c>
      <c r="G176" s="168" t="str">
        <f t="shared" si="442"/>
        <v>#REF!</v>
      </c>
      <c r="H176" s="168" t="str">
        <f t="shared" si="442"/>
        <v>#REF!</v>
      </c>
      <c r="I176" s="168" t="str">
        <f t="shared" si="442"/>
        <v>#REF!</v>
      </c>
      <c r="J176" s="168" t="str">
        <f t="shared" si="442"/>
        <v>#REF!</v>
      </c>
      <c r="K176" s="168" t="str">
        <f t="shared" si="442"/>
        <v>#REF!</v>
      </c>
      <c r="L176" s="168" t="str">
        <f t="shared" si="442"/>
        <v>#REF!</v>
      </c>
      <c r="M176" s="168" t="str">
        <f t="shared" si="442"/>
        <v>#REF!</v>
      </c>
      <c r="N176" s="168" t="str">
        <f t="shared" si="442"/>
        <v>#REF!</v>
      </c>
      <c r="O176" s="168" t="str">
        <f t="shared" si="442"/>
        <v>#REF!</v>
      </c>
      <c r="P176" s="168" t="str">
        <f t="shared" si="442"/>
        <v>#REF!</v>
      </c>
      <c r="Q176" s="168" t="str">
        <f t="shared" si="442"/>
        <v>#REF!</v>
      </c>
      <c r="R176" s="168" t="str">
        <f t="shared" si="442"/>
        <v>#REF!</v>
      </c>
      <c r="S176" s="168" t="str">
        <f t="shared" si="442"/>
        <v>#REF!</v>
      </c>
      <c r="T176" s="168" t="str">
        <f t="shared" si="442"/>
        <v>#REF!</v>
      </c>
      <c r="U176" s="168" t="str">
        <f t="shared" ref="U176:AJ176" si="443">#REF!</f>
        <v>#REF!</v>
      </c>
      <c r="V176" s="168" t="str">
        <f t="shared" si="443"/>
        <v>#REF!</v>
      </c>
      <c r="W176" s="168" t="str">
        <f t="shared" si="443"/>
        <v>#REF!</v>
      </c>
      <c r="X176" s="168" t="str">
        <f t="shared" si="443"/>
        <v>#REF!</v>
      </c>
      <c r="Y176" s="168" t="str">
        <f t="shared" si="443"/>
        <v>#REF!</v>
      </c>
      <c r="Z176" s="168" t="str">
        <f t="shared" si="443"/>
        <v>#REF!</v>
      </c>
      <c r="AA176" s="168" t="str">
        <f t="shared" si="443"/>
        <v>#REF!</v>
      </c>
      <c r="AB176" s="168" t="str">
        <f t="shared" si="443"/>
        <v>#REF!</v>
      </c>
      <c r="AC176" s="168" t="str">
        <f t="shared" si="443"/>
        <v>#REF!</v>
      </c>
      <c r="AD176" s="168" t="str">
        <f t="shared" si="443"/>
        <v>#REF!</v>
      </c>
      <c r="AE176" s="168" t="str">
        <f t="shared" si="443"/>
        <v>#REF!</v>
      </c>
      <c r="AF176" s="168" t="str">
        <f t="shared" si="443"/>
        <v>#REF!</v>
      </c>
      <c r="AG176" s="168" t="str">
        <f t="shared" si="443"/>
        <v>#REF!</v>
      </c>
      <c r="AH176" s="168" t="str">
        <f t="shared" si="443"/>
        <v>#REF!</v>
      </c>
      <c r="AI176" s="168" t="str">
        <f t="shared" si="443"/>
        <v>#REF!</v>
      </c>
      <c r="AJ176" s="168" t="str">
        <f t="shared" si="443"/>
        <v>#REF!</v>
      </c>
    </row>
    <row r="177" ht="15.75" customHeight="1">
      <c r="A177" s="168" t="str">
        <f t="shared" ref="A177:T177" si="444">if(#REF!=$D$1,#REF!,"")</f>
        <v>#REF!</v>
      </c>
      <c r="B177" s="168" t="str">
        <f t="shared" si="444"/>
        <v>#REF!</v>
      </c>
      <c r="C177" s="168" t="str">
        <f t="shared" si="444"/>
        <v>#REF!</v>
      </c>
      <c r="D177" s="168" t="str">
        <f t="shared" si="444"/>
        <v>#REF!</v>
      </c>
      <c r="E177" s="168" t="str">
        <f t="shared" si="444"/>
        <v>#REF!</v>
      </c>
      <c r="F177" s="168" t="str">
        <f t="shared" si="444"/>
        <v>#REF!</v>
      </c>
      <c r="G177" s="168" t="str">
        <f t="shared" si="444"/>
        <v>#REF!</v>
      </c>
      <c r="H177" s="168" t="str">
        <f t="shared" si="444"/>
        <v>#REF!</v>
      </c>
      <c r="I177" s="168" t="str">
        <f t="shared" si="444"/>
        <v>#REF!</v>
      </c>
      <c r="J177" s="168" t="str">
        <f t="shared" si="444"/>
        <v>#REF!</v>
      </c>
      <c r="K177" s="168" t="str">
        <f t="shared" si="444"/>
        <v>#REF!</v>
      </c>
      <c r="L177" s="168" t="str">
        <f t="shared" si="444"/>
        <v>#REF!</v>
      </c>
      <c r="M177" s="168" t="str">
        <f t="shared" si="444"/>
        <v>#REF!</v>
      </c>
      <c r="N177" s="168" t="str">
        <f t="shared" si="444"/>
        <v>#REF!</v>
      </c>
      <c r="O177" s="168" t="str">
        <f t="shared" si="444"/>
        <v>#REF!</v>
      </c>
      <c r="P177" s="168" t="str">
        <f t="shared" si="444"/>
        <v>#REF!</v>
      </c>
      <c r="Q177" s="168" t="str">
        <f t="shared" si="444"/>
        <v>#REF!</v>
      </c>
      <c r="R177" s="168" t="str">
        <f t="shared" si="444"/>
        <v>#REF!</v>
      </c>
      <c r="S177" s="168" t="str">
        <f t="shared" si="444"/>
        <v>#REF!</v>
      </c>
      <c r="T177" s="168" t="str">
        <f t="shared" si="444"/>
        <v>#REF!</v>
      </c>
      <c r="U177" s="168" t="str">
        <f>'2026 Pipeline'!AP30</f>
        <v>#REF!</v>
      </c>
      <c r="V177" s="168" t="str">
        <f t="shared" ref="V177:Z177" si="445">'2026 Pipeline'!CJ30</f>
        <v>#REF!</v>
      </c>
      <c r="W177" s="168" t="str">
        <f t="shared" si="445"/>
        <v>#REF!</v>
      </c>
      <c r="X177" s="168" t="str">
        <f t="shared" si="445"/>
        <v>#REF!</v>
      </c>
      <c r="Y177" s="168" t="str">
        <f t="shared" si="445"/>
        <v>#REF!</v>
      </c>
      <c r="Z177" s="168" t="str">
        <f t="shared" si="445"/>
        <v>#REF!</v>
      </c>
      <c r="AA177" s="168" t="str">
        <f t="shared" ref="AA177:AF177" si="446">#REF!</f>
        <v>#REF!</v>
      </c>
      <c r="AB177" s="168" t="str">
        <f t="shared" si="446"/>
        <v>#REF!</v>
      </c>
      <c r="AC177" s="168" t="str">
        <f t="shared" si="446"/>
        <v>#REF!</v>
      </c>
      <c r="AD177" s="168" t="str">
        <f t="shared" si="446"/>
        <v>#REF!</v>
      </c>
      <c r="AE177" s="168" t="str">
        <f t="shared" si="446"/>
        <v>#REF!</v>
      </c>
      <c r="AF177" s="168" t="str">
        <f t="shared" si="446"/>
        <v>#REF!</v>
      </c>
      <c r="AG177" s="168" t="str">
        <f>'2026 Pipeline'!CT30</f>
        <v>#REF!</v>
      </c>
      <c r="AH177" s="168" t="str">
        <f>'2026 Pipeline'!S30</f>
        <v>#REF!</v>
      </c>
      <c r="AI177" s="168" t="str">
        <f t="shared" ref="AI177:AJ177" si="447">#REF!</f>
        <v>#REF!</v>
      </c>
      <c r="AJ177" s="168" t="str">
        <f t="shared" si="447"/>
        <v>#REF!</v>
      </c>
    </row>
    <row r="178" ht="15.75" customHeight="1">
      <c r="A178" s="168" t="str">
        <f t="shared" ref="A178:T178" si="448">if(#REF!=$D$1,#REF!,"")</f>
        <v>#REF!</v>
      </c>
      <c r="B178" s="168" t="str">
        <f t="shared" si="448"/>
        <v>#REF!</v>
      </c>
      <c r="C178" s="168" t="str">
        <f t="shared" si="448"/>
        <v>#REF!</v>
      </c>
      <c r="D178" s="168" t="str">
        <f t="shared" si="448"/>
        <v>#REF!</v>
      </c>
      <c r="E178" s="168" t="str">
        <f t="shared" si="448"/>
        <v>#REF!</v>
      </c>
      <c r="F178" s="168" t="str">
        <f t="shared" si="448"/>
        <v>#REF!</v>
      </c>
      <c r="G178" s="168" t="str">
        <f t="shared" si="448"/>
        <v>#REF!</v>
      </c>
      <c r="H178" s="168" t="str">
        <f t="shared" si="448"/>
        <v>#REF!</v>
      </c>
      <c r="I178" s="168" t="str">
        <f t="shared" si="448"/>
        <v>#REF!</v>
      </c>
      <c r="J178" s="168" t="str">
        <f t="shared" si="448"/>
        <v>#REF!</v>
      </c>
      <c r="K178" s="168" t="str">
        <f t="shared" si="448"/>
        <v>#REF!</v>
      </c>
      <c r="L178" s="168" t="str">
        <f t="shared" si="448"/>
        <v>#REF!</v>
      </c>
      <c r="M178" s="168" t="str">
        <f t="shared" si="448"/>
        <v>#REF!</v>
      </c>
      <c r="N178" s="168" t="str">
        <f t="shared" si="448"/>
        <v>#REF!</v>
      </c>
      <c r="O178" s="168" t="str">
        <f t="shared" si="448"/>
        <v>#REF!</v>
      </c>
      <c r="P178" s="168" t="str">
        <f t="shared" si="448"/>
        <v>#REF!</v>
      </c>
      <c r="Q178" s="168" t="str">
        <f t="shared" si="448"/>
        <v>#REF!</v>
      </c>
      <c r="R178" s="168" t="str">
        <f t="shared" si="448"/>
        <v>#REF!</v>
      </c>
      <c r="S178" s="168" t="str">
        <f t="shared" si="448"/>
        <v>#REF!</v>
      </c>
      <c r="T178" s="168" t="str">
        <f t="shared" si="448"/>
        <v>#REF!</v>
      </c>
      <c r="U178" s="168" t="str">
        <f t="shared" ref="U178:AJ178" si="449">#REF!</f>
        <v>#REF!</v>
      </c>
      <c r="V178" s="168" t="str">
        <f t="shared" si="449"/>
        <v>#REF!</v>
      </c>
      <c r="W178" s="168" t="str">
        <f t="shared" si="449"/>
        <v>#REF!</v>
      </c>
      <c r="X178" s="168" t="str">
        <f t="shared" si="449"/>
        <v>#REF!</v>
      </c>
      <c r="Y178" s="168" t="str">
        <f t="shared" si="449"/>
        <v>#REF!</v>
      </c>
      <c r="Z178" s="168" t="str">
        <f t="shared" si="449"/>
        <v>#REF!</v>
      </c>
      <c r="AA178" s="168" t="str">
        <f t="shared" si="449"/>
        <v>#REF!</v>
      </c>
      <c r="AB178" s="168" t="str">
        <f t="shared" si="449"/>
        <v>#REF!</v>
      </c>
      <c r="AC178" s="168" t="str">
        <f t="shared" si="449"/>
        <v>#REF!</v>
      </c>
      <c r="AD178" s="168" t="str">
        <f t="shared" si="449"/>
        <v>#REF!</v>
      </c>
      <c r="AE178" s="168" t="str">
        <f t="shared" si="449"/>
        <v>#REF!</v>
      </c>
      <c r="AF178" s="168" t="str">
        <f t="shared" si="449"/>
        <v>#REF!</v>
      </c>
      <c r="AG178" s="168" t="str">
        <f t="shared" si="449"/>
        <v>#REF!</v>
      </c>
      <c r="AH178" s="168" t="str">
        <f t="shared" si="449"/>
        <v>#REF!</v>
      </c>
      <c r="AI178" s="168" t="str">
        <f t="shared" si="449"/>
        <v>#REF!</v>
      </c>
      <c r="AJ178" s="168" t="str">
        <f t="shared" si="449"/>
        <v>#REF!</v>
      </c>
    </row>
    <row r="179" ht="15.75" customHeight="1">
      <c r="A179" s="168" t="str">
        <f t="shared" ref="A179:T179" si="450">if(#REF!=$D$1,#REF!,"")</f>
        <v>#REF!</v>
      </c>
      <c r="B179" s="168" t="str">
        <f t="shared" si="450"/>
        <v>#REF!</v>
      </c>
      <c r="C179" s="168" t="str">
        <f t="shared" si="450"/>
        <v>#REF!</v>
      </c>
      <c r="D179" s="168" t="str">
        <f t="shared" si="450"/>
        <v>#REF!</v>
      </c>
      <c r="E179" s="168" t="str">
        <f t="shared" si="450"/>
        <v>#REF!</v>
      </c>
      <c r="F179" s="168" t="str">
        <f t="shared" si="450"/>
        <v>#REF!</v>
      </c>
      <c r="G179" s="168" t="str">
        <f t="shared" si="450"/>
        <v>#REF!</v>
      </c>
      <c r="H179" s="168" t="str">
        <f t="shared" si="450"/>
        <v>#REF!</v>
      </c>
      <c r="I179" s="168" t="str">
        <f t="shared" si="450"/>
        <v>#REF!</v>
      </c>
      <c r="J179" s="168" t="str">
        <f t="shared" si="450"/>
        <v>#REF!</v>
      </c>
      <c r="K179" s="168" t="str">
        <f t="shared" si="450"/>
        <v>#REF!</v>
      </c>
      <c r="L179" s="168" t="str">
        <f t="shared" si="450"/>
        <v>#REF!</v>
      </c>
      <c r="M179" s="168" t="str">
        <f t="shared" si="450"/>
        <v>#REF!</v>
      </c>
      <c r="N179" s="168" t="str">
        <f t="shared" si="450"/>
        <v>#REF!</v>
      </c>
      <c r="O179" s="168" t="str">
        <f t="shared" si="450"/>
        <v>#REF!</v>
      </c>
      <c r="P179" s="168" t="str">
        <f t="shared" si="450"/>
        <v>#REF!</v>
      </c>
      <c r="Q179" s="168" t="str">
        <f t="shared" si="450"/>
        <v>#REF!</v>
      </c>
      <c r="R179" s="168" t="str">
        <f t="shared" si="450"/>
        <v>#REF!</v>
      </c>
      <c r="S179" s="168" t="str">
        <f t="shared" si="450"/>
        <v>#REF!</v>
      </c>
      <c r="T179" s="168" t="str">
        <f t="shared" si="450"/>
        <v>#REF!</v>
      </c>
      <c r="U179" s="168" t="str">
        <f t="shared" ref="U179:AJ179" si="451">#REF!</f>
        <v>#REF!</v>
      </c>
      <c r="V179" s="168" t="str">
        <f t="shared" si="451"/>
        <v>#REF!</v>
      </c>
      <c r="W179" s="168" t="str">
        <f t="shared" si="451"/>
        <v>#REF!</v>
      </c>
      <c r="X179" s="168" t="str">
        <f t="shared" si="451"/>
        <v>#REF!</v>
      </c>
      <c r="Y179" s="168" t="str">
        <f t="shared" si="451"/>
        <v>#REF!</v>
      </c>
      <c r="Z179" s="168" t="str">
        <f t="shared" si="451"/>
        <v>#REF!</v>
      </c>
      <c r="AA179" s="168" t="str">
        <f t="shared" si="451"/>
        <v>#REF!</v>
      </c>
      <c r="AB179" s="168" t="str">
        <f t="shared" si="451"/>
        <v>#REF!</v>
      </c>
      <c r="AC179" s="168" t="str">
        <f t="shared" si="451"/>
        <v>#REF!</v>
      </c>
      <c r="AD179" s="168" t="str">
        <f t="shared" si="451"/>
        <v>#REF!</v>
      </c>
      <c r="AE179" s="168" t="str">
        <f t="shared" si="451"/>
        <v>#REF!</v>
      </c>
      <c r="AF179" s="168" t="str">
        <f t="shared" si="451"/>
        <v>#REF!</v>
      </c>
      <c r="AG179" s="168" t="str">
        <f t="shared" si="451"/>
        <v>#REF!</v>
      </c>
      <c r="AH179" s="168" t="str">
        <f t="shared" si="451"/>
        <v>#REF!</v>
      </c>
      <c r="AI179" s="168" t="str">
        <f t="shared" si="451"/>
        <v>#REF!</v>
      </c>
      <c r="AJ179" s="168" t="str">
        <f t="shared" si="451"/>
        <v>#REF!</v>
      </c>
    </row>
    <row r="180" ht="15.75" customHeight="1">
      <c r="A180" s="168" t="str">
        <f t="shared" ref="A180:T180" si="452">if(#REF!=$D$1,#REF!,"")</f>
        <v>#REF!</v>
      </c>
      <c r="B180" s="168" t="str">
        <f t="shared" si="452"/>
        <v>#REF!</v>
      </c>
      <c r="C180" s="168" t="str">
        <f t="shared" si="452"/>
        <v>#REF!</v>
      </c>
      <c r="D180" s="168" t="str">
        <f t="shared" si="452"/>
        <v>#REF!</v>
      </c>
      <c r="E180" s="168" t="str">
        <f t="shared" si="452"/>
        <v>#REF!</v>
      </c>
      <c r="F180" s="168" t="str">
        <f t="shared" si="452"/>
        <v>#REF!</v>
      </c>
      <c r="G180" s="168" t="str">
        <f t="shared" si="452"/>
        <v>#REF!</v>
      </c>
      <c r="H180" s="168" t="str">
        <f t="shared" si="452"/>
        <v>#REF!</v>
      </c>
      <c r="I180" s="168" t="str">
        <f t="shared" si="452"/>
        <v>#REF!</v>
      </c>
      <c r="J180" s="168" t="str">
        <f t="shared" si="452"/>
        <v>#REF!</v>
      </c>
      <c r="K180" s="168" t="str">
        <f t="shared" si="452"/>
        <v>#REF!</v>
      </c>
      <c r="L180" s="168" t="str">
        <f t="shared" si="452"/>
        <v>#REF!</v>
      </c>
      <c r="M180" s="168" t="str">
        <f t="shared" si="452"/>
        <v>#REF!</v>
      </c>
      <c r="N180" s="168" t="str">
        <f t="shared" si="452"/>
        <v>#REF!</v>
      </c>
      <c r="O180" s="168" t="str">
        <f t="shared" si="452"/>
        <v>#REF!</v>
      </c>
      <c r="P180" s="168" t="str">
        <f t="shared" si="452"/>
        <v>#REF!</v>
      </c>
      <c r="Q180" s="168" t="str">
        <f t="shared" si="452"/>
        <v>#REF!</v>
      </c>
      <c r="R180" s="168" t="str">
        <f t="shared" si="452"/>
        <v>#REF!</v>
      </c>
      <c r="S180" s="168" t="str">
        <f t="shared" si="452"/>
        <v>#REF!</v>
      </c>
      <c r="T180" s="168" t="str">
        <f t="shared" si="452"/>
        <v>#REF!</v>
      </c>
      <c r="U180" s="168" t="str">
        <f t="shared" ref="U180:AJ180" si="453">#REF!</f>
        <v>#REF!</v>
      </c>
      <c r="V180" s="168" t="str">
        <f t="shared" si="453"/>
        <v>#REF!</v>
      </c>
      <c r="W180" s="168" t="str">
        <f t="shared" si="453"/>
        <v>#REF!</v>
      </c>
      <c r="X180" s="168" t="str">
        <f t="shared" si="453"/>
        <v>#REF!</v>
      </c>
      <c r="Y180" s="168" t="str">
        <f t="shared" si="453"/>
        <v>#REF!</v>
      </c>
      <c r="Z180" s="168" t="str">
        <f t="shared" si="453"/>
        <v>#REF!</v>
      </c>
      <c r="AA180" s="168" t="str">
        <f t="shared" si="453"/>
        <v>#REF!</v>
      </c>
      <c r="AB180" s="168" t="str">
        <f t="shared" si="453"/>
        <v>#REF!</v>
      </c>
      <c r="AC180" s="168" t="str">
        <f t="shared" si="453"/>
        <v>#REF!</v>
      </c>
      <c r="AD180" s="168" t="str">
        <f t="shared" si="453"/>
        <v>#REF!</v>
      </c>
      <c r="AE180" s="168" t="str">
        <f t="shared" si="453"/>
        <v>#REF!</v>
      </c>
      <c r="AF180" s="168" t="str">
        <f t="shared" si="453"/>
        <v>#REF!</v>
      </c>
      <c r="AG180" s="168" t="str">
        <f t="shared" si="453"/>
        <v>#REF!</v>
      </c>
      <c r="AH180" s="168" t="str">
        <f t="shared" si="453"/>
        <v>#REF!</v>
      </c>
      <c r="AI180" s="168" t="str">
        <f t="shared" si="453"/>
        <v>#REF!</v>
      </c>
      <c r="AJ180" s="168" t="str">
        <f t="shared" si="453"/>
        <v>#REF!</v>
      </c>
    </row>
    <row r="181" ht="15.75" customHeight="1">
      <c r="A181" s="168" t="str">
        <f>if('2026 Pipeline'!$M31=$D$1,'2026 Pipeline'!C31,"")</f>
        <v>#REF!</v>
      </c>
      <c r="B181" s="168" t="str">
        <f t="shared" ref="B181:C181" si="454">if('2026 Pipeline'!$M31=$D$1,'2026 Pipeline'!J31,"")</f>
        <v>#REF!</v>
      </c>
      <c r="C181" s="168" t="str">
        <f t="shared" si="454"/>
        <v>#REF!</v>
      </c>
      <c r="D181" s="168" t="str">
        <f t="shared" ref="D181:F181" si="455">if('2026 Pipeline'!$M31=$D$1,'2026 Pipeline'!M31,"")</f>
        <v>#REF!</v>
      </c>
      <c r="E181" s="168" t="str">
        <f t="shared" si="455"/>
        <v>#REF!</v>
      </c>
      <c r="F181" s="168" t="str">
        <f t="shared" si="455"/>
        <v>#REF!</v>
      </c>
      <c r="G181" s="168" t="str">
        <f>if('2026 Pipeline'!$M31=$D$1,'2026 Pipeline'!Q31,"")</f>
        <v>#REF!</v>
      </c>
      <c r="H181" s="168" t="str">
        <f>if('2026 Pipeline'!$M31=$D$1,'2026 Pipeline'!P31,"")</f>
        <v>#REF!</v>
      </c>
      <c r="I181" s="168" t="str">
        <f>if('2026 Pipeline'!$M31=$D$1,'2026 Pipeline'!R31,"")</f>
        <v>#REF!</v>
      </c>
      <c r="J181" s="168" t="str">
        <f t="shared" ref="J181:L181" si="456">if('2026 Pipeline'!$M31=$D$1,'2026 Pipeline'!V31,"")</f>
        <v>#REF!</v>
      </c>
      <c r="K181" s="168" t="str">
        <f t="shared" si="456"/>
        <v>#REF!</v>
      </c>
      <c r="L181" s="168" t="str">
        <f t="shared" si="456"/>
        <v>#REF!</v>
      </c>
      <c r="M181" s="168" t="str">
        <f t="shared" ref="M181:O181" si="457">if('2026 Pipeline'!$M31=$D$1,#REF!,"")</f>
        <v>#REF!</v>
      </c>
      <c r="N181" s="168" t="str">
        <f t="shared" si="457"/>
        <v>#REF!</v>
      </c>
      <c r="O181" s="168" t="str">
        <f t="shared" si="457"/>
        <v>#REF!</v>
      </c>
      <c r="P181" s="168" t="str">
        <f>if('2026 Pipeline'!$M31=$D$1,'2026 Pipeline'!AA31,"")</f>
        <v>#REF!</v>
      </c>
      <c r="Q181" s="168" t="str">
        <f>if('2026 Pipeline'!$M31=$D$1,'2026 Pipeline'!Y31,"")</f>
        <v>#REF!</v>
      </c>
      <c r="R181" s="168" t="str">
        <f>if('2026 Pipeline'!$M31=$D$1,#REF!,"")</f>
        <v>#REF!</v>
      </c>
      <c r="S181" s="168" t="str">
        <f>if('2026 Pipeline'!$M31=$D$1,'2026 Pipeline'!L31,"")</f>
        <v>#REF!</v>
      </c>
      <c r="T181" s="168" t="str">
        <f>if('2026 Pipeline'!$M31=$D$1,'2026 Pipeline'!CD31,"")</f>
        <v>#REF!</v>
      </c>
      <c r="U181" s="168" t="str">
        <f t="shared" ref="U181:AJ181" si="458">#REF!</f>
        <v>#REF!</v>
      </c>
      <c r="V181" s="168" t="str">
        <f t="shared" si="458"/>
        <v>#REF!</v>
      </c>
      <c r="W181" s="168" t="str">
        <f t="shared" si="458"/>
        <v>#REF!</v>
      </c>
      <c r="X181" s="168" t="str">
        <f t="shared" si="458"/>
        <v>#REF!</v>
      </c>
      <c r="Y181" s="168" t="str">
        <f t="shared" si="458"/>
        <v>#REF!</v>
      </c>
      <c r="Z181" s="168" t="str">
        <f t="shared" si="458"/>
        <v>#REF!</v>
      </c>
      <c r="AA181" s="168" t="str">
        <f t="shared" si="458"/>
        <v>#REF!</v>
      </c>
      <c r="AB181" s="168" t="str">
        <f t="shared" si="458"/>
        <v>#REF!</v>
      </c>
      <c r="AC181" s="168" t="str">
        <f t="shared" si="458"/>
        <v>#REF!</v>
      </c>
      <c r="AD181" s="168" t="str">
        <f t="shared" si="458"/>
        <v>#REF!</v>
      </c>
      <c r="AE181" s="168" t="str">
        <f t="shared" si="458"/>
        <v>#REF!</v>
      </c>
      <c r="AF181" s="168" t="str">
        <f t="shared" si="458"/>
        <v>#REF!</v>
      </c>
      <c r="AG181" s="168" t="str">
        <f t="shared" si="458"/>
        <v>#REF!</v>
      </c>
      <c r="AH181" s="168" t="str">
        <f t="shared" si="458"/>
        <v>#REF!</v>
      </c>
      <c r="AI181" s="168" t="str">
        <f t="shared" si="458"/>
        <v>#REF!</v>
      </c>
      <c r="AJ181" s="168" t="str">
        <f t="shared" si="458"/>
        <v>#REF!</v>
      </c>
    </row>
    <row r="182" ht="15.75" customHeight="1">
      <c r="A182" s="168" t="str">
        <f t="shared" ref="A182:T182" si="459">if(#REF!=$D$1,#REF!,"")</f>
        <v>#REF!</v>
      </c>
      <c r="B182" s="168" t="str">
        <f t="shared" si="459"/>
        <v>#REF!</v>
      </c>
      <c r="C182" s="168" t="str">
        <f t="shared" si="459"/>
        <v>#REF!</v>
      </c>
      <c r="D182" s="168" t="str">
        <f t="shared" si="459"/>
        <v>#REF!</v>
      </c>
      <c r="E182" s="168" t="str">
        <f t="shared" si="459"/>
        <v>#REF!</v>
      </c>
      <c r="F182" s="168" t="str">
        <f t="shared" si="459"/>
        <v>#REF!</v>
      </c>
      <c r="G182" s="168" t="str">
        <f t="shared" si="459"/>
        <v>#REF!</v>
      </c>
      <c r="H182" s="168" t="str">
        <f t="shared" si="459"/>
        <v>#REF!</v>
      </c>
      <c r="I182" s="168" t="str">
        <f t="shared" si="459"/>
        <v>#REF!</v>
      </c>
      <c r="J182" s="168" t="str">
        <f t="shared" si="459"/>
        <v>#REF!</v>
      </c>
      <c r="K182" s="168" t="str">
        <f t="shared" si="459"/>
        <v>#REF!</v>
      </c>
      <c r="L182" s="168" t="str">
        <f t="shared" si="459"/>
        <v>#REF!</v>
      </c>
      <c r="M182" s="168" t="str">
        <f t="shared" si="459"/>
        <v>#REF!</v>
      </c>
      <c r="N182" s="168" t="str">
        <f t="shared" si="459"/>
        <v>#REF!</v>
      </c>
      <c r="O182" s="168" t="str">
        <f t="shared" si="459"/>
        <v>#REF!</v>
      </c>
      <c r="P182" s="168" t="str">
        <f t="shared" si="459"/>
        <v>#REF!</v>
      </c>
      <c r="Q182" s="168" t="str">
        <f t="shared" si="459"/>
        <v>#REF!</v>
      </c>
      <c r="R182" s="168" t="str">
        <f t="shared" si="459"/>
        <v>#REF!</v>
      </c>
      <c r="S182" s="168" t="str">
        <f t="shared" si="459"/>
        <v>#REF!</v>
      </c>
      <c r="T182" s="168" t="str">
        <f t="shared" si="459"/>
        <v>#REF!</v>
      </c>
      <c r="U182" s="168" t="str">
        <f t="shared" ref="U182:AJ182" si="460">#REF!</f>
        <v>#REF!</v>
      </c>
      <c r="V182" s="168" t="str">
        <f t="shared" si="460"/>
        <v>#REF!</v>
      </c>
      <c r="W182" s="168" t="str">
        <f t="shared" si="460"/>
        <v>#REF!</v>
      </c>
      <c r="X182" s="168" t="str">
        <f t="shared" si="460"/>
        <v>#REF!</v>
      </c>
      <c r="Y182" s="168" t="str">
        <f t="shared" si="460"/>
        <v>#REF!</v>
      </c>
      <c r="Z182" s="168" t="str">
        <f t="shared" si="460"/>
        <v>#REF!</v>
      </c>
      <c r="AA182" s="168" t="str">
        <f t="shared" si="460"/>
        <v>#REF!</v>
      </c>
      <c r="AB182" s="168" t="str">
        <f t="shared" si="460"/>
        <v>#REF!</v>
      </c>
      <c r="AC182" s="168" t="str">
        <f t="shared" si="460"/>
        <v>#REF!</v>
      </c>
      <c r="AD182" s="168" t="str">
        <f t="shared" si="460"/>
        <v>#REF!</v>
      </c>
      <c r="AE182" s="168" t="str">
        <f t="shared" si="460"/>
        <v>#REF!</v>
      </c>
      <c r="AF182" s="168" t="str">
        <f t="shared" si="460"/>
        <v>#REF!</v>
      </c>
      <c r="AG182" s="168" t="str">
        <f t="shared" si="460"/>
        <v>#REF!</v>
      </c>
      <c r="AH182" s="168" t="str">
        <f t="shared" si="460"/>
        <v>#REF!</v>
      </c>
      <c r="AI182" s="168" t="str">
        <f t="shared" si="460"/>
        <v>#REF!</v>
      </c>
      <c r="AJ182" s="168" t="str">
        <f t="shared" si="460"/>
        <v>#REF!</v>
      </c>
    </row>
    <row r="183" ht="15.75" customHeight="1">
      <c r="A183" s="168" t="str">
        <f t="shared" ref="A183:T183" si="461">if(#REF!=$D$1,#REF!,"")</f>
        <v>#REF!</v>
      </c>
      <c r="B183" s="168" t="str">
        <f t="shared" si="461"/>
        <v>#REF!</v>
      </c>
      <c r="C183" s="168" t="str">
        <f t="shared" si="461"/>
        <v>#REF!</v>
      </c>
      <c r="D183" s="168" t="str">
        <f t="shared" si="461"/>
        <v>#REF!</v>
      </c>
      <c r="E183" s="168" t="str">
        <f t="shared" si="461"/>
        <v>#REF!</v>
      </c>
      <c r="F183" s="168" t="str">
        <f t="shared" si="461"/>
        <v>#REF!</v>
      </c>
      <c r="G183" s="168" t="str">
        <f t="shared" si="461"/>
        <v>#REF!</v>
      </c>
      <c r="H183" s="168" t="str">
        <f t="shared" si="461"/>
        <v>#REF!</v>
      </c>
      <c r="I183" s="168" t="str">
        <f t="shared" si="461"/>
        <v>#REF!</v>
      </c>
      <c r="J183" s="168" t="str">
        <f t="shared" si="461"/>
        <v>#REF!</v>
      </c>
      <c r="K183" s="168" t="str">
        <f t="shared" si="461"/>
        <v>#REF!</v>
      </c>
      <c r="L183" s="168" t="str">
        <f t="shared" si="461"/>
        <v>#REF!</v>
      </c>
      <c r="M183" s="168" t="str">
        <f t="shared" si="461"/>
        <v>#REF!</v>
      </c>
      <c r="N183" s="168" t="str">
        <f t="shared" si="461"/>
        <v>#REF!</v>
      </c>
      <c r="O183" s="168" t="str">
        <f t="shared" si="461"/>
        <v>#REF!</v>
      </c>
      <c r="P183" s="168" t="str">
        <f t="shared" si="461"/>
        <v>#REF!</v>
      </c>
      <c r="Q183" s="168" t="str">
        <f t="shared" si="461"/>
        <v>#REF!</v>
      </c>
      <c r="R183" s="168" t="str">
        <f t="shared" si="461"/>
        <v>#REF!</v>
      </c>
      <c r="S183" s="168" t="str">
        <f t="shared" si="461"/>
        <v>#REF!</v>
      </c>
      <c r="T183" s="168" t="str">
        <f t="shared" si="461"/>
        <v>#REF!</v>
      </c>
      <c r="U183" s="168" t="str">
        <f>'2026 Pipeline'!AP31</f>
        <v>#REF!</v>
      </c>
      <c r="V183" s="168" t="str">
        <f t="shared" ref="V183:Z183" si="462">'2026 Pipeline'!CJ31</f>
        <v>#REF!</v>
      </c>
      <c r="W183" s="168" t="str">
        <f t="shared" si="462"/>
        <v>#REF!</v>
      </c>
      <c r="X183" s="168" t="str">
        <f t="shared" si="462"/>
        <v>#REF!</v>
      </c>
      <c r="Y183" s="168" t="str">
        <f t="shared" si="462"/>
        <v>#REF!</v>
      </c>
      <c r="Z183" s="168" t="str">
        <f t="shared" si="462"/>
        <v>#REF!</v>
      </c>
      <c r="AA183" s="168" t="str">
        <f t="shared" ref="AA183:AF183" si="463">#REF!</f>
        <v>#REF!</v>
      </c>
      <c r="AB183" s="168" t="str">
        <f t="shared" si="463"/>
        <v>#REF!</v>
      </c>
      <c r="AC183" s="168" t="str">
        <f t="shared" si="463"/>
        <v>#REF!</v>
      </c>
      <c r="AD183" s="168" t="str">
        <f t="shared" si="463"/>
        <v>#REF!</v>
      </c>
      <c r="AE183" s="168" t="str">
        <f t="shared" si="463"/>
        <v>#REF!</v>
      </c>
      <c r="AF183" s="168" t="str">
        <f t="shared" si="463"/>
        <v>#REF!</v>
      </c>
      <c r="AG183" s="168" t="str">
        <f>'2026 Pipeline'!CT31</f>
        <v>#REF!</v>
      </c>
      <c r="AH183" s="168" t="str">
        <f>'2026 Pipeline'!S31</f>
        <v>#REF!</v>
      </c>
      <c r="AI183" s="168" t="str">
        <f t="shared" ref="AI183:AJ183" si="464">#REF!</f>
        <v>#REF!</v>
      </c>
      <c r="AJ183" s="168" t="str">
        <f t="shared" si="464"/>
        <v>#REF!</v>
      </c>
    </row>
    <row r="184" ht="15.75" customHeight="1">
      <c r="A184" s="168" t="str">
        <f t="shared" ref="A184:T184" si="465">if(#REF!=$D$1,#REF!,"")</f>
        <v>#REF!</v>
      </c>
      <c r="B184" s="168" t="str">
        <f t="shared" si="465"/>
        <v>#REF!</v>
      </c>
      <c r="C184" s="168" t="str">
        <f t="shared" si="465"/>
        <v>#REF!</v>
      </c>
      <c r="D184" s="168" t="str">
        <f t="shared" si="465"/>
        <v>#REF!</v>
      </c>
      <c r="E184" s="168" t="str">
        <f t="shared" si="465"/>
        <v>#REF!</v>
      </c>
      <c r="F184" s="168" t="str">
        <f t="shared" si="465"/>
        <v>#REF!</v>
      </c>
      <c r="G184" s="168" t="str">
        <f t="shared" si="465"/>
        <v>#REF!</v>
      </c>
      <c r="H184" s="168" t="str">
        <f t="shared" si="465"/>
        <v>#REF!</v>
      </c>
      <c r="I184" s="168" t="str">
        <f t="shared" si="465"/>
        <v>#REF!</v>
      </c>
      <c r="J184" s="168" t="str">
        <f t="shared" si="465"/>
        <v>#REF!</v>
      </c>
      <c r="K184" s="168" t="str">
        <f t="shared" si="465"/>
        <v>#REF!</v>
      </c>
      <c r="L184" s="168" t="str">
        <f t="shared" si="465"/>
        <v>#REF!</v>
      </c>
      <c r="M184" s="168" t="str">
        <f t="shared" si="465"/>
        <v>#REF!</v>
      </c>
      <c r="N184" s="168" t="str">
        <f t="shared" si="465"/>
        <v>#REF!</v>
      </c>
      <c r="O184" s="168" t="str">
        <f t="shared" si="465"/>
        <v>#REF!</v>
      </c>
      <c r="P184" s="168" t="str">
        <f t="shared" si="465"/>
        <v>#REF!</v>
      </c>
      <c r="Q184" s="168" t="str">
        <f t="shared" si="465"/>
        <v>#REF!</v>
      </c>
      <c r="R184" s="168" t="str">
        <f t="shared" si="465"/>
        <v>#REF!</v>
      </c>
      <c r="S184" s="168" t="str">
        <f t="shared" si="465"/>
        <v>#REF!</v>
      </c>
      <c r="T184" s="168" t="str">
        <f t="shared" si="465"/>
        <v>#REF!</v>
      </c>
      <c r="U184" s="168" t="str">
        <f t="shared" ref="U184:AJ184" si="466">#REF!</f>
        <v>#REF!</v>
      </c>
      <c r="V184" s="168" t="str">
        <f t="shared" si="466"/>
        <v>#REF!</v>
      </c>
      <c r="W184" s="168" t="str">
        <f t="shared" si="466"/>
        <v>#REF!</v>
      </c>
      <c r="X184" s="168" t="str">
        <f t="shared" si="466"/>
        <v>#REF!</v>
      </c>
      <c r="Y184" s="168" t="str">
        <f t="shared" si="466"/>
        <v>#REF!</v>
      </c>
      <c r="Z184" s="168" t="str">
        <f t="shared" si="466"/>
        <v>#REF!</v>
      </c>
      <c r="AA184" s="168" t="str">
        <f t="shared" si="466"/>
        <v>#REF!</v>
      </c>
      <c r="AB184" s="168" t="str">
        <f t="shared" si="466"/>
        <v>#REF!</v>
      </c>
      <c r="AC184" s="168" t="str">
        <f t="shared" si="466"/>
        <v>#REF!</v>
      </c>
      <c r="AD184" s="168" t="str">
        <f t="shared" si="466"/>
        <v>#REF!</v>
      </c>
      <c r="AE184" s="168" t="str">
        <f t="shared" si="466"/>
        <v>#REF!</v>
      </c>
      <c r="AF184" s="168" t="str">
        <f t="shared" si="466"/>
        <v>#REF!</v>
      </c>
      <c r="AG184" s="168" t="str">
        <f t="shared" si="466"/>
        <v>#REF!</v>
      </c>
      <c r="AH184" s="168" t="str">
        <f t="shared" si="466"/>
        <v>#REF!</v>
      </c>
      <c r="AI184" s="168" t="str">
        <f t="shared" si="466"/>
        <v>#REF!</v>
      </c>
      <c r="AJ184" s="168" t="str">
        <f t="shared" si="466"/>
        <v>#REF!</v>
      </c>
    </row>
    <row r="185" ht="15.75" customHeight="1">
      <c r="A185" s="168" t="str">
        <f t="shared" ref="A185:T185" si="467">if(#REF!=$D$1,#REF!,"")</f>
        <v>#REF!</v>
      </c>
      <c r="B185" s="168" t="str">
        <f t="shared" si="467"/>
        <v>#REF!</v>
      </c>
      <c r="C185" s="168" t="str">
        <f t="shared" si="467"/>
        <v>#REF!</v>
      </c>
      <c r="D185" s="168" t="str">
        <f t="shared" si="467"/>
        <v>#REF!</v>
      </c>
      <c r="E185" s="168" t="str">
        <f t="shared" si="467"/>
        <v>#REF!</v>
      </c>
      <c r="F185" s="168" t="str">
        <f t="shared" si="467"/>
        <v>#REF!</v>
      </c>
      <c r="G185" s="168" t="str">
        <f t="shared" si="467"/>
        <v>#REF!</v>
      </c>
      <c r="H185" s="168" t="str">
        <f t="shared" si="467"/>
        <v>#REF!</v>
      </c>
      <c r="I185" s="168" t="str">
        <f t="shared" si="467"/>
        <v>#REF!</v>
      </c>
      <c r="J185" s="168" t="str">
        <f t="shared" si="467"/>
        <v>#REF!</v>
      </c>
      <c r="K185" s="168" t="str">
        <f t="shared" si="467"/>
        <v>#REF!</v>
      </c>
      <c r="L185" s="168" t="str">
        <f t="shared" si="467"/>
        <v>#REF!</v>
      </c>
      <c r="M185" s="168" t="str">
        <f t="shared" si="467"/>
        <v>#REF!</v>
      </c>
      <c r="N185" s="168" t="str">
        <f t="shared" si="467"/>
        <v>#REF!</v>
      </c>
      <c r="O185" s="168" t="str">
        <f t="shared" si="467"/>
        <v>#REF!</v>
      </c>
      <c r="P185" s="168" t="str">
        <f t="shared" si="467"/>
        <v>#REF!</v>
      </c>
      <c r="Q185" s="168" t="str">
        <f t="shared" si="467"/>
        <v>#REF!</v>
      </c>
      <c r="R185" s="168" t="str">
        <f t="shared" si="467"/>
        <v>#REF!</v>
      </c>
      <c r="S185" s="168" t="str">
        <f t="shared" si="467"/>
        <v>#REF!</v>
      </c>
      <c r="T185" s="168" t="str">
        <f t="shared" si="467"/>
        <v>#REF!</v>
      </c>
      <c r="U185" s="168" t="str">
        <f t="shared" ref="U185:AJ185" si="468">#REF!</f>
        <v>#REF!</v>
      </c>
      <c r="V185" s="168" t="str">
        <f t="shared" si="468"/>
        <v>#REF!</v>
      </c>
      <c r="W185" s="168" t="str">
        <f t="shared" si="468"/>
        <v>#REF!</v>
      </c>
      <c r="X185" s="168" t="str">
        <f t="shared" si="468"/>
        <v>#REF!</v>
      </c>
      <c r="Y185" s="168" t="str">
        <f t="shared" si="468"/>
        <v>#REF!</v>
      </c>
      <c r="Z185" s="168" t="str">
        <f t="shared" si="468"/>
        <v>#REF!</v>
      </c>
      <c r="AA185" s="168" t="str">
        <f t="shared" si="468"/>
        <v>#REF!</v>
      </c>
      <c r="AB185" s="168" t="str">
        <f t="shared" si="468"/>
        <v>#REF!</v>
      </c>
      <c r="AC185" s="168" t="str">
        <f t="shared" si="468"/>
        <v>#REF!</v>
      </c>
      <c r="AD185" s="168" t="str">
        <f t="shared" si="468"/>
        <v>#REF!</v>
      </c>
      <c r="AE185" s="168" t="str">
        <f t="shared" si="468"/>
        <v>#REF!</v>
      </c>
      <c r="AF185" s="168" t="str">
        <f t="shared" si="468"/>
        <v>#REF!</v>
      </c>
      <c r="AG185" s="168" t="str">
        <f t="shared" si="468"/>
        <v>#REF!</v>
      </c>
      <c r="AH185" s="168" t="str">
        <f t="shared" si="468"/>
        <v>#REF!</v>
      </c>
      <c r="AI185" s="168" t="str">
        <f t="shared" si="468"/>
        <v>#REF!</v>
      </c>
      <c r="AJ185" s="168" t="str">
        <f t="shared" si="468"/>
        <v>#REF!</v>
      </c>
    </row>
    <row r="186" ht="15.75" customHeight="1">
      <c r="A186" s="168" t="str">
        <f t="shared" ref="A186:T186" si="469">if(#REF!=$D$1,#REF!,"")</f>
        <v>#REF!</v>
      </c>
      <c r="B186" s="168" t="str">
        <f t="shared" si="469"/>
        <v>#REF!</v>
      </c>
      <c r="C186" s="168" t="str">
        <f t="shared" si="469"/>
        <v>#REF!</v>
      </c>
      <c r="D186" s="168" t="str">
        <f t="shared" si="469"/>
        <v>#REF!</v>
      </c>
      <c r="E186" s="168" t="str">
        <f t="shared" si="469"/>
        <v>#REF!</v>
      </c>
      <c r="F186" s="168" t="str">
        <f t="shared" si="469"/>
        <v>#REF!</v>
      </c>
      <c r="G186" s="168" t="str">
        <f t="shared" si="469"/>
        <v>#REF!</v>
      </c>
      <c r="H186" s="168" t="str">
        <f t="shared" si="469"/>
        <v>#REF!</v>
      </c>
      <c r="I186" s="168" t="str">
        <f t="shared" si="469"/>
        <v>#REF!</v>
      </c>
      <c r="J186" s="168" t="str">
        <f t="shared" si="469"/>
        <v>#REF!</v>
      </c>
      <c r="K186" s="168" t="str">
        <f t="shared" si="469"/>
        <v>#REF!</v>
      </c>
      <c r="L186" s="168" t="str">
        <f t="shared" si="469"/>
        <v>#REF!</v>
      </c>
      <c r="M186" s="168" t="str">
        <f t="shared" si="469"/>
        <v>#REF!</v>
      </c>
      <c r="N186" s="168" t="str">
        <f t="shared" si="469"/>
        <v>#REF!</v>
      </c>
      <c r="O186" s="168" t="str">
        <f t="shared" si="469"/>
        <v>#REF!</v>
      </c>
      <c r="P186" s="168" t="str">
        <f t="shared" si="469"/>
        <v>#REF!</v>
      </c>
      <c r="Q186" s="168" t="str">
        <f t="shared" si="469"/>
        <v>#REF!</v>
      </c>
      <c r="R186" s="168" t="str">
        <f t="shared" si="469"/>
        <v>#REF!</v>
      </c>
      <c r="S186" s="168" t="str">
        <f t="shared" si="469"/>
        <v>#REF!</v>
      </c>
      <c r="T186" s="168" t="str">
        <f t="shared" si="469"/>
        <v>#REF!</v>
      </c>
      <c r="U186" s="168" t="str">
        <f t="shared" ref="U186:AJ186" si="470">#REF!</f>
        <v>#REF!</v>
      </c>
      <c r="V186" s="168" t="str">
        <f t="shared" si="470"/>
        <v>#REF!</v>
      </c>
      <c r="W186" s="168" t="str">
        <f t="shared" si="470"/>
        <v>#REF!</v>
      </c>
      <c r="X186" s="168" t="str">
        <f t="shared" si="470"/>
        <v>#REF!</v>
      </c>
      <c r="Y186" s="168" t="str">
        <f t="shared" si="470"/>
        <v>#REF!</v>
      </c>
      <c r="Z186" s="168" t="str">
        <f t="shared" si="470"/>
        <v>#REF!</v>
      </c>
      <c r="AA186" s="168" t="str">
        <f t="shared" si="470"/>
        <v>#REF!</v>
      </c>
      <c r="AB186" s="168" t="str">
        <f t="shared" si="470"/>
        <v>#REF!</v>
      </c>
      <c r="AC186" s="168" t="str">
        <f t="shared" si="470"/>
        <v>#REF!</v>
      </c>
      <c r="AD186" s="168" t="str">
        <f t="shared" si="470"/>
        <v>#REF!</v>
      </c>
      <c r="AE186" s="168" t="str">
        <f t="shared" si="470"/>
        <v>#REF!</v>
      </c>
      <c r="AF186" s="168" t="str">
        <f t="shared" si="470"/>
        <v>#REF!</v>
      </c>
      <c r="AG186" s="168" t="str">
        <f t="shared" si="470"/>
        <v>#REF!</v>
      </c>
      <c r="AH186" s="168" t="str">
        <f t="shared" si="470"/>
        <v>#REF!</v>
      </c>
      <c r="AI186" s="168" t="str">
        <f t="shared" si="470"/>
        <v>#REF!</v>
      </c>
      <c r="AJ186" s="168" t="str">
        <f t="shared" si="470"/>
        <v>#REF!</v>
      </c>
    </row>
    <row r="187" ht="15.75" customHeight="1">
      <c r="A187" s="168" t="str">
        <f t="shared" ref="A187:T187" si="471">if(#REF!=$D$1,#REF!,"")</f>
        <v>#REF!</v>
      </c>
      <c r="B187" s="168" t="str">
        <f t="shared" si="471"/>
        <v>#REF!</v>
      </c>
      <c r="C187" s="168" t="str">
        <f t="shared" si="471"/>
        <v>#REF!</v>
      </c>
      <c r="D187" s="168" t="str">
        <f t="shared" si="471"/>
        <v>#REF!</v>
      </c>
      <c r="E187" s="168" t="str">
        <f t="shared" si="471"/>
        <v>#REF!</v>
      </c>
      <c r="F187" s="168" t="str">
        <f t="shared" si="471"/>
        <v>#REF!</v>
      </c>
      <c r="G187" s="168" t="str">
        <f t="shared" si="471"/>
        <v>#REF!</v>
      </c>
      <c r="H187" s="168" t="str">
        <f t="shared" si="471"/>
        <v>#REF!</v>
      </c>
      <c r="I187" s="168" t="str">
        <f t="shared" si="471"/>
        <v>#REF!</v>
      </c>
      <c r="J187" s="168" t="str">
        <f t="shared" si="471"/>
        <v>#REF!</v>
      </c>
      <c r="K187" s="168" t="str">
        <f t="shared" si="471"/>
        <v>#REF!</v>
      </c>
      <c r="L187" s="168" t="str">
        <f t="shared" si="471"/>
        <v>#REF!</v>
      </c>
      <c r="M187" s="168" t="str">
        <f t="shared" si="471"/>
        <v>#REF!</v>
      </c>
      <c r="N187" s="168" t="str">
        <f t="shared" si="471"/>
        <v>#REF!</v>
      </c>
      <c r="O187" s="168" t="str">
        <f t="shared" si="471"/>
        <v>#REF!</v>
      </c>
      <c r="P187" s="168" t="str">
        <f t="shared" si="471"/>
        <v>#REF!</v>
      </c>
      <c r="Q187" s="168" t="str">
        <f t="shared" si="471"/>
        <v>#REF!</v>
      </c>
      <c r="R187" s="168" t="str">
        <f t="shared" si="471"/>
        <v>#REF!</v>
      </c>
      <c r="S187" s="168" t="str">
        <f t="shared" si="471"/>
        <v>#REF!</v>
      </c>
      <c r="T187" s="168" t="str">
        <f t="shared" si="471"/>
        <v>#REF!</v>
      </c>
      <c r="U187" s="168" t="str">
        <f t="shared" ref="U187:AJ187" si="472">#REF!</f>
        <v>#REF!</v>
      </c>
      <c r="V187" s="168" t="str">
        <f t="shared" si="472"/>
        <v>#REF!</v>
      </c>
      <c r="W187" s="168" t="str">
        <f t="shared" si="472"/>
        <v>#REF!</v>
      </c>
      <c r="X187" s="168" t="str">
        <f t="shared" si="472"/>
        <v>#REF!</v>
      </c>
      <c r="Y187" s="168" t="str">
        <f t="shared" si="472"/>
        <v>#REF!</v>
      </c>
      <c r="Z187" s="168" t="str">
        <f t="shared" si="472"/>
        <v>#REF!</v>
      </c>
      <c r="AA187" s="168" t="str">
        <f t="shared" si="472"/>
        <v>#REF!</v>
      </c>
      <c r="AB187" s="168" t="str">
        <f t="shared" si="472"/>
        <v>#REF!</v>
      </c>
      <c r="AC187" s="168" t="str">
        <f t="shared" si="472"/>
        <v>#REF!</v>
      </c>
      <c r="AD187" s="168" t="str">
        <f t="shared" si="472"/>
        <v>#REF!</v>
      </c>
      <c r="AE187" s="168" t="str">
        <f t="shared" si="472"/>
        <v>#REF!</v>
      </c>
      <c r="AF187" s="168" t="str">
        <f t="shared" si="472"/>
        <v>#REF!</v>
      </c>
      <c r="AG187" s="168" t="str">
        <f t="shared" si="472"/>
        <v>#REF!</v>
      </c>
      <c r="AH187" s="168" t="str">
        <f t="shared" si="472"/>
        <v>#REF!</v>
      </c>
      <c r="AI187" s="168" t="str">
        <f t="shared" si="472"/>
        <v>#REF!</v>
      </c>
      <c r="AJ187" s="168" t="str">
        <f t="shared" si="472"/>
        <v>#REF!</v>
      </c>
    </row>
    <row r="188" ht="15.75" customHeight="1">
      <c r="A188" s="168" t="str">
        <f t="shared" ref="A188:T188" si="473">if(#REF!=$D$1,#REF!,"")</f>
        <v>#REF!</v>
      </c>
      <c r="B188" s="168" t="str">
        <f t="shared" si="473"/>
        <v>#REF!</v>
      </c>
      <c r="C188" s="168" t="str">
        <f t="shared" si="473"/>
        <v>#REF!</v>
      </c>
      <c r="D188" s="168" t="str">
        <f t="shared" si="473"/>
        <v>#REF!</v>
      </c>
      <c r="E188" s="168" t="str">
        <f t="shared" si="473"/>
        <v>#REF!</v>
      </c>
      <c r="F188" s="168" t="str">
        <f t="shared" si="473"/>
        <v>#REF!</v>
      </c>
      <c r="G188" s="168" t="str">
        <f t="shared" si="473"/>
        <v>#REF!</v>
      </c>
      <c r="H188" s="168" t="str">
        <f t="shared" si="473"/>
        <v>#REF!</v>
      </c>
      <c r="I188" s="168" t="str">
        <f t="shared" si="473"/>
        <v>#REF!</v>
      </c>
      <c r="J188" s="168" t="str">
        <f t="shared" si="473"/>
        <v>#REF!</v>
      </c>
      <c r="K188" s="168" t="str">
        <f t="shared" si="473"/>
        <v>#REF!</v>
      </c>
      <c r="L188" s="168" t="str">
        <f t="shared" si="473"/>
        <v>#REF!</v>
      </c>
      <c r="M188" s="168" t="str">
        <f t="shared" si="473"/>
        <v>#REF!</v>
      </c>
      <c r="N188" s="168" t="str">
        <f t="shared" si="473"/>
        <v>#REF!</v>
      </c>
      <c r="O188" s="168" t="str">
        <f t="shared" si="473"/>
        <v>#REF!</v>
      </c>
      <c r="P188" s="168" t="str">
        <f t="shared" si="473"/>
        <v>#REF!</v>
      </c>
      <c r="Q188" s="168" t="str">
        <f t="shared" si="473"/>
        <v>#REF!</v>
      </c>
      <c r="R188" s="168" t="str">
        <f t="shared" si="473"/>
        <v>#REF!</v>
      </c>
      <c r="S188" s="168" t="str">
        <f t="shared" si="473"/>
        <v>#REF!</v>
      </c>
      <c r="T188" s="168" t="str">
        <f t="shared" si="473"/>
        <v>#REF!</v>
      </c>
      <c r="U188" s="168" t="str">
        <f t="shared" ref="U188:AJ188" si="474">#REF!</f>
        <v>#REF!</v>
      </c>
      <c r="V188" s="168" t="str">
        <f t="shared" si="474"/>
        <v>#REF!</v>
      </c>
      <c r="W188" s="168" t="str">
        <f t="shared" si="474"/>
        <v>#REF!</v>
      </c>
      <c r="X188" s="168" t="str">
        <f t="shared" si="474"/>
        <v>#REF!</v>
      </c>
      <c r="Y188" s="168" t="str">
        <f t="shared" si="474"/>
        <v>#REF!</v>
      </c>
      <c r="Z188" s="168" t="str">
        <f t="shared" si="474"/>
        <v>#REF!</v>
      </c>
      <c r="AA188" s="168" t="str">
        <f t="shared" si="474"/>
        <v>#REF!</v>
      </c>
      <c r="AB188" s="168" t="str">
        <f t="shared" si="474"/>
        <v>#REF!</v>
      </c>
      <c r="AC188" s="168" t="str">
        <f t="shared" si="474"/>
        <v>#REF!</v>
      </c>
      <c r="AD188" s="168" t="str">
        <f t="shared" si="474"/>
        <v>#REF!</v>
      </c>
      <c r="AE188" s="168" t="str">
        <f t="shared" si="474"/>
        <v>#REF!</v>
      </c>
      <c r="AF188" s="168" t="str">
        <f t="shared" si="474"/>
        <v>#REF!</v>
      </c>
      <c r="AG188" s="168" t="str">
        <f t="shared" si="474"/>
        <v>#REF!</v>
      </c>
      <c r="AH188" s="168" t="str">
        <f t="shared" si="474"/>
        <v>#REF!</v>
      </c>
      <c r="AI188" s="168" t="str">
        <f t="shared" si="474"/>
        <v>#REF!</v>
      </c>
      <c r="AJ188" s="168" t="str">
        <f t="shared" si="474"/>
        <v>#REF!</v>
      </c>
    </row>
    <row r="189" ht="15.75" customHeight="1">
      <c r="A189" s="168" t="str">
        <f t="shared" ref="A189:T189" si="475">if(#REF!=$D$1,#REF!,"")</f>
        <v>#REF!</v>
      </c>
      <c r="B189" s="168" t="str">
        <f t="shared" si="475"/>
        <v>#REF!</v>
      </c>
      <c r="C189" s="168" t="str">
        <f t="shared" si="475"/>
        <v>#REF!</v>
      </c>
      <c r="D189" s="168" t="str">
        <f t="shared" si="475"/>
        <v>#REF!</v>
      </c>
      <c r="E189" s="168" t="str">
        <f t="shared" si="475"/>
        <v>#REF!</v>
      </c>
      <c r="F189" s="168" t="str">
        <f t="shared" si="475"/>
        <v>#REF!</v>
      </c>
      <c r="G189" s="168" t="str">
        <f t="shared" si="475"/>
        <v>#REF!</v>
      </c>
      <c r="H189" s="168" t="str">
        <f t="shared" si="475"/>
        <v>#REF!</v>
      </c>
      <c r="I189" s="168" t="str">
        <f t="shared" si="475"/>
        <v>#REF!</v>
      </c>
      <c r="J189" s="168" t="str">
        <f t="shared" si="475"/>
        <v>#REF!</v>
      </c>
      <c r="K189" s="168" t="str">
        <f t="shared" si="475"/>
        <v>#REF!</v>
      </c>
      <c r="L189" s="168" t="str">
        <f t="shared" si="475"/>
        <v>#REF!</v>
      </c>
      <c r="M189" s="168" t="str">
        <f t="shared" si="475"/>
        <v>#REF!</v>
      </c>
      <c r="N189" s="168" t="str">
        <f t="shared" si="475"/>
        <v>#REF!</v>
      </c>
      <c r="O189" s="168" t="str">
        <f t="shared" si="475"/>
        <v>#REF!</v>
      </c>
      <c r="P189" s="168" t="str">
        <f t="shared" si="475"/>
        <v>#REF!</v>
      </c>
      <c r="Q189" s="168" t="str">
        <f t="shared" si="475"/>
        <v>#REF!</v>
      </c>
      <c r="R189" s="168" t="str">
        <f t="shared" si="475"/>
        <v>#REF!</v>
      </c>
      <c r="S189" s="168" t="str">
        <f t="shared" si="475"/>
        <v>#REF!</v>
      </c>
      <c r="T189" s="168" t="str">
        <f t="shared" si="475"/>
        <v>#REF!</v>
      </c>
      <c r="U189" s="168" t="str">
        <f t="shared" ref="U189:AJ189" si="476">#REF!</f>
        <v>#REF!</v>
      </c>
      <c r="V189" s="168" t="str">
        <f t="shared" si="476"/>
        <v>#REF!</v>
      </c>
      <c r="W189" s="168" t="str">
        <f t="shared" si="476"/>
        <v>#REF!</v>
      </c>
      <c r="X189" s="168" t="str">
        <f t="shared" si="476"/>
        <v>#REF!</v>
      </c>
      <c r="Y189" s="168" t="str">
        <f t="shared" si="476"/>
        <v>#REF!</v>
      </c>
      <c r="Z189" s="168" t="str">
        <f t="shared" si="476"/>
        <v>#REF!</v>
      </c>
      <c r="AA189" s="168" t="str">
        <f t="shared" si="476"/>
        <v>#REF!</v>
      </c>
      <c r="AB189" s="168" t="str">
        <f t="shared" si="476"/>
        <v>#REF!</v>
      </c>
      <c r="AC189" s="168" t="str">
        <f t="shared" si="476"/>
        <v>#REF!</v>
      </c>
      <c r="AD189" s="168" t="str">
        <f t="shared" si="476"/>
        <v>#REF!</v>
      </c>
      <c r="AE189" s="168" t="str">
        <f t="shared" si="476"/>
        <v>#REF!</v>
      </c>
      <c r="AF189" s="168" t="str">
        <f t="shared" si="476"/>
        <v>#REF!</v>
      </c>
      <c r="AG189" s="168" t="str">
        <f t="shared" si="476"/>
        <v>#REF!</v>
      </c>
      <c r="AH189" s="168" t="str">
        <f t="shared" si="476"/>
        <v>#REF!</v>
      </c>
      <c r="AI189" s="168" t="str">
        <f t="shared" si="476"/>
        <v>#REF!</v>
      </c>
      <c r="AJ189" s="168" t="str">
        <f t="shared" si="476"/>
        <v>#REF!</v>
      </c>
    </row>
    <row r="190" ht="15.75" customHeight="1">
      <c r="A190" s="168" t="str">
        <f t="shared" ref="A190:T190" si="477">if(#REF!=$D$1,#REF!,"")</f>
        <v>#REF!</v>
      </c>
      <c r="B190" s="168" t="str">
        <f t="shared" si="477"/>
        <v>#REF!</v>
      </c>
      <c r="C190" s="168" t="str">
        <f t="shared" si="477"/>
        <v>#REF!</v>
      </c>
      <c r="D190" s="168" t="str">
        <f t="shared" si="477"/>
        <v>#REF!</v>
      </c>
      <c r="E190" s="168" t="str">
        <f t="shared" si="477"/>
        <v>#REF!</v>
      </c>
      <c r="F190" s="168" t="str">
        <f t="shared" si="477"/>
        <v>#REF!</v>
      </c>
      <c r="G190" s="168" t="str">
        <f t="shared" si="477"/>
        <v>#REF!</v>
      </c>
      <c r="H190" s="168" t="str">
        <f t="shared" si="477"/>
        <v>#REF!</v>
      </c>
      <c r="I190" s="168" t="str">
        <f t="shared" si="477"/>
        <v>#REF!</v>
      </c>
      <c r="J190" s="168" t="str">
        <f t="shared" si="477"/>
        <v>#REF!</v>
      </c>
      <c r="K190" s="168" t="str">
        <f t="shared" si="477"/>
        <v>#REF!</v>
      </c>
      <c r="L190" s="168" t="str">
        <f t="shared" si="477"/>
        <v>#REF!</v>
      </c>
      <c r="M190" s="168" t="str">
        <f t="shared" si="477"/>
        <v>#REF!</v>
      </c>
      <c r="N190" s="168" t="str">
        <f t="shared" si="477"/>
        <v>#REF!</v>
      </c>
      <c r="O190" s="168" t="str">
        <f t="shared" si="477"/>
        <v>#REF!</v>
      </c>
      <c r="P190" s="168" t="str">
        <f t="shared" si="477"/>
        <v>#REF!</v>
      </c>
      <c r="Q190" s="168" t="str">
        <f t="shared" si="477"/>
        <v>#REF!</v>
      </c>
      <c r="R190" s="168" t="str">
        <f t="shared" si="477"/>
        <v>#REF!</v>
      </c>
      <c r="S190" s="168" t="str">
        <f t="shared" si="477"/>
        <v>#REF!</v>
      </c>
      <c r="T190" s="168" t="str">
        <f t="shared" si="477"/>
        <v>#REF!</v>
      </c>
      <c r="U190" s="168" t="str">
        <f t="shared" ref="U190:AJ190" si="478">#REF!</f>
        <v>#REF!</v>
      </c>
      <c r="V190" s="168" t="str">
        <f t="shared" si="478"/>
        <v>#REF!</v>
      </c>
      <c r="W190" s="168" t="str">
        <f t="shared" si="478"/>
        <v>#REF!</v>
      </c>
      <c r="X190" s="168" t="str">
        <f t="shared" si="478"/>
        <v>#REF!</v>
      </c>
      <c r="Y190" s="168" t="str">
        <f t="shared" si="478"/>
        <v>#REF!</v>
      </c>
      <c r="Z190" s="168" t="str">
        <f t="shared" si="478"/>
        <v>#REF!</v>
      </c>
      <c r="AA190" s="168" t="str">
        <f t="shared" si="478"/>
        <v>#REF!</v>
      </c>
      <c r="AB190" s="168" t="str">
        <f t="shared" si="478"/>
        <v>#REF!</v>
      </c>
      <c r="AC190" s="168" t="str">
        <f t="shared" si="478"/>
        <v>#REF!</v>
      </c>
      <c r="AD190" s="168" t="str">
        <f t="shared" si="478"/>
        <v>#REF!</v>
      </c>
      <c r="AE190" s="168" t="str">
        <f t="shared" si="478"/>
        <v>#REF!</v>
      </c>
      <c r="AF190" s="168" t="str">
        <f t="shared" si="478"/>
        <v>#REF!</v>
      </c>
      <c r="AG190" s="168" t="str">
        <f t="shared" si="478"/>
        <v>#REF!</v>
      </c>
      <c r="AH190" s="168" t="str">
        <f t="shared" si="478"/>
        <v>#REF!</v>
      </c>
      <c r="AI190" s="168" t="str">
        <f t="shared" si="478"/>
        <v>#REF!</v>
      </c>
      <c r="AJ190" s="168" t="str">
        <f t="shared" si="478"/>
        <v>#REF!</v>
      </c>
    </row>
    <row r="191" ht="15.75" customHeight="1">
      <c r="A191" s="168" t="str">
        <f t="shared" ref="A191:T191" si="479">if(#REF!=$D$1,#REF!,"")</f>
        <v>#REF!</v>
      </c>
      <c r="B191" s="168" t="str">
        <f t="shared" si="479"/>
        <v>#REF!</v>
      </c>
      <c r="C191" s="168" t="str">
        <f t="shared" si="479"/>
        <v>#REF!</v>
      </c>
      <c r="D191" s="168" t="str">
        <f t="shared" si="479"/>
        <v>#REF!</v>
      </c>
      <c r="E191" s="168" t="str">
        <f t="shared" si="479"/>
        <v>#REF!</v>
      </c>
      <c r="F191" s="168" t="str">
        <f t="shared" si="479"/>
        <v>#REF!</v>
      </c>
      <c r="G191" s="168" t="str">
        <f t="shared" si="479"/>
        <v>#REF!</v>
      </c>
      <c r="H191" s="168" t="str">
        <f t="shared" si="479"/>
        <v>#REF!</v>
      </c>
      <c r="I191" s="168" t="str">
        <f t="shared" si="479"/>
        <v>#REF!</v>
      </c>
      <c r="J191" s="168" t="str">
        <f t="shared" si="479"/>
        <v>#REF!</v>
      </c>
      <c r="K191" s="168" t="str">
        <f t="shared" si="479"/>
        <v>#REF!</v>
      </c>
      <c r="L191" s="168" t="str">
        <f t="shared" si="479"/>
        <v>#REF!</v>
      </c>
      <c r="M191" s="168" t="str">
        <f t="shared" si="479"/>
        <v>#REF!</v>
      </c>
      <c r="N191" s="168" t="str">
        <f t="shared" si="479"/>
        <v>#REF!</v>
      </c>
      <c r="O191" s="168" t="str">
        <f t="shared" si="479"/>
        <v>#REF!</v>
      </c>
      <c r="P191" s="168" t="str">
        <f t="shared" si="479"/>
        <v>#REF!</v>
      </c>
      <c r="Q191" s="168" t="str">
        <f t="shared" si="479"/>
        <v>#REF!</v>
      </c>
      <c r="R191" s="168" t="str">
        <f t="shared" si="479"/>
        <v>#REF!</v>
      </c>
      <c r="S191" s="168" t="str">
        <f t="shared" si="479"/>
        <v>#REF!</v>
      </c>
      <c r="T191" s="168" t="str">
        <f t="shared" si="479"/>
        <v>#REF!</v>
      </c>
      <c r="U191" s="168" t="str">
        <f t="shared" ref="U191:AJ191" si="480">#REF!</f>
        <v>#REF!</v>
      </c>
      <c r="V191" s="168" t="str">
        <f t="shared" si="480"/>
        <v>#REF!</v>
      </c>
      <c r="W191" s="168" t="str">
        <f t="shared" si="480"/>
        <v>#REF!</v>
      </c>
      <c r="X191" s="168" t="str">
        <f t="shared" si="480"/>
        <v>#REF!</v>
      </c>
      <c r="Y191" s="168" t="str">
        <f t="shared" si="480"/>
        <v>#REF!</v>
      </c>
      <c r="Z191" s="168" t="str">
        <f t="shared" si="480"/>
        <v>#REF!</v>
      </c>
      <c r="AA191" s="168" t="str">
        <f t="shared" si="480"/>
        <v>#REF!</v>
      </c>
      <c r="AB191" s="168" t="str">
        <f t="shared" si="480"/>
        <v>#REF!</v>
      </c>
      <c r="AC191" s="168" t="str">
        <f t="shared" si="480"/>
        <v>#REF!</v>
      </c>
      <c r="AD191" s="168" t="str">
        <f t="shared" si="480"/>
        <v>#REF!</v>
      </c>
      <c r="AE191" s="168" t="str">
        <f t="shared" si="480"/>
        <v>#REF!</v>
      </c>
      <c r="AF191" s="168" t="str">
        <f t="shared" si="480"/>
        <v>#REF!</v>
      </c>
      <c r="AG191" s="168" t="str">
        <f t="shared" si="480"/>
        <v>#REF!</v>
      </c>
      <c r="AH191" s="168" t="str">
        <f t="shared" si="480"/>
        <v>#REF!</v>
      </c>
      <c r="AI191" s="168" t="str">
        <f t="shared" si="480"/>
        <v>#REF!</v>
      </c>
      <c r="AJ191" s="168" t="str">
        <f t="shared" si="480"/>
        <v>#REF!</v>
      </c>
    </row>
    <row r="192" ht="15.75" customHeight="1">
      <c r="A192" s="168" t="str">
        <f t="shared" ref="A192:T192" si="481">if(#REF!=$D$1,#REF!,"")</f>
        <v>#REF!</v>
      </c>
      <c r="B192" s="168" t="str">
        <f t="shared" si="481"/>
        <v>#REF!</v>
      </c>
      <c r="C192" s="168" t="str">
        <f t="shared" si="481"/>
        <v>#REF!</v>
      </c>
      <c r="D192" s="168" t="str">
        <f t="shared" si="481"/>
        <v>#REF!</v>
      </c>
      <c r="E192" s="168" t="str">
        <f t="shared" si="481"/>
        <v>#REF!</v>
      </c>
      <c r="F192" s="168" t="str">
        <f t="shared" si="481"/>
        <v>#REF!</v>
      </c>
      <c r="G192" s="168" t="str">
        <f t="shared" si="481"/>
        <v>#REF!</v>
      </c>
      <c r="H192" s="168" t="str">
        <f t="shared" si="481"/>
        <v>#REF!</v>
      </c>
      <c r="I192" s="168" t="str">
        <f t="shared" si="481"/>
        <v>#REF!</v>
      </c>
      <c r="J192" s="168" t="str">
        <f t="shared" si="481"/>
        <v>#REF!</v>
      </c>
      <c r="K192" s="168" t="str">
        <f t="shared" si="481"/>
        <v>#REF!</v>
      </c>
      <c r="L192" s="168" t="str">
        <f t="shared" si="481"/>
        <v>#REF!</v>
      </c>
      <c r="M192" s="168" t="str">
        <f t="shared" si="481"/>
        <v>#REF!</v>
      </c>
      <c r="N192" s="168" t="str">
        <f t="shared" si="481"/>
        <v>#REF!</v>
      </c>
      <c r="O192" s="168" t="str">
        <f t="shared" si="481"/>
        <v>#REF!</v>
      </c>
      <c r="P192" s="168" t="str">
        <f t="shared" si="481"/>
        <v>#REF!</v>
      </c>
      <c r="Q192" s="168" t="str">
        <f t="shared" si="481"/>
        <v>#REF!</v>
      </c>
      <c r="R192" s="168" t="str">
        <f t="shared" si="481"/>
        <v>#REF!</v>
      </c>
      <c r="S192" s="168" t="str">
        <f t="shared" si="481"/>
        <v>#REF!</v>
      </c>
      <c r="T192" s="168" t="str">
        <f t="shared" si="481"/>
        <v>#REF!</v>
      </c>
      <c r="U192" s="168" t="str">
        <f t="shared" ref="U192:AJ192" si="482">#REF!</f>
        <v>#REF!</v>
      </c>
      <c r="V192" s="168" t="str">
        <f t="shared" si="482"/>
        <v>#REF!</v>
      </c>
      <c r="W192" s="168" t="str">
        <f t="shared" si="482"/>
        <v>#REF!</v>
      </c>
      <c r="X192" s="168" t="str">
        <f t="shared" si="482"/>
        <v>#REF!</v>
      </c>
      <c r="Y192" s="168" t="str">
        <f t="shared" si="482"/>
        <v>#REF!</v>
      </c>
      <c r="Z192" s="168" t="str">
        <f t="shared" si="482"/>
        <v>#REF!</v>
      </c>
      <c r="AA192" s="168" t="str">
        <f t="shared" si="482"/>
        <v>#REF!</v>
      </c>
      <c r="AB192" s="168" t="str">
        <f t="shared" si="482"/>
        <v>#REF!</v>
      </c>
      <c r="AC192" s="168" t="str">
        <f t="shared" si="482"/>
        <v>#REF!</v>
      </c>
      <c r="AD192" s="168" t="str">
        <f t="shared" si="482"/>
        <v>#REF!</v>
      </c>
      <c r="AE192" s="168" t="str">
        <f t="shared" si="482"/>
        <v>#REF!</v>
      </c>
      <c r="AF192" s="168" t="str">
        <f t="shared" si="482"/>
        <v>#REF!</v>
      </c>
      <c r="AG192" s="168" t="str">
        <f t="shared" si="482"/>
        <v>#REF!</v>
      </c>
      <c r="AH192" s="168" t="str">
        <f t="shared" si="482"/>
        <v>#REF!</v>
      </c>
      <c r="AI192" s="168" t="str">
        <f t="shared" si="482"/>
        <v>#REF!</v>
      </c>
      <c r="AJ192" s="168" t="str">
        <f t="shared" si="482"/>
        <v>#REF!</v>
      </c>
    </row>
    <row r="193" ht="15.75" customHeight="1">
      <c r="A193" s="168" t="str">
        <f t="shared" ref="A193:T193" si="483">if(#REF!=$D$1,#REF!,"")</f>
        <v>#REF!</v>
      </c>
      <c r="B193" s="168" t="str">
        <f t="shared" si="483"/>
        <v>#REF!</v>
      </c>
      <c r="C193" s="168" t="str">
        <f t="shared" si="483"/>
        <v>#REF!</v>
      </c>
      <c r="D193" s="168" t="str">
        <f t="shared" si="483"/>
        <v>#REF!</v>
      </c>
      <c r="E193" s="168" t="str">
        <f t="shared" si="483"/>
        <v>#REF!</v>
      </c>
      <c r="F193" s="168" t="str">
        <f t="shared" si="483"/>
        <v>#REF!</v>
      </c>
      <c r="G193" s="168" t="str">
        <f t="shared" si="483"/>
        <v>#REF!</v>
      </c>
      <c r="H193" s="168" t="str">
        <f t="shared" si="483"/>
        <v>#REF!</v>
      </c>
      <c r="I193" s="168" t="str">
        <f t="shared" si="483"/>
        <v>#REF!</v>
      </c>
      <c r="J193" s="168" t="str">
        <f t="shared" si="483"/>
        <v>#REF!</v>
      </c>
      <c r="K193" s="168" t="str">
        <f t="shared" si="483"/>
        <v>#REF!</v>
      </c>
      <c r="L193" s="168" t="str">
        <f t="shared" si="483"/>
        <v>#REF!</v>
      </c>
      <c r="M193" s="168" t="str">
        <f t="shared" si="483"/>
        <v>#REF!</v>
      </c>
      <c r="N193" s="168" t="str">
        <f t="shared" si="483"/>
        <v>#REF!</v>
      </c>
      <c r="O193" s="168" t="str">
        <f t="shared" si="483"/>
        <v>#REF!</v>
      </c>
      <c r="P193" s="168" t="str">
        <f t="shared" si="483"/>
        <v>#REF!</v>
      </c>
      <c r="Q193" s="168" t="str">
        <f t="shared" si="483"/>
        <v>#REF!</v>
      </c>
      <c r="R193" s="168" t="str">
        <f t="shared" si="483"/>
        <v>#REF!</v>
      </c>
      <c r="S193" s="168" t="str">
        <f t="shared" si="483"/>
        <v>#REF!</v>
      </c>
      <c r="T193" s="168" t="str">
        <f t="shared" si="483"/>
        <v>#REF!</v>
      </c>
      <c r="U193" s="168" t="str">
        <f t="shared" ref="U193:AJ193" si="484">#REF!</f>
        <v>#REF!</v>
      </c>
      <c r="V193" s="168" t="str">
        <f t="shared" si="484"/>
        <v>#REF!</v>
      </c>
      <c r="W193" s="168" t="str">
        <f t="shared" si="484"/>
        <v>#REF!</v>
      </c>
      <c r="X193" s="168" t="str">
        <f t="shared" si="484"/>
        <v>#REF!</v>
      </c>
      <c r="Y193" s="168" t="str">
        <f t="shared" si="484"/>
        <v>#REF!</v>
      </c>
      <c r="Z193" s="168" t="str">
        <f t="shared" si="484"/>
        <v>#REF!</v>
      </c>
      <c r="AA193" s="168" t="str">
        <f t="shared" si="484"/>
        <v>#REF!</v>
      </c>
      <c r="AB193" s="168" t="str">
        <f t="shared" si="484"/>
        <v>#REF!</v>
      </c>
      <c r="AC193" s="168" t="str">
        <f t="shared" si="484"/>
        <v>#REF!</v>
      </c>
      <c r="AD193" s="168" t="str">
        <f t="shared" si="484"/>
        <v>#REF!</v>
      </c>
      <c r="AE193" s="168" t="str">
        <f t="shared" si="484"/>
        <v>#REF!</v>
      </c>
      <c r="AF193" s="168" t="str">
        <f t="shared" si="484"/>
        <v>#REF!</v>
      </c>
      <c r="AG193" s="168" t="str">
        <f t="shared" si="484"/>
        <v>#REF!</v>
      </c>
      <c r="AH193" s="168" t="str">
        <f t="shared" si="484"/>
        <v>#REF!</v>
      </c>
      <c r="AI193" s="168" t="str">
        <f t="shared" si="484"/>
        <v>#REF!</v>
      </c>
      <c r="AJ193" s="168" t="str">
        <f t="shared" si="484"/>
        <v>#REF!</v>
      </c>
    </row>
    <row r="194" ht="15.75" customHeight="1">
      <c r="A194" s="168" t="str">
        <f t="shared" ref="A194:T194" si="485">if(#REF!=$D$1,#REF!,"")</f>
        <v>#REF!</v>
      </c>
      <c r="B194" s="168" t="str">
        <f t="shared" si="485"/>
        <v>#REF!</v>
      </c>
      <c r="C194" s="168" t="str">
        <f t="shared" si="485"/>
        <v>#REF!</v>
      </c>
      <c r="D194" s="168" t="str">
        <f t="shared" si="485"/>
        <v>#REF!</v>
      </c>
      <c r="E194" s="168" t="str">
        <f t="shared" si="485"/>
        <v>#REF!</v>
      </c>
      <c r="F194" s="168" t="str">
        <f t="shared" si="485"/>
        <v>#REF!</v>
      </c>
      <c r="G194" s="168" t="str">
        <f t="shared" si="485"/>
        <v>#REF!</v>
      </c>
      <c r="H194" s="168" t="str">
        <f t="shared" si="485"/>
        <v>#REF!</v>
      </c>
      <c r="I194" s="168" t="str">
        <f t="shared" si="485"/>
        <v>#REF!</v>
      </c>
      <c r="J194" s="168" t="str">
        <f t="shared" si="485"/>
        <v>#REF!</v>
      </c>
      <c r="K194" s="168" t="str">
        <f t="shared" si="485"/>
        <v>#REF!</v>
      </c>
      <c r="L194" s="168" t="str">
        <f t="shared" si="485"/>
        <v>#REF!</v>
      </c>
      <c r="M194" s="168" t="str">
        <f t="shared" si="485"/>
        <v>#REF!</v>
      </c>
      <c r="N194" s="168" t="str">
        <f t="shared" si="485"/>
        <v>#REF!</v>
      </c>
      <c r="O194" s="168" t="str">
        <f t="shared" si="485"/>
        <v>#REF!</v>
      </c>
      <c r="P194" s="168" t="str">
        <f t="shared" si="485"/>
        <v>#REF!</v>
      </c>
      <c r="Q194" s="168" t="str">
        <f t="shared" si="485"/>
        <v>#REF!</v>
      </c>
      <c r="R194" s="168" t="str">
        <f t="shared" si="485"/>
        <v>#REF!</v>
      </c>
      <c r="S194" s="168" t="str">
        <f t="shared" si="485"/>
        <v>#REF!</v>
      </c>
      <c r="T194" s="168" t="str">
        <f t="shared" si="485"/>
        <v>#REF!</v>
      </c>
      <c r="U194" s="168" t="str">
        <f t="shared" ref="U194:AJ194" si="486">#REF!</f>
        <v>#REF!</v>
      </c>
      <c r="V194" s="168" t="str">
        <f t="shared" si="486"/>
        <v>#REF!</v>
      </c>
      <c r="W194" s="168" t="str">
        <f t="shared" si="486"/>
        <v>#REF!</v>
      </c>
      <c r="X194" s="168" t="str">
        <f t="shared" si="486"/>
        <v>#REF!</v>
      </c>
      <c r="Y194" s="168" t="str">
        <f t="shared" si="486"/>
        <v>#REF!</v>
      </c>
      <c r="Z194" s="168" t="str">
        <f t="shared" si="486"/>
        <v>#REF!</v>
      </c>
      <c r="AA194" s="168" t="str">
        <f t="shared" si="486"/>
        <v>#REF!</v>
      </c>
      <c r="AB194" s="168" t="str">
        <f t="shared" si="486"/>
        <v>#REF!</v>
      </c>
      <c r="AC194" s="168" t="str">
        <f t="shared" si="486"/>
        <v>#REF!</v>
      </c>
      <c r="AD194" s="168" t="str">
        <f t="shared" si="486"/>
        <v>#REF!</v>
      </c>
      <c r="AE194" s="168" t="str">
        <f t="shared" si="486"/>
        <v>#REF!</v>
      </c>
      <c r="AF194" s="168" t="str">
        <f t="shared" si="486"/>
        <v>#REF!</v>
      </c>
      <c r="AG194" s="168" t="str">
        <f t="shared" si="486"/>
        <v>#REF!</v>
      </c>
      <c r="AH194" s="168" t="str">
        <f t="shared" si="486"/>
        <v>#REF!</v>
      </c>
      <c r="AI194" s="168" t="str">
        <f t="shared" si="486"/>
        <v>#REF!</v>
      </c>
      <c r="AJ194" s="168" t="str">
        <f t="shared" si="486"/>
        <v>#REF!</v>
      </c>
    </row>
    <row r="195" ht="15.75" customHeight="1">
      <c r="A195" s="168" t="str">
        <f t="shared" ref="A195:T195" si="487">if(#REF!=$D$1,#REF!,"")</f>
        <v>#REF!</v>
      </c>
      <c r="B195" s="168" t="str">
        <f t="shared" si="487"/>
        <v>#REF!</v>
      </c>
      <c r="C195" s="168" t="str">
        <f t="shared" si="487"/>
        <v>#REF!</v>
      </c>
      <c r="D195" s="168" t="str">
        <f t="shared" si="487"/>
        <v>#REF!</v>
      </c>
      <c r="E195" s="168" t="str">
        <f t="shared" si="487"/>
        <v>#REF!</v>
      </c>
      <c r="F195" s="168" t="str">
        <f t="shared" si="487"/>
        <v>#REF!</v>
      </c>
      <c r="G195" s="168" t="str">
        <f t="shared" si="487"/>
        <v>#REF!</v>
      </c>
      <c r="H195" s="168" t="str">
        <f t="shared" si="487"/>
        <v>#REF!</v>
      </c>
      <c r="I195" s="168" t="str">
        <f t="shared" si="487"/>
        <v>#REF!</v>
      </c>
      <c r="J195" s="168" t="str">
        <f t="shared" si="487"/>
        <v>#REF!</v>
      </c>
      <c r="K195" s="168" t="str">
        <f t="shared" si="487"/>
        <v>#REF!</v>
      </c>
      <c r="L195" s="168" t="str">
        <f t="shared" si="487"/>
        <v>#REF!</v>
      </c>
      <c r="M195" s="168" t="str">
        <f t="shared" si="487"/>
        <v>#REF!</v>
      </c>
      <c r="N195" s="168" t="str">
        <f t="shared" si="487"/>
        <v>#REF!</v>
      </c>
      <c r="O195" s="168" t="str">
        <f t="shared" si="487"/>
        <v>#REF!</v>
      </c>
      <c r="P195" s="168" t="str">
        <f t="shared" si="487"/>
        <v>#REF!</v>
      </c>
      <c r="Q195" s="168" t="str">
        <f t="shared" si="487"/>
        <v>#REF!</v>
      </c>
      <c r="R195" s="168" t="str">
        <f t="shared" si="487"/>
        <v>#REF!</v>
      </c>
      <c r="S195" s="168" t="str">
        <f t="shared" si="487"/>
        <v>#REF!</v>
      </c>
      <c r="T195" s="168" t="str">
        <f t="shared" si="487"/>
        <v>#REF!</v>
      </c>
      <c r="U195" s="168" t="str">
        <f t="shared" ref="U195:AJ195" si="488">#REF!</f>
        <v>#REF!</v>
      </c>
      <c r="V195" s="168" t="str">
        <f t="shared" si="488"/>
        <v>#REF!</v>
      </c>
      <c r="W195" s="168" t="str">
        <f t="shared" si="488"/>
        <v>#REF!</v>
      </c>
      <c r="X195" s="168" t="str">
        <f t="shared" si="488"/>
        <v>#REF!</v>
      </c>
      <c r="Y195" s="168" t="str">
        <f t="shared" si="488"/>
        <v>#REF!</v>
      </c>
      <c r="Z195" s="168" t="str">
        <f t="shared" si="488"/>
        <v>#REF!</v>
      </c>
      <c r="AA195" s="168" t="str">
        <f t="shared" si="488"/>
        <v>#REF!</v>
      </c>
      <c r="AB195" s="168" t="str">
        <f t="shared" si="488"/>
        <v>#REF!</v>
      </c>
      <c r="AC195" s="168" t="str">
        <f t="shared" si="488"/>
        <v>#REF!</v>
      </c>
      <c r="AD195" s="168" t="str">
        <f t="shared" si="488"/>
        <v>#REF!</v>
      </c>
      <c r="AE195" s="168" t="str">
        <f t="shared" si="488"/>
        <v>#REF!</v>
      </c>
      <c r="AF195" s="168" t="str">
        <f t="shared" si="488"/>
        <v>#REF!</v>
      </c>
      <c r="AG195" s="168" t="str">
        <f t="shared" si="488"/>
        <v>#REF!</v>
      </c>
      <c r="AH195" s="168" t="str">
        <f t="shared" si="488"/>
        <v>#REF!</v>
      </c>
      <c r="AI195" s="168" t="str">
        <f t="shared" si="488"/>
        <v>#REF!</v>
      </c>
      <c r="AJ195" s="168" t="str">
        <f t="shared" si="488"/>
        <v>#REF!</v>
      </c>
    </row>
    <row r="196" ht="15.75" customHeight="1">
      <c r="A196" s="168" t="str">
        <f t="shared" ref="A196:T196" si="489">if(#REF!=$D$1,#REF!,"")</f>
        <v>#REF!</v>
      </c>
      <c r="B196" s="168" t="str">
        <f t="shared" si="489"/>
        <v>#REF!</v>
      </c>
      <c r="C196" s="168" t="str">
        <f t="shared" si="489"/>
        <v>#REF!</v>
      </c>
      <c r="D196" s="168" t="str">
        <f t="shared" si="489"/>
        <v>#REF!</v>
      </c>
      <c r="E196" s="168" t="str">
        <f t="shared" si="489"/>
        <v>#REF!</v>
      </c>
      <c r="F196" s="168" t="str">
        <f t="shared" si="489"/>
        <v>#REF!</v>
      </c>
      <c r="G196" s="168" t="str">
        <f t="shared" si="489"/>
        <v>#REF!</v>
      </c>
      <c r="H196" s="168" t="str">
        <f t="shared" si="489"/>
        <v>#REF!</v>
      </c>
      <c r="I196" s="168" t="str">
        <f t="shared" si="489"/>
        <v>#REF!</v>
      </c>
      <c r="J196" s="168" t="str">
        <f t="shared" si="489"/>
        <v>#REF!</v>
      </c>
      <c r="K196" s="168" t="str">
        <f t="shared" si="489"/>
        <v>#REF!</v>
      </c>
      <c r="L196" s="168" t="str">
        <f t="shared" si="489"/>
        <v>#REF!</v>
      </c>
      <c r="M196" s="168" t="str">
        <f t="shared" si="489"/>
        <v>#REF!</v>
      </c>
      <c r="N196" s="168" t="str">
        <f t="shared" si="489"/>
        <v>#REF!</v>
      </c>
      <c r="O196" s="168" t="str">
        <f t="shared" si="489"/>
        <v>#REF!</v>
      </c>
      <c r="P196" s="168" t="str">
        <f t="shared" si="489"/>
        <v>#REF!</v>
      </c>
      <c r="Q196" s="168" t="str">
        <f t="shared" si="489"/>
        <v>#REF!</v>
      </c>
      <c r="R196" s="168" t="str">
        <f t="shared" si="489"/>
        <v>#REF!</v>
      </c>
      <c r="S196" s="168" t="str">
        <f t="shared" si="489"/>
        <v>#REF!</v>
      </c>
      <c r="T196" s="168" t="str">
        <f t="shared" si="489"/>
        <v>#REF!</v>
      </c>
      <c r="U196" s="168" t="str">
        <f t="shared" ref="U196:AJ196" si="490">#REF!</f>
        <v>#REF!</v>
      </c>
      <c r="V196" s="168" t="str">
        <f t="shared" si="490"/>
        <v>#REF!</v>
      </c>
      <c r="W196" s="168" t="str">
        <f t="shared" si="490"/>
        <v>#REF!</v>
      </c>
      <c r="X196" s="168" t="str">
        <f t="shared" si="490"/>
        <v>#REF!</v>
      </c>
      <c r="Y196" s="168" t="str">
        <f t="shared" si="490"/>
        <v>#REF!</v>
      </c>
      <c r="Z196" s="168" t="str">
        <f t="shared" si="490"/>
        <v>#REF!</v>
      </c>
      <c r="AA196" s="168" t="str">
        <f t="shared" si="490"/>
        <v>#REF!</v>
      </c>
      <c r="AB196" s="168" t="str">
        <f t="shared" si="490"/>
        <v>#REF!</v>
      </c>
      <c r="AC196" s="168" t="str">
        <f t="shared" si="490"/>
        <v>#REF!</v>
      </c>
      <c r="AD196" s="168" t="str">
        <f t="shared" si="490"/>
        <v>#REF!</v>
      </c>
      <c r="AE196" s="168" t="str">
        <f t="shared" si="490"/>
        <v>#REF!</v>
      </c>
      <c r="AF196" s="168" t="str">
        <f t="shared" si="490"/>
        <v>#REF!</v>
      </c>
      <c r="AG196" s="168" t="str">
        <f t="shared" si="490"/>
        <v>#REF!</v>
      </c>
      <c r="AH196" s="168" t="str">
        <f t="shared" si="490"/>
        <v>#REF!</v>
      </c>
      <c r="AI196" s="168" t="str">
        <f t="shared" si="490"/>
        <v>#REF!</v>
      </c>
      <c r="AJ196" s="168" t="str">
        <f t="shared" si="490"/>
        <v>#REF!</v>
      </c>
    </row>
    <row r="197" ht="15.75" customHeight="1">
      <c r="A197" s="168" t="str">
        <f t="shared" ref="A197:T197" si="491">if(#REF!=$D$1,#REF!,"")</f>
        <v>#REF!</v>
      </c>
      <c r="B197" s="168" t="str">
        <f t="shared" si="491"/>
        <v>#REF!</v>
      </c>
      <c r="C197" s="168" t="str">
        <f t="shared" si="491"/>
        <v>#REF!</v>
      </c>
      <c r="D197" s="168" t="str">
        <f t="shared" si="491"/>
        <v>#REF!</v>
      </c>
      <c r="E197" s="168" t="str">
        <f t="shared" si="491"/>
        <v>#REF!</v>
      </c>
      <c r="F197" s="168" t="str">
        <f t="shared" si="491"/>
        <v>#REF!</v>
      </c>
      <c r="G197" s="168" t="str">
        <f t="shared" si="491"/>
        <v>#REF!</v>
      </c>
      <c r="H197" s="168" t="str">
        <f t="shared" si="491"/>
        <v>#REF!</v>
      </c>
      <c r="I197" s="168" t="str">
        <f t="shared" si="491"/>
        <v>#REF!</v>
      </c>
      <c r="J197" s="168" t="str">
        <f t="shared" si="491"/>
        <v>#REF!</v>
      </c>
      <c r="K197" s="168" t="str">
        <f t="shared" si="491"/>
        <v>#REF!</v>
      </c>
      <c r="L197" s="168" t="str">
        <f t="shared" si="491"/>
        <v>#REF!</v>
      </c>
      <c r="M197" s="168" t="str">
        <f t="shared" si="491"/>
        <v>#REF!</v>
      </c>
      <c r="N197" s="168" t="str">
        <f t="shared" si="491"/>
        <v>#REF!</v>
      </c>
      <c r="O197" s="168" t="str">
        <f t="shared" si="491"/>
        <v>#REF!</v>
      </c>
      <c r="P197" s="168" t="str">
        <f t="shared" si="491"/>
        <v>#REF!</v>
      </c>
      <c r="Q197" s="168" t="str">
        <f t="shared" si="491"/>
        <v>#REF!</v>
      </c>
      <c r="R197" s="168" t="str">
        <f t="shared" si="491"/>
        <v>#REF!</v>
      </c>
      <c r="S197" s="168" t="str">
        <f t="shared" si="491"/>
        <v>#REF!</v>
      </c>
      <c r="T197" s="168" t="str">
        <f t="shared" si="491"/>
        <v>#REF!</v>
      </c>
      <c r="U197" s="168" t="str">
        <f t="shared" ref="U197:AJ197" si="492">#REF!</f>
        <v>#REF!</v>
      </c>
      <c r="V197" s="168" t="str">
        <f t="shared" si="492"/>
        <v>#REF!</v>
      </c>
      <c r="W197" s="168" t="str">
        <f t="shared" si="492"/>
        <v>#REF!</v>
      </c>
      <c r="X197" s="168" t="str">
        <f t="shared" si="492"/>
        <v>#REF!</v>
      </c>
      <c r="Y197" s="168" t="str">
        <f t="shared" si="492"/>
        <v>#REF!</v>
      </c>
      <c r="Z197" s="168" t="str">
        <f t="shared" si="492"/>
        <v>#REF!</v>
      </c>
      <c r="AA197" s="168" t="str">
        <f t="shared" si="492"/>
        <v>#REF!</v>
      </c>
      <c r="AB197" s="168" t="str">
        <f t="shared" si="492"/>
        <v>#REF!</v>
      </c>
      <c r="AC197" s="168" t="str">
        <f t="shared" si="492"/>
        <v>#REF!</v>
      </c>
      <c r="AD197" s="168" t="str">
        <f t="shared" si="492"/>
        <v>#REF!</v>
      </c>
      <c r="AE197" s="168" t="str">
        <f t="shared" si="492"/>
        <v>#REF!</v>
      </c>
      <c r="AF197" s="168" t="str">
        <f t="shared" si="492"/>
        <v>#REF!</v>
      </c>
      <c r="AG197" s="168" t="str">
        <f t="shared" si="492"/>
        <v>#REF!</v>
      </c>
      <c r="AH197" s="168" t="str">
        <f t="shared" si="492"/>
        <v>#REF!</v>
      </c>
      <c r="AI197" s="168" t="str">
        <f t="shared" si="492"/>
        <v>#REF!</v>
      </c>
      <c r="AJ197" s="168" t="str">
        <f t="shared" si="492"/>
        <v>#REF!</v>
      </c>
    </row>
    <row r="198" ht="15.75" customHeight="1">
      <c r="A198" s="168" t="str">
        <f t="shared" ref="A198:T198" si="493">if(#REF!=$D$1,#REF!,"")</f>
        <v>#REF!</v>
      </c>
      <c r="B198" s="168" t="str">
        <f t="shared" si="493"/>
        <v>#REF!</v>
      </c>
      <c r="C198" s="168" t="str">
        <f t="shared" si="493"/>
        <v>#REF!</v>
      </c>
      <c r="D198" s="168" t="str">
        <f t="shared" si="493"/>
        <v>#REF!</v>
      </c>
      <c r="E198" s="168" t="str">
        <f t="shared" si="493"/>
        <v>#REF!</v>
      </c>
      <c r="F198" s="168" t="str">
        <f t="shared" si="493"/>
        <v>#REF!</v>
      </c>
      <c r="G198" s="168" t="str">
        <f t="shared" si="493"/>
        <v>#REF!</v>
      </c>
      <c r="H198" s="168" t="str">
        <f t="shared" si="493"/>
        <v>#REF!</v>
      </c>
      <c r="I198" s="168" t="str">
        <f t="shared" si="493"/>
        <v>#REF!</v>
      </c>
      <c r="J198" s="168" t="str">
        <f t="shared" si="493"/>
        <v>#REF!</v>
      </c>
      <c r="K198" s="168" t="str">
        <f t="shared" si="493"/>
        <v>#REF!</v>
      </c>
      <c r="L198" s="168" t="str">
        <f t="shared" si="493"/>
        <v>#REF!</v>
      </c>
      <c r="M198" s="168" t="str">
        <f t="shared" si="493"/>
        <v>#REF!</v>
      </c>
      <c r="N198" s="168" t="str">
        <f t="shared" si="493"/>
        <v>#REF!</v>
      </c>
      <c r="O198" s="168" t="str">
        <f t="shared" si="493"/>
        <v>#REF!</v>
      </c>
      <c r="P198" s="168" t="str">
        <f t="shared" si="493"/>
        <v>#REF!</v>
      </c>
      <c r="Q198" s="168" t="str">
        <f t="shared" si="493"/>
        <v>#REF!</v>
      </c>
      <c r="R198" s="168" t="str">
        <f t="shared" si="493"/>
        <v>#REF!</v>
      </c>
      <c r="S198" s="168" t="str">
        <f t="shared" si="493"/>
        <v>#REF!</v>
      </c>
      <c r="T198" s="168" t="str">
        <f t="shared" si="493"/>
        <v>#REF!</v>
      </c>
      <c r="U198" s="168" t="str">
        <f t="shared" ref="U198:AJ198" si="494">#REF!</f>
        <v>#REF!</v>
      </c>
      <c r="V198" s="168" t="str">
        <f t="shared" si="494"/>
        <v>#REF!</v>
      </c>
      <c r="W198" s="168" t="str">
        <f t="shared" si="494"/>
        <v>#REF!</v>
      </c>
      <c r="X198" s="168" t="str">
        <f t="shared" si="494"/>
        <v>#REF!</v>
      </c>
      <c r="Y198" s="168" t="str">
        <f t="shared" si="494"/>
        <v>#REF!</v>
      </c>
      <c r="Z198" s="168" t="str">
        <f t="shared" si="494"/>
        <v>#REF!</v>
      </c>
      <c r="AA198" s="168" t="str">
        <f t="shared" si="494"/>
        <v>#REF!</v>
      </c>
      <c r="AB198" s="168" t="str">
        <f t="shared" si="494"/>
        <v>#REF!</v>
      </c>
      <c r="AC198" s="168" t="str">
        <f t="shared" si="494"/>
        <v>#REF!</v>
      </c>
      <c r="AD198" s="168" t="str">
        <f t="shared" si="494"/>
        <v>#REF!</v>
      </c>
      <c r="AE198" s="168" t="str">
        <f t="shared" si="494"/>
        <v>#REF!</v>
      </c>
      <c r="AF198" s="168" t="str">
        <f t="shared" si="494"/>
        <v>#REF!</v>
      </c>
      <c r="AG198" s="168" t="str">
        <f t="shared" si="494"/>
        <v>#REF!</v>
      </c>
      <c r="AH198" s="168" t="str">
        <f t="shared" si="494"/>
        <v>#REF!</v>
      </c>
      <c r="AI198" s="168" t="str">
        <f t="shared" si="494"/>
        <v>#REF!</v>
      </c>
      <c r="AJ198" s="168" t="str">
        <f t="shared" si="494"/>
        <v>#REF!</v>
      </c>
    </row>
    <row r="199" ht="15.75" customHeight="1">
      <c r="A199" s="168" t="str">
        <f t="shared" ref="A199:T199" si="495">if(#REF!=$D$1,#REF!,"")</f>
        <v>#REF!</v>
      </c>
      <c r="B199" s="168" t="str">
        <f t="shared" si="495"/>
        <v>#REF!</v>
      </c>
      <c r="C199" s="168" t="str">
        <f t="shared" si="495"/>
        <v>#REF!</v>
      </c>
      <c r="D199" s="168" t="str">
        <f t="shared" si="495"/>
        <v>#REF!</v>
      </c>
      <c r="E199" s="168" t="str">
        <f t="shared" si="495"/>
        <v>#REF!</v>
      </c>
      <c r="F199" s="168" t="str">
        <f t="shared" si="495"/>
        <v>#REF!</v>
      </c>
      <c r="G199" s="168" t="str">
        <f t="shared" si="495"/>
        <v>#REF!</v>
      </c>
      <c r="H199" s="168" t="str">
        <f t="shared" si="495"/>
        <v>#REF!</v>
      </c>
      <c r="I199" s="168" t="str">
        <f t="shared" si="495"/>
        <v>#REF!</v>
      </c>
      <c r="J199" s="168" t="str">
        <f t="shared" si="495"/>
        <v>#REF!</v>
      </c>
      <c r="K199" s="168" t="str">
        <f t="shared" si="495"/>
        <v>#REF!</v>
      </c>
      <c r="L199" s="168" t="str">
        <f t="shared" si="495"/>
        <v>#REF!</v>
      </c>
      <c r="M199" s="168" t="str">
        <f t="shared" si="495"/>
        <v>#REF!</v>
      </c>
      <c r="N199" s="168" t="str">
        <f t="shared" si="495"/>
        <v>#REF!</v>
      </c>
      <c r="O199" s="168" t="str">
        <f t="shared" si="495"/>
        <v>#REF!</v>
      </c>
      <c r="P199" s="168" t="str">
        <f t="shared" si="495"/>
        <v>#REF!</v>
      </c>
      <c r="Q199" s="168" t="str">
        <f t="shared" si="495"/>
        <v>#REF!</v>
      </c>
      <c r="R199" s="168" t="str">
        <f t="shared" si="495"/>
        <v>#REF!</v>
      </c>
      <c r="S199" s="168" t="str">
        <f t="shared" si="495"/>
        <v>#REF!</v>
      </c>
      <c r="T199" s="168" t="str">
        <f t="shared" si="495"/>
        <v>#REF!</v>
      </c>
      <c r="U199" s="168" t="str">
        <f t="shared" ref="U199:AJ199" si="496">#REF!</f>
        <v>#REF!</v>
      </c>
      <c r="V199" s="168" t="str">
        <f t="shared" si="496"/>
        <v>#REF!</v>
      </c>
      <c r="W199" s="168" t="str">
        <f t="shared" si="496"/>
        <v>#REF!</v>
      </c>
      <c r="X199" s="168" t="str">
        <f t="shared" si="496"/>
        <v>#REF!</v>
      </c>
      <c r="Y199" s="168" t="str">
        <f t="shared" si="496"/>
        <v>#REF!</v>
      </c>
      <c r="Z199" s="168" t="str">
        <f t="shared" si="496"/>
        <v>#REF!</v>
      </c>
      <c r="AA199" s="168" t="str">
        <f t="shared" si="496"/>
        <v>#REF!</v>
      </c>
      <c r="AB199" s="168" t="str">
        <f t="shared" si="496"/>
        <v>#REF!</v>
      </c>
      <c r="AC199" s="168" t="str">
        <f t="shared" si="496"/>
        <v>#REF!</v>
      </c>
      <c r="AD199" s="168" t="str">
        <f t="shared" si="496"/>
        <v>#REF!</v>
      </c>
      <c r="AE199" s="168" t="str">
        <f t="shared" si="496"/>
        <v>#REF!</v>
      </c>
      <c r="AF199" s="168" t="str">
        <f t="shared" si="496"/>
        <v>#REF!</v>
      </c>
      <c r="AG199" s="168" t="str">
        <f t="shared" si="496"/>
        <v>#REF!</v>
      </c>
      <c r="AH199" s="168" t="str">
        <f t="shared" si="496"/>
        <v>#REF!</v>
      </c>
      <c r="AI199" s="168" t="str">
        <f t="shared" si="496"/>
        <v>#REF!</v>
      </c>
      <c r="AJ199" s="168" t="str">
        <f t="shared" si="496"/>
        <v>#REF!</v>
      </c>
    </row>
    <row r="200" ht="15.75" customHeight="1">
      <c r="A200" s="168" t="str">
        <f t="shared" ref="A200:T200" si="497">if(#REF!=$D$1,#REF!,"")</f>
        <v>#REF!</v>
      </c>
      <c r="B200" s="168" t="str">
        <f t="shared" si="497"/>
        <v>#REF!</v>
      </c>
      <c r="C200" s="168" t="str">
        <f t="shared" si="497"/>
        <v>#REF!</v>
      </c>
      <c r="D200" s="168" t="str">
        <f t="shared" si="497"/>
        <v>#REF!</v>
      </c>
      <c r="E200" s="168" t="str">
        <f t="shared" si="497"/>
        <v>#REF!</v>
      </c>
      <c r="F200" s="168" t="str">
        <f t="shared" si="497"/>
        <v>#REF!</v>
      </c>
      <c r="G200" s="168" t="str">
        <f t="shared" si="497"/>
        <v>#REF!</v>
      </c>
      <c r="H200" s="168" t="str">
        <f t="shared" si="497"/>
        <v>#REF!</v>
      </c>
      <c r="I200" s="168" t="str">
        <f t="shared" si="497"/>
        <v>#REF!</v>
      </c>
      <c r="J200" s="168" t="str">
        <f t="shared" si="497"/>
        <v>#REF!</v>
      </c>
      <c r="K200" s="168" t="str">
        <f t="shared" si="497"/>
        <v>#REF!</v>
      </c>
      <c r="L200" s="168" t="str">
        <f t="shared" si="497"/>
        <v>#REF!</v>
      </c>
      <c r="M200" s="168" t="str">
        <f t="shared" si="497"/>
        <v>#REF!</v>
      </c>
      <c r="N200" s="168" t="str">
        <f t="shared" si="497"/>
        <v>#REF!</v>
      </c>
      <c r="O200" s="168" t="str">
        <f t="shared" si="497"/>
        <v>#REF!</v>
      </c>
      <c r="P200" s="168" t="str">
        <f t="shared" si="497"/>
        <v>#REF!</v>
      </c>
      <c r="Q200" s="168" t="str">
        <f t="shared" si="497"/>
        <v>#REF!</v>
      </c>
      <c r="R200" s="168" t="str">
        <f t="shared" si="497"/>
        <v>#REF!</v>
      </c>
      <c r="S200" s="168" t="str">
        <f t="shared" si="497"/>
        <v>#REF!</v>
      </c>
      <c r="T200" s="168" t="str">
        <f t="shared" si="497"/>
        <v>#REF!</v>
      </c>
      <c r="U200" s="168" t="str">
        <f t="shared" ref="U200:AJ200" si="498">#REF!</f>
        <v>#REF!</v>
      </c>
      <c r="V200" s="168" t="str">
        <f t="shared" si="498"/>
        <v>#REF!</v>
      </c>
      <c r="W200" s="168" t="str">
        <f t="shared" si="498"/>
        <v>#REF!</v>
      </c>
      <c r="X200" s="168" t="str">
        <f t="shared" si="498"/>
        <v>#REF!</v>
      </c>
      <c r="Y200" s="168" t="str">
        <f t="shared" si="498"/>
        <v>#REF!</v>
      </c>
      <c r="Z200" s="168" t="str">
        <f t="shared" si="498"/>
        <v>#REF!</v>
      </c>
      <c r="AA200" s="168" t="str">
        <f t="shared" si="498"/>
        <v>#REF!</v>
      </c>
      <c r="AB200" s="168" t="str">
        <f t="shared" si="498"/>
        <v>#REF!</v>
      </c>
      <c r="AC200" s="168" t="str">
        <f t="shared" si="498"/>
        <v>#REF!</v>
      </c>
      <c r="AD200" s="168" t="str">
        <f t="shared" si="498"/>
        <v>#REF!</v>
      </c>
      <c r="AE200" s="168" t="str">
        <f t="shared" si="498"/>
        <v>#REF!</v>
      </c>
      <c r="AF200" s="168" t="str">
        <f t="shared" si="498"/>
        <v>#REF!</v>
      </c>
      <c r="AG200" s="168" t="str">
        <f t="shared" si="498"/>
        <v>#REF!</v>
      </c>
      <c r="AH200" s="168" t="str">
        <f t="shared" si="498"/>
        <v>#REF!</v>
      </c>
      <c r="AI200" s="168" t="str">
        <f t="shared" si="498"/>
        <v>#REF!</v>
      </c>
      <c r="AJ200" s="168" t="str">
        <f t="shared" si="498"/>
        <v>#REF!</v>
      </c>
    </row>
    <row r="201" ht="15.75" customHeight="1">
      <c r="A201" s="168" t="str">
        <f t="shared" ref="A201:T201" si="499">if(#REF!=$D$1,#REF!,"")</f>
        <v>#REF!</v>
      </c>
      <c r="B201" s="168" t="str">
        <f t="shared" si="499"/>
        <v>#REF!</v>
      </c>
      <c r="C201" s="168" t="str">
        <f t="shared" si="499"/>
        <v>#REF!</v>
      </c>
      <c r="D201" s="168" t="str">
        <f t="shared" si="499"/>
        <v>#REF!</v>
      </c>
      <c r="E201" s="168" t="str">
        <f t="shared" si="499"/>
        <v>#REF!</v>
      </c>
      <c r="F201" s="168" t="str">
        <f t="shared" si="499"/>
        <v>#REF!</v>
      </c>
      <c r="G201" s="168" t="str">
        <f t="shared" si="499"/>
        <v>#REF!</v>
      </c>
      <c r="H201" s="168" t="str">
        <f t="shared" si="499"/>
        <v>#REF!</v>
      </c>
      <c r="I201" s="168" t="str">
        <f t="shared" si="499"/>
        <v>#REF!</v>
      </c>
      <c r="J201" s="168" t="str">
        <f t="shared" si="499"/>
        <v>#REF!</v>
      </c>
      <c r="K201" s="168" t="str">
        <f t="shared" si="499"/>
        <v>#REF!</v>
      </c>
      <c r="L201" s="168" t="str">
        <f t="shared" si="499"/>
        <v>#REF!</v>
      </c>
      <c r="M201" s="168" t="str">
        <f t="shared" si="499"/>
        <v>#REF!</v>
      </c>
      <c r="N201" s="168" t="str">
        <f t="shared" si="499"/>
        <v>#REF!</v>
      </c>
      <c r="O201" s="168" t="str">
        <f t="shared" si="499"/>
        <v>#REF!</v>
      </c>
      <c r="P201" s="168" t="str">
        <f t="shared" si="499"/>
        <v>#REF!</v>
      </c>
      <c r="Q201" s="168" t="str">
        <f t="shared" si="499"/>
        <v>#REF!</v>
      </c>
      <c r="R201" s="168" t="str">
        <f t="shared" si="499"/>
        <v>#REF!</v>
      </c>
      <c r="S201" s="168" t="str">
        <f t="shared" si="499"/>
        <v>#REF!</v>
      </c>
      <c r="T201" s="168" t="str">
        <f t="shared" si="499"/>
        <v>#REF!</v>
      </c>
      <c r="U201" s="168" t="str">
        <f t="shared" ref="U201:AJ201" si="500">#REF!</f>
        <v>#REF!</v>
      </c>
      <c r="V201" s="168" t="str">
        <f t="shared" si="500"/>
        <v>#REF!</v>
      </c>
      <c r="W201" s="168" t="str">
        <f t="shared" si="500"/>
        <v>#REF!</v>
      </c>
      <c r="X201" s="168" t="str">
        <f t="shared" si="500"/>
        <v>#REF!</v>
      </c>
      <c r="Y201" s="168" t="str">
        <f t="shared" si="500"/>
        <v>#REF!</v>
      </c>
      <c r="Z201" s="168" t="str">
        <f t="shared" si="500"/>
        <v>#REF!</v>
      </c>
      <c r="AA201" s="168" t="str">
        <f t="shared" si="500"/>
        <v>#REF!</v>
      </c>
      <c r="AB201" s="168" t="str">
        <f t="shared" si="500"/>
        <v>#REF!</v>
      </c>
      <c r="AC201" s="168" t="str">
        <f t="shared" si="500"/>
        <v>#REF!</v>
      </c>
      <c r="AD201" s="168" t="str">
        <f t="shared" si="500"/>
        <v>#REF!</v>
      </c>
      <c r="AE201" s="168" t="str">
        <f t="shared" si="500"/>
        <v>#REF!</v>
      </c>
      <c r="AF201" s="168" t="str">
        <f t="shared" si="500"/>
        <v>#REF!</v>
      </c>
      <c r="AG201" s="168" t="str">
        <f t="shared" si="500"/>
        <v>#REF!</v>
      </c>
      <c r="AH201" s="168" t="str">
        <f t="shared" si="500"/>
        <v>#REF!</v>
      </c>
      <c r="AI201" s="168" t="str">
        <f t="shared" si="500"/>
        <v>#REF!</v>
      </c>
      <c r="AJ201" s="168" t="str">
        <f t="shared" si="500"/>
        <v>#REF!</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T$201"/>
  <dataValidations>
    <dataValidation type="list" allowBlank="1" sqref="A3:A201">
      <formula1>"Nami Intelligence,NamiChat,NamiGen Chatbot,NamiGen Voicebot,NamiSense AA,NamiSense CC,NamiSense JP,NamiSense-ANW-AI Counter,VoiceDNA,VoiceGate,VoiceGate P2"</formula1>
    </dataValidation>
    <dataValidation type="list" allowBlank="1" sqref="C3:C71">
      <formula1>"JP,VN,US"</formula1>
    </dataValidation>
    <dataValidation type="list" allowBlank="1" sqref="G3:G71">
      <formula1>"A,B,C,D"</formula1>
    </dataValidation>
  </dataValidations>
  <hyperlinks>
    <hyperlink r:id="rId1" ref="D1"/>
  </hyperlinks>
  <drawing r:id="rId2"/>
</worksheet>
</file>